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90c1b8170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7143b63a4b047c6"/>
    <x:sheet xmlns:r="http://schemas.openxmlformats.org/officeDocument/2006/relationships" name="Commercial" sheetId="2" r:id="Rf48eb5fd77154051"/>
    <x:sheet xmlns:r="http://schemas.openxmlformats.org/officeDocument/2006/relationships" name="Functional" sheetId="3" r:id="Rfd15845d5857416c"/>
    <x:sheet xmlns:r="http://schemas.openxmlformats.org/officeDocument/2006/relationships" name="Missing TL" sheetId="4" r:id="R1af956282fe74194"/>
    <x:sheet xmlns:r="http://schemas.openxmlformats.org/officeDocument/2006/relationships" name="Validation" sheetId="5" r:id="R92bfd034fcac4b9b"/>
    <x:sheet xmlns:r="http://schemas.openxmlformats.org/officeDocument/2006/relationships" name="Metadata" sheetId="6" r:id="R08095477a690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04eec7df64a67" /><Relationship Type="http://schemas.openxmlformats.org/officeDocument/2006/relationships/theme" Target="/xl/theme/theme1.xml" Id="R6412b4cfb9a84f76" /><Relationship Type="http://schemas.openxmlformats.org/officeDocument/2006/relationships/sharedStrings" Target="/xl/sharedStrings.xml" Id="R5f8e49e9c2564235" /><Relationship Type="http://schemas.openxmlformats.org/officeDocument/2006/relationships/worksheet" Target="/xl/worksheets/sheet1.xml" Id="R77143b63a4b047c6" /><Relationship Type="http://schemas.openxmlformats.org/officeDocument/2006/relationships/worksheet" Target="/xl/worksheets/sheet2.xml" Id="Rf48eb5fd77154051" /><Relationship Type="http://schemas.openxmlformats.org/officeDocument/2006/relationships/worksheet" Target="/xl/worksheets/sheet3.xml" Id="Rfd15845d5857416c" /><Relationship Type="http://schemas.openxmlformats.org/officeDocument/2006/relationships/worksheet" Target="/xl/worksheets/sheet4.xml" Id="R1af956282fe74194" /><Relationship Type="http://schemas.openxmlformats.org/officeDocument/2006/relationships/worksheet" Target="/xl/worksheets/sheet5.xml" Id="R92bfd034fcac4b9b" /><Relationship Type="http://schemas.openxmlformats.org/officeDocument/2006/relationships/worksheet" Target="/xl/worksheets/sheet6.xml" Id="R08095477a6904ebc" /></Relationships>
</file>

<file path=xl/tables/table1.xml><?xml version="1.0" encoding="utf-8"?>
<x:table xmlns:x="http://schemas.openxmlformats.org/spreadsheetml/2006/main" id="1" name="LME042SpeciesTable" displayName="LME042SpeciesTable" ref="A1:U247" headerRowCount="1" totalsRowCount="0" totalsRowShown="0">
  <x:autoFilter ref="A1:U2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2CommercialTable" displayName="LME04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2FunctionalTable" displayName="LME042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2ValidationTable" displayName="LME04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db0e24206c4a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03a01f0948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709934478640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597a4fce0646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LME_042</x:v>
      </x:c>
      <x:c r="B2" s="46" t="str">
        <x:v>Southeast Australian Shelf</x:v>
      </x:c>
      <x:c r="C2" s="46" t="str">
        <x:v>LME</x:v>
      </x:c>
      <x:c r="D2" s="58" t="n">
        <x:v>2019</x:v>
      </x:c>
      <x:c r="E2" s="46" t="str">
        <x:v>Thunnus maccoyii</x:v>
      </x:c>
      <x:c r="F2" s="46" t="str">
        <x:v>Southern bluefin tuna</x:v>
      </x:c>
      <x:c r="G2" s="46" t="str">
        <x:v>Large pelagics (&gt;=90 cm)</x:v>
      </x:c>
      <x:c r="H2" s="46" t="str">
        <x:v>Tuna &amp; billfishes</x:v>
      </x:c>
      <x:c r="I2" s="60" t="n">
        <x:v>4874.742269091</x:v>
      </x:c>
      <x:c r="J2" s="60" t="n">
        <x:v>4874.7059048974</x:v>
      </x:c>
      <x:c r="K2" s="60" t="n">
        <x:v>0.0363641936</x:v>
      </x:c>
      <x:c r="L2" s="60" t="n">
        <x:v>4845.1607352438</x:v>
      </x:c>
      <x:c r="M2" s="60" t="n">
        <x:v>29.5815338472</x:v>
      </x:c>
      <x:c r="N2" s="46" t="str">
        <x:v>thunnus maccoyii</x:v>
      </x:c>
      <x:c r="O2" s="62" t="n">
        <x:v>3.93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maccoyii</x:v>
      </x:c>
      <x:c r="T2" s="62" t="n">
        <x:f>IF(O2="","",(1/'Metadata'!$B$5)^(O2-1))</x:f>
        <x:v>851.1380382023768</x:v>
      </x:c>
      <x:c r="U2" s="60" t="n">
        <x:f>IF(T2="","",I2*T2)</x:f>
        <x:v>4149078.5716563165</x:v>
      </x:c>
    </x:row>
    <x:row r="3" ht="18" customHeight="1">
      <x:c r="A3" s="46" t="str">
        <x:v>LME_042</x:v>
      </x:c>
      <x:c r="B3" s="46" t="str">
        <x:v>Southeast Australian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3604.7776912402</x:v>
      </x:c>
      <x:c r="J3" s="60" t="n">
        <x:v>2775.8414998656</x:v>
      </x:c>
      <x:c r="K3" s="60" t="n">
        <x:v>828.9361913746</x:v>
      </x:c>
      <x:c r="L3" s="60" t="n">
        <x:v>2230.8259952932</x:v>
      </x:c>
      <x:c r="M3" s="60" t="n">
        <x:v>1373.951695947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686876.2287648445</x:v>
      </x:c>
    </x:row>
    <x:row r="4" ht="18" customHeight="1">
      <x:c r="A4" s="46" t="str">
        <x:v>LME_042</x:v>
      </x:c>
      <x:c r="B4" s="46" t="str">
        <x:v>Southeast Australian Shelf</x:v>
      </x:c>
      <x:c r="C4" s="46" t="str">
        <x:v>LME</x:v>
      </x:c>
      <x:c r="D4" s="58" t="n">
        <x:v>2019</x:v>
      </x:c>
      <x:c r="E4" s="46" t="str">
        <x:v>Trachurus declivis</x:v>
      </x:c>
      <x:c r="F4" s="46" t="str">
        <x:v>Greenback horse mackerel</x:v>
      </x:c>
      <x:c r="G4" s="46" t="str">
        <x:v>Medium benthopelagics (30 - 89 cm)</x:v>
      </x:c>
      <x:c r="H4" s="46" t="str">
        <x:v>Perch-likes</x:v>
      </x:c>
      <x:c r="I4" s="60" t="n">
        <x:v>3190.4374244122</x:v>
      </x:c>
      <x:c r="J4" s="60" t="n">
        <x:v>3118.4212278034</x:v>
      </x:c>
      <x:c r="K4" s="60" t="n">
        <x:v>72.0161966088</x:v>
      </x:c>
      <x:c r="L4" s="60" t="n">
        <x:v>3118.4210683919</x:v>
      </x:c>
      <x:c r="M4" s="60" t="n">
        <x:v>72.0163560203</x:v>
      </x:c>
      <x:c r="N4" s="46" t="str">
        <x:v>trachurus declivis</x:v>
      </x:c>
      <x:c r="O4" s="62" t="n">
        <x:v>3.93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Trachurus declivis</x:v>
      </x:c>
      <x:c r="T4" s="62" t="n">
        <x:f>IF(O4="","",(1/'Metadata'!$B$5)^(O4-1))</x:f>
        <x:v>851.1380382023768</x:v>
      </x:c>
      <x:c r="U4" s="60" t="n">
        <x:f>IF(T4="","",I4*T4)</x:f>
        <x:v>2715502.6504216436</x:v>
      </x:c>
    </x:row>
    <x:row r="5" ht="18" customHeight="1">
      <x:c r="A5" s="46" t="str">
        <x:v>LME_042</x:v>
      </x:c>
      <x:c r="B5" s="46" t="str">
        <x:v>Southeast Australian Shelf</x:v>
      </x:c>
      <x:c r="C5" s="46" t="str">
        <x:v>LME</x:v>
      </x:c>
      <x:c r="D5" s="58" t="n">
        <x:v>2019</x:v>
      </x:c>
      <x:c r="E5" s="46" t="str">
        <x:v>Jasus edwardsii</x:v>
      </x:c>
      <x:c r="F5" s="46" t="str">
        <x:v>Red rock lobster</x:v>
      </x:c>
      <x:c r="G5" s="46" t="str">
        <x:v>Lobsters, crabs</x:v>
      </x:c>
      <x:c r="H5" s="46" t="str">
        <x:v>Crustaceans</x:v>
      </x:c>
      <x:c r="I5" s="60" t="n">
        <x:v>2426.8780906696</x:v>
      </x:c>
      <x:c r="J5" s="60" t="n">
        <x:v>2426.8780906696</x:v>
      </x:c>
      <x:c r="K5" s="60" t="n">
        <x:v>0</x:v>
      </x:c>
      <x:c r="L5" s="60" t="n">
        <x:v>2379.2306235993</x:v>
      </x:c>
      <x:c r="M5" s="60" t="n">
        <x:v>47.6474670703</x:v>
      </x:c>
      <x:c r="N5" s="46" t="str">
        <x:v>jasus edwardsii</x:v>
      </x:c>
      <x:c r="O5" s="62" t="n">
        <x:v>2.6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Jasus edwardsii</x:v>
      </x:c>
      <x:c r="T5" s="62" t="n">
        <x:f>IF(O5="","",(1/'Metadata'!$B$5)^(O5-1))</x:f>
        <x:v>39.810717055349734</x:v>
      </x:c>
      <x:c r="U5" s="60" t="n">
        <x:f>IF(T5="","",I5*T5)</x:f>
        <x:v>96615.75699547485</x:v>
      </x:c>
    </x:row>
    <x:row r="6" ht="18" customHeight="1">
      <x:c r="A6" s="46" t="str">
        <x:v>LME_042</x:v>
      </x:c>
      <x:c r="B6" s="46" t="str">
        <x:v>Southeast Australian Shelf</x:v>
      </x:c>
      <x:c r="C6" s="46" t="str">
        <x:v>LME</x:v>
      </x:c>
      <x:c r="D6" s="58" t="n">
        <x:v>2019</x:v>
      </x:c>
      <x:c r="E6" s="46" t="str">
        <x:v>Sardinops sagax</x:v>
      </x:c>
      <x:c r="F6" s="46" t="str">
        <x:v>South American pilchard</x:v>
      </x:c>
      <x:c r="G6" s="46" t="str">
        <x:v>Medium pelagics (30 - 89 cm)</x:v>
      </x:c>
      <x:c r="H6" s="46" t="str">
        <x:v>Herring-likes</x:v>
      </x:c>
      <x:c r="I6" s="60" t="n">
        <x:v>2320.4809419499998</x:v>
      </x:c>
      <x:c r="J6" s="60" t="n">
        <x:v>2320.4809419499998</x:v>
      </x:c>
      <x:c r="K6" s="60" t="n">
        <x:v>0</x:v>
      </x:c>
      <x:c r="L6" s="60" t="n">
        <x:v>2056.0133889369</x:v>
      </x:c>
      <x:c r="M6" s="60" t="n">
        <x:v>264.4675530131</x:v>
      </x:c>
      <x:c r="N6" s="46" t="str">
        <x:v>sardinops sagax</x:v>
      </x:c>
      <x:c r="O6" s="62" t="n">
        <x:v>2.84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Sardinops sagax</x:v>
      </x:c>
      <x:c r="T6" s="62" t="n">
        <x:f>IF(O6="","",(1/'Metadata'!$B$5)^(O6-1))</x:f>
        <x:v>69.18309709189363</x:v>
      </x:c>
      <x:c r="U6" s="60" t="n">
        <x:f>IF(T6="","",I6*T6)</x:f>
        <x:v>160538.05830681563</x:v>
      </x:c>
    </x:row>
    <x:row r="7" ht="18" customHeight="1">
      <x:c r="A7" s="46" t="str">
        <x:v>LME_042</x:v>
      </x:c>
      <x:c r="B7" s="46" t="str">
        <x:v>Southeast Australian Shelf</x:v>
      </x:c>
      <x:c r="C7" s="46" t="str">
        <x:v>LME</x:v>
      </x:c>
      <x:c r="D7" s="58" t="n">
        <x:v>2019</x:v>
      </x:c>
      <x:c r="E7" s="46" t="str">
        <x:v>Elasmobranchii</x:v>
      </x:c>
      <x:c r="F7" s="46" t="str">
        <x:v>Sharks, rays, skates</x:v>
      </x:c>
      <x:c r="G7" s="46" t="str">
        <x:v>Large sharks (&gt;=90 cm)</x:v>
      </x:c>
      <x:c r="H7" s="46" t="str">
        <x:v>Sharks &amp; rays</x:v>
      </x:c>
      <x:c r="I7" s="60" t="n">
        <x:v>1540.2898241456999</x:v>
      </x:c>
      <x:c r="J7" s="60" t="n">
        <x:v>1540.0201015997</x:v>
      </x:c>
      <x:c r="K7" s="60" t="n">
        <x:v>0.269722546</x:v>
      </x:c>
      <x:c r="L7" s="60" t="n">
        <x:v>54.553644254299996</x:v>
      </x:c>
      <x:c r="M7" s="60" t="n">
        <x:v>1485.7361798913998</x:v>
      </x:c>
      <x:c r="N7" s="46" t="str">
        <x:v>elasmobranchii</x:v>
      </x:c>
      <x:c r="O7" s="62" t="n">
        <x:v>4.05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Elasmobranchii</x:v>
      </x:c>
      <x:c r="T7" s="62" t="n">
        <x:f>IF(O7="","",(1/'Metadata'!$B$5)^(O7-1))</x:f>
        <x:v>1122.018454301963</x:v>
      </x:c>
      <x:c r="U7" s="60" t="n">
        <x:f>IF(T7="","",I7*T7)</x:f>
        <x:v>1728233.6076650005</x:v>
      </x:c>
    </x:row>
    <x:row r="8" ht="18" customHeight="1">
      <x:c r="A8" s="46" t="str">
        <x:v>LME_042</x:v>
      </x:c>
      <x:c r="B8" s="46" t="str">
        <x:v>Southeast Australian Shelf</x:v>
      </x:c>
      <x:c r="C8" s="46" t="str">
        <x:v>LME</x:v>
      </x:c>
      <x:c r="D8" s="58" t="n">
        <x:v>2019</x:v>
      </x:c>
      <x:c r="E8" s="46" t="str">
        <x:v>Perciformes</x:v>
      </x:c>
      <x:c r="F8" s="46" t="str">
        <x:v>Perch-likes</x:v>
      </x:c>
      <x:c r="G8" s="46" t="str">
        <x:v>Medium demersals (30 - 89 cm)</x:v>
      </x:c>
      <x:c r="H8" s="46" t="str">
        <x:v>Perch-likes</x:v>
      </x:c>
      <x:c r="I8" s="60" t="n">
        <x:v>1170.6400388481</x:v>
      </x:c>
      <x:c r="J8" s="60" t="n">
        <x:v>1146.1033906179</x:v>
      </x:c>
      <x:c r="K8" s="60" t="n">
        <x:v>24.5366482302</x:v>
      </x:c>
      <x:c r="L8" s="60" t="n">
        <x:v>559.4673346267999</x:v>
      </x:c>
      <x:c r="M8" s="60" t="n">
        <x:v>611.1727042212999</x:v>
      </x:c>
      <x:c r="N8" s="46" t="str">
        <x:v>perciformes</x:v>
      </x:c>
      <x:c r="O8" s="62" t="n">
        <x:v>3.53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Perciformes</x:v>
      </x:c>
      <x:c r="T8" s="62" t="n">
        <x:f>IF(O8="","",(1/'Metadata'!$B$5)^(O8-1))</x:f>
        <x:v>338.84415613920237</x:v>
      </x:c>
      <x:c r="U8" s="60" t="n">
        <x:f>IF(T8="","",I8*T8)</x:f>
        <x:v>396664.5361062475</x:v>
      </x:c>
    </x:row>
    <x:row r="9" ht="18" customHeight="1">
      <x:c r="A9" s="46" t="str">
        <x:v>LME_042</x:v>
      </x:c>
      <x:c r="B9" s="46" t="str">
        <x:v>Southeast Australian Shelf</x:v>
      </x:c>
      <x:c r="C9" s="46" t="str">
        <x:v>LME</x:v>
      </x:c>
      <x:c r="D9" s="58" t="n">
        <x:v>2019</x:v>
      </x:c>
      <x:c r="E9" s="46" t="str">
        <x:v>Arripis trutta</x:v>
      </x:c>
      <x:c r="F9" s="46" t="str">
        <x:v>Australian salmon</x:v>
      </x:c>
      <x:c r="G9" s="46" t="str">
        <x:v>Medium pelagics (30 - 89 cm)</x:v>
      </x:c>
      <x:c r="H9" s="46" t="str">
        <x:v>Perch-likes</x:v>
      </x:c>
      <x:c r="I9" s="60" t="n">
        <x:v>944.3848839725999</x:v>
      </x:c>
      <x:c r="J9" s="60" t="n">
        <x:v>944.3848839725999</x:v>
      </x:c>
      <x:c r="K9" s="60" t="n">
        <x:v>0</x:v>
      </x:c>
      <x:c r="L9" s="60" t="n">
        <x:v>579.5621123922999</x:v>
      </x:c>
      <x:c r="M9" s="60" t="n">
        <x:v>364.8227715803</x:v>
      </x:c>
      <x:c r="N9" s="46" t="str">
        <x:v>arripis trutta</x:v>
      </x:c>
      <x:c r="O9" s="62" t="n">
        <x:v>4.07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Arripis trutta</x:v>
      </x:c>
      <x:c r="T9" s="62" t="n">
        <x:f>IF(O9="","",(1/'Metadata'!$B$5)^(O9-1))</x:f>
        <x:v>1174.8975549395302</x:v>
      </x:c>
      <x:c r="U9" s="60" t="n">
        <x:f>IF(T9="","",I9*T9)</x:f>
        <x:v>1109555.4911012596</x:v>
      </x:c>
    </x:row>
    <x:row r="10" ht="18" customHeight="1">
      <x:c r="A10" s="46" t="str">
        <x:v>LME_042</x:v>
      </x:c>
      <x:c r="B10" s="46" t="str">
        <x:v>Southeast Australian Shelf</x:v>
      </x:c>
      <x:c r="C10" s="46" t="str">
        <x:v>LME</x:v>
      </x:c>
      <x:c r="D10" s="58" t="n">
        <x:v>2019</x:v>
      </x:c>
      <x:c r="E10" s="46" t="str">
        <x:v>Scomber australasicus</x:v>
      </x:c>
      <x:c r="F10" s="46" t="str">
        <x:v>Blue mackerel</x:v>
      </x:c>
      <x:c r="G10" s="46" t="str">
        <x:v>Medium pelagics (30 - 89 cm)</x:v>
      </x:c>
      <x:c r="H10" s="46" t="str">
        <x:v>Perch-likes</x:v>
      </x:c>
      <x:c r="I10" s="60" t="n">
        <x:v>751.5023605624</x:v>
      </x:c>
      <x:c r="J10" s="60" t="n">
        <x:v>750.0365114111</x:v>
      </x:c>
      <x:c r="K10" s="60" t="n">
        <x:v>1.4658491513</x:v>
      </x:c>
      <x:c r="L10" s="60" t="n">
        <x:v>724.4700911265</x:v>
      </x:c>
      <x:c r="M10" s="60" t="n">
        <x:v>27.032269435899998</x:v>
      </x:c>
      <x:c r="N10" s="46" t="str">
        <x:v>scomber australasicus</x:v>
      </x:c>
      <x:c r="O10" s="62" t="n">
        <x:v>4.23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Scomber australasicus</x:v>
      </x:c>
      <x:c r="T10" s="62" t="n">
        <x:f>IF(O10="","",(1/'Metadata'!$B$5)^(O10-1))</x:f>
        <x:v>1698.243652461746</x:v>
      </x:c>
      <x:c r="U10" s="60" t="n">
        <x:f>IF(T10="","",I10*T10)</x:f>
        <x:v>1276234.1136351142</x:v>
      </x:c>
    </x:row>
    <x:row r="11" ht="18" customHeight="1">
      <x:c r="A11" s="46" t="str">
        <x:v>LME_042</x:v>
      </x:c>
      <x:c r="B11" s="46" t="str">
        <x:v>Southeast Australian Shelf</x:v>
      </x:c>
      <x:c r="C11" s="46" t="str">
        <x:v>LME</x:v>
      </x:c>
      <x:c r="D11" s="58" t="n">
        <x:v>2019</x:v>
      </x:c>
      <x:c r="E11" s="46" t="str">
        <x:v>Sparidae</x:v>
      </x:c>
      <x:c r="F11" s="46" t="str">
        <x:v>Porgies, seabreams</x:v>
      </x:c>
      <x:c r="G11" s="46" t="str">
        <x:v>Medium benthopelagics (30 - 89 cm)</x:v>
      </x:c>
      <x:c r="H11" s="46" t="str">
        <x:v>Perch-likes</x:v>
      </x:c>
      <x:c r="I11" s="60" t="n">
        <x:v>699.0018913792001</x:v>
      </x:c>
      <x:c r="J11" s="60" t="n">
        <x:v>699.0018913792001</x:v>
      </x:c>
      <x:c r="K11" s="60" t="n">
        <x:v>0</x:v>
      </x:c>
      <x:c r="L11" s="60" t="n">
        <x:v>170.1263995468</x:v>
      </x:c>
      <x:c r="M11" s="60" t="n">
        <x:v>528.8754918324</x:v>
      </x:c>
      <x:c r="N11" s="46" t="str">
        <x:v>sparidae</x:v>
      </x:c>
      <x:c r="O11" s="62" t="n">
        <x:v>3.31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Sparidae</x:v>
      </x:c>
      <x:c r="T11" s="62" t="n">
        <x:f>IF(O11="","",(1/'Metadata'!$B$5)^(O11-1))</x:f>
        <x:v>204.17379446695296</x:v>
      </x:c>
      <x:c r="U11" s="60" t="n">
        <x:f>IF(T11="","",I11*T11)</x:f>
        <x:v>142717.86850246816</x:v>
      </x:c>
    </x:row>
    <x:row r="12" ht="18" customHeight="1">
      <x:c r="A12" s="46" t="str">
        <x:v>LME_042</x:v>
      </x:c>
      <x:c r="B12" s="46" t="str">
        <x:v>Southeast Australian Shelf</x:v>
      </x:c>
      <x:c r="C12" s="46" t="str">
        <x:v>LME</x:v>
      </x:c>
      <x:c r="D12" s="58" t="n">
        <x:v>2019</x:v>
      </x:c>
      <x:c r="E12" s="46" t="str">
        <x:v>Seriolella punctata</x:v>
      </x:c>
      <x:c r="F12" s="46" t="str">
        <x:v>Silver warehou</x:v>
      </x:c>
      <x:c r="G12" s="46" t="str">
        <x:v>Medium benthopelagics (30 - 89 cm)</x:v>
      </x:c>
      <x:c r="H12" s="46" t="str">
        <x:v>Perch-likes</x:v>
      </x:c>
      <x:c r="I12" s="60" t="n">
        <x:v>598.818179944</x:v>
      </x:c>
      <x:c r="J12" s="60" t="n">
        <x:v>457.8832638103</x:v>
      </x:c>
      <x:c r="K12" s="60" t="n">
        <x:v>140.9349161337</x:v>
      </x:c>
      <x:c r="L12" s="60" t="n">
        <x:v>457.8832638103</x:v>
      </x:c>
      <x:c r="M12" s="60" t="n">
        <x:v>140.9349161337</x:v>
      </x:c>
      <x:c r="N12" s="46" t="str">
        <x:v>seriolella punctata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Seriolella punctata</x:v>
      </x:c>
      <x:c r="T12" s="62" t="n">
        <x:f>IF(O12="","",(1/'Metadata'!$B$5)^(O12-1))</x:f>
        <x:v>251.18864315095797</x:v>
      </x:c>
      <x:c r="U12" s="60" t="n">
        <x:f>IF(T12="","",I12*T12)</x:f>
        <x:v>150416.32611425954</x:v>
      </x:c>
    </x:row>
    <x:row r="13" ht="18" customHeight="1">
      <x:c r="A13" s="46" t="str">
        <x:v>LME_042</x:v>
      </x:c>
      <x:c r="B13" s="46" t="str">
        <x:v>Southeast Australian Shelf</x:v>
      </x:c>
      <x:c r="C13" s="46" t="str">
        <x:v>LME</x:v>
      </x:c>
      <x:c r="D13" s="58" t="n">
        <x:v>2019</x:v>
      </x:c>
      <x:c r="E13" s="46" t="str">
        <x:v>Macruronus novaezelandiae</x:v>
      </x:c>
      <x:c r="F13" s="46" t="str">
        <x:v>Blue grenadier</x:v>
      </x:c>
      <x:c r="G13" s="46" t="str">
        <x:v>Large demersals (&gt;=90 cm)</x:v>
      </x:c>
      <x:c r="H13" s="46" t="str">
        <x:v>Cod-likes</x:v>
      </x:c>
      <x:c r="I13" s="60" t="n">
        <x:v>574.0847540715</x:v>
      </x:c>
      <x:c r="J13" s="60" t="n">
        <x:v>505.9480619147</x:v>
      </x:c>
      <x:c r="K13" s="60" t="n">
        <x:v>68.1366921568</x:v>
      </x:c>
      <x:c r="L13" s="60" t="n">
        <x:v>505.9480619147</x:v>
      </x:c>
      <x:c r="M13" s="60" t="n">
        <x:v>68.1366921568</x:v>
      </x:c>
      <x:c r="N13" s="46" t="str">
        <x:v>macruronus novaezelandiae</x:v>
      </x:c>
      <x:c r="O13" s="62" t="n">
        <x:v>4.53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Macruronus novaezelandiae</x:v>
      </x:c>
      <x:c r="T13" s="62" t="n">
        <x:f>IF(O13="","",(1/'Metadata'!$B$5)^(O13-1))</x:f>
        <x:v>3388.4415613920273</x:v>
      </x:c>
      <x:c r="U13" s="60" t="n">
        <x:f>IF(T13="","",I13*T13)</x:f>
        <x:v>1945252.6404573915</x:v>
      </x:c>
    </x:row>
    <x:row r="14" ht="18" customHeight="1">
      <x:c r="A14" s="46" t="str">
        <x:v>LME_042</x:v>
      </x:c>
      <x:c r="B14" s="46" t="str">
        <x:v>Southeast Australian Shelf</x:v>
      </x:c>
      <x:c r="C14" s="46" t="str">
        <x:v>LME</x:v>
      </x:c>
      <x:c r="D14" s="58" t="n">
        <x:v>2019</x:v>
      </x:c>
      <x:c r="E14" s="46" t="str">
        <x:v>Thyrsites atun</x:v>
      </x:c>
      <x:c r="F14" s="46" t="str">
        <x:v>Snoek</x:v>
      </x:c>
      <x:c r="G14" s="46" t="str">
        <x:v>Large benthopelagics (&gt;=90 cm)</x:v>
      </x:c>
      <x:c r="H14" s="46" t="str">
        <x:v>Perch-likes</x:v>
      </x:c>
      <x:c r="I14" s="60" t="n">
        <x:v>497.2300052304</x:v>
      </x:c>
      <x:c r="J14" s="60" t="n">
        <x:v>212.9538555878</x:v>
      </x:c>
      <x:c r="K14" s="60" t="n">
        <x:v>284.2761496426</x:v>
      </x:c>
      <x:c r="L14" s="60" t="n">
        <x:v>10.68498567</x:v>
      </x:c>
      <x:c r="M14" s="60" t="n">
        <x:v>486.54501956039996</x:v>
      </x:c>
      <x:c r="N14" s="46" t="str">
        <x:v>thyrsites atun</x:v>
      </x:c>
      <x:c r="O14" s="62" t="n">
        <x:v>3.63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Thyrsites atun</x:v>
      </x:c>
      <x:c r="T14" s="62" t="n">
        <x:f>IF(O14="","",(1/'Metadata'!$B$5)^(O14-1))</x:f>
        <x:v>426.57951880159254</x:v>
      </x:c>
      <x:c r="U14" s="60" t="n">
        <x:f>IF(T14="","",I14*T14)</x:f>
        <x:v>212108.1363648974</x:v>
      </x:c>
    </x:row>
    <x:row r="15" ht="18" customHeight="1">
      <x:c r="A15" s="46" t="str">
        <x:v>LME_042</x:v>
      </x:c>
      <x:c r="B15" s="46" t="str">
        <x:v>Southeast Australian Shelf</x:v>
      </x:c>
      <x:c r="C15" s="46" t="str">
        <x:v>LME</x:v>
      </x:c>
      <x:c r="D15" s="58" t="n">
        <x:v>2019</x:v>
      </x:c>
      <x:c r="E15" s="46" t="str">
        <x:v>Mugil cephalus</x:v>
      </x:c>
      <x:c r="F15" s="46" t="str">
        <x:v>Flathead grey mullet</x:v>
      </x:c>
      <x:c r="G15" s="46" t="str">
        <x:v>Large benthopelagics (&gt;=90 cm)</x:v>
      </x:c>
      <x:c r="H15" s="46" t="str">
        <x:v>Perch-likes</x:v>
      </x:c>
      <x:c r="I15" s="60" t="n">
        <x:v>450.59615987279994</x:v>
      </x:c>
      <x:c r="J15" s="60" t="n">
        <x:v>450.59615987279994</x:v>
      </x:c>
      <x:c r="K15" s="60" t="n">
        <x:v>0</x:v>
      </x:c>
      <x:c r="L15" s="60" t="n">
        <x:v>435.8465776298</x:v>
      </x:c>
      <x:c r="M15" s="60" t="n">
        <x:v>14.749582243</x:v>
      </x:c>
      <x:c r="N15" s="46" t="str">
        <x:v>mugil cephalus</x:v>
      </x:c>
      <x:c r="O15" s="62" t="n">
        <x:v>2.14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Mugil cephalus</x:v>
      </x:c>
      <x:c r="T15" s="62" t="n">
        <x:f>IF(O15="","",(1/'Metadata'!$B$5)^(O15-1))</x:f>
        <x:v>13.803842646028853</x:v>
      </x:c>
      <x:c r="U15" s="60" t="n">
        <x:f>IF(T15="","",I15*T15)</x:f>
        <x:v>6219.958487788991</x:v>
      </x:c>
    </x:row>
    <x:row r="16" ht="18" customHeight="1">
      <x:c r="A16" s="46" t="str">
        <x:v>LME_042</x:v>
      </x:c>
      <x:c r="B16" s="46" t="str">
        <x:v>Southeast Australian Shelf</x:v>
      </x:c>
      <x:c r="C16" s="46" t="str">
        <x:v>LME</x:v>
      </x:c>
      <x:c r="D16" s="58" t="n">
        <x:v>2019</x:v>
      </x:c>
      <x:c r="E16" s="46" t="str">
        <x:v>Centroberyx affinis</x:v>
      </x:c>
      <x:c r="F16" s="46" t="str">
        <x:v>Redfish</x:v>
      </x:c>
      <x:c r="G16" s="46" t="str">
        <x:v>Medium benthopelagics (30 - 89 cm)</x:v>
      </x:c>
      <x:c r="H16" s="46" t="str">
        <x:v>Other fishes &amp; inverts</x:v>
      </x:c>
      <x:c r="I16" s="60" t="n">
        <x:v>445.745238525</x:v>
      </x:c>
      <x:c r="J16" s="60" t="n">
        <x:v>376.4148559639</x:v>
      </x:c>
      <x:c r="K16" s="60" t="n">
        <x:v>69.3303825611</x:v>
      </x:c>
      <x:c r="L16" s="60" t="n">
        <x:v>40.0984427371</x:v>
      </x:c>
      <x:c r="M16" s="60" t="n">
        <x:v>405.64679578790003</x:v>
      </x:c>
      <x:c r="N16" s="46" t="str">
        <x:v>centroberyx affinis</x:v>
      </x:c>
      <x:c r="O16" s="62" t="n">
        <x:v>3.81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Centroberyx affinis</x:v>
      </x:c>
      <x:c r="T16" s="62" t="n">
        <x:f>IF(O16="","",(1/'Metadata'!$B$5)^(O16-1))</x:f>
        <x:v>645.6542290346556</x:v>
      </x:c>
      <x:c r="U16" s="60" t="n">
        <x:f>IF(T16="","",I16*T16)</x:f>
        <x:v>287797.2983257275</x:v>
      </x:c>
    </x:row>
    <x:row r="17" ht="18" customHeight="1">
      <x:c r="A17" s="46" t="str">
        <x:v>LME_042</x:v>
      </x:c>
      <x:c r="B17" s="46" t="str">
        <x:v>Southeast Australian Shelf</x:v>
      </x:c>
      <x:c r="C17" s="46" t="str">
        <x:v>LME</x:v>
      </x:c>
      <x:c r="D17" s="58" t="n">
        <x:v>2019</x:v>
      </x:c>
      <x:c r="E17" s="46" t="str">
        <x:v>Haliotidae</x:v>
      </x:c>
      <x:c r="F17" s="46" t="str">
        <x:v>Abalones, ear shells</x:v>
      </x:c>
      <x:c r="G17" s="46" t="str">
        <x:v>Other demersal invertebrates</x:v>
      </x:c>
      <x:c r="H17" s="46" t="str">
        <x:v>Molluscs</x:v>
      </x:c>
      <x:c r="I17" s="60" t="n">
        <x:v>435.360656091</x:v>
      </x:c>
      <x:c r="J17" s="60" t="n">
        <x:v>435.360656091</x:v>
      </x:c>
      <x:c r="K17" s="60" t="n">
        <x:v>0</x:v>
      </x:c>
      <x:c r="L17" s="60" t="n">
        <x:v>426.80191361979996</x:v>
      </x:c>
      <x:c r="M17" s="60" t="n">
        <x:v>8.5587424712</x:v>
      </x:c>
      <x:c r="N17" s="46" t="str">
        <x:v>haliotidae</x:v>
      </x:c>
      <x:c r="O17" s="62" t="n">
        <x:v>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Haliotidae</x:v>
      </x:c>
      <x:c r="T17" s="62" t="n">
        <x:f>IF(O17="","",(1/'Metadata'!$B$5)^(O17-1))</x:f>
        <x:v>10</x:v>
      </x:c>
      <x:c r="U17" s="60" t="n">
        <x:f>IF(T17="","",I17*T17)</x:f>
        <x:v>4353.606560910001</x:v>
      </x:c>
    </x:row>
    <x:row r="18" ht="18" customHeight="1">
      <x:c r="A18" s="46" t="str">
        <x:v>LME_042</x:v>
      </x:c>
      <x:c r="B18" s="46" t="str">
        <x:v>Southeast Australian Shelf</x:v>
      </x:c>
      <x:c r="C18" s="46" t="str">
        <x:v>LME</x:v>
      </x:c>
      <x:c r="D18" s="58" t="n">
        <x:v>2019</x:v>
      </x:c>
      <x:c r="E18" s="46" t="str">
        <x:v>Haliotis rubra</x:v>
      </x:c>
      <x:c r="F18" s="46" t="str">
        <x:v>Blacklip abalone</x:v>
      </x:c>
      <x:c r="G18" s="46" t="str">
        <x:v>Other demersal invertebrates</x:v>
      </x:c>
      <x:c r="H18" s="46" t="str">
        <x:v>Molluscs</x:v>
      </x:c>
      <x:c r="I18" s="60" t="n">
        <x:v>429.2416597596</x:v>
      </x:c>
      <x:c r="J18" s="60" t="n">
        <x:v>429.2416597596</x:v>
      </x:c>
      <x:c r="K18" s="60" t="n">
        <x:v>0</x:v>
      </x:c>
      <x:c r="L18" s="60" t="n">
        <x:v>429.2416597596</x:v>
      </x:c>
      <x:c r="M18" s="60" t="n">
        <x:v>0</x:v>
      </x:c>
      <x:c r="N18" s="46" t="str">
        <x:v>haliotis rubra</x:v>
      </x:c>
      <x:c r="O18" s="62" t="n">
        <x:v>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Haliotis rubra</x:v>
      </x:c>
      <x:c r="T18" s="62" t="n">
        <x:f>IF(O18="","",(1/'Metadata'!$B$5)^(O18-1))</x:f>
        <x:v>10</x:v>
      </x:c>
      <x:c r="U18" s="60" t="n">
        <x:f>IF(T18="","",I18*T18)</x:f>
        <x:v>4292.416597596</x:v>
      </x:c>
    </x:row>
    <x:row r="19" ht="18" customHeight="1">
      <x:c r="A19" s="46" t="str">
        <x:v>LME_042</x:v>
      </x:c>
      <x:c r="B19" s="46" t="str">
        <x:v>Southeast Australian Shelf</x:v>
      </x:c>
      <x:c r="C19" s="46" t="str">
        <x:v>LME</x:v>
      </x:c>
      <x:c r="D19" s="58" t="n">
        <x:v>2019</x:v>
      </x:c>
      <x:c r="E19" s="46" t="str">
        <x:v>Pagrus auratus</x:v>
      </x:c>
      <x:c r="F19" s="46" t="str">
        <x:v>Silver seabream</x:v>
      </x:c>
      <x:c r="G19" s="46" t="str">
        <x:v>Large demersals (&gt;=90 cm)</x:v>
      </x:c>
      <x:c r="H19" s="46" t="str">
        <x:v>Perch-likes</x:v>
      </x:c>
      <x:c r="I19" s="60" t="n">
        <x:v>354.6921613549</x:v>
      </x:c>
      <x:c r="J19" s="60" t="n">
        <x:v>218.6107919882</x:v>
      </x:c>
      <x:c r="K19" s="60" t="n">
        <x:v>136.0813693667</x:v>
      </x:c>
      <x:c r="L19" s="60" t="n">
        <x:v>206.4178438906</x:v>
      </x:c>
      <x:c r="M19" s="60" t="n">
        <x:v>148.2743174643</x:v>
      </x:c>
      <x:c r="N19" s="46" t="str">
        <x:v>pagrus auratus</x:v>
      </x:c>
      <x:c r="O19" s="62" t="n">
        <x:v>3.59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Pagrus auratus</x:v>
      </x:c>
      <x:c r="T19" s="62" t="n">
        <x:f>IF(O19="","",(1/'Metadata'!$B$5)^(O19-1))</x:f>
        <x:v>389.04514499428046</x:v>
      </x:c>
      <x:c r="U19" s="60" t="n">
        <x:f>IF(T19="","",I19*T19)</x:f>
        <x:v>137991.2633426518</x:v>
      </x:c>
    </x:row>
    <x:row r="20" ht="18" customHeight="1">
      <x:c r="A20" s="46" t="str">
        <x:v>LME_042</x:v>
      </x:c>
      <x:c r="B20" s="46" t="str">
        <x:v>Southeast Australian Shelf</x:v>
      </x:c>
      <x:c r="C20" s="46" t="str">
        <x:v>LME</x:v>
      </x:c>
      <x:c r="D20" s="58" t="n">
        <x:v>2019</x:v>
      </x:c>
      <x:c r="E20" s="46" t="str">
        <x:v>Genypterus blacodes</x:v>
      </x:c>
      <x:c r="F20" s="46" t="str">
        <x:v>Pink cusk-eel</x:v>
      </x:c>
      <x:c r="G20" s="46" t="str">
        <x:v>Large bathydemersals (&gt;=90 cm)</x:v>
      </x:c>
      <x:c r="H20" s="46" t="str">
        <x:v>Other fishes &amp; inverts</x:v>
      </x:c>
      <x:c r="I20" s="60" t="n">
        <x:v>317.0727901101</x:v>
      </x:c>
      <x:c r="J20" s="60" t="n">
        <x:v>316.7752595841</x:v>
      </x:c>
      <x:c r="K20" s="60" t="n">
        <x:v>0.297530526</x:v>
      </x:c>
      <x:c r="L20" s="60" t="n">
        <x:v>316.6892706944</x:v>
      </x:c>
      <x:c r="M20" s="60" t="n">
        <x:v>0.38351941570000003</x:v>
      </x:c>
      <x:c r="N20" s="46" t="str">
        <x:v>genypterus blacodes</x:v>
      </x:c>
      <x:c r="O20" s="62" t="n">
        <x:v>4.22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Genypterus blacodes</x:v>
      </x:c>
      <x:c r="T20" s="62" t="n">
        <x:f>IF(O20="","",(1/'Metadata'!$B$5)^(O20-1))</x:f>
        <x:v>1659.5869074375596</x:v>
      </x:c>
      <x:c r="U20" s="60" t="n">
        <x:f>IF(T20="","",I20*T20)</x:f>
        <x:v>526209.8511714194</x:v>
      </x:c>
    </x:row>
    <x:row r="21" ht="18" customHeight="1">
      <x:c r="A21" s="46" t="str">
        <x:v>LME_042</x:v>
      </x:c>
      <x:c r="B21" s="46" t="str">
        <x:v>Southeast Australian Shelf</x:v>
      </x:c>
      <x:c r="C21" s="46" t="str">
        <x:v>LME</x:v>
      </x:c>
      <x:c r="D21" s="58" t="n">
        <x:v>2019</x:v>
      </x:c>
      <x:c r="E21" s="46" t="str">
        <x:v>Rajidae</x:v>
      </x:c>
      <x:c r="F21" s="46" t="str">
        <x:v>Stingrays</x:v>
      </x:c>
      <x:c r="G21" s="46" t="str">
        <x:v>Large rays (&gt;=90 cm)</x:v>
      </x:c>
      <x:c r="H21" s="46" t="str">
        <x:v>Sharks &amp; rays</x:v>
      </x:c>
      <x:c r="I21" s="60" t="n">
        <x:v>276.9555966315</x:v>
      </x:c>
      <x:c r="J21" s="60" t="n">
        <x:v>45.9991056131</x:v>
      </x:c>
      <x:c r="K21" s="60" t="n">
        <x:v>230.9564910184</x:v>
      </x:c>
      <x:c r="L21" s="60" t="n">
        <x:v>45.9991056131</x:v>
      </x:c>
      <x:c r="M21" s="60" t="n">
        <x:v>230.9564910184</x:v>
      </x:c>
      <x:c r="N21" s="46" t="str">
        <x:v>rajidae</x:v>
      </x:c>
      <x:c r="O21" s="62" t="n">
        <x:v>3.82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Rajidae</x:v>
      </x:c>
      <x:c r="T21" s="62" t="n">
        <x:f>IF(O21="","",(1/'Metadata'!$B$5)^(O21-1))</x:f>
        <x:v>660.6934480075957</x:v>
      </x:c>
      <x:c r="U21" s="60" t="n">
        <x:f>IF(T21="","",I21*T21)</x:f>
        <x:v>182982.7480834666</x:v>
      </x:c>
    </x:row>
    <x:row r="22" ht="18" customHeight="1">
      <x:c r="A22" s="46" t="str">
        <x:v>LME_042</x:v>
      </x:c>
      <x:c r="B22" s="46" t="str">
        <x:v>Southeast Australian Shelf</x:v>
      </x:c>
      <x:c r="C22" s="46" t="str">
        <x:v>LME</x:v>
      </x:c>
      <x:c r="D22" s="58" t="n">
        <x:v>2019</x:v>
      </x:c>
      <x:c r="E22" s="46" t="str">
        <x:v>Genypterus</x:v>
      </x:c>
      <x:c r="F22" s="46" t="str">
        <x:v>Genypterid cuskeels</x:v>
      </x:c>
      <x:c r="G22" s="46" t="str">
        <x:v>Large bathydemersals (&gt;=90 cm)</x:v>
      </x:c>
      <x:c r="H22" s="46" t="str">
        <x:v>Other fishes &amp; inverts</x:v>
      </x:c>
      <x:c r="I22" s="60" t="n">
        <x:v>256.8974722084</x:v>
      </x:c>
      <x:c r="J22" s="60" t="n">
        <x:v>256.8974722084</x:v>
      </x:c>
      <x:c r="K22" s="60" t="n">
        <x:v>0</x:v>
      </x:c>
      <x:c r="L22" s="60" t="n">
        <x:v>256.8829105597</x:v>
      </x:c>
      <x:c r="M22" s="60" t="n">
        <x:v>0.0145616487</x:v>
      </x:c>
      <x:c r="N22" s="46" t="str">
        <x:v>genypterus</x:v>
      </x:c>
      <x:c r="O22" s="62" t="n">
        <x:v>4.2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Genypterus</x:v>
      </x:c>
      <x:c r="T22" s="62" t="n">
        <x:f>IF(O22="","",(1/'Metadata'!$B$5)^(O22-1))</x:f>
        <x:v>1584.893192461114</x:v>
      </x:c>
      <x:c r="U22" s="60" t="n">
        <x:f>IF(T22="","",I22*T22)</x:f>
        <x:v>407155.0548635614</x:v>
      </x:c>
    </x:row>
    <x:row r="23" ht="18" customHeight="1">
      <x:c r="A23" s="46" t="str">
        <x:v>LME_042</x:v>
      </x:c>
      <x:c r="B23" s="46" t="str">
        <x:v>Southeast Australian Shelf</x:v>
      </x:c>
      <x:c r="C23" s="46" t="str">
        <x:v>LME</x:v>
      </x:c>
      <x:c r="D23" s="58" t="n">
        <x:v>2019</x:v>
      </x:c>
      <x:c r="E23" s="46" t="str">
        <x:v>Carangidae</x:v>
      </x:c>
      <x:c r="F23" s="46" t="str">
        <x:v>Jacks, pompanos</x:v>
      </x:c>
      <x:c r="G23" s="46" t="str">
        <x:v>Medium pelagics (30 - 89 cm)</x:v>
      </x:c>
      <x:c r="H23" s="46" t="str">
        <x:v>Perch-likes</x:v>
      </x:c>
      <x:c r="I23" s="60" t="n">
        <x:v>234.41994656190002</x:v>
      </x:c>
      <x:c r="J23" s="60" t="n">
        <x:v>230.8930569831</x:v>
      </x:c>
      <x:c r="K23" s="60" t="n">
        <x:v>3.5268895788</x:v>
      </x:c>
      <x:c r="L23" s="60" t="n">
        <x:v>105.814527134</x:v>
      </x:c>
      <x:c r="M23" s="60" t="n">
        <x:v>128.60541942790002</x:v>
      </x:c>
      <x:c r="N23" s="46" t="str">
        <x:v>carangidae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Carangidae</x:v>
      </x:c>
      <x:c r="T23" s="62" t="n">
        <x:f>IF(O23="","",(1/'Metadata'!$B$5)^(O23-1))</x:f>
        <x:v>1122.018454301963</x:v>
      </x:c>
      <x:c r="U23" s="60" t="n">
        <x:f>IF(T23="","",I23*T23)</x:f>
        <x:v>263023.50609893183</x:v>
      </x:c>
    </x:row>
    <x:row r="24" ht="18" customHeight="1">
      <x:c r="A24" s="46" t="str">
        <x:v>LME_042</x:v>
      </x:c>
      <x:c r="B24" s="46" t="str">
        <x:v>Southeast Australian Shelf</x:v>
      </x:c>
      <x:c r="C24" s="46" t="str">
        <x:v>LME</x:v>
      </x:c>
      <x:c r="D24" s="58" t="n">
        <x:v>2019</x:v>
      </x:c>
      <x:c r="E24" s="46" t="str">
        <x:v>Hoplostethus atlanticus</x:v>
      </x:c>
      <x:c r="F24" s="46" t="str">
        <x:v>Orange roughy</x:v>
      </x:c>
      <x:c r="G24" s="46" t="str">
        <x:v>Medium bathypelagics (30 - 89 cm)</x:v>
      </x:c>
      <x:c r="H24" s="46" t="str">
        <x:v>Other fishes &amp; inverts</x:v>
      </x:c>
      <x:c r="I24" s="60" t="n">
        <x:v>233.4569975858</x:v>
      </x:c>
      <x:c r="J24" s="60" t="n">
        <x:v>229.7626038678</x:v>
      </x:c>
      <x:c r="K24" s="60" t="n">
        <x:v>3.694393718</x:v>
      </x:c>
      <x:c r="L24" s="60" t="n">
        <x:v>229.7626038678</x:v>
      </x:c>
      <x:c r="M24" s="60" t="n">
        <x:v>3.694393718</x:v>
      </x:c>
      <x:c r="N24" s="46" t="str">
        <x:v>hoplostethus atlanticus</x:v>
      </x:c>
      <x:c r="O24" s="62" t="n">
        <x:v>4.25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Hoplostethus atlanticus</x:v>
      </x:c>
      <x:c r="T24" s="62" t="n">
        <x:f>IF(O24="","",(1/'Metadata'!$B$5)^(O24-1))</x:f>
        <x:v>1778.2794100389228</x:v>
      </x:c>
      <x:c r="U24" s="60" t="n">
        <x:f>IF(T24="","",I24*T24)</x:f>
        <x:v>415151.77193633467</x:v>
      </x:c>
    </x:row>
    <x:row r="25" ht="18" customHeight="1">
      <x:c r="A25" s="46" t="str">
        <x:v>LME_042</x:v>
      </x:c>
      <x:c r="B25" s="46" t="str">
        <x:v>Southeast Australian Shelf</x:v>
      </x:c>
      <x:c r="C25" s="46" t="str">
        <x:v>LME</x:v>
      </x:c>
      <x:c r="D25" s="58" t="n">
        <x:v>2019</x:v>
      </x:c>
      <x:c r="E25" s="46" t="str">
        <x:v>Mugilidae</x:v>
      </x:c>
      <x:c r="F25" s="46" t="str">
        <x:v>Mullets, grey mullets</x:v>
      </x:c>
      <x:c r="G25" s="46" t="str">
        <x:v>Medium reef assoc. fish (30 - 89 cm)</x:v>
      </x:c>
      <x:c r="H25" s="46" t="str">
        <x:v>Perch-likes</x:v>
      </x:c>
      <x:c r="I25" s="60" t="n">
        <x:v>224.9164106828</x:v>
      </x:c>
      <x:c r="J25" s="60" t="n">
        <x:v>224.9164106828</x:v>
      </x:c>
      <x:c r="K25" s="60" t="n">
        <x:v>0</x:v>
      </x:c>
      <x:c r="L25" s="60" t="n">
        <x:v>162.4017708023</x:v>
      </x:c>
      <x:c r="M25" s="60" t="n">
        <x:v>62.5146398805</x:v>
      </x:c>
      <x:c r="N25" s="46" t="str">
        <x:v>mugilidae</x:v>
      </x:c>
      <x:c r="O25" s="62" t="n">
        <x:v>2.53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Mugilidae</x:v>
      </x:c>
      <x:c r="T25" s="62" t="n">
        <x:f>IF(O25="","",(1/'Metadata'!$B$5)^(O25-1))</x:f>
        <x:v>33.88441561392024</x:v>
      </x:c>
      <x:c r="U25" s="60" t="n">
        <x:f>IF(T25="","",I25*T25)</x:f>
        <x:v>7621.161137967166</x:v>
      </x:c>
    </x:row>
    <x:row r="26" ht="18" customHeight="1">
      <x:c r="A26" s="46" t="str">
        <x:v>LME_042</x:v>
      </x:c>
      <x:c r="B26" s="46" t="str">
        <x:v>Southeast Australian Shelf</x:v>
      </x:c>
      <x:c r="C26" s="46" t="str">
        <x:v>LME</x:v>
      </x:c>
      <x:c r="D26" s="58" t="n">
        <x:v>2019</x:v>
      </x:c>
      <x:c r="E26" s="46" t="str">
        <x:v>Triglidae</x:v>
      </x:c>
      <x:c r="F26" s="46" t="str">
        <x:v>Searobins, gurnards</x:v>
      </x:c>
      <x:c r="G26" s="46" t="str">
        <x:v>Medium demersals (30 - 89 cm)</x:v>
      </x:c>
      <x:c r="H26" s="46" t="str">
        <x:v>Scorpionfishes</x:v>
      </x:c>
      <x:c r="I26" s="60" t="n">
        <x:v>210.59390014860003</x:v>
      </x:c>
      <x:c r="J26" s="60" t="n">
        <x:v>11.3525503579</x:v>
      </x:c>
      <x:c r="K26" s="60" t="n">
        <x:v>199.2413497907</x:v>
      </x:c>
      <x:c r="L26" s="60" t="n">
        <x:v>3.9141985283</x:v>
      </x:c>
      <x:c r="M26" s="60" t="n">
        <x:v>206.67970162030002</x:v>
      </x:c>
      <x:c r="N26" s="46" t="str">
        <x:v>triglidae</x:v>
      </x:c>
      <x:c r="O26" s="62" t="n">
        <x:v>3.74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Triglidae</x:v>
      </x:c>
      <x:c r="T26" s="62" t="n">
        <x:f>IF(O26="","",(1/'Metadata'!$B$5)^(O26-1))</x:f>
        <x:v>549.5408738576248</x:v>
      </x:c>
      <x:c r="U26" s="60" t="n">
        <x:f>IF(T26="","",I26*T26)</x:f>
        <x:v>115729.95591674703</x:v>
      </x:c>
    </x:row>
    <x:row r="27" ht="18" customHeight="1">
      <x:c r="A27" s="46" t="str">
        <x:v>LME_042</x:v>
      </x:c>
      <x:c r="B27" s="46" t="str">
        <x:v>Southeast Australian Shelf</x:v>
      </x:c>
      <x:c r="C27" s="46" t="str">
        <x:v>LME</x:v>
      </x:c>
      <x:c r="D27" s="58" t="n">
        <x:v>2019</x:v>
      </x:c>
      <x:c r="E27" s="46" t="str">
        <x:v>Scombridae</x:v>
      </x:c>
      <x:c r="F27" s="46" t="str">
        <x:v>Mackerels, tunas, bonitos</x:v>
      </x:c>
      <x:c r="G27" s="46" t="str">
        <x:v>Medium pelagics (30 - 89 cm)</x:v>
      </x:c>
      <x:c r="H27" s="46" t="str">
        <x:v>Perch-likes</x:v>
      </x:c>
      <x:c r="I27" s="60" t="n">
        <x:v>210.2650836597</x:v>
      </x:c>
      <x:c r="J27" s="60" t="n">
        <x:v>207.33152874569998</x:v>
      </x:c>
      <x:c r="K27" s="60" t="n">
        <x:v>2.933554914</x:v>
      </x:c>
      <x:c r="L27" s="60" t="n">
        <x:v>129.7141894405</x:v>
      </x:c>
      <x:c r="M27" s="60" t="n">
        <x:v>80.5508942192</x:v>
      </x:c>
      <x:c r="N27" s="46" t="str">
        <x:v>scombridae</x:v>
      </x:c>
      <x:c r="O27" s="62" t="n">
        <x:v>4.26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Scombridae</x:v>
      </x:c>
      <x:c r="T27" s="62" t="n">
        <x:f>IF(O27="","",(1/'Metadata'!$B$5)^(O27-1))</x:f>
        <x:v>1819.7008586099826</x:v>
      </x:c>
      <x:c r="U27" s="60" t="n">
        <x:f>IF(T27="","",I27*T27)</x:f>
        <x:v>382619.5532712559</x:v>
      </x:c>
    </x:row>
    <x:row r="28" ht="18" customHeight="1">
      <x:c r="A28" s="46" t="str">
        <x:v>LME_042</x:v>
      </x:c>
      <x:c r="B28" s="46" t="str">
        <x:v>Southeast Australian Shelf</x:v>
      </x:c>
      <x:c r="C28" s="46" t="str">
        <x:v>LME</x:v>
      </x:c>
      <x:c r="D28" s="58" t="n">
        <x:v>2019</x:v>
      </x:c>
      <x:c r="E28" s="46" t="str">
        <x:v>Emmelichthys nitidus</x:v>
      </x:c>
      <x:c r="F28" s="46" t="str">
        <x:v>Cape bonnetmouth</x:v>
      </x:c>
      <x:c r="G28" s="46" t="str">
        <x:v>Medium bathydemersals (30 - 89 cm)</x:v>
      </x:c>
      <x:c r="H28" s="46" t="str">
        <x:v>Perch-likes</x:v>
      </x:c>
      <x:c r="I28" s="60" t="n">
        <x:v>208.5625698583</x:v>
      </x:c>
      <x:c r="J28" s="60" t="n">
        <x:v>208.5625698583</x:v>
      </x:c>
      <x:c r="K28" s="60" t="n">
        <x:v>0</x:v>
      </x:c>
      <x:c r="L28" s="60" t="n">
        <x:v>208.5625698583</x:v>
      </x:c>
      <x:c r="M28" s="60" t="n">
        <x:v>0</x:v>
      </x:c>
      <x:c r="N28" s="46" t="str">
        <x:v>emmelichthys nitidus</x:v>
      </x:c>
      <x:c r="O28" s="62" t="n">
        <x:v>3.61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Emmelichthys nitidus</x:v>
      </x:c>
      <x:c r="T28" s="62" t="n">
        <x:f>IF(O28="","",(1/'Metadata'!$B$5)^(O28-1))</x:f>
        <x:v>407.3802778041126</x:v>
      </x:c>
      <x:c r="U28" s="60" t="n">
        <x:f>IF(T28="","",I28*T28)</x:f>
        <x:v>84964.2776484139</x:v>
      </x:c>
    </x:row>
    <x:row r="29" ht="18" customHeight="1">
      <x:c r="A29" s="46" t="str">
        <x:v>LME_042</x:v>
      </x:c>
      <x:c r="B29" s="46" t="str">
        <x:v>Southeast Australian Shelf</x:v>
      </x:c>
      <x:c r="C29" s="46" t="str">
        <x:v>LME</x:v>
      </x:c>
      <x:c r="D29" s="58" t="n">
        <x:v>2019</x:v>
      </x:c>
      <x:c r="E29" s="46" t="str">
        <x:v>Haliotis</x:v>
      </x:c>
      <x:c r="F29" s="46" t="str">
        <x:v>Abalones</x:v>
      </x:c>
      <x:c r="G29" s="46" t="str">
        <x:v>Other demersal invertebrates</x:v>
      </x:c>
      <x:c r="H29" s="46" t="str">
        <x:v>Molluscs</x:v>
      </x:c>
      <x:c r="I29" s="60" t="n">
        <x:v>202.8360931806</x:v>
      </x:c>
      <x:c r="J29" s="60" t="n">
        <x:v>202.8360931806</x:v>
      </x:c>
      <x:c r="K29" s="60" t="n">
        <x:v>0</x:v>
      </x:c>
      <x:c r="L29" s="60" t="n">
        <x:v>201.4749717418</x:v>
      </x:c>
      <x:c r="M29" s="60" t="n">
        <x:v>1.3611214388</x:v>
      </x:c>
      <x:c r="N29" s="46" t="str">
        <x:v>haliotis</x:v>
      </x:c>
      <x:c r="O29" s="62" t="n">
        <x:v>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Haliotis</x:v>
      </x:c>
      <x:c r="T29" s="62" t="n">
        <x:f>IF(O29="","",(1/'Metadata'!$B$5)^(O29-1))</x:f>
        <x:v>10</x:v>
      </x:c>
      <x:c r="U29" s="60" t="n">
        <x:f>IF(T29="","",I29*T29)</x:f>
        <x:v>2028.3609318059998</x:v>
      </x:c>
    </x:row>
    <x:row r="30" ht="18" customHeight="1">
      <x:c r="A30" s="46" t="str">
        <x:v>LME_042</x:v>
      </x:c>
      <x:c r="B30" s="46" t="str">
        <x:v>Southeast Australian Shelf</x:v>
      </x:c>
      <x:c r="C30" s="46" t="str">
        <x:v>LME</x:v>
      </x:c>
      <x:c r="D30" s="58" t="n">
        <x:v>2019</x:v>
      </x:c>
      <x:c r="E30" s="46" t="str">
        <x:v>Penaeidae</x:v>
      </x:c>
      <x:c r="F30" s="46" t="str">
        <x:v>Commercial shrimps and prawns</x:v>
      </x:c>
      <x:c r="G30" s="46" t="str">
        <x:v>Shrimps</x:v>
      </x:c>
      <x:c r="H30" s="46" t="str">
        <x:v>Crustaceans</x:v>
      </x:c>
      <x:c r="I30" s="60" t="n">
        <x:v>202.20700981550002</x:v>
      </x:c>
      <x:c r="J30" s="60" t="n">
        <x:v>201.94082050900002</x:v>
      </x:c>
      <x:c r="K30" s="60" t="n">
        <x:v>0.2661893065</x:v>
      </x:c>
      <x:c r="L30" s="60" t="n">
        <x:v>193.37298283770002</x:v>
      </x:c>
      <x:c r="M30" s="60" t="n">
        <x:v>8.8340269778</x:v>
      </x:c>
      <x:c r="N30" s="46" t="str">
        <x:v>penaeidae</x:v>
      </x:c>
      <x:c r="O30" s="62" t="n">
        <x:v>3.31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Penaeidae</x:v>
      </x:c>
      <x:c r="T30" s="62" t="n">
        <x:f>IF(O30="","",(1/'Metadata'!$B$5)^(O30-1))</x:f>
        <x:v>204.17379446695296</x:v>
      </x:c>
      <x:c r="U30" s="60" t="n">
        <x:f>IF(T30="","",I30*T30)</x:f>
        <x:v>41285.37246184704</x:v>
      </x:c>
    </x:row>
    <x:row r="31" ht="18" customHeight="1">
      <x:c r="A31" s="46" t="str">
        <x:v>LME_042</x:v>
      </x:c>
      <x:c r="B31" s="46" t="str">
        <x:v>Southeast Australian Shelf</x:v>
      </x:c>
      <x:c r="C31" s="46" t="str">
        <x:v>LME</x:v>
      </x:c>
      <x:c r="D31" s="58" t="n">
        <x:v>2019</x:v>
      </x:c>
      <x:c r="E31" s="46" t="str">
        <x:v>Seriolella brama</x:v>
      </x:c>
      <x:c r="F31" s="46" t="str">
        <x:v>Common warehou</x:v>
      </x:c>
      <x:c r="G31" s="46" t="str">
        <x:v>Medium benthopelagics (30 - 89 cm)</x:v>
      </x:c>
      <x:c r="H31" s="46" t="str">
        <x:v>Perch-likes</x:v>
      </x:c>
      <x:c r="I31" s="60" t="n">
        <x:v>193.3386976745</x:v>
      </x:c>
      <x:c r="J31" s="60" t="n">
        <x:v>87.135871266</x:v>
      </x:c>
      <x:c r="K31" s="60" t="n">
        <x:v>106.2028264085</x:v>
      </x:c>
      <x:c r="L31" s="60" t="n">
        <x:v>87.135871266</x:v>
      </x:c>
      <x:c r="M31" s="60" t="n">
        <x:v>106.2028264085</x:v>
      </x:c>
      <x:c r="N31" s="46" t="str">
        <x:v>seriolella brama</x:v>
      </x:c>
      <x:c r="O31" s="62" t="n">
        <x:v>3.28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Seriolella brama</x:v>
      </x:c>
      <x:c r="T31" s="62" t="n">
        <x:f>IF(O31="","",(1/'Metadata'!$B$5)^(O31-1))</x:f>
        <x:v>190.54607179632464</x:v>
      </x:c>
      <x:c r="U31" s="60" t="n">
        <x:f>IF(T31="","",I31*T31)</x:f>
        <x:v>36839.92936809318</x:v>
      </x:c>
    </x:row>
    <x:row r="32" ht="18" customHeight="1">
      <x:c r="A32" s="46" t="str">
        <x:v>LME_042</x:v>
      </x:c>
      <x:c r="B32" s="46" t="str">
        <x:v>Southeast Australian Shelf</x:v>
      </x:c>
      <x:c r="C32" s="46" t="str">
        <x:v>LME</x:v>
      </x:c>
      <x:c r="D32" s="58" t="n">
        <x:v>2019</x:v>
      </x:c>
      <x:c r="E32" s="46" t="str">
        <x:v>Cephalopoda</x:v>
      </x:c>
      <x:c r="F32" s="46" t="str">
        <x:v>Squids, cuttlefishes, octopuses</x:v>
      </x:c>
      <x:c r="G32" s="46" t="str">
        <x:v>Cephalopods</x:v>
      </x:c>
      <x:c r="H32" s="46" t="str">
        <x:v>Other fishes &amp; inverts</x:v>
      </x:c>
      <x:c r="I32" s="60" t="n">
        <x:v>177.1183831186</x:v>
      </x:c>
      <x:c r="J32" s="60" t="n">
        <x:v>177.1183831186</x:v>
      </x:c>
      <x:c r="K32" s="60" t="n">
        <x:v>0</x:v>
      </x:c>
      <x:c r="L32" s="60" t="n">
        <x:v>55.2756491298</x:v>
      </x:c>
      <x:c r="M32" s="60" t="n">
        <x:v>121.8427339888</x:v>
      </x:c>
      <x:c r="N32" s="46" t="str">
        <x:v>cephalopoda</x:v>
      </x:c>
      <x:c r="O32" s="62" t="n">
        <x:v>3.81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Cephalopoda</x:v>
      </x:c>
      <x:c r="T32" s="62" t="n">
        <x:f>IF(O32="","",(1/'Metadata'!$B$5)^(O32-1))</x:f>
        <x:v>645.6542290346556</x:v>
      </x:c>
      <x:c r="U32" s="60" t="n">
        <x:f>IF(T32="","",I32*T32)</x:f>
        <x:v>114357.23310030445</x:v>
      </x:c>
    </x:row>
    <x:row r="33" ht="18" customHeight="1">
      <x:c r="A33" s="46" t="str">
        <x:v>LME_042</x:v>
      </x:c>
      <x:c r="B33" s="46" t="str">
        <x:v>Southeast Australian Shelf</x:v>
      </x:c>
      <x:c r="C33" s="46" t="str">
        <x:v>LME</x:v>
      </x:c>
      <x:c r="D33" s="58" t="n">
        <x:v>2019</x:v>
      </x:c>
      <x:c r="E33" s="46" t="str">
        <x:v>Donax</x:v>
      </x:c>
      <x:c r="F33" s="46" t="str">
        <x:v>Bean clams</x:v>
      </x:c>
      <x:c r="G33" s="46" t="str">
        <x:v>Other demersal invertebrates</x:v>
      </x:c>
      <x:c r="H33" s="46" t="str">
        <x:v>Molluscs</x:v>
      </x:c>
      <x:c r="I33" s="60" t="n">
        <x:v>152.30812344219999</x:v>
      </x:c>
      <x:c r="J33" s="60" t="n">
        <x:v>152.30812344219999</x:v>
      </x:c>
      <x:c r="K33" s="60" t="n">
        <x:v>0</x:v>
      </x:c>
      <x:c r="L33" s="60" t="n">
        <x:v>144.11016814369998</x:v>
      </x:c>
      <x:c r="M33" s="60" t="n">
        <x:v>8.1979552985</x:v>
      </x:c>
      <x:c r="N33" s="46" t="str">
        <x:v>donax</x:v>
      </x:c>
      <x:c r="O33" s="62" t="n">
        <x:v>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Donax</x:v>
      </x:c>
      <x:c r="T33" s="62" t="n">
        <x:f>IF(O33="","",(1/'Metadata'!$B$5)^(O33-1))</x:f>
        <x:v>10</x:v>
      </x:c>
      <x:c r="U33" s="60" t="n">
        <x:f>IF(T33="","",I33*T33)</x:f>
        <x:v>1523.0812344219999</x:v>
      </x:c>
    </x:row>
    <x:row r="34" ht="18" customHeight="1">
      <x:c r="A34" s="46" t="str">
        <x:v>LME_042</x:v>
      </x:c>
      <x:c r="B34" s="46" t="str">
        <x:v>Southeast Australian Shelf</x:v>
      </x:c>
      <x:c r="C34" s="46" t="str">
        <x:v>LME</x:v>
      </x:c>
      <x:c r="D34" s="58" t="n">
        <x:v>2019</x:v>
      </x:c>
      <x:c r="E34" s="46" t="str">
        <x:v>Hyperoglyphe antarctica</x:v>
      </x:c>
      <x:c r="F34" s="46" t="str">
        <x:v>Bluenose warehou</x:v>
      </x:c>
      <x:c r="G34" s="46" t="str">
        <x:v>Large benthopelagics (&gt;=90 cm)</x:v>
      </x:c>
      <x:c r="H34" s="46" t="str">
        <x:v>Perch-likes</x:v>
      </x:c>
      <x:c r="I34" s="60" t="n">
        <x:v>145.9771817043</x:v>
      </x:c>
      <x:c r="J34" s="60" t="n">
        <x:v>145.8093756739</x:v>
      </x:c>
      <x:c r="K34" s="60" t="n">
        <x:v>0.1678060304</x:v>
      </x:c>
      <x:c r="L34" s="60" t="n">
        <x:v>144.9819983376</x:v>
      </x:c>
      <x:c r="M34" s="60" t="n">
        <x:v>0.9951833667</x:v>
      </x:c>
      <x:c r="N34" s="46" t="str">
        <x:v>hyperoglyphe antarctica</x:v>
      </x:c>
      <x:c r="O34" s="62" t="n">
        <x:v>3.95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Hyperoglyphe antarctica</x:v>
      </x:c>
      <x:c r="T34" s="62" t="n">
        <x:f>IF(O34="","",(1/'Metadata'!$B$5)^(O34-1))</x:f>
        <x:v>891.2509381337459</x:v>
      </x:c>
      <x:c r="U34" s="60" t="n">
        <x:f>IF(T34="","",I34*T34)</x:f>
        <x:v>130102.30014007766</x:v>
      </x:c>
    </x:row>
    <x:row r="35" ht="18" customHeight="1">
      <x:c r="A35" s="46" t="str">
        <x:v>LME_042</x:v>
      </x:c>
      <x:c r="B35" s="46" t="str">
        <x:v>Southeast Australian Shelf</x:v>
      </x:c>
      <x:c r="C35" s="46" t="str">
        <x:v>LME</x:v>
      </x:c>
      <x:c r="D35" s="58" t="n">
        <x:v>2019</x:v>
      </x:c>
      <x:c r="E35" s="46" t="str">
        <x:v>Hemiramphidae</x:v>
      </x:c>
      <x:c r="F35" s="46" t="str">
        <x:v>Halfbeaks, garfishes</x:v>
      </x:c>
      <x:c r="G35" s="46" t="str">
        <x:v>Medium pelagics (30 - 89 cm)</x:v>
      </x:c>
      <x:c r="H35" s="46" t="str">
        <x:v>Other fishes &amp; inverts</x:v>
      </x:c>
      <x:c r="I35" s="60" t="n">
        <x:v>142.1087622422</x:v>
      </x:c>
      <x:c r="J35" s="60" t="n">
        <x:v>142.1087622422</x:v>
      </x:c>
      <x:c r="K35" s="60" t="n">
        <x:v>0</x:v>
      </x:c>
      <x:c r="L35" s="60" t="n">
        <x:v>101.5905456381</x:v>
      </x:c>
      <x:c r="M35" s="60" t="n">
        <x:v>40.5182166041</x:v>
      </x:c>
      <x:c r="N35" s="46" t="str">
        <x:v>hemiramphidae</x:v>
      </x:c>
      <x:c r="O35" s="62" t="n">
        <x:v>2.82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Hemiramphidae</x:v>
      </x:c>
      <x:c r="T35" s="62" t="n">
        <x:f>IF(O35="","",(1/'Metadata'!$B$5)^(O35-1))</x:f>
        <x:v>66.06934480075958</x:v>
      </x:c>
      <x:c r="U35" s="60" t="n">
        <x:f>IF(T35="","",I35*T35)</x:f>
        <x:v>9389.032811789075</x:v>
      </x:c>
    </x:row>
    <x:row r="36" ht="18" customHeight="1">
      <x:c r="A36" s="46" t="str">
        <x:v>LME_042</x:v>
      </x:c>
      <x:c r="B36" s="46" t="str">
        <x:v>Southeast Australian Shelf</x:v>
      </x:c>
      <x:c r="C36" s="46" t="str">
        <x:v>LME</x:v>
      </x:c>
      <x:c r="D36" s="58" t="n">
        <x:v>2019</x:v>
      </x:c>
      <x:c r="E36" s="46" t="str">
        <x:v>Lepidorhynchus denticulatus</x:v>
      </x:c>
      <x:c r="F36" s="46" t="str">
        <x:v>Thorntooth grenadier</x:v>
      </x:c>
      <x:c r="G36" s="46" t="str">
        <x:v>Medium bathypelagics (30 - 89 cm)</x:v>
      </x:c>
      <x:c r="H36" s="46" t="str">
        <x:v>Cod-likes</x:v>
      </x:c>
      <x:c r="I36" s="60" t="n">
        <x:v>135.7378313155</x:v>
      </x:c>
      <x:c r="J36" s="60" t="n">
        <x:v>2.4607336538</x:v>
      </x:c>
      <x:c r="K36" s="60" t="n">
        <x:v>133.2770976617</x:v>
      </x:c>
      <x:c r="L36" s="60" t="n">
        <x:v>2.4607336538</x:v>
      </x:c>
      <x:c r="M36" s="60" t="n">
        <x:v>133.2770976617</x:v>
      </x:c>
      <x:c r="N36" s="46" t="str">
        <x:v>lepidorhynchus denticulatus</x:v>
      </x:c>
      <x:c r="O36" s="62" t="n">
        <x:v>3.88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Lepidorhynchus denticulatus</x:v>
      </x:c>
      <x:c r="T36" s="62" t="n">
        <x:f>IF(O36="","",(1/'Metadata'!$B$5)^(O36-1))</x:f>
        <x:v>758.5775750291835</x:v>
      </x:c>
      <x:c r="U36" s="60" t="n">
        <x:f>IF(T36="","",I36*T36)</x:f>
        <x:v>102967.67491903235</x:v>
      </x:c>
    </x:row>
    <x:row r="37" ht="18" customHeight="1">
      <x:c r="A37" s="46" t="str">
        <x:v>LME_042</x:v>
      </x:c>
      <x:c r="B37" s="46" t="str">
        <x:v>Southeast Australian Shelf</x:v>
      </x:c>
      <x:c r="C37" s="46" t="str">
        <x:v>LME</x:v>
      </x:c>
      <x:c r="D37" s="58" t="n">
        <x:v>2019</x:v>
      </x:c>
      <x:c r="E37" s="46" t="str">
        <x:v>Monacanthidae</x:v>
      </x:c>
      <x:c r="F37" s="46" t="str">
        <x:v>Filefishes</x:v>
      </x:c>
      <x:c r="G37" s="46" t="str">
        <x:v>Medium reef assoc. fish (30 - 89 cm)</x:v>
      </x:c>
      <x:c r="H37" s="46" t="str">
        <x:v>Other fishes &amp; inverts</x:v>
      </x:c>
      <x:c r="I37" s="60" t="n">
        <x:v>130.550753013</x:v>
      </x:c>
      <x:c r="J37" s="60" t="n">
        <x:v>93.2366464058</x:v>
      </x:c>
      <x:c r="K37" s="60" t="n">
        <x:v>37.3141066072</x:v>
      </x:c>
      <x:c r="L37" s="60" t="n">
        <x:v>71.4002061966</x:v>
      </x:c>
      <x:c r="M37" s="60" t="n">
        <x:v>59.1505468164</x:v>
      </x:c>
      <x:c r="N37" s="46" t="str">
        <x:v>monacanthidae</x:v>
      </x:c>
      <x:c r="O37" s="62" t="n">
        <x:v>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Monacanthidae</x:v>
      </x:c>
      <x:c r="T37" s="62" t="n">
        <x:f>IF(O37="","",(1/'Metadata'!$B$5)^(O37-1))</x:f>
        <x:v>100</x:v>
      </x:c>
      <x:c r="U37" s="60" t="n">
        <x:f>IF(T37="","",I37*T37)</x:f>
        <x:v>13055.0753013</x:v>
      </x:c>
    </x:row>
    <x:row r="38" ht="18" customHeight="1">
      <x:c r="A38" s="46" t="str">
        <x:v>LME_042</x:v>
      </x:c>
      <x:c r="B38" s="46" t="str">
        <x:v>Southeast Australian Shelf</x:v>
      </x:c>
      <x:c r="C38" s="46" t="str">
        <x:v>LME</x:v>
      </x:c>
      <x:c r="D38" s="58" t="n">
        <x:v>2019</x:v>
      </x:c>
      <x:c r="E38" s="46" t="str">
        <x:v>Berycidae</x:v>
      </x:c>
      <x:c r="F38" s="46" t="str">
        <x:v>Alfonsinos, redfishes</x:v>
      </x:c>
      <x:c r="G38" s="46" t="str">
        <x:v>Medium benthopelagics (30 - 89 cm)</x:v>
      </x:c>
      <x:c r="H38" s="46" t="str">
        <x:v>Other fishes &amp; inverts</x:v>
      </x:c>
      <x:c r="I38" s="60" t="n">
        <x:v>128.3218738813</x:v>
      </x:c>
      <x:c r="J38" s="60" t="n">
        <x:v>128.3218738813</x:v>
      </x:c>
      <x:c r="K38" s="60" t="n">
        <x:v>0</x:v>
      </x:c>
      <x:c r="L38" s="60" t="n">
        <x:v>85.8959199048</x:v>
      </x:c>
      <x:c r="M38" s="60" t="n">
        <x:v>42.4259539765</x:v>
      </x:c>
      <x:c r="N38" s="46" t="str">
        <x:v>berycidae</x:v>
      </x:c>
      <x:c r="O38" s="62" t="n">
        <x:v>3.99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Berycidae</x:v>
      </x:c>
      <x:c r="T38" s="62" t="n">
        <x:f>IF(O38="","",(1/'Metadata'!$B$5)^(O38-1))</x:f>
        <x:v>977.2372209558112</x:v>
      </x:c>
      <x:c r="U38" s="60" t="n">
        <x:f>IF(T38="","",I38*T38)</x:f>
        <x:v>125400.91141960371</x:v>
      </x:c>
    </x:row>
    <x:row r="39" ht="18" customHeight="1">
      <x:c r="A39" s="46" t="str">
        <x:v>LME_042</x:v>
      </x:c>
      <x:c r="B39" s="46" t="str">
        <x:v>Southeast Australian Shelf</x:v>
      </x:c>
      <x:c r="C39" s="46" t="str">
        <x:v>LME</x:v>
      </x:c>
      <x:c r="D39" s="58" t="n">
        <x:v>2019</x:v>
      </x:c>
      <x:c r="E39" s="46" t="str">
        <x:v>Teuthida</x:v>
      </x:c>
      <x:c r="F39" s="46" t="str">
        <x:v>Squids</x:v>
      </x:c>
      <x:c r="G39" s="46" t="str">
        <x:v>Cephalopods</x:v>
      </x:c>
      <x:c r="H39" s="46" t="str">
        <x:v>Other fishes &amp; inverts</x:v>
      </x:c>
      <x:c r="I39" s="60" t="n">
        <x:v>124.4776840883</x:v>
      </x:c>
      <x:c r="J39" s="60" t="n">
        <x:v>124.4776840883</x:v>
      </x:c>
      <x:c r="K39" s="60" t="n">
        <x:v>0</x:v>
      </x:c>
      <x:c r="L39" s="60" t="n">
        <x:v>51.8645560211</x:v>
      </x:c>
      <x:c r="M39" s="60" t="n">
        <x:v>72.6131280672</x:v>
      </x:c>
      <x:c r="N39" s="46" t="str">
        <x:v>teuthida</x:v>
      </x:c>
      <x:c r="O39" s="62" t="n">
        <x:v>4.13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Teuthida</x:v>
      </x:c>
      <x:c r="T39" s="62" t="n">
        <x:f>IF(O39="","",(1/'Metadata'!$B$5)^(O39-1))</x:f>
        <x:v>1348.9628825916532</x:v>
      </x:c>
      <x:c r="U39" s="60" t="n">
        <x:f>IF(T39="","",I39*T39)</x:f>
        <x:v>167915.7755460863</x:v>
      </x:c>
    </x:row>
    <x:row r="40" ht="18" customHeight="1">
      <x:c r="A40" s="46" t="str">
        <x:v>LME_042</x:v>
      </x:c>
      <x:c r="B40" s="46" t="str">
        <x:v>Southeast Australian Shelf</x:v>
      </x:c>
      <x:c r="C40" s="46" t="str">
        <x:v>LME</x:v>
      </x:c>
      <x:c r="D40" s="58" t="n">
        <x:v>2019</x:v>
      </x:c>
      <x:c r="E40" s="46" t="str">
        <x:v>Haliporoides sibogae</x:v>
      </x:c>
      <x:c r="F40" s="46" t="str">
        <x:v>Jackknife shrimp</x:v>
      </x:c>
      <x:c r="G40" s="46" t="str">
        <x:v>Shrimps</x:v>
      </x:c>
      <x:c r="H40" s="46" t="str">
        <x:v>Crustaceans</x:v>
      </x:c>
      <x:c r="I40" s="60" t="n">
        <x:v>122.5917030074</x:v>
      </x:c>
      <x:c r="J40" s="60" t="n">
        <x:v>109.4846017876</x:v>
      </x:c>
      <x:c r="K40" s="60" t="n">
        <x:v>13.1071012198</x:v>
      </x:c>
      <x:c r="L40" s="60" t="n">
        <x:v>109.4846017876</x:v>
      </x:c>
      <x:c r="M40" s="60" t="n">
        <x:v>13.1071012198</x:v>
      </x:c>
      <x:c r="N40" s="46" t="str">
        <x:v>haliporoides sibogae</x:v>
      </x:c>
      <x:c r="O40" s="62" t="n">
        <x:v>3.65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Haliporoides sibogae</x:v>
      </x:c>
      <x:c r="T40" s="62" t="n">
        <x:f>IF(O40="","",(1/'Metadata'!$B$5)^(O40-1))</x:f>
        <x:v>446.683592150963</x:v>
      </x:c>
      <x:c r="U40" s="60" t="n">
        <x:f>IF(T40="","",I40*T40)</x:f>
        <x:v>54759.70226724945</x:v>
      </x:c>
    </x:row>
    <x:row r="41" ht="18" customHeight="1">
      <x:c r="A41" s="46" t="str">
        <x:v>LME_042</x:v>
      </x:c>
      <x:c r="B41" s="46" t="str">
        <x:v>Southeast Australian Shelf</x:v>
      </x:c>
      <x:c r="C41" s="46" t="str">
        <x:v>LME</x:v>
      </x:c>
      <x:c r="D41" s="58" t="n">
        <x:v>2019</x:v>
      </x:c>
      <x:c r="E41" s="46" t="str">
        <x:v>Scorpaeniformes</x:v>
      </x:c>
      <x:c r="F41" s="46" t="str">
        <x:v>Scorpionfishes, flatheads</x:v>
      </x:c>
      <x:c r="G41" s="46" t="str">
        <x:v>Medium demersals (30 - 89 cm)</x:v>
      </x:c>
      <x:c r="H41" s="46" t="str">
        <x:v>Scorpionfishes</x:v>
      </x:c>
      <x:c r="I41" s="60" t="n">
        <x:v>116.50708661329999</x:v>
      </x:c>
      <x:c r="J41" s="60" t="n">
        <x:v>112.83727967259999</x:v>
      </x:c>
      <x:c r="K41" s="60" t="n">
        <x:v>3.6698069407</x:v>
      </x:c>
      <x:c r="L41" s="60" t="n">
        <x:v>111.9623335498</x:v>
      </x:c>
      <x:c r="M41" s="60" t="n">
        <x:v>4.5447530635</x:v>
      </x:c>
      <x:c r="N41" s="46" t="str">
        <x:v>scorpaeniformes</x:v>
      </x:c>
      <x:c r="O41" s="62" t="n">
        <x:v>3.78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Scorpaeniformes</x:v>
      </x:c>
      <x:c r="T41" s="62" t="n">
        <x:f>IF(O41="","",(1/'Metadata'!$B$5)^(O41-1))</x:f>
        <x:v>602.5595860743575</x:v>
      </x:c>
      <x:c r="U41" s="60" t="n">
        <x:f>IF(T41="","",I41*T41)</x:f>
        <x:v>70202.46188443936</x:v>
      </x:c>
    </x:row>
    <x:row r="42" ht="18" customHeight="1">
      <x:c r="A42" s="46" t="str">
        <x:v>LME_042</x:v>
      </x:c>
      <x:c r="B42" s="46" t="str">
        <x:v>Southeast Australian Shelf</x:v>
      </x:c>
      <x:c r="C42" s="46" t="str">
        <x:v>LME</x:v>
      </x:c>
      <x:c r="D42" s="58" t="n">
        <x:v>2019</x:v>
      </x:c>
      <x:c r="E42" s="46" t="str">
        <x:v>Cyttus traversi</x:v>
      </x:c>
      <x:c r="F42" s="46" t="str">
        <x:v>King dory</x:v>
      </x:c>
      <x:c r="G42" s="46" t="str">
        <x:v>Medium bathydemersals (30 - 89 cm)</x:v>
      </x:c>
      <x:c r="H42" s="46" t="str">
        <x:v>Other fishes &amp; inverts</x:v>
      </x:c>
      <x:c r="I42" s="60" t="n">
        <x:v>115.4503886622</x:v>
      </x:c>
      <x:c r="J42" s="60" t="n">
        <x:v>115.4503886622</x:v>
      </x:c>
      <x:c r="K42" s="60" t="n">
        <x:v>0</x:v>
      </x:c>
      <x:c r="L42" s="60" t="n">
        <x:v>115.4503886622</x:v>
      </x:c>
      <x:c r="M42" s="60" t="n">
        <x:v>0</x:v>
      </x:c>
      <x:c r="N42" s="46" t="str">
        <x:v>cyttus traversi</x:v>
      </x:c>
      <x:c r="O42" s="62" t="n">
        <x:v>4.25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Cyttus traversi</x:v>
      </x:c>
      <x:c r="T42" s="62" t="n">
        <x:f>IF(O42="","",(1/'Metadata'!$B$5)^(O42-1))</x:f>
        <x:v>1778.2794100389228</x:v>
      </x:c>
      <x:c r="U42" s="60" t="n">
        <x:f>IF(T42="","",I42*T42)</x:f>
        <x:v>205303.04903898135</x:v>
      </x:c>
    </x:row>
    <x:row r="43" ht="18" customHeight="1">
      <x:c r="A43" s="46" t="str">
        <x:v>LME_042</x:v>
      </x:c>
      <x:c r="B43" s="46" t="str">
        <x:v>Southeast Australian Shelf</x:v>
      </x:c>
      <x:c r="C43" s="46" t="str">
        <x:v>LME</x:v>
      </x:c>
      <x:c r="D43" s="58" t="n">
        <x:v>2019</x:v>
      </x:c>
      <x:c r="E43" s="46" t="str">
        <x:v>Nemadactylus</x:v>
      </x:c>
      <x:c r="F43" s="46" t="str">
        <x:v>Porae</x:v>
      </x:c>
      <x:c r="G43" s="46" t="str">
        <x:v>Medium demersals (30 - 89 cm)</x:v>
      </x:c>
      <x:c r="H43" s="46" t="str">
        <x:v>Perch-likes</x:v>
      </x:c>
      <x:c r="I43" s="60" t="n">
        <x:v>115.11025263469999</x:v>
      </x:c>
      <x:c r="J43" s="60" t="n">
        <x:v>115.11025263469999</x:v>
      </x:c>
      <x:c r="K43" s="60" t="n">
        <x:v>0</x:v>
      </x:c>
      <x:c r="L43" s="60" t="n">
        <x:v>31.530156922299998</x:v>
      </x:c>
      <x:c r="M43" s="60" t="n">
        <x:v>83.5800957124</x:v>
      </x:c>
      <x:c r="N43" s="46" t="str">
        <x:v>nemadactylus</x:v>
      </x:c>
      <x:c r="O43" s="62" t="n">
        <x:v>3.32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Nemadactylus</x:v>
      </x:c>
      <x:c r="T43" s="62" t="n">
        <x:f>IF(O43="","",(1/'Metadata'!$B$5)^(O43-1))</x:f>
        <x:v>208.92961308540387</x:v>
      </x:c>
      <x:c r="U43" s="60" t="n">
        <x:f>IF(T43="","",I43*T43)</x:f>
        <x:v>24049.94054513096</x:v>
      </x:c>
    </x:row>
    <x:row r="44" ht="18" customHeight="1">
      <x:c r="A44" s="46" t="str">
        <x:v>LME_042</x:v>
      </x:c>
      <x:c r="B44" s="46" t="str">
        <x:v>Southeast Australian Shelf</x:v>
      </x:c>
      <x:c r="C44" s="46" t="str">
        <x:v>LME</x:v>
      </x:c>
      <x:c r="D44" s="58" t="n">
        <x:v>2019</x:v>
      </x:c>
      <x:c r="E44" s="46" t="str">
        <x:v>Lepidopus caudatus</x:v>
      </x:c>
      <x:c r="F44" s="46" t="str">
        <x:v>Silver scabbardfish</x:v>
      </x:c>
      <x:c r="G44" s="46" t="str">
        <x:v>Large bathydemersals (&gt;=90 cm)</x:v>
      </x:c>
      <x:c r="H44" s="46" t="str">
        <x:v>Perch-likes</x:v>
      </x:c>
      <x:c r="I44" s="60" t="n">
        <x:v>113.6481733529</x:v>
      </x:c>
      <x:c r="J44" s="60" t="n">
        <x:v>46.748520254700004</x:v>
      </x:c>
      <x:c r="K44" s="60" t="n">
        <x:v>66.8996530982</x:v>
      </x:c>
      <x:c r="L44" s="60" t="n">
        <x:v>46.748520254700004</x:v>
      </x:c>
      <x:c r="M44" s="60" t="n">
        <x:v>66.8996530982</x:v>
      </x:c>
      <x:c r="N44" s="46" t="str">
        <x:v>lepidopus caudatus</x:v>
      </x:c>
      <x:c r="O44" s="62" t="n">
        <x:v>3.82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Lepidopus caudatus</x:v>
      </x:c>
      <x:c r="T44" s="62" t="n">
        <x:f>IF(O44="","",(1/'Metadata'!$B$5)^(O44-1))</x:f>
        <x:v>660.6934480075957</x:v>
      </x:c>
      <x:c r="U44" s="60" t="n">
        <x:f>IF(T44="","",I44*T44)</x:f>
        <x:v>75086.60351229247</x:v>
      </x:c>
    </x:row>
    <x:row r="45" ht="18" customHeight="1">
      <x:c r="A45" s="46" t="str">
        <x:v>LME_042</x:v>
      </x:c>
      <x:c r="B45" s="46" t="str">
        <x:v>Southeast Australian Shelf</x:v>
      </x:c>
      <x:c r="C45" s="46" t="str">
        <x:v>LME</x:v>
      </x:c>
      <x:c r="D45" s="58" t="n">
        <x:v>2019</x:v>
      </x:c>
      <x:c r="E45" s="46" t="str">
        <x:v>Trachurus</x:v>
      </x:c>
      <x:c r="F45" s="46" t="str">
        <x:v>Jacks, horse mackerels</x:v>
      </x:c>
      <x:c r="G45" s="46" t="str">
        <x:v>Medium pelagics (30 - 89 cm)</x:v>
      </x:c>
      <x:c r="H45" s="46" t="str">
        <x:v>Perch-likes</x:v>
      </x:c>
      <x:c r="I45" s="60" t="n">
        <x:v>110.8179186637</x:v>
      </x:c>
      <x:c r="J45" s="60" t="n">
        <x:v>110.8179186637</x:v>
      </x:c>
      <x:c r="K45" s="60" t="n">
        <x:v>0</x:v>
      </x:c>
      <x:c r="L45" s="60" t="n">
        <x:v>96.3289875554</x:v>
      </x:c>
      <x:c r="M45" s="60" t="n">
        <x:v>14.4889311083</x:v>
      </x:c>
      <x:c r="N45" s="46" t="str">
        <x:v>trachurus</x:v>
      </x:c>
      <x:c r="O45" s="62" t="n">
        <x:v>3.69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Trachurus</x:v>
      </x:c>
      <x:c r="T45" s="62" t="n">
        <x:f>IF(O45="","",(1/'Metadata'!$B$5)^(O45-1))</x:f>
        <x:v>489.77881936844614</x:v>
      </x:c>
      <x:c r="U45" s="60" t="n">
        <x:f>IF(T45="","",I45*T45)</x:f>
        <x:v>54276.269367975474</x:v>
      </x:c>
    </x:row>
    <x:row r="46" ht="18" customHeight="1">
      <x:c r="A46" s="46" t="str">
        <x:v>LME_042</x:v>
      </x:c>
      <x:c r="B46" s="46" t="str">
        <x:v>Southeast Australian Shelf</x:v>
      </x:c>
      <x:c r="C46" s="46" t="str">
        <x:v>LME</x:v>
      </x:c>
      <x:c r="D46" s="58" t="n">
        <x:v>2019</x:v>
      </x:c>
      <x:c r="E46" s="46" t="str">
        <x:v>Hydrolagus</x:v>
      </x:c>
      <x:c r="F46" s="46" t="str">
        <x:v>Ghostsharks</x:v>
      </x:c>
      <x:c r="G46" s="46" t="str">
        <x:v>Small to medium rays (&lt;90 cm)</x:v>
      </x:c>
      <x:c r="H46" s="46" t="str">
        <x:v>Sharks &amp; rays</x:v>
      </x:c>
      <x:c r="I46" s="60" t="n">
        <x:v>106.4972968247</x:v>
      </x:c>
      <x:c r="J46" s="60" t="n">
        <x:v>106.4972968247</x:v>
      </x:c>
      <x:c r="K46" s="60" t="n">
        <x:v>0</x:v>
      </x:c>
      <x:c r="L46" s="60" t="n">
        <x:v>106.4972968247</x:v>
      </x:c>
      <x:c r="M46" s="60" t="n">
        <x:v>0</x:v>
      </x:c>
      <x:c r="N46" s="46" t="str">
        <x:v>hydrolagus</x:v>
      </x:c>
      <x:c r="O46" s="62" t="n">
        <x:v>3.51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Hydrolagus</x:v>
      </x:c>
      <x:c r="T46" s="62" t="n">
        <x:f>IF(O46="","",(1/'Metadata'!$B$5)^(O46-1))</x:f>
        <x:v>323.5936569296281</x:v>
      </x:c>
      <x:c r="U46" s="60" t="n">
        <x:f>IF(T46="","",I46*T46)</x:f>
        <x:v>34461.849732624745</x:v>
      </x:c>
    </x:row>
    <x:row r="47" ht="18" customHeight="1">
      <x:c r="A47" s="46" t="str">
        <x:v>LME_042</x:v>
      </x:c>
      <x:c r="B47" s="46" t="str">
        <x:v>Southeast Australian Shelf</x:v>
      </x:c>
      <x:c r="C47" s="46" t="str">
        <x:v>LME</x:v>
      </x:c>
      <x:c r="D47" s="58" t="n">
        <x:v>2019</x:v>
      </x:c>
      <x:c r="E47" s="46" t="str">
        <x:v>Serranidae</x:v>
      </x:c>
      <x:c r="F47" s="46" t="str">
        <x:v>Basses, groupers, hinds</x:v>
      </x:c>
      <x:c r="G47" s="46" t="str">
        <x:v>Medium reef assoc. fish (30 - 89 cm)</x:v>
      </x:c>
      <x:c r="H47" s="46" t="str">
        <x:v>Perch-likes</x:v>
      </x:c>
      <x:c r="I47" s="60" t="n">
        <x:v>92.64263840939999</x:v>
      </x:c>
      <x:c r="J47" s="60" t="n">
        <x:v>92.64263840939999</x:v>
      </x:c>
      <x:c r="K47" s="60" t="n">
        <x:v>0</x:v>
      </x:c>
      <x:c r="L47" s="60" t="n">
        <x:v>5.1368326887</x:v>
      </x:c>
      <x:c r="M47" s="60" t="n">
        <x:v>87.5058057207</x:v>
      </x:c>
      <x:c r="N47" s="46" t="str">
        <x:v>serranidae</x:v>
      </x:c>
      <x:c r="O47" s="62" t="n">
        <x:v>3.98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Serranidae</x:v>
      </x:c>
      <x:c r="T47" s="62" t="n">
        <x:f>IF(O47="","",(1/'Metadata'!$B$5)^(O47-1))</x:f>
        <x:v>954.992586021436</x:v>
      </x:c>
      <x:c r="U47" s="60" t="n">
        <x:f>IF(T47="","",I47*T47)</x:f>
        <x:v>88473.0328304417</x:v>
      </x:c>
    </x:row>
    <x:row r="48" ht="18" customHeight="1">
      <x:c r="A48" s="46" t="str">
        <x:v>LME_042</x:v>
      </x:c>
      <x:c r="B48" s="46" t="str">
        <x:v>Southeast Australian Shelf</x:v>
      </x:c>
      <x:c r="C48" s="46" t="str">
        <x:v>LME</x:v>
      </x:c>
      <x:c r="D48" s="58" t="n">
        <x:v>2019</x:v>
      </x:c>
      <x:c r="E48" s="46" t="str">
        <x:v>Nototodarus gouldi</x:v>
      </x:c>
      <x:c r="F48" s="46" t="str">
        <x:v>Gould's flying squid</x:v>
      </x:c>
      <x:c r="G48" s="46" t="str">
        <x:v>Cephalopods</x:v>
      </x:c>
      <x:c r="H48" s="46" t="str">
        <x:v>Other fishes &amp; inverts</x:v>
      </x:c>
      <x:c r="I48" s="60" t="n">
        <x:v>91.3436788748</x:v>
      </x:c>
      <x:c r="J48" s="60" t="n">
        <x:v>91.3436788748</x:v>
      </x:c>
      <x:c r="K48" s="60" t="n">
        <x:v>0</x:v>
      </x:c>
      <x:c r="L48" s="60" t="n">
        <x:v>91.3407313152</x:v>
      </x:c>
      <x:c r="M48" s="60" t="n">
        <x:v>0.0029475596</x:v>
      </x:c>
      <x:c r="N48" s="46" t="str">
        <x:v>nototodarus gouldi</x:v>
      </x:c>
      <x:c r="O48" s="62" t="n">
        <x:v>4.07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Nototodarus gouldi</x:v>
      </x:c>
      <x:c r="T48" s="62" t="n">
        <x:f>IF(O48="","",(1/'Metadata'!$B$5)^(O48-1))</x:f>
        <x:v>1174.8975549395302</x:v>
      </x:c>
      <x:c r="U48" s="60" t="n">
        <x:f>IF(T48="","",I48*T48)</x:f>
        <x:v>107319.46496918415</x:v>
      </x:c>
    </x:row>
    <x:row r="49" ht="18" customHeight="1">
      <x:c r="A49" s="46" t="str">
        <x:v>LME_042</x:v>
      </x:c>
      <x:c r="B49" s="46" t="str">
        <x:v>Southeast Australian Shelf</x:v>
      </x:c>
      <x:c r="C49" s="46" t="str">
        <x:v>LME</x:v>
      </x:c>
      <x:c r="D49" s="58" t="n">
        <x:v>2019</x:v>
      </x:c>
      <x:c r="E49" s="46" t="str">
        <x:v>Chondrichthyes</x:v>
      </x:c>
      <x:c r="F49" s="46" t="str">
        <x:v>Sharks, rays, chimaeras</x:v>
      </x:c>
      <x:c r="G49" s="46" t="str">
        <x:v>Large sharks (&gt;=90 cm)</x:v>
      </x:c>
      <x:c r="H49" s="46" t="str">
        <x:v>Sharks &amp; rays</x:v>
      </x:c>
      <x:c r="I49" s="60" t="n">
        <x:v>87.4082088716</x:v>
      </x:c>
      <x:c r="J49" s="60" t="n">
        <x:v>87.4082088716</x:v>
      </x:c>
      <x:c r="K49" s="60" t="n">
        <x:v>0</x:v>
      </x:c>
      <x:c r="L49" s="60" t="n">
        <x:v>87.0207354099</x:v>
      </x:c>
      <x:c r="M49" s="60" t="n">
        <x:v>0.3874734617</x:v>
      </x:c>
      <x:c r="N49" s="46" t="str">
        <x:v>chondrichthyes</x:v>
      </x:c>
      <x:c r="O49" s="62" t="n">
        <x:v>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Chondrichthyes</x:v>
      </x:c>
      <x:c r="T49" s="62" t="n">
        <x:f>IF(O49="","",(1/'Metadata'!$B$5)^(O49-1))</x:f>
        <x:v>1000</x:v>
      </x:c>
      <x:c r="U49" s="60" t="n">
        <x:f>IF(T49="","",I49*T49)</x:f>
        <x:v>87408.2088716</x:v>
      </x:c>
    </x:row>
    <x:row r="50" ht="18" customHeight="1">
      <x:c r="A50" s="46" t="str">
        <x:v>LME_042</x:v>
      </x:c>
      <x:c r="B50" s="46" t="str">
        <x:v>Southeast Australian Shelf</x:v>
      </x:c>
      <x:c r="C50" s="46" t="str">
        <x:v>LME</x:v>
      </x:c>
      <x:c r="D50" s="58" t="n">
        <x:v>2019</x:v>
      </x:c>
      <x:c r="E50" s="46" t="str">
        <x:v>Pomatomus saltatrix</x:v>
      </x:c>
      <x:c r="F50" s="46" t="str">
        <x:v>Bluefish</x:v>
      </x:c>
      <x:c r="G50" s="46" t="str">
        <x:v>Large pelagics (&gt;=90 cm)</x:v>
      </x:c>
      <x:c r="H50" s="46" t="str">
        <x:v>Perch-likes</x:v>
      </x:c>
      <x:c r="I50" s="60" t="n">
        <x:v>86.9614568188</x:v>
      </x:c>
      <x:c r="J50" s="60" t="n">
        <x:v>86.4514382103</x:v>
      </x:c>
      <x:c r="K50" s="60" t="n">
        <x:v>0.5100186085</x:v>
      </x:c>
      <x:c r="L50" s="60" t="n">
        <x:v>68.20114822229999</x:v>
      </x:c>
      <x:c r="M50" s="60" t="n">
        <x:v>18.7603085965</x:v>
      </x:c>
      <x:c r="N50" s="46" t="str">
        <x:v>pomatomus saltatrix</x:v>
      </x:c>
      <x:c r="O50" s="62" t="n">
        <x:v>4.53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Pomatomus saltatrix</x:v>
      </x:c>
      <x:c r="T50" s="62" t="n">
        <x:f>IF(O50="","",(1/'Metadata'!$B$5)^(O50-1))</x:f>
        <x:v>3388.4415613920273</x:v>
      </x:c>
      <x:c r="U50" s="60" t="n">
        <x:f>IF(T50="","",I50*T50)</x:f>
        <x:v>294663.81452402007</x:v>
      </x:c>
    </x:row>
    <x:row r="51" ht="18" customHeight="1">
      <x:c r="A51" s="46" t="str">
        <x:v>LME_042</x:v>
      </x:c>
      <x:c r="B51" s="46" t="str">
        <x:v>Southeast Australian Shelf</x:v>
      </x:c>
      <x:c r="C51" s="46" t="str">
        <x:v>LME</x:v>
      </x:c>
      <x:c r="D51" s="58" t="n">
        <x:v>2019</x:v>
      </x:c>
      <x:c r="E51" s="46" t="str">
        <x:v>Squalidae</x:v>
      </x:c>
      <x:c r="F51" s="46" t="str">
        <x:v>Dogfish sharks</x:v>
      </x:c>
      <x:c r="G51" s="46" t="str">
        <x:v>Large sharks (&gt;=90 cm)</x:v>
      </x:c>
      <x:c r="H51" s="46" t="str">
        <x:v>Sharks &amp; rays</x:v>
      </x:c>
      <x:c r="I51" s="60" t="n">
        <x:v>78.4902341635</x:v>
      </x:c>
      <x:c r="J51" s="60" t="n">
        <x:v>2.0588288581</x:v>
      </x:c>
      <x:c r="K51" s="60" t="n">
        <x:v>76.4314053054</x:v>
      </x:c>
      <x:c r="L51" s="60" t="n">
        <x:v>2.0570493259</x:v>
      </x:c>
      <x:c r="M51" s="60" t="n">
        <x:v>76.43318483760001</x:v>
      </x:c>
      <x:c r="N51" s="46" t="str">
        <x:v>squalidae</x:v>
      </x:c>
      <x:c r="O51" s="62" t="n">
        <x:v>4.23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Squalidae</x:v>
      </x:c>
      <x:c r="T51" s="62" t="n">
        <x:f>IF(O51="","",(1/'Metadata'!$B$5)^(O51-1))</x:f>
        <x:v>1698.243652461746</x:v>
      </x:c>
      <x:c r="U51" s="60" t="n">
        <x:f>IF(T51="","",I51*T51)</x:f>
        <x:v>133295.54194839997</x:v>
      </x:c>
    </x:row>
    <x:row r="52" ht="18" customHeight="1">
      <x:c r="A52" s="46" t="str">
        <x:v>LME_042</x:v>
      </x:c>
      <x:c r="B52" s="46" t="str">
        <x:v>Southeast Australian Shelf</x:v>
      </x:c>
      <x:c r="C52" s="46" t="str">
        <x:v>LME</x:v>
      </x:c>
      <x:c r="D52" s="58" t="n">
        <x:v>2019</x:v>
      </x:c>
      <x:c r="E52" s="46" t="str">
        <x:v>Marine finfishes not identified</x:v>
      </x:c>
      <x:c r="F52" s="46" t="str">
        <x:v>Finfishes</x:v>
      </x:c>
      <x:c r="G52" s="46" t="str">
        <x:v>Medium demersals (30 - 89 cm)</x:v>
      </x:c>
      <x:c r="H52" s="46" t="str">
        <x:v>Other fishes &amp; inverts</x:v>
      </x:c>
      <x:c r="I52" s="60" t="n">
        <x:v>74.82945114990001</x:v>
      </x:c>
      <x:c r="J52" s="60" t="n">
        <x:v>46.5797272325</x:v>
      </x:c>
      <x:c r="K52" s="60" t="n">
        <x:v>28.2497239174</x:v>
      </x:c>
      <x:c r="L52" s="60" t="n">
        <x:v>46.5577246614</x:v>
      </x:c>
      <x:c r="M52" s="60" t="n">
        <x:v>28.2717264885</x:v>
      </x:c>
      <x:c r="N52" s="46" t="str">
        <x:v>marine finfishes not identified</x:v>
      </x:c>
      <x:c r="O52" s="62" t="n">
        <x:v>3.23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Marine finfishes not identified</x:v>
      </x:c>
      <x:c r="T52" s="62" t="n">
        <x:f>IF(O52="","",(1/'Metadata'!$B$5)^(O52-1))</x:f>
        <x:v>169.82436524617444</x:v>
      </x:c>
      <x:c r="U52" s="60" t="n">
        <x:f>IF(T52="","",I52*T52)</x:f>
        <x:v>12707.864043251388</x:v>
      </x:c>
    </x:row>
    <x:row r="53" ht="18" customHeight="1">
      <x:c r="A53" s="46" t="str">
        <x:v>LME_042</x:v>
      </x:c>
      <x:c r="B53" s="46" t="str">
        <x:v>Southeast Australian Shelf</x:v>
      </x:c>
      <x:c r="C53" s="46" t="str">
        <x:v>LME</x:v>
      </x:c>
      <x:c r="D53" s="58" t="n">
        <x:v>2019</x:v>
      </x:c>
      <x:c r="E53" s="46" t="str">
        <x:v>Decapoda</x:v>
      </x:c>
      <x:c r="F53" s="46" t="str">
        <x:v>Crabs, lobsters, shrimps</x:v>
      </x:c>
      <x:c r="G53" s="46" t="str">
        <x:v>Lobsters, crabs</x:v>
      </x:c>
      <x:c r="H53" s="46" t="str">
        <x:v>Crustaceans</x:v>
      </x:c>
      <x:c r="I53" s="60" t="n">
        <x:v>74.0153791044</x:v>
      </x:c>
      <x:c r="J53" s="60" t="n">
        <x:v>73.789478719</x:v>
      </x:c>
      <x:c r="K53" s="60" t="n">
        <x:v>0.2259003854</x:v>
      </x:c>
      <x:c r="L53" s="60" t="n">
        <x:v>73.789478719</x:v>
      </x:c>
      <x:c r="M53" s="60" t="n">
        <x:v>0.2259003854</x:v>
      </x:c>
      <x:c r="N53" s="46" t="str">
        <x:v>decapoda</x:v>
      </x:c>
      <x:c r="O53" s="62" t="n">
        <x:v>3.43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Decapoda</x:v>
      </x:c>
      <x:c r="T53" s="62" t="n">
        <x:f>IF(O53="","",(1/'Metadata'!$B$5)^(O53-1))</x:f>
        <x:v>269.1534803926917</x:v>
      </x:c>
      <x:c r="U53" s="60" t="n">
        <x:f>IF(T53="","",I53*T53)</x:f>
        <x:v>19921.496888533766</x:v>
      </x:c>
    </x:row>
    <x:row r="54" ht="18" customHeight="1">
      <x:c r="A54" s="46" t="str">
        <x:v>LME_042</x:v>
      </x:c>
      <x:c r="B54" s="46" t="str">
        <x:v>Southeast Australian Shelf</x:v>
      </x:c>
      <x:c r="C54" s="46" t="str">
        <x:v>LME</x:v>
      </x:c>
      <x:c r="D54" s="58" t="n">
        <x:v>2019</x:v>
      </x:c>
      <x:c r="E54" s="46" t="str">
        <x:v>Polyprion oxygeneios</x:v>
      </x:c>
      <x:c r="F54" s="46" t="str">
        <x:v>Hapuku wreckfish</x:v>
      </x:c>
      <x:c r="G54" s="46" t="str">
        <x:v>Large demersals (&gt;=90 cm)</x:v>
      </x:c>
      <x:c r="H54" s="46" t="str">
        <x:v>Perch-likes</x:v>
      </x:c>
      <x:c r="I54" s="60" t="n">
        <x:v>68.99757677630001</x:v>
      </x:c>
      <x:c r="J54" s="60" t="n">
        <x:v>68.99757677630001</x:v>
      </x:c>
      <x:c r="K54" s="60" t="n">
        <x:v>0</x:v>
      </x:c>
      <x:c r="L54" s="60" t="n">
        <x:v>47.8894423315</x:v>
      </x:c>
      <x:c r="M54" s="60" t="n">
        <x:v>21.1081344448</x:v>
      </x:c>
      <x:c r="N54" s="46" t="str">
        <x:v>polyprion oxygeneios</x:v>
      </x:c>
      <x:c r="O54" s="62" t="n">
        <x:v>4.45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Polyprion oxygeneios</x:v>
      </x:c>
      <x:c r="T54" s="62" t="n">
        <x:f>IF(O54="","",(1/'Metadata'!$B$5)^(O54-1))</x:f>
        <x:v>2818.382931264455</x:v>
      </x:c>
      <x:c r="U54" s="60" t="n">
        <x:f>IF(T54="","",I54*T54)</x:f>
        <x:v>194461.5926849327</x:v>
      </x:c>
    </x:row>
    <x:row r="55" ht="18" customHeight="1">
      <x:c r="A55" s="46" t="str">
        <x:v>LME_042</x:v>
      </x:c>
      <x:c r="B55" s="46" t="str">
        <x:v>Southeast Australian Shelf</x:v>
      </x:c>
      <x:c r="C55" s="46" t="str">
        <x:v>LME</x:v>
      </x:c>
      <x:c r="D55" s="58" t="n">
        <x:v>2019</x:v>
      </x:c>
      <x:c r="E55" s="46" t="str">
        <x:v>Portunus</x:v>
      </x:c>
      <x:c r="F55" s="46" t="str">
        <x:v>Swimmer crabs</x:v>
      </x:c>
      <x:c r="G55" s="46" t="str">
        <x:v>Lobsters, crabs</x:v>
      </x:c>
      <x:c r="H55" s="46" t="str">
        <x:v>Crustaceans</x:v>
      </x:c>
      <x:c r="I55" s="60" t="n">
        <x:v>68.39240681209999</x:v>
      </x:c>
      <x:c r="J55" s="60" t="n">
        <x:v>68.39240681209999</x:v>
      </x:c>
      <x:c r="K55" s="60" t="n">
        <x:v>0</x:v>
      </x:c>
      <x:c r="L55" s="60" t="n">
        <x:v>68.39240681209999</x:v>
      </x:c>
      <x:c r="M55" s="60" t="n">
        <x:v>0</x:v>
      </x:c>
      <x:c r="N55" s="46" t="str">
        <x:v>portunus</x:v>
      </x:c>
      <x:c r="O55" s="62" t="n">
        <x:v>3.26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Portunus</x:v>
      </x:c>
      <x:c r="T55" s="62" t="n">
        <x:f>IF(O55="","",(1/'Metadata'!$B$5)^(O55-1))</x:f>
        <x:v>181.97008586099827</x:v>
      </x:c>
      <x:c r="U55" s="60" t="n">
        <x:f>IF(T55="","",I55*T55)</x:f>
        <x:v>12445.372139838159</x:v>
      </x:c>
    </x:row>
    <x:row r="56" ht="18" customHeight="1">
      <x:c r="A56" s="46" t="str">
        <x:v>LME_042</x:v>
      </x:c>
      <x:c r="B56" s="46" t="str">
        <x:v>Southeast Australian Shelf</x:v>
      </x:c>
      <x:c r="C56" s="46" t="str">
        <x:v>LME</x:v>
      </x:c>
      <x:c r="D56" s="58" t="n">
        <x:v>2019</x:v>
      </x:c>
      <x:c r="E56" s="46" t="str">
        <x:v>Rexea solandri</x:v>
      </x:c>
      <x:c r="F56" s="46" t="str">
        <x:v>Silver gemfish</x:v>
      </x:c>
      <x:c r="G56" s="46" t="str">
        <x:v>Large benthopelagics (&gt;=90 cm)</x:v>
      </x:c>
      <x:c r="H56" s="46" t="str">
        <x:v>Perch-likes</x:v>
      </x:c>
      <x:c r="I56" s="60" t="n">
        <x:v>66.181063075</x:v>
      </x:c>
      <x:c r="J56" s="60" t="n">
        <x:v>66.181063075</x:v>
      </x:c>
      <x:c r="K56" s="60" t="n">
        <x:v>0</x:v>
      </x:c>
      <x:c r="L56" s="60" t="n">
        <x:v>66.1809933374</x:v>
      </x:c>
      <x:c r="M56" s="60" t="n">
        <x:v>0.0000697376</x:v>
      </x:c>
      <x:c r="N56" s="46" t="str">
        <x:v>rexea solandri</x:v>
      </x:c>
      <x:c r="O56" s="62" t="n">
        <x:v>4.31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Rexea solandri</x:v>
      </x:c>
      <x:c r="T56" s="62" t="n">
        <x:f>IF(O56="","",(1/'Metadata'!$B$5)^(O56-1))</x:f>
        <x:v>2041.7379446695275</x:v>
      </x:c>
      <x:c r="U56" s="60" t="n">
        <x:f>IF(T56="","",I56*T56)</x:f>
        <x:v>135124.38769879486</x:v>
      </x:c>
    </x:row>
    <x:row r="57" ht="18" customHeight="1">
      <x:c r="A57" s="46" t="str">
        <x:v>LME_042</x:v>
      </x:c>
      <x:c r="B57" s="46" t="str">
        <x:v>Southeast Australian Shelf</x:v>
      </x:c>
      <x:c r="C57" s="46" t="str">
        <x:v>LME</x:v>
      </x:c>
      <x:c r="D57" s="58" t="n">
        <x:v>2019</x:v>
      </x:c>
      <x:c r="E57" s="46" t="str">
        <x:v>Prionace glauca</x:v>
      </x:c>
      <x:c r="F57" s="46" t="str">
        <x:v>Blue shark</x:v>
      </x:c>
      <x:c r="G57" s="46" t="str">
        <x:v>Large sharks (&gt;=90 cm)</x:v>
      </x:c>
      <x:c r="H57" s="46" t="str">
        <x:v>Sharks &amp; rays</x:v>
      </x:c>
      <x:c r="I57" s="60" t="n">
        <x:v>64.3255413243</x:v>
      </x:c>
      <x:c r="J57" s="60" t="n">
        <x:v>36.4618193691</x:v>
      </x:c>
      <x:c r="K57" s="60" t="n">
        <x:v>27.8637219552</x:v>
      </x:c>
      <x:c r="L57" s="60" t="n">
        <x:v>11.0890714902</x:v>
      </x:c>
      <x:c r="M57" s="60" t="n">
        <x:v>53.2364698341</x:v>
      </x:c>
      <x:c r="N57" s="46" t="str">
        <x:v>prionace glauca</x:v>
      </x:c>
      <x:c r="O57" s="62" t="n">
        <x:v>4.35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Prionace glauca</x:v>
      </x:c>
      <x:c r="T57" s="62" t="n">
        <x:f>IF(O57="","",(1/'Metadata'!$B$5)^(O57-1))</x:f>
        <x:v>2238.7211385683377</x:v>
      </x:c>
      <x:c r="U57" s="60" t="n">
        <x:f>IF(T57="","",I57*T57)</x:f>
        <x:v>144006.94911256156</x:v>
      </x:c>
    </x:row>
    <x:row r="58" ht="18" customHeight="1">
      <x:c r="A58" s="46" t="str">
        <x:v>LME_042</x:v>
      </x:c>
      <x:c r="B58" s="46" t="str">
        <x:v>Southeast Australian Shelf</x:v>
      </x:c>
      <x:c r="C58" s="46" t="str">
        <x:v>LME</x:v>
      </x:c>
      <x:c r="D58" s="58" t="n">
        <x:v>2019</x:v>
      </x:c>
      <x:c r="E58" s="46" t="str">
        <x:v>Arripis georgiana</x:v>
      </x:c>
      <x:c r="F58" s="46" t="str">
        <x:v>Ruff</x:v>
      </x:c>
      <x:c r="G58" s="46" t="str">
        <x:v>Medium pelagics (30 - 89 cm)</x:v>
      </x:c>
      <x:c r="H58" s="46" t="str">
        <x:v>Perch-likes</x:v>
      </x:c>
      <x:c r="I58" s="60" t="n">
        <x:v>58.9311930384</x:v>
      </x:c>
      <x:c r="J58" s="60" t="n">
        <x:v>58.9311930384</x:v>
      </x:c>
      <x:c r="K58" s="60" t="n">
        <x:v>0</x:v>
      </x:c>
      <x:c r="L58" s="60" t="n">
        <x:v>30.0681999695</x:v>
      </x:c>
      <x:c r="M58" s="60" t="n">
        <x:v>28.8629930689</x:v>
      </x:c>
      <x:c r="N58" s="46" t="str">
        <x:v>arripis georgiana</x:v>
      </x:c>
      <x:c r="O58" s="62" t="n">
        <x:v>4.31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Arripis georgiana</x:v>
      </x:c>
      <x:c r="T58" s="62" t="n">
        <x:f>IF(O58="","",(1/'Metadata'!$B$5)^(O58-1))</x:f>
        <x:v>2041.7379446695275</x:v>
      </x:c>
      <x:c r="U58" s="60" t="n">
        <x:f>IF(T58="","",I58*T58)</x:f>
        <x:v>120322.05295114598</x:v>
      </x:c>
    </x:row>
    <x:row r="59" ht="18" customHeight="1">
      <x:c r="A59" s="46" t="str">
        <x:v>LME_042</x:v>
      </x:c>
      <x:c r="B59" s="46" t="str">
        <x:v>Southeast Australian Shelf</x:v>
      </x:c>
      <x:c r="C59" s="46" t="str">
        <x:v>LME</x:v>
      </x:c>
      <x:c r="D59" s="58" t="n">
        <x:v>2019</x:v>
      </x:c>
      <x:c r="E59" s="46" t="str">
        <x:v>Girella tricuspidata</x:v>
      </x:c>
      <x:c r="F59" s="46" t="str">
        <x:v>Parore</x:v>
      </x:c>
      <x:c r="G59" s="46" t="str">
        <x:v>Medium benthopelagics (30 - 89 cm)</x:v>
      </x:c>
      <x:c r="H59" s="46" t="str">
        <x:v>Perch-likes</x:v>
      </x:c>
      <x:c r="I59" s="60" t="n">
        <x:v>57.7671105358</x:v>
      </x:c>
      <x:c r="J59" s="60" t="n">
        <x:v>57.7671105358</x:v>
      </x:c>
      <x:c r="K59" s="60" t="n">
        <x:v>0</x:v>
      </x:c>
      <x:c r="L59" s="60" t="n">
        <x:v>32.5308947348</x:v>
      </x:c>
      <x:c r="M59" s="60" t="n">
        <x:v>25.236215801</x:v>
      </x:c>
      <x:c r="N59" s="46" t="str">
        <x:v>girella tricuspidata</x:v>
      </x:c>
      <x:c r="O59" s="62" t="n">
        <x:v>2.09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Girella tricuspidata</x:v>
      </x:c>
      <x:c r="T59" s="62" t="n">
        <x:f>IF(O59="","",(1/'Metadata'!$B$5)^(O59-1))</x:f>
        <x:v>12.30268770812381</x:v>
      </x:c>
      <x:c r="U59" s="60" t="n">
        <x:f>IF(T59="","",I59*T59)</x:f>
        <x:v>710.6907207226161</x:v>
      </x:c>
    </x:row>
    <x:row r="60" ht="18" customHeight="1">
      <x:c r="A60" s="46" t="str">
        <x:v>LME_042</x:v>
      </x:c>
      <x:c r="B60" s="46" t="str">
        <x:v>Southeast Australian Shelf</x:v>
      </x:c>
      <x:c r="C60" s="46" t="str">
        <x:v>LME</x:v>
      </x:c>
      <x:c r="D60" s="58" t="n">
        <x:v>2019</x:v>
      </x:c>
      <x:c r="E60" s="46" t="str">
        <x:v>Macrouridae</x:v>
      </x:c>
      <x:c r="F60" s="46" t="str">
        <x:v>Grenadiers, rattails</x:v>
      </x:c>
      <x:c r="G60" s="46" t="str">
        <x:v>Medium benthopelagics (30 - 89 cm)</x:v>
      </x:c>
      <x:c r="H60" s="46" t="str">
        <x:v>Cod-likes</x:v>
      </x:c>
      <x:c r="I60" s="60" t="n">
        <x:v>57.3749265897</x:v>
      </x:c>
      <x:c r="J60" s="60" t="n">
        <x:v>0.013030042200000001</x:v>
      </x:c>
      <x:c r="K60" s="60" t="n">
        <x:v>57.3618965475</x:v>
      </x:c>
      <x:c r="L60" s="60" t="n">
        <x:v>0.013030042200000001</x:v>
      </x:c>
      <x:c r="M60" s="60" t="n">
        <x:v>57.3618965475</x:v>
      </x:c>
      <x:c r="N60" s="46" t="str">
        <x:v>macrouridae</x:v>
      </x:c>
      <x:c r="O60" s="62" t="n">
        <x:v>3.88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Macrouridae</x:v>
      </x:c>
      <x:c r="T60" s="62" t="n">
        <x:f>IF(O60="","",(1/'Metadata'!$B$5)^(O60-1))</x:f>
        <x:v>758.5775750291835</x:v>
      </x:c>
      <x:c r="U60" s="60" t="n">
        <x:f>IF(T60="","",I60*T60)</x:f>
        <x:v>43523.33267989205</x:v>
      </x:c>
    </x:row>
    <x:row r="61" ht="18" customHeight="1">
      <x:c r="A61" s="46" t="str">
        <x:v>LME_042</x:v>
      </x:c>
      <x:c r="B61" s="46" t="str">
        <x:v>Southeast Australian Shelf</x:v>
      </x:c>
      <x:c r="C61" s="46" t="str">
        <x:v>LME</x:v>
      </x:c>
      <x:c r="D61" s="58" t="n">
        <x:v>2019</x:v>
      </x:c>
      <x:c r="E61" s="46" t="str">
        <x:v>Pterygotrigla polyommata</x:v>
      </x:c>
      <x:c r="F61" s="46" t="str">
        <x:v>Latchet</x:v>
      </x:c>
      <x:c r="G61" s="46" t="str">
        <x:v>Medium demersals (30 - 89 cm)</x:v>
      </x:c>
      <x:c r="H61" s="46" t="str">
        <x:v>Scorpionfishes</x:v>
      </x:c>
      <x:c r="I61" s="60" t="n">
        <x:v>56.458841363000005</x:v>
      </x:c>
      <x:c r="J61" s="60" t="n">
        <x:v>56.458841363000005</x:v>
      </x:c>
      <x:c r="K61" s="60" t="n">
        <x:v>0</x:v>
      </x:c>
      <x:c r="L61" s="60" t="n">
        <x:v>56.4546131565</x:v>
      </x:c>
      <x:c r="M61" s="60" t="n">
        <x:v>0.0042282065</x:v>
      </x:c>
      <x:c r="N61" s="46" t="str">
        <x:v>pterygotrigla polyommata</x:v>
      </x:c>
      <x:c r="O61" s="62" t="n">
        <x:v>3.29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Pterygotrigla polyommata</x:v>
      </x:c>
      <x:c r="T61" s="62" t="n">
        <x:f>IF(O61="","",(1/'Metadata'!$B$5)^(O61-1))</x:f>
        <x:v>194.98445997580455</x:v>
      </x:c>
      <x:c r="U61" s="60" t="n">
        <x:f>IF(T61="","",I61*T61)</x:f>
        <x:v>11008.596694024172</x:v>
      </x:c>
    </x:row>
    <x:row r="62" ht="18" customHeight="1">
      <x:c r="A62" s="46" t="str">
        <x:v>LME_042</x:v>
      </x:c>
      <x:c r="B62" s="46" t="str">
        <x:v>Southeast Australian Shelf</x:v>
      </x:c>
      <x:c r="C62" s="46" t="str">
        <x:v>LME</x:v>
      </x:c>
      <x:c r="D62" s="58" t="n">
        <x:v>2019</x:v>
      </x:c>
      <x:c r="E62" s="46" t="str">
        <x:v>Melicertus plebejus</x:v>
      </x:c>
      <x:c r="F62" s="46" t="str">
        <x:v>Eastern king prawn</x:v>
      </x:c>
      <x:c r="G62" s="46" t="str">
        <x:v>Shrimps</x:v>
      </x:c>
      <x:c r="H62" s="46" t="str">
        <x:v>Crustaceans</x:v>
      </x:c>
      <x:c r="I62" s="60" t="n">
        <x:v>53.959893023</x:v>
      </x:c>
      <x:c r="J62" s="60" t="n">
        <x:v>53.959893023</x:v>
      </x:c>
      <x:c r="K62" s="60" t="n">
        <x:v>0</x:v>
      </x:c>
      <x:c r="L62" s="60" t="n">
        <x:v>53.959893023</x:v>
      </x:c>
      <x:c r="M62" s="60" t="n">
        <x:v>0</x:v>
      </x:c>
      <x:c r="N62" s="46" t="str">
        <x:v>melicertus plebejus</x:v>
      </x:c>
      <x:c r="O62" s="62" t="n">
        <x:v>3.655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Melicertus plebejus</x:v>
      </x:c>
      <x:c r="T62" s="62" t="n">
        <x:f>IF(O62="","",(1/'Metadata'!$B$5)^(O62-1))</x:f>
        <x:v>451.85594437492216</x:v>
      </x:c>
      <x:c r="U62" s="60" t="n">
        <x:f>IF(T62="","",I62*T62)</x:f>
        <x:v>24382.098420277438</x:v>
      </x:c>
    </x:row>
    <x:row r="63" ht="18" customHeight="1">
      <x:c r="A63" s="46" t="str">
        <x:v>LME_042</x:v>
      </x:c>
      <x:c r="B63" s="46" t="str">
        <x:v>Southeast Australian Shelf</x:v>
      </x:c>
      <x:c r="C63" s="46" t="str">
        <x:v>LME</x:v>
      </x:c>
      <x:c r="D63" s="58" t="n">
        <x:v>2019</x:v>
      </x:c>
      <x:c r="E63" s="46" t="str">
        <x:v>Helicolenus percoides</x:v>
      </x:c>
      <x:c r="F63" s="46" t="str">
        <x:v>Red gurnard perch</x:v>
      </x:c>
      <x:c r="G63" s="46" t="str">
        <x:v>Medium demersals (30 - 89 cm)</x:v>
      </x:c>
      <x:c r="H63" s="46" t="str">
        <x:v>Scorpionfishes</x:v>
      </x:c>
      <x:c r="I63" s="60" t="n">
        <x:v>53.8115582252</x:v>
      </x:c>
      <x:c r="J63" s="60" t="n">
        <x:v>53.8115582252</x:v>
      </x:c>
      <x:c r="K63" s="60" t="n">
        <x:v>0</x:v>
      </x:c>
      <x:c r="L63" s="60" t="n">
        <x:v>53.8115582252</x:v>
      </x:c>
      <x:c r="M63" s="60" t="n">
        <x:v>0</x:v>
      </x:c>
      <x:c r="N63" s="46" t="str">
        <x:v>helicolenus percoides</x:v>
      </x:c>
      <x:c r="O63" s="62" t="n">
        <x:v>4.01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Helicolenus percoides</x:v>
      </x:c>
      <x:c r="T63" s="62" t="n">
        <x:f>IF(O63="","",(1/'Metadata'!$B$5)^(O63-1))</x:f>
        <x:v>1023.2929922807537</x:v>
      </x:c>
      <x:c r="U63" s="60" t="n">
        <x:f>IF(T63="","",I63*T63)</x:f>
        <x:v>55064.990435554915</x:v>
      </x:c>
    </x:row>
    <x:row r="64" ht="18" customHeight="1">
      <x:c r="A64" s="46" t="str">
        <x:v>LME_042</x:v>
      </x:c>
      <x:c r="B64" s="46" t="str">
        <x:v>Southeast Australian Shelf</x:v>
      </x:c>
      <x:c r="C64" s="46" t="str">
        <x:v>LME</x:v>
      </x:c>
      <x:c r="D64" s="58" t="n">
        <x:v>2019</x:v>
      </x:c>
      <x:c r="E64" s="46" t="str">
        <x:v>Squalus</x:v>
      </x:c>
      <x:c r="F64" s="46" t="str">
        <x:v>Dogfishes</x:v>
      </x:c>
      <x:c r="G64" s="46" t="str">
        <x:v>Large sharks (&gt;=90 cm)</x:v>
      </x:c>
      <x:c r="H64" s="46" t="str">
        <x:v>Sharks &amp; rays</x:v>
      </x:c>
      <x:c r="I64" s="60" t="n">
        <x:v>50.671206153600004</x:v>
      </x:c>
      <x:c r="J64" s="60" t="n">
        <x:v>2.1268652421</x:v>
      </x:c>
      <x:c r="K64" s="60" t="n">
        <x:v>48.5443409115</x:v>
      </x:c>
      <x:c r="L64" s="60" t="n">
        <x:v>2.1267276379</x:v>
      </x:c>
      <x:c r="M64" s="60" t="n">
        <x:v>48.5444785157</x:v>
      </x:c>
      <x:c r="N64" s="46" t="str">
        <x:v>squalus</x:v>
      </x:c>
      <x:c r="O64" s="62" t="n">
        <x:v>4.23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Squalus</x:v>
      </x:c>
      <x:c r="T64" s="62" t="n">
        <x:f>IF(O64="","",(1/'Metadata'!$B$5)^(O64-1))</x:f>
        <x:v>1698.243652461746</x:v>
      </x:c>
      <x:c r="U64" s="60" t="n">
        <x:f>IF(T64="","",I64*T64)</x:f>
        <x:v>86052.05421293178</x:v>
      </x:c>
    </x:row>
    <x:row r="65" ht="18" customHeight="1">
      <x:c r="A65" s="46" t="str">
        <x:v>LME_042</x:v>
      </x:c>
      <x:c r="B65" s="46" t="str">
        <x:v>Southeast Australian Shelf</x:v>
      </x:c>
      <x:c r="C65" s="46" t="str">
        <x:v>LME</x:v>
      </x:c>
      <x:c r="D65" s="58" t="n">
        <x:v>2019</x:v>
      </x:c>
      <x:c r="E65" s="46" t="str">
        <x:v>Nemadactylus macropterus</x:v>
      </x:c>
      <x:c r="F65" s="46" t="str">
        <x:v>Tarakihi</x:v>
      </x:c>
      <x:c r="G65" s="46" t="str">
        <x:v>Medium demersals (30 - 89 cm)</x:v>
      </x:c>
      <x:c r="H65" s="46" t="str">
        <x:v>Perch-likes</x:v>
      </x:c>
      <x:c r="I65" s="60" t="n">
        <x:v>50.5450835688</x:v>
      </x:c>
      <x:c r="J65" s="60" t="n">
        <x:v>46.7378754467</x:v>
      </x:c>
      <x:c r="K65" s="60" t="n">
        <x:v>3.8072081221</x:v>
      </x:c>
      <x:c r="L65" s="60" t="n">
        <x:v>46.7377959948</x:v>
      </x:c>
      <x:c r="M65" s="60" t="n">
        <x:v>3.807287574</x:v>
      </x:c>
      <x:c r="N65" s="46" t="str">
        <x:v>nemadactylus macropterus</x:v>
      </x:c>
      <x:c r="O65" s="62" t="n">
        <x:v>3.41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Nemadactylus macropterus</x:v>
      </x:c>
      <x:c r="T65" s="62" t="n">
        <x:f>IF(O65="","",(1/'Metadata'!$B$5)^(O65-1))</x:f>
        <x:v>257.03957827688646</x:v>
      </x:c>
      <x:c r="U65" s="60" t="n">
        <x:f>IF(T65="","",I65*T65)</x:f>
        <x:v>12992.086964494336</x:v>
      </x:c>
    </x:row>
    <x:row r="66" ht="18" customHeight="1">
      <x:c r="A66" s="46" t="str">
        <x:v>LME_042</x:v>
      </x:c>
      <x:c r="B66" s="46" t="str">
        <x:v>Southeast Australian Shelf</x:v>
      </x:c>
      <x:c r="C66" s="46" t="str">
        <x:v>LME</x:v>
      </x:c>
      <x:c r="D66" s="58" t="n">
        <x:v>2019</x:v>
      </x:c>
      <x:c r="E66" s="46" t="str">
        <x:v>Scomberomorus commerson</x:v>
      </x:c>
      <x:c r="F66" s="46" t="str">
        <x:v>Narrow-barred Spanish mackerel</x:v>
      </x:c>
      <x:c r="G66" s="46" t="str">
        <x:v>Large pelagics (&gt;=90 cm)</x:v>
      </x:c>
      <x:c r="H66" s="46" t="str">
        <x:v>Perch-likes</x:v>
      </x:c>
      <x:c r="I66" s="60" t="n">
        <x:v>49.588623033800005</x:v>
      </x:c>
      <x:c r="J66" s="60" t="n">
        <x:v>49.588623033800005</x:v>
      </x:c>
      <x:c r="K66" s="60" t="n">
        <x:v>0</x:v>
      </x:c>
      <x:c r="L66" s="60" t="n">
        <x:v>18.7693560408</x:v>
      </x:c>
      <x:c r="M66" s="60" t="n">
        <x:v>30.819266993</x:v>
      </x:c>
      <x:c r="N66" s="46" t="str">
        <x:v>scomberomorus commerson</x:v>
      </x:c>
      <x:c r="O66" s="62" t="n">
        <x:v>4.5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Scomberomorus commerson</x:v>
      </x:c>
      <x:c r="T66" s="62" t="n">
        <x:f>IF(O66="","",(1/'Metadata'!$B$5)^(O66-1))</x:f>
        <x:v>3162.2776601683795</x:v>
      </x:c>
      <x:c r="U66" s="60" t="n">
        <x:f>IF(T66="","",I66*T66)</x:f>
        <x:v>156812.9948182969</x:v>
      </x:c>
    </x:row>
    <x:row r="67" ht="18" customHeight="1">
      <x:c r="A67" s="46" t="str">
        <x:v>LME_042</x:v>
      </x:c>
      <x:c r="B67" s="46" t="str">
        <x:v>Southeast Australian Shelf</x:v>
      </x:c>
      <x:c r="C67" s="46" t="str">
        <x:v>LME</x:v>
      </x:c>
      <x:c r="D67" s="58" t="n">
        <x:v>2019</x:v>
      </x:c>
      <x:c r="E67" s="46" t="str">
        <x:v>Chimaeriformes</x:v>
      </x:c>
      <x:c r="F67" s="46" t="str">
        <x:v>Chimaeras</x:v>
      </x:c>
      <x:c r="G67" s="46" t="str">
        <x:v>Large rays (&gt;=90 cm)</x:v>
      </x:c>
      <x:c r="H67" s="46" t="str">
        <x:v>Sharks &amp; rays</x:v>
      </x:c>
      <x:c r="I67" s="60" t="n">
        <x:v>47.2311628038</x:v>
      </x:c>
      <x:c r="J67" s="60" t="n">
        <x:v>1.7883488277</x:v>
      </x:c>
      <x:c r="K67" s="60" t="n">
        <x:v>45.4428139761</x:v>
      </x:c>
      <x:c r="L67" s="60" t="n">
        <x:v>1.7883488277</x:v>
      </x:c>
      <x:c r="M67" s="60" t="n">
        <x:v>45.4428139761</x:v>
      </x:c>
      <x:c r="N67" s="46" t="str">
        <x:v>chimaeriformes</x:v>
      </x:c>
      <x:c r="O67" s="62" t="n">
        <x:v>3.37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Chimaeriformes</x:v>
      </x:c>
      <x:c r="T67" s="62" t="n">
        <x:f>IF(O67="","",(1/'Metadata'!$B$5)^(O67-1))</x:f>
        <x:v>234.42288153199226</x:v>
      </x:c>
      <x:c r="U67" s="60" t="n">
        <x:f>IF(T67="","",I67*T67)</x:f>
        <x:v>11072.065282573447</x:v>
      </x:c>
    </x:row>
    <x:row r="68" ht="18" customHeight="1">
      <x:c r="A68" s="46" t="str">
        <x:v>LME_042</x:v>
      </x:c>
      <x:c r="B68" s="46" t="str">
        <x:v>Southeast Australian Shelf</x:v>
      </x:c>
      <x:c r="C68" s="46" t="str">
        <x:v>LME</x:v>
      </x:c>
      <x:c r="D68" s="58" t="n">
        <x:v>2019</x:v>
      </x:c>
      <x:c r="E68" s="46" t="str">
        <x:v>Portunidae</x:v>
      </x:c>
      <x:c r="F68" s="46" t="str">
        <x:v>Swimming crabs</x:v>
      </x:c>
      <x:c r="G68" s="46" t="str">
        <x:v>Lobsters, crabs</x:v>
      </x:c>
      <x:c r="H68" s="46" t="str">
        <x:v>Crustaceans</x:v>
      </x:c>
      <x:c r="I68" s="60" t="n">
        <x:v>44.097165356699996</x:v>
      </x:c>
      <x:c r="J68" s="60" t="n">
        <x:v>39.3067947093</x:v>
      </x:c>
      <x:c r="K68" s="60" t="n">
        <x:v>4.7903706474</x:v>
      </x:c>
      <x:c r="L68" s="60" t="n">
        <x:v>36.0796053403</x:v>
      </x:c>
      <x:c r="M68" s="60" t="n">
        <x:v>8.0175600164</x:v>
      </x:c>
      <x:c r="N68" s="46" t="str">
        <x:v>portunidae</x:v>
      </x:c>
      <x:c r="O68" s="62" t="n">
        <x:v>3.56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Portunidae</x:v>
      </x:c>
      <x:c r="T68" s="62" t="n">
        <x:f>IF(O68="","",(1/'Metadata'!$B$5)^(O68-1))</x:f>
        <x:v>363.0780547701014</x:v>
      </x:c>
      <x:c r="U68" s="60" t="n">
        <x:f>IF(T68="","",I68*T68)</x:f>
        <x:v>16010.713018586139</x:v>
      </x:c>
    </x:row>
    <x:row r="69" ht="18" customHeight="1">
      <x:c r="A69" s="46" t="str">
        <x:v>LME_042</x:v>
      </x:c>
      <x:c r="B69" s="46" t="str">
        <x:v>Southeast Australian Shelf</x:v>
      </x:c>
      <x:c r="C69" s="46" t="str">
        <x:v>LME</x:v>
      </x:c>
      <x:c r="D69" s="58" t="n">
        <x:v>2019</x:v>
      </x:c>
      <x:c r="E69" s="46" t="str">
        <x:v>Callorhinchus milii</x:v>
      </x:c>
      <x:c r="F69" s="46" t="str">
        <x:v>Ghost shark</x:v>
      </x:c>
      <x:c r="G69" s="46" t="str">
        <x:v>Large rays (&gt;=90 cm)</x:v>
      </x:c>
      <x:c r="H69" s="46" t="str">
        <x:v>Sharks &amp; rays</x:v>
      </x:c>
      <x:c r="I69" s="60" t="n">
        <x:v>42.553137845100004</x:v>
      </x:c>
      <x:c r="J69" s="60" t="n">
        <x:v>42.553137845100004</x:v>
      </x:c>
      <x:c r="K69" s="60" t="n">
        <x:v>0</x:v>
      </x:c>
      <x:c r="L69" s="60" t="n">
        <x:v>42.553137845100004</x:v>
      </x:c>
      <x:c r="M69" s="60" t="n">
        <x:v>0</x:v>
      </x:c>
      <x:c r="N69" s="46" t="str">
        <x:v>callorhinchus milii</x:v>
      </x:c>
      <x:c r="O69" s="62" t="n">
        <x:v>3.6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Callorhinchus milii</x:v>
      </x:c>
      <x:c r="T69" s="62" t="n">
        <x:f>IF(O69="","",(1/'Metadata'!$B$5)^(O69-1))</x:f>
        <x:v>398.1071705534973</x:v>
      </x:c>
      <x:c r="U69" s="60" t="n">
        <x:f>IF(T69="","",I69*T69)</x:f>
        <x:v>16940.70930568571</x:v>
      </x:c>
    </x:row>
    <x:row r="70" ht="18" customHeight="1">
      <x:c r="A70" s="46" t="str">
        <x:v>LME_042</x:v>
      </x:c>
      <x:c r="B70" s="46" t="str">
        <x:v>Southeast Australian Shelf</x:v>
      </x:c>
      <x:c r="C70" s="46" t="str">
        <x:v>LME</x:v>
      </x:c>
      <x:c r="D70" s="58" t="n">
        <x:v>2019</x:v>
      </x:c>
      <x:c r="E70" s="46" t="str">
        <x:v>Thunnus alalunga</x:v>
      </x:c>
      <x:c r="F70" s="46" t="str">
        <x:v>Albacore</x:v>
      </x:c>
      <x:c r="G70" s="46" t="str">
        <x:v>Large pelagics (&gt;=90 cm)</x:v>
      </x:c>
      <x:c r="H70" s="46" t="str">
        <x:v>Tuna &amp; billfishes</x:v>
      </x:c>
      <x:c r="I70" s="60" t="n">
        <x:v>42.3745900225</x:v>
      </x:c>
      <x:c r="J70" s="60" t="n">
        <x:v>42.3744504359</x:v>
      </x:c>
      <x:c r="K70" s="60" t="n">
        <x:v>0.0001395866</x:v>
      </x:c>
      <x:c r="L70" s="60" t="n">
        <x:v>42.3720004999</x:v>
      </x:c>
      <x:c r="M70" s="60" t="n">
        <x:v>0.0025895226</x:v>
      </x:c>
      <x:c r="N70" s="46" t="str">
        <x:v>thunnus alalunga</x:v>
      </x:c>
      <x:c r="O70" s="62" t="n">
        <x:v>4.3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Thunnus alalunga</x:v>
      </x:c>
      <x:c r="T70" s="62" t="n">
        <x:f>IF(O70="","",(1/'Metadata'!$B$5)^(O70-1))</x:f>
        <x:v>1995.2623149688789</x:v>
      </x:c>
      <x:c r="U70" s="60" t="n">
        <x:f>IF(T70="","",I70*T70)</x:f>
        <x:v>84548.42258415051</x:v>
      </x:c>
    </x:row>
    <x:row r="71" ht="18" customHeight="1">
      <x:c r="A71" s="46" t="str">
        <x:v>LME_042</x:v>
      </x:c>
      <x:c r="B71" s="46" t="str">
        <x:v>Southeast Australian Shelf</x:v>
      </x:c>
      <x:c r="C71" s="46" t="str">
        <x:v>LME</x:v>
      </x:c>
      <x:c r="D71" s="58" t="n">
        <x:v>2019</x:v>
      </x:c>
      <x:c r="E71" s="46" t="str">
        <x:v>Palinuridae</x:v>
      </x:c>
      <x:c r="F71" s="46" t="str">
        <x:v>Spiny lobsters</x:v>
      </x:c>
      <x:c r="G71" s="46" t="str">
        <x:v>Lobsters, crabs</x:v>
      </x:c>
      <x:c r="H71" s="46" t="str">
        <x:v>Crustaceans</x:v>
      </x:c>
      <x:c r="I71" s="60" t="n">
        <x:v>41.2472381089</x:v>
      </x:c>
      <x:c r="J71" s="60" t="n">
        <x:v>41.2472381089</x:v>
      </x:c>
      <x:c r="K71" s="60" t="n">
        <x:v>0</x:v>
      </x:c>
      <x:c r="L71" s="60" t="n">
        <x:v>0.7269631593</x:v>
      </x:c>
      <x:c r="M71" s="60" t="n">
        <x:v>40.5202749496</x:v>
      </x:c>
      <x:c r="N71" s="46" t="str">
        <x:v>palinuridae</x:v>
      </x:c>
      <x:c r="O71" s="62" t="n">
        <x:v>3.14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Palinuridae</x:v>
      </x:c>
      <x:c r="T71" s="62" t="n">
        <x:f>IF(O71="","",(1/'Metadata'!$B$5)^(O71-1))</x:f>
        <x:v>138.03842646028852</x:v>
      </x:c>
      <x:c r="U71" s="60" t="n">
        <x:f>IF(T71="","",I71*T71)</x:f>
        <x:v>5693.703844385403</x:v>
      </x:c>
    </x:row>
    <x:row r="72" ht="18" customHeight="1">
      <x:c r="A72" s="46" t="str">
        <x:v>LME_042</x:v>
      </x:c>
      <x:c r="B72" s="46" t="str">
        <x:v>Southeast Australian Shelf</x:v>
      </x:c>
      <x:c r="C72" s="46" t="str">
        <x:v>LME</x:v>
      </x:c>
      <x:c r="D72" s="58" t="n">
        <x:v>2019</x:v>
      </x:c>
      <x:c r="E72" s="46" t="str">
        <x:v>Ranina ranina</x:v>
      </x:c>
      <x:c r="F72" s="46" t="str">
        <x:v>Kona crab </x:v>
      </x:c>
      <x:c r="G72" s="46" t="str">
        <x:v>Lobsters, crabs</x:v>
      </x:c>
      <x:c r="H72" s="46" t="str">
        <x:v>Crustaceans</x:v>
      </x:c>
      <x:c r="I72" s="60" t="n">
        <x:v>40.161653129799994</x:v>
      </x:c>
      <x:c r="J72" s="60" t="n">
        <x:v>40.161653129799994</x:v>
      </x:c>
      <x:c r="K72" s="60" t="n">
        <x:v>0</x:v>
      </x:c>
      <x:c r="L72" s="60" t="n">
        <x:v>40.161653129799994</x:v>
      </x:c>
      <x:c r="M72" s="60" t="n">
        <x:v>0</x:v>
      </x:c>
      <x:c r="N72" s="46" t="str">
        <x:v>ranina ranina</x:v>
      </x:c>
      <x:c r="O72" s="62" t="n">
        <x:v>3.92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Ranina ranina</x:v>
      </x:c>
      <x:c r="T72" s="62" t="n">
        <x:f>IF(O72="","",(1/'Metadata'!$B$5)^(O72-1))</x:f>
        <x:v>831.7637711026708</x:v>
      </x:c>
      <x:c r="U72" s="60" t="n">
        <x:f>IF(T72="","",I72*T72)</x:f>
        <x:v>33405.00806095982</x:v>
      </x:c>
    </x:row>
    <x:row r="73" ht="18" customHeight="1">
      <x:c r="A73" s="46" t="str">
        <x:v>LME_042</x:v>
      </x:c>
      <x:c r="B73" s="46" t="str">
        <x:v>Southeast Australian Shelf</x:v>
      </x:c>
      <x:c r="C73" s="46" t="str">
        <x:v>LME</x:v>
      </x:c>
      <x:c r="D73" s="58" t="n">
        <x:v>2019</x:v>
      </x:c>
      <x:c r="E73" s="46" t="str">
        <x:v>Seriola lalandi</x:v>
      </x:c>
      <x:c r="F73" s="46" t="str">
        <x:v>Yellowtail amberjack</x:v>
      </x:c>
      <x:c r="G73" s="46" t="str">
        <x:v>Large benthopelagics (&gt;=90 cm)</x:v>
      </x:c>
      <x:c r="H73" s="46" t="str">
        <x:v>Perch-likes</x:v>
      </x:c>
      <x:c r="I73" s="60" t="n">
        <x:v>39.7911617194</x:v>
      </x:c>
      <x:c r="J73" s="60" t="n">
        <x:v>39.7911617194</x:v>
      </x:c>
      <x:c r="K73" s="60" t="n">
        <x:v>0</x:v>
      </x:c>
      <x:c r="L73" s="60" t="n">
        <x:v>32.0323874496</x:v>
      </x:c>
      <x:c r="M73" s="60" t="n">
        <x:v>7.7587742698</x:v>
      </x:c>
      <x:c r="N73" s="46" t="str">
        <x:v>seriola lalandi</x:v>
      </x:c>
      <x:c r="O73" s="62" t="n">
        <x:v>4.16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Seriola lalandi</x:v>
      </x:c>
      <x:c r="T73" s="62" t="n">
        <x:f>IF(O73="","",(1/'Metadata'!$B$5)^(O73-1))</x:f>
        <x:v>1445.439770745928</x:v>
      </x:c>
      <x:c r="U73" s="60" t="n">
        <x:f>IF(T73="","",I73*T73)</x:f>
        <x:v>57515.727673403686</x:v>
      </x:c>
    </x:row>
    <x:row r="74" ht="18" customHeight="1">
      <x:c r="A74" s="46" t="str">
        <x:v>LME_042</x:v>
      </x:c>
      <x:c r="B74" s="46" t="str">
        <x:v>Southeast Australian Shelf</x:v>
      </x:c>
      <x:c r="C74" s="46" t="str">
        <x:v>LME</x:v>
      </x:c>
      <x:c r="D74" s="58" t="n">
        <x:v>2019</x:v>
      </x:c>
      <x:c r="E74" s="46" t="str">
        <x:v>Veneridae</x:v>
      </x:c>
      <x:c r="F74" s="46" t="str">
        <x:v>Venus clams</x:v>
      </x:c>
      <x:c r="G74" s="46" t="str">
        <x:v>Other demersal invertebrates</x:v>
      </x:c>
      <x:c r="H74" s="46" t="str">
        <x:v>Molluscs</x:v>
      </x:c>
      <x:c r="I74" s="60" t="n">
        <x:v>33.1063298216</x:v>
      </x:c>
      <x:c r="J74" s="60" t="n">
        <x:v>33.1063298216</x:v>
      </x:c>
      <x:c r="K74" s="60" t="n">
        <x:v>0</x:v>
      </x:c>
      <x:c r="L74" s="60" t="n">
        <x:v>33.1063298216</x:v>
      </x:c>
      <x:c r="M74" s="60" t="n">
        <x:v>0</x:v>
      </x:c>
      <x:c r="N74" s="46" t="str">
        <x:v>veneridae</x:v>
      </x:c>
      <x:c r="O74" s="62" t="n">
        <x:v>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Veneridae</x:v>
      </x:c>
      <x:c r="T74" s="62" t="n">
        <x:f>IF(O74="","",(1/'Metadata'!$B$5)^(O74-1))</x:f>
        <x:v>10</x:v>
      </x:c>
      <x:c r="U74" s="60" t="n">
        <x:f>IF(T74="","",I74*T74)</x:f>
        <x:v>331.063298216</x:v>
      </x:c>
    </x:row>
    <x:row r="75" ht="18" customHeight="1">
      <x:c r="A75" s="46" t="str">
        <x:v>LME_042</x:v>
      </x:c>
      <x:c r="B75" s="46" t="str">
        <x:v>Southeast Australian Shelf</x:v>
      </x:c>
      <x:c r="C75" s="46" t="str">
        <x:v>LME</x:v>
      </x:c>
      <x:c r="D75" s="58" t="n">
        <x:v>2019</x:v>
      </x:c>
      <x:c r="E75" s="46" t="str">
        <x:v>Pinctada maxima</x:v>
      </x:c>
      <x:c r="F75" s="46" t="str">
        <x:v>Silverlip pearl oyster</x:v>
      </x:c>
      <x:c r="G75" s="46" t="str">
        <x:v>Other demersal invertebrates</x:v>
      </x:c>
      <x:c r="H75" s="46" t="str">
        <x:v>Molluscs</x:v>
      </x:c>
      <x:c r="I75" s="60" t="n">
        <x:v>32.7934540144</x:v>
      </x:c>
      <x:c r="J75" s="60" t="n">
        <x:v>32.7934540144</x:v>
      </x:c>
      <x:c r="K75" s="60" t="n">
        <x:v>0</x:v>
      </x:c>
      <x:c r="L75" s="60" t="n">
        <x:v>32.7934540144</x:v>
      </x:c>
      <x:c r="M75" s="60" t="n">
        <x:v>0</x:v>
      </x:c>
      <x:c r="N75" s="46" t="str">
        <x:v>pinctada maxima</x:v>
      </x:c>
      <x:c r="O75" s="62" t="n">
        <x:v>2.05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Pinctada maxima</x:v>
      </x:c>
      <x:c r="T75" s="62" t="n">
        <x:f>IF(O75="","",(1/'Metadata'!$B$5)^(O75-1))</x:f>
        <x:v>11.220184543019629</x:v>
      </x:c>
      <x:c r="U75" s="60" t="n">
        <x:f>IF(T75="","",I75*T75)</x:f>
        <x:v>367.9486058445959</x:v>
      </x:c>
    </x:row>
    <x:row r="76" ht="18" customHeight="1">
      <x:c r="A76" s="46" t="str">
        <x:v>LME_042</x:v>
      </x:c>
      <x:c r="B76" s="46" t="str">
        <x:v>Southeast Australian Shelf</x:v>
      </x:c>
      <x:c r="C76" s="46" t="str">
        <x:v>LME</x:v>
      </x:c>
      <x:c r="D76" s="58" t="n">
        <x:v>2019</x:v>
      </x:c>
      <x:c r="E76" s="46" t="str">
        <x:v>Lampris guttatus</x:v>
      </x:c>
      <x:c r="F76" s="46" t="str">
        <x:v>Opah</x:v>
      </x:c>
      <x:c r="G76" s="46" t="str">
        <x:v>Large bathypelagics (&gt;=90 cm)</x:v>
      </x:c>
      <x:c r="H76" s="46" t="str">
        <x:v>Other fishes &amp; inverts</x:v>
      </x:c>
      <x:c r="I76" s="60" t="n">
        <x:v>30.672848945499997</x:v>
      </x:c>
      <x:c r="J76" s="60" t="n">
        <x:v>30.672848945499997</x:v>
      </x:c>
      <x:c r="K76" s="60" t="n">
        <x:v>0</x:v>
      </x:c>
      <x:c r="L76" s="60" t="n">
        <x:v>30.672848945499997</x:v>
      </x:c>
      <x:c r="M76" s="60" t="n">
        <x:v>0</x:v>
      </x:c>
      <x:c r="N76" s="46" t="str">
        <x:v>lampris guttatus</x:v>
      </x:c>
      <x:c r="O76" s="62" t="n">
        <x:v>4.22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Lampris guttatus</x:v>
      </x:c>
      <x:c r="T76" s="62" t="n">
        <x:f>IF(O76="","",(1/'Metadata'!$B$5)^(O76-1))</x:f>
        <x:v>1659.5869074375596</x:v>
      </x:c>
      <x:c r="U76" s="60" t="n">
        <x:f>IF(T76="","",I76*T76)</x:f>
        <x:v>50904.25852376175</x:v>
      </x:c>
    </x:row>
    <x:row r="77" ht="18" customHeight="1">
      <x:c r="A77" s="46" t="str">
        <x:v>LME_042</x:v>
      </x:c>
      <x:c r="B77" s="46" t="str">
        <x:v>Southeast Australian Shelf</x:v>
      </x:c>
      <x:c r="C77" s="46" t="str">
        <x:v>LME</x:v>
      </x:c>
      <x:c r="D77" s="58" t="n">
        <x:v>2019</x:v>
      </x:c>
      <x:c r="E77" s="46" t="str">
        <x:v>Ommastrephidae</x:v>
      </x:c>
      <x:c r="F77" s="46" t="str">
        <x:v>Arrow squids</x:v>
      </x:c>
      <x:c r="G77" s="46" t="str">
        <x:v>Cephalopods</x:v>
      </x:c>
      <x:c r="H77" s="46" t="str">
        <x:v>Other fishes &amp; inverts</x:v>
      </x:c>
      <x:c r="I77" s="60" t="n">
        <x:v>30.3878547938</x:v>
      </x:c>
      <x:c r="J77" s="60" t="n">
        <x:v>26.624313319899997</x:v>
      </x:c>
      <x:c r="K77" s="60" t="n">
        <x:v>3.7635414739</x:v>
      </x:c>
      <x:c r="L77" s="60" t="n">
        <x:v>26.624313319899997</x:v>
      </x:c>
      <x:c r="M77" s="60" t="n">
        <x:v>3.7635414739</x:v>
      </x:c>
      <x:c r="N77" s="46" t="str">
        <x:v>ommastrephidae</x:v>
      </x:c>
      <x:c r="O77" s="62" t="n">
        <x:v>4.09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Ommastrephidae</x:v>
      </x:c>
      <x:c r="T77" s="62" t="n">
        <x:f>IF(O77="","",(1/'Metadata'!$B$5)^(O77-1))</x:f>
        <x:v>1230.268770812381</x:v>
      </x:c>
      <x:c r="U77" s="60" t="n">
        <x:f>IF(T77="","",I77*T77)</x:f>
        <x:v>37385.22876479344</x:v>
      </x:c>
    </x:row>
    <x:row r="78" ht="18" customHeight="1">
      <x:c r="A78" s="46" t="str">
        <x:v>LME_042</x:v>
      </x:c>
      <x:c r="B78" s="46" t="str">
        <x:v>Southeast Australian Shelf</x:v>
      </x:c>
      <x:c r="C78" s="46" t="str">
        <x:v>LME</x:v>
      </x:c>
      <x:c r="D78" s="58" t="n">
        <x:v>2019</x:v>
      </x:c>
      <x:c r="E78" s="46" t="str">
        <x:v>Carcharhinus brachyurus</x:v>
      </x:c>
      <x:c r="F78" s="46" t="str">
        <x:v>Copper shark</x:v>
      </x:c>
      <x:c r="G78" s="46" t="str">
        <x:v>Large sharks (&gt;=90 cm)</x:v>
      </x:c>
      <x:c r="H78" s="46" t="str">
        <x:v>Sharks &amp; rays</x:v>
      </x:c>
      <x:c r="I78" s="60" t="n">
        <x:v>29.968285055700004</x:v>
      </x:c>
      <x:c r="J78" s="60" t="n">
        <x:v>29.968285055700004</x:v>
      </x:c>
      <x:c r="K78" s="60" t="n">
        <x:v>0</x:v>
      </x:c>
      <x:c r="L78" s="60" t="n">
        <x:v>24.639352063300002</x:v>
      </x:c>
      <x:c r="M78" s="60" t="n">
        <x:v>5.3289329924</x:v>
      </x:c>
      <x:c r="N78" s="46" t="str">
        <x:v>carcharhinus brachyurus</x:v>
      </x:c>
      <x:c r="O78" s="62" t="n">
        <x:v>4.5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Carcharhinus brachyurus</x:v>
      </x:c>
      <x:c r="T78" s="62" t="n">
        <x:f>IF(O78="","",(1/'Metadata'!$B$5)^(O78-1))</x:f>
        <x:v>3162.2776601683795</x:v>
      </x:c>
      <x:c r="U78" s="60" t="n">
        <x:f>IF(T78="","",I78*T78)</x:f>
        <x:v>94768.03834519803</x:v>
      </x:c>
    </x:row>
    <x:row r="79" ht="18" customHeight="1">
      <x:c r="A79" s="46" t="str">
        <x:v>LME_042</x:v>
      </x:c>
      <x:c r="B79" s="46" t="str">
        <x:v>Southeast Australian Shelf</x:v>
      </x:c>
      <x:c r="C79" s="46" t="str">
        <x:v>LME</x:v>
      </x:c>
      <x:c r="D79" s="58" t="n">
        <x:v>2019</x:v>
      </x:c>
      <x:c r="E79" s="46" t="str">
        <x:v>Sagmariasus verreauxi</x:v>
      </x:c>
      <x:c r="F79" s="46" t="str">
        <x:v>Green rock lobster</x:v>
      </x:c>
      <x:c r="G79" s="46" t="str">
        <x:v>Lobsters, crabs</x:v>
      </x:c>
      <x:c r="H79" s="46" t="str">
        <x:v>Crustaceans</x:v>
      </x:c>
      <x:c r="I79" s="60" t="n">
        <x:v>29.7292795961</x:v>
      </x:c>
      <x:c r="J79" s="60" t="n">
        <x:v>29.7292795961</x:v>
      </x:c>
      <x:c r="K79" s="60" t="n">
        <x:v>0</x:v>
      </x:c>
      <x:c r="L79" s="60" t="n">
        <x:v>29.7292795961</x:v>
      </x:c>
      <x:c r="M79" s="60" t="n">
        <x:v>0</x:v>
      </x:c>
      <x:c r="N79" s="46" t="str">
        <x:v>sagmariasus verreauxi</x:v>
      </x:c>
      <x:c r="O79" s="62" t="n">
        <x:v>2.6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Sagmariasus verreauxi</x:v>
      </x:c>
      <x:c r="T79" s="62" t="n">
        <x:f>IF(O79="","",(1/'Metadata'!$B$5)^(O79-1))</x:f>
        <x:v>39.810717055349734</x:v>
      </x:c>
      <x:c r="U79" s="60" t="n">
        <x:f>IF(T79="","",I79*T79)</x:f>
        <x:v>1183.5439382597192</x:v>
      </x:c>
    </x:row>
    <x:row r="80" ht="18" customHeight="1">
      <x:c r="A80" s="46" t="str">
        <x:v>LME_042</x:v>
      </x:c>
      <x:c r="B80" s="46" t="str">
        <x:v>Southeast Australian Shelf</x:v>
      </x:c>
      <x:c r="C80" s="46" t="str">
        <x:v>LME</x:v>
      </x:c>
      <x:c r="D80" s="58" t="n">
        <x:v>2019</x:v>
      </x:c>
      <x:c r="E80" s="46" t="str">
        <x:v>Urolophidae</x:v>
      </x:c>
      <x:c r="F80" s="46" t="str">
        <x:v>Round rays</x:v>
      </x:c>
      <x:c r="G80" s="46" t="str">
        <x:v>Small to medium rays (&lt;90 cm)</x:v>
      </x:c>
      <x:c r="H80" s="46" t="str">
        <x:v>Sharks &amp; rays</x:v>
      </x:c>
      <x:c r="I80" s="60" t="n">
        <x:v>29.5362996823</x:v>
      </x:c>
      <x:c r="J80" s="60" t="n">
        <x:v>0</x:v>
      </x:c>
      <x:c r="K80" s="60" t="n">
        <x:v>29.5362996823</x:v>
      </x:c>
      <x:c r="L80" s="60" t="n">
        <x:v>0</x:v>
      </x:c>
      <x:c r="M80" s="60" t="n">
        <x:v>29.5362996823</x:v>
      </x:c>
      <x:c r="N80" s="46" t="str">
        <x:v>urolophidae</x:v>
      </x:c>
      <x:c r="O80" s="62" t="n">
        <x:v>3.7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Urolophidae</x:v>
      </x:c>
      <x:c r="T80" s="62" t="n">
        <x:f>IF(O80="","",(1/'Metadata'!$B$5)^(O80-1))</x:f>
        <x:v>501.18723362727246</x:v>
      </x:c>
      <x:c r="U80" s="60" t="n">
        <x:f>IF(T80="","",I80*T80)</x:f>
        <x:v>14803.216329358023</x:v>
      </x:c>
    </x:row>
    <x:row r="81" ht="18" customHeight="1">
      <x:c r="A81" s="46" t="str">
        <x:v>LME_042</x:v>
      </x:c>
      <x:c r="B81" s="46" t="str">
        <x:v>Southeast Australian Shelf</x:v>
      </x:c>
      <x:c r="C81" s="46" t="str">
        <x:v>LME</x:v>
      </x:c>
      <x:c r="D81" s="58" t="n">
        <x:v>2019</x:v>
      </x:c>
      <x:c r="E81" s="46" t="str">
        <x:v>Rajiformes</x:v>
      </x:c>
      <x:c r="F81" s="46" t="str">
        <x:v>Skates and rays</x:v>
      </x:c>
      <x:c r="G81" s="46" t="str">
        <x:v>Large rays (&gt;=90 cm)</x:v>
      </x:c>
      <x:c r="H81" s="46" t="str">
        <x:v>Sharks &amp; rays</x:v>
      </x:c>
      <x:c r="I81" s="60" t="n">
        <x:v>29.374374854499997</x:v>
      </x:c>
      <x:c r="J81" s="60" t="n">
        <x:v>29.374374854499997</x:v>
      </x:c>
      <x:c r="K81" s="60" t="n">
        <x:v>0</x:v>
      </x:c>
      <x:c r="L81" s="60" t="n">
        <x:v>29.3236786815</x:v>
      </x:c>
      <x:c r="M81" s="60" t="n">
        <x:v>0.050696173</x:v>
      </x:c>
      <x:c r="N81" s="46" t="str">
        <x:v>rajiformes</x:v>
      </x:c>
      <x:c r="O81" s="62" t="n">
        <x:v>3.61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Rajiformes</x:v>
      </x:c>
      <x:c r="T81" s="62" t="n">
        <x:f>IF(O81="","",(1/'Metadata'!$B$5)^(O81-1))</x:f>
        <x:v>407.3802778041126</x:v>
      </x:c>
      <x:c r="U81" s="60" t="n">
        <x:f>IF(T81="","",I81*T81)</x:f>
        <x:v>11966.54098854835</x:v>
      </x:c>
    </x:row>
    <x:row r="82" ht="18" customHeight="1">
      <x:c r="A82" s="46" t="str">
        <x:v>LME_042</x:v>
      </x:c>
      <x:c r="B82" s="46" t="str">
        <x:v>Southeast Australian Shelf</x:v>
      </x:c>
      <x:c r="C82" s="46" t="str">
        <x:v>LME</x:v>
      </x:c>
      <x:c r="D82" s="58" t="n">
        <x:v>2019</x:v>
      </x:c>
      <x:c r="E82" s="46" t="str">
        <x:v>Thunnus albacares</x:v>
      </x:c>
      <x:c r="F82" s="46" t="str">
        <x:v>Yellowfin tuna</x:v>
      </x:c>
      <x:c r="G82" s="46" t="str">
        <x:v>Large pelagics (&gt;=90 cm)</x:v>
      </x:c>
      <x:c r="H82" s="46" t="str">
        <x:v>Tuna &amp; billfishes</x:v>
      </x:c>
      <x:c r="I82" s="60" t="n">
        <x:v>28.3215804018</x:v>
      </x:c>
      <x:c r="J82" s="60" t="n">
        <x:v>27.8781123831</x:v>
      </x:c>
      <x:c r="K82" s="60" t="n">
        <x:v>0.4434680187</x:v>
      </x:c>
      <x:c r="L82" s="60" t="n">
        <x:v>22.8643808111</x:v>
      </x:c>
      <x:c r="M82" s="60" t="n">
        <x:v>5.4571995907</x:v>
      </x:c>
      <x:c r="N82" s="46" t="str">
        <x:v>thunnus albacares</x:v>
      </x:c>
      <x:c r="O82" s="62" t="n">
        <x:v>4.41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Thunnus albacares</x:v>
      </x:c>
      <x:c r="T82" s="62" t="n">
        <x:f>IF(O82="","",(1/'Metadata'!$B$5)^(O82-1))</x:f>
        <x:v>2570.3957827688646</x:v>
      </x:c>
      <x:c r="U82" s="60" t="n">
        <x:f>IF(T82="","",I82*T82)</x:f>
        <x:v>72797.67082613605</x:v>
      </x:c>
    </x:row>
    <x:row r="83" ht="18" customHeight="1">
      <x:c r="A83" s="46" t="str">
        <x:v>LME_042</x:v>
      </x:c>
      <x:c r="B83" s="46" t="str">
        <x:v>Southeast Australian Shelf</x:v>
      </x:c>
      <x:c r="C83" s="46" t="str">
        <x:v>LME</x:v>
      </x:c>
      <x:c r="D83" s="58" t="n">
        <x:v>2019</x:v>
      </x:c>
      <x:c r="E83" s="46" t="str">
        <x:v>Cyttus novaezealandiae</x:v>
      </x:c>
      <x:c r="F83" s="46" t="str">
        <x:v>New Zealand dory</x:v>
      </x:c>
      <x:c r="G83" s="46" t="str">
        <x:v>Medium demersals (30 - 89 cm)</x:v>
      </x:c>
      <x:c r="H83" s="46" t="str">
        <x:v>Other fishes &amp; inverts</x:v>
      </x:c>
      <x:c r="I83" s="60" t="n">
        <x:v>27.0707745469</x:v>
      </x:c>
      <x:c r="J83" s="60" t="n">
        <x:v>0</x:v>
      </x:c>
      <x:c r="K83" s="60" t="n">
        <x:v>27.0707745469</x:v>
      </x:c>
      <x:c r="L83" s="60" t="n">
        <x:v>0</x:v>
      </x:c>
      <x:c r="M83" s="60" t="n">
        <x:v>27.0707745469</x:v>
      </x:c>
      <x:c r="N83" s="46" t="str">
        <x:v>cyttus novaezealandiae</x:v>
      </x:c>
      <x:c r="O83" s="62" t="n">
        <x:v>3.82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Cyttus novaezealandiae</x:v>
      </x:c>
      <x:c r="T83" s="62" t="n">
        <x:f>IF(O83="","",(1/'Metadata'!$B$5)^(O83-1))</x:f>
        <x:v>660.6934480075957</x:v>
      </x:c>
      <x:c r="U83" s="60" t="n">
        <x:f>IF(T83="","",I83*T83)</x:f>
        <x:v>17885.483375627624</x:v>
      </x:c>
    </x:row>
    <x:row r="84" ht="18" customHeight="1">
      <x:c r="A84" s="46" t="str">
        <x:v>LME_042</x:v>
      </x:c>
      <x:c r="B84" s="46" t="str">
        <x:v>Southeast Australian Shelf</x:v>
      </x:c>
      <x:c r="C84" s="46" t="str">
        <x:v>LME</x:v>
      </x:c>
      <x:c r="D84" s="58" t="n">
        <x:v>2019</x:v>
      </x:c>
      <x:c r="E84" s="46" t="str">
        <x:v>Zeidae</x:v>
      </x:c>
      <x:c r="F84" s="46" t="str">
        <x:v>Dories</x:v>
      </x:c>
      <x:c r="G84" s="46" t="str">
        <x:v>Medium bathydemersals (30 - 89 cm)</x:v>
      </x:c>
      <x:c r="H84" s="46" t="str">
        <x:v>Other fishes &amp; inverts</x:v>
      </x:c>
      <x:c r="I84" s="60" t="n">
        <x:v>25.9471097324</x:v>
      </x:c>
      <x:c r="J84" s="60" t="n">
        <x:v>25.9471097324</x:v>
      </x:c>
      <x:c r="K84" s="60" t="n">
        <x:v>0</x:v>
      </x:c>
      <x:c r="L84" s="60" t="n">
        <x:v>25.8153517048</x:v>
      </x:c>
      <x:c r="M84" s="60" t="n">
        <x:v>0.1317580276</x:v>
      </x:c>
      <x:c r="N84" s="46" t="str">
        <x:v>zeidae</x:v>
      </x:c>
      <x:c r="O84" s="62" t="n">
        <x:v>4.49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Zeidae</x:v>
      </x:c>
      <x:c r="T84" s="62" t="n">
        <x:f>IF(O84="","",(1/'Metadata'!$B$5)^(O84-1))</x:f>
        <x:v>3090.295432513592</x:v>
      </x:c>
      <x:c r="U84" s="60" t="n">
        <x:f>IF(T84="","",I84*T84)</x:f>
        <x:v>80184.23469296469</x:v>
      </x:c>
    </x:row>
    <x:row r="85" ht="18" customHeight="1">
      <x:c r="A85" s="46" t="str">
        <x:v>LME_042</x:v>
      </x:c>
      <x:c r="B85" s="46" t="str">
        <x:v>Southeast Australian Shelf</x:v>
      </x:c>
      <x:c r="C85" s="46" t="str">
        <x:v>LME</x:v>
      </x:c>
      <x:c r="D85" s="58" t="n">
        <x:v>2019</x:v>
      </x:c>
      <x:c r="E85" s="46" t="str">
        <x:v>Notorynchus cepedianus</x:v>
      </x:c>
      <x:c r="F85" s="46" t="str">
        <x:v>Broadnose sevengill shark</x:v>
      </x:c>
      <x:c r="G85" s="46" t="str">
        <x:v>Large sharks (&gt;=90 cm)</x:v>
      </x:c>
      <x:c r="H85" s="46" t="str">
        <x:v>Sharks &amp; rays</x:v>
      </x:c>
      <x:c r="I85" s="60" t="n">
        <x:v>25.179131235</x:v>
      </x:c>
      <x:c r="J85" s="60" t="n">
        <x:v>25.179131235</x:v>
      </x:c>
      <x:c r="K85" s="60" t="n">
        <x:v>0</x:v>
      </x:c>
      <x:c r="L85" s="60" t="n">
        <x:v>25.179131235</x:v>
      </x:c>
      <x:c r="M85" s="60" t="n">
        <x:v>0</x:v>
      </x:c>
      <x:c r="N85" s="46" t="str">
        <x:v>notorynchus cepedianus</x:v>
      </x:c>
      <x:c r="O85" s="62" t="n">
        <x:v>4.68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Notorynchus cepedianus</x:v>
      </x:c>
      <x:c r="T85" s="62" t="n">
        <x:f>IF(O85="","",(1/'Metadata'!$B$5)^(O85-1))</x:f>
        <x:v>4786.30092322638</x:v>
      </x:c>
      <x:c r="U85" s="60" t="n">
        <x:f>IF(T85="","",I85*T85)</x:f>
        <x:v>120514.89907611869</x:v>
      </x:c>
    </x:row>
    <x:row r="86" ht="18" customHeight="1">
      <x:c r="A86" s="46" t="str">
        <x:v>LME_042</x:v>
      </x:c>
      <x:c r="B86" s="46" t="str">
        <x:v>Southeast Australian Shelf</x:v>
      </x:c>
      <x:c r="C86" s="46" t="str">
        <x:v>LME</x:v>
      </x:c>
      <x:c r="D86" s="58" t="n">
        <x:v>2019</x:v>
      </x:c>
      <x:c r="E86" s="46" t="str">
        <x:v>Galeorhinus galeus</x:v>
      </x:c>
      <x:c r="F86" s="46" t="str">
        <x:v>Tope shark</x:v>
      </x:c>
      <x:c r="G86" s="46" t="str">
        <x:v>Large sharks (&gt;=90 cm)</x:v>
      </x:c>
      <x:c r="H86" s="46" t="str">
        <x:v>Sharks &amp; rays</x:v>
      </x:c>
      <x:c r="I86" s="60" t="n">
        <x:v>25.1551160475</x:v>
      </x:c>
      <x:c r="J86" s="60" t="n">
        <x:v>25.1551160475</x:v>
      </x:c>
      <x:c r="K86" s="60" t="n">
        <x:v>0</x:v>
      </x:c>
      <x:c r="L86" s="60" t="n">
        <x:v>25.066588554600003</x:v>
      </x:c>
      <x:c r="M86" s="60" t="n">
        <x:v>0.0885274929</x:v>
      </x:c>
      <x:c r="N86" s="46" t="str">
        <x:v>galeorhinus galeus</x:v>
      </x:c>
      <x:c r="O86" s="62" t="n">
        <x:v>4.34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Galeorhinus galeus</x:v>
      </x:c>
      <x:c r="T86" s="62" t="n">
        <x:f>IF(O86="","",(1/'Metadata'!$B$5)^(O86-1))</x:f>
        <x:v>2187.761623949552</x:v>
      </x:c>
      <x:c r="U86" s="60" t="n">
        <x:f>IF(T86="","",I86*T86)</x:f>
        <x:v>55033.39753471804</x:v>
      </x:c>
    </x:row>
    <x:row r="87" ht="18" customHeight="1">
      <x:c r="A87" s="46" t="str">
        <x:v>LME_042</x:v>
      </x:c>
      <x:c r="B87" s="46" t="str">
        <x:v>Southeast Australian Shelf</x:v>
      </x:c>
      <x:c r="C87" s="46" t="str">
        <x:v>LME</x:v>
      </x:c>
      <x:c r="D87" s="58" t="n">
        <x:v>2019</x:v>
      </x:c>
      <x:c r="E87" s="46" t="str">
        <x:v>Xiphias gladius</x:v>
      </x:c>
      <x:c r="F87" s="46" t="str">
        <x:v>Swordfish</x:v>
      </x:c>
      <x:c r="G87" s="46" t="str">
        <x:v>Large pelagics (&gt;=90 cm)</x:v>
      </x:c>
      <x:c r="H87" s="46" t="str">
        <x:v>Tuna &amp; billfishes</x:v>
      </x:c>
      <x:c r="I87" s="60" t="n">
        <x:v>25.151298999</x:v>
      </x:c>
      <x:c r="J87" s="60" t="n">
        <x:v>20.9776165324</x:v>
      </x:c>
      <x:c r="K87" s="60" t="n">
        <x:v>4.1736824666</x:v>
      </x:c>
      <x:c r="L87" s="60" t="n">
        <x:v>17.3719725513</x:v>
      </x:c>
      <x:c r="M87" s="60" t="n">
        <x:v>7.7793264477</x:v>
      </x:c>
      <x:c r="N87" s="46" t="str">
        <x:v>xiphias gladius</x:v>
      </x:c>
      <x:c r="O87" s="62" t="n">
        <x:v>4.53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Xiphias gladius</x:v>
      </x:c>
      <x:c r="T87" s="62" t="n">
        <x:f>IF(O87="","",(1/'Metadata'!$B$5)^(O87-1))</x:f>
        <x:v>3388.4415613920273</x:v>
      </x:c>
      <x:c r="U87" s="60" t="n">
        <x:f>IF(T87="","",I87*T87)</x:f>
        <x:v>85223.7068512093</x:v>
      </x:c>
    </x:row>
    <x:row r="88" ht="18" customHeight="1">
      <x:c r="A88" s="46" t="str">
        <x:v>LME_042</x:v>
      </x:c>
      <x:c r="B88" s="46" t="str">
        <x:v>Southeast Australian Shelf</x:v>
      </x:c>
      <x:c r="C88" s="46" t="str">
        <x:v>LME</x:v>
      </x:c>
      <x:c r="D88" s="58" t="n">
        <x:v>2019</x:v>
      </x:c>
      <x:c r="E88" s="46" t="str">
        <x:v>Triakidae</x:v>
      </x:c>
      <x:c r="F88" s="46" t="str">
        <x:v>Houndsharks</x:v>
      </x:c>
      <x:c r="G88" s="46" t="str">
        <x:v>Large sharks (&gt;=90 cm)</x:v>
      </x:c>
      <x:c r="H88" s="46" t="str">
        <x:v>Sharks &amp; rays</x:v>
      </x:c>
      <x:c r="I88" s="60" t="n">
        <x:v>24.697154219199998</x:v>
      </x:c>
      <x:c r="J88" s="60" t="n">
        <x:v>24.697154219199998</x:v>
      </x:c>
      <x:c r="K88" s="60" t="n">
        <x:v>0</x:v>
      </x:c>
      <x:c r="L88" s="60" t="n">
        <x:v>23.3728315812</x:v>
      </x:c>
      <x:c r="M88" s="60" t="n">
        <x:v>1.324322638</x:v>
      </x:c>
      <x:c r="N88" s="46" t="str">
        <x:v>triakidae</x:v>
      </x:c>
      <x:c r="O88" s="62" t="n">
        <x:v>3.82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Triakidae</x:v>
      </x:c>
      <x:c r="T88" s="62" t="n">
        <x:f>IF(O88="","",(1/'Metadata'!$B$5)^(O88-1))</x:f>
        <x:v>660.6934480075957</x:v>
      </x:c>
      <x:c r="U88" s="60" t="n">
        <x:f>IF(T88="","",I88*T88)</x:f>
        <x:v>16317.247977058589</x:v>
      </x:c>
    </x:row>
    <x:row r="89" ht="18" customHeight="1">
      <x:c r="A89" s="46" t="str">
        <x:v>LME_042</x:v>
      </x:c>
      <x:c r="B89" s="46" t="str">
        <x:v>Southeast Australian Shelf</x:v>
      </x:c>
      <x:c r="C89" s="46" t="str">
        <x:v>LME</x:v>
      </x:c>
      <x:c r="D89" s="58" t="n">
        <x:v>2019</x:v>
      </x:c>
      <x:c r="E89" s="46" t="str">
        <x:v>Chelidonichthys kumu</x:v>
      </x:c>
      <x:c r="F89" s="46" t="str">
        <x:v>Bluefin gurnard</x:v>
      </x:c>
      <x:c r="G89" s="46" t="str">
        <x:v>Medium demersals (30 - 89 cm)</x:v>
      </x:c>
      <x:c r="H89" s="46" t="str">
        <x:v>Scorpionfishes</x:v>
      </x:c>
      <x:c r="I89" s="60" t="n">
        <x:v>24.0636402454</x:v>
      </x:c>
      <x:c r="J89" s="60" t="n">
        <x:v>23.531626907699998</x:v>
      </x:c>
      <x:c r="K89" s="60" t="n">
        <x:v>0.5320133377</x:v>
      </x:c>
      <x:c r="L89" s="60" t="n">
        <x:v>23.530085429499998</x:v>
      </x:c>
      <x:c r="M89" s="60" t="n">
        <x:v>0.5335548159</x:v>
      </x:c>
      <x:c r="N89" s="46" t="str">
        <x:v>chelidonichthys kumu</x:v>
      </x:c>
      <x:c r="O89" s="62" t="n">
        <x:v>3.68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Chelidonichthys kumu</x:v>
      </x:c>
      <x:c r="T89" s="62" t="n">
        <x:f>IF(O89="","",(1/'Metadata'!$B$5)^(O89-1))</x:f>
        <x:v>478.6300923226385</x:v>
      </x:c>
      <x:c r="U89" s="60" t="n">
        <x:f>IF(T89="","",I89*T89)</x:f>
        <x:v>11517.582352274561</x:v>
      </x:c>
    </x:row>
    <x:row r="90" ht="18" customHeight="1">
      <x:c r="A90" s="46" t="str">
        <x:v>LME_042</x:v>
      </x:c>
      <x:c r="B90" s="46" t="str">
        <x:v>Southeast Australian Shelf</x:v>
      </x:c>
      <x:c r="C90" s="46" t="str">
        <x:v>LME</x:v>
      </x:c>
      <x:c r="D90" s="58" t="n">
        <x:v>2019</x:v>
      </x:c>
      <x:c r="E90" s="46" t="str">
        <x:v>Squaliformes</x:v>
      </x:c>
      <x:c r="F90" s="46" t="str">
        <x:v>Bramble, sleeper, dogfish sharks</x:v>
      </x:c>
      <x:c r="G90" s="46" t="str">
        <x:v>Large sharks (&gt;=90 cm)</x:v>
      </x:c>
      <x:c r="H90" s="46" t="str">
        <x:v>Sharks &amp; rays</x:v>
      </x:c>
      <x:c r="I90" s="60" t="n">
        <x:v>23.1226026539</x:v>
      </x:c>
      <x:c r="J90" s="60" t="n">
        <x:v>9.2942962886</x:v>
      </x:c>
      <x:c r="K90" s="60" t="n">
        <x:v>13.8283063653</x:v>
      </x:c>
      <x:c r="L90" s="60" t="n">
        <x:v>9.2942299686</x:v>
      </x:c>
      <x:c r="M90" s="60" t="n">
        <x:v>13.8283726853</x:v>
      </x:c>
      <x:c r="N90" s="46" t="str">
        <x:v>squaliformes</x:v>
      </x:c>
      <x:c r="O90" s="62" t="n">
        <x:v>4.19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Squaliformes</x:v>
      </x:c>
      <x:c r="T90" s="62" t="n">
        <x:f>IF(O90="","",(1/'Metadata'!$B$5)^(O90-1))</x:f>
        <x:v>1548.8166189124827</x:v>
      </x:c>
      <x:c r="U90" s="60" t="n">
        <x:f>IF(T90="","",I90*T90)</x:f>
        <x:v>35812.67126287019</x:v>
      </x:c>
    </x:row>
    <x:row r="91" ht="18" customHeight="1">
      <x:c r="A91" s="46" t="str">
        <x:v>LME_042</x:v>
      </x:c>
      <x:c r="B91" s="46" t="str">
        <x:v>Southeast Australian Shelf</x:v>
      </x:c>
      <x:c r="C91" s="46" t="str">
        <x:v>LME</x:v>
      </x:c>
      <x:c r="D91" s="58" t="n">
        <x:v>2019</x:v>
      </x:c>
      <x:c r="E91" s="46" t="str">
        <x:v>Sciaenidae</x:v>
      </x:c>
      <x:c r="F91" s="46" t="str">
        <x:v>Drums, croakers</x:v>
      </x:c>
      <x:c r="G91" s="46" t="str">
        <x:v>Medium demersals (30 - 89 cm)</x:v>
      </x:c>
      <x:c r="H91" s="46" t="str">
        <x:v>Perch-likes</x:v>
      </x:c>
      <x:c r="I91" s="60" t="n">
        <x:v>22.1186075193</x:v>
      </x:c>
      <x:c r="J91" s="60" t="n">
        <x:v>22.1008254511</x:v>
      </x:c>
      <x:c r="K91" s="60" t="n">
        <x:v>0.0177820682</x:v>
      </x:c>
      <x:c r="L91" s="60" t="n">
        <x:v>0.046291634400000004</x:v>
      </x:c>
      <x:c r="M91" s="60" t="n">
        <x:v>22.0723158849</x:v>
      </x:c>
      <x:c r="N91" s="46" t="str">
        <x:v>sciaenidae</x:v>
      </x:c>
      <x:c r="O91" s="62" t="n">
        <x:v>3.76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Sciaenidae</x:v>
      </x:c>
      <x:c r="T91" s="62" t="n">
        <x:f>IF(O91="","",(1/'Metadata'!$B$5)^(O91-1))</x:f>
        <x:v>575.4399373371566</x:v>
      </x:c>
      <x:c r="U91" s="60" t="n">
        <x:f>IF(T91="","",I91*T91)</x:f>
        <x:v>12727.930124891152</x:v>
      </x:c>
    </x:row>
    <x:row r="92" ht="18" customHeight="1">
      <x:c r="A92" s="46" t="str">
        <x:v>LME_042</x:v>
      </x:c>
      <x:c r="B92" s="46" t="str">
        <x:v>Southeast Australian Shelf</x:v>
      </x:c>
      <x:c r="C92" s="46" t="str">
        <x:v>LME</x:v>
      </x:c>
      <x:c r="D92" s="58" t="n">
        <x:v>2019</x:v>
      </x:c>
      <x:c r="E92" s="46" t="str">
        <x:v>Sphyrnidae</x:v>
      </x:c>
      <x:c r="F92" s="46" t="str">
        <x:v>Hammer, bonnet, scoophead sharks</x:v>
      </x:c>
      <x:c r="G92" s="46" t="str">
        <x:v>Large sharks (&gt;=90 cm)</x:v>
      </x:c>
      <x:c r="H92" s="46" t="str">
        <x:v>Sharks &amp; rays</x:v>
      </x:c>
      <x:c r="I92" s="60" t="n">
        <x:v>21.5880262584</x:v>
      </x:c>
      <x:c r="J92" s="60" t="n">
        <x:v>21.5880262584</x:v>
      </x:c>
      <x:c r="K92" s="60" t="n">
        <x:v>0</x:v>
      </x:c>
      <x:c r="L92" s="60" t="n">
        <x:v>16.8755909892</x:v>
      </x:c>
      <x:c r="M92" s="60" t="n">
        <x:v>4.7124352692</x:v>
      </x:c>
      <x:c r="N92" s="46" t="str">
        <x:v>sphyrnidae</x:v>
      </x:c>
      <x:c r="O92" s="62" t="n">
        <x:v>4.19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Sphyrnidae</x:v>
      </x:c>
      <x:c r="T92" s="62" t="n">
        <x:f>IF(O92="","",(1/'Metadata'!$B$5)^(O92-1))</x:f>
        <x:v>1548.8166189124827</x:v>
      </x:c>
      <x:c r="U92" s="60" t="n">
        <x:f>IF(T92="","",I92*T92)</x:f>
        <x:v>33435.89383852898</x:v>
      </x:c>
    </x:row>
    <x:row r="93" ht="18" customHeight="1">
      <x:c r="A93" s="46" t="str">
        <x:v>LME_042</x:v>
      </x:c>
      <x:c r="B93" s="46" t="str">
        <x:v>Southeast Australian Shelf</x:v>
      </x:c>
      <x:c r="C93" s="46" t="str">
        <x:v>LME</x:v>
      </x:c>
      <x:c r="D93" s="58" t="n">
        <x:v>2019</x:v>
      </x:c>
      <x:c r="E93" s="46" t="str">
        <x:v>Bivalvia</x:v>
      </x:c>
      <x:c r="F93" s="46" t="str">
        <x:v>Clams</x:v>
      </x:c>
      <x:c r="G93" s="46" t="str">
        <x:v>Other demersal invertebrates</x:v>
      </x:c>
      <x:c r="H93" s="46" t="str">
        <x:v>Molluscs</x:v>
      </x:c>
      <x:c r="I93" s="60" t="n">
        <x:v>19.4398849355</x:v>
      </x:c>
      <x:c r="J93" s="60" t="n">
        <x:v>19.4398849355</x:v>
      </x:c>
      <x:c r="K93" s="60" t="n">
        <x:v>0</x:v>
      </x:c>
      <x:c r="L93" s="60" t="n">
        <x:v>19.4398849355</x:v>
      </x:c>
      <x:c r="M93" s="60" t="n">
        <x:v>0</x:v>
      </x:c>
      <x:c r="N93" s="46" t="str">
        <x:v>bivalvia</x:v>
      </x:c>
      <x:c r="O93" s="62" t="n">
        <x:v>2.23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Bivalvia</x:v>
      </x:c>
      <x:c r="T93" s="62" t="n">
        <x:f>IF(O93="","",(1/'Metadata'!$B$5)^(O93-1))</x:f>
        <x:v>16.982436524617444</x:v>
      </x:c>
      <x:c r="U93" s="60" t="n">
        <x:f>IF(T93="","",I93*T93)</x:f>
        <x:v>330.13661196299563</x:v>
      </x:c>
    </x:row>
    <x:row r="94" ht="18" customHeight="1">
      <x:c r="A94" s="46" t="str">
        <x:v>LME_042</x:v>
      </x:c>
      <x:c r="B94" s="46" t="str">
        <x:v>Southeast Australian Shelf</x:v>
      </x:c>
      <x:c r="C94" s="46" t="str">
        <x:v>LME</x:v>
      </x:c>
      <x:c r="D94" s="58" t="n">
        <x:v>2019</x:v>
      </x:c>
      <x:c r="E94" s="46" t="str">
        <x:v>Clupeidae</x:v>
      </x:c>
      <x:c r="F94" s="46" t="str">
        <x:v>Herrings, sardines, menhadens</x:v>
      </x:c>
      <x:c r="G94" s="46" t="str">
        <x:v>Small pelagics (&lt;30 cm)</x:v>
      </x:c>
      <x:c r="H94" s="46" t="str">
        <x:v>Herring-likes</x:v>
      </x:c>
      <x:c r="I94" s="60" t="n">
        <x:v>19.4074443418</x:v>
      </x:c>
      <x:c r="J94" s="60" t="n">
        <x:v>18.2636210322</x:v>
      </x:c>
      <x:c r="K94" s="60" t="n">
        <x:v>1.1438233096</x:v>
      </x:c>
      <x:c r="L94" s="60" t="n">
        <x:v>17.4050845756</x:v>
      </x:c>
      <x:c r="M94" s="60" t="n">
        <x:v>2.0023597661999997</x:v>
      </x:c>
      <x:c r="N94" s="46" t="str">
        <x:v>clupeidae</x:v>
      </x:c>
      <x:c r="O94" s="62" t="n">
        <x:v>3.16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Clupeidae</x:v>
      </x:c>
      <x:c r="T94" s="62" t="n">
        <x:f>IF(O94="","",(1/'Metadata'!$B$5)^(O94-1))</x:f>
        <x:v>144.5439770745928</x:v>
      </x:c>
      <x:c r="U94" s="60" t="n">
        <x:f>IF(T94="","",I94*T94)</x:f>
        <x:v>2805.229190017575</x:v>
      </x:c>
    </x:row>
    <x:row r="95" ht="18" customHeight="1">
      <x:c r="A95" s="46" t="str">
        <x:v>LME_042</x:v>
      </x:c>
      <x:c r="B95" s="46" t="str">
        <x:v>Southeast Australian Shelf</x:v>
      </x:c>
      <x:c r="C95" s="46" t="str">
        <x:v>LME</x:v>
      </x:c>
      <x:c r="D95" s="58" t="n">
        <x:v>2019</x:v>
      </x:c>
      <x:c r="E95" s="46" t="str">
        <x:v>Neocyttus rhomboidalis</x:v>
      </x:c>
      <x:c r="F95" s="46" t="str">
        <x:v>Spiky oreo</x:v>
      </x:c>
      <x:c r="G95" s="46" t="str">
        <x:v>Medium bathypelagics (30 - 89 cm)</x:v>
      </x:c>
      <x:c r="H95" s="46" t="str">
        <x:v>Other fishes &amp; inverts</x:v>
      </x:c>
      <x:c r="I95" s="60" t="n">
        <x:v>17.883355878299998</x:v>
      </x:c>
      <x:c r="J95" s="60" t="n">
        <x:v>17.883355878299998</x:v>
      </x:c>
      <x:c r="K95" s="60" t="n">
        <x:v>0</x:v>
      </x:c>
      <x:c r="L95" s="60" t="n">
        <x:v>17.883355878299998</x:v>
      </x:c>
      <x:c r="M95" s="60" t="n">
        <x:v>0</x:v>
      </x:c>
      <x:c r="N95" s="46" t="str">
        <x:v>neocyttus rhomboidalis</x:v>
      </x:c>
      <x:c r="O95" s="62" t="n">
        <x:v>3.58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Neocyttus rhomboidalis</x:v>
      </x:c>
      <x:c r="T95" s="62" t="n">
        <x:f>IF(O95="","",(1/'Metadata'!$B$5)^(O95-1))</x:f>
        <x:v>380.1893963205613</x:v>
      </x:c>
      <x:c r="U95" s="60" t="n">
        <x:f>IF(T95="","",I95*T95)</x:f>
        <x:v>6799.062275556637</x:v>
      </x:c>
    </x:row>
    <x:row r="96" ht="18" customHeight="1">
      <x:c r="A96" s="46" t="str">
        <x:v>LME_042</x:v>
      </x:c>
      <x:c r="B96" s="46" t="str">
        <x:v>Southeast Australian Shelf</x:v>
      </x:c>
      <x:c r="C96" s="46" t="str">
        <x:v>LME</x:v>
      </x:c>
      <x:c r="D96" s="58" t="n">
        <x:v>2019</x:v>
      </x:c>
      <x:c r="E96" s="46" t="str">
        <x:v>Mora moro</x:v>
      </x:c>
      <x:c r="F96" s="46" t="str">
        <x:v>Common mora</x:v>
      </x:c>
      <x:c r="G96" s="46" t="str">
        <x:v>Medium bathypelagics (30 - 89 cm)</x:v>
      </x:c>
      <x:c r="H96" s="46" t="str">
        <x:v>Cod-likes</x:v>
      </x:c>
      <x:c r="I96" s="60" t="n">
        <x:v>17.1625440237</x:v>
      </x:c>
      <x:c r="J96" s="60" t="n">
        <x:v>17.1625440237</x:v>
      </x:c>
      <x:c r="K96" s="60" t="n">
        <x:v>0</x:v>
      </x:c>
      <x:c r="L96" s="60" t="n">
        <x:v>17.1625440237</x:v>
      </x:c>
      <x:c r="M96" s="60" t="n">
        <x:v>0</x:v>
      </x:c>
      <x:c r="N96" s="46" t="str">
        <x:v>mora moro</x:v>
      </x:c>
      <x:c r="O96" s="62" t="n">
        <x:v>3.75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Mora moro</x:v>
      </x:c>
      <x:c r="T96" s="62" t="n">
        <x:f>IF(O96="","",(1/'Metadata'!$B$5)^(O96-1))</x:f>
        <x:v>562.341325190349</x:v>
      </x:c>
      <x:c r="U96" s="60" t="n">
        <x:f>IF(T96="","",I96*T96)</x:f>
        <x:v>9651.207749925163</x:v>
      </x:c>
    </x:row>
    <x:row r="97" ht="18" customHeight="1">
      <x:c r="A97" s="46" t="str">
        <x:v>LME_042</x:v>
      </x:c>
      <x:c r="B97" s="46" t="str">
        <x:v>Southeast Australian Shelf</x:v>
      </x:c>
      <x:c r="C97" s="46" t="str">
        <x:v>LME</x:v>
      </x:c>
      <x:c r="D97" s="58" t="n">
        <x:v>2019</x:v>
      </x:c>
      <x:c r="E97" s="46" t="str">
        <x:v>Istiompax indica</x:v>
      </x:c>
      <x:c r="F97" s="46" t="str">
        <x:v>Black marlin</x:v>
      </x:c>
      <x:c r="G97" s="46" t="str">
        <x:v>Large pelagics (&gt;=90 cm)</x:v>
      </x:c>
      <x:c r="H97" s="46" t="str">
        <x:v>Tuna &amp; billfishes</x:v>
      </x:c>
      <x:c r="I97" s="60" t="n">
        <x:v>16.817925434699998</x:v>
      </x:c>
      <x:c r="J97" s="60" t="n">
        <x:v>16.817925434699998</x:v>
      </x:c>
      <x:c r="K97" s="60" t="n">
        <x:v>0</x:v>
      </x:c>
      <x:c r="L97" s="60" t="n">
        <x:v>0.0816494724</x:v>
      </x:c>
      <x:c r="M97" s="60" t="n">
        <x:v>16.7362759623</x:v>
      </x:c>
      <x:c r="N97" s="46" t="str">
        <x:v>istiompax indica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Istiompax indica</x:v>
      </x:c>
      <x:c r="T97" s="62" t="n">
        <x:f>IF(O97="","",(1/'Metadata'!$B$5)^(O97-1))</x:f>
        <x:v>3162.2776601683795</x:v>
      </x:c>
      <x:c r="U97" s="60" t="n">
        <x:f>IF(T97="","",I97*T97)</x:f>
        <x:v>53182.94989252939</x:v>
      </x:c>
    </x:row>
    <x:row r="98" ht="18" customHeight="1">
      <x:c r="A98" s="46" t="str">
        <x:v>LME_042</x:v>
      </x:c>
      <x:c r="B98" s="46" t="str">
        <x:v>Southeast Australian Shelf</x:v>
      </x:c>
      <x:c r="C98" s="46" t="str">
        <x:v>LME</x:v>
      </x:c>
      <x:c r="D98" s="58" t="n">
        <x:v>2019</x:v>
      </x:c>
      <x:c r="E98" s="46" t="str">
        <x:v>Scomberomorus</x:v>
      </x:c>
      <x:c r="F98" s="46" t="str">
        <x:v>Spanish mackerels</x:v>
      </x:c>
      <x:c r="G98" s="46" t="str">
        <x:v>Large pelagics (&gt;=90 cm)</x:v>
      </x:c>
      <x:c r="H98" s="46" t="str">
        <x:v>Perch-likes</x:v>
      </x:c>
      <x:c r="I98" s="60" t="n">
        <x:v>16.3842058616</x:v>
      </x:c>
      <x:c r="J98" s="60" t="n">
        <x:v>16.3842058616</x:v>
      </x:c>
      <x:c r="K98" s="60" t="n">
        <x:v>0</x:v>
      </x:c>
      <x:c r="L98" s="60" t="n">
        <x:v>9.0463142431</x:v>
      </x:c>
      <x:c r="M98" s="60" t="n">
        <x:v>7.3378916185</x:v>
      </x:c>
      <x:c r="N98" s="46" t="str">
        <x:v>scomberomorus</x:v>
      </x:c>
      <x:c r="O98" s="62" t="n">
        <x:v>4.35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Scomberomorus</x:v>
      </x:c>
      <x:c r="T98" s="62" t="n">
        <x:f>IF(O98="","",(1/'Metadata'!$B$5)^(O98-1))</x:f>
        <x:v>2238.7211385683377</x:v>
      </x:c>
      <x:c r="U98" s="60" t="n">
        <x:f>IF(T98="","",I98*T98)</x:f>
        <x:v>36679.668001019185</x:v>
      </x:c>
    </x:row>
    <x:row r="99" ht="18" customHeight="1">
      <x:c r="A99" s="46" t="str">
        <x:v>LME_042</x:v>
      </x:c>
      <x:c r="B99" s="46" t="str">
        <x:v>Southeast Australian Shelf</x:v>
      </x:c>
      <x:c r="C99" s="46" t="str">
        <x:v>LME</x:v>
      </x:c>
      <x:c r="D99" s="58" t="n">
        <x:v>2019</x:v>
      </x:c>
      <x:c r="E99" s="46" t="str">
        <x:v>Sphyraena novaehollandiae</x:v>
      </x:c>
      <x:c r="F99" s="46" t="str">
        <x:v>Australian barracuda</x:v>
      </x:c>
      <x:c r="G99" s="46" t="str">
        <x:v>Medium pelagics (30 - 89 cm)</x:v>
      </x:c>
      <x:c r="H99" s="46" t="str">
        <x:v>Perch-likes</x:v>
      </x:c>
      <x:c r="I99" s="60" t="n">
        <x:v>14.9339469528</x:v>
      </x:c>
      <x:c r="J99" s="60" t="n">
        <x:v>14.9339469528</x:v>
      </x:c>
      <x:c r="K99" s="60" t="n">
        <x:v>0</x:v>
      </x:c>
      <x:c r="L99" s="60" t="n">
        <x:v>13.859181494400001</x:v>
      </x:c>
      <x:c r="M99" s="60" t="n">
        <x:v>1.0747654584</x:v>
      </x:c>
      <x:c r="N99" s="46" t="str">
        <x:v>sphyraena novaehollandiae</x:v>
      </x:c>
      <x:c r="O99" s="62" t="n">
        <x:v>4.5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Sphyraena novaehollandiae</x:v>
      </x:c>
      <x:c r="T99" s="62" t="n">
        <x:f>IF(O99="","",(1/'Metadata'!$B$5)^(O99-1))</x:f>
        <x:v>3162.2776601683795</x:v>
      </x:c>
      <x:c r="U99" s="60" t="n">
        <x:f>IF(T99="","",I99*T99)</x:f>
        <x:v>47225.286826979085</x:v>
      </x:c>
    </x:row>
    <x:row r="100" ht="18" customHeight="1">
      <x:c r="A100" s="46" t="str">
        <x:v>LME_042</x:v>
      </x:c>
      <x:c r="B100" s="46" t="str">
        <x:v>Southeast Australian Shelf</x:v>
      </x:c>
      <x:c r="C100" s="46" t="str">
        <x:v>LME</x:v>
      </x:c>
      <x:c r="D100" s="58" t="n">
        <x:v>2019</x:v>
      </x:c>
      <x:c r="E100" s="46" t="str">
        <x:v>Seriola</x:v>
      </x:c>
      <x:c r="F100" s="46" t="str">
        <x:v>Amberjacks</x:v>
      </x:c>
      <x:c r="G100" s="46" t="str">
        <x:v>Large benthopelagics (&gt;=90 cm)</x:v>
      </x:c>
      <x:c r="H100" s="46" t="str">
        <x:v>Perch-likes</x:v>
      </x:c>
      <x:c r="I100" s="60" t="n">
        <x:v>14.477281443299999</x:v>
      </x:c>
      <x:c r="J100" s="60" t="n">
        <x:v>14.477281443299999</x:v>
      </x:c>
      <x:c r="K100" s="60" t="n">
        <x:v>0</x:v>
      </x:c>
      <x:c r="L100" s="60" t="n">
        <x:v>2.5627799079</x:v>
      </x:c>
      <x:c r="M100" s="60" t="n">
        <x:v>11.9145015354</x:v>
      </x:c>
      <x:c r="N100" s="46" t="str">
        <x:v>seriola</x:v>
      </x:c>
      <x:c r="O100" s="62" t="n">
        <x:v>4.39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Seriola</x:v>
      </x:c>
      <x:c r="T100" s="62" t="n">
        <x:f>IF(O100="","",(1/'Metadata'!$B$5)^(O100-1))</x:f>
        <x:v>2454.7089156850284</x:v>
      </x:c>
      <x:c r="U100" s="60" t="n">
        <x:f>IF(T100="","",I100*T100)</x:f>
        <x:v>35537.51183374992</x:v>
      </x:c>
    </x:row>
    <x:row r="101" ht="18" customHeight="1">
      <x:c r="A101" s="46" t="str">
        <x:v>LME_042</x:v>
      </x:c>
      <x:c r="B101" s="46" t="str">
        <x:v>Southeast Australian Shelf</x:v>
      </x:c>
      <x:c r="C101" s="46" t="str">
        <x:v>LME</x:v>
      </x:c>
      <x:c r="D101" s="58" t="n">
        <x:v>2019</x:v>
      </x:c>
      <x:c r="E101" s="46" t="str">
        <x:v>Portunus pelagicus</x:v>
      </x:c>
      <x:c r="F101" s="46" t="str">
        <x:v>Blue swimming crab</x:v>
      </x:c>
      <x:c r="G101" s="46" t="str">
        <x:v>Lobsters, crabs</x:v>
      </x:c>
      <x:c r="H101" s="46" t="str">
        <x:v>Crustaceans</x:v>
      </x:c>
      <x:c r="I101" s="60" t="n">
        <x:v>13.7008974873</x:v>
      </x:c>
      <x:c r="J101" s="60" t="n">
        <x:v>12.6498788468</x:v>
      </x:c>
      <x:c r="K101" s="60" t="n">
        <x:v>1.0510186405</x:v>
      </x:c>
      <x:c r="L101" s="60" t="n">
        <x:v>2.0024399116000002</x:v>
      </x:c>
      <x:c r="M101" s="60" t="n">
        <x:v>11.6984575757</x:v>
      </x:c>
      <x:c r="N101" s="46" t="str">
        <x:v>portunus pelagicus</x:v>
      </x:c>
      <x:c r="O101" s="62" t="n">
        <x:v>2.48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Portunus pelagicus</x:v>
      </x:c>
      <x:c r="T101" s="62" t="n">
        <x:f>IF(O101="","",(1/'Metadata'!$B$5)^(O101-1))</x:f>
        <x:v>30.19951720402016</x:v>
      </x:c>
      <x:c r="U101" s="60" t="n">
        <x:f>IF(T101="","",I101*T101)</x:f>
        <x:v>413.760489378233</x:v>
      </x:c>
    </x:row>
    <x:row r="102" ht="18" customHeight="1">
      <x:c r="A102" s="46" t="str">
        <x:v>LME_042</x:v>
      </x:c>
      <x:c r="B102" s="46" t="str">
        <x:v>Southeast Australian Shelf</x:v>
      </x:c>
      <x:c r="C102" s="46" t="str">
        <x:v>LME</x:v>
      </x:c>
      <x:c r="D102" s="58" t="n">
        <x:v>2019</x:v>
      </x:c>
      <x:c r="E102" s="46" t="str">
        <x:v>Cyprinus carpio</x:v>
      </x:c>
      <x:c r="F102" s="46" t="str">
        <x:v>Common carp</x:v>
      </x:c>
      <x:c r="G102" s="46" t="str">
        <x:v>Large benthopelagics (&gt;=90 cm)</x:v>
      </x:c>
      <x:c r="H102" s="46" t="str">
        <x:v>Other fishes &amp; inverts</x:v>
      </x:c>
      <x:c r="I102" s="60" t="n">
        <x:v>12.7897192784</x:v>
      </x:c>
      <x:c r="J102" s="60" t="n">
        <x:v>12.7897192784</x:v>
      </x:c>
      <x:c r="K102" s="60" t="n">
        <x:v>0</x:v>
      </x:c>
      <x:c r="L102" s="60" t="n">
        <x:v>12.7897192784</x:v>
      </x:c>
      <x:c r="M102" s="60" t="n">
        <x:v>0</x:v>
      </x:c>
      <x:c r="N102" s="46" t="str">
        <x:v>cyprinus carpio</x:v>
      </x:c>
      <x:c r="O102" s="62" t="n">
        <x:v>3.06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Cyprinus carpio</x:v>
      </x:c>
      <x:c r="T102" s="62" t="n">
        <x:f>IF(O102="","",(1/'Metadata'!$B$5)^(O102-1))</x:f>
        <x:v>114.81536214968828</x:v>
      </x:c>
      <x:c r="U102" s="60" t="n">
        <x:f>IF(T102="","",I102*T102)</x:f>
        <x:v>1468.456250742346</x:v>
      </x:c>
    </x:row>
    <x:row r="103" ht="18" customHeight="1">
      <x:c r="A103" s="46" t="str">
        <x:v>LME_042</x:v>
      </x:c>
      <x:c r="B103" s="46" t="str">
        <x:v>Southeast Australian Shelf</x:v>
      </x:c>
      <x:c r="C103" s="46" t="str">
        <x:v>LME</x:v>
      </x:c>
      <x:c r="D103" s="58" t="n">
        <x:v>2019</x:v>
      </x:c>
      <x:c r="E103" s="46" t="str">
        <x:v>Portunus armatus</x:v>
      </x:c>
      <x:c r="F103" s="46" t="str">
        <x:v>Blue swimmer crab</x:v>
      </x:c>
      <x:c r="G103" s="46" t="str">
        <x:v>Lobsters, crabs</x:v>
      </x:c>
      <x:c r="H103" s="46" t="str">
        <x:v>Crustaceans</x:v>
      </x:c>
      <x:c r="I103" s="60" t="n">
        <x:v>11.1250095384</x:v>
      </x:c>
      <x:c r="J103" s="60" t="n">
        <x:v>11.1250095384</x:v>
      </x:c>
      <x:c r="K103" s="60" t="n">
        <x:v>0</x:v>
      </x:c>
      <x:c r="L103" s="60" t="n">
        <x:v>0</x:v>
      </x:c>
      <x:c r="M103" s="60" t="n">
        <x:v>11.1250095384</x:v>
      </x:c>
      <x:c r="N103" s="46" t="str">
        <x:v>portunus armatus</x:v>
      </x:c>
      <x:c r="O103" s="62" t="n">
        <x:v>3.26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Portunus armatus</x:v>
      </x:c>
      <x:c r="T103" s="62" t="n">
        <x:f>IF(O103="","",(1/'Metadata'!$B$5)^(O103-1))</x:f>
        <x:v>181.97008586099827</x:v>
      </x:c>
      <x:c r="U103" s="60" t="n">
        <x:f>IF(T103="","",I103*T103)</x:f>
        <x:v>2024.4189409070727</x:v>
      </x:c>
    </x:row>
    <x:row r="104" ht="18" customHeight="1">
      <x:c r="A104" s="46" t="str">
        <x:v>LME_042</x:v>
      </x:c>
      <x:c r="B104" s="46" t="str">
        <x:v>Southeast Australian Shelf</x:v>
      </x:c>
      <x:c r="C104" s="46" t="str">
        <x:v>LME</x:v>
      </x:c>
      <x:c r="D104" s="58" t="n">
        <x:v>2019</x:v>
      </x:c>
      <x:c r="E104" s="46" t="str">
        <x:v>Centriscidae</x:v>
      </x:c>
      <x:c r="F104" s="46" t="str">
        <x:v>Snipefishes, shrimpfishes</x:v>
      </x:c>
      <x:c r="G104" s="46" t="str">
        <x:v>Small benthopelagics (&lt;30 cm)</x:v>
      </x:c>
      <x:c r="H104" s="46" t="str">
        <x:v>Other fishes &amp; inverts</x:v>
      </x:c>
      <x:c r="I104" s="60" t="n">
        <x:v>11.0513501709</x:v>
      </x:c>
      <x:c r="J104" s="60" t="n">
        <x:v>0</x:v>
      </x:c>
      <x:c r="K104" s="60" t="n">
        <x:v>11.0513501709</x:v>
      </x:c>
      <x:c r="L104" s="60" t="n">
        <x:v>0</x:v>
      </x:c>
      <x:c r="M104" s="60" t="n">
        <x:v>11.0513501709</x:v>
      </x:c>
      <x:c r="N104" s="46" t="str">
        <x:v>centriscidae</x:v>
      </x:c>
      <x:c r="O104" s="62" t="n">
        <x:v>3.15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Centriscidae</x:v>
      </x:c>
      <x:c r="T104" s="62" t="n">
        <x:f>IF(O104="","",(1/'Metadata'!$B$5)^(O104-1))</x:f>
        <x:v>141.2537544622754</x:v>
      </x:c>
      <x:c r="U104" s="60" t="n">
        <x:f>IF(T104="","",I104*T104)</x:f>
        <x:v>1561.0447035169336</x:v>
      </x:c>
    </x:row>
    <x:row r="105" ht="18" customHeight="1">
      <x:c r="A105" s="46" t="str">
        <x:v>LME_042</x:v>
      </x:c>
      <x:c r="B105" s="46" t="str">
        <x:v>Southeast Australian Shelf</x:v>
      </x:c>
      <x:c r="C105" s="46" t="str">
        <x:v>LME</x:v>
      </x:c>
      <x:c r="D105" s="58" t="n">
        <x:v>2019</x:v>
      </x:c>
      <x:c r="E105" s="46" t="str">
        <x:v>Engraulidae</x:v>
      </x:c>
      <x:c r="F105" s="46" t="str">
        <x:v>Anchovies, round herrings</x:v>
      </x:c>
      <x:c r="G105" s="46" t="str">
        <x:v>Small pelagics (&lt;30 cm)</x:v>
      </x:c>
      <x:c r="H105" s="46" t="str">
        <x:v>Anchovies</x:v>
      </x:c>
      <x:c r="I105" s="60" t="n">
        <x:v>10.9019322023</x:v>
      </x:c>
      <x:c r="J105" s="60" t="n">
        <x:v>9.4145180969</x:v>
      </x:c>
      <x:c r="K105" s="60" t="n">
        <x:v>1.4874141054</x:v>
      </x:c>
      <x:c r="L105" s="60" t="n">
        <x:v>9.4144680432</x:v>
      </x:c>
      <x:c r="M105" s="60" t="n">
        <x:v>1.4874641591000002</x:v>
      </x:c>
      <x:c r="N105" s="46" t="str">
        <x:v>engraulidae</x:v>
      </x:c>
      <x:c r="O105" s="62" t="n">
        <x:v>3.2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Engraulidae</x:v>
      </x:c>
      <x:c r="T105" s="62" t="n">
        <x:f>IF(O105="","",(1/'Metadata'!$B$5)^(O105-1))</x:f>
        <x:v>158.48931924611142</x:v>
      </x:c>
      <x:c r="U105" s="60" t="n">
        <x:f>IF(T105="","",I105*T105)</x:f>
        <x:v>1727.839813209787</x:v>
      </x:c>
    </x:row>
    <x:row r="106" ht="18" customHeight="1">
      <x:c r="A106" s="46" t="str">
        <x:v>LME_042</x:v>
      </x:c>
      <x:c r="B106" s="46" t="str">
        <x:v>Southeast Australian Shelf</x:v>
      </x:c>
      <x:c r="C106" s="46" t="str">
        <x:v>LME</x:v>
      </x:c>
      <x:c r="D106" s="58" t="n">
        <x:v>2019</x:v>
      </x:c>
      <x:c r="E106" s="46" t="str">
        <x:v>Halargyreus johnsonii</x:v>
      </x:c>
      <x:c r="F106" s="46" t="str">
        <x:v>Slender codling</x:v>
      </x:c>
      <x:c r="G106" s="46" t="str">
        <x:v>Medium bathypelagics (30 - 89 cm)</x:v>
      </x:c>
      <x:c r="H106" s="46" t="str">
        <x:v>Cod-likes</x:v>
      </x:c>
      <x:c r="I106" s="60" t="n">
        <x:v>10.8128493321</x:v>
      </x:c>
      <x:c r="J106" s="60" t="n">
        <x:v>0.0073551024</x:v>
      </x:c>
      <x:c r="K106" s="60" t="n">
        <x:v>10.8054942297</x:v>
      </x:c>
      <x:c r="L106" s="60" t="n">
        <x:v>0.0073551024</x:v>
      </x:c>
      <x:c r="M106" s="60" t="n">
        <x:v>10.8054942297</x:v>
      </x:c>
      <x:c r="N106" s="46" t="str">
        <x:v>halargyreus johnsonii</x:v>
      </x:c>
      <x:c r="O106" s="62" t="n">
        <x:v>3.38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Halargyreus johnsonii</x:v>
      </x:c>
      <x:c r="T106" s="62" t="n">
        <x:f>IF(O106="","",(1/'Metadata'!$B$5)^(O106-1))</x:f>
        <x:v>239.88329190194898</x:v>
      </x:c>
      <x:c r="U106" s="60" t="n">
        <x:f>IF(T106="","",I106*T106)</x:f>
        <x:v>2593.8218926239388</x:v>
      </x:c>
    </x:row>
    <x:row r="107" ht="18" customHeight="1">
      <x:c r="A107" s="46" t="str">
        <x:v>LME_042</x:v>
      </x:c>
      <x:c r="B107" s="46" t="str">
        <x:v>Southeast Australian Shelf</x:v>
      </x:c>
      <x:c r="C107" s="46" t="str">
        <x:v>LME</x:v>
      </x:c>
      <x:c r="D107" s="58" t="n">
        <x:v>2019</x:v>
      </x:c>
      <x:c r="E107" s="46" t="str">
        <x:v>Pinna bicolor</x:v>
      </x:c>
      <x:c r="F107" s="46" t="str">
        <x:v>Bicolor pen shell</x:v>
      </x:c>
      <x:c r="G107" s="46" t="str">
        <x:v>Other demersal invertebrates</x:v>
      </x:c>
      <x:c r="H107" s="46" t="str">
        <x:v>Molluscs</x:v>
      </x:c>
      <x:c r="I107" s="60" t="n">
        <x:v>9.8619475495</x:v>
      </x:c>
      <x:c r="J107" s="60" t="n">
        <x:v>9.8619475495</x:v>
      </x:c>
      <x:c r="K107" s="60" t="n">
        <x:v>0</x:v>
      </x:c>
      <x:c r="L107" s="60" t="n">
        <x:v>0</x:v>
      </x:c>
      <x:c r="M107" s="60" t="n">
        <x:v>9.8619475495</x:v>
      </x:c>
      <x:c r="N107" s="46" t="str">
        <x:v>pinna bicolor</x:v>
      </x:c>
      <x:c r="O107" s="62" t="n">
        <x:v>2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Pinna bicolor</x:v>
      </x:c>
      <x:c r="T107" s="62" t="n">
        <x:f>IF(O107="","",(1/'Metadata'!$B$5)^(O107-1))</x:f>
        <x:v>10</x:v>
      </x:c>
      <x:c r="U107" s="60" t="n">
        <x:f>IF(T107="","",I107*T107)</x:f>
        <x:v>98.619475495</x:v>
      </x:c>
    </x:row>
    <x:row r="108" ht="18" customHeight="1">
      <x:c r="A108" s="46" t="str">
        <x:v>LME_042</x:v>
      </x:c>
      <x:c r="B108" s="46" t="str">
        <x:v>Southeast Australian Shelf</x:v>
      </x:c>
      <x:c r="C108" s="46" t="str">
        <x:v>LME</x:v>
      </x:c>
      <x:c r="D108" s="58" t="n">
        <x:v>2019</x:v>
      </x:c>
      <x:c r="E108" s="46" t="str">
        <x:v>Pseudocyttus maculatus</x:v>
      </x:c>
      <x:c r="F108" s="46" t="str">
        <x:v>Smooth oreo dory</x:v>
      </x:c>
      <x:c r="G108" s="46" t="str">
        <x:v>Medium benthopelagics (30 - 89 cm)</x:v>
      </x:c>
      <x:c r="H108" s="46" t="str">
        <x:v>Other fishes &amp; inverts</x:v>
      </x:c>
      <x:c r="I108" s="60" t="n">
        <x:v>9.8373537163</x:v>
      </x:c>
      <x:c r="J108" s="60" t="n">
        <x:v>9.8373537163</x:v>
      </x:c>
      <x:c r="K108" s="60" t="n">
        <x:v>0</x:v>
      </x:c>
      <x:c r="L108" s="60" t="n">
        <x:v>9.8373537163</x:v>
      </x:c>
      <x:c r="M108" s="60" t="n">
        <x:v>0</x:v>
      </x:c>
      <x:c r="N108" s="46" t="str">
        <x:v>pseudocyttus maculatus</x:v>
      </x:c>
      <x:c r="O108" s="62" t="n">
        <x:v>3.61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Pseudocyttus maculatus</x:v>
      </x:c>
      <x:c r="T108" s="62" t="n">
        <x:f>IF(O108="","",(1/'Metadata'!$B$5)^(O108-1))</x:f>
        <x:v>407.3802778041126</x:v>
      </x:c>
      <x:c r="U108" s="60" t="n">
        <x:f>IF(T108="","",I108*T108)</x:f>
        <x:v>4007.543889803614</x:v>
      </x:c>
    </x:row>
    <x:row r="109" ht="18" customHeight="1">
      <x:c r="A109" s="46" t="str">
        <x:v>LME_042</x:v>
      </x:c>
      <x:c r="B109" s="46" t="str">
        <x:v>Southeast Australian Shelf</x:v>
      </x:c>
      <x:c r="C109" s="46" t="str">
        <x:v>LME</x:v>
      </x:c>
      <x:c r="D109" s="58" t="n">
        <x:v>2019</x:v>
      </x:c>
      <x:c r="E109" s="46" t="str">
        <x:v>Zeus faber</x:v>
      </x:c>
      <x:c r="F109" s="46" t="str">
        <x:v>John dory</x:v>
      </x:c>
      <x:c r="G109" s="46" t="str">
        <x:v>Medium benthopelagics (30 - 89 cm)</x:v>
      </x:c>
      <x:c r="H109" s="46" t="str">
        <x:v>Other fishes &amp; inverts</x:v>
      </x:c>
      <x:c r="I109" s="60" t="n">
        <x:v>9.7753336003</x:v>
      </x:c>
      <x:c r="J109" s="60" t="n">
        <x:v>8.4857645199</x:v>
      </x:c>
      <x:c r="K109" s="60" t="n">
        <x:v>1.2895690804</x:v>
      </x:c>
      <x:c r="L109" s="60" t="n">
        <x:v>8.4856184636</x:v>
      </x:c>
      <x:c r="M109" s="60" t="n">
        <x:v>1.2897151367</x:v>
      </x:c>
      <x:c r="N109" s="46" t="str">
        <x:v>zeus faber</x:v>
      </x:c>
      <x:c r="O109" s="62" t="n">
        <x:v>4.5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Zeus faber</x:v>
      </x:c>
      <x:c r="T109" s="62" t="n">
        <x:f>IF(O109="","",(1/'Metadata'!$B$5)^(O109-1))</x:f>
        <x:v>3162.2776601683795</x:v>
      </x:c>
      <x:c r="U109" s="60" t="n">
        <x:f>IF(T109="","",I109*T109)</x:f>
        <x:v>30912.319064922023</x:v>
      </x:c>
    </x:row>
    <x:row r="110" ht="18" customHeight="1">
      <x:c r="A110" s="46" t="str">
        <x:v>LME_042</x:v>
      </x:c>
      <x:c r="B110" s="46" t="str">
        <x:v>Southeast Australian Shelf</x:v>
      </x:c>
      <x:c r="C110" s="46" t="str">
        <x:v>LME</x:v>
      </x:c>
      <x:c r="D110" s="58" t="n">
        <x:v>2019</x:v>
      </x:c>
      <x:c r="E110" s="46" t="str">
        <x:v>Carcharhinus obscurus</x:v>
      </x:c>
      <x:c r="F110" s="46" t="str">
        <x:v>Dusky shark</x:v>
      </x:c>
      <x:c r="G110" s="46" t="str">
        <x:v>Large sharks (&gt;=90 cm)</x:v>
      </x:c>
      <x:c r="H110" s="46" t="str">
        <x:v>Sharks &amp; rays</x:v>
      </x:c>
      <x:c r="I110" s="60" t="n">
        <x:v>9.712034772600001</x:v>
      </x:c>
      <x:c r="J110" s="60" t="n">
        <x:v>9.712034772600001</x:v>
      </x:c>
      <x:c r="K110" s="60" t="n">
        <x:v>0</x:v>
      </x:c>
      <x:c r="L110" s="60" t="n">
        <x:v>9.498839482400001</x:v>
      </x:c>
      <x:c r="M110" s="60" t="n">
        <x:v>0.2131952902</x:v>
      </x:c>
      <x:c r="N110" s="46" t="str">
        <x:v>carcharhinus obscurus</x:v>
      </x:c>
      <x:c r="O110" s="62" t="n">
        <x:v>4.28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Carcharhinus obscurus</x:v>
      </x:c>
      <x:c r="T110" s="62" t="n">
        <x:f>IF(O110="","",(1/'Metadata'!$B$5)^(O110-1))</x:f>
        <x:v>1905.4607179632483</x:v>
      </x:c>
      <x:c r="U110" s="60" t="n">
        <x:f>IF(T110="","",I110*T110)</x:f>
        <x:v>18505.90075068243</x:v>
      </x:c>
    </x:row>
    <x:row r="111" ht="18" customHeight="1">
      <x:c r="A111" s="46" t="str">
        <x:v>LME_042</x:v>
      </x:c>
      <x:c r="B111" s="46" t="str">
        <x:v>Southeast Australian Shelf</x:v>
      </x:c>
      <x:c r="C111" s="46" t="str">
        <x:v>LME</x:v>
      </x:c>
      <x:c r="D111" s="58" t="n">
        <x:v>2019</x:v>
      </x:c>
      <x:c r="E111" s="46" t="str">
        <x:v>Charybdis</x:v>
      </x:c>
      <x:c r="F111" s="46" t="str">
        <x:v>Whirlpool swimming crabs</x:v>
      </x:c>
      <x:c r="G111" s="46" t="str">
        <x:v>Lobsters, crabs</x:v>
      </x:c>
      <x:c r="H111" s="46" t="str">
        <x:v>Crustaceans</x:v>
      </x:c>
      <x:c r="I111" s="60" t="n">
        <x:v>9.1056930101</x:v>
      </x:c>
      <x:c r="J111" s="60" t="n">
        <x:v>3.9417361708</x:v>
      </x:c>
      <x:c r="K111" s="60" t="n">
        <x:v>5.1639568393</x:v>
      </x:c>
      <x:c r="L111" s="60" t="n">
        <x:v>3.9417361708</x:v>
      </x:c>
      <x:c r="M111" s="60" t="n">
        <x:v>5.1639568393</x:v>
      </x:c>
      <x:c r="N111" s="46" t="str">
        <x:v>charybdis</x:v>
      </x:c>
      <x:c r="O111" s="62" t="n">
        <x:v>2.7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Charybdis</x:v>
      </x:c>
      <x:c r="T111" s="62" t="n">
        <x:f>IF(O111="","",(1/'Metadata'!$B$5)^(O111-1))</x:f>
        <x:v>50.11872336272725</x:v>
      </x:c>
      <x:c r="U111" s="60" t="n">
        <x:f>IF(T111="","",I111*T111)</x:f>
        <x:v>456.36570899912107</x:v>
      </x:c>
    </x:row>
    <x:row r="112" ht="18" customHeight="1">
      <x:c r="A112" s="46" t="str">
        <x:v>LME_042</x:v>
      </x:c>
      <x:c r="B112" s="46" t="str">
        <x:v>Southeast Australian Shelf</x:v>
      </x:c>
      <x:c r="C112" s="46" t="str">
        <x:v>LME</x:v>
      </x:c>
      <x:c r="D112" s="58" t="n">
        <x:v>2019</x:v>
      </x:c>
      <x:c r="E112" s="46" t="str">
        <x:v>Lepidoperca pulchella</x:v>
      </x:c>
      <x:c r="F112" s="46" t="str">
        <x:v>Orange perch</x:v>
      </x:c>
      <x:c r="G112" s="46" t="str">
        <x:v>Small demersals (&lt;30 cm)</x:v>
      </x:c>
      <x:c r="H112" s="46" t="str">
        <x:v>Perch-likes</x:v>
      </x:c>
      <x:c r="I112" s="60" t="n">
        <x:v>9.0018830511</x:v>
      </x:c>
      <x:c r="J112" s="60" t="n">
        <x:v>9.0018830511</x:v>
      </x:c>
      <x:c r="K112" s="60" t="n">
        <x:v>0</x:v>
      </x:c>
      <x:c r="L112" s="60" t="n">
        <x:v>9.0018830511</x:v>
      </x:c>
      <x:c r="M112" s="60" t="n">
        <x:v>0</x:v>
      </x:c>
      <x:c r="N112" s="46" t="str">
        <x:v>lepidoperca pulchella</x:v>
      </x:c>
      <x:c r="O112" s="62" t="n">
        <x:v>3.47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Lepidoperca pulchella</x:v>
      </x:c>
      <x:c r="T112" s="62" t="n">
        <x:f>IF(O112="","",(1/'Metadata'!$B$5)^(O112-1))</x:f>
        <x:v>295.1209226666387</x:v>
      </x:c>
      <x:c r="U112" s="60" t="n">
        <x:f>IF(T112="","",I112*T112)</x:f>
        <x:v>2656.644031777809</x:v>
      </x:c>
    </x:row>
    <x:row r="113" ht="18" customHeight="1">
      <x:c r="A113" s="46" t="str">
        <x:v>LME_042</x:v>
      </x:c>
      <x:c r="B113" s="46" t="str">
        <x:v>Southeast Australian Shelf</x:v>
      </x:c>
      <x:c r="C113" s="46" t="str">
        <x:v>LME</x:v>
      </x:c>
      <x:c r="D113" s="58" t="n">
        <x:v>2019</x:v>
      </x:c>
      <x:c r="E113" s="46" t="str">
        <x:v>Hyporhamphus</x:v>
      </x:c>
      <x:c r="F113" s="46" t="str">
        <x:v>Sea garfishes</x:v>
      </x:c>
      <x:c r="G113" s="46" t="str">
        <x:v>Small reef assoc. fish (&lt;30 cm)</x:v>
      </x:c>
      <x:c r="H113" s="46" t="str">
        <x:v>Other fishes &amp; inverts</x:v>
      </x:c>
      <x:c r="I113" s="60" t="n">
        <x:v>8.733932252899999</x:v>
      </x:c>
      <x:c r="J113" s="60" t="n">
        <x:v>8.733932252899999</x:v>
      </x:c>
      <x:c r="K113" s="60" t="n">
        <x:v>0</x:v>
      </x:c>
      <x:c r="L113" s="60" t="n">
        <x:v>8.7317615228</x:v>
      </x:c>
      <x:c r="M113" s="60" t="n">
        <x:v>0.0021707301</x:v>
      </x:c>
      <x:c r="N113" s="46" t="str">
        <x:v>hyporhamphus</x:v>
      </x:c>
      <x:c r="O113" s="62" t="n">
        <x:v>3.3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Hyporhamphus</x:v>
      </x:c>
      <x:c r="T113" s="62" t="n">
        <x:f>IF(O113="","",(1/'Metadata'!$B$5)^(O113-1))</x:f>
        <x:v>199.52623149688787</x:v>
      </x:c>
      <x:c r="U113" s="60" t="n">
        <x:f>IF(T113="","",I113*T113)</x:f>
        <x:v>1742.6485885702607</x:v>
      </x:c>
    </x:row>
    <x:row r="114" ht="18" customHeight="1">
      <x:c r="A114" s="46" t="str">
        <x:v>LME_042</x:v>
      </x:c>
      <x:c r="B114" s="46" t="str">
        <x:v>Southeast Australian Shelf</x:v>
      </x:c>
      <x:c r="C114" s="46" t="str">
        <x:v>LME</x:v>
      </x:c>
      <x:c r="D114" s="58" t="n">
        <x:v>2019</x:v>
      </x:c>
      <x:c r="E114" s="46" t="str">
        <x:v>Carcharhinus</x:v>
      </x:c>
      <x:c r="F114" s="46" t="str">
        <x:v>Sharp-nosed sharks</x:v>
      </x:c>
      <x:c r="G114" s="46" t="str">
        <x:v>Large sharks (&gt;=90 cm)</x:v>
      </x:c>
      <x:c r="H114" s="46" t="str">
        <x:v>Sharks &amp; rays</x:v>
      </x:c>
      <x:c r="I114" s="60" t="n">
        <x:v>8.2599240242</x:v>
      </x:c>
      <x:c r="J114" s="60" t="n">
        <x:v>8.2599240242</x:v>
      </x:c>
      <x:c r="K114" s="60" t="n">
        <x:v>0</x:v>
      </x:c>
      <x:c r="L114" s="60" t="n">
        <x:v>5.1873403847</x:v>
      </x:c>
      <x:c r="M114" s="60" t="n">
        <x:v>3.0725836395</x:v>
      </x:c>
      <x:c r="N114" s="46" t="str">
        <x:v>carcharhinus</x:v>
      </x:c>
      <x:c r="O114" s="62" t="n">
        <x:v>4.26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Carcharhinus</x:v>
      </x:c>
      <x:c r="T114" s="62" t="n">
        <x:f>IF(O114="","",(1/'Metadata'!$B$5)^(O114-1))</x:f>
        <x:v>1819.7008586099826</x:v>
      </x:c>
      <x:c r="U114" s="60" t="n">
        <x:f>IF(T114="","",I114*T114)</x:f>
        <x:v>15030.590838889962</x:v>
      </x:c>
    </x:row>
    <x:row r="115" ht="18" customHeight="1">
      <x:c r="A115" s="46" t="str">
        <x:v>LME_042</x:v>
      </x:c>
      <x:c r="B115" s="46" t="str">
        <x:v>Southeast Australian Shelf</x:v>
      </x:c>
      <x:c r="C115" s="46" t="str">
        <x:v>LME</x:v>
      </x:c>
      <x:c r="D115" s="58" t="n">
        <x:v>2019</x:v>
      </x:c>
      <x:c r="E115" s="46" t="str">
        <x:v>Thunnus orientalis</x:v>
      </x:c>
      <x:c r="F115" s="46" t="str">
        <x:v>Pacific bluefin tuna</x:v>
      </x:c>
      <x:c r="G115" s="46" t="str">
        <x:v>Large pelagics (&gt;=90 cm)</x:v>
      </x:c>
      <x:c r="H115" s="46" t="str">
        <x:v>Tuna &amp; billfishes</x:v>
      </x:c>
      <x:c r="I115" s="60" t="n">
        <x:v>8.1867115468</x:v>
      </x:c>
      <x:c r="J115" s="60" t="n">
        <x:v>8.167668915</x:v>
      </x:c>
      <x:c r="K115" s="60" t="n">
        <x:v>0.0190426318</x:v>
      </x:c>
      <x:c r="L115" s="60" t="n">
        <x:v>2.9706002132</x:v>
      </x:c>
      <x:c r="M115" s="60" t="n">
        <x:v>5.2161113336</x:v>
      </x:c>
      <x:c r="N115" s="46" t="str">
        <x:v>thunnus orientalis</x:v>
      </x:c>
      <x:c r="O115" s="62" t="n">
        <x:v>4.05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Thunnus orientalis</x:v>
      </x:c>
      <x:c r="T115" s="62" t="n">
        <x:f>IF(O115="","",(1/'Metadata'!$B$5)^(O115-1))</x:f>
        <x:v>1122.018454301963</x:v>
      </x:c>
      <x:c r="U115" s="60" t="n">
        <x:f>IF(T115="","",I115*T115)</x:f>
        <x:v>9185.641435556568</x:v>
      </x:c>
    </x:row>
    <x:row r="116" ht="18" customHeight="1">
      <x:c r="A116" s="46" t="str">
        <x:v>LME_042</x:v>
      </x:c>
      <x:c r="B116" s="46" t="str">
        <x:v>Southeast Australian Shelf</x:v>
      </x:c>
      <x:c r="C116" s="46" t="str">
        <x:v>LME</x:v>
      </x:c>
      <x:c r="D116" s="58" t="n">
        <x:v>2019</x:v>
      </x:c>
      <x:c r="E116" s="46" t="str">
        <x:v>Latridae</x:v>
      </x:c>
      <x:c r="F116" s="46" t="str">
        <x:v>Trumpeters</x:v>
      </x:c>
      <x:c r="G116" s="46" t="str">
        <x:v>Medium demersals (30 - 89 cm)</x:v>
      </x:c>
      <x:c r="H116" s="46" t="str">
        <x:v>Perch-likes</x:v>
      </x:c>
      <x:c r="I116" s="60" t="n">
        <x:v>8.1463850632</x:v>
      </x:c>
      <x:c r="J116" s="60" t="n">
        <x:v>8.1463850632</x:v>
      </x:c>
      <x:c r="K116" s="60" t="n">
        <x:v>0</x:v>
      </x:c>
      <x:c r="L116" s="60" t="n">
        <x:v>8.1463850632</x:v>
      </x:c>
      <x:c r="M116" s="60" t="n">
        <x:v>0</x:v>
      </x:c>
      <x:c r="N116" s="46" t="str">
        <x:v>latridae</x:v>
      </x:c>
      <x:c r="O116" s="62" t="n">
        <x:v>3.3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Latridae</x:v>
      </x:c>
      <x:c r="T116" s="62" t="n">
        <x:f>IF(O116="","",(1/'Metadata'!$B$5)^(O116-1))</x:f>
        <x:v>199.52623149688787</x:v>
      </x:c>
      <x:c r="U116" s="60" t="n">
        <x:f>IF(T116="","",I116*T116)</x:f>
        <x:v>1625.4175119828328</x:v>
      </x:c>
    </x:row>
    <x:row r="117" ht="18" customHeight="1">
      <x:c r="A117" s="46" t="str">
        <x:v>LME_042</x:v>
      </x:c>
      <x:c r="B117" s="46" t="str">
        <x:v>Southeast Australian Shelf</x:v>
      </x:c>
      <x:c r="C117" s="46" t="str">
        <x:v>LME</x:v>
      </x:c>
      <x:c r="D117" s="58" t="n">
        <x:v>2019</x:v>
      </x:c>
      <x:c r="E117" s="46" t="str">
        <x:v>Pristiophorus</x:v>
      </x:c>
      <x:c r="F117" s="46" t="str">
        <x:v>Sawsharks</x:v>
      </x:c>
      <x:c r="G117" s="46" t="str">
        <x:v>Large sharks (&gt;=90 cm)</x:v>
      </x:c>
      <x:c r="H117" s="46" t="str">
        <x:v>Sharks &amp; rays</x:v>
      </x:c>
      <x:c r="I117" s="60" t="n">
        <x:v>8.1179235653</x:v>
      </x:c>
      <x:c r="J117" s="60" t="n">
        <x:v>8.1179235653</x:v>
      </x:c>
      <x:c r="K117" s="60" t="n">
        <x:v>0</x:v>
      </x:c>
      <x:c r="L117" s="60" t="n">
        <x:v>8.1179235653</x:v>
      </x:c>
      <x:c r="M117" s="60" t="n">
        <x:v>0</x:v>
      </x:c>
      <x:c r="N117" s="46" t="str">
        <x:v>pristiophorus</x:v>
      </x:c>
      <x:c r="O117" s="62" t="n">
        <x:v>4.01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Pristiophorus</x:v>
      </x:c>
      <x:c r="T117" s="62" t="n">
        <x:f>IF(O117="","",(1/'Metadata'!$B$5)^(O117-1))</x:f>
        <x:v>1023.2929922807537</x:v>
      </x:c>
      <x:c r="U117" s="60" t="n">
        <x:f>IF(T117="","",I117*T117)</x:f>
        <x:v>8307.014296242281</x:v>
      </x:c>
    </x:row>
    <x:row r="118" ht="18" customHeight="1">
      <x:c r="A118" s="46" t="str">
        <x:v>LME_042</x:v>
      </x:c>
      <x:c r="B118" s="46" t="str">
        <x:v>Southeast Australian Shelf</x:v>
      </x:c>
      <x:c r="C118" s="46" t="str">
        <x:v>LME</x:v>
      </x:c>
      <x:c r="D118" s="58" t="n">
        <x:v>2019</x:v>
      </x:c>
      <x:c r="E118" s="46" t="str">
        <x:v>Carcharhinidae</x:v>
      </x:c>
      <x:c r="F118" s="46" t="str">
        <x:v>Requiem sharks</x:v>
      </x:c>
      <x:c r="G118" s="46" t="str">
        <x:v>Large sharks (&gt;=90 cm)</x:v>
      </x:c>
      <x:c r="H118" s="46" t="str">
        <x:v>Sharks &amp; rays</x:v>
      </x:c>
      <x:c r="I118" s="60" t="n">
        <x:v>7.6791956438</x:v>
      </x:c>
      <x:c r="J118" s="60" t="n">
        <x:v>7.6791956438</x:v>
      </x:c>
      <x:c r="K118" s="60" t="n">
        <x:v>0</x:v>
      </x:c>
      <x:c r="L118" s="60" t="n">
        <x:v>7.2478437778</x:v>
      </x:c>
      <x:c r="M118" s="60" t="n">
        <x:v>0.431351866</x:v>
      </x:c>
      <x:c r="N118" s="46" t="str">
        <x:v>carcharhinidae</x:v>
      </x:c>
      <x:c r="O118" s="62" t="n">
        <x:v>4.24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Carcharhinidae</x:v>
      </x:c>
      <x:c r="T118" s="62" t="n">
        <x:f>IF(O118="","",(1/'Metadata'!$B$5)^(O118-1))</x:f>
        <x:v>1737.8008287493763</x:v>
      </x:c>
      <x:c r="U118" s="60" t="n">
        <x:f>IF(T118="","",I118*T118)</x:f>
        <x:v>13344.91255392424</x:v>
      </x:c>
    </x:row>
    <x:row r="119" ht="18" customHeight="1">
      <x:c r="A119" s="46" t="str">
        <x:v>LME_042</x:v>
      </x:c>
      <x:c r="B119" s="46" t="str">
        <x:v>Southeast Australian Shelf</x:v>
      </x:c>
      <x:c r="C119" s="46" t="str">
        <x:v>LME</x:v>
      </x:c>
      <x:c r="D119" s="58" t="n">
        <x:v>2019</x:v>
      </x:c>
      <x:c r="E119" s="46" t="str">
        <x:v>Pleuronectiformes</x:v>
      </x:c>
      <x:c r="F119" s="46" t="str">
        <x:v>Flatfishes</x:v>
      </x:c>
      <x:c r="G119" s="46" t="str">
        <x:v>Small to medium flatfishes (&lt;90 cm)</x:v>
      </x:c>
      <x:c r="H119" s="46" t="str">
        <x:v>Flatfishes</x:v>
      </x:c>
      <x:c r="I119" s="60" t="n">
        <x:v>6.1949805641</x:v>
      </x:c>
      <x:c r="J119" s="60" t="n">
        <x:v>6.1949805641</x:v>
      </x:c>
      <x:c r="K119" s="60" t="n">
        <x:v>0</x:v>
      </x:c>
      <x:c r="L119" s="60" t="n">
        <x:v>6.1754874012</x:v>
      </x:c>
      <x:c r="M119" s="60" t="n">
        <x:v>0.0194931629</x:v>
      </x:c>
      <x:c r="N119" s="46" t="str">
        <x:v>pleuronectiformes</x:v>
      </x:c>
      <x:c r="O119" s="62" t="n">
        <x:v>3.57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Pleuronectiformes</x:v>
      </x:c>
      <x:c r="T119" s="62" t="n">
        <x:f>IF(O119="","",(1/'Metadata'!$B$5)^(O119-1))</x:f>
        <x:v>371.5352290971724</x:v>
      </x:c>
      <x:c r="U119" s="60" t="n">
        <x:f>IF(T119="","",I119*T119)</x:f>
        <x:v>2301.6535231354237</x:v>
      </x:c>
    </x:row>
    <x:row r="120" ht="18" customHeight="1">
      <x:c r="A120" s="46" t="str">
        <x:v>LME_042</x:v>
      </x:c>
      <x:c r="B120" s="46" t="str">
        <x:v>Southeast Australian Shelf</x:v>
      </x:c>
      <x:c r="C120" s="46" t="str">
        <x:v>LME</x:v>
      </x:c>
      <x:c r="D120" s="58" t="n">
        <x:v>2019</x:v>
      </x:c>
      <x:c r="E120" s="46" t="str">
        <x:v>Trachurus novaezelandiae</x:v>
      </x:c>
      <x:c r="F120" s="46" t="str">
        <x:v>Yellowtail horse mackerel</x:v>
      </x:c>
      <x:c r="G120" s="46" t="str">
        <x:v>Medium pelagics (30 - 89 cm)</x:v>
      </x:c>
      <x:c r="H120" s="46" t="str">
        <x:v>Perch-likes</x:v>
      </x:c>
      <x:c r="I120" s="60" t="n">
        <x:v>5.9984065184</x:v>
      </x:c>
      <x:c r="J120" s="60" t="n">
        <x:v>5.9984065184</x:v>
      </x:c>
      <x:c r="K120" s="60" t="n">
        <x:v>0</x:v>
      </x:c>
      <x:c r="L120" s="60" t="n">
        <x:v>5.5566986461</x:v>
      </x:c>
      <x:c r="M120" s="60" t="n">
        <x:v>0.4417078723</x:v>
      </x:c>
      <x:c r="N120" s="46" t="str">
        <x:v>trachurus novaezelandiae</x:v>
      </x:c>
      <x:c r="O120" s="62" t="n">
        <x:v>3.22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Trachurus novaezelandiae</x:v>
      </x:c>
      <x:c r="T120" s="62" t="n">
        <x:f>IF(O120="","",(1/'Metadata'!$B$5)^(O120-1))</x:f>
        <x:v>165.95869074375614</x:v>
      </x:c>
      <x:c r="U120" s="60" t="n">
        <x:f>IF(T120="","",I120*T120)</x:f>
        <x:v>995.4876923424766</x:v>
      </x:c>
    </x:row>
    <x:row r="121" ht="18" customHeight="1">
      <x:c r="A121" s="46" t="str">
        <x:v>LME_042</x:v>
      </x:c>
      <x:c r="B121" s="46" t="str">
        <x:v>Southeast Australian Shelf</x:v>
      </x:c>
      <x:c r="C121" s="46" t="str">
        <x:v>LME</x:v>
      </x:c>
      <x:c r="D121" s="58" t="n">
        <x:v>2019</x:v>
      </x:c>
      <x:c r="E121" s="46" t="str">
        <x:v>Marine pelagic fishes not identified</x:v>
      </x:c>
      <x:c r="F121" s="46" t="str">
        <x:v>Pelagic fishes</x:v>
      </x:c>
      <x:c r="G121" s="46" t="str">
        <x:v>Medium pelagics (30 - 89 cm)</x:v>
      </x:c>
      <x:c r="H121" s="46" t="str">
        <x:v>Other fishes &amp; inverts</x:v>
      </x:c>
      <x:c r="I121" s="60" t="n">
        <x:v>5.7089798313</x:v>
      </x:c>
      <x:c r="J121" s="60" t="n">
        <x:v>0.0173457549</x:v>
      </x:c>
      <x:c r="K121" s="60" t="n">
        <x:v>5.6916340764</x:v>
      </x:c>
      <x:c r="L121" s="60" t="n">
        <x:v>0.0173457549</x:v>
      </x:c>
      <x:c r="M121" s="60" t="n">
        <x:v>5.6916340764</x:v>
      </x:c>
      <x:c r="N121" s="46" t="str">
        <x:v>marine pelagic fishes not identified</x:v>
      </x:c>
      <x:c r="O121" s="62" t="n">
        <x:v>3.35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Marine pelagic fishes not identified</x:v>
      </x:c>
      <x:c r="T121" s="62" t="n">
        <x:f>IF(O121="","",(1/'Metadata'!$B$5)^(O121-1))</x:f>
        <x:v>223.872113856834</x:v>
      </x:c>
      <x:c r="U121" s="60" t="n">
        <x:f>IF(T121="","",I121*T121)</x:f>
        <x:v>1278.0813827991626</x:v>
      </x:c>
    </x:row>
    <x:row r="122" ht="18" customHeight="1">
      <x:c r="A122" s="46" t="str">
        <x:v>LME_042</x:v>
      </x:c>
      <x:c r="B122" s="46" t="str">
        <x:v>Southeast Australian Shelf</x:v>
      </x:c>
      <x:c r="C122" s="46" t="str">
        <x:v>LME</x:v>
      </x:c>
      <x:c r="D122" s="58" t="n">
        <x:v>2019</x:v>
      </x:c>
      <x:c r="E122" s="46" t="str">
        <x:v>Lithodes</x:v>
      </x:c>
      <x:c r="F122" s="46" t="str">
        <x:v>King crabs</x:v>
      </x:c>
      <x:c r="G122" s="46" t="str">
        <x:v>Lobsters, crabs</x:v>
      </x:c>
      <x:c r="H122" s="46" t="str">
        <x:v>Crustaceans</x:v>
      </x:c>
      <x:c r="I122" s="60" t="n">
        <x:v>5.671003132</x:v>
      </x:c>
      <x:c r="J122" s="60" t="n">
        <x:v>5.671003132</x:v>
      </x:c>
      <x:c r="K122" s="60" t="n">
        <x:v>0</x:v>
      </x:c>
      <x:c r="L122" s="60" t="n">
        <x:v>5.671003132</x:v>
      </x:c>
      <x:c r="M122" s="60" t="n">
        <x:v>0</x:v>
      </x:c>
      <x:c r="N122" s="46" t="str">
        <x:v>lithodes</x:v>
      </x:c>
      <x:c r="O122" s="62" t="n">
        <x:v>2.3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Lithodes</x:v>
      </x:c>
      <x:c r="T122" s="62" t="n">
        <x:f>IF(O122="","",(1/'Metadata'!$B$5)^(O122-1))</x:f>
        <x:v>19.952623149688787</x:v>
      </x:c>
      <x:c r="U122" s="60" t="n">
        <x:f>IF(T122="","",I122*T122)</x:f>
        <x:v>113.15138837350082</x:v>
      </x:c>
    </x:row>
    <x:row r="123" ht="18" customHeight="1">
      <x:c r="A123" s="46" t="str">
        <x:v>LME_042</x:v>
      </x:c>
      <x:c r="B123" s="46" t="str">
        <x:v>Southeast Australian Shelf</x:v>
      </x:c>
      <x:c r="C123" s="46" t="str">
        <x:v>LME</x:v>
      </x:c>
      <x:c r="D123" s="58" t="n">
        <x:v>2019</x:v>
      </x:c>
      <x:c r="E123" s="46" t="str">
        <x:v>Oreosomatidae</x:v>
      </x:c>
      <x:c r="F123" s="46" t="str">
        <x:v>Oreos</x:v>
      </x:c>
      <x:c r="G123" s="46" t="str">
        <x:v>Medium bathypelagics (30 - 89 cm)</x:v>
      </x:c>
      <x:c r="H123" s="46" t="str">
        <x:v>Other fishes &amp; inverts</x:v>
      </x:c>
      <x:c r="I123" s="60" t="n">
        <x:v>5.6471128995</x:v>
      </x:c>
      <x:c r="J123" s="60" t="n">
        <x:v>5.6471128995</x:v>
      </x:c>
      <x:c r="K123" s="60" t="n">
        <x:v>0</x:v>
      </x:c>
      <x:c r="L123" s="60" t="n">
        <x:v>5.6471128995</x:v>
      </x:c>
      <x:c r="M123" s="60" t="n">
        <x:v>0</x:v>
      </x:c>
      <x:c r="N123" s="46" t="str">
        <x:v>oreosomatidae</x:v>
      </x:c>
      <x:c r="O123" s="62" t="n">
        <x:v>3.69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Oreosomatidae</x:v>
      </x:c>
      <x:c r="T123" s="62" t="n">
        <x:f>IF(O123="","",(1/'Metadata'!$B$5)^(O123-1))</x:f>
        <x:v>489.77881936844614</x:v>
      </x:c>
      <x:c r="U123" s="60" t="n">
        <x:f>IF(T123="","",I123*T123)</x:f>
        <x:v>2765.8362887574326</x:v>
      </x:c>
    </x:row>
    <x:row r="124" ht="18" customHeight="1">
      <x:c r="A124" s="46" t="str">
        <x:v>LME_042</x:v>
      </x:c>
      <x:c r="B124" s="46" t="str">
        <x:v>Southeast Australian Shelf</x:v>
      </x:c>
      <x:c r="C124" s="46" t="str">
        <x:v>LME</x:v>
      </x:c>
      <x:c r="D124" s="58" t="n">
        <x:v>2019</x:v>
      </x:c>
      <x:c r="E124" s="46" t="str">
        <x:v>Sphyrna zygaena</x:v>
      </x:c>
      <x:c r="F124" s="46" t="str">
        <x:v>Smooth hammerhead</x:v>
      </x:c>
      <x:c r="G124" s="46" t="str">
        <x:v>Large sharks (&gt;=90 cm)</x:v>
      </x:c>
      <x:c r="H124" s="46" t="str">
        <x:v>Sharks &amp; rays</x:v>
      </x:c>
      <x:c r="I124" s="60" t="n">
        <x:v>5.3458029834</x:v>
      </x:c>
      <x:c r="J124" s="60" t="n">
        <x:v>5.3458029834</x:v>
      </x:c>
      <x:c r="K124" s="60" t="n">
        <x:v>0</x:v>
      </x:c>
      <x:c r="L124" s="60" t="n">
        <x:v>3.2651760130999996</x:v>
      </x:c>
      <x:c r="M124" s="60" t="n">
        <x:v>2.0806269703</x:v>
      </x:c>
      <x:c r="N124" s="46" t="str">
        <x:v>sphyrna zygaena</x:v>
      </x:c>
      <x:c r="O124" s="62" t="n">
        <x:v>4.94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Sphyrna zygaena</x:v>
      </x:c>
      <x:c r="T124" s="62" t="n">
        <x:f>IF(O124="","",(1/'Metadata'!$B$5)^(O124-1))</x:f>
        <x:v>8709.635899560813</x:v>
      </x:c>
      <x:c r="U124" s="60" t="n">
        <x:f>IF(T124="","",I124*T124)</x:f>
        <x:v>46559.99757619994</x:v>
      </x:c>
    </x:row>
    <x:row r="125" ht="18" customHeight="1">
      <x:c r="A125" s="46" t="str">
        <x:v>LME_042</x:v>
      </x:c>
      <x:c r="B125" s="46" t="str">
        <x:v>Southeast Australian Shelf</x:v>
      </x:c>
      <x:c r="C125" s="46" t="str">
        <x:v>LME</x:v>
      </x:c>
      <x:c r="D125" s="58" t="n">
        <x:v>2019</x:v>
      </x:c>
      <x:c r="E125" s="46" t="str">
        <x:v>Kyphosidae</x:v>
      </x:c>
      <x:c r="F125" s="46" t="str">
        <x:v>Sea chubs, knifefishes, niblers</x:v>
      </x:c>
      <x:c r="G125" s="46" t="str">
        <x:v>Medium reef assoc. fish (30 - 89 cm)</x:v>
      </x:c>
      <x:c r="H125" s="46" t="str">
        <x:v>Perch-likes</x:v>
      </x:c>
      <x:c r="I125" s="60" t="n">
        <x:v>5.3044342161</x:v>
      </x:c>
      <x:c r="J125" s="60" t="n">
        <x:v>5.3044342161</x:v>
      </x:c>
      <x:c r="K125" s="60" t="n">
        <x:v>0</x:v>
      </x:c>
      <x:c r="L125" s="60" t="n">
        <x:v>0.2576955788</x:v>
      </x:c>
      <x:c r="M125" s="60" t="n">
        <x:v>5.0467386373</x:v>
      </x:c>
      <x:c r="N125" s="46" t="str">
        <x:v>kyphosidae</x:v>
      </x:c>
      <x:c r="O125" s="62" t="n">
        <x:v>2.19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Kyphosidae</x:v>
      </x:c>
      <x:c r="T125" s="62" t="n">
        <x:f>IF(O125="","",(1/'Metadata'!$B$5)^(O125-1))</x:f>
        <x:v>15.488166189124811</x:v>
      </x:c>
      <x:c r="U125" s="60" t="n">
        <x:f>IF(T125="","",I125*T125)</x:f>
        <x:v>82.15595867823679</x:v>
      </x:c>
    </x:row>
    <x:row r="126" ht="18" customHeight="1">
      <x:c r="A126" s="46" t="str">
        <x:v>LME_042</x:v>
      </x:c>
      <x:c r="B126" s="46" t="str">
        <x:v>Southeast Australian Shelf</x:v>
      </x:c>
      <x:c r="C126" s="46" t="str">
        <x:v>LME</x:v>
      </x:c>
      <x:c r="D126" s="58" t="n">
        <x:v>2019</x:v>
      </x:c>
      <x:c r="E126" s="46" t="str">
        <x:v>Ostreidae</x:v>
      </x:c>
      <x:c r="F126" s="46" t="str">
        <x:v>True oysters</x:v>
      </x:c>
      <x:c r="G126" s="46" t="str">
        <x:v>Other demersal invertebrates</x:v>
      </x:c>
      <x:c r="H126" s="46" t="str">
        <x:v>Molluscs</x:v>
      </x:c>
      <x:c r="I126" s="60" t="n">
        <x:v>5.0628368425</x:v>
      </x:c>
      <x:c r="J126" s="60" t="n">
        <x:v>5.0628368425</x:v>
      </x:c>
      <x:c r="K126" s="60" t="n">
        <x:v>0</x:v>
      </x:c>
      <x:c r="L126" s="60" t="n">
        <x:v>0.9207018025</x:v>
      </x:c>
      <x:c r="M126" s="60" t="n">
        <x:v>4.142135039999999</x:v>
      </x:c>
      <x:c r="N126" s="46" t="str">
        <x:v>ostreidae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Ostreidae</x:v>
      </x:c>
      <x:c r="T126" s="62" t="n">
        <x:f>IF(O126="","",(1/'Metadata'!$B$5)^(O126-1))</x:f>
        <x:v>10</x:v>
      </x:c>
      <x:c r="U126" s="60" t="n">
        <x:f>IF(T126="","",I126*T126)</x:f>
        <x:v>50.628368425000005</x:v>
      </x:c>
    </x:row>
    <x:row r="127" ht="18" customHeight="1">
      <x:c r="A127" s="46" t="str">
        <x:v>LME_042</x:v>
      </x:c>
      <x:c r="B127" s="46" t="str">
        <x:v>Southeast Australian Shelf</x:v>
      </x:c>
      <x:c r="C127" s="46" t="str">
        <x:v>LME</x:v>
      </x:c>
      <x:c r="D127" s="58" t="n">
        <x:v>2019</x:v>
      </x:c>
      <x:c r="E127" s="46" t="str">
        <x:v>Galeocerdo cuvier</x:v>
      </x:c>
      <x:c r="F127" s="46" t="str">
        <x:v>Tiger shark</x:v>
      </x:c>
      <x:c r="G127" s="46" t="str">
        <x:v>Large sharks (&gt;=90 cm)</x:v>
      </x:c>
      <x:c r="H127" s="46" t="str">
        <x:v>Sharks &amp; rays</x:v>
      </x:c>
      <x:c r="I127" s="60" t="n">
        <x:v>4.4149779672000005</x:v>
      </x:c>
      <x:c r="J127" s="60" t="n">
        <x:v>4.4149779672000005</x:v>
      </x:c>
      <x:c r="K127" s="60" t="n">
        <x:v>0</x:v>
      </x:c>
      <x:c r="L127" s="60" t="n">
        <x:v>1.1097016832</x:v>
      </x:c>
      <x:c r="M127" s="60" t="n">
        <x:v>3.305276284</x:v>
      </x:c>
      <x:c r="N127" s="46" t="str">
        <x:v>galeocerdo cuvier</x:v>
      </x:c>
      <x:c r="O127" s="62" t="n">
        <x:v>4.54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Galeocerdo cuvier</x:v>
      </x:c>
      <x:c r="T127" s="62" t="n">
        <x:f>IF(O127="","",(1/'Metadata'!$B$5)^(O127-1))</x:f>
        <x:v>3467.368504525317</x:v>
      </x:c>
      <x:c r="U127" s="60" t="n">
        <x:f>IF(T127="","",I127*T127)</x:f>
        <x:v>15308.35555164249</x:v>
      </x:c>
    </x:row>
    <x:row r="128" ht="18" customHeight="1">
      <x:c r="A128" s="46" t="str">
        <x:v>LME_042</x:v>
      </x:c>
      <x:c r="B128" s="46" t="str">
        <x:v>Southeast Australian Shelf</x:v>
      </x:c>
      <x:c r="C128" s="46" t="str">
        <x:v>LME</x:v>
      </x:c>
      <x:c r="D128" s="58" t="n">
        <x:v>2019</x:v>
      </x:c>
      <x:c r="E128" s="46" t="str">
        <x:v>Rhynchobatus australiae</x:v>
      </x:c>
      <x:c r="F128" s="46" t="str">
        <x:v>Whitespotted wedgefish</x:v>
      </x:c>
      <x:c r="G128" s="46" t="str">
        <x:v>Large rays (&gt;=90 cm)</x:v>
      </x:c>
      <x:c r="H128" s="46" t="str">
        <x:v>Sharks &amp; rays</x:v>
      </x:c>
      <x:c r="I128" s="60" t="n">
        <x:v>4.2502481735</x:v>
      </x:c>
      <x:c r="J128" s="60" t="n">
        <x:v>4.2502481735</x:v>
      </x:c>
      <x:c r="K128" s="60" t="n">
        <x:v>0</x:v>
      </x:c>
      <x:c r="L128" s="60" t="n">
        <x:v>4.2413368242</x:v>
      </x:c>
      <x:c r="M128" s="60" t="n">
        <x:v>0.0089113493</x:v>
      </x:c>
      <x:c r="N128" s="46" t="str">
        <x:v>rhynchobatus australiae</x:v>
      </x:c>
      <x:c r="O128" s="62" t="n">
        <x:v>3.54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Rhynchobatus australiae</x:v>
      </x:c>
      <x:c r="T128" s="62" t="n">
        <x:f>IF(O128="","",(1/'Metadata'!$B$5)^(O128-1))</x:f>
        <x:v>346.73685045253166</x:v>
      </x:c>
      <x:c r="U128" s="60" t="n">
        <x:f>IF(T128="","",I128*T128)</x:f>
        <x:v>1473.7176653210154</x:v>
      </x:c>
    </x:row>
    <x:row r="129" ht="18" customHeight="1">
      <x:c r="A129" s="46" t="str">
        <x:v>LME_042</x:v>
      </x:c>
      <x:c r="B129" s="46" t="str">
        <x:v>Southeast Australian Shelf</x:v>
      </x:c>
      <x:c r="C129" s="46" t="str">
        <x:v>LME</x:v>
      </x:c>
      <x:c r="D129" s="58" t="n">
        <x:v>2019</x:v>
      </x:c>
      <x:c r="E129" s="46" t="str">
        <x:v>Gerres</x:v>
      </x:c>
      <x:c r="F129" s="46" t="str">
        <x:v>Silver biddies</x:v>
      </x:c>
      <x:c r="G129" s="46" t="str">
        <x:v>Small benthopelagics (&lt;30 cm)</x:v>
      </x:c>
      <x:c r="H129" s="46" t="str">
        <x:v>Perch-likes</x:v>
      </x:c>
      <x:c r="I129" s="60" t="n">
        <x:v>4.110811417</x:v>
      </x:c>
      <x:c r="J129" s="60" t="n">
        <x:v>4.110811417</x:v>
      </x:c>
      <x:c r="K129" s="60" t="n">
        <x:v>0</x:v>
      </x:c>
      <x:c r="L129" s="60" t="n">
        <x:v>4.110811417</x:v>
      </x:c>
      <x:c r="M129" s="60" t="n">
        <x:v>0</x:v>
      </x:c>
      <x:c r="N129" s="46" t="str">
        <x:v>gerres</x:v>
      </x:c>
      <x:c r="O129" s="62" t="n">
        <x:v>3.27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Gerres</x:v>
      </x:c>
      <x:c r="T129" s="62" t="n">
        <x:f>IF(O129="","",(1/'Metadata'!$B$5)^(O129-1))</x:f>
        <x:v>186.20871366628674</x:v>
      </x:c>
      <x:c r="U129" s="60" t="n">
        <x:f>IF(T129="","",I129*T129)</x:f>
        <x:v>765.4689060842554</x:v>
      </x:c>
    </x:row>
    <x:row r="130" ht="18" customHeight="1">
      <x:c r="A130" s="46" t="str">
        <x:v>LME_042</x:v>
      </x:c>
      <x:c r="B130" s="46" t="str">
        <x:v>Southeast Australian Shelf</x:v>
      </x:c>
      <x:c r="C130" s="46" t="str">
        <x:v>LME</x:v>
      </x:c>
      <x:c r="D130" s="58" t="n">
        <x:v>2019</x:v>
      </x:c>
      <x:c r="E130" s="46" t="str">
        <x:v>Trichiurus lepturus</x:v>
      </x:c>
      <x:c r="F130" s="46" t="str">
        <x:v>Largehead hairtail</x:v>
      </x:c>
      <x:c r="G130" s="46" t="str">
        <x:v>Large benthopelagics (&gt;=90 cm)</x:v>
      </x:c>
      <x:c r="H130" s="46" t="str">
        <x:v>Perch-likes</x:v>
      </x:c>
      <x:c r="I130" s="60" t="n">
        <x:v>3.9693494945000003</x:v>
      </x:c>
      <x:c r="J130" s="60" t="n">
        <x:v>2.9162813694</x:v>
      </x:c>
      <x:c r="K130" s="60" t="n">
        <x:v>1.0530681251</x:v>
      </x:c>
      <x:c r="L130" s="60" t="n">
        <x:v>2.9114188249</x:v>
      </x:c>
      <x:c r="M130" s="60" t="n">
        <x:v>1.0579306696</x:v>
      </x:c>
      <x:c r="N130" s="46" t="str">
        <x:v>trichiurus lepturus</x:v>
      </x:c>
      <x:c r="O130" s="62" t="n">
        <x:v>4.42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Trichiurus lepturus</x:v>
      </x:c>
      <x:c r="T130" s="62" t="n">
        <x:f>IF(O130="","",(1/'Metadata'!$B$5)^(O130-1))</x:f>
        <x:v>2630.2679918953813</x:v>
      </x:c>
      <x:c r="U130" s="60" t="n">
        <x:f>IF(T130="","",I130*T130)</x:f>
        <x:v>10440.452924029463</x:v>
      </x:c>
    </x:row>
    <x:row r="131" ht="18" customHeight="1">
      <x:c r="A131" s="46" t="str">
        <x:v>LME_042</x:v>
      </x:c>
      <x:c r="B131" s="46" t="str">
        <x:v>Southeast Australian Shelf</x:v>
      </x:c>
      <x:c r="C131" s="46" t="str">
        <x:v>LME</x:v>
      </x:c>
      <x:c r="D131" s="58" t="n">
        <x:v>2019</x:v>
      </x:c>
      <x:c r="E131" s="46" t="str">
        <x:v>Kajikia audax</x:v>
      </x:c>
      <x:c r="F131" s="46" t="str">
        <x:v>Striped marlin</x:v>
      </x:c>
      <x:c r="G131" s="46" t="str">
        <x:v>Large pelagics (&gt;=90 cm)</x:v>
      </x:c>
      <x:c r="H131" s="46" t="str">
        <x:v>Tuna &amp; billfishes</x:v>
      </x:c>
      <x:c r="I131" s="60" t="n">
        <x:v>3.8917285785</x:v>
      </x:c>
      <x:c r="J131" s="60" t="n">
        <x:v>3.8917285785</x:v>
      </x:c>
      <x:c r="K131" s="60" t="n">
        <x:v>0</x:v>
      </x:c>
      <x:c r="L131" s="60" t="n">
        <x:v>3.8896683095</x:v>
      </x:c>
      <x:c r="M131" s="60" t="n">
        <x:v>0.002060269</x:v>
      </x:c>
      <x:c r="N131" s="46" t="str">
        <x:v>kajikia audax</x:v>
      </x:c>
      <x:c r="O131" s="62" t="n">
        <x:v>4.58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Kajikia audax</x:v>
      </x:c>
      <x:c r="T131" s="62" t="n">
        <x:f>IF(O131="","",(1/'Metadata'!$B$5)^(O131-1))</x:f>
        <x:v>3801.8939632056126</x:v>
      </x:c>
      <x:c r="U131" s="60" t="n">
        <x:f>IF(T131="","",I131*T131)</x:f>
        <x:v>14795.93938903391</x:v>
      </x:c>
    </x:row>
    <x:row r="132" ht="18" customHeight="1">
      <x:c r="A132" s="46" t="str">
        <x:v>LME_042</x:v>
      </x:c>
      <x:c r="B132" s="46" t="str">
        <x:v>Southeast Australian Shelf</x:v>
      </x:c>
      <x:c r="C132" s="46" t="str">
        <x:v>LME</x:v>
      </x:c>
      <x:c r="D132" s="58" t="n">
        <x:v>2019</x:v>
      </x:c>
      <x:c r="E132" s="46" t="str">
        <x:v>Isurus</x:v>
      </x:c>
      <x:c r="F132" s="46" t="str">
        <x:v>Mako sharks</x:v>
      </x:c>
      <x:c r="G132" s="46" t="str">
        <x:v>Large sharks (&gt;=90 cm)</x:v>
      </x:c>
      <x:c r="H132" s="46" t="str">
        <x:v>Sharks &amp; rays</x:v>
      </x:c>
      <x:c r="I132" s="60" t="n">
        <x:v>3.8748036974</x:v>
      </x:c>
      <x:c r="J132" s="60" t="n">
        <x:v>0.7837777177</x:v>
      </x:c>
      <x:c r="K132" s="60" t="n">
        <x:v>3.0910259797</x:v>
      </x:c>
      <x:c r="L132" s="60" t="n">
        <x:v>0.7837777177</x:v>
      </x:c>
      <x:c r="M132" s="60" t="n">
        <x:v>3.0910259797</x:v>
      </x:c>
      <x:c r="N132" s="46" t="str">
        <x:v>isurus</x:v>
      </x:c>
      <x:c r="O132" s="62" t="n">
        <x:v>4.5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Isurus</x:v>
      </x:c>
      <x:c r="T132" s="62" t="n">
        <x:f>IF(O132="","",(1/'Metadata'!$B$5)^(O132-1))</x:f>
        <x:v>3162.2776601683795</x:v>
      </x:c>
      <x:c r="U132" s="60" t="n">
        <x:f>IF(T132="","",I132*T132)</x:f>
        <x:v>12253.205169825858</x:v>
      </x:c>
    </x:row>
    <x:row r="133" ht="18" customHeight="1">
      <x:c r="A133" s="46" t="str">
        <x:v>LME_042</x:v>
      </x:c>
      <x:c r="B133" s="46" t="str">
        <x:v>Southeast Australian Shelf</x:v>
      </x:c>
      <x:c r="C133" s="46" t="str">
        <x:v>LME</x:v>
      </x:c>
      <x:c r="D133" s="58" t="n">
        <x:v>2019</x:v>
      </x:c>
      <x:c r="E133" s="46" t="str">
        <x:v>Alopias vulpinus</x:v>
      </x:c>
      <x:c r="F133" s="46" t="str">
        <x:v>Thresher</x:v>
      </x:c>
      <x:c r="G133" s="46" t="str">
        <x:v>Large sharks (&gt;=90 cm)</x:v>
      </x:c>
      <x:c r="H133" s="46" t="str">
        <x:v>Sharks &amp; rays</x:v>
      </x:c>
      <x:c r="I133" s="60" t="n">
        <x:v>3.5084021652</x:v>
      </x:c>
      <x:c r="J133" s="60" t="n">
        <x:v>3.5084021652</x:v>
      </x:c>
      <x:c r="K133" s="60" t="n">
        <x:v>0</x:v>
      </x:c>
      <x:c r="L133" s="60" t="n">
        <x:v>3.2030079146</x:v>
      </x:c>
      <x:c r="M133" s="60" t="n">
        <x:v>0.3053942506</x:v>
      </x:c>
      <x:c r="N133" s="46" t="str">
        <x:v>alopias vulpinus</x:v>
      </x:c>
      <x:c r="O133" s="62" t="n">
        <x:v>4.5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Alopias vulpinus</x:v>
      </x:c>
      <x:c r="T133" s="62" t="n">
        <x:f>IF(O133="","",(1/'Metadata'!$B$5)^(O133-1))</x:f>
        <x:v>3162.2776601683795</x:v>
      </x:c>
      <x:c r="U133" s="60" t="n">
        <x:f>IF(T133="","",I133*T133)</x:f>
        <x:v>11094.541789898332</x:v>
      </x:c>
    </x:row>
    <x:row r="134" ht="18" customHeight="1">
      <x:c r="A134" s="46" t="str">
        <x:v>LME_042</x:v>
      </x:c>
      <x:c r="B134" s="46" t="str">
        <x:v>Southeast Australian Shelf</x:v>
      </x:c>
      <x:c r="C134" s="46" t="str">
        <x:v>LME</x:v>
      </x:c>
      <x:c r="D134" s="58" t="n">
        <x:v>2019</x:v>
      </x:c>
      <x:c r="E134" s="46" t="str">
        <x:v>Centrolophus niger</x:v>
      </x:c>
      <x:c r="F134" s="46" t="str">
        <x:v>Rudderfish</x:v>
      </x:c>
      <x:c r="G134" s="46" t="str">
        <x:v>Large bathypelagics (&gt;=90 cm)</x:v>
      </x:c>
      <x:c r="H134" s="46" t="str">
        <x:v>Perch-likes</x:v>
      </x:c>
      <x:c r="I134" s="60" t="n">
        <x:v>3.4902523771</x:v>
      </x:c>
      <x:c r="J134" s="60" t="n">
        <x:v>3.4902523771</x:v>
      </x:c>
      <x:c r="K134" s="60" t="n">
        <x:v>0</x:v>
      </x:c>
      <x:c r="L134" s="60" t="n">
        <x:v>3.4902523771</x:v>
      </x:c>
      <x:c r="M134" s="60" t="n">
        <x:v>0</x:v>
      </x:c>
      <x:c r="N134" s="46" t="str">
        <x:v>centrolophus niger</x:v>
      </x:c>
      <x:c r="O134" s="62" t="n">
        <x:v>3.92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Centrolophus niger</x:v>
      </x:c>
      <x:c r="T134" s="62" t="n">
        <x:f>IF(O134="","",(1/'Metadata'!$B$5)^(O134-1))</x:f>
        <x:v>831.7637711026708</x:v>
      </x:c>
      <x:c r="U134" s="60" t="n">
        <x:f>IF(T134="","",I134*T134)</x:f>
        <x:v>2903.0654792767573</x:v>
      </x:c>
    </x:row>
    <x:row r="135" ht="18" customHeight="1">
      <x:c r="A135" s="46" t="str">
        <x:v>LME_042</x:v>
      </x:c>
      <x:c r="B135" s="46" t="str">
        <x:v>Southeast Australian Shelf</x:v>
      </x:c>
      <x:c r="C135" s="46" t="str">
        <x:v>LME</x:v>
      </x:c>
      <x:c r="D135" s="58" t="n">
        <x:v>2019</x:v>
      </x:c>
      <x:c r="E135" s="46" t="str">
        <x:v>Thunnus obesus</x:v>
      </x:c>
      <x:c r="F135" s="46" t="str">
        <x:v>Bigeye tuna</x:v>
      </x:c>
      <x:c r="G135" s="46" t="str">
        <x:v>Large pelagics (&gt;=90 cm)</x:v>
      </x:c>
      <x:c r="H135" s="46" t="str">
        <x:v>Tuna &amp; billfishes</x:v>
      </x:c>
      <x:c r="I135" s="60" t="n">
        <x:v>3.2561954036</x:v>
      </x:c>
      <x:c r="J135" s="60" t="n">
        <x:v>2.8468235859</x:v>
      </x:c>
      <x:c r="K135" s="60" t="n">
        <x:v>0.4093718177</x:v>
      </x:c>
      <x:c r="L135" s="60" t="n">
        <x:v>2.5977205699</x:v>
      </x:c>
      <x:c r="M135" s="60" t="n">
        <x:v>0.6584748337</x:v>
      </x:c>
      <x:c r="N135" s="46" t="str">
        <x:v>thunnus obesus</x:v>
      </x:c>
      <x:c r="O135" s="62" t="n">
        <x:v>4.49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Thunnus obesus</x:v>
      </x:c>
      <x:c r="T135" s="62" t="n">
        <x:f>IF(O135="","",(1/'Metadata'!$B$5)^(O135-1))</x:f>
        <x:v>3090.295432513592</x:v>
      </x:c>
      <x:c r="U135" s="60" t="n">
        <x:f>IF(T135="","",I135*T135)</x:f>
        <x:v>10062.605783116833</x:v>
      </x:c>
    </x:row>
    <x:row r="136" ht="18" customHeight="1">
      <x:c r="A136" s="46" t="str">
        <x:v>LME_042</x:v>
      </x:c>
      <x:c r="B136" s="46" t="str">
        <x:v>Southeast Australian Shelf</x:v>
      </x:c>
      <x:c r="C136" s="46" t="str">
        <x:v>LME</x:v>
      </x:c>
      <x:c r="D136" s="58" t="n">
        <x:v>2019</x:v>
      </x:c>
      <x:c r="E136" s="46" t="str">
        <x:v>Gastropoda</x:v>
      </x:c>
      <x:c r="F136" s="46" t="str">
        <x:v>Sea snails</x:v>
      </x:c>
      <x:c r="G136" s="46" t="str">
        <x:v>Other demersal invertebrates</x:v>
      </x:c>
      <x:c r="H136" s="46" t="str">
        <x:v>Molluscs</x:v>
      </x:c>
      <x:c r="I136" s="60" t="n">
        <x:v>3.1507382532</x:v>
      </x:c>
      <x:c r="J136" s="60" t="n">
        <x:v>3.1507382532</x:v>
      </x:c>
      <x:c r="K136" s="60" t="n">
        <x:v>0</x:v>
      </x:c>
      <x:c r="L136" s="60" t="n">
        <x:v>3.1507314500000003</x:v>
      </x:c>
      <x:c r="M136" s="60" t="n">
        <x:v>0.0000068032</x:v>
      </x:c>
      <x:c r="N136" s="46" t="str">
        <x:v>gastropoda</x:v>
      </x:c>
      <x:c r="O136" s="62" t="n">
        <x:v>3.06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Gastropoda</x:v>
      </x:c>
      <x:c r="T136" s="62" t="n">
        <x:f>IF(O136="","",(1/'Metadata'!$B$5)^(O136-1))</x:f>
        <x:v>114.81536214968828</x:v>
      </x:c>
      <x:c r="U136" s="60" t="n">
        <x:f>IF(T136="","",I136*T136)</x:f>
        <x:v>361.7531535800343</x:v>
      </x:c>
    </x:row>
    <x:row r="137" ht="18" customHeight="1">
      <x:c r="A137" s="46" t="str">
        <x:v>LME_042</x:v>
      </x:c>
      <x:c r="B137" s="46" t="str">
        <x:v>Southeast Australian Shelf</x:v>
      </x:c>
      <x:c r="C137" s="46" t="str">
        <x:v>LME</x:v>
      </x:c>
      <x:c r="D137" s="58" t="n">
        <x:v>2019</x:v>
      </x:c>
      <x:c r="E137" s="46" t="str">
        <x:v>Scorpaenidae</x:v>
      </x:c>
      <x:c r="F137" s="46" t="str">
        <x:v>Scorpionfishes, rockfishes</x:v>
      </x:c>
      <x:c r="G137" s="46" t="str">
        <x:v>Large reef assoc. fish (&gt;=90 cm)</x:v>
      </x:c>
      <x:c r="H137" s="46" t="str">
        <x:v>Scorpionfishes</x:v>
      </x:c>
      <x:c r="I137" s="60" t="n">
        <x:v>3.0906570903</x:v>
      </x:c>
      <x:c r="J137" s="60" t="n">
        <x:v>0.0022258512</x:v>
      </x:c>
      <x:c r="K137" s="60" t="n">
        <x:v>3.0884312391</x:v>
      </x:c>
      <x:c r="L137" s="60" t="n">
        <x:v>0.0021055226</x:v>
      </x:c>
      <x:c r="M137" s="60" t="n">
        <x:v>3.0885515677</x:v>
      </x:c>
      <x:c r="N137" s="46" t="str">
        <x:v>scorpaenidae</x:v>
      </x:c>
      <x:c r="O137" s="62" t="n">
        <x:v>3.92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Scorpaenidae</x:v>
      </x:c>
      <x:c r="T137" s="62" t="n">
        <x:f>IF(O137="","",(1/'Metadata'!$B$5)^(O137-1))</x:f>
        <x:v>831.7637711026708</x:v>
      </x:c>
      <x:c r="U137" s="60" t="n">
        <x:f>IF(T137="","",I137*T137)</x:f>
        <x:v>2570.696596613136</x:v>
      </x:c>
    </x:row>
    <x:row r="138" ht="18" customHeight="1">
      <x:c r="A138" s="46" t="str">
        <x:v>LME_042</x:v>
      </x:c>
      <x:c r="B138" s="46" t="str">
        <x:v>Southeast Australian Shelf</x:v>
      </x:c>
      <x:c r="C138" s="46" t="str">
        <x:v>LME</x:v>
      </x:c>
      <x:c r="D138" s="58" t="n">
        <x:v>2019</x:v>
      </x:c>
      <x:c r="E138" s="46" t="str">
        <x:v>Pteriomorphia</x:v>
      </x:c>
      <x:c r="F138" s="46" t="str">
        <x:v>Clams, cockles, arkshells</x:v>
      </x:c>
      <x:c r="G138" s="46" t="str">
        <x:v>Other demersal invertebrates</x:v>
      </x:c>
      <x:c r="H138" s="46" t="str">
        <x:v>Molluscs</x:v>
      </x:c>
      <x:c r="I138" s="60" t="n">
        <x:v>3.0310763447999998</x:v>
      </x:c>
      <x:c r="J138" s="60" t="n">
        <x:v>3.0310763447999998</x:v>
      </x:c>
      <x:c r="K138" s="60" t="n">
        <x:v>0</x:v>
      </x:c>
      <x:c r="L138" s="60" t="n">
        <x:v>0</x:v>
      </x:c>
      <x:c r="M138" s="60" t="n">
        <x:v>3.0310763447999998</x:v>
      </x:c>
      <x:c r="N138" s="46" t="str">
        <x:v>pteriomorphia</x:v>
      </x:c>
      <x:c r="O138" s="62" t="n">
        <x:v>2.27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Pteriomorphia</x:v>
      </x:c>
      <x:c r="T138" s="62" t="n">
        <x:f>IF(O138="","",(1/'Metadata'!$B$5)^(O138-1))</x:f>
        <x:v>18.620871366628677</x:v>
      </x:c>
      <x:c r="U138" s="60" t="n">
        <x:f>IF(T138="","",I138*T138)</x:f>
        <x:v>56.441282718951825</x:v>
      </x:c>
    </x:row>
    <x:row r="139" ht="18" customHeight="1">
      <x:c r="A139" s="46" t="str">
        <x:v>LME_042</x:v>
      </x:c>
      <x:c r="B139" s="46" t="str">
        <x:v>Southeast Australian Shelf</x:v>
      </x:c>
      <x:c r="C139" s="46" t="str">
        <x:v>LME</x:v>
      </x:c>
      <x:c r="D139" s="58" t="n">
        <x:v>2019</x:v>
      </x:c>
      <x:c r="E139" s="46" t="str">
        <x:v>Scylla</x:v>
      </x:c>
      <x:c r="F139" s="46" t="str">
        <x:v>Mud crabs</x:v>
      </x:c>
      <x:c r="G139" s="46" t="str">
        <x:v>Lobsters, crabs</x:v>
      </x:c>
      <x:c r="H139" s="46" t="str">
        <x:v>Crustaceans</x:v>
      </x:c>
      <x:c r="I139" s="60" t="n">
        <x:v>2.8754346541</x:v>
      </x:c>
      <x:c r="J139" s="60" t="n">
        <x:v>2.8754346541</x:v>
      </x:c>
      <x:c r="K139" s="60" t="n">
        <x:v>0</x:v>
      </x:c>
      <x:c r="L139" s="60" t="n">
        <x:v>0.9286573234</x:v>
      </x:c>
      <x:c r="M139" s="60" t="n">
        <x:v>1.9467773306999998</x:v>
      </x:c>
      <x:c r="N139" s="46" t="str">
        <x:v>scylla</x:v>
      </x:c>
      <x:c r="O139" s="62" t="n">
        <x:v>3.17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Scylla</x:v>
      </x:c>
      <x:c r="T139" s="62" t="n">
        <x:f>IF(O139="","",(1/'Metadata'!$B$5)^(O139-1))</x:f>
        <x:v>147.91083881682073</x:v>
      </x:c>
      <x:c r="U139" s="60" t="n">
        <x:f>IF(T139="","",I139*T139)</x:f>
        <x:v>425.3079516508858</x:v>
      </x:c>
    </x:row>
    <x:row r="140" ht="18" customHeight="1">
      <x:c r="A140" s="46" t="str">
        <x:v>LME_042</x:v>
      </x:c>
      <x:c r="B140" s="46" t="str">
        <x:v>Southeast Australian Shelf</x:v>
      </x:c>
      <x:c r="C140" s="46" t="str">
        <x:v>LME</x:v>
      </x:c>
      <x:c r="D140" s="58" t="n">
        <x:v>2019</x:v>
      </x:c>
      <x:c r="E140" s="46" t="str">
        <x:v>Scomber</x:v>
      </x:c>
      <x:c r="F140" s="46" t="str">
        <x:v>Chub mackerels</x:v>
      </x:c>
      <x:c r="G140" s="46" t="str">
        <x:v>Medium pelagics (30 - 89 cm)</x:v>
      </x:c>
      <x:c r="H140" s="46" t="str">
        <x:v>Perch-likes</x:v>
      </x:c>
      <x:c r="I140" s="60" t="n">
        <x:v>2.8497185641</x:v>
      </x:c>
      <x:c r="J140" s="60" t="n">
        <x:v>2.8497185641</x:v>
      </x:c>
      <x:c r="K140" s="60" t="n">
        <x:v>0</x:v>
      </x:c>
      <x:c r="L140" s="60" t="n">
        <x:v>0</x:v>
      </x:c>
      <x:c r="M140" s="60" t="n">
        <x:v>2.8497185641</x:v>
      </x:c>
      <x:c r="N140" s="46" t="str">
        <x:v>scomber</x:v>
      </x:c>
      <x:c r="O140" s="62" t="n">
        <x:v>3.65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Scomber</x:v>
      </x:c>
      <x:c r="T140" s="62" t="n">
        <x:f>IF(O140="","",(1/'Metadata'!$B$5)^(O140-1))</x:f>
        <x:v>446.683592150963</x:v>
      </x:c>
      <x:c r="U140" s="60" t="n">
        <x:f>IF(T140="","",I140*T140)</x:f>
        <x:v>1272.9225248314722</x:v>
      </x:c>
    </x:row>
    <x:row r="141" ht="18" customHeight="1">
      <x:c r="A141" s="46" t="str">
        <x:v>LME_042</x:v>
      </x:c>
      <x:c r="B141" s="46" t="str">
        <x:v>Southeast Australian Shelf</x:v>
      </x:c>
      <x:c r="C141" s="46" t="str">
        <x:v>LME</x:v>
      </x:c>
      <x:c r="D141" s="58" t="n">
        <x:v>2019</x:v>
      </x:c>
      <x:c r="E141" s="46" t="str">
        <x:v>Moridae</x:v>
      </x:c>
      <x:c r="F141" s="46" t="str">
        <x:v>Codlings, moras</x:v>
      </x:c>
      <x:c r="G141" s="46" t="str">
        <x:v>Medium benthopelagics (30 - 89 cm)</x:v>
      </x:c>
      <x:c r="H141" s="46" t="str">
        <x:v>Cod-likes</x:v>
      </x:c>
      <x:c r="I141" s="60" t="n">
        <x:v>2.8392710792</x:v>
      </x:c>
      <x:c r="J141" s="60" t="n">
        <x:v>2.8392710792</x:v>
      </x:c>
      <x:c r="K141" s="60" t="n">
        <x:v>0</x:v>
      </x:c>
      <x:c r="L141" s="60" t="n">
        <x:v>2.836826318</x:v>
      </x:c>
      <x:c r="M141" s="60" t="n">
        <x:v>0.0024447612</x:v>
      </x:c>
      <x:c r="N141" s="46" t="str">
        <x:v>moridae</x:v>
      </x:c>
      <x:c r="O141" s="62" t="n">
        <x:v>3.87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Moridae</x:v>
      </x:c>
      <x:c r="T141" s="62" t="n">
        <x:f>IF(O141="","",(1/'Metadata'!$B$5)^(O141-1))</x:f>
        <x:v>741.3102413009177</x:v>
      </x:c>
      <x:c r="U141" s="60" t="n">
        <x:f>IF(T141="","",I141*T141)</x:f>
        <x:v>2104.7807288404692</x:v>
      </x:c>
    </x:row>
    <x:row r="142" ht="18" customHeight="1">
      <x:c r="A142" s="46" t="str">
        <x:v>LME_042</x:v>
      </x:c>
      <x:c r="B142" s="46" t="str">
        <x:v>Southeast Australian Shelf</x:v>
      </x:c>
      <x:c r="C142" s="46" t="str">
        <x:v>LME</x:v>
      </x:c>
      <x:c r="D142" s="58" t="n">
        <x:v>2019</x:v>
      </x:c>
      <x:c r="E142" s="46" t="str">
        <x:v>Congridae</x:v>
      </x:c>
      <x:c r="F142" s="46" t="str">
        <x:v>Conger, garden eels</x:v>
      </x:c>
      <x:c r="G142" s="46" t="str">
        <x:v>Large demersals (&gt;=90 cm)</x:v>
      </x:c>
      <x:c r="H142" s="46" t="str">
        <x:v>Other fishes &amp; inverts</x:v>
      </x:c>
      <x:c r="I142" s="60" t="n">
        <x:v>2.7868737825</x:v>
      </x:c>
      <x:c r="J142" s="60" t="n">
        <x:v>0.0897584322</x:v>
      </x:c>
      <x:c r="K142" s="60" t="n">
        <x:v>2.6971153503</x:v>
      </x:c>
      <x:c r="L142" s="60" t="n">
        <x:v>0.0897584322</x:v>
      </x:c>
      <x:c r="M142" s="60" t="n">
        <x:v>2.6971153503</x:v>
      </x:c>
      <x:c r="N142" s="46" t="str">
        <x:v>congridae</x:v>
      </x:c>
      <x:c r="O142" s="62" t="n">
        <x:v>4.18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Congridae</x:v>
      </x:c>
      <x:c r="T142" s="62" t="n">
        <x:f>IF(O142="","",(1/'Metadata'!$B$5)^(O142-1))</x:f>
        <x:v>1513.5612484362073</x:v>
      </x:c>
      <x:c r="U142" s="60" t="n">
        <x:f>IF(T142="","",I142*T142)</x:f>
        <x:v>4218.104161474835</x:v>
      </x:c>
    </x:row>
    <x:row r="143" ht="18" customHeight="1">
      <x:c r="A143" s="46" t="str">
        <x:v>LME_042</x:v>
      </x:c>
      <x:c r="B143" s="46" t="str">
        <x:v>Southeast Australian Shelf</x:v>
      </x:c>
      <x:c r="C143" s="46" t="str">
        <x:v>LME</x:v>
      </x:c>
      <x:c r="D143" s="58" t="n">
        <x:v>2019</x:v>
      </x:c>
      <x:c r="E143" s="46" t="str">
        <x:v>Katsuwonus pelamis</x:v>
      </x:c>
      <x:c r="F143" s="46" t="str">
        <x:v>Skipjack tuna</x:v>
      </x:c>
      <x:c r="G143" s="46" t="str">
        <x:v>Large pelagics (&gt;=90 cm)</x:v>
      </x:c>
      <x:c r="H143" s="46" t="str">
        <x:v>Tuna &amp; billfishes</x:v>
      </x:c>
      <x:c r="I143" s="60" t="n">
        <x:v>2.6414658984</x:v>
      </x:c>
      <x:c r="J143" s="60" t="n">
        <x:v>2.6161360070999997</x:v>
      </x:c>
      <x:c r="K143" s="60" t="n">
        <x:v>0.0253298913</x:v>
      </x:c>
      <x:c r="L143" s="60" t="n">
        <x:v>0.4257118233</x:v>
      </x:c>
      <x:c r="M143" s="60" t="n">
        <x:v>2.2157540751</x:v>
      </x:c>
      <x:c r="N143" s="46" t="str">
        <x:v>katsuwonus pelamis</x:v>
      </x:c>
      <x:c r="O143" s="62" t="n">
        <x:v>4.43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Katsuwonus pelamis</x:v>
      </x:c>
      <x:c r="T143" s="62" t="n">
        <x:f>IF(O143="","",(1/'Metadata'!$B$5)^(O143-1))</x:f>
        <x:v>2691.534803926914</x:v>
      </x:c>
      <x:c r="U143" s="60" t="n">
        <x:f>IF(T143="","",I143*T143)</x:f>
        <x:v>7109.597398929673</x:v>
      </x:c>
    </x:row>
    <x:row r="144" ht="18" customHeight="1">
      <x:c r="A144" s="46" t="str">
        <x:v>LME_042</x:v>
      </x:c>
      <x:c r="B144" s="46" t="str">
        <x:v>Southeast Australian Shelf</x:v>
      </x:c>
      <x:c r="C144" s="46" t="str">
        <x:v>LME</x:v>
      </x:c>
      <x:c r="D144" s="58" t="n">
        <x:v>2019</x:v>
      </x:c>
      <x:c r="E144" s="46" t="str">
        <x:v>Carcharhinus longimanus</x:v>
      </x:c>
      <x:c r="F144" s="46" t="str">
        <x:v>Oceanic whitetip shark</x:v>
      </x:c>
      <x:c r="G144" s="46" t="str">
        <x:v>Large sharks (&gt;=90 cm)</x:v>
      </x:c>
      <x:c r="H144" s="46" t="str">
        <x:v>Sharks &amp; rays</x:v>
      </x:c>
      <x:c r="I144" s="60" t="n">
        <x:v>2.4009542219</x:v>
      </x:c>
      <x:c r="J144" s="60" t="n">
        <x:v>1.2997530882000001</x:v>
      </x:c>
      <x:c r="K144" s="60" t="n">
        <x:v>1.1012011336999998</x:v>
      </x:c>
      <x:c r="L144" s="60" t="n">
        <x:v>1.2841697614</x:v>
      </x:c>
      <x:c r="M144" s="60" t="n">
        <x:v>1.1167844605</x:v>
      </x:c>
      <x:c r="N144" s="46" t="str">
        <x:v>carcharhinus longimanus</x:v>
      </x:c>
      <x:c r="O144" s="62" t="n">
        <x:v>4.16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Carcharhinus longimanus</x:v>
      </x:c>
      <x:c r="T144" s="62" t="n">
        <x:f>IF(O144="","",(1/'Metadata'!$B$5)^(O144-1))</x:f>
        <x:v>1445.439770745928</x:v>
      </x:c>
      <x:c r="U144" s="60" t="n">
        <x:f>IF(T144="","",I144*T144)</x:f>
        <x:v>3470.4347200746042</x:v>
      </x:c>
    </x:row>
    <x:row r="145" ht="18" customHeight="1">
      <x:c r="A145" s="46" t="str">
        <x:v>LME_042</x:v>
      </x:c>
      <x:c r="B145" s="46" t="str">
        <x:v>Southeast Australian Shelf</x:v>
      </x:c>
      <x:c r="C145" s="46" t="str">
        <x:v>LME</x:v>
      </x:c>
      <x:c r="D145" s="58" t="n">
        <x:v>2019</x:v>
      </x:c>
      <x:c r="E145" s="46" t="str">
        <x:v>Tetrapturus angustirostris</x:v>
      </x:c>
      <x:c r="F145" s="46" t="str">
        <x:v>Shortbill spearfish</x:v>
      </x:c>
      <x:c r="G145" s="46" t="str">
        <x:v>Large pelagics (&gt;=90 cm)</x:v>
      </x:c>
      <x:c r="H145" s="46" t="str">
        <x:v>Tuna &amp; billfishes</x:v>
      </x:c>
      <x:c r="I145" s="60" t="n">
        <x:v>2.3645152637</x:v>
      </x:c>
      <x:c r="J145" s="60" t="n">
        <x:v>2.3645152637</x:v>
      </x:c>
      <x:c r="K145" s="60" t="n">
        <x:v>0</x:v>
      </x:c>
      <x:c r="L145" s="60" t="n">
        <x:v>0</x:v>
      </x:c>
      <x:c r="M145" s="60" t="n">
        <x:v>2.3645152637</x:v>
      </x:c>
      <x:c r="N145" s="46" t="str">
        <x:v>tetrapturus angustirostris</x:v>
      </x:c>
      <x:c r="O145" s="62" t="n">
        <x:v>4.5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Tetrapturus angustirostris</x:v>
      </x:c>
      <x:c r="T145" s="62" t="n">
        <x:f>IF(O145="","",(1/'Metadata'!$B$5)^(O145-1))</x:f>
        <x:v>3162.2776601683795</x:v>
      </x:c>
      <x:c r="U145" s="60" t="n">
        <x:f>IF(T145="","",I145*T145)</x:f>
        <x:v>7477.253795525655</x:v>
      </x:c>
    </x:row>
    <x:row r="146" ht="18" customHeight="1">
      <x:c r="A146" s="46" t="str">
        <x:v>LME_042</x:v>
      </x:c>
      <x:c r="B146" s="46" t="str">
        <x:v>Southeast Australian Shelf</x:v>
      </x:c>
      <x:c r="C146" s="46" t="str">
        <x:v>LME</x:v>
      </x:c>
      <x:c r="D146" s="58" t="n">
        <x:v>2019</x:v>
      </x:c>
      <x:c r="E146" s="46" t="str">
        <x:v>Coryphaena hippurus</x:v>
      </x:c>
      <x:c r="F146" s="46" t="str">
        <x:v>Common dolphinfish</x:v>
      </x:c>
      <x:c r="G146" s="46" t="str">
        <x:v>Large pelagics (&gt;=90 cm)</x:v>
      </x:c>
      <x:c r="H146" s="46" t="str">
        <x:v>Perch-likes</x:v>
      </x:c>
      <x:c r="I146" s="60" t="n">
        <x:v>2.1721832101</x:v>
      </x:c>
      <x:c r="J146" s="60" t="n">
        <x:v>0.2150341867</x:v>
      </x:c>
      <x:c r="K146" s="60" t="n">
        <x:v>1.9571490234</x:v>
      </x:c>
      <x:c r="L146" s="60" t="n">
        <x:v>0.2150341867</x:v>
      </x:c>
      <x:c r="M146" s="60" t="n">
        <x:v>1.9571490234</x:v>
      </x:c>
      <x:c r="N146" s="46" t="str">
        <x:v>coryphaena hippurus</x:v>
      </x:c>
      <x:c r="O146" s="62" t="n">
        <x:v>4.37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Coryphaena hippurus</x:v>
      </x:c>
      <x:c r="T146" s="62" t="n">
        <x:f>IF(O146="","",(1/'Metadata'!$B$5)^(O146-1))</x:f>
        <x:v>2344.228815319923</x:v>
      </x:c>
      <x:c r="U146" s="60" t="n">
        <x:f>IF(T146="","",I146*T146)</x:f>
        <x:v>5092.09447327055</x:v>
      </x:c>
    </x:row>
    <x:row r="147" ht="18" customHeight="1">
      <x:c r="A147" s="46" t="str">
        <x:v>LME_042</x:v>
      </x:c>
      <x:c r="B147" s="46" t="str">
        <x:v>Southeast Australian Shelf</x:v>
      </x:c>
      <x:c r="C147" s="46" t="str">
        <x:v>LME</x:v>
      </x:c>
      <x:c r="D147" s="58" t="n">
        <x:v>2019</x:v>
      </x:c>
      <x:c r="E147" s="46" t="str">
        <x:v>Paristiopterus labiosus</x:v>
      </x:c>
      <x:c r="F147" s="46" t="str">
        <x:v>Giant boarfish</x:v>
      </x:c>
      <x:c r="G147" s="46" t="str">
        <x:v>Medium demersals (30 - 89 cm)</x:v>
      </x:c>
      <x:c r="H147" s="46" t="str">
        <x:v>Perch-likes</x:v>
      </x:c>
      <x:c r="I147" s="60" t="n">
        <x:v>2.1674957819</x:v>
      </x:c>
      <x:c r="J147" s="60" t="n">
        <x:v>2.1674957819</x:v>
      </x:c>
      <x:c r="K147" s="60" t="n">
        <x:v>0</x:v>
      </x:c>
      <x:c r="L147" s="60" t="n">
        <x:v>2.1674957819</x:v>
      </x:c>
      <x:c r="M147" s="60" t="n">
        <x:v>0</x:v>
      </x:c>
      <x:c r="N147" s="46" t="str">
        <x:v>paristiopterus labiosus</x:v>
      </x:c>
      <x:c r="O147" s="62" t="n">
        <x:v>3.33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Paristiopterus labiosus</x:v>
      </x:c>
      <x:c r="T147" s="62" t="n">
        <x:f>IF(O147="","",(1/'Metadata'!$B$5)^(O147-1))</x:f>
        <x:v>213.79620895022325</x:v>
      </x:c>
      <x:c r="U147" s="60" t="n">
        <x:f>IF(T147="","",I147*T147)</x:f>
        <x:v>463.4023810858199</x:v>
      </x:c>
    </x:row>
    <x:row r="148" ht="18" customHeight="1">
      <x:c r="A148" s="46" t="str">
        <x:v>LME_042</x:v>
      </x:c>
      <x:c r="B148" s="46" t="str">
        <x:v>Southeast Australian Shelf</x:v>
      </x:c>
      <x:c r="C148" s="46" t="str">
        <x:v>LME</x:v>
      </x:c>
      <x:c r="D148" s="58" t="n">
        <x:v>2019</x:v>
      </x:c>
      <x:c r="E148" s="46" t="str">
        <x:v>Isurus oxyrinchus</x:v>
      </x:c>
      <x:c r="F148" s="46" t="str">
        <x:v>Shortfin mako</x:v>
      </x:c>
      <x:c r="G148" s="46" t="str">
        <x:v>Large sharks (&gt;=90 cm)</x:v>
      </x:c>
      <x:c r="H148" s="46" t="str">
        <x:v>Sharks &amp; rays</x:v>
      </x:c>
      <x:c r="I148" s="60" t="n">
        <x:v>2.1284204607</x:v>
      </x:c>
      <x:c r="J148" s="60" t="n">
        <x:v>2.1284204607</x:v>
      </x:c>
      <x:c r="K148" s="60" t="n">
        <x:v>0</x:v>
      </x:c>
      <x:c r="L148" s="60" t="n">
        <x:v>1.9973403871</x:v>
      </x:c>
      <x:c r="M148" s="60" t="n">
        <x:v>0.1310800736</x:v>
      </x:c>
      <x:c r="N148" s="46" t="str">
        <x:v>isurus oxyrinchus</x:v>
      </x:c>
      <x:c r="O148" s="62" t="n">
        <x:v>4.5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Isurus oxyrinchus</x:v>
      </x:c>
      <x:c r="T148" s="62" t="n">
        <x:f>IF(O148="","",(1/'Metadata'!$B$5)^(O148-1))</x:f>
        <x:v>3162.2776601683795</x:v>
      </x:c>
      <x:c r="U148" s="60" t="n">
        <x:f>IF(T148="","",I148*T148)</x:f>
        <x:v>6730.656474316901</x:v>
      </x:c>
    </x:row>
    <x:row r="149" ht="18" customHeight="1">
      <x:c r="A149" s="46" t="str">
        <x:v>LME_042</x:v>
      </x:c>
      <x:c r="B149" s="46" t="str">
        <x:v>Southeast Australian Shelf</x:v>
      </x:c>
      <x:c r="C149" s="46" t="str">
        <x:v>LME</x:v>
      </x:c>
      <x:c r="D149" s="58" t="n">
        <x:v>2019</x:v>
      </x:c>
      <x:c r="E149" s="46" t="str">
        <x:v>Synodontidae</x:v>
      </x:c>
      <x:c r="F149" s="46" t="str">
        <x:v>Lizardfishes, sauries</x:v>
      </x:c>
      <x:c r="G149" s="46" t="str">
        <x:v>Medium demersals (30 - 89 cm)</x:v>
      </x:c>
      <x:c r="H149" s="46" t="str">
        <x:v>Other fishes &amp; inverts</x:v>
      </x:c>
      <x:c r="I149" s="60" t="n">
        <x:v>2.1021221824</x:v>
      </x:c>
      <x:c r="J149" s="60" t="n">
        <x:v>0.6516127553</x:v>
      </x:c>
      <x:c r="K149" s="60" t="n">
        <x:v>1.4505094271</x:v>
      </x:c>
      <x:c r="L149" s="60" t="n">
        <x:v>0.6515355941</x:v>
      </x:c>
      <x:c r="M149" s="60" t="n">
        <x:v>1.4505865883</x:v>
      </x:c>
      <x:c r="N149" s="46" t="str">
        <x:v>synodontidae</x:v>
      </x:c>
      <x:c r="O149" s="62" t="n">
        <x:v>4.3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Synodontidae</x:v>
      </x:c>
      <x:c r="T149" s="62" t="n">
        <x:f>IF(O149="","",(1/'Metadata'!$B$5)^(O149-1))</x:f>
        <x:v>1995.2623149688789</x:v>
      </x:c>
      <x:c r="U149" s="60" t="n">
        <x:f>IF(T149="","",I149*T149)</x:f>
        <x:v>4194.285172002856</x:v>
      </x:c>
    </x:row>
    <x:row r="150" ht="18" customHeight="1">
      <x:c r="A150" s="46" t="str">
        <x:v>LME_042</x:v>
      </x:c>
      <x:c r="B150" s="46" t="str">
        <x:v>Southeast Australian Shelf</x:v>
      </x:c>
      <x:c r="C150" s="46" t="str">
        <x:v>LME</x:v>
      </x:c>
      <x:c r="D150" s="58" t="n">
        <x:v>2019</x:v>
      </x:c>
      <x:c r="E150" s="46" t="str">
        <x:v>Scyliorhinidae</x:v>
      </x:c>
      <x:c r="F150" s="46" t="str">
        <x:v>Cat/swellsharks</x:v>
      </x:c>
      <x:c r="G150" s="46" t="str">
        <x:v>Large sharks (&gt;=90 cm)</x:v>
      </x:c>
      <x:c r="H150" s="46" t="str">
        <x:v>Sharks &amp; rays</x:v>
      </x:c>
      <x:c r="I150" s="60" t="n">
        <x:v>2.015860432</x:v>
      </x:c>
      <x:c r="J150" s="60" t="n">
        <x:v>2.015860432</x:v>
      </x:c>
      <x:c r="K150" s="60" t="n">
        <x:v>0</x:v>
      </x:c>
      <x:c r="L150" s="60" t="n">
        <x:v>2.0144888925</x:v>
      </x:c>
      <x:c r="M150" s="60" t="n">
        <x:v>0.0013715395</x:v>
      </x:c>
      <x:c r="N150" s="46" t="str">
        <x:v>scyliorhinidae</x:v>
      </x:c>
      <x:c r="O150" s="62" t="n">
        <x:v>3.97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Scyliorhinidae</x:v>
      </x:c>
      <x:c r="T150" s="62" t="n">
        <x:f>IF(O150="","",(1/'Metadata'!$B$5)^(O150-1))</x:f>
        <x:v>933.2543007969915</x:v>
      </x:c>
      <x:c r="U150" s="60" t="n">
        <x:f>IF(T150="","",I150*T150)</x:f>
        <x:v>1881.3104179704815</x:v>
      </x:c>
    </x:row>
    <x:row r="151" ht="18" customHeight="1">
      <x:c r="A151" s="46" t="str">
        <x:v>LME_042</x:v>
      </x:c>
      <x:c r="B151" s="46" t="str">
        <x:v>Southeast Australian Shelf</x:v>
      </x:c>
      <x:c r="C151" s="46" t="str">
        <x:v>LME</x:v>
      </x:c>
      <x:c r="D151" s="58" t="n">
        <x:v>2019</x:v>
      </x:c>
      <x:c r="E151" s="46" t="str">
        <x:v>Alopias</x:v>
      </x:c>
      <x:c r="F151" s="46" t="str">
        <x:v>Thresher sharks</x:v>
      </x:c>
      <x:c r="G151" s="46" t="str">
        <x:v>Large sharks (&gt;=90 cm)</x:v>
      </x:c>
      <x:c r="H151" s="46" t="str">
        <x:v>Sharks &amp; rays</x:v>
      </x:c>
      <x:c r="I151" s="60" t="n">
        <x:v>2.010125552</x:v>
      </x:c>
      <x:c r="J151" s="60" t="n">
        <x:v>1.7751559933</x:v>
      </x:c>
      <x:c r="K151" s="60" t="n">
        <x:v>0.2349695587</x:v>
      </x:c>
      <x:c r="L151" s="60" t="n">
        <x:v>1.7751559933</x:v>
      </x:c>
      <x:c r="M151" s="60" t="n">
        <x:v>0.2349695587</x:v>
      </x:c>
      <x:c r="N151" s="46" t="str">
        <x:v>alopias</x:v>
      </x:c>
      <x:c r="O151" s="62" t="n">
        <x:v>4.5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Alopias</x:v>
      </x:c>
      <x:c r="T151" s="62" t="n">
        <x:f>IF(O151="","",(1/'Metadata'!$B$5)^(O151-1))</x:f>
        <x:v>3162.2776601683795</x:v>
      </x:c>
      <x:c r="U151" s="60" t="n">
        <x:f>IF(T151="","",I151*T151)</x:f>
        <x:v>6356.575127223232</x:v>
      </x:c>
    </x:row>
    <x:row r="152" ht="18" customHeight="1">
      <x:c r="A152" s="46" t="str">
        <x:v>LME_042</x:v>
      </x:c>
      <x:c r="B152" s="46" t="str">
        <x:v>Southeast Australian Shelf</x:v>
      </x:c>
      <x:c r="C152" s="46" t="str">
        <x:v>LME</x:v>
      </x:c>
      <x:c r="D152" s="58" t="n">
        <x:v>2019</x:v>
      </x:c>
      <x:c r="E152" s="46" t="str">
        <x:v>Trichiuridae</x:v>
      </x:c>
      <x:c r="F152" s="46" t="str">
        <x:v>Cutlassfishes</x:v>
      </x:c>
      <x:c r="G152" s="46" t="str">
        <x:v>Large benthopelagics (&gt;=90 cm)</x:v>
      </x:c>
      <x:c r="H152" s="46" t="str">
        <x:v>Perch-likes</x:v>
      </x:c>
      <x:c r="I152" s="60" t="n">
        <x:v>2.0021910143</x:v>
      </x:c>
      <x:c r="J152" s="60" t="n">
        <x:v>0</x:v>
      </x:c>
      <x:c r="K152" s="60" t="n">
        <x:v>2.0021910143</x:v>
      </x:c>
      <x:c r="L152" s="60" t="n">
        <x:v>0</x:v>
      </x:c>
      <x:c r="M152" s="60" t="n">
        <x:v>2.0021910143</x:v>
      </x:c>
      <x:c r="N152" s="46" t="str">
        <x:v>trichiuridae</x:v>
      </x:c>
      <x:c r="O152" s="62" t="n">
        <x:v>4.15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Trichiuridae</x:v>
      </x:c>
      <x:c r="T152" s="62" t="n">
        <x:f>IF(O152="","",(1/'Metadata'!$B$5)^(O152-1))</x:f>
        <x:v>1412.5375446227554</x:v>
      </x:c>
      <x:c r="U152" s="60" t="n">
        <x:f>IF(T152="","",I152*T152)</x:f>
        <x:v>2828.1699792050663</x:v>
      </x:c>
    </x:row>
    <x:row r="153" ht="18" customHeight="1">
      <x:c r="A153" s="46" t="str">
        <x:v>LME_042</x:v>
      </x:c>
      <x:c r="B153" s="46" t="str">
        <x:v>Southeast Australian Shelf</x:v>
      </x:c>
      <x:c r="C153" s="46" t="str">
        <x:v>LME</x:v>
      </x:c>
      <x:c r="D153" s="58" t="n">
        <x:v>2019</x:v>
      </x:c>
      <x:c r="E153" s="46" t="str">
        <x:v>Gadiformes</x:v>
      </x:c>
      <x:c r="F153" s="46" t="str">
        <x:v>Cods</x:v>
      </x:c>
      <x:c r="G153" s="46" t="str">
        <x:v>Medium benthopelagics (30 - 89 cm)</x:v>
      </x:c>
      <x:c r="H153" s="46" t="str">
        <x:v>Cod-likes</x:v>
      </x:c>
      <x:c r="I153" s="60" t="n">
        <x:v>1.9820209033</x:v>
      </x:c>
      <x:c r="J153" s="60" t="n">
        <x:v>1.9820209033</x:v>
      </x:c>
      <x:c r="K153" s="60" t="n">
        <x:v>0</x:v>
      </x:c>
      <x:c r="L153" s="60" t="n">
        <x:v>1.9820209033</x:v>
      </x:c>
      <x:c r="M153" s="60" t="n">
        <x:v>0</x:v>
      </x:c>
      <x:c r="N153" s="46" t="str">
        <x:v>gadiformes</x:v>
      </x:c>
      <x:c r="O153" s="62" t="n">
        <x:v>3.91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Gadiformes</x:v>
      </x:c>
      <x:c r="T153" s="62" t="n">
        <x:f>IF(O153="","",(1/'Metadata'!$B$5)^(O153-1))</x:f>
        <x:v>812.8305161640995</x:v>
      </x:c>
      <x:c r="U153" s="60" t="n">
        <x:f>IF(T153="","",I153*T153)</x:f>
        <x:v>1611.0470738773738</x:v>
      </x:c>
    </x:row>
    <x:row r="154" ht="18" customHeight="1">
      <x:c r="A154" s="46" t="str">
        <x:v>LME_042</x:v>
      </x:c>
      <x:c r="B154" s="46" t="str">
        <x:v>Southeast Australian Shelf</x:v>
      </x:c>
      <x:c r="C154" s="46" t="str">
        <x:v>LME</x:v>
      </x:c>
      <x:c r="D154" s="58" t="n">
        <x:v>2019</x:v>
      </x:c>
      <x:c r="E154" s="46" t="str">
        <x:v>Gempylidae</x:v>
      </x:c>
      <x:c r="F154" s="46" t="str">
        <x:v>Snake mackerels</x:v>
      </x:c>
      <x:c r="G154" s="46" t="str">
        <x:v>Large benthopelagics (&gt;=90 cm)</x:v>
      </x:c>
      <x:c r="H154" s="46" t="str">
        <x:v>Perch-likes</x:v>
      </x:c>
      <x:c r="I154" s="60" t="n">
        <x:v>1.9056333097</x:v>
      </x:c>
      <x:c r="J154" s="60" t="n">
        <x:v>0</x:v>
      </x:c>
      <x:c r="K154" s="60" t="n">
        <x:v>1.9056333097</x:v>
      </x:c>
      <x:c r="L154" s="60" t="n">
        <x:v>0</x:v>
      </x:c>
      <x:c r="M154" s="60" t="n">
        <x:v>1.9056333097</x:v>
      </x:c>
      <x:c r="N154" s="46" t="str">
        <x:v>gempylidae</x:v>
      </x:c>
      <x:c r="O154" s="62" t="n">
        <x:v>4.21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Gempylidae</x:v>
      </x:c>
      <x:c r="T154" s="62" t="n">
        <x:f>IF(O154="","",(1/'Metadata'!$B$5)^(O154-1))</x:f>
        <x:v>1621.8100973589299</x:v>
      </x:c>
      <x:c r="U154" s="60" t="n">
        <x:f>IF(T154="","",I154*T154)</x:f>
        <x:v>3090.5753435349766</x:v>
      </x:c>
    </x:row>
    <x:row r="155" ht="18" customHeight="1">
      <x:c r="A155" s="46" t="str">
        <x:v>LME_042</x:v>
      </x:c>
      <x:c r="B155" s="46" t="str">
        <x:v>Southeast Australian Shelf</x:v>
      </x:c>
      <x:c r="C155" s="46" t="str">
        <x:v>LME</x:v>
      </x:c>
      <x:c r="D155" s="58" t="n">
        <x:v>2019</x:v>
      </x:c>
      <x:c r="E155" s="46" t="str">
        <x:v>Pristiophorus cirratus</x:v>
      </x:c>
      <x:c r="F155" s="46" t="str">
        <x:v>Common sawshark</x:v>
      </x:c>
      <x:c r="G155" s="46" t="str">
        <x:v>Large sharks (&gt;=90 cm)</x:v>
      </x:c>
      <x:c r="H155" s="46" t="str">
        <x:v>Sharks &amp; rays</x:v>
      </x:c>
      <x:c r="I155" s="60" t="n">
        <x:v>1.8035420545</x:v>
      </x:c>
      <x:c r="J155" s="60" t="n">
        <x:v>1.8035420545</x:v>
      </x:c>
      <x:c r="K155" s="60" t="n">
        <x:v>0</x:v>
      </x:c>
      <x:c r="L155" s="60" t="n">
        <x:v>1.7809379616</x:v>
      </x:c>
      <x:c r="M155" s="60" t="n">
        <x:v>0.0226040929</x:v>
      </x:c>
      <x:c r="N155" s="46" t="str">
        <x:v>pristiophorus cirratus</x:v>
      </x:c>
      <x:c r="O155" s="62" t="n">
        <x:v>4.17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Pristiophorus cirratus</x:v>
      </x:c>
      <x:c r="T155" s="62" t="n">
        <x:f>IF(O155="","",(1/'Metadata'!$B$5)^(O155-1))</x:f>
        <x:v>1479.1083881682073</x:v>
      </x:c>
      <x:c r="U155" s="60" t="n">
        <x:f>IF(T155="","",I155*T155)</x:f>
        <x:v>2667.634181225072</x:v>
      </x:c>
    </x:row>
    <x:row r="156" ht="18" customHeight="1">
      <x:c r="A156" s="46" t="str">
        <x:v>LME_042</x:v>
      </x:c>
      <x:c r="B156" s="46" t="str">
        <x:v>Southeast Australian Shelf</x:v>
      </x:c>
      <x:c r="C156" s="46" t="str">
        <x:v>LME</x:v>
      </x:c>
      <x:c r="D156" s="58" t="n">
        <x:v>2019</x:v>
      </x:c>
      <x:c r="E156" s="46" t="str">
        <x:v>Sphyrna</x:v>
      </x:c>
      <x:c r="F156" s="46" t="str">
        <x:v>Hammerhead sharks</x:v>
      </x:c>
      <x:c r="G156" s="46" t="str">
        <x:v>Large sharks (&gt;=90 cm)</x:v>
      </x:c>
      <x:c r="H156" s="46" t="str">
        <x:v>Sharks &amp; rays</x:v>
      </x:c>
      <x:c r="I156" s="60" t="n">
        <x:v>1.6309863168</x:v>
      </x:c>
      <x:c r="J156" s="60" t="n">
        <x:v>1.6309863168</x:v>
      </x:c>
      <x:c r="K156" s="60" t="n">
        <x:v>0</x:v>
      </x:c>
      <x:c r="L156" s="60" t="n">
        <x:v>1.6309863168</x:v>
      </x:c>
      <x:c r="M156" s="60" t="n">
        <x:v>0</x:v>
      </x:c>
      <x:c r="N156" s="46" t="str">
        <x:v>sphyrna</x:v>
      </x:c>
      <x:c r="O156" s="62" t="n">
        <x:v>4.2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Sphyrna</x:v>
      </x:c>
      <x:c r="T156" s="62" t="n">
        <x:f>IF(O156="","",(1/'Metadata'!$B$5)^(O156-1))</x:f>
        <x:v>1584.893192461114</x:v>
      </x:c>
      <x:c r="U156" s="60" t="n">
        <x:f>IF(T156="","",I156*T156)</x:f>
        <x:v>2584.939110493546</x:v>
      </x:c>
    </x:row>
    <x:row r="157" ht="18" customHeight="1">
      <x:c r="A157" s="46" t="str">
        <x:v>LME_042</x:v>
      </x:c>
      <x:c r="B157" s="46" t="str">
        <x:v>Southeast Australian Shelf</x:v>
      </x:c>
      <x:c r="C157" s="46" t="str">
        <x:v>LME</x:v>
      </x:c>
      <x:c r="D157" s="58" t="n">
        <x:v>2019</x:v>
      </x:c>
      <x:c r="E157" s="46" t="str">
        <x:v>Mollusca</x:v>
      </x:c>
      <x:c r="F157" s="46" t="str">
        <x:v>Clams, seasnails, squids, octopuses</x:v>
      </x:c>
      <x:c r="G157" s="46" t="str">
        <x:v>Other demersal invertebrates</x:v>
      </x:c>
      <x:c r="H157" s="46" t="str">
        <x:v>Molluscs</x:v>
      </x:c>
      <x:c r="I157" s="60" t="n">
        <x:v>1.6019113911</x:v>
      </x:c>
      <x:c r="J157" s="60" t="n">
        <x:v>1.6019113911</x:v>
      </x:c>
      <x:c r="K157" s="60" t="n">
        <x:v>0</x:v>
      </x:c>
      <x:c r="L157" s="60" t="n">
        <x:v>1.6019113911</x:v>
      </x:c>
      <x:c r="M157" s="60" t="n">
        <x:v>0</x:v>
      </x:c>
      <x:c r="N157" s="46" t="str">
        <x:v>mollusca</x:v>
      </x:c>
      <x:c r="O157" s="62" t="n">
        <x:v>2.1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Mollusca</x:v>
      </x:c>
      <x:c r="T157" s="62" t="n">
        <x:f>IF(O157="","",(1/'Metadata'!$B$5)^(O157-1))</x:f>
        <x:v>12.589254117941675</x:v>
      </x:c>
      <x:c r="U157" s="60" t="n">
        <x:f>IF(T157="","",I157*T157)</x:f>
        <x:v>20.166869576983352</x:v>
      </x:c>
    </x:row>
    <x:row r="158" ht="18" customHeight="1">
      <x:c r="A158" s="46" t="str">
        <x:v>LME_042</x:v>
      </x:c>
      <x:c r="B158" s="46" t="str">
        <x:v>Southeast Australian Shelf</x:v>
      </x:c>
      <x:c r="C158" s="46" t="str">
        <x:v>LME</x:v>
      </x:c>
      <x:c r="D158" s="58" t="n">
        <x:v>2019</x:v>
      </x:c>
      <x:c r="E158" s="46" t="str">
        <x:v>Auxis thazard</x:v>
      </x:c>
      <x:c r="F158" s="46" t="str">
        <x:v>Frigate tuna</x:v>
      </x:c>
      <x:c r="G158" s="46" t="str">
        <x:v>Medium pelagics (30 - 89 cm)</x:v>
      </x:c>
      <x:c r="H158" s="46" t="str">
        <x:v>Tuna &amp; billfishes</x:v>
      </x:c>
      <x:c r="I158" s="60" t="n">
        <x:v>1.5454760133000003</x:v>
      </x:c>
      <x:c r="J158" s="60" t="n">
        <x:v>1.5454760133000003</x:v>
      </x:c>
      <x:c r="K158" s="60" t="n">
        <x:v>0</x:v>
      </x:c>
      <x:c r="L158" s="60" t="n">
        <x:v>1.5452865452000002</x:v>
      </x:c>
      <x:c r="M158" s="60" t="n">
        <x:v>0.0001894681</x:v>
      </x:c>
      <x:c r="N158" s="46" t="str">
        <x:v>auxis thazard</x:v>
      </x:c>
      <x:c r="O158" s="62" t="n">
        <x:v>4.37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Auxis thazard</x:v>
      </x:c>
      <x:c r="T158" s="62" t="n">
        <x:f>IF(O158="","",(1/'Metadata'!$B$5)^(O158-1))</x:f>
        <x:v>2344.228815319923</x:v>
      </x:c>
      <x:c r="U158" s="60" t="n">
        <x:f>IF(T158="","",I158*T158)</x:f>
        <x:v>3622.949403763617</x:v>
      </x:c>
    </x:row>
    <x:row r="159" ht="18" customHeight="1">
      <x:c r="A159" s="46" t="str">
        <x:v>LME_042</x:v>
      </x:c>
      <x:c r="B159" s="46" t="str">
        <x:v>Southeast Australian Shelf</x:v>
      </x:c>
      <x:c r="C159" s="46" t="str">
        <x:v>LME</x:v>
      </x:c>
      <x:c r="D159" s="58" t="n">
        <x:v>2019</x:v>
      </x:c>
      <x:c r="E159" s="46" t="str">
        <x:v>Clupeiformes</x:v>
      </x:c>
      <x:c r="F159" s="46" t="str">
        <x:v>Herrings, shads, anchovies</x:v>
      </x:c>
      <x:c r="G159" s="46" t="str">
        <x:v>Small pelagics (&lt;30 cm)</x:v>
      </x:c>
      <x:c r="H159" s="46" t="str">
        <x:v>Other fishes &amp; inverts</x:v>
      </x:c>
      <x:c r="I159" s="60" t="n">
        <x:v>1.5185383941000001</x:v>
      </x:c>
      <x:c r="J159" s="60" t="n">
        <x:v>1.5185383941000001</x:v>
      </x:c>
      <x:c r="K159" s="60" t="n">
        <x:v>0</x:v>
      </x:c>
      <x:c r="L159" s="60" t="n">
        <x:v>1.5170826335</x:v>
      </x:c>
      <x:c r="M159" s="60" t="n">
        <x:v>0.0014557606</x:v>
      </x:c>
      <x:c r="N159" s="46" t="str">
        <x:v>clupeiformes</x:v>
      </x:c>
      <x:c r="O159" s="62" t="n">
        <x:v>3.24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Clupeiformes</x:v>
      </x:c>
      <x:c r="T159" s="62" t="n">
        <x:f>IF(O159="","",(1/'Metadata'!$B$5)^(O159-1))</x:f>
        <x:v>173.78008287493762</x:v>
      </x:c>
      <x:c r="U159" s="60" t="n">
        <x:f>IF(T159="","",I159*T159)</x:f>
        <x:v>263.8917279754727</x:v>
      </x:c>
    </x:row>
    <x:row r="160" ht="18" customHeight="1">
      <x:c r="A160" s="46" t="str">
        <x:v>LME_042</x:v>
      </x:c>
      <x:c r="B160" s="46" t="str">
        <x:v>Southeast Australian Shelf</x:v>
      </x:c>
      <x:c r="C160" s="46" t="str">
        <x:v>LME</x:v>
      </x:c>
      <x:c r="D160" s="58" t="n">
        <x:v>2019</x:v>
      </x:c>
      <x:c r="E160" s="46" t="str">
        <x:v>Seriolella caerulea</x:v>
      </x:c>
      <x:c r="F160" s="46" t="str">
        <x:v>White warehou</x:v>
      </x:c>
      <x:c r="G160" s="46" t="str">
        <x:v>Medium bathypelagics (30 - 89 cm)</x:v>
      </x:c>
      <x:c r="H160" s="46" t="str">
        <x:v>Perch-likes</x:v>
      </x:c>
      <x:c r="I160" s="60" t="n">
        <x:v>1.4122622264</x:v>
      </x:c>
      <x:c r="J160" s="60" t="n">
        <x:v>1.4122622264</x:v>
      </x:c>
      <x:c r="K160" s="60" t="n">
        <x:v>0</x:v>
      </x:c>
      <x:c r="L160" s="60" t="n">
        <x:v>1.4122622264</x:v>
      </x:c>
      <x:c r="M160" s="60" t="n">
        <x:v>0</x:v>
      </x:c>
      <x:c r="N160" s="46" t="str">
        <x:v>seriolella caerulea</x:v>
      </x:c>
      <x:c r="O160" s="62" t="n">
        <x:v>3.42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Seriolella caerulea</x:v>
      </x:c>
      <x:c r="T160" s="62" t="n">
        <x:f>IF(O160="","",(1/'Metadata'!$B$5)^(O160-1))</x:f>
        <x:v>263.02679918953817</x:v>
      </x:c>
      <x:c r="U160" s="60" t="n">
        <x:f>IF(T160="","",I160*T160)</x:f>
        <x:v>371.4628130262829</x:v>
      </x:c>
    </x:row>
    <x:row r="161" ht="18" customHeight="1">
      <x:c r="A161" s="46" t="str">
        <x:v>LME_042</x:v>
      </x:c>
      <x:c r="B161" s="46" t="str">
        <x:v>Southeast Australian Shelf</x:v>
      </x:c>
      <x:c r="C161" s="46" t="str">
        <x:v>LME</x:v>
      </x:c>
      <x:c r="D161" s="58" t="n">
        <x:v>2019</x:v>
      </x:c>
      <x:c r="E161" s="46" t="str">
        <x:v>Chanos chanos</x:v>
      </x:c>
      <x:c r="F161" s="46" t="str">
        <x:v>Milkfish</x:v>
      </x:c>
      <x:c r="G161" s="46" t="str">
        <x:v>Large benthopelagics (&gt;=90 cm)</x:v>
      </x:c>
      <x:c r="H161" s="46" t="str">
        <x:v>Other fishes &amp; inverts</x:v>
      </x:c>
      <x:c r="I161" s="60" t="n">
        <x:v>1.2452506579</x:v>
      </x:c>
      <x:c r="J161" s="60" t="n">
        <x:v>1.2452506579</x:v>
      </x:c>
      <x:c r="K161" s="60" t="n">
        <x:v>0</x:v>
      </x:c>
      <x:c r="L161" s="60" t="n">
        <x:v>1.1396857601000001</x:v>
      </x:c>
      <x:c r="M161" s="60" t="n">
        <x:v>0.1055648978</x:v>
      </x:c>
      <x:c r="N161" s="46" t="str">
        <x:v>chanos chanos</x:v>
      </x:c>
      <x:c r="O161" s="62" t="n">
        <x:v>2.03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Chanos chanos</x:v>
      </x:c>
      <x:c r="T161" s="62" t="n">
        <x:f>IF(O161="","",(1/'Metadata'!$B$5)^(O161-1))</x:f>
        <x:v>10.71519305237606</x:v>
      </x:c>
      <x:c r="U161" s="60" t="n">
        <x:f>IF(T161="","",I161*T161)</x:f>
        <x:v>13.343101197996798</x:v>
      </x:c>
    </x:row>
    <x:row r="162" ht="18" customHeight="1">
      <x:c r="A162" s="46" t="str">
        <x:v>LME_042</x:v>
      </x:c>
      <x:c r="B162" s="46" t="str">
        <x:v>Southeast Australian Shelf</x:v>
      </x:c>
      <x:c r="C162" s="46" t="str">
        <x:v>LME</x:v>
      </x:c>
      <x:c r="D162" s="58" t="n">
        <x:v>2019</x:v>
      </x:c>
      <x:c r="E162" s="46" t="str">
        <x:v>Istiophoridae</x:v>
      </x:c>
      <x:c r="F162" s="46" t="str">
        <x:v>Billfishes</x:v>
      </x:c>
      <x:c r="G162" s="46" t="str">
        <x:v>Large pelagics (&gt;=90 cm)</x:v>
      </x:c>
      <x:c r="H162" s="46" t="str">
        <x:v>Tuna &amp; billfishes</x:v>
      </x:c>
      <x:c r="I162" s="60" t="n">
        <x:v>1.1641239129999998</x:v>
      </x:c>
      <x:c r="J162" s="60" t="n">
        <x:v>0.2969831555</x:v>
      </x:c>
      <x:c r="K162" s="60" t="n">
        <x:v>0.8671407575</x:v>
      </x:c>
      <x:c r="L162" s="60" t="n">
        <x:v>0</x:v>
      </x:c>
      <x:c r="M162" s="60" t="n">
        <x:v>1.1641239129999998</x:v>
      </x:c>
      <x:c r="N162" s="46" t="str">
        <x:v>istiophoridae</x:v>
      </x:c>
      <x:c r="O162" s="62" t="n">
        <x:v>4.48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Istiophoridae</x:v>
      </x:c>
      <x:c r="T162" s="62" t="n">
        <x:f>IF(O162="","",(1/'Metadata'!$B$5)^(O162-1))</x:f>
        <x:v>3019.951720402019</x:v>
      </x:c>
      <x:c r="U162" s="60" t="n">
        <x:f>IF(T162="","",I162*T162)</x:f>
        <x:v>3515.59801382548</x:v>
      </x:c>
    </x:row>
    <x:row r="163" ht="18" customHeight="1">
      <x:c r="A163" s="46" t="str">
        <x:v>LME_042</x:v>
      </x:c>
      <x:c r="B163" s="46" t="str">
        <x:v>Southeast Australian Shelf</x:v>
      </x:c>
      <x:c r="C163" s="46" t="str">
        <x:v>LME</x:v>
      </x:c>
      <x:c r="D163" s="58" t="n">
        <x:v>2019</x:v>
      </x:c>
      <x:c r="E163" s="46" t="str">
        <x:v>Carcharias taurus</x:v>
      </x:c>
      <x:c r="F163" s="46" t="str">
        <x:v>Sand tiger shark</x:v>
      </x:c>
      <x:c r="G163" s="46" t="str">
        <x:v>Large sharks (&gt;=90 cm)</x:v>
      </x:c>
      <x:c r="H163" s="46" t="str">
        <x:v>Sharks &amp; rays</x:v>
      </x:c>
      <x:c r="I163" s="60" t="n">
        <x:v>1.1123547392000002</x:v>
      </x:c>
      <x:c r="J163" s="60" t="n">
        <x:v>1.1123547392000002</x:v>
      </x:c>
      <x:c r="K163" s="60" t="n">
        <x:v>0</x:v>
      </x:c>
      <x:c r="L163" s="60" t="n">
        <x:v>0.5359693243000001</x:v>
      </x:c>
      <x:c r="M163" s="60" t="n">
        <x:v>0.5763854149</x:v>
      </x:c>
      <x:c r="N163" s="46" t="str">
        <x:v>carcharias taurus</x:v>
      </x:c>
      <x:c r="O163" s="62" t="n">
        <x:v>4.5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Carcharias taurus</x:v>
      </x:c>
      <x:c r="T163" s="62" t="n">
        <x:f>IF(O163="","",(1/'Metadata'!$B$5)^(O163-1))</x:f>
        <x:v>3162.2776601683795</x:v>
      </x:c>
      <x:c r="U163" s="60" t="n">
        <x:f>IF(T163="","",I163*T163)</x:f>
        <x:v>3517.5745419545847</x:v>
      </x:c>
    </x:row>
    <x:row r="164" ht="18" customHeight="1">
      <x:c r="A164" s="46" t="str">
        <x:v>LME_042</x:v>
      </x:c>
      <x:c r="B164" s="46" t="str">
        <x:v>Southeast Australian Shelf</x:v>
      </x:c>
      <x:c r="C164" s="46" t="str">
        <x:v>LME</x:v>
      </x:c>
      <x:c r="D164" s="58" t="n">
        <x:v>2019</x:v>
      </x:c>
      <x:c r="E164" s="46" t="str">
        <x:v>Acanthocybium solandri</x:v>
      </x:c>
      <x:c r="F164" s="46" t="str">
        <x:v>Wahoo</x:v>
      </x:c>
      <x:c r="G164" s="46" t="str">
        <x:v>Large pelagics (&gt;=90 cm)</x:v>
      </x:c>
      <x:c r="H164" s="46" t="str">
        <x:v>Perch-likes</x:v>
      </x:c>
      <x:c r="I164" s="60" t="n">
        <x:v>1.1009079874</x:v>
      </x:c>
      <x:c r="J164" s="60" t="n">
        <x:v>0.0019755676000000003</x:v>
      </x:c>
      <x:c r="K164" s="60" t="n">
        <x:v>1.0989324198000001</x:v>
      </x:c>
      <x:c r="L164" s="60" t="n">
        <x:v>0.0019755676000000003</x:v>
      </x:c>
      <x:c r="M164" s="60" t="n">
        <x:v>1.0989324198000001</x:v>
      </x:c>
      <x:c r="N164" s="46" t="str">
        <x:v>acanthocybium solandri</x:v>
      </x:c>
      <x:c r="O164" s="62" t="n">
        <x:v>4.26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Acanthocybium solandri</x:v>
      </x:c>
      <x:c r="T164" s="62" t="n">
        <x:f>IF(O164="","",(1/'Metadata'!$B$5)^(O164-1))</x:f>
        <x:v>1819.7008586099826</x:v>
      </x:c>
      <x:c r="U164" s="60" t="n">
        <x:f>IF(T164="","",I164*T164)</x:f>
        <x:v>2003.323209922368</x:v>
      </x:c>
    </x:row>
    <x:row r="165" ht="18" customHeight="1">
      <x:c r="A165" s="46" t="str">
        <x:v>LME_042</x:v>
      </x:c>
      <x:c r="B165" s="46" t="str">
        <x:v>Southeast Australian Shelf</x:v>
      </x:c>
      <x:c r="C165" s="46" t="str">
        <x:v>LME</x:v>
      </x:c>
      <x:c r="D165" s="58" t="n">
        <x:v>2019</x:v>
      </x:c>
      <x:c r="E165" s="46" t="str">
        <x:v>Cetorhinus maximus</x:v>
      </x:c>
      <x:c r="F165" s="46" t="str">
        <x:v>Basking shark</x:v>
      </x:c>
      <x:c r="G165" s="46" t="str">
        <x:v>Large sharks (&gt;=90 cm)</x:v>
      </x:c>
      <x:c r="H165" s="46" t="str">
        <x:v>Sharks &amp; rays</x:v>
      </x:c>
      <x:c r="I165" s="60" t="n">
        <x:v>1.0857862053</x:v>
      </x:c>
      <x:c r="J165" s="60" t="n">
        <x:v>1.0857862053</x:v>
      </x:c>
      <x:c r="K165" s="60" t="n">
        <x:v>0</x:v>
      </x:c>
      <x:c r="L165" s="60" t="n">
        <x:v>1.0857862053</x:v>
      </x:c>
      <x:c r="M165" s="60" t="n">
        <x:v>0</x:v>
      </x:c>
      <x:c r="N165" s="46" t="str">
        <x:v>cetorhinus maximus</x:v>
      </x:c>
      <x:c r="O165" s="62" t="n">
        <x:v>3.2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Cetorhinus maximus</x:v>
      </x:c>
      <x:c r="T165" s="62" t="n">
        <x:f>IF(O165="","",(1/'Metadata'!$B$5)^(O165-1))</x:f>
        <x:v>158.48931924611142</x:v>
      </x:c>
      <x:c r="U165" s="60" t="n">
        <x:f>IF(T165="","",I165*T165)</x:f>
        <x:v>172.08551652481557</x:v>
      </x:c>
    </x:row>
    <x:row r="166" ht="18" customHeight="1">
      <x:c r="A166" s="46" t="str">
        <x:v>LME_042</x:v>
      </x:c>
      <x:c r="B166" s="46" t="str">
        <x:v>Southeast Australian Shelf</x:v>
      </x:c>
      <x:c r="C166" s="46" t="str">
        <x:v>LME</x:v>
      </x:c>
      <x:c r="D166" s="58" t="n">
        <x:v>2019</x:v>
      </x:c>
      <x:c r="E166" s="46" t="str">
        <x:v>Istiophorus platypterus</x:v>
      </x:c>
      <x:c r="F166" s="46" t="str">
        <x:v>Indo-Pacific sailfish</x:v>
      </x:c>
      <x:c r="G166" s="46" t="str">
        <x:v>Large pelagics (&gt;=90 cm)</x:v>
      </x:c>
      <x:c r="H166" s="46" t="str">
        <x:v>Tuna &amp; billfishes</x:v>
      </x:c>
      <x:c r="I166" s="60" t="n">
        <x:v>1.0607623467</x:v>
      </x:c>
      <x:c r="J166" s="60" t="n">
        <x:v>1.0607623467</x:v>
      </x:c>
      <x:c r="K166" s="60" t="n">
        <x:v>0</x:v>
      </x:c>
      <x:c r="L166" s="60" t="n">
        <x:v>0.0000202724</x:v>
      </x:c>
      <x:c r="M166" s="60" t="n">
        <x:v>1.0607420743</x:v>
      </x:c>
      <x:c r="N166" s="46" t="str">
        <x:v>istiophorus platypterus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Istiophorus platypterus</x:v>
      </x:c>
      <x:c r="T166" s="62" t="n">
        <x:f>IF(O166="","",(1/'Metadata'!$B$5)^(O166-1))</x:f>
        <x:v>3162.2776601683795</x:v>
      </x:c>
      <x:c r="U166" s="60" t="n">
        <x:f>IF(T166="","",I166*T166)</x:f>
        <x:v>3354.4250717171954</x:v>
      </x:c>
    </x:row>
    <x:row r="167" ht="18" customHeight="1">
      <x:c r="A167" s="46" t="str">
        <x:v>LME_042</x:v>
      </x:c>
      <x:c r="B167" s="46" t="str">
        <x:v>Southeast Australian Shelf</x:v>
      </x:c>
      <x:c r="C167" s="46" t="str">
        <x:v>LME</x:v>
      </x:c>
      <x:c r="D167" s="58" t="n">
        <x:v>2019</x:v>
      </x:c>
      <x:c r="E167" s="46" t="str">
        <x:v>Centrophorus squamosus</x:v>
      </x:c>
      <x:c r="F167" s="46" t="str">
        <x:v>Leafscale gulper shark</x:v>
      </x:c>
      <x:c r="G167" s="46" t="str">
        <x:v>Large sharks (&gt;=90 cm)</x:v>
      </x:c>
      <x:c r="H167" s="46" t="str">
        <x:v>Sharks &amp; rays</x:v>
      </x:c>
      <x:c r="I167" s="60" t="n">
        <x:v>0.8941206294999999</x:v>
      </x:c>
      <x:c r="J167" s="60" t="n">
        <x:v>0.8941206294999999</x:v>
      </x:c>
      <x:c r="K167" s="60" t="n">
        <x:v>0</x:v>
      </x:c>
      <x:c r="L167" s="60" t="n">
        <x:v>0.8941206294999999</x:v>
      </x:c>
      <x:c r="M167" s="60" t="n">
        <x:v>0</x:v>
      </x:c>
      <x:c r="N167" s="46" t="str">
        <x:v>centrophorus squamosus</x:v>
      </x:c>
      <x:c r="O167" s="62" t="n">
        <x:v>4.47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Centrophorus squamosus</x:v>
      </x:c>
      <x:c r="T167" s="62" t="n">
        <x:f>IF(O167="","",(1/'Metadata'!$B$5)^(O167-1))</x:f>
        <x:v>2951.209226666384</x:v>
      </x:c>
      <x:c r="U167" s="60" t="n">
        <x:f>IF(T167="","",I167*T167)</x:f>
        <x:v>2638.7370515331554</x:v>
      </x:c>
    </x:row>
    <x:row r="168" ht="18" customHeight="1">
      <x:c r="A168" s="46" t="str">
        <x:v>LME_042</x:v>
      </x:c>
      <x:c r="B168" s="46" t="str">
        <x:v>Southeast Australian Shelf</x:v>
      </x:c>
      <x:c r="C168" s="46" t="str">
        <x:v>LME</x:v>
      </x:c>
      <x:c r="D168" s="58" t="n">
        <x:v>2019</x:v>
      </x:c>
      <x:c r="E168" s="46" t="str">
        <x:v>Catostylus mosaicus</x:v>
      </x:c>
      <x:c r="F168" s="46" t="str">
        <x:v>Mosaic sea jelly</x:v>
      </x:c>
      <x:c r="G168" s="46" t="str">
        <x:v>Jellyfish</x:v>
      </x:c>
      <x:c r="H168" s="46" t="str">
        <x:v>Other fishes &amp; inverts</x:v>
      </x:c>
      <x:c r="I168" s="60" t="n">
        <x:v>0.8867556178999999</x:v>
      </x:c>
      <x:c r="J168" s="60" t="n">
        <x:v>0.8867556178999999</x:v>
      </x:c>
      <x:c r="K168" s="60" t="n">
        <x:v>0</x:v>
      </x:c>
      <x:c r="L168" s="60" t="n">
        <x:v>0.8867556178999999</x:v>
      </x:c>
      <x:c r="M168" s="60" t="n">
        <x:v>0</x:v>
      </x:c>
      <x:c r="N168" s="46" t="str">
        <x:v>catostylus mosaicus</x:v>
      </x:c>
      <x:c r="O168" s="62" t="n">
        <x:v>3.46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Catostylus mosaicus</x:v>
      </x:c>
      <x:c r="T168" s="62" t="n">
        <x:f>IF(O168="","",(1/'Metadata'!$B$5)^(O168-1))</x:f>
        <x:v>288.40315031266056</x:v>
      </x:c>
      <x:c r="U168" s="60" t="n">
        <x:f>IF(T168="","",I168*T168)</x:f>
        <x:v>255.74311375980986</x:v>
      </x:c>
    </x:row>
    <x:row r="169" ht="18" customHeight="1">
      <x:c r="A169" s="46" t="str">
        <x:v>LME_042</x:v>
      </x:c>
      <x:c r="B169" s="46" t="str">
        <x:v>Southeast Australian Shelf</x:v>
      </x:c>
      <x:c r="C169" s="46" t="str">
        <x:v>LME</x:v>
      </x:c>
      <x:c r="D169" s="58" t="n">
        <x:v>2019</x:v>
      </x:c>
      <x:c r="E169" s="46" t="str">
        <x:v>Pseudophycis bachus</x:v>
      </x:c>
      <x:c r="F169" s="46" t="str">
        <x:v>Red codling</x:v>
      </x:c>
      <x:c r="G169" s="46" t="str">
        <x:v>Medium demersals (30 - 89 cm)</x:v>
      </x:c>
      <x:c r="H169" s="46" t="str">
        <x:v>Cod-likes</x:v>
      </x:c>
      <x:c r="I169" s="60" t="n">
        <x:v>0.8783858435999999</x:v>
      </x:c>
      <x:c r="J169" s="60" t="n">
        <x:v>0.8783858435999999</x:v>
      </x:c>
      <x:c r="K169" s="60" t="n">
        <x:v>0</x:v>
      </x:c>
      <x:c r="L169" s="60" t="n">
        <x:v>0.8783858435999999</x:v>
      </x:c>
      <x:c r="M169" s="60" t="n">
        <x:v>0</x:v>
      </x:c>
      <x:c r="N169" s="46" t="str">
        <x:v>pseudophycis bachus</x:v>
      </x:c>
      <x:c r="O169" s="62" t="n">
        <x:v>4.5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Pseudophycis bachus</x:v>
      </x:c>
      <x:c r="T169" s="62" t="n">
        <x:f>IF(O169="","",(1/'Metadata'!$B$5)^(O169-1))</x:f>
        <x:v>3162.2776601683795</x:v>
      </x:c>
      <x:c r="U169" s="60" t="n">
        <x:f>IF(T169="","",I169*T169)</x:f>
        <x:v>2777.699930224436</x:v>
      </x:c>
    </x:row>
    <x:row r="170" ht="18" customHeight="1">
      <x:c r="A170" s="46" t="str">
        <x:v>LME_042</x:v>
      </x:c>
      <x:c r="B170" s="46" t="str">
        <x:v>Southeast Australian Shelf</x:v>
      </x:c>
      <x:c r="C170" s="46" t="str">
        <x:v>LME</x:v>
      </x:c>
      <x:c r="D170" s="58" t="n">
        <x:v>2019</x:v>
      </x:c>
      <x:c r="E170" s="46" t="str">
        <x:v>Centrolophidae</x:v>
      </x:c>
      <x:c r="F170" s="46" t="str">
        <x:v>Medusafishes</x:v>
      </x:c>
      <x:c r="G170" s="46" t="str">
        <x:v>Medium benthopelagics (30 - 89 cm)</x:v>
      </x:c>
      <x:c r="H170" s="46" t="str">
        <x:v>Perch-likes</x:v>
      </x:c>
      <x:c r="I170" s="60" t="n">
        <x:v>0.8007646226</x:v>
      </x:c>
      <x:c r="J170" s="60" t="n">
        <x:v>0.08443992830000001</x:v>
      </x:c>
      <x:c r="K170" s="60" t="n">
        <x:v>0.7163246943</x:v>
      </x:c>
      <x:c r="L170" s="60" t="n">
        <x:v>0.08443992830000001</x:v>
      </x:c>
      <x:c r="M170" s="60" t="n">
        <x:v>0.7163246943</x:v>
      </x:c>
      <x:c r="N170" s="46" t="str">
        <x:v>centrolophidae</x:v>
      </x:c>
      <x:c r="O170" s="62" t="n">
        <x:v>3.65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Centrolophidae</x:v>
      </x:c>
      <x:c r="T170" s="62" t="n">
        <x:f>IF(O170="","",(1/'Metadata'!$B$5)^(O170-1))</x:f>
        <x:v>446.683592150963</x:v>
      </x:c>
      <x:c r="U170" s="60" t="n">
        <x:f>IF(T170="","",I170*T170)</x:f>
        <x:v>357.68841809037826</x:v>
      </x:c>
    </x:row>
    <x:row r="171" ht="18" customHeight="1">
      <x:c r="A171" s="46" t="str">
        <x:v>LME_042</x:v>
      </x:c>
      <x:c r="B171" s="46" t="str">
        <x:v>Southeast Australian Shelf</x:v>
      </x:c>
      <x:c r="C171" s="46" t="str">
        <x:v>LME</x:v>
      </x:c>
      <x:c r="D171" s="58" t="n">
        <x:v>2019</x:v>
      </x:c>
      <x:c r="E171" s="46" t="str">
        <x:v>Latris lineata</x:v>
      </x:c>
      <x:c r="F171" s="46" t="str">
        <x:v>Striped trumpeter</x:v>
      </x:c>
      <x:c r="G171" s="46" t="str">
        <x:v>Small pelagics (&lt;30 cm)</x:v>
      </x:c>
      <x:c r="H171" s="46" t="str">
        <x:v>Perch-likes</x:v>
      </x:c>
      <x:c r="I171" s="60" t="n">
        <x:v>0.7873486782000001</x:v>
      </x:c>
      <x:c r="J171" s="60" t="n">
        <x:v>0.7873486782000001</x:v>
      </x:c>
      <x:c r="K171" s="60" t="n">
        <x:v>0</x:v>
      </x:c>
      <x:c r="L171" s="60" t="n">
        <x:v>0.7873486782000001</x:v>
      </x:c>
      <x:c r="M171" s="60" t="n">
        <x:v>0</x:v>
      </x:c>
      <x:c r="N171" s="46" t="str">
        <x:v>latris lineata</x:v>
      </x:c>
      <x:c r="O171" s="62" t="n">
        <x:v>3.7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Latris lineata</x:v>
      </x:c>
      <x:c r="T171" s="62" t="n">
        <x:f>IF(O171="","",(1/'Metadata'!$B$5)^(O171-1))</x:f>
        <x:v>501.18723362727246</x:v>
      </x:c>
      <x:c r="U171" s="60" t="n">
        <x:f>IF(T171="","",I171*T171)</x:f>
        <x:v>394.6091059271476</x:v>
      </x:c>
    </x:row>
    <x:row r="172" ht="18" customHeight="1">
      <x:c r="A172" s="46" t="str">
        <x:v>LME_042</x:v>
      </x:c>
      <x:c r="B172" s="46" t="str">
        <x:v>Southeast Australian Shelf</x:v>
      </x:c>
      <x:c r="C172" s="46" t="str">
        <x:v>LME</x:v>
      </x:c>
      <x:c r="D172" s="58" t="n">
        <x:v>2019</x:v>
      </x:c>
      <x:c r="E172" s="46" t="str">
        <x:v>Squatina australis</x:v>
      </x:c>
      <x:c r="F172" s="46" t="str">
        <x:v>Australian angelshark</x:v>
      </x:c>
      <x:c r="G172" s="46" t="str">
        <x:v>Large sharks (&gt;=90 cm)</x:v>
      </x:c>
      <x:c r="H172" s="46" t="str">
        <x:v>Sharks &amp; rays</x:v>
      </x:c>
      <x:c r="I172" s="60" t="n">
        <x:v>0.7858020657</x:v>
      </x:c>
      <x:c r="J172" s="60" t="n">
        <x:v>0.7858020657</x:v>
      </x:c>
      <x:c r="K172" s="60" t="n">
        <x:v>0</x:v>
      </x:c>
      <x:c r="L172" s="60" t="n">
        <x:v>0.7581435263</x:v>
      </x:c>
      <x:c r="M172" s="60" t="n">
        <x:v>0.0276585394</x:v>
      </x:c>
      <x:c r="N172" s="46" t="str">
        <x:v>squatina australis</x:v>
      </x:c>
      <x:c r="O172" s="62" t="n">
        <x:v>3.99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Squatina australis</x:v>
      </x:c>
      <x:c r="T172" s="62" t="n">
        <x:f>IF(O172="","",(1/'Metadata'!$B$5)^(O172-1))</x:f>
        <x:v>977.2372209558112</x:v>
      </x:c>
      <x:c r="U172" s="60" t="n">
        <x:f>IF(T172="","",I172*T172)</x:f>
        <x:v>767.9150269060037</x:v>
      </x:c>
    </x:row>
    <x:row r="173" ht="18" customHeight="1">
      <x:c r="A173" s="46" t="str">
        <x:v>LME_042</x:v>
      </x:c>
      <x:c r="B173" s="46" t="str">
        <x:v>Southeast Australian Shelf</x:v>
      </x:c>
      <x:c r="C173" s="46" t="str">
        <x:v>LME</x:v>
      </x:c>
      <x:c r="D173" s="58" t="n">
        <x:v>2019</x:v>
      </x:c>
      <x:c r="E173" s="46" t="str">
        <x:v>Squalus mitsukurii</x:v>
      </x:c>
      <x:c r="F173" s="46" t="str">
        <x:v>Shortspine spurdog</x:v>
      </x:c>
      <x:c r="G173" s="46" t="str">
        <x:v>Small to medium sharks (&lt;90 cm)</x:v>
      </x:c>
      <x:c r="H173" s="46" t="str">
        <x:v>Sharks &amp; rays</x:v>
      </x:c>
      <x:c r="I173" s="60" t="n">
        <x:v>0.6990385599</x:v>
      </x:c>
      <x:c r="J173" s="60" t="n">
        <x:v>0.6990385599</x:v>
      </x:c>
      <x:c r="K173" s="60" t="n">
        <x:v>0</x:v>
      </x:c>
      <x:c r="L173" s="60" t="n">
        <x:v>0.6990385599</x:v>
      </x:c>
      <x:c r="M173" s="60" t="n">
        <x:v>0</x:v>
      </x:c>
      <x:c r="N173" s="46" t="str">
        <x:v>squalus mitsukurii</x:v>
      </x:c>
      <x:c r="O173" s="62" t="n">
        <x:v>4.37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Squalus mitsukurii</x:v>
      </x:c>
      <x:c r="T173" s="62" t="n">
        <x:f>IF(O173="","",(1/'Metadata'!$B$5)^(O173-1))</x:f>
        <x:v>2344.228815319923</x:v>
      </x:c>
      <x:c r="U173" s="60" t="n">
        <x:f>IF(T173="","",I173*T173)</x:f>
        <x:v>1638.706335137322</x:v>
      </x:c>
    </x:row>
    <x:row r="174" ht="18" customHeight="1">
      <x:c r="A174" s="46" t="str">
        <x:v>LME_042</x:v>
      </x:c>
      <x:c r="B174" s="46" t="str">
        <x:v>Southeast Australian Shelf</x:v>
      </x:c>
      <x:c r="C174" s="46" t="str">
        <x:v>LME</x:v>
      </x:c>
      <x:c r="D174" s="58" t="n">
        <x:v>2019</x:v>
      </x:c>
      <x:c r="E174" s="46" t="str">
        <x:v>Hemiramphus</x:v>
      </x:c>
      <x:c r="F174" s="46" t="str">
        <x:v>Halfbeaks</x:v>
      </x:c>
      <x:c r="G174" s="46" t="str">
        <x:v>Medium pelagics (30 - 89 cm)</x:v>
      </x:c>
      <x:c r="H174" s="46" t="str">
        <x:v>Other fishes &amp; inverts</x:v>
      </x:c>
      <x:c r="I174" s="60" t="n">
        <x:v>0.6202998302</x:v>
      </x:c>
      <x:c r="J174" s="60" t="n">
        <x:v>0.6202998302</x:v>
      </x:c>
      <x:c r="K174" s="60" t="n">
        <x:v>0</x:v>
      </x:c>
      <x:c r="L174" s="60" t="n">
        <x:v>0</x:v>
      </x:c>
      <x:c r="M174" s="60" t="n">
        <x:v>0.6202998302</x:v>
      </x:c>
      <x:c r="N174" s="46" t="str">
        <x:v>hemiramphus</x:v>
      </x:c>
      <x:c r="O174" s="62" t="n">
        <x:v>3.05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Hemiramphus</x:v>
      </x:c>
      <x:c r="T174" s="62" t="n">
        <x:f>IF(O174="","",(1/'Metadata'!$B$5)^(O174-1))</x:f>
        <x:v>112.2018454301963</x:v>
      </x:c>
      <x:c r="U174" s="60" t="n">
        <x:f>IF(T174="","",I174*T174)</x:f>
        <x:v>69.59878566847742</x:v>
      </x:c>
    </x:row>
    <x:row r="175" ht="18" customHeight="1">
      <x:c r="A175" s="46" t="str">
        <x:v>LME_042</x:v>
      </x:c>
      <x:c r="B175" s="46" t="str">
        <x:v>Southeast Australian Shelf</x:v>
      </x:c>
      <x:c r="C175" s="46" t="str">
        <x:v>LME</x:v>
      </x:c>
      <x:c r="D175" s="58" t="n">
        <x:v>2019</x:v>
      </x:c>
      <x:c r="E175" s="46" t="str">
        <x:v>Dalatias licha</x:v>
      </x:c>
      <x:c r="F175" s="46" t="str">
        <x:v>Kitefin shark</x:v>
      </x:c>
      <x:c r="G175" s="46" t="str">
        <x:v>Large sharks (&gt;=90 cm)</x:v>
      </x:c>
      <x:c r="H175" s="46" t="str">
        <x:v>Sharks &amp; rays</x:v>
      </x:c>
      <x:c r="I175" s="60" t="n">
        <x:v>0.5454554095999999</x:v>
      </x:c>
      <x:c r="J175" s="60" t="n">
        <x:v>0.5454554095999999</x:v>
      </x:c>
      <x:c r="K175" s="60" t="n">
        <x:v>0</x:v>
      </x:c>
      <x:c r="L175" s="60" t="n">
        <x:v>0.5454554095999999</x:v>
      </x:c>
      <x:c r="M175" s="60" t="n">
        <x:v>0</x:v>
      </x:c>
      <x:c r="N175" s="46" t="str">
        <x:v>dalatias licha</x:v>
      </x:c>
      <x:c r="O175" s="62" t="n">
        <x:v>4.23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Dalatias licha</x:v>
      </x:c>
      <x:c r="T175" s="62" t="n">
        <x:f>IF(O175="","",(1/'Metadata'!$B$5)^(O175-1))</x:f>
        <x:v>1698.243652461746</x:v>
      </x:c>
      <x:c r="U175" s="60" t="n">
        <x:f>IF(T175="","",I175*T175)</x:f>
        <x:v>926.3161870541217</x:v>
      </x:c>
    </x:row>
    <x:row r="176" ht="18" customHeight="1">
      <x:c r="A176" s="46" t="str">
        <x:v>LME_042</x:v>
      </x:c>
      <x:c r="B176" s="46" t="str">
        <x:v>Southeast Australian Shelf</x:v>
      </x:c>
      <x:c r="C176" s="46" t="str">
        <x:v>LME</x:v>
      </x:c>
      <x:c r="D176" s="58" t="n">
        <x:v>2019</x:v>
      </x:c>
      <x:c r="E176" s="46" t="str">
        <x:v>Carangoides</x:v>
      </x:c>
      <x:c r="F176" s="46" t="str">
        <x:v>Trevallies</x:v>
      </x:c>
      <x:c r="G176" s="46" t="str">
        <x:v>Medium reef assoc. fish (30 - 89 cm)</x:v>
      </x:c>
      <x:c r="H176" s="46" t="str">
        <x:v>Perch-likes</x:v>
      </x:c>
      <x:c r="I176" s="60" t="n">
        <x:v>0.4859218512</x:v>
      </x:c>
      <x:c r="J176" s="60" t="n">
        <x:v>0.4859218512</x:v>
      </x:c>
      <x:c r="K176" s="60" t="n">
        <x:v>0</x:v>
      </x:c>
      <x:c r="L176" s="60" t="n">
        <x:v>0.3108487258</x:v>
      </x:c>
      <x:c r="M176" s="60" t="n">
        <x:v>0.1750731254</x:v>
      </x:c>
      <x:c r="N176" s="46" t="str">
        <x:v>carangoides</x:v>
      </x:c>
      <x:c r="O176" s="62" t="n">
        <x:v>4.34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Carangoides</x:v>
      </x:c>
      <x:c r="T176" s="62" t="n">
        <x:f>IF(O176="","",(1/'Metadata'!$B$5)^(O176-1))</x:f>
        <x:v>2187.761623949552</x:v>
      </x:c>
      <x:c r="U176" s="60" t="n">
        <x:f>IF(T176="","",I176*T176)</x:f>
        <x:v>1063.0811782938845</x:v>
      </x:c>
    </x:row>
    <x:row r="177" ht="18" customHeight="1">
      <x:c r="A177" s="46" t="str">
        <x:v>LME_042</x:v>
      </x:c>
      <x:c r="B177" s="46" t="str">
        <x:v>Southeast Australian Shelf</x:v>
      </x:c>
      <x:c r="C177" s="46" t="str">
        <x:v>LME</x:v>
      </x:c>
      <x:c r="D177" s="58" t="n">
        <x:v>2019</x:v>
      </x:c>
      <x:c r="E177" s="46" t="str">
        <x:v>Carcharhinus leucas</x:v>
      </x:c>
      <x:c r="F177" s="46" t="str">
        <x:v>Bull shark</x:v>
      </x:c>
      <x:c r="G177" s="46" t="str">
        <x:v>Large sharks (&gt;=90 cm)</x:v>
      </x:c>
      <x:c r="H177" s="46" t="str">
        <x:v>Sharks &amp; rays</x:v>
      </x:c>
      <x:c r="I177" s="60" t="n">
        <x:v>0.4828281259</x:v>
      </x:c>
      <x:c r="J177" s="60" t="n">
        <x:v>0.4828281259</x:v>
      </x:c>
      <x:c r="K177" s="60" t="n">
        <x:v>0</x:v>
      </x:c>
      <x:c r="L177" s="60" t="n">
        <x:v>0.4828266773</x:v>
      </x:c>
      <x:c r="M177" s="60" t="n">
        <x:v>0.0000014486</x:v>
      </x:c>
      <x:c r="N177" s="46" t="str">
        <x:v>carcharhinus leucas</x:v>
      </x:c>
      <x:c r="O177" s="62" t="n">
        <x:v>4.31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Carcharhinus leucas</x:v>
      </x:c>
      <x:c r="T177" s="62" t="n">
        <x:f>IF(O177="","",(1/'Metadata'!$B$5)^(O177-1))</x:f>
        <x:v>2041.7379446695275</x:v>
      </x:c>
      <x:c r="U177" s="60" t="n">
        <x:f>IF(T177="","",I177*T177)</x:f>
        <x:v>985.8085054037059</x:v>
      </x:c>
    </x:row>
    <x:row r="178" ht="18" customHeight="1">
      <x:c r="A178" s="46" t="str">
        <x:v>LME_042</x:v>
      </x:c>
      <x:c r="B178" s="46" t="str">
        <x:v>Southeast Australian Shelf</x:v>
      </x:c>
      <x:c r="C178" s="46" t="str">
        <x:v>LME</x:v>
      </x:c>
      <x:c r="D178" s="58" t="n">
        <x:v>2019</x:v>
      </x:c>
      <x:c r="E178" s="46" t="str">
        <x:v>Portunus sanguinolentus</x:v>
      </x:c>
      <x:c r="F178" s="46" t="str">
        <x:v>Three-spot swimming crab</x:v>
      </x:c>
      <x:c r="G178" s="46" t="str">
        <x:v>Lobsters, crabs</x:v>
      </x:c>
      <x:c r="H178" s="46" t="str">
        <x:v>Crustaceans</x:v>
      </x:c>
      <x:c r="I178" s="60" t="n">
        <x:v>0.4739052622</x:v>
      </x:c>
      <x:c r="J178" s="60" t="n">
        <x:v>0.4739052622</x:v>
      </x:c>
      <x:c r="K178" s="60" t="n">
        <x:v>0</x:v>
      </x:c>
      <x:c r="L178" s="60" t="n">
        <x:v>0.4739052622</x:v>
      </x:c>
      <x:c r="M178" s="60" t="n">
        <x:v>0</x:v>
      </x:c>
      <x:c r="N178" s="46" t="str">
        <x:v>portunus sanguinolentus</x:v>
      </x:c>
      <x:c r="O178" s="62" t="n">
        <x:v>4.23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Portunus sanguinolentus</x:v>
      </x:c>
      <x:c r="T178" s="62" t="n">
        <x:f>IF(O178="","",(1/'Metadata'!$B$5)^(O178-1))</x:f>
        <x:v>1698.243652461746</x:v>
      </x:c>
      <x:c r="U178" s="60" t="n">
        <x:f>IF(T178="","",I178*T178)</x:f>
        <x:v>804.8066033993695</x:v>
      </x:c>
    </x:row>
    <x:row r="179" ht="18" customHeight="1">
      <x:c r="A179" s="46" t="str">
        <x:v>LME_042</x:v>
      </x:c>
      <x:c r="B179" s="46" t="str">
        <x:v>Southeast Australian Shelf</x:v>
      </x:c>
      <x:c r="C179" s="46" t="str">
        <x:v>LME</x:v>
      </x:c>
      <x:c r="D179" s="58" t="n">
        <x:v>2019</x:v>
      </x:c>
      <x:c r="E179" s="46" t="str">
        <x:v>Pseudocaranx dentex</x:v>
      </x:c>
      <x:c r="F179" s="46" t="str">
        <x:v>White trevally</x:v>
      </x:c>
      <x:c r="G179" s="46" t="str">
        <x:v>Large reef assoc. fish (&gt;=90 cm)</x:v>
      </x:c>
      <x:c r="H179" s="46" t="str">
        <x:v>Perch-likes</x:v>
      </x:c>
      <x:c r="I179" s="60" t="n">
        <x:v>0.39709876580000003</x:v>
      </x:c>
      <x:c r="J179" s="60" t="n">
        <x:v>0.38069915010000005</x:v>
      </x:c>
      <x:c r="K179" s="60" t="n">
        <x:v>0.0163996157</x:v>
      </x:c>
      <x:c r="L179" s="60" t="n">
        <x:v>0.38069915010000005</x:v>
      </x:c>
      <x:c r="M179" s="60" t="n">
        <x:v>0.0163996157</x:v>
      </x:c>
      <x:c r="N179" s="46" t="str">
        <x:v>pseudocaranx dentex</x:v>
      </x:c>
      <x:c r="O179" s="62" t="n">
        <x:v>3.92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Pseudocaranx dentex</x:v>
      </x:c>
      <x:c r="T179" s="62" t="n">
        <x:f>IF(O179="","",(1/'Metadata'!$B$5)^(O179-1))</x:f>
        <x:v>831.7637711026708</x:v>
      </x:c>
      <x:c r="U179" s="60" t="n">
        <x:f>IF(T179="","",I179*T179)</x:f>
        <x:v>330.29236694202433</x:v>
      </x:c>
    </x:row>
    <x:row r="180" ht="18" customHeight="1">
      <x:c r="A180" s="46" t="str">
        <x:v>LME_042</x:v>
      </x:c>
      <x:c r="B180" s="46" t="str">
        <x:v>Southeast Australian Shelf</x:v>
      </x:c>
      <x:c r="C180" s="46" t="str">
        <x:v>LME</x:v>
      </x:c>
      <x:c r="D180" s="58" t="n">
        <x:v>2019</x:v>
      </x:c>
      <x:c r="E180" s="46" t="str">
        <x:v>Seriola hippos</x:v>
      </x:c>
      <x:c r="F180" s="46" t="str">
        <x:v>Samson fish</x:v>
      </x:c>
      <x:c r="G180" s="46" t="str">
        <x:v>Small pelagics (&lt;30 cm)</x:v>
      </x:c>
      <x:c r="H180" s="46" t="str">
        <x:v>Perch-likes</x:v>
      </x:c>
      <x:c r="I180" s="60" t="n">
        <x:v>0.3824011196</x:v>
      </x:c>
      <x:c r="J180" s="60" t="n">
        <x:v>0.3824011196</x:v>
      </x:c>
      <x:c r="K180" s="60" t="n">
        <x:v>0</x:v>
      </x:c>
      <x:c r="L180" s="60" t="n">
        <x:v>0.0010708246</x:v>
      </x:c>
      <x:c r="M180" s="60" t="n">
        <x:v>0.381330295</x:v>
      </x:c>
      <x:c r="N180" s="46" t="str">
        <x:v>seriola hippos</x:v>
      </x:c>
      <x:c r="O180" s="62" t="n">
        <x:v>4.5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Seriola hippos</x:v>
      </x:c>
      <x:c r="T180" s="62" t="n">
        <x:f>IF(O180="","",(1/'Metadata'!$B$5)^(O180-1))</x:f>
        <x:v>3162.2776601683795</x:v>
      </x:c>
      <x:c r="U180" s="60" t="n">
        <x:f>IF(T180="","",I180*T180)</x:f>
        <x:v>1209.2585177344567</x:v>
      </x:c>
    </x:row>
    <x:row r="181" ht="18" customHeight="1">
      <x:c r="A181" s="46" t="str">
        <x:v>LME_042</x:v>
      </x:c>
      <x:c r="B181" s="46" t="str">
        <x:v>Southeast Australian Shelf</x:v>
      </x:c>
      <x:c r="C181" s="46" t="str">
        <x:v>LME</x:v>
      </x:c>
      <x:c r="D181" s="58" t="n">
        <x:v>2019</x:v>
      </x:c>
      <x:c r="E181" s="46" t="str">
        <x:v>Echinoidea</x:v>
      </x:c>
      <x:c r="F181" s="46" t="str">
        <x:v>Sea urchins, sea hedgehogs</x:v>
      </x:c>
      <x:c r="G181" s="46" t="str">
        <x:v>Other demersal invertebrates</x:v>
      </x:c>
      <x:c r="H181" s="46" t="str">
        <x:v>Other fishes &amp; inverts</x:v>
      </x:c>
      <x:c r="I181" s="60" t="n">
        <x:v>0.3766033743</x:v>
      </x:c>
      <x:c r="J181" s="60" t="n">
        <x:v>0.3766033743</x:v>
      </x:c>
      <x:c r="K181" s="60" t="n">
        <x:v>0</x:v>
      </x:c>
      <x:c r="L181" s="60" t="n">
        <x:v>0.3766033743</x:v>
      </x:c>
      <x:c r="M181" s="60" t="n">
        <x:v>0</x:v>
      </x:c>
      <x:c r="N181" s="46" t="str">
        <x:v>echinoidea</x:v>
      </x:c>
      <x:c r="O181" s="62" t="n">
        <x:v>2.51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Echinoidea</x:v>
      </x:c>
      <x:c r="T181" s="62" t="n">
        <x:f>IF(O181="","",(1/'Metadata'!$B$5)^(O181-1))</x:f>
        <x:v>32.35936569296281</x:v>
      </x:c>
      <x:c r="U181" s="60" t="n">
        <x:f>IF(T181="","",I181*T181)</x:f>
        <x:v>12.186646310177453</x:v>
      </x:c>
    </x:row>
    <x:row r="182" ht="18" customHeight="1">
      <x:c r="A182" s="46" t="str">
        <x:v>LME_042</x:v>
      </x:c>
      <x:c r="B182" s="46" t="str">
        <x:v>Southeast Australian Shelf</x:v>
      </x:c>
      <x:c r="C182" s="46" t="str">
        <x:v>LME</x:v>
      </x:c>
      <x:c r="D182" s="58" t="n">
        <x:v>2019</x:v>
      </x:c>
      <x:c r="E182" s="46" t="str">
        <x:v>Deania calceus</x:v>
      </x:c>
      <x:c r="F182" s="46" t="str">
        <x:v>Birdbeak dogfish</x:v>
      </x:c>
      <x:c r="G182" s="46" t="str">
        <x:v>Large sharks (&gt;=90 cm)</x:v>
      </x:c>
      <x:c r="H182" s="46" t="str">
        <x:v>Sharks &amp; rays</x:v>
      </x:c>
      <x:c r="I182" s="60" t="n">
        <x:v>0.360886633</x:v>
      </x:c>
      <x:c r="J182" s="60" t="n">
        <x:v>0.360886633</x:v>
      </x:c>
      <x:c r="K182" s="60" t="n">
        <x:v>0</x:v>
      </x:c>
      <x:c r="L182" s="60" t="n">
        <x:v>0.360886633</x:v>
      </x:c>
      <x:c r="M182" s="60" t="n">
        <x:v>0</x:v>
      </x:c>
      <x:c r="N182" s="46" t="str">
        <x:v>deania calceus</x:v>
      </x:c>
      <x:c r="O182" s="62" t="n">
        <x:v>4.33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Deania calceus</x:v>
      </x:c>
      <x:c r="T182" s="62" t="n">
        <x:f>IF(O182="","",(1/'Metadata'!$B$5)^(O182-1))</x:f>
        <x:v>2137.9620895022326</x:v>
      </x:c>
      <x:c r="U182" s="60" t="n">
        <x:f>IF(T182="","",I182*T182)</x:f>
        <x:v>771.5619399621054</x:v>
      </x:c>
    </x:row>
    <x:row r="183" ht="18" customHeight="1">
      <x:c r="A183" s="46" t="str">
        <x:v>LME_042</x:v>
      </x:c>
      <x:c r="B183" s="46" t="str">
        <x:v>Southeast Australian Shelf</x:v>
      </x:c>
      <x:c r="C183" s="46" t="str">
        <x:v>LME</x:v>
      </x:c>
      <x:c r="D183" s="58" t="n">
        <x:v>2019</x:v>
      </x:c>
      <x:c r="E183" s="46" t="str">
        <x:v>Lobotes surinamensis</x:v>
      </x:c>
      <x:c r="F183" s="46" t="str">
        <x:v>Tripletail</x:v>
      </x:c>
      <x:c r="G183" s="46" t="str">
        <x:v>Large benthopelagics (&gt;=90 cm)</x:v>
      </x:c>
      <x:c r="H183" s="46" t="str">
        <x:v>Perch-likes</x:v>
      </x:c>
      <x:c r="I183" s="60" t="n">
        <x:v>0.36079351319999997</x:v>
      </x:c>
      <x:c r="J183" s="60" t="n">
        <x:v>0.36079351319999997</x:v>
      </x:c>
      <x:c r="K183" s="60" t="n">
        <x:v>0</x:v>
      </x:c>
      <x:c r="L183" s="60" t="n">
        <x:v>0.09380108949999999</x:v>
      </x:c>
      <x:c r="M183" s="60" t="n">
        <x:v>0.2669924237</x:v>
      </x:c>
      <x:c r="N183" s="46" t="str">
        <x:v>lobotes surinamensis</x:v>
      </x:c>
      <x:c r="O183" s="62" t="n">
        <x:v>4.04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Lobotes surinamensis</x:v>
      </x:c>
      <x:c r="T183" s="62" t="n">
        <x:f>IF(O183="","",(1/'Metadata'!$B$5)^(O183-1))</x:f>
        <x:v>1096.4781961431852</x:v>
      </x:c>
      <x:c r="U183" s="60" t="n">
        <x:f>IF(T183="","",I183*T183)</x:f>
        <x:v>395.6022205336984</x:v>
      </x:c>
    </x:row>
    <x:row r="184" ht="18" customHeight="1">
      <x:c r="A184" s="46" t="str">
        <x:v>LME_042</x:v>
      </x:c>
      <x:c r="B184" s="46" t="str">
        <x:v>Southeast Australian Shelf</x:v>
      </x:c>
      <x:c r="C184" s="46" t="str">
        <x:v>LME</x:v>
      </x:c>
      <x:c r="D184" s="58" t="n">
        <x:v>2019</x:v>
      </x:c>
      <x:c r="E184" s="46" t="str">
        <x:v>Pristidae</x:v>
      </x:c>
      <x:c r="F184" s="46" t="str">
        <x:v>Sawfishes</x:v>
      </x:c>
      <x:c r="G184" s="46" t="str">
        <x:v>Large rays (&gt;=90 cm)</x:v>
      </x:c>
      <x:c r="H184" s="46" t="str">
        <x:v>Sharks &amp; rays</x:v>
      </x:c>
      <x:c r="I184" s="60" t="n">
        <x:v>0.3320207322</x:v>
      </x:c>
      <x:c r="J184" s="60" t="n">
        <x:v>0.3320207322</x:v>
      </x:c>
      <x:c r="K184" s="60" t="n">
        <x:v>0</x:v>
      </x:c>
      <x:c r="L184" s="60" t="n">
        <x:v>0.0013530196</x:v>
      </x:c>
      <x:c r="M184" s="60" t="n">
        <x:v>0.3306677126</x:v>
      </x:c>
      <x:c r="N184" s="46" t="str">
        <x:v>pristidae</x:v>
      </x:c>
      <x:c r="O184" s="62" t="n">
        <x:v>4.24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Pristidae</x:v>
      </x:c>
      <x:c r="T184" s="62" t="n">
        <x:f>IF(O184="","",(1/'Metadata'!$B$5)^(O184-1))</x:f>
        <x:v>1737.8008287493763</x:v>
      </x:c>
      <x:c r="U184" s="60" t="n">
        <x:f>IF(T184="","",I184*T184)</x:f>
        <x:v>576.9859035791347</x:v>
      </x:c>
    </x:row>
    <x:row r="185" ht="18" customHeight="1">
      <x:c r="A185" s="46" t="str">
        <x:v>LME_042</x:v>
      </x:c>
      <x:c r="B185" s="46" t="str">
        <x:v>Southeast Australian Shelf</x:v>
      </x:c>
      <x:c r="C185" s="46" t="str">
        <x:v>LME</x:v>
      </x:c>
      <x:c r="D185" s="58" t="n">
        <x:v>2019</x:v>
      </x:c>
      <x:c r="E185" s="46" t="str">
        <x:v>Carcharhiniformes</x:v>
      </x:c>
      <x:c r="F185" s="46" t="str">
        <x:v>Ground sharks</x:v>
      </x:c>
      <x:c r="G185" s="46" t="str">
        <x:v>Large sharks (&gt;=90 cm)</x:v>
      </x:c>
      <x:c r="H185" s="46" t="str">
        <x:v>Sharks &amp; rays</x:v>
      </x:c>
      <x:c r="I185" s="60" t="n">
        <x:v>0.3212676034</x:v>
      </x:c>
      <x:c r="J185" s="60" t="n">
        <x:v>0.3212676034</x:v>
      </x:c>
      <x:c r="K185" s="60" t="n">
        <x:v>0</x:v>
      </x:c>
      <x:c r="L185" s="60" t="n">
        <x:v>0.1228598846</x:v>
      </x:c>
      <x:c r="M185" s="60" t="n">
        <x:v>0.1984077188</x:v>
      </x:c>
      <x:c r="N185" s="46" t="str">
        <x:v>carcharhiniformes</x:v>
      </x:c>
      <x:c r="O185" s="62" t="n">
        <x:v>4.08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Carcharhiniformes</x:v>
      </x:c>
      <x:c r="T185" s="62" t="n">
        <x:f>IF(O185="","",(1/'Metadata'!$B$5)^(O185-1))</x:f>
        <x:v>1202.2644346174131</x:v>
      </x:c>
      <x:c r="U185" s="60" t="n">
        <x:f>IF(T185="","",I185*T185)</x:f>
        <x:v>386.2486135625923</x:v>
      </x:c>
    </x:row>
    <x:row r="186" ht="18" customHeight="1">
      <x:c r="A186" s="46" t="str">
        <x:v>LME_042</x:v>
      </x:c>
      <x:c r="B186" s="46" t="str">
        <x:v>Southeast Australian Shelf</x:v>
      </x:c>
      <x:c r="C186" s="46" t="str">
        <x:v>LME</x:v>
      </x:c>
      <x:c r="D186" s="58" t="n">
        <x:v>2019</x:v>
      </x:c>
      <x:c r="E186" s="46" t="str">
        <x:v>Plagiogeneion rubiginosum</x:v>
      </x:c>
      <x:c r="F186" s="46" t="str">
        <x:v>Rubyfish</x:v>
      </x:c>
      <x:c r="G186" s="46" t="str">
        <x:v>Medium bathydemersals (30 - 89 cm)</x:v>
      </x:c>
      <x:c r="H186" s="46" t="str">
        <x:v>Perch-likes</x:v>
      </x:c>
      <x:c r="I186" s="60" t="n">
        <x:v>0.3209279077</x:v>
      </x:c>
      <x:c r="J186" s="60" t="n">
        <x:v>0.3209279077</x:v>
      </x:c>
      <x:c r="K186" s="60" t="n">
        <x:v>0</x:v>
      </x:c>
      <x:c r="L186" s="60" t="n">
        <x:v>0.3209279077</x:v>
      </x:c>
      <x:c r="M186" s="60" t="n">
        <x:v>0</x:v>
      </x:c>
      <x:c r="N186" s="46" t="str">
        <x:v>plagiogeneion rubiginosum</x:v>
      </x:c>
      <x:c r="O186" s="62" t="n">
        <x:v>3.4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Plagiogeneion rubiginosum</x:v>
      </x:c>
      <x:c r="T186" s="62" t="n">
        <x:f>IF(O186="","",(1/'Metadata'!$B$5)^(O186-1))</x:f>
        <x:v>251.18864315095797</x:v>
      </x:c>
      <x:c r="U186" s="60" t="n">
        <x:f>IF(T186="","",I186*T186)</x:f>
        <x:v>80.61344568443889</x:v>
      </x:c>
    </x:row>
    <x:row r="187" ht="18" customHeight="1">
      <x:c r="A187" s="46" t="str">
        <x:v>LME_042</x:v>
      </x:c>
      <x:c r="B187" s="46" t="str">
        <x:v>Southeast Australian Shelf</x:v>
      </x:c>
      <x:c r="C187" s="46" t="str">
        <x:v>LME</x:v>
      </x:c>
      <x:c r="D187" s="58" t="n">
        <x:v>2019</x:v>
      </x:c>
      <x:c r="E187" s="46" t="str">
        <x:v>Lutjanidae</x:v>
      </x:c>
      <x:c r="F187" s="46" t="str">
        <x:v>Snappers</x:v>
      </x:c>
      <x:c r="G187" s="46" t="str">
        <x:v>Medium reef assoc. fish (30 - 89 cm)</x:v>
      </x:c>
      <x:c r="H187" s="46" t="str">
        <x:v>Perch-likes</x:v>
      </x:c>
      <x:c r="I187" s="60" t="n">
        <x:v>0.312945038</x:v>
      </x:c>
      <x:c r="J187" s="60" t="n">
        <x:v>0.312945038</x:v>
      </x:c>
      <x:c r="K187" s="60" t="n">
        <x:v>0</x:v>
      </x:c>
      <x:c r="L187" s="60" t="n">
        <x:v>0.00037819240000000004</x:v>
      </x:c>
      <x:c r="M187" s="60" t="n">
        <x:v>0.3125668456</x:v>
      </x:c>
      <x:c r="N187" s="46" t="str">
        <x:v>lutjanidae</x:v>
      </x:c>
      <x:c r="O187" s="62" t="n">
        <x:v>4.02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Lutjanidae</x:v>
      </x:c>
      <x:c r="T187" s="62" t="n">
        <x:f>IF(O187="","",(1/'Metadata'!$B$5)^(O187-1))</x:f>
        <x:v>1047.1285480508984</x:v>
      </x:c>
      <x:c r="U187" s="60" t="n">
        <x:f>IF(T187="","",I187*T187)</x:f>
        <x:v>327.69368326067325</x:v>
      </x:c>
    </x:row>
    <x:row r="188" ht="18" customHeight="1">
      <x:c r="A188" s="46" t="str">
        <x:v>LME_042</x:v>
      </x:c>
      <x:c r="B188" s="46" t="str">
        <x:v>Southeast Australian Shelf</x:v>
      </x:c>
      <x:c r="C188" s="46" t="str">
        <x:v>LME</x:v>
      </x:c>
      <x:c r="D188" s="58" t="n">
        <x:v>2019</x:v>
      </x:c>
      <x:c r="E188" s="46" t="str">
        <x:v>Lampris</x:v>
      </x:c>
      <x:c r="F188" s="46" t="str">
        <x:v>Opahs</x:v>
      </x:c>
      <x:c r="G188" s="46" t="str">
        <x:v>Large pelagics (&gt;=90 cm)</x:v>
      </x:c>
      <x:c r="H188" s="46" t="str">
        <x:v>Other fishes &amp; inverts</x:v>
      </x:c>
      <x:c r="I188" s="60" t="n">
        <x:v>0.2838091585</x:v>
      </x:c>
      <x:c r="J188" s="60" t="n">
        <x:v>0.2838091585</x:v>
      </x:c>
      <x:c r="K188" s="60" t="n">
        <x:v>0</x:v>
      </x:c>
      <x:c r="L188" s="60" t="n">
        <x:v>0.2838091585</x:v>
      </x:c>
      <x:c r="M188" s="60" t="n">
        <x:v>0</x:v>
      </x:c>
      <x:c r="N188" s="46" t="str">
        <x:v>lampris</x:v>
      </x:c>
      <x:c r="O188" s="62" t="n">
        <x:v>4.22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Lampris</x:v>
      </x:c>
      <x:c r="T188" s="62" t="n">
        <x:f>IF(O188="","",(1/'Metadata'!$B$5)^(O188-1))</x:f>
        <x:v>1659.5869074375596</x:v>
      </x:c>
      <x:c r="U188" s="60" t="n">
        <x:f>IF(T188="","",I188*T188)</x:f>
        <x:v>471.00596365747117</x:v>
      </x:c>
    </x:row>
    <x:row r="189" ht="18" customHeight="1">
      <x:c r="A189" s="46" t="str">
        <x:v>LME_042</x:v>
      </x:c>
      <x:c r="B189" s="46" t="str">
        <x:v>Southeast Australian Shelf</x:v>
      </x:c>
      <x:c r="C189" s="46" t="str">
        <x:v>LME</x:v>
      </x:c>
      <x:c r="D189" s="58" t="n">
        <x:v>2019</x:v>
      </x:c>
      <x:c r="E189" s="46" t="str">
        <x:v>Beryx splendens</x:v>
      </x:c>
      <x:c r="F189" s="46" t="str">
        <x:v>Splendid alfonsino</x:v>
      </x:c>
      <x:c r="G189" s="46" t="str">
        <x:v>Medium benthopelagics (30 - 89 cm)</x:v>
      </x:c>
      <x:c r="H189" s="46" t="str">
        <x:v>Other fishes &amp; inverts</x:v>
      </x:c>
      <x:c r="I189" s="60" t="n">
        <x:v>0.2516792583</x:v>
      </x:c>
      <x:c r="J189" s="60" t="n">
        <x:v>0.2516792583</x:v>
      </x:c>
      <x:c r="K189" s="60" t="n">
        <x:v>0</x:v>
      </x:c>
      <x:c r="L189" s="60" t="n">
        <x:v>0.2516792583</x:v>
      </x:c>
      <x:c r="M189" s="60" t="n">
        <x:v>0</x:v>
      </x:c>
      <x:c r="N189" s="46" t="str">
        <x:v>beryx splendens</x:v>
      </x:c>
      <x:c r="O189" s="62" t="n">
        <x:v>4.27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Beryx splendens</x:v>
      </x:c>
      <x:c r="T189" s="62" t="n">
        <x:f>IF(O189="","",(1/'Metadata'!$B$5)^(O189-1))</x:f>
        <x:v>1862.0871366628655</x:v>
      </x:c>
      <x:c r="U189" s="60" t="n">
        <x:f>IF(T189="","",I189*T189)</x:f>
        <x:v>468.6487094452807</x:v>
      </x:c>
    </x:row>
    <x:row r="190" ht="18" customHeight="1">
      <x:c r="A190" s="46" t="str">
        <x:v>LME_042</x:v>
      </x:c>
      <x:c r="B190" s="46" t="str">
        <x:v>Southeast Australian Shelf</x:v>
      </x:c>
      <x:c r="C190" s="46" t="str">
        <x:v>LME</x:v>
      </x:c>
      <x:c r="D190" s="58" t="n">
        <x:v>2019</x:v>
      </x:c>
      <x:c r="E190" s="46" t="str">
        <x:v>Lamna nasus</x:v>
      </x:c>
      <x:c r="F190" s="46" t="str">
        <x:v>Porbeagle</x:v>
      </x:c>
      <x:c r="G190" s="46" t="str">
        <x:v>Large sharks (&gt;=90 cm)</x:v>
      </x:c>
      <x:c r="H190" s="46" t="str">
        <x:v>Sharks &amp; rays</x:v>
      </x:c>
      <x:c r="I190" s="60" t="n">
        <x:v>0.23196912220000002</x:v>
      </x:c>
      <x:c r="J190" s="60" t="n">
        <x:v>0.23196912220000002</x:v>
      </x:c>
      <x:c r="K190" s="60" t="n">
        <x:v>0</x:v>
      </x:c>
      <x:c r="L190" s="60" t="n">
        <x:v>0.23196912220000002</x:v>
      </x:c>
      <x:c r="M190" s="60" t="n">
        <x:v>0</x:v>
      </x:c>
      <x:c r="N190" s="46" t="str">
        <x:v>lamna nasus</x:v>
      </x:c>
      <x:c r="O190" s="62" t="n">
        <x:v>4.57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Lamna nasus</x:v>
      </x:c>
      <x:c r="T190" s="62" t="n">
        <x:f>IF(O190="","",(1/'Metadata'!$B$5)^(O190-1))</x:f>
        <x:v>3715.3522909717276</x:v>
      </x:c>
      <x:c r="U190" s="60" t="n">
        <x:f>IF(T190="","",I190*T190)</x:f>
        <x:v>861.8470096004706</x:v>
      </x:c>
    </x:row>
    <x:row r="191" ht="18" customHeight="1">
      <x:c r="A191" s="46" t="str">
        <x:v>LME_042</x:v>
      </x:c>
      <x:c r="B191" s="46" t="str">
        <x:v>Southeast Australian Shelf</x:v>
      </x:c>
      <x:c r="C191" s="46" t="str">
        <x:v>LME</x:v>
      </x:c>
      <x:c r="D191" s="58" t="n">
        <x:v>2019</x:v>
      </x:c>
      <x:c r="E191" s="46" t="str">
        <x:v>Anguilliformes</x:v>
      </x:c>
      <x:c r="F191" s="46" t="str">
        <x:v>Eels, morays</x:v>
      </x:c>
      <x:c r="G191" s="46" t="str">
        <x:v>Large demersals (&gt;=90 cm)</x:v>
      </x:c>
      <x:c r="H191" s="46" t="str">
        <x:v>Other fishes &amp; inverts</x:v>
      </x:c>
      <x:c r="I191" s="60" t="n">
        <x:v>0.2161556055</x:v>
      </x:c>
      <x:c r="J191" s="60" t="n">
        <x:v>0.2161556055</x:v>
      </x:c>
      <x:c r="K191" s="60" t="n">
        <x:v>0</x:v>
      </x:c>
      <x:c r="L191" s="60" t="n">
        <x:v>0.21344036819999998</x:v>
      </x:c>
      <x:c r="M191" s="60" t="n">
        <x:v>0.0027152373</x:v>
      </x:c>
      <x:c r="N191" s="46" t="str">
        <x:v>anguilliformes</x:v>
      </x:c>
      <x:c r="O191" s="62" t="n">
        <x:v>3.89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Anguilliformes</x:v>
      </x:c>
      <x:c r="T191" s="62" t="n">
        <x:f>IF(O191="","",(1/'Metadata'!$B$5)^(O191-1))</x:f>
        <x:v>776.247116628692</x:v>
      </x:c>
      <x:c r="U191" s="60" t="n">
        <x:f>IF(T191="","",I191*T191)</x:f>
        <x:v>167.79016551250402</x:v>
      </x:c>
    </x:row>
    <x:row r="192" ht="18" customHeight="1">
      <x:c r="A192" s="46" t="str">
        <x:v>LME_042</x:v>
      </x:c>
      <x:c r="B192" s="46" t="str">
        <x:v>Southeast Australian Shelf</x:v>
      </x:c>
      <x:c r="C192" s="46" t="str">
        <x:v>LME</x:v>
      </x:c>
      <x:c r="D192" s="58" t="n">
        <x:v>2019</x:v>
      </x:c>
      <x:c r="E192" s="46" t="str">
        <x:v>Heptranchias perlo</x:v>
      </x:c>
      <x:c r="F192" s="46" t="str">
        <x:v>Sharpnose sevengill shark</x:v>
      </x:c>
      <x:c r="G192" s="46" t="str">
        <x:v>Large sharks (&gt;=90 cm)</x:v>
      </x:c>
      <x:c r="H192" s="46" t="str">
        <x:v>Sharks &amp; rays</x:v>
      </x:c>
      <x:c r="I192" s="60" t="n">
        <x:v>0.1505524608</x:v>
      </x:c>
      <x:c r="J192" s="60" t="n">
        <x:v>0.1505524608</x:v>
      </x:c>
      <x:c r="K192" s="60" t="n">
        <x:v>0</x:v>
      </x:c>
      <x:c r="L192" s="60" t="n">
        <x:v>0.1505524608</x:v>
      </x:c>
      <x:c r="M192" s="60" t="n">
        <x:v>0</x:v>
      </x:c>
      <x:c r="N192" s="46" t="str">
        <x:v>heptranchias perlo</x:v>
      </x:c>
      <x:c r="O192" s="62" t="n">
        <x:v>4.16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Heptranchias perlo</x:v>
      </x:c>
      <x:c r="T192" s="62" t="n">
        <x:f>IF(O192="","",(1/'Metadata'!$B$5)^(O192-1))</x:f>
        <x:v>1445.439770745928</x:v>
      </x:c>
      <x:c r="U192" s="60" t="n">
        <x:f>IF(T192="","",I192*T192)</x:f>
        <x:v>217.61451442398732</x:v>
      </x:c>
    </x:row>
    <x:row r="193" ht="18" customHeight="1">
      <x:c r="A193" s="46" t="str">
        <x:v>LME_042</x:v>
      </x:c>
      <x:c r="B193" s="46" t="str">
        <x:v>Southeast Australian Shelf</x:v>
      </x:c>
      <x:c r="C193" s="46" t="str">
        <x:v>LME</x:v>
      </x:c>
      <x:c r="D193" s="58" t="n">
        <x:v>2019</x:v>
      </x:c>
      <x:c r="E193" s="46" t="str">
        <x:v>Monodactylus argenteus</x:v>
      </x:c>
      <x:c r="F193" s="46" t="str">
        <x:v>Silver moony</x:v>
      </x:c>
      <x:c r="G193" s="46" t="str">
        <x:v>Small pelagics (&lt;30 cm)</x:v>
      </x:c>
      <x:c r="H193" s="46" t="str">
        <x:v>Perch-likes</x:v>
      </x:c>
      <x:c r="I193" s="60" t="n">
        <x:v>0.14886257519999999</x:v>
      </x:c>
      <x:c r="J193" s="60" t="n">
        <x:v>0.14886257519999999</x:v>
      </x:c>
      <x:c r="K193" s="60" t="n">
        <x:v>0</x:v>
      </x:c>
      <x:c r="L193" s="60" t="n">
        <x:v>0.14886257519999999</x:v>
      </x:c>
      <x:c r="M193" s="60" t="n">
        <x:v>0</x:v>
      </x:c>
      <x:c r="N193" s="46" t="str">
        <x:v>monodactylus argenteus</x:v>
      </x:c>
      <x:c r="O193" s="62" t="n">
        <x:v>2.95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Monodactylus argenteus</x:v>
      </x:c>
      <x:c r="T193" s="62" t="n">
        <x:f>IF(O193="","",(1/'Metadata'!$B$5)^(O193-1))</x:f>
        <x:v>89.12509381337459</x:v>
      </x:c>
      <x:c r="U193" s="60" t="n">
        <x:f>IF(T193="","",I193*T193)</x:f>
        <x:v>13.267390980000528</x:v>
      </x:c>
    </x:row>
    <x:row r="194" ht="18" customHeight="1">
      <x:c r="A194" s="46" t="str">
        <x:v>LME_042</x:v>
      </x:c>
      <x:c r="B194" s="46" t="str">
        <x:v>Southeast Australian Shelf</x:v>
      </x:c>
      <x:c r="C194" s="46" t="str">
        <x:v>LME</x:v>
      </x:c>
      <x:c r="D194" s="58" t="n">
        <x:v>2019</x:v>
      </x:c>
      <x:c r="E194" s="46" t="str">
        <x:v>Pentaceros decacanthus</x:v>
      </x:c>
      <x:c r="F194" s="46" t="str">
        <x:v>Bigspined boarfish</x:v>
      </x:c>
      <x:c r="G194" s="46" t="str">
        <x:v>Medium bathydemersals (30 - 89 cm)</x:v>
      </x:c>
      <x:c r="H194" s="46" t="str">
        <x:v>Perch-likes</x:v>
      </x:c>
      <x:c r="I194" s="60" t="n">
        <x:v>0.142682037</x:v>
      </x:c>
      <x:c r="J194" s="60" t="n">
        <x:v>0.142682037</x:v>
      </x:c>
      <x:c r="K194" s="60" t="n">
        <x:v>0</x:v>
      </x:c>
      <x:c r="L194" s="60" t="n">
        <x:v>0.142682037</x:v>
      </x:c>
      <x:c r="M194" s="60" t="n">
        <x:v>0</x:v>
      </x:c>
      <x:c r="N194" s="46" t="str">
        <x:v>pentaceros decacanthus</x:v>
      </x:c>
      <x:c r="O194" s="62" t="n">
        <x:v>3.33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Pentaceros decacanthus</x:v>
      </x:c>
      <x:c r="T194" s="62" t="n">
        <x:f>IF(O194="","",(1/'Metadata'!$B$5)^(O194-1))</x:f>
        <x:v>213.79620895022325</x:v>
      </x:c>
      <x:c r="U194" s="60" t="n">
        <x:f>IF(T194="","",I194*T194)</x:f>
        <x:v>30.504878595895487</x:v>
      </x:c>
    </x:row>
    <x:row r="195" ht="18" customHeight="1">
      <x:c r="A195" s="46" t="str">
        <x:v>LME_042</x:v>
      </x:c>
      <x:c r="B195" s="46" t="str">
        <x:v>Southeast Australian Shelf</x:v>
      </x:c>
      <x:c r="C195" s="46" t="str">
        <x:v>LME</x:v>
      </x:c>
      <x:c r="D195" s="58" t="n">
        <x:v>2019</x:v>
      </x:c>
      <x:c r="E195" s="46" t="str">
        <x:v>Beryx decadactylus</x:v>
      </x:c>
      <x:c r="F195" s="46" t="str">
        <x:v>Alfonsino</x:v>
      </x:c>
      <x:c r="G195" s="46" t="str">
        <x:v>Medium bathydemersals (30 - 89 cm)</x:v>
      </x:c>
      <x:c r="H195" s="46" t="str">
        <x:v>Other fishes &amp; inverts</x:v>
      </x:c>
      <x:c r="I195" s="60" t="n">
        <x:v>0.11942595290000001</x:v>
      </x:c>
      <x:c r="J195" s="60" t="n">
        <x:v>0.11942595290000001</x:v>
      </x:c>
      <x:c r="K195" s="60" t="n">
        <x:v>0</x:v>
      </x:c>
      <x:c r="L195" s="60" t="n">
        <x:v>0.11942595290000001</x:v>
      </x:c>
      <x:c r="M195" s="60" t="n">
        <x:v>0</x:v>
      </x:c>
      <x:c r="N195" s="46" t="str">
        <x:v>beryx decadactylus</x:v>
      </x:c>
      <x:c r="O195" s="62" t="n">
        <x:v>4.13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Beryx decadactylus</x:v>
      </x:c>
      <x:c r="T195" s="62" t="n">
        <x:f>IF(O195="","",(1/'Metadata'!$B$5)^(O195-1))</x:f>
        <x:v>1348.9628825916532</x:v>
      </x:c>
      <x:c r="U195" s="60" t="n">
        <x:f>IF(T195="","",I195*T195)</x:f>
        <x:v>161.101177680239</x:v>
      </x:c>
    </x:row>
    <x:row r="196" ht="18" customHeight="1">
      <x:c r="A196" s="46" t="str">
        <x:v>LME_042</x:v>
      </x:c>
      <x:c r="B196" s="46" t="str">
        <x:v>Southeast Australian Shelf</x:v>
      </x:c>
      <x:c r="C196" s="46" t="str">
        <x:v>LME</x:v>
      </x:c>
      <x:c r="D196" s="58" t="n">
        <x:v>2019</x:v>
      </x:c>
      <x:c r="E196" s="46" t="str">
        <x:v>Myctophidae</x:v>
      </x:c>
      <x:c r="F196" s="46" t="str">
        <x:v>Lanternfishes</x:v>
      </x:c>
      <x:c r="G196" s="46" t="str">
        <x:v>Small pelagics (&lt;30 cm)</x:v>
      </x:c>
      <x:c r="H196" s="46" t="str">
        <x:v>Other fishes &amp; inverts</x:v>
      </x:c>
      <x:c r="I196" s="60" t="n">
        <x:v>0.11081861479999999</x:v>
      </x:c>
      <x:c r="J196" s="60" t="n">
        <x:v>0.11081861479999999</x:v>
      </x:c>
      <x:c r="K196" s="60" t="n">
        <x:v>0</x:v>
      </x:c>
      <x:c r="L196" s="60" t="n">
        <x:v>0.11081861479999999</x:v>
      </x:c>
      <x:c r="M196" s="60" t="n">
        <x:v>0</x:v>
      </x:c>
      <x:c r="N196" s="46" t="str">
        <x:v>myctophidae</x:v>
      </x:c>
      <x:c r="O196" s="62" t="n">
        <x:v>3.3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Myctophidae</x:v>
      </x:c>
      <x:c r="T196" s="62" t="n">
        <x:f>IF(O196="","",(1/'Metadata'!$B$5)^(O196-1))</x:f>
        <x:v>199.52623149688787</x:v>
      </x:c>
      <x:c r="U196" s="60" t="n">
        <x:f>IF(T196="","",I196*T196)</x:f>
        <x:v>22.111220590749245</x:v>
      </x:c>
    </x:row>
    <x:row r="197" ht="18" customHeight="1">
      <x:c r="A197" s="46" t="str">
        <x:v>LME_042</x:v>
      </x:c>
      <x:c r="B197" s="46" t="str">
        <x:v>Southeast Australian Shelf</x:v>
      </x:c>
      <x:c r="C197" s="46" t="str">
        <x:v>LME</x:v>
      </x:c>
      <x:c r="D197" s="58" t="n">
        <x:v>2019</x:v>
      </x:c>
      <x:c r="E197" s="46" t="str">
        <x:v>Ruvettus pretiosus</x:v>
      </x:c>
      <x:c r="F197" s="46" t="str">
        <x:v>Oilfish</x:v>
      </x:c>
      <x:c r="G197" s="46" t="str">
        <x:v>Large benthopelagics (&gt;=90 cm)</x:v>
      </x:c>
      <x:c r="H197" s="46" t="str">
        <x:v>Perch-likes</x:v>
      </x:c>
      <x:c r="I197" s="60" t="n">
        <x:v>0.1077933205</x:v>
      </x:c>
      <x:c r="J197" s="60" t="n">
        <x:v>0.1077933205</x:v>
      </x:c>
      <x:c r="K197" s="60" t="n">
        <x:v>0</x:v>
      </x:c>
      <x:c r="L197" s="60" t="n">
        <x:v>0.008152748699999999</x:v>
      </x:c>
      <x:c r="M197" s="60" t="n">
        <x:v>0.0996405718</x:v>
      </x:c>
      <x:c r="N197" s="46" t="str">
        <x:v>ruvettus pretiosus</x:v>
      </x:c>
      <x:c r="O197" s="62" t="n">
        <x:v>4.18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Ruvettus pretiosus</x:v>
      </x:c>
      <x:c r="T197" s="62" t="n">
        <x:f>IF(O197="","",(1/'Metadata'!$B$5)^(O197-1))</x:f>
        <x:v>1513.5612484362073</x:v>
      </x:c>
      <x:c r="U197" s="60" t="n">
        <x:f>IF(T197="","",I197*T197)</x:f>
        <x:v>163.1517927490642</x:v>
      </x:c>
    </x:row>
    <x:row r="198" ht="18" customHeight="1">
      <x:c r="A198" s="46" t="str">
        <x:v>LME_042</x:v>
      </x:c>
      <x:c r="B198" s="46" t="str">
        <x:v>Southeast Australian Shelf</x:v>
      </x:c>
      <x:c r="C198" s="46" t="str">
        <x:v>LME</x:v>
      </x:c>
      <x:c r="D198" s="58" t="n">
        <x:v>2019</x:v>
      </x:c>
      <x:c r="E198" s="46" t="str">
        <x:v>Holothuriidae</x:v>
      </x:c>
      <x:c r="F198" s="46" t="str">
        <x:v>Fleshy sea cucumbers</x:v>
      </x:c>
      <x:c r="G198" s="46" t="str">
        <x:v>Other demersal invertebrates</x:v>
      </x:c>
      <x:c r="H198" s="46" t="str">
        <x:v>Other fishes &amp; inverts</x:v>
      </x:c>
      <x:c r="I198" s="60" t="n">
        <x:v>0.1034791923</x:v>
      </x:c>
      <x:c r="J198" s="60" t="n">
        <x:v>0.1034791923</x:v>
      </x:c>
      <x:c r="K198" s="60" t="n">
        <x:v>0</x:v>
      </x:c>
      <x:c r="L198" s="60" t="n">
        <x:v>0.1034791923</x:v>
      </x:c>
      <x:c r="M198" s="60" t="n">
        <x:v>0</x:v>
      </x:c>
      <x:c r="N198" s="46" t="str">
        <x:v>holothuriidae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Holothuriidae</x:v>
      </x:c>
      <x:c r="T198" s="62" t="n">
        <x:f>IF(O198="","",(1/'Metadata'!$B$5)^(O198-1))</x:f>
        <x:v>10</x:v>
      </x:c>
      <x:c r="U198" s="60" t="n">
        <x:f>IF(T198="","",I198*T198)</x:f>
        <x:v>1.034791923</x:v>
      </x:c>
    </x:row>
    <x:row r="199" ht="18" customHeight="1">
      <x:c r="A199" s="46" t="str">
        <x:v>LME_042</x:v>
      </x:c>
      <x:c r="B199" s="46" t="str">
        <x:v>Southeast Australian Shelf</x:v>
      </x:c>
      <x:c r="C199" s="46" t="str">
        <x:v>LME</x:v>
      </x:c>
      <x:c r="D199" s="58" t="n">
        <x:v>2019</x:v>
      </x:c>
      <x:c r="E199" s="46" t="str">
        <x:v>Pentaceros richardsoni</x:v>
      </x:c>
      <x:c r="F199" s="46" t="str">
        <x:v>Pelagic armourhead</x:v>
      </x:c>
      <x:c r="G199" s="46" t="str">
        <x:v>Medium pelagics (30 - 89 cm)</x:v>
      </x:c>
      <x:c r="H199" s="46" t="str">
        <x:v>Perch-likes</x:v>
      </x:c>
      <x:c r="I199" s="60" t="n">
        <x:v>0.0824396364</x:v>
      </x:c>
      <x:c r="J199" s="60" t="n">
        <x:v>0.0824396364</x:v>
      </x:c>
      <x:c r="K199" s="60" t="n">
        <x:v>0</x:v>
      </x:c>
      <x:c r="L199" s="60" t="n">
        <x:v>0.0824396364</x:v>
      </x:c>
      <x:c r="M199" s="60" t="n">
        <x:v>0</x:v>
      </x:c>
      <x:c r="N199" s="46" t="str">
        <x:v>pentaceros richardsoni</x:v>
      </x:c>
      <x:c r="O199" s="62" t="n">
        <x:v>3.5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Pentaceros richardsoni</x:v>
      </x:c>
      <x:c r="T199" s="62" t="n">
        <x:f>IF(O199="","",(1/'Metadata'!$B$5)^(O199-1))</x:f>
        <x:v>316.22776601683796</x:v>
      </x:c>
      <x:c r="U199" s="60" t="n">
        <x:f>IF(T199="","",I199*T199)</x:f>
        <x:v>26.0697020500124</x:v>
      </x:c>
    </x:row>
    <x:row r="200" ht="18" customHeight="1">
      <x:c r="A200" s="46" t="str">
        <x:v>LME_042</x:v>
      </x:c>
      <x:c r="B200" s="46" t="str">
        <x:v>Southeast Australian Shelf</x:v>
      </x:c>
      <x:c r="C200" s="46" t="str">
        <x:v>LME</x:v>
      </x:c>
      <x:c r="D200" s="58" t="n">
        <x:v>2019</x:v>
      </x:c>
      <x:c r="E200" s="46" t="str">
        <x:v>Pomacentridae</x:v>
      </x:c>
      <x:c r="F200" s="46" t="str">
        <x:v>Damselfishes</x:v>
      </x:c>
      <x:c r="G200" s="46" t="str">
        <x:v>Small reef assoc. fish (&lt;30 cm)</x:v>
      </x:c>
      <x:c r="H200" s="46" t="str">
        <x:v>Perch-likes</x:v>
      </x:c>
      <x:c r="I200" s="60" t="n">
        <x:v>0.0812213626</x:v>
      </x:c>
      <x:c r="J200" s="60" t="n">
        <x:v>0.0812213626</x:v>
      </x:c>
      <x:c r="K200" s="60" t="n">
        <x:v>0</x:v>
      </x:c>
      <x:c r="L200" s="60" t="n">
        <x:v>0.08121917099999999</x:v>
      </x:c>
      <x:c r="M200" s="60" t="n">
        <x:v>0.0000021916</x:v>
      </x:c>
      <x:c r="N200" s="46" t="str">
        <x:v>pomacentridae</x:v>
      </x:c>
      <x:c r="O200" s="62" t="n">
        <x:v>2.57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Pomacentridae</x:v>
      </x:c>
      <x:c r="T200" s="62" t="n">
        <x:f>IF(O200="","",(1/'Metadata'!$B$5)^(O200-1))</x:f>
        <x:v>37.15352290971724</x:v>
      </x:c>
      <x:c r="U200" s="60" t="n">
        <x:f>IF(T200="","",I200*T200)</x:f>
        <x:v>3.017659756117551</x:v>
      </x:c>
    </x:row>
    <x:row r="201" ht="18" customHeight="1">
      <x:c r="A201" s="46" t="str">
        <x:v>LME_042</x:v>
      </x:c>
      <x:c r="B201" s="46" t="str">
        <x:v>Southeast Australian Shelf</x:v>
      </x:c>
      <x:c r="C201" s="46" t="str">
        <x:v>LME</x:v>
      </x:c>
      <x:c r="D201" s="58" t="n">
        <x:v>2019</x:v>
      </x:c>
      <x:c r="E201" s="46" t="str">
        <x:v>Diogenidae</x:v>
      </x:c>
      <x:c r="F201" s="46" t="str">
        <x:v>Hermit crabs</x:v>
      </x:c>
      <x:c r="G201" s="46" t="str">
        <x:v>Lobsters, crabs</x:v>
      </x:c>
      <x:c r="H201" s="46" t="str">
        <x:v>Crustaceans</x:v>
      </x:c>
      <x:c r="I201" s="60" t="n">
        <x:v>0.0663187951</x:v>
      </x:c>
      <x:c r="J201" s="60" t="n">
        <x:v>0.0663187951</x:v>
      </x:c>
      <x:c r="K201" s="60" t="n">
        <x:v>0</x:v>
      </x:c>
      <x:c r="L201" s="60" t="n">
        <x:v>0.0663187951</x:v>
      </x:c>
      <x:c r="M201" s="60" t="n">
        <x:v>0</x:v>
      </x:c>
      <x:c r="N201" s="46" t="str">
        <x:v>diogenidae</x:v>
      </x:c>
      <x:c r="O201" s="62" t="n">
        <x:v>4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Diogenidae</x:v>
      </x:c>
      <x:c r="T201" s="62" t="n">
        <x:f>IF(O201="","",(1/'Metadata'!$B$5)^(O201-1))</x:f>
        <x:v>1000</x:v>
      </x:c>
      <x:c r="U201" s="60" t="n">
        <x:f>IF(T201="","",I201*T201)</x:f>
        <x:v>66.31879509999999</x:v>
      </x:c>
    </x:row>
    <x:row r="202" ht="18" customHeight="1">
      <x:c r="A202" s="46" t="str">
        <x:v>LME_042</x:v>
      </x:c>
      <x:c r="B202" s="46" t="str">
        <x:v>Southeast Australian Shelf</x:v>
      </x:c>
      <x:c r="C202" s="46" t="str">
        <x:v>LME</x:v>
      </x:c>
      <x:c r="D202" s="58" t="n">
        <x:v>2019</x:v>
      </x:c>
      <x:c r="E202" s="46" t="str">
        <x:v>Sarda australis</x:v>
      </x:c>
      <x:c r="F202" s="46" t="str">
        <x:v>Australian bonito</x:v>
      </x:c>
      <x:c r="G202" s="46" t="str">
        <x:v>Small pelagics (&lt;30 cm)</x:v>
      </x:c>
      <x:c r="H202" s="46" t="str">
        <x:v>Perch-likes</x:v>
      </x:c>
      <x:c r="I202" s="60" t="n">
        <x:v>0.0627616268</x:v>
      </x:c>
      <x:c r="J202" s="60" t="n">
        <x:v>0.0627616268</x:v>
      </x:c>
      <x:c r="K202" s="60" t="n">
        <x:v>0</x:v>
      </x:c>
      <x:c r="L202" s="60" t="n">
        <x:v>0.0627616268</x:v>
      </x:c>
      <x:c r="M202" s="60" t="n">
        <x:v>0</x:v>
      </x:c>
      <x:c r="N202" s="46" t="str">
        <x:v>sarda australis</x:v>
      </x:c>
      <x:c r="O202" s="62" t="n">
        <x:v>4.5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Sarda australis</x:v>
      </x:c>
      <x:c r="T202" s="62" t="n">
        <x:f>IF(O202="","",(1/'Metadata'!$B$5)^(O202-1))</x:f>
        <x:v>3162.2776601683795</x:v>
      </x:c>
      <x:c r="U202" s="60" t="n">
        <x:f>IF(T202="","",I202*T202)</x:f>
        <x:v>198.46969034546504</x:v>
      </x:c>
    </x:row>
    <x:row r="203" ht="18" customHeight="1">
      <x:c r="A203" s="46" t="str">
        <x:v>LME_042</x:v>
      </x:c>
      <x:c r="B203" s="46" t="str">
        <x:v>Southeast Australian Shelf</x:v>
      </x:c>
      <x:c r="C203" s="46" t="str">
        <x:v>LME</x:v>
      </x:c>
      <x:c r="D203" s="58" t="n">
        <x:v>2019</x:v>
      </x:c>
      <x:c r="E203" s="46" t="str">
        <x:v>Lutjanus</x:v>
      </x:c>
      <x:c r="F203" s="46" t="str">
        <x:v>Snappers</x:v>
      </x:c>
      <x:c r="G203" s="46" t="str">
        <x:v>Medium reef assoc. fish (30 - 89 cm)</x:v>
      </x:c>
      <x:c r="H203" s="46" t="str">
        <x:v>Perch-likes</x:v>
      </x:c>
      <x:c r="I203" s="60" t="n">
        <x:v>0.0584684449</x:v>
      </x:c>
      <x:c r="J203" s="60" t="n">
        <x:v>0.0584684449</x:v>
      </x:c>
      <x:c r="K203" s="60" t="n">
        <x:v>0</x:v>
      </x:c>
      <x:c r="L203" s="60" t="n">
        <x:v>0.0241695459</x:v>
      </x:c>
      <x:c r="M203" s="60" t="n">
        <x:v>0.034298899</x:v>
      </x:c>
      <x:c r="N203" s="46" t="str">
        <x:v>lutjanus</x:v>
      </x:c>
      <x:c r="O203" s="62" t="n">
        <x:v>4.02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Lutjanus</x:v>
      </x:c>
      <x:c r="T203" s="62" t="n">
        <x:f>IF(O203="","",(1/'Metadata'!$B$5)^(O203-1))</x:f>
        <x:v>1047.1285480508984</x:v>
      </x:c>
      <x:c r="U203" s="60" t="n">
        <x:f>IF(T203="","",I203*T203)</x:f>
        <x:v>61.223977814930954</x:v>
      </x:c>
    </x:row>
    <x:row r="204" ht="18" customHeight="1">
      <x:c r="A204" s="46" t="str">
        <x:v>LME_042</x:v>
      </x:c>
      <x:c r="B204" s="46" t="str">
        <x:v>Southeast Australian Shelf</x:v>
      </x:c>
      <x:c r="C204" s="46" t="str">
        <x:v>LME</x:v>
      </x:c>
      <x:c r="D204" s="58" t="n">
        <x:v>2019</x:v>
      </x:c>
      <x:c r="E204" s="46" t="str">
        <x:v>Variola louti</x:v>
      </x:c>
      <x:c r="F204" s="46" t="str">
        <x:v>Yellow-edged lyretail</x:v>
      </x:c>
      <x:c r="G204" s="46" t="str">
        <x:v>Medium reef assoc. fish (30 - 89 cm)</x:v>
      </x:c>
      <x:c r="H204" s="46" t="str">
        <x:v>Perch-likes</x:v>
      </x:c>
      <x:c r="I204" s="60" t="n">
        <x:v>0.0571117824</x:v>
      </x:c>
      <x:c r="J204" s="60" t="n">
        <x:v>0.0571117824</x:v>
      </x:c>
      <x:c r="K204" s="60" t="n">
        <x:v>0</x:v>
      </x:c>
      <x:c r="L204" s="60" t="n">
        <x:v>0.011442362800000001</x:v>
      </x:c>
      <x:c r="M204" s="60" t="n">
        <x:v>0.0456694196</x:v>
      </x:c>
      <x:c r="N204" s="46" t="str">
        <x:v>variola louti</x:v>
      </x:c>
      <x:c r="O204" s="62" t="n">
        <x:v>4.33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Variola louti</x:v>
      </x:c>
      <x:c r="T204" s="62" t="n">
        <x:f>IF(O204="","",(1/'Metadata'!$B$5)^(O204-1))</x:f>
        <x:v>2137.9620895022326</x:v>
      </x:c>
      <x:c r="U204" s="60" t="n">
        <x:f>IF(T204="","",I204*T204)</x:f>
        <x:v>122.10282563510083</x:v>
      </x:c>
    </x:row>
    <x:row r="205" ht="18" customHeight="1">
      <x:c r="A205" s="46" t="str">
        <x:v>LME_042</x:v>
      </x:c>
      <x:c r="B205" s="46" t="str">
        <x:v>Southeast Australian Shelf</x:v>
      </x:c>
      <x:c r="C205" s="46" t="str">
        <x:v>LME</x:v>
      </x:c>
      <x:c r="D205" s="58" t="n">
        <x:v>2019</x:v>
      </x:c>
      <x:c r="E205" s="46" t="str">
        <x:v>Peristediidae</x:v>
      </x:c>
      <x:c r="F205" s="46" t="str">
        <x:v>Armored searobins, gurnards</x:v>
      </x:c>
      <x:c r="G205" s="46" t="str">
        <x:v>Medium bathydemersals (30 - 89 cm)</x:v>
      </x:c>
      <x:c r="H205" s="46" t="str">
        <x:v>Scorpionfishes</x:v>
      </x:c>
      <x:c r="I205" s="60" t="n">
        <x:v>0.0499129998</x:v>
      </x:c>
      <x:c r="J205" s="60" t="n">
        <x:v>0.0499129998</x:v>
      </x:c>
      <x:c r="K205" s="60" t="n">
        <x:v>0</x:v>
      </x:c>
      <x:c r="L205" s="60" t="n">
        <x:v>0.0499129998</x:v>
      </x:c>
      <x:c r="M205" s="60" t="n">
        <x:v>0</x:v>
      </x:c>
      <x:c r="N205" s="46" t="str">
        <x:v>peristediidae</x:v>
      </x:c>
      <x:c r="O205" s="62" t="n">
        <x:v>3.47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Peristediidae</x:v>
      </x:c>
      <x:c r="T205" s="62" t="n">
        <x:f>IF(O205="","",(1/'Metadata'!$B$5)^(O205-1))</x:f>
        <x:v>295.1209226666387</x:v>
      </x:c>
      <x:c r="U205" s="60" t="n">
        <x:f>IF(T205="","",I205*T205)</x:f>
        <x:v>14.730370554035755</x:v>
      </x:c>
    </x:row>
    <x:row r="206" ht="18" customHeight="1">
      <x:c r="A206" s="46" t="str">
        <x:v>LME_042</x:v>
      </x:c>
      <x:c r="B206" s="46" t="str">
        <x:v>Southeast Australian Shelf</x:v>
      </x:c>
      <x:c r="C206" s="46" t="str">
        <x:v>LME</x:v>
      </x:c>
      <x:c r="D206" s="58" t="n">
        <x:v>2019</x:v>
      </x:c>
      <x:c r="E206" s="46" t="str">
        <x:v>Etmopterus</x:v>
      </x:c>
      <x:c r="F206" s="46" t="str">
        <x:v>Lanternsharks</x:v>
      </x:c>
      <x:c r="G206" s="46" t="str">
        <x:v>Small to medium sharks (&lt;90 cm)</x:v>
      </x:c>
      <x:c r="H206" s="46" t="str">
        <x:v>Sharks &amp; rays</x:v>
      </x:c>
      <x:c r="I206" s="60" t="n">
        <x:v>0.0419292547</x:v>
      </x:c>
      <x:c r="J206" s="60" t="n">
        <x:v>0.0419292547</x:v>
      </x:c>
      <x:c r="K206" s="60" t="n">
        <x:v>0</x:v>
      </x:c>
      <x:c r="L206" s="60" t="n">
        <x:v>0.0419292547</x:v>
      </x:c>
      <x:c r="M206" s="60" t="n">
        <x:v>0</x:v>
      </x:c>
      <x:c r="N206" s="46" t="str">
        <x:v>etmopterus</x:v>
      </x:c>
      <x:c r="O206" s="62" t="n">
        <x:v>4.02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Etmopterus</x:v>
      </x:c>
      <x:c r="T206" s="62" t="n">
        <x:f>IF(O206="","",(1/'Metadata'!$B$5)^(O206-1))</x:f>
        <x:v>1047.1285480508984</x:v>
      </x:c>
      <x:c r="U206" s="60" t="n">
        <x:f>IF(T206="","",I206*T206)</x:f>
        <x:v>43.90531959486731</x:v>
      </x:c>
    </x:row>
    <x:row r="207" ht="18" customHeight="1">
      <x:c r="A207" s="46" t="str">
        <x:v>LME_042</x:v>
      </x:c>
      <x:c r="B207" s="46" t="str">
        <x:v>Southeast Australian Shelf</x:v>
      </x:c>
      <x:c r="C207" s="46" t="str">
        <x:v>LME</x:v>
      </x:c>
      <x:c r="D207" s="58" t="n">
        <x:v>2019</x:v>
      </x:c>
      <x:c r="E207" s="46" t="str">
        <x:v>Argyrosomus japonicus</x:v>
      </x:c>
      <x:c r="F207" s="46" t="str">
        <x:v>Japanese meagre</x:v>
      </x:c>
      <x:c r="G207" s="46" t="str">
        <x:v>Large benthopelagics (&gt;=90 cm)</x:v>
      </x:c>
      <x:c r="H207" s="46" t="str">
        <x:v>Perch-likes</x:v>
      </x:c>
      <x:c r="I207" s="60" t="n">
        <x:v>0.0392894591</x:v>
      </x:c>
      <x:c r="J207" s="60" t="n">
        <x:v>0.0392894591</x:v>
      </x:c>
      <x:c r="K207" s="60" t="n">
        <x:v>0</x:v>
      </x:c>
      <x:c r="L207" s="60" t="n">
        <x:v>0.0013825685</x:v>
      </x:c>
      <x:c r="M207" s="60" t="n">
        <x:v>0.0379068906</x:v>
      </x:c>
      <x:c r="N207" s="46" t="str">
        <x:v>argyrosomus japonicus</x:v>
      </x:c>
      <x:c r="O207" s="62" t="n">
        <x:v>4.48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Argyrosomus japonicus</x:v>
      </x:c>
      <x:c r="T207" s="62" t="n">
        <x:f>IF(O207="","",(1/'Metadata'!$B$5)^(O207-1))</x:f>
        <x:v>3019.951720402019</x:v>
      </x:c>
      <x:c r="U207" s="60" t="n">
        <x:f>IF(T207="","",I207*T207)</x:f>
        <x:v>118.65226960270977</x:v>
      </x:c>
    </x:row>
    <x:row r="208" ht="18" customHeight="1">
      <x:c r="A208" s="46" t="str">
        <x:v>LME_042</x:v>
      </x:c>
      <x:c r="B208" s="46" t="str">
        <x:v>Southeast Australian Shelf</x:v>
      </x:c>
      <x:c r="C208" s="46" t="str">
        <x:v>LME</x:v>
      </x:c>
      <x:c r="D208" s="58" t="n">
        <x:v>2019</x:v>
      </x:c>
      <x:c r="E208" s="46" t="str">
        <x:v>Allocyttus niger</x:v>
      </x:c>
      <x:c r="F208" s="46" t="str">
        <x:v>Black oreo</x:v>
      </x:c>
      <x:c r="G208" s="46" t="str">
        <x:v>Medium bathypelagics (30 - 89 cm)</x:v>
      </x:c>
      <x:c r="H208" s="46" t="str">
        <x:v>Other fishes &amp; inverts</x:v>
      </x:c>
      <x:c r="I208" s="60" t="n">
        <x:v>0.035614534399999995</x:v>
      </x:c>
      <x:c r="J208" s="60" t="n">
        <x:v>0.035614534399999995</x:v>
      </x:c>
      <x:c r="K208" s="60" t="n">
        <x:v>0</x:v>
      </x:c>
      <x:c r="L208" s="60" t="n">
        <x:v>0.035614534399999995</x:v>
      </x:c>
      <x:c r="M208" s="60" t="n">
        <x:v>0</x:v>
      </x:c>
      <x:c r="N208" s="46" t="str">
        <x:v>allocyttus niger</x:v>
      </x:c>
      <x:c r="O208" s="62" t="n">
        <x:v>3.38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Allocyttus niger</x:v>
      </x:c>
      <x:c r="T208" s="62" t="n">
        <x:f>IF(O208="","",(1/'Metadata'!$B$5)^(O208-1))</x:f>
        <x:v>239.88329190194898</x:v>
      </x:c>
      <x:c r="U208" s="60" t="n">
        <x:f>IF(T208="","",I208*T208)</x:f>
        <x:v>8.543331751427202</x:v>
      </x:c>
    </x:row>
    <x:row r="209" ht="18" customHeight="1">
      <x:c r="A209" s="46" t="str">
        <x:v>LME_042</x:v>
      </x:c>
      <x:c r="B209" s="46" t="str">
        <x:v>Southeast Australian Shelf</x:v>
      </x:c>
      <x:c r="C209" s="46" t="str">
        <x:v>LME</x:v>
      </x:c>
      <x:c r="D209" s="58" t="n">
        <x:v>2019</x:v>
      </x:c>
      <x:c r="E209" s="46" t="str">
        <x:v>Brama brama</x:v>
      </x:c>
      <x:c r="F209" s="46" t="str">
        <x:v>Atlantic pomfret</x:v>
      </x:c>
      <x:c r="G209" s="46" t="str">
        <x:v>Medium bathypelagics (30 - 89 cm)</x:v>
      </x:c>
      <x:c r="H209" s="46" t="str">
        <x:v>Perch-likes</x:v>
      </x:c>
      <x:c r="I209" s="60" t="n">
        <x:v>0.035560158</x:v>
      </x:c>
      <x:c r="J209" s="60" t="n">
        <x:v>0.035560158</x:v>
      </x:c>
      <x:c r="K209" s="60" t="n">
        <x:v>0</x:v>
      </x:c>
      <x:c r="L209" s="60" t="n">
        <x:v>0.035560158</x:v>
      </x:c>
      <x:c r="M209" s="60" t="n">
        <x:v>0</x:v>
      </x:c>
      <x:c r="N209" s="46" t="str">
        <x:v>brama brama</x:v>
      </x:c>
      <x:c r="O209" s="62" t="n">
        <x:v>4.08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Brama brama</x:v>
      </x:c>
      <x:c r="T209" s="62" t="n">
        <x:f>IF(O209="","",(1/'Metadata'!$B$5)^(O209-1))</x:f>
        <x:v>1202.2644346174131</x:v>
      </x:c>
      <x:c r="U209" s="60" t="n">
        <x:f>IF(T209="","",I209*T209)</x:f>
        <x:v>42.752713252775884</x:v>
      </x:c>
    </x:row>
    <x:row r="210" ht="18" customHeight="1">
      <x:c r="A210" s="46" t="str">
        <x:v>LME_042</x:v>
      </x:c>
      <x:c r="B210" s="46" t="str">
        <x:v>Southeast Australian Shelf</x:v>
      </x:c>
      <x:c r="C210" s="46" t="str">
        <x:v>LME</x:v>
      </x:c>
      <x:c r="D210" s="58" t="n">
        <x:v>2019</x:v>
      </x:c>
      <x:c r="E210" s="46" t="str">
        <x:v>Carcharhinus brevipinna</x:v>
      </x:c>
      <x:c r="F210" s="46" t="str">
        <x:v>Spinner shark</x:v>
      </x:c>
      <x:c r="G210" s="46" t="str">
        <x:v>Large sharks (&gt;=90 cm)</x:v>
      </x:c>
      <x:c r="H210" s="46" t="str">
        <x:v>Sharks &amp; rays</x:v>
      </x:c>
      <x:c r="I210" s="60" t="n">
        <x:v>0.03053209</x:v>
      </x:c>
      <x:c r="J210" s="60" t="n">
        <x:v>0.03053209</x:v>
      </x:c>
      <x:c r="K210" s="60" t="n">
        <x:v>0</x:v>
      </x:c>
      <x:c r="L210" s="60" t="n">
        <x:v>0.03053209</x:v>
      </x:c>
      <x:c r="M210" s="60" t="n">
        <x:v>0</x:v>
      </x:c>
      <x:c r="N210" s="46" t="str">
        <x:v>carcharhinus brevipinna</x:v>
      </x:c>
      <x:c r="O210" s="62" t="n">
        <x:v>4.2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Carcharhinus brevipinna</x:v>
      </x:c>
      <x:c r="T210" s="62" t="n">
        <x:f>IF(O210="","",(1/'Metadata'!$B$5)^(O210-1))</x:f>
        <x:v>1584.893192461114</x:v>
      </x:c>
      <x:c r="U210" s="60" t="n">
        <x:f>IF(T210="","",I210*T210)</x:f>
        <x:v>48.39010159261006</x:v>
      </x:c>
    </x:row>
    <x:row r="211" ht="18" customHeight="1">
      <x:c r="A211" s="46" t="str">
        <x:v>LME_042</x:v>
      </x:c>
      <x:c r="B211" s="46" t="str">
        <x:v>Southeast Australian Shelf</x:v>
      </x:c>
      <x:c r="C211" s="46" t="str">
        <x:v>LME</x:v>
      </x:c>
      <x:c r="D211" s="58" t="n">
        <x:v>2019</x:v>
      </x:c>
      <x:c r="E211" s="46" t="str">
        <x:v>Haemulidae</x:v>
      </x:c>
      <x:c r="F211" s="46" t="str">
        <x:v>Grunts, sweetlips, bonnetmouths</x:v>
      </x:c>
      <x:c r="G211" s="46" t="str">
        <x:v>Medium demersals (30 - 89 cm)</x:v>
      </x:c>
      <x:c r="H211" s="46" t="str">
        <x:v>Perch-likes</x:v>
      </x:c>
      <x:c r="I211" s="60" t="n">
        <x:v>0.0278129566</x:v>
      </x:c>
      <x:c r="J211" s="60" t="n">
        <x:v>0.0264762593</x:v>
      </x:c>
      <x:c r="K211" s="60" t="n">
        <x:v>0.0013366973</x:v>
      </x:c>
      <x:c r="L211" s="60" t="n">
        <x:v>0.0159662852</x:v>
      </x:c>
      <x:c r="M211" s="60" t="n">
        <x:v>0.0118466714</x:v>
      </x:c>
      <x:c r="N211" s="46" t="str">
        <x:v>haemulidae</x:v>
      </x:c>
      <x:c r="O211" s="62" t="n">
        <x:v>3.36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Haemulidae</x:v>
      </x:c>
      <x:c r="T211" s="62" t="n">
        <x:f>IF(O211="","",(1/'Metadata'!$B$5)^(O211-1))</x:f>
        <x:v>229.08676527677724</x:v>
      </x:c>
      <x:c r="U211" s="60" t="n">
        <x:f>IF(T211="","",I211*T211)</x:f>
        <x:v>6.371580260277392</x:v>
      </x:c>
    </x:row>
    <x:row r="212" ht="18" customHeight="1">
      <x:c r="A212" s="46" t="str">
        <x:v>LME_042</x:v>
      </x:c>
      <x:c r="B212" s="46" t="str">
        <x:v>Southeast Australian Shelf</x:v>
      </x:c>
      <x:c r="C212" s="46" t="str">
        <x:v>LME</x:v>
      </x:c>
      <x:c r="D212" s="58" t="n">
        <x:v>2019</x:v>
      </x:c>
      <x:c r="E212" s="46" t="str">
        <x:v>Alopias superciliosus</x:v>
      </x:c>
      <x:c r="F212" s="46" t="str">
        <x:v>Bigeye thresher</x:v>
      </x:c>
      <x:c r="G212" s="46" t="str">
        <x:v>Large sharks (&gt;=90 cm)</x:v>
      </x:c>
      <x:c r="H212" s="46" t="str">
        <x:v>Sharks &amp; rays</x:v>
      </x:c>
      <x:c r="I212" s="60" t="n">
        <x:v>0.027774865000000003</x:v>
      </x:c>
      <x:c r="J212" s="60" t="n">
        <x:v>0.027774865000000003</x:v>
      </x:c>
      <x:c r="K212" s="60" t="n">
        <x:v>0</x:v>
      </x:c>
      <x:c r="L212" s="60" t="n">
        <x:v>0.027774865000000003</x:v>
      </x:c>
      <x:c r="M212" s="60" t="n">
        <x:v>0</x:v>
      </x:c>
      <x:c r="N212" s="46" t="str">
        <x:v>alopias superciliosus</x:v>
      </x:c>
      <x:c r="O212" s="62" t="n">
        <x:v>4.51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Alopias superciliosus</x:v>
      </x:c>
      <x:c r="T212" s="62" t="n">
        <x:f>IF(O212="","",(1/'Metadata'!$B$5)^(O212-1))</x:f>
        <x:v>3235.936569296281</x:v>
      </x:c>
      <x:c r="U212" s="60" t="n">
        <x:f>IF(T212="","",I212*T212)</x:f>
        <x:v>89.87770136076736</x:v>
      </x:c>
    </x:row>
    <x:row r="213" ht="18" customHeight="1">
      <x:c r="A213" s="46" t="str">
        <x:v>LME_042</x:v>
      </x:c>
      <x:c r="B213" s="46" t="str">
        <x:v>Southeast Australian Shelf</x:v>
      </x:c>
      <x:c r="C213" s="46" t="str">
        <x:v>LME</x:v>
      </x:c>
      <x:c r="D213" s="58" t="n">
        <x:v>2019</x:v>
      </x:c>
      <x:c r="E213" s="46" t="str">
        <x:v>Hexanchus griseus</x:v>
      </x:c>
      <x:c r="F213" s="46" t="str">
        <x:v>Bluntnose sixgill shark</x:v>
      </x:c>
      <x:c r="G213" s="46" t="str">
        <x:v>Large sharks (&gt;=90 cm)</x:v>
      </x:c>
      <x:c r="H213" s="46" t="str">
        <x:v>Sharks &amp; rays</x:v>
      </x:c>
      <x:c r="I213" s="60" t="n">
        <x:v>0.0198959286</x:v>
      </x:c>
      <x:c r="J213" s="60" t="n">
        <x:v>0.0198959286</x:v>
      </x:c>
      <x:c r="K213" s="60" t="n">
        <x:v>0</x:v>
      </x:c>
      <x:c r="L213" s="60" t="n">
        <x:v>0.0198959286</x:v>
      </x:c>
      <x:c r="M213" s="60" t="n">
        <x:v>0</x:v>
      </x:c>
      <x:c r="N213" s="46" t="str">
        <x:v>hexanchus griseus</x:v>
      </x:c>
      <x:c r="O213" s="62" t="n">
        <x:v>4.48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Hexanchus griseus</x:v>
      </x:c>
      <x:c r="T213" s="62" t="n">
        <x:f>IF(O213="","",(1/'Metadata'!$B$5)^(O213-1))</x:f>
        <x:v>3019.951720402019</x:v>
      </x:c>
      <x:c r="U213" s="60" t="n">
        <x:f>IF(T213="","",I213*T213)</x:f>
        <x:v>60.08474380456574</x:v>
      </x:c>
    </x:row>
    <x:row r="214" ht="18" customHeight="1">
      <x:c r="A214" s="46" t="str">
        <x:v>LME_042</x:v>
      </x:c>
      <x:c r="B214" s="46" t="str">
        <x:v>Southeast Australian Shelf</x:v>
      </x:c>
      <x:c r="C214" s="46" t="str">
        <x:v>LME</x:v>
      </x:c>
      <x:c r="D214" s="58" t="n">
        <x:v>2019</x:v>
      </x:c>
      <x:c r="E214" s="46" t="str">
        <x:v>Glaucosoma hebraicum</x:v>
      </x:c>
      <x:c r="F214" s="46" t="str">
        <x:v>West Australian dhufish</x:v>
      </x:c>
      <x:c r="G214" s="46" t="str">
        <x:v>Large reef assoc. fish (&gt;=90 cm)</x:v>
      </x:c>
      <x:c r="H214" s="46" t="str">
        <x:v>Perch-likes</x:v>
      </x:c>
      <x:c r="I214" s="60" t="n">
        <x:v>0.0153207925</x:v>
      </x:c>
      <x:c r="J214" s="60" t="n">
        <x:v>0.0153207925</x:v>
      </x:c>
      <x:c r="K214" s="60" t="n">
        <x:v>0</x:v>
      </x:c>
      <x:c r="L214" s="60" t="n">
        <x:v>0</x:v>
      </x:c>
      <x:c r="M214" s="60" t="n">
        <x:v>0.0153207925</x:v>
      </x:c>
      <x:c r="N214" s="46" t="str">
        <x:v>glaucosoma hebraicum</x:v>
      </x:c>
      <x:c r="O214" s="62" t="n">
        <x:v>4.3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Glaucosoma hebraicum</x:v>
      </x:c>
      <x:c r="T214" s="62" t="n">
        <x:f>IF(O214="","",(1/'Metadata'!$B$5)^(O214-1))</x:f>
        <x:v>1995.2623149688789</x:v>
      </x:c>
      <x:c r="U214" s="60" t="n">
        <x:f>IF(T214="","",I214*T214)</x:f>
        <x:v>30.568999910707834</x:v>
      </x:c>
    </x:row>
    <x:row r="215" ht="18" customHeight="1">
      <x:c r="A215" s="46" t="str">
        <x:v>LME_042</x:v>
      </x:c>
      <x:c r="B215" s="46" t="str">
        <x:v>Southeast Australian Shelf</x:v>
      </x:c>
      <x:c r="C215" s="46" t="str">
        <x:v>LME</x:v>
      </x:c>
      <x:c r="D215" s="58" t="n">
        <x:v>2019</x:v>
      </x:c>
      <x:c r="E215" s="46" t="str">
        <x:v>Pterygotrigla</x:v>
      </x:c>
      <x:c r="F215" s="46" t="str">
        <x:v>Latchets</x:v>
      </x:c>
      <x:c r="G215" s="46" t="str">
        <x:v>Medium bathydemersals (30 - 89 cm)</x:v>
      </x:c>
      <x:c r="H215" s="46" t="str">
        <x:v>Scorpionfishes</x:v>
      </x:c>
      <x:c r="I215" s="60" t="n">
        <x:v>0.0095002803</x:v>
      </x:c>
      <x:c r="J215" s="60" t="n">
        <x:v>0.0095002803</x:v>
      </x:c>
      <x:c r="K215" s="60" t="n">
        <x:v>0</x:v>
      </x:c>
      <x:c r="L215" s="60" t="n">
        <x:v>0.0095002803</x:v>
      </x:c>
      <x:c r="M215" s="60" t="n">
        <x:v>0</x:v>
      </x:c>
      <x:c r="N215" s="46" t="str">
        <x:v>pterygotrigla</x:v>
      </x:c>
      <x:c r="O215" s="62" t="n">
        <x:v>3.56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Pterygotrigla</x:v>
      </x:c>
      <x:c r="T215" s="62" t="n">
        <x:f>IF(O215="","",(1/'Metadata'!$B$5)^(O215-1))</x:f>
        <x:v>363.0780547701014</x:v>
      </x:c>
      <x:c r="U215" s="60" t="n">
        <x:f>IF(T215="","",I215*T215)</x:f>
        <x:v>3.4493432910947157</x:v>
      </x:c>
    </x:row>
    <x:row r="216" ht="18" customHeight="1">
      <x:c r="A216" s="46" t="str">
        <x:v>LME_042</x:v>
      </x:c>
      <x:c r="B216" s="46" t="str">
        <x:v>Southeast Australian Shelf</x:v>
      </x:c>
      <x:c r="C216" s="46" t="str">
        <x:v>LME</x:v>
      </x:c>
      <x:c r="D216" s="58" t="n">
        <x:v>2019</x:v>
      </x:c>
      <x:c r="E216" s="46" t="str">
        <x:v>Brama australis</x:v>
      </x:c>
      <x:c r="F216" s="46" t="str">
        <x:v>Southern rays bream</x:v>
      </x:c>
      <x:c r="G216" s="46" t="str">
        <x:v>Medium pelagics (30 - 89 cm)</x:v>
      </x:c>
      <x:c r="H216" s="46" t="str">
        <x:v>Perch-likes</x:v>
      </x:c>
      <x:c r="I216" s="60" t="n">
        <x:v>0.0061063149</x:v>
      </x:c>
      <x:c r="J216" s="60" t="n">
        <x:v>0.0061063149</x:v>
      </x:c>
      <x:c r="K216" s="60" t="n">
        <x:v>0</x:v>
      </x:c>
      <x:c r="L216" s="60" t="n">
        <x:v>0</x:v>
      </x:c>
      <x:c r="M216" s="60" t="n">
        <x:v>0.0061063149</x:v>
      </x:c>
      <x:c r="N216" s="46" t="str">
        <x:v>brama australis</x:v>
      </x:c>
      <x:c r="O216" s="62" t="n">
        <x:v>4.2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Brama australis</x:v>
      </x:c>
      <x:c r="T216" s="62" t="n">
        <x:f>IF(O216="","",(1/'Metadata'!$B$5)^(O216-1))</x:f>
        <x:v>1584.893192461114</x:v>
      </x:c>
      <x:c r="U216" s="60" t="n">
        <x:f>IF(T216="","",I216*T216)</x:f>
        <x:v>9.677856916033868</x:v>
      </x:c>
    </x:row>
    <x:row r="217" ht="18" customHeight="1">
      <x:c r="A217" s="46" t="str">
        <x:v>LME_042</x:v>
      </x:c>
      <x:c r="B217" s="46" t="str">
        <x:v>Southeast Australian Shelf</x:v>
      </x:c>
      <x:c r="C217" s="46" t="str">
        <x:v>LME</x:v>
      </x:c>
      <x:c r="D217" s="58" t="n">
        <x:v>2019</x:v>
      </x:c>
      <x:c r="E217" s="46" t="str">
        <x:v>Echinodermata</x:v>
      </x:c>
      <x:c r="F217" s="46" t="str">
        <x:v>Sea urchins, stars, cucumbers</x:v>
      </x:c>
      <x:c r="G217" s="46" t="str">
        <x:v>Other demersal invertebrates</x:v>
      </x:c>
      <x:c r="H217" s="46" t="str">
        <x:v>Other fishes &amp; inverts</x:v>
      </x:c>
      <x:c r="I217" s="60" t="n">
        <x:v>0.0053956004</x:v>
      </x:c>
      <x:c r="J217" s="60" t="n">
        <x:v>0.0053956004</x:v>
      </x:c>
      <x:c r="K217" s="60" t="n">
        <x:v>0</x:v>
      </x:c>
      <x:c r="L217" s="60" t="n">
        <x:v>0</x:v>
      </x:c>
      <x:c r="M217" s="60" t="n">
        <x:v>0.0053956004</x:v>
      </x:c>
      <x:c r="N217" s="46" t="str">
        <x:v>echinodermata</x:v>
      </x:c>
      <x:c r="O217" s="62" t="n">
        <x:v>2.3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Echinodermata</x:v>
      </x:c>
      <x:c r="T217" s="62" t="n">
        <x:f>IF(O217="","",(1/'Metadata'!$B$5)^(O217-1))</x:f>
        <x:v>19.952623149688787</x:v>
      </x:c>
      <x:c r="U217" s="60" t="n">
        <x:f>IF(T217="","",I217*T217)</x:f>
        <x:v>0.10765638144751007</x:v>
      </x:c>
    </x:row>
    <x:row r="218" ht="18" customHeight="1">
      <x:c r="A218" s="46" t="str">
        <x:v>LME_042</x:v>
      </x:c>
      <x:c r="B218" s="46" t="str">
        <x:v>Southeast Australian Shelf</x:v>
      </x:c>
      <x:c r="C218" s="46" t="str">
        <x:v>LME</x:v>
      </x:c>
      <x:c r="D218" s="58" t="n">
        <x:v>2019</x:v>
      </x:c>
      <x:c r="E218" s="46" t="str">
        <x:v>Trachichthyidae</x:v>
      </x:c>
      <x:c r="F218" s="46" t="str">
        <x:v>Slimeheads</x:v>
      </x:c>
      <x:c r="G218" s="46" t="str">
        <x:v>Medium bathypelagics (30 - 89 cm)</x:v>
      </x:c>
      <x:c r="H218" s="46" t="str">
        <x:v>Other fishes &amp; inverts</x:v>
      </x:c>
      <x:c r="I218" s="60" t="n">
        <x:v>0.0053024227</x:v>
      </x:c>
      <x:c r="J218" s="60" t="n">
        <x:v>0.0053024227</x:v>
      </x:c>
      <x:c r="K218" s="60" t="n">
        <x:v>0</x:v>
      </x:c>
      <x:c r="L218" s="60" t="n">
        <x:v>0.0053024227</x:v>
      </x:c>
      <x:c r="M218" s="60" t="n">
        <x:v>0</x:v>
      </x:c>
      <x:c r="N218" s="46" t="str">
        <x:v>trachichthyidae</x:v>
      </x:c>
      <x:c r="O218" s="62" t="n">
        <x:v>3.72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Trachichthyidae</x:v>
      </x:c>
      <x:c r="T218" s="62" t="n">
        <x:f>IF(O218="","",(1/'Metadata'!$B$5)^(O218-1))</x:f>
        <x:v>524.8074602497728</x:v>
      </x:c>
      <x:c r="U218" s="60" t="n">
        <x:f>IF(T218="","",I218*T218)</x:f>
        <x:v>2.782750990357743</x:v>
      </x:c>
    </x:row>
    <x:row r="219" ht="18" customHeight="1">
      <x:c r="A219" s="46" t="str">
        <x:v>LME_042</x:v>
      </x:c>
      <x:c r="B219" s="46" t="str">
        <x:v>Southeast Australian Shelf</x:v>
      </x:c>
      <x:c r="C219" s="46" t="str">
        <x:v>LME</x:v>
      </x:c>
      <x:c r="D219" s="58" t="n">
        <x:v>2019</x:v>
      </x:c>
      <x:c r="E219" s="46" t="str">
        <x:v>Squalus acanthias</x:v>
      </x:c>
      <x:c r="F219" s="46" t="str">
        <x:v>Picked dogfish</x:v>
      </x:c>
      <x:c r="G219" s="46" t="str">
        <x:v>Large sharks (&gt;=90 cm)</x:v>
      </x:c>
      <x:c r="H219" s="46" t="str">
        <x:v>Sharks &amp; rays</x:v>
      </x:c>
      <x:c r="I219" s="60" t="n">
        <x:v>0.0030067690000000003</x:v>
      </x:c>
      <x:c r="J219" s="60" t="n">
        <x:v>0.0030067690000000003</x:v>
      </x:c>
      <x:c r="K219" s="60" t="n">
        <x:v>0</x:v>
      </x:c>
      <x:c r="L219" s="60" t="n">
        <x:v>0.0030067690000000003</x:v>
      </x:c>
      <x:c r="M219" s="60" t="n">
        <x:v>0</x:v>
      </x:c>
      <x:c r="N219" s="46" t="str">
        <x:v>squalus acanthias</x:v>
      </x:c>
      <x:c r="O219" s="62" t="n">
        <x:v>4.37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Squalus acanthias</x:v>
      </x:c>
      <x:c r="T219" s="62" t="n">
        <x:f>IF(O219="","",(1/'Metadata'!$B$5)^(O219-1))</x:f>
        <x:v>2344.228815319923</x:v>
      </x:c>
      <x:c r="U219" s="60" t="n">
        <x:f>IF(T219="","",I219*T219)</x:f>
        <x:v>7.04855453081067</x:v>
      </x:c>
    </x:row>
    <x:row r="220" ht="18" customHeight="1">
      <x:c r="A220" s="46" t="str">
        <x:v>LME_042</x:v>
      </x:c>
      <x:c r="B220" s="46" t="str">
        <x:v>Southeast Australian Shelf</x:v>
      </x:c>
      <x:c r="C220" s="46" t="str">
        <x:v>LME</x:v>
      </x:c>
      <x:c r="D220" s="58" t="n">
        <x:v>2019</x:v>
      </x:c>
      <x:c r="E220" s="46" t="str">
        <x:v>Naucrates ductor</x:v>
      </x:c>
      <x:c r="F220" s="46" t="str">
        <x:v>Pilotfish</x:v>
      </x:c>
      <x:c r="G220" s="46" t="str">
        <x:v>Medium pelagics (30 - 89 cm)</x:v>
      </x:c>
      <x:c r="H220" s="46" t="str">
        <x:v>Perch-likes</x:v>
      </x:c>
      <x:c r="I220" s="60" t="n">
        <x:v>0.0028588995</x:v>
      </x:c>
      <x:c r="J220" s="60" t="n">
        <x:v>0.0028588995</x:v>
      </x:c>
      <x:c r="K220" s="60" t="n">
        <x:v>0</x:v>
      </x:c>
      <x:c r="L220" s="60" t="n">
        <x:v>0</x:v>
      </x:c>
      <x:c r="M220" s="60" t="n">
        <x:v>0.0028588995</x:v>
      </x:c>
      <x:c r="N220" s="46" t="str">
        <x:v>naucrates ductor</x:v>
      </x:c>
      <x:c r="O220" s="62" t="n">
        <x:v>3.98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Naucrates ductor</x:v>
      </x:c>
      <x:c r="T220" s="62" t="n">
        <x:f>IF(O220="","",(1/'Metadata'!$B$5)^(O220-1))</x:f>
        <x:v>954.992586021436</x:v>
      </x:c>
      <x:c r="U220" s="60" t="n">
        <x:f>IF(T220="","",I220*T220)</x:f>
        <x:v>2.73022782668039</x:v>
      </x:c>
    </x:row>
    <x:row r="221" ht="18" customHeight="1">
      <x:c r="A221" s="46" t="str">
        <x:v>LME_042</x:v>
      </x:c>
      <x:c r="B221" s="46" t="str">
        <x:v>Southeast Australian Shelf</x:v>
      </x:c>
      <x:c r="C221" s="46" t="str">
        <x:v>LME</x:v>
      </x:c>
      <x:c r="D221" s="58" t="n">
        <x:v>2019</x:v>
      </x:c>
      <x:c r="E221" s="46" t="str">
        <x:v>Mola</x:v>
      </x:c>
      <x:c r="F221" s="46" t="str">
        <x:v>Sunfishes</x:v>
      </x:c>
      <x:c r="G221" s="46" t="str">
        <x:v>Large pelagics (&gt;=90 cm)</x:v>
      </x:c>
      <x:c r="H221" s="46" t="str">
        <x:v>Other fishes &amp; inverts</x:v>
      </x:c>
      <x:c r="I221" s="60" t="n">
        <x:v>0.0024848184</x:v>
      </x:c>
      <x:c r="J221" s="60" t="n">
        <x:v>0.0024848184</x:v>
      </x:c>
      <x:c r="K221" s="60" t="n">
        <x:v>0</x:v>
      </x:c>
      <x:c r="L221" s="60" t="n">
        <x:v>0.0024848184</x:v>
      </x:c>
      <x:c r="M221" s="60" t="n">
        <x:v>0</x:v>
      </x:c>
      <x:c r="N221" s="46" t="str">
        <x:v>mola</x:v>
      </x:c>
      <x:c r="O221" s="62" t="n">
        <x:v>3.68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Mola</x:v>
      </x:c>
      <x:c r="T221" s="62" t="n">
        <x:f>IF(O221="","",(1/'Metadata'!$B$5)^(O221-1))</x:f>
        <x:v>478.6300923226385</x:v>
      </x:c>
      <x:c r="U221" s="60" t="n">
        <x:f>IF(T221="","",I221*T221)</x:f>
        <x:v>1.1893088601969908</x:v>
      </x:c>
    </x:row>
    <x:row r="222" ht="18" customHeight="1">
      <x:c r="A222" s="46" t="str">
        <x:v>LME_042</x:v>
      </x:c>
      <x:c r="B222" s="46" t="str">
        <x:v>Southeast Australian Shelf</x:v>
      </x:c>
      <x:c r="C222" s="46" t="str">
        <x:v>LME</x:v>
      </x:c>
      <x:c r="D222" s="58" t="n">
        <x:v>2019</x:v>
      </x:c>
      <x:c r="E222" s="46" t="str">
        <x:v>Platycaranx chrysophrys</x:v>
      </x:c>
      <x:c r="F222" s="46" t="str">
        <x:v>Longnose trevally</x:v>
      </x:c>
      <x:c r="G222" s="46" t="str">
        <x:v>Small pelagics (&lt;30 cm)</x:v>
      </x:c>
      <x:c r="H222" s="46" t="str">
        <x:v>Perch-likes</x:v>
      </x:c>
      <x:c r="I222" s="60" t="n">
        <x:v>0.0024215389</x:v>
      </x:c>
      <x:c r="J222" s="60" t="n">
        <x:v>0.0024215389</x:v>
      </x:c>
      <x:c r="K222" s="60" t="n">
        <x:v>0</x:v>
      </x:c>
      <x:c r="L222" s="60" t="n">
        <x:v>0</x:v>
      </x:c>
      <x:c r="M222" s="60" t="n">
        <x:v>0.0024215389</x:v>
      </x:c>
      <x:c r="N222" s="46" t="str">
        <x:v>platycaranx chrysophrys</x:v>
      </x:c>
      <x:c r="O222" s="62" t="n">
        <x:v>4.3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Platycaranx chrysophrys</x:v>
      </x:c>
      <x:c r="T222" s="62" t="n">
        <x:f>IF(O222="","",(1/'Metadata'!$B$5)^(O222-1))</x:f>
        <x:v>1995.2623149688789</x:v>
      </x:c>
      <x:c r="U222" s="60" t="n">
        <x:f>IF(T222="","",I222*T222)</x:f>
        <x:v>4.8316053114011925</x:v>
      </x:c>
    </x:row>
    <x:row r="223" ht="18" customHeight="1">
      <x:c r="A223" s="46" t="str">
        <x:v>LME_042</x:v>
      </x:c>
      <x:c r="B223" s="46" t="str">
        <x:v>Southeast Australian Shelf</x:v>
      </x:c>
      <x:c r="C223" s="46" t="str">
        <x:v>LME</x:v>
      </x:c>
      <x:c r="D223" s="58" t="n">
        <x:v>2019</x:v>
      </x:c>
      <x:c r="E223" s="46" t="str">
        <x:v>Plectorhinchus</x:v>
      </x:c>
      <x:c r="F223" s="46" t="str">
        <x:v>Sweetlips</x:v>
      </x:c>
      <x:c r="G223" s="46" t="str">
        <x:v>Medium reef assoc. fish (30 - 89 cm)</x:v>
      </x:c>
      <x:c r="H223" s="46" t="str">
        <x:v>Perch-likes</x:v>
      </x:c>
      <x:c r="I223" s="60" t="n">
        <x:v>0.0020645636</x:v>
      </x:c>
      <x:c r="J223" s="60" t="n">
        <x:v>0.0020645636</x:v>
      </x:c>
      <x:c r="K223" s="60" t="n">
        <x:v>0</x:v>
      </x:c>
      <x:c r="L223" s="60" t="n">
        <x:v>0.0017986256</x:v>
      </x:c>
      <x:c r="M223" s="60" t="n">
        <x:v>0.000265938</x:v>
      </x:c>
      <x:c r="N223" s="46" t="str">
        <x:v>plectorhinchus</x:v>
      </x:c>
      <x:c r="O223" s="62" t="n">
        <x:v>3.43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Plectorhinchus</x:v>
      </x:c>
      <x:c r="T223" s="62" t="n">
        <x:f>IF(O223="","",(1/'Metadata'!$B$5)^(O223-1))</x:f>
        <x:v>269.1534803926917</x:v>
      </x:c>
      <x:c r="U223" s="60" t="n">
        <x:f>IF(T223="","",I223*T223)</x:f>
        <x:v>0.5556844784320649</x:v>
      </x:c>
    </x:row>
    <x:row r="224" ht="18" customHeight="1">
      <x:c r="A224" s="46" t="str">
        <x:v>LME_042</x:v>
      </x:c>
      <x:c r="B224" s="46" t="str">
        <x:v>Southeast Australian Shelf</x:v>
      </x:c>
      <x:c r="C224" s="46" t="str">
        <x:v>LME</x:v>
      </x:c>
      <x:c r="D224" s="58" t="n">
        <x:v>2019</x:v>
      </x:c>
      <x:c r="E224" s="46" t="str">
        <x:v>Cookeolus japonicus</x:v>
      </x:c>
      <x:c r="F224" s="46" t="str">
        <x:v>Longfinned bullseye</x:v>
      </x:c>
      <x:c r="G224" s="46" t="str">
        <x:v>Medium benthopelagics (30 - 89 cm)</x:v>
      </x:c>
      <x:c r="H224" s="46" t="str">
        <x:v>Perch-likes</x:v>
      </x:c>
      <x:c r="I224" s="60" t="n">
        <x:v>0.0019603461</x:v>
      </x:c>
      <x:c r="J224" s="60" t="n">
        <x:v>0.0019603461</x:v>
      </x:c>
      <x:c r="K224" s="60" t="n">
        <x:v>0</x:v>
      </x:c>
      <x:c r="L224" s="60" t="n">
        <x:v>0</x:v>
      </x:c>
      <x:c r="M224" s="60" t="n">
        <x:v>0.0019603461</x:v>
      </x:c>
      <x:c r="N224" s="46" t="str">
        <x:v>cookeolus japonicus</x:v>
      </x:c>
      <x:c r="O224" s="62" t="n">
        <x:v>3.5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Cookeolus japonicus</x:v>
      </x:c>
      <x:c r="T224" s="62" t="n">
        <x:f>IF(O224="","",(1/'Metadata'!$B$5)^(O224-1))</x:f>
        <x:v>316.22776601683796</x:v>
      </x:c>
      <x:c r="U224" s="60" t="n">
        <x:f>IF(T224="","",I224*T224)</x:f>
        <x:v>0.6199158678228208</x:v>
      </x:c>
    </x:row>
    <x:row r="225" ht="18" customHeight="1">
      <x:c r="A225" s="46" t="str">
        <x:v>LME_042</x:v>
      </x:c>
      <x:c r="B225" s="46" t="str">
        <x:v>Southeast Australian Shelf</x:v>
      </x:c>
      <x:c r="C225" s="46" t="str">
        <x:v>LME</x:v>
      </x:c>
      <x:c r="D225" s="58" t="n">
        <x:v>2019</x:v>
      </x:c>
      <x:c r="E225" s="46" t="str">
        <x:v>Decapterus macarellus</x:v>
      </x:c>
      <x:c r="F225" s="46" t="str">
        <x:v>Mackerel scad</x:v>
      </x:c>
      <x:c r="G225" s="46" t="str">
        <x:v>Medium pelagics (30 - 89 cm)</x:v>
      </x:c>
      <x:c r="H225" s="46" t="str">
        <x:v>Perch-likes</x:v>
      </x:c>
      <x:c r="I225" s="60" t="n">
        <x:v>0.0018426158</x:v>
      </x:c>
      <x:c r="J225" s="60" t="n">
        <x:v>0.0018426158</x:v>
      </x:c>
      <x:c r="K225" s="60" t="n">
        <x:v>0</x:v>
      </x:c>
      <x:c r="L225" s="60" t="n">
        <x:v>0</x:v>
      </x:c>
      <x:c r="M225" s="60" t="n">
        <x:v>0.0018426158</x:v>
      </x:c>
      <x:c r="N225" s="46" t="str">
        <x:v>decapterus macarellus</x:v>
      </x:c>
      <x:c r="O225" s="62" t="n">
        <x:v>3.96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Decapterus macarellus</x:v>
      </x:c>
      <x:c r="T225" s="62" t="n">
        <x:f>IF(O225="","",(1/'Metadata'!$B$5)^(O225-1))</x:f>
        <x:v>912.0108393559096</x:v>
      </x:c>
      <x:c r="U225" s="60" t="n">
        <x:f>IF(T225="","",I225*T225)</x:f>
        <x:v>1.6804855823684608</x:v>
      </x:c>
    </x:row>
    <x:row r="226" ht="18" customHeight="1">
      <x:c r="A226" s="46" t="str">
        <x:v>LME_042</x:v>
      </x:c>
      <x:c r="B226" s="46" t="str">
        <x:v>Southeast Australian Shelf</x:v>
      </x:c>
      <x:c r="C226" s="46" t="str">
        <x:v>LME</x:v>
      </x:c>
      <x:c r="D226" s="58" t="n">
        <x:v>2019</x:v>
      </x:c>
      <x:c r="E226" s="46" t="str">
        <x:v>Auxis rochei</x:v>
      </x:c>
      <x:c r="F226" s="46" t="str">
        <x:v>Bullet tuna</x:v>
      </x:c>
      <x:c r="G226" s="46" t="str">
        <x:v>Medium pelagics (30 - 89 cm)</x:v>
      </x:c>
      <x:c r="H226" s="46" t="str">
        <x:v>Tuna &amp; billfishes</x:v>
      </x:c>
      <x:c r="I226" s="60" t="n">
        <x:v>0.0018327788</x:v>
      </x:c>
      <x:c r="J226" s="60" t="n">
        <x:v>0.0018327788</x:v>
      </x:c>
      <x:c r="K226" s="60" t="n">
        <x:v>0</x:v>
      </x:c>
      <x:c r="L226" s="60" t="n">
        <x:v>0</x:v>
      </x:c>
      <x:c r="M226" s="60" t="n">
        <x:v>0.0018327788</x:v>
      </x:c>
      <x:c r="N226" s="46" t="str">
        <x:v>auxis rochei</x:v>
      </x:c>
      <x:c r="O226" s="62" t="n">
        <x:v>4.13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Auxis rochei</x:v>
      </x:c>
      <x:c r="T226" s="62" t="n">
        <x:f>IF(O226="","",(1/'Metadata'!$B$5)^(O226-1))</x:f>
        <x:v>1348.9628825916532</x:v>
      </x:c>
      <x:c r="U226" s="60" t="n">
        <x:f>IF(T226="","",I226*T226)</x:f>
        <x:v>2.472350573200871</x:v>
      </x:c>
    </x:row>
    <x:row r="227" ht="18" customHeight="1">
      <x:c r="A227" s="46" t="str">
        <x:v>LME_042</x:v>
      </x:c>
      <x:c r="B227" s="46" t="str">
        <x:v>Southeast Australian Shelf</x:v>
      </x:c>
      <x:c r="C227" s="46" t="str">
        <x:v>LME</x:v>
      </x:c>
      <x:c r="D227" s="58" t="n">
        <x:v>2019</x:v>
      </x:c>
      <x:c r="E227" s="46" t="str">
        <x:v>Diastobranchus capensis</x:v>
      </x:c>
      <x:c r="F227" s="46" t="str">
        <x:v>Basketwork eel</x:v>
      </x:c>
      <x:c r="G227" s="46" t="str">
        <x:v>Large bathydemersals (&gt;=90 cm)</x:v>
      </x:c>
      <x:c r="H227" s="46" t="str">
        <x:v>Other fishes &amp; inverts</x:v>
      </x:c>
      <x:c r="I227" s="60" t="n">
        <x:v>0.001645852</x:v>
      </x:c>
      <x:c r="J227" s="60" t="n">
        <x:v>0.001645852</x:v>
      </x:c>
      <x:c r="K227" s="60" t="n">
        <x:v>0</x:v>
      </x:c>
      <x:c r="L227" s="60" t="n">
        <x:v>0.001645852</x:v>
      </x:c>
      <x:c r="M227" s="60" t="n">
        <x:v>0</x:v>
      </x:c>
      <x:c r="N227" s="46" t="str">
        <x:v>diastobranchus capensis</x:v>
      </x:c>
      <x:c r="O227" s="62" t="n">
        <x:v>3.99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Diastobranchus capensis</x:v>
      </x:c>
      <x:c r="T227" s="62" t="n">
        <x:f>IF(O227="","",(1/'Metadata'!$B$5)^(O227-1))</x:f>
        <x:v>977.2372209558112</x:v>
      </x:c>
      <x:c r="U227" s="60" t="n">
        <x:f>IF(T227="","",I227*T227)</x:f>
        <x:v>1.6083878345845637</x:v>
      </x:c>
    </x:row>
    <x:row r="228" ht="18" customHeight="1">
      <x:c r="A228" s="46" t="str">
        <x:v>LME_042</x:v>
      </x:c>
      <x:c r="B228" s="46" t="str">
        <x:v>Southeast Australian Shelf</x:v>
      </x:c>
      <x:c r="C228" s="46" t="str">
        <x:v>LME</x:v>
      </x:c>
      <x:c r="D228" s="58" t="n">
        <x:v>2019</x:v>
      </x:c>
      <x:c r="E228" s="46" t="str">
        <x:v>Aldrichetta forsteri</x:v>
      </x:c>
      <x:c r="F228" s="46" t="str">
        <x:v>Yellow-eye mullet</x:v>
      </x:c>
      <x:c r="G228" s="46" t="str">
        <x:v>Small pelagics (&lt;30 cm)</x:v>
      </x:c>
      <x:c r="H228" s="46" t="str">
        <x:v>Other fishes &amp; inverts</x:v>
      </x:c>
      <x:c r="I228" s="60" t="n">
        <x:v>0.0015040746</x:v>
      </x:c>
      <x:c r="J228" s="60" t="n">
        <x:v>0.0015040746</x:v>
      </x:c>
      <x:c r="K228" s="60" t="n">
        <x:v>0</x:v>
      </x:c>
      <x:c r="L228" s="60" t="n">
        <x:v>0</x:v>
      </x:c>
      <x:c r="M228" s="60" t="n">
        <x:v>0.0015040746</x:v>
      </x:c>
      <x:c r="N228" s="46" t="str">
        <x:v>aldrichetta forsteri</x:v>
      </x:c>
      <x:c r="O228" s="62" t="n">
        <x:v>2.51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Aldrichetta forsteri</x:v>
      </x:c>
      <x:c r="T228" s="62" t="n">
        <x:f>IF(O228="","",(1/'Metadata'!$B$5)^(O228-1))</x:f>
        <x:v>32.35936569296281</x:v>
      </x:c>
      <x:c r="U228" s="60" t="n">
        <x:f>IF(T228="","",I228*T228)</x:f>
        <x:v>0.04867090001089676</x:v>
      </x:c>
    </x:row>
    <x:row r="229" ht="18" customHeight="1">
      <x:c r="A229" s="46" t="str">
        <x:v>LME_042</x:v>
      </x:c>
      <x:c r="B229" s="46" t="str">
        <x:v>Southeast Australian Shelf</x:v>
      </x:c>
      <x:c r="C229" s="46" t="str">
        <x:v>LME</x:v>
      </x:c>
      <x:c r="D229" s="58" t="n">
        <x:v>2019</x:v>
      </x:c>
      <x:c r="E229" s="46" t="str">
        <x:v>Bramidae</x:v>
      </x:c>
      <x:c r="F229" s="46" t="str">
        <x:v>Pomfrets</x:v>
      </x:c>
      <x:c r="G229" s="46" t="str">
        <x:v>Medium pelagics (30 - 89 cm)</x:v>
      </x:c>
      <x:c r="H229" s="46" t="str">
        <x:v>Perch-likes</x:v>
      </x:c>
      <x:c r="I229" s="60" t="n">
        <x:v>0.0014812201000000001</x:v>
      </x:c>
      <x:c r="J229" s="60" t="n">
        <x:v>0.0014812201000000001</x:v>
      </x:c>
      <x:c r="K229" s="60" t="n">
        <x:v>0</x:v>
      </x:c>
      <x:c r="L229" s="60" t="n">
        <x:v>0.0014812201000000001</x:v>
      </x:c>
      <x:c r="M229" s="60" t="n">
        <x:v>0</x:v>
      </x:c>
      <x:c r="N229" s="46" t="str">
        <x:v>bramidae</x:v>
      </x:c>
      <x:c r="O229" s="62" t="n">
        <x:v>4.14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Bramidae</x:v>
      </x:c>
      <x:c r="T229" s="62" t="n">
        <x:f>IF(O229="","",(1/'Metadata'!$B$5)^(O229-1))</x:f>
        <x:v>1380.3842646028838</x:v>
      </x:c>
      <x:c r="U229" s="60" t="n">
        <x:f>IF(T229="","",I229*T229)</x:f>
        <x:v>2.0446529184535103</x:v>
      </x:c>
    </x:row>
    <x:row r="230" ht="18" customHeight="1">
      <x:c r="A230" s="46" t="str">
        <x:v>LME_042</x:v>
      </x:c>
      <x:c r="B230" s="46" t="str">
        <x:v>Southeast Australian Shelf</x:v>
      </x:c>
      <x:c r="C230" s="46" t="str">
        <x:v>LME</x:v>
      </x:c>
      <x:c r="D230" s="58" t="n">
        <x:v>2019</x:v>
      </x:c>
      <x:c r="E230" s="46" t="str">
        <x:v>Rhombosolea</x:v>
      </x:c>
      <x:c r="F230" s="46" t="str">
        <x:v>Rhombosolid flounders</x:v>
      </x:c>
      <x:c r="G230" s="46" t="str">
        <x:v>Small to medium flatfishes (&lt;90 cm)</x:v>
      </x:c>
      <x:c r="H230" s="46" t="str">
        <x:v>Flatfishes</x:v>
      </x:c>
      <x:c r="I230" s="60" t="n">
        <x:v>0.0013800072</x:v>
      </x:c>
      <x:c r="J230" s="60" t="n">
        <x:v>0.0013800072</x:v>
      </x:c>
      <x:c r="K230" s="60" t="n">
        <x:v>0</x:v>
      </x:c>
      <x:c r="L230" s="60" t="n">
        <x:v>0.0013800072</x:v>
      </x:c>
      <x:c r="M230" s="60" t="n">
        <x:v>0</x:v>
      </x:c>
      <x:c r="N230" s="46" t="str">
        <x:v>rhombosolea</x:v>
      </x:c>
      <x:c r="O230" s="62" t="n">
        <x:v>3.1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Rhombosolea</x:v>
      </x:c>
      <x:c r="T230" s="62" t="n">
        <x:f>IF(O230="","",(1/'Metadata'!$B$5)^(O230-1))</x:f>
        <x:v>125.89254117941675</x:v>
      </x:c>
      <x:c r="U230" s="60" t="n">
        <x:f>IF(T230="","",I230*T230)</x:f>
        <x:v>0.1737326132538916</x:v>
      </x:c>
    </x:row>
    <x:row r="231" ht="18" customHeight="1">
      <x:c r="A231" s="46" t="str">
        <x:v>LME_042</x:v>
      </x:c>
      <x:c r="B231" s="46" t="str">
        <x:v>Southeast Australian Shelf</x:v>
      </x:c>
      <x:c r="C231" s="46" t="str">
        <x:v>LME</x:v>
      </x:c>
      <x:c r="D231" s="58" t="n">
        <x:v>2019</x:v>
      </x:c>
      <x:c r="E231" s="46" t="str">
        <x:v>Coryphaena</x:v>
      </x:c>
      <x:c r="F231" s="46" t="str">
        <x:v>Dolphinfishes</x:v>
      </x:c>
      <x:c r="G231" s="46" t="str">
        <x:v>Large pelagics (&gt;=90 cm)</x:v>
      </x:c>
      <x:c r="H231" s="46" t="str">
        <x:v>Perch-likes</x:v>
      </x:c>
      <x:c r="I231" s="60" t="n">
        <x:v>0.0012035316</x:v>
      </x:c>
      <x:c r="J231" s="60" t="n">
        <x:v>0.0012035316</x:v>
      </x:c>
      <x:c r="K231" s="60" t="n">
        <x:v>0</x:v>
      </x:c>
      <x:c r="L231" s="60" t="n">
        <x:v>0.0000068653</x:v>
      </x:c>
      <x:c r="M231" s="60" t="n">
        <x:v>0.0011966663</x:v>
      </x:c>
      <x:c r="N231" s="46" t="str">
        <x:v>coryphaena</x:v>
      </x:c>
      <x:c r="O231" s="62" t="n">
        <x:v>4.49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Coryphaena</x:v>
      </x:c>
      <x:c r="T231" s="62" t="n">
        <x:f>IF(O231="","",(1/'Metadata'!$B$5)^(O231-1))</x:f>
        <x:v>3090.295432513592</x:v>
      </x:c>
      <x:c r="U231" s="60" t="n">
        <x:f>IF(T231="","",I231*T231)</x:f>
        <x:v>3.7192682063657756</x:v>
      </x:c>
    </x:row>
    <x:row r="232" ht="18" customHeight="1">
      <x:c r="A232" s="46" t="str">
        <x:v>LME_042</x:v>
      </x:c>
      <x:c r="B232" s="46" t="str">
        <x:v>Southeast Australian Shelf</x:v>
      </x:c>
      <x:c r="C232" s="46" t="str">
        <x:v>LME</x:v>
      </x:c>
      <x:c r="D232" s="58" t="n">
        <x:v>2019</x:v>
      </x:c>
      <x:c r="E232" s="46" t="str">
        <x:v>Cephalopholis</x:v>
      </x:c>
      <x:c r="F232" s="46" t="str">
        <x:v>Hinds</x:v>
      </x:c>
      <x:c r="G232" s="46" t="str">
        <x:v>Medium reef assoc. fish (30 - 89 cm)</x:v>
      </x:c>
      <x:c r="H232" s="46" t="str">
        <x:v>Perch-likes</x:v>
      </x:c>
      <x:c r="I232" s="60" t="n">
        <x:v>0.0009435388</x:v>
      </x:c>
      <x:c r="J232" s="60" t="n">
        <x:v>0.0009435388</x:v>
      </x:c>
      <x:c r="K232" s="60" t="n">
        <x:v>0</x:v>
      </x:c>
      <x:c r="L232" s="60" t="n">
        <x:v>0</x:v>
      </x:c>
      <x:c r="M232" s="60" t="n">
        <x:v>0.0009435388</x:v>
      </x:c>
      <x:c r="N232" s="46" t="str">
        <x:v>cephalopholis</x:v>
      </x:c>
      <x:c r="O232" s="62" t="n">
        <x:v>4.13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Cephalopholis</x:v>
      </x:c>
      <x:c r="T232" s="62" t="n">
        <x:f>IF(O232="","",(1/'Metadata'!$B$5)^(O232-1))</x:f>
        <x:v>1348.9628825916532</x:v>
      </x:c>
      <x:c r="U232" s="60" t="n">
        <x:f>IF(T232="","",I232*T232)</x:f>
        <x:v>1.2727988194850692</x:v>
      </x:c>
    </x:row>
    <x:row r="233" ht="18" customHeight="1">
      <x:c r="A233" s="46" t="str">
        <x:v>LME_042</x:v>
      </x:c>
      <x:c r="B233" s="46" t="str">
        <x:v>Southeast Australian Shelf</x:v>
      </x:c>
      <x:c r="C233" s="46" t="str">
        <x:v>LME</x:v>
      </x:c>
      <x:c r="D233" s="58" t="n">
        <x:v>2019</x:v>
      </x:c>
      <x:c r="E233" s="46" t="str">
        <x:v>Panulirus</x:v>
      </x:c>
      <x:c r="F233" s="46" t="str">
        <x:v>Spiny lobsters</x:v>
      </x:c>
      <x:c r="G233" s="46" t="str">
        <x:v>Lobsters, crabs</x:v>
      </x:c>
      <x:c r="H233" s="46" t="str">
        <x:v>Crustaceans</x:v>
      </x:c>
      <x:c r="I233" s="60" t="n">
        <x:v>0.0008783904</x:v>
      </x:c>
      <x:c r="J233" s="60" t="n">
        <x:v>0.0008783904</x:v>
      </x:c>
      <x:c r="K233" s="60" t="n">
        <x:v>0</x:v>
      </x:c>
      <x:c r="L233" s="60" t="n">
        <x:v>0.0008544793999999999</x:v>
      </x:c>
      <x:c r="M233" s="60" t="n">
        <x:v>0.000023911</x:v>
      </x:c>
      <x:c r="N233" s="46" t="str">
        <x:v>panulirus</x:v>
      </x:c>
      <x:c r="O233" s="62" t="n">
        <x:v>2.6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Panulirus</x:v>
      </x:c>
      <x:c r="T233" s="62" t="n">
        <x:f>IF(O233="","",(1/'Metadata'!$B$5)^(O233-1))</x:f>
        <x:v>39.810717055349734</x:v>
      </x:c>
      <x:c r="U233" s="60" t="n">
        <x:f>IF(T233="","",I233*T233)</x:f>
        <x:v>0.034969351678535474</x:v>
      </x:c>
    </x:row>
    <x:row r="234" ht="18" customHeight="1">
      <x:c r="A234" s="46" t="str">
        <x:v>LME_042</x:v>
      </x:c>
      <x:c r="B234" s="46" t="str">
        <x:v>Southeast Australian Shelf</x:v>
      </x:c>
      <x:c r="C234" s="46" t="str">
        <x:v>LME</x:v>
      </x:c>
      <x:c r="D234" s="58" t="n">
        <x:v>2019</x:v>
      </x:c>
      <x:c r="E234" s="46" t="str">
        <x:v>Gerreidae</x:v>
      </x:c>
      <x:c r="F234" s="46" t="str">
        <x:v>Mojarras, silverbellies</x:v>
      </x:c>
      <x:c r="G234" s="46" t="str">
        <x:v>Small benthopelagics (&lt;30 cm)</x:v>
      </x:c>
      <x:c r="H234" s="46" t="str">
        <x:v>Perch-likes</x:v>
      </x:c>
      <x:c r="I234" s="60" t="n">
        <x:v>0.0008713319999999999</x:v>
      </x:c>
      <x:c r="J234" s="60" t="n">
        <x:v>0.0008713319999999999</x:v>
      </x:c>
      <x:c r="K234" s="60" t="n">
        <x:v>0</x:v>
      </x:c>
      <x:c r="L234" s="60" t="n">
        <x:v>0.0008713319999999999</x:v>
      </x:c>
      <x:c r="M234" s="60" t="n">
        <x:v>0</x:v>
      </x:c>
      <x:c r="N234" s="46" t="str">
        <x:v>gerreidae</x:v>
      </x:c>
      <x:c r="O234" s="62" t="n">
        <x:v>3.03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Gerreidae</x:v>
      </x:c>
      <x:c r="T234" s="62" t="n">
        <x:f>IF(O234="","",(1/'Metadata'!$B$5)^(O234-1))</x:f>
        <x:v>107.1519305237606</x:v>
      </x:c>
      <x:c r="U234" s="60" t="n">
        <x:f>IF(T234="","",I234*T234)</x:f>
        <x:v>0.09336490592712936</x:v>
      </x:c>
    </x:row>
    <x:row r="235" ht="18" customHeight="1">
      <x:c r="A235" s="46" t="str">
        <x:v>LME_042</x:v>
      </x:c>
      <x:c r="B235" s="46" t="str">
        <x:v>Southeast Australian Shelf</x:v>
      </x:c>
      <x:c r="C235" s="46" t="str">
        <x:v>LME</x:v>
      </x:c>
      <x:c r="D235" s="58" t="n">
        <x:v>2019</x:v>
      </x:c>
      <x:c r="E235" s="46" t="str">
        <x:v>Decapterus</x:v>
      </x:c>
      <x:c r="F235" s="46" t="str">
        <x:v>Scads</x:v>
      </x:c>
      <x:c r="G235" s="46" t="str">
        <x:v>Medium pelagics (30 - 89 cm)</x:v>
      </x:c>
      <x:c r="H235" s="46" t="str">
        <x:v>Perch-likes</x:v>
      </x:c>
      <x:c r="I235" s="60" t="n">
        <x:v>0.0007321616</x:v>
      </x:c>
      <x:c r="J235" s="60" t="n">
        <x:v>0.0007321616</x:v>
      </x:c>
      <x:c r="K235" s="60" t="n">
        <x:v>0</x:v>
      </x:c>
      <x:c r="L235" s="60" t="n">
        <x:v>0</x:v>
      </x:c>
      <x:c r="M235" s="60" t="n">
        <x:v>0.0007321616</x:v>
      </x:c>
      <x:c r="N235" s="46" t="str">
        <x:v>decapterus</x:v>
      </x:c>
      <x:c r="O235" s="62" t="n">
        <x:v>3.63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Decapterus</x:v>
      </x:c>
      <x:c r="T235" s="62" t="n">
        <x:f>IF(O235="","",(1/'Metadata'!$B$5)^(O235-1))</x:f>
        <x:v>426.57951880159254</x:v>
      </x:c>
      <x:c r="U235" s="60" t="n">
        <x:f>IF(T235="","",I235*T235)</x:f>
        <x:v>0.31232514301300407</x:v>
      </x:c>
    </x:row>
    <x:row r="236" ht="18" customHeight="1">
      <x:c r="A236" s="46" t="str">
        <x:v>LME_042</x:v>
      </x:c>
      <x:c r="B236" s="46" t="str">
        <x:v>Southeast Australian Shelf</x:v>
      </x:c>
      <x:c r="C236" s="46" t="str">
        <x:v>LME</x:v>
      </x:c>
      <x:c r="D236" s="58" t="n">
        <x:v>2019</x:v>
      </x:c>
      <x:c r="E236" s="46" t="str">
        <x:v>Decapterus muroadsi</x:v>
      </x:c>
      <x:c r="F236" s="46" t="str">
        <x:v>Amberstripe scad</x:v>
      </x:c>
      <x:c r="G236" s="46" t="str">
        <x:v>Medium pelagics (30 - 89 cm)</x:v>
      </x:c>
      <x:c r="H236" s="46" t="str">
        <x:v>Perch-likes</x:v>
      </x:c>
      <x:c r="I236" s="60" t="n">
        <x:v>0.0007022652</x:v>
      </x:c>
      <x:c r="J236" s="60" t="n">
        <x:v>0.0007022652</x:v>
      </x:c>
      <x:c r="K236" s="60" t="n">
        <x:v>0</x:v>
      </x:c>
      <x:c r="L236" s="60" t="n">
        <x:v>0</x:v>
      </x:c>
      <x:c r="M236" s="60" t="n">
        <x:v>0.0007022652</x:v>
      </x:c>
      <x:c r="N236" s="46" t="str">
        <x:v>decapterus muroadsi</x:v>
      </x:c>
      <x:c r="O236" s="62" t="n">
        <x:v>3.4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Decapterus muroadsi</x:v>
      </x:c>
      <x:c r="T236" s="62" t="n">
        <x:f>IF(O236="","",(1/'Metadata'!$B$5)^(O236-1))</x:f>
        <x:v>251.18864315095797</x:v>
      </x:c>
      <x:c r="U236" s="60" t="n">
        <x:f>IF(T236="","",I236*T236)</x:f>
        <x:v>0.17640104272013615</x:v>
      </x:c>
    </x:row>
    <x:row r="237" ht="18" customHeight="1">
      <x:c r="A237" s="46" t="str">
        <x:v>LME_042</x:v>
      </x:c>
      <x:c r="B237" s="46" t="str">
        <x:v>Southeast Australian Shelf</x:v>
      </x:c>
      <x:c r="C237" s="46" t="str">
        <x:v>LME</x:v>
      </x:c>
      <x:c r="D237" s="58" t="n">
        <x:v>2019</x:v>
      </x:c>
      <x:c r="E237" s="46" t="str">
        <x:v>Rachycentron canadum</x:v>
      </x:c>
      <x:c r="F237" s="46" t="str">
        <x:v>Cobia</x:v>
      </x:c>
      <x:c r="G237" s="46" t="str">
        <x:v>Large pelagics (&gt;=90 cm)</x:v>
      </x:c>
      <x:c r="H237" s="46" t="str">
        <x:v>Perch-likes</x:v>
      </x:c>
      <x:c r="I237" s="60" t="n">
        <x:v>0.00044699940000000004</x:v>
      </x:c>
      <x:c r="J237" s="60" t="n">
        <x:v>0.00044699940000000004</x:v>
      </x:c>
      <x:c r="K237" s="60" t="n">
        <x:v>0</x:v>
      </x:c>
      <x:c r="L237" s="60" t="n">
        <x:v>0.00044699940000000004</x:v>
      </x:c>
      <x:c r="M237" s="60" t="n">
        <x:v>0</x:v>
      </x:c>
      <x:c r="N237" s="46" t="str">
        <x:v>rachycentron canadum</x:v>
      </x:c>
      <x:c r="O237" s="62" t="n">
        <x:v>3.96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Rachycentron canadum</x:v>
      </x:c>
      <x:c r="T237" s="62" t="n">
        <x:f>IF(O237="","",(1/'Metadata'!$B$5)^(O237-1))</x:f>
        <x:v>912.0108393559096</x:v>
      </x:c>
      <x:c r="U237" s="60" t="n">
        <x:f>IF(T237="","",I237*T237)</x:f>
        <x:v>0.407668297985588</x:v>
      </x:c>
    </x:row>
    <x:row r="238" ht="18" customHeight="1">
      <x:c r="A238" s="46" t="str">
        <x:v>LME_042</x:v>
      </x:c>
      <x:c r="B238" s="46" t="str">
        <x:v>Southeast Australian Shelf</x:v>
      </x:c>
      <x:c r="C238" s="46" t="str">
        <x:v>LME</x:v>
      </x:c>
      <x:c r="D238" s="58" t="n">
        <x:v>2019</x:v>
      </x:c>
      <x:c r="E238" s="46" t="str">
        <x:v>Odontaspis ferox</x:v>
      </x:c>
      <x:c r="F238" s="46" t="str">
        <x:v>Smalltooth sand tiger</x:v>
      </x:c>
      <x:c r="G238" s="46" t="str">
        <x:v>Large sharks (&gt;=90 cm)</x:v>
      </x:c>
      <x:c r="H238" s="46" t="str">
        <x:v>Sharks &amp; rays</x:v>
      </x:c>
      <x:c r="I238" s="60" t="n">
        <x:v>0.00025934039999999997</x:v>
      </x:c>
      <x:c r="J238" s="60" t="n">
        <x:v>0.00025934039999999997</x:v>
      </x:c>
      <x:c r="K238" s="60" t="n">
        <x:v>0</x:v>
      </x:c>
      <x:c r="L238" s="60" t="n">
        <x:v>0.00025934039999999997</x:v>
      </x:c>
      <x:c r="M238" s="60" t="n">
        <x:v>0</x:v>
      </x:c>
      <x:c r="N238" s="46" t="str">
        <x:v>odontaspis ferox</x:v>
      </x:c>
      <x:c r="O238" s="62" t="n">
        <x:v>4.16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Odontaspis ferox</x:v>
      </x:c>
      <x:c r="T238" s="62" t="n">
        <x:f>IF(O238="","",(1/'Metadata'!$B$5)^(O238-1))</x:f>
        <x:v>1445.439770745928</x:v>
      </x:c>
      <x:c r="U238" s="60" t="n">
        <x:f>IF(T238="","",I238*T238)</x:f>
        <x:v>0.3748609283211572</x:v>
      </x:c>
    </x:row>
    <x:row r="239" ht="18" customHeight="1">
      <x:c r="A239" s="46" t="str">
        <x:v>LME_042</x:v>
      </x:c>
      <x:c r="B239" s="46" t="str">
        <x:v>Southeast Australian Shelf</x:v>
      </x:c>
      <x:c r="C239" s="46" t="str">
        <x:v>LME</x:v>
      </x:c>
      <x:c r="D239" s="58" t="n">
        <x:v>2019</x:v>
      </x:c>
      <x:c r="E239" s="46" t="str">
        <x:v>Pseudorhombus arsius</x:v>
      </x:c>
      <x:c r="F239" s="46" t="str">
        <x:v>Largetooth flounder</x:v>
      </x:c>
      <x:c r="G239" s="46" t="str">
        <x:v>Small to medium flatfishes (&lt;90 cm)</x:v>
      </x:c>
      <x:c r="H239" s="46" t="str">
        <x:v>Flatfishes</x:v>
      </x:c>
      <x:c r="I239" s="60" t="n">
        <x:v>0.0002538038</x:v>
      </x:c>
      <x:c r="J239" s="60" t="n">
        <x:v>0.0002538038</x:v>
      </x:c>
      <x:c r="K239" s="60" t="n">
        <x:v>0</x:v>
      </x:c>
      <x:c r="L239" s="60" t="n">
        <x:v>0</x:v>
      </x:c>
      <x:c r="M239" s="60" t="n">
        <x:v>0.0002538038</x:v>
      </x:c>
      <x:c r="N239" s="46" t="str">
        <x:v>pseudorhombus arsius</x:v>
      </x:c>
      <x:c r="O239" s="62" t="n">
        <x:v>4.16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Pseudorhombus arsius</x:v>
      </x:c>
      <x:c r="T239" s="62" t="n">
        <x:f>IF(O239="","",(1/'Metadata'!$B$5)^(O239-1))</x:f>
        <x:v>1445.439770745928</x:v>
      </x:c>
      <x:c r="U239" s="60" t="n">
        <x:f>IF(T239="","",I239*T239)</x:f>
        <x:v>0.36685810648644535</x:v>
      </x:c>
    </x:row>
    <x:row r="240" ht="18" customHeight="1">
      <x:c r="A240" s="46" t="str">
        <x:v>LME_042</x:v>
      </x:c>
      <x:c r="B240" s="46" t="str">
        <x:v>Southeast Australian Shelf</x:v>
      </x:c>
      <x:c r="C240" s="46" t="str">
        <x:v>LME</x:v>
      </x:c>
      <x:c r="D240" s="58" t="n">
        <x:v>2019</x:v>
      </x:c>
      <x:c r="E240" s="46" t="str">
        <x:v>Pinctada</x:v>
      </x:c>
      <x:c r="F240" s="46" t="str">
        <x:v>Mother of pearl oysters</x:v>
      </x:c>
      <x:c r="G240" s="46" t="str">
        <x:v>Other demersal invertebrates</x:v>
      </x:c>
      <x:c r="H240" s="46" t="str">
        <x:v>Molluscs</x:v>
      </x:c>
      <x:c r="I240" s="60" t="n">
        <x:v>0.0002027312</x:v>
      </x:c>
      <x:c r="J240" s="60" t="n">
        <x:v>0.0002027312</x:v>
      </x:c>
      <x:c r="K240" s="60" t="n">
        <x:v>0</x:v>
      </x:c>
      <x:c r="L240" s="60" t="n">
        <x:v>0.0002027312</x:v>
      </x:c>
      <x:c r="M240" s="60" t="n">
        <x:v>0</x:v>
      </x:c>
      <x:c r="N240" s="46" t="str">
        <x:v>pinctada</x:v>
      </x:c>
      <x:c r="O240" s="62" t="n">
        <x:v>2.1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Pinctada</x:v>
      </x:c>
      <x:c r="T240" s="62" t="n">
        <x:f>IF(O240="","",(1/'Metadata'!$B$5)^(O240-1))</x:f>
        <x:v>12.589254117941675</x:v>
      </x:c>
      <x:c r="U240" s="60" t="n">
        <x:f>IF(T240="","",I240*T240)</x:f>
        <x:v>0.002552234594435257</x:v>
      </x:c>
    </x:row>
    <x:row r="241" ht="18" customHeight="1">
      <x:c r="A241" s="46" t="str">
        <x:v>LME_042</x:v>
      </x:c>
      <x:c r="B241" s="46" t="str">
        <x:v>Southeast Australian Shelf</x:v>
      </x:c>
      <x:c r="C241" s="46" t="str">
        <x:v>LME</x:v>
      </x:c>
      <x:c r="D241" s="58" t="n">
        <x:v>2019</x:v>
      </x:c>
      <x:c r="E241" s="46" t="str">
        <x:v>Sphyrna lewini</x:v>
      </x:c>
      <x:c r="F241" s="46" t="str">
        <x:v>Scalloped hammerhead</x:v>
      </x:c>
      <x:c r="G241" s="46" t="str">
        <x:v>Large sharks (&gt;=90 cm)</x:v>
      </x:c>
      <x:c r="H241" s="46" t="str">
        <x:v>Sharks &amp; rays</x:v>
      </x:c>
      <x:c r="I241" s="60" t="n">
        <x:v>0.0002001478</x:v>
      </x:c>
      <x:c r="J241" s="60" t="n">
        <x:v>0.0002001478</x:v>
      </x:c>
      <x:c r="K241" s="60" t="n">
        <x:v>0</x:v>
      </x:c>
      <x:c r="L241" s="60" t="n">
        <x:v>1.8e-9</x:v>
      </x:c>
      <x:c r="M241" s="60" t="n">
        <x:v>0.000200146</x:v>
      </x:c>
      <x:c r="N241" s="46" t="str">
        <x:v>sphyrna lewini</x:v>
      </x:c>
      <x:c r="O241" s="62" t="n">
        <x:v>4.08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Sphyrna lewini</x:v>
      </x:c>
      <x:c r="T241" s="62" t="n">
        <x:f>IF(O241="","",(1/'Metadata'!$B$5)^(O241-1))</x:f>
        <x:v>1202.2644346174131</x:v>
      </x:c>
      <x:c r="U241" s="60" t="n">
        <x:f>IF(T241="","",I241*T241)</x:f>
        <x:v>0.24063058160691908</x:v>
      </x:c>
    </x:row>
    <x:row r="242" ht="18" customHeight="1">
      <x:c r="A242" s="46" t="str">
        <x:v>LME_042</x:v>
      </x:c>
      <x:c r="B242" s="46" t="str">
        <x:v>Southeast Australian Shelf</x:v>
      </x:c>
      <x:c r="C242" s="46" t="str">
        <x:v>LME</x:v>
      </x:c>
      <x:c r="D242" s="58" t="n">
        <x:v>2019</x:v>
      </x:c>
      <x:c r="E242" s="46" t="str">
        <x:v>Holocentridae</x:v>
      </x:c>
      <x:c r="F242" s="46" t="str">
        <x:v>Squirrel-, soldierfishes</x:v>
      </x:c>
      <x:c r="G242" s="46" t="str">
        <x:v>Small reef assoc. fish (&lt;30 cm)</x:v>
      </x:c>
      <x:c r="H242" s="46" t="str">
        <x:v>Other fishes &amp; inverts</x:v>
      </x:c>
      <x:c r="I242" s="60" t="n">
        <x:v>0.0001294327</x:v>
      </x:c>
      <x:c r="J242" s="60" t="n">
        <x:v>0.0001294327</x:v>
      </x:c>
      <x:c r="K242" s="60" t="n">
        <x:v>0</x:v>
      </x:c>
      <x:c r="L242" s="60" t="n">
        <x:v>0</x:v>
      </x:c>
      <x:c r="M242" s="60" t="n">
        <x:v>0.0001294327</x:v>
      </x:c>
      <x:c r="N242" s="46" t="str">
        <x:v>holocentridae</x:v>
      </x:c>
      <x:c r="O242" s="62" t="n">
        <x:v>3.49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Holocentridae</x:v>
      </x:c>
      <x:c r="T242" s="62" t="n">
        <x:f>IF(O242="","",(1/'Metadata'!$B$5)^(O242-1))</x:f>
        <x:v>309.0295432513592</x:v>
      </x:c>
      <x:c r="U242" s="60" t="n">
        <x:f>IF(T242="","",I242*T242)</x:f>
        <x:v>0.0399985281627902</x:v>
      </x:c>
    </x:row>
    <x:row r="243" ht="18" customHeight="1">
      <x:c r="A243" s="46" t="str">
        <x:v>LME_042</x:v>
      </x:c>
      <x:c r="B243" s="46" t="str">
        <x:v>Southeast Australian Shelf</x:v>
      </x:c>
      <x:c r="C243" s="46" t="str">
        <x:v>LME</x:v>
      </x:c>
      <x:c r="D243" s="58" t="n">
        <x:v>2019</x:v>
      </x:c>
      <x:c r="E243" s="46" t="str">
        <x:v>Ablennes hians</x:v>
      </x:c>
      <x:c r="F243" s="46" t="str">
        <x:v>Flat needlefish</x:v>
      </x:c>
      <x:c r="G243" s="46" t="str">
        <x:v>Large pelagics (&gt;=90 cm)</x:v>
      </x:c>
      <x:c r="H243" s="46" t="str">
        <x:v>Other fishes &amp; inverts</x:v>
      </x:c>
      <x:c r="I243" s="60" t="n">
        <x:v>0.0001042873</x:v>
      </x:c>
      <x:c r="J243" s="60" t="n">
        <x:v>0.0001042873</x:v>
      </x:c>
      <x:c r="K243" s="60" t="n">
        <x:v>0</x:v>
      </x:c>
      <x:c r="L243" s="60" t="n">
        <x:v>0</x:v>
      </x:c>
      <x:c r="M243" s="60" t="n">
        <x:v>0.0001042873</x:v>
      </x:c>
      <x:c r="N243" s="46" t="str">
        <x:v>ablennes hians</x:v>
      </x:c>
      <x:c r="O243" s="62" t="n">
        <x:v>4.5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Ablennes hians</x:v>
      </x:c>
      <x:c r="T243" s="62" t="n">
        <x:f>IF(O243="","",(1/'Metadata'!$B$5)^(O243-1))</x:f>
        <x:v>3162.2776601683795</x:v>
      </x:c>
      <x:c r="U243" s="60" t="n">
        <x:f>IF(T243="","",I243*T243)</x:f>
        <x:v>0.32978539902927784</x:v>
      </x:c>
    </x:row>
    <x:row r="244" ht="18" customHeight="1">
      <x:c r="A244" s="46" t="str">
        <x:v>LME_042</x:v>
      </x:c>
      <x:c r="B244" s="46" t="str">
        <x:v>Southeast Australian Shelf</x:v>
      </x:c>
      <x:c r="C244" s="46" t="str">
        <x:v>LME</x:v>
      </x:c>
      <x:c r="D244" s="58" t="n">
        <x:v>2019</x:v>
      </x:c>
      <x:c r="E244" s="46" t="str">
        <x:v>Echeneidae</x:v>
      </x:c>
      <x:c r="F244" s="46" t="str">
        <x:v>Remoras</x:v>
      </x:c>
      <x:c r="G244" s="46" t="str">
        <x:v>Large pelagics (&gt;=90 cm)</x:v>
      </x:c>
      <x:c r="H244" s="46" t="str">
        <x:v>Perch-likes</x:v>
      </x:c>
      <x:c r="I244" s="60" t="n">
        <x:v>0.0000251163</x:v>
      </x:c>
      <x:c r="J244" s="60" t="n">
        <x:v>0.0000251163</x:v>
      </x:c>
      <x:c r="K244" s="60" t="n">
        <x:v>0</x:v>
      </x:c>
      <x:c r="L244" s="60" t="n">
        <x:v>0</x:v>
      </x:c>
      <x:c r="M244" s="60" t="n">
        <x:v>0.0000251163</x:v>
      </x:c>
      <x:c r="N244" s="46" t="str">
        <x:v>echeneidae</x:v>
      </x:c>
      <x:c r="O244" s="62" t="n">
        <x:v>3.22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Echeneidae</x:v>
      </x:c>
      <x:c r="T244" s="62" t="n">
        <x:f>IF(O244="","",(1/'Metadata'!$B$5)^(O244-1))</x:f>
        <x:v>165.95869074375614</x:v>
      </x:c>
      <x:c r="U244" s="60" t="n">
        <x:f>IF(T244="","",I244*T244)</x:f>
        <x:v>0.004168268264327402</x:v>
      </x:c>
    </x:row>
    <x:row r="245" ht="18" customHeight="1">
      <x:c r="A245" s="46" t="str">
        <x:v>LME_042</x:v>
      </x:c>
      <x:c r="B245" s="46" t="str">
        <x:v>Southeast Australian Shelf</x:v>
      </x:c>
      <x:c r="C245" s="46" t="str">
        <x:v>LME</x:v>
      </x:c>
      <x:c r="D245" s="58" t="n">
        <x:v>2019</x:v>
      </x:c>
      <x:c r="E245" s="46" t="str">
        <x:v>Elops hawaiensis</x:v>
      </x:c>
      <x:c r="F245" s="46" t="str">
        <x:v>Hawaiian ladyfish</x:v>
      </x:c>
      <x:c r="G245" s="46" t="str">
        <x:v>Large pelagics (&gt;=90 cm)</x:v>
      </x:c>
      <x:c r="H245" s="46" t="str">
        <x:v>Other fishes &amp; inverts</x:v>
      </x:c>
      <x:c r="I245" s="60" t="n">
        <x:v>0.000024595</x:v>
      </x:c>
      <x:c r="J245" s="60" t="n">
        <x:v>0.000024595</x:v>
      </x:c>
      <x:c r="K245" s="60" t="n">
        <x:v>0</x:v>
      </x:c>
      <x:c r="L245" s="60" t="n">
        <x:v>0</x:v>
      </x:c>
      <x:c r="M245" s="60" t="n">
        <x:v>0.000024595</x:v>
      </x:c>
      <x:c r="N245" s="46" t="str">
        <x:v>elops hawaiensis</x:v>
      </x:c>
      <x:c r="O245" s="62" t="n">
        <x:v>4.03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Elops hawaiensis</x:v>
      </x:c>
      <x:c r="T245" s="62" t="n">
        <x:f>IF(O245="","",(1/'Metadata'!$B$5)^(O245-1))</x:f>
        <x:v>1071.519305237607</x:v>
      </x:c>
      <x:c r="U245" s="60" t="n">
        <x:f>IF(T245="","",I245*T245)</x:f>
        <x:v>0.02635401731231895</x:v>
      </x:c>
    </x:row>
    <x:row r="246" ht="18" customHeight="1">
      <x:c r="A246" s="46" t="str">
        <x:v>LME_042</x:v>
      </x:c>
      <x:c r="B246" s="46" t="str">
        <x:v>Southeast Australian Shelf</x:v>
      </x:c>
      <x:c r="C246" s="46" t="str">
        <x:v>LME</x:v>
      </x:c>
      <x:c r="D246" s="58" t="n">
        <x:v>2019</x:v>
      </x:c>
      <x:c r="E246" s="46" t="str">
        <x:v>Caranx</x:v>
      </x:c>
      <x:c r="F246" s="46" t="str">
        <x:v>Jacks</x:v>
      </x:c>
      <x:c r="G246" s="46" t="str">
        <x:v>Medium reef assoc. fish (30 - 89 cm)</x:v>
      </x:c>
      <x:c r="H246" s="46" t="str">
        <x:v>Perch-likes</x:v>
      </x:c>
      <x:c r="I246" s="60" t="n">
        <x:v>0.0000145399</x:v>
      </x:c>
      <x:c r="J246" s="60" t="n">
        <x:v>0.0000145399</x:v>
      </x:c>
      <x:c r="K246" s="60" t="n">
        <x:v>0</x:v>
      </x:c>
      <x:c r="L246" s="60" t="n">
        <x:v>0.0000137705</x:v>
      </x:c>
      <x:c r="M246" s="60" t="n">
        <x:v>7.694e-7</x:v>
      </x:c>
      <x:c r="N246" s="46" t="str">
        <x:v>caranx</x:v>
      </x:c>
      <x:c r="O246" s="62" t="n">
        <x:v>4.12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Caranx</x:v>
      </x:c>
      <x:c r="T246" s="62" t="n">
        <x:f>IF(O246="","",(1/'Metadata'!$B$5)^(O246-1))</x:f>
        <x:v>1318.2567385564075</x:v>
      </x:c>
      <x:c r="U246" s="60" t="n">
        <x:f>IF(T246="","",I246*T246)</x:f>
        <x:v>0.01916732115293631</x:v>
      </x:c>
    </x:row>
    <x:row r="247" ht="18" customHeight="1">
      <x:c r="A247" s="46" t="str">
        <x:v>LME_042</x:v>
      </x:c>
      <x:c r="B247" s="46" t="str">
        <x:v>Southeast Australian Shelf</x:v>
      </x:c>
      <x:c r="C247" s="46" t="str">
        <x:v>LME</x:v>
      </x:c>
      <x:c r="D247" s="58" t="n">
        <x:v>2019</x:v>
      </x:c>
      <x:c r="E247" s="46" t="str">
        <x:v>Sargocentron</x:v>
      </x:c>
      <x:c r="F247" s="46" t="str">
        <x:v>Squirrelfishes</x:v>
      </x:c>
      <x:c r="G247" s="46" t="str">
        <x:v>Small reef assoc. fish (&lt;30 cm)</x:v>
      </x:c>
      <x:c r="H247" s="46" t="str">
        <x:v>Other fishes &amp; inverts</x:v>
      </x:c>
      <x:c r="I247" s="60" t="n">
        <x:v>0.0000029165</x:v>
      </x:c>
      <x:c r="J247" s="60" t="n">
        <x:v>0.0000029165</x:v>
      </x:c>
      <x:c r="K247" s="60" t="n">
        <x:v>0</x:v>
      </x:c>
      <x:c r="L247" s="60" t="n">
        <x:v>0</x:v>
      </x:c>
      <x:c r="M247" s="60" t="n">
        <x:v>0.0000029165</x:v>
      </x:c>
      <x:c r="N247" s="46" t="str">
        <x:v>sargocentron</x:v>
      </x:c>
      <x:c r="O247" s="62" t="n">
        <x:v>3.49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Sargocentron</x:v>
      </x:c>
      <x:c r="T247" s="62" t="n">
        <x:f>IF(O247="","",(1/'Metadata'!$B$5)^(O247-1))</x:f>
        <x:v>309.0295432513592</x:v>
      </x:c>
      <x:c r="U247" s="60" t="n">
        <x:f>IF(T247="","",I247*T247)</x:f>
        <x:v>0.000901284662892589</x:v>
      </x:c>
    </x:row>
  </x:sheetData>
  <x:conditionalFormatting sqref="R2:R2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9db0e24206c4a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10.9019322023</x:v>
      </x:c>
      <x:c r="E2" s="60" t="n">
        <x:v>10.9019322023</x:v>
      </x:c>
      <x:c r="F2" s="62" t="n">
        <x:v>0</x:v>
      </x:c>
      <x:c r="G2" s="66" t="n">
        <x:v>1</x:v>
      </x:c>
      <x:c r="H2" s="62" t="n">
        <x:f>IF(E2=0,"",I2/E2)</x:f>
        <x:v>158.48931924611142</x:v>
      </x:c>
      <x:c r="I2" s="60" t="n">
        <x:f>SUMIF('Species'!$H$2:$H$247,A2,'Species'!$U$2:$U$247)</x:f>
        <x:v>1727.839813209787</x:v>
      </x:c>
      <x:c r="J2" s="62" t="n">
        <x:v>3.2</x:v>
      </x:c>
      <x:c r="K2" s="62" t="n">
        <x:f>IF(J2="","",(1/'Metadata'!$B$5)^(J2-1))</x:f>
        <x:v>158.48931924611142</x:v>
      </x:c>
      <x:c r="L2" s="60" t="n">
        <x:f>IF(E2=0,"",E2*K2)</x:f>
        <x:v>1727.839813209787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800.8725831586</x:v>
      </x:c>
      <x:c r="E3" s="60" t="n">
        <x:v>800.8725831586</x:v>
      </x:c>
      <x:c r="F3" s="62" t="n">
        <x:v>0</x:v>
      </x:c>
      <x:c r="G3" s="66" t="n">
        <x:v>1</x:v>
      </x:c>
      <x:c r="H3" s="62" t="n">
        <x:f>IF(E3=0,"",I3/E3)</x:f>
        <x:v>2635.228436848436</x:v>
      </x:c>
      <x:c r="I3" s="60" t="n">
        <x:f>SUMIF('Species'!$H$2:$H$247,A3,'Species'!$U$2:$U$247)</x:f>
        <x:v>2110482.205431807</x:v>
      </x:c>
      <x:c r="J3" s="62" t="n">
        <x:v>4.337117910632963</x:v>
      </x:c>
      <x:c r="K3" s="62" t="n">
        <x:f>IF(J3="","",(1/'Metadata'!$B$5)^(J3-1))</x:f>
        <x:v>2173.2911457226955</x:v>
      </x:c>
      <x:c r="L3" s="60" t="n">
        <x:f>IF(E3=0,"",E3*K3)</x:f>
        <x:v>1740529.2938306485</x:v>
      </x:c>
      <x:c r="M3" s="60" t="n">
        <x:f>I3-L3</x:f>
        <x:v>369952.9116011583</x:v>
      </x:c>
      <x:c r="N3" s="62" t="n">
        <x:f>IF(L3=0,"",I3/L3)</x:f>
        <x:v>1.2125519592875948</x:v>
      </x:c>
      <x:c r="O3" s="66" t="n">
        <x:f>IF(L3=0,"",M3/L3)</x:f>
        <x:v>0.2125519592875949</x:v>
      </x:c>
    </x:row>
    <x:row r="4" ht="18" customHeight="1">
      <x:c r="A4" s="46" t="str">
        <x:v>Crustaceans</x:v>
      </x:c>
      <x:c r="B4" s="64" t="n">
        <x:v>18</x:v>
      </x:c>
      <x:c r="C4" s="64" t="n">
        <x:v>18</x:v>
      </x:c>
      <x:c r="D4" s="60" t="n">
        <x:v>3146.2989588931</x:v>
      </x:c>
      <x:c r="E4" s="60" t="n">
        <x:v>3146.2989588931</x:v>
      </x:c>
      <x:c r="F4" s="62" t="n">
        <x:v>0</x:v>
      </x:c>
      <x:c r="G4" s="66" t="n">
        <x:v>1</x:v>
      </x:c>
      <x:c r="H4" s="62" t="n">
        <x:f>IF(E4=0,"",I4/E4)</x:f>
        <x:v>98.53066632664661</x:v>
      </x:c>
      <x:c r="I4" s="60" t="n">
        <x:f>SUMIF('Species'!$H$2:$H$247,A4,'Species'!$U$2:$U$247)</x:f>
        <x:v>310006.93288257165</x:v>
      </x:c>
      <x:c r="J4" s="62" t="n">
        <x:v>2.778247477051639</x:v>
      </x:c>
      <x:c r="K4" s="62" t="n">
        <x:f>IF(J4="","",(1/'Metadata'!$B$5)^(J4-1))</x:f>
        <x:v>60.01329567838442</x:v>
      </x:c>
      <x:c r="L4" s="60" t="n">
        <x:f>IF(E4=0,"",E4*K4)</x:f>
        <x:v>188819.76971264466</x:v>
      </x:c>
      <x:c r="M4" s="60" t="n">
        <x:f>I4-L4</x:f>
        <x:v>121187.163169927</x:v>
      </x:c>
      <x:c r="N4" s="62" t="n">
        <x:f>IF(L4=0,"",I4/L4)</x:f>
        <x:v>1.6418139549389117</x:v>
      </x:c>
      <x:c r="O4" s="66" t="n">
        <x:f>IF(L4=0,"",M4/L4)</x:f>
        <x:v>0.6418139549389117</x:v>
      </x:c>
    </x:row>
    <x:row r="5" ht="18" customHeight="1">
      <x:c r="A5" s="46" t="str">
        <x:v>Flatfishes</x:v>
      </x:c>
      <x:c r="B5" s="64" t="n">
        <x:v>3</x:v>
      </x:c>
      <x:c r="C5" s="64" t="n">
        <x:v>3</x:v>
      </x:c>
      <x:c r="D5" s="60" t="n">
        <x:v>6.196614375099999</x:v>
      </x:c>
      <x:c r="E5" s="60" t="n">
        <x:v>6.196614375099999</x:v>
      </x:c>
      <x:c r="F5" s="62" t="n">
        <x:v>0</x:v>
      </x:c>
      <x:c r="G5" s="66" t="n">
        <x:v>1</x:v>
      </x:c>
      <x:c r="H5" s="62" t="n">
        <x:f>IF(E5=0,"",I5/E5)</x:f>
        <x:v>371.5245091103497</x:v>
      </x:c>
      <x:c r="I5" s="60" t="n">
        <x:f>SUMIF('Species'!$H$2:$H$247,A5,'Species'!$U$2:$U$247)</x:f>
        <x:v>2302.194113855164</x:v>
      </x:c>
      <x:c r="J5" s="62" t="n">
        <x:v>3.5699194948867556</x:v>
      </x:c>
      <x:c r="K5" s="62" t="n">
        <x:f>IF(J5="","",(1/'Metadata'!$B$5)^(J5-1))</x:f>
        <x:v>371.46636404164275</x:v>
      </x:c>
      <x:c r="L5" s="60" t="n">
        <x:f>IF(E5=0,"",E5*K5)</x:f>
        <x:v>2301.833811286573</x:v>
      </x:c>
      <x:c r="M5" s="60" t="n">
        <x:f>I5-L5</x:f>
        <x:v>0.36030256859066867</x:v>
      </x:c>
      <x:c r="N5" s="62" t="n">
        <x:f>IF(L5=0,"",I5/L5)</x:f>
        <x:v>1.0001565284890785</x:v>
      </x:c>
      <x:c r="O5" s="66" t="n">
        <x:f>IF(L5=0,"",M5/L5)</x:f>
        <x:v>0.0001565284890785766</x:v>
      </x:c>
    </x:row>
    <x:row r="6" ht="18" customHeight="1">
      <x:c r="A6" s="46" t="str">
        <x:v>Herring-likes</x:v>
      </x:c>
      <x:c r="B6" s="64" t="n">
        <x:v>2</x:v>
      </x:c>
      <x:c r="C6" s="64" t="n">
        <x:v>2</x:v>
      </x:c>
      <x:c r="D6" s="60" t="n">
        <x:v>2339.8883862917996</x:v>
      </x:c>
      <x:c r="E6" s="60" t="n">
        <x:v>2339.8883862917996</x:v>
      </x:c>
      <x:c r="F6" s="62" t="n">
        <x:v>0</x:v>
      </x:c>
      <x:c r="G6" s="66" t="n">
        <x:v>1</x:v>
      </x:c>
      <x:c r="H6" s="62" t="n">
        <x:f>IF(E6=0,"",I6/E6)</x:f>
        <x:v>69.80815343747905</x:v>
      </x:c>
      <x:c r="I6" s="60" t="n">
        <x:f>SUMIF('Species'!$H$2:$H$247,A6,'Species'!$U$2:$U$247)</x:f>
        <x:v>163343.2874968332</x:v>
      </x:c>
      <x:c r="J6" s="62" t="n">
        <x:v>2.8426541360800623</x:v>
      </x:c>
      <x:c r="K6" s="62" t="n">
        <x:f>IF(J6="","",(1/'Metadata'!$B$5)^(J6-1))</x:f>
        <x:v>69.60719547664176</x:v>
      </x:c>
      <x:c r="L6" s="60" t="n">
        <x:f>IF(E6=0,"",E6*K6)</x:f>
        <x:v>162873.06829813716</x:v>
      </x:c>
      <x:c r="M6" s="60" t="n">
        <x:f>I6-L6</x:f>
        <x:v>470.21919869602425</x:v>
      </x:c>
      <x:c r="N6" s="62" t="n">
        <x:f>IF(L6=0,"",I6/L6)</x:f>
        <x:v>1.0028870285530282</x:v>
      </x:c>
      <x:c r="O6" s="66" t="n">
        <x:f>IF(L6=0,"",M6/L6)</x:f>
        <x:v>0.002887028553028139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1327.7949143572</x:v>
      </x:c>
      <x:c r="E7" s="60" t="n">
        <x:v>1327.7949143572</x:v>
      </x:c>
      <x:c r="F7" s="62" t="n">
        <x:v>0</x:v>
      </x:c>
      <x:c r="G7" s="66" t="n">
        <x:v>1</x:v>
      </x:c>
      <x:c r="H7" s="62" t="n">
        <x:f>IF(E7=0,"",I7/E7)</x:f>
        <x:v>10.403884962517553</x:v>
      </x:c>
      <x:c r="I7" s="60" t="n">
        <x:f>SUMIF('Species'!$H$2:$H$247,A7,'Species'!$U$2:$U$247)</x:f>
        <x:v>13814.225542788156</x:v>
      </x:c>
      <x:c r="J7" s="62" t="n">
        <x:v>2.0078545494464795</x:v>
      </x:c>
      <x:c r="K7" s="62" t="n">
        <x:f>IF(J7="","",(1/'Metadata'!$B$5)^(J7-1))</x:f>
        <x:v>10.182503064131225</x:v>
      </x:c>
      <x:c r="L7" s="60" t="n">
        <x:f>IF(E7=0,"",E7*K7)</x:f>
        <x:v>13520.275783980047</x:v>
      </x:c>
      <x:c r="M7" s="60" t="n">
        <x:f>I7-L7</x:f>
        <x:v>293.9497588081085</x:v>
      </x:c>
      <x:c r="N7" s="62" t="n">
        <x:f>IF(L7=0,"",I7/L7)</x:f>
        <x:v>1.0217414025797023</x:v>
      </x:c>
      <x:c r="O7" s="66" t="n">
        <x:f>IF(L7=0,"",M7/L7)</x:f>
        <x:v>0.021741402579702168</x:v>
      </x:c>
    </x:row>
    <x:row r="8" ht="18" customHeight="1">
      <x:c r="A8" s="46" t="str">
        <x:v>Other fishes &amp; inverts</x:v>
      </x:c>
      <x:c r="B8" s="64" t="n">
        <x:v>48</x:v>
      </x:c>
      <x:c r="C8" s="64" t="n">
        <x:v>48</x:v>
      </x:c>
      <x:c r="D8" s="60" t="n">
        <x:v>6048.3309105019</x:v>
      </x:c>
      <x:c r="E8" s="60" t="n">
        <x:v>6048.3309105019</x:v>
      </x:c>
      <x:c r="F8" s="62" t="n">
        <x:v>0</x:v>
      </x:c>
      <x:c r="G8" s="66" t="n">
        <x:v>1</x:v>
      </x:c>
      <x:c r="H8" s="62" t="n">
        <x:f>IF(E8=0,"",I8/E8)</x:f>
        <x:v>549.8816748274386</x:v>
      </x:c>
      <x:c r="I8" s="60" t="n">
        <x:f>SUMIF('Species'!$H$2:$H$247,A8,'Species'!$U$2:$U$247)</x:f>
        <x:v>3325866.330977351</x:v>
      </x:c>
      <x:c r="J8" s="62" t="n">
        <x:v>3.526081528192571</x:v>
      </x:c>
      <x:c r="K8" s="62" t="n">
        <x:f>IF(J8="","",(1/'Metadata'!$B$5)^(J8-1))</x:f>
        <x:v>335.80064670454226</x:v>
      </x:c>
      <x:c r="L8" s="60" t="n">
        <x:f>IF(E8=0,"",E8*K8)</x:f>
        <x:v>2031033.431229611</x:v>
      </x:c>
      <x:c r="M8" s="60" t="n">
        <x:f>I8-L8</x:f>
        <x:v>1294832.89974774</x:v>
      </x:c>
      <x:c r="N8" s="62" t="n">
        <x:f>IF(L8=0,"",I8/L8)</x:f>
        <x:v>1.6375241686513418</x:v>
      </x:c>
      <x:c r="O8" s="66" t="n">
        <x:f>IF(L8=0,"",M8/L8)</x:f>
        <x:v>0.6375241686513419</x:v>
      </x:c>
    </x:row>
    <x:row r="9" ht="18" customHeight="1">
      <x:c r="A9" s="46" t="str">
        <x:v>Perch-likes</x:v>
      </x:c>
      <x:c r="B9" s="64" t="n">
        <x:v>80</x:v>
      </x:c>
      <x:c r="C9" s="64" t="n">
        <x:v>80</x:v>
      </x:c>
      <x:c r="D9" s="60" t="n">
        <x:v>10912.0424039854</x:v>
      </x:c>
      <x:c r="E9" s="60" t="n">
        <x:v>10912.0424039854</x:v>
      </x:c>
      <x:c r="F9" s="62" t="n">
        <x:v>0</x:v>
      </x:c>
      <x:c r="G9" s="66" t="n">
        <x:v>1</x:v>
      </x:c>
      <x:c r="H9" s="62" t="n">
        <x:f>IF(E9=0,"",I9/E9)</x:f>
        <x:v>773.3505911757295</x:v>
      </x:c>
      <x:c r="I9" s="60" t="n">
        <x:f>SUMIF('Species'!$H$2:$H$247,A9,'Species'!$U$2:$U$247)</x:f>
        <x:v>8438834.444056738</x:v>
      </x:c>
      <x:c r="J9" s="62" t="n">
        <x:v>3.7086907448590667</x:v>
      </x:c>
      <x:c r="K9" s="62" t="n">
        <x:f>IF(J9="","",(1/'Metadata'!$B$5)^(J9-1))</x:f>
        <x:v>511.3176036244671</x:v>
      </x:c>
      <x:c r="L9" s="60" t="n">
        <x:f>IF(E9=0,"",E9*K9)</x:f>
        <x:v>5579519.372654384</x:v>
      </x:c>
      <x:c r="M9" s="60" t="n">
        <x:f>I9-L9</x:f>
        <x:v>2859315.071402354</x:v>
      </x:c>
      <x:c r="N9" s="62" t="n">
        <x:f>IF(L9=0,"",I9/L9)</x:f>
        <x:v>1.5124661965358626</x:v>
      </x:c>
      <x:c r="O9" s="66" t="n">
        <x:f>IF(L9=0,"",M9/L9)</x:f>
        <x:v>0.5124661965358626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464.5850969659</x:v>
      </x:c>
      <x:c r="E10" s="60" t="n">
        <x:v>464.5850969659</x:v>
      </x:c>
      <x:c r="F10" s="62" t="n">
        <x:v>0</x:v>
      </x:c>
      <x:c r="G10" s="66" t="n">
        <x:v>1</x:v>
      </x:c>
      <x:c r="H10" s="62" t="n">
        <x:f>IF(E10=0,"",I10/E10)</x:f>
        <x:v>572.7959534892929</x:v>
      </x:c>
      <x:c r="I10" s="60" t="n">
        <x:f>SUMIF('Species'!$H$2:$H$247,A10,'Species'!$U$2:$U$247)</x:f>
        <x:v>266112.4635934983</x:v>
      </x:c>
      <x:c r="J10" s="62" t="n">
        <x:v>3.724675011804336</x:v>
      </x:c>
      <x:c r="K10" s="62" t="n">
        <x:f>IF(J10="","",(1/'Metadata'!$B$5)^(J10-1))</x:f>
        <x:v>530.4873251165097</x:v>
      </x:c>
      <x:c r="L10" s="60" t="n">
        <x:f>IF(E10=0,"",E10*K10)</x:f>
        <x:v>246456.50537843458</x:v>
      </x:c>
      <x:c r="M10" s="60" t="n">
        <x:f>I10-L10</x:f>
        <x:v>19655.9582150637</x:v>
      </x:c>
      <x:c r="N10" s="62" t="n">
        <x:f>IF(L10=0,"",I10/L10)</x:f>
        <x:v>1.079754268141074</x:v>
      </x:c>
      <x:c r="O10" s="66" t="n">
        <x:f>IF(L10=0,"",M10/L10)</x:f>
        <x:v>0.07975426814107392</x:v>
      </x:c>
    </x:row>
    <x:row r="11" ht="18" customHeight="1">
      <x:c r="A11" s="46" t="str">
        <x:v>Sharks &amp; rays</x:v>
      </x:c>
      <x:c r="B11" s="64" t="n">
        <x:v>51</x:v>
      </x:c>
      <x:c r="C11" s="64" t="n">
        <x:v>51</x:v>
      </x:c>
      <x:c r="D11" s="60" t="n">
        <x:v>2577.322081483</x:v>
      </x:c>
      <x:c r="E11" s="60" t="n">
        <x:v>2577.322081483</x:v>
      </x:c>
      <x:c r="F11" s="62" t="n">
        <x:v>0</x:v>
      </x:c>
      <x:c r="G11" s="66" t="n">
        <x:v>1</x:v>
      </x:c>
      <x:c r="H11" s="62" t="n">
        <x:f>IF(E11=0,"",I11/E11)</x:f>
        <x:v>1158.7169373611357</x:v>
      </x:c>
      <x:c r="I11" s="60" t="n">
        <x:f>SUMIF('Species'!$H$2:$H$247,A11,'Species'!$U$2:$U$247)</x:f>
        <x:v>2986386.7488492094</x:v>
      </x:c>
      <x:c r="J11" s="62" t="n">
        <x:v>4.009631376066695</x:v>
      </x:c>
      <x:c r="K11" s="62" t="n">
        <x:f>IF(J11="","",(1/'Metadata'!$B$5)^(J11-1))</x:f>
        <x:v>1022.4248020021413</x:v>
      </x:c>
      <x:c r="L11" s="60" t="n">
        <x:f>IF(E11=0,"",E11*K11)</x:f>
        <x:v>2635118.018856003</x:v>
      </x:c>
      <x:c r="M11" s="60" t="n">
        <x:f>I11-L11</x:f>
        <x:v>351268.72999320645</x:v>
      </x:c>
      <x:c r="N11" s="62" t="n">
        <x:f>IF(L11=0,"",I11/L11)</x:f>
        <x:v>1.1333028454435998</x:v>
      </x:c>
      <x:c r="O11" s="66" t="n">
        <x:f>IF(L11=0,"",M11/L11)</x:f>
        <x:v>0.13330284544359972</x:v>
      </x:c>
    </x:row>
    <x:row r="12" ht="18" customHeight="1">
      <x:c r="A12" s="46" t="str">
        <x:v>Tuna &amp; billfishes</x:v>
      </x:c>
      <x:c r="B12" s="64" t="n">
        <x:v>14</x:v>
      </x:c>
      <x:c r="C12" s="64" t="n">
        <x:v>14</x:v>
      </x:c>
      <x:c r="D12" s="60" t="n">
        <x:v>5011.520475691801</x:v>
      </x:c>
      <x:c r="E12" s="60" t="n">
        <x:v>5011.520475691801</x:v>
      </x:c>
      <x:c r="F12" s="62" t="n">
        <x:v>0</x:v>
      </x:c>
      <x:c r="G12" s="66" t="n">
        <x:v>1</x:v>
      </x:c>
      <x:c r="H12" s="62" t="n">
        <x:f>IF(E12=0,"",I12/E12)</x:f>
        <x:v>898.7208226123528</x:v>
      </x:c>
      <x:c r="I12" s="60" t="n">
        <x:f>SUMIF('Species'!$H$2:$H$247,A12,'Species'!$U$2:$U$247)</x:f>
        <x:v>4503957.804452385</x:v>
      </x:c>
      <x:c r="J12" s="62" t="n">
        <x:v>3.942746478406454</x:v>
      </x:c>
      <x:c r="K12" s="62" t="n">
        <x:f>IF(J12="","",(1/'Metadata'!$B$5)^(J12-1))</x:f>
        <x:v>876.4890168910998</x:v>
      </x:c>
      <x:c r="L12" s="60" t="n">
        <x:f>IF(E12=0,"",E12*K12)</x:f>
        <x:v>4392542.654868724</x:v>
      </x:c>
      <x:c r="M12" s="60" t="n">
        <x:f>I12-L12</x:f>
        <x:v>111415.149583661</x:v>
      </x:c>
      <x:c r="N12" s="62" t="n">
        <x:f>IF(L12=0,"",I12/L12)</x:f>
        <x:v>1.025364614151252</x:v>
      </x:c>
      <x:c r="O12" s="66" t="n">
        <x:f>IF(L12=0,"",M12/L12)</x:f>
        <x:v>0.02536461415125194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e03a01f094848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423.32760087549997</x:v>
      </x:c>
      <x:c r="E2" s="60" t="n">
        <x:v>423.32760087549997</x:v>
      </x:c>
      <x:c r="F2" s="62" t="n">
        <x:v>0</x:v>
      </x:c>
      <x:c r="G2" s="66" t="n">
        <x:v>1</x:v>
      </x:c>
      <x:c r="H2" s="62" t="n">
        <x:f>IF(E2=0,"",I2/E2)</x:f>
        <x:v>1008.6224037774041</x:v>
      </x:c>
      <x:c r="I2" s="60" t="n">
        <x:f>SUMIF('Species'!$G$2:$G$247,A2,'Species'!$U$2:$U$247)</x:f>
        <x:v>426977.7023803683</x:v>
      </x:c>
      <x:c r="J2" s="62" t="n">
        <x:v>3.9802955692207984</x:v>
      </x:c>
      <x:c r="K2" s="62" t="n">
        <x:f>IF(J2="","",(1/'Metadata'!$B$5)^(J2-1))</x:f>
        <x:v>955.6427496766704</x:v>
      </x:c>
      <x:c r="L2" s="60" t="n">
        <x:f>IF(E2=0,"",E2*K2)</x:f>
        <x:v>404549.95251469087</x:v>
      </x:c>
      <x:c r="M2" s="60" t="n">
        <x:f>I2-L2</x:f>
        <x:v>22427.74986567744</x:v>
      </x:c>
      <x:c r="N2" s="62" t="n">
        <x:f>IF(L2=0,"",I2/L2)</x:f>
        <x:v>1.0554387652903334</x:v>
      </x:c>
      <x:c r="O2" s="66" t="n">
        <x:f>IF(L2=0,"",M2/L2)</x:f>
        <x:v>0.05543876529033333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0.8867556178999999</x:v>
      </x:c>
      <x:c r="E3" s="60" t="n">
        <x:v>0.8867556178999999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SUMIF('Species'!$G$2:$G$247,A3,'Species'!$U$2:$U$247)</x:f>
        <x:v>255.74311375980986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255.74311375980986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4</x:v>
      </x:c>
      <x:c r="C4" s="64" t="n">
        <x:v>4</x:v>
      </x:c>
      <x:c r="D4" s="60" t="n">
        <x:v>687.6200815234001</x:v>
      </x:c>
      <x:c r="E4" s="60" t="n">
        <x:v>687.6200815234001</x:v>
      </x:c>
      <x:c r="F4" s="62" t="n">
        <x:v>0</x:v>
      </x:c>
      <x:c r="G4" s="66" t="n">
        <x:v>1</x:v>
      </x:c>
      <x:c r="H4" s="62" t="n">
        <x:f>IF(E4=0,"",I4/E4)</x:f>
        <x:v>1466.5847392078958</x:v>
      </x:c>
      <x:c r="I4" s="60" t="n">
        <x:f>SUMIF('Species'!$G$2:$G$247,A4,'Species'!$U$2:$U$247)</x:f>
        <x:v>1008453.1179351079</x:v>
      </x:c>
      <x:c r="J4" s="62" t="n">
        <x:v>4.14641634720849</x:v>
      </x:c>
      <x:c r="K4" s="62" t="n">
        <x:f>IF(J4="","",(1/'Metadata'!$B$5)^(J4-1))</x:f>
        <x:v>1400.929715131425</x:v>
      </x:c>
      <x:c r="L4" s="60" t="n">
        <x:f>IF(E4=0,"",E4*K4)</x:f>
        <x:v>963307.4049272242</x:v>
      </x:c>
      <x:c r="M4" s="60" t="n">
        <x:f>I4-L4</x:f>
        <x:v>45145.71300788375</x:v>
      </x:c>
      <x:c r="N4" s="62" t="n">
        <x:f>IF(L4=0,"",I4/L4)</x:f>
        <x:v>1.0468653233401588</x:v>
      </x:c>
      <x:c r="O4" s="66" t="n">
        <x:f>IF(L4=0,"",M4/L4)</x:f>
        <x:v>0.046865323340158915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34.1631013226</x:v>
      </x:c>
      <x:c r="E5" s="60" t="n">
        <x:v>34.1631013226</x:v>
      </x:c>
      <x:c r="F5" s="62" t="n">
        <x:v>0</x:v>
      </x:c>
      <x:c r="G5" s="66" t="n">
        <x:v>1</x:v>
      </x:c>
      <x:c r="H5" s="62" t="n">
        <x:f>IF(E5=0,"",I5/E5)</x:f>
        <x:v>1575.01286241373</x:v>
      </x:c>
      <x:c r="I5" s="60" t="n">
        <x:f>SUMIF('Species'!$G$2:$G$247,A5,'Species'!$U$2:$U$247)</x:f>
        <x:v>53807.32400303851</x:v>
      </x:c>
      <x:c r="J5" s="62" t="n">
        <x:v>4.189350683263719</x:v>
      </x:c>
      <x:c r="K5" s="62" t="n">
        <x:f>IF(J5="","",(1/'Metadata'!$B$5)^(J5-1))</x:f>
        <x:v>1546.5027024929993</x:v>
      </x:c>
      <x:c r="L5" s="60" t="n">
        <x:f>IF(E5=0,"",E5*K5)</x:f>
        <x:v>52833.32852094306</x:v>
      </x:c>
      <x:c r="M5" s="60" t="n">
        <x:f>I5-L5</x:f>
        <x:v>973.9954820954517</x:v>
      </x:c>
      <x:c r="N5" s="62" t="n">
        <x:f>IF(L5=0,"",I5/L5)</x:f>
        <x:v>1.0184352473970926</x:v>
      </x:c>
      <x:c r="O5" s="66" t="n">
        <x:f>IF(L5=0,"",M5/L5)</x:f>
        <x:v>0.018435247397092562</x:v>
      </x:c>
    </x:row>
    <x:row r="6" ht="18" customHeight="1">
      <x:c r="A6" s="46" t="str">
        <x:v>Large benthopelagics (&gt;=90 cm)</x:v>
      </x:c>
      <x:c r="B6" s="64" t="n">
        <x:v>14</x:v>
      </x:c>
      <x:c r="C6" s="64" t="n">
        <x:v>14</x:v>
      </x:c>
      <x:c r="D6" s="60" t="n">
        <x:v>1236.6728730927998</x:v>
      </x:c>
      <x:c r="E6" s="60" t="n">
        <x:v>1236.6728730927998</x:v>
      </x:c>
      <x:c r="F6" s="62" t="n">
        <x:v>0</x:v>
      </x:c>
      <x:c r="G6" s="66" t="n">
        <x:v>1</x:v>
      </x:c>
      <x:c r="H6" s="62" t="n">
        <x:f>IF(E6=0,"",I6/E6)</x:f>
        <x:v>481.2318916577784</x:v>
      </x:c>
      <x:c r="I6" s="60" t="n">
        <x:f>SUMIF('Species'!$G$2:$G$247,A6,'Species'!$U$2:$U$247)</x:f>
        <x:v>595126.4260803078</x:v>
      </x:c>
      <x:c r="J6" s="62" t="n">
        <x:v>3.1841746243905664</x:v>
      </x:c>
      <x:c r="K6" s="62" t="n">
        <x:f>IF(J6="","",(1/'Metadata'!$B$5)^(J6-1))</x:f>
        <x:v>152.8180396984608</x:v>
      </x:c>
      <x:c r="L6" s="60" t="n">
        <x:f>IF(E6=0,"",E6*K6)</x:f>
        <x:v>188985.92421430507</x:v>
      </x:c>
      <x:c r="M6" s="60" t="n">
        <x:f>I6-L6</x:f>
        <x:v>406140.50186600274</x:v>
      </x:c>
      <x:c r="N6" s="62" t="n">
        <x:f>IF(L6=0,"",I6/L6)</x:f>
        <x:v>3.149051595003711</x:v>
      </x:c>
      <x:c r="O6" s="66" t="n">
        <x:f>IF(L6=0,"",M6/L6)</x:f>
        <x:v>2.149051595003711</x:v>
      </x:c>
    </x:row>
    <x:row r="7" ht="18" customHeight="1">
      <x:c r="A7" s="46" t="str">
        <x:v>Large demersals (&gt;=90 cm)</x:v>
      </x:c>
      <x:c r="B7" s="64" t="n">
        <x:v>5</x:v>
      </x:c>
      <x:c r="C7" s="64" t="n">
        <x:v>5</x:v>
      </x:c>
      <x:c r="D7" s="60" t="n">
        <x:v>1000.7775215907001</x:v>
      </x:c>
      <x:c r="E7" s="60" t="n">
        <x:v>1000.7775215907001</x:v>
      </x:c>
      <x:c r="F7" s="62" t="n">
        <x:v>0</x:v>
      </x:c>
      <x:c r="G7" s="66" t="n">
        <x:v>1</x:v>
      </x:c>
      <x:c r="H7" s="62" t="n">
        <x:f>IF(E7=0,"",I7/E7)</x:f>
        <x:v>2280.3183940269364</x:v>
      </x:c>
      <x:c r="I7" s="60" t="n">
        <x:f>SUMIF('Species'!$G$2:$G$247,A7,'Species'!$U$2:$U$247)</x:f>
        <x:v>2282091.390811963</x:v>
      </x:c>
      <x:c r="J7" s="62" t="n">
        <x:v>4.1902200030566075</x:v>
      </x:c>
      <x:c r="K7" s="62" t="n">
        <x:f>IF(J7="","",(1/'Metadata'!$B$5)^(J7-1))</x:f>
        <x:v>1549.6014106275197</x:v>
      </x:c>
      <x:c r="L7" s="60" t="n">
        <x:f>IF(E7=0,"",E7*K7)</x:f>
        <x:v>1550806.259181262</x:v>
      </x:c>
      <x:c r="M7" s="60" t="n">
        <x:f>I7-L7</x:f>
        <x:v>731285.131630701</x:v>
      </x:c>
      <x:c r="N7" s="62" t="n">
        <x:f>IF(L7=0,"",I7/L7)</x:f>
        <x:v>1.4715515734484965</x:v>
      </x:c>
      <x:c r="O7" s="66" t="n">
        <x:f>IF(L7=0,"",M7/L7)</x:f>
        <x:v>0.4715515734484965</x:v>
      </x:c>
    </x:row>
    <x:row r="8" ht="18" customHeight="1">
      <x:c r="A8" s="46" t="str">
        <x:v>Large pelagics (&gt;=90 cm)</x:v>
      </x:c>
      <x:c r="B8" s="64" t="n">
        <x:v>24</x:v>
      </x:c>
      <x:c r="C8" s="64" t="n">
        <x:v>24</x:v>
      </x:c>
      <x:c r="D8" s="60" t="n">
        <x:v>5166.4686423179</x:v>
      </x:c>
      <x:c r="E8" s="60" t="n">
        <x:v>5166.4686423179</x:v>
      </x:c>
      <x:c r="F8" s="62" t="n">
        <x:v>0</x:v>
      </x:c>
      <x:c r="G8" s="66" t="n">
        <x:v>1</x:v>
      </x:c>
      <x:c r="H8" s="62" t="n">
        <x:f>IF(E8=0,"",I8/E8)</x:f>
        <x:v>967.0166038208716</x:v>
      </x:c>
      <x:c r="I8" s="60" t="n">
        <x:f>SUMIF('Species'!$G$2:$G$247,A8,'Species'!$U$2:$U$247)</x:f>
        <x:v>4996060.960241285</x:v>
      </x:c>
      <x:c r="J8" s="62" t="n">
        <x:v>3.9594057900828727</x:v>
      </x:c>
      <x:c r="K8" s="62" t="n">
        <x:f>IF(J8="","",(1/'Metadata'!$B$5)^(J8-1))</x:f>
        <x:v>910.7638621543896</x:v>
      </x:c>
      <x:c r="L8" s="60" t="n">
        <x:f>IF(E8=0,"",E8*K8)</x:f>
        <x:v>4705432.934376996</x:v>
      </x:c>
      <x:c r="M8" s="60" t="n">
        <x:f>I8-L8</x:f>
        <x:v>290628.02586428914</x:v>
      </x:c>
      <x:c r="N8" s="62" t="n">
        <x:f>IF(L8=0,"",I8/L8)</x:f>
        <x:v>1.0617643540812187</x:v>
      </x:c>
      <x:c r="O8" s="66" t="n">
        <x:f>IF(L8=0,"",M8/L8)</x:f>
        <x:v>0.061764354081218796</x:v>
      </x:c>
    </x:row>
    <x:row r="9" ht="18" customHeight="1">
      <x:c r="A9" s="46" t="str">
        <x:v>Large rays (&gt;=90 cm)</x:v>
      </x:c>
      <x:c r="B9" s="64" t="n">
        <x:v>6</x:v>
      </x:c>
      <x:c r="C9" s="64" t="n">
        <x:v>6</x:v>
      </x:c>
      <x:c r="D9" s="60" t="n">
        <x:v>400.6965410406</x:v>
      </x:c>
      <x:c r="E9" s="60" t="n">
        <x:v>400.6965410406</x:v>
      </x:c>
      <x:c r="F9" s="62" t="n">
        <x:v>0</x:v>
      </x:c>
      <x:c r="G9" s="66" t="n">
        <x:v>1</x:v>
      </x:c>
      <x:c r="H9" s="62" t="n">
        <x:f>IF(E9=0,"",I9/E9)</x:f>
        <x:v>561.5540544593201</x:v>
      </x:c>
      <x:c r="I9" s="60" t="n">
        <x:f>SUMIF('Species'!$G$2:$G$247,A9,'Species'!$U$2:$U$247)</x:f>
        <x:v>225012.76722917426</x:v>
      </x:c>
      <x:c r="J9" s="62" t="n">
        <x:v>3.7255770409450597</x:v>
      </x:c>
      <x:c r="K9" s="62" t="n">
        <x:f>IF(J9="","",(1/'Metadata'!$B$5)^(J9-1))</x:f>
        <x:v>531.5902917159135</x:v>
      </x:c>
      <x:c r="L9" s="60" t="n">
        <x:f>IF(E9=0,"",E9*K9)</x:f>
        <x:v>213006.39114133007</x:v>
      </x:c>
      <x:c r="M9" s="60" t="n">
        <x:f>I9-L9</x:f>
        <x:v>12006.376087844197</x:v>
      </x:c>
      <x:c r="N9" s="62" t="n">
        <x:f>IF(L9=0,"",I9/L9)</x:f>
        <x:v>1.0563662715635511</x:v>
      </x:c>
      <x:c r="O9" s="66" t="n">
        <x:f>IF(L9=0,"",M9/L9)</x:f>
        <x:v>0.056366271563551104</x:v>
      </x:c>
    </x:row>
    <x:row r="10" ht="18" customHeight="1">
      <x:c r="A10" s="46" t="str">
        <x:v>Large reef assoc. fish (&gt;=90 cm)</x:v>
      </x:c>
      <x:c r="B10" s="64" t="n">
        <x:v>3</x:v>
      </x:c>
      <x:c r="C10" s="64" t="n">
        <x:v>3</x:v>
      </x:c>
      <x:c r="D10" s="60" t="n">
        <x:v>3.5030766486</x:v>
      </x:c>
      <x:c r="E10" s="60" t="n">
        <x:v>3.5030766486</x:v>
      </x:c>
      <x:c r="F10" s="62" t="n">
        <x:v>0</x:v>
      </x:c>
      <x:c r="G10" s="66" t="n">
        <x:v>1</x:v>
      </x:c>
      <x:c r="H10" s="62" t="n">
        <x:f>IF(E10=0,"",I10/E10)</x:f>
        <x:v>836.8523608061678</x:v>
      </x:c>
      <x:c r="I10" s="60" t="n">
        <x:f>SUMIF('Species'!$G$2:$G$247,A10,'Species'!$U$2:$U$247)</x:f>
        <x:v>2931.5579634658684</x:v>
      </x:c>
      <x:c r="J10" s="62" t="n">
        <x:v>3.9216619394132657</x:v>
      </x:c>
      <x:c r="K10" s="62" t="n">
        <x:f>IF(J10="","",(1/'Metadata'!$B$5)^(J10-1))</x:f>
        <x:v>834.9528268470883</x:v>
      </x:c>
      <x:c r="L10" s="60" t="n">
        <x:f>IF(E10=0,"",E10*K10)</x:f>
        <x:v>2924.903750410594</x:v>
      </x:c>
      <x:c r="M10" s="60" t="n">
        <x:f>I10-L10</x:f>
        <x:v>6.65421305527434</x:v>
      </x:c>
      <x:c r="N10" s="62" t="n">
        <x:f>IF(L10=0,"",I10/L10)</x:f>
        <x:v>1.002275019495715</x:v>
      </x:c>
      <x:c r="O10" s="66" t="n">
        <x:f>IF(L10=0,"",M10/L10)</x:f>
        <x:v>0.002275019495715109</x:v>
      </x:c>
    </x:row>
    <x:row r="11" ht="18" customHeight="1">
      <x:c r="A11" s="46" t="str">
        <x:v>Large sharks (&gt;=90 cm)</x:v>
      </x:c>
      <x:c r="B11" s="64" t="n">
        <x:v>41</x:v>
      </x:c>
      <x:c r="C11" s="64" t="n">
        <x:v>41</x:v>
      </x:c>
      <x:c r="D11" s="60" t="n">
        <x:v>2039.8509761207997</x:v>
      </x:c>
      <x:c r="E11" s="60" t="n">
        <x:v>2039.8509761207997</x:v>
      </x:c>
      <x:c r="F11" s="62" t="n">
        <x:v>0</x:v>
      </x:c>
      <x:c r="G11" s="66" t="n">
        <x:v>1</x:v>
      </x:c>
      <x:c r="H11" s="62" t="n">
        <x:f>IF(E11=0,"",I11/E11)</x:f>
        <x:v>1328.737410542489</x:v>
      </x:c>
      <x:c r="I11" s="60" t="n">
        <x:f>SUMIF('Species'!$G$2:$G$247,A11,'Species'!$U$2:$U$247)</x:f>
        <x:v>2710426.30390332</x:v>
      </x:c>
      <x:c r="J11" s="62" t="n">
        <x:v>4.095873950339084</x:v>
      </x:c>
      <x:c r="K11" s="62" t="n">
        <x:f>IF(J11="","",(1/'Metadata'!$B$5)^(J11-1))</x:f>
        <x:v>1247.0215260984735</x:v>
      </x:c>
      <x:c r="L11" s="60" t="n">
        <x:f>IF(E11=0,"",E11*K11)</x:f>
        <x:v>2543738.0772556206</x:v>
      </x:c>
      <x:c r="M11" s="60" t="n">
        <x:f>I11-L11</x:f>
        <x:v>166688.22664769925</x:v>
      </x:c>
      <x:c r="N11" s="62" t="n">
        <x:f>IF(L11=0,"",I11/L11)</x:f>
        <x:v>1.0655288483268432</x:v>
      </x:c>
      <x:c r="O11" s="66" t="n">
        <x:f>IF(L11=0,"",M11/L11)</x:f>
        <x:v>0.06552884832684318</x:v>
      </x:c>
    </x:row>
    <x:row r="12" ht="18" customHeight="1">
      <x:c r="A12" s="46" t="str">
        <x:v>Lobsters, crabs</x:v>
      </x:c>
      <x:c r="B12" s="64" t="n">
        <x:v>15</x:v>
      </x:c>
      <x:c r="C12" s="64" t="n">
        <x:v>15</x:v>
      </x:c>
      <x:c r="D12" s="60" t="n">
        <x:v>2767.5403530471995</x:v>
      </x:c>
      <x:c r="E12" s="60" t="n">
        <x:v>2767.5403530471995</x:v>
      </x:c>
      <x:c r="F12" s="62" t="n">
        <x:v>0</x:v>
      </x:c>
      <x:c r="G12" s="66" t="n">
        <x:v>1</x:v>
      </x:c>
      <x:c r="H12" s="62" t="n">
        <x:f>IF(E12=0,"",I12/E12)</x:f>
        <x:v>68.50117271983443</x:v>
      </x:c>
      <x:c r="I12" s="60" t="n">
        <x:f>SUMIF('Species'!$G$2:$G$247,A12,'Species'!$U$2:$U$247)</x:f>
        <x:v>189579.75973319774</x:v>
      </x:c>
      <x:c r="J12" s="62" t="n">
        <x:v>2.6836858255569234</x:v>
      </x:c>
      <x:c r="K12" s="62" t="n">
        <x:f>IF(J12="","",(1/'Metadata'!$B$5)^(J12-1))</x:f>
        <x:v>48.2709477202959</x:v>
      </x:c>
      <x:c r="L12" s="60" t="n">
        <x:f>IF(E12=0,"",E12*K12)</x:f>
        <x:v>133591.79569575062</x:v>
      </x:c>
      <x:c r="M12" s="60" t="n">
        <x:f>I12-L12</x:f>
        <x:v>55987.96403744712</x:v>
      </x:c>
      <x:c r="N12" s="62" t="n">
        <x:f>IF(L12=0,"",I12/L12)</x:f>
        <x:v>1.4190973236482067</x:v>
      </x:c>
      <x:c r="O12" s="66" t="n">
        <x:f>IF(L12=0,"",M12/L12)</x:f>
        <x:v>0.4190973236482068</x:v>
      </x:c>
    </x:row>
    <x:row r="13" ht="18" customHeight="1">
      <x:c r="A13" s="46" t="str">
        <x:v>Medium bathydemersals (30 - 89 cm)</x:v>
      </x:c>
      <x:c r="B13" s="64" t="n">
        <x:v>8</x:v>
      </x:c>
      <x:c r="C13" s="64" t="n">
        <x:v>8</x:v>
      </x:c>
      <x:c r="D13" s="60" t="n">
        <x:v>350.60251743059996</x:v>
      </x:c>
      <x:c r="E13" s="60" t="n">
        <x:v>350.60251743059996</x:v>
      </x:c>
      <x:c r="F13" s="62" t="n">
        <x:v>0</x:v>
      </x:c>
      <x:c r="G13" s="66" t="n">
        <x:v>1</x:v>
      </x:c>
      <x:c r="H13" s="62" t="n">
        <x:f>IF(E13=0,"",I13/E13)</x:f>
        <x:v>1057.4423803718184</x:v>
      </x:c>
      <x:c r="I13" s="60" t="n">
        <x:f>SUMIF('Species'!$G$2:$G$247,A13,'Species'!$U$2:$U$247)</x:f>
        <x:v>370741.9605961656</x:v>
      </x:c>
      <x:c r="J13" s="62" t="n">
        <x:v>3.8857224872408382</x:v>
      </x:c>
      <x:c r="K13" s="62" t="n">
        <x:f>IF(J13="","",(1/'Metadata'!$B$5)^(J13-1))</x:f>
        <x:v>768.6391254318289</x:v>
      </x:c>
      <x:c r="L13" s="60" t="n">
        <x:f>IF(E13=0,"",E13*K13)</x:f>
        <x:v>269486.8123720539</x:v>
      </x:c>
      <x:c r="M13" s="60" t="n">
        <x:f>I13-L13</x:f>
        <x:v>101255.1482241117</x:v>
      </x:c>
      <x:c r="N13" s="62" t="n">
        <x:f>IF(L13=0,"",I13/L13)</x:f>
        <x:v>1.3757332217218803</x:v>
      </x:c>
      <x:c r="O13" s="66" t="n">
        <x:f>IF(L13=0,"",M13/L13)</x:f>
        <x:v>0.37573322172188034</x:v>
      </x:c>
    </x:row>
    <x:row r="14" ht="18" customHeight="1">
      <x:c r="A14" s="46" t="str">
        <x:v>Medium bathypelagics (30 - 89 cm)</x:v>
      </x:c>
      <x:c r="B14" s="64" t="n">
        <x:v>10</x:v>
      </x:c>
      <x:c r="C14" s="64" t="n">
        <x:v>10</x:v>
      </x:c>
      <x:c r="D14" s="60" t="n">
        <x:v>422.18943037639997</x:v>
      </x:c>
      <x:c r="E14" s="60" t="n">
        <x:v>422.18943037639997</x:v>
      </x:c>
      <x:c r="F14" s="62" t="n">
        <x:v>0</x:v>
      </x:c>
      <x:c r="G14" s="66" t="n">
        <x:v>1</x:v>
      </x:c>
      <x:c r="H14" s="62" t="n">
        <x:f>IF(E14=0,"",I14/E14)</x:f>
        <x:v>1279.8873628586616</x:v>
      </x:c>
      <x:c r="I14" s="60" t="n">
        <x:f>SUMIF('Species'!$G$2:$G$247,A14,'Species'!$U$2:$U$247)</x:f>
        <x:v>540354.9166712511</x:v>
      </x:c>
      <x:c r="J14" s="62" t="n">
        <x:v>4.049692526864</x:v>
      </x:c>
      <x:c r="K14" s="62" t="n">
        <x:f>IF(J14="","",(1/'Metadata'!$B$5)^(J14-1))</x:f>
        <x:v>1121.2243653778494</x:v>
      </x:c>
      <x:c r="L14" s="60" t="n">
        <x:f>IF(E14=0,"",E14*K14)</x:f>
        <x:v>473369.07614301477</x:v>
      </x:c>
      <x:c r="M14" s="60" t="n">
        <x:f>I14-L14</x:f>
        <x:v>66985.8405282363</x:v>
      </x:c>
      <x:c r="N14" s="62" t="n">
        <x:f>IF(L14=0,"",I14/L14)</x:f>
        <x:v>1.1415086956546323</x:v>
      </x:c>
      <x:c r="O14" s="66" t="n">
        <x:f>IF(L14=0,"",M14/L14)</x:f>
        <x:v>0.1415086956546322</x:v>
      </x:c>
    </x:row>
    <x:row r="15" ht="18" customHeight="1">
      <x:c r="A15" s="46" t="str">
        <x:v>Medium benthopelagics (30 - 89 cm)</x:v>
      </x:c>
      <x:c r="B15" s="64" t="n">
        <x:v>15</x:v>
      </x:c>
      <x:c r="C15" s="64" t="n">
        <x:v>15</x:v>
      </x:c>
      <x:c r="D15" s="60" t="n">
        <x:v>5396.2937264677985</x:v>
      </x:c>
      <x:c r="E15" s="60" t="n">
        <x:v>5396.2937264677985</x:v>
      </x:c>
      <x:c r="F15" s="62" t="n">
        <x:v>0</x:v>
      </x:c>
      <x:c r="G15" s="66" t="n">
        <x:v>1</x:v>
      </x:c>
      <x:c r="H15" s="62" t="n">
        <x:f>IF(E15=0,"",I15/E15)</x:f>
        <x:v>656.4453002212603</x:v>
      </x:c>
      <x:c r="I15" s="60" t="n">
        <x:f>SUMIF('Species'!$G$2:$G$247,A15,'Species'!$U$2:$U$247)</x:f>
        <x:v>3542371.6553532574</x:v>
      </x:c>
      <x:c r="J15" s="62" t="n">
        <x:v>3.7392578248315163</x:v>
      </x:c>
      <x:c r="K15" s="62" t="n">
        <x:f>IF(J15="","",(1/'Metadata'!$B$5)^(J15-1))</x:f>
        <x:v>548.6025536406569</x:v>
      </x:c>
      <x:c r="L15" s="60" t="n">
        <x:f>IF(E15=0,"",E15*K15)</x:f>
        <x:v>2960420.518535291</x:v>
      </x:c>
      <x:c r="M15" s="60" t="n">
        <x:f>I15-L15</x:f>
        <x:v>581951.1368179666</x:v>
      </x:c>
      <x:c r="N15" s="62" t="n">
        <x:f>IF(L15=0,"",I15/L15)</x:f>
        <x:v>1.1965771866443808</x:v>
      </x:c>
      <x:c r="O15" s="66" t="n">
        <x:f>IF(L15=0,"",M15/L15)</x:f>
        <x:v>0.19657718664438084</x:v>
      </x:c>
    </x:row>
    <x:row r="16" ht="18" customHeight="1">
      <x:c r="A16" s="46" t="str">
        <x:v>Medium demersals (30 - 89 cm)</x:v>
      </x:c>
      <x:c r="B16" s="64" t="n">
        <x:v>17</x:v>
      </x:c>
      <x:c r="C16" s="64" t="n">
        <x:v>17</x:v>
      </x:c>
      <x:c r="D16" s="60" t="n">
        <x:v>5539.8491279311</x:v>
      </x:c>
      <x:c r="E16" s="60" t="n">
        <x:v>5539.8491279311</x:v>
      </x:c>
      <x:c r="F16" s="62" t="n">
        <x:v>0</x:v>
      </x:c>
      <x:c r="G16" s="66" t="n">
        <x:v>1</x:v>
      </x:c>
      <x:c r="H16" s="62" t="n">
        <x:f>IF(E16=0,"",I16/E16)</x:f>
        <x:v>259.30215798486086</x:v>
      </x:c>
      <x:c r="I16" s="60" t="n">
        <x:f>SUMIF('Species'!$G$2:$G$247,A16,'Species'!$U$2:$U$247)</x:f>
        <x:v>1436494.8337830838</x:v>
      </x:c>
      <x:c r="J16" s="62" t="n">
        <x:v>3.3762873695553104</x:v>
      </x:c>
      <x:c r="K16" s="62" t="n">
        <x:f>IF(J16="","",(1/'Metadata'!$B$5)^(J16-1))</x:f>
        <x:v>237.84135453078127</x:v>
      </x:c>
      <x:c r="L16" s="60" t="n">
        <x:f>IF(E16=0,"",E16*K16)</x:f>
        <x:v>1317605.2204833003</x:v>
      </x:c>
      <x:c r="M16" s="60" t="n">
        <x:f>I16-L16</x:f>
        <x:v>118889.61329978355</x:v>
      </x:c>
      <x:c r="N16" s="62" t="n">
        <x:f>IF(L16=0,"",I16/L16)</x:f>
        <x:v>1.0902315894408605</x:v>
      </x:c>
      <x:c r="O16" s="66" t="n">
        <x:f>IF(L16=0,"",M16/L16)</x:f>
        <x:v>0.09023158944086045</x:v>
      </x:c>
    </x:row>
    <x:row r="17" ht="18" customHeight="1">
      <x:c r="A17" s="46" t="str">
        <x:v>Medium pelagics (30 - 89 cm)</x:v>
      </x:c>
      <x:c r="B17" s="64" t="n">
        <x:v>22</x:v>
      </x:c>
      <x:c r="C17" s="64" t="n">
        <x:v>22</x:v>
      </x:c>
      <x:c r="D17" s="60" t="n">
        <x:v>4804.6659142533</x:v>
      </x:c>
      <x:c r="E17" s="60" t="n">
        <x:v>4804.6659142533</x:v>
      </x:c>
      <x:c r="F17" s="62" t="n">
        <x:v>0</x:v>
      </x:c>
      <x:c r="G17" s="66" t="n">
        <x:v>1</x:v>
      </x:c>
      <x:c r="H17" s="62" t="n">
        <x:f>IF(E17=0,"",I17/E17)</x:f>
        <x:v>713.9867015490208</x:v>
      </x:c>
      <x:c r="I17" s="60" t="n">
        <x:f>SUMIF('Species'!$G$2:$G$247,A17,'Species'!$U$2:$U$247)</x:f>
        <x:v>3430467.568162724</x:v>
      </x:c>
      <x:c r="J17" s="62" t="n">
        <x:v>3.4646523575534545</x:v>
      </x:c>
      <x:c r="K17" s="62" t="n">
        <x:f>IF(J17="","",(1/'Metadata'!$B$5)^(J17-1))</x:f>
        <x:v>291.50926172147217</x:v>
      </x:c>
      <x:c r="L17" s="60" t="n">
        <x:f>IF(E17=0,"",E17*K17)</x:f>
        <x:v>1400604.6134823016</x:v>
      </x:c>
      <x:c r="M17" s="60" t="n">
        <x:f>I17-L17</x:f>
        <x:v>2029862.9546804223</x:v>
      </x:c>
      <x:c r="N17" s="62" t="n">
        <x:f>IF(L17=0,"",I17/L17)</x:f>
        <x:v>2.449276216243216</x:v>
      </x:c>
      <x:c r="O17" s="66" t="n">
        <x:f>IF(L17=0,"",M17/L17)</x:f>
        <x:v>1.4492762162432162</x:v>
      </x:c>
    </x:row>
    <x:row r="18" ht="18" customHeight="1">
      <x:c r="A18" s="46" t="str">
        <x:v>Medium reef assoc. fish (30 - 89 cm)</x:v>
      </x:c>
      <x:c r="B18" s="64" t="n">
        <x:v>11</x:v>
      </x:c>
      <x:c r="C18" s="64" t="n">
        <x:v>11</x:v>
      </x:c>
      <x:c r="D18" s="60" t="n">
        <x:v>454.33170608010005</x:v>
      </x:c>
      <x:c r="E18" s="60" t="n">
        <x:v>454.33170608010005</x:v>
      </x:c>
      <x:c r="F18" s="62" t="n">
        <x:v>0</x:v>
      </x:c>
      <x:c r="G18" s="66" t="n">
        <x:v>1</x:v>
      </x:c>
      <x:c r="H18" s="62" t="n">
        <x:f>IF(E18=0,"",I18/E18)</x:f>
        <x:v>243.89091287517383</x:v>
      </x:c>
      <x:c r="I18" s="60" t="n">
        <x:f>SUMIF('Species'!$G$2:$G$247,A18,'Species'!$U$2:$U$247)</x:f>
        <x:v>110807.37454401076</x:v>
      </x:c>
      <x:c r="J18" s="62" t="n">
        <x:v>2.960140107100704</x:v>
      </x:c>
      <x:c r="K18" s="62" t="n">
        <x:f>IF(J18="","",(1/'Metadata'!$B$5)^(J18-1))</x:f>
        <x:v>91.2305109288831</x:v>
      </x:c>
      <x:c r="L18" s="60" t="n">
        <x:f>IF(E18=0,"",E18*K18)</x:f>
        <x:v>41448.91367687868</x:v>
      </x:c>
      <x:c r="M18" s="60" t="n">
        <x:f>I18-L18</x:f>
        <x:v>69358.46086713209</x:v>
      </x:c>
      <x:c r="N18" s="62" t="n">
        <x:f>IF(L18=0,"",I18/L18)</x:f>
        <x:v>2.673348098042485</x:v>
      </x:c>
      <x:c r="O18" s="66" t="n">
        <x:f>IF(L18=0,"",M18/L18)</x:f>
        <x:v>1.6733480980424853</x:v>
      </x:c>
    </x:row>
    <x:row r="19" ht="18" customHeight="1">
      <x:c r="A19" s="46" t="str">
        <x:v>Other demersal invertebrates</x:v>
      </x:c>
      <x:c r="B19" s="64" t="n">
        <x:v>16</x:v>
      </x:c>
      <x:c r="C19" s="64" t="n">
        <x:v>16</x:v>
      </x:c>
      <x:c r="D19" s="60" t="n">
        <x:v>1328.2803925242</x:v>
      </x:c>
      <x:c r="E19" s="60" t="n">
        <x:v>1328.2803925242</x:v>
      </x:c>
      <x:c r="F19" s="62" t="n">
        <x:v>0</x:v>
      </x:c>
      <x:c r="G19" s="66" t="n">
        <x:v>1</x:v>
      </x:c>
      <x:c r="H19" s="62" t="n">
        <x:f>IF(E19=0,"",I19/E19)</x:f>
        <x:v>10.410117257791907</x:v>
      </x:c>
      <x:c r="I19" s="60" t="n">
        <x:f>SUMIF('Species'!$G$2:$G$247,A19,'Species'!$U$2:$U$247)</x:f>
        <x:v>13827.554637402782</x:v>
      </x:c>
      <x:c r="J19" s="62" t="n">
        <x:v>2.0079974960636355</x:v>
      </x:c>
      <x:c r="K19" s="62" t="n">
        <x:f>IF(J19="","",(1/'Metadata'!$B$5)^(J19-1))</x:f>
        <x:v>10.185855153553586</x:v>
      </x:c>
      <x:c r="L19" s="60" t="n">
        <x:f>IF(E19=0,"",E19*K19)</x:f>
        <x:v>13529.671681556802</x:v>
      </x:c>
      <x:c r="M19" s="60" t="n">
        <x:f>I19-L19</x:f>
        <x:v>297.8829558459802</x:v>
      </x:c>
      <x:c r="N19" s="62" t="n">
        <x:f>IF(L19=0,"",I19/L19)</x:f>
        <x:v>1.022017012892637</x:v>
      </x:c>
      <x:c r="O19" s="66" t="n">
        <x:f>IF(L19=0,"",M19/L19)</x:f>
        <x:v>0.02201701289263688</x:v>
      </x:c>
    </x:row>
    <x:row r="20" ht="18" customHeight="1">
      <x:c r="A20" s="46" t="str">
        <x:v>Shrimps</x:v>
      </x:c>
      <x:c r="B20" s="64" t="n">
        <x:v>3</x:v>
      </x:c>
      <x:c r="C20" s="64" t="n">
        <x:v>3</x:v>
      </x:c>
      <x:c r="D20" s="60" t="n">
        <x:v>378.75860584590004</x:v>
      </x:c>
      <x:c r="E20" s="60" t="n">
        <x:v>378.75860584590004</x:v>
      </x:c>
      <x:c r="F20" s="62" t="n">
        <x:v>0</x:v>
      </x:c>
      <x:c r="G20" s="66" t="n">
        <x:v>1</x:v>
      </x:c>
      <x:c r="H20" s="62" t="n">
        <x:f>IF(E20=0,"",I20/E20)</x:f>
        <x:v>317.9523086489826</x:v>
      </x:c>
      <x:c r="I20" s="60" t="n">
        <x:f>SUMIF('Species'!$G$2:$G$247,A20,'Species'!$U$2:$U$247)</x:f>
        <x:v>120427.17314937394</x:v>
      </x:c>
      <x:c r="J20" s="62" t="n">
        <x:v>3.4691972860412927</x:v>
      </x:c>
      <x:c r="K20" s="62" t="n">
        <x:f>IF(J20="","",(1/'Metadata'!$B$5)^(J20-1))</x:f>
        <x:v>294.5759493874832</x:v>
      </x:c>
      <x:c r="L20" s="60" t="n">
        <x:f>IF(E20=0,"",E20*K20)</x:f>
        <x:v>111573.17590573555</x:v>
      </x:c>
      <x:c r="M20" s="60" t="n">
        <x:f>I20-L20</x:f>
        <x:v>8853.997243638383</x:v>
      </x:c>
      <x:c r="N20" s="62" t="n">
        <x:f>IF(L20=0,"",I20/L20)</x:f>
        <x:v>1.0793559668062047</x:v>
      </x:c>
      <x:c r="O20" s="66" t="n">
        <x:f>IF(L20=0,"",M20/L20)</x:f>
        <x:v>0.07935596680620466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15.163032919899997</x:v>
      </x:c>
      <x:c r="E21" s="60" t="n">
        <x:v>15.163032919899997</x:v>
      </x:c>
      <x:c r="F21" s="62" t="n">
        <x:v>0</x:v>
      </x:c>
      <x:c r="G21" s="66" t="n">
        <x:v>1</x:v>
      </x:c>
      <x:c r="H21" s="62" t="n">
        <x:f>IF(E21=0,"",I21/E21)</x:f>
        <x:v>153.43941985733423</x:v>
      </x:c>
      <x:c r="I21" s="60" t="n">
        <x:f>SUMIF('Species'!$G$2:$G$247,A21,'Species'!$U$2:$U$247)</x:f>
        <x:v>2326.6069745071163</x:v>
      </x:c>
      <x:c r="J21" s="62" t="n">
        <x:v>3.182526000095452</x:v>
      </x:c>
      <x:c r="K21" s="62" t="n">
        <x:f>IF(J21="","",(1/'Metadata'!$B$5)^(J21-1))</x:f>
        <x:v>152.23902717486493</x:v>
      </x:c>
      <x:c r="L21" s="60" t="n">
        <x:f>IF(E21=0,"",E21*K21)</x:f>
        <x:v>2308.4053807460273</x:v>
      </x:c>
      <x:c r="M21" s="60" t="n">
        <x:f>I21-L21</x:f>
        <x:v>18.201593761089043</x:v>
      </x:c>
      <x:c r="N21" s="62" t="n">
        <x:f>IF(L21=0,"",I21/L21)</x:f>
        <x:v>1.0078849208691443</x:v>
      </x:c>
      <x:c r="O21" s="66" t="n">
        <x:f>IF(L21=0,"",M21/L21)</x:f>
        <x:v>0.00788492086914417</x:v>
      </x:c>
    </x:row>
    <x:row r="22" ht="18" customHeight="1">
      <x:c r="A22" s="46" t="str">
        <x:v>Small demersals (&lt;30 cm)</x:v>
      </x:c>
      <x:c r="B22" s="64" t="n">
        <x:v>1</x:v>
      </x:c>
      <x:c r="C22" s="64" t="n">
        <x:v>1</x:v>
      </x:c>
      <x:c r="D22" s="60" t="n">
        <x:v>9.0018830511</x:v>
      </x:c>
      <x:c r="E22" s="60" t="n">
        <x:v>9.0018830511</x:v>
      </x:c>
      <x:c r="F22" s="62" t="n">
        <x:v>0</x:v>
      </x:c>
      <x:c r="G22" s="66" t="n">
        <x:v>1</x:v>
      </x:c>
      <x:c r="H22" s="62" t="n">
        <x:f>IF(E22=0,"",I22/E22)</x:f>
        <x:v>295.1209226666387</x:v>
      </x:c>
      <x:c r="I22" s="60" t="n">
        <x:f>SUMIF('Species'!$G$2:$G$247,A22,'Species'!$U$2:$U$247)</x:f>
        <x:v>2656.644031777809</x:v>
      </x:c>
      <x:c r="J22" s="62" t="n">
        <x:v>3.47</x:v>
      </x:c>
      <x:c r="K22" s="62" t="n">
        <x:f>IF(J22="","",(1/'Metadata'!$B$5)^(J22-1))</x:f>
        <x:v>295.1209226666387</x:v>
      </x:c>
      <x:c r="L22" s="60" t="n">
        <x:f>IF(E22=0,"",E22*K22)</x:f>
        <x:v>2656.644031777809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pelagics (&lt;30 cm)</x:v>
      </x:c>
      <x:c r="B23" s="64" t="n">
        <x:v>10</x:v>
      </x:c>
      <x:c r="C23" s="64" t="n">
        <x:v>10</x:v>
      </x:c>
      <x:c r="D23" s="60" t="n">
        <x:v>33.324033166300005</x:v>
      </x:c>
      <x:c r="E23" s="60" t="n">
        <x:v>33.324033166300005</x:v>
      </x:c>
      <x:c r="F23" s="62" t="n">
        <x:v>0</x:v>
      </x:c>
      <x:c r="G23" s="66" t="n">
        <x:v>1</x:v>
      </x:c>
      <x:c r="H23" s="62" t="n">
        <x:f>IF(E23=0,"",I23/E23)</x:f>
        <x:v>199.2422975891925</x:v>
      </x:c>
      <x:c r="I23" s="60" t="n">
        <x:f>SUMIF('Species'!$G$2:$G$247,A23,'Species'!$U$2:$U$247)</x:f>
        <x:v>6639.556932992066</x:v>
      </x:c>
      <x:c r="J23" s="62" t="n">
        <x:v>3.206971598226079</x:v>
      </x:c>
      <x:c r="K23" s="62" t="n">
        <x:f>IF(J23="","",(1/'Metadata'!$B$5)^(J23-1))</x:f>
        <x:v>161.05403064224953</x:v>
      </x:c>
      <x:c r="L23" s="60" t="n">
        <x:f>IF(E23=0,"",E23*K23)</x:f>
        <x:v>5366.969858688621</x:v>
      </x:c>
      <x:c r="M23" s="60" t="n">
        <x:f>I23-L23</x:f>
        <x:v>1272.5870743034457</x:v>
      </x:c>
      <x:c r="N23" s="62" t="n">
        <x:f>IF(L23=0,"",I23/L23)</x:f>
        <x:v>1.23711463037998</x:v>
      </x:c>
      <x:c r="O23" s="66" t="n">
        <x:f>IF(L23=0,"",M23/L23)</x:f>
        <x:v>0.23711463037997998</x:v>
      </x:c>
    </x:row>
    <x:row r="24" ht="18" customHeight="1">
      <x:c r="A24" s="46" t="str">
        <x:v>Small reef assoc. fish (&lt;30 cm)</x:v>
      </x:c>
      <x:c r="B24" s="64" t="n">
        <x:v>4</x:v>
      </x:c>
      <x:c r="C24" s="64" t="n">
        <x:v>4</x:v>
      </x:c>
      <x:c r="D24" s="60" t="n">
        <x:v>8.815285964699997</x:v>
      </x:c>
      <x:c r="E24" s="60" t="n">
        <x:v>8.815285964699997</x:v>
      </x:c>
      <x:c r="F24" s="62" t="n">
        <x:v>0</x:v>
      </x:c>
      <x:c r="G24" s="66" t="n">
        <x:v>1</x:v>
      </x:c>
      <x:c r="H24" s="62" t="n">
        <x:f>IF(E24=0,"",I24/E24)</x:f>
        <x:v>198.0318228052644</x:v>
      </x:c>
      <x:c r="I24" s="60" t="n">
        <x:f>SUMIF('Species'!$G$2:$G$247,A24,'Species'!$U$2:$U$247)</x:f>
        <x:v>1745.707148139204</x:v>
      </x:c>
      <x:c r="J24" s="62" t="n">
        <x:v>3.2932768547058684</x:v>
      </x:c>
      <x:c r="K24" s="62" t="n">
        <x:f>IF(J24="","",(1/'Metadata'!$B$5)^(J24-1))</x:f>
        <x:v>196.4612281749594</x:v>
      </x:c>
      <x:c r="L24" s="60" t="n">
        <x:f>IF(E24=0,"",E24*K24)</x:f>
        <x:v>1731.8619073384432</x:v>
      </x:c>
      <x:c r="M24" s="60" t="n">
        <x:f>I24-L24</x:f>
        <x:v>13.845240800760848</x:v>
      </x:c>
      <x:c r="N24" s="62" t="n">
        <x:f>IF(L24=0,"",I24/L24)</x:f>
        <x:v>1.0079944253881294</x:v>
      </x:c>
      <x:c r="O24" s="66" t="n">
        <x:f>IF(L24=0,"",M24/L24)</x:f>
        <x:v>0.00799442538812951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6.196614375099999</x:v>
      </x:c>
      <x:c r="E25" s="60" t="n">
        <x:v>6.196614375099999</x:v>
      </x:c>
      <x:c r="F25" s="62" t="n">
        <x:v>0</x:v>
      </x:c>
      <x:c r="G25" s="66" t="n">
        <x:v>1</x:v>
      </x:c>
      <x:c r="H25" s="62" t="n">
        <x:f>IF(E25=0,"",I25/E25)</x:f>
        <x:v>371.5245091103497</x:v>
      </x:c>
      <x:c r="I25" s="60" t="n">
        <x:f>SUMIF('Species'!$G$2:$G$247,A25,'Species'!$U$2:$U$247)</x:f>
        <x:v>2302.194113855164</x:v>
      </x:c>
      <x:c r="J25" s="62" t="n">
        <x:v>3.5699194948867556</x:v>
      </x:c>
      <x:c r="K25" s="62" t="n">
        <x:f>IF(J25="","",(1/'Metadata'!$B$5)^(J25-1))</x:f>
        <x:v>371.46636404164275</x:v>
      </x:c>
      <x:c r="L25" s="60" t="n">
        <x:f>IF(E25=0,"",E25*K25)</x:f>
        <x:v>2301.833811286573</x:v>
      </x:c>
      <x:c r="M25" s="60" t="n">
        <x:f>I25-L25</x:f>
        <x:v>0.36030256859066867</x:v>
      </x:c>
      <x:c r="N25" s="62" t="n">
        <x:f>IF(L25=0,"",I25/L25)</x:f>
        <x:v>1.0001565284890785</x:v>
      </x:c>
      <x:c r="O25" s="66" t="n">
        <x:f>IF(L25=0,"",M25/L25)</x:f>
        <x:v>0.0001565284890785766</x:v>
      </x:c>
    </x:row>
    <x:row r="26" ht="18" customHeight="1">
      <x:c r="A26" s="46" t="str">
        <x:v>Small to medium rays (&lt;90 cm)</x:v>
      </x:c>
      <x:c r="B26" s="64" t="n">
        <x:v>2</x:v>
      </x:c>
      <x:c r="C26" s="64" t="n">
        <x:v>2</x:v>
      </x:c>
      <x:c r="D26" s="60" t="n">
        <x:v>136.033596507</x:v>
      </x:c>
      <x:c r="E26" s="60" t="n">
        <x:v>136.033596507</x:v>
      </x:c>
      <x:c r="F26" s="62" t="n">
        <x:v>0</x:v>
      </x:c>
      <x:c r="G26" s="66" t="n">
        <x:v>1</x:v>
      </x:c>
      <x:c r="H26" s="62" t="n">
        <x:f>IF(E26=0,"",I26/E26)</x:f>
        <x:v>362.1536688508246</x:v>
      </x:c>
      <x:c r="I26" s="60" t="n">
        <x:f>SUMIF('Species'!$G$2:$G$247,A26,'Species'!$U$2:$U$247)</x:f>
        <x:v>49265.06606198277</x:v>
      </x:c>
      <x:c r="J26" s="62" t="n">
        <x:v>3.5512537570404397</x:v>
      </x:c>
      <x:c r="K26" s="62" t="n">
        <x:f>IF(J26="","",(1/'Metadata'!$B$5)^(J26-1))</x:f>
        <x:v>355.83917366369144</x:v>
      </x:c>
      <x:c r="L26" s="60" t="n">
        <x:f>IF(E26=0,"",E26*K26)</x:f>
        <x:v>48406.082571550905</x:v>
      </x:c>
      <x:c r="M26" s="60" t="n">
        <x:f>I26-L26</x:f>
        <x:v>858.9834904318632</x:v>
      </x:c>
      <x:c r="N26" s="62" t="n">
        <x:f>IF(L26=0,"",I26/L26)</x:f>
        <x:v>1.0177453626651602</x:v>
      </x:c>
      <x:c r="O26" s="66" t="n">
        <x:f>IF(L26=0,"",M26/L26)</x:f>
        <x:v>0.01774536266516024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0.7409678145999999</x:v>
      </x:c>
      <x:c r="E27" s="60" t="n">
        <x:v>0.7409678145999999</x:v>
      </x:c>
      <x:c r="F27" s="62" t="n">
        <x:v>0</x:v>
      </x:c>
      <x:c r="G27" s="66" t="n">
        <x:v>1</x:v>
      </x:c>
      <x:c r="H27" s="62" t="n">
        <x:f>IF(E27=0,"",I27/E27)</x:f>
        <x:v>2270.8296117295204</x:v>
      </x:c>
      <x:c r="I27" s="60" t="n">
        <x:f>SUMIF('Species'!$G$2:$G$247,A27,'Species'!$U$2:$U$247)</x:f>
        <x:v>1682.6116547321892</x:v>
      </x:c>
      <x:c r="J27" s="62" t="n">
        <x:v>4.350194498524984</x:v>
      </x:c>
      <x:c r="K27" s="62" t="n">
        <x:f>IF(J27="","",(1/'Metadata'!$B$5)^(J27-1))</x:f>
        <x:v>2239.72397303915</x:v>
      </x:c>
      <x:c r="L27" s="60" t="n">
        <x:f>IF(E27=0,"",E27*K27)</x:f>
        <x:v>1659.5633776100483</x:v>
      </x:c>
      <x:c r="M27" s="60" t="n">
        <x:f>I27-L27</x:f>
        <x:v>23.048277122140917</x:v>
      </x:c>
      <x:c r="N27" s="62" t="n">
        <x:f>IF(L27=0,"",I27/L27)</x:f>
        <x:v>1.0138881572304475</x:v>
      </x:c>
      <x:c r="O27" s="66" t="n">
        <x:f>IF(L27=0,"",M27/L27)</x:f>
        <x:v>0.01388815723044753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1709934478640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LME_042</x:v>
      </x:c>
      <x:c r="B2" s="46" t="str">
        <x:v>raw_filtered_tonnes</x:v>
      </x:c>
      <x:c r="C2" s="46" t="n">
        <x:v>32645.754357906102</x:v>
      </x:c>
      <x:c r="D2" s="46" t="str">
        <x:v>tonnes</x:v>
      </x:c>
    </x:row>
    <x:row r="3" ht="18" customHeight="1">
      <x:c r="A3" s="46" t="str">
        <x:v>LME_042</x:v>
      </x:c>
      <x:c r="B3" s="46" t="str">
        <x:v>species_catch_tonnes</x:v>
      </x:c>
      <x:c r="C3" s="46" t="n">
        <x:v>32645.7543579061</x:v>
      </x:c>
      <x:c r="D3" s="46" t="str">
        <x:v>tonnes</x:v>
      </x:c>
    </x:row>
    <x:row r="4" ht="18" customHeight="1">
      <x:c r="A4" s="46" t="str">
        <x:v>LME_042</x:v>
      </x:c>
      <x:c r="B4" s="46" t="str">
        <x:v>catch_difference_tonnes</x:v>
      </x:c>
      <x:c r="C4" s="46" t="n">
        <x:v>-3.637978807091713e-12</x:v>
      </x:c>
      <x:c r="D4" s="46" t="str">
        <x:v>tonnes</x:v>
      </x:c>
    </x:row>
    <x:row r="5" ht="18" customHeight="1">
      <x:c r="A5" s="46" t="str">
        <x:v>LME_042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LME_042</x:v>
      </x:c>
      <x:c r="B6" s="46" t="str">
        <x:v>matched_catch_tonnes</x:v>
      </x:c>
      <x:c r="C6" s="46" t="n">
        <x:v>32645.7543579061</x:v>
      </x:c>
      <x:c r="D6" s="46" t="str">
        <x:v>tonnes</x:v>
      </x:c>
    </x:row>
    <x:row r="7" ht="18" customHeight="1">
      <x:c r="A7" s="46" t="str">
        <x:v>LME_042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LME_042</x:v>
      </x:c>
      <x:c r="B8" s="46" t="str">
        <x:v>taxa_count</x:v>
      </x:c>
      <x:c r="C8" s="46" t="n">
        <x:v>246</x:v>
      </x:c>
      <x:c r="D8" s="46" t="str">
        <x:v>count</x:v>
      </x:c>
    </x:row>
    <x:row r="9" ht="18" customHeight="1">
      <x:c r="A9" s="46" t="str">
        <x:v>LME_042</x:v>
      </x:c>
      <x:c r="B9" s="46" t="str">
        <x:v>matched_taxa_count</x:v>
      </x:c>
      <x:c r="C9" s="46" t="n">
        <x:v>246</x:v>
      </x:c>
      <x:c r="D9" s="46" t="str">
        <x:v>count</x:v>
      </x:c>
    </x:row>
    <x:row r="10" ht="18" customHeight="1">
      <x:c r="A10" s="46" t="str">
        <x:v>LME_042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LME_042</x:v>
      </x:c>
      <x:c r="B11" s="46" t="str">
        <x:v>species_ppr</x:v>
      </x:c>
      <x:c r="C11" s="46" t="n">
        <x:v>22122834.477210246</x:v>
      </x:c>
      <x:c r="D11" s="46" t="str">
        <x:v>tonnes_primary_production_equivalent</x:v>
      </x:c>
    </x:row>
    <x:row r="12" ht="18" customHeight="1">
      <x:c r="A12" s="46" t="str">
        <x:v>LME_042</x:v>
      </x:c>
      <x:c r="B12" s="46" t="str">
        <x:v>commercial_ppr</x:v>
      </x:c>
      <x:c r="C12" s="46" t="n">
        <x:v>22122834.477210242</x:v>
      </x:c>
      <x:c r="D12" s="46" t="str">
        <x:v>tonnes_primary_production_equivalent</x:v>
      </x:c>
    </x:row>
    <x:row r="13" ht="18" customHeight="1">
      <x:c r="A13" s="46" t="str">
        <x:v>LME_042</x:v>
      </x:c>
      <x:c r="B13" s="46" t="str">
        <x:v>functional_ppr</x:v>
      </x:c>
      <x:c r="C13" s="46" t="n">
        <x:v>22122834.47721024</x:v>
      </x:c>
      <x:c r="D13" s="46" t="str">
        <x:v>tonnes_primary_production_equivalent</x:v>
      </x:c>
    </x:row>
    <x:row r="14" ht="18" customHeight="1">
      <x:c r="A14" s="46" t="str">
        <x:v>LME_042</x:v>
      </x:c>
      <x:c r="B14" s="46" t="str">
        <x:v>commercial_ppr_difference</x:v>
      </x:c>
      <x:c r="C14" s="46" t="n">
        <x:v>-3.725290298461914e-9</x:v>
      </x:c>
      <x:c r="D14" s="46" t="str">
        <x:v>tonnes_primary_production_equivalent</x:v>
      </x:c>
    </x:row>
    <x:row r="15" ht="18" customHeight="1">
      <x:c r="A15" s="46" t="str">
        <x:v>LME_042</x:v>
      </x:c>
      <x:c r="B15" s="46" t="str">
        <x:v>functional_ppr_difference</x:v>
      </x:c>
      <x:c r="C15" s="46" t="n">
        <x:v>-7.450580596923828e-9</x:v>
      </x:c>
      <x:c r="D15" s="46" t="str">
        <x:v>tonnes_primary_production_equivalent</x:v>
      </x:c>
    </x:row>
    <x:row r="16" ht="18" customHeight="1">
      <x:c r="A16" s="46" t="str">
        <x:v>LME_042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0597a4fce0646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LME_042 - Southeast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