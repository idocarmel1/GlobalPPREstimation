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7f9a3aa40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010134201714da3"/>
    <x:sheet xmlns:r="http://schemas.openxmlformats.org/officeDocument/2006/relationships" name="Commercial" sheetId="2" r:id="R4bc7194151454459"/>
    <x:sheet xmlns:r="http://schemas.openxmlformats.org/officeDocument/2006/relationships" name="Functional" sheetId="3" r:id="R5eb9e1353241404b"/>
    <x:sheet xmlns:r="http://schemas.openxmlformats.org/officeDocument/2006/relationships" name="Missing TL" sheetId="4" r:id="Rf133f1e7d5864eac"/>
    <x:sheet xmlns:r="http://schemas.openxmlformats.org/officeDocument/2006/relationships" name="Validation" sheetId="5" r:id="Rf323eb6d6aca41c4"/>
    <x:sheet xmlns:r="http://schemas.openxmlformats.org/officeDocument/2006/relationships" name="Metadata" sheetId="6" r:id="Re12008bfc61c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4d1305108434a" /><Relationship Type="http://schemas.openxmlformats.org/officeDocument/2006/relationships/theme" Target="/xl/theme/theme1.xml" Id="Rb63c2c9dc5d34df3" /><Relationship Type="http://schemas.openxmlformats.org/officeDocument/2006/relationships/sharedStrings" Target="/xl/sharedStrings.xml" Id="R61c54280172c4d24" /><Relationship Type="http://schemas.openxmlformats.org/officeDocument/2006/relationships/worksheet" Target="/xl/worksheets/sheet1.xml" Id="R1010134201714da3" /><Relationship Type="http://schemas.openxmlformats.org/officeDocument/2006/relationships/worksheet" Target="/xl/worksheets/sheet2.xml" Id="R4bc7194151454459" /><Relationship Type="http://schemas.openxmlformats.org/officeDocument/2006/relationships/worksheet" Target="/xl/worksheets/sheet3.xml" Id="R5eb9e1353241404b" /><Relationship Type="http://schemas.openxmlformats.org/officeDocument/2006/relationships/worksheet" Target="/xl/worksheets/sheet4.xml" Id="Rf133f1e7d5864eac" /><Relationship Type="http://schemas.openxmlformats.org/officeDocument/2006/relationships/worksheet" Target="/xl/worksheets/sheet5.xml" Id="Rf323eb6d6aca41c4" /><Relationship Type="http://schemas.openxmlformats.org/officeDocument/2006/relationships/worksheet" Target="/xl/worksheets/sheet6.xml" Id="Re12008bfc61c4e85" /></Relationships>
</file>

<file path=xl/tables/table1.xml><?xml version="1.0" encoding="utf-8"?>
<x:table xmlns:x="http://schemas.openxmlformats.org/spreadsheetml/2006/main" id="1" name="LME012SpeciesTable" displayName="LME012SpeciesTable" ref="A1:U508" headerRowCount="1" totalsRowCount="0" totalsRowShown="0">
  <x:autoFilter ref="A1:U50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2CommercialTable" displayName="LME012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2FunctionalTable" displayName="LME012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2ValidationTable" displayName="LME01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a5788d344146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1310d9677942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f7116dbcc342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e48dab41c24b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LME_012</x:v>
      </x:c>
      <x:c r="B2" s="46" t="str">
        <x:v>Caribbean Sea</x:v>
      </x:c>
      <x:c r="C2" s="46" t="str">
        <x:v>LME</x:v>
      </x:c>
      <x:c r="D2" s="58" t="n">
        <x:v>2019</x:v>
      </x:c>
      <x:c r="E2" s="46" t="str">
        <x:v>Sardinella aurita</x:v>
      </x:c>
      <x:c r="F2" s="46" t="str">
        <x:v>Round sardinella</x:v>
      </x:c>
      <x:c r="G2" s="46" t="str">
        <x:v>Small pelagics (&lt;30 cm)</x:v>
      </x:c>
      <x:c r="H2" s="46" t="str">
        <x:v>Herring-likes</x:v>
      </x:c>
      <x:c r="I2" s="60" t="n">
        <x:v>112964.19739050021</x:v>
      </x:c>
      <x:c r="J2" s="60" t="n">
        <x:v>112048.112755527</x:v>
      </x:c>
      <x:c r="K2" s="60" t="n">
        <x:v>916.0846349732001</x:v>
      </x:c>
      <x:c r="L2" s="60" t="n">
        <x:v>111179.93062686251</x:v>
      </x:c>
      <x:c r="M2" s="60" t="n">
        <x:v>1784.2667636377</x:v>
      </x:c>
      <x:c r="N2" s="46" t="str">
        <x:v>sardinella aurita</x:v>
      </x:c>
      <x:c r="O2" s="62" t="n">
        <x:v>3.4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Sardinella aurita</x:v>
      </x:c>
      <x:c r="T2" s="62" t="n">
        <x:f>IF(O2="","",(1/'Metadata'!$B$5)^(O2-1))</x:f>
        <x:v>251.18864315095797</x:v>
      </x:c>
      <x:c r="U2" s="60" t="n">
        <x:f>IF(T2="","",I2*T2)</x:f>
        <x:v>28375323.467156734</x:v>
      </x:c>
    </x:row>
    <x:row r="3" ht="18" customHeight="1">
      <x:c r="A3" s="46" t="str">
        <x:v>LME_012</x:v>
      </x:c>
      <x:c r="B3" s="46" t="str">
        <x:v>Caribbean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47036.3168670582</x:v>
      </x:c>
      <x:c r="J3" s="60" t="n">
        <x:v>42454.5069815295</x:v>
      </x:c>
      <x:c r="K3" s="60" t="n">
        <x:v>4581.8098855287</x:v>
      </x:c>
      <x:c r="L3" s="60" t="n">
        <x:v>23859.7716799556</x:v>
      </x:c>
      <x:c r="M3" s="60" t="n">
        <x:v>23176.5451871026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8962585.410785148</x:v>
      </x:c>
    </x:row>
    <x:row r="4" ht="18" customHeight="1">
      <x:c r="A4" s="46" t="str">
        <x:v>LME_012</x:v>
      </x:c>
      <x:c r="B4" s="46" t="str">
        <x:v>Caribbean Sea</x:v>
      </x:c>
      <x:c r="C4" s="46" t="str">
        <x:v>LME</x:v>
      </x:c>
      <x:c r="D4" s="58" t="n">
        <x:v>2019</x:v>
      </x:c>
      <x:c r="E4" s="46" t="str">
        <x:v>Panulirus argus</x:v>
      </x:c>
      <x:c r="F4" s="46" t="str">
        <x:v>Caribbean spiny lobster</x:v>
      </x:c>
      <x:c r="G4" s="46" t="str">
        <x:v>Lobsters, crabs</x:v>
      </x:c>
      <x:c r="H4" s="46" t="str">
        <x:v>Crustaceans</x:v>
      </x:c>
      <x:c r="I4" s="60" t="n">
        <x:v>29924.150069323397</x:v>
      </x:c>
      <x:c r="J4" s="60" t="n">
        <x:v>29922.444490125898</x:v>
      </x:c>
      <x:c r="K4" s="60" t="n">
        <x:v>1.7055791975</x:v>
      </x:c>
      <x:c r="L4" s="60" t="n">
        <x:v>22126.838356055097</x:v>
      </x:c>
      <x:c r="M4" s="60" t="n">
        <x:v>7797.311713268299</x:v>
      </x:c>
      <x:c r="N4" s="46" t="str">
        <x:v>panulirus argus</x:v>
      </x:c>
      <x:c r="O4" s="62" t="n">
        <x:v>3.2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Panulirus argus</x:v>
      </x:c>
      <x:c r="T4" s="62" t="n">
        <x:f>IF(O4="","",(1/'Metadata'!$B$5)^(O4-1))</x:f>
        <x:v>158.48931924611142</x:v>
      </x:c>
      <x:c r="U4" s="60" t="n">
        <x:f>IF(T4="","",I4*T4)</x:f>
        <x:v>4742658.173505543</x:v>
      </x:c>
    </x:row>
    <x:row r="5" ht="18" customHeight="1">
      <x:c r="A5" s="46" t="str">
        <x:v>LME_012</x:v>
      </x:c>
      <x:c r="B5" s="46" t="str">
        <x:v>Caribbean Sea</x:v>
      </x:c>
      <x:c r="C5" s="46" t="str">
        <x:v>LME</x:v>
      </x:c>
      <x:c r="D5" s="58" t="n">
        <x:v>2019</x:v>
      </x:c>
      <x:c r="E5" s="46" t="str">
        <x:v>Aliger gigas</x:v>
      </x:c>
      <x:c r="F5" s="46" t="str">
        <x:v>Pink conch</x:v>
      </x:c>
      <x:c r="G5" s="46" t="str">
        <x:v>Other demersal invertebrates</x:v>
      </x:c>
      <x:c r="H5" s="46" t="str">
        <x:v>Molluscs</x:v>
      </x:c>
      <x:c r="I5" s="60" t="n">
        <x:v>29279.614491366698</x:v>
      </x:c>
      <x:c r="J5" s="60" t="n">
        <x:v>29278.3223220554</x:v>
      </x:c>
      <x:c r="K5" s="60" t="n">
        <x:v>1.2921693113</x:v>
      </x:c>
      <x:c r="L5" s="60" t="n">
        <x:v>22822.5211088511</x:v>
      </x:c>
      <x:c r="M5" s="60" t="n">
        <x:v>6457.0933825156</x:v>
      </x:c>
      <x:c r="N5" s="46" t="str">
        <x:v>aliger gigas</x:v>
      </x:c>
      <x:c r="O5" s="62" t="n">
        <x:v>2.19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Aliger gigas</x:v>
      </x:c>
      <x:c r="T5" s="62" t="n">
        <x:f>IF(O5="","",(1/'Metadata'!$B$5)^(O5-1))</x:f>
        <x:v>15.488166189124811</x:v>
      </x:c>
      <x:c r="U5" s="60" t="n">
        <x:f>IF(T5="","",I5*T5)</x:f>
        <x:v>453487.53519579454</x:v>
      </x:c>
    </x:row>
    <x:row r="6" ht="18" customHeight="1">
      <x:c r="A6" s="46" t="str">
        <x:v>LME_012</x:v>
      </x:c>
      <x:c r="B6" s="46" t="str">
        <x:v>Caribbean Sea</x:v>
      </x:c>
      <x:c r="C6" s="46" t="str">
        <x:v>LME</x:v>
      </x:c>
      <x:c r="D6" s="58" t="n">
        <x:v>2019</x:v>
      </x:c>
      <x:c r="E6" s="46" t="str">
        <x:v>Actinopterygii</x:v>
      </x:c>
      <x:c r="F6" s="46" t="str">
        <x:v>Ray-finned fishes</x:v>
      </x:c>
      <x:c r="G6" s="46" t="str">
        <x:v>Medium demersals (30 - 89 cm)</x:v>
      </x:c>
      <x:c r="H6" s="46" t="str">
        <x:v>Other fishes &amp; inverts</x:v>
      </x:c>
      <x:c r="I6" s="60" t="n">
        <x:v>27295.4667045912</x:v>
      </x:c>
      <x:c r="J6" s="60" t="n">
        <x:v>18720.6685850451</x:v>
      </x:c>
      <x:c r="K6" s="60" t="n">
        <x:v>8574.7981195461</x:v>
      </x:c>
      <x:c r="L6" s="60" t="n">
        <x:v>10.287840921099999</x:v>
      </x:c>
      <x:c r="M6" s="60" t="n">
        <x:v>27285.178863670102</x:v>
      </x:c>
      <x:c r="N6" s="46" t="str">
        <x:v>actinopterygii</x:v>
      </x:c>
      <x:c r="O6" s="62" t="n">
        <x:v>3.79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Actinopterygii</x:v>
      </x:c>
      <x:c r="T6" s="62" t="n">
        <x:f>IF(O6="","",(1/'Metadata'!$B$5)^(O6-1))</x:f>
        <x:v>616.5950018614822</x:v>
      </x:c>
      <x:c r="U6" s="60" t="n">
        <x:f>IF(T6="","",I6*T6)</x:f>
        <x:v>16830248.343527436</x:v>
      </x:c>
    </x:row>
    <x:row r="7" ht="18" customHeight="1">
      <x:c r="A7" s="46" t="str">
        <x:v>LME_012</x:v>
      </x:c>
      <x:c r="B7" s="46" t="str">
        <x:v>Caribbean Sea</x:v>
      </x:c>
      <x:c r="C7" s="46" t="str">
        <x:v>LME</x:v>
      </x:c>
      <x:c r="D7" s="58" t="n">
        <x:v>2019</x:v>
      </x:c>
      <x:c r="E7" s="46" t="str">
        <x:v>Arca</x:v>
      </x:c>
      <x:c r="F7" s="46" t="str">
        <x:v>Arks, turkey wings</x:v>
      </x:c>
      <x:c r="G7" s="46" t="str">
        <x:v>Other demersal invertebrates</x:v>
      </x:c>
      <x:c r="H7" s="46" t="str">
        <x:v>Molluscs</x:v>
      </x:c>
      <x:c r="I7" s="60" t="n">
        <x:v>26917.0683811427</x:v>
      </x:c>
      <x:c r="J7" s="60" t="n">
        <x:v>26917.0683811427</x:v>
      </x:c>
      <x:c r="K7" s="60" t="n">
        <x:v>0</x:v>
      </x:c>
      <x:c r="L7" s="60" t="n">
        <x:v>26661.8422626928</x:v>
      </x:c>
      <x:c r="M7" s="60" t="n">
        <x:v>255.2261184499</x:v>
      </x:c>
      <x:c r="N7" s="46" t="str">
        <x:v>arca</x:v>
      </x:c>
      <x:c r="O7" s="62" t="n">
        <x:v>2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Arca</x:v>
      </x:c>
      <x:c r="T7" s="62" t="n">
        <x:f>IF(O7="","",(1/'Metadata'!$B$5)^(O7-1))</x:f>
        <x:v>10</x:v>
      </x:c>
      <x:c r="U7" s="60" t="n">
        <x:f>IF(T7="","",I7*T7)</x:f>
        <x:v>269170.683811427</x:v>
      </x:c>
    </x:row>
    <x:row r="8" ht="18" customHeight="1">
      <x:c r="A8" s="46" t="str">
        <x:v>LME_012</x:v>
      </x:c>
      <x:c r="B8" s="46" t="str">
        <x:v>Caribbean Sea</x:v>
      </x:c>
      <x:c r="C8" s="46" t="str">
        <x:v>LME</x:v>
      </x:c>
      <x:c r="D8" s="58" t="n">
        <x:v>2019</x:v>
      </x:c>
      <x:c r="E8" s="46" t="str">
        <x:v>Lutjanidae</x:v>
      </x:c>
      <x:c r="F8" s="46" t="str">
        <x:v>Snappers</x:v>
      </x:c>
      <x:c r="G8" s="46" t="str">
        <x:v>Medium reef assoc. fish (30 - 89 cm)</x:v>
      </x:c>
      <x:c r="H8" s="46" t="str">
        <x:v>Perch-likes</x:v>
      </x:c>
      <x:c r="I8" s="60" t="n">
        <x:v>18624.3586403289</x:v>
      </x:c>
      <x:c r="J8" s="60" t="n">
        <x:v>16727.455327051</x:v>
      </x:c>
      <x:c r="K8" s="60" t="n">
        <x:v>1896.9033132779</x:v>
      </x:c>
      <x:c r="L8" s="60" t="n">
        <x:v>5187.623029125601</x:v>
      </x:c>
      <x:c r="M8" s="60" t="n">
        <x:v>13436.7356112033</x:v>
      </x:c>
      <x:c r="N8" s="46" t="str">
        <x:v>lutjanidae</x:v>
      </x:c>
      <x:c r="O8" s="62" t="n">
        <x:v>4.02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Lutjanidae</x:v>
      </x:c>
      <x:c r="T8" s="62" t="n">
        <x:f>IF(O8="","",(1/'Metadata'!$B$5)^(O8-1))</x:f>
        <x:v>1047.1285480508984</x:v>
      </x:c>
      <x:c r="U8" s="60" t="n">
        <x:f>IF(T8="","",I8*T8)</x:f>
        <x:v>19502097.621426806</x:v>
      </x:c>
    </x:row>
    <x:row r="9" ht="18" customHeight="1">
      <x:c r="A9" s="46" t="str">
        <x:v>LME_012</x:v>
      </x:c>
      <x:c r="B9" s="46" t="str">
        <x:v>Caribbean Sea</x:v>
      </x:c>
      <x:c r="C9" s="46" t="str">
        <x:v>LME</x:v>
      </x:c>
      <x:c r="D9" s="58" t="n">
        <x:v>2019</x:v>
      </x:c>
      <x:c r="E9" s="46" t="str">
        <x:v>Haemulidae</x:v>
      </x:c>
      <x:c r="F9" s="46" t="str">
        <x:v>Grunts, sweetlips, bonnetmouths</x:v>
      </x:c>
      <x:c r="G9" s="46" t="str">
        <x:v>Medium demersals (30 - 89 cm)</x:v>
      </x:c>
      <x:c r="H9" s="46" t="str">
        <x:v>Perch-likes</x:v>
      </x:c>
      <x:c r="I9" s="60" t="n">
        <x:v>15598.075495827099</x:v>
      </x:c>
      <x:c r="J9" s="60" t="n">
        <x:v>15178.9967305001</x:v>
      </x:c>
      <x:c r="K9" s="60" t="n">
        <x:v>419.078765327</x:v>
      </x:c>
      <x:c r="L9" s="60" t="n">
        <x:v>2531.1950393838</x:v>
      </x:c>
      <x:c r="M9" s="60" t="n">
        <x:v>13066.8804564433</x:v>
      </x:c>
      <x:c r="N9" s="46" t="str">
        <x:v>haemulidae</x:v>
      </x:c>
      <x:c r="O9" s="62" t="n">
        <x:v>3.36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Haemulidae</x:v>
      </x:c>
      <x:c r="T9" s="62" t="n">
        <x:f>IF(O9="","",(1/'Metadata'!$B$5)^(O9-1))</x:f>
        <x:v>229.08676527677724</x:v>
      </x:c>
      <x:c r="U9" s="60" t="n">
        <x:f>IF(T9="","",I9*T9)</x:f>
        <x:v>3573312.6598819937</x:v>
      </x:c>
    </x:row>
    <x:row r="10" ht="18" customHeight="1">
      <x:c r="A10" s="46" t="str">
        <x:v>LME_012</x:v>
      </x:c>
      <x:c r="B10" s="46" t="str">
        <x:v>Caribbean Sea</x:v>
      </x:c>
      <x:c r="C10" s="46" t="str">
        <x:v>LME</x:v>
      </x:c>
      <x:c r="D10" s="58" t="n">
        <x:v>2019</x:v>
      </x:c>
      <x:c r="E10" s="46" t="str">
        <x:v>Marine finfishes not identified</x:v>
      </x:c>
      <x:c r="F10" s="46" t="str">
        <x:v>Finfishes</x:v>
      </x:c>
      <x:c r="G10" s="46" t="str">
        <x:v>Medium demersals (30 - 89 cm)</x:v>
      </x:c>
      <x:c r="H10" s="46" t="str">
        <x:v>Other fishes &amp; inverts</x:v>
      </x:c>
      <x:c r="I10" s="60" t="n">
        <x:v>13190.8161807424</x:v>
      </x:c>
      <x:c r="J10" s="60" t="n">
        <x:v>9597.5480907045</x:v>
      </x:c>
      <x:c r="K10" s="60" t="n">
        <x:v>3593.2680900379</x:v>
      </x:c>
      <x:c r="L10" s="60" t="n">
        <x:v>2609.0166015109</x:v>
      </x:c>
      <x:c r="M10" s="60" t="n">
        <x:v>10581.7995792315</x:v>
      </x:c>
      <x:c r="N10" s="46" t="str">
        <x:v>marine finfishes not identified</x:v>
      </x:c>
      <x:c r="O10" s="62" t="n">
        <x:v>3.23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Marine finfishes not identified</x:v>
      </x:c>
      <x:c r="T10" s="62" t="n">
        <x:f>IF(O10="","",(1/'Metadata'!$B$5)^(O10-1))</x:f>
        <x:v>169.82436524617444</x:v>
      </x:c>
      <x:c r="U10" s="60" t="n">
        <x:f>IF(T10="","",I10*T10)</x:f>
        <x:v>2240121.984973545</x:v>
      </x:c>
    </x:row>
    <x:row r="11" ht="18" customHeight="1">
      <x:c r="A11" s="46" t="str">
        <x:v>LME_012</x:v>
      </x:c>
      <x:c r="B11" s="46" t="str">
        <x:v>Caribbean Sea</x:v>
      </x:c>
      <x:c r="C11" s="46" t="str">
        <x:v>LME</x:v>
      </x:c>
      <x:c r="D11" s="58" t="n">
        <x:v>2019</x:v>
      </x:c>
      <x:c r="E11" s="46" t="str">
        <x:v>Marine pelagic fishes not identified</x:v>
      </x:c>
      <x:c r="F11" s="46" t="str">
        <x:v>Pelagic fishes</x:v>
      </x:c>
      <x:c r="G11" s="46" t="str">
        <x:v>Medium pelagics (30 - 89 cm)</x:v>
      </x:c>
      <x:c r="H11" s="46" t="str">
        <x:v>Other fishes &amp; inverts</x:v>
      </x:c>
      <x:c r="I11" s="60" t="n">
        <x:v>9953.4456825815</x:v>
      </x:c>
      <x:c r="J11" s="60" t="n">
        <x:v>9953.4456825815</x:v>
      </x:c>
      <x:c r="K11" s="60" t="n">
        <x:v>0</x:v>
      </x:c>
      <x:c r="L11" s="60" t="n">
        <x:v>9953.2950857168</x:v>
      </x:c>
      <x:c r="M11" s="60" t="n">
        <x:v>0.1505968647</x:v>
      </x:c>
      <x:c r="N11" s="46" t="str">
        <x:v>marine pelagic fishes not identified</x:v>
      </x:c>
      <x:c r="O11" s="62" t="n">
        <x:v>3.35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Marine pelagic fishes not identified</x:v>
      </x:c>
      <x:c r="T11" s="62" t="n">
        <x:f>IF(O11="","",(1/'Metadata'!$B$5)^(O11-1))</x:f>
        <x:v>223.872113856834</x:v>
      </x:c>
      <x:c r="U11" s="60" t="n">
        <x:f>IF(T11="","",I11*T11)</x:f>
        <x:v>2228298.9251186983</x:v>
      </x:c>
    </x:row>
    <x:row r="12" ht="18" customHeight="1">
      <x:c r="A12" s="46" t="str">
        <x:v>LME_012</x:v>
      </x:c>
      <x:c r="B12" s="46" t="str">
        <x:v>Caribbean Sea</x:v>
      </x:c>
      <x:c r="C12" s="46" t="str">
        <x:v>LME</x:v>
      </x:c>
      <x:c r="D12" s="58" t="n">
        <x:v>2019</x:v>
      </x:c>
      <x:c r="E12" s="46" t="str">
        <x:v>Batoidea</x:v>
      </x:c>
      <x:c r="F12" s="46" t="str">
        <x:v>Batoids, skates, rays, sawfishes</x:v>
      </x:c>
      <x:c r="G12" s="46" t="str">
        <x:v>Large rays (&gt;=90 cm)</x:v>
      </x:c>
      <x:c r="H12" s="46" t="str">
        <x:v>Sharks &amp; rays</x:v>
      </x:c>
      <x:c r="I12" s="60" t="n">
        <x:v>9479.0386559933</x:v>
      </x:c>
      <x:c r="J12" s="60" t="n">
        <x:v>9443.2527422419</x:v>
      </x:c>
      <x:c r="K12" s="60" t="n">
        <x:v>35.7859137514</x:v>
      </x:c>
      <x:c r="L12" s="60" t="n">
        <x:v>3196.8479510643</x:v>
      </x:c>
      <x:c r="M12" s="60" t="n">
        <x:v>6282.190704929</x:v>
      </x:c>
      <x:c r="N12" s="46" t="str">
        <x:v>batoidea</x:v>
      </x:c>
      <x:c r="O12" s="62" t="n">
        <x:v>3.72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Batoidea</x:v>
      </x:c>
      <x:c r="T12" s="62" t="n">
        <x:f>IF(O12="","",(1/'Metadata'!$B$5)^(O12-1))</x:f>
        <x:v>524.8074602497728</x:v>
      </x:c>
      <x:c r="U12" s="60" t="n">
        <x:f>IF(T12="","",I12*T12)</x:f>
        <x:v>4974670.202661264</x:v>
      </x:c>
    </x:row>
    <x:row r="13" ht="18" customHeight="1">
      <x:c r="A13" s="46" t="str">
        <x:v>LME_012</x:v>
      </x:c>
      <x:c r="B13" s="46" t="str">
        <x:v>Caribbean Sea</x:v>
      </x:c>
      <x:c r="C13" s="46" t="str">
        <x:v>LME</x:v>
      </x:c>
      <x:c r="D13" s="58" t="n">
        <x:v>2019</x:v>
      </x:c>
      <x:c r="E13" s="46" t="str">
        <x:v>Coryphaena hippurus</x:v>
      </x:c>
      <x:c r="F13" s="46" t="str">
        <x:v>Common dolphinfish</x:v>
      </x:c>
      <x:c r="G13" s="46" t="str">
        <x:v>Large pelagics (&gt;=90 cm)</x:v>
      </x:c>
      <x:c r="H13" s="46" t="str">
        <x:v>Perch-likes</x:v>
      </x:c>
      <x:c r="I13" s="60" t="n">
        <x:v>9325.3701095405</x:v>
      </x:c>
      <x:c r="J13" s="60" t="n">
        <x:v>9308.5397562499</x:v>
      </x:c>
      <x:c r="K13" s="60" t="n">
        <x:v>16.830353290599998</x:v>
      </x:c>
      <x:c r="L13" s="60" t="n">
        <x:v>7832.6603079893</x:v>
      </x:c>
      <x:c r="M13" s="60" t="n">
        <x:v>1492.7098015512</x:v>
      </x:c>
      <x:c r="N13" s="46" t="str">
        <x:v>coryphaena hippurus</x:v>
      </x:c>
      <x:c r="O13" s="62" t="n">
        <x:v>4.37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Coryphaena hippurus</x:v>
      </x:c>
      <x:c r="T13" s="62" t="n">
        <x:f>IF(O13="","",(1/'Metadata'!$B$5)^(O13-1))</x:f>
        <x:v>2344.228815319923</x:v>
      </x:c>
      <x:c r="U13" s="60" t="n">
        <x:f>IF(T13="","",I13*T13)</x:f>
        <x:v>21860801.324307945</x:v>
      </x:c>
    </x:row>
    <x:row r="14" ht="18" customHeight="1">
      <x:c r="A14" s="46" t="str">
        <x:v>LME_012</x:v>
      </x:c>
      <x:c r="B14" s="46" t="str">
        <x:v>Caribbean Sea</x:v>
      </x:c>
      <x:c r="C14" s="46" t="str">
        <x:v>LME</x:v>
      </x:c>
      <x:c r="D14" s="58" t="n">
        <x:v>2019</x:v>
      </x:c>
      <x:c r="E14" s="46" t="str">
        <x:v>Trichiurus lepturus</x:v>
      </x:c>
      <x:c r="F14" s="46" t="str">
        <x:v>Largehead hairtail</x:v>
      </x:c>
      <x:c r="G14" s="46" t="str">
        <x:v>Large benthopelagics (&gt;=90 cm)</x:v>
      </x:c>
      <x:c r="H14" s="46" t="str">
        <x:v>Perch-likes</x:v>
      </x:c>
      <x:c r="I14" s="60" t="n">
        <x:v>9173.4391702565</x:v>
      </x:c>
      <x:c r="J14" s="60" t="n">
        <x:v>8839.7460463391</x:v>
      </x:c>
      <x:c r="K14" s="60" t="n">
        <x:v>333.6931239174</x:v>
      </x:c>
      <x:c r="L14" s="60" t="n">
        <x:v>4318.456196263501</x:v>
      </x:c>
      <x:c r="M14" s="60" t="n">
        <x:v>4854.982973993</x:v>
      </x:c>
      <x:c r="N14" s="46" t="str">
        <x:v>trichiurus lepturus</x:v>
      </x:c>
      <x:c r="O14" s="62" t="n">
        <x:v>4.42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Trichiurus lepturus</x:v>
      </x:c>
      <x:c r="T14" s="62" t="n">
        <x:f>IF(O14="","",(1/'Metadata'!$B$5)^(O14-1))</x:f>
        <x:v>2630.2679918953813</x:v>
      </x:c>
      <x:c r="U14" s="60" t="n">
        <x:f>IF(T14="","",I14*T14)</x:f>
        <x:v>24128603.425125</x:v>
      </x:c>
    </x:row>
    <x:row r="15" ht="18" customHeight="1">
      <x:c r="A15" s="46" t="str">
        <x:v>LME_012</x:v>
      </x:c>
      <x:c r="B15" s="46" t="str">
        <x:v>Caribbean Sea</x:v>
      </x:c>
      <x:c r="C15" s="46" t="str">
        <x:v>LME</x:v>
      </x:c>
      <x:c r="D15" s="58" t="n">
        <x:v>2019</x:v>
      </x:c>
      <x:c r="E15" s="46" t="str">
        <x:v>Scombridae</x:v>
      </x:c>
      <x:c r="F15" s="46" t="str">
        <x:v>Mackerels, tunas, bonitos</x:v>
      </x:c>
      <x:c r="G15" s="46" t="str">
        <x:v>Medium pelagics (30 - 89 cm)</x:v>
      </x:c>
      <x:c r="H15" s="46" t="str">
        <x:v>Perch-likes</x:v>
      </x:c>
      <x:c r="I15" s="60" t="n">
        <x:v>8976.3796637931</x:v>
      </x:c>
      <x:c r="J15" s="60" t="n">
        <x:v>8969.3605965011</x:v>
      </x:c>
      <x:c r="K15" s="60" t="n">
        <x:v>7.019067292</x:v>
      </x:c>
      <x:c r="L15" s="60" t="n">
        <x:v>4569.9333085557</x:v>
      </x:c>
      <x:c r="M15" s="60" t="n">
        <x:v>4406.4463552374</x:v>
      </x:c>
      <x:c r="N15" s="46" t="str">
        <x:v>scombridae</x:v>
      </x:c>
      <x:c r="O15" s="62" t="n">
        <x:v>4.26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Scombridae</x:v>
      </x:c>
      <x:c r="T15" s="62" t="n">
        <x:f>IF(O15="","",(1/'Metadata'!$B$5)^(O15-1))</x:f>
        <x:v>1819.7008586099826</x:v>
      </x:c>
      <x:c r="U15" s="60" t="n">
        <x:f>IF(T15="","",I15*T15)</x:f>
        <x:v>16334325.781413488</x:v>
      </x:c>
    </x:row>
    <x:row r="16" ht="18" customHeight="1">
      <x:c r="A16" s="46" t="str">
        <x:v>LME_012</x:v>
      </x:c>
      <x:c r="B16" s="46" t="str">
        <x:v>Caribbean Sea</x:v>
      </x:c>
      <x:c r="C16" s="46" t="str">
        <x:v>LME</x:v>
      </x:c>
      <x:c r="D16" s="58" t="n">
        <x:v>2019</x:v>
      </x:c>
      <x:c r="E16" s="46" t="str">
        <x:v>Carangidae</x:v>
      </x:c>
      <x:c r="F16" s="46" t="str">
        <x:v>Jacks, pompanos</x:v>
      </x:c>
      <x:c r="G16" s="46" t="str">
        <x:v>Medium pelagics (30 - 89 cm)</x:v>
      </x:c>
      <x:c r="H16" s="46" t="str">
        <x:v>Perch-likes</x:v>
      </x:c>
      <x:c r="I16" s="60" t="n">
        <x:v>7101.0441569773</x:v>
      </x:c>
      <x:c r="J16" s="60" t="n">
        <x:v>6983.6169957429</x:v>
      </x:c>
      <x:c r="K16" s="60" t="n">
        <x:v>117.4271612344</x:v>
      </x:c>
      <x:c r="L16" s="60" t="n">
        <x:v>2405.6094452281</x:v>
      </x:c>
      <x:c r="M16" s="60" t="n">
        <x:v>4695.4347117492</x:v>
      </x:c>
      <x:c r="N16" s="46" t="str">
        <x:v>carangidae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Carangidae</x:v>
      </x:c>
      <x:c r="T16" s="62" t="n">
        <x:f>IF(O16="","",(1/'Metadata'!$B$5)^(O16-1))</x:f>
        <x:v>1122.018454301963</x:v>
      </x:c>
      <x:c r="U16" s="60" t="n">
        <x:f>IF(T16="","",I16*T16)</x:f>
        <x:v>7967502.588941656</x:v>
      </x:c>
    </x:row>
    <x:row r="17" ht="18" customHeight="1">
      <x:c r="A17" s="46" t="str">
        <x:v>LME_012</x:v>
      </x:c>
      <x:c r="B17" s="46" t="str">
        <x:v>Caribbean Sea</x:v>
      </x:c>
      <x:c r="C17" s="46" t="str">
        <x:v>LME</x:v>
      </x:c>
      <x:c r="D17" s="58" t="n">
        <x:v>2019</x:v>
      </x:c>
      <x:c r="E17" s="46" t="str">
        <x:v>Callinectes</x:v>
      </x:c>
      <x:c r="F17" s="46" t="str">
        <x:v>Beautiful swimming crabs</x:v>
      </x:c>
      <x:c r="G17" s="46" t="str">
        <x:v>Lobsters, crabs</x:v>
      </x:c>
      <x:c r="H17" s="46" t="str">
        <x:v>Crustaceans</x:v>
      </x:c>
      <x:c r="I17" s="60" t="n">
        <x:v>7067.0931218283995</x:v>
      </x:c>
      <x:c r="J17" s="60" t="n">
        <x:v>7067.0931218283995</x:v>
      </x:c>
      <x:c r="K17" s="60" t="n">
        <x:v>0</x:v>
      </x:c>
      <x:c r="L17" s="60" t="n">
        <x:v>6347.8231382952</x:v>
      </x:c>
      <x:c r="M17" s="60" t="n">
        <x:v>719.2699835332</x:v>
      </x:c>
      <x:c r="N17" s="46" t="str">
        <x:v>callinectes</x:v>
      </x:c>
      <x:c r="O17" s="62" t="n">
        <x:v>3.63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Callinectes</x:v>
      </x:c>
      <x:c r="T17" s="62" t="n">
        <x:f>IF(O17="","",(1/'Metadata'!$B$5)^(O17-1))</x:f>
        <x:v>426.57951880159254</x:v>
      </x:c>
      <x:c r="U17" s="60" t="n">
        <x:f>IF(T17="","",I17*T17)</x:f>
        <x:v>3014677.183235603</x:v>
      </x:c>
    </x:row>
    <x:row r="18" ht="18" customHeight="1">
      <x:c r="A18" s="46" t="str">
        <x:v>LME_012</x:v>
      </x:c>
      <x:c r="B18" s="46" t="str">
        <x:v>Caribbean Sea</x:v>
      </x:c>
      <x:c r="C18" s="46" t="str">
        <x:v>LME</x:v>
      </x:c>
      <x:c r="D18" s="58" t="n">
        <x:v>2019</x:v>
      </x:c>
      <x:c r="E18" s="46" t="str">
        <x:v>Caranx hippos</x:v>
      </x:c>
      <x:c r="F18" s="46" t="str">
        <x:v>Crevalle jack</x:v>
      </x:c>
      <x:c r="G18" s="46" t="str">
        <x:v>Large reef assoc. fish (&gt;=90 cm)</x:v>
      </x:c>
      <x:c r="H18" s="46" t="str">
        <x:v>Perch-likes</x:v>
      </x:c>
      <x:c r="I18" s="60" t="n">
        <x:v>6812.6453899569</x:v>
      </x:c>
      <x:c r="J18" s="60" t="n">
        <x:v>6735.3115460021</x:v>
      </x:c>
      <x:c r="K18" s="60" t="n">
        <x:v>77.33384395479999</x:v>
      </x:c>
      <x:c r="L18" s="60" t="n">
        <x:v>3478.2882750872</x:v>
      </x:c>
      <x:c r="M18" s="60" t="n">
        <x:v>3334.3571148696997</x:v>
      </x:c>
      <x:c r="N18" s="46" t="str">
        <x:v>caranx hippos</x:v>
      </x:c>
      <x:c r="O18" s="62" t="n">
        <x:v>3.56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Caranx hippos</x:v>
      </x:c>
      <x:c r="T18" s="62" t="n">
        <x:f>IF(O18="","",(1/'Metadata'!$B$5)^(O18-1))</x:f>
        <x:v>363.0780547701014</x:v>
      </x:c>
      <x:c r="U18" s="60" t="n">
        <x:f>IF(T18="","",I18*T18)</x:f>
        <x:v>2473522.03602405</x:v>
      </x:c>
    </x:row>
    <x:row r="19" ht="18" customHeight="1">
      <x:c r="A19" s="46" t="str">
        <x:v>LME_012</x:v>
      </x:c>
      <x:c r="B19" s="46" t="str">
        <x:v>Caribbean Sea</x:v>
      </x:c>
      <x:c r="C19" s="46" t="str">
        <x:v>LME</x:v>
      </x:c>
      <x:c r="D19" s="58" t="n">
        <x:v>2019</x:v>
      </x:c>
      <x:c r="E19" s="46" t="str">
        <x:v>Mugil</x:v>
      </x:c>
      <x:c r="F19" s="46" t="str">
        <x:v>Grey mullets</x:v>
      </x:c>
      <x:c r="G19" s="46" t="str">
        <x:v>Medium demersals (30 - 89 cm)</x:v>
      </x:c>
      <x:c r="H19" s="46" t="str">
        <x:v>Perch-likes</x:v>
      </x:c>
      <x:c r="I19" s="60" t="n">
        <x:v>6537.444011066799</x:v>
      </x:c>
      <x:c r="J19" s="60" t="n">
        <x:v>6537.444011066799</x:v>
      </x:c>
      <x:c r="K19" s="60" t="n">
        <x:v>0</x:v>
      </x:c>
      <x:c r="L19" s="60" t="n">
        <x:v>2825.4864720475</x:v>
      </x:c>
      <x:c r="M19" s="60" t="n">
        <x:v>3711.9575390193</x:v>
      </x:c>
      <x:c r="N19" s="46" t="str">
        <x:v>mugil</x:v>
      </x:c>
      <x:c r="O19" s="62" t="n">
        <x:v>2.26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Mugil</x:v>
      </x:c>
      <x:c r="T19" s="62" t="n">
        <x:f>IF(O19="","",(1/'Metadata'!$B$5)^(O19-1))</x:f>
        <x:v>18.197008586099827</x:v>
      </x:c>
      <x:c r="U19" s="60" t="n">
        <x:f>IF(T19="","",I19*T19)</x:f>
        <x:v>118961.92480052944</x:v>
      </x:c>
    </x:row>
    <x:row r="20" ht="18" customHeight="1">
      <x:c r="A20" s="46" t="str">
        <x:v>LME_012</x:v>
      </x:c>
      <x:c r="B20" s="46" t="str">
        <x:v>Caribbean Sea</x:v>
      </x:c>
      <x:c r="C20" s="46" t="str">
        <x:v>LME</x:v>
      </x:c>
      <x:c r="D20" s="58" t="n">
        <x:v>2019</x:v>
      </x:c>
      <x:c r="E20" s="46" t="str">
        <x:v>Ariidae</x:v>
      </x:c>
      <x:c r="F20" s="46" t="str">
        <x:v>Sea catfishes, coblers</x:v>
      </x:c>
      <x:c r="G20" s="46" t="str">
        <x:v>Medium demersals (30 - 89 cm)</x:v>
      </x:c>
      <x:c r="H20" s="46" t="str">
        <x:v>Other fishes &amp; inverts</x:v>
      </x:c>
      <x:c r="I20" s="60" t="n">
        <x:v>5878.2998611619005</x:v>
      </x:c>
      <x:c r="J20" s="60" t="n">
        <x:v>5439.6479632469</x:v>
      </x:c>
      <x:c r="K20" s="60" t="n">
        <x:v>438.651897915</x:v>
      </x:c>
      <x:c r="L20" s="60" t="n">
        <x:v>751.7989875192</x:v>
      </x:c>
      <x:c r="M20" s="60" t="n">
        <x:v>5126.5008736427</x:v>
      </x:c>
      <x:c r="N20" s="46" t="str">
        <x:v>ariidae</x:v>
      </x:c>
      <x:c r="O20" s="62" t="n">
        <x:v>3.48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Ariidae</x:v>
      </x:c>
      <x:c r="T20" s="62" t="n">
        <x:f>IF(O20="","",(1/'Metadata'!$B$5)^(O20-1))</x:f>
        <x:v>301.9951720402016</x:v>
      </x:c>
      <x:c r="U20" s="60" t="n">
        <x:f>IF(T20="","",I20*T20)</x:f>
        <x:v>1775218.1778754815</x:v>
      </x:c>
    </x:row>
    <x:row r="21" ht="18" customHeight="1">
      <x:c r="A21" s="46" t="str">
        <x:v>LME_012</x:v>
      </x:c>
      <x:c r="B21" s="46" t="str">
        <x:v>Caribbean Sea</x:v>
      </x:c>
      <x:c r="C21" s="46" t="str">
        <x:v>LME</x:v>
      </x:c>
      <x:c r="D21" s="58" t="n">
        <x:v>2019</x:v>
      </x:c>
      <x:c r="E21" s="46" t="str">
        <x:v>Thunnus albacares</x:v>
      </x:c>
      <x:c r="F21" s="46" t="str">
        <x:v>Yellowfin tuna</x:v>
      </x:c>
      <x:c r="G21" s="46" t="str">
        <x:v>Large pelagics (&gt;=90 cm)</x:v>
      </x:c>
      <x:c r="H21" s="46" t="str">
        <x:v>Tuna &amp; billfishes</x:v>
      </x:c>
      <x:c r="I21" s="60" t="n">
        <x:v>5595.4795700111</x:v>
      </x:c>
      <x:c r="J21" s="60" t="n">
        <x:v>5595.2891997678</x:v>
      </x:c>
      <x:c r="K21" s="60" t="n">
        <x:v>0.1903702433</x:v>
      </x:c>
      <x:c r="L21" s="60" t="n">
        <x:v>4999.1085850062</x:v>
      </x:c>
      <x:c r="M21" s="60" t="n">
        <x:v>596.3709850049</x:v>
      </x:c>
      <x:c r="N21" s="46" t="str">
        <x:v>thunnus albacares</x:v>
      </x:c>
      <x:c r="O21" s="62" t="n">
        <x:v>4.41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Thunnus albacares</x:v>
      </x:c>
      <x:c r="T21" s="62" t="n">
        <x:f>IF(O21="","",(1/'Metadata'!$B$5)^(O21-1))</x:f>
        <x:v>2570.3957827688646</x:v>
      </x:c>
      <x:c r="U21" s="60" t="n">
        <x:f>IF(T21="","",I21*T21)</x:f>
        <x:v>14382597.089325871</x:v>
      </x:c>
    </x:row>
    <x:row r="22" ht="18" customHeight="1">
      <x:c r="A22" s="46" t="str">
        <x:v>LME_012</x:v>
      </x:c>
      <x:c r="B22" s="46" t="str">
        <x:v>Caribbean Sea</x:v>
      </x:c>
      <x:c r="C22" s="46" t="str">
        <x:v>LME</x:v>
      </x:c>
      <x:c r="D22" s="58" t="n">
        <x:v>2019</x:v>
      </x:c>
      <x:c r="E22" s="46" t="str">
        <x:v>Serranidae</x:v>
      </x:c>
      <x:c r="F22" s="46" t="str">
        <x:v>Basses, groupers, hinds</x:v>
      </x:c>
      <x:c r="G22" s="46" t="str">
        <x:v>Medium reef assoc. fish (30 - 89 cm)</x:v>
      </x:c>
      <x:c r="H22" s="46" t="str">
        <x:v>Perch-likes</x:v>
      </x:c>
      <x:c r="I22" s="60" t="n">
        <x:v>5485.2382318263</x:v>
      </x:c>
      <x:c r="J22" s="60" t="n">
        <x:v>5379.938924638</x:v>
      </x:c>
      <x:c r="K22" s="60" t="n">
        <x:v>105.2993071883</x:v>
      </x:c>
      <x:c r="L22" s="60" t="n">
        <x:v>1992.1401072738</x:v>
      </x:c>
      <x:c r="M22" s="60" t="n">
        <x:v>3493.0981245525</x:v>
      </x:c>
      <x:c r="N22" s="46" t="str">
        <x:v>serranidae</x:v>
      </x:c>
      <x:c r="O22" s="62" t="n">
        <x:v>3.98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Serranidae</x:v>
      </x:c>
      <x:c r="T22" s="62" t="n">
        <x:f>IF(O22="","",(1/'Metadata'!$B$5)^(O22-1))</x:f>
        <x:v>954.992586021436</x:v>
      </x:c>
      <x:c r="U22" s="60" t="n">
        <x:f>IF(T22="","",I22*T22)</x:f>
        <x:v>5238361.843955447</x:v>
      </x:c>
    </x:row>
    <x:row r="23" ht="18" customHeight="1">
      <x:c r="A23" s="46" t="str">
        <x:v>LME_012</x:v>
      </x:c>
      <x:c r="B23" s="46" t="str">
        <x:v>Caribbean Sea</x:v>
      </x:c>
      <x:c r="C23" s="46" t="str">
        <x:v>LME</x:v>
      </x:c>
      <x:c r="D23" s="58" t="n">
        <x:v>2019</x:v>
      </x:c>
      <x:c r="E23" s="46" t="str">
        <x:v>Mugil liza</x:v>
      </x:c>
      <x:c r="F23" s="46" t="str">
        <x:v>Lebranche mullet</x:v>
      </x:c>
      <x:c r="G23" s="46" t="str">
        <x:v>Medium demersals (30 - 89 cm)</x:v>
      </x:c>
      <x:c r="H23" s="46" t="str">
        <x:v>Perch-likes</x:v>
      </x:c>
      <x:c r="I23" s="60" t="n">
        <x:v>5468.8986441351</x:v>
      </x:c>
      <x:c r="J23" s="60" t="n">
        <x:v>5468.8986441351</x:v>
      </x:c>
      <x:c r="K23" s="60" t="n">
        <x:v>0</x:v>
      </x:c>
      <x:c r="L23" s="60" t="n">
        <x:v>2213.9208298899002</x:v>
      </x:c>
      <x:c r="M23" s="60" t="n">
        <x:v>3254.9778142452</x:v>
      </x:c>
      <x:c r="N23" s="46" t="str">
        <x:v>mugil liza</x:v>
      </x:c>
      <x:c r="O23" s="62" t="n">
        <x:v>2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Mugil liza</x:v>
      </x:c>
      <x:c r="T23" s="62" t="n">
        <x:f>IF(O23="","",(1/'Metadata'!$B$5)^(O23-1))</x:f>
        <x:v>10</x:v>
      </x:c>
      <x:c r="U23" s="60" t="n">
        <x:f>IF(T23="","",I23*T23)</x:f>
        <x:v>54688.986441351</x:v>
      </x:c>
    </x:row>
    <x:row r="24" ht="18" customHeight="1">
      <x:c r="A24" s="46" t="str">
        <x:v>LME_012</x:v>
      </x:c>
      <x:c r="B24" s="46" t="str">
        <x:v>Caribbean Sea</x:v>
      </x:c>
      <x:c r="C24" s="46" t="str">
        <x:v>LME</x:v>
      </x:c>
      <x:c r="D24" s="58" t="n">
        <x:v>2019</x:v>
      </x:c>
      <x:c r="E24" s="46" t="str">
        <x:v>Sphyraenidae</x:v>
      </x:c>
      <x:c r="F24" s="46" t="str">
        <x:v>Barracudas</x:v>
      </x:c>
      <x:c r="G24" s="46" t="str">
        <x:v>Medium reef assoc. fish (30 - 89 cm)</x:v>
      </x:c>
      <x:c r="H24" s="46" t="str">
        <x:v>Perch-likes</x:v>
      </x:c>
      <x:c r="I24" s="60" t="n">
        <x:v>5303.5536812351</x:v>
      </x:c>
      <x:c r="J24" s="60" t="n">
        <x:v>5296.2026823954</x:v>
      </x:c>
      <x:c r="K24" s="60" t="n">
        <x:v>7.3509988397</x:v>
      </x:c>
      <x:c r="L24" s="60" t="n">
        <x:v>988.7963108288</x:v>
      </x:c>
      <x:c r="M24" s="60" t="n">
        <x:v>4314.7573704063</x:v>
      </x:c>
      <x:c r="N24" s="46" t="str">
        <x:v>sphyraenidae</x:v>
      </x:c>
      <x:c r="O24" s="62" t="n">
        <x:v>4.4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Sphyraenidae</x:v>
      </x:c>
      <x:c r="T24" s="62" t="n">
        <x:f>IF(O24="","",(1/'Metadata'!$B$5)^(O24-1))</x:f>
        <x:v>2511.886431509582</x:v>
      </x:c>
      <x:c r="U24" s="60" t="n">
        <x:f>IF(T24="","",I24*T24)</x:f>
        <x:v>13321924.530677143</x:v>
      </x:c>
    </x:row>
    <x:row r="25" ht="18" customHeight="1">
      <x:c r="A25" s="46" t="str">
        <x:v>LME_012</x:v>
      </x:c>
      <x:c r="B25" s="46" t="str">
        <x:v>Caribbean Sea</x:v>
      </x:c>
      <x:c r="C25" s="46" t="str">
        <x:v>LME</x:v>
      </x:c>
      <x:c r="D25" s="58" t="n">
        <x:v>2019</x:v>
      </x:c>
      <x:c r="E25" s="46" t="str">
        <x:v>Caranx</x:v>
      </x:c>
      <x:c r="F25" s="46" t="str">
        <x:v>Jacks</x:v>
      </x:c>
      <x:c r="G25" s="46" t="str">
        <x:v>Medium reef assoc. fish (30 - 89 cm)</x:v>
      </x:c>
      <x:c r="H25" s="46" t="str">
        <x:v>Perch-likes</x:v>
      </x:c>
      <x:c r="I25" s="60" t="n">
        <x:v>5108.3309177788</x:v>
      </x:c>
      <x:c r="J25" s="60" t="n">
        <x:v>4194.162223661</x:v>
      </x:c>
      <x:c r="K25" s="60" t="n">
        <x:v>914.1686941178</x:v>
      </x:c>
      <x:c r="L25" s="60" t="n">
        <x:v>2913.0661060977</x:v>
      </x:c>
      <x:c r="M25" s="60" t="n">
        <x:v>2195.2648116811</x:v>
      </x:c>
      <x:c r="N25" s="46" t="str">
        <x:v>caranx</x:v>
      </x:c>
      <x:c r="O25" s="62" t="n">
        <x:v>4.12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Caranx</x:v>
      </x:c>
      <x:c r="T25" s="62" t="n">
        <x:f>IF(O25="","",(1/'Metadata'!$B$5)^(O25-1))</x:f>
        <x:v>1318.2567385564075</x:v>
      </x:c>
      <x:c r="U25" s="60" t="n">
        <x:f>IF(T25="","",I25*T25)</x:f>
        <x:v>6734091.65513794</x:v>
      </x:c>
    </x:row>
    <x:row r="26" ht="18" customHeight="1">
      <x:c r="A26" s="46" t="str">
        <x:v>LME_012</x:v>
      </x:c>
      <x:c r="B26" s="46" t="str">
        <x:v>Caribbean Sea</x:v>
      </x:c>
      <x:c r="C26" s="46" t="str">
        <x:v>LME</x:v>
      </x:c>
      <x:c r="D26" s="58" t="n">
        <x:v>2019</x:v>
      </x:c>
      <x:c r="E26" s="46" t="str">
        <x:v>Centropomus</x:v>
      </x:c>
      <x:c r="F26" s="46" t="str">
        <x:v>Fat snooks</x:v>
      </x:c>
      <x:c r="G26" s="46" t="str">
        <x:v>Medium benthopelagics (30 - 89 cm)</x:v>
      </x:c>
      <x:c r="H26" s="46" t="str">
        <x:v>Perch-likes</x:v>
      </x:c>
      <x:c r="I26" s="60" t="n">
        <x:v>4954.6375118759</x:v>
      </x:c>
      <x:c r="J26" s="60" t="n">
        <x:v>4954.6375118759</x:v>
      </x:c>
      <x:c r="K26" s="60" t="n">
        <x:v>0</x:v>
      </x:c>
      <x:c r="L26" s="60" t="n">
        <x:v>2641.6964529879</x:v>
      </x:c>
      <x:c r="M26" s="60" t="n">
        <x:v>2312.941058888</x:v>
      </x:c>
      <x:c r="N26" s="46" t="str">
        <x:v>centropomus</x:v>
      </x:c>
      <x:c r="O26" s="62" t="n">
        <x:v>3.92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Centropomus</x:v>
      </x:c>
      <x:c r="T26" s="62" t="n">
        <x:f>IF(O26="","",(1/'Metadata'!$B$5)^(O26-1))</x:f>
        <x:v>831.7637711026708</x:v>
      </x:c>
      <x:c r="U26" s="60" t="n">
        <x:f>IF(T26="","",I26*T26)</x:f>
        <x:v>4121087.981324652</x:v>
      </x:c>
    </x:row>
    <x:row r="27" ht="18" customHeight="1">
      <x:c r="A27" s="46" t="str">
        <x:v>LME_012</x:v>
      </x:c>
      <x:c r="B27" s="46" t="str">
        <x:v>Caribbean Sea</x:v>
      </x:c>
      <x:c r="C27" s="46" t="str">
        <x:v>LME</x:v>
      </x:c>
      <x:c r="D27" s="58" t="n">
        <x:v>2019</x:v>
      </x:c>
      <x:c r="E27" s="46" t="str">
        <x:v>Labridae</x:v>
      </x:c>
      <x:c r="F27" s="46" t="str">
        <x:v>Wrasses, gropers, tuskfishes</x:v>
      </x:c>
      <x:c r="G27" s="46" t="str">
        <x:v>Medium reef assoc. fish (30 - 89 cm)</x:v>
      </x:c>
      <x:c r="H27" s="46" t="str">
        <x:v>Perch-likes</x:v>
      </x:c>
      <x:c r="I27" s="60" t="n">
        <x:v>4948.1170377849</x:v>
      </x:c>
      <x:c r="J27" s="60" t="n">
        <x:v>4948.0927145422</x:v>
      </x:c>
      <x:c r="K27" s="60" t="n">
        <x:v>0.0243232427</x:v>
      </x:c>
      <x:c r="L27" s="60" t="n">
        <x:v>3053.8846424934</x:v>
      </x:c>
      <x:c r="M27" s="60" t="n">
        <x:v>1894.2323952914999</x:v>
      </x:c>
      <x:c r="N27" s="46" t="str">
        <x:v>labridae</x:v>
      </x:c>
      <x:c r="O27" s="62" t="n">
        <x:v>3.46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Labridae</x:v>
      </x:c>
      <x:c r="T27" s="62" t="n">
        <x:f>IF(O27="","",(1/'Metadata'!$B$5)^(O27-1))</x:f>
        <x:v>288.40315031266056</x:v>
      </x:c>
      <x:c r="U27" s="60" t="n">
        <x:f>IF(T27="","",I27*T27)</x:f>
        <x:v>1427052.5418129154</x:v>
      </x:c>
    </x:row>
    <x:row r="28" ht="18" customHeight="1">
      <x:c r="A28" s="46" t="str">
        <x:v>LME_012</x:v>
      </x:c>
      <x:c r="B28" s="46" t="str">
        <x:v>Caribbean Sea</x:v>
      </x:c>
      <x:c r="C28" s="46" t="str">
        <x:v>LME</x:v>
      </x:c>
      <x:c r="D28" s="58" t="n">
        <x:v>2019</x:v>
      </x:c>
      <x:c r="E28" s="46" t="str">
        <x:v>Scomberomorus cavalla</x:v>
      </x:c>
      <x:c r="F28" s="46" t="str">
        <x:v>King mackerel</x:v>
      </x:c>
      <x:c r="G28" s="46" t="str">
        <x:v>Large pelagics (&gt;=90 cm)</x:v>
      </x:c>
      <x:c r="H28" s="46" t="str">
        <x:v>Perch-likes</x:v>
      </x:c>
      <x:c r="I28" s="60" t="n">
        <x:v>4853.2547521398</x:v>
      </x:c>
      <x:c r="J28" s="60" t="n">
        <x:v>4835.1319536901</x:v>
      </x:c>
      <x:c r="K28" s="60" t="n">
        <x:v>18.1227984497</x:v>
      </x:c>
      <x:c r="L28" s="60" t="n">
        <x:v>3460.3395020127</x:v>
      </x:c>
      <x:c r="M28" s="60" t="n">
        <x:v>1392.9152501271</x:v>
      </x:c>
      <x:c r="N28" s="46" t="str">
        <x:v>scomberomorus cavalla</x:v>
      </x:c>
      <x:c r="O28" s="62" t="n">
        <x:v>4.42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Scomberomorus cavalla</x:v>
      </x:c>
      <x:c r="T28" s="62" t="n">
        <x:f>IF(O28="","",(1/'Metadata'!$B$5)^(O28-1))</x:f>
        <x:v>2630.2679918953813</x:v>
      </x:c>
      <x:c r="U28" s="60" t="n">
        <x:f>IF(T28="","",I28*T28)</x:f>
        <x:v>12765360.631067468</x:v>
      </x:c>
    </x:row>
    <x:row r="29" ht="18" customHeight="1">
      <x:c r="A29" s="46" t="str">
        <x:v>LME_012</x:v>
      </x:c>
      <x:c r="B29" s="46" t="str">
        <x:v>Caribbean Sea</x:v>
      </x:c>
      <x:c r="C29" s="46" t="str">
        <x:v>LME</x:v>
      </x:c>
      <x:c r="D29" s="58" t="n">
        <x:v>2019</x:v>
      </x:c>
      <x:c r="E29" s="46" t="str">
        <x:v>Arcidae</x:v>
      </x:c>
      <x:c r="F29" s="46" t="str">
        <x:v>Ark clams</x:v>
      </x:c>
      <x:c r="G29" s="46" t="str">
        <x:v>Other demersal invertebrates</x:v>
      </x:c>
      <x:c r="H29" s="46" t="str">
        <x:v>Molluscs</x:v>
      </x:c>
      <x:c r="I29" s="60" t="n">
        <x:v>4281.4838643049</x:v>
      </x:c>
      <x:c r="J29" s="60" t="n">
        <x:v>4281.4838643049</x:v>
      </x:c>
      <x:c r="K29" s="60" t="n">
        <x:v>0</x:v>
      </x:c>
      <x:c r="L29" s="60" t="n">
        <x:v>4110.2996512762</x:v>
      </x:c>
      <x:c r="M29" s="60" t="n">
        <x:v>171.1842130287</x:v>
      </x:c>
      <x:c r="N29" s="46" t="str">
        <x:v>arcidae</x:v>
      </x:c>
      <x:c r="O29" s="62" t="n">
        <x:v>2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Arcidae</x:v>
      </x:c>
      <x:c r="T29" s="62" t="n">
        <x:f>IF(O29="","",(1/'Metadata'!$B$5)^(O29-1))</x:f>
        <x:v>10</x:v>
      </x:c>
      <x:c r="U29" s="60" t="n">
        <x:f>IF(T29="","",I29*T29)</x:f>
        <x:v>42814.838643049</x:v>
      </x:c>
    </x:row>
    <x:row r="30" ht="18" customHeight="1">
      <x:c r="A30" s="46" t="str">
        <x:v>LME_012</x:v>
      </x:c>
      <x:c r="B30" s="46" t="str">
        <x:v>Caribbean Sea</x:v>
      </x:c>
      <x:c r="C30" s="46" t="str">
        <x:v>LME</x:v>
      </x:c>
      <x:c r="D30" s="58" t="n">
        <x:v>2019</x:v>
      </x:c>
      <x:c r="E30" s="46" t="str">
        <x:v>Stomolophus</x:v>
      </x:c>
      <x:c r="F30" s="46" t="str">
        <x:v>Cannonball jellies</x:v>
      </x:c>
      <x:c r="G30" s="46" t="str">
        <x:v>Jellyfish</x:v>
      </x:c>
      <x:c r="H30" s="46" t="str">
        <x:v>Other fishes &amp; inverts</x:v>
      </x:c>
      <x:c r="I30" s="60" t="n">
        <x:v>4022.6130148694</x:v>
      </x:c>
      <x:c r="J30" s="60" t="n">
        <x:v>3982.9398636147002</x:v>
      </x:c>
      <x:c r="K30" s="60" t="n">
        <x:v>39.6731512547</x:v>
      </x:c>
      <x:c r="L30" s="60" t="n">
        <x:v>1034.4680286163</x:v>
      </x:c>
      <x:c r="M30" s="60" t="n">
        <x:v>2988.1449862531</x:v>
      </x:c>
      <x:c r="N30" s="46" t="str">
        <x:v>stomolophus</x:v>
      </x:c>
      <x:c r="O30" s="62" t="n">
        <x:v>3.46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Stomolophus</x:v>
      </x:c>
      <x:c r="T30" s="62" t="n">
        <x:f>IF(O30="","",(1/'Metadata'!$B$5)^(O30-1))</x:f>
        <x:v>288.40315031266056</x:v>
      </x:c>
      <x:c r="U30" s="60" t="n">
        <x:f>IF(T30="","",I30*T30)</x:f>
        <x:v>1160134.2659770444</x:v>
      </x:c>
    </x:row>
    <x:row r="31" ht="18" customHeight="1">
      <x:c r="A31" s="46" t="str">
        <x:v>LME_012</x:v>
      </x:c>
      <x:c r="B31" s="46" t="str">
        <x:v>Caribbean Sea</x:v>
      </x:c>
      <x:c r="C31" s="46" t="str">
        <x:v>LME</x:v>
      </x:c>
      <x:c r="D31" s="58" t="n">
        <x:v>2019</x:v>
      </x:c>
      <x:c r="E31" s="46" t="str">
        <x:v>Engraulidae</x:v>
      </x:c>
      <x:c r="F31" s="46" t="str">
        <x:v>Anchovies, round herrings</x:v>
      </x:c>
      <x:c r="G31" s="46" t="str">
        <x:v>Small pelagics (&lt;30 cm)</x:v>
      </x:c>
      <x:c r="H31" s="46" t="str">
        <x:v>Anchovies</x:v>
      </x:c>
      <x:c r="I31" s="60" t="n">
        <x:v>3968.2482155778</x:v>
      </x:c>
      <x:c r="J31" s="60" t="n">
        <x:v>3696.9874978684998</x:v>
      </x:c>
      <x:c r="K31" s="60" t="n">
        <x:v>271.2607177093</x:v>
      </x:c>
      <x:c r="L31" s="60" t="n">
        <x:v>162.84629384110002</x:v>
      </x:c>
      <x:c r="M31" s="60" t="n">
        <x:v>3805.4019217367</x:v>
      </x:c>
      <x:c r="N31" s="46" t="str">
        <x:v>engraulidae</x:v>
      </x:c>
      <x:c r="O31" s="62" t="n">
        <x:v>3.2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Engraulidae</x:v>
      </x:c>
      <x:c r="T31" s="62" t="n">
        <x:f>IF(O31="","",(1/'Metadata'!$B$5)^(O31-1))</x:f>
        <x:v>158.48931924611142</x:v>
      </x:c>
      <x:c r="U31" s="60" t="n">
        <x:f>IF(T31="","",I31*T31)</x:f>
        <x:v>628924.9582865218</x:v>
      </x:c>
    </x:row>
    <x:row r="32" ht="18" customHeight="1">
      <x:c r="A32" s="46" t="str">
        <x:v>LME_012</x:v>
      </x:c>
      <x:c r="B32" s="46" t="str">
        <x:v>Caribbean Sea</x:v>
      </x:c>
      <x:c r="C32" s="46" t="str">
        <x:v>LME</x:v>
      </x:c>
      <x:c r="D32" s="58" t="n">
        <x:v>2019</x:v>
      </x:c>
      <x:c r="E32" s="46" t="str">
        <x:v>Sciaenidae</x:v>
      </x:c>
      <x:c r="F32" s="46" t="str">
        <x:v>Drums, croakers</x:v>
      </x:c>
      <x:c r="G32" s="46" t="str">
        <x:v>Medium demersals (30 - 89 cm)</x:v>
      </x:c>
      <x:c r="H32" s="46" t="str">
        <x:v>Perch-likes</x:v>
      </x:c>
      <x:c r="I32" s="60" t="n">
        <x:v>3957.6623423343</x:v>
      </x:c>
      <x:c r="J32" s="60" t="n">
        <x:v>2112.871782897</x:v>
      </x:c>
      <x:c r="K32" s="60" t="n">
        <x:v>1844.7905594372999</x:v>
      </x:c>
      <x:c r="L32" s="60" t="n">
        <x:v>1284.8355311569</x:v>
      </x:c>
      <x:c r="M32" s="60" t="n">
        <x:v>2672.8268111774</x:v>
      </x:c>
      <x:c r="N32" s="46" t="str">
        <x:v>sciaenidae</x:v>
      </x:c>
      <x:c r="O32" s="62" t="n">
        <x:v>3.76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Sciaenidae</x:v>
      </x:c>
      <x:c r="T32" s="62" t="n">
        <x:f>IF(O32="","",(1/'Metadata'!$B$5)^(O32-1))</x:f>
        <x:v>575.4399373371566</x:v>
      </x:c>
      <x:c r="U32" s="60" t="n">
        <x:f>IF(T32="","",I32*T32)</x:f>
        <x:v>2277396.970274474</x:v>
      </x:c>
    </x:row>
    <x:row r="33" ht="18" customHeight="1">
      <x:c r="A33" s="46" t="str">
        <x:v>LME_012</x:v>
      </x:c>
      <x:c r="B33" s="46" t="str">
        <x:v>Caribbean Sea</x:v>
      </x:c>
      <x:c r="C33" s="46" t="str">
        <x:v>LME</x:v>
      </x:c>
      <x:c r="D33" s="58" t="n">
        <x:v>2019</x:v>
      </x:c>
      <x:c r="E33" s="46" t="str">
        <x:v>Micropogonias furnieri</x:v>
      </x:c>
      <x:c r="F33" s="46" t="str">
        <x:v>Whitemouth croaker</x:v>
      </x:c>
      <x:c r="G33" s="46" t="str">
        <x:v>Medium demersals (30 - 89 cm)</x:v>
      </x:c>
      <x:c r="H33" s="46" t="str">
        <x:v>Perch-likes</x:v>
      </x:c>
      <x:c r="I33" s="60" t="n">
        <x:v>3843.6595311158994</x:v>
      </x:c>
      <x:c r="J33" s="60" t="n">
        <x:v>3486.9492591944995</x:v>
      </x:c>
      <x:c r="K33" s="60" t="n">
        <x:v>356.7102719214</x:v>
      </x:c>
      <x:c r="L33" s="60" t="n">
        <x:v>2577.8344790589</x:v>
      </x:c>
      <x:c r="M33" s="60" t="n">
        <x:v>1265.825052057</x:v>
      </x:c>
      <x:c r="N33" s="46" t="str">
        <x:v>micropogonias furnieri</x:v>
      </x:c>
      <x:c r="O33" s="62" t="n">
        <x:v>3.09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Micropogonias furnieri</x:v>
      </x:c>
      <x:c r="T33" s="62" t="n">
        <x:f>IF(O33="","",(1/'Metadata'!$B$5)^(O33-1))</x:f>
        <x:v>123.02687708123811</x:v>
      </x:c>
      <x:c r="U33" s="60" t="n">
        <x:f>IF(T33="","",I33*T33)</x:f>
        <x:v>472873.4286767251</x:v>
      </x:c>
    </x:row>
    <x:row r="34" ht="18" customHeight="1">
      <x:c r="A34" s="46" t="str">
        <x:v>LME_012</x:v>
      </x:c>
      <x:c r="B34" s="46" t="str">
        <x:v>Caribbean Sea</x:v>
      </x:c>
      <x:c r="C34" s="46" t="str">
        <x:v>LME</x:v>
      </x:c>
      <x:c r="D34" s="58" t="n">
        <x:v>2019</x:v>
      </x:c>
      <x:c r="E34" s="46" t="str">
        <x:v>Callinectes sapidus</x:v>
      </x:c>
      <x:c r="F34" s="46" t="str">
        <x:v>Blue crab</x:v>
      </x:c>
      <x:c r="G34" s="46" t="str">
        <x:v>Lobsters, crabs</x:v>
      </x:c>
      <x:c r="H34" s="46" t="str">
        <x:v>Crustaceans</x:v>
      </x:c>
      <x:c r="I34" s="60" t="n">
        <x:v>3671.0615259768</x:v>
      </x:c>
      <x:c r="J34" s="60" t="n">
        <x:v>2927.0988134124</x:v>
      </x:c>
      <x:c r="K34" s="60" t="n">
        <x:v>743.9627125644</x:v>
      </x:c>
      <x:c r="L34" s="60" t="n">
        <x:v>2613.1618037561</x:v>
      </x:c>
      <x:c r="M34" s="60" t="n">
        <x:v>1057.8997222207</x:v>
      </x:c>
      <x:c r="N34" s="46" t="str">
        <x:v>callinectes sapidus</x:v>
      </x:c>
      <x:c r="O34" s="62" t="n">
        <x:v>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Callinectes sapidus</x:v>
      </x:c>
      <x:c r="T34" s="62" t="n">
        <x:f>IF(O34="","",(1/'Metadata'!$B$5)^(O34-1))</x:f>
        <x:v>1000</x:v>
      </x:c>
      <x:c r="U34" s="60" t="n">
        <x:f>IF(T34="","",I34*T34)</x:f>
        <x:v>3671061.5259768</x:v>
      </x:c>
    </x:row>
    <x:row r="35" ht="18" customHeight="1">
      <x:c r="A35" s="46" t="str">
        <x:v>LME_012</x:v>
      </x:c>
      <x:c r="B35" s="46" t="str">
        <x:v>Caribbean Sea</x:v>
      </x:c>
      <x:c r="C35" s="46" t="str">
        <x:v>LME</x:v>
      </x:c>
      <x:c r="D35" s="58" t="n">
        <x:v>2019</x:v>
      </x:c>
      <x:c r="E35" s="46" t="str">
        <x:v>Centropomidae</x:v>
      </x:c>
      <x:c r="F35" s="46" t="str">
        <x:v>Snooks</x:v>
      </x:c>
      <x:c r="G35" s="46" t="str">
        <x:v>Large reef assoc. fish (&gt;=90 cm)</x:v>
      </x:c>
      <x:c r="H35" s="46" t="str">
        <x:v>Perch-likes</x:v>
      </x:c>
      <x:c r="I35" s="60" t="n">
        <x:v>3630.6442715587</x:v>
      </x:c>
      <x:c r="J35" s="60" t="n">
        <x:v>2808.1496161237</x:v>
      </x:c>
      <x:c r="K35" s="60" t="n">
        <x:v>822.494655435</x:v>
      </x:c>
      <x:c r="L35" s="60" t="n">
        <x:v>1182.9494539085</x:v>
      </x:c>
      <x:c r="M35" s="60" t="n">
        <x:v>2447.6948176502</x:v>
      </x:c>
      <x:c r="N35" s="46" t="str">
        <x:v>centropomidae</x:v>
      </x:c>
      <x:c r="O35" s="62" t="n">
        <x:v>3.92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Centropomidae</x:v>
      </x:c>
      <x:c r="T35" s="62" t="n">
        <x:f>IF(O35="","",(1/'Metadata'!$B$5)^(O35-1))</x:f>
        <x:v>831.7637711026708</x:v>
      </x:c>
      <x:c r="U35" s="60" t="n">
        <x:f>IF(T35="","",I35*T35)</x:f>
        <x:v>3019838.3708439735</x:v>
      </x:c>
    </x:row>
    <x:row r="36" ht="18" customHeight="1">
      <x:c r="A36" s="46" t="str">
        <x:v>LME_012</x:v>
      </x:c>
      <x:c r="B36" s="46" t="str">
        <x:v>Caribbean Sea</x:v>
      </x:c>
      <x:c r="C36" s="46" t="str">
        <x:v>LME</x:v>
      </x:c>
      <x:c r="D36" s="58" t="n">
        <x:v>2019</x:v>
      </x:c>
      <x:c r="E36" s="46" t="str">
        <x:v>Palinuridae</x:v>
      </x:c>
      <x:c r="F36" s="46" t="str">
        <x:v>Spiny lobsters</x:v>
      </x:c>
      <x:c r="G36" s="46" t="str">
        <x:v>Lobsters, crabs</x:v>
      </x:c>
      <x:c r="H36" s="46" t="str">
        <x:v>Crustaceans</x:v>
      </x:c>
      <x:c r="I36" s="60" t="n">
        <x:v>3263.7306868424002</x:v>
      </x:c>
      <x:c r="J36" s="60" t="n">
        <x:v>3263.7306868424002</x:v>
      </x:c>
      <x:c r="K36" s="60" t="n">
        <x:v>0</x:v>
      </x:c>
      <x:c r="L36" s="60" t="n">
        <x:v>2221.4803097678</x:v>
      </x:c>
      <x:c r="M36" s="60" t="n">
        <x:v>1042.2503770746</x:v>
      </x:c>
      <x:c r="N36" s="46" t="str">
        <x:v>palinuridae</x:v>
      </x:c>
      <x:c r="O36" s="62" t="n">
        <x:v>3.14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Palinuridae</x:v>
      </x:c>
      <x:c r="T36" s="62" t="n">
        <x:f>IF(O36="","",(1/'Metadata'!$B$5)^(O36-1))</x:f>
        <x:v>138.03842646028852</x:v>
      </x:c>
      <x:c r="U36" s="60" t="n">
        <x:f>IF(T36="","",I36*T36)</x:f>
        <x:v>450520.2484018816</x:v>
      </x:c>
    </x:row>
    <x:row r="37" ht="18" customHeight="1">
      <x:c r="A37" s="46" t="str">
        <x:v>LME_012</x:v>
      </x:c>
      <x:c r="B37" s="46" t="str">
        <x:v>Caribbean Sea</x:v>
      </x:c>
      <x:c r="C37" s="46" t="str">
        <x:v>LME</x:v>
      </x:c>
      <x:c r="D37" s="58" t="n">
        <x:v>2019</x:v>
      </x:c>
      <x:c r="E37" s="46" t="str">
        <x:v>Caranx ruber</x:v>
      </x:c>
      <x:c r="F37" s="46" t="str">
        <x:v>Bar jack</x:v>
      </x:c>
      <x:c r="G37" s="46" t="str">
        <x:v>Medium reef assoc. fish (30 - 89 cm)</x:v>
      </x:c>
      <x:c r="H37" s="46" t="str">
        <x:v>Perch-likes</x:v>
      </x:c>
      <x:c r="I37" s="60" t="n">
        <x:v>3251.6557446939996</x:v>
      </x:c>
      <x:c r="J37" s="60" t="n">
        <x:v>3251.6557446939996</x:v>
      </x:c>
      <x:c r="K37" s="60" t="n">
        <x:v>0</x:v>
      </x:c>
      <x:c r="L37" s="60" t="n">
        <x:v>2603.9223247746995</x:v>
      </x:c>
      <x:c r="M37" s="60" t="n">
        <x:v>647.7334199193</x:v>
      </x:c>
      <x:c r="N37" s="46" t="str">
        <x:v>caranx ruber</x:v>
      </x:c>
      <x:c r="O37" s="62" t="n">
        <x:v>4.28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Caranx ruber</x:v>
      </x:c>
      <x:c r="T37" s="62" t="n">
        <x:f>IF(O37="","",(1/'Metadata'!$B$5)^(O37-1))</x:f>
        <x:v>1905.4607179632483</x:v>
      </x:c>
      <x:c r="U37" s="60" t="n">
        <x:f>IF(T37="","",I37*T37)</x:f>
        <x:v>6195902.289853949</x:v>
      </x:c>
    </x:row>
    <x:row r="38" ht="18" customHeight="1">
      <x:c r="A38" s="46" t="str">
        <x:v>LME_012</x:v>
      </x:c>
      <x:c r="B38" s="46" t="str">
        <x:v>Caribbean Sea</x:v>
      </x:c>
      <x:c r="C38" s="46" t="str">
        <x:v>LME</x:v>
      </x:c>
      <x:c r="D38" s="58" t="n">
        <x:v>2019</x:v>
      </x:c>
      <x:c r="E38" s="46" t="str">
        <x:v>Caranx crysos</x:v>
      </x:c>
      <x:c r="F38" s="46" t="str">
        <x:v>Blue runner</x:v>
      </x:c>
      <x:c r="G38" s="46" t="str">
        <x:v>Medium reef assoc. fish (30 - 89 cm)</x:v>
      </x:c>
      <x:c r="H38" s="46" t="str">
        <x:v>Perch-likes</x:v>
      </x:c>
      <x:c r="I38" s="60" t="n">
        <x:v>3174.1772200498</x:v>
      </x:c>
      <x:c r="J38" s="60" t="n">
        <x:v>3174.1772200498</x:v>
      </x:c>
      <x:c r="K38" s="60" t="n">
        <x:v>0</x:v>
      </x:c>
      <x:c r="L38" s="60" t="n">
        <x:v>2939.2081326321</x:v>
      </x:c>
      <x:c r="M38" s="60" t="n">
        <x:v>234.9690874177</x:v>
      </x:c>
      <x:c r="N38" s="46" t="str">
        <x:v>caranx crysos</x:v>
      </x:c>
      <x:c r="O38" s="62" t="n">
        <x:v>4.13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Caranx crysos</x:v>
      </x:c>
      <x:c r="T38" s="62" t="n">
        <x:f>IF(O38="","",(1/'Metadata'!$B$5)^(O38-1))</x:f>
        <x:v>1348.9628825916532</x:v>
      </x:c>
      <x:c r="U38" s="60" t="n">
        <x:f>IF(T38="","",I38*T38)</x:f>
        <x:v>4281847.252615138</x:v>
      </x:c>
    </x:row>
    <x:row r="39" ht="18" customHeight="1">
      <x:c r="A39" s="46" t="str">
        <x:v>LME_012</x:v>
      </x:c>
      <x:c r="B39" s="46" t="str">
        <x:v>Caribbean Sea</x:v>
      </x:c>
      <x:c r="C39" s="46" t="str">
        <x:v>LME</x:v>
      </x:c>
      <x:c r="D39" s="58" t="n">
        <x:v>2019</x:v>
      </x:c>
      <x:c r="E39" s="46" t="str">
        <x:v>Gerreidae</x:v>
      </x:c>
      <x:c r="F39" s="46" t="str">
        <x:v>Mojarras, silverbellies</x:v>
      </x:c>
      <x:c r="G39" s="46" t="str">
        <x:v>Small benthopelagics (&lt;30 cm)</x:v>
      </x:c>
      <x:c r="H39" s="46" t="str">
        <x:v>Perch-likes</x:v>
      </x:c>
      <x:c r="I39" s="60" t="n">
        <x:v>3144.0853384353</x:v>
      </x:c>
      <x:c r="J39" s="60" t="n">
        <x:v>2739.3348870978</x:v>
      </x:c>
      <x:c r="K39" s="60" t="n">
        <x:v>404.7504513375</x:v>
      </x:c>
      <x:c r="L39" s="60" t="n">
        <x:v>1937.3848468816</x:v>
      </x:c>
      <x:c r="M39" s="60" t="n">
        <x:v>1206.7004915537</x:v>
      </x:c>
      <x:c r="N39" s="46" t="str">
        <x:v>gerreidae</x:v>
      </x:c>
      <x:c r="O39" s="62" t="n">
        <x:v>3.03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Gerreidae</x:v>
      </x:c>
      <x:c r="T39" s="62" t="n">
        <x:f>IF(O39="","",(1/'Metadata'!$B$5)^(O39-1))</x:f>
        <x:v>107.1519305237606</x:v>
      </x:c>
      <x:c r="U39" s="60" t="n">
        <x:f>IF(T39="","",I39*T39)</x:f>
        <x:v>336894.8137447936</x:v>
      </x:c>
    </x:row>
    <x:row r="40" ht="18" customHeight="1">
      <x:c r="A40" s="46" t="str">
        <x:v>LME_012</x:v>
      </x:c>
      <x:c r="B40" s="46" t="str">
        <x:v>Caribbean Sea</x:v>
      </x:c>
      <x:c r="C40" s="46" t="str">
        <x:v>LME</x:v>
      </x:c>
      <x:c r="D40" s="58" t="n">
        <x:v>2019</x:v>
      </x:c>
      <x:c r="E40" s="46" t="str">
        <x:v>Elasmobranchii</x:v>
      </x:c>
      <x:c r="F40" s="46" t="str">
        <x:v>Sharks, rays, skates</x:v>
      </x:c>
      <x:c r="G40" s="46" t="str">
        <x:v>Large sharks (&gt;=90 cm)</x:v>
      </x:c>
      <x:c r="H40" s="46" t="str">
        <x:v>Sharks &amp; rays</x:v>
      </x:c>
      <x:c r="I40" s="60" t="n">
        <x:v>3065.2510599839998</x:v>
      </x:c>
      <x:c r="J40" s="60" t="n">
        <x:v>3055.920446988</x:v>
      </x:c>
      <x:c r="K40" s="60" t="n">
        <x:v>9.330612996</x:v>
      </x:c>
      <x:c r="L40" s="60" t="n">
        <x:v>1749.3645942763999</x:v>
      </x:c>
      <x:c r="M40" s="60" t="n">
        <x:v>1315.8864657076</x:v>
      </x:c>
      <x:c r="N40" s="46" t="str">
        <x:v>elasmobranchii</x:v>
      </x:c>
      <x:c r="O40" s="62" t="n">
        <x:v>4.05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Elasmobranchii</x:v>
      </x:c>
      <x:c r="T40" s="62" t="n">
        <x:f>IF(O40="","",(1/'Metadata'!$B$5)^(O40-1))</x:f>
        <x:v>1122.018454301963</x:v>
      </x:c>
      <x:c r="U40" s="60" t="n">
        <x:f>IF(T40="","",I40*T40)</x:f>
        <x:v>3439268.256370701</x:v>
      </x:c>
    </x:row>
    <x:row r="41" ht="18" customHeight="1">
      <x:c r="A41" s="46" t="str">
        <x:v>LME_012</x:v>
      </x:c>
      <x:c r="B41" s="46" t="str">
        <x:v>Caribbean Sea</x:v>
      </x:c>
      <x:c r="C41" s="46" t="str">
        <x:v>LME</x:v>
      </x:c>
      <x:c r="D41" s="58" t="n">
        <x:v>2019</x:v>
      </x:c>
      <x:c r="E41" s="46" t="str">
        <x:v>Clupeidae</x:v>
      </x:c>
      <x:c r="F41" s="46" t="str">
        <x:v>Herrings, sardines, menhadens</x:v>
      </x:c>
      <x:c r="G41" s="46" t="str">
        <x:v>Small pelagics (&lt;30 cm)</x:v>
      </x:c>
      <x:c r="H41" s="46" t="str">
        <x:v>Herring-likes</x:v>
      </x:c>
      <x:c r="I41" s="60" t="n">
        <x:v>2918.5350750118</x:v>
      </x:c>
      <x:c r="J41" s="60" t="n">
        <x:v>2570.0944402948</x:v>
      </x:c>
      <x:c r="K41" s="60" t="n">
        <x:v>348.44063471699997</x:v>
      </x:c>
      <x:c r="L41" s="60" t="n">
        <x:v>1389.9225046696001</x:v>
      </x:c>
      <x:c r="M41" s="60" t="n">
        <x:v>1528.6125703422</x:v>
      </x:c>
      <x:c r="N41" s="46" t="str">
        <x:v>clupeidae</x:v>
      </x:c>
      <x:c r="O41" s="62" t="n">
        <x:v>3.16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Clupeidae</x:v>
      </x:c>
      <x:c r="T41" s="62" t="n">
        <x:f>IF(O41="","",(1/'Metadata'!$B$5)^(O41-1))</x:f>
        <x:v>144.5439770745928</x:v>
      </x:c>
      <x:c r="U41" s="60" t="n">
        <x:f>IF(T41="","",I41*T41)</x:f>
        <x:v>421856.6669739006</x:v>
      </x:c>
    </x:row>
    <x:row r="42" ht="18" customHeight="1">
      <x:c r="A42" s="46" t="str">
        <x:v>LME_012</x:v>
      </x:c>
      <x:c r="B42" s="46" t="str">
        <x:v>Caribbean Sea</x:v>
      </x:c>
      <x:c r="C42" s="46" t="str">
        <x:v>LME</x:v>
      </x:c>
      <x:c r="D42" s="58" t="n">
        <x:v>2019</x:v>
      </x:c>
      <x:c r="E42" s="46" t="str">
        <x:v>Miscellaneous marine crustaceans</x:v>
      </x:c>
      <x:c r="F42" s="46" t="str">
        <x:v>Marine crabs, shrimps, lobsters nei</x:v>
      </x:c>
      <x:c r="G42" s="46" t="str">
        <x:v>Shrimps</x:v>
      </x:c>
      <x:c r="H42" s="46" t="str">
        <x:v>Crustaceans</x:v>
      </x:c>
      <x:c r="I42" s="60" t="n">
        <x:v>2875.0406767281</x:v>
      </x:c>
      <x:c r="J42" s="60" t="n">
        <x:v>403.41419755119995</x:v>
      </x:c>
      <x:c r="K42" s="60" t="n">
        <x:v>2471.6264791769</x:v>
      </x:c>
      <x:c r="L42" s="60" t="n">
        <x:v>64.6923854915</x:v>
      </x:c>
      <x:c r="M42" s="60" t="n">
        <x:v>2810.3482912366</x:v>
      </x:c>
      <x:c r="N42" s="46" t="str">
        <x:v>miscellaneous marine crustaceans</x:v>
      </x:c>
      <x:c r="O42" s="62" t="n">
        <x:v>2.7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Miscellaneous marine crustaceans</x:v>
      </x:c>
      <x:c r="T42" s="62" t="n">
        <x:f>IF(O42="","",(1/'Metadata'!$B$5)^(O42-1))</x:f>
        <x:v>50.11872336272725</x:v>
      </x:c>
      <x:c r="U42" s="60" t="n">
        <x:f>IF(T42="","",I42*T42)</x:f>
        <x:v>144093.3683335238</x:v>
      </x:c>
    </x:row>
    <x:row r="43" ht="18" customHeight="1">
      <x:c r="A43" s="46" t="str">
        <x:v>LME_012</x:v>
      </x:c>
      <x:c r="B43" s="46" t="str">
        <x:v>Caribbean Sea</x:v>
      </x:c>
      <x:c r="C43" s="46" t="str">
        <x:v>LME</x:v>
      </x:c>
      <x:c r="D43" s="58" t="n">
        <x:v>2019</x:v>
      </x:c>
      <x:c r="E43" s="46" t="str">
        <x:v>Carcharhinidae</x:v>
      </x:c>
      <x:c r="F43" s="46" t="str">
        <x:v>Requiem sharks</x:v>
      </x:c>
      <x:c r="G43" s="46" t="str">
        <x:v>Large sharks (&gt;=90 cm)</x:v>
      </x:c>
      <x:c r="H43" s="46" t="str">
        <x:v>Sharks &amp; rays</x:v>
      </x:c>
      <x:c r="I43" s="60" t="n">
        <x:v>2768.1170158103</x:v>
      </x:c>
      <x:c r="J43" s="60" t="n">
        <x:v>2694.0857311456</x:v>
      </x:c>
      <x:c r="K43" s="60" t="n">
        <x:v>74.0312846647</x:v>
      </x:c>
      <x:c r="L43" s="60" t="n">
        <x:v>1239.610034255</x:v>
      </x:c>
      <x:c r="M43" s="60" t="n">
        <x:v>1528.5069815553</x:v>
      </x:c>
      <x:c r="N43" s="46" t="str">
        <x:v>carcharhinidae</x:v>
      </x:c>
      <x:c r="O43" s="62" t="n">
        <x:v>4.24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Carcharhinidae</x:v>
      </x:c>
      <x:c r="T43" s="62" t="n">
        <x:f>IF(O43="","",(1/'Metadata'!$B$5)^(O43-1))</x:f>
        <x:v>1737.8008287493763</x:v>
      </x:c>
      <x:c r="U43" s="60" t="n">
        <x:f>IF(T43="","",I43*T43)</x:f>
        <x:v>4810436.04415039</x:v>
      </x:c>
    </x:row>
    <x:row r="44" ht="18" customHeight="1">
      <x:c r="A44" s="46" t="str">
        <x:v>LME_012</x:v>
      </x:c>
      <x:c r="B44" s="46" t="str">
        <x:v>Caribbean Sea</x:v>
      </x:c>
      <x:c r="C44" s="46" t="str">
        <x:v>LME</x:v>
      </x:c>
      <x:c r="D44" s="58" t="n">
        <x:v>2019</x:v>
      </x:c>
      <x:c r="E44" s="46" t="str">
        <x:v>Opisthonema oglinum</x:v>
      </x:c>
      <x:c r="F44" s="46" t="str">
        <x:v>Atlantic thread herring</x:v>
      </x:c>
      <x:c r="G44" s="46" t="str">
        <x:v>Small pelagics (&lt;30 cm)</x:v>
      </x:c>
      <x:c r="H44" s="46" t="str">
        <x:v>Herring-likes</x:v>
      </x:c>
      <x:c r="I44" s="60" t="n">
        <x:v>2646.0923495172997</x:v>
      </x:c>
      <x:c r="J44" s="60" t="n">
        <x:v>2644.2385370006</x:v>
      </x:c>
      <x:c r="K44" s="60" t="n">
        <x:v>1.8538125167</x:v>
      </x:c>
      <x:c r="L44" s="60" t="n">
        <x:v>2346.3209495012998</x:v>
      </x:c>
      <x:c r="M44" s="60" t="n">
        <x:v>299.77140001600003</x:v>
      </x:c>
      <x:c r="N44" s="46" t="str">
        <x:v>opisthonema oglinum</x:v>
      </x:c>
      <x:c r="O44" s="62" t="n">
        <x:v>4.5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Opisthonema oglinum</x:v>
      </x:c>
      <x:c r="T44" s="62" t="n">
        <x:f>IF(O44="","",(1/'Metadata'!$B$5)^(O44-1))</x:f>
        <x:v>3162.2776601683795</x:v>
      </x:c>
      <x:c r="U44" s="60" t="n">
        <x:f>IF(T44="","",I44*T44)</x:f>
        <x:v>8367678.723621016</x:v>
      </x:c>
    </x:row>
    <x:row r="45" ht="18" customHeight="1">
      <x:c r="A45" s="46" t="str">
        <x:v>LME_012</x:v>
      </x:c>
      <x:c r="B45" s="46" t="str">
        <x:v>Caribbean Sea</x:v>
      </x:c>
      <x:c r="C45" s="46" t="str">
        <x:v>LME</x:v>
      </x:c>
      <x:c r="D45" s="58" t="n">
        <x:v>2019</x:v>
      </x:c>
      <x:c r="E45" s="46" t="str">
        <x:v>Crassostrea virginica</x:v>
      </x:c>
      <x:c r="F45" s="46" t="str">
        <x:v>American cupped oyster</x:v>
      </x:c>
      <x:c r="G45" s="46" t="str">
        <x:v>Other demersal invertebrates</x:v>
      </x:c>
      <x:c r="H45" s="46" t="str">
        <x:v>Molluscs</x:v>
      </x:c>
      <x:c r="I45" s="60" t="n">
        <x:v>2596.1024540844996</x:v>
      </x:c>
      <x:c r="J45" s="60" t="n">
        <x:v>2593.5431028701</x:v>
      </x:c>
      <x:c r="K45" s="60" t="n">
        <x:v>2.5593512144</x:v>
      </x:c>
      <x:c r="L45" s="60" t="n">
        <x:v>2544.8044900339</x:v>
      </x:c>
      <x:c r="M45" s="60" t="n">
        <x:v>51.297964050599994</x:v>
      </x:c>
      <x:c r="N45" s="46" t="str">
        <x:v>crassostrea virginica</x:v>
      </x:c>
      <x:c r="O45" s="62" t="n">
        <x:v>2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Crassostrea virginica</x:v>
      </x:c>
      <x:c r="T45" s="62" t="n">
        <x:f>IF(O45="","",(1/'Metadata'!$B$5)^(O45-1))</x:f>
        <x:v>10</x:v>
      </x:c>
      <x:c r="U45" s="60" t="n">
        <x:f>IF(T45="","",I45*T45)</x:f>
        <x:v>25961.024540844995</x:v>
      </x:c>
    </x:row>
    <x:row r="46" ht="18" customHeight="1">
      <x:c r="A46" s="46" t="str">
        <x:v>LME_012</x:v>
      </x:c>
      <x:c r="B46" s="46" t="str">
        <x:v>Caribbean Sea</x:v>
      </x:c>
      <x:c r="C46" s="46" t="str">
        <x:v>LME</x:v>
      </x:c>
      <x:c r="D46" s="58" t="n">
        <x:v>2019</x:v>
      </x:c>
      <x:c r="E46" s="46" t="str">
        <x:v>Penaeus schmitti</x:v>
      </x:c>
      <x:c r="F46" s="46" t="str">
        <x:v>Southern white shrimp</x:v>
      </x:c>
      <x:c r="G46" s="46" t="str">
        <x:v>Shrimps</x:v>
      </x:c>
      <x:c r="H46" s="46" t="str">
        <x:v>Crustaceans</x:v>
      </x:c>
      <x:c r="I46" s="60" t="n">
        <x:v>2567.5872933391</x:v>
      </x:c>
      <x:c r="J46" s="60" t="n">
        <x:v>2567.5872933391</x:v>
      </x:c>
      <x:c r="K46" s="60" t="n">
        <x:v>0</x:v>
      </x:c>
      <x:c r="L46" s="60" t="n">
        <x:v>2567.5872933391</x:v>
      </x:c>
      <x:c r="M46" s="60" t="n">
        <x:v>0</x:v>
      </x:c>
      <x:c r="N46" s="46" t="str">
        <x:v>penaeus schmitti</x:v>
      </x:c>
      <x:c r="O46" s="62" t="n">
        <x:v>2.7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Penaeus schmitti</x:v>
      </x:c>
      <x:c r="T46" s="62" t="n">
        <x:f>IF(O46="","",(1/'Metadata'!$B$5)^(O46-1))</x:f>
        <x:v>50.11872336272725</x:v>
      </x:c>
      <x:c r="U46" s="60" t="n">
        <x:f>IF(T46="","",I46*T46)</x:f>
        <x:v>128684.19726451598</x:v>
      </x:c>
    </x:row>
    <x:row r="47" ht="18" customHeight="1">
      <x:c r="A47" s="46" t="str">
        <x:v>LME_012</x:v>
      </x:c>
      <x:c r="B47" s="46" t="str">
        <x:v>Caribbean Sea</x:v>
      </x:c>
      <x:c r="C47" s="46" t="str">
        <x:v>LME</x:v>
      </x:c>
      <x:c r="D47" s="58" t="n">
        <x:v>2019</x:v>
      </x:c>
      <x:c r="E47" s="46" t="str">
        <x:v>Acanthocybium solandri</x:v>
      </x:c>
      <x:c r="F47" s="46" t="str">
        <x:v>Wahoo</x:v>
      </x:c>
      <x:c r="G47" s="46" t="str">
        <x:v>Large pelagics (&gt;=90 cm)</x:v>
      </x:c>
      <x:c r="H47" s="46" t="str">
        <x:v>Perch-likes</x:v>
      </x:c>
      <x:c r="I47" s="60" t="n">
        <x:v>2554.3180753304</x:v>
      </x:c>
      <x:c r="J47" s="60" t="n">
        <x:v>2538.0690088776</x:v>
      </x:c>
      <x:c r="K47" s="60" t="n">
        <x:v>16.249066452799998</x:v>
      </x:c>
      <x:c r="L47" s="60" t="n">
        <x:v>1292.9774709409</x:v>
      </x:c>
      <x:c r="M47" s="60" t="n">
        <x:v>1261.3406043895</x:v>
      </x:c>
      <x:c r="N47" s="46" t="str">
        <x:v>acanthocybium solandri</x:v>
      </x:c>
      <x:c r="O47" s="62" t="n">
        <x:v>4.26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Acanthocybium solandri</x:v>
      </x:c>
      <x:c r="T47" s="62" t="n">
        <x:f>IF(O47="","",(1/'Metadata'!$B$5)^(O47-1))</x:f>
        <x:v>1819.7008586099826</x:v>
      </x:c>
      <x:c r="U47" s="60" t="n">
        <x:f>IF(T47="","",I47*T47)</x:f>
        <x:v>4648094.794841727</x:v>
      </x:c>
    </x:row>
    <x:row r="48" ht="18" customHeight="1">
      <x:c r="A48" s="46" t="str">
        <x:v>LME_012</x:v>
      </x:c>
      <x:c r="B48" s="46" t="str">
        <x:v>Caribbean Sea</x:v>
      </x:c>
      <x:c r="C48" s="46" t="str">
        <x:v>LME</x:v>
      </x:c>
      <x:c r="D48" s="58" t="n">
        <x:v>2019</x:v>
      </x:c>
      <x:c r="E48" s="46" t="str">
        <x:v>Ocyurus chrysurus</x:v>
      </x:c>
      <x:c r="F48" s="46" t="str">
        <x:v>Yellowtail snapper</x:v>
      </x:c>
      <x:c r="G48" s="46" t="str">
        <x:v>Medium reef assoc. fish (30 - 89 cm)</x:v>
      </x:c>
      <x:c r="H48" s="46" t="str">
        <x:v>Perch-likes</x:v>
      </x:c>
      <x:c r="I48" s="60" t="n">
        <x:v>2391.2055863437</x:v>
      </x:c>
      <x:c r="J48" s="60" t="n">
        <x:v>2387.6470207004</x:v>
      </x:c>
      <x:c r="K48" s="60" t="n">
        <x:v>3.5585656433</x:v>
      </x:c>
      <x:c r="L48" s="60" t="n">
        <x:v>1963.0904500645</x:v>
      </x:c>
      <x:c r="M48" s="60" t="n">
        <x:v>428.1151362792</x:v>
      </x:c>
      <x:c r="N48" s="46" t="str">
        <x:v>ocyurus chrysurus</x:v>
      </x:c>
      <x:c r="O48" s="62" t="n">
        <x:v>4.03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Ocyurus chrysurus</x:v>
      </x:c>
      <x:c r="T48" s="62" t="n">
        <x:f>IF(O48="","",(1/'Metadata'!$B$5)^(O48-1))</x:f>
        <x:v>1071.519305237607</x:v>
      </x:c>
      <x:c r="U48" s="60" t="n">
        <x:f>IF(T48="","",I48*T48)</x:f>
        <x:v>2562222.948559286</x:v>
      </x:c>
    </x:row>
    <x:row r="49" ht="18" customHeight="1">
      <x:c r="A49" s="46" t="str">
        <x:v>LME_012</x:v>
      </x:c>
      <x:c r="B49" s="46" t="str">
        <x:v>Caribbean Sea</x:v>
      </x:c>
      <x:c r="C49" s="46" t="str">
        <x:v>LME</x:v>
      </x:c>
      <x:c r="D49" s="58" t="n">
        <x:v>2019</x:v>
      </x:c>
      <x:c r="E49" s="46" t="str">
        <x:v>Holocentridae</x:v>
      </x:c>
      <x:c r="F49" s="46" t="str">
        <x:v>Squirrel-, soldierfishes</x:v>
      </x:c>
      <x:c r="G49" s="46" t="str">
        <x:v>Small reef assoc. fish (&lt;30 cm)</x:v>
      </x:c>
      <x:c r="H49" s="46" t="str">
        <x:v>Other fishes &amp; inverts</x:v>
      </x:c>
      <x:c r="I49" s="60" t="n">
        <x:v>2344.521684597</x:v>
      </x:c>
      <x:c r="J49" s="60" t="n">
        <x:v>2334.4208751332</x:v>
      </x:c>
      <x:c r="K49" s="60" t="n">
        <x:v>10.1008094638</x:v>
      </x:c>
      <x:c r="L49" s="60" t="n">
        <x:v>1001.9012749933</x:v>
      </x:c>
      <x:c r="M49" s="60" t="n">
        <x:v>1342.6204096037</x:v>
      </x:c>
      <x:c r="N49" s="46" t="str">
        <x:v>holocentridae</x:v>
      </x:c>
      <x:c r="O49" s="62" t="n">
        <x:v>3.49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Holocentridae</x:v>
      </x:c>
      <x:c r="T49" s="62" t="n">
        <x:f>IF(O49="","",(1/'Metadata'!$B$5)^(O49-1))</x:f>
        <x:v>309.0295432513592</x:v>
      </x:c>
      <x:c r="U49" s="60" t="n">
        <x:f>IF(T49="","",I49*T49)</x:f>
        <x:v>724526.4653339181</x:v>
      </x:c>
    </x:row>
    <x:row r="50" ht="18" customHeight="1">
      <x:c r="A50" s="46" t="str">
        <x:v>LME_012</x:v>
      </x:c>
      <x:c r="B50" s="46" t="str">
        <x:v>Caribbean Sea</x:v>
      </x:c>
      <x:c r="C50" s="46" t="str">
        <x:v>LME</x:v>
      </x:c>
      <x:c r="D50" s="58" t="n">
        <x:v>2019</x:v>
      </x:c>
      <x:c r="E50" s="46" t="str">
        <x:v>Haemulon steindachneri</x:v>
      </x:c>
      <x:c r="F50" s="46" t="str">
        <x:v>Chere-chere grunt</x:v>
      </x:c>
      <x:c r="G50" s="46" t="str">
        <x:v>Small reef assoc. fish (&lt;30 cm)</x:v>
      </x:c>
      <x:c r="H50" s="46" t="str">
        <x:v>Perch-likes</x:v>
      </x:c>
      <x:c r="I50" s="60" t="n">
        <x:v>2336.8049682432</x:v>
      </x:c>
      <x:c r="J50" s="60" t="n">
        <x:v>2336.8049682432</x:v>
      </x:c>
      <x:c r="K50" s="60" t="n">
        <x:v>0</x:v>
      </x:c>
      <x:c r="L50" s="60" t="n">
        <x:v>221.75559197459998</x:v>
      </x:c>
      <x:c r="M50" s="60" t="n">
        <x:v>2115.0493762686</x:v>
      </x:c>
      <x:c r="N50" s="46" t="str">
        <x:v>haemulon steindachneri</x:v>
      </x:c>
      <x:c r="O50" s="62" t="n">
        <x:v>3.73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Haemulon steindachneri</x:v>
      </x:c>
      <x:c r="T50" s="62" t="n">
        <x:f>IF(O50="","",(1/'Metadata'!$B$5)^(O50-1))</x:f>
        <x:v>537.0317963702527</x:v>
      </x:c>
      <x:c r="U50" s="60" t="n">
        <x:f>IF(T50="","",I50*T50)</x:f>
        <x:v>1254938.569862577</x:v>
      </x:c>
    </x:row>
    <x:row r="51" ht="18" customHeight="1">
      <x:c r="A51" s="46" t="str">
        <x:v>LME_012</x:v>
      </x:c>
      <x:c r="B51" s="46" t="str">
        <x:v>Caribbean Sea</x:v>
      </x:c>
      <x:c r="C51" s="46" t="str">
        <x:v>LME</x:v>
      </x:c>
      <x:c r="D51" s="58" t="n">
        <x:v>2019</x:v>
      </x:c>
      <x:c r="E51" s="46" t="str">
        <x:v>Mullidae</x:v>
      </x:c>
      <x:c r="F51" s="46" t="str">
        <x:v>Goatfishes</x:v>
      </x:c>
      <x:c r="G51" s="46" t="str">
        <x:v>Medium reef assoc. fish (30 - 89 cm)</x:v>
      </x:c>
      <x:c r="H51" s="46" t="str">
        <x:v>Perch-likes</x:v>
      </x:c>
      <x:c r="I51" s="60" t="n">
        <x:v>2335.4400925175</x:v>
      </x:c>
      <x:c r="J51" s="60" t="n">
        <x:v>1672.5833287995</x:v>
      </x:c>
      <x:c r="K51" s="60" t="n">
        <x:v>662.8567637179999</x:v>
      </x:c>
      <x:c r="L51" s="60" t="n">
        <x:v>1003.5632596900999</x:v>
      </x:c>
      <x:c r="M51" s="60" t="n">
        <x:v>1331.8768328274</x:v>
      </x:c>
      <x:c r="N51" s="46" t="str">
        <x:v>mullidae</x:v>
      </x:c>
      <x:c r="O51" s="62" t="n">
        <x:v>3.46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Mullidae</x:v>
      </x:c>
      <x:c r="T51" s="62" t="n">
        <x:f>IF(O51="","",(1/'Metadata'!$B$5)^(O51-1))</x:f>
        <x:v>288.40315031266056</x:v>
      </x:c>
      <x:c r="U51" s="60" t="n">
        <x:f>IF(T51="","",I51*T51)</x:f>
        <x:v>673548.2800485385</x:v>
      </x:c>
    </x:row>
    <x:row r="52" ht="18" customHeight="1">
      <x:c r="A52" s="46" t="str">
        <x:v>LME_012</x:v>
      </x:c>
      <x:c r="B52" s="46" t="str">
        <x:v>Caribbean Sea</x:v>
      </x:c>
      <x:c r="C52" s="46" t="str">
        <x:v>LME</x:v>
      </x:c>
      <x:c r="D52" s="58" t="n">
        <x:v>2019</x:v>
      </x:c>
      <x:c r="E52" s="46" t="str">
        <x:v>Decapoda</x:v>
      </x:c>
      <x:c r="F52" s="46" t="str">
        <x:v>Crabs, lobsters, shrimps</x:v>
      </x:c>
      <x:c r="G52" s="46" t="str">
        <x:v>Lobsters, crabs</x:v>
      </x:c>
      <x:c r="H52" s="46" t="str">
        <x:v>Crustaceans</x:v>
      </x:c>
      <x:c r="I52" s="60" t="n">
        <x:v>2309.5465170057996</x:v>
      </x:c>
      <x:c r="J52" s="60" t="n">
        <x:v>880.0326777061</x:v>
      </x:c>
      <x:c r="K52" s="60" t="n">
        <x:v>1429.5138392997</x:v>
      </x:c>
      <x:c r="L52" s="60" t="n">
        <x:v>108.47530396050001</x:v>
      </x:c>
      <x:c r="M52" s="60" t="n">
        <x:v>2201.0712130453</x:v>
      </x:c>
      <x:c r="N52" s="46" t="str">
        <x:v>decapoda</x:v>
      </x:c>
      <x:c r="O52" s="62" t="n">
        <x:v>3.43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Decapoda</x:v>
      </x:c>
      <x:c r="T52" s="62" t="n">
        <x:f>IF(O52="","",(1/'Metadata'!$B$5)^(O52-1))</x:f>
        <x:v>269.1534803926917</x:v>
      </x:c>
      <x:c r="U52" s="60" t="n">
        <x:f>IF(T52="","",I52*T52)</x:f>
        <x:v>621622.4831809298</x:v>
      </x:c>
    </x:row>
    <x:row r="53" ht="18" customHeight="1">
      <x:c r="A53" s="46" t="str">
        <x:v>LME_012</x:v>
      </x:c>
      <x:c r="B53" s="46" t="str">
        <x:v>Caribbean Sea</x:v>
      </x:c>
      <x:c r="C53" s="46" t="str">
        <x:v>LME</x:v>
      </x:c>
      <x:c r="D53" s="58" t="n">
        <x:v>2019</x:v>
      </x:c>
      <x:c r="E53" s="46" t="str">
        <x:v>Lutjanus synagris</x:v>
      </x:c>
      <x:c r="F53" s="46" t="str">
        <x:v>Lane snapper</x:v>
      </x:c>
      <x:c r="G53" s="46" t="str">
        <x:v>Medium reef assoc. fish (30 - 89 cm)</x:v>
      </x:c>
      <x:c r="H53" s="46" t="str">
        <x:v>Perch-likes</x:v>
      </x:c>
      <x:c r="I53" s="60" t="n">
        <x:v>2254.3788789459</x:v>
      </x:c>
      <x:c r="J53" s="60" t="n">
        <x:v>2252.9836622077</x:v>
      </x:c>
      <x:c r="K53" s="60" t="n">
        <x:v>1.3952167382</x:v>
      </x:c>
      <x:c r="L53" s="60" t="n">
        <x:v>1718.9822808315</x:v>
      </x:c>
      <x:c r="M53" s="60" t="n">
        <x:v>535.3965981144</x:v>
      </x:c>
      <x:c r="N53" s="46" t="str">
        <x:v>lutjanus synagris</x:v>
      </x:c>
      <x:c r="O53" s="62" t="n">
        <x:v>3.82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Lutjanus synagris</x:v>
      </x:c>
      <x:c r="T53" s="62" t="n">
        <x:f>IF(O53="","",(1/'Metadata'!$B$5)^(O53-1))</x:f>
        <x:v>660.6934480075957</x:v>
      </x:c>
      <x:c r="U53" s="60" t="n">
        <x:f>IF(T53="","",I53*T53)</x:f>
        <x:v>1489453.354646265</x:v>
      </x:c>
    </x:row>
    <x:row r="54" ht="18" customHeight="1">
      <x:c r="A54" s="46" t="str">
        <x:v>LME_012</x:v>
      </x:c>
      <x:c r="B54" s="46" t="str">
        <x:v>Caribbean Sea</x:v>
      </x:c>
      <x:c r="C54" s="46" t="str">
        <x:v>LME</x:v>
      </x:c>
      <x:c r="D54" s="58" t="n">
        <x:v>2019</x:v>
      </x:c>
      <x:c r="E54" s="46" t="str">
        <x:v>Sparidae</x:v>
      </x:c>
      <x:c r="F54" s="46" t="str">
        <x:v>Porgies, seabreams</x:v>
      </x:c>
      <x:c r="G54" s="46" t="str">
        <x:v>Medium benthopelagics (30 - 89 cm)</x:v>
      </x:c>
      <x:c r="H54" s="46" t="str">
        <x:v>Perch-likes</x:v>
      </x:c>
      <x:c r="I54" s="60" t="n">
        <x:v>2167.9390750108</x:v>
      </x:c>
      <x:c r="J54" s="60" t="n">
        <x:v>2153.0364023839</x:v>
      </x:c>
      <x:c r="K54" s="60" t="n">
        <x:v>14.9026726269</x:v>
      </x:c>
      <x:c r="L54" s="60" t="n">
        <x:v>229.230557638</x:v>
      </x:c>
      <x:c r="M54" s="60" t="n">
        <x:v>1938.7085173728</x:v>
      </x:c>
      <x:c r="N54" s="46" t="str">
        <x:v>sparidae</x:v>
      </x:c>
      <x:c r="O54" s="62" t="n">
        <x:v>3.31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Sparidae</x:v>
      </x:c>
      <x:c r="T54" s="62" t="n">
        <x:f>IF(O54="","",(1/'Metadata'!$B$5)^(O54-1))</x:f>
        <x:v>204.17379446695296</x:v>
      </x:c>
      <x:c r="U54" s="60" t="n">
        <x:f>IF(T54="","",I54*T54)</x:f>
        <x:v>442636.3471181312</x:v>
      </x:c>
    </x:row>
    <x:row r="55" ht="18" customHeight="1">
      <x:c r="A55" s="46" t="str">
        <x:v>LME_012</x:v>
      </x:c>
      <x:c r="B55" s="46" t="str">
        <x:v>Caribbean Sea</x:v>
      </x:c>
      <x:c r="C55" s="46" t="str">
        <x:v>LME</x:v>
      </x:c>
      <x:c r="D55" s="58" t="n">
        <x:v>2019</x:v>
      </x:c>
      <x:c r="E55" s="46" t="str">
        <x:v>Xiphias gladius</x:v>
      </x:c>
      <x:c r="F55" s="46" t="str">
        <x:v>Swordfish</x:v>
      </x:c>
      <x:c r="G55" s="46" t="str">
        <x:v>Large pelagics (&gt;=90 cm)</x:v>
      </x:c>
      <x:c r="H55" s="46" t="str">
        <x:v>Tuna &amp; billfishes</x:v>
      </x:c>
      <x:c r="I55" s="60" t="n">
        <x:v>2080.6245728543</x:v>
      </x:c>
      <x:c r="J55" s="60" t="n">
        <x:v>2080.6245728543</x:v>
      </x:c>
      <x:c r="K55" s="60" t="n">
        <x:v>0</x:v>
      </x:c>
      <x:c r="L55" s="60" t="n">
        <x:v>1983.5841013694999</x:v>
      </x:c>
      <x:c r="M55" s="60" t="n">
        <x:v>97.04047148480001</x:v>
      </x:c>
      <x:c r="N55" s="46" t="str">
        <x:v>xiphias gladius</x:v>
      </x:c>
      <x:c r="O55" s="62" t="n">
        <x:v>4.53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Xiphias gladius</x:v>
      </x:c>
      <x:c r="T55" s="62" t="n">
        <x:f>IF(O55="","",(1/'Metadata'!$B$5)^(O55-1))</x:f>
        <x:v>3388.4415613920273</x:v>
      </x:c>
      <x:c r="U55" s="60" t="n">
        <x:f>IF(T55="","",I55*T55)</x:f>
        <x:v>7050074.776313044</x:v>
      </x:c>
    </x:row>
    <x:row r="56" ht="18" customHeight="1">
      <x:c r="A56" s="46" t="str">
        <x:v>LME_012</x:v>
      </x:c>
      <x:c r="B56" s="46" t="str">
        <x:v>Caribbean Sea</x:v>
      </x:c>
      <x:c r="C56" s="46" t="str">
        <x:v>LME</x:v>
      </x:c>
      <x:c r="D56" s="58" t="n">
        <x:v>2019</x:v>
      </x:c>
      <x:c r="E56" s="46" t="str">
        <x:v>Cynoscion acoupa</x:v>
      </x:c>
      <x:c r="F56" s="46" t="str">
        <x:v>Acoupa weakfish</x:v>
      </x:c>
      <x:c r="G56" s="46" t="str">
        <x:v>Large demersals (&gt;=90 cm)</x:v>
      </x:c>
      <x:c r="H56" s="46" t="str">
        <x:v>Perch-likes</x:v>
      </x:c>
      <x:c r="I56" s="60" t="n">
        <x:v>2075.4499859873</x:v>
      </x:c>
      <x:c r="J56" s="60" t="n">
        <x:v>2075.4499859873</x:v>
      </x:c>
      <x:c r="K56" s="60" t="n">
        <x:v>0</x:v>
      </x:c>
      <x:c r="L56" s="60" t="n">
        <x:v>2075.4499859873</x:v>
      </x:c>
      <x:c r="M56" s="60" t="n">
        <x:v>0</x:v>
      </x:c>
      <x:c r="N56" s="46" t="str">
        <x:v>cynoscion acoupa</x:v>
      </x:c>
      <x:c r="O56" s="62" t="n">
        <x:v>4.05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Cynoscion acoupa</x:v>
      </x:c>
      <x:c r="T56" s="62" t="n">
        <x:f>IF(O56="","",(1/'Metadata'!$B$5)^(O56-1))</x:f>
        <x:v>1122.018454301963</x:v>
      </x:c>
      <x:c r="U56" s="60" t="n">
        <x:f>IF(T56="","",I56*T56)</x:f>
        <x:v>2328693.1852585007</x:v>
      </x:c>
    </x:row>
    <x:row r="57" ht="18" customHeight="1">
      <x:c r="A57" s="46" t="str">
        <x:v>LME_012</x:v>
      </x:c>
      <x:c r="B57" s="46" t="str">
        <x:v>Caribbean Sea</x:v>
      </x:c>
      <x:c r="C57" s="46" t="str">
        <x:v>LME</x:v>
      </x:c>
      <x:c r="D57" s="58" t="n">
        <x:v>2019</x:v>
      </x:c>
      <x:c r="E57" s="46" t="str">
        <x:v>Trachinotus</x:v>
      </x:c>
      <x:c r="F57" s="46" t="str">
        <x:v>Pompanos</x:v>
      </x:c>
      <x:c r="G57" s="46" t="str">
        <x:v>Medium pelagics (30 - 89 cm)</x:v>
      </x:c>
      <x:c r="H57" s="46" t="str">
        <x:v>Perch-likes</x:v>
      </x:c>
      <x:c r="I57" s="60" t="n">
        <x:v>1968.8767409357001</x:v>
      </x:c>
      <x:c r="J57" s="60" t="n">
        <x:v>1968.8767409357001</x:v>
      </x:c>
      <x:c r="K57" s="60" t="n">
        <x:v>0</x:v>
      </x:c>
      <x:c r="L57" s="60" t="n">
        <x:v>153.4567519511</x:v>
      </x:c>
      <x:c r="M57" s="60" t="n">
        <x:v>1815.4199889846002</x:v>
      </x:c>
      <x:c r="N57" s="46" t="str">
        <x:v>trachinotus</x:v>
      </x:c>
      <x:c r="O57" s="62" t="n">
        <x:v>3.69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Trachinotus</x:v>
      </x:c>
      <x:c r="T57" s="62" t="n">
        <x:f>IF(O57="","",(1/'Metadata'!$B$5)^(O57-1))</x:f>
        <x:v>489.77881936844614</x:v>
      </x:c>
      <x:c r="U57" s="60" t="n">
        <x:f>IF(T57="","",I57*T57)</x:f>
        <x:v>964314.1256574811</x:v>
      </x:c>
    </x:row>
    <x:row r="58" ht="18" customHeight="1">
      <x:c r="A58" s="46" t="str">
        <x:v>LME_012</x:v>
      </x:c>
      <x:c r="B58" s="46" t="str">
        <x:v>Caribbean Sea</x:v>
      </x:c>
      <x:c r="C58" s="46" t="str">
        <x:v>LME</x:v>
      </x:c>
      <x:c r="D58" s="58" t="n">
        <x:v>2019</x:v>
      </x:c>
      <x:c r="E58" s="46" t="str">
        <x:v>Caranx bartholomaei</x:v>
      </x:c>
      <x:c r="F58" s="46" t="str">
        <x:v>Yellow jack</x:v>
      </x:c>
      <x:c r="G58" s="46" t="str">
        <x:v>Medium reef assoc. fish (30 - 89 cm)</x:v>
      </x:c>
      <x:c r="H58" s="46" t="str">
        <x:v>Perch-likes</x:v>
      </x:c>
      <x:c r="I58" s="60" t="n">
        <x:v>1938.1646334821</x:v>
      </x:c>
      <x:c r="J58" s="60" t="n">
        <x:v>1938.1646334821</x:v>
      </x:c>
      <x:c r="K58" s="60" t="n">
        <x:v>0</x:v>
      </x:c>
      <x:c r="L58" s="60" t="n">
        <x:v>1888.5431870675</x:v>
      </x:c>
      <x:c r="M58" s="60" t="n">
        <x:v>49.6214464146</x:v>
      </x:c>
      <x:c r="N58" s="46" t="str">
        <x:v>caranx bartholomaei</x:v>
      </x:c>
      <x:c r="O58" s="62" t="n">
        <x:v>4.5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Caranx bartholomaei</x:v>
      </x:c>
      <x:c r="T58" s="62" t="n">
        <x:f>IF(O58="","",(1/'Metadata'!$B$5)^(O58-1))</x:f>
        <x:v>3162.2776601683795</x:v>
      </x:c>
      <x:c r="U58" s="60" t="n">
        <x:f>IF(T58="","",I58*T58)</x:f>
        <x:v>6129014.72218888</x:v>
      </x:c>
    </x:row>
    <x:row r="59" ht="18" customHeight="1">
      <x:c r="A59" s="46" t="str">
        <x:v>LME_012</x:v>
      </x:c>
      <x:c r="B59" s="46" t="str">
        <x:v>Caribbean Sea</x:v>
      </x:c>
      <x:c r="C59" s="46" t="str">
        <x:v>LME</x:v>
      </x:c>
      <x:c r="D59" s="58" t="n">
        <x:v>2019</x:v>
      </x:c>
      <x:c r="E59" s="46" t="str">
        <x:v>Cynoscion</x:v>
      </x:c>
      <x:c r="F59" s="46" t="str">
        <x:v>Weakfishes</x:v>
      </x:c>
      <x:c r="G59" s="46" t="str">
        <x:v>Medium demersals (30 - 89 cm)</x:v>
      </x:c>
      <x:c r="H59" s="46" t="str">
        <x:v>Perch-likes</x:v>
      </x:c>
      <x:c r="I59" s="60" t="n">
        <x:v>1925.4408077463</x:v>
      </x:c>
      <x:c r="J59" s="60" t="n">
        <x:v>1846.2896722528</x:v>
      </x:c>
      <x:c r="K59" s="60" t="n">
        <x:v>79.15113549349999</x:v>
      </x:c>
      <x:c r="L59" s="60" t="n">
        <x:v>190.0877985253</x:v>
      </x:c>
      <x:c r="M59" s="60" t="n">
        <x:v>1735.353009221</x:v>
      </x:c>
      <x:c r="N59" s="46" t="str">
        <x:v>cynoscion</x:v>
      </x:c>
      <x:c r="O59" s="62" t="n">
        <x:v>4.21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Cynoscion</x:v>
      </x:c>
      <x:c r="T59" s="62" t="n">
        <x:f>IF(O59="","",(1/'Metadata'!$B$5)^(O59-1))</x:f>
        <x:v>1621.8100973589299</x:v>
      </x:c>
      <x:c r="U59" s="60" t="n">
        <x:f>IF(T59="","",I59*T59)</x:f>
        <x:v>3122699.343869883</x:v>
      </x:c>
    </x:row>
    <x:row r="60" ht="18" customHeight="1">
      <x:c r="A60" s="46" t="str">
        <x:v>LME_012</x:v>
      </x:c>
      <x:c r="B60" s="46" t="str">
        <x:v>Caribbean Sea</x:v>
      </x:c>
      <x:c r="C60" s="46" t="str">
        <x:v>LME</x:v>
      </x:c>
      <x:c r="D60" s="58" t="n">
        <x:v>2019</x:v>
      </x:c>
      <x:c r="E60" s="46" t="str">
        <x:v>Trachurus lathami</x:v>
      </x:c>
      <x:c r="F60" s="46" t="str">
        <x:v>Rough scad</x:v>
      </x:c>
      <x:c r="G60" s="46" t="str">
        <x:v>Medium benthopelagics (30 - 89 cm)</x:v>
      </x:c>
      <x:c r="H60" s="46" t="str">
        <x:v>Perch-likes</x:v>
      </x:c>
      <x:c r="I60" s="60" t="n">
        <x:v>1911.318193986</x:v>
      </x:c>
      <x:c r="J60" s="60" t="n">
        <x:v>1911.318193986</x:v>
      </x:c>
      <x:c r="K60" s="60" t="n">
        <x:v>0</x:v>
      </x:c>
      <x:c r="L60" s="60" t="n">
        <x:v>1911.318193986</x:v>
      </x:c>
      <x:c r="M60" s="60" t="n">
        <x:v>0</x:v>
      </x:c>
      <x:c r="N60" s="46" t="str">
        <x:v>trachurus lathami</x:v>
      </x:c>
      <x:c r="O60" s="62" t="n">
        <x:v>3.99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Trachurus lathami</x:v>
      </x:c>
      <x:c r="T60" s="62" t="n">
        <x:f>IF(O60="","",(1/'Metadata'!$B$5)^(O60-1))</x:f>
        <x:v>977.2372209558112</x:v>
      </x:c>
      <x:c r="U60" s="60" t="n">
        <x:f>IF(T60="","",I60*T60)</x:f>
        <x:v>1867811.2802531586</x:v>
      </x:c>
    </x:row>
    <x:row r="61" ht="18" customHeight="1">
      <x:c r="A61" s="46" t="str">
        <x:v>LME_012</x:v>
      </x:c>
      <x:c r="B61" s="46" t="str">
        <x:v>Caribbean Sea</x:v>
      </x:c>
      <x:c r="C61" s="46" t="str">
        <x:v>LME</x:v>
      </x:c>
      <x:c r="D61" s="58" t="n">
        <x:v>2019</x:v>
      </x:c>
      <x:c r="E61" s="46" t="str">
        <x:v>Penaeidae</x:v>
      </x:c>
      <x:c r="F61" s="46" t="str">
        <x:v>Commercial shrimps and prawns</x:v>
      </x:c>
      <x:c r="G61" s="46" t="str">
        <x:v>Shrimps</x:v>
      </x:c>
      <x:c r="H61" s="46" t="str">
        <x:v>Crustaceans</x:v>
      </x:c>
      <x:c r="I61" s="60" t="n">
        <x:v>1772.4944047543</x:v>
      </x:c>
      <x:c r="J61" s="60" t="n">
        <x:v>1768.8490023179</x:v>
      </x:c>
      <x:c r="K61" s="60" t="n">
        <x:v>3.6454024364</x:v>
      </x:c>
      <x:c r="L61" s="60" t="n">
        <x:v>1144.6093564811001</x:v>
      </x:c>
      <x:c r="M61" s="60" t="n">
        <x:v>627.8850482732</x:v>
      </x:c>
      <x:c r="N61" s="46" t="str">
        <x:v>penaeidae</x:v>
      </x:c>
      <x:c r="O61" s="62" t="n">
        <x:v>3.31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Penaeidae</x:v>
      </x:c>
      <x:c r="T61" s="62" t="n">
        <x:f>IF(O61="","",(1/'Metadata'!$B$5)^(O61-1))</x:f>
        <x:v>204.17379446695296</x:v>
      </x:c>
      <x:c r="U61" s="60" t="n">
        <x:f>IF(T61="","",I61*T61)</x:f>
        <x:v>361896.9082901286</x:v>
      </x:c>
    </x:row>
    <x:row r="62" ht="18" customHeight="1">
      <x:c r="A62" s="46" t="str">
        <x:v>LME_012</x:v>
      </x:c>
      <x:c r="B62" s="46" t="str">
        <x:v>Caribbean Sea</x:v>
      </x:c>
      <x:c r="C62" s="46" t="str">
        <x:v>LME</x:v>
      </x:c>
      <x:c r="D62" s="58" t="n">
        <x:v>2019</x:v>
      </x:c>
      <x:c r="E62" s="46" t="str">
        <x:v>Diodontidae</x:v>
      </x:c>
      <x:c r="F62" s="46" t="str">
        <x:v>Porcupine-, burrfishes</x:v>
      </x:c>
      <x:c r="G62" s="46" t="str">
        <x:v>Medium reef assoc. fish (30 - 89 cm)</x:v>
      </x:c>
      <x:c r="H62" s="46" t="str">
        <x:v>Other fishes &amp; inverts</x:v>
      </x:c>
      <x:c r="I62" s="60" t="n">
        <x:v>1772.07374111</x:v>
      </x:c>
      <x:c r="J62" s="60" t="n">
        <x:v>1772.0680317534</x:v>
      </x:c>
      <x:c r="K62" s="60" t="n">
        <x:v>0.0057093566</x:v>
      </x:c>
      <x:c r="L62" s="60" t="n">
        <x:v>839.5097749198001</x:v>
      </x:c>
      <x:c r="M62" s="60" t="n">
        <x:v>932.5639661902</x:v>
      </x:c>
      <x:c r="N62" s="46" t="str">
        <x:v>diodontidae</x:v>
      </x:c>
      <x:c r="O62" s="62" t="n">
        <x:v>3.36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Diodontidae</x:v>
      </x:c>
      <x:c r="T62" s="62" t="n">
        <x:f>IF(O62="","",(1/'Metadata'!$B$5)^(O62-1))</x:f>
        <x:v>229.08676527677724</x:v>
      </x:c>
      <x:c r="U62" s="60" t="n">
        <x:f>IF(T62="","",I62*T62)</x:f>
        <x:v>405958.64118280704</x:v>
      </x:c>
    </x:row>
    <x:row r="63" ht="18" customHeight="1">
      <x:c r="A63" s="46" t="str">
        <x:v>LME_012</x:v>
      </x:c>
      <x:c r="B63" s="46" t="str">
        <x:v>Caribbean Sea</x:v>
      </x:c>
      <x:c r="C63" s="46" t="str">
        <x:v>LME</x:v>
      </x:c>
      <x:c r="D63" s="58" t="n">
        <x:v>2019</x:v>
      </x:c>
      <x:c r="E63" s="46" t="str">
        <x:v>Octopus maya</x:v>
      </x:c>
      <x:c r="F63" s="46" t="str">
        <x:v>Mexican foureyed octopus</x:v>
      </x:c>
      <x:c r="G63" s="46" t="str">
        <x:v>Cephalopods</x:v>
      </x:c>
      <x:c r="H63" s="46" t="str">
        <x:v>Other fishes &amp; inverts</x:v>
      </x:c>
      <x:c r="I63" s="60" t="n">
        <x:v>1742.3358577695</x:v>
      </x:c>
      <x:c r="J63" s="60" t="n">
        <x:v>1742.3358577695</x:v>
      </x:c>
      <x:c r="K63" s="60" t="n">
        <x:v>0</x:v>
      </x:c>
      <x:c r="L63" s="60" t="n">
        <x:v>1619.7539444795</x:v>
      </x:c>
      <x:c r="M63" s="60" t="n">
        <x:v>122.58191328999999</x:v>
      </x:c>
      <x:c r="N63" s="46" t="str">
        <x:v>octopus maya</x:v>
      </x:c>
      <x:c r="O63" s="62" t="n">
        <x:v>3.5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Octopus maya</x:v>
      </x:c>
      <x:c r="T63" s="62" t="n">
        <x:f>IF(O63="","",(1/'Metadata'!$B$5)^(O63-1))</x:f>
        <x:v>316.22776601683796</x:v>
      </x:c>
      <x:c r="U63" s="60" t="n">
        <x:f>IF(T63="","",I63*T63)</x:f>
        <x:v>550974.9759534801</x:v>
      </x:c>
    </x:row>
    <x:row r="64" ht="18" customHeight="1">
      <x:c r="A64" s="46" t="str">
        <x:v>LME_012</x:v>
      </x:c>
      <x:c r="B64" s="46" t="str">
        <x:v>Caribbean Sea</x:v>
      </x:c>
      <x:c r="C64" s="46" t="str">
        <x:v>LME</x:v>
      </x:c>
      <x:c r="D64" s="58" t="n">
        <x:v>2019</x:v>
      </x:c>
      <x:c r="E64" s="46" t="str">
        <x:v>Mytilidae</x:v>
      </x:c>
      <x:c r="F64" s="46" t="str">
        <x:v>Sea mussels</x:v>
      </x:c>
      <x:c r="G64" s="46" t="str">
        <x:v>Other demersal invertebrates</x:v>
      </x:c>
      <x:c r="H64" s="46" t="str">
        <x:v>Molluscs</x:v>
      </x:c>
      <x:c r="I64" s="60" t="n">
        <x:v>1702.6818009397998</x:v>
      </x:c>
      <x:c r="J64" s="60" t="n">
        <x:v>1702.6818009397998</x:v>
      </x:c>
      <x:c r="K64" s="60" t="n">
        <x:v>0</x:v>
      </x:c>
      <x:c r="L64" s="60" t="n">
        <x:v>6.218032710799999</x:v>
      </x:c>
      <x:c r="M64" s="60" t="n">
        <x:v>1696.463768229</x:v>
      </x:c>
      <x:c r="N64" s="46" t="str">
        <x:v>mytilidae</x:v>
      </x:c>
      <x:c r="O64" s="62" t="n">
        <x:v>2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Mytilidae</x:v>
      </x:c>
      <x:c r="T64" s="62" t="n">
        <x:f>IF(O64="","",(1/'Metadata'!$B$5)^(O64-1))</x:f>
        <x:v>10</x:v>
      </x:c>
      <x:c r="U64" s="60" t="n">
        <x:f>IF(T64="","",I64*T64)</x:f>
        <x:v>17026.818009397997</x:v>
      </x:c>
    </x:row>
    <x:row r="65" ht="18" customHeight="1">
      <x:c r="A65" s="46" t="str">
        <x:v>LME_012</x:v>
      </x:c>
      <x:c r="B65" s="46" t="str">
        <x:v>Caribbean Sea</x:v>
      </x:c>
      <x:c r="C65" s="46" t="str">
        <x:v>LME</x:v>
      </x:c>
      <x:c r="D65" s="58" t="n">
        <x:v>2019</x:v>
      </x:c>
      <x:c r="E65" s="46" t="str">
        <x:v>Selar crumenophthalmus</x:v>
      </x:c>
      <x:c r="F65" s="46" t="str">
        <x:v>Bigeye scad</x:v>
      </x:c>
      <x:c r="G65" s="46" t="str">
        <x:v>Medium pelagics (30 - 89 cm)</x:v>
      </x:c>
      <x:c r="H65" s="46" t="str">
        <x:v>Perch-likes</x:v>
      </x:c>
      <x:c r="I65" s="60" t="n">
        <x:v>1674.7289400032</x:v>
      </x:c>
      <x:c r="J65" s="60" t="n">
        <x:v>1674.5250492458001</x:v>
      </x:c>
      <x:c r="K65" s="60" t="n">
        <x:v>0.20389075739999998</x:v>
      </x:c>
      <x:c r="L65" s="60" t="n">
        <x:v>1155.0724282412</x:v>
      </x:c>
      <x:c r="M65" s="60" t="n">
        <x:v>519.656511762</x:v>
      </x:c>
      <x:c r="N65" s="46" t="str">
        <x:v>selar crumenophthalmus</x:v>
      </x:c>
      <x:c r="O65" s="62" t="n">
        <x:v>3.81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Selar crumenophthalmus</x:v>
      </x:c>
      <x:c r="T65" s="62" t="n">
        <x:f>IF(O65="","",(1/'Metadata'!$B$5)^(O65-1))</x:f>
        <x:v>645.6542290346556</x:v>
      </x:c>
      <x:c r="U65" s="60" t="n">
        <x:f>IF(T65="","",I65*T65)</x:f>
        <x:v>1081295.8225997922</x:v>
      </x:c>
    </x:row>
    <x:row r="66" ht="18" customHeight="1">
      <x:c r="A66" s="46" t="str">
        <x:v>LME_012</x:v>
      </x:c>
      <x:c r="B66" s="46" t="str">
        <x:v>Caribbean Sea</x:v>
      </x:c>
      <x:c r="C66" s="46" t="str">
        <x:v>LME</x:v>
      </x:c>
      <x:c r="D66" s="58" t="n">
        <x:v>2019</x:v>
      </x:c>
      <x:c r="E66" s="46" t="str">
        <x:v>Rajiformes</x:v>
      </x:c>
      <x:c r="F66" s="46" t="str">
        <x:v>Skates and rays</x:v>
      </x:c>
      <x:c r="G66" s="46" t="str">
        <x:v>Large rays (&gt;=90 cm)</x:v>
      </x:c>
      <x:c r="H66" s="46" t="str">
        <x:v>Sharks &amp; rays</x:v>
      </x:c>
      <x:c r="I66" s="60" t="n">
        <x:v>1645.9892041673</x:v>
      </x:c>
      <x:c r="J66" s="60" t="n">
        <x:v>1645.9892041673</x:v>
      </x:c>
      <x:c r="K66" s="60" t="n">
        <x:v>0</x:v>
      </x:c>
      <x:c r="L66" s="60" t="n">
        <x:v>1049.2068319765</x:v>
      </x:c>
      <x:c r="M66" s="60" t="n">
        <x:v>596.7823721908</x:v>
      </x:c>
      <x:c r="N66" s="46" t="str">
        <x:v>rajiformes</x:v>
      </x:c>
      <x:c r="O66" s="62" t="n">
        <x:v>3.61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Rajiformes</x:v>
      </x:c>
      <x:c r="T66" s="62" t="n">
        <x:f>IF(O66="","",(1/'Metadata'!$B$5)^(O66-1))</x:f>
        <x:v>407.3802778041126</x:v>
      </x:c>
      <x:c r="U66" s="60" t="n">
        <x:f>IF(T66="","",I66*T66)</x:f>
        <x:v>670543.5392562449</x:v>
      </x:c>
    </x:row>
    <x:row r="67" ht="18" customHeight="1">
      <x:c r="A67" s="46" t="str">
        <x:v>LME_012</x:v>
      </x:c>
      <x:c r="B67" s="46" t="str">
        <x:v>Caribbean Sea</x:v>
      </x:c>
      <x:c r="C67" s="46" t="str">
        <x:v>LME</x:v>
      </x:c>
      <x:c r="D67" s="58" t="n">
        <x:v>2019</x:v>
      </x:c>
      <x:c r="E67" s="46" t="str">
        <x:v>Cathorops spixii</x:v>
      </x:c>
      <x:c r="F67" s="46" t="str">
        <x:v>Madamango sea catfish</x:v>
      </x:c>
      <x:c r="G67" s="46" t="str">
        <x:v>Large reef assoc. fish (&gt;=90 cm)</x:v>
      </x:c>
      <x:c r="H67" s="46" t="str">
        <x:v>Other fishes &amp; inverts</x:v>
      </x:c>
      <x:c r="I67" s="60" t="n">
        <x:v>1604.2129773437</x:v>
      </x:c>
      <x:c r="J67" s="60" t="n">
        <x:v>1604.2129773437</x:v>
      </x:c>
      <x:c r="K67" s="60" t="n">
        <x:v>0</x:v>
      </x:c>
      <x:c r="L67" s="60" t="n">
        <x:v>1604.2129773437</x:v>
      </x:c>
      <x:c r="M67" s="60" t="n">
        <x:v>0</x:v>
      </x:c>
      <x:c r="N67" s="46" t="str">
        <x:v>cathorops spixii</x:v>
      </x:c>
      <x:c r="O67" s="62" t="n">
        <x:v>3.47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Cathorops spixii</x:v>
      </x:c>
      <x:c r="T67" s="62" t="n">
        <x:f>IF(O67="","",(1/'Metadata'!$B$5)^(O67-1))</x:f>
        <x:v>295.1209226666387</x:v>
      </x:c>
      <x:c r="U67" s="60" t="n">
        <x:f>IF(T67="","",I67*T67)</x:f>
        <x:v>473436.8140274683</x:v>
      </x:c>
    </x:row>
    <x:row r="68" ht="18" customHeight="1">
      <x:c r="A68" s="46" t="str">
        <x:v>LME_012</x:v>
      </x:c>
      <x:c r="B68" s="46" t="str">
        <x:v>Caribbean Sea</x:v>
      </x:c>
      <x:c r="C68" s="46" t="str">
        <x:v>LME</x:v>
      </x:c>
      <x:c r="D68" s="58" t="n">
        <x:v>2019</x:v>
      </x:c>
      <x:c r="E68" s="46" t="str">
        <x:v>Haemulon plumierii</x:v>
      </x:c>
      <x:c r="F68" s="46" t="str">
        <x:v>White grunt</x:v>
      </x:c>
      <x:c r="G68" s="46" t="str">
        <x:v>Medium reef assoc. fish (30 - 89 cm)</x:v>
      </x:c>
      <x:c r="H68" s="46" t="str">
        <x:v>Perch-likes</x:v>
      </x:c>
      <x:c r="I68" s="60" t="n">
        <x:v>1589.1502118243</x:v>
      </x:c>
      <x:c r="J68" s="60" t="n">
        <x:v>1587.9156530626</x:v>
      </x:c>
      <x:c r="K68" s="60" t="n">
        <x:v>1.2345587617</x:v>
      </x:c>
      <x:c r="L68" s="60" t="n">
        <x:v>1472.8039613924</x:v>
      </x:c>
      <x:c r="M68" s="60" t="n">
        <x:v>116.3462504319</x:v>
      </x:c>
      <x:c r="N68" s="46" t="str">
        <x:v>haemulon plumierii</x:v>
      </x:c>
      <x:c r="O68" s="62" t="n">
        <x:v>3.82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Haemulon plumierii</x:v>
      </x:c>
      <x:c r="T68" s="62" t="n">
        <x:f>IF(O68="","",(1/'Metadata'!$B$5)^(O68-1))</x:f>
        <x:v>660.6934480075957</x:v>
      </x:c>
      <x:c r="U68" s="60" t="n">
        <x:f>IF(T68="","",I68*T68)</x:f>
        <x:v>1049941.1328521979</x:v>
      </x:c>
    </x:row>
    <x:row r="69" ht="18" customHeight="1">
      <x:c r="A69" s="46" t="str">
        <x:v>LME_012</x:v>
      </x:c>
      <x:c r="B69" s="46" t="str">
        <x:v>Caribbean Sea</x:v>
      </x:c>
      <x:c r="C69" s="46" t="str">
        <x:v>LME</x:v>
      </x:c>
      <x:c r="D69" s="58" t="n">
        <x:v>2019</x:v>
      </x:c>
      <x:c r="E69" s="46" t="str">
        <x:v>Orthopristis rubra</x:v>
      </x:c>
      <x:c r="F69" s="46" t="str">
        <x:v>Corocoro grunt</x:v>
      </x:c>
      <x:c r="G69" s="46" t="str">
        <x:v>Medium demersals (30 - 89 cm)</x:v>
      </x:c>
      <x:c r="H69" s="46" t="str">
        <x:v>Perch-likes</x:v>
      </x:c>
      <x:c r="I69" s="60" t="n">
        <x:v>1587.4828231621</x:v>
      </x:c>
      <x:c r="J69" s="60" t="n">
        <x:v>1587.4828231621</x:v>
      </x:c>
      <x:c r="K69" s="60" t="n">
        <x:v>0</x:v>
      </x:c>
      <x:c r="L69" s="60" t="n">
        <x:v>1587.4828231621</x:v>
      </x:c>
      <x:c r="M69" s="60" t="n">
        <x:v>0</x:v>
      </x:c>
      <x:c r="N69" s="46" t="str">
        <x:v>orthopristis rubra</x:v>
      </x:c>
      <x:c r="O69" s="62" t="n">
        <x:v>3.58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Orthopristis rubra</x:v>
      </x:c>
      <x:c r="T69" s="62" t="n">
        <x:f>IF(O69="","",(1/'Metadata'!$B$5)^(O69-1))</x:f>
        <x:v>380.1893963205613</x:v>
      </x:c>
      <x:c r="U69" s="60" t="n">
        <x:f>IF(T69="","",I69*T69)</x:f>
        <x:v>603544.1362072591</x:v>
      </x:c>
    </x:row>
    <x:row r="70" ht="18" customHeight="1">
      <x:c r="A70" s="46" t="str">
        <x:v>LME_012</x:v>
      </x:c>
      <x:c r="B70" s="46" t="str">
        <x:v>Caribbean Sea</x:v>
      </x:c>
      <x:c r="C70" s="46" t="str">
        <x:v>LME</x:v>
      </x:c>
      <x:c r="D70" s="58" t="n">
        <x:v>2019</x:v>
      </x:c>
      <x:c r="E70" s="46" t="str">
        <x:v>Tivela mactroides</x:v>
      </x:c>
      <x:c r="F70" s="46" t="str">
        <x:v>Trigonal tivela</x:v>
      </x:c>
      <x:c r="G70" s="46" t="str">
        <x:v>Other demersal invertebrates</x:v>
      </x:c>
      <x:c r="H70" s="46" t="str">
        <x:v>Molluscs</x:v>
      </x:c>
      <x:c r="I70" s="60" t="n">
        <x:v>1550.9322516851</x:v>
      </x:c>
      <x:c r="J70" s="60" t="n">
        <x:v>1550.9322516851</x:v>
      </x:c>
      <x:c r="K70" s="60" t="n">
        <x:v>0</x:v>
      </x:c>
      <x:c r="L70" s="60" t="n">
        <x:v>45.857388688099995</x:v>
      </x:c>
      <x:c r="M70" s="60" t="n">
        <x:v>1505.074862997</x:v>
      </x:c>
      <x:c r="N70" s="46" t="str">
        <x:v>tivela mactroides</x:v>
      </x:c>
      <x:c r="O70" s="62" t="n">
        <x:v>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Tivela mactroides</x:v>
      </x:c>
      <x:c r="T70" s="62" t="n">
        <x:f>IF(O70="","",(1/'Metadata'!$B$5)^(O70-1))</x:f>
        <x:v>10</x:v>
      </x:c>
      <x:c r="U70" s="60" t="n">
        <x:f>IF(T70="","",I70*T70)</x:f>
        <x:v>15509.322516851</x:v>
      </x:c>
    </x:row>
    <x:row r="71" ht="18" customHeight="1">
      <x:c r="A71" s="46" t="str">
        <x:v>LME_012</x:v>
      </x:c>
      <x:c r="B71" s="46" t="str">
        <x:v>Caribbean Sea</x:v>
      </x:c>
      <x:c r="C71" s="46" t="str">
        <x:v>LME</x:v>
      </x:c>
      <x:c r="D71" s="58" t="n">
        <x:v>2019</x:v>
      </x:c>
      <x:c r="E71" s="46" t="str">
        <x:v>Rhomboplites aurorubens</x:v>
      </x:c>
      <x:c r="F71" s="46" t="str">
        <x:v>Vermilion snapper</x:v>
      </x:c>
      <x:c r="G71" s="46" t="str">
        <x:v>Medium demersals (30 - 89 cm)</x:v>
      </x:c>
      <x:c r="H71" s="46" t="str">
        <x:v>Perch-likes</x:v>
      </x:c>
      <x:c r="I71" s="60" t="n">
        <x:v>1545.7575423831001</x:v>
      </x:c>
      <x:c r="J71" s="60" t="n">
        <x:v>1538.2054265834001</x:v>
      </x:c>
      <x:c r="K71" s="60" t="n">
        <x:v>7.5521157997</x:v>
      </x:c>
      <x:c r="L71" s="60" t="n">
        <x:v>1198.2508528932</x:v>
      </x:c>
      <x:c r="M71" s="60" t="n">
        <x:v>347.5066894899</x:v>
      </x:c>
      <x:c r="N71" s="46" t="str">
        <x:v>rhomboplites aurorubens</x:v>
      </x:c>
      <x:c r="O71" s="62" t="n">
        <x:v>4.36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Rhomboplites aurorubens</x:v>
      </x:c>
      <x:c r="T71" s="62" t="n">
        <x:f>IF(O71="","",(1/'Metadata'!$B$5)^(O71-1))</x:f>
        <x:v>2290.867652767775</x:v>
      </x:c>
      <x:c r="U71" s="60" t="n">
        <x:f>IF(T71="","",I71*T71)</x:f>
        <x:v>3541125.952867257</x:v>
      </x:c>
    </x:row>
    <x:row r="72" ht="18" customHeight="1">
      <x:c r="A72" s="46" t="str">
        <x:v>LME_012</x:v>
      </x:c>
      <x:c r="B72" s="46" t="str">
        <x:v>Caribbean Sea</x:v>
      </x:c>
      <x:c r="C72" s="46" t="str">
        <x:v>LME</x:v>
      </x:c>
      <x:c r="D72" s="58" t="n">
        <x:v>2019</x:v>
      </x:c>
      <x:c r="E72" s="46" t="str">
        <x:v>Sparisoma viride</x:v>
      </x:c>
      <x:c r="F72" s="46" t="str">
        <x:v>Stoplight parrotfish</x:v>
      </x:c>
      <x:c r="G72" s="46" t="str">
        <x:v>Medium reef assoc. fish (30 - 89 cm)</x:v>
      </x:c>
      <x:c r="H72" s="46" t="str">
        <x:v>Perch-likes</x:v>
      </x:c>
      <x:c r="I72" s="60" t="n">
        <x:v>1531.8043617609</x:v>
      </x:c>
      <x:c r="J72" s="60" t="n">
        <x:v>1531.8043617609</x:v>
      </x:c>
      <x:c r="K72" s="60" t="n">
        <x:v>0</x:v>
      </x:c>
      <x:c r="L72" s="60" t="n">
        <x:v>1380.718052477</x:v>
      </x:c>
      <x:c r="M72" s="60" t="n">
        <x:v>151.0863092839</x:v>
      </x:c>
      <x:c r="N72" s="46" t="str">
        <x:v>sparisoma viride</x:v>
      </x:c>
      <x:c r="O72" s="62" t="n">
        <x:v>2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Sparisoma viride</x:v>
      </x:c>
      <x:c r="T72" s="62" t="n">
        <x:f>IF(O72="","",(1/'Metadata'!$B$5)^(O72-1))</x:f>
        <x:v>10</x:v>
      </x:c>
      <x:c r="U72" s="60" t="n">
        <x:f>IF(T72="","",I72*T72)</x:f>
        <x:v>15318.043617609</x:v>
      </x:c>
    </x:row>
    <x:row r="73" ht="18" customHeight="1">
      <x:c r="A73" s="46" t="str">
        <x:v>LME_012</x:v>
      </x:c>
      <x:c r="B73" s="46" t="str">
        <x:v>Caribbean Sea</x:v>
      </x:c>
      <x:c r="C73" s="46" t="str">
        <x:v>LME</x:v>
      </x:c>
      <x:c r="D73" s="58" t="n">
        <x:v>2019</x:v>
      </x:c>
      <x:c r="E73" s="46" t="str">
        <x:v>Lutjanus purpureus</x:v>
      </x:c>
      <x:c r="F73" s="46" t="str">
        <x:v>Southern red snapper</x:v>
      </x:c>
      <x:c r="G73" s="46" t="str">
        <x:v>Medium demersals (30 - 89 cm)</x:v>
      </x:c>
      <x:c r="H73" s="46" t="str">
        <x:v>Perch-likes</x:v>
      </x:c>
      <x:c r="I73" s="60" t="n">
        <x:v>1518.4009492838</x:v>
      </x:c>
      <x:c r="J73" s="60" t="n">
        <x:v>1518.4009492838</x:v>
      </x:c>
      <x:c r="K73" s="60" t="n">
        <x:v>0</x:v>
      </x:c>
      <x:c r="L73" s="60" t="n">
        <x:v>1398.6624020099998</x:v>
      </x:c>
      <x:c r="M73" s="60" t="n">
        <x:v>119.7385472738</x:v>
      </x:c>
      <x:c r="N73" s="46" t="str">
        <x:v>lutjanus purpureus</x:v>
      </x:c>
      <x:c r="O73" s="62" t="n">
        <x:v>3.58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Lutjanus purpureus</x:v>
      </x:c>
      <x:c r="T73" s="62" t="n">
        <x:f>IF(O73="","",(1/'Metadata'!$B$5)^(O73-1))</x:f>
        <x:v>380.1893963205613</x:v>
      </x:c>
      <x:c r="U73" s="60" t="n">
        <x:f>IF(T73="","",I73*T73)</x:f>
        <x:v>577279.9402807751</x:v>
      </x:c>
    </x:row>
    <x:row r="74" ht="18" customHeight="1">
      <x:c r="A74" s="46" t="str">
        <x:v>LME_012</x:v>
      </x:c>
      <x:c r="B74" s="46" t="str">
        <x:v>Caribbean Sea</x:v>
      </x:c>
      <x:c r="C74" s="46" t="str">
        <x:v>LME</x:v>
      </x:c>
      <x:c r="D74" s="58" t="n">
        <x:v>2019</x:v>
      </x:c>
      <x:c r="E74" s="46" t="str">
        <x:v>Coryphaena</x:v>
      </x:c>
      <x:c r="F74" s="46" t="str">
        <x:v>Dolphinfishes</x:v>
      </x:c>
      <x:c r="G74" s="46" t="str">
        <x:v>Large pelagics (&gt;=90 cm)</x:v>
      </x:c>
      <x:c r="H74" s="46" t="str">
        <x:v>Perch-likes</x:v>
      </x:c>
      <x:c r="I74" s="60" t="n">
        <x:v>1482.2875168781002</x:v>
      </x:c>
      <x:c r="J74" s="60" t="n">
        <x:v>1477.6001902465002</x:v>
      </x:c>
      <x:c r="K74" s="60" t="n">
        <x:v>4.6873266316</x:v>
      </x:c>
      <x:c r="L74" s="60" t="n">
        <x:v>553.3189646395</x:v>
      </x:c>
      <x:c r="M74" s="60" t="n">
        <x:v>928.9685522386001</x:v>
      </x:c>
      <x:c r="N74" s="46" t="str">
        <x:v>coryphaena</x:v>
      </x:c>
      <x:c r="O74" s="62" t="n">
        <x:v>4.49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Coryphaena</x:v>
      </x:c>
      <x:c r="T74" s="62" t="n">
        <x:f>IF(O74="","",(1/'Metadata'!$B$5)^(O74-1))</x:f>
        <x:v>3090.295432513592</x:v>
      </x:c>
      <x:c r="U74" s="60" t="n">
        <x:f>IF(T74="","",I74*T74)</x:f>
        <x:v>4580706.343080307</x:v>
      </x:c>
    </x:row>
    <x:row r="75" ht="18" customHeight="1">
      <x:c r="A75" s="46" t="str">
        <x:v>LME_012</x:v>
      </x:c>
      <x:c r="B75" s="46" t="str">
        <x:v>Caribbean Sea</x:v>
      </x:c>
      <x:c r="C75" s="46" t="str">
        <x:v>LME</x:v>
      </x:c>
      <x:c r="D75" s="58" t="n">
        <x:v>2019</x:v>
      </x:c>
      <x:c r="E75" s="46" t="str">
        <x:v>Sphyraena</x:v>
      </x:c>
      <x:c r="F75" s="46" t="str">
        <x:v>Barracudas, sennets</x:v>
      </x:c>
      <x:c r="G75" s="46" t="str">
        <x:v>Large pelagics (&gt;=90 cm)</x:v>
      </x:c>
      <x:c r="H75" s="46" t="str">
        <x:v>Perch-likes</x:v>
      </x:c>
      <x:c r="I75" s="60" t="n">
        <x:v>1457.9808871771</x:v>
      </x:c>
      <x:c r="J75" s="60" t="n">
        <x:v>1386.2474265982</x:v>
      </x:c>
      <x:c r="K75" s="60" t="n">
        <x:v>71.7334605789</x:v>
      </x:c>
      <x:c r="L75" s="60" t="n">
        <x:v>929.0862828827</x:v>
      </x:c>
      <x:c r="M75" s="60" t="n">
        <x:v>528.8946042944</x:v>
      </x:c>
      <x:c r="N75" s="46" t="str">
        <x:v>sphyraena</x:v>
      </x:c>
      <x:c r="O75" s="62" t="n">
        <x:v>4.4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Sphyraena</x:v>
      </x:c>
      <x:c r="T75" s="62" t="n">
        <x:f>IF(O75="","",(1/'Metadata'!$B$5)^(O75-1))</x:f>
        <x:v>2511.886431509582</x:v>
      </x:c>
      <x:c r="U75" s="60" t="n">
        <x:f>IF(T75="","",I75*T75)</x:f>
        <x:v>3662282.40790046</x:v>
      </x:c>
    </x:row>
    <x:row r="76" ht="18" customHeight="1">
      <x:c r="A76" s="46" t="str">
        <x:v>LME_012</x:v>
      </x:c>
      <x:c r="B76" s="46" t="str">
        <x:v>Caribbean Sea</x:v>
      </x:c>
      <x:c r="C76" s="46" t="str">
        <x:v>LME</x:v>
      </x:c>
      <x:c r="D76" s="58" t="n">
        <x:v>2019</x:v>
      </x:c>
      <x:c r="E76" s="46" t="str">
        <x:v>Octopus</x:v>
      </x:c>
      <x:c r="F76" s="46" t="str">
        <x:v>Octopuses, pikas</x:v>
      </x:c>
      <x:c r="G76" s="46" t="str">
        <x:v>Cephalopods</x:v>
      </x:c>
      <x:c r="H76" s="46" t="str">
        <x:v>Other fishes &amp; inverts</x:v>
      </x:c>
      <x:c r="I76" s="60" t="n">
        <x:v>1444.1969762733997</x:v>
      </x:c>
      <x:c r="J76" s="60" t="n">
        <x:v>1444.1969762733997</x:v>
      </x:c>
      <x:c r="K76" s="60" t="n">
        <x:v>0</x:v>
      </x:c>
      <x:c r="L76" s="60" t="n">
        <x:v>165.20080218229998</x:v>
      </x:c>
      <x:c r="M76" s="60" t="n">
        <x:v>1278.9961740910999</x:v>
      </x:c>
      <x:c r="N76" s="46" t="str">
        <x:v>octopus</x:v>
      </x:c>
      <x:c r="O76" s="62" t="n">
        <x:v>3.8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Octopus</x:v>
      </x:c>
      <x:c r="T76" s="62" t="n">
        <x:f>IF(O76="","",(1/'Metadata'!$B$5)^(O76-1))</x:f>
        <x:v>630.957344480193</x:v>
      </x:c>
      <x:c r="U76" s="60" t="n">
        <x:f>IF(T76="","",I76*T76)</x:f>
        <x:v>911226.6890557886</x:v>
      </x:c>
    </x:row>
    <x:row r="77" ht="18" customHeight="1">
      <x:c r="A77" s="46" t="str">
        <x:v>LME_012</x:v>
      </x:c>
      <x:c r="B77" s="46" t="str">
        <x:v>Caribbean Sea</x:v>
      </x:c>
      <x:c r="C77" s="46" t="str">
        <x:v>LME</x:v>
      </x:c>
      <x:c r="D77" s="58" t="n">
        <x:v>2019</x:v>
      </x:c>
      <x:c r="E77" s="46" t="str">
        <x:v>Katsuwonus pelamis</x:v>
      </x:c>
      <x:c r="F77" s="46" t="str">
        <x:v>Skipjack tuna</x:v>
      </x:c>
      <x:c r="G77" s="46" t="str">
        <x:v>Large pelagics (&gt;=90 cm)</x:v>
      </x:c>
      <x:c r="H77" s="46" t="str">
        <x:v>Tuna &amp; billfishes</x:v>
      </x:c>
      <x:c r="I77" s="60" t="n">
        <x:v>1385.2925901433</x:v>
      </x:c>
      <x:c r="J77" s="60" t="n">
        <x:v>1384.9807375475002</x:v>
      </x:c>
      <x:c r="K77" s="60" t="n">
        <x:v>0.3118525958</x:v>
      </x:c>
      <x:c r="L77" s="60" t="n">
        <x:v>1061.3896821071</x:v>
      </x:c>
      <x:c r="M77" s="60" t="n">
        <x:v>323.9029080362</x:v>
      </x:c>
      <x:c r="N77" s="46" t="str">
        <x:v>katsuwonus pelamis</x:v>
      </x:c>
      <x:c r="O77" s="62" t="n">
        <x:v>4.43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Katsuwonus pelamis</x:v>
      </x:c>
      <x:c r="T77" s="62" t="n">
        <x:f>IF(O77="","",(1/'Metadata'!$B$5)^(O77-1))</x:f>
        <x:v>2691.534803926914</x:v>
      </x:c>
      <x:c r="U77" s="60" t="n">
        <x:f>IF(T77="","",I77*T77)</x:f>
        <x:v>3728563.2199927536</x:v>
      </x:c>
    </x:row>
    <x:row r="78" ht="18" customHeight="1">
      <x:c r="A78" s="46" t="str">
        <x:v>LME_012</x:v>
      </x:c>
      <x:c r="B78" s="46" t="str">
        <x:v>Caribbean Sea</x:v>
      </x:c>
      <x:c r="C78" s="46" t="str">
        <x:v>LME</x:v>
      </x:c>
      <x:c r="D78" s="58" t="n">
        <x:v>2019</x:v>
      </x:c>
      <x:c r="E78" s="46" t="str">
        <x:v>Panulirus</x:v>
      </x:c>
      <x:c r="F78" s="46" t="str">
        <x:v>Spiny lobsters</x:v>
      </x:c>
      <x:c r="G78" s="46" t="str">
        <x:v>Lobsters, crabs</x:v>
      </x:c>
      <x:c r="H78" s="46" t="str">
        <x:v>Crustaceans</x:v>
      </x:c>
      <x:c r="I78" s="60" t="n">
        <x:v>1382.8531098628</x:v>
      </x:c>
      <x:c r="J78" s="60" t="n">
        <x:v>1378.2811858697999</x:v>
      </x:c>
      <x:c r="K78" s="60" t="n">
        <x:v>4.571923993</x:v>
      </x:c>
      <x:c r="L78" s="60" t="n">
        <x:v>88.8370569578</x:v>
      </x:c>
      <x:c r="M78" s="60" t="n">
        <x:v>1294.016052905</x:v>
      </x:c>
      <x:c r="N78" s="46" t="str">
        <x:v>panulirus</x:v>
      </x:c>
      <x:c r="O78" s="62" t="n">
        <x:v>2.6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Panulirus</x:v>
      </x:c>
      <x:c r="T78" s="62" t="n">
        <x:f>IF(O78="","",(1/'Metadata'!$B$5)^(O78-1))</x:f>
        <x:v>39.810717055349734</x:v>
      </x:c>
      <x:c r="U78" s="60" t="n">
        <x:f>IF(T78="","",I78*T78)</x:f>
        <x:v>55052.37388585839</x:v>
      </x:c>
    </x:row>
    <x:row r="79" ht="18" customHeight="1">
      <x:c r="A79" s="46" t="str">
        <x:v>LME_012</x:v>
      </x:c>
      <x:c r="B79" s="46" t="str">
        <x:v>Caribbean Sea</x:v>
      </x:c>
      <x:c r="C79" s="46" t="str">
        <x:v>LME</x:v>
      </x:c>
      <x:c r="D79" s="58" t="n">
        <x:v>2019</x:v>
      </x:c>
      <x:c r="E79" s="46" t="str">
        <x:v>Carcharhinus</x:v>
      </x:c>
      <x:c r="F79" s="46" t="str">
        <x:v>Sharp-nosed sharks</x:v>
      </x:c>
      <x:c r="G79" s="46" t="str">
        <x:v>Large sharks (&gt;=90 cm)</x:v>
      </x:c>
      <x:c r="H79" s="46" t="str">
        <x:v>Sharks &amp; rays</x:v>
      </x:c>
      <x:c r="I79" s="60" t="n">
        <x:v>1368.2126221187</x:v>
      </x:c>
      <x:c r="J79" s="60" t="n">
        <x:v>1368.1828281119</x:v>
      </x:c>
      <x:c r="K79" s="60" t="n">
        <x:v>0.0297940068</x:v>
      </x:c>
      <x:c r="L79" s="60" t="n">
        <x:v>422.28692931460006</x:v>
      </x:c>
      <x:c r="M79" s="60" t="n">
        <x:v>945.9256928041</x:v>
      </x:c>
      <x:c r="N79" s="46" t="str">
        <x:v>carcharhinus</x:v>
      </x:c>
      <x:c r="O79" s="62" t="n">
        <x:v>4.26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Carcharhinus</x:v>
      </x:c>
      <x:c r="T79" s="62" t="n">
        <x:f>IF(O79="","",(1/'Metadata'!$B$5)^(O79-1))</x:f>
        <x:v>1819.7008586099826</x:v>
      </x:c>
      <x:c r="U79" s="60" t="n">
        <x:f>IF(T79="","",I79*T79)</x:f>
        <x:v>2489737.683230414</x:v>
      </x:c>
    </x:row>
    <x:row r="80" ht="18" customHeight="1">
      <x:c r="A80" s="46" t="str">
        <x:v>LME_012</x:v>
      </x:c>
      <x:c r="B80" s="46" t="str">
        <x:v>Caribbean Sea</x:v>
      </x:c>
      <x:c r="C80" s="46" t="str">
        <x:v>LME</x:v>
      </x:c>
      <x:c r="D80" s="58" t="n">
        <x:v>2019</x:v>
      </x:c>
      <x:c r="E80" s="46" t="str">
        <x:v>Makaira nigricans</x:v>
      </x:c>
      <x:c r="F80" s="46" t="str">
        <x:v>Blue marlin</x:v>
      </x:c>
      <x:c r="G80" s="46" t="str">
        <x:v>Large pelagics (&gt;=90 cm)</x:v>
      </x:c>
      <x:c r="H80" s="46" t="str">
        <x:v>Tuna &amp; billfishes</x:v>
      </x:c>
      <x:c r="I80" s="60" t="n">
        <x:v>1328.8123795068</x:v>
      </x:c>
      <x:c r="J80" s="60" t="n">
        <x:v>1328.8123795068</x:v>
      </x:c>
      <x:c r="K80" s="60" t="n">
        <x:v>0</x:v>
      </x:c>
      <x:c r="L80" s="60" t="n">
        <x:v>988.8049981532</x:v>
      </x:c>
      <x:c r="M80" s="60" t="n">
        <x:v>340.0073813536</x:v>
      </x:c>
      <x:c r="N80" s="46" t="str">
        <x:v>makaira nigricans</x:v>
      </x:c>
      <x:c r="O80" s="62" t="n">
        <x:v>4.49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Makaira nigricans</x:v>
      </x:c>
      <x:c r="T80" s="62" t="n">
        <x:f>IF(O80="","",(1/'Metadata'!$B$5)^(O80-1))</x:f>
        <x:v>3090.295432513592</x:v>
      </x:c>
      <x:c r="U80" s="60" t="n">
        <x:f>IF(T80="","",I80*T80)</x:f>
        <x:v>4106422.8270573816</x:v>
      </x:c>
    </x:row>
    <x:row r="81" ht="18" customHeight="1">
      <x:c r="A81" s="46" t="str">
        <x:v>LME_012</x:v>
      </x:c>
      <x:c r="B81" s="46" t="str">
        <x:v>Caribbean Sea</x:v>
      </x:c>
      <x:c r="C81" s="46" t="str">
        <x:v>LME</x:v>
      </x:c>
      <x:c r="D81" s="58" t="n">
        <x:v>2019</x:v>
      </x:c>
      <x:c r="E81" s="46" t="str">
        <x:v>Ginglymostoma cirratum</x:v>
      </x:c>
      <x:c r="F81" s="46" t="str">
        <x:v>Nurse shark</x:v>
      </x:c>
      <x:c r="G81" s="46" t="str">
        <x:v>Large sharks (&gt;=90 cm)</x:v>
      </x:c>
      <x:c r="H81" s="46" t="str">
        <x:v>Sharks &amp; rays</x:v>
      </x:c>
      <x:c r="I81" s="60" t="n">
        <x:v>1302.3072558277001</x:v>
      </x:c>
      <x:c r="J81" s="60" t="n">
        <x:v>1302.3072558277001</x:v>
      </x:c>
      <x:c r="K81" s="60" t="n">
        <x:v>0</x:v>
      </x:c>
      <x:c r="L81" s="60" t="n">
        <x:v>8.311975113299999</x:v>
      </x:c>
      <x:c r="M81" s="60" t="n">
        <x:v>1293.9952807144</x:v>
      </x:c>
      <x:c r="N81" s="46" t="str">
        <x:v>ginglymostoma cirratum</x:v>
      </x:c>
      <x:c r="O81" s="62" t="n">
        <x:v>4.15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Ginglymostoma cirratum</x:v>
      </x:c>
      <x:c r="T81" s="62" t="n">
        <x:f>IF(O81="","",(1/'Metadata'!$B$5)^(O81-1))</x:f>
        <x:v>1412.5375446227554</x:v>
      </x:c>
      <x:c r="U81" s="60" t="n">
        <x:f>IF(T81="","",I81*T81)</x:f>
        <x:v>1839557.8934912581</x:v>
      </x:c>
    </x:row>
    <x:row r="82" ht="18" customHeight="1">
      <x:c r="A82" s="46" t="str">
        <x:v>LME_012</x:v>
      </x:c>
      <x:c r="B82" s="46" t="str">
        <x:v>Caribbean Sea</x:v>
      </x:c>
      <x:c r="C82" s="46" t="str">
        <x:v>LME</x:v>
      </x:c>
      <x:c r="D82" s="58" t="n">
        <x:v>2019</x:v>
      </x:c>
      <x:c r="E82" s="46" t="str">
        <x:v>Sciades proops</x:v>
      </x:c>
      <x:c r="F82" s="46" t="str">
        <x:v>Crucifix sea catfish</x:v>
      </x:c>
      <x:c r="G82" s="46" t="str">
        <x:v>Medium demersals (30 - 89 cm)</x:v>
      </x:c>
      <x:c r="H82" s="46" t="str">
        <x:v>Other fishes &amp; inverts</x:v>
      </x:c>
      <x:c r="I82" s="60" t="n">
        <x:v>1253.9503719307</x:v>
      </x:c>
      <x:c r="J82" s="60" t="n">
        <x:v>1253.9503719307</x:v>
      </x:c>
      <x:c r="K82" s="60" t="n">
        <x:v>0</x:v>
      </x:c>
      <x:c r="L82" s="60" t="n">
        <x:v>1253.9503719307</x:v>
      </x:c>
      <x:c r="M82" s="60" t="n">
        <x:v>0</x:v>
      </x:c>
      <x:c r="N82" s="46" t="str">
        <x:v>sciades proops</x:v>
      </x:c>
      <x:c r="O82" s="62" t="n">
        <x:v>4.36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Sciades proops</x:v>
      </x:c>
      <x:c r="T82" s="62" t="n">
        <x:f>IF(O82="","",(1/'Metadata'!$B$5)^(O82-1))</x:f>
        <x:v>2290.867652767775</x:v>
      </x:c>
      <x:c r="U82" s="60" t="n">
        <x:f>IF(T82="","",I82*T82)</x:f>
        <x:v>2872634.3452321608</x:v>
      </x:c>
    </x:row>
    <x:row r="83" ht="18" customHeight="1">
      <x:c r="A83" s="46" t="str">
        <x:v>LME_012</x:v>
      </x:c>
      <x:c r="B83" s="46" t="str">
        <x:v>Caribbean Sea</x:v>
      </x:c>
      <x:c r="C83" s="46" t="str">
        <x:v>LME</x:v>
      </x:c>
      <x:c r="D83" s="58" t="n">
        <x:v>2019</x:v>
      </x:c>
      <x:c r="E83" s="46" t="str">
        <x:v>Penaeus aztecus</x:v>
      </x:c>
      <x:c r="F83" s="46" t="str">
        <x:v>Northern brown shrimp</x:v>
      </x:c>
      <x:c r="G83" s="46" t="str">
        <x:v>Shrimps</x:v>
      </x:c>
      <x:c r="H83" s="46" t="str">
        <x:v>Crustaceans</x:v>
      </x:c>
      <x:c r="I83" s="60" t="n">
        <x:v>1180.1428677201</x:v>
      </x:c>
      <x:c r="J83" s="60" t="n">
        <x:v>1180.1428677201</x:v>
      </x:c>
      <x:c r="K83" s="60" t="n">
        <x:v>0</x:v>
      </x:c>
      <x:c r="L83" s="60" t="n">
        <x:v>1012.5874014289</x:v>
      </x:c>
      <x:c r="M83" s="60" t="n">
        <x:v>167.5554662912</x:v>
      </x:c>
      <x:c r="N83" s="46" t="str">
        <x:v>penaeus aztecus</x:v>
      </x:c>
      <x:c r="O83" s="62" t="n">
        <x:v>2.8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Penaeus aztecus</x:v>
      </x:c>
      <x:c r="T83" s="62" t="n">
        <x:f>IF(O83="","",(1/'Metadata'!$B$5)^(O83-1))</x:f>
        <x:v>63.0957344480193</x:v>
      </x:c>
      <x:c r="U83" s="60" t="n">
        <x:f>IF(T83="","",I83*T83)</x:f>
        <x:v>74461.9809923914</x:v>
      </x:c>
    </x:row>
    <x:row r="84" ht="18" customHeight="1">
      <x:c r="A84" s="46" t="str">
        <x:v>LME_012</x:v>
      </x:c>
      <x:c r="B84" s="46" t="str">
        <x:v>Caribbean Sea</x:v>
      </x:c>
      <x:c r="C84" s="46" t="str">
        <x:v>LME</x:v>
      </x:c>
      <x:c r="D84" s="58" t="n">
        <x:v>2019</x:v>
      </x:c>
      <x:c r="E84" s="46" t="str">
        <x:v>Thunnus atlanticus</x:v>
      </x:c>
      <x:c r="F84" s="46" t="str">
        <x:v>Blackfin tuna</x:v>
      </x:c>
      <x:c r="G84" s="46" t="str">
        <x:v>Large pelagics (&gt;=90 cm)</x:v>
      </x:c>
      <x:c r="H84" s="46" t="str">
        <x:v>Tuna &amp; billfishes</x:v>
      </x:c>
      <x:c r="I84" s="60" t="n">
        <x:v>1156.0781057409001</x:v>
      </x:c>
      <x:c r="J84" s="60" t="n">
        <x:v>1155.8931416151001</x:v>
      </x:c>
      <x:c r="K84" s="60" t="n">
        <x:v>0.1849641258</x:v>
      </x:c>
      <x:c r="L84" s="60" t="n">
        <x:v>727.8290114018</x:v>
      </x:c>
      <x:c r="M84" s="60" t="n">
        <x:v>428.2490943391</x:v>
      </x:c>
      <x:c r="N84" s="46" t="str">
        <x:v>thunnus atlanticus</x:v>
      </x:c>
      <x:c r="O84" s="62" t="n">
        <x:v>4.35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Thunnus atlanticus</x:v>
      </x:c>
      <x:c r="T84" s="62" t="n">
        <x:f>IF(O84="","",(1/'Metadata'!$B$5)^(O84-1))</x:f>
        <x:v>2238.7211385683377</x:v>
      </x:c>
      <x:c r="U84" s="60" t="n">
        <x:f>IF(T84="","",I84*T84)</x:f>
        <x:v>2588136.493158195</x:v>
      </x:c>
    </x:row>
    <x:row r="85" ht="18" customHeight="1">
      <x:c r="A85" s="46" t="str">
        <x:v>LME_012</x:v>
      </x:c>
      <x:c r="B85" s="46" t="str">
        <x:v>Caribbean Sea</x:v>
      </x:c>
      <x:c r="C85" s="46" t="str">
        <x:v>LME</x:v>
      </x:c>
      <x:c r="D85" s="58" t="n">
        <x:v>2019</x:v>
      </x:c>
      <x:c r="E85" s="46" t="str">
        <x:v>Mycteroperca</x:v>
      </x:c>
      <x:c r="F85" s="46" t="str">
        <x:v>Scamps, gags</x:v>
      </x:c>
      <x:c r="G85" s="46" t="str">
        <x:v>Medium reef assoc. fish (30 - 89 cm)</x:v>
      </x:c>
      <x:c r="H85" s="46" t="str">
        <x:v>Perch-likes</x:v>
      </x:c>
      <x:c r="I85" s="60" t="n">
        <x:v>1149.0264254288</x:v>
      </x:c>
      <x:c r="J85" s="60" t="n">
        <x:v>1149.0264254288</x:v>
      </x:c>
      <x:c r="K85" s="60" t="n">
        <x:v>0</x:v>
      </x:c>
      <x:c r="L85" s="60" t="n">
        <x:v>223.9003513488</x:v>
      </x:c>
      <x:c r="M85" s="60" t="n">
        <x:v>925.12607408</x:v>
      </x:c>
      <x:c r="N85" s="46" t="str">
        <x:v>mycteroperca</x:v>
      </x:c>
      <x:c r="O85" s="62" t="n">
        <x:v>4.35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Mycteroperca</x:v>
      </x:c>
      <x:c r="T85" s="62" t="n">
        <x:f>IF(O85="","",(1/'Metadata'!$B$5)^(O85-1))</x:f>
        <x:v>2238.7211385683377</x:v>
      </x:c>
      <x:c r="U85" s="60" t="n">
        <x:f>IF(T85="","",I85*T85)</x:f>
        <x:v>2572349.74738107</x:v>
      </x:c>
    </x:row>
    <x:row r="86" ht="18" customHeight="1">
      <x:c r="A86" s="46" t="str">
        <x:v>LME_012</x:v>
      </x:c>
      <x:c r="B86" s="46" t="str">
        <x:v>Caribbean Sea</x:v>
      </x:c>
      <x:c r="C86" s="46" t="str">
        <x:v>LME</x:v>
      </x:c>
      <x:c r="D86" s="58" t="n">
        <x:v>2019</x:v>
      </x:c>
      <x:c r="E86" s="46" t="str">
        <x:v>Selene setapinnis</x:v>
      </x:c>
      <x:c r="F86" s="46" t="str">
        <x:v>Atlantic moonfish</x:v>
      </x:c>
      <x:c r="G86" s="46" t="str">
        <x:v>Medium demersals (30 - 89 cm)</x:v>
      </x:c>
      <x:c r="H86" s="46" t="str">
        <x:v>Perch-likes</x:v>
      </x:c>
      <x:c r="I86" s="60" t="n">
        <x:v>1129.4771432542</x:v>
      </x:c>
      <x:c r="J86" s="60" t="n">
        <x:v>1065.6519875563</x:v>
      </x:c>
      <x:c r="K86" s="60" t="n">
        <x:v>63.8251556979</x:v>
      </x:c>
      <x:c r="L86" s="60" t="n">
        <x:v>451.8355099011</x:v>
      </x:c>
      <x:c r="M86" s="60" t="n">
        <x:v>677.6416333530999</x:v>
      </x:c>
      <x:c r="N86" s="46" t="str">
        <x:v>selene setapinnis</x:v>
      </x:c>
      <x:c r="O86" s="62" t="n">
        <x:v>3.72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Selene setapinnis</x:v>
      </x:c>
      <x:c r="T86" s="62" t="n">
        <x:f>IF(O86="","",(1/'Metadata'!$B$5)^(O86-1))</x:f>
        <x:v>524.8074602497728</x:v>
      </x:c>
      <x:c r="U86" s="60" t="n">
        <x:f>IF(T86="","",I86*T86)</x:f>
        <x:v>592758.0309614055</x:v>
      </x:c>
    </x:row>
    <x:row r="87" ht="18" customHeight="1">
      <x:c r="A87" s="46" t="str">
        <x:v>LME_012</x:v>
      </x:c>
      <x:c r="B87" s="46" t="str">
        <x:v>Caribbean Sea</x:v>
      </x:c>
      <x:c r="C87" s="46" t="str">
        <x:v>LME</x:v>
      </x:c>
      <x:c r="D87" s="58" t="n">
        <x:v>2019</x:v>
      </x:c>
      <x:c r="E87" s="46" t="str">
        <x:v>Scomberomorus</x:v>
      </x:c>
      <x:c r="F87" s="46" t="str">
        <x:v>Spanish mackerels</x:v>
      </x:c>
      <x:c r="G87" s="46" t="str">
        <x:v>Large pelagics (&gt;=90 cm)</x:v>
      </x:c>
      <x:c r="H87" s="46" t="str">
        <x:v>Perch-likes</x:v>
      </x:c>
      <x:c r="I87" s="60" t="n">
        <x:v>1094.5356399562</x:v>
      </x:c>
      <x:c r="J87" s="60" t="n">
        <x:v>1094.5356399562</x:v>
      </x:c>
      <x:c r="K87" s="60" t="n">
        <x:v>0</x:v>
      </x:c>
      <x:c r="L87" s="60" t="n">
        <x:v>151.7203522265</x:v>
      </x:c>
      <x:c r="M87" s="60" t="n">
        <x:v>942.8152877297</x:v>
      </x:c>
      <x:c r="N87" s="46" t="str">
        <x:v>scomberomorus</x:v>
      </x:c>
      <x:c r="O87" s="62" t="n">
        <x:v>4.35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Scomberomorus</x:v>
      </x:c>
      <x:c r="T87" s="62" t="n">
        <x:f>IF(O87="","",(1/'Metadata'!$B$5)^(O87-1))</x:f>
        <x:v>2238.7211385683377</x:v>
      </x:c>
      <x:c r="U87" s="60" t="n">
        <x:f>IF(T87="","",I87*T87)</x:f>
        <x:v>2450360.074086368</x:v>
      </x:c>
    </x:row>
    <x:row r="88" ht="18" customHeight="1">
      <x:c r="A88" s="46" t="str">
        <x:v>LME_012</x:v>
      </x:c>
      <x:c r="B88" s="46" t="str">
        <x:v>Caribbean Sea</x:v>
      </x:c>
      <x:c r="C88" s="46" t="str">
        <x:v>LME</x:v>
      </x:c>
      <x:c r="D88" s="58" t="n">
        <x:v>2019</x:v>
      </x:c>
      <x:c r="E88" s="46" t="str">
        <x:v>Scomberomorus brasiliensis</x:v>
      </x:c>
      <x:c r="F88" s="46" t="str">
        <x:v>Serra Spanish mackerel</x:v>
      </x:c>
      <x:c r="G88" s="46" t="str">
        <x:v>Large pelagics (&gt;=90 cm)</x:v>
      </x:c>
      <x:c r="H88" s="46" t="str">
        <x:v>Perch-likes</x:v>
      </x:c>
      <x:c r="I88" s="60" t="n">
        <x:v>1074.8533390056998</x:v>
      </x:c>
      <x:c r="J88" s="60" t="n">
        <x:v>1074.8533390056998</x:v>
      </x:c>
      <x:c r="K88" s="60" t="n">
        <x:v>0</x:v>
      </x:c>
      <x:c r="L88" s="60" t="n">
        <x:v>888.5738119316001</x:v>
      </x:c>
      <x:c r="M88" s="60" t="n">
        <x:v>186.2795270741</x:v>
      </x:c>
      <x:c r="N88" s="46" t="str">
        <x:v>scomberomorus brasiliensis</x:v>
      </x:c>
      <x:c r="O88" s="62" t="n">
        <x:v>3.31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Scomberomorus brasiliensis</x:v>
      </x:c>
      <x:c r="T88" s="62" t="n">
        <x:f>IF(O88="","",(1/'Metadata'!$B$5)^(O88-1))</x:f>
        <x:v>204.17379446695296</x:v>
      </x:c>
      <x:c r="U88" s="60" t="n">
        <x:f>IF(T88="","",I88*T88)</x:f>
        <x:v>219456.88472026787</x:v>
      </x:c>
    </x:row>
    <x:row r="89" ht="18" customHeight="1">
      <x:c r="A89" s="46" t="str">
        <x:v>LME_012</x:v>
      </x:c>
      <x:c r="B89" s="46" t="str">
        <x:v>Caribbean Sea</x:v>
      </x:c>
      <x:c r="C89" s="46" t="str">
        <x:v>LME</x:v>
      </x:c>
      <x:c r="D89" s="58" t="n">
        <x:v>2019</x:v>
      </x:c>
      <x:c r="E89" s="46" t="str">
        <x:v>Thunnus thynnus</x:v>
      </x:c>
      <x:c r="F89" s="46" t="str">
        <x:v>Atlantic bluefin tuna</x:v>
      </x:c>
      <x:c r="G89" s="46" t="str">
        <x:v>Large pelagics (&gt;=90 cm)</x:v>
      </x:c>
      <x:c r="H89" s="46" t="str">
        <x:v>Tuna &amp; billfishes</x:v>
      </x:c>
      <x:c r="I89" s="60" t="n">
        <x:v>1060.9521541162</x:v>
      </x:c>
      <x:c r="J89" s="60" t="n">
        <x:v>1060.8091457976</x:v>
      </x:c>
      <x:c r="K89" s="60" t="n">
        <x:v>0.14300831860000002</x:v>
      </x:c>
      <x:c r="L89" s="60" t="n">
        <x:v>933.0747310019</x:v>
      </x:c>
      <x:c r="M89" s="60" t="n">
        <x:v>127.8774231143</x:v>
      </x:c>
      <x:c r="N89" s="46" t="str">
        <x:v>thunnus thynnus</x:v>
      </x:c>
      <x:c r="O89" s="62" t="n">
        <x:v>4.45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Thunnus thynnus</x:v>
      </x:c>
      <x:c r="T89" s="62" t="n">
        <x:f>IF(O89="","",(1/'Metadata'!$B$5)^(O89-1))</x:f>
        <x:v>2818.382931264455</x:v>
      </x:c>
      <x:c r="U89" s="60" t="n">
        <x:f>IF(T89="","",I89*T89)</x:f>
        <x:v>2990169.4420493534</x:v>
      </x:c>
    </x:row>
    <x:row r="90" ht="18" customHeight="1">
      <x:c r="A90" s="46" t="str">
        <x:v>LME_012</x:v>
      </x:c>
      <x:c r="B90" s="46" t="str">
        <x:v>Caribbean Sea</x:v>
      </x:c>
      <x:c r="C90" s="46" t="str">
        <x:v>LME</x:v>
      </x:c>
      <x:c r="D90" s="58" t="n">
        <x:v>2019</x:v>
      </x:c>
      <x:c r="E90" s="46" t="str">
        <x:v>Xiphopenaeus kroyeri</x:v>
      </x:c>
      <x:c r="F90" s="46" t="str">
        <x:v>Atlantic seabob</x:v>
      </x:c>
      <x:c r="G90" s="46" t="str">
        <x:v>Shrimps</x:v>
      </x:c>
      <x:c r="H90" s="46" t="str">
        <x:v>Crustaceans</x:v>
      </x:c>
      <x:c r="I90" s="60" t="n">
        <x:v>1034.9463269263</x:v>
      </x:c>
      <x:c r="J90" s="60" t="n">
        <x:v>681.0935115107</x:v>
      </x:c>
      <x:c r="K90" s="60" t="n">
        <x:v>353.8528154156</x:v>
      </x:c>
      <x:c r="L90" s="60" t="n">
        <x:v>622.0998694738</x:v>
      </x:c>
      <x:c r="M90" s="60" t="n">
        <x:v>412.8464574525</x:v>
      </x:c>
      <x:c r="N90" s="46" t="str">
        <x:v>xiphopenaeus kroyeri</x:v>
      </x:c>
      <x:c r="O90" s="62" t="n">
        <x:v>2.7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Xiphopenaeus kroyeri</x:v>
      </x:c>
      <x:c r="T90" s="62" t="n">
        <x:f>IF(O90="","",(1/'Metadata'!$B$5)^(O90-1))</x:f>
        <x:v>50.11872336272725</x:v>
      </x:c>
      <x:c r="U90" s="60" t="n">
        <x:f>IF(T90="","",I90*T90)</x:f>
        <x:v>51870.1886544899</x:v>
      </x:c>
    </x:row>
    <x:row r="91" ht="18" customHeight="1">
      <x:c r="A91" s="46" t="str">
        <x:v>LME_012</x:v>
      </x:c>
      <x:c r="B91" s="46" t="str">
        <x:v>Caribbean Sea</x:v>
      </x:c>
      <x:c r="C91" s="46" t="str">
        <x:v>LME</x:v>
      </x:c>
      <x:c r="D91" s="58" t="n">
        <x:v>2019</x:v>
      </x:c>
      <x:c r="E91" s="46" t="str">
        <x:v>Megalops atlanticus</x:v>
      </x:c>
      <x:c r="F91" s="46" t="str">
        <x:v>Tarpon</x:v>
      </x:c>
      <x:c r="G91" s="46" t="str">
        <x:v>Large pelagics (&gt;=90 cm)</x:v>
      </x:c>
      <x:c r="H91" s="46" t="str">
        <x:v>Other fishes &amp; inverts</x:v>
      </x:c>
      <x:c r="I91" s="60" t="n">
        <x:v>1033.1851765207</x:v>
      </x:c>
      <x:c r="J91" s="60" t="n">
        <x:v>981.0560444876</x:v>
      </x:c>
      <x:c r="K91" s="60" t="n">
        <x:v>52.1291320331</x:v>
      </x:c>
      <x:c r="L91" s="60" t="n">
        <x:v>617.5092523523001</x:v>
      </x:c>
      <x:c r="M91" s="60" t="n">
        <x:v>415.6759241684</x:v>
      </x:c>
      <x:c r="N91" s="46" t="str">
        <x:v>megalops atlanticus</x:v>
      </x:c>
      <x:c r="O91" s="62" t="n">
        <x:v>4.5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Megalops atlanticus</x:v>
      </x:c>
      <x:c r="T91" s="62" t="n">
        <x:f>IF(O91="","",(1/'Metadata'!$B$5)^(O91-1))</x:f>
        <x:v>3162.2776601683795</x:v>
      </x:c>
      <x:c r="U91" s="60" t="n">
        <x:f>IF(T91="","",I91*T91)</x:f>
        <x:v>3267218.4025285332</x:v>
      </x:c>
    </x:row>
    <x:row r="92" ht="18" customHeight="1">
      <x:c r="A92" s="46" t="str">
        <x:v>LME_012</x:v>
      </x:c>
      <x:c r="B92" s="46" t="str">
        <x:v>Caribbean Sea</x:v>
      </x:c>
      <x:c r="C92" s="46" t="str">
        <x:v>LME</x:v>
      </x:c>
      <x:c r="D92" s="58" t="n">
        <x:v>2019</x:v>
      </x:c>
      <x:c r="E92" s="46" t="str">
        <x:v>Ostraciidae</x:v>
      </x:c>
      <x:c r="F92" s="46" t="str">
        <x:v>Box-, cow-, trunkfishes</x:v>
      </x:c>
      <x:c r="G92" s="46" t="str">
        <x:v>Medium reef assoc. fish (30 - 89 cm)</x:v>
      </x:c>
      <x:c r="H92" s="46" t="str">
        <x:v>Other fishes &amp; inverts</x:v>
      </x:c>
      <x:c r="I92" s="60" t="n">
        <x:v>1031.3595348784</x:v>
      </x:c>
      <x:c r="J92" s="60" t="n">
        <x:v>1030.6045786572</x:v>
      </x:c>
      <x:c r="K92" s="60" t="n">
        <x:v>0.7549562212</x:v>
      </x:c>
      <x:c r="L92" s="60" t="n">
        <x:v>98.717196382</x:v>
      </x:c>
      <x:c r="M92" s="60" t="n">
        <x:v>932.6423384964</x:v>
      </x:c>
      <x:c r="N92" s="46" t="str">
        <x:v>ostraciidae</x:v>
      </x:c>
      <x:c r="O92" s="62" t="n">
        <x:v>2.83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Ostraciidae</x:v>
      </x:c>
      <x:c r="T92" s="62" t="n">
        <x:f>IF(O92="","",(1/'Metadata'!$B$5)^(O92-1))</x:f>
        <x:v>67.60829753919819</x:v>
      </x:c>
      <x:c r="U92" s="60" t="n">
        <x:f>IF(T92="","",I92*T92)</x:f>
        <x:v>69728.46230394792</x:v>
      </x:c>
    </x:row>
    <x:row r="93" ht="18" customHeight="1">
      <x:c r="A93" s="46" t="str">
        <x:v>LME_012</x:v>
      </x:c>
      <x:c r="B93" s="46" t="str">
        <x:v>Caribbean Sea</x:v>
      </x:c>
      <x:c r="C93" s="46" t="str">
        <x:v>LME</x:v>
      </x:c>
      <x:c r="D93" s="58" t="n">
        <x:v>2019</x:v>
      </x:c>
      <x:c r="E93" s="46" t="str">
        <x:v>Octopus vulgaris</x:v>
      </x:c>
      <x:c r="F93" s="46" t="str">
        <x:v>Common octopus</x:v>
      </x:c>
      <x:c r="G93" s="46" t="str">
        <x:v>Cephalopods</x:v>
      </x:c>
      <x:c r="H93" s="46" t="str">
        <x:v>Other fishes &amp; inverts</x:v>
      </x:c>
      <x:c r="I93" s="60" t="n">
        <x:v>999.6634127696</x:v>
      </x:c>
      <x:c r="J93" s="60" t="n">
        <x:v>999.6634127696</x:v>
      </x:c>
      <x:c r="K93" s="60" t="n">
        <x:v>0</x:v>
      </x:c>
      <x:c r="L93" s="60" t="n">
        <x:v>988.3229571283999</x:v>
      </x:c>
      <x:c r="M93" s="60" t="n">
        <x:v>11.3404556412</x:v>
      </x:c>
      <x:c r="N93" s="46" t="str">
        <x:v>octopus vulgaris</x:v>
      </x:c>
      <x:c r="O93" s="62" t="n">
        <x:v>3.6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Octopus vulgaris</x:v>
      </x:c>
      <x:c r="T93" s="62" t="n">
        <x:f>IF(O93="","",(1/'Metadata'!$B$5)^(O93-1))</x:f>
        <x:v>398.1071705534973</x:v>
      </x:c>
      <x:c r="U93" s="60" t="n">
        <x:f>IF(T93="","",I93*T93)</x:f>
        <x:v>397973.17276355834</x:v>
      </x:c>
    </x:row>
    <x:row r="94" ht="18" customHeight="1">
      <x:c r="A94" s="46" t="str">
        <x:v>LME_012</x:v>
      </x:c>
      <x:c r="B94" s="46" t="str">
        <x:v>Caribbean Sea</x:v>
      </x:c>
      <x:c r="C94" s="46" t="str">
        <x:v>LME</x:v>
      </x:c>
      <x:c r="D94" s="58" t="n">
        <x:v>2019</x:v>
      </x:c>
      <x:c r="E94" s="46" t="str">
        <x:v>Pomatomus saltatrix</x:v>
      </x:c>
      <x:c r="F94" s="46" t="str">
        <x:v>Bluefish</x:v>
      </x:c>
      <x:c r="G94" s="46" t="str">
        <x:v>Large pelagics (&gt;=90 cm)</x:v>
      </x:c>
      <x:c r="H94" s="46" t="str">
        <x:v>Perch-likes</x:v>
      </x:c>
      <x:c r="I94" s="60" t="n">
        <x:v>988.7397119469</x:v>
      </x:c>
      <x:c r="J94" s="60" t="n">
        <x:v>876.4718450281</x:v>
      </x:c>
      <x:c r="K94" s="60" t="n">
        <x:v>112.26786691880001</x:v>
      </x:c>
      <x:c r="L94" s="60" t="n">
        <x:v>412.6554600266</x:v>
      </x:c>
      <x:c r="M94" s="60" t="n">
        <x:v>576.0842519203001</x:v>
      </x:c>
      <x:c r="N94" s="46" t="str">
        <x:v>pomatomus saltatrix</x:v>
      </x:c>
      <x:c r="O94" s="62" t="n">
        <x:v>4.53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Pomatomus saltatrix</x:v>
      </x:c>
      <x:c r="T94" s="62" t="n">
        <x:f>IF(O94="","",(1/'Metadata'!$B$5)^(O94-1))</x:f>
        <x:v>3388.4415613920273</x:v>
      </x:c>
      <x:c r="U94" s="60" t="n">
        <x:f>IF(T94="","",I94*T94)</x:f>
        <x:v>3350286.733359657</x:v>
      </x:c>
    </x:row>
    <x:row r="95" ht="18" customHeight="1">
      <x:c r="A95" s="46" t="str">
        <x:v>LME_012</x:v>
      </x:c>
      <x:c r="B95" s="46" t="str">
        <x:v>Caribbean Sea</x:v>
      </x:c>
      <x:c r="C95" s="46" t="str">
        <x:v>LME</x:v>
      </x:c>
      <x:c r="D95" s="58" t="n">
        <x:v>2019</x:v>
      </x:c>
      <x:c r="E95" s="46" t="str">
        <x:v>Haemulon</x:v>
      </x:c>
      <x:c r="F95" s="46" t="str">
        <x:v>Grunts</x:v>
      </x:c>
      <x:c r="G95" s="46" t="str">
        <x:v>Small reef assoc. fish (&lt;30 cm)</x:v>
      </x:c>
      <x:c r="H95" s="46" t="str">
        <x:v>Perch-likes</x:v>
      </x:c>
      <x:c r="I95" s="60" t="n">
        <x:v>970.9101204069</x:v>
      </x:c>
      <x:c r="J95" s="60" t="n">
        <x:v>970.9101204069</x:v>
      </x:c>
      <x:c r="K95" s="60" t="n">
        <x:v>0</x:v>
      </x:c>
      <x:c r="L95" s="60" t="n">
        <x:v>494.2030902741</x:v>
      </x:c>
      <x:c r="M95" s="60" t="n">
        <x:v>476.7070301328</x:v>
      </x:c>
      <x:c r="N95" s="46" t="str">
        <x:v>haemulon</x:v>
      </x:c>
      <x:c r="O95" s="62" t="n">
        <x:v>3.25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Haemulon</x:v>
      </x:c>
      <x:c r="T95" s="62" t="n">
        <x:f>IF(O95="","",(1/'Metadata'!$B$5)^(O95-1))</x:f>
        <x:v>177.82794100389228</x:v>
      </x:c>
      <x:c r="U95" s="60" t="n">
        <x:f>IF(T95="","",I95*T95)</x:f>
        <x:v>172654.94761180016</x:v>
      </x:c>
    </x:row>
    <x:row r="96" ht="18" customHeight="1">
      <x:c r="A96" s="46" t="str">
        <x:v>LME_012</x:v>
      </x:c>
      <x:c r="B96" s="46" t="str">
        <x:v>Caribbean Sea</x:v>
      </x:c>
      <x:c r="C96" s="46" t="str">
        <x:v>LME</x:v>
      </x:c>
      <x:c r="D96" s="58" t="n">
        <x:v>2019</x:v>
      </x:c>
      <x:c r="E96" s="46" t="str">
        <x:v>Mollusca</x:v>
      </x:c>
      <x:c r="F96" s="46" t="str">
        <x:v>Clams, seasnails, squids, octopuses</x:v>
      </x:c>
      <x:c r="G96" s="46" t="str">
        <x:v>Other demersal invertebrates</x:v>
      </x:c>
      <x:c r="H96" s="46" t="str">
        <x:v>Molluscs</x:v>
      </x:c>
      <x:c r="I96" s="60" t="n">
        <x:v>937.9912961257</x:v>
      </x:c>
      <x:c r="J96" s="60" t="n">
        <x:v>430.31322830650004</x:v>
      </x:c>
      <x:c r="K96" s="60" t="n">
        <x:v>507.6780678192</x:v>
      </x:c>
      <x:c r="L96" s="60" t="n">
        <x:v>141.7874044867</x:v>
      </x:c>
      <x:c r="M96" s="60" t="n">
        <x:v>796.2038916390001</x:v>
      </x:c>
      <x:c r="N96" s="46" t="str">
        <x:v>mollusca</x:v>
      </x:c>
      <x:c r="O96" s="62" t="n">
        <x:v>2.1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Mollusca</x:v>
      </x:c>
      <x:c r="T96" s="62" t="n">
        <x:f>IF(O96="","",(1/'Metadata'!$B$5)^(O96-1))</x:f>
        <x:v>12.589254117941675</x:v>
      </x:c>
      <x:c r="U96" s="60" t="n">
        <x:f>IF(T96="","",I96*T96)</x:f>
        <x:v>11808.610787343918</x:v>
      </x:c>
    </x:row>
    <x:row r="97" ht="18" customHeight="1">
      <x:c r="A97" s="46" t="str">
        <x:v>LME_012</x:v>
      </x:c>
      <x:c r="B97" s="46" t="str">
        <x:v>Caribbean Sea</x:v>
      </x:c>
      <x:c r="C97" s="46" t="str">
        <x:v>LME</x:v>
      </x:c>
      <x:c r="D97" s="58" t="n">
        <x:v>2019</x:v>
      </x:c>
      <x:c r="E97" s="46" t="str">
        <x:v>Macrodon ancylodon</x:v>
      </x:c>
      <x:c r="F97" s="46" t="str">
        <x:v>King weakfish</x:v>
      </x:c>
      <x:c r="G97" s="46" t="str">
        <x:v>Medium demersals (30 - 89 cm)</x:v>
      </x:c>
      <x:c r="H97" s="46" t="str">
        <x:v>Perch-likes</x:v>
      </x:c>
      <x:c r="I97" s="60" t="n">
        <x:v>910.6787136408</x:v>
      </x:c>
      <x:c r="J97" s="60" t="n">
        <x:v>910.6787136408</x:v>
      </x:c>
      <x:c r="K97" s="60" t="n">
        <x:v>0</x:v>
      </x:c>
      <x:c r="L97" s="60" t="n">
        <x:v>447.92984935180004</x:v>
      </x:c>
      <x:c r="M97" s="60" t="n">
        <x:v>462.74886428900004</x:v>
      </x:c>
      <x:c r="N97" s="46" t="str">
        <x:v>macrodon ancylodon</x:v>
      </x:c>
      <x:c r="O97" s="62" t="n">
        <x:v>3.9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Macrodon ancylodon</x:v>
      </x:c>
      <x:c r="T97" s="62" t="n">
        <x:f>IF(O97="","",(1/'Metadata'!$B$5)^(O97-1))</x:f>
        <x:v>794.3282347242813</x:v>
      </x:c>
      <x:c r="U97" s="60" t="n">
        <x:f>IF(T97="","",I97*T97)</x:f>
        <x:v>723377.8150072759</x:v>
      </x:c>
    </x:row>
    <x:row r="98" ht="18" customHeight="1">
      <x:c r="A98" s="46" t="str">
        <x:v>LME_012</x:v>
      </x:c>
      <x:c r="B98" s="46" t="str">
        <x:v>Caribbean Sea</x:v>
      </x:c>
      <x:c r="C98" s="46" t="str">
        <x:v>LME</x:v>
      </x:c>
      <x:c r="D98" s="58" t="n">
        <x:v>2019</x:v>
      </x:c>
      <x:c r="E98" s="46" t="str">
        <x:v>Euthynnus alletteratus</x:v>
      </x:c>
      <x:c r="F98" s="46" t="str">
        <x:v>Little tunny </x:v>
      </x:c>
      <x:c r="G98" s="46" t="str">
        <x:v>Large pelagics (&gt;=90 cm)</x:v>
      </x:c>
      <x:c r="H98" s="46" t="str">
        <x:v>Tuna &amp; billfishes</x:v>
      </x:c>
      <x:c r="I98" s="60" t="n">
        <x:v>890.2890274777001</x:v>
      </x:c>
      <x:c r="J98" s="60" t="n">
        <x:v>887.1338043067001</x:v>
      </x:c>
      <x:c r="K98" s="60" t="n">
        <x:v>3.1552231710000003</x:v>
      </x:c>
      <x:c r="L98" s="60" t="n">
        <x:v>817.1108138229</x:v>
      </x:c>
      <x:c r="M98" s="60" t="n">
        <x:v>73.1782136548</x:v>
      </x:c>
      <x:c r="N98" s="46" t="str">
        <x:v>euthynnus alletteratus</x:v>
      </x:c>
      <x:c r="O98" s="62" t="n">
        <x:v>4.49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Euthynnus alletteratus</x:v>
      </x:c>
      <x:c r="T98" s="62" t="n">
        <x:f>IF(O98="","",(1/'Metadata'!$B$5)^(O98-1))</x:f>
        <x:v>3090.295432513592</x:v>
      </x:c>
      <x:c r="U98" s="60" t="n">
        <x:f>IF(T98="","",I98*T98)</x:f>
        <x:v>2751256.1152313044</x:v>
      </x:c>
    </x:row>
    <x:row r="99" ht="18" customHeight="1">
      <x:c r="A99" s="46" t="str">
        <x:v>LME_012</x:v>
      </x:c>
      <x:c r="B99" s="46" t="str">
        <x:v>Caribbean Sea</x:v>
      </x:c>
      <x:c r="C99" s="46" t="str">
        <x:v>LME</x:v>
      </x:c>
      <x:c r="D99" s="58" t="n">
        <x:v>2019</x:v>
      </x:c>
      <x:c r="E99" s="46" t="str">
        <x:v>Lutjanus campechanus</x:v>
      </x:c>
      <x:c r="F99" s="46" t="str">
        <x:v>Northern red snapper</x:v>
      </x:c>
      <x:c r="G99" s="46" t="str">
        <x:v>Medium reef assoc. fish (30 - 89 cm)</x:v>
      </x:c>
      <x:c r="H99" s="46" t="str">
        <x:v>Perch-likes</x:v>
      </x:c>
      <x:c r="I99" s="60" t="n">
        <x:v>889.1032473649001</x:v>
      </x:c>
      <x:c r="J99" s="60" t="n">
        <x:v>866.3053119145001</x:v>
      </x:c>
      <x:c r="K99" s="60" t="n">
        <x:v>22.7979354504</x:v>
      </x:c>
      <x:c r="L99" s="60" t="n">
        <x:v>595.3878736268</x:v>
      </x:c>
      <x:c r="M99" s="60" t="n">
        <x:v>293.7153737381</x:v>
      </x:c>
      <x:c r="N99" s="46" t="str">
        <x:v>lutjanus campechanus</x:v>
      </x:c>
      <x:c r="O99" s="62" t="n">
        <x:v>4.01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Lutjanus campechanus</x:v>
      </x:c>
      <x:c r="T99" s="62" t="n">
        <x:f>IF(O99="","",(1/'Metadata'!$B$5)^(O99-1))</x:f>
        <x:v>1023.2929922807537</x:v>
      </x:c>
      <x:c r="U99" s="60" t="n">
        <x:f>IF(T99="","",I99*T99)</x:f>
        <x:v>909813.1224425638</x:v>
      </x:c>
    </x:row>
    <x:row r="100" ht="18" customHeight="1">
      <x:c r="A100" s="46" t="str">
        <x:v>LME_012</x:v>
      </x:c>
      <x:c r="B100" s="46" t="str">
        <x:v>Caribbean Sea</x:v>
      </x:c>
      <x:c r="C100" s="46" t="str">
        <x:v>LME</x:v>
      </x:c>
      <x:c r="D100" s="58" t="n">
        <x:v>2019</x:v>
      </x:c>
      <x:c r="E100" s="46" t="str">
        <x:v>Balistidae</x:v>
      </x:c>
      <x:c r="F100" s="46" t="str">
        <x:v>Triggerfishes</x:v>
      </x:c>
      <x:c r="G100" s="46" t="str">
        <x:v>Medium reef assoc. fish (30 - 89 cm)</x:v>
      </x:c>
      <x:c r="H100" s="46" t="str">
        <x:v>Other fishes &amp; inverts</x:v>
      </x:c>
      <x:c r="I100" s="60" t="n">
        <x:v>829.340072183</x:v>
      </x:c>
      <x:c r="J100" s="60" t="n">
        <x:v>829.1108316286</x:v>
      </x:c>
      <x:c r="K100" s="60" t="n">
        <x:v>0.22924055440000002</x:v>
      </x:c>
      <x:c r="L100" s="60" t="n">
        <x:v>180.5823179421</x:v>
      </x:c>
      <x:c r="M100" s="60" t="n">
        <x:v>648.7577542409</x:v>
      </x:c>
      <x:c r="N100" s="46" t="str">
        <x:v>balistidae</x:v>
      </x:c>
      <x:c r="O100" s="62" t="n">
        <x:v>3.25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Balistidae</x:v>
      </x:c>
      <x:c r="T100" s="62" t="n">
        <x:f>IF(O100="","",(1/'Metadata'!$B$5)^(O100-1))</x:f>
        <x:v>177.82794100389228</x:v>
      </x:c>
      <x:c r="U100" s="60" t="n">
        <x:f>IF(T100="","",I100*T100)</x:f>
        <x:v>147479.83742832227</x:v>
      </x:c>
    </x:row>
    <x:row r="101" ht="18" customHeight="1">
      <x:c r="A101" s="46" t="str">
        <x:v>LME_012</x:v>
      </x:c>
      <x:c r="B101" s="46" t="str">
        <x:v>Caribbean Sea</x:v>
      </x:c>
      <x:c r="C101" s="46" t="str">
        <x:v>LME</x:v>
      </x:c>
      <x:c r="D101" s="58" t="n">
        <x:v>2019</x:v>
      </x:c>
      <x:c r="E101" s="46" t="str">
        <x:v>Pseudupeneus maculatus</x:v>
      </x:c>
      <x:c r="F101" s="46" t="str">
        <x:v>Spotted goatfish</x:v>
      </x:c>
      <x:c r="G101" s="46" t="str">
        <x:v>Medium reef assoc. fish (30 - 89 cm)</x:v>
      </x:c>
      <x:c r="H101" s="46" t="str">
        <x:v>Perch-likes</x:v>
      </x:c>
      <x:c r="I101" s="60" t="n">
        <x:v>787.5673581679</x:v>
      </x:c>
      <x:c r="J101" s="60" t="n">
        <x:v>787.5673581679</x:v>
      </x:c>
      <x:c r="K101" s="60" t="n">
        <x:v>0</x:v>
      </x:c>
      <x:c r="L101" s="60" t="n">
        <x:v>774.5960935310001</x:v>
      </x:c>
      <x:c r="M101" s="60" t="n">
        <x:v>12.971264636899999</x:v>
      </x:c>
      <x:c r="N101" s="46" t="str">
        <x:v>pseudupeneus maculatus</x:v>
      </x:c>
      <x:c r="O101" s="62" t="n">
        <x:v>3.65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Pseudupeneus maculatus</x:v>
      </x:c>
      <x:c r="T101" s="62" t="n">
        <x:f>IF(O101="","",(1/'Metadata'!$B$5)^(O101-1))</x:f>
        <x:v>446.683592150963</x:v>
      </x:c>
      <x:c r="U101" s="60" t="n">
        <x:f>IF(T101="","",I101*T101)</x:f>
        <x:v>351793.41660728166</x:v>
      </x:c>
    </x:row>
    <x:row r="102" ht="18" customHeight="1">
      <x:c r="A102" s="46" t="str">
        <x:v>LME_012</x:v>
      </x:c>
      <x:c r="B102" s="46" t="str">
        <x:v>Caribbean Sea</x:v>
      </x:c>
      <x:c r="C102" s="46" t="str">
        <x:v>LME</x:v>
      </x:c>
      <x:c r="D102" s="58" t="n">
        <x:v>2019</x:v>
      </x:c>
      <x:c r="E102" s="46" t="str">
        <x:v>Thunnus</x:v>
      </x:c>
      <x:c r="F102" s="46" t="str">
        <x:v>Tunas</x:v>
      </x:c>
      <x:c r="G102" s="46" t="str">
        <x:v>Large pelagics (&gt;=90 cm)</x:v>
      </x:c>
      <x:c r="H102" s="46" t="str">
        <x:v>Tuna &amp; billfishes</x:v>
      </x:c>
      <x:c r="I102" s="60" t="n">
        <x:v>786.3422897412</x:v>
      </x:c>
      <x:c r="J102" s="60" t="n">
        <x:v>786.3422897412</x:v>
      </x:c>
      <x:c r="K102" s="60" t="n">
        <x:v>0</x:v>
      </x:c>
      <x:c r="L102" s="60" t="n">
        <x:v>606.9321773786</x:v>
      </x:c>
      <x:c r="M102" s="60" t="n">
        <x:v>179.4101123626</x:v>
      </x:c>
      <x:c r="N102" s="46" t="str">
        <x:v>thunnus</x:v>
      </x:c>
      <x:c r="O102" s="62" t="n">
        <x:v>4.34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Thunnus</x:v>
      </x:c>
      <x:c r="T102" s="62" t="n">
        <x:f>IF(O102="","",(1/'Metadata'!$B$5)^(O102-1))</x:f>
        <x:v>2187.761623949552</x:v>
      </x:c>
      <x:c r="U102" s="60" t="n">
        <x:f>IF(T102="","",I102*T102)</x:f>
        <x:v>1720329.4847844169</x:v>
      </x:c>
    </x:row>
    <x:row r="103" ht="18" customHeight="1">
      <x:c r="A103" s="46" t="str">
        <x:v>LME_012</x:v>
      </x:c>
      <x:c r="B103" s="46" t="str">
        <x:v>Caribbean Sea</x:v>
      </x:c>
      <x:c r="C103" s="46" t="str">
        <x:v>LME</x:v>
      </x:c>
      <x:c r="D103" s="58" t="n">
        <x:v>2019</x:v>
      </x:c>
      <x:c r="E103" s="46" t="str">
        <x:v>Mugilidae</x:v>
      </x:c>
      <x:c r="F103" s="46" t="str">
        <x:v>Mullets, grey mullets</x:v>
      </x:c>
      <x:c r="G103" s="46" t="str">
        <x:v>Medium reef assoc. fish (30 - 89 cm)</x:v>
      </x:c>
      <x:c r="H103" s="46" t="str">
        <x:v>Perch-likes</x:v>
      </x:c>
      <x:c r="I103" s="60" t="n">
        <x:v>773.6276057272</x:v>
      </x:c>
      <x:c r="J103" s="60" t="n">
        <x:v>758.3649317247</x:v>
      </x:c>
      <x:c r="K103" s="60" t="n">
        <x:v>15.2626740025</x:v>
      </x:c>
      <x:c r="L103" s="60" t="n">
        <x:v>367.5877034692</x:v>
      </x:c>
      <x:c r="M103" s="60" t="n">
        <x:v>406.039902258</x:v>
      </x:c>
      <x:c r="N103" s="46" t="str">
        <x:v>mugilidae</x:v>
      </x:c>
      <x:c r="O103" s="62" t="n">
        <x:v>2.53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Mugilidae</x:v>
      </x:c>
      <x:c r="T103" s="62" t="n">
        <x:f>IF(O103="","",(1/'Metadata'!$B$5)^(O103-1))</x:f>
        <x:v>33.88441561392024</x:v>
      </x:c>
      <x:c r="U103" s="60" t="n">
        <x:f>IF(T103="","",I103*T103)</x:f>
        <x:v>26213.919322862468</x:v>
      </x:c>
    </x:row>
    <x:row r="104" ht="18" customHeight="1">
      <x:c r="A104" s="46" t="str">
        <x:v>LME_012</x:v>
      </x:c>
      <x:c r="B104" s="46" t="str">
        <x:v>Caribbean Sea</x:v>
      </x:c>
      <x:c r="C104" s="46" t="str">
        <x:v>LME</x:v>
      </x:c>
      <x:c r="D104" s="58" t="n">
        <x:v>2019</x:v>
      </x:c>
      <x:c r="E104" s="46" t="str">
        <x:v>Acanthurus</x:v>
      </x:c>
      <x:c r="F104" s="46" t="str">
        <x:v>Surgeonfishes</x:v>
      </x:c>
      <x:c r="G104" s="46" t="str">
        <x:v>Small reef assoc. fish (&lt;30 cm)</x:v>
      </x:c>
      <x:c r="H104" s="46" t="str">
        <x:v>Perch-likes</x:v>
      </x:c>
      <x:c r="I104" s="60" t="n">
        <x:v>772.1643601619</x:v>
      </x:c>
      <x:c r="J104" s="60" t="n">
        <x:v>772.1643601619</x:v>
      </x:c>
      <x:c r="K104" s="60" t="n">
        <x:v>0</x:v>
      </x:c>
      <x:c r="L104" s="60" t="n">
        <x:v>674.2388795196</x:v>
      </x:c>
      <x:c r="M104" s="60" t="n">
        <x:v>97.9254806423</x:v>
      </x:c>
      <x:c r="N104" s="46" t="str">
        <x:v>acanthurus</x:v>
      </x:c>
      <x:c r="O104" s="62" t="n">
        <x:v>2.03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Acanthurus</x:v>
      </x:c>
      <x:c r="T104" s="62" t="n">
        <x:f>IF(O104="","",(1/'Metadata'!$B$5)^(O104-1))</x:f>
        <x:v>10.71519305237606</x:v>
      </x:c>
      <x:c r="U104" s="60" t="n">
        <x:f>IF(T104="","",I104*T104)</x:f>
        <x:v>8273.890187299197</x:v>
      </x:c>
    </x:row>
    <x:row r="105" ht="18" customHeight="1">
      <x:c r="A105" s="46" t="str">
        <x:v>LME_012</x:v>
      </x:c>
      <x:c r="B105" s="46" t="str">
        <x:v>Caribbean Sea</x:v>
      </x:c>
      <x:c r="C105" s="46" t="str">
        <x:v>LME</x:v>
      </x:c>
      <x:c r="D105" s="58" t="n">
        <x:v>2019</x:v>
      </x:c>
      <x:c r="E105" s="46" t="str">
        <x:v>Harengula</x:v>
      </x:c>
      <x:c r="F105" s="46" t="str">
        <x:v>False herrings</x:v>
      </x:c>
      <x:c r="G105" s="46" t="str">
        <x:v>Small pelagics (&lt;30 cm)</x:v>
      </x:c>
      <x:c r="H105" s="46" t="str">
        <x:v>Herring-likes</x:v>
      </x:c>
      <x:c r="I105" s="60" t="n">
        <x:v>735.492245701</x:v>
      </x:c>
      <x:c r="J105" s="60" t="n">
        <x:v>735.492245701</x:v>
      </x:c>
      <x:c r="K105" s="60" t="n">
        <x:v>0</x:v>
      </x:c>
      <x:c r="L105" s="60" t="n">
        <x:v>717.0916126008001</x:v>
      </x:c>
      <x:c r="M105" s="60" t="n">
        <x:v>18.4006331002</x:v>
      </x:c>
      <x:c r="N105" s="46" t="str">
        <x:v>harengula</x:v>
      </x:c>
      <x:c r="O105" s="62" t="n">
        <x:v>3.37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Harengula</x:v>
      </x:c>
      <x:c r="T105" s="62" t="n">
        <x:f>IF(O105="","",(1/'Metadata'!$B$5)^(O105-1))</x:f>
        <x:v>234.42288153199226</x:v>
      </x:c>
      <x:c r="U105" s="60" t="n">
        <x:f>IF(T105="","",I105*T105)</x:f>
        <x:v>172416.21158166448</x:v>
      </x:c>
    </x:row>
    <x:row r="106" ht="18" customHeight="1">
      <x:c r="A106" s="46" t="str">
        <x:v>LME_012</x:v>
      </x:c>
      <x:c r="B106" s="46" t="str">
        <x:v>Caribbean Sea</x:v>
      </x:c>
      <x:c r="C106" s="46" t="str">
        <x:v>LME</x:v>
      </x:c>
      <x:c r="D106" s="58" t="n">
        <x:v>2019</x:v>
      </x:c>
      <x:c r="E106" s="46" t="str">
        <x:v>Penaeus duorarum</x:v>
      </x:c>
      <x:c r="F106" s="46" t="str">
        <x:v>Northern pink shrimp</x:v>
      </x:c>
      <x:c r="G106" s="46" t="str">
        <x:v>Shrimps</x:v>
      </x:c>
      <x:c r="H106" s="46" t="str">
        <x:v>Crustaceans</x:v>
      </x:c>
      <x:c r="I106" s="60" t="n">
        <x:v>732.0737366479</x:v>
      </x:c>
      <x:c r="J106" s="60" t="n">
        <x:v>732.0737366479</x:v>
      </x:c>
      <x:c r="K106" s="60" t="n">
        <x:v>0</x:v>
      </x:c>
      <x:c r="L106" s="60" t="n">
        <x:v>718.2830229048</x:v>
      </x:c>
      <x:c r="M106" s="60" t="n">
        <x:v>13.7907137431</x:v>
      </x:c>
      <x:c r="N106" s="46" t="str">
        <x:v>penaeus duorarum</x:v>
      </x:c>
      <x:c r="O106" s="62" t="n">
        <x:v>2.15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Penaeus duorarum</x:v>
      </x:c>
      <x:c r="T106" s="62" t="n">
        <x:f>IF(O106="","",(1/'Metadata'!$B$5)^(O106-1))</x:f>
        <x:v>14.12537544622754</x:v>
      </x:c>
      <x:c r="U106" s="60" t="n">
        <x:f>IF(T106="","",I106*T106)</x:f>
        <x:v>10340.816384474292</x:v>
      </x:c>
    </x:row>
    <x:row r="107" ht="18" customHeight="1">
      <x:c r="A107" s="46" t="str">
        <x:v>LME_012</x:v>
      </x:c>
      <x:c r="B107" s="46" t="str">
        <x:v>Caribbean Sea</x:v>
      </x:c>
      <x:c r="C107" s="46" t="str">
        <x:v>LME</x:v>
      </x:c>
      <x:c r="D107" s="58" t="n">
        <x:v>2019</x:v>
      </x:c>
      <x:c r="E107" s="46" t="str">
        <x:v>Thunnus obesus</x:v>
      </x:c>
      <x:c r="F107" s="46" t="str">
        <x:v>Bigeye tuna</x:v>
      </x:c>
      <x:c r="G107" s="46" t="str">
        <x:v>Large pelagics (&gt;=90 cm)</x:v>
      </x:c>
      <x:c r="H107" s="46" t="str">
        <x:v>Tuna &amp; billfishes</x:v>
      </x:c>
      <x:c r="I107" s="60" t="n">
        <x:v>694.7998348932999</x:v>
      </x:c>
      <x:c r="J107" s="60" t="n">
        <x:v>694.7998348696</x:v>
      </x:c>
      <x:c r="K107" s="60" t="n">
        <x:v>2.37e-8</x:v>
      </x:c>
      <x:c r="L107" s="60" t="n">
        <x:v>660.2200170107</x:v>
      </x:c>
      <x:c r="M107" s="60" t="n">
        <x:v>34.579817882600004</x:v>
      </x:c>
      <x:c r="N107" s="46" t="str">
        <x:v>thunnus obesus</x:v>
      </x:c>
      <x:c r="O107" s="62" t="n">
        <x:v>4.49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Thunnus obesus</x:v>
      </x:c>
      <x:c r="T107" s="62" t="n">
        <x:f>IF(O107="","",(1/'Metadata'!$B$5)^(O107-1))</x:f>
        <x:v>3090.295432513592</x:v>
      </x:c>
      <x:c r="U107" s="60" t="n">
        <x:f>IF(T107="","",I107*T107)</x:f>
        <x:v>2147136.7562819626</x:v>
      </x:c>
    </x:row>
    <x:row r="108" ht="18" customHeight="1">
      <x:c r="A108" s="46" t="str">
        <x:v>LME_012</x:v>
      </x:c>
      <x:c r="B108" s="46" t="str">
        <x:v>Caribbean Sea</x:v>
      </x:c>
      <x:c r="C108" s="46" t="str">
        <x:v>LME</x:v>
      </x:c>
      <x:c r="D108" s="58" t="n">
        <x:v>2019</x:v>
      </x:c>
      <x:c r="E108" s="46" t="str">
        <x:v>Lobotes surinamensis</x:v>
      </x:c>
      <x:c r="F108" s="46" t="str">
        <x:v>Tripletail</x:v>
      </x:c>
      <x:c r="G108" s="46" t="str">
        <x:v>Large benthopelagics (&gt;=90 cm)</x:v>
      </x:c>
      <x:c r="H108" s="46" t="str">
        <x:v>Perch-likes</x:v>
      </x:c>
      <x:c r="I108" s="60" t="n">
        <x:v>667.7527117154</x:v>
      </x:c>
      <x:c r="J108" s="60" t="n">
        <x:v>667.7416199695999</x:v>
      </x:c>
      <x:c r="K108" s="60" t="n">
        <x:v>0.0110917458</x:v>
      </x:c>
      <x:c r="L108" s="60" t="n">
        <x:v>192.85291530700002</x:v>
      </x:c>
      <x:c r="M108" s="60" t="n">
        <x:v>474.8997964084</x:v>
      </x:c>
      <x:c r="N108" s="46" t="str">
        <x:v>lobotes surinamensis</x:v>
      </x:c>
      <x:c r="O108" s="62" t="n">
        <x:v>4.04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Lobotes surinamensis</x:v>
      </x:c>
      <x:c r="T108" s="62" t="n">
        <x:f>IF(O108="","",(1/'Metadata'!$B$5)^(O108-1))</x:f>
        <x:v>1096.4781961431852</x:v>
      </x:c>
      <x:c r="U108" s="60" t="n">
        <x:f>IF(T108="","",I108*T108)</x:f>
        <x:v>732176.2888114222</x:v>
      </x:c>
    </x:row>
    <x:row r="109" ht="18" customHeight="1">
      <x:c r="A109" s="46" t="str">
        <x:v>LME_012</x:v>
      </x:c>
      <x:c r="B109" s="46" t="str">
        <x:v>Caribbean Sea</x:v>
      </x:c>
      <x:c r="C109" s="46" t="str">
        <x:v>LME</x:v>
      </x:c>
      <x:c r="D109" s="58" t="n">
        <x:v>2019</x:v>
      </x:c>
      <x:c r="E109" s="46" t="str">
        <x:v>Dendrobranchiata</x:v>
      </x:c>
      <x:c r="F109" s="46" t="str">
        <x:v>Shrimps and prawns</x:v>
      </x:c>
      <x:c r="G109" s="46" t="str">
        <x:v>Shrimps</x:v>
      </x:c>
      <x:c r="H109" s="46" t="str">
        <x:v>Crustaceans</x:v>
      </x:c>
      <x:c r="I109" s="60" t="n">
        <x:v>665.7938590837</x:v>
      </x:c>
      <x:c r="J109" s="60" t="n">
        <x:v>665.7938590837</x:v>
      </x:c>
      <x:c r="K109" s="60" t="n">
        <x:v>0</x:v>
      </x:c>
      <x:c r="L109" s="60" t="n">
        <x:v>510.6166029399</x:v>
      </x:c>
      <x:c r="M109" s="60" t="n">
        <x:v>155.17725614379998</x:v>
      </x:c>
      <x:c r="N109" s="46" t="str">
        <x:v>dendrobranchiata</x:v>
      </x:c>
      <x:c r="O109" s="62" t="n">
        <x:v>3.24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Dendrobranchiata</x:v>
      </x:c>
      <x:c r="T109" s="62" t="n">
        <x:f>IF(O109="","",(1/'Metadata'!$B$5)^(O109-1))</x:f>
        <x:v>173.78008287493762</x:v>
      </x:c>
      <x:c r="U109" s="60" t="n">
        <x:f>IF(T109="","",I109*T109)</x:f>
        <x:v>115701.71200918993</x:v>
      </x:c>
    </x:row>
    <x:row r="110" ht="18" customHeight="1">
      <x:c r="A110" s="46" t="str">
        <x:v>LME_012</x:v>
      </x:c>
      <x:c r="B110" s="46" t="str">
        <x:v>Caribbean Sea</x:v>
      </x:c>
      <x:c r="C110" s="46" t="str">
        <x:v>LME</x:v>
      </x:c>
      <x:c r="D110" s="58" t="n">
        <x:v>2019</x:v>
      </x:c>
      <x:c r="E110" s="46" t="str">
        <x:v>Seriola zonata</x:v>
      </x:c>
      <x:c r="F110" s="46" t="str">
        <x:v>Banded rudderfish</x:v>
      </x:c>
      <x:c r="G110" s="46" t="str">
        <x:v>Medium benthopelagics (30 - 89 cm)</x:v>
      </x:c>
      <x:c r="H110" s="46" t="str">
        <x:v>Perch-likes</x:v>
      </x:c>
      <x:c r="I110" s="60" t="n">
        <x:v>649.5435507306</x:v>
      </x:c>
      <x:c r="J110" s="60" t="n">
        <x:v>649.5435507306</x:v>
      </x:c>
      <x:c r="K110" s="60" t="n">
        <x:v>0</x:v>
      </x:c>
      <x:c r="L110" s="60" t="n">
        <x:v>142.7113648967</x:v>
      </x:c>
      <x:c r="M110" s="60" t="n">
        <x:v>506.8321858338999</x:v>
      </x:c>
      <x:c r="N110" s="46" t="str">
        <x:v>seriola zonata</x:v>
      </x:c>
      <x:c r="O110" s="62" t="n">
        <x:v>4.47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Seriola zonata</x:v>
      </x:c>
      <x:c r="T110" s="62" t="n">
        <x:f>IF(O110="","",(1/'Metadata'!$B$5)^(O110-1))</x:f>
        <x:v>2951.209226666384</x:v>
      </x:c>
      <x:c r="U110" s="60" t="n">
        <x:f>IF(T110="","",I110*T110)</x:f>
        <x:v>1916938.9200377914</x:v>
      </x:c>
    </x:row>
    <x:row r="111" ht="18" customHeight="1">
      <x:c r="A111" s="46" t="str">
        <x:v>LME_012</x:v>
      </x:c>
      <x:c r="B111" s="46" t="str">
        <x:v>Caribbean Sea</x:v>
      </x:c>
      <x:c r="C111" s="46" t="str">
        <x:v>LME</x:v>
      </x:c>
      <x:c r="D111" s="58" t="n">
        <x:v>2019</x:v>
      </x:c>
      <x:c r="E111" s="46" t="str">
        <x:v>Seriola dumerili</x:v>
      </x:c>
      <x:c r="F111" s="46" t="str">
        <x:v>Greater amberjack</x:v>
      </x:c>
      <x:c r="G111" s="46" t="str">
        <x:v>Large reef assoc. fish (&gt;=90 cm)</x:v>
      </x:c>
      <x:c r="H111" s="46" t="str">
        <x:v>Perch-likes</x:v>
      </x:c>
      <x:c r="I111" s="60" t="n">
        <x:v>632.1536565526001</x:v>
      </x:c>
      <x:c r="J111" s="60" t="n">
        <x:v>624.4799487411</x:v>
      </x:c>
      <x:c r="K111" s="60" t="n">
        <x:v>7.6737078115</x:v>
      </x:c>
      <x:c r="L111" s="60" t="n">
        <x:v>19.6032350935</x:v>
      </x:c>
      <x:c r="M111" s="60" t="n">
        <x:v>612.5504214591</x:v>
      </x:c>
      <x:c r="N111" s="46" t="str">
        <x:v>seriola dumerili</x:v>
      </x:c>
      <x:c r="O111" s="62" t="n">
        <x:v>4.5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Seriola dumerili</x:v>
      </x:c>
      <x:c r="T111" s="62" t="n">
        <x:f>IF(O111="","",(1/'Metadata'!$B$5)^(O111-1))</x:f>
        <x:v>3162.2776601683795</x:v>
      </x:c>
      <x:c r="U111" s="60" t="n">
        <x:f>IF(T111="","",I111*T111)</x:f>
        <x:v>1999045.3859100416</x:v>
      </x:c>
    </x:row>
    <x:row r="112" ht="18" customHeight="1">
      <x:c r="A112" s="46" t="str">
        <x:v>LME_012</x:v>
      </x:c>
      <x:c r="B112" s="46" t="str">
        <x:v>Caribbean Sea</x:v>
      </x:c>
      <x:c r="C112" s="46" t="str">
        <x:v>LME</x:v>
      </x:c>
      <x:c r="D112" s="58" t="n">
        <x:v>2019</x:v>
      </x:c>
      <x:c r="E112" s="46" t="str">
        <x:v>Bagre marinus</x:v>
      </x:c>
      <x:c r="F112" s="46" t="str">
        <x:v>Gafftopsail sea catfish</x:v>
      </x:c>
      <x:c r="G112" s="46" t="str">
        <x:v>Large reef assoc. fish (&gt;=90 cm)</x:v>
      </x:c>
      <x:c r="H112" s="46" t="str">
        <x:v>Other fishes &amp; inverts</x:v>
      </x:c>
      <x:c r="I112" s="60" t="n">
        <x:v>627.4966663688</x:v>
      </x:c>
      <x:c r="J112" s="60" t="n">
        <x:v>627.4966663688</x:v>
      </x:c>
      <x:c r="K112" s="60" t="n">
        <x:v>0</x:v>
      </x:c>
      <x:c r="L112" s="60" t="n">
        <x:v>615.5914830323</x:v>
      </x:c>
      <x:c r="M112" s="60" t="n">
        <x:v>11.9051833365</x:v>
      </x:c>
      <x:c r="N112" s="46" t="str">
        <x:v>bagre marinus</x:v>
      </x:c>
      <x:c r="O112" s="62" t="n">
        <x:v>3.51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Bagre marinus</x:v>
      </x:c>
      <x:c r="T112" s="62" t="n">
        <x:f>IF(O112="","",(1/'Metadata'!$B$5)^(O112-1))</x:f>
        <x:v>323.5936569296281</x:v>
      </x:c>
      <x:c r="U112" s="60" t="n">
        <x:f>IF(T112="","",I112*T112)</x:f>
        <x:v>203053.94098143076</x:v>
      </x:c>
    </x:row>
    <x:row r="113" ht="18" customHeight="1">
      <x:c r="A113" s="46" t="str">
        <x:v>LME_012</x:v>
      </x:c>
      <x:c r="B113" s="46" t="str">
        <x:v>Caribbean Sea</x:v>
      </x:c>
      <x:c r="C113" s="46" t="str">
        <x:v>LME</x:v>
      </x:c>
      <x:c r="D113" s="58" t="n">
        <x:v>2019</x:v>
      </x:c>
      <x:c r="E113" s="46" t="str">
        <x:v>Lutjanus analis</x:v>
      </x:c>
      <x:c r="F113" s="46" t="str">
        <x:v>Mutton snapper</x:v>
      </x:c>
      <x:c r="G113" s="46" t="str">
        <x:v>Medium reef assoc. fish (30 - 89 cm)</x:v>
      </x:c>
      <x:c r="H113" s="46" t="str">
        <x:v>Perch-likes</x:v>
      </x:c>
      <x:c r="I113" s="60" t="n">
        <x:v>584.7562901705</x:v>
      </x:c>
      <x:c r="J113" s="60" t="n">
        <x:v>577.7823231245</x:v>
      </x:c>
      <x:c r="K113" s="60" t="n">
        <x:v>6.973967045999999</x:v>
      </x:c>
      <x:c r="L113" s="60" t="n">
        <x:v>330.99938712090005</x:v>
      </x:c>
      <x:c r="M113" s="60" t="n">
        <x:v>253.7569030496</x:v>
      </x:c>
      <x:c r="N113" s="46" t="str">
        <x:v>lutjanus analis</x:v>
      </x:c>
      <x:c r="O113" s="62" t="n">
        <x:v>3.91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Lutjanus analis</x:v>
      </x:c>
      <x:c r="T113" s="62" t="n">
        <x:f>IF(O113="","",(1/'Metadata'!$B$5)^(O113-1))</x:f>
        <x:v>812.8305161640995</x:v>
      </x:c>
      <x:c r="U113" s="60" t="n">
        <x:f>IF(T113="","",I113*T113)</x:f>
        <x:v>475307.75716949155</x:v>
      </x:c>
    </x:row>
    <x:row r="114" ht="18" customHeight="1">
      <x:c r="A114" s="46" t="str">
        <x:v>LME_012</x:v>
      </x:c>
      <x:c r="B114" s="46" t="str">
        <x:v>Caribbean Sea</x:v>
      </x:c>
      <x:c r="C114" s="46" t="str">
        <x:v>LME</x:v>
      </x:c>
      <x:c r="D114" s="58" t="n">
        <x:v>2019</x:v>
      </x:c>
      <x:c r="E114" s="46" t="str">
        <x:v>Gastropoda</x:v>
      </x:c>
      <x:c r="F114" s="46" t="str">
        <x:v>Sea snails</x:v>
      </x:c>
      <x:c r="G114" s="46" t="str">
        <x:v>Other demersal invertebrates</x:v>
      </x:c>
      <x:c r="H114" s="46" t="str">
        <x:v>Molluscs</x:v>
      </x:c>
      <x:c r="I114" s="60" t="n">
        <x:v>579.0323516674999</x:v>
      </x:c>
      <x:c r="J114" s="60" t="n">
        <x:v>526.800469749</x:v>
      </x:c>
      <x:c r="K114" s="60" t="n">
        <x:v>52.2318819185</x:v>
      </x:c>
      <x:c r="L114" s="60" t="n">
        <x:v>502.67847763829997</x:v>
      </x:c>
      <x:c r="M114" s="60" t="n">
        <x:v>76.3538740292</x:v>
      </x:c>
      <x:c r="N114" s="46" t="str">
        <x:v>gastropoda</x:v>
      </x:c>
      <x:c r="O114" s="62" t="n">
        <x:v>3.06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Gastropoda</x:v>
      </x:c>
      <x:c r="T114" s="62" t="n">
        <x:f>IF(O114="","",(1/'Metadata'!$B$5)^(O114-1))</x:f>
        <x:v>114.81536214968828</x:v>
      </x:c>
      <x:c r="U114" s="60" t="n">
        <x:f>IF(T114="","",I114*T114)</x:f>
        <x:v>66481.80915308966</x:v>
      </x:c>
    </x:row>
    <x:row r="115" ht="18" customHeight="1">
      <x:c r="A115" s="46" t="str">
        <x:v>LME_012</x:v>
      </x:c>
      <x:c r="B115" s="46" t="str">
        <x:v>Caribbean Sea</x:v>
      </x:c>
      <x:c r="C115" s="46" t="str">
        <x:v>LME</x:v>
      </x:c>
      <x:c r="D115" s="58" t="n">
        <x:v>2019</x:v>
      </x:c>
      <x:c r="E115" s="46" t="str">
        <x:v>Micropogonias undulatus</x:v>
      </x:c>
      <x:c r="F115" s="46" t="str">
        <x:v>Atlantic croaker</x:v>
      </x:c>
      <x:c r="G115" s="46" t="str">
        <x:v>Medium demersals (30 - 89 cm)</x:v>
      </x:c>
      <x:c r="H115" s="46" t="str">
        <x:v>Perch-likes</x:v>
      </x:c>
      <x:c r="I115" s="60" t="n">
        <x:v>578.6133155866</x:v>
      </x:c>
      <x:c r="J115" s="60" t="n">
        <x:v>66.2127415934</x:v>
      </x:c>
      <x:c r="K115" s="60" t="n">
        <x:v>512.4005739932</x:v>
      </x:c>
      <x:c r="L115" s="60" t="n">
        <x:v>40.5597368291</x:v>
      </x:c>
      <x:c r="M115" s="60" t="n">
        <x:v>538.0535787575001</x:v>
      </x:c>
      <x:c r="N115" s="46" t="str">
        <x:v>micropogonias undulatus</x:v>
      </x:c>
      <x:c r="O115" s="62" t="n">
        <x:v>3.31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Micropogonias undulatus</x:v>
      </x:c>
      <x:c r="T115" s="62" t="n">
        <x:f>IF(O115="","",(1/'Metadata'!$B$5)^(O115-1))</x:f>
        <x:v>204.17379446695296</x:v>
      </x:c>
      <x:c r="U115" s="60" t="n">
        <x:f>IF(T115="","",I115*T115)</x:f>
        <x:v>118137.67617242066</x:v>
      </x:c>
    </x:row>
    <x:row r="116" ht="18" customHeight="1">
      <x:c r="A116" s="46" t="str">
        <x:v>LME_012</x:v>
      </x:c>
      <x:c r="B116" s="46" t="str">
        <x:v>Caribbean Sea</x:v>
      </x:c>
      <x:c r="C116" s="46" t="str">
        <x:v>LME</x:v>
      </x:c>
      <x:c r="D116" s="58" t="n">
        <x:v>2019</x:v>
      </x:c>
      <x:c r="E116" s="46" t="str">
        <x:v>Epinephelus guttatus</x:v>
      </x:c>
      <x:c r="F116" s="46" t="str">
        <x:v>Red hind</x:v>
      </x:c>
      <x:c r="G116" s="46" t="str">
        <x:v>Medium reef assoc. fish (30 - 89 cm)</x:v>
      </x:c>
      <x:c r="H116" s="46" t="str">
        <x:v>Perch-likes</x:v>
      </x:c>
      <x:c r="I116" s="60" t="n">
        <x:v>577.4536521785</x:v>
      </x:c>
      <x:c r="J116" s="60" t="n">
        <x:v>576.9713751139</x:v>
      </x:c>
      <x:c r="K116" s="60" t="n">
        <x:v>0.4822770646</x:v>
      </x:c>
      <x:c r="L116" s="60" t="n">
        <x:v>424.3356289806</x:v>
      </x:c>
      <x:c r="M116" s="60" t="n">
        <x:v>153.11802319790002</x:v>
      </x:c>
      <x:c r="N116" s="46" t="str">
        <x:v>epinephelus guttatus</x:v>
      </x:c>
      <x:c r="O116" s="62" t="n">
        <x:v>3.84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Epinephelus guttatus</x:v>
      </x:c>
      <x:c r="T116" s="62" t="n">
        <x:f>IF(O116="","",(1/'Metadata'!$B$5)^(O116-1))</x:f>
        <x:v>691.8309709189363</x:v>
      </x:c>
      <x:c r="U116" s="60" t="n">
        <x:f>IF(T116="","",I116*T116)</x:f>
        <x:v>399500.32084733737</x:v>
      </x:c>
    </x:row>
    <x:row r="117" ht="18" customHeight="1">
      <x:c r="A117" s="46" t="str">
        <x:v>LME_012</x:v>
      </x:c>
      <x:c r="B117" s="46" t="str">
        <x:v>Caribbean Sea</x:v>
      </x:c>
      <x:c r="C117" s="46" t="str">
        <x:v>LME</x:v>
      </x:c>
      <x:c r="D117" s="58" t="n">
        <x:v>2019</x:v>
      </x:c>
      <x:c r="E117" s="46" t="str">
        <x:v>Ophidiidae</x:v>
      </x:c>
      <x:c r="F117" s="46" t="str">
        <x:v>Cuskeels</x:v>
      </x:c>
      <x:c r="G117" s="46" t="str">
        <x:v>Large bathydemersals (&gt;=90 cm)</x:v>
      </x:c>
      <x:c r="H117" s="46" t="str">
        <x:v>Other fishes &amp; inverts</x:v>
      </x:c>
      <x:c r="I117" s="60" t="n">
        <x:v>577.2907273243</x:v>
      </x:c>
      <x:c r="J117" s="60" t="n">
        <x:v>66.0981545254</x:v>
      </x:c>
      <x:c r="K117" s="60" t="n">
        <x:v>511.1925727989</x:v>
      </x:c>
      <x:c r="L117" s="60" t="n">
        <x:v>43.387083645800004</x:v>
      </x:c>
      <x:c r="M117" s="60" t="n">
        <x:v>533.9036436785</x:v>
      </x:c>
      <x:c r="N117" s="46" t="str">
        <x:v>ophidiidae</x:v>
      </x:c>
      <x:c r="O117" s="62" t="n">
        <x:v>3.67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Ophidiidae</x:v>
      </x:c>
      <x:c r="T117" s="62" t="n">
        <x:f>IF(O117="","",(1/'Metadata'!$B$5)^(O117-1))</x:f>
        <x:v>467.73514128719813</x:v>
      </x:c>
      <x:c r="U117" s="60" t="n">
        <x:f>IF(T117="","",I117*T117)</x:f>
        <x:v>270019.1599088208</x:v>
      </x:c>
    </x:row>
    <x:row r="118" ht="18" customHeight="1">
      <x:c r="A118" s="46" t="str">
        <x:v>LME_012</x:v>
      </x:c>
      <x:c r="B118" s="46" t="str">
        <x:v>Caribbean Sea</x:v>
      </x:c>
      <x:c r="C118" s="46" t="str">
        <x:v>LME</x:v>
      </x:c>
      <x:c r="D118" s="58" t="n">
        <x:v>2019</x:v>
      </x:c>
      <x:c r="E118" s="46" t="str">
        <x:v>Portunidae</x:v>
      </x:c>
      <x:c r="F118" s="46" t="str">
        <x:v>Swimming crabs</x:v>
      </x:c>
      <x:c r="G118" s="46" t="str">
        <x:v>Lobsters, crabs</x:v>
      </x:c>
      <x:c r="H118" s="46" t="str">
        <x:v>Crustaceans</x:v>
      </x:c>
      <x:c r="I118" s="60" t="n">
        <x:v>562.4167225625</x:v>
      </x:c>
      <x:c r="J118" s="60" t="n">
        <x:v>145.058466462</x:v>
      </x:c>
      <x:c r="K118" s="60" t="n">
        <x:v>417.3582561005</x:v>
      </x:c>
      <x:c r="L118" s="60" t="n">
        <x:v>47.305982852300005</x:v>
      </x:c>
      <x:c r="M118" s="60" t="n">
        <x:v>515.1107397101999</x:v>
      </x:c>
      <x:c r="N118" s="46" t="str">
        <x:v>portunidae</x:v>
      </x:c>
      <x:c r="O118" s="62" t="n">
        <x:v>3.56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Portunidae</x:v>
      </x:c>
      <x:c r="T118" s="62" t="n">
        <x:f>IF(O118="","",(1/'Metadata'!$B$5)^(O118-1))</x:f>
        <x:v>363.0780547701014</x:v>
      </x:c>
      <x:c r="U118" s="60" t="n">
        <x:f>IF(T118="","",I118*T118)</x:f>
        <x:v>204201.16959816832</x:v>
      </x:c>
    </x:row>
    <x:row r="119" ht="18" customHeight="1">
      <x:c r="A119" s="46" t="str">
        <x:v>LME_012</x:v>
      </x:c>
      <x:c r="B119" s="46" t="str">
        <x:v>Caribbean Sea</x:v>
      </x:c>
      <x:c r="C119" s="46" t="str">
        <x:v>LME</x:v>
      </x:c>
      <x:c r="D119" s="58" t="n">
        <x:v>2019</x:v>
      </x:c>
      <x:c r="E119" s="46" t="str">
        <x:v>Chloroscombrus chrysurus</x:v>
      </x:c>
      <x:c r="F119" s="46" t="str">
        <x:v>Atlantic bumper</x:v>
      </x:c>
      <x:c r="G119" s="46" t="str">
        <x:v>Medium pelagics (30 - 89 cm)</x:v>
      </x:c>
      <x:c r="H119" s="46" t="str">
        <x:v>Perch-likes</x:v>
      </x:c>
      <x:c r="I119" s="60" t="n">
        <x:v>557.2973052705</x:v>
      </x:c>
      <x:c r="J119" s="60" t="n">
        <x:v>496.9038557796</x:v>
      </x:c>
      <x:c r="K119" s="60" t="n">
        <x:v>60.393449490900004</x:v>
      </x:c>
      <x:c r="L119" s="60" t="n">
        <x:v>494.6817034794</x:v>
      </x:c>
      <x:c r="M119" s="60" t="n">
        <x:v>62.615601791100005</x:v>
      </x:c>
      <x:c r="N119" s="46" t="str">
        <x:v>chloroscombrus chrysurus</x:v>
      </x:c>
      <x:c r="O119" s="62" t="n">
        <x:v>3.54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Chloroscombrus chrysurus</x:v>
      </x:c>
      <x:c r="T119" s="62" t="n">
        <x:f>IF(O119="","",(1/'Metadata'!$B$5)^(O119-1))</x:f>
        <x:v>346.73685045253166</x:v>
      </x:c>
      <x:c r="U119" s="60" t="n">
        <x:f>IF(T119="","",I119*T119)</x:f>
        <x:v>193235.51239517625</x:v>
      </x:c>
    </x:row>
    <x:row r="120" ht="18" customHeight="1">
      <x:c r="A120" s="46" t="str">
        <x:v>LME_012</x:v>
      </x:c>
      <x:c r="B120" s="46" t="str">
        <x:v>Caribbean Sea</x:v>
      </x:c>
      <x:c r="C120" s="46" t="str">
        <x:v>LME</x:v>
      </x:c>
      <x:c r="D120" s="58" t="n">
        <x:v>2019</x:v>
      </x:c>
      <x:c r="E120" s="46" t="str">
        <x:v>Spongia</x:v>
      </x:c>
      <x:c r="F120" s="46" t="str">
        <x:v>Bathing sponges</x:v>
      </x:c>
      <x:c r="G120" s="46" t="str">
        <x:v>Other demersal invertebrates</x:v>
      </x:c>
      <x:c r="H120" s="46" t="str">
        <x:v>Other fishes &amp; inverts</x:v>
      </x:c>
      <x:c r="I120" s="60" t="n">
        <x:v>542.4100701437</x:v>
      </x:c>
      <x:c r="J120" s="60" t="n">
        <x:v>542.4100701437</x:v>
      </x:c>
      <x:c r="K120" s="60" t="n">
        <x:v>0</x:v>
      </x:c>
      <x:c r="L120" s="60" t="n">
        <x:v>354.8851798176</x:v>
      </x:c>
      <x:c r="M120" s="60" t="n">
        <x:v>187.5248903261</x:v>
      </x:c>
      <x:c r="N120" s="46" t="str">
        <x:v>spongia</x:v>
      </x:c>
      <x:c r="O120" s="62" t="n">
        <x:v>2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Spongia</x:v>
      </x:c>
      <x:c r="T120" s="62" t="n">
        <x:f>IF(O120="","",(1/'Metadata'!$B$5)^(O120-1))</x:f>
        <x:v>10</x:v>
      </x:c>
      <x:c r="U120" s="60" t="n">
        <x:f>IF(T120="","",I120*T120)</x:f>
        <x:v>5424.100701437</x:v>
      </x:c>
    </x:row>
    <x:row r="121" ht="18" customHeight="1">
      <x:c r="A121" s="46" t="str">
        <x:v>LME_012</x:v>
      </x:c>
      <x:c r="B121" s="46" t="str">
        <x:v>Caribbean Sea</x:v>
      </x:c>
      <x:c r="C121" s="46" t="str">
        <x:v>LME</x:v>
      </x:c>
      <x:c r="D121" s="58" t="n">
        <x:v>2019</x:v>
      </x:c>
      <x:c r="E121" s="46" t="str">
        <x:v>Istiophorus albicans</x:v>
      </x:c>
      <x:c r="F121" s="46" t="str">
        <x:v>Atlantic sailfish</x:v>
      </x:c>
      <x:c r="G121" s="46" t="str">
        <x:v>Large pelagics (&gt;=90 cm)</x:v>
      </x:c>
      <x:c r="H121" s="46" t="str">
        <x:v>Tuna &amp; billfishes</x:v>
      </x:c>
      <x:c r="I121" s="60" t="n">
        <x:v>532.3542283886</x:v>
      </x:c>
      <x:c r="J121" s="60" t="n">
        <x:v>532.3542283886</x:v>
      </x:c>
      <x:c r="K121" s="60" t="n">
        <x:v>0</x:v>
      </x:c>
      <x:c r="L121" s="60" t="n">
        <x:v>445.8344388563</x:v>
      </x:c>
      <x:c r="M121" s="60" t="n">
        <x:v>86.5197895323</x:v>
      </x:c>
      <x:c r="N121" s="46" t="str">
        <x:v>istiophorus albicans</x:v>
      </x:c>
      <x:c r="O121" s="62" t="n">
        <x:v>4.5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Istiophorus albicans</x:v>
      </x:c>
      <x:c r="T121" s="62" t="n">
        <x:f>IF(O121="","",(1/'Metadata'!$B$5)^(O121-1))</x:f>
        <x:v>3162.2776601683795</x:v>
      </x:c>
      <x:c r="U121" s="60" t="n">
        <x:f>IF(T121="","",I121*T121)</x:f>
        <x:v>1683451.883729445</x:v>
      </x:c>
    </x:row>
    <x:row r="122" ht="18" customHeight="1">
      <x:c r="A122" s="46" t="str">
        <x:v>LME_012</x:v>
      </x:c>
      <x:c r="B122" s="46" t="str">
        <x:v>Caribbean Sea</x:v>
      </x:c>
      <x:c r="C122" s="46" t="str">
        <x:v>LME</x:v>
      </x:c>
      <x:c r="D122" s="58" t="n">
        <x:v>2019</x:v>
      </x:c>
      <x:c r="E122" s="46" t="str">
        <x:v>Cynoscion virescens</x:v>
      </x:c>
      <x:c r="F122" s="46" t="str">
        <x:v>Green weakfish</x:v>
      </x:c>
      <x:c r="G122" s="46" t="str">
        <x:v>Large demersals (&gt;=90 cm)</x:v>
      </x:c>
      <x:c r="H122" s="46" t="str">
        <x:v>Perch-likes</x:v>
      </x:c>
      <x:c r="I122" s="60" t="n">
        <x:v>526.5642783175</x:v>
      </x:c>
      <x:c r="J122" s="60" t="n">
        <x:v>526.5642783175</x:v>
      </x:c>
      <x:c r="K122" s="60" t="n">
        <x:v>0</x:v>
      </x:c>
      <x:c r="L122" s="60" t="n">
        <x:v>526.5642783175</x:v>
      </x:c>
      <x:c r="M122" s="60" t="n">
        <x:v>0</x:v>
      </x:c>
      <x:c r="N122" s="46" t="str">
        <x:v>cynoscion virescens</x:v>
      </x:c>
      <x:c r="O122" s="62" t="n">
        <x:v>4.03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Cynoscion virescens</x:v>
      </x:c>
      <x:c r="T122" s="62" t="n">
        <x:f>IF(O122="","",(1/'Metadata'!$B$5)^(O122-1))</x:f>
        <x:v>1071.519305237607</x:v>
      </x:c>
      <x:c r="U122" s="60" t="n">
        <x:f>IF(T122="","",I122*T122)</x:f>
        <x:v>564223.7896657096</x:v>
      </x:c>
    </x:row>
    <x:row r="123" ht="18" customHeight="1">
      <x:c r="A123" s="46" t="str">
        <x:v>LME_012</x:v>
      </x:c>
      <x:c r="B123" s="46" t="str">
        <x:v>Caribbean Sea</x:v>
      </x:c>
      <x:c r="C123" s="46" t="str">
        <x:v>LME</x:v>
      </x:c>
      <x:c r="D123" s="58" t="n">
        <x:v>2019</x:v>
      </x:c>
      <x:c r="E123" s="46" t="str">
        <x:v>Mulloidichthys martinicus</x:v>
      </x:c>
      <x:c r="F123" s="46" t="str">
        <x:v>Yellow goatfish</x:v>
      </x:c>
      <x:c r="G123" s="46" t="str">
        <x:v>Medium reef assoc. fish (30 - 89 cm)</x:v>
      </x:c>
      <x:c r="H123" s="46" t="str">
        <x:v>Perch-likes</x:v>
      </x:c>
      <x:c r="I123" s="60" t="n">
        <x:v>513.5475285763999</x:v>
      </x:c>
      <x:c r="J123" s="60" t="n">
        <x:v>513.5475285763999</x:v>
      </x:c>
      <x:c r="K123" s="60" t="n">
        <x:v>0</x:v>
      </x:c>
      <x:c r="L123" s="60" t="n">
        <x:v>333.10330188079996</x:v>
      </x:c>
      <x:c r="M123" s="60" t="n">
        <x:v>180.44422669559998</x:v>
      </x:c>
      <x:c r="N123" s="46" t="str">
        <x:v>mulloidichthys martinicus</x:v>
      </x:c>
      <x:c r="O123" s="62" t="n">
        <x:v>3.21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Mulloidichthys martinicus</x:v>
      </x:c>
      <x:c r="T123" s="62" t="n">
        <x:f>IF(O123="","",(1/'Metadata'!$B$5)^(O123-1))</x:f>
        <x:v>162.18100973589299</x:v>
      </x:c>
      <x:c r="U123" s="60" t="n">
        <x:f>IF(T123="","",I123*T123)</x:f>
        <x:v>83287.6567318929</x:v>
      </x:c>
    </x:row>
    <x:row r="124" ht="18" customHeight="1">
      <x:c r="A124" s="46" t="str">
        <x:v>LME_012</x:v>
      </x:c>
      <x:c r="B124" s="46" t="str">
        <x:v>Caribbean Sea</x:v>
      </x:c>
      <x:c r="C124" s="46" t="str">
        <x:v>LME</x:v>
      </x:c>
      <x:c r="D124" s="58" t="n">
        <x:v>2019</x:v>
      </x:c>
      <x:c r="E124" s="46" t="str">
        <x:v>Trichiuridae</x:v>
      </x:c>
      <x:c r="F124" s="46" t="str">
        <x:v>Cutlassfishes</x:v>
      </x:c>
      <x:c r="G124" s="46" t="str">
        <x:v>Large benthopelagics (&gt;=90 cm)</x:v>
      </x:c>
      <x:c r="H124" s="46" t="str">
        <x:v>Perch-likes</x:v>
      </x:c>
      <x:c r="I124" s="60" t="n">
        <x:v>490.3597563532</x:v>
      </x:c>
      <x:c r="J124" s="60" t="n">
        <x:v>235.09976616650002</x:v>
      </x:c>
      <x:c r="K124" s="60" t="n">
        <x:v>255.2599901867</x:v>
      </x:c>
      <x:c r="L124" s="60" t="n">
        <x:v>132.7323643001</x:v>
      </x:c>
      <x:c r="M124" s="60" t="n">
        <x:v>357.6273920531</x:v>
      </x:c>
      <x:c r="N124" s="46" t="str">
        <x:v>trichiuridae</x:v>
      </x:c>
      <x:c r="O124" s="62" t="n">
        <x:v>4.15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Trichiuridae</x:v>
      </x:c>
      <x:c r="T124" s="62" t="n">
        <x:f>IF(O124="","",(1/'Metadata'!$B$5)^(O124-1))</x:f>
        <x:v>1412.5375446227554</x:v>
      </x:c>
      <x:c r="U124" s="60" t="n">
        <x:f>IF(T124="","",I124*T124)</x:f>
        <x:v>692651.5662209617</x:v>
      </x:c>
    </x:row>
    <x:row r="125" ht="18" customHeight="1">
      <x:c r="A125" s="46" t="str">
        <x:v>LME_012</x:v>
      </x:c>
      <x:c r="B125" s="46" t="str">
        <x:v>Caribbean Sea</x:v>
      </x:c>
      <x:c r="C125" s="46" t="str">
        <x:v>LME</x:v>
      </x:c>
      <x:c r="D125" s="58" t="n">
        <x:v>2019</x:v>
      </x:c>
      <x:c r="E125" s="46" t="str">
        <x:v>Sphyraena barracuda</x:v>
      </x:c>
      <x:c r="F125" s="46" t="str">
        <x:v>Great barracuda</x:v>
      </x:c>
      <x:c r="G125" s="46" t="str">
        <x:v>Large pelagics (&gt;=90 cm)</x:v>
      </x:c>
      <x:c r="H125" s="46" t="str">
        <x:v>Perch-likes</x:v>
      </x:c>
      <x:c r="I125" s="60" t="n">
        <x:v>481.6861507151</x:v>
      </x:c>
      <x:c r="J125" s="60" t="n">
        <x:v>481.6861507151</x:v>
      </x:c>
      <x:c r="K125" s="60" t="n">
        <x:v>0</x:v>
      </x:c>
      <x:c r="L125" s="60" t="n">
        <x:v>175.0958430588</x:v>
      </x:c>
      <x:c r="M125" s="60" t="n">
        <x:v>306.5903076563</x:v>
      </x:c>
      <x:c r="N125" s="46" t="str">
        <x:v>sphyraena barracuda</x:v>
      </x:c>
      <x:c r="O125" s="62" t="n">
        <x:v>4.49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Sphyraena barracuda</x:v>
      </x:c>
      <x:c r="T125" s="62" t="n">
        <x:f>IF(O125="","",(1/'Metadata'!$B$5)^(O125-1))</x:f>
        <x:v>3090.295432513592</x:v>
      </x:c>
      <x:c r="U125" s="60" t="n">
        <x:f>IF(T125="","",I125*T125)</x:f>
        <x:v>1488552.511459927</x:v>
      </x:c>
    </x:row>
    <x:row r="126" ht="18" customHeight="1">
      <x:c r="A126" s="46" t="str">
        <x:v>LME_012</x:v>
      </x:c>
      <x:c r="B126" s="46" t="str">
        <x:v>Caribbean Sea</x:v>
      </x:c>
      <x:c r="C126" s="46" t="str">
        <x:v>LME</x:v>
      </x:c>
      <x:c r="D126" s="58" t="n">
        <x:v>2019</x:v>
      </x:c>
      <x:c r="E126" s="46" t="str">
        <x:v>Penaeus setiferus</x:v>
      </x:c>
      <x:c r="F126" s="46" t="str">
        <x:v>Northern white shrimp</x:v>
      </x:c>
      <x:c r="G126" s="46" t="str">
        <x:v>Shrimps</x:v>
      </x:c>
      <x:c r="H126" s="46" t="str">
        <x:v>Crustaceans</x:v>
      </x:c>
      <x:c r="I126" s="60" t="n">
        <x:v>481.5705102829</x:v>
      </x:c>
      <x:c r="J126" s="60" t="n">
        <x:v>481.5705102829</x:v>
      </x:c>
      <x:c r="K126" s="60" t="n">
        <x:v>0</x:v>
      </x:c>
      <x:c r="L126" s="60" t="n">
        <x:v>477.3805929083</x:v>
      </x:c>
      <x:c r="M126" s="60" t="n">
        <x:v>4.1899173746</x:v>
      </x:c>
      <x:c r="N126" s="46" t="str">
        <x:v>penaeus setiferus</x:v>
      </x:c>
      <x:c r="O126" s="62" t="n">
        <x:v>2.93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Penaeus setiferus</x:v>
      </x:c>
      <x:c r="T126" s="62" t="n">
        <x:f>IF(O126="","",(1/'Metadata'!$B$5)^(O126-1))</x:f>
        <x:v>85.11380382023768</x:v>
      </x:c>
      <x:c r="U126" s="60" t="n">
        <x:f>IF(T126="","",I126*T126)</x:f>
        <x:v>40988.2979378305</x:v>
      </x:c>
    </x:row>
    <x:row r="127" ht="18" customHeight="1">
      <x:c r="A127" s="46" t="str">
        <x:v>LME_012</x:v>
      </x:c>
      <x:c r="B127" s="46" t="str">
        <x:v>Caribbean Sea</x:v>
      </x:c>
      <x:c r="C127" s="46" t="str">
        <x:v>LME</x:v>
      </x:c>
      <x:c r="D127" s="58" t="n">
        <x:v>2019</x:v>
      </x:c>
      <x:c r="E127" s="46" t="str">
        <x:v>Sarda sarda</x:v>
      </x:c>
      <x:c r="F127" s="46" t="str">
        <x:v>Atlantic bonito</x:v>
      </x:c>
      <x:c r="G127" s="46" t="str">
        <x:v>Medium pelagics (30 - 89 cm)</x:v>
      </x:c>
      <x:c r="H127" s="46" t="str">
        <x:v>Tuna &amp; billfishes</x:v>
      </x:c>
      <x:c r="I127" s="60" t="n">
        <x:v>474.8029388628</x:v>
      </x:c>
      <x:c r="J127" s="60" t="n">
        <x:v>459.0156338494</x:v>
      </x:c>
      <x:c r="K127" s="60" t="n">
        <x:v>15.7873050134</x:v>
      </x:c>
      <x:c r="L127" s="60" t="n">
        <x:v>248.0769653537</x:v>
      </x:c>
      <x:c r="M127" s="60" t="n">
        <x:v>226.7259735091</x:v>
      </x:c>
      <x:c r="N127" s="46" t="str">
        <x:v>sarda sarda</x:v>
      </x:c>
      <x:c r="O127" s="62" t="n">
        <x:v>4.5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Sarda sarda</x:v>
      </x:c>
      <x:c r="T127" s="62" t="n">
        <x:f>IF(O127="","",(1/'Metadata'!$B$5)^(O127-1))</x:f>
        <x:v>3162.2776601683795</x:v>
      </x:c>
      <x:c r="U127" s="60" t="n">
        <x:f>IF(T127="","",I127*T127)</x:f>
        <x:v>1501458.7265481253</x:v>
      </x:c>
    </x:row>
    <x:row r="128" ht="18" customHeight="1">
      <x:c r="A128" s="46" t="str">
        <x:v>LME_012</x:v>
      </x:c>
      <x:c r="B128" s="46" t="str">
        <x:v>Caribbean Sea</x:v>
      </x:c>
      <x:c r="C128" s="46" t="str">
        <x:v>LME</x:v>
      </x:c>
      <x:c r="D128" s="58" t="n">
        <x:v>2019</x:v>
      </x:c>
      <x:c r="E128" s="46" t="str">
        <x:v>Cynoscion jamaicensis</x:v>
      </x:c>
      <x:c r="F128" s="46" t="str">
        <x:v>Jamaica weakfish</x:v>
      </x:c>
      <x:c r="G128" s="46" t="str">
        <x:v>Medium demersals (30 - 89 cm)</x:v>
      </x:c>
      <x:c r="H128" s="46" t="str">
        <x:v>Perch-likes</x:v>
      </x:c>
      <x:c r="I128" s="60" t="n">
        <x:v>466.35460855910003</x:v>
      </x:c>
      <x:c r="J128" s="60" t="n">
        <x:v>466.35460855910003</x:v>
      </x:c>
      <x:c r="K128" s="60" t="n">
        <x:v>0</x:v>
      </x:c>
      <x:c r="L128" s="60" t="n">
        <x:v>317.02367682380003</x:v>
      </x:c>
      <x:c r="M128" s="60" t="n">
        <x:v>149.3309317353</x:v>
      </x:c>
      <x:c r="N128" s="46" t="str">
        <x:v>cynoscion jamaicensis</x:v>
      </x:c>
      <x:c r="O128" s="62" t="n">
        <x:v>3.84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Cynoscion jamaicensis</x:v>
      </x:c>
      <x:c r="T128" s="62" t="n">
        <x:f>IF(O128="","",(1/'Metadata'!$B$5)^(O128-1))</x:f>
        <x:v>691.8309709189363</x:v>
      </x:c>
      <x:c r="U128" s="60" t="n">
        <x:f>IF(T128="","",I128*T128)</x:f>
        <x:v>322638.56163196266</x:v>
      </x:c>
    </x:row>
    <x:row r="129" ht="18" customHeight="1">
      <x:c r="A129" s="46" t="str">
        <x:v>LME_012</x:v>
      </x:c>
      <x:c r="B129" s="46" t="str">
        <x:v>Caribbean Sea</x:v>
      </x:c>
      <x:c r="C129" s="46" t="str">
        <x:v>LME</x:v>
      </x:c>
      <x:c r="D129" s="58" t="n">
        <x:v>2019</x:v>
      </x:c>
      <x:c r="E129" s="46" t="str">
        <x:v>Hemiramphidae</x:v>
      </x:c>
      <x:c r="F129" s="46" t="str">
        <x:v>Halfbeaks, garfishes</x:v>
      </x:c>
      <x:c r="G129" s="46" t="str">
        <x:v>Medium pelagics (30 - 89 cm)</x:v>
      </x:c>
      <x:c r="H129" s="46" t="str">
        <x:v>Other fishes &amp; inverts</x:v>
      </x:c>
      <x:c r="I129" s="60" t="n">
        <x:v>457.72592476</x:v>
      </x:c>
      <x:c r="J129" s="60" t="n">
        <x:v>453.8078651722</x:v>
      </x:c>
      <x:c r="K129" s="60" t="n">
        <x:v>3.9180595878</x:v>
      </x:c>
      <x:c r="L129" s="60" t="n">
        <x:v>149.0349555309</x:v>
      </x:c>
      <x:c r="M129" s="60" t="n">
        <x:v>308.6909692291</x:v>
      </x:c>
      <x:c r="N129" s="46" t="str">
        <x:v>hemiramphidae</x:v>
      </x:c>
      <x:c r="O129" s="62" t="n">
        <x:v>2.82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Hemiramphidae</x:v>
      </x:c>
      <x:c r="T129" s="62" t="n">
        <x:f>IF(O129="","",(1/'Metadata'!$B$5)^(O129-1))</x:f>
        <x:v>66.06934480075958</x:v>
      </x:c>
      <x:c r="U129" s="60" t="n">
        <x:f>IF(T129="","",I129*T129)</x:f>
        <x:v>30241.651947214978</x:v>
      </x:c>
    </x:row>
    <x:row r="130" ht="18" customHeight="1">
      <x:c r="A130" s="46" t="str">
        <x:v>LME_012</x:v>
      </x:c>
      <x:c r="B130" s="46" t="str">
        <x:v>Caribbean Sea</x:v>
      </x:c>
      <x:c r="C130" s="46" t="str">
        <x:v>LME</x:v>
      </x:c>
      <x:c r="D130" s="58" t="n">
        <x:v>2019</x:v>
      </x:c>
      <x:c r="E130" s="46" t="str">
        <x:v>Muraenidae</x:v>
      </x:c>
      <x:c r="F130" s="46" t="str">
        <x:v>Moray eels</x:v>
      </x:c>
      <x:c r="G130" s="46" t="str">
        <x:v>Large reef assoc. fish (&gt;=90 cm)</x:v>
      </x:c>
      <x:c r="H130" s="46" t="str">
        <x:v>Other fishes &amp; inverts</x:v>
      </x:c>
      <x:c r="I130" s="60" t="n">
        <x:v>429.2703698219</x:v>
      </x:c>
      <x:c r="J130" s="60" t="n">
        <x:v>429.07668771429996</x:v>
      </x:c>
      <x:c r="K130" s="60" t="n">
        <x:v>0.19368210760000001</x:v>
      </x:c>
      <x:c r="L130" s="60" t="n">
        <x:v>173.57391674139998</x:v>
      </x:c>
      <x:c r="M130" s="60" t="n">
        <x:v>255.6964530805</x:v>
      </x:c>
      <x:c r="N130" s="46" t="str">
        <x:v>muraenidae</x:v>
      </x:c>
      <x:c r="O130" s="62" t="n">
        <x:v>4.07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Muraenidae</x:v>
      </x:c>
      <x:c r="T130" s="62" t="n">
        <x:f>IF(O130="","",(1/'Metadata'!$B$5)^(O130-1))</x:f>
        <x:v>1174.8975549395302</x:v>
      </x:c>
      <x:c r="U130" s="60" t="n">
        <x:f>IF(T130="","",I130*T130)</x:f>
        <x:v>504348.7079117382</x:v>
      </x:c>
    </x:row>
    <x:row r="131" ht="18" customHeight="1">
      <x:c r="A131" s="46" t="str">
        <x:v>LME_012</x:v>
      </x:c>
      <x:c r="B131" s="46" t="str">
        <x:v>Caribbean Sea</x:v>
      </x:c>
      <x:c r="C131" s="46" t="str">
        <x:v>LME</x:v>
      </x:c>
      <x:c r="D131" s="58" t="n">
        <x:v>2019</x:v>
      </x:c>
      <x:c r="E131" s="46" t="str">
        <x:v>Monacanthidae</x:v>
      </x:c>
      <x:c r="F131" s="46" t="str">
        <x:v>Filefishes</x:v>
      </x:c>
      <x:c r="G131" s="46" t="str">
        <x:v>Medium reef assoc. fish (30 - 89 cm)</x:v>
      </x:c>
      <x:c r="H131" s="46" t="str">
        <x:v>Other fishes &amp; inverts</x:v>
      </x:c>
      <x:c r="I131" s="60" t="n">
        <x:v>416.7031784674</x:v>
      </x:c>
      <x:c r="J131" s="60" t="n">
        <x:v>416.6436601178</x:v>
      </x:c>
      <x:c r="K131" s="60" t="n">
        <x:v>0.0595183496</x:v>
      </x:c>
      <x:c r="L131" s="60" t="n">
        <x:v>202.2420146621</x:v>
      </x:c>
      <x:c r="M131" s="60" t="n">
        <x:v>214.4611638053</x:v>
      </x:c>
      <x:c r="N131" s="46" t="str">
        <x:v>monacanthidae</x:v>
      </x:c>
      <x:c r="O131" s="62" t="n">
        <x:v>3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Monacanthidae</x:v>
      </x:c>
      <x:c r="T131" s="62" t="n">
        <x:f>IF(O131="","",(1/'Metadata'!$B$5)^(O131-1))</x:f>
        <x:v>100</x:v>
      </x:c>
      <x:c r="U131" s="60" t="n">
        <x:f>IF(T131="","",I131*T131)</x:f>
        <x:v>41670.31784674</x:v>
      </x:c>
    </x:row>
    <x:row r="132" ht="18" customHeight="1">
      <x:c r="A132" s="46" t="str">
        <x:v>LME_012</x:v>
      </x:c>
      <x:c r="B132" s="46" t="str">
        <x:v>Caribbean Sea</x:v>
      </x:c>
      <x:c r="C132" s="46" t="str">
        <x:v>LME</x:v>
      </x:c>
      <x:c r="D132" s="58" t="n">
        <x:v>2019</x:v>
      </x:c>
      <x:c r="E132" s="46" t="str">
        <x:v>Dasyatidae</x:v>
      </x:c>
      <x:c r="F132" s="46" t="str">
        <x:v>Whiptail stingrays</x:v>
      </x:c>
      <x:c r="G132" s="46" t="str">
        <x:v>Large rays (&gt;=90 cm)</x:v>
      </x:c>
      <x:c r="H132" s="46" t="str">
        <x:v>Sharks &amp; rays</x:v>
      </x:c>
      <x:c r="I132" s="60" t="n">
        <x:v>413.279415803</x:v>
      </x:c>
      <x:c r="J132" s="60" t="n">
        <x:v>406.7843549003</x:v>
      </x:c>
      <x:c r="K132" s="60" t="n">
        <x:v>6.4950609027</x:v>
      </x:c>
      <x:c r="L132" s="60" t="n">
        <x:v>238.16522672999997</x:v>
      </x:c>
      <x:c r="M132" s="60" t="n">
        <x:v>175.114189073</x:v>
      </x:c>
      <x:c r="N132" s="46" t="str">
        <x:v>dasyatidae</x:v>
      </x:c>
      <x:c r="O132" s="62" t="n">
        <x:v>3.38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Dasyatidae</x:v>
      </x:c>
      <x:c r="T132" s="62" t="n">
        <x:f>IF(O132="","",(1/'Metadata'!$B$5)^(O132-1))</x:f>
        <x:v>239.88329190194898</x:v>
      </x:c>
      <x:c r="U132" s="60" t="n">
        <x:f>IF(T132="","",I132*T132)</x:f>
        <x:v>99138.826738138</x:v>
      </x:c>
    </x:row>
    <x:row r="133" ht="18" customHeight="1">
      <x:c r="A133" s="46" t="str">
        <x:v>LME_012</x:v>
      </x:c>
      <x:c r="B133" s="46" t="str">
        <x:v>Caribbean Sea</x:v>
      </x:c>
      <x:c r="C133" s="46" t="str">
        <x:v>LME</x:v>
      </x:c>
      <x:c r="D133" s="58" t="n">
        <x:v>2019</x:v>
      </x:c>
      <x:c r="E133" s="46" t="str">
        <x:v>Mugil curema</x:v>
      </x:c>
      <x:c r="F133" s="46" t="str">
        <x:v>White mullet</x:v>
      </x:c>
      <x:c r="G133" s="46" t="str">
        <x:v>Medium benthopelagics (30 - 89 cm)</x:v>
      </x:c>
      <x:c r="H133" s="46" t="str">
        <x:v>Perch-likes</x:v>
      </x:c>
      <x:c r="I133" s="60" t="n">
        <x:v>409.2130809621</x:v>
      </x:c>
      <x:c r="J133" s="60" t="n">
        <x:v>409.2130809621</x:v>
      </x:c>
      <x:c r="K133" s="60" t="n">
        <x:v>0</x:v>
      </x:c>
      <x:c r="L133" s="60" t="n">
        <x:v>318.4000183555</x:v>
      </x:c>
      <x:c r="M133" s="60" t="n">
        <x:v>90.8130626066</x:v>
      </x:c>
      <x:c r="N133" s="46" t="str">
        <x:v>mugil curema</x:v>
      </x:c>
      <x:c r="O133" s="62" t="n">
        <x:v>2.01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Mugil curema</x:v>
      </x:c>
      <x:c r="T133" s="62" t="n">
        <x:f>IF(O133="","",(1/'Metadata'!$B$5)^(O133-1))</x:f>
        <x:v>10.232929922807536</x:v>
      </x:c>
      <x:c r="U133" s="60" t="n">
        <x:f>IF(T133="","",I133*T133)</x:f>
        <x:v>4187.448780981335</x:v>
      </x:c>
    </x:row>
    <x:row r="134" ht="18" customHeight="1">
      <x:c r="A134" s="46" t="str">
        <x:v>LME_012</x:v>
      </x:c>
      <x:c r="B134" s="46" t="str">
        <x:v>Caribbean Sea</x:v>
      </x:c>
      <x:c r="C134" s="46" t="str">
        <x:v>LME</x:v>
      </x:c>
      <x:c r="D134" s="58" t="n">
        <x:v>2019</x:v>
      </x:c>
      <x:c r="E134" s="46" t="str">
        <x:v>Lutjanus</x:v>
      </x:c>
      <x:c r="F134" s="46" t="str">
        <x:v>Snappers</x:v>
      </x:c>
      <x:c r="G134" s="46" t="str">
        <x:v>Medium reef assoc. fish (30 - 89 cm)</x:v>
      </x:c>
      <x:c r="H134" s="46" t="str">
        <x:v>Perch-likes</x:v>
      </x:c>
      <x:c r="I134" s="60" t="n">
        <x:v>405.32700282869996</x:v>
      </x:c>
      <x:c r="J134" s="60" t="n">
        <x:v>405.0308830194</x:v>
      </x:c>
      <x:c r="K134" s="60" t="n">
        <x:v>0.29611980930000004</x:v>
      </x:c>
      <x:c r="L134" s="60" t="n">
        <x:v>80.5556999205</x:v>
      </x:c>
      <x:c r="M134" s="60" t="n">
        <x:v>324.7713029082</x:v>
      </x:c>
      <x:c r="N134" s="46" t="str">
        <x:v>lutjanus</x:v>
      </x:c>
      <x:c r="O134" s="62" t="n">
        <x:v>4.02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Lutjanus</x:v>
      </x:c>
      <x:c r="T134" s="62" t="n">
        <x:f>IF(O134="","",(1/'Metadata'!$B$5)^(O134-1))</x:f>
        <x:v>1047.1285480508984</x:v>
      </x:c>
      <x:c r="U134" s="60" t="n">
        <x:f>IF(T134="","",I134*T134)</x:f>
        <x:v>424429.475957839</x:v>
      </x:c>
    </x:row>
    <x:row r="135" ht="18" customHeight="1">
      <x:c r="A135" s="46" t="str">
        <x:v>LME_012</x:v>
      </x:c>
      <x:c r="B135" s="46" t="str">
        <x:v>Caribbean Sea</x:v>
      </x:c>
      <x:c r="C135" s="46" t="str">
        <x:v>LME</x:v>
      </x:c>
      <x:c r="D135" s="58" t="n">
        <x:v>2019</x:v>
      </x:c>
      <x:c r="E135" s="46" t="str">
        <x:v>Priacanthus arenatus</x:v>
      </x:c>
      <x:c r="F135" s="46" t="str">
        <x:v>Atlantic bigeye</x:v>
      </x:c>
      <x:c r="G135" s="46" t="str">
        <x:v>Medium reef assoc. fish (30 - 89 cm)</x:v>
      </x:c>
      <x:c r="H135" s="46" t="str">
        <x:v>Perch-likes</x:v>
      </x:c>
      <x:c r="I135" s="60" t="n">
        <x:v>403.674897316</x:v>
      </x:c>
      <x:c r="J135" s="60" t="n">
        <x:v>403.674897316</x:v>
      </x:c>
      <x:c r="K135" s="60" t="n">
        <x:v>0</x:v>
      </x:c>
      <x:c r="L135" s="60" t="n">
        <x:v>167.8837545986</x:v>
      </x:c>
      <x:c r="M135" s="60" t="n">
        <x:v>235.7911427174</x:v>
      </x:c>
      <x:c r="N135" s="46" t="str">
        <x:v>priacanthus arenatus</x:v>
      </x:c>
      <x:c r="O135" s="62" t="n">
        <x:v>4.04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Priacanthus arenatus</x:v>
      </x:c>
      <x:c r="T135" s="62" t="n">
        <x:f>IF(O135="","",(1/'Metadata'!$B$5)^(O135-1))</x:f>
        <x:v>1096.4781961431852</x:v>
      </x:c>
      <x:c r="U135" s="60" t="n">
        <x:f>IF(T135="","",I135*T135)</x:f>
        <x:v>442620.7232373332</x:v>
      </x:c>
    </x:row>
    <x:row r="136" ht="18" customHeight="1">
      <x:c r="A136" s="46" t="str">
        <x:v>LME_012</x:v>
      </x:c>
      <x:c r="B136" s="46" t="str">
        <x:v>Caribbean Sea</x:v>
      </x:c>
      <x:c r="C136" s="46" t="str">
        <x:v>LME</x:v>
      </x:c>
      <x:c r="D136" s="58" t="n">
        <x:v>2019</x:v>
      </x:c>
      <x:c r="E136" s="46" t="str">
        <x:v>Mugil cephalus</x:v>
      </x:c>
      <x:c r="F136" s="46" t="str">
        <x:v>Flathead grey mullet</x:v>
      </x:c>
      <x:c r="G136" s="46" t="str">
        <x:v>Large benthopelagics (&gt;=90 cm)</x:v>
      </x:c>
      <x:c r="H136" s="46" t="str">
        <x:v>Perch-likes</x:v>
      </x:c>
      <x:c r="I136" s="60" t="n">
        <x:v>402.2657740644</x:v>
      </x:c>
      <x:c r="J136" s="60" t="n">
        <x:v>402.2657740644</x:v>
      </x:c>
      <x:c r="K136" s="60" t="n">
        <x:v>0</x:v>
      </x:c>
      <x:c r="L136" s="60" t="n">
        <x:v>332.6456841459</x:v>
      </x:c>
      <x:c r="M136" s="60" t="n">
        <x:v>69.6200899185</x:v>
      </x:c>
      <x:c r="N136" s="46" t="str">
        <x:v>mugil cephalus</x:v>
      </x:c>
      <x:c r="O136" s="62" t="n">
        <x:v>2.14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Mugil cephalus</x:v>
      </x:c>
      <x:c r="T136" s="62" t="n">
        <x:f>IF(O136="","",(1/'Metadata'!$B$5)^(O136-1))</x:f>
        <x:v>13.803842646028853</x:v>
      </x:c>
      <x:c r="U136" s="60" t="n">
        <x:f>IF(T136="","",I136*T136)</x:f>
        <x:v>5552.8134470679715</x:v>
      </x:c>
    </x:row>
    <x:row r="137" ht="18" customHeight="1">
      <x:c r="A137" s="46" t="str">
        <x:v>LME_012</x:v>
      </x:c>
      <x:c r="B137" s="46" t="str">
        <x:v>Caribbean Sea</x:v>
      </x:c>
      <x:c r="C137" s="46" t="str">
        <x:v>LME</x:v>
      </x:c>
      <x:c r="D137" s="58" t="n">
        <x:v>2019</x:v>
      </x:c>
      <x:c r="E137" s="46" t="str">
        <x:v>Priacanthidae</x:v>
      </x:c>
      <x:c r="F137" s="46" t="str">
        <x:v>Bigeyes, catalufas</x:v>
      </x:c>
      <x:c r="G137" s="46" t="str">
        <x:v>Medium reef assoc. fish (30 - 89 cm)</x:v>
      </x:c>
      <x:c r="H137" s="46" t="str">
        <x:v>Perch-likes</x:v>
      </x:c>
      <x:c r="I137" s="60" t="n">
        <x:v>398.2963664942</x:v>
      </x:c>
      <x:c r="J137" s="60" t="n">
        <x:v>254.2342161325</x:v>
      </x:c>
      <x:c r="K137" s="60" t="n">
        <x:v>144.0621503617</x:v>
      </x:c>
      <x:c r="L137" s="60" t="n">
        <x:v>63.711977669899994</x:v>
      </x:c>
      <x:c r="M137" s="60" t="n">
        <x:v>334.5843888243</x:v>
      </x:c>
      <x:c r="N137" s="46" t="str">
        <x:v>priacanthidae</x:v>
      </x:c>
      <x:c r="O137" s="62" t="n">
        <x:v>3.79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Priacanthidae</x:v>
      </x:c>
      <x:c r="T137" s="62" t="n">
        <x:f>IF(O137="","",(1/'Metadata'!$B$5)^(O137-1))</x:f>
        <x:v>616.5950018614822</x:v>
      </x:c>
      <x:c r="U137" s="60" t="n">
        <x:f>IF(T137="","",I137*T137)</x:f>
        <x:v>245587.54883991284</x:v>
      </x:c>
    </x:row>
    <x:row r="138" ht="18" customHeight="1">
      <x:c r="A138" s="46" t="str">
        <x:v>LME_012</x:v>
      </x:c>
      <x:c r="B138" s="46" t="str">
        <x:v>Caribbean Sea</x:v>
      </x:c>
      <x:c r="C138" s="46" t="str">
        <x:v>LME</x:v>
      </x:c>
      <x:c r="D138" s="58" t="n">
        <x:v>2019</x:v>
      </x:c>
      <x:c r="E138" s="46" t="str">
        <x:v>Sciaenops ocellatus</x:v>
      </x:c>
      <x:c r="F138" s="46" t="str">
        <x:v>Red drum</x:v>
      </x:c>
      <x:c r="G138" s="46" t="str">
        <x:v>Large demersals (&gt;=90 cm)</x:v>
      </x:c>
      <x:c r="H138" s="46" t="str">
        <x:v>Perch-likes</x:v>
      </x:c>
      <x:c r="I138" s="60" t="n">
        <x:v>395.9191260223</x:v>
      </x:c>
      <x:c r="J138" s="60" t="n">
        <x:v>214.37282077249998</x:v>
      </x:c>
      <x:c r="K138" s="60" t="n">
        <x:v>181.54630524979999</x:v>
      </x:c>
      <x:c r="L138" s="60" t="n">
        <x:v>2.4486141777</x:v>
      </x:c>
      <x:c r="M138" s="60" t="n">
        <x:v>393.47051184459997</x:v>
      </x:c>
      <x:c r="N138" s="46" t="str">
        <x:v>sciaenops ocellatus</x:v>
      </x:c>
      <x:c r="O138" s="62" t="n">
        <x:v>4.07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Sciaenops ocellatus</x:v>
      </x:c>
      <x:c r="T138" s="62" t="n">
        <x:f>IF(O138="","",(1/'Metadata'!$B$5)^(O138-1))</x:f>
        <x:v>1174.8975549395302</x:v>
      </x:c>
      <x:c r="U138" s="60" t="n">
        <x:f>IF(T138="","",I138*T138)</x:f>
        <x:v>465164.413117396</x:v>
      </x:c>
    </x:row>
    <x:row r="139" ht="18" customHeight="1">
      <x:c r="A139" s="46" t="str">
        <x:v>LME_012</x:v>
      </x:c>
      <x:c r="B139" s="46" t="str">
        <x:v>Caribbean Sea</x:v>
      </x:c>
      <x:c r="C139" s="46" t="str">
        <x:v>LME</x:v>
      </x:c>
      <x:c r="D139" s="58" t="n">
        <x:v>2019</x:v>
      </x:c>
      <x:c r="E139" s="46" t="str">
        <x:v>Cyprinus carpio</x:v>
      </x:c>
      <x:c r="F139" s="46" t="str">
        <x:v>Common carp</x:v>
      </x:c>
      <x:c r="G139" s="46" t="str">
        <x:v>Large benthopelagics (&gt;=90 cm)</x:v>
      </x:c>
      <x:c r="H139" s="46" t="str">
        <x:v>Other fishes &amp; inverts</x:v>
      </x:c>
      <x:c r="I139" s="60" t="n">
        <x:v>387.8703585112</x:v>
      </x:c>
      <x:c r="J139" s="60" t="n">
        <x:v>387.8703585112</x:v>
      </x:c>
      <x:c r="K139" s="60" t="n">
        <x:v>0</x:v>
      </x:c>
      <x:c r="L139" s="60" t="n">
        <x:v>184.3021145678</x:v>
      </x:c>
      <x:c r="M139" s="60" t="n">
        <x:v>203.5682439434</x:v>
      </x:c>
      <x:c r="N139" s="46" t="str">
        <x:v>cyprinus carpio</x:v>
      </x:c>
      <x:c r="O139" s="62" t="n">
        <x:v>3.06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Cyprinus carpio</x:v>
      </x:c>
      <x:c r="T139" s="62" t="n">
        <x:f>IF(O139="","",(1/'Metadata'!$B$5)^(O139-1))</x:f>
        <x:v>114.81536214968828</x:v>
      </x:c>
      <x:c r="U139" s="60" t="n">
        <x:f>IF(T139="","",I139*T139)</x:f>
        <x:v>44533.475679592855</x:v>
      </x:c>
    </x:row>
    <x:row r="140" ht="18" customHeight="1">
      <x:c r="A140" s="46" t="str">
        <x:v>LME_012</x:v>
      </x:c>
      <x:c r="B140" s="46" t="str">
        <x:v>Caribbean Sea</x:v>
      </x:c>
      <x:c r="C140" s="46" t="str">
        <x:v>LME</x:v>
      </x:c>
      <x:c r="D140" s="58" t="n">
        <x:v>2019</x:v>
      </x:c>
      <x:c r="E140" s="46" t="str">
        <x:v>Calamus</x:v>
      </x:c>
      <x:c r="F140" s="46" t="str">
        <x:v>Porgies</x:v>
      </x:c>
      <x:c r="G140" s="46" t="str">
        <x:v>Medium reef assoc. fish (30 - 89 cm)</x:v>
      </x:c>
      <x:c r="H140" s="46" t="str">
        <x:v>Perch-likes</x:v>
      </x:c>
      <x:c r="I140" s="60" t="n">
        <x:v>366.756823627</x:v>
      </x:c>
      <x:c r="J140" s="60" t="n">
        <x:v>366.7406824712</x:v>
      </x:c>
      <x:c r="K140" s="60" t="n">
        <x:v>0.0161411558</x:v>
      </x:c>
      <x:c r="L140" s="60" t="n">
        <x:v>274.2826495736</x:v>
      </x:c>
      <x:c r="M140" s="60" t="n">
        <x:v>92.4741740534</x:v>
      </x:c>
      <x:c r="N140" s="46" t="str">
        <x:v>calamus</x:v>
      </x:c>
      <x:c r="O140" s="62" t="n">
        <x:v>3.51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Calamus</x:v>
      </x:c>
      <x:c r="T140" s="62" t="n">
        <x:f>IF(O140="","",(1/'Metadata'!$B$5)^(O140-1))</x:f>
        <x:v>323.5936569296281</x:v>
      </x:c>
      <x:c r="U140" s="60" t="n">
        <x:f>IF(T140="","",I140*T140)</x:f>
        <x:v>118680.18176135556</x:v>
      </x:c>
    </x:row>
    <x:row r="141" ht="18" customHeight="1">
      <x:c r="A141" s="46" t="str">
        <x:v>LME_012</x:v>
      </x:c>
      <x:c r="B141" s="46" t="str">
        <x:v>Caribbean Sea</x:v>
      </x:c>
      <x:c r="C141" s="46" t="str">
        <x:v>LME</x:v>
      </x:c>
      <x:c r="D141" s="58" t="n">
        <x:v>2019</x:v>
      </x:c>
      <x:c r="E141" s="46" t="str">
        <x:v>Lutjanus griseus</x:v>
      </x:c>
      <x:c r="F141" s="46" t="str">
        <x:v>Grey snapper</x:v>
      </x:c>
      <x:c r="G141" s="46" t="str">
        <x:v>Medium reef assoc. fish (30 - 89 cm)</x:v>
      </x:c>
      <x:c r="H141" s="46" t="str">
        <x:v>Perch-likes</x:v>
      </x:c>
      <x:c r="I141" s="60" t="n">
        <x:v>365.29250564299997</x:v>
      </x:c>
      <x:c r="J141" s="60" t="n">
        <x:v>361.6959685997</x:v>
      </x:c>
      <x:c r="K141" s="60" t="n">
        <x:v>3.5965370433</x:v>
      </x:c>
      <x:c r="L141" s="60" t="n">
        <x:v>123.7349126597</x:v>
      </x:c>
      <x:c r="M141" s="60" t="n">
        <x:v>241.5575929833</x:v>
      </x:c>
      <x:c r="N141" s="46" t="str">
        <x:v>lutjanus griseus</x:v>
      </x:c>
      <x:c r="O141" s="62" t="n">
        <x:v>4.23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Lutjanus griseus</x:v>
      </x:c>
      <x:c r="T141" s="62" t="n">
        <x:f>IF(O141="","",(1/'Metadata'!$B$5)^(O141-1))</x:f>
        <x:v>1698.243652461746</x:v>
      </x:c>
      <x:c r="U141" s="60" t="n">
        <x:f>IF(T141="","",I141*T141)</x:f>
        <x:v>620355.6790000712</x:v>
      </x:c>
    </x:row>
    <x:row r="142" ht="18" customHeight="1">
      <x:c r="A142" s="46" t="str">
        <x:v>LME_012</x:v>
      </x:c>
      <x:c r="B142" s="46" t="str">
        <x:v>Caribbean Sea</x:v>
      </x:c>
      <x:c r="C142" s="46" t="str">
        <x:v>LME</x:v>
      </x:c>
      <x:c r="D142" s="58" t="n">
        <x:v>2019</x:v>
      </x:c>
      <x:c r="E142" s="46" t="str">
        <x:v>Cynoscion leiarchus</x:v>
      </x:c>
      <x:c r="F142" s="46" t="str">
        <x:v>Smooth weakfish</x:v>
      </x:c>
      <x:c r="G142" s="46" t="str">
        <x:v>Medium demersals (30 - 89 cm)</x:v>
      </x:c>
      <x:c r="H142" s="46" t="str">
        <x:v>Perch-likes</x:v>
      </x:c>
      <x:c r="I142" s="60" t="n">
        <x:v>363.24943867240006</x:v>
      </x:c>
      <x:c r="J142" s="60" t="n">
        <x:v>363.24943867240006</x:v>
      </x:c>
      <x:c r="K142" s="60" t="n">
        <x:v>0</x:v>
      </x:c>
      <x:c r="L142" s="60" t="n">
        <x:v>363.24943867240006</x:v>
      </x:c>
      <x:c r="M142" s="60" t="n">
        <x:v>0</x:v>
      </x:c>
      <x:c r="N142" s="46" t="str">
        <x:v>cynoscion leiarchus</x:v>
      </x:c>
      <x:c r="O142" s="62" t="n">
        <x:v>3.06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Cynoscion leiarchus</x:v>
      </x:c>
      <x:c r="T142" s="62" t="n">
        <x:f>IF(O142="","",(1/'Metadata'!$B$5)^(O142-1))</x:f>
        <x:v>114.81536214968828</x:v>
      </x:c>
      <x:c r="U142" s="60" t="n">
        <x:f>IF(T142="","",I142*T142)</x:f>
        <x:v>41706.615851842595</x:v>
      </x:c>
    </x:row>
    <x:row r="143" ht="18" customHeight="1">
      <x:c r="A143" s="46" t="str">
        <x:v>LME_012</x:v>
      </x:c>
      <x:c r="B143" s="46" t="str">
        <x:v>Caribbean Sea</x:v>
      </x:c>
      <x:c r="C143" s="46" t="str">
        <x:v>LME</x:v>
      </x:c>
      <x:c r="D143" s="58" t="n">
        <x:v>2019</x:v>
      </x:c>
      <x:c r="E143" s="46" t="str">
        <x:v>Sphyrna</x:v>
      </x:c>
      <x:c r="F143" s="46" t="str">
        <x:v>Hammerhead sharks</x:v>
      </x:c>
      <x:c r="G143" s="46" t="str">
        <x:v>Large sharks (&gt;=90 cm)</x:v>
      </x:c>
      <x:c r="H143" s="46" t="str">
        <x:v>Sharks &amp; rays</x:v>
      </x:c>
      <x:c r="I143" s="60" t="n">
        <x:v>360.0482652214</x:v>
      </x:c>
      <x:c r="J143" s="60" t="n">
        <x:v>360.0482652214</x:v>
      </x:c>
      <x:c r="K143" s="60" t="n">
        <x:v>0</x:v>
      </x:c>
      <x:c r="L143" s="60" t="n">
        <x:v>52.663980439300005</x:v>
      </x:c>
      <x:c r="M143" s="60" t="n">
        <x:v>307.3842847821</x:v>
      </x:c>
      <x:c r="N143" s="46" t="str">
        <x:v>sphyrna</x:v>
      </x:c>
      <x:c r="O143" s="62" t="n">
        <x:v>4.2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Sphyrna</x:v>
      </x:c>
      <x:c r="T143" s="62" t="n">
        <x:f>IF(O143="","",(1/'Metadata'!$B$5)^(O143-1))</x:f>
        <x:v>1584.893192461114</x:v>
      </x:c>
      <x:c r="U143" s="60" t="n">
        <x:f>IF(T143="","",I143*T143)</x:f>
        <x:v>570638.0445068305</x:v>
      </x:c>
    </x:row>
    <x:row r="144" ht="18" customHeight="1">
      <x:c r="A144" s="46" t="str">
        <x:v>LME_012</x:v>
      </x:c>
      <x:c r="B144" s="46" t="str">
        <x:v>Caribbean Sea</x:v>
      </x:c>
      <x:c r="C144" s="46" t="str">
        <x:v>LME</x:v>
      </x:c>
      <x:c r="D144" s="58" t="n">
        <x:v>2019</x:v>
      </x:c>
      <x:c r="E144" s="46" t="str">
        <x:v>Haemulon aurolineatum</x:v>
      </x:c>
      <x:c r="F144" s="46" t="str">
        <x:v>Tomtate grunt</x:v>
      </x:c>
      <x:c r="G144" s="46" t="str">
        <x:v>Small reef assoc. fish (&lt;30 cm)</x:v>
      </x:c>
      <x:c r="H144" s="46" t="str">
        <x:v>Perch-likes</x:v>
      </x:c>
      <x:c r="I144" s="60" t="n">
        <x:v>350.60598638420004</x:v>
      </x:c>
      <x:c r="J144" s="60" t="n">
        <x:v>350.5713331339</x:v>
      </x:c>
      <x:c r="K144" s="60" t="n">
        <x:v>0.0346532503</x:v>
      </x:c>
      <x:c r="L144" s="60" t="n">
        <x:v>319.6823516219</x:v>
      </x:c>
      <x:c r="M144" s="60" t="n">
        <x:v>30.9236347623</x:v>
      </x:c>
      <x:c r="N144" s="46" t="str">
        <x:v>haemulon aurolineatum</x:v>
      </x:c>
      <x:c r="O144" s="62" t="n">
        <x:v>4.35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Haemulon aurolineatum</x:v>
      </x:c>
      <x:c r="T144" s="62" t="n">
        <x:f>IF(O144="","",(1/'Metadata'!$B$5)^(O144-1))</x:f>
        <x:v>2238.7211385683377</x:v>
      </x:c>
      <x:c r="U144" s="60" t="n">
        <x:f>IF(T144="","",I144*T144)</x:f>
        <x:v>784909.0330269114</x:v>
      </x:c>
    </x:row>
    <x:row r="145" ht="18" customHeight="1">
      <x:c r="A145" s="46" t="str">
        <x:v>LME_012</x:v>
      </x:c>
      <x:c r="B145" s="46" t="str">
        <x:v>Caribbean Sea</x:v>
      </x:c>
      <x:c r="C145" s="46" t="str">
        <x:v>LME</x:v>
      </x:c>
      <x:c r="D145" s="58" t="n">
        <x:v>2019</x:v>
      </x:c>
      <x:c r="E145" s="46" t="str">
        <x:v>Rhizoprionodon porosus</x:v>
      </x:c>
      <x:c r="F145" s="46" t="str">
        <x:v>Caribbean sharpnose shark</x:v>
      </x:c>
      <x:c r="G145" s="46" t="str">
        <x:v>Large sharks (&gt;=90 cm)</x:v>
      </x:c>
      <x:c r="H145" s="46" t="str">
        <x:v>Sharks &amp; rays</x:v>
      </x:c>
      <x:c r="I145" s="60" t="n">
        <x:v>344.78140917860003</x:v>
      </x:c>
      <x:c r="J145" s="60" t="n">
        <x:v>344.78140917860003</x:v>
      </x:c>
      <x:c r="K145" s="60" t="n">
        <x:v>0</x:v>
      </x:c>
      <x:c r="L145" s="60" t="n">
        <x:v>257.9837311792</x:v>
      </x:c>
      <x:c r="M145" s="60" t="n">
        <x:v>86.7976779994</x:v>
      </x:c>
      <x:c r="N145" s="46" t="str">
        <x:v>rhizoprionodon porosus</x:v>
      </x:c>
      <x:c r="O145" s="62" t="n">
        <x:v>3.99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Rhizoprionodon porosus</x:v>
      </x:c>
      <x:c r="T145" s="62" t="n">
        <x:f>IF(O145="","",(1/'Metadata'!$B$5)^(O145-1))</x:f>
        <x:v>977.2372209558112</x:v>
      </x:c>
      <x:c r="U145" s="60" t="n">
        <x:f>IF(T145="","",I145*T145)</x:f>
        <x:v>336933.22614292346</x:v>
      </x:c>
    </x:row>
    <x:row r="146" ht="18" customHeight="1">
      <x:c r="A146" s="46" t="str">
        <x:v>LME_012</x:v>
      </x:c>
      <x:c r="B146" s="46" t="str">
        <x:v>Caribbean Sea</x:v>
      </x:c>
      <x:c r="C146" s="46" t="str">
        <x:v>LME</x:v>
      </x:c>
      <x:c r="D146" s="58" t="n">
        <x:v>2019</x:v>
      </x:c>
      <x:c r="E146" s="46" t="str">
        <x:v>Centropomus undecimalis</x:v>
      </x:c>
      <x:c r="F146" s="46" t="str">
        <x:v>Common snook</x:v>
      </x:c>
      <x:c r="G146" s="46" t="str">
        <x:v>Large benthopelagics (&gt;=90 cm)</x:v>
      </x:c>
      <x:c r="H146" s="46" t="str">
        <x:v>Perch-likes</x:v>
      </x:c>
      <x:c r="I146" s="60" t="n">
        <x:v>321.7538470967</x:v>
      </x:c>
      <x:c r="J146" s="60" t="n">
        <x:v>321.7538470967</x:v>
      </x:c>
      <x:c r="K146" s="60" t="n">
        <x:v>0</x:v>
      </x:c>
      <x:c r="L146" s="60" t="n">
        <x:v>188.391821117</x:v>
      </x:c>
      <x:c r="M146" s="60" t="n">
        <x:v>133.3620259797</x:v>
      </x:c>
      <x:c r="N146" s="46" t="str">
        <x:v>centropomus undecimalis</x:v>
      </x:c>
      <x:c r="O146" s="62" t="n">
        <x:v>4.17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Centropomus undecimalis</x:v>
      </x:c>
      <x:c r="T146" s="62" t="n">
        <x:f>IF(O146="","",(1/'Metadata'!$B$5)^(O146-1))</x:f>
        <x:v>1479.1083881682073</x:v>
      </x:c>
      <x:c r="U146" s="60" t="n">
        <x:f>IF(T146="","",I146*T146)</x:f>
        <x:v>475908.81416611973</x:v>
      </x:c>
    </x:row>
    <x:row r="147" ht="18" customHeight="1">
      <x:c r="A147" s="46" t="str">
        <x:v>LME_012</x:v>
      </x:c>
      <x:c r="B147" s="46" t="str">
        <x:v>Caribbean Sea</x:v>
      </x:c>
      <x:c r="C147" s="46" t="str">
        <x:v>LME</x:v>
      </x:c>
      <x:c r="D147" s="58" t="n">
        <x:v>2019</x:v>
      </x:c>
      <x:c r="E147" s="46" t="str">
        <x:v>Prionace glauca</x:v>
      </x:c>
      <x:c r="F147" s="46" t="str">
        <x:v>Blue shark</x:v>
      </x:c>
      <x:c r="G147" s="46" t="str">
        <x:v>Large sharks (&gt;=90 cm)</x:v>
      </x:c>
      <x:c r="H147" s="46" t="str">
        <x:v>Sharks &amp; rays</x:v>
      </x:c>
      <x:c r="I147" s="60" t="n">
        <x:v>317.0263704401</x:v>
      </x:c>
      <x:c r="J147" s="60" t="n">
        <x:v>316.55587593789994</x:v>
      </x:c>
      <x:c r="K147" s="60" t="n">
        <x:v>0.4704945022</x:v>
      </x:c>
      <x:c r="L147" s="60" t="n">
        <x:v>316.55587593789994</x:v>
      </x:c>
      <x:c r="M147" s="60" t="n">
        <x:v>0.4704945022</x:v>
      </x:c>
      <x:c r="N147" s="46" t="str">
        <x:v>prionace glauca</x:v>
      </x:c>
      <x:c r="O147" s="62" t="n">
        <x:v>4.35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Prionace glauca</x:v>
      </x:c>
      <x:c r="T147" s="62" t="n">
        <x:f>IF(O147="","",(1/'Metadata'!$B$5)^(O147-1))</x:f>
        <x:v>2238.7211385683377</x:v>
      </x:c>
      <x:c r="U147" s="60" t="n">
        <x:f>IF(T147="","",I147*T147)</x:f>
        <x:v>709733.6369878482</x:v>
      </x:c>
    </x:row>
    <x:row r="148" ht="18" customHeight="1">
      <x:c r="A148" s="46" t="str">
        <x:v>LME_012</x:v>
      </x:c>
      <x:c r="B148" s="46" t="str">
        <x:v>Caribbean Sea</x:v>
      </x:c>
      <x:c r="C148" s="46" t="str">
        <x:v>LME</x:v>
      </x:c>
      <x:c r="D148" s="58" t="n">
        <x:v>2019</x:v>
      </x:c>
      <x:c r="E148" s="46" t="str">
        <x:v>Pomacentridae</x:v>
      </x:c>
      <x:c r="F148" s="46" t="str">
        <x:v>Damselfishes</x:v>
      </x:c>
      <x:c r="G148" s="46" t="str">
        <x:v>Small reef assoc. fish (&lt;30 cm)</x:v>
      </x:c>
      <x:c r="H148" s="46" t="str">
        <x:v>Perch-likes</x:v>
      </x:c>
      <x:c r="I148" s="60" t="n">
        <x:v>316.1630812134</x:v>
      </x:c>
      <x:c r="J148" s="60" t="n">
        <x:v>316.1630812134</x:v>
      </x:c>
      <x:c r="K148" s="60" t="n">
        <x:v>0</x:v>
      </x:c>
      <x:c r="L148" s="60" t="n">
        <x:v>135.4694799983</x:v>
      </x:c>
      <x:c r="M148" s="60" t="n">
        <x:v>180.6936012151</x:v>
      </x:c>
      <x:c r="N148" s="46" t="str">
        <x:v>pomacentridae</x:v>
      </x:c>
      <x:c r="O148" s="62" t="n">
        <x:v>2.57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Pomacentridae</x:v>
      </x:c>
      <x:c r="T148" s="62" t="n">
        <x:f>IF(O148="","",(1/'Metadata'!$B$5)^(O148-1))</x:f>
        <x:v>37.15352290971724</x:v>
      </x:c>
      <x:c r="U148" s="60" t="n">
        <x:f>IF(T148="","",I148*T148)</x:f>
        <x:v>11746.57228106885</x:v>
      </x:c>
    </x:row>
    <x:row r="149" ht="18" customHeight="1">
      <x:c r="A149" s="46" t="str">
        <x:v>LME_012</x:v>
      </x:c>
      <x:c r="B149" s="46" t="str">
        <x:v>Caribbean Sea</x:v>
      </x:c>
      <x:c r="C149" s="46" t="str">
        <x:v>LME</x:v>
      </x:c>
      <x:c r="D149" s="58" t="n">
        <x:v>2019</x:v>
      </x:c>
      <x:c r="E149" s="46" t="str">
        <x:v>Istiophoridae</x:v>
      </x:c>
      <x:c r="F149" s="46" t="str">
        <x:v>Billfishes</x:v>
      </x:c>
      <x:c r="G149" s="46" t="str">
        <x:v>Large pelagics (&gt;=90 cm)</x:v>
      </x:c>
      <x:c r="H149" s="46" t="str">
        <x:v>Tuna &amp; billfishes</x:v>
      </x:c>
      <x:c r="I149" s="60" t="n">
        <x:v>314.8783657346</x:v>
      </x:c>
      <x:c r="J149" s="60" t="n">
        <x:v>314.8535686148</x:v>
      </x:c>
      <x:c r="K149" s="60" t="n">
        <x:v>0.024797119800000003</x:v>
      </x:c>
      <x:c r="L149" s="60" t="n">
        <x:v>73.2883987443</x:v>
      </x:c>
      <x:c r="M149" s="60" t="n">
        <x:v>241.5899669903</x:v>
      </x:c>
      <x:c r="N149" s="46" t="str">
        <x:v>istiophoridae</x:v>
      </x:c>
      <x:c r="O149" s="62" t="n">
        <x:v>4.48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Istiophoridae</x:v>
      </x:c>
      <x:c r="T149" s="62" t="n">
        <x:f>IF(O149="","",(1/'Metadata'!$B$5)^(O149-1))</x:f>
        <x:v>3019.951720402019</x:v>
      </x:c>
      <x:c r="U149" s="60" t="n">
        <x:f>IF(T149="","",I149*T149)</x:f>
        <x:v>950917.4623175814</x:v>
      </x:c>
    </x:row>
    <x:row r="150" ht="18" customHeight="1">
      <x:c r="A150" s="46" t="str">
        <x:v>LME_012</x:v>
      </x:c>
      <x:c r="B150" s="46" t="str">
        <x:v>Caribbean Sea</x:v>
      </x:c>
      <x:c r="C150" s="46" t="str">
        <x:v>LME</x:v>
      </x:c>
      <x:c r="D150" s="58" t="n">
        <x:v>2019</x:v>
      </x:c>
      <x:c r="E150" s="46" t="str">
        <x:v>Thunnus alalunga</x:v>
      </x:c>
      <x:c r="F150" s="46" t="str">
        <x:v>Albacore</x:v>
      </x:c>
      <x:c r="G150" s="46" t="str">
        <x:v>Large pelagics (&gt;=90 cm)</x:v>
      </x:c>
      <x:c r="H150" s="46" t="str">
        <x:v>Tuna &amp; billfishes</x:v>
      </x:c>
      <x:c r="I150" s="60" t="n">
        <x:v>311.5218733324</x:v>
      </x:c>
      <x:c r="J150" s="60" t="n">
        <x:v>311.5218733324</x:v>
      </x:c>
      <x:c r="K150" s="60" t="n">
        <x:v>0</x:v>
      </x:c>
      <x:c r="L150" s="60" t="n">
        <x:v>293.118669499</x:v>
      </x:c>
      <x:c r="M150" s="60" t="n">
        <x:v>18.4032038334</x:v>
      </x:c>
      <x:c r="N150" s="46" t="str">
        <x:v>thunnus alalunga</x:v>
      </x:c>
      <x:c r="O150" s="62" t="n">
        <x:v>4.3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Thunnus alalunga</x:v>
      </x:c>
      <x:c r="T150" s="62" t="n">
        <x:f>IF(O150="","",(1/'Metadata'!$B$5)^(O150-1))</x:f>
        <x:v>1995.2623149688789</x:v>
      </x:c>
      <x:c r="U150" s="60" t="n">
        <x:f>IF(T150="","",I150*T150)</x:f>
        <x:v>621567.8541486462</x:v>
      </x:c>
    </x:row>
    <x:row r="151" ht="18" customHeight="1">
      <x:c r="A151" s="46" t="str">
        <x:v>LME_012</x:v>
      </x:c>
      <x:c r="B151" s="46" t="str">
        <x:v>Caribbean Sea</x:v>
      </x:c>
      <x:c r="C151" s="46" t="str">
        <x:v>LME</x:v>
      </x:c>
      <x:c r="D151" s="58" t="n">
        <x:v>2019</x:v>
      </x:c>
      <x:c r="E151" s="46" t="str">
        <x:v>Chaetodontidae</x:v>
      </x:c>
      <x:c r="F151" s="46" t="str">
        <x:v>Butterflyfishes</x:v>
      </x:c>
      <x:c r="G151" s="46" t="str">
        <x:v>Small reef assoc. fish (&lt;30 cm)</x:v>
      </x:c>
      <x:c r="H151" s="46" t="str">
        <x:v>Perch-likes</x:v>
      </x:c>
      <x:c r="I151" s="60" t="n">
        <x:v>311.2510474672</x:v>
      </x:c>
      <x:c r="J151" s="60" t="n">
        <x:v>311.226724188</x:v>
      </x:c>
      <x:c r="K151" s="60" t="n">
        <x:v>0.0243232792</x:v>
      </x:c>
      <x:c r="L151" s="60" t="n">
        <x:v>168.8147734264</x:v>
      </x:c>
      <x:c r="M151" s="60" t="n">
        <x:v>142.43627404080001</x:v>
      </x:c>
      <x:c r="N151" s="46" t="str">
        <x:v>chaetodontidae</x:v>
      </x:c>
      <x:c r="O151" s="62" t="n">
        <x:v>3.24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Chaetodontidae</x:v>
      </x:c>
      <x:c r="T151" s="62" t="n">
        <x:f>IF(O151="","",(1/'Metadata'!$B$5)^(O151-1))</x:f>
        <x:v>173.78008287493762</x:v>
      </x:c>
      <x:c r="U151" s="60" t="n">
        <x:f>IF(T151="","",I151*T151)</x:f>
        <x:v>54089.23282376116</x:v>
      </x:c>
    </x:row>
    <x:row r="152" ht="18" customHeight="1">
      <x:c r="A152" s="46" t="str">
        <x:v>LME_012</x:v>
      </x:c>
      <x:c r="B152" s="46" t="str">
        <x:v>Caribbean Sea</x:v>
      </x:c>
      <x:c r="C152" s="46" t="str">
        <x:v>LME</x:v>
      </x:c>
      <x:c r="D152" s="58" t="n">
        <x:v>2019</x:v>
      </x:c>
      <x:c r="E152" s="46" t="str">
        <x:v>Decapterus macarellus</x:v>
      </x:c>
      <x:c r="F152" s="46" t="str">
        <x:v>Mackerel scad</x:v>
      </x:c>
      <x:c r="G152" s="46" t="str">
        <x:v>Medium pelagics (30 - 89 cm)</x:v>
      </x:c>
      <x:c r="H152" s="46" t="str">
        <x:v>Perch-likes</x:v>
      </x:c>
      <x:c r="I152" s="60" t="n">
        <x:v>306.4661572178</x:v>
      </x:c>
      <x:c r="J152" s="60" t="n">
        <x:v>306.4661572178</x:v>
      </x:c>
      <x:c r="K152" s="60" t="n">
        <x:v>0</x:v>
      </x:c>
      <x:c r="L152" s="60" t="n">
        <x:v>199.5484936974</x:v>
      </x:c>
      <x:c r="M152" s="60" t="n">
        <x:v>106.9176635204</x:v>
      </x:c>
      <x:c r="N152" s="46" t="str">
        <x:v>decapterus macarellus</x:v>
      </x:c>
      <x:c r="O152" s="62" t="n">
        <x:v>3.96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Decapterus macarellus</x:v>
      </x:c>
      <x:c r="T152" s="62" t="n">
        <x:f>IF(O152="","",(1/'Metadata'!$B$5)^(O152-1))</x:f>
        <x:v>912.0108393559096</x:v>
      </x:c>
      <x:c r="U152" s="60" t="n">
        <x:f>IF(T152="","",I152*T152)</x:f>
        <x:v>279500.45727838593</x:v>
      </x:c>
    </x:row>
    <x:row r="153" ht="18" customHeight="1">
      <x:c r="A153" s="46" t="str">
        <x:v>LME_012</x:v>
      </x:c>
      <x:c r="B153" s="46" t="str">
        <x:v>Caribbean Sea</x:v>
      </x:c>
      <x:c r="C153" s="46" t="str">
        <x:v>LME</x:v>
      </x:c>
      <x:c r="D153" s="58" t="n">
        <x:v>2019</x:v>
      </x:c>
      <x:c r="E153" s="46" t="str">
        <x:v>Lutjanus vivanus</x:v>
      </x:c>
      <x:c r="F153" s="46" t="str">
        <x:v>Silk snapper</x:v>
      </x:c>
      <x:c r="G153" s="46" t="str">
        <x:v>Medium demersals (30 - 89 cm)</x:v>
      </x:c>
      <x:c r="H153" s="46" t="str">
        <x:v>Perch-likes</x:v>
      </x:c>
      <x:c r="I153" s="60" t="n">
        <x:v>300.2038094051</x:v>
      </x:c>
      <x:c r="J153" s="60" t="n">
        <x:v>283.1227284972</x:v>
      </x:c>
      <x:c r="K153" s="60" t="n">
        <x:v>17.0810809079</x:v>
      </x:c>
      <x:c r="L153" s="60" t="n">
        <x:v>87.4871589797</x:v>
      </x:c>
      <x:c r="M153" s="60" t="n">
        <x:v>212.7166504254</x:v>
      </x:c>
      <x:c r="N153" s="46" t="str">
        <x:v>lutjanus vivanus</x:v>
      </x:c>
      <x:c r="O153" s="62" t="n">
        <x:v>3.09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Lutjanus vivanus</x:v>
      </x:c>
      <x:c r="T153" s="62" t="n">
        <x:f>IF(O153="","",(1/'Metadata'!$B$5)^(O153-1))</x:f>
        <x:v>123.02687708123811</x:v>
      </x:c>
      <x:c r="U153" s="60" t="n">
        <x:f>IF(T153="","",I153*T153)</x:f>
        <x:v>36933.137159000675</x:v>
      </x:c>
    </x:row>
    <x:row r="154" ht="18" customHeight="1">
      <x:c r="A154" s="46" t="str">
        <x:v>LME_012</x:v>
      </x:c>
      <x:c r="B154" s="46" t="str">
        <x:v>Caribbean Sea</x:v>
      </x:c>
      <x:c r="C154" s="46" t="str">
        <x:v>LME</x:v>
      </x:c>
      <x:c r="D154" s="58" t="n">
        <x:v>2019</x:v>
      </x:c>
      <x:c r="E154" s="46" t="str">
        <x:v>Cephalopholis fulva</x:v>
      </x:c>
      <x:c r="F154" s="46" t="str">
        <x:v>Coney</x:v>
      </x:c>
      <x:c r="G154" s="46" t="str">
        <x:v>Medium reef assoc. fish (30 - 89 cm)</x:v>
      </x:c>
      <x:c r="H154" s="46" t="str">
        <x:v>Perch-likes</x:v>
      </x:c>
      <x:c r="I154" s="60" t="n">
        <x:v>298.8538544781</x:v>
      </x:c>
      <x:c r="J154" s="60" t="n">
        <x:v>298.8538544781</x:v>
      </x:c>
      <x:c r="K154" s="60" t="n">
        <x:v>0</x:v>
      </x:c>
      <x:c r="L154" s="60" t="n">
        <x:v>233.74442678920002</x:v>
      </x:c>
      <x:c r="M154" s="60" t="n">
        <x:v>65.1094276889</x:v>
      </x:c>
      <x:c r="N154" s="46" t="str">
        <x:v>cephalopholis fulva</x:v>
      </x:c>
      <x:c r="O154" s="62" t="n">
        <x:v>4.05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Cephalopholis fulva</x:v>
      </x:c>
      <x:c r="T154" s="62" t="n">
        <x:f>IF(O154="","",(1/'Metadata'!$B$5)^(O154-1))</x:f>
        <x:v>1122.018454301963</x:v>
      </x:c>
      <x:c r="U154" s="60" t="n">
        <x:f>IF(T154="","",I154*T154)</x:f>
        <x:v>335319.53986370156</x:v>
      </x:c>
    </x:row>
    <x:row r="155" ht="18" customHeight="1">
      <x:c r="A155" s="46" t="str">
        <x:v>LME_012</x:v>
      </x:c>
      <x:c r="B155" s="46" t="str">
        <x:v>Caribbean Sea</x:v>
      </x:c>
      <x:c r="C155" s="46" t="str">
        <x:v>LME</x:v>
      </x:c>
      <x:c r="D155" s="58" t="n">
        <x:v>2019</x:v>
      </x:c>
      <x:c r="E155" s="46" t="str">
        <x:v>Elagatis bipinnulata</x:v>
      </x:c>
      <x:c r="F155" s="46" t="str">
        <x:v>Rainbow runner</x:v>
      </x:c>
      <x:c r="G155" s="46" t="str">
        <x:v>Large pelagics (&gt;=90 cm)</x:v>
      </x:c>
      <x:c r="H155" s="46" t="str">
        <x:v>Perch-likes</x:v>
      </x:c>
      <x:c r="I155" s="60" t="n">
        <x:v>296.7012406983</x:v>
      </x:c>
      <x:c r="J155" s="60" t="n">
        <x:v>280.9306259663</x:v>
      </x:c>
      <x:c r="K155" s="60" t="n">
        <x:v>15.770614732</x:v>
      </x:c>
      <x:c r="L155" s="60" t="n">
        <x:v>77.4320139025</x:v>
      </x:c>
      <x:c r="M155" s="60" t="n">
        <x:v>219.2692267958</x:v>
      </x:c>
      <x:c r="N155" s="46" t="str">
        <x:v>elagatis bipinnulata</x:v>
      </x:c>
      <x:c r="O155" s="62" t="n">
        <x:v>4.27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Elagatis bipinnulata</x:v>
      </x:c>
      <x:c r="T155" s="62" t="n">
        <x:f>IF(O155="","",(1/'Metadata'!$B$5)^(O155-1))</x:f>
        <x:v>1862.0871366628655</x:v>
      </x:c>
      <x:c r="U155" s="60" t="n">
        <x:f>IF(T155="","",I155*T155)</x:f>
        <x:v>552483.5637362171</x:v>
      </x:c>
    </x:row>
    <x:row r="156" ht="18" customHeight="1">
      <x:c r="A156" s="46" t="str">
        <x:v>LME_012</x:v>
      </x:c>
      <x:c r="B156" s="46" t="str">
        <x:v>Caribbean Sea</x:v>
      </x:c>
      <x:c r="C156" s="46" t="str">
        <x:v>LME</x:v>
      </x:c>
      <x:c r="D156" s="58" t="n">
        <x:v>2019</x:v>
      </x:c>
      <x:c r="E156" s="46" t="str">
        <x:v>Seriola rivoliana</x:v>
      </x:c>
      <x:c r="F156" s="46" t="str">
        <x:v>Longfin yellowtail</x:v>
      </x:c>
      <x:c r="G156" s="46" t="str">
        <x:v>Large benthopelagics (&gt;=90 cm)</x:v>
      </x:c>
      <x:c r="H156" s="46" t="str">
        <x:v>Perch-likes</x:v>
      </x:c>
      <x:c r="I156" s="60" t="n">
        <x:v>293.4863505107</x:v>
      </x:c>
      <x:c r="J156" s="60" t="n">
        <x:v>293.4863505107</x:v>
      </x:c>
      <x:c r="K156" s="60" t="n">
        <x:v>0</x:v>
      </x:c>
      <x:c r="L156" s="60" t="n">
        <x:v>293.4115602866</x:v>
      </x:c>
      <x:c r="M156" s="60" t="n">
        <x:v>0.0747902241</x:v>
      </x:c>
      <x:c r="N156" s="46" t="str">
        <x:v>seriola rivoliana</x:v>
      </x:c>
      <x:c r="O156" s="62" t="n">
        <x:v>4.45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Seriola rivoliana</x:v>
      </x:c>
      <x:c r="T156" s="62" t="n">
        <x:f>IF(O156="","",(1/'Metadata'!$B$5)^(O156-1))</x:f>
        <x:v>2818.382931264455</x:v>
      </x:c>
      <x:c r="U156" s="60" t="n">
        <x:f>IF(T156="","",I156*T156)</x:f>
        <x:v>827156.9208384538</x:v>
      </x:c>
    </x:row>
    <x:row r="157" ht="18" customHeight="1">
      <x:c r="A157" s="46" t="str">
        <x:v>LME_012</x:v>
      </x:c>
      <x:c r="B157" s="46" t="str">
        <x:v>Caribbean Sea</x:v>
      </x:c>
      <x:c r="C157" s="46" t="str">
        <x:v>LME</x:v>
      </x:c>
      <x:c r="D157" s="58" t="n">
        <x:v>2019</x:v>
      </x:c>
      <x:c r="E157" s="46" t="str">
        <x:v>Albula vulpes</x:v>
      </x:c>
      <x:c r="F157" s="46" t="str">
        <x:v>Bonefish</x:v>
      </x:c>
      <x:c r="G157" s="46" t="str">
        <x:v>Medium reef assoc. fish (30 - 89 cm)</x:v>
      </x:c>
      <x:c r="H157" s="46" t="str">
        <x:v>Other fishes &amp; inverts</x:v>
      </x:c>
      <x:c r="I157" s="60" t="n">
        <x:v>288.2737253184</x:v>
      </x:c>
      <x:c r="J157" s="60" t="n">
        <x:v>288.2737253184</x:v>
      </x:c>
      <x:c r="K157" s="60" t="n">
        <x:v>0</x:v>
      </x:c>
      <x:c r="L157" s="60" t="n">
        <x:v>137.39343552830002</x:v>
      </x:c>
      <x:c r="M157" s="60" t="n">
        <x:v>150.8802897901</x:v>
      </x:c>
      <x:c r="N157" s="46" t="str">
        <x:v>albula vulpes</x:v>
      </x:c>
      <x:c r="O157" s="62" t="n">
        <x:v>3.73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Albula vulpes</x:v>
      </x:c>
      <x:c r="T157" s="62" t="n">
        <x:f>IF(O157="","",(1/'Metadata'!$B$5)^(O157-1))</x:f>
        <x:v>537.0317963702527</x:v>
      </x:c>
      <x:c r="U157" s="60" t="n">
        <x:f>IF(T157="","",I157*T157)</x:f>
        <x:v>154812.15655408514</x:v>
      </x:c>
    </x:row>
    <x:row r="158" ht="18" customHeight="1">
      <x:c r="A158" s="46" t="str">
        <x:v>LME_012</x:v>
      </x:c>
      <x:c r="B158" s="46" t="str">
        <x:v>Caribbean Sea</x:v>
      </x:c>
      <x:c r="C158" s="46" t="str">
        <x:v>LME</x:v>
      </x:c>
      <x:c r="D158" s="58" t="n">
        <x:v>2019</x:v>
      </x:c>
      <x:c r="E158" s="46" t="str">
        <x:v>Carcharhinus limbatus</x:v>
      </x:c>
      <x:c r="F158" s="46" t="str">
        <x:v>Blacktip shark</x:v>
      </x:c>
      <x:c r="G158" s="46" t="str">
        <x:v>Large sharks (&gt;=90 cm)</x:v>
      </x:c>
      <x:c r="H158" s="46" t="str">
        <x:v>Sharks &amp; rays</x:v>
      </x:c>
      <x:c r="I158" s="60" t="n">
        <x:v>285.1230906649</x:v>
      </x:c>
      <x:c r="J158" s="60" t="n">
        <x:v>284.0051891548</x:v>
      </x:c>
      <x:c r="K158" s="60" t="n">
        <x:v>1.1179015101</x:v>
      </x:c>
      <x:c r="L158" s="60" t="n">
        <x:v>233.5769231073</x:v>
      </x:c>
      <x:c r="M158" s="60" t="n">
        <x:v>51.5461675576</x:v>
      </x:c>
      <x:c r="N158" s="46" t="str">
        <x:v>carcharhinus limbatus</x:v>
      </x:c>
      <x:c r="O158" s="62" t="n">
        <x:v>4.37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Carcharhinus limbatus</x:v>
      </x:c>
      <x:c r="T158" s="62" t="n">
        <x:f>IF(O158="","",(1/'Metadata'!$B$5)^(O158-1))</x:f>
        <x:v>2344.228815319923</x:v>
      </x:c>
      <x:c r="U158" s="60" t="n">
        <x:f>IF(T158="","",I158*T158)</x:f>
        <x:v>668393.7650497336</x:v>
      </x:c>
    </x:row>
    <x:row r="159" ht="18" customHeight="1">
      <x:c r="A159" s="46" t="str">
        <x:v>LME_012</x:v>
      </x:c>
      <x:c r="B159" s="46" t="str">
        <x:v>Caribbean Sea</x:v>
      </x:c>
      <x:c r="C159" s="46" t="str">
        <x:v>LME</x:v>
      </x:c>
      <x:c r="D159" s="58" t="n">
        <x:v>2019</x:v>
      </x:c>
      <x:c r="E159" s="46" t="str">
        <x:v>Lachnolaimus maximus</x:v>
      </x:c>
      <x:c r="F159" s="46" t="str">
        <x:v>Hogfish</x:v>
      </x:c>
      <x:c r="G159" s="46" t="str">
        <x:v>Medium reef assoc. fish (30 - 89 cm)</x:v>
      </x:c>
      <x:c r="H159" s="46" t="str">
        <x:v>Perch-likes</x:v>
      </x:c>
      <x:c r="I159" s="60" t="n">
        <x:v>277.2751153173</x:v>
      </x:c>
      <x:c r="J159" s="60" t="n">
        <x:v>277.2751153173</x:v>
      </x:c>
      <x:c r="K159" s="60" t="n">
        <x:v>0</x:v>
      </x:c>
      <x:c r="L159" s="60" t="n">
        <x:v>185.49207074839998</x:v>
      </x:c>
      <x:c r="M159" s="60" t="n">
        <x:v>91.7830445689</x:v>
      </x:c>
      <x:c r="N159" s="46" t="str">
        <x:v>lachnolaimus maximus</x:v>
      </x:c>
      <x:c r="O159" s="62" t="n">
        <x:v>4.17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Lachnolaimus maximus</x:v>
      </x:c>
      <x:c r="T159" s="62" t="n">
        <x:f>IF(O159="","",(1/'Metadata'!$B$5)^(O159-1))</x:f>
        <x:v>1479.1083881682073</x:v>
      </x:c>
      <x:c r="U159" s="60" t="n">
        <x:f>IF(T159="","",I159*T159)</x:f>
        <x:v>410119.94889612537</x:v>
      </x:c>
    </x:row>
    <x:row r="160" ht="18" customHeight="1">
      <x:c r="A160" s="46" t="str">
        <x:v>LME_012</x:v>
      </x:c>
      <x:c r="B160" s="46" t="str">
        <x:v>Caribbean Sea</x:v>
      </x:c>
      <x:c r="C160" s="46" t="str">
        <x:v>LME</x:v>
      </x:c>
      <x:c r="D160" s="58" t="n">
        <x:v>2019</x:v>
      </x:c>
      <x:c r="E160" s="46" t="str">
        <x:v>Holocentrus adscensionis</x:v>
      </x:c>
      <x:c r="F160" s="46" t="str">
        <x:v>Squirrelfish</x:v>
      </x:c>
      <x:c r="G160" s="46" t="str">
        <x:v>Medium reef assoc. fish (30 - 89 cm)</x:v>
      </x:c>
      <x:c r="H160" s="46" t="str">
        <x:v>Other fishes &amp; inverts</x:v>
      </x:c>
      <x:c r="I160" s="60" t="n">
        <x:v>275.6222070647</x:v>
      </x:c>
      <x:c r="J160" s="60" t="n">
        <x:v>275.3386743386</x:v>
      </x:c>
      <x:c r="K160" s="60" t="n">
        <x:v>0.28353272609999997</x:v>
      </x:c>
      <x:c r="L160" s="60" t="n">
        <x:v>175.6691597489</x:v>
      </x:c>
      <x:c r="M160" s="60" t="n">
        <x:v>99.95304731579999</x:v>
      </x:c>
      <x:c r="N160" s="46" t="str">
        <x:v>holocentrus adscensionis</x:v>
      </x:c>
      <x:c r="O160" s="62" t="n">
        <x:v>3.11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Holocentrus adscensionis</x:v>
      </x:c>
      <x:c r="T160" s="62" t="n">
        <x:f>IF(O160="","",(1/'Metadata'!$B$5)^(O160-1))</x:f>
        <x:v>128.82495516931337</x:v>
      </x:c>
      <x:c r="U160" s="60" t="n">
        <x:f>IF(T160="","",I160*T160)</x:f>
        <x:v>35507.01846877718</x:v>
      </x:c>
    </x:row>
    <x:row r="161" ht="18" customHeight="1">
      <x:c r="A161" s="46" t="str">
        <x:v>LME_012</x:v>
      </x:c>
      <x:c r="B161" s="46" t="str">
        <x:v>Caribbean Sea</x:v>
      </x:c>
      <x:c r="C161" s="46" t="str">
        <x:v>LME</x:v>
      </x:c>
      <x:c r="D161" s="58" t="n">
        <x:v>2019</x:v>
      </x:c>
      <x:c r="E161" s="46" t="str">
        <x:v>Scomberomorus maculatus</x:v>
      </x:c>
      <x:c r="F161" s="46" t="str">
        <x:v>Atlantic Spanish mackerel</x:v>
      </x:c>
      <x:c r="G161" s="46" t="str">
        <x:v>Medium pelagics (30 - 89 cm)</x:v>
      </x:c>
      <x:c r="H161" s="46" t="str">
        <x:v>Perch-likes</x:v>
      </x:c>
      <x:c r="I161" s="60" t="n">
        <x:v>252.9201292853</x:v>
      </x:c>
      <x:c r="J161" s="60" t="n">
        <x:v>246.53819468010002</x:v>
      </x:c>
      <x:c r="K161" s="60" t="n">
        <x:v>6.3819346052</x:v>
      </x:c>
      <x:c r="L161" s="60" t="n">
        <x:v>199.05931448610002</x:v>
      </x:c>
      <x:c r="M161" s="60" t="n">
        <x:v>53.8608147992</x:v>
      </x:c>
      <x:c r="N161" s="46" t="str">
        <x:v>scomberomorus maculatus</x:v>
      </x:c>
      <x:c r="O161" s="62" t="n">
        <x:v>4.53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Scomberomorus maculatus</x:v>
      </x:c>
      <x:c r="T161" s="62" t="n">
        <x:f>IF(O161="","",(1/'Metadata'!$B$5)^(O161-1))</x:f>
        <x:v>3388.4415613920273</x:v>
      </x:c>
      <x:c r="U161" s="60" t="n">
        <x:f>IF(T161="","",I161*T161)</x:f>
        <x:v>857005.0777829554</x:v>
      </x:c>
    </x:row>
    <x:row r="162" ht="18" customHeight="1">
      <x:c r="A162" s="46" t="str">
        <x:v>LME_012</x:v>
      </x:c>
      <x:c r="B162" s="46" t="str">
        <x:v>Caribbean Sea</x:v>
      </x:c>
      <x:c r="C162" s="46" t="str">
        <x:v>LME</x:v>
      </x:c>
      <x:c r="D162" s="58" t="n">
        <x:v>2019</x:v>
      </x:c>
      <x:c r="E162" s="46" t="str">
        <x:v>Hemiramphus brasiliensis</x:v>
      </x:c>
      <x:c r="F162" s="46" t="str">
        <x:v>Ballyhoo halfbeak</x:v>
      </x:c>
      <x:c r="G162" s="46" t="str">
        <x:v>Medium pelagics (30 - 89 cm)</x:v>
      </x:c>
      <x:c r="H162" s="46" t="str">
        <x:v>Other fishes &amp; inverts</x:v>
      </x:c>
      <x:c r="I162" s="60" t="n">
        <x:v>252.7512714076</x:v>
      </x:c>
      <x:c r="J162" s="60" t="n">
        <x:v>252.7512714076</x:v>
      </x:c>
      <x:c r="K162" s="60" t="n">
        <x:v>0</x:v>
      </x:c>
      <x:c r="L162" s="60" t="n">
        <x:v>129.3402196147</x:v>
      </x:c>
      <x:c r="M162" s="60" t="n">
        <x:v>123.4110517929</x:v>
      </x:c>
      <x:c r="N162" s="46" t="str">
        <x:v>hemiramphus brasiliensis</x:v>
      </x:c>
      <x:c r="O162" s="62" t="n">
        <x:v>2.28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Hemiramphus brasiliensis</x:v>
      </x:c>
      <x:c r="T162" s="62" t="n">
        <x:f>IF(O162="","",(1/'Metadata'!$B$5)^(O162-1))</x:f>
        <x:v>19.054607179632463</x:v>
      </x:c>
      <x:c r="U162" s="60" t="n">
        <x:f>IF(T162="","",I162*T162)</x:f>
        <x:v>4816.076190824489</x:v>
      </x:c>
    </x:row>
    <x:row r="163" ht="18" customHeight="1">
      <x:c r="A163" s="46" t="str">
        <x:v>LME_012</x:v>
      </x:c>
      <x:c r="B163" s="46" t="str">
        <x:v>Caribbean Sea</x:v>
      </x:c>
      <x:c r="C163" s="46" t="str">
        <x:v>LME</x:v>
      </x:c>
      <x:c r="D163" s="58" t="n">
        <x:v>2019</x:v>
      </x:c>
      <x:c r="E163" s="46" t="str">
        <x:v>Sphyrnidae</x:v>
      </x:c>
      <x:c r="F163" s="46" t="str">
        <x:v>Hammer, bonnet, scoophead sharks</x:v>
      </x:c>
      <x:c r="G163" s="46" t="str">
        <x:v>Large sharks (&gt;=90 cm)</x:v>
      </x:c>
      <x:c r="H163" s="46" t="str">
        <x:v>Sharks &amp; rays</x:v>
      </x:c>
      <x:c r="I163" s="60" t="n">
        <x:v>252.45954461070002</x:v>
      </x:c>
      <x:c r="J163" s="60" t="n">
        <x:v>249.7505270455</x:v>
      </x:c>
      <x:c r="K163" s="60" t="n">
        <x:v>2.7090175652</x:v>
      </x:c>
      <x:c r="L163" s="60" t="n">
        <x:v>5.312988419</x:v>
      </x:c>
      <x:c r="M163" s="60" t="n">
        <x:v>247.14655619170003</x:v>
      </x:c>
      <x:c r="N163" s="46" t="str">
        <x:v>sphyrnidae</x:v>
      </x:c>
      <x:c r="O163" s="62" t="n">
        <x:v>4.19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Sphyrnidae</x:v>
      </x:c>
      <x:c r="T163" s="62" t="n">
        <x:f>IF(O163="","",(1/'Metadata'!$B$5)^(O163-1))</x:f>
        <x:v>1548.8166189124827</x:v>
      </x:c>
      <x:c r="U163" s="60" t="n">
        <x:f>IF(T163="","",I163*T163)</x:f>
        <x:v>391013.5382961295</x:v>
      </x:c>
    </x:row>
    <x:row r="164" ht="18" customHeight="1">
      <x:c r="A164" s="46" t="str">
        <x:v>LME_012</x:v>
      </x:c>
      <x:c r="B164" s="46" t="str">
        <x:v>Caribbean Sea</x:v>
      </x:c>
      <x:c r="C164" s="46" t="str">
        <x:v>LME</x:v>
      </x:c>
      <x:c r="D164" s="58" t="n">
        <x:v>2019</x:v>
      </x:c>
      <x:c r="E164" s="46" t="str">
        <x:v>Rachycentron canadum</x:v>
      </x:c>
      <x:c r="F164" s="46" t="str">
        <x:v>Cobia</x:v>
      </x:c>
      <x:c r="G164" s="46" t="str">
        <x:v>Large pelagics (&gt;=90 cm)</x:v>
      </x:c>
      <x:c r="H164" s="46" t="str">
        <x:v>Perch-likes</x:v>
      </x:c>
      <x:c r="I164" s="60" t="n">
        <x:v>251.7603997695</x:v>
      </x:c>
      <x:c r="J164" s="60" t="n">
        <x:v>251.7603997695</x:v>
      </x:c>
      <x:c r="K164" s="60" t="n">
        <x:v>0</x:v>
      </x:c>
      <x:c r="L164" s="60" t="n">
        <x:v>198.70880699</x:v>
      </x:c>
      <x:c r="M164" s="60" t="n">
        <x:v>53.0515927795</x:v>
      </x:c>
      <x:c r="N164" s="46" t="str">
        <x:v>rachycentron canadum</x:v>
      </x:c>
      <x:c r="O164" s="62" t="n">
        <x:v>3.96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Rachycentron canadum</x:v>
      </x:c>
      <x:c r="T164" s="62" t="n">
        <x:f>IF(O164="","",(1/'Metadata'!$B$5)^(O164-1))</x:f>
        <x:v>912.0108393559096</x:v>
      </x:c>
      <x:c r="U164" s="60" t="n">
        <x:f>IF(T164="","",I164*T164)</x:f>
        <x:v>229608.21351036106</x:v>
      </x:c>
    </x:row>
    <x:row r="165" ht="18" customHeight="1">
      <x:c r="A165" s="46" t="str">
        <x:v>LME_012</x:v>
      </x:c>
      <x:c r="B165" s="46" t="str">
        <x:v>Caribbean Sea</x:v>
      </x:c>
      <x:c r="C165" s="46" t="str">
        <x:v>LME</x:v>
      </x:c>
      <x:c r="D165" s="58" t="n">
        <x:v>2019</x:v>
      </x:c>
      <x:c r="E165" s="46" t="str">
        <x:v>Caranx latus</x:v>
      </x:c>
      <x:c r="F165" s="46" t="str">
        <x:v>Horse-eye jack</x:v>
      </x:c>
      <x:c r="G165" s="46" t="str">
        <x:v>Large reef assoc. fish (&gt;=90 cm)</x:v>
      </x:c>
      <x:c r="H165" s="46" t="str">
        <x:v>Perch-likes</x:v>
      </x:c>
      <x:c r="I165" s="60" t="n">
        <x:v>232.71366332169998</x:v>
      </x:c>
      <x:c r="J165" s="60" t="n">
        <x:v>232.71366332169998</x:v>
      </x:c>
      <x:c r="K165" s="60" t="n">
        <x:v>0</x:v>
      </x:c>
      <x:c r="L165" s="60" t="n">
        <x:v>128.4585657189</x:v>
      </x:c>
      <x:c r="M165" s="60" t="n">
        <x:v>104.2550976028</x:v>
      </x:c>
      <x:c r="N165" s="46" t="str">
        <x:v>caranx latus</x:v>
      </x:c>
      <x:c r="O165" s="62" t="n">
        <x:v>4.16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Caranx latus</x:v>
      </x:c>
      <x:c r="T165" s="62" t="n">
        <x:f>IF(O165="","",(1/'Metadata'!$B$5)^(O165-1))</x:f>
        <x:v>1445.439770745928</x:v>
      </x:c>
      <x:c r="U165" s="60" t="n">
        <x:f>IF(T165="","",I165*T165)</x:f>
        <x:v>336373.5841611631</x:v>
      </x:c>
    </x:row>
    <x:row r="166" ht="18" customHeight="1">
      <x:c r="A166" s="46" t="str">
        <x:v>LME_012</x:v>
      </x:c>
      <x:c r="B166" s="46" t="str">
        <x:v>Caribbean Sea</x:v>
      </x:c>
      <x:c r="C166" s="46" t="str">
        <x:v>LME</x:v>
      </x:c>
      <x:c r="D166" s="58" t="n">
        <x:v>2019</x:v>
      </x:c>
      <x:c r="E166" s="46" t="str">
        <x:v>Holothuroidea</x:v>
      </x:c>
      <x:c r="F166" s="46" t="str">
        <x:v>Sea cucumbers</x:v>
      </x:c>
      <x:c r="G166" s="46" t="str">
        <x:v>Other demersal invertebrates</x:v>
      </x:c>
      <x:c r="H166" s="46" t="str">
        <x:v>Other fishes &amp; inverts</x:v>
      </x:c>
      <x:c r="I166" s="60" t="n">
        <x:v>230.0722818612</x:v>
      </x:c>
      <x:c r="J166" s="60" t="n">
        <x:v>230.0722818612</x:v>
      </x:c>
      <x:c r="K166" s="60" t="n">
        <x:v>0</x:v>
      </x:c>
      <x:c r="L166" s="60" t="n">
        <x:v>150.023864327</x:v>
      </x:c>
      <x:c r="M166" s="60" t="n">
        <x:v>80.0484175342</x:v>
      </x:c>
      <x:c r="N166" s="46" t="str">
        <x:v>holothuroidea</x:v>
      </x:c>
      <x:c r="O166" s="62" t="n">
        <x:v>2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Holothuroidea</x:v>
      </x:c>
      <x:c r="T166" s="62" t="n">
        <x:f>IF(O166="","",(1/'Metadata'!$B$5)^(O166-1))</x:f>
        <x:v>10</x:v>
      </x:c>
      <x:c r="U166" s="60" t="n">
        <x:f>IF(T166="","",I166*T166)</x:f>
        <x:v>2300.722818612</x:v>
      </x:c>
    </x:row>
    <x:row r="167" ht="18" customHeight="1">
      <x:c r="A167" s="46" t="str">
        <x:v>LME_012</x:v>
      </x:c>
      <x:c r="B167" s="46" t="str">
        <x:v>Caribbean Sea</x:v>
      </x:c>
      <x:c r="C167" s="46" t="str">
        <x:v>LME</x:v>
      </x:c>
      <x:c r="D167" s="58" t="n">
        <x:v>2019</x:v>
      </x:c>
      <x:c r="E167" s="46" t="str">
        <x:v>Heteropriacanthus cruentatus</x:v>
      </x:c>
      <x:c r="F167" s="46" t="str">
        <x:v>Glasseye</x:v>
      </x:c>
      <x:c r="G167" s="46" t="str">
        <x:v>Medium reef assoc. fish (30 - 89 cm)</x:v>
      </x:c>
      <x:c r="H167" s="46" t="str">
        <x:v>Perch-likes</x:v>
      </x:c>
      <x:c r="I167" s="60" t="n">
        <x:v>218.9359814362</x:v>
      </x:c>
      <x:c r="J167" s="60" t="n">
        <x:v>218.9359814362</x:v>
      </x:c>
      <x:c r="K167" s="60" t="n">
        <x:v>0</x:v>
      </x:c>
      <x:c r="L167" s="60" t="n">
        <x:v>127.7883645625</x:v>
      </x:c>
      <x:c r="M167" s="60" t="n">
        <x:v>91.1476168737</x:v>
      </x:c>
      <x:c r="N167" s="46" t="str">
        <x:v>heteropriacanthus cruentatus</x:v>
      </x:c>
      <x:c r="O167" s="62" t="n">
        <x:v>3.61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Heteropriacanthus cruentatus</x:v>
      </x:c>
      <x:c r="T167" s="62" t="n">
        <x:f>IF(O167="","",(1/'Metadata'!$B$5)^(O167-1))</x:f>
        <x:v>407.3802778041126</x:v>
      </x:c>
      <x:c r="U167" s="60" t="n">
        <x:f>IF(T167="","",I167*T167)</x:f>
        <x:v>89190.2009387952</x:v>
      </x:c>
    </x:row>
    <x:row r="168" ht="18" customHeight="1">
      <x:c r="A168" s="46" t="str">
        <x:v>LME_012</x:v>
      </x:c>
      <x:c r="B168" s="46" t="str">
        <x:v>Caribbean Sea</x:v>
      </x:c>
      <x:c r="C168" s="46" t="str">
        <x:v>LME</x:v>
      </x:c>
      <x:c r="D168" s="58" t="n">
        <x:v>2019</x:v>
      </x:c>
      <x:c r="E168" s="46" t="str">
        <x:v>Sparisoma chrysopterum</x:v>
      </x:c>
      <x:c r="F168" s="46" t="str">
        <x:v>Redtail parrotfish</x:v>
      </x:c>
      <x:c r="G168" s="46" t="str">
        <x:v>Medium reef assoc. fish (30 - 89 cm)</x:v>
      </x:c>
      <x:c r="H168" s="46" t="str">
        <x:v>Perch-likes</x:v>
      </x:c>
      <x:c r="I168" s="60" t="n">
        <x:v>214.6178369829</x:v>
      </x:c>
      <x:c r="J168" s="60" t="n">
        <x:v>214.6178369829</x:v>
      </x:c>
      <x:c r="K168" s="60" t="n">
        <x:v>0</x:v>
      </x:c>
      <x:c r="L168" s="60" t="n">
        <x:v>190.67396294009998</x:v>
      </x:c>
      <x:c r="M168" s="60" t="n">
        <x:v>23.9438740428</x:v>
      </x:c>
      <x:c r="N168" s="46" t="str">
        <x:v>sparisoma chrysopterum</x:v>
      </x:c>
      <x:c r="O168" s="62" t="n">
        <x:v>2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Sparisoma chrysopterum</x:v>
      </x:c>
      <x:c r="T168" s="62" t="n">
        <x:f>IF(O168="","",(1/'Metadata'!$B$5)^(O168-1))</x:f>
        <x:v>10</x:v>
      </x:c>
      <x:c r="U168" s="60" t="n">
        <x:f>IF(T168="","",I168*T168)</x:f>
        <x:v>2146.178369829</x:v>
      </x:c>
    </x:row>
    <x:row r="169" ht="18" customHeight="1">
      <x:c r="A169" s="46" t="str">
        <x:v>LME_012</x:v>
      </x:c>
      <x:c r="B169" s="46" t="str">
        <x:v>Caribbean Sea</x:v>
      </x:c>
      <x:c r="C169" s="46" t="str">
        <x:v>LME</x:v>
      </x:c>
      <x:c r="D169" s="58" t="n">
        <x:v>2019</x:v>
      </x:c>
      <x:c r="E169" s="46" t="str">
        <x:v>Hypanus guttatus</x:v>
      </x:c>
      <x:c r="F169" s="46" t="str">
        <x:v>Longnose stingray</x:v>
      </x:c>
      <x:c r="G169" s="46" t="str">
        <x:v>Large rays (&gt;=90 cm)</x:v>
      </x:c>
      <x:c r="H169" s="46" t="str">
        <x:v>Sharks &amp; rays</x:v>
      </x:c>
      <x:c r="I169" s="60" t="n">
        <x:v>214.447495832</x:v>
      </x:c>
      <x:c r="J169" s="60" t="n">
        <x:v>214.447495832</x:v>
      </x:c>
      <x:c r="K169" s="60" t="n">
        <x:v>0</x:v>
      </x:c>
      <x:c r="L169" s="60" t="n">
        <x:v>214.447495832</x:v>
      </x:c>
      <x:c r="M169" s="60" t="n">
        <x:v>0</x:v>
      </x:c>
      <x:c r="N169" s="46" t="str">
        <x:v>hypanus guttatus</x:v>
      </x:c>
      <x:c r="O169" s="62" t="n">
        <x:v>2.61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Hypanus guttatus</x:v>
      </x:c>
      <x:c r="T169" s="62" t="n">
        <x:f>IF(O169="","",(1/'Metadata'!$B$5)^(O169-1))</x:f>
        <x:v>40.73802778041126</x:v>
      </x:c>
      <x:c r="U169" s="60" t="n">
        <x:f>IF(T169="","",I169*T169)</x:f>
        <x:v>8736.168042643643</x:v>
      </x:c>
    </x:row>
    <x:row r="170" ht="18" customHeight="1">
      <x:c r="A170" s="46" t="str">
        <x:v>LME_012</x:v>
      </x:c>
      <x:c r="B170" s="46" t="str">
        <x:v>Caribbean Sea</x:v>
      </x:c>
      <x:c r="C170" s="46" t="str">
        <x:v>LME</x:v>
      </x:c>
      <x:c r="D170" s="58" t="n">
        <x:v>2019</x:v>
      </x:c>
      <x:c r="E170" s="46" t="str">
        <x:v>Epinephelus</x:v>
      </x:c>
      <x:c r="F170" s="46" t="str">
        <x:v>Seabasses, hinds</x:v>
      </x:c>
      <x:c r="G170" s="46" t="str">
        <x:v>Medium reef assoc. fish (30 - 89 cm)</x:v>
      </x:c>
      <x:c r="H170" s="46" t="str">
        <x:v>Perch-likes</x:v>
      </x:c>
      <x:c r="I170" s="60" t="n">
        <x:v>211.9087651507</x:v>
      </x:c>
      <x:c r="J170" s="60" t="n">
        <x:v>211.9087651507</x:v>
      </x:c>
      <x:c r="K170" s="60" t="n">
        <x:v>0</x:v>
      </x:c>
      <x:c r="L170" s="60" t="n">
        <x:v>67.0125318916</x:v>
      </x:c>
      <x:c r="M170" s="60" t="n">
        <x:v>144.8962332591</x:v>
      </x:c>
      <x:c r="N170" s="46" t="str">
        <x:v>epinephelus</x:v>
      </x:c>
      <x:c r="O170" s="62" t="n">
        <x:v>3.84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Epinephelus</x:v>
      </x:c>
      <x:c r="T170" s="62" t="n">
        <x:f>IF(O170="","",(1/'Metadata'!$B$5)^(O170-1))</x:f>
        <x:v>691.8309709189363</x:v>
      </x:c>
      <x:c r="U170" s="60" t="n">
        <x:f>IF(T170="","",I170*T170)</x:f>
        <x:v>146605.0467404416</x:v>
      </x:c>
    </x:row>
    <x:row r="171" ht="18" customHeight="1">
      <x:c r="A171" s="46" t="str">
        <x:v>LME_012</x:v>
      </x:c>
      <x:c r="B171" s="46" t="str">
        <x:v>Caribbean Sea</x:v>
      </x:c>
      <x:c r="C171" s="46" t="str">
        <x:v>LME</x:v>
      </x:c>
      <x:c r="D171" s="58" t="n">
        <x:v>2019</x:v>
      </x:c>
      <x:c r="E171" s="46" t="str">
        <x:v>Archosargus probatocephalus</x:v>
      </x:c>
      <x:c r="F171" s="46" t="str">
        <x:v>Sheepshead</x:v>
      </x:c>
      <x:c r="G171" s="46" t="str">
        <x:v>Medium demersals (30 - 89 cm)</x:v>
      </x:c>
      <x:c r="H171" s="46" t="str">
        <x:v>Perch-likes</x:v>
      </x:c>
      <x:c r="I171" s="60" t="n">
        <x:v>211.166363068</x:v>
      </x:c>
      <x:c r="J171" s="60" t="n">
        <x:v>196.7192087431</x:v>
      </x:c>
      <x:c r="K171" s="60" t="n">
        <x:v>14.4471543249</x:v>
      </x:c>
      <x:c r="L171" s="60" t="n">
        <x:v>10.1492479653</x:v>
      </x:c>
      <x:c r="M171" s="60" t="n">
        <x:v>201.01711510270002</x:v>
      </x:c>
      <x:c r="N171" s="46" t="str">
        <x:v>archosargus probatocephalus</x:v>
      </x:c>
      <x:c r="O171" s="62" t="n">
        <x:v>3.53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Archosargus probatocephalus</x:v>
      </x:c>
      <x:c r="T171" s="62" t="n">
        <x:f>IF(O171="","",(1/'Metadata'!$B$5)^(O171-1))</x:f>
        <x:v>338.84415613920237</x:v>
      </x:c>
      <x:c r="U171" s="60" t="n">
        <x:f>IF(T171="","",I171*T171)</x:f>
        <x:v>71552.48809876089</x:v>
      </x:c>
    </x:row>
    <x:row r="172" ht="18" customHeight="1">
      <x:c r="A172" s="46" t="str">
        <x:v>LME_012</x:v>
      </x:c>
      <x:c r="B172" s="46" t="str">
        <x:v>Caribbean Sea</x:v>
      </x:c>
      <x:c r="C172" s="46" t="str">
        <x:v>LME</x:v>
      </x:c>
      <x:c r="D172" s="58" t="n">
        <x:v>2019</x:v>
      </x:c>
      <x:c r="E172" s="46" t="str">
        <x:v>Scomberomorus regalis</x:v>
      </x:c>
      <x:c r="F172" s="46" t="str">
        <x:v>Cero</x:v>
      </x:c>
      <x:c r="G172" s="46" t="str">
        <x:v>Large reef assoc. fish (&gt;=90 cm)</x:v>
      </x:c>
      <x:c r="H172" s="46" t="str">
        <x:v>Perch-likes</x:v>
      </x:c>
      <x:c r="I172" s="60" t="n">
        <x:v>208.9678530485</x:v>
      </x:c>
      <x:c r="J172" s="60" t="n">
        <x:v>208.6639826709</x:v>
      </x:c>
      <x:c r="K172" s="60" t="n">
        <x:v>0.3038703776</x:v>
      </x:c>
      <x:c r="L172" s="60" t="n">
        <x:v>203.57414467249998</x:v>
      </x:c>
      <x:c r="M172" s="60" t="n">
        <x:v>5.393708376</x:v>
      </x:c>
      <x:c r="N172" s="46" t="str">
        <x:v>scomberomorus regalis</x:v>
      </x:c>
      <x:c r="O172" s="62" t="n">
        <x:v>4.51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Scomberomorus regalis</x:v>
      </x:c>
      <x:c r="T172" s="62" t="n">
        <x:f>IF(O172="","",(1/'Metadata'!$B$5)^(O172-1))</x:f>
        <x:v>3235.936569296281</x:v>
      </x:c>
      <x:c r="U172" s="60" t="n">
        <x:f>IF(T172="","",I172*T172)</x:f>
        <x:v>676206.7174869725</x:v>
      </x:c>
    </x:row>
    <x:row r="173" ht="18" customHeight="1">
      <x:c r="A173" s="46" t="str">
        <x:v>LME_012</x:v>
      </x:c>
      <x:c r="B173" s="46" t="str">
        <x:v>Caribbean Sea</x:v>
      </x:c>
      <x:c r="C173" s="46" t="str">
        <x:v>LME</x:v>
      </x:c>
      <x:c r="D173" s="58" t="n">
        <x:v>2019</x:v>
      </x:c>
      <x:c r="E173" s="46" t="str">
        <x:v>Epinephelus striatus</x:v>
      </x:c>
      <x:c r="F173" s="46" t="str">
        <x:v>Nassau grouper</x:v>
      </x:c>
      <x:c r="G173" s="46" t="str">
        <x:v>Large reef assoc. fish (&gt;=90 cm)</x:v>
      </x:c>
      <x:c r="H173" s="46" t="str">
        <x:v>Perch-likes</x:v>
      </x:c>
      <x:c r="I173" s="60" t="n">
        <x:v>201.9942043103</x:v>
      </x:c>
      <x:c r="J173" s="60" t="n">
        <x:v>201.7105184263</x:v>
      </x:c>
      <x:c r="K173" s="60" t="n">
        <x:v>0.283685884</x:v>
      </x:c>
      <x:c r="L173" s="60" t="n">
        <x:v>142.2146332053</x:v>
      </x:c>
      <x:c r="M173" s="60" t="n">
        <x:v>59.779571105</x:v>
      </x:c>
      <x:c r="N173" s="46" t="str">
        <x:v>epinephelus striatus</x:v>
      </x:c>
      <x:c r="O173" s="62" t="n">
        <x:v>4.06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Epinephelus striatus</x:v>
      </x:c>
      <x:c r="T173" s="62" t="n">
        <x:f>IF(O173="","",(1/'Metadata'!$B$5)^(O173-1))</x:f>
        <x:v>1148.1536214968817</x:v>
      </x:c>
      <x:c r="U173" s="60" t="n">
        <x:f>IF(T173="","",I173*T173)</x:f>
        <x:v>231920.37720025197</x:v>
      </x:c>
    </x:row>
    <x:row r="174" ht="18" customHeight="1">
      <x:c r="A174" s="46" t="str">
        <x:v>LME_012</x:v>
      </x:c>
      <x:c r="B174" s="46" t="str">
        <x:v>Caribbean Sea</x:v>
      </x:c>
      <x:c r="C174" s="46" t="str">
        <x:v>LME</x:v>
      </x:c>
      <x:c r="D174" s="58" t="n">
        <x:v>2019</x:v>
      </x:c>
      <x:c r="E174" s="46" t="str">
        <x:v>Decapterus punctatus</x:v>
      </x:c>
      <x:c r="F174" s="46" t="str">
        <x:v>Round scad</x:v>
      </x:c>
      <x:c r="G174" s="46" t="str">
        <x:v>Medium benthopelagics (30 - 89 cm)</x:v>
      </x:c>
      <x:c r="H174" s="46" t="str">
        <x:v>Perch-likes</x:v>
      </x:c>
      <x:c r="I174" s="60" t="n">
        <x:v>190.26449370350002</x:v>
      </x:c>
      <x:c r="J174" s="60" t="n">
        <x:v>190.26449370350002</x:v>
      </x:c>
      <x:c r="K174" s="60" t="n">
        <x:v>0</x:v>
      </x:c>
      <x:c r="L174" s="60" t="n">
        <x:v>76.39516402810001</x:v>
      </x:c>
      <x:c r="M174" s="60" t="n">
        <x:v>113.86932967540001</x:v>
      </x:c>
      <x:c r="N174" s="46" t="str">
        <x:v>decapterus punctatus</x:v>
      </x:c>
      <x:c r="O174" s="62" t="n">
        <x:v>4.43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Decapterus punctatus</x:v>
      </x:c>
      <x:c r="T174" s="62" t="n">
        <x:f>IF(O174="","",(1/'Metadata'!$B$5)^(O174-1))</x:f>
        <x:v>2691.534803926914</x:v>
      </x:c>
      <x:c r="U174" s="60" t="n">
        <x:f>IF(T174="","",I174*T174)</x:f>
        <x:v>512103.50675450347</x:v>
      </x:c>
    </x:row>
    <x:row r="175" ht="18" customHeight="1">
      <x:c r="A175" s="46" t="str">
        <x:v>LME_012</x:v>
      </x:c>
      <x:c r="B175" s="46" t="str">
        <x:v>Caribbean Sea</x:v>
      </x:c>
      <x:c r="C175" s="46" t="str">
        <x:v>LME</x:v>
      </x:c>
      <x:c r="D175" s="58" t="n">
        <x:v>2019</x:v>
      </x:c>
      <x:c r="E175" s="46" t="str">
        <x:v>Cardisoma guanhumi</x:v>
      </x:c>
      <x:c r="F175" s="46" t="str">
        <x:v>Blue land crab</x:v>
      </x:c>
      <x:c r="G175" s="46" t="str">
        <x:v>Lobsters, crabs</x:v>
      </x:c>
      <x:c r="H175" s="46" t="str">
        <x:v>Crustaceans</x:v>
      </x:c>
      <x:c r="I175" s="60" t="n">
        <x:v>185.20477563400001</x:v>
      </x:c>
      <x:c r="J175" s="60" t="n">
        <x:v>185.20477563400001</x:v>
      </x:c>
      <x:c r="K175" s="60" t="n">
        <x:v>0</x:v>
      </x:c>
      <x:c r="L175" s="60" t="n">
        <x:v>138.9700158626</x:v>
      </x:c>
      <x:c r="M175" s="60" t="n">
        <x:v>46.2347597714</x:v>
      </x:c>
      <x:c r="N175" s="46" t="str">
        <x:v>cardisoma guanhumi</x:v>
      </x:c>
      <x:c r="O175" s="62" t="n">
        <x:v>2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Cardisoma guanhumi</x:v>
      </x:c>
      <x:c r="T175" s="62" t="n">
        <x:f>IF(O175="","",(1/'Metadata'!$B$5)^(O175-1))</x:f>
        <x:v>10</x:v>
      </x:c>
      <x:c r="U175" s="60" t="n">
        <x:f>IF(T175="","",I175*T175)</x:f>
        <x:v>1852.0477563400002</x:v>
      </x:c>
    </x:row>
    <x:row r="176" ht="18" customHeight="1">
      <x:c r="A176" s="46" t="str">
        <x:v>LME_012</x:v>
      </x:c>
      <x:c r="B176" s="46" t="str">
        <x:v>Caribbean Sea</x:v>
      </x:c>
      <x:c r="C176" s="46" t="str">
        <x:v>LME</x:v>
      </x:c>
      <x:c r="D176" s="58" t="n">
        <x:v>2019</x:v>
      </x:c>
      <x:c r="E176" s="46" t="str">
        <x:v>Acanthuridae</x:v>
      </x:c>
      <x:c r="F176" s="46" t="str">
        <x:v>Surgeons, tangs, unicornfishes</x:v>
      </x:c>
      <x:c r="G176" s="46" t="str">
        <x:v>Small reef assoc. fish (&lt;30 cm)</x:v>
      </x:c>
      <x:c r="H176" s="46" t="str">
        <x:v>Perch-likes</x:v>
      </x:c>
      <x:c r="I176" s="60" t="n">
        <x:v>179.5402639381</x:v>
      </x:c>
      <x:c r="J176" s="60" t="n">
        <x:v>179.5402639381</x:v>
      </x:c>
      <x:c r="K176" s="60" t="n">
        <x:v>0</x:v>
      </x:c>
      <x:c r="L176" s="60" t="n">
        <x:v>58.3641655688</x:v>
      </x:c>
      <x:c r="M176" s="60" t="n">
        <x:v>121.1760983693</x:v>
      </x:c>
      <x:c r="N176" s="46" t="str">
        <x:v>acanthuridae</x:v>
      </x:c>
      <x:c r="O176" s="62" t="n">
        <x:v>2.28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Acanthuridae</x:v>
      </x:c>
      <x:c r="T176" s="62" t="n">
        <x:f>IF(O176="","",(1/'Metadata'!$B$5)^(O176-1))</x:f>
        <x:v>19.054607179632463</x:v>
      </x:c>
      <x:c r="U176" s="60" t="n">
        <x:f>IF(T176="","",I176*T176)</x:f>
        <x:v>3421.0692022680273</x:v>
      </x:c>
    </x:row>
    <x:row r="177" ht="18" customHeight="1">
      <x:c r="A177" s="46" t="str">
        <x:v>LME_012</x:v>
      </x:c>
      <x:c r="B177" s="46" t="str">
        <x:v>Caribbean Sea</x:v>
      </x:c>
      <x:c r="C177" s="46" t="str">
        <x:v>LME</x:v>
      </x:c>
      <x:c r="D177" s="58" t="n">
        <x:v>2019</x:v>
      </x:c>
      <x:c r="E177" s="46" t="str">
        <x:v>Sparisoma aurofrenatum</x:v>
      </x:c>
      <x:c r="F177" s="46" t="str">
        <x:v>Redband parrotfish</x:v>
      </x:c>
      <x:c r="G177" s="46" t="str">
        <x:v>Small reef assoc. fish (&lt;30 cm)</x:v>
      </x:c>
      <x:c r="H177" s="46" t="str">
        <x:v>Perch-likes</x:v>
      </x:c>
      <x:c r="I177" s="60" t="n">
        <x:v>177.7394652704</x:v>
      </x:c>
      <x:c r="J177" s="60" t="n">
        <x:v>177.7394652704</x:v>
      </x:c>
      <x:c r="K177" s="60" t="n">
        <x:v>0</x:v>
      </x:c>
      <x:c r="L177" s="60" t="n">
        <x:v>80.0772528438</x:v>
      </x:c>
      <x:c r="M177" s="60" t="n">
        <x:v>97.6622124266</x:v>
      </x:c>
      <x:c r="N177" s="46" t="str">
        <x:v>sparisoma aurofrenatum</x:v>
      </x:c>
      <x:c r="O177" s="62" t="n">
        <x:v>2.02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Sparisoma aurofrenatum</x:v>
      </x:c>
      <x:c r="T177" s="62" t="n">
        <x:f>IF(O177="","",(1/'Metadata'!$B$5)^(O177-1))</x:f>
        <x:v>10.471285480508996</x:v>
      </x:c>
      <x:c r="U177" s="60" t="n">
        <x:f>IF(T177="","",I177*T177)</x:f>
        <x:v>1861.1606819993724</x:v>
      </x:c>
    </x:row>
    <x:row r="178" ht="18" customHeight="1">
      <x:c r="A178" s="46" t="str">
        <x:v>LME_012</x:v>
      </x:c>
      <x:c r="B178" s="46" t="str">
        <x:v>Caribbean Sea</x:v>
      </x:c>
      <x:c r="C178" s="46" t="str">
        <x:v>LME</x:v>
      </x:c>
      <x:c r="D178" s="58" t="n">
        <x:v>2019</x:v>
      </x:c>
      <x:c r="E178" s="46" t="str">
        <x:v>Pogonias courbina</x:v>
      </x:c>
      <x:c r="F178" s="46" t="str">
        <x:v>Black drum</x:v>
      </x:c>
      <x:c r="G178" s="46" t="str">
        <x:v>Large demersals (&gt;=90 cm)</x:v>
      </x:c>
      <x:c r="H178" s="46" t="str">
        <x:v>Perch-likes</x:v>
      </x:c>
      <x:c r="I178" s="60" t="n">
        <x:v>176.6485408208</x:v>
      </x:c>
      <x:c r="J178" s="60" t="n">
        <x:v>176.3876403246</x:v>
      </x:c>
      <x:c r="K178" s="60" t="n">
        <x:v>0.2609004962</x:v>
      </x:c>
      <x:c r="L178" s="60" t="n">
        <x:v>20.9982703985</x:v>
      </x:c>
      <x:c r="M178" s="60" t="n">
        <x:v>155.6502704223</x:v>
      </x:c>
      <x:c r="N178" s="46" t="str">
        <x:v>pogonias courbina</x:v>
      </x:c>
      <x:c r="O178" s="62" t="n">
        <x:v>3.89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Pogonias courbina</x:v>
      </x:c>
      <x:c r="T178" s="62" t="n">
        <x:f>IF(O178="","",(1/'Metadata'!$B$5)^(O178-1))</x:f>
        <x:v>776.247116628692</x:v>
      </x:c>
      <x:c r="U178" s="60" t="n">
        <x:f>IF(T178="","",I178*T178)</x:f>
        <x:v>137122.9204688118</x:v>
      </x:c>
    </x:row>
    <x:row r="179" ht="18" customHeight="1">
      <x:c r="A179" s="46" t="str">
        <x:v>LME_012</x:v>
      </x:c>
      <x:c r="B179" s="46" t="str">
        <x:v>Caribbean Sea</x:v>
      </x:c>
      <x:c r="C179" s="46" t="str">
        <x:v>LME</x:v>
      </x:c>
      <x:c r="D179" s="58" t="n">
        <x:v>2019</x:v>
      </x:c>
      <x:c r="E179" s="46" t="str">
        <x:v>Mycteroperca venenosa</x:v>
      </x:c>
      <x:c r="F179" s="46" t="str">
        <x:v>Yellowfin grouper</x:v>
      </x:c>
      <x:c r="G179" s="46" t="str">
        <x:v>Medium reef assoc. fish (30 - 89 cm)</x:v>
      </x:c>
      <x:c r="H179" s="46" t="str">
        <x:v>Perch-likes</x:v>
      </x:c>
      <x:c r="I179" s="60" t="n">
        <x:v>171.4534213911</x:v>
      </x:c>
      <x:c r="J179" s="60" t="n">
        <x:v>171.45270475619998</x:v>
      </x:c>
      <x:c r="K179" s="60" t="n">
        <x:v>0.0007166349</x:v>
      </x:c>
      <x:c r="L179" s="60" t="n">
        <x:v>122.31918129820001</x:v>
      </x:c>
      <x:c r="M179" s="60" t="n">
        <x:v>49.1342400929</x:v>
      </x:c>
      <x:c r="N179" s="46" t="str">
        <x:v>mycteroperca venenosa</x:v>
      </x:c>
      <x:c r="O179" s="62" t="n">
        <x:v>4.48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Mycteroperca venenosa</x:v>
      </x:c>
      <x:c r="T179" s="62" t="n">
        <x:f>IF(O179="","",(1/'Metadata'!$B$5)^(O179-1))</x:f>
        <x:v>3019.951720402019</x:v>
      </x:c>
      <x:c r="U179" s="60" t="n">
        <x:f>IF(T179="","",I179*T179)</x:f>
        <x:v>517781.05489886476</x:v>
      </x:c>
    </x:row>
    <x:row r="180" ht="18" customHeight="1">
      <x:c r="A180" s="46" t="str">
        <x:v>LME_012</x:v>
      </x:c>
      <x:c r="B180" s="46" t="str">
        <x:v>Caribbean Sea</x:v>
      </x:c>
      <x:c r="C180" s="46" t="str">
        <x:v>LME</x:v>
      </x:c>
      <x:c r="D180" s="58" t="n">
        <x:v>2019</x:v>
      </x:c>
      <x:c r="E180" s="46" t="str">
        <x:v>Chondrichthyes</x:v>
      </x:c>
      <x:c r="F180" s="46" t="str">
        <x:v>Sharks, rays, chimaeras</x:v>
      </x:c>
      <x:c r="G180" s="46" t="str">
        <x:v>Large sharks (&gt;=90 cm)</x:v>
      </x:c>
      <x:c r="H180" s="46" t="str">
        <x:v>Sharks &amp; rays</x:v>
      </x:c>
      <x:c r="I180" s="60" t="n">
        <x:v>170.334967218</x:v>
      </x:c>
      <x:c r="J180" s="60" t="n">
        <x:v>170.334967218</x:v>
      </x:c>
      <x:c r="K180" s="60" t="n">
        <x:v>0</x:v>
      </x:c>
      <x:c r="L180" s="60" t="n">
        <x:v>169.3648924452</x:v>
      </x:c>
      <x:c r="M180" s="60" t="n">
        <x:v>0.9700747728</x:v>
      </x:c>
      <x:c r="N180" s="46" t="str">
        <x:v>chondrichthyes</x:v>
      </x:c>
      <x:c r="O180" s="62" t="n">
        <x:v>4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Chondrichthyes</x:v>
      </x:c>
      <x:c r="T180" s="62" t="n">
        <x:f>IF(O180="","",(1/'Metadata'!$B$5)^(O180-1))</x:f>
        <x:v>1000</x:v>
      </x:c>
      <x:c r="U180" s="60" t="n">
        <x:f>IF(T180="","",I180*T180)</x:f>
        <x:v>170334.967218</x:v>
      </x:c>
    </x:row>
    <x:row r="181" ht="18" customHeight="1">
      <x:c r="A181" s="46" t="str">
        <x:v>LME_012</x:v>
      </x:c>
      <x:c r="B181" s="46" t="str">
        <x:v>Caribbean Sea</x:v>
      </x:c>
      <x:c r="C181" s="46" t="str">
        <x:v>LME</x:v>
      </x:c>
      <x:c r="D181" s="58" t="n">
        <x:v>2019</x:v>
      </x:c>
      <x:c r="E181" s="46" t="str">
        <x:v>Stomolophus meleagris</x:v>
      </x:c>
      <x:c r="F181" s="46" t="str">
        <x:v>Cannonball jellyfish</x:v>
      </x:c>
      <x:c r="G181" s="46" t="str">
        <x:v>Jellyfish</x:v>
      </x:c>
      <x:c r="H181" s="46" t="str">
        <x:v>Other fishes &amp; inverts</x:v>
      </x:c>
      <x:c r="I181" s="60" t="n">
        <x:v>168.98169993439998</x:v>
      </x:c>
      <x:c r="J181" s="60" t="n">
        <x:v>168.98169993439998</x:v>
      </x:c>
      <x:c r="K181" s="60" t="n">
        <x:v>0</x:v>
      </x:c>
      <x:c r="L181" s="60" t="n">
        <x:v>0</x:v>
      </x:c>
      <x:c r="M181" s="60" t="n">
        <x:v>168.98169993439998</x:v>
      </x:c>
      <x:c r="N181" s="46" t="str">
        <x:v>stomolophus meleagris</x:v>
      </x:c>
      <x:c r="O181" s="62" t="n">
        <x:v>3.34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Stomolophus meleagris</x:v>
      </x:c>
      <x:c r="T181" s="62" t="n">
        <x:f>IF(O181="","",(1/'Metadata'!$B$5)^(O181-1))</x:f>
        <x:v>218.77616239495518</x:v>
      </x:c>
      <x:c r="U181" s="60" t="n">
        <x:f>IF(T181="","",I181*T181)</x:f>
        <x:v>36969.16782662388</x:v>
      </x:c>
    </x:row>
    <x:row r="182" ht="18" customHeight="1">
      <x:c r="A182" s="46" t="str">
        <x:v>LME_012</x:v>
      </x:c>
      <x:c r="B182" s="46" t="str">
        <x:v>Caribbean Sea</x:v>
      </x:c>
      <x:c r="C182" s="46" t="str">
        <x:v>LME</x:v>
      </x:c>
      <x:c r="D182" s="58" t="n">
        <x:v>2019</x:v>
      </x:c>
      <x:c r="E182" s="46" t="str">
        <x:v>Lutjanus apodus</x:v>
      </x:c>
      <x:c r="F182" s="46" t="str">
        <x:v>Schoolmaster snapper</x:v>
      </x:c>
      <x:c r="G182" s="46" t="str">
        <x:v>Medium reef assoc. fish (30 - 89 cm)</x:v>
      </x:c>
      <x:c r="H182" s="46" t="str">
        <x:v>Perch-likes</x:v>
      </x:c>
      <x:c r="I182" s="60" t="n">
        <x:v>168.0554228779</x:v>
      </x:c>
      <x:c r="J182" s="60" t="n">
        <x:v>168.0554228779</x:v>
      </x:c>
      <x:c r="K182" s="60" t="n">
        <x:v>0</x:v>
      </x:c>
      <x:c r="L182" s="60" t="n">
        <x:v>53.6633551836</x:v>
      </x:c>
      <x:c r="M182" s="60" t="n">
        <x:v>114.39206769430001</x:v>
      </x:c>
      <x:c r="N182" s="46" t="str">
        <x:v>lutjanus apodus</x:v>
      </x:c>
      <x:c r="O182" s="62" t="n">
        <x:v>4.25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Lutjanus apodus</x:v>
      </x:c>
      <x:c r="T182" s="62" t="n">
        <x:f>IF(O182="","",(1/'Metadata'!$B$5)^(O182-1))</x:f>
        <x:v>1778.2794100389228</x:v>
      </x:c>
      <x:c r="U182" s="60" t="n">
        <x:f>IF(T182="","",I182*T182)</x:f>
        <x:v>298849.4982491537</x:v>
      </x:c>
    </x:row>
    <x:row r="183" ht="18" customHeight="1">
      <x:c r="A183" s="46" t="str">
        <x:v>LME_012</x:v>
      </x:c>
      <x:c r="B183" s="46" t="str">
        <x:v>Caribbean Sea</x:v>
      </x:c>
      <x:c r="C183" s="46" t="str">
        <x:v>LME</x:v>
      </x:c>
      <x:c r="D183" s="58" t="n">
        <x:v>2019</x:v>
      </x:c>
      <x:c r="E183" s="46" t="str">
        <x:v>Pempheridae</x:v>
      </x:c>
      <x:c r="F183" s="46" t="str">
        <x:v>Sweepers</x:v>
      </x:c>
      <x:c r="G183" s="46" t="str">
        <x:v>Small reef assoc. fish (&lt;30 cm)</x:v>
      </x:c>
      <x:c r="H183" s="46" t="str">
        <x:v>Perch-likes</x:v>
      </x:c>
      <x:c r="I183" s="60" t="n">
        <x:v>165.57199399779998</x:v>
      </x:c>
      <x:c r="J183" s="60" t="n">
        <x:v>165.57199399779998</x:v>
      </x:c>
      <x:c r="K183" s="60" t="n">
        <x:v>0</x:v>
      </x:c>
      <x:c r="L183" s="60" t="n">
        <x:v>0</x:v>
      </x:c>
      <x:c r="M183" s="60" t="n">
        <x:v>165.57199399779998</x:v>
      </x:c>
      <x:c r="N183" s="46" t="str">
        <x:v>pempheridae</x:v>
      </x:c>
      <x:c r="O183" s="62" t="n">
        <x:v>3.58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Pempheridae</x:v>
      </x:c>
      <x:c r="T183" s="62" t="n">
        <x:f>IF(O183="","",(1/'Metadata'!$B$5)^(O183-1))</x:f>
        <x:v>380.1893963205613</x:v>
      </x:c>
      <x:c r="U183" s="60" t="n">
        <x:f>IF(T183="","",I183*T183)</x:f>
        <x:v>62948.71644561517</x:v>
      </x:c>
    </x:row>
    <x:row r="184" ht="18" customHeight="1">
      <x:c r="A184" s="46" t="str">
        <x:v>LME_012</x:v>
      </x:c>
      <x:c r="B184" s="46" t="str">
        <x:v>Caribbean Sea</x:v>
      </x:c>
      <x:c r="C184" s="46" t="str">
        <x:v>LME</x:v>
      </x:c>
      <x:c r="D184" s="58" t="n">
        <x:v>2019</x:v>
      </x:c>
      <x:c r="E184" s="46" t="str">
        <x:v>Balistes capriscus</x:v>
      </x:c>
      <x:c r="F184" s="46" t="str">
        <x:v>Grey triggerfish</x:v>
      </x:c>
      <x:c r="G184" s="46" t="str">
        <x:v>Medium benthopelagics (30 - 89 cm)</x:v>
      </x:c>
      <x:c r="H184" s="46" t="str">
        <x:v>Other fishes &amp; inverts</x:v>
      </x:c>
      <x:c r="I184" s="60" t="n">
        <x:v>163.3570342817</x:v>
      </x:c>
      <x:c r="J184" s="60" t="n">
        <x:v>159.8343529614</x:v>
      </x:c>
      <x:c r="K184" s="60" t="n">
        <x:v>3.5226813203</x:v>
      </x:c>
      <x:c r="L184" s="60" t="n">
        <x:v>115.01949487899999</x:v>
      </x:c>
      <x:c r="M184" s="60" t="n">
        <x:v>48.3375394027</x:v>
      </x:c>
      <x:c r="N184" s="46" t="str">
        <x:v>balistes capriscus</x:v>
      </x:c>
      <x:c r="O184" s="62" t="n">
        <x:v>4.06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Balistes capriscus</x:v>
      </x:c>
      <x:c r="T184" s="62" t="n">
        <x:f>IF(O184="","",(1/'Metadata'!$B$5)^(O184-1))</x:f>
        <x:v>1148.1536214968817</x:v>
      </x:c>
      <x:c r="U184" s="60" t="n">
        <x:f>IF(T184="","",I184*T184)</x:f>
        <x:v>187558.97050752412</x:v>
      </x:c>
    </x:row>
    <x:row r="185" ht="18" customHeight="1">
      <x:c r="A185" s="46" t="str">
        <x:v>LME_012</x:v>
      </x:c>
      <x:c r="B185" s="46" t="str">
        <x:v>Caribbean Sea</x:v>
      </x:c>
      <x:c r="C185" s="46" t="str">
        <x:v>LME</x:v>
      </x:c>
      <x:c r="D185" s="58" t="n">
        <x:v>2019</x:v>
      </x:c>
      <x:c r="E185" s="46" t="str">
        <x:v>Archosargus rhomboidalis</x:v>
      </x:c>
      <x:c r="F185" s="46" t="str">
        <x:v>Western Atlantic seabream</x:v>
      </x:c>
      <x:c r="G185" s="46" t="str">
        <x:v>Medium reef assoc. fish (30 - 89 cm)</x:v>
      </x:c>
      <x:c r="H185" s="46" t="str">
        <x:v>Perch-likes</x:v>
      </x:c>
      <x:c r="I185" s="60" t="n">
        <x:v>156.7393063619</x:v>
      </x:c>
      <x:c r="J185" s="60" t="n">
        <x:v>156.7393063619</x:v>
      </x:c>
      <x:c r="K185" s="60" t="n">
        <x:v>0</x:v>
      </x:c>
      <x:c r="L185" s="60" t="n">
        <x:v>156.1016369035</x:v>
      </x:c>
      <x:c r="M185" s="60" t="n">
        <x:v>0.6376694584</x:v>
      </x:c>
      <x:c r="N185" s="46" t="str">
        <x:v>archosargus rhomboidalis</x:v>
      </x:c>
      <x:c r="O185" s="62" t="n">
        <x:v>2.89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Archosargus rhomboidalis</x:v>
      </x:c>
      <x:c r="T185" s="62" t="n">
        <x:f>IF(O185="","",(1/'Metadata'!$B$5)^(O185-1))</x:f>
        <x:v>77.6247116628692</x:v>
      </x:c>
      <x:c r="U185" s="60" t="n">
        <x:f>IF(T185="","",I185*T185)</x:f>
        <x:v>12166.843462580608</x:v>
      </x:c>
    </x:row>
    <x:row r="186" ht="18" customHeight="1">
      <x:c r="A186" s="46" t="str">
        <x:v>LME_012</x:v>
      </x:c>
      <x:c r="B186" s="46" t="str">
        <x:v>Caribbean Sea</x:v>
      </x:c>
      <x:c r="C186" s="46" t="str">
        <x:v>LME</x:v>
      </x:c>
      <x:c r="D186" s="58" t="n">
        <x:v>2019</x:v>
      </x:c>
      <x:c r="E186" s="46" t="str">
        <x:v>Miscellaneous aquatic invertebrates</x:v>
      </x:c>
      <x:c r="F186" s="46" t="str">
        <x:v>Aquatic invertebrates</x:v>
      </x:c>
      <x:c r="G186" s="46" t="str">
        <x:v>Other demersal invertebrates</x:v>
      </x:c>
      <x:c r="H186" s="46" t="str">
        <x:v>Other fishes &amp; inverts</x:v>
      </x:c>
      <x:c r="I186" s="60" t="n">
        <x:v>154.3753179051</x:v>
      </x:c>
      <x:c r="J186" s="60" t="n">
        <x:v>141.0987634118</x:v>
      </x:c>
      <x:c r="K186" s="60" t="n">
        <x:v>13.2765544933</x:v>
      </x:c>
      <x:c r="L186" s="60" t="n">
        <x:v>34.391870080900006</x:v>
      </x:c>
      <x:c r="M186" s="60" t="n">
        <x:v>119.9834478242</x:v>
      </x:c>
      <x:c r="N186" s="46" t="str">
        <x:v>miscellaneous aquatic invertebrates</x:v>
      </x:c>
      <x:c r="O186" s="62" t="n">
        <x:v>2.43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Miscellaneous aquatic invertebrates</x:v>
      </x:c>
      <x:c r="T186" s="62" t="n">
        <x:f>IF(O186="","",(1/'Metadata'!$B$5)^(O186-1))</x:f>
        <x:v>26.915348039269166</x:v>
      </x:c>
      <x:c r="U186" s="60" t="n">
        <x:f>IF(T186="","",I186*T186)</x:f>
        <x:v>4155.065410088587</x:v>
      </x:c>
    </x:row>
    <x:row r="187" ht="18" customHeight="1">
      <x:c r="A187" s="46" t="str">
        <x:v>LME_012</x:v>
      </x:c>
      <x:c r="B187" s="46" t="str">
        <x:v>Caribbean Sea</x:v>
      </x:c>
      <x:c r="C187" s="46" t="str">
        <x:v>LME</x:v>
      </x:c>
      <x:c r="D187" s="58" t="n">
        <x:v>2019</x:v>
      </x:c>
      <x:c r="E187" s="46" t="str">
        <x:v>Penaeus brasiliensis</x:v>
      </x:c>
      <x:c r="F187" s="46" t="str">
        <x:v>Redspotted shrimp</x:v>
      </x:c>
      <x:c r="G187" s="46" t="str">
        <x:v>Shrimps</x:v>
      </x:c>
      <x:c r="H187" s="46" t="str">
        <x:v>Crustaceans</x:v>
      </x:c>
      <x:c r="I187" s="60" t="n">
        <x:v>147.8958365908</x:v>
      </x:c>
      <x:c r="J187" s="60" t="n">
        <x:v>147.8958365908</x:v>
      </x:c>
      <x:c r="K187" s="60" t="n">
        <x:v>0</x:v>
      </x:c>
      <x:c r="L187" s="60" t="n">
        <x:v>147.25987961500002</x:v>
      </x:c>
      <x:c r="M187" s="60" t="n">
        <x:v>0.6359569758</x:v>
      </x:c>
      <x:c r="N187" s="46" t="str">
        <x:v>penaeus brasiliensis</x:v>
      </x:c>
      <x:c r="O187" s="62" t="n">
        <x:v>2.7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Penaeus brasiliensis</x:v>
      </x:c>
      <x:c r="T187" s="62" t="n">
        <x:f>IF(O187="","",(1/'Metadata'!$B$5)^(O187-1))</x:f>
        <x:v>50.11872336272725</x:v>
      </x:c>
      <x:c r="U187" s="60" t="n">
        <x:f>IF(T187="","",I187*T187)</x:f>
        <x:v>7412.35052059342</x:v>
      </x:c>
    </x:row>
    <x:row r="188" ht="18" customHeight="1">
      <x:c r="A188" s="46" t="str">
        <x:v>LME_012</x:v>
      </x:c>
      <x:c r="B188" s="46" t="str">
        <x:v>Caribbean Sea</x:v>
      </x:c>
      <x:c r="C188" s="46" t="str">
        <x:v>LME</x:v>
      </x:c>
      <x:c r="D188" s="58" t="n">
        <x:v>2019</x:v>
      </x:c>
      <x:c r="E188" s="46" t="str">
        <x:v>Penaeus subtilis</x:v>
      </x:c>
      <x:c r="F188" s="46" t="str">
        <x:v>Southern brown shrimp</x:v>
      </x:c>
      <x:c r="G188" s="46" t="str">
        <x:v>Shrimps</x:v>
      </x:c>
      <x:c r="H188" s="46" t="str">
        <x:v>Crustaceans</x:v>
      </x:c>
      <x:c r="I188" s="60" t="n">
        <x:v>145.477751982</x:v>
      </x:c>
      <x:c r="J188" s="60" t="n">
        <x:v>145.477751982</x:v>
      </x:c>
      <x:c r="K188" s="60" t="n">
        <x:v>0</x:v>
      </x:c>
      <x:c r="L188" s="60" t="n">
        <x:v>145.477751982</x:v>
      </x:c>
      <x:c r="M188" s="60" t="n">
        <x:v>0</x:v>
      </x:c>
      <x:c r="N188" s="46" t="str">
        <x:v>penaeus subtilis</x:v>
      </x:c>
      <x:c r="O188" s="62" t="n">
        <x:v>2.76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Penaeus subtilis</x:v>
      </x:c>
      <x:c r="T188" s="62" t="n">
        <x:f>IF(O188="","",(1/'Metadata'!$B$5)^(O188-1))</x:f>
        <x:v>57.543993733715666</x:v>
      </x:c>
      <x:c r="U188" s="60" t="n">
        <x:f>IF(T188="","",I188*T188)</x:f>
        <x:v>8371.37084844725</x:v>
      </x:c>
    </x:row>
    <x:row r="189" ht="18" customHeight="1">
      <x:c r="A189" s="46" t="str">
        <x:v>LME_012</x:v>
      </x:c>
      <x:c r="B189" s="46" t="str">
        <x:v>Caribbean Sea</x:v>
      </x:c>
      <x:c r="C189" s="46" t="str">
        <x:v>LME</x:v>
      </x:c>
      <x:c r="D189" s="58" t="n">
        <x:v>2019</x:v>
      </x:c>
      <x:c r="E189" s="46" t="str">
        <x:v>Penaeus notialis</x:v>
      </x:c>
      <x:c r="F189" s="46" t="str">
        <x:v>Southern pink shrimp</x:v>
      </x:c>
      <x:c r="G189" s="46" t="str">
        <x:v>Shrimps</x:v>
      </x:c>
      <x:c r="H189" s="46" t="str">
        <x:v>Crustaceans</x:v>
      </x:c>
      <x:c r="I189" s="60" t="n">
        <x:v>145.3096117679</x:v>
      </x:c>
      <x:c r="J189" s="60" t="n">
        <x:v>145.3096117679</x:v>
      </x:c>
      <x:c r="K189" s="60" t="n">
        <x:v>0</x:v>
      </x:c>
      <x:c r="L189" s="60" t="n">
        <x:v>145.3096117679</x:v>
      </x:c>
      <x:c r="M189" s="60" t="n">
        <x:v>0</x:v>
      </x:c>
      <x:c r="N189" s="46" t="str">
        <x:v>penaeus notialis</x:v>
      </x:c>
      <x:c r="O189" s="62" t="n">
        <x:v>2.7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Penaeus notialis</x:v>
      </x:c>
      <x:c r="T189" s="62" t="n">
        <x:f>IF(O189="","",(1/'Metadata'!$B$5)^(O189-1))</x:f>
        <x:v>50.11872336272725</x:v>
      </x:c>
      <x:c r="U189" s="60" t="n">
        <x:f>IF(T189="","",I189*T189)</x:f>
        <x:v>7282.732234140677</x:v>
      </x:c>
    </x:row>
    <x:row r="190" ht="18" customHeight="1">
      <x:c r="A190" s="46" t="str">
        <x:v>LME_012</x:v>
      </x:c>
      <x:c r="B190" s="46" t="str">
        <x:v>Caribbean Sea</x:v>
      </x:c>
      <x:c r="C190" s="46" t="str">
        <x:v>LME</x:v>
      </x:c>
      <x:c r="D190" s="58" t="n">
        <x:v>2019</x:v>
      </x:c>
      <x:c r="E190" s="46" t="str">
        <x:v>Albulidae</x:v>
      </x:c>
      <x:c r="F190" s="46" t="str">
        <x:v>Bonefishes</x:v>
      </x:c>
      <x:c r="G190" s="46" t="str">
        <x:v>Medium reef assoc. fish (30 - 89 cm)</x:v>
      </x:c>
      <x:c r="H190" s="46" t="str">
        <x:v>Other fishes &amp; inverts</x:v>
      </x:c>
      <x:c r="I190" s="60" t="n">
        <x:v>140.1815065036</x:v>
      </x:c>
      <x:c r="J190" s="60" t="n">
        <x:v>139.1663867681</x:v>
      </x:c>
      <x:c r="K190" s="60" t="n">
        <x:v>1.0151197355</x:v>
      </x:c>
      <x:c r="L190" s="60" t="n">
        <x:v>26.0513335998</x:v>
      </x:c>
      <x:c r="M190" s="60" t="n">
        <x:v>114.1301729038</x:v>
      </x:c>
      <x:c r="N190" s="46" t="str">
        <x:v>albulidae</x:v>
      </x:c>
      <x:c r="O190" s="62" t="n">
        <x:v>3.47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Albulidae</x:v>
      </x:c>
      <x:c r="T190" s="62" t="n">
        <x:f>IF(O190="","",(1/'Metadata'!$B$5)^(O190-1))</x:f>
        <x:v>295.1209226666387</x:v>
      </x:c>
      <x:c r="U190" s="60" t="n">
        <x:f>IF(T190="","",I190*T190)</x:f>
        <x:v>41370.49554014184</x:v>
      </x:c>
    </x:row>
    <x:row r="191" ht="18" customHeight="1">
      <x:c r="A191" s="46" t="str">
        <x:v>LME_012</x:v>
      </x:c>
      <x:c r="B191" s="46" t="str">
        <x:v>Caribbean Sea</x:v>
      </x:c>
      <x:c r="C191" s="46" t="str">
        <x:v>LME</x:v>
      </x:c>
      <x:c r="D191" s="58" t="n">
        <x:v>2019</x:v>
      </x:c>
      <x:c r="E191" s="46" t="str">
        <x:v>Haemulon bonariense</x:v>
      </x:c>
      <x:c r="F191" s="46" t="str">
        <x:v>Black grunt</x:v>
      </x:c>
      <x:c r="G191" s="46" t="str">
        <x:v>Medium demersals (30 - 89 cm)</x:v>
      </x:c>
      <x:c r="H191" s="46" t="str">
        <x:v>Perch-likes</x:v>
      </x:c>
      <x:c r="I191" s="60" t="n">
        <x:v>138.38231170999998</x:v>
      </x:c>
      <x:c r="J191" s="60" t="n">
        <x:v>138.38231170999998</x:v>
      </x:c>
      <x:c r="K191" s="60" t="n">
        <x:v>0</x:v>
      </x:c>
      <x:c r="L191" s="60" t="n">
        <x:v>138.38231170999998</x:v>
      </x:c>
      <x:c r="M191" s="60" t="n">
        <x:v>0</x:v>
      </x:c>
      <x:c r="N191" s="46" t="str">
        <x:v>haemulon bonariense</x:v>
      </x:c>
      <x:c r="O191" s="62" t="n">
        <x:v>3.54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Haemulon bonariense</x:v>
      </x:c>
      <x:c r="T191" s="62" t="n">
        <x:f>IF(O191="","",(1/'Metadata'!$B$5)^(O191-1))</x:f>
        <x:v>346.73685045253166</x:v>
      </x:c>
      <x:c r="U191" s="60" t="n">
        <x:f>IF(T191="","",I191*T191)</x:f>
        <x:v>47982.246920665886</x:v>
      </x:c>
    </x:row>
    <x:row r="192" ht="18" customHeight="1">
      <x:c r="A192" s="46" t="str">
        <x:v>LME_012</x:v>
      </x:c>
      <x:c r="B192" s="46" t="str">
        <x:v>Caribbean Sea</x:v>
      </x:c>
      <x:c r="C192" s="46" t="str">
        <x:v>LME</x:v>
      </x:c>
      <x:c r="D192" s="58" t="n">
        <x:v>2019</x:v>
      </x:c>
      <x:c r="E192" s="46" t="str">
        <x:v>Negaprion brevirostris</x:v>
      </x:c>
      <x:c r="F192" s="46" t="str">
        <x:v>Lemon shark</x:v>
      </x:c>
      <x:c r="G192" s="46" t="str">
        <x:v>Large sharks (&gt;=90 cm)</x:v>
      </x:c>
      <x:c r="H192" s="46" t="str">
        <x:v>Sharks &amp; rays</x:v>
      </x:c>
      <x:c r="I192" s="60" t="n">
        <x:v>136.9629699642</x:v>
      </x:c>
      <x:c r="J192" s="60" t="n">
        <x:v>136.9614335981</x:v>
      </x:c>
      <x:c r="K192" s="60" t="n">
        <x:v>0.0015363661</x:v>
      </x:c>
      <x:c r="L192" s="60" t="n">
        <x:v>0.29611929360000006</x:v>
      </x:c>
      <x:c r="M192" s="60" t="n">
        <x:v>136.6668506706</x:v>
      </x:c>
      <x:c r="N192" s="46" t="str">
        <x:v>negaprion brevirostris</x:v>
      </x:c>
      <x:c r="O192" s="62" t="n">
        <x:v>4.27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Negaprion brevirostris</x:v>
      </x:c>
      <x:c r="T192" s="62" t="n">
        <x:f>IF(O192="","",(1/'Metadata'!$B$5)^(O192-1))</x:f>
        <x:v>1862.0871366628655</x:v>
      </x:c>
      <x:c r="U192" s="60" t="n">
        <x:f>IF(T192="","",I192*T192)</x:f>
        <x:v>255036.98456947922</x:v>
      </x:c>
    </x:row>
    <x:row r="193" ht="18" customHeight="1">
      <x:c r="A193" s="46" t="str">
        <x:v>LME_012</x:v>
      </x:c>
      <x:c r="B193" s="46" t="str">
        <x:v>Caribbean Sea</x:v>
      </x:c>
      <x:c r="C193" s="46" t="str">
        <x:v>LME</x:v>
      </x:c>
      <x:c r="D193" s="58" t="n">
        <x:v>2019</x:v>
      </x:c>
      <x:c r="E193" s="46" t="str">
        <x:v>Cephalopholis cruentata</x:v>
      </x:c>
      <x:c r="F193" s="46" t="str">
        <x:v>Graysby</x:v>
      </x:c>
      <x:c r="G193" s="46" t="str">
        <x:v>Medium reef assoc. fish (30 - 89 cm)</x:v>
      </x:c>
      <x:c r="H193" s="46" t="str">
        <x:v>Perch-likes</x:v>
      </x:c>
      <x:c r="I193" s="60" t="n">
        <x:v>134.2423808838</x:v>
      </x:c>
      <x:c r="J193" s="60" t="n">
        <x:v>134.2423808838</x:v>
      </x:c>
      <x:c r="K193" s="60" t="n">
        <x:v>0</x:v>
      </x:c>
      <x:c r="L193" s="60" t="n">
        <x:v>71.4598901193</x:v>
      </x:c>
      <x:c r="M193" s="60" t="n">
        <x:v>62.782490764500004</x:v>
      </x:c>
      <x:c r="N193" s="46" t="str">
        <x:v>cephalopholis cruentata</x:v>
      </x:c>
      <x:c r="O193" s="62" t="n">
        <x:v>4.25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Cephalopholis cruentata</x:v>
      </x:c>
      <x:c r="T193" s="62" t="n">
        <x:f>IF(O193="","",(1/'Metadata'!$B$5)^(O193-1))</x:f>
        <x:v>1778.2794100389228</x:v>
      </x:c>
      <x:c r="U193" s="60" t="n">
        <x:f>IF(T193="","",I193*T193)</x:f>
        <x:v>238720.46188026422</x:v>
      </x:c>
    </x:row>
    <x:row r="194" ht="18" customHeight="1">
      <x:c r="A194" s="46" t="str">
        <x:v>LME_012</x:v>
      </x:c>
      <x:c r="B194" s="46" t="str">
        <x:v>Caribbean Sea</x:v>
      </x:c>
      <x:c r="C194" s="46" t="str">
        <x:v>LME</x:v>
      </x:c>
      <x:c r="D194" s="58" t="n">
        <x:v>2019</x:v>
      </x:c>
      <x:c r="E194" s="46" t="str">
        <x:v>Carcharhinus falciformis</x:v>
      </x:c>
      <x:c r="F194" s="46" t="str">
        <x:v>Silky shark</x:v>
      </x:c>
      <x:c r="G194" s="46" t="str">
        <x:v>Large sharks (&gt;=90 cm)</x:v>
      </x:c>
      <x:c r="H194" s="46" t="str">
        <x:v>Sharks &amp; rays</x:v>
      </x:c>
      <x:c r="I194" s="60" t="n">
        <x:v>133.976557973</x:v>
      </x:c>
      <x:c r="J194" s="60" t="n">
        <x:v>133.9762260391</x:v>
      </x:c>
      <x:c r="K194" s="60" t="n">
        <x:v>0.0003319339</x:v>
      </x:c>
      <x:c r="L194" s="60" t="n">
        <x:v>133.974114397</x:v>
      </x:c>
      <x:c r="M194" s="60" t="n">
        <x:v>0.002443576</x:v>
      </x:c>
      <x:c r="N194" s="46" t="str">
        <x:v>carcharhinus falciformis</x:v>
      </x:c>
      <x:c r="O194" s="62" t="n">
        <x:v>4.51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Carcharhinus falciformis</x:v>
      </x:c>
      <x:c r="T194" s="62" t="n">
        <x:f>IF(O194="","",(1/'Metadata'!$B$5)^(O194-1))</x:f>
        <x:v>3235.936569296281</x:v>
      </x:c>
      <x:c r="U194" s="60" t="n">
        <x:f>IF(T194="","",I194*T194)</x:f>
        <x:v>433539.64337327395</x:v>
      </x:c>
    </x:row>
    <x:row r="195" ht="18" customHeight="1">
      <x:c r="A195" s="46" t="str">
        <x:v>LME_012</x:v>
      </x:c>
      <x:c r="B195" s="46" t="str">
        <x:v>Caribbean Sea</x:v>
      </x:c>
      <x:c r="C195" s="46" t="str">
        <x:v>LME</x:v>
      </x:c>
      <x:c r="D195" s="58" t="n">
        <x:v>2019</x:v>
      </x:c>
      <x:c r="E195" s="46" t="str">
        <x:v>Octopodidae</x:v>
      </x:c>
      <x:c r="F195" s="46" t="str">
        <x:v>Octopuses</x:v>
      </x:c>
      <x:c r="G195" s="46" t="str">
        <x:v>Cephalopods</x:v>
      </x:c>
      <x:c r="H195" s="46" t="str">
        <x:v>Other fishes &amp; inverts</x:v>
      </x:c>
      <x:c r="I195" s="60" t="n">
        <x:v>131.4516465078</x:v>
      </x:c>
      <x:c r="J195" s="60" t="n">
        <x:v>131.0341520693</x:v>
      </x:c>
      <x:c r="K195" s="60" t="n">
        <x:v>0.4174944385</x:v>
      </x:c>
      <x:c r="L195" s="60" t="n">
        <x:v>80.4957107326</x:v>
      </x:c>
      <x:c r="M195" s="60" t="n">
        <x:v>50.955935775200004</x:v>
      </x:c>
      <x:c r="N195" s="46" t="str">
        <x:v>octopodidae</x:v>
      </x:c>
      <x:c r="O195" s="62" t="n">
        <x:v>3.59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Octopodidae</x:v>
      </x:c>
      <x:c r="T195" s="62" t="n">
        <x:f>IF(O195="","",(1/'Metadata'!$B$5)^(O195-1))</x:f>
        <x:v>389.04514499428046</x:v>
      </x:c>
      <x:c r="U195" s="60" t="n">
        <x:f>IF(T195="","",I195*T195)</x:f>
        <x:v>51140.62487536395</x:v>
      </x:c>
    </x:row>
    <x:row r="196" ht="18" customHeight="1">
      <x:c r="A196" s="46" t="str">
        <x:v>LME_012</x:v>
      </x:c>
      <x:c r="B196" s="46" t="str">
        <x:v>Caribbean Sea</x:v>
      </x:c>
      <x:c r="C196" s="46" t="str">
        <x:v>LME</x:v>
      </x:c>
      <x:c r="D196" s="58" t="n">
        <x:v>2019</x:v>
      </x:c>
      <x:c r="E196" s="46" t="str">
        <x:v>Batrachoididae</x:v>
      </x:c>
      <x:c r="F196" s="46" t="str">
        <x:v>Toadfishes</x:v>
      </x:c>
      <x:c r="G196" s="46" t="str">
        <x:v>Large reef assoc. fish (&gt;=90 cm)</x:v>
      </x:c>
      <x:c r="H196" s="46" t="str">
        <x:v>Other fishes &amp; inverts</x:v>
      </x:c>
      <x:c r="I196" s="60" t="n">
        <x:v>130.2528077458</x:v>
      </x:c>
      <x:c r="J196" s="60" t="n">
        <x:v>14.3481151329</x:v>
      </x:c>
      <x:c r="K196" s="60" t="n">
        <x:v>115.9046926129</x:v>
      </x:c>
      <x:c r="L196" s="60" t="n">
        <x:v>14.111170261400002</x:v>
      </x:c>
      <x:c r="M196" s="60" t="n">
        <x:v>116.14163748440001</x:v>
      </x:c>
      <x:c r="N196" s="46" t="str">
        <x:v>batrachoididae</x:v>
      </x:c>
      <x:c r="O196" s="62" t="n">
        <x:v>3.66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Batrachoididae</x:v>
      </x:c>
      <x:c r="T196" s="62" t="n">
        <x:f>IF(O196="","",(1/'Metadata'!$B$5)^(O196-1))</x:f>
        <x:v>457.0881896148752</x:v>
      </x:c>
      <x:c r="U196" s="60" t="n">
        <x:f>IF(T196="","",I196*T196)</x:f>
        <x:v>59537.02008478212</x:v>
      </x:c>
    </x:row>
    <x:row r="197" ht="18" customHeight="1">
      <x:c r="A197" s="46" t="str">
        <x:v>LME_012</x:v>
      </x:c>
      <x:c r="B197" s="46" t="str">
        <x:v>Caribbean Sea</x:v>
      </x:c>
      <x:c r="C197" s="46" t="str">
        <x:v>LME</x:v>
      </x:c>
      <x:c r="D197" s="58" t="n">
        <x:v>2019</x:v>
      </x:c>
      <x:c r="E197" s="46" t="str">
        <x:v>Tylosurus crocodilus</x:v>
      </x:c>
      <x:c r="F197" s="46" t="str">
        <x:v>Hound needlefish</x:v>
      </x:c>
      <x:c r="G197" s="46" t="str">
        <x:v>Large pelagics (&gt;=90 cm)</x:v>
      </x:c>
      <x:c r="H197" s="46" t="str">
        <x:v>Other fishes &amp; inverts</x:v>
      </x:c>
      <x:c r="I197" s="60" t="n">
        <x:v>130.20316544070002</x:v>
      </x:c>
      <x:c r="J197" s="60" t="n">
        <x:v>130.20316544070002</x:v>
      </x:c>
      <x:c r="K197" s="60" t="n">
        <x:v>0</x:v>
      </x:c>
      <x:c r="L197" s="60" t="n">
        <x:v>84.3775712627</x:v>
      </x:c>
      <x:c r="M197" s="60" t="n">
        <x:v>45.825594178</x:v>
      </x:c>
      <x:c r="N197" s="46" t="str">
        <x:v>tylosurus crocodilus</x:v>
      </x:c>
      <x:c r="O197" s="62" t="n">
        <x:v>4.43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Tylosurus crocodilus</x:v>
      </x:c>
      <x:c r="T197" s="62" t="n">
        <x:f>IF(O197="","",(1/'Metadata'!$B$5)^(O197-1))</x:f>
        <x:v>2691.534803926914</x:v>
      </x:c>
      <x:c r="U197" s="60" t="n">
        <x:f>IF(T197="","",I197*T197)</x:f>
        <x:v>350446.35136509803</x:v>
      </x:c>
    </x:row>
    <x:row r="198" ht="18" customHeight="1">
      <x:c r="A198" s="46" t="str">
        <x:v>LME_012</x:v>
      </x:c>
      <x:c r="B198" s="46" t="str">
        <x:v>Caribbean Sea</x:v>
      </x:c>
      <x:c r="C198" s="46" t="str">
        <x:v>LME</x:v>
      </x:c>
      <x:c r="D198" s="58" t="n">
        <x:v>2019</x:v>
      </x:c>
      <x:c r="E198" s="46" t="str">
        <x:v>Trachinotus carolinus</x:v>
      </x:c>
      <x:c r="F198" s="46" t="str">
        <x:v>Florida pompano</x:v>
      </x:c>
      <x:c r="G198" s="46" t="str">
        <x:v>Medium benthopelagics (30 - 89 cm)</x:v>
      </x:c>
      <x:c r="H198" s="46" t="str">
        <x:v>Perch-likes</x:v>
      </x:c>
      <x:c r="I198" s="60" t="n">
        <x:v>122.4435091973</x:v>
      </x:c>
      <x:c r="J198" s="60" t="n">
        <x:v>122.0363466271</x:v>
      </x:c>
      <x:c r="K198" s="60" t="n">
        <x:v>0.4071625702</x:v>
      </x:c>
      <x:c r="L198" s="60" t="n">
        <x:v>6.8424461472</x:v>
      </x:c>
      <x:c r="M198" s="60" t="n">
        <x:v>115.6010630501</x:v>
      </x:c>
      <x:c r="N198" s="46" t="str">
        <x:v>trachinotus carolinus</x:v>
      </x:c>
      <x:c r="O198" s="62" t="n">
        <x:v>3.5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Trachinotus carolinus</x:v>
      </x:c>
      <x:c r="T198" s="62" t="n">
        <x:f>IF(O198="","",(1/'Metadata'!$B$5)^(O198-1))</x:f>
        <x:v>316.22776601683796</x:v>
      </x:c>
      <x:c r="U198" s="60" t="n">
        <x:f>IF(T198="","",I198*T198)</x:f>
        <x:v>38720.03737672433</x:v>
      </x:c>
    </x:row>
    <x:row r="199" ht="18" customHeight="1">
      <x:c r="A199" s="46" t="str">
        <x:v>LME_012</x:v>
      </x:c>
      <x:c r="B199" s="46" t="str">
        <x:v>Caribbean Sea</x:v>
      </x:c>
      <x:c r="C199" s="46" t="str">
        <x:v>LME</x:v>
      </x:c>
      <x:c r="D199" s="58" t="n">
        <x:v>2019</x:v>
      </x:c>
      <x:c r="E199" s="46" t="str">
        <x:v>Cynoglossidae</x:v>
      </x:c>
      <x:c r="F199" s="46" t="str">
        <x:v>Tonguefishes</x:v>
      </x:c>
      <x:c r="G199" s="46" t="str">
        <x:v>Small to medium flatfishes (&lt;90 cm)</x:v>
      </x:c>
      <x:c r="H199" s="46" t="str">
        <x:v>Flatfishes</x:v>
      </x:c>
      <x:c r="I199" s="60" t="n">
        <x:v>119.4629897431</x:v>
      </x:c>
      <x:c r="J199" s="60" t="n">
        <x:v>105.2792990335</x:v>
      </x:c>
      <x:c r="K199" s="60" t="n">
        <x:v>14.1836907096</x:v>
      </x:c>
      <x:c r="L199" s="60" t="n">
        <x:v>105.2792990335</x:v>
      </x:c>
      <x:c r="M199" s="60" t="n">
        <x:v>14.1836907096</x:v>
      </x:c>
      <x:c r="N199" s="46" t="str">
        <x:v>cynoglossidae</x:v>
      </x:c>
      <x:c r="O199" s="62" t="n">
        <x:v>3.29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Cynoglossidae</x:v>
      </x:c>
      <x:c r="T199" s="62" t="n">
        <x:f>IF(O199="","",(1/'Metadata'!$B$5)^(O199-1))</x:f>
        <x:v>194.98445997580455</x:v>
      </x:c>
      <x:c r="U199" s="60" t="n">
        <x:f>IF(T199="","",I199*T199)</x:f>
        <x:v>23293.426542153433</x:v>
      </x:c>
    </x:row>
    <x:row r="200" ht="18" customHeight="1">
      <x:c r="A200" s="46" t="str">
        <x:v>LME_012</x:v>
      </x:c>
      <x:c r="B200" s="46" t="str">
        <x:v>Caribbean Sea</x:v>
      </x:c>
      <x:c r="C200" s="46" t="str">
        <x:v>LME</x:v>
      </x:c>
      <x:c r="D200" s="58" t="n">
        <x:v>2019</x:v>
      </x:c>
      <x:c r="E200" s="46" t="str">
        <x:v>Menticirrhus americanus</x:v>
      </x:c>
      <x:c r="F200" s="46" t="str">
        <x:v>Southern kingcroaker</x:v>
      </x:c>
      <x:c r="G200" s="46" t="str">
        <x:v>Medium demersals (30 - 89 cm)</x:v>
      </x:c>
      <x:c r="H200" s="46" t="str">
        <x:v>Perch-likes</x:v>
      </x:c>
      <x:c r="I200" s="60" t="n">
        <x:v>118.801871294</x:v>
      </x:c>
      <x:c r="J200" s="60" t="n">
        <x:v>95.0902273294</x:v>
      </x:c>
      <x:c r="K200" s="60" t="n">
        <x:v>23.7116439646</x:v>
      </x:c>
      <x:c r="L200" s="60" t="n">
        <x:v>0</x:v>
      </x:c>
      <x:c r="M200" s="60" t="n">
        <x:v>118.801871294</x:v>
      </x:c>
      <x:c r="N200" s="46" t="str">
        <x:v>menticirrhus americanus</x:v>
      </x:c>
      <x:c r="O200" s="62" t="n">
        <x:v>3.5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Menticirrhus americanus</x:v>
      </x:c>
      <x:c r="T200" s="62" t="n">
        <x:f>IF(O200="","",(1/'Metadata'!$B$5)^(O200-1))</x:f>
        <x:v>316.22776601683796</x:v>
      </x:c>
      <x:c r="U200" s="60" t="n">
        <x:f>IF(T200="","",I200*T200)</x:f>
        <x:v>37568.45035792153</x:v>
      </x:c>
    </x:row>
    <x:row r="201" ht="18" customHeight="1">
      <x:c r="A201" s="46" t="str">
        <x:v>LME_012</x:v>
      </x:c>
      <x:c r="B201" s="46" t="str">
        <x:v>Caribbean Sea</x:v>
      </x:c>
      <x:c r="C201" s="46" t="str">
        <x:v>LME</x:v>
      </x:c>
      <x:c r="D201" s="58" t="n">
        <x:v>2019</x:v>
      </x:c>
      <x:c r="E201" s="46" t="str">
        <x:v>Hippospongia lachne</x:v>
      </x:c>
      <x:c r="F201" s="46" t="str">
        <x:v>Sheepswool sponge</x:v>
      </x:c>
      <x:c r="G201" s="46" t="str">
        <x:v>Other demersal invertebrates</x:v>
      </x:c>
      <x:c r="H201" s="46" t="str">
        <x:v>Other fishes &amp; inverts</x:v>
      </x:c>
      <x:c r="I201" s="60" t="n">
        <x:v>118.46694672420001</x:v>
      </x:c>
      <x:c r="J201" s="60" t="n">
        <x:v>118.46694672420001</x:v>
      </x:c>
      <x:c r="K201" s="60" t="n">
        <x:v>0</x:v>
      </x:c>
      <x:c r="L201" s="60" t="n">
        <x:v>25.8514768774</x:v>
      </x:c>
      <x:c r="M201" s="60" t="n">
        <x:v>92.61546984680001</x:v>
      </x:c>
      <x:c r="N201" s="46" t="str">
        <x:v>hippospongia lachne</x:v>
      </x:c>
      <x:c r="O201" s="62" t="n">
        <x:v>2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Hippospongia lachne</x:v>
      </x:c>
      <x:c r="T201" s="62" t="n">
        <x:f>IF(O201="","",(1/'Metadata'!$B$5)^(O201-1))</x:f>
        <x:v>10</x:v>
      </x:c>
      <x:c r="U201" s="60" t="n">
        <x:f>IF(T201="","",I201*T201)</x:f>
        <x:v>1184.669467242</x:v>
      </x:c>
    </x:row>
    <x:row r="202" ht="18" customHeight="1">
      <x:c r="A202" s="46" t="str">
        <x:v>LME_012</x:v>
      </x:c>
      <x:c r="B202" s="46" t="str">
        <x:v>Caribbean Sea</x:v>
      </x:c>
      <x:c r="C202" s="46" t="str">
        <x:v>LME</x:v>
      </x:c>
      <x:c r="D202" s="58" t="n">
        <x:v>2019</x:v>
      </x:c>
      <x:c r="E202" s="46" t="str">
        <x:v>Rhinoptera brasiliensis</x:v>
      </x:c>
      <x:c r="F202" s="46" t="str">
        <x:v>Ticon cownose ray</x:v>
      </x:c>
      <x:c r="G202" s="46" t="str">
        <x:v>Large rays (&gt;=90 cm)</x:v>
      </x:c>
      <x:c r="H202" s="46" t="str">
        <x:v>Sharks &amp; rays</x:v>
      </x:c>
      <x:c r="I202" s="60" t="n">
        <x:v>118.14162498319999</x:v>
      </x:c>
      <x:c r="J202" s="60" t="n">
        <x:v>118.14162498319999</x:v>
      </x:c>
      <x:c r="K202" s="60" t="n">
        <x:v>0</x:v>
      </x:c>
      <x:c r="L202" s="60" t="n">
        <x:v>118.14162498319999</x:v>
      </x:c>
      <x:c r="M202" s="60" t="n">
        <x:v>0</x:v>
      </x:c>
      <x:c r="N202" s="46" t="str">
        <x:v>rhinoptera brasiliensis</x:v>
      </x:c>
      <x:c r="O202" s="62" t="n">
        <x:v>3.6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Rhinoptera brasiliensis</x:v>
      </x:c>
      <x:c r="T202" s="62" t="n">
        <x:f>IF(O202="","",(1/'Metadata'!$B$5)^(O202-1))</x:f>
        <x:v>398.1071705534973</x:v>
      </x:c>
      <x:c r="U202" s="60" t="n">
        <x:f>IF(T202="","",I202*T202)</x:f>
        <x:v>47033.028046654115</x:v>
      </x:c>
    </x:row>
    <x:row r="203" ht="18" customHeight="1">
      <x:c r="A203" s="46" t="str">
        <x:v>LME_012</x:v>
      </x:c>
      <x:c r="B203" s="46" t="str">
        <x:v>Caribbean Sea</x:v>
      </x:c>
      <x:c r="C203" s="46" t="str">
        <x:v>LME</x:v>
      </x:c>
      <x:c r="D203" s="58" t="n">
        <x:v>2019</x:v>
      </x:c>
      <x:c r="E203" s="46" t="str">
        <x:v>Epinephelus morio</x:v>
      </x:c>
      <x:c r="F203" s="46" t="str">
        <x:v>Red grouper</x:v>
      </x:c>
      <x:c r="G203" s="46" t="str">
        <x:v>Large reef assoc. fish (&gt;=90 cm)</x:v>
      </x:c>
      <x:c r="H203" s="46" t="str">
        <x:v>Perch-likes</x:v>
      </x:c>
      <x:c r="I203" s="60" t="n">
        <x:v>117.7518089434</x:v>
      </x:c>
      <x:c r="J203" s="60" t="n">
        <x:v>114.6565089474</x:v>
      </x:c>
      <x:c r="K203" s="60" t="n">
        <x:v>3.095299996</x:v>
      </x:c>
      <x:c r="L203" s="60" t="n">
        <x:v>54.8209585204</x:v>
      </x:c>
      <x:c r="M203" s="60" t="n">
        <x:v>62.930850422999995</x:v>
      </x:c>
      <x:c r="N203" s="46" t="str">
        <x:v>epinephelus morio</x:v>
      </x:c>
      <x:c r="O203" s="62" t="n">
        <x:v>3.5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Epinephelus morio</x:v>
      </x:c>
      <x:c r="T203" s="62" t="n">
        <x:f>IF(O203="","",(1/'Metadata'!$B$5)^(O203-1))</x:f>
        <x:v>316.22776601683796</x:v>
      </x:c>
      <x:c r="U203" s="60" t="n">
        <x:f>IF(T203="","",I203*T203)</x:f>
        <x:v>37236.3914866129</x:v>
      </x:c>
    </x:row>
    <x:row r="204" ht="18" customHeight="1">
      <x:c r="A204" s="46" t="str">
        <x:v>LME_012</x:v>
      </x:c>
      <x:c r="B204" s="46" t="str">
        <x:v>Caribbean Sea</x:v>
      </x:c>
      <x:c r="C204" s="46" t="str">
        <x:v>LME</x:v>
      </x:c>
      <x:c r="D204" s="58" t="n">
        <x:v>2019</x:v>
      </x:c>
      <x:c r="E204" s="46" t="str">
        <x:v>Holothuriidae</x:v>
      </x:c>
      <x:c r="F204" s="46" t="str">
        <x:v>Fleshy sea cucumbers</x:v>
      </x:c>
      <x:c r="G204" s="46" t="str">
        <x:v>Other demersal invertebrates</x:v>
      </x:c>
      <x:c r="H204" s="46" t="str">
        <x:v>Other fishes &amp; inverts</x:v>
      </x:c>
      <x:c r="I204" s="60" t="n">
        <x:v>117.5595936453</x:v>
      </x:c>
      <x:c r="J204" s="60" t="n">
        <x:v>117.5595936453</x:v>
      </x:c>
      <x:c r="K204" s="60" t="n">
        <x:v>0</x:v>
      </x:c>
      <x:c r="L204" s="60" t="n">
        <x:v>104.50204274829998</x:v>
      </x:c>
      <x:c r="M204" s="60" t="n">
        <x:v>13.057550897</x:v>
      </x:c>
      <x:c r="N204" s="46" t="str">
        <x:v>holothuriidae</x:v>
      </x:c>
      <x:c r="O204" s="62" t="n">
        <x:v>2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Holothuriidae</x:v>
      </x:c>
      <x:c r="T204" s="62" t="n">
        <x:f>IF(O204="","",(1/'Metadata'!$B$5)^(O204-1))</x:f>
        <x:v>10</x:v>
      </x:c>
      <x:c r="U204" s="60" t="n">
        <x:f>IF(T204="","",I204*T204)</x:f>
        <x:v>1175.595936453</x:v>
      </x:c>
    </x:row>
    <x:row r="205" ht="18" customHeight="1">
      <x:c r="A205" s="46" t="str">
        <x:v>LME_012</x:v>
      </x:c>
      <x:c r="B205" s="46" t="str">
        <x:v>Caribbean Sea</x:v>
      </x:c>
      <x:c r="C205" s="46" t="str">
        <x:v>LME</x:v>
      </x:c>
      <x:c r="D205" s="58" t="n">
        <x:v>2019</x:v>
      </x:c>
      <x:c r="E205" s="46" t="str">
        <x:v>Menticirrhus littoralis</x:v>
      </x:c>
      <x:c r="F205" s="46" t="str">
        <x:v>Gulf kingcroaker</x:v>
      </x:c>
      <x:c r="G205" s="46" t="str">
        <x:v>Medium demersals (30 - 89 cm)</x:v>
      </x:c>
      <x:c r="H205" s="46" t="str">
        <x:v>Perch-likes</x:v>
      </x:c>
      <x:c r="I205" s="60" t="n">
        <x:v>116.80588316129999</x:v>
      </x:c>
      <x:c r="J205" s="60" t="n">
        <x:v>116.7877650426</x:v>
      </x:c>
      <x:c r="K205" s="60" t="n">
        <x:v>0.0181181187</x:v>
      </x:c>
      <x:c r="L205" s="60" t="n">
        <x:v>19.6896039986</x:v>
      </x:c>
      <x:c r="M205" s="60" t="n">
        <x:v>97.1162791627</x:v>
      </x:c>
      <x:c r="N205" s="46" t="str">
        <x:v>menticirrhus littoralis</x:v>
      </x:c>
      <x:c r="O205" s="62" t="n">
        <x:v>3.92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Menticirrhus littoralis</x:v>
      </x:c>
      <x:c r="T205" s="62" t="n">
        <x:f>IF(O205="","",(1/'Metadata'!$B$5)^(O205-1))</x:f>
        <x:v>831.7637711026708</x:v>
      </x:c>
      <x:c r="U205" s="60" t="n">
        <x:f>IF(T205="","",I205*T205)</x:f>
        <x:v>97154.90186522083</x:v>
      </x:c>
    </x:row>
    <x:row r="206" ht="18" customHeight="1">
      <x:c r="A206" s="46" t="str">
        <x:v>LME_012</x:v>
      </x:c>
      <x:c r="B206" s="46" t="str">
        <x:v>Caribbean Sea</x:v>
      </x:c>
      <x:c r="C206" s="46" t="str">
        <x:v>LME</x:v>
      </x:c>
      <x:c r="D206" s="58" t="n">
        <x:v>2019</x:v>
      </x:c>
      <x:c r="E206" s="46" t="str">
        <x:v>Conodon nobilis</x:v>
      </x:c>
      <x:c r="F206" s="46" t="str">
        <x:v>Barred grunt</x:v>
      </x:c>
      <x:c r="G206" s="46" t="str">
        <x:v>Small demersals (&lt;30 cm)</x:v>
      </x:c>
      <x:c r="H206" s="46" t="str">
        <x:v>Perch-likes</x:v>
      </x:c>
      <x:c r="I206" s="60" t="n">
        <x:v>115.6712039067</x:v>
      </x:c>
      <x:c r="J206" s="60" t="n">
        <x:v>115.6712039067</x:v>
      </x:c>
      <x:c r="K206" s="60" t="n">
        <x:v>0</x:v>
      </x:c>
      <x:c r="L206" s="60" t="n">
        <x:v>108.1050343343</x:v>
      </x:c>
      <x:c r="M206" s="60" t="n">
        <x:v>7.5661695724</x:v>
      </x:c>
      <x:c r="N206" s="46" t="str">
        <x:v>conodon nobilis</x:v>
      </x:c>
      <x:c r="O206" s="62" t="n">
        <x:v>3.61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Conodon nobilis</x:v>
      </x:c>
      <x:c r="T206" s="62" t="n">
        <x:f>IF(O206="","",(1/'Metadata'!$B$5)^(O206-1))</x:f>
        <x:v>407.3802778041126</x:v>
      </x:c>
      <x:c r="U206" s="60" t="n">
        <x:f>IF(T206="","",I206*T206)</x:f>
        <x:v>47122.1671814476</x:v>
      </x:c>
    </x:row>
    <x:row r="207" ht="18" customHeight="1">
      <x:c r="A207" s="46" t="str">
        <x:v>LME_012</x:v>
      </x:c>
      <x:c r="B207" s="46" t="str">
        <x:v>Caribbean Sea</x:v>
      </x:c>
      <x:c r="C207" s="46" t="str">
        <x:v>LME</x:v>
      </x:c>
      <x:c r="D207" s="58" t="n">
        <x:v>2019</x:v>
      </x:c>
      <x:c r="E207" s="46" t="str">
        <x:v>Sphyrna lewini</x:v>
      </x:c>
      <x:c r="F207" s="46" t="str">
        <x:v>Scalloped hammerhead</x:v>
      </x:c>
      <x:c r="G207" s="46" t="str">
        <x:v>Large sharks (&gt;=90 cm)</x:v>
      </x:c>
      <x:c r="H207" s="46" t="str">
        <x:v>Sharks &amp; rays</x:v>
      </x:c>
      <x:c r="I207" s="60" t="n">
        <x:v>114.7653933895</x:v>
      </x:c>
      <x:c r="J207" s="60" t="n">
        <x:v>114.5676321731</x:v>
      </x:c>
      <x:c r="K207" s="60" t="n">
        <x:v>0.1977612164</x:v>
      </x:c>
      <x:c r="L207" s="60" t="n">
        <x:v>15.3506581528</x:v>
      </x:c>
      <x:c r="M207" s="60" t="n">
        <x:v>99.4147352367</x:v>
      </x:c>
      <x:c r="N207" s="46" t="str">
        <x:v>sphyrna lewini</x:v>
      </x:c>
      <x:c r="O207" s="62" t="n">
        <x:v>4.08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Sphyrna lewini</x:v>
      </x:c>
      <x:c r="T207" s="62" t="n">
        <x:f>IF(O207="","",(1/'Metadata'!$B$5)^(O207-1))</x:f>
        <x:v>1202.2644346174131</x:v>
      </x:c>
      <x:c r="U207" s="60" t="n">
        <x:f>IF(T207="","",I207*T207)</x:f>
        <x:v>137978.35079707223</x:v>
      </x:c>
    </x:row>
    <x:row r="208" ht="18" customHeight="1">
      <x:c r="A208" s="46" t="str">
        <x:v>LME_012</x:v>
      </x:c>
      <x:c r="B208" s="46" t="str">
        <x:v>Caribbean Sea</x:v>
      </x:c>
      <x:c r="C208" s="46" t="str">
        <x:v>LME</x:v>
      </x:c>
      <x:c r="D208" s="58" t="n">
        <x:v>2019</x:v>
      </x:c>
      <x:c r="E208" s="46" t="str">
        <x:v>Gerres cinereus</x:v>
      </x:c>
      <x:c r="F208" s="46" t="str">
        <x:v>Yellow fin mojarra</x:v>
      </x:c>
      <x:c r="G208" s="46" t="str">
        <x:v>Small reef assoc. fish (&lt;30 cm)</x:v>
      </x:c>
      <x:c r="H208" s="46" t="str">
        <x:v>Perch-likes</x:v>
      </x:c>
      <x:c r="I208" s="60" t="n">
        <x:v>110.50946716199999</x:v>
      </x:c>
      <x:c r="J208" s="60" t="n">
        <x:v>110.50946716199999</x:v>
      </x:c>
      <x:c r="K208" s="60" t="n">
        <x:v>0</x:v>
      </x:c>
      <x:c r="L208" s="60" t="n">
        <x:v>3.447611296</x:v>
      </x:c>
      <x:c r="M208" s="60" t="n">
        <x:v>107.061855866</x:v>
      </x:c>
      <x:c r="N208" s="46" t="str">
        <x:v>gerres cinereus</x:v>
      </x:c>
      <x:c r="O208" s="62" t="n">
        <x:v>3.47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Gerres cinereus</x:v>
      </x:c>
      <x:c r="T208" s="62" t="n">
        <x:f>IF(O208="","",(1/'Metadata'!$B$5)^(O208-1))</x:f>
        <x:v>295.1209226666387</x:v>
      </x:c>
      <x:c r="U208" s="60" t="n">
        <x:f>IF(T208="","",I208*T208)</x:f>
        <x:v>32613.65591224805</x:v>
      </x:c>
    </x:row>
    <x:row r="209" ht="18" customHeight="1">
      <x:c r="A209" s="46" t="str">
        <x:v>LME_012</x:v>
      </x:c>
      <x:c r="B209" s="46" t="str">
        <x:v>Caribbean Sea</x:v>
      </x:c>
      <x:c r="C209" s="46" t="str">
        <x:v>LME</x:v>
      </x:c>
      <x:c r="D209" s="58" t="n">
        <x:v>2019</x:v>
      </x:c>
      <x:c r="E209" s="46" t="str">
        <x:v>Mycteroperca bonaci</x:v>
      </x:c>
      <x:c r="F209" s="46" t="str">
        <x:v>Black grouper</x:v>
      </x:c>
      <x:c r="G209" s="46" t="str">
        <x:v>Large reef assoc. fish (&gt;=90 cm)</x:v>
      </x:c>
      <x:c r="H209" s="46" t="str">
        <x:v>Perch-likes</x:v>
      </x:c>
      <x:c r="I209" s="60" t="n">
        <x:v>108.5879562935</x:v>
      </x:c>
      <x:c r="J209" s="60" t="n">
        <x:v>108.5246583112</x:v>
      </x:c>
      <x:c r="K209" s="60" t="n">
        <x:v>0.0632979823</x:v>
      </x:c>
      <x:c r="L209" s="60" t="n">
        <x:v>48.7236740548</x:v>
      </x:c>
      <x:c r="M209" s="60" t="n">
        <x:v>59.86428223869999</x:v>
      </x:c>
      <x:c r="N209" s="46" t="str">
        <x:v>mycteroperca bonaci</x:v>
      </x:c>
      <x:c r="O209" s="62" t="n">
        <x:v>4.3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Mycteroperca bonaci</x:v>
      </x:c>
      <x:c r="T209" s="62" t="n">
        <x:f>IF(O209="","",(1/'Metadata'!$B$5)^(O209-1))</x:f>
        <x:v>1995.2623149688789</x:v>
      </x:c>
      <x:c r="U209" s="60" t="n">
        <x:f>IF(T209="","",I209*T209)</x:f>
        <x:v>216661.45705190825</x:v>
      </x:c>
    </x:row>
    <x:row r="210" ht="18" customHeight="1">
      <x:c r="A210" s="46" t="str">
        <x:v>LME_012</x:v>
      </x:c>
      <x:c r="B210" s="46" t="str">
        <x:v>Caribbean Sea</x:v>
      </x:c>
      <x:c r="C210" s="46" t="str">
        <x:v>LME</x:v>
      </x:c>
      <x:c r="D210" s="58" t="n">
        <x:v>2019</x:v>
      </x:c>
      <x:c r="E210" s="46" t="str">
        <x:v>Gadiformes</x:v>
      </x:c>
      <x:c r="F210" s="46" t="str">
        <x:v>Cods</x:v>
      </x:c>
      <x:c r="G210" s="46" t="str">
        <x:v>Medium benthopelagics (30 - 89 cm)</x:v>
      </x:c>
      <x:c r="H210" s="46" t="str">
        <x:v>Cod-likes</x:v>
      </x:c>
      <x:c r="I210" s="60" t="n">
        <x:v>106.3242169429</x:v>
      </x:c>
      <x:c r="J210" s="60" t="n">
        <x:v>106.3222860119</x:v>
      </x:c>
      <x:c r="K210" s="60" t="n">
        <x:v>0.001930931</x:v>
      </x:c>
      <x:c r="L210" s="60" t="n">
        <x:v>71.9563759378</x:v>
      </x:c>
      <x:c r="M210" s="60" t="n">
        <x:v>34.3678410051</x:v>
      </x:c>
      <x:c r="N210" s="46" t="str">
        <x:v>gadiformes</x:v>
      </x:c>
      <x:c r="O210" s="62" t="n">
        <x:v>3.91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Gadiformes</x:v>
      </x:c>
      <x:c r="T210" s="62" t="n">
        <x:f>IF(O210="","",(1/'Metadata'!$B$5)^(O210-1))</x:f>
        <x:v>812.8305161640995</x:v>
      </x:c>
      <x:c r="U210" s="60" t="n">
        <x:f>IF(T210="","",I210*T210)</x:f>
        <x:v>86423.5681384411</x:v>
      </x:c>
    </x:row>
    <x:row r="211" ht="18" customHeight="1">
      <x:c r="A211" s="46" t="str">
        <x:v>LME_012</x:v>
      </x:c>
      <x:c r="B211" s="46" t="str">
        <x:v>Caribbean Sea</x:v>
      </x:c>
      <x:c r="C211" s="46" t="str">
        <x:v>LME</x:v>
      </x:c>
      <x:c r="D211" s="58" t="n">
        <x:v>2019</x:v>
      </x:c>
      <x:c r="E211" s="46" t="str">
        <x:v>Sphyraena guachancho</x:v>
      </x:c>
      <x:c r="F211" s="46" t="str">
        <x:v>Guachanche barracuda</x:v>
      </x:c>
      <x:c r="G211" s="46" t="str">
        <x:v>Large pelagics (&gt;=90 cm)</x:v>
      </x:c>
      <x:c r="H211" s="46" t="str">
        <x:v>Perch-likes</x:v>
      </x:c>
      <x:c r="I211" s="60" t="n">
        <x:v>104.69500002539999</x:v>
      </x:c>
      <x:c r="J211" s="60" t="n">
        <x:v>104.6945167647</x:v>
      </x:c>
      <x:c r="K211" s="60" t="n">
        <x:v>0.0004832607</x:v>
      </x:c>
      <x:c r="L211" s="60" t="n">
        <x:v>104.6945167647</x:v>
      </x:c>
      <x:c r="M211" s="60" t="n">
        <x:v>0.0004832607</x:v>
      </x:c>
      <x:c r="N211" s="46" t="str">
        <x:v>sphyraena guachancho</x:v>
      </x:c>
      <x:c r="O211" s="62" t="n">
        <x:v>4.35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Sphyraena guachancho</x:v>
      </x:c>
      <x:c r="T211" s="62" t="n">
        <x:f>IF(O211="","",(1/'Metadata'!$B$5)^(O211-1))</x:f>
        <x:v>2238.7211385683377</x:v>
      </x:c>
      <x:c r="U211" s="60" t="n">
        <x:f>IF(T211="","",I211*T211)</x:f>
        <x:v>234382.9096592756</x:v>
      </x:c>
    </x:row>
    <x:row r="212" ht="18" customHeight="1">
      <x:c r="A212" s="46" t="str">
        <x:v>LME_012</x:v>
      </x:c>
      <x:c r="B212" s="46" t="str">
        <x:v>Caribbean Sea</x:v>
      </x:c>
      <x:c r="C212" s="46" t="str">
        <x:v>LME</x:v>
      </x:c>
      <x:c r="D212" s="58" t="n">
        <x:v>2019</x:v>
      </x:c>
      <x:c r="E212" s="46" t="str">
        <x:v>Bivalvia</x:v>
      </x:c>
      <x:c r="F212" s="46" t="str">
        <x:v>Clams</x:v>
      </x:c>
      <x:c r="G212" s="46" t="str">
        <x:v>Other demersal invertebrates</x:v>
      </x:c>
      <x:c r="H212" s="46" t="str">
        <x:v>Molluscs</x:v>
      </x:c>
      <x:c r="I212" s="60" t="n">
        <x:v>98.5661245612</x:v>
      </x:c>
      <x:c r="J212" s="60" t="n">
        <x:v>97.57026300940001</x:v>
      </x:c>
      <x:c r="K212" s="60" t="n">
        <x:v>0.9958615518</x:v>
      </x:c>
      <x:c r="L212" s="60" t="n">
        <x:v>86.9166072357</x:v>
      </x:c>
      <x:c r="M212" s="60" t="n">
        <x:v>11.6495173255</x:v>
      </x:c>
      <x:c r="N212" s="46" t="str">
        <x:v>bivalvia</x:v>
      </x:c>
      <x:c r="O212" s="62" t="n">
        <x:v>2.23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Bivalvia</x:v>
      </x:c>
      <x:c r="T212" s="62" t="n">
        <x:f>IF(O212="","",(1/'Metadata'!$B$5)^(O212-1))</x:f>
        <x:v>16.982436524617444</x:v>
      </x:c>
      <x:c r="U212" s="60" t="n">
        <x:f>IF(T212="","",I212*T212)</x:f>
        <x:v>1673.8929538381155</x:v>
      </x:c>
    </x:row>
    <x:row r="213" ht="18" customHeight="1">
      <x:c r="A213" s="46" t="str">
        <x:v>LME_012</x:v>
      </x:c>
      <x:c r="B213" s="46" t="str">
        <x:v>Caribbean Sea</x:v>
      </x:c>
      <x:c r="C213" s="46" t="str">
        <x:v>LME</x:v>
      </x:c>
      <x:c r="D213" s="58" t="n">
        <x:v>2019</x:v>
      </x:c>
      <x:c r="E213" s="46" t="str">
        <x:v>Malacostraca</x:v>
      </x:c>
      <x:c r="F213" s="46" t="str">
        <x:v>Lobsters, crabs, shrimps, krill</x:v>
      </x:c>
      <x:c r="G213" s="46" t="str">
        <x:v>Shrimps</x:v>
      </x:c>
      <x:c r="H213" s="46" t="str">
        <x:v>Crustaceans</x:v>
      </x:c>
      <x:c r="I213" s="60" t="n">
        <x:v>96.54525223990001</x:v>
      </x:c>
      <x:c r="J213" s="60" t="n">
        <x:v>19.1020524967</x:v>
      </x:c>
      <x:c r="K213" s="60" t="n">
        <x:v>77.44319974320001</x:v>
      </x:c>
      <x:c r="L213" s="60" t="n">
        <x:v>9.3962390924</x:v>
      </x:c>
      <x:c r="M213" s="60" t="n">
        <x:v>87.1490131475</x:v>
      </x:c>
      <x:c r="N213" s="46" t="str">
        <x:v>malacostraca</x:v>
      </x:c>
      <x:c r="O213" s="62" t="n">
        <x:v>3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Malacostraca</x:v>
      </x:c>
      <x:c r="T213" s="62" t="n">
        <x:f>IF(O213="","",(1/'Metadata'!$B$5)^(O213-1))</x:f>
        <x:v>100</x:v>
      </x:c>
      <x:c r="U213" s="60" t="n">
        <x:f>IF(T213="","",I213*T213)</x:f>
        <x:v>9654.52522399</x:v>
      </x:c>
    </x:row>
    <x:row r="214" ht="18" customHeight="1">
      <x:c r="A214" s="46" t="str">
        <x:v>LME_012</x:v>
      </x:c>
      <x:c r="B214" s="46" t="str">
        <x:v>Caribbean Sea</x:v>
      </x:c>
      <x:c r="C214" s="46" t="str">
        <x:v>LME</x:v>
      </x:c>
      <x:c r="D214" s="58" t="n">
        <x:v>2019</x:v>
      </x:c>
      <x:c r="E214" s="46" t="str">
        <x:v>Decapterus</x:v>
      </x:c>
      <x:c r="F214" s="46" t="str">
        <x:v>Scads</x:v>
      </x:c>
      <x:c r="G214" s="46" t="str">
        <x:v>Medium pelagics (30 - 89 cm)</x:v>
      </x:c>
      <x:c r="H214" s="46" t="str">
        <x:v>Perch-likes</x:v>
      </x:c>
      <x:c r="I214" s="60" t="n">
        <x:v>95.5338407808</x:v>
      </x:c>
      <x:c r="J214" s="60" t="n">
        <x:v>95.5338407808</x:v>
      </x:c>
      <x:c r="K214" s="60" t="n">
        <x:v>0</x:v>
      </x:c>
      <x:c r="L214" s="60" t="n">
        <x:v>95.32836735560001</x:v>
      </x:c>
      <x:c r="M214" s="60" t="n">
        <x:v>0.2054734252</x:v>
      </x:c>
      <x:c r="N214" s="46" t="str">
        <x:v>decapterus</x:v>
      </x:c>
      <x:c r="O214" s="62" t="n">
        <x:v>3.63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Decapterus</x:v>
      </x:c>
      <x:c r="T214" s="62" t="n">
        <x:f>IF(O214="","",(1/'Metadata'!$B$5)^(O214-1))</x:f>
        <x:v>426.57951880159254</x:v>
      </x:c>
      <x:c r="U214" s="60" t="n">
        <x:f>IF(T214="","",I214*T214)</x:f>
        <x:v>40752.77982954162</x:v>
      </x:c>
    </x:row>
    <x:row r="215" ht="18" customHeight="1">
      <x:c r="A215" s="46" t="str">
        <x:v>LME_012</x:v>
      </x:c>
      <x:c r="B215" s="46" t="str">
        <x:v>Caribbean Sea</x:v>
      </x:c>
      <x:c r="C215" s="46" t="str">
        <x:v>LME</x:v>
      </x:c>
      <x:c r="D215" s="58" t="n">
        <x:v>2019</x:v>
      </x:c>
      <x:c r="E215" s="46" t="str">
        <x:v>Etelis</x:v>
      </x:c>
      <x:c r="F215" s="46" t="str">
        <x:v>Snappers</x:v>
      </x:c>
      <x:c r="G215" s="46" t="str">
        <x:v>Medium bathydemersals (30 - 89 cm)</x:v>
      </x:c>
      <x:c r="H215" s="46" t="str">
        <x:v>Perch-likes</x:v>
      </x:c>
      <x:c r="I215" s="60" t="n">
        <x:v>93.6849253947</x:v>
      </x:c>
      <x:c r="J215" s="60" t="n">
        <x:v>92.1904922476</x:v>
      </x:c>
      <x:c r="K215" s="60" t="n">
        <x:v>1.4944331470999999</x:v>
      </x:c>
      <x:c r="L215" s="60" t="n">
        <x:v>92.1904922476</x:v>
      </x:c>
      <x:c r="M215" s="60" t="n">
        <x:v>1.4944331470999999</x:v>
      </x:c>
      <x:c r="N215" s="46" t="str">
        <x:v>etelis</x:v>
      </x:c>
      <x:c r="O215" s="62" t="n">
        <x:v>4.36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Etelis</x:v>
      </x:c>
      <x:c r="T215" s="62" t="n">
        <x:f>IF(O215="","",(1/'Metadata'!$B$5)^(O215-1))</x:f>
        <x:v>2290.867652767775</x:v>
      </x:c>
      <x:c r="U215" s="60" t="n">
        <x:f>IF(T215="","",I215*T215)</x:f>
        <x:v>214619.7651386805</x:v>
      </x:c>
    </x:row>
    <x:row r="216" ht="18" customHeight="1">
      <x:c r="A216" s="46" t="str">
        <x:v>LME_012</x:v>
      </x:c>
      <x:c r="B216" s="46" t="str">
        <x:v>Caribbean Sea</x:v>
      </x:c>
      <x:c r="C216" s="46" t="str">
        <x:v>LME</x:v>
      </x:c>
      <x:c r="D216" s="58" t="n">
        <x:v>2019</x:v>
      </x:c>
      <x:c r="E216" s="46" t="str">
        <x:v>Donax</x:v>
      </x:c>
      <x:c r="F216" s="46" t="str">
        <x:v>Bean clams</x:v>
      </x:c>
      <x:c r="G216" s="46" t="str">
        <x:v>Other demersal invertebrates</x:v>
      </x:c>
      <x:c r="H216" s="46" t="str">
        <x:v>Molluscs</x:v>
      </x:c>
      <x:c r="I216" s="60" t="n">
        <x:v>85.41688188859999</x:v>
      </x:c>
      <x:c r="J216" s="60" t="n">
        <x:v>85.41688188859999</x:v>
      </x:c>
      <x:c r="K216" s="60" t="n">
        <x:v>0</x:v>
      </x:c>
      <x:c r="L216" s="60" t="n">
        <x:v>0.028312204299999998</x:v>
      </x:c>
      <x:c r="M216" s="60" t="n">
        <x:v>85.3885696843</x:v>
      </x:c>
      <x:c r="N216" s="46" t="str">
        <x:v>donax</x:v>
      </x:c>
      <x:c r="O216" s="62" t="n">
        <x:v>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Donax</x:v>
      </x:c>
      <x:c r="T216" s="62" t="n">
        <x:f>IF(O216="","",(1/'Metadata'!$B$5)^(O216-1))</x:f>
        <x:v>10</x:v>
      </x:c>
      <x:c r="U216" s="60" t="n">
        <x:f>IF(T216="","",I216*T216)</x:f>
        <x:v>854.1688188859998</x:v>
      </x:c>
    </x:row>
    <x:row r="217" ht="18" customHeight="1">
      <x:c r="A217" s="46" t="str">
        <x:v>LME_012</x:v>
      </x:c>
      <x:c r="B217" s="46" t="str">
        <x:v>Caribbean Sea</x:v>
      </x:c>
      <x:c r="C217" s="46" t="str">
        <x:v>LME</x:v>
      </x:c>
      <x:c r="D217" s="58" t="n">
        <x:v>2019</x:v>
      </x:c>
      <x:c r="E217" s="46" t="str">
        <x:v>Auxis</x:v>
      </x:c>
      <x:c r="F217" s="46" t="str">
        <x:v>Bullet and frigate tunas</x:v>
      </x:c>
      <x:c r="G217" s="46" t="str">
        <x:v>Medium pelagics (30 - 89 cm)</x:v>
      </x:c>
      <x:c r="H217" s="46" t="str">
        <x:v>Tuna &amp; billfishes</x:v>
      </x:c>
      <x:c r="I217" s="60" t="n">
        <x:v>85.26079285419999</x:v>
      </x:c>
      <x:c r="J217" s="60" t="n">
        <x:v>85.26079285419999</x:v>
      </x:c>
      <x:c r="K217" s="60" t="n">
        <x:v>0</x:v>
      </x:c>
      <x:c r="L217" s="60" t="n">
        <x:v>63.093582487999996</x:v>
      </x:c>
      <x:c r="M217" s="60" t="n">
        <x:v>22.1672103662</x:v>
      </x:c>
      <x:c r="N217" s="46" t="str">
        <x:v>auxis</x:v>
      </x:c>
      <x:c r="O217" s="62" t="n">
        <x:v>4.24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Auxis</x:v>
      </x:c>
      <x:c r="T217" s="62" t="n">
        <x:f>IF(O217="","",(1/'Metadata'!$B$5)^(O217-1))</x:f>
        <x:v>1737.8008287493763</x:v>
      </x:c>
      <x:c r="U217" s="60" t="n">
        <x:f>IF(T217="","",I217*T217)</x:f>
        <x:v>148166.27648185764</x:v>
      </x:c>
    </x:row>
    <x:row r="218" ht="18" customHeight="1">
      <x:c r="A218" s="46" t="str">
        <x:v>LME_012</x:v>
      </x:c>
      <x:c r="B218" s="46" t="str">
        <x:v>Caribbean Sea</x:v>
      </x:c>
      <x:c r="C218" s="46" t="str">
        <x:v>LME</x:v>
      </x:c>
      <x:c r="D218" s="58" t="n">
        <x:v>2019</x:v>
      </x:c>
      <x:c r="E218" s="46" t="str">
        <x:v>Leiostomus xanthurus</x:v>
      </x:c>
      <x:c r="F218" s="46" t="str">
        <x:v>Spot croaker</x:v>
      </x:c>
      <x:c r="G218" s="46" t="str">
        <x:v>Medium demersals (30 - 89 cm)</x:v>
      </x:c>
      <x:c r="H218" s="46" t="str">
        <x:v>Perch-likes</x:v>
      </x:c>
      <x:c r="I218" s="60" t="n">
        <x:v>84.7164524705</x:v>
      </x:c>
      <x:c r="J218" s="60" t="n">
        <x:v>24.2359684458</x:v>
      </x:c>
      <x:c r="K218" s="60" t="n">
        <x:v>60.4804840247</x:v>
      </x:c>
      <x:c r="L218" s="60" t="n">
        <x:v>5.9814155979</x:v>
      </x:c>
      <x:c r="M218" s="60" t="n">
        <x:v>78.7350368726</x:v>
      </x:c>
      <x:c r="N218" s="46" t="str">
        <x:v>leiostomus xanthurus</x:v>
      </x:c>
      <x:c r="O218" s="62" t="n">
        <x:v>3.23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Leiostomus xanthurus</x:v>
      </x:c>
      <x:c r="T218" s="62" t="n">
        <x:f>IF(O218="","",(1/'Metadata'!$B$5)^(O218-1))</x:f>
        <x:v>169.82436524617444</x:v>
      </x:c>
      <x:c r="U218" s="60" t="n">
        <x:f>IF(T218="","",I218*T218)</x:f>
        <x:v>14386.917766710369</x:v>
      </x:c>
    </x:row>
    <x:row r="219" ht="18" customHeight="1">
      <x:c r="A219" s="46" t="str">
        <x:v>LME_012</x:v>
      </x:c>
      <x:c r="B219" s="46" t="str">
        <x:v>Caribbean Sea</x:v>
      </x:c>
      <x:c r="C219" s="46" t="str">
        <x:v>LME</x:v>
      </x:c>
      <x:c r="D219" s="58" t="n">
        <x:v>2019</x:v>
      </x:c>
      <x:c r="E219" s="46" t="str">
        <x:v>Auxis thazard</x:v>
      </x:c>
      <x:c r="F219" s="46" t="str">
        <x:v>Frigate tuna</x:v>
      </x:c>
      <x:c r="G219" s="46" t="str">
        <x:v>Medium pelagics (30 - 89 cm)</x:v>
      </x:c>
      <x:c r="H219" s="46" t="str">
        <x:v>Tuna &amp; billfishes</x:v>
      </x:c>
      <x:c r="I219" s="60" t="n">
        <x:v>83.178987839</x:v>
      </x:c>
      <x:c r="J219" s="60" t="n">
        <x:v>80.0969602501</x:v>
      </x:c>
      <x:c r="K219" s="60" t="n">
        <x:v>3.0820275889</x:v>
      </x:c>
      <x:c r="L219" s="60" t="n">
        <x:v>80.0186388661</x:v>
      </x:c>
      <x:c r="M219" s="60" t="n">
        <x:v>3.1603489729</x:v>
      </x:c>
      <x:c r="N219" s="46" t="str">
        <x:v>auxis thazard</x:v>
      </x:c>
      <x:c r="O219" s="62" t="n">
        <x:v>4.37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Auxis thazard</x:v>
      </x:c>
      <x:c r="T219" s="62" t="n">
        <x:f>IF(O219="","",(1/'Metadata'!$B$5)^(O219-1))</x:f>
        <x:v>2344.228815319923</x:v>
      </x:c>
      <x:c r="U219" s="60" t="n">
        <x:f>IF(T219="","",I219*T219)</x:f>
        <x:v>194990.58012132926</x:v>
      </x:c>
    </x:row>
    <x:row r="220" ht="18" customHeight="1">
      <x:c r="A220" s="46" t="str">
        <x:v>LME_012</x:v>
      </x:c>
      <x:c r="B220" s="46" t="str">
        <x:v>Caribbean Sea</x:v>
      </x:c>
      <x:c r="C220" s="46" t="str">
        <x:v>LME</x:v>
      </x:c>
      <x:c r="D220" s="58" t="n">
        <x:v>2019</x:v>
      </x:c>
      <x:c r="E220" s="46" t="str">
        <x:v>Menippe mercenaria</x:v>
      </x:c>
      <x:c r="F220" s="46" t="str">
        <x:v>Black stone crab</x:v>
      </x:c>
      <x:c r="G220" s="46" t="str">
        <x:v>Lobsters, crabs</x:v>
      </x:c>
      <x:c r="H220" s="46" t="str">
        <x:v>Crustaceans</x:v>
      </x:c>
      <x:c r="I220" s="60" t="n">
        <x:v>82.908376143</x:v>
      </x:c>
      <x:c r="J220" s="60" t="n">
        <x:v>82.908376143</x:v>
      </x:c>
      <x:c r="K220" s="60" t="n">
        <x:v>0</x:v>
      </x:c>
      <x:c r="L220" s="60" t="n">
        <x:v>82.5755019596</x:v>
      </x:c>
      <x:c r="M220" s="60" t="n">
        <x:v>0.3328741834</x:v>
      </x:c>
      <x:c r="N220" s="46" t="str">
        <x:v>menippe mercenaria</x:v>
      </x:c>
      <x:c r="O220" s="62" t="n">
        <x:v>2.6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Menippe mercenaria</x:v>
      </x:c>
      <x:c r="T220" s="62" t="n">
        <x:f>IF(O220="","",(1/'Metadata'!$B$5)^(O220-1))</x:f>
        <x:v>39.810717055349734</x:v>
      </x:c>
      <x:c r="U220" s="60" t="n">
        <x:f>IF(T220="","",I220*T220)</x:f>
        <x:v>3300.641904147481</x:v>
      </x:c>
    </x:row>
    <x:row r="221" ht="18" customHeight="1">
      <x:c r="A221" s="46" t="str">
        <x:v>LME_012</x:v>
      </x:c>
      <x:c r="B221" s="46" t="str">
        <x:v>Caribbean Sea</x:v>
      </x:c>
      <x:c r="C221" s="46" t="str">
        <x:v>LME</x:v>
      </x:c>
      <x:c r="D221" s="58" t="n">
        <x:v>2019</x:v>
      </x:c>
      <x:c r="E221" s="46" t="str">
        <x:v>Scombroidei</x:v>
      </x:c>
      <x:c r="F221" s="46" t="str">
        <x:v>Tunas, bonitos, billfishes</x:v>
      </x:c>
      <x:c r="G221" s="46" t="str">
        <x:v>Large pelagics (&gt;=90 cm)</x:v>
      </x:c>
      <x:c r="H221" s="46" t="str">
        <x:v>Tuna &amp; billfishes</x:v>
      </x:c>
      <x:c r="I221" s="60" t="n">
        <x:v>79.3997637585</x:v>
      </x:c>
      <x:c r="J221" s="60" t="n">
        <x:v>79.3997637585</x:v>
      </x:c>
      <x:c r="K221" s="60" t="n">
        <x:v>0</x:v>
      </x:c>
      <x:c r="L221" s="60" t="n">
        <x:v>76.4115714022</x:v>
      </x:c>
      <x:c r="M221" s="60" t="n">
        <x:v>2.9881923563</x:v>
      </x:c>
      <x:c r="N221" s="46" t="str">
        <x:v>scombroidei</x:v>
      </x:c>
      <x:c r="O221" s="62" t="n">
        <x:v>4.2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Scombroidei</x:v>
      </x:c>
      <x:c r="T221" s="62" t="n">
        <x:f>IF(O221="","",(1/'Metadata'!$B$5)^(O221-1))</x:f>
        <x:v>1584.893192461114</x:v>
      </x:c>
      <x:c r="U221" s="60" t="n">
        <x:f>IF(T221="","",I221*T221)</x:f>
        <x:v>125840.14506386733</x:v>
      </x:c>
    </x:row>
    <x:row r="222" ht="18" customHeight="1">
      <x:c r="A222" s="46" t="str">
        <x:v>LME_012</x:v>
      </x:c>
      <x:c r="B222" s="46" t="str">
        <x:v>Caribbean Sea</x:v>
      </x:c>
      <x:c r="C222" s="46" t="str">
        <x:v>LME</x:v>
      </x:c>
      <x:c r="D222" s="58" t="n">
        <x:v>2019</x:v>
      </x:c>
      <x:c r="E222" s="46" t="str">
        <x:v>Scyllaridae</x:v>
      </x:c>
      <x:c r="F222" s="46" t="str">
        <x:v>Slipper lobsters</x:v>
      </x:c>
      <x:c r="G222" s="46" t="str">
        <x:v>Lobsters, crabs</x:v>
      </x:c>
      <x:c r="H222" s="46" t="str">
        <x:v>Crustaceans</x:v>
      </x:c>
      <x:c r="I222" s="60" t="n">
        <x:v>76.0400699602</x:v>
      </x:c>
      <x:c r="J222" s="60" t="n">
        <x:v>76.0400699602</x:v>
      </x:c>
      <x:c r="K222" s="60" t="n">
        <x:v>0</x:v>
      </x:c>
      <x:c r="L222" s="60" t="n">
        <x:v>28.4666165116</x:v>
      </x:c>
      <x:c r="M222" s="60" t="n">
        <x:v>47.5734534486</x:v>
      </x:c>
      <x:c r="N222" s="46" t="str">
        <x:v>scyllaridae</x:v>
      </x:c>
      <x:c r="O222" s="62" t="n">
        <x:v>2.87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Scyllaridae</x:v>
      </x:c>
      <x:c r="T222" s="62" t="n">
        <x:f>IF(O222="","",(1/'Metadata'!$B$5)^(O222-1))</x:f>
        <x:v>74.13102413009177</x:v>
      </x:c>
      <x:c r="U222" s="60" t="n">
        <x:f>IF(T222="","",I222*T222)</x:f>
        <x:v>5636.928261073453</x:v>
      </x:c>
    </x:row>
    <x:row r="223" ht="18" customHeight="1">
      <x:c r="A223" s="46" t="str">
        <x:v>LME_012</x:v>
      </x:c>
      <x:c r="B223" s="46" t="str">
        <x:v>Caribbean Sea</x:v>
      </x:c>
      <x:c r="C223" s="46" t="str">
        <x:v>LME</x:v>
      </x:c>
      <x:c r="D223" s="58" t="n">
        <x:v>2019</x:v>
      </x:c>
      <x:c r="E223" s="46" t="str">
        <x:v>Pomadasys</x:v>
      </x:c>
      <x:c r="F223" s="46" t="str">
        <x:v>Grunters</x:v>
      </x:c>
      <x:c r="G223" s="46" t="str">
        <x:v>Medium demersals (30 - 89 cm)</x:v>
      </x:c>
      <x:c r="H223" s="46" t="str">
        <x:v>Perch-likes</x:v>
      </x:c>
      <x:c r="I223" s="60" t="n">
        <x:v>74.6799380099</x:v>
      </x:c>
      <x:c r="J223" s="60" t="n">
        <x:v>74.6799380099</x:v>
      </x:c>
      <x:c r="K223" s="60" t="n">
        <x:v>0</x:v>
      </x:c>
      <x:c r="L223" s="60" t="n">
        <x:v>0</x:v>
      </x:c>
      <x:c r="M223" s="60" t="n">
        <x:v>74.6799380099</x:v>
      </x:c>
      <x:c r="N223" s="46" t="str">
        <x:v>pomadasys</x:v>
      </x:c>
      <x:c r="O223" s="62" t="n">
        <x:v>3.59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Pomadasys</x:v>
      </x:c>
      <x:c r="T223" s="62" t="n">
        <x:f>IF(O223="","",(1/'Metadata'!$B$5)^(O223-1))</x:f>
        <x:v>389.04514499428046</x:v>
      </x:c>
      <x:c r="U223" s="60" t="n">
        <x:f>IF(T223="","",I223*T223)</x:f>
        <x:v>29053.867311225422</x:v>
      </x:c>
    </x:row>
    <x:row r="224" ht="18" customHeight="1">
      <x:c r="A224" s="46" t="str">
        <x:v>LME_012</x:v>
      </x:c>
      <x:c r="B224" s="46" t="str">
        <x:v>Caribbean Sea</x:v>
      </x:c>
      <x:c r="C224" s="46" t="str">
        <x:v>LME</x:v>
      </x:c>
      <x:c r="D224" s="58" t="n">
        <x:v>2019</x:v>
      </x:c>
      <x:c r="E224" s="46" t="str">
        <x:v>Epinephelus adscensionis</x:v>
      </x:c>
      <x:c r="F224" s="46" t="str">
        <x:v>Rock hind</x:v>
      </x:c>
      <x:c r="G224" s="46" t="str">
        <x:v>Medium reef assoc. fish (30 - 89 cm)</x:v>
      </x:c>
      <x:c r="H224" s="46" t="str">
        <x:v>Perch-likes</x:v>
      </x:c>
      <x:c r="I224" s="60" t="n">
        <x:v>74.0430123031</x:v>
      </x:c>
      <x:c r="J224" s="60" t="n">
        <x:v>73.7591298629</x:v>
      </x:c>
      <x:c r="K224" s="60" t="n">
        <x:v>0.2838824402</x:v>
      </x:c>
      <x:c r="L224" s="60" t="n">
        <x:v>14.989507831700001</x:v>
      </x:c>
      <x:c r="M224" s="60" t="n">
        <x:v>59.053504471400004</x:v>
      </x:c>
      <x:c r="N224" s="46" t="str">
        <x:v>epinephelus adscensionis</x:v>
      </x:c>
      <x:c r="O224" s="62" t="n">
        <x:v>3.53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Epinephelus adscensionis</x:v>
      </x:c>
      <x:c r="T224" s="62" t="n">
        <x:f>IF(O224="","",(1/'Metadata'!$B$5)^(O224-1))</x:f>
        <x:v>338.84415613920237</x:v>
      </x:c>
      <x:c r="U224" s="60" t="n">
        <x:f>IF(T224="","",I224*T224)</x:f>
        <x:v>25089.042021848498</x:v>
      </x:c>
    </x:row>
    <x:row r="225" ht="18" customHeight="1">
      <x:c r="A225" s="46" t="str">
        <x:v>LME_012</x:v>
      </x:c>
      <x:c r="B225" s="46" t="str">
        <x:v>Caribbean Sea</x:v>
      </x:c>
      <x:c r="C225" s="46" t="str">
        <x:v>LME</x:v>
      </x:c>
      <x:c r="D225" s="58" t="n">
        <x:v>2019</x:v>
      </x:c>
      <x:c r="E225" s="46" t="str">
        <x:v>Mycteroperca microlepis</x:v>
      </x:c>
      <x:c r="F225" s="46" t="str">
        <x:v>Gag</x:v>
      </x:c>
      <x:c r="G225" s="46" t="str">
        <x:v>Large demersals (&gt;=90 cm)</x:v>
      </x:c>
      <x:c r="H225" s="46" t="str">
        <x:v>Perch-likes</x:v>
      </x:c>
      <x:c r="I225" s="60" t="n">
        <x:v>72.3835875174</x:v>
      </x:c>
      <x:c r="J225" s="60" t="n">
        <x:v>65.0048650394</x:v>
      </x:c>
      <x:c r="K225" s="60" t="n">
        <x:v>7.378722478</x:v>
      </x:c>
      <x:c r="L225" s="60" t="n">
        <x:v>39.8025748302</x:v>
      </x:c>
      <x:c r="M225" s="60" t="n">
        <x:v>32.5810126872</x:v>
      </x:c>
      <x:c r="N225" s="46" t="str">
        <x:v>mycteroperca microlepis</x:v>
      </x:c>
      <x:c r="O225" s="62" t="n">
        <x:v>3.65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Mycteroperca microlepis</x:v>
      </x:c>
      <x:c r="T225" s="62" t="n">
        <x:f>IF(O225="","",(1/'Metadata'!$B$5)^(O225-1))</x:f>
        <x:v>446.683592150963</x:v>
      </x:c>
      <x:c r="U225" s="60" t="n">
        <x:f>IF(T225="","",I225*T225)</x:f>
        <x:v>32332.56088504584</x:v>
      </x:c>
    </x:row>
    <x:row r="226" ht="18" customHeight="1">
      <x:c r="A226" s="46" t="str">
        <x:v>LME_012</x:v>
      </x:c>
      <x:c r="B226" s="46" t="str">
        <x:v>Caribbean Sea</x:v>
      </x:c>
      <x:c r="C226" s="46" t="str">
        <x:v>LME</x:v>
      </x:c>
      <x:c r="D226" s="58" t="n">
        <x:v>2019</x:v>
      </x:c>
      <x:c r="E226" s="46" t="str">
        <x:v>Cephalopoda</x:v>
      </x:c>
      <x:c r="F226" s="46" t="str">
        <x:v>Squids, cuttlefishes, octopuses</x:v>
      </x:c>
      <x:c r="G226" s="46" t="str">
        <x:v>Cephalopods</x:v>
      </x:c>
      <x:c r="H226" s="46" t="str">
        <x:v>Other fishes &amp; inverts</x:v>
      </x:c>
      <x:c r="I226" s="60" t="n">
        <x:v>70.21566679050001</x:v>
      </x:c>
      <x:c r="J226" s="60" t="n">
        <x:v>31.1317780685</x:v>
      </x:c>
      <x:c r="K226" s="60" t="n">
        <x:v>39.083888722</x:v>
      </x:c>
      <x:c r="L226" s="60" t="n">
        <x:v>4.5431337349</x:v>
      </x:c>
      <x:c r="M226" s="60" t="n">
        <x:v>65.6725330556</x:v>
      </x:c>
      <x:c r="N226" s="46" t="str">
        <x:v>cephalopoda</x:v>
      </x:c>
      <x:c r="O226" s="62" t="n">
        <x:v>3.81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Cephalopoda</x:v>
      </x:c>
      <x:c r="T226" s="62" t="n">
        <x:f>IF(O226="","",(1/'Metadata'!$B$5)^(O226-1))</x:f>
        <x:v>645.6542290346556</x:v>
      </x:c>
      <x:c r="U226" s="60" t="n">
        <x:f>IF(T226="","",I226*T226)</x:f>
        <x:v>45335.04220777455</x:v>
      </x:c>
    </x:row>
    <x:row r="227" ht="18" customHeight="1">
      <x:c r="A227" s="46" t="str">
        <x:v>LME_012</x:v>
      </x:c>
      <x:c r="B227" s="46" t="str">
        <x:v>Caribbean Sea</x:v>
      </x:c>
      <x:c r="C227" s="46" t="str">
        <x:v>LME</x:v>
      </x:c>
      <x:c r="D227" s="58" t="n">
        <x:v>2019</x:v>
      </x:c>
      <x:c r="E227" s="46" t="str">
        <x:v>Pristipomoides aquilonaris</x:v>
      </x:c>
      <x:c r="F227" s="46" t="str">
        <x:v>Wenchman</x:v>
      </x:c>
      <x:c r="G227" s="46" t="str">
        <x:v>Large reef assoc. fish (&gt;=90 cm)</x:v>
      </x:c>
      <x:c r="H227" s="46" t="str">
        <x:v>Perch-likes</x:v>
      </x:c>
      <x:c r="I227" s="60" t="n">
        <x:v>69.58010818439999</x:v>
      </x:c>
      <x:c r="J227" s="60" t="n">
        <x:v>69.58010818439999</x:v>
      </x:c>
      <x:c r="K227" s="60" t="n">
        <x:v>0</x:v>
      </x:c>
      <x:c r="L227" s="60" t="n">
        <x:v>69.5800600179</x:v>
      </x:c>
      <x:c r="M227" s="60" t="n">
        <x:v>0.0000481665</x:v>
      </x:c>
      <x:c r="N227" s="46" t="str">
        <x:v>pristipomoides aquilonaris</x:v>
      </x:c>
      <x:c r="O227" s="62" t="n">
        <x:v>3.91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Pristipomoides aquilonaris</x:v>
      </x:c>
      <x:c r="T227" s="62" t="n">
        <x:f>IF(O227="","",(1/'Metadata'!$B$5)^(O227-1))</x:f>
        <x:v>812.8305161640995</x:v>
      </x:c>
      <x:c r="U227" s="60" t="n">
        <x:f>IF(T227="","",I227*T227)</x:f>
        <x:v>56556.83525027973</x:v>
      </x:c>
    </x:row>
    <x:row r="228" ht="18" customHeight="1">
      <x:c r="A228" s="46" t="str">
        <x:v>LME_012</x:v>
      </x:c>
      <x:c r="B228" s="46" t="str">
        <x:v>Caribbean Sea</x:v>
      </x:c>
      <x:c r="C228" s="46" t="str">
        <x:v>LME</x:v>
      </x:c>
      <x:c r="D228" s="58" t="n">
        <x:v>2019</x:v>
      </x:c>
      <x:c r="E228" s="46" t="str">
        <x:v>Etelis oculatus</x:v>
      </x:c>
      <x:c r="F228" s="46" t="str">
        <x:v>Queen snapper</x:v>
      </x:c>
      <x:c r="G228" s="46" t="str">
        <x:v>Medium bathydemersals (30 - 89 cm)</x:v>
      </x:c>
      <x:c r="H228" s="46" t="str">
        <x:v>Perch-likes</x:v>
      </x:c>
      <x:c r="I228" s="60" t="n">
        <x:v>66.22540139499999</x:v>
      </x:c>
      <x:c r="J228" s="60" t="n">
        <x:v>65.8931547618</x:v>
      </x:c>
      <x:c r="K228" s="60" t="n">
        <x:v>0.3322466332</x:v>
      </x:c>
      <x:c r="L228" s="60" t="n">
        <x:v>25.6215175466</x:v>
      </x:c>
      <x:c r="M228" s="60" t="n">
        <x:v>40.6038838484</x:v>
      </x:c>
      <x:c r="N228" s="46" t="str">
        <x:v>etelis oculatus</x:v>
      </x:c>
      <x:c r="O228" s="62" t="n">
        <x:v>4.18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Etelis oculatus</x:v>
      </x:c>
      <x:c r="T228" s="62" t="n">
        <x:f>IF(O228="","",(1/'Metadata'!$B$5)^(O228-1))</x:f>
        <x:v>1513.5612484362073</x:v>
      </x:c>
      <x:c r="U228" s="60" t="n">
        <x:f>IF(T228="","",I228*T228)</x:f>
        <x:v>100236.20121360513</x:v>
      </x:c>
    </x:row>
    <x:row r="229" ht="18" customHeight="1">
      <x:c r="A229" s="46" t="str">
        <x:v>LME_012</x:v>
      </x:c>
      <x:c r="B229" s="46" t="str">
        <x:v>Caribbean Sea</x:v>
      </x:c>
      <x:c r="C229" s="46" t="str">
        <x:v>LME</x:v>
      </x:c>
      <x:c r="D229" s="58" t="n">
        <x:v>2019</x:v>
      </x:c>
      <x:c r="E229" s="46" t="str">
        <x:v>Polymesoda caroliniana</x:v>
      </x:c>
      <x:c r="F229" s="46" t="str">
        <x:v>Carolina marshclam</x:v>
      </x:c>
      <x:c r="G229" s="46" t="str">
        <x:v>Other demersal invertebrates</x:v>
      </x:c>
      <x:c r="H229" s="46" t="str">
        <x:v>Molluscs</x:v>
      </x:c>
      <x:c r="I229" s="60" t="n">
        <x:v>65.6551021266</x:v>
      </x:c>
      <x:c r="J229" s="60" t="n">
        <x:v>65.6551021266</x:v>
      </x:c>
      <x:c r="K229" s="60" t="n">
        <x:v>0</x:v>
      </x:c>
      <x:c r="L229" s="60" t="n">
        <x:v>31.9650482432</x:v>
      </x:c>
      <x:c r="M229" s="60" t="n">
        <x:v>33.6900538834</x:v>
      </x:c>
      <x:c r="N229" s="46" t="str">
        <x:v>polymesoda caroliniana</x:v>
      </x:c>
      <x:c r="O229" s="62" t="n">
        <x:v>2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Polymesoda caroliniana</x:v>
      </x:c>
      <x:c r="T229" s="62" t="n">
        <x:f>IF(O229="","",(1/'Metadata'!$B$5)^(O229-1))</x:f>
        <x:v>10</x:v>
      </x:c>
      <x:c r="U229" s="60" t="n">
        <x:f>IF(T229="","",I229*T229)</x:f>
        <x:v>656.551021266</x:v>
      </x:c>
    </x:row>
    <x:row r="230" ht="18" customHeight="1">
      <x:c r="A230" s="46" t="str">
        <x:v>LME_012</x:v>
      </x:c>
      <x:c r="B230" s="46" t="str">
        <x:v>Caribbean Sea</x:v>
      </x:c>
      <x:c r="C230" s="46" t="str">
        <x:v>LME</x:v>
      </x:c>
      <x:c r="D230" s="58" t="n">
        <x:v>2019</x:v>
      </x:c>
      <x:c r="E230" s="46" t="str">
        <x:v>Malacanthidae</x:v>
      </x:c>
      <x:c r="F230" s="46" t="str">
        <x:v>Tilefishes</x:v>
      </x:c>
      <x:c r="G230" s="46" t="str">
        <x:v>Medium demersals (30 - 89 cm)</x:v>
      </x:c>
      <x:c r="H230" s="46" t="str">
        <x:v>Perch-likes</x:v>
      </x:c>
      <x:c r="I230" s="60" t="n">
        <x:v>65.3765421043</x:v>
      </x:c>
      <x:c r="J230" s="60" t="n">
        <x:v>65.3765421043</x:v>
      </x:c>
      <x:c r="K230" s="60" t="n">
        <x:v>0</x:v>
      </x:c>
      <x:c r="L230" s="60" t="n">
        <x:v>26.3806888599</x:v>
      </x:c>
      <x:c r="M230" s="60" t="n">
        <x:v>38.9958532444</x:v>
      </x:c>
      <x:c r="N230" s="46" t="str">
        <x:v>malacanthidae</x:v>
      </x:c>
      <x:c r="O230" s="62" t="n">
        <x:v>3.62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Malacanthidae</x:v>
      </x:c>
      <x:c r="T230" s="62" t="n">
        <x:f>IF(O230="","",(1/'Metadata'!$B$5)^(O230-1))</x:f>
        <x:v>416.8693834703355</x:v>
      </x:c>
      <x:c r="U230" s="60" t="n">
        <x:f>IF(T230="","",I230*T230)</x:f>
        <x:v>27253.47880044197</x:v>
      </x:c>
    </x:row>
    <x:row r="231" ht="18" customHeight="1">
      <x:c r="A231" s="46" t="str">
        <x:v>LME_012</x:v>
      </x:c>
      <x:c r="B231" s="46" t="str">
        <x:v>Caribbean Sea</x:v>
      </x:c>
      <x:c r="C231" s="46" t="str">
        <x:v>LME</x:v>
      </x:c>
      <x:c r="D231" s="58" t="n">
        <x:v>2019</x:v>
      </x:c>
      <x:c r="E231" s="46" t="str">
        <x:v>Lutjanus jocu</x:v>
      </x:c>
      <x:c r="F231" s="46" t="str">
        <x:v>Dog snapper</x:v>
      </x:c>
      <x:c r="G231" s="46" t="str">
        <x:v>Large reef assoc. fish (&gt;=90 cm)</x:v>
      </x:c>
      <x:c r="H231" s="46" t="str">
        <x:v>Perch-likes</x:v>
      </x:c>
      <x:c r="I231" s="60" t="n">
        <x:v>65.1106440865</x:v>
      </x:c>
      <x:c r="J231" s="60" t="n">
        <x:v>65.11010528210001</x:v>
      </x:c>
      <x:c r="K231" s="60" t="n">
        <x:v>0.0005388044</x:v>
      </x:c>
      <x:c r="L231" s="60" t="n">
        <x:v>2.8551435832</x:v>
      </x:c>
      <x:c r="M231" s="60" t="n">
        <x:v>62.2555005033</x:v>
      </x:c>
      <x:c r="N231" s="46" t="str">
        <x:v>lutjanus jocu</x:v>
      </x:c>
      <x:c r="O231" s="62" t="n">
        <x:v>4.41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Lutjanus jocu</x:v>
      </x:c>
      <x:c r="T231" s="62" t="n">
        <x:f>IF(O231="","",(1/'Metadata'!$B$5)^(O231-1))</x:f>
        <x:v>2570.3957827688646</x:v>
      </x:c>
      <x:c r="U231" s="60" t="n">
        <x:f>IF(T231="","",I231*T231)</x:f>
        <x:v>167360.1249733041</x:v>
      </x:c>
    </x:row>
    <x:row r="232" ht="18" customHeight="1">
      <x:c r="A232" s="46" t="str">
        <x:v>LME_012</x:v>
      </x:c>
      <x:c r="B232" s="46" t="str">
        <x:v>Caribbean Sea</x:v>
      </x:c>
      <x:c r="C232" s="46" t="str">
        <x:v>LME</x:v>
      </x:c>
      <x:c r="D232" s="58" t="n">
        <x:v>2019</x:v>
      </x:c>
      <x:c r="E232" s="46" t="str">
        <x:v>Hyporthodus mystacinus</x:v>
      </x:c>
      <x:c r="F232" s="46" t="str">
        <x:v>Misty grouper</x:v>
      </x:c>
      <x:c r="G232" s="46" t="str">
        <x:v>Large bathydemersals (&gt;=90 cm)</x:v>
      </x:c>
      <x:c r="H232" s="46" t="str">
        <x:v>Perch-likes</x:v>
      </x:c>
      <x:c r="I232" s="60" t="n">
        <x:v>62.0369505143</x:v>
      </x:c>
      <x:c r="J232" s="60" t="n">
        <x:v>62.0369505143</x:v>
      </x:c>
      <x:c r="K232" s="60" t="n">
        <x:v>0</x:v>
      </x:c>
      <x:c r="L232" s="60" t="n">
        <x:v>12.777777499499999</x:v>
      </x:c>
      <x:c r="M232" s="60" t="n">
        <x:v>49.2591730148</x:v>
      </x:c>
      <x:c r="N232" s="46" t="str">
        <x:v>hyporthodus mystacinus</x:v>
      </x:c>
      <x:c r="O232" s="62" t="n">
        <x:v>4.58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Hyporthodus mystacinus</x:v>
      </x:c>
      <x:c r="T232" s="62" t="n">
        <x:f>IF(O232="","",(1/'Metadata'!$B$5)^(O232-1))</x:f>
        <x:v>3801.8939632056126</x:v>
      </x:c>
      <x:c r="U232" s="60" t="n">
        <x:f>IF(T232="","",I232*T232)</x:f>
        <x:v>235857.9076560025</x:v>
      </x:c>
    </x:row>
    <x:row r="233" ht="18" customHeight="1">
      <x:c r="A233" s="46" t="str">
        <x:v>LME_012</x:v>
      </x:c>
      <x:c r="B233" s="46" t="str">
        <x:v>Caribbean Sea</x:v>
      </x:c>
      <x:c r="C233" s="46" t="str">
        <x:v>LME</x:v>
      </x:c>
      <x:c r="D233" s="58" t="n">
        <x:v>2019</x:v>
      </x:c>
      <x:c r="E233" s="46" t="str">
        <x:v>Eugerres plumieri</x:v>
      </x:c>
      <x:c r="F233" s="46" t="str">
        <x:v>Striped mojarra</x:v>
      </x:c>
      <x:c r="G233" s="46" t="str">
        <x:v>Medium demersals (30 - 89 cm)</x:v>
      </x:c>
      <x:c r="H233" s="46" t="str">
        <x:v>Other fishes &amp; inverts</x:v>
      </x:c>
      <x:c r="I233" s="60" t="n">
        <x:v>61.5777758137</x:v>
      </x:c>
      <x:c r="J233" s="60" t="n">
        <x:v>61.5777758137</x:v>
      </x:c>
      <x:c r="K233" s="60" t="n">
        <x:v>0</x:v>
      </x:c>
      <x:c r="L233" s="60" t="n">
        <x:v>1.7717158624</x:v>
      </x:c>
      <x:c r="M233" s="60" t="n">
        <x:v>59.8060599513</x:v>
      </x:c>
      <x:c r="N233" s="46" t="str">
        <x:v>eugerres plumieri</x:v>
      </x:c>
      <x:c r="O233" s="62" t="n">
        <x:v>2.2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Eugerres plumieri</x:v>
      </x:c>
      <x:c r="T233" s="62" t="n">
        <x:f>IF(O233="","",(1/'Metadata'!$B$5)^(O233-1))</x:f>
        <x:v>15.848931924611142</x:v>
      </x:c>
      <x:c r="U233" s="60" t="n">
        <x:f>IF(T233="","",I233*T233)</x:f>
        <x:v>975.9419769402978</x:v>
      </x:c>
    </x:row>
    <x:row r="234" ht="18" customHeight="1">
      <x:c r="A234" s="46" t="str">
        <x:v>LME_012</x:v>
      </x:c>
      <x:c r="B234" s="46" t="str">
        <x:v>Caribbean Sea</x:v>
      </x:c>
      <x:c r="C234" s="46" t="str">
        <x:v>LME</x:v>
      </x:c>
      <x:c r="D234" s="58" t="n">
        <x:v>2019</x:v>
      </x:c>
      <x:c r="E234" s="46" t="str">
        <x:v>Hyporthodus niveatus</x:v>
      </x:c>
      <x:c r="F234" s="46" t="str">
        <x:v>Snowy grouper</x:v>
      </x:c>
      <x:c r="G234" s="46" t="str">
        <x:v>Large demersals (&gt;=90 cm)</x:v>
      </x:c>
      <x:c r="H234" s="46" t="str">
        <x:v>Perch-likes</x:v>
      </x:c>
      <x:c r="I234" s="60" t="n">
        <x:v>59.258379724399994</x:v>
      </x:c>
      <x:c r="J234" s="60" t="n">
        <x:v>58.907049960799995</x:v>
      </x:c>
      <x:c r="K234" s="60" t="n">
        <x:v>0.3513297636</x:v>
      </x:c>
      <x:c r="L234" s="60" t="n">
        <x:v>58.3273040009</x:v>
      </x:c>
      <x:c r="M234" s="60" t="n">
        <x:v>0.9310757235</x:v>
      </x:c>
      <x:c r="N234" s="46" t="str">
        <x:v>hyporthodus niveatus</x:v>
      </x:c>
      <x:c r="O234" s="62" t="n">
        <x:v>4.04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Hyporthodus niveatus</x:v>
      </x:c>
      <x:c r="T234" s="62" t="n">
        <x:f>IF(O234="","",(1/'Metadata'!$B$5)^(O234-1))</x:f>
        <x:v>1096.4781961431852</x:v>
      </x:c>
      <x:c r="U234" s="60" t="n">
        <x:f>IF(T234="","",I234*T234)</x:f>
        <x:v>64975.521306578004</x:v>
      </x:c>
    </x:row>
    <x:row r="235" ht="18" customHeight="1">
      <x:c r="A235" s="46" t="str">
        <x:v>LME_012</x:v>
      </x:c>
      <x:c r="B235" s="46" t="str">
        <x:v>Caribbean Sea</x:v>
      </x:c>
      <x:c r="C235" s="46" t="str">
        <x:v>LME</x:v>
      </x:c>
      <x:c r="D235" s="58" t="n">
        <x:v>2019</x:v>
      </x:c>
      <x:c r="E235" s="46" t="str">
        <x:v>Anguilliformes</x:v>
      </x:c>
      <x:c r="F235" s="46" t="str">
        <x:v>Eels, morays</x:v>
      </x:c>
      <x:c r="G235" s="46" t="str">
        <x:v>Large demersals (&gt;=90 cm)</x:v>
      </x:c>
      <x:c r="H235" s="46" t="str">
        <x:v>Other fishes &amp; inverts</x:v>
      </x:c>
      <x:c r="I235" s="60" t="n">
        <x:v>57.7896385712</x:v>
      </x:c>
      <x:c r="J235" s="60" t="n">
        <x:v>57.7876982805</x:v>
      </x:c>
      <x:c r="K235" s="60" t="n">
        <x:v>0.0019402907</x:v>
      </x:c>
      <x:c r="L235" s="60" t="n">
        <x:v>2.5896171935</x:v>
      </x:c>
      <x:c r="M235" s="60" t="n">
        <x:v>55.200021377700004</x:v>
      </x:c>
      <x:c r="N235" s="46" t="str">
        <x:v>anguilliformes</x:v>
      </x:c>
      <x:c r="O235" s="62" t="n">
        <x:v>3.89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Anguilliformes</x:v>
      </x:c>
      <x:c r="T235" s="62" t="n">
        <x:f>IF(O235="","",(1/'Metadata'!$B$5)^(O235-1))</x:f>
        <x:v>776.247116628692</x:v>
      </x:c>
      <x:c r="U235" s="60" t="n">
        <x:f>IF(T235="","",I235*T235)</x:f>
        <x:v>44859.04031190824</x:v>
      </x:c>
    </x:row>
    <x:row r="236" ht="18" customHeight="1">
      <x:c r="A236" s="46" t="str">
        <x:v>LME_012</x:v>
      </x:c>
      <x:c r="B236" s="46" t="str">
        <x:v>Caribbean Sea</x:v>
      </x:c>
      <x:c r="C236" s="46" t="str">
        <x:v>LME</x:v>
      </x:c>
      <x:c r="D236" s="58" t="n">
        <x:v>2019</x:v>
      </x:c>
      <x:c r="E236" s="46" t="str">
        <x:v>Ablennes hians</x:v>
      </x:c>
      <x:c r="F236" s="46" t="str">
        <x:v>Flat needlefish</x:v>
      </x:c>
      <x:c r="G236" s="46" t="str">
        <x:v>Large pelagics (&gt;=90 cm)</x:v>
      </x:c>
      <x:c r="H236" s="46" t="str">
        <x:v>Other fishes &amp; inverts</x:v>
      </x:c>
      <x:c r="I236" s="60" t="n">
        <x:v>57.00838203560001</x:v>
      </x:c>
      <x:c r="J236" s="60" t="n">
        <x:v>57.00838203560001</x:v>
      </x:c>
      <x:c r="K236" s="60" t="n">
        <x:v>0</x:v>
      </x:c>
      <x:c r="L236" s="60" t="n">
        <x:v>37.710429315000006</x:v>
      </x:c>
      <x:c r="M236" s="60" t="n">
        <x:v>19.2979527206</x:v>
      </x:c>
      <x:c r="N236" s="46" t="str">
        <x:v>ablennes hians</x:v>
      </x:c>
      <x:c r="O236" s="62" t="n">
        <x:v>4.5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Ablennes hians</x:v>
      </x:c>
      <x:c r="T236" s="62" t="n">
        <x:f>IF(O236="","",(1/'Metadata'!$B$5)^(O236-1))</x:f>
        <x:v>3162.2776601683795</x:v>
      </x:c>
      <x:c r="U236" s="60" t="n">
        <x:f>IF(T236="","",I236*T236)</x:f>
        <x:v>180276.33295352227</x:v>
      </x:c>
    </x:row>
    <x:row r="237" ht="18" customHeight="1">
      <x:c r="A237" s="46" t="str">
        <x:v>LME_012</x:v>
      </x:c>
      <x:c r="B237" s="46" t="str">
        <x:v>Caribbean Sea</x:v>
      </x:c>
      <x:c r="C237" s="46" t="str">
        <x:v>LME</x:v>
      </x:c>
      <x:c r="D237" s="58" t="n">
        <x:v>2019</x:v>
      </x:c>
      <x:c r="E237" s="46" t="str">
        <x:v>Pleuronectiformes</x:v>
      </x:c>
      <x:c r="F237" s="46" t="str">
        <x:v>Flatfishes</x:v>
      </x:c>
      <x:c r="G237" s="46" t="str">
        <x:v>Small to medium flatfishes (&lt;90 cm)</x:v>
      </x:c>
      <x:c r="H237" s="46" t="str">
        <x:v>Flatfishes</x:v>
      </x:c>
      <x:c r="I237" s="60" t="n">
        <x:v>56.783735120799996</x:v>
      </x:c>
      <x:c r="J237" s="60" t="n">
        <x:v>44.820887200899996</x:v>
      </x:c>
      <x:c r="K237" s="60" t="n">
        <x:v>11.9628479199</x:v>
      </x:c>
      <x:c r="L237" s="60" t="n">
        <x:v>25.06632797</x:v>
      </x:c>
      <x:c r="M237" s="60" t="n">
        <x:v>31.7174071508</x:v>
      </x:c>
      <x:c r="N237" s="46" t="str">
        <x:v>pleuronectiformes</x:v>
      </x:c>
      <x:c r="O237" s="62" t="n">
        <x:v>3.57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Pleuronectiformes</x:v>
      </x:c>
      <x:c r="T237" s="62" t="n">
        <x:f>IF(O237="","",(1/'Metadata'!$B$5)^(O237-1))</x:f>
        <x:v>371.5352290971724</x:v>
      </x:c>
      <x:c r="U237" s="60" t="n">
        <x:f>IF(T237="","",I237*T237)</x:f>
        <x:v>21097.158037099583</x:v>
      </x:c>
    </x:row>
    <x:row r="238" ht="18" customHeight="1">
      <x:c r="A238" s="46" t="str">
        <x:v>LME_012</x:v>
      </x:c>
      <x:c r="B238" s="46" t="str">
        <x:v>Caribbean Sea</x:v>
      </x:c>
      <x:c r="C238" s="46" t="str">
        <x:v>LME</x:v>
      </x:c>
      <x:c r="D238" s="58" t="n">
        <x:v>2019</x:v>
      </x:c>
      <x:c r="E238" s="46" t="str">
        <x:v>Rhizoprionodon terraenovae</x:v>
      </x:c>
      <x:c r="F238" s="46" t="str">
        <x:v>Atlantic sharpnose shark</x:v>
      </x:c>
      <x:c r="G238" s="46" t="str">
        <x:v>Large sharks (&gt;=90 cm)</x:v>
      </x:c>
      <x:c r="H238" s="46" t="str">
        <x:v>Sharks &amp; rays</x:v>
      </x:c>
      <x:c r="I238" s="60" t="n">
        <x:v>55.557658497700004</x:v>
      </x:c>
      <x:c r="J238" s="60" t="n">
        <x:v>45.7430877399</x:v>
      </x:c>
      <x:c r="K238" s="60" t="n">
        <x:v>9.8145707578</x:v>
      </x:c>
      <x:c r="L238" s="60" t="n">
        <x:v>32.4961779482</x:v>
      </x:c>
      <x:c r="M238" s="60" t="n">
        <x:v>23.061480549499997</x:v>
      </x:c>
      <x:c r="N238" s="46" t="str">
        <x:v>rhizoprionodon terraenovae</x:v>
      </x:c>
      <x:c r="O238" s="62" t="n">
        <x:v>4.37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Rhizoprionodon terraenovae</x:v>
      </x:c>
      <x:c r="T238" s="62" t="n">
        <x:f>IF(O238="","",(1/'Metadata'!$B$5)^(O238-1))</x:f>
        <x:v>2344.228815319923</x:v>
      </x:c>
      <x:c r="U238" s="60" t="n">
        <x:f>IF(T238="","",I238*T238)</x:f>
        <x:v>130239.86396201212</x:v>
      </x:c>
    </x:row>
    <x:row r="239" ht="18" customHeight="1">
      <x:c r="A239" s="46" t="str">
        <x:v>LME_012</x:v>
      </x:c>
      <x:c r="B239" s="46" t="str">
        <x:v>Caribbean Sea</x:v>
      </x:c>
      <x:c r="C239" s="46" t="str">
        <x:v>LME</x:v>
      </x:c>
      <x:c r="D239" s="58" t="n">
        <x:v>2019</x:v>
      </x:c>
      <x:c r="E239" s="46" t="str">
        <x:v>Elops saurus</x:v>
      </x:c>
      <x:c r="F239" s="46" t="str">
        <x:v>Ladyfish</x:v>
      </x:c>
      <x:c r="G239" s="46" t="str">
        <x:v>Medium pelagics (30 - 89 cm)</x:v>
      </x:c>
      <x:c r="H239" s="46" t="str">
        <x:v>Other fishes &amp; inverts</x:v>
      </x:c>
      <x:c r="I239" s="60" t="n">
        <x:v>54.9126567785</x:v>
      </x:c>
      <x:c r="J239" s="60" t="n">
        <x:v>54.9126567785</x:v>
      </x:c>
      <x:c r="K239" s="60" t="n">
        <x:v>0</x:v>
      </x:c>
      <x:c r="L239" s="60" t="n">
        <x:v>36.9765220336</x:v>
      </x:c>
      <x:c r="M239" s="60" t="n">
        <x:v>17.936134744900002</x:v>
      </x:c>
      <x:c r="N239" s="46" t="str">
        <x:v>elops saurus</x:v>
      </x:c>
      <x:c r="O239" s="62" t="n">
        <x:v>3.49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Elops saurus</x:v>
      </x:c>
      <x:c r="T239" s="62" t="n">
        <x:f>IF(O239="","",(1/'Metadata'!$B$5)^(O239-1))</x:f>
        <x:v>309.0295432513592</x:v>
      </x:c>
      <x:c r="U239" s="60" t="n">
        <x:f>IF(T239="","",I239*T239)</x:f>
        <x:v>16969.63324297851</x:v>
      </x:c>
    </x:row>
    <x:row r="240" ht="18" customHeight="1">
      <x:c r="A240" s="46" t="str">
        <x:v>LME_012</x:v>
      </x:c>
      <x:c r="B240" s="46" t="str">
        <x:v>Caribbean Sea</x:v>
      </x:c>
      <x:c r="C240" s="46" t="str">
        <x:v>LME</x:v>
      </x:c>
      <x:c r="D240" s="58" t="n">
        <x:v>2019</x:v>
      </x:c>
      <x:c r="E240" s="46" t="str">
        <x:v>Gymnothorax moringa</x:v>
      </x:c>
      <x:c r="F240" s="46" t="str">
        <x:v>Spotted moray</x:v>
      </x:c>
      <x:c r="G240" s="46" t="str">
        <x:v>Large reef assoc. fish (&gt;=90 cm)</x:v>
      </x:c>
      <x:c r="H240" s="46" t="str">
        <x:v>Other fishes &amp; inverts</x:v>
      </x:c>
      <x:c r="I240" s="60" t="n">
        <x:v>54.758720225299996</x:v>
      </x:c>
      <x:c r="J240" s="60" t="n">
        <x:v>54.758720225299996</x:v>
      </x:c>
      <x:c r="K240" s="60" t="n">
        <x:v>0</x:v>
      </x:c>
      <x:c r="L240" s="60" t="n">
        <x:v>35.568525312</x:v>
      </x:c>
      <x:c r="M240" s="60" t="n">
        <x:v>19.1901949133</x:v>
      </x:c>
      <x:c r="N240" s="46" t="str">
        <x:v>gymnothorax moringa</x:v>
      </x:c>
      <x:c r="O240" s="62" t="n">
        <x:v>4.5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Gymnothorax moringa</x:v>
      </x:c>
      <x:c r="T240" s="62" t="n">
        <x:f>IF(O240="","",(1/'Metadata'!$B$5)^(O240-1))</x:f>
        <x:v>3162.2776601683795</x:v>
      </x:c>
      <x:c r="U240" s="60" t="n">
        <x:f>IF(T240="","",I240*T240)</x:f>
        <x:v>173162.2776678766</x:v>
      </x:c>
    </x:row>
    <x:row r="241" ht="18" customHeight="1">
      <x:c r="A241" s="46" t="str">
        <x:v>LME_012</x:v>
      </x:c>
      <x:c r="B241" s="46" t="str">
        <x:v>Caribbean Sea</x:v>
      </x:c>
      <x:c r="C241" s="46" t="str">
        <x:v>LME</x:v>
      </x:c>
      <x:c r="D241" s="58" t="n">
        <x:v>2019</x:v>
      </x:c>
      <x:c r="E241" s="46" t="str">
        <x:v>Rangia cuneata</x:v>
      </x:c>
      <x:c r="F241" s="46" t="str">
        <x:v>Atlantic rangia</x:v>
      </x:c>
      <x:c r="G241" s="46" t="str">
        <x:v>Other demersal invertebrates</x:v>
      </x:c>
      <x:c r="H241" s="46" t="str">
        <x:v>Molluscs</x:v>
      </x:c>
      <x:c r="I241" s="60" t="n">
        <x:v>54.2537216262</x:v>
      </x:c>
      <x:c r="J241" s="60" t="n">
        <x:v>54.2537216262</x:v>
      </x:c>
      <x:c r="K241" s="60" t="n">
        <x:v>0</x:v>
      </x:c>
      <x:c r="L241" s="60" t="n">
        <x:v>26.4141364947</x:v>
      </x:c>
      <x:c r="M241" s="60" t="n">
        <x:v>27.839585131499998</x:v>
      </x:c>
      <x:c r="N241" s="46" t="str">
        <x:v>rangia cuneata</x:v>
      </x:c>
      <x:c r="O241" s="62" t="n">
        <x:v>2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Rangia cuneata</x:v>
      </x:c>
      <x:c r="T241" s="62" t="n">
        <x:f>IF(O241="","",(1/'Metadata'!$B$5)^(O241-1))</x:f>
        <x:v>10</x:v>
      </x:c>
      <x:c r="U241" s="60" t="n">
        <x:f>IF(T241="","",I241*T241)</x:f>
        <x:v>542.537216262</x:v>
      </x:c>
    </x:row>
    <x:row r="242" ht="18" customHeight="1">
      <x:c r="A242" s="46" t="str">
        <x:v>LME_012</x:v>
      </x:c>
      <x:c r="B242" s="46" t="str">
        <x:v>Caribbean Sea</x:v>
      </x:c>
      <x:c r="C242" s="46" t="str">
        <x:v>LME</x:v>
      </x:c>
      <x:c r="D242" s="58" t="n">
        <x:v>2019</x:v>
      </x:c>
      <x:c r="E242" s="46" t="str">
        <x:v>Kajikia albida</x:v>
      </x:c>
      <x:c r="F242" s="46" t="str">
        <x:v>Atlantic white marlin</x:v>
      </x:c>
      <x:c r="G242" s="46" t="str">
        <x:v>Large pelagics (&gt;=90 cm)</x:v>
      </x:c>
      <x:c r="H242" s="46" t="str">
        <x:v>Tuna &amp; billfishes</x:v>
      </x:c>
      <x:c r="I242" s="60" t="n">
        <x:v>54.1511893421</x:v>
      </x:c>
      <x:c r="J242" s="60" t="n">
        <x:v>54.1511893421</x:v>
      </x:c>
      <x:c r="K242" s="60" t="n">
        <x:v>0</x:v>
      </x:c>
      <x:c r="L242" s="60" t="n">
        <x:v>37.7769849972</x:v>
      </x:c>
      <x:c r="M242" s="60" t="n">
        <x:v>16.3742043449</x:v>
      </x:c>
      <x:c r="N242" s="46" t="str">
        <x:v>kajikia albida</x:v>
      </x:c>
      <x:c r="O242" s="62" t="n">
        <x:v>4.49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Kajikia albida</x:v>
      </x:c>
      <x:c r="T242" s="62" t="n">
        <x:f>IF(O242="","",(1/'Metadata'!$B$5)^(O242-1))</x:f>
        <x:v>3090.295432513592</x:v>
      </x:c>
      <x:c r="U242" s="60" t="n">
        <x:f>IF(T242="","",I242*T242)</x:f>
        <x:v>167343.17308907033</x:v>
      </x:c>
    </x:row>
    <x:row r="243" ht="18" customHeight="1">
      <x:c r="A243" s="46" t="str">
        <x:v>LME_012</x:v>
      </x:c>
      <x:c r="B243" s="46" t="str">
        <x:v>Caribbean Sea</x:v>
      </x:c>
      <x:c r="C243" s="46" t="str">
        <x:v>LME</x:v>
      </x:c>
      <x:c r="D243" s="58" t="n">
        <x:v>2019</x:v>
      </x:c>
      <x:c r="E243" s="46" t="str">
        <x:v>Carcharhinus leucas</x:v>
      </x:c>
      <x:c r="F243" s="46" t="str">
        <x:v>Bull shark</x:v>
      </x:c>
      <x:c r="G243" s="46" t="str">
        <x:v>Large sharks (&gt;=90 cm)</x:v>
      </x:c>
      <x:c r="H243" s="46" t="str">
        <x:v>Sharks &amp; rays</x:v>
      </x:c>
      <x:c r="I243" s="60" t="n">
        <x:v>53.432412752</x:v>
      </x:c>
      <x:c r="J243" s="60" t="n">
        <x:v>53.4307050433</x:v>
      </x:c>
      <x:c r="K243" s="60" t="n">
        <x:v>0.0017077087</x:v>
      </x:c>
      <x:c r="L243" s="60" t="n">
        <x:v>28.6199886595</x:v>
      </x:c>
      <x:c r="M243" s="60" t="n">
        <x:v>24.8124240925</x:v>
      </x:c>
      <x:c r="N243" s="46" t="str">
        <x:v>carcharhinus leucas</x:v>
      </x:c>
      <x:c r="O243" s="62" t="n">
        <x:v>4.31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Carcharhinus leucas</x:v>
      </x:c>
      <x:c r="T243" s="62" t="n">
        <x:f>IF(O243="","",(1/'Metadata'!$B$5)^(O243-1))</x:f>
        <x:v>2041.7379446695275</x:v>
      </x:c>
      <x:c r="U243" s="60" t="n">
        <x:f>IF(T243="","",I243*T243)</x:f>
        <x:v>109094.98459100233</x:v>
      </x:c>
    </x:row>
    <x:row r="244" ht="18" customHeight="1">
      <x:c r="A244" s="46" t="str">
        <x:v>LME_012</x:v>
      </x:c>
      <x:c r="B244" s="46" t="str">
        <x:v>Caribbean Sea</x:v>
      </x:c>
      <x:c r="C244" s="46" t="str">
        <x:v>LME</x:v>
      </x:c>
      <x:c r="D244" s="58" t="n">
        <x:v>2019</x:v>
      </x:c>
      <x:c r="E244" s="46" t="str">
        <x:v>Haemulon vittatum</x:v>
      </x:c>
      <x:c r="F244" s="46" t="str">
        <x:v>Boga</x:v>
      </x:c>
      <x:c r="G244" s="46" t="str">
        <x:v>Small reef assoc. fish (&lt;30 cm)</x:v>
      </x:c>
      <x:c r="H244" s="46" t="str">
        <x:v>Perch-likes</x:v>
      </x:c>
      <x:c r="I244" s="60" t="n">
        <x:v>52.055944274999995</x:v>
      </x:c>
      <x:c r="J244" s="60" t="n">
        <x:v>52.055944274999995</x:v>
      </x:c>
      <x:c r="K244" s="60" t="n">
        <x:v>0</x:v>
      </x:c>
      <x:c r="L244" s="60" t="n">
        <x:v>48.950379821999995</x:v>
      </x:c>
      <x:c r="M244" s="60" t="n">
        <x:v>3.1055644530000004</x:v>
      </x:c>
      <x:c r="N244" s="46" t="str">
        <x:v>haemulon vittatum</x:v>
      </x:c>
      <x:c r="O244" s="62" t="n">
        <x:v>3.3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Haemulon vittatum</x:v>
      </x:c>
      <x:c r="T244" s="62" t="n">
        <x:f>IF(O244="","",(1/'Metadata'!$B$5)^(O244-1))</x:f>
        <x:v>199.52623149688787</x:v>
      </x:c>
      <x:c r="U244" s="60" t="n">
        <x:f>IF(T244="","",I244*T244)</x:f>
        <x:v>10386.526388202745</x:v>
      </x:c>
    </x:row>
    <x:row r="245" ht="18" customHeight="1">
      <x:c r="A245" s="46" t="str">
        <x:v>LME_012</x:v>
      </x:c>
      <x:c r="B245" s="46" t="str">
        <x:v>Caribbean Sea</x:v>
      </x:c>
      <x:c r="C245" s="46" t="str">
        <x:v>LME</x:v>
      </x:c>
      <x:c r="D245" s="58" t="n">
        <x:v>2019</x:v>
      </x:c>
      <x:c r="E245" s="46" t="str">
        <x:v>Perna perna</x:v>
      </x:c>
      <x:c r="F245" s="46" t="str">
        <x:v>South American rock mussel</x:v>
      </x:c>
      <x:c r="G245" s="46" t="str">
        <x:v>Other demersal invertebrates</x:v>
      </x:c>
      <x:c r="H245" s="46" t="str">
        <x:v>Molluscs</x:v>
      </x:c>
      <x:c r="I245" s="60" t="n">
        <x:v>51.9971918873</x:v>
      </x:c>
      <x:c r="J245" s="60" t="n">
        <x:v>51.9971918873</x:v>
      </x:c>
      <x:c r="K245" s="60" t="n">
        <x:v>0</x:v>
      </x:c>
      <x:c r="L245" s="60" t="n">
        <x:v>51.9971918873</x:v>
      </x:c>
      <x:c r="M245" s="60" t="n">
        <x:v>0</x:v>
      </x:c>
      <x:c r="N245" s="46" t="str">
        <x:v>perna perna</x:v>
      </x:c>
      <x:c r="O245" s="62" t="n">
        <x:v>2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Perna perna</x:v>
      </x:c>
      <x:c r="T245" s="62" t="n">
        <x:f>IF(O245="","",(1/'Metadata'!$B$5)^(O245-1))</x:f>
        <x:v>10</x:v>
      </x:c>
      <x:c r="U245" s="60" t="n">
        <x:f>IF(T245="","",I245*T245)</x:f>
        <x:v>519.9719188729999</x:v>
      </x:c>
    </x:row>
    <x:row r="246" ht="18" customHeight="1">
      <x:c r="A246" s="46" t="str">
        <x:v>LME_012</x:v>
      </x:c>
      <x:c r="B246" s="46" t="str">
        <x:v>Caribbean Sea</x:v>
      </x:c>
      <x:c r="C246" s="46" t="str">
        <x:v>LME</x:v>
      </x:c>
      <x:c r="D246" s="58" t="n">
        <x:v>2019</x:v>
      </x:c>
      <x:c r="E246" s="46" t="str">
        <x:v>Isurus oxyrinchus</x:v>
      </x:c>
      <x:c r="F246" s="46" t="str">
        <x:v>Shortfin mako</x:v>
      </x:c>
      <x:c r="G246" s="46" t="str">
        <x:v>Large sharks (&gt;=90 cm)</x:v>
      </x:c>
      <x:c r="H246" s="46" t="str">
        <x:v>Sharks &amp; rays</x:v>
      </x:c>
      <x:c r="I246" s="60" t="n">
        <x:v>49.560149668</x:v>
      </x:c>
      <x:c r="J246" s="60" t="n">
        <x:v>49.560149668</x:v>
      </x:c>
      <x:c r="K246" s="60" t="n">
        <x:v>0</x:v>
      </x:c>
      <x:c r="L246" s="60" t="n">
        <x:v>48.9216491942</x:v>
      </x:c>
      <x:c r="M246" s="60" t="n">
        <x:v>0.6385004738</x:v>
      </x:c>
      <x:c r="N246" s="46" t="str">
        <x:v>isurus oxyrinchus</x:v>
      </x:c>
      <x:c r="O246" s="62" t="n">
        <x:v>4.5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Isurus oxyrinchus</x:v>
      </x:c>
      <x:c r="T246" s="62" t="n">
        <x:f>IF(O246="","",(1/'Metadata'!$B$5)^(O246-1))</x:f>
        <x:v>3162.2776601683795</x:v>
      </x:c>
      <x:c r="U246" s="60" t="n">
        <x:f>IF(T246="","",I246*T246)</x:f>
        <x:v>156722.95412971772</x:v>
      </x:c>
    </x:row>
    <x:row r="247" ht="18" customHeight="1">
      <x:c r="A247" s="46" t="str">
        <x:v>LME_012</x:v>
      </x:c>
      <x:c r="B247" s="46" t="str">
        <x:v>Caribbean Sea</x:v>
      </x:c>
      <x:c r="C247" s="46" t="str">
        <x:v>LME</x:v>
      </x:c>
      <x:c r="D247" s="58" t="n">
        <x:v>2019</x:v>
      </x:c>
      <x:c r="E247" s="46" t="str">
        <x:v>Myliobatidae</x:v>
      </x:c>
      <x:c r="F247" s="46" t="str">
        <x:v>Eagle/manta rays</x:v>
      </x:c>
      <x:c r="G247" s="46" t="str">
        <x:v>Large rays (&gt;=90 cm)</x:v>
      </x:c>
      <x:c r="H247" s="46" t="str">
        <x:v>Sharks &amp; rays</x:v>
      </x:c>
      <x:c r="I247" s="60" t="n">
        <x:v>46.858584541</x:v>
      </x:c>
      <x:c r="J247" s="60" t="n">
        <x:v>46.3578191254</x:v>
      </x:c>
      <x:c r="K247" s="60" t="n">
        <x:v>0.5007654156</x:v>
      </x:c>
      <x:c r="L247" s="60" t="n">
        <x:v>4.7273040450999995</x:v>
      </x:c>
      <x:c r="M247" s="60" t="n">
        <x:v>42.1312804959</x:v>
      </x:c>
      <x:c r="N247" s="46" t="str">
        <x:v>myliobatidae</x:v>
      </x:c>
      <x:c r="O247" s="62" t="n">
        <x:v>3.36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Myliobatidae</x:v>
      </x:c>
      <x:c r="T247" s="62" t="n">
        <x:f>IF(O247="","",(1/'Metadata'!$B$5)^(O247-1))</x:f>
        <x:v>229.08676527677724</x:v>
      </x:c>
      <x:c r="U247" s="60" t="n">
        <x:f>IF(T247="","",I247*T247)</x:f>
        <x:v>10734.681557946089</x:v>
      </x:c>
    </x:row>
    <x:row r="248" ht="18" customHeight="1">
      <x:c r="A248" s="46" t="str">
        <x:v>LME_012</x:v>
      </x:c>
      <x:c r="B248" s="46" t="str">
        <x:v>Caribbean Sea</x:v>
      </x:c>
      <x:c r="C248" s="46" t="str">
        <x:v>LME</x:v>
      </x:c>
      <x:c r="D248" s="58" t="n">
        <x:v>2019</x:v>
      </x:c>
      <x:c r="E248" s="46" t="str">
        <x:v>Menticirrhus saxatilis</x:v>
      </x:c>
      <x:c r="F248" s="46" t="str">
        <x:v>Northern kingfish</x:v>
      </x:c>
      <x:c r="G248" s="46" t="str">
        <x:v>Medium demersals (30 - 89 cm)</x:v>
      </x:c>
      <x:c r="H248" s="46" t="str">
        <x:v>Perch-likes</x:v>
      </x:c>
      <x:c r="I248" s="60" t="n">
        <x:v>45.3450504753</x:v>
      </x:c>
      <x:c r="J248" s="60" t="n">
        <x:v>0.9924942102</x:v>
      </x:c>
      <x:c r="K248" s="60" t="n">
        <x:v>44.3525562651</x:v>
      </x:c>
      <x:c r="L248" s="60" t="n">
        <x:v>0</x:v>
      </x:c>
      <x:c r="M248" s="60" t="n">
        <x:v>45.3450504753</x:v>
      </x:c>
      <x:c r="N248" s="46" t="str">
        <x:v>menticirrhus saxatilis</x:v>
      </x:c>
      <x:c r="O248" s="62" t="n">
        <x:v>3.56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Menticirrhus saxatilis</x:v>
      </x:c>
      <x:c r="T248" s="62" t="n">
        <x:f>IF(O248="","",(1/'Metadata'!$B$5)^(O248-1))</x:f>
        <x:v>363.0780547701014</x:v>
      </x:c>
      <x:c r="U248" s="60" t="n">
        <x:f>IF(T248="","",I248*T248)</x:f>
        <x:v>16463.792720023986</x:v>
      </x:c>
    </x:row>
    <x:row r="249" ht="18" customHeight="1">
      <x:c r="A249" s="46" t="str">
        <x:v>LME_012</x:v>
      </x:c>
      <x:c r="B249" s="46" t="str">
        <x:v>Caribbean Sea</x:v>
      </x:c>
      <x:c r="C249" s="46" t="str">
        <x:v>LME</x:v>
      </x:c>
      <x:c r="D249" s="58" t="n">
        <x:v>2019</x:v>
      </x:c>
      <x:c r="E249" s="46" t="str">
        <x:v>Galeocerdo cuvier</x:v>
      </x:c>
      <x:c r="F249" s="46" t="str">
        <x:v>Tiger shark</x:v>
      </x:c>
      <x:c r="G249" s="46" t="str">
        <x:v>Large sharks (&gt;=90 cm)</x:v>
      </x:c>
      <x:c r="H249" s="46" t="str">
        <x:v>Sharks &amp; rays</x:v>
      </x:c>
      <x:c r="I249" s="60" t="n">
        <x:v>43.4353694996</x:v>
      </x:c>
      <x:c r="J249" s="60" t="n">
        <x:v>43.4353694996</x:v>
      </x:c>
      <x:c r="K249" s="60" t="n">
        <x:v>0</x:v>
      </x:c>
      <x:c r="L249" s="60" t="n">
        <x:v>42.2371693638</x:v>
      </x:c>
      <x:c r="M249" s="60" t="n">
        <x:v>1.1982001357999998</x:v>
      </x:c>
      <x:c r="N249" s="46" t="str">
        <x:v>galeocerdo cuvier</x:v>
      </x:c>
      <x:c r="O249" s="62" t="n">
        <x:v>4.54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Galeocerdo cuvier</x:v>
      </x:c>
      <x:c r="T249" s="62" t="n">
        <x:f>IF(O249="","",(1/'Metadata'!$B$5)^(O249-1))</x:f>
        <x:v>3467.368504525317</x:v>
      </x:c>
      <x:c r="U249" s="60" t="n">
        <x:f>IF(T249="","",I249*T249)</x:f>
        <x:v>150606.4321853326</x:v>
      </x:c>
    </x:row>
    <x:row r="250" ht="18" customHeight="1">
      <x:c r="A250" s="46" t="str">
        <x:v>LME_012</x:v>
      </x:c>
      <x:c r="B250" s="46" t="str">
        <x:v>Caribbean Sea</x:v>
      </x:c>
      <x:c r="C250" s="46" t="str">
        <x:v>LME</x:v>
      </x:c>
      <x:c r="D250" s="58" t="n">
        <x:v>2019</x:v>
      </x:c>
      <x:c r="E250" s="46" t="str">
        <x:v>Echeneidae</x:v>
      </x:c>
      <x:c r="F250" s="46" t="str">
        <x:v>Remoras</x:v>
      </x:c>
      <x:c r="G250" s="46" t="str">
        <x:v>Large pelagics (&gt;=90 cm)</x:v>
      </x:c>
      <x:c r="H250" s="46" t="str">
        <x:v>Perch-likes</x:v>
      </x:c>
      <x:c r="I250" s="60" t="n">
        <x:v>43.295541485</x:v>
      </x:c>
      <x:c r="J250" s="60" t="n">
        <x:v>43.2143645954</x:v>
      </x:c>
      <x:c r="K250" s="60" t="n">
        <x:v>0.0811768896</x:v>
      </x:c>
      <x:c r="L250" s="60" t="n">
        <x:v>20.359178772</x:v>
      </x:c>
      <x:c r="M250" s="60" t="n">
        <x:v>22.936362713</x:v>
      </x:c>
      <x:c r="N250" s="46" t="str">
        <x:v>echeneidae</x:v>
      </x:c>
      <x:c r="O250" s="62" t="n">
        <x:v>3.22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Echeneidae</x:v>
      </x:c>
      <x:c r="T250" s="62" t="n">
        <x:f>IF(O250="","",(1/'Metadata'!$B$5)^(O250-1))</x:f>
        <x:v>165.95869074375614</x:v>
      </x:c>
      <x:c r="U250" s="60" t="n">
        <x:f>IF(T250="","",I250*T250)</x:f>
        <x:v>7185.27137989258</x:v>
      </x:c>
    </x:row>
    <x:row r="251" ht="18" customHeight="1">
      <x:c r="A251" s="46" t="str">
        <x:v>LME_012</x:v>
      </x:c>
      <x:c r="B251" s="46" t="str">
        <x:v>Caribbean Sea</x:v>
      </x:c>
      <x:c r="C251" s="46" t="str">
        <x:v>LME</x:v>
      </x:c>
      <x:c r="D251" s="58" t="n">
        <x:v>2019</x:v>
      </x:c>
      <x:c r="E251" s="46" t="str">
        <x:v>Sphyrna mokarran</x:v>
      </x:c>
      <x:c r="F251" s="46" t="str">
        <x:v>Great hammerhead</x:v>
      </x:c>
      <x:c r="G251" s="46" t="str">
        <x:v>Large sharks (&gt;=90 cm)</x:v>
      </x:c>
      <x:c r="H251" s="46" t="str">
        <x:v>Sharks &amp; rays</x:v>
      </x:c>
      <x:c r="I251" s="60" t="n">
        <x:v>43.1089165048</x:v>
      </x:c>
      <x:c r="J251" s="60" t="n">
        <x:v>43.1089165048</x:v>
      </x:c>
      <x:c r="K251" s="60" t="n">
        <x:v>0</x:v>
      </x:c>
      <x:c r="L251" s="60" t="n">
        <x:v>42.7196216105</x:v>
      </x:c>
      <x:c r="M251" s="60" t="n">
        <x:v>0.38929489429999997</x:v>
      </x:c>
      <x:c r="N251" s="46" t="str">
        <x:v>sphyrna mokarran</x:v>
      </x:c>
      <x:c r="O251" s="62" t="n">
        <x:v>4.32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Sphyrna mokarran</x:v>
      </x:c>
      <x:c r="T251" s="62" t="n">
        <x:f>IF(O251="","",(1/'Metadata'!$B$5)^(O251-1))</x:f>
        <x:v>2089.2961308540407</x:v>
      </x:c>
      <x:c r="U251" s="60" t="n">
        <x:f>IF(T251="","",I251*T251)</x:f>
        <x:v>90067.29245878854</x:v>
      </x:c>
    </x:row>
    <x:row r="252" ht="18" customHeight="1">
      <x:c r="A252" s="46" t="str">
        <x:v>LME_012</x:v>
      </x:c>
      <x:c r="B252" s="46" t="str">
        <x:v>Caribbean Sea</x:v>
      </x:c>
      <x:c r="C252" s="46" t="str">
        <x:v>LME</x:v>
      </x:c>
      <x:c r="D252" s="58" t="n">
        <x:v>2019</x:v>
      </x:c>
      <x:c r="E252" s="46" t="str">
        <x:v>Calamus bajonado</x:v>
      </x:c>
      <x:c r="F252" s="46" t="str">
        <x:v>Jolthead porgy</x:v>
      </x:c>
      <x:c r="G252" s="46" t="str">
        <x:v>Medium reef assoc. fish (30 - 89 cm)</x:v>
      </x:c>
      <x:c r="H252" s="46" t="str">
        <x:v>Perch-likes</x:v>
      </x:c>
      <x:c r="I252" s="60" t="n">
        <x:v>42.270630413199996</x:v>
      </x:c>
      <x:c r="J252" s="60" t="n">
        <x:v>42.270630413199996</x:v>
      </x:c>
      <x:c r="K252" s="60" t="n">
        <x:v>0</x:v>
      </x:c>
      <x:c r="L252" s="60" t="n">
        <x:v>1.5034103071</x:v>
      </x:c>
      <x:c r="M252" s="60" t="n">
        <x:v>40.7672201061</x:v>
      </x:c>
      <x:c r="N252" s="46" t="str">
        <x:v>calamus bajonado</x:v>
      </x:c>
      <x:c r="O252" s="62" t="n">
        <x:v>3.5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Calamus bajonado</x:v>
      </x:c>
      <x:c r="T252" s="62" t="n">
        <x:f>IF(O252="","",(1/'Metadata'!$B$5)^(O252-1))</x:f>
        <x:v>316.22776601683796</x:v>
      </x:c>
      <x:c r="U252" s="60" t="n">
        <x:f>IF(T252="","",I252*T252)</x:f>
        <x:v>13367.147023689642</x:v>
      </x:c>
    </x:row>
    <x:row r="253" ht="18" customHeight="1">
      <x:c r="A253" s="46" t="str">
        <x:v>LME_012</x:v>
      </x:c>
      <x:c r="B253" s="46" t="str">
        <x:v>Caribbean Sea</x:v>
      </x:c>
      <x:c r="C253" s="46" t="str">
        <x:v>LME</x:v>
      </x:c>
      <x:c r="D253" s="58" t="n">
        <x:v>2019</x:v>
      </x:c>
      <x:c r="E253" s="46" t="str">
        <x:v>Teuthida</x:v>
      </x:c>
      <x:c r="F253" s="46" t="str">
        <x:v>Squids</x:v>
      </x:c>
      <x:c r="G253" s="46" t="str">
        <x:v>Cephalopods</x:v>
      </x:c>
      <x:c r="H253" s="46" t="str">
        <x:v>Other fishes &amp; inverts</x:v>
      </x:c>
      <x:c r="I253" s="60" t="n">
        <x:v>42.2276419592</x:v>
      </x:c>
      <x:c r="J253" s="60" t="n">
        <x:v>42.2276419592</x:v>
      </x:c>
      <x:c r="K253" s="60" t="n">
        <x:v>0</x:v>
      </x:c>
      <x:c r="L253" s="60" t="n">
        <x:v>1.0906782159</x:v>
      </x:c>
      <x:c r="M253" s="60" t="n">
        <x:v>41.1369637433</x:v>
      </x:c>
      <x:c r="N253" s="46" t="str">
        <x:v>teuthida</x:v>
      </x:c>
      <x:c r="O253" s="62" t="n">
        <x:v>4.13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Teuthida</x:v>
      </x:c>
      <x:c r="T253" s="62" t="n">
        <x:f>IF(O253="","",(1/'Metadata'!$B$5)^(O253-1))</x:f>
        <x:v>1348.9628825916532</x:v>
      </x:c>
      <x:c r="U253" s="60" t="n">
        <x:f>IF(T253="","",I253*T253)</x:f>
        <x:v>56963.52162233068</x:v>
      </x:c>
    </x:row>
    <x:row r="254" ht="18" customHeight="1">
      <x:c r="A254" s="46" t="str">
        <x:v>LME_012</x:v>
      </x:c>
      <x:c r="B254" s="46" t="str">
        <x:v>Caribbean Sea</x:v>
      </x:c>
      <x:c r="C254" s="46" t="str">
        <x:v>LME</x:v>
      </x:c>
      <x:c r="D254" s="58" t="n">
        <x:v>2019</x:v>
      </x:c>
      <x:c r="E254" s="46" t="str">
        <x:v>Lopholatilus chamaeleonticeps</x:v>
      </x:c>
      <x:c r="F254" s="46" t="str">
        <x:v>Great northern tilefish</x:v>
      </x:c>
      <x:c r="G254" s="46" t="str">
        <x:v>Large demersals (&gt;=90 cm)</x:v>
      </x:c>
      <x:c r="H254" s="46" t="str">
        <x:v>Perch-likes</x:v>
      </x:c>
      <x:c r="I254" s="60" t="n">
        <x:v>41.9212614399</x:v>
      </x:c>
      <x:c r="J254" s="60" t="n">
        <x:v>40.4119188796</x:v>
      </x:c>
      <x:c r="K254" s="60" t="n">
        <x:v>1.5093425603</x:v>
      </x:c>
      <x:c r="L254" s="60" t="n">
        <x:v>37.0689691901</x:v>
      </x:c>
      <x:c r="M254" s="60" t="n">
        <x:v>4.8522922498</x:v>
      </x:c>
      <x:c r="N254" s="46" t="str">
        <x:v>lopholatilus chamaeleonticeps</x:v>
      </x:c>
      <x:c r="O254" s="62" t="n">
        <x:v>3.85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Lopholatilus chamaeleonticeps</x:v>
      </x:c>
      <x:c r="T254" s="62" t="n">
        <x:f>IF(O254="","",(1/'Metadata'!$B$5)^(O254-1))</x:f>
        <x:v>707.945784384138</x:v>
      </x:c>
      <x:c r="U254" s="60" t="n">
        <x:f>IF(T254="","",I254*T254)</x:f>
        <x:v>29677.980312442527</x:v>
      </x:c>
    </x:row>
    <x:row r="255" ht="18" customHeight="1">
      <x:c r="A255" s="46" t="str">
        <x:v>LME_012</x:v>
      </x:c>
      <x:c r="B255" s="46" t="str">
        <x:v>Caribbean Sea</x:v>
      </x:c>
      <x:c r="C255" s="46" t="str">
        <x:v>LME</x:v>
      </x:c>
      <x:c r="D255" s="58" t="n">
        <x:v>2019</x:v>
      </x:c>
      <x:c r="E255" s="46" t="str">
        <x:v>Ephippidae</x:v>
      </x:c>
      <x:c r="F255" s="46" t="str">
        <x:v>Spade-, batfishes, scats</x:v>
      </x:c>
      <x:c r="G255" s="46" t="str">
        <x:v>Medium reef assoc. fish (30 - 89 cm)</x:v>
      </x:c>
      <x:c r="H255" s="46" t="str">
        <x:v>Perch-likes</x:v>
      </x:c>
      <x:c r="I255" s="60" t="n">
        <x:v>41.5755533339</x:v>
      </x:c>
      <x:c r="J255" s="60" t="n">
        <x:v>39.3133156816</x:v>
      </x:c>
      <x:c r="K255" s="60" t="n">
        <x:v>2.2622376522999996</x:v>
      </x:c>
      <x:c r="L255" s="60" t="n">
        <x:v>36.5160088302</x:v>
      </x:c>
      <x:c r="M255" s="60" t="n">
        <x:v>5.0595445037</x:v>
      </x:c>
      <x:c r="N255" s="46" t="str">
        <x:v>ephippidae</x:v>
      </x:c>
      <x:c r="O255" s="62" t="n">
        <x:v>3.57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Ephippidae</x:v>
      </x:c>
      <x:c r="T255" s="62" t="n">
        <x:f>IF(O255="","",(1/'Metadata'!$B$5)^(O255-1))</x:f>
        <x:v>371.5352290971724</x:v>
      </x:c>
      <x:c r="U255" s="60" t="n">
        <x:f>IF(T255="","",I255*T255)</x:f>
        <x:v>15446.782732752246</x:v>
      </x:c>
    </x:row>
    <x:row r="256" ht="18" customHeight="1">
      <x:c r="A256" s="46" t="str">
        <x:v>LME_012</x:v>
      </x:c>
      <x:c r="B256" s="46" t="str">
        <x:v>Caribbean Sea</x:v>
      </x:c>
      <x:c r="C256" s="46" t="str">
        <x:v>LME</x:v>
      </x:c>
      <x:c r="D256" s="58" t="n">
        <x:v>2019</x:v>
      </x:c>
      <x:c r="E256" s="46" t="str">
        <x:v>Loliginidae</x:v>
      </x:c>
      <x:c r="F256" s="46" t="str">
        <x:v>Common pencil squids</x:v>
      </x:c>
      <x:c r="G256" s="46" t="str">
        <x:v>Cephalopods</x:v>
      </x:c>
      <x:c r="H256" s="46" t="str">
        <x:v>Other fishes &amp; inverts</x:v>
      </x:c>
      <x:c r="I256" s="60" t="n">
        <x:v>41.255637616499996</x:v>
      </x:c>
      <x:c r="J256" s="60" t="n">
        <x:v>41.199796749899996</x:v>
      </x:c>
      <x:c r="K256" s="60" t="n">
        <x:v>0.0558408666</x:v>
      </x:c>
      <x:c r="L256" s="60" t="n">
        <x:v>0.6336764088</x:v>
      </x:c>
      <x:c r="M256" s="60" t="n">
        <x:v>40.6219612077</x:v>
      </x:c>
      <x:c r="N256" s="46" t="str">
        <x:v>loliginidae</x:v>
      </x:c>
      <x:c r="O256" s="62" t="n">
        <x:v>3.9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Loliginidae</x:v>
      </x:c>
      <x:c r="T256" s="62" t="n">
        <x:f>IF(O256="","",(1/'Metadata'!$B$5)^(O256-1))</x:f>
        <x:v>794.3282347242813</x:v>
      </x:c>
      <x:c r="U256" s="60" t="n">
        <x:f>IF(T256="","",I256*T256)</x:f>
        <x:v>32770.5178003391</x:v>
      </x:c>
    </x:row>
    <x:row r="257" ht="18" customHeight="1">
      <x:c r="A257" s="46" t="str">
        <x:v>LME_012</x:v>
      </x:c>
      <x:c r="B257" s="46" t="str">
        <x:v>Caribbean Sea</x:v>
      </x:c>
      <x:c r="C257" s="46" t="str">
        <x:v>LME</x:v>
      </x:c>
      <x:c r="D257" s="58" t="n">
        <x:v>2019</x:v>
      </x:c>
      <x:c r="E257" s="46" t="str">
        <x:v>Squalus acanthias</x:v>
      </x:c>
      <x:c r="F257" s="46" t="str">
        <x:v>Picked dogfish</x:v>
      </x:c>
      <x:c r="G257" s="46" t="str">
        <x:v>Large sharks (&gt;=90 cm)</x:v>
      </x:c>
      <x:c r="H257" s="46" t="str">
        <x:v>Sharks &amp; rays</x:v>
      </x:c>
      <x:c r="I257" s="60" t="n">
        <x:v>38.8949641395</x:v>
      </x:c>
      <x:c r="J257" s="60" t="n">
        <x:v>38.8949641395</x:v>
      </x:c>
      <x:c r="K257" s="60" t="n">
        <x:v>0</x:v>
      </x:c>
      <x:c r="L257" s="60" t="n">
        <x:v>37.1733685759</x:v>
      </x:c>
      <x:c r="M257" s="60" t="n">
        <x:v>1.7215955636</x:v>
      </x:c>
      <x:c r="N257" s="46" t="str">
        <x:v>squalus acanthias</x:v>
      </x:c>
      <x:c r="O257" s="62" t="n">
        <x:v>4.37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Squalus acanthias</x:v>
      </x:c>
      <x:c r="T257" s="62" t="n">
        <x:f>IF(O257="","",(1/'Metadata'!$B$5)^(O257-1))</x:f>
        <x:v>2344.228815319923</x:v>
      </x:c>
      <x:c r="U257" s="60" t="n">
        <x:f>IF(T257="","",I257*T257)</x:f>
        <x:v>91178.69570665096</x:v>
      </x:c>
    </x:row>
    <x:row r="258" ht="18" customHeight="1">
      <x:c r="A258" s="46" t="str">
        <x:v>LME_012</x:v>
      </x:c>
      <x:c r="B258" s="46" t="str">
        <x:v>Caribbean Sea</x:v>
      </x:c>
      <x:c r="C258" s="46" t="str">
        <x:v>LME</x:v>
      </x:c>
      <x:c r="D258" s="58" t="n">
        <x:v>2019</x:v>
      </x:c>
      <x:c r="E258" s="46" t="str">
        <x:v>Menticirrhus</x:v>
      </x:c>
      <x:c r="F258" s="46" t="str">
        <x:v>Kingcroakers</x:v>
      </x:c>
      <x:c r="G258" s="46" t="str">
        <x:v>Medium demersals (30 - 89 cm)</x:v>
      </x:c>
      <x:c r="H258" s="46" t="str">
        <x:v>Perch-likes</x:v>
      </x:c>
      <x:c r="I258" s="60" t="n">
        <x:v>36.2350384728</x:v>
      </x:c>
      <x:c r="J258" s="60" t="n">
        <x:v>36.2350384728</x:v>
      </x:c>
      <x:c r="K258" s="60" t="n">
        <x:v>0</x:v>
      </x:c>
      <x:c r="L258" s="60" t="n">
        <x:v>36.2350384728</x:v>
      </x:c>
      <x:c r="M258" s="60" t="n">
        <x:v>0</x:v>
      </x:c>
      <x:c r="N258" s="46" t="str">
        <x:v>menticirrhus</x:v>
      </x:c>
      <x:c r="O258" s="62" t="n">
        <x:v>3.67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Menticirrhus</x:v>
      </x:c>
      <x:c r="T258" s="62" t="n">
        <x:f>IF(O258="","",(1/'Metadata'!$B$5)^(O258-1))</x:f>
        <x:v>467.73514128719813</x:v>
      </x:c>
      <x:c r="U258" s="60" t="n">
        <x:f>IF(T258="","",I258*T258)</x:f>
        <x:v>16948.40083962217</x:v>
      </x:c>
    </x:row>
    <x:row r="259" ht="18" customHeight="1">
      <x:c r="A259" s="46" t="str">
        <x:v>LME_012</x:v>
      </x:c>
      <x:c r="B259" s="46" t="str">
        <x:v>Caribbean Sea</x:v>
      </x:c>
      <x:c r="C259" s="46" t="str">
        <x:v>LME</x:v>
      </x:c>
      <x:c r="D259" s="58" t="n">
        <x:v>2019</x:v>
      </x:c>
      <x:c r="E259" s="46" t="str">
        <x:v>Haemulon sciurus</x:v>
      </x:c>
      <x:c r="F259" s="46" t="str">
        <x:v>Bluestriped grunt</x:v>
      </x:c>
      <x:c r="G259" s="46" t="str">
        <x:v>Medium reef assoc. fish (30 - 89 cm)</x:v>
      </x:c>
      <x:c r="H259" s="46" t="str">
        <x:v>Perch-likes</x:v>
      </x:c>
      <x:c r="I259" s="60" t="n">
        <x:v>35.6817528097</x:v>
      </x:c>
      <x:c r="J259" s="60" t="n">
        <x:v>35.6817528097</x:v>
      </x:c>
      <x:c r="K259" s="60" t="n">
        <x:v>0</x:v>
      </x:c>
      <x:c r="L259" s="60" t="n">
        <x:v>6.2888870605000005</x:v>
      </x:c>
      <x:c r="M259" s="60" t="n">
        <x:v>29.392865749200002</x:v>
      </x:c>
      <x:c r="N259" s="46" t="str">
        <x:v>haemulon sciurus</x:v>
      </x:c>
      <x:c r="O259" s="62" t="n">
        <x:v>3.48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Haemulon sciurus</x:v>
      </x:c>
      <x:c r="T259" s="62" t="n">
        <x:f>IF(O259="","",(1/'Metadata'!$B$5)^(O259-1))</x:f>
        <x:v>301.9951720402016</x:v>
      </x:c>
      <x:c r="U259" s="60" t="n">
        <x:f>IF(T259="","",I259*T259)</x:f>
        <x:v>10775.717078461299</x:v>
      </x:c>
    </x:row>
    <x:row r="260" ht="18" customHeight="1">
      <x:c r="A260" s="46" t="str">
        <x:v>LME_012</x:v>
      </x:c>
      <x:c r="B260" s="46" t="str">
        <x:v>Caribbean Sea</x:v>
      </x:c>
      <x:c r="C260" s="46" t="str">
        <x:v>LME</x:v>
      </x:c>
      <x:c r="D260" s="58" t="n">
        <x:v>2019</x:v>
      </x:c>
      <x:c r="E260" s="46" t="str">
        <x:v>Chaetodipterus faber</x:v>
      </x:c>
      <x:c r="F260" s="46" t="str">
        <x:v>Atlantic spadefish</x:v>
      </x:c>
      <x:c r="G260" s="46" t="str">
        <x:v>Medium demersals (30 - 89 cm)</x:v>
      </x:c>
      <x:c r="H260" s="46" t="str">
        <x:v>Perch-likes</x:v>
      </x:c>
      <x:c r="I260" s="60" t="n">
        <x:v>32.746235152000004</x:v>
      </x:c>
      <x:c r="J260" s="60" t="n">
        <x:v>32.6690396698</x:v>
      </x:c>
      <x:c r="K260" s="60" t="n">
        <x:v>0.0771954822</x:v>
      </x:c>
      <x:c r="L260" s="60" t="n">
        <x:v>0.6498675838</x:v>
      </x:c>
      <x:c r="M260" s="60" t="n">
        <x:v>32.0963675682</x:v>
      </x:c>
      <x:c r="N260" s="46" t="str">
        <x:v>chaetodipterus faber</x:v>
      </x:c>
      <x:c r="O260" s="62" t="n">
        <x:v>4.5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Chaetodipterus faber</x:v>
      </x:c>
      <x:c r="T260" s="62" t="n">
        <x:f>IF(O260="","",(1/'Metadata'!$B$5)^(O260-1))</x:f>
        <x:v>3162.2776601683795</x:v>
      </x:c>
      <x:c r="U260" s="60" t="n">
        <x:f>IF(T260="","",I260*T260)</x:f>
        <x:v>103552.68787579011</x:v>
      </x:c>
    </x:row>
    <x:row r="261" ht="18" customHeight="1">
      <x:c r="A261" s="46" t="str">
        <x:v>LME_012</x:v>
      </x:c>
      <x:c r="B261" s="46" t="str">
        <x:v>Caribbean Sea</x:v>
      </x:c>
      <x:c r="C261" s="46" t="str">
        <x:v>LME</x:v>
      </x:c>
      <x:c r="D261" s="58" t="n">
        <x:v>2019</x:v>
      </x:c>
      <x:c r="E261" s="46" t="str">
        <x:v>Chaceon fenneri</x:v>
      </x:c>
      <x:c r="F261" s="46" t="str">
        <x:v>Golden deepsea crab</x:v>
      </x:c>
      <x:c r="G261" s="46" t="str">
        <x:v>Lobsters, crabs</x:v>
      </x:c>
      <x:c r="H261" s="46" t="str">
        <x:v>Crustaceans</x:v>
      </x:c>
      <x:c r="I261" s="60" t="n">
        <x:v>31.4662611241</x:v>
      </x:c>
      <x:c r="J261" s="60" t="n">
        <x:v>31.4662611241</x:v>
      </x:c>
      <x:c r="K261" s="60" t="n">
        <x:v>0</x:v>
      </x:c>
      <x:c r="L261" s="60" t="n">
        <x:v>31.4662611241</x:v>
      </x:c>
      <x:c r="M261" s="60" t="n">
        <x:v>0</x:v>
      </x:c>
      <x:c r="N261" s="46" t="str">
        <x:v>chaceon fenneri</x:v>
      </x:c>
      <x:c r="O261" s="62" t="n">
        <x:v>3.02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Chaceon fenneri</x:v>
      </x:c>
      <x:c r="T261" s="62" t="n">
        <x:f>IF(O261="","",(1/'Metadata'!$B$5)^(O261-1))</x:f>
        <x:v>104.71285480508996</x:v>
      </x:c>
      <x:c r="U261" s="60" t="n">
        <x:f>IF(T261="","",I261*T261)</x:f>
        <x:v>3294.9220323469303</x:v>
      </x:c>
    </x:row>
    <x:row r="262" ht="18" customHeight="1">
      <x:c r="A262" s="46" t="str">
        <x:v>LME_012</x:v>
      </x:c>
      <x:c r="B262" s="46" t="str">
        <x:v>Caribbean Sea</x:v>
      </x:c>
      <x:c r="C262" s="46" t="str">
        <x:v>LME</x:v>
      </x:c>
      <x:c r="D262" s="58" t="n">
        <x:v>2019</x:v>
      </x:c>
      <x:c r="E262" s="46" t="str">
        <x:v>Balistes vetula</x:v>
      </x:c>
      <x:c r="F262" s="46" t="str">
        <x:v>Queen triggerfish</x:v>
      </x:c>
      <x:c r="G262" s="46" t="str">
        <x:v>Medium reef assoc. fish (30 - 89 cm)</x:v>
      </x:c>
      <x:c r="H262" s="46" t="str">
        <x:v>Other fishes &amp; inverts</x:v>
      </x:c>
      <x:c r="I262" s="60" t="n">
        <x:v>30.794508130300002</x:v>
      </x:c>
      <x:c r="J262" s="60" t="n">
        <x:v>30.794508130300002</x:v>
      </x:c>
      <x:c r="K262" s="60" t="n">
        <x:v>0</x:v>
      </x:c>
      <x:c r="L262" s="60" t="n">
        <x:v>5.2446935295</x:v>
      </x:c>
      <x:c r="M262" s="60" t="n">
        <x:v>25.549814600799998</x:v>
      </x:c>
      <x:c r="N262" s="46" t="str">
        <x:v>balistes vetula</x:v>
      </x:c>
      <x:c r="O262" s="62" t="n">
        <x:v>3.82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Balistes vetula</x:v>
      </x:c>
      <x:c r="T262" s="62" t="n">
        <x:f>IF(O262="","",(1/'Metadata'!$B$5)^(O262-1))</x:f>
        <x:v>660.6934480075957</x:v>
      </x:c>
      <x:c r="U262" s="60" t="n">
        <x:f>IF(T262="","",I262*T262)</x:f>
        <x:v>20345.72975630585</x:v>
      </x:c>
    </x:row>
    <x:row r="263" ht="18" customHeight="1">
      <x:c r="A263" s="46" t="str">
        <x:v>LME_012</x:v>
      </x:c>
      <x:c r="B263" s="46" t="str">
        <x:v>Caribbean Sea</x:v>
      </x:c>
      <x:c r="C263" s="46" t="str">
        <x:v>LME</x:v>
      </x:c>
      <x:c r="D263" s="58" t="n">
        <x:v>2019</x:v>
      </x:c>
      <x:c r="E263" s="46" t="str">
        <x:v>Crassostrea rhizophorae</x:v>
      </x:c>
      <x:c r="F263" s="46" t="str">
        <x:v>Mangrove cupped oyster</x:v>
      </x:c>
      <x:c r="G263" s="46" t="str">
        <x:v>Other demersal invertebrates</x:v>
      </x:c>
      <x:c r="H263" s="46" t="str">
        <x:v>Molluscs</x:v>
      </x:c>
      <x:c r="I263" s="60" t="n">
        <x:v>30.31881435</x:v>
      </x:c>
      <x:c r="J263" s="60" t="n">
        <x:v>30.31881435</x:v>
      </x:c>
      <x:c r="K263" s="60" t="n">
        <x:v>0</x:v>
      </x:c>
      <x:c r="L263" s="60" t="n">
        <x:v>21.3243634626</x:v>
      </x:c>
      <x:c r="M263" s="60" t="n">
        <x:v>8.9944508874</x:v>
      </x:c>
      <x:c r="N263" s="46" t="str">
        <x:v>crassostrea rhizophorae</x:v>
      </x:c>
      <x:c r="O263" s="62" t="n">
        <x:v>2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Crassostrea rhizophorae</x:v>
      </x:c>
      <x:c r="T263" s="62" t="n">
        <x:f>IF(O263="","",(1/'Metadata'!$B$5)^(O263-1))</x:f>
        <x:v>10</x:v>
      </x:c>
      <x:c r="U263" s="60" t="n">
        <x:f>IF(T263="","",I263*T263)</x:f>
        <x:v>303.1881435</x:v>
      </x:c>
    </x:row>
    <x:row r="264" ht="18" customHeight="1">
      <x:c r="A264" s="46" t="str">
        <x:v>LME_012</x:v>
      </x:c>
      <x:c r="B264" s="46" t="str">
        <x:v>Caribbean Sea</x:v>
      </x:c>
      <x:c r="C264" s="46" t="str">
        <x:v>LME</x:v>
      </x:c>
      <x:c r="D264" s="58" t="n">
        <x:v>2019</x:v>
      </x:c>
      <x:c r="E264" s="46" t="str">
        <x:v>Siluriformes</x:v>
      </x:c>
      <x:c r="F264" s="46" t="str">
        <x:v>Catfishes</x:v>
      </x:c>
      <x:c r="G264" s="46" t="str">
        <x:v>Medium demersals (30 - 89 cm)</x:v>
      </x:c>
      <x:c r="H264" s="46" t="str">
        <x:v>Other fishes &amp; inverts</x:v>
      </x:c>
      <x:c r="I264" s="60" t="n">
        <x:v>29.2165044808</x:v>
      </x:c>
      <x:c r="J264" s="60" t="n">
        <x:v>29.2165044808</x:v>
      </x:c>
      <x:c r="K264" s="60" t="n">
        <x:v>0</x:v>
      </x:c>
      <x:c r="L264" s="60" t="n">
        <x:v>29.2165044808</x:v>
      </x:c>
      <x:c r="M264" s="60" t="n">
        <x:v>0</x:v>
      </x:c>
      <x:c r="N264" s="46" t="str">
        <x:v>siluriformes</x:v>
      </x:c>
      <x:c r="O264" s="62" t="n">
        <x:v>3.48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Siluriformes</x:v>
      </x:c>
      <x:c r="T264" s="62" t="n">
        <x:f>IF(O264="","",(1/'Metadata'!$B$5)^(O264-1))</x:f>
        <x:v>301.9951720402016</x:v>
      </x:c>
      <x:c r="U264" s="60" t="n">
        <x:f>IF(T264="","",I264*T264)</x:f>
        <x:v>8823.243297092518</x:v>
      </x:c>
    </x:row>
    <x:row r="265" ht="18" customHeight="1">
      <x:c r="A265" s="46" t="str">
        <x:v>LME_012</x:v>
      </x:c>
      <x:c r="B265" s="46" t="str">
        <x:v>Caribbean Sea</x:v>
      </x:c>
      <x:c r="C265" s="46" t="str">
        <x:v>LME</x:v>
      </x:c>
      <x:c r="D265" s="58" t="n">
        <x:v>2019</x:v>
      </x:c>
      <x:c r="E265" s="46" t="str">
        <x:v>Gempylidae</x:v>
      </x:c>
      <x:c r="F265" s="46" t="str">
        <x:v>Snake mackerels</x:v>
      </x:c>
      <x:c r="G265" s="46" t="str">
        <x:v>Large benthopelagics (&gt;=90 cm)</x:v>
      </x:c>
      <x:c r="H265" s="46" t="str">
        <x:v>Perch-likes</x:v>
      </x:c>
      <x:c r="I265" s="60" t="n">
        <x:v>29.164891372899998</x:v>
      </x:c>
      <x:c r="J265" s="60" t="n">
        <x:v>29.164891372899998</x:v>
      </x:c>
      <x:c r="K265" s="60" t="n">
        <x:v>0</x:v>
      </x:c>
      <x:c r="L265" s="60" t="n">
        <x:v>23.218206194</x:v>
      </x:c>
      <x:c r="M265" s="60" t="n">
        <x:v>5.9466851789</x:v>
      </x:c>
      <x:c r="N265" s="46" t="str">
        <x:v>gempylidae</x:v>
      </x:c>
      <x:c r="O265" s="62" t="n">
        <x:v>4.21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Gempylidae</x:v>
      </x:c>
      <x:c r="T265" s="62" t="n">
        <x:f>IF(O265="","",(1/'Metadata'!$B$5)^(O265-1))</x:f>
        <x:v>1621.8100973589299</x:v>
      </x:c>
      <x:c r="U265" s="60" t="n">
        <x:f>IF(T265="","",I265*T265)</x:f>
        <x:v>47299.91531694556</x:v>
      </x:c>
    </x:row>
    <x:row r="266" ht="18" customHeight="1">
      <x:c r="A266" s="46" t="str">
        <x:v>LME_012</x:v>
      </x:c>
      <x:c r="B266" s="46" t="str">
        <x:v>Caribbean Sea</x:v>
      </x:c>
      <x:c r="C266" s="46" t="str">
        <x:v>LME</x:v>
      </x:c>
      <x:c r="D266" s="58" t="n">
        <x:v>2019</x:v>
      </x:c>
      <x:c r="E266" s="46" t="str">
        <x:v>Canthidermis sufflamen</x:v>
      </x:c>
      <x:c r="F266" s="46" t="str">
        <x:v>Ocean triggerfish</x:v>
      </x:c>
      <x:c r="G266" s="46" t="str">
        <x:v>Medium reef assoc. fish (30 - 89 cm)</x:v>
      </x:c>
      <x:c r="H266" s="46" t="str">
        <x:v>Other fishes &amp; inverts</x:v>
      </x:c>
      <x:c r="I266" s="60" t="n">
        <x:v>27.8810899092</x:v>
      </x:c>
      <x:c r="J266" s="60" t="n">
        <x:v>27.8810899092</x:v>
      </x:c>
      <x:c r="K266" s="60" t="n">
        <x:v>0</x:v>
      </x:c>
      <x:c r="L266" s="60" t="n">
        <x:v>1.2097670746</x:v>
      </x:c>
      <x:c r="M266" s="60" t="n">
        <x:v>26.6713228346</x:v>
      </x:c>
      <x:c r="N266" s="46" t="str">
        <x:v>canthidermis sufflamen</x:v>
      </x:c>
      <x:c r="O266" s="62" t="n">
        <x:v>3.45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Canthidermis sufflamen</x:v>
      </x:c>
      <x:c r="T266" s="62" t="n">
        <x:f>IF(O266="","",(1/'Metadata'!$B$5)^(O266-1))</x:f>
        <x:v>281.8382931264455</x:v>
      </x:c>
      <x:c r="U266" s="60" t="n">
        <x:f>IF(T266="","",I266*T266)</x:f>
        <x:v>7857.958790513891</x:v>
      </x:c>
    </x:row>
    <x:row r="267" ht="18" customHeight="1">
      <x:c r="A267" s="46" t="str">
        <x:v>LME_012</x:v>
      </x:c>
      <x:c r="B267" s="46" t="str">
        <x:v>Caribbean Sea</x:v>
      </x:c>
      <x:c r="C267" s="46" t="str">
        <x:v>LME</x:v>
      </x:c>
      <x:c r="D267" s="58" t="n">
        <x:v>2019</x:v>
      </x:c>
      <x:c r="E267" s="46" t="str">
        <x:v>Hemiramphus</x:v>
      </x:c>
      <x:c r="F267" s="46" t="str">
        <x:v>Halfbeaks</x:v>
      </x:c>
      <x:c r="G267" s="46" t="str">
        <x:v>Medium pelagics (30 - 89 cm)</x:v>
      </x:c>
      <x:c r="H267" s="46" t="str">
        <x:v>Other fishes &amp; inverts</x:v>
      </x:c>
      <x:c r="I267" s="60" t="n">
        <x:v>27.0895276749</x:v>
      </x:c>
      <x:c r="J267" s="60" t="n">
        <x:v>27.0895276749</x:v>
      </x:c>
      <x:c r="K267" s="60" t="n">
        <x:v>0</x:v>
      </x:c>
      <x:c r="L267" s="60" t="n">
        <x:v>26.7795576691</x:v>
      </x:c>
      <x:c r="M267" s="60" t="n">
        <x:v>0.3099700058</x:v>
      </x:c>
      <x:c r="N267" s="46" t="str">
        <x:v>hemiramphus</x:v>
      </x:c>
      <x:c r="O267" s="62" t="n">
        <x:v>3.05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Hemiramphus</x:v>
      </x:c>
      <x:c r="T267" s="62" t="n">
        <x:f>IF(O267="","",(1/'Metadata'!$B$5)^(O267-1))</x:f>
        <x:v>112.2018454301963</x:v>
      </x:c>
      <x:c r="U267" s="60" t="n">
        <x:f>IF(T267="","",I267*T267)</x:f>
        <x:v>3039.494996956155</x:v>
      </x:c>
    </x:row>
    <x:row r="268" ht="18" customHeight="1">
      <x:c r="A268" s="46" t="str">
        <x:v>LME_012</x:v>
      </x:c>
      <x:c r="B268" s="46" t="str">
        <x:v>Caribbean Sea</x:v>
      </x:c>
      <x:c r="C268" s="46" t="str">
        <x:v>LME</x:v>
      </x:c>
      <x:c r="D268" s="58" t="n">
        <x:v>2019</x:v>
      </x:c>
      <x:c r="E268" s="46" t="str">
        <x:v>Calamus calamus</x:v>
      </x:c>
      <x:c r="F268" s="46" t="str">
        <x:v>Saucereye porgy</x:v>
      </x:c>
      <x:c r="G268" s="46" t="str">
        <x:v>Medium reef assoc. fish (30 - 89 cm)</x:v>
      </x:c>
      <x:c r="H268" s="46" t="str">
        <x:v>Perch-likes</x:v>
      </x:c>
      <x:c r="I268" s="60" t="n">
        <x:v>26.586580313600003</x:v>
      </x:c>
      <x:c r="J268" s="60" t="n">
        <x:v>26.586580313600003</x:v>
      </x:c>
      <x:c r="K268" s="60" t="n">
        <x:v>0</x:v>
      </x:c>
      <x:c r="L268" s="60" t="n">
        <x:v>1.4039589669</x:v>
      </x:c>
      <x:c r="M268" s="60" t="n">
        <x:v>25.1826213467</x:v>
      </x:c>
      <x:c r="N268" s="46" t="str">
        <x:v>calamus calamus</x:v>
      </x:c>
      <x:c r="O268" s="62" t="n">
        <x:v>3.5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Calamus calamus</x:v>
      </x:c>
      <x:c r="T268" s="62" t="n">
        <x:f>IF(O268="","",(1/'Metadata'!$B$5)^(O268-1))</x:f>
        <x:v>316.22776601683796</x:v>
      </x:c>
      <x:c r="U268" s="60" t="n">
        <x:f>IF(T268="","",I268*T268)</x:f>
        <x:v>8407.414898596971</x:v>
      </x:c>
    </x:row>
    <x:row r="269" ht="18" customHeight="1">
      <x:c r="A269" s="46" t="str">
        <x:v>LME_012</x:v>
      </x:c>
      <x:c r="B269" s="46" t="str">
        <x:v>Caribbean Sea</x:v>
      </x:c>
      <x:c r="C269" s="46" t="str">
        <x:v>LME</x:v>
      </x:c>
      <x:c r="D269" s="58" t="n">
        <x:v>2019</x:v>
      </x:c>
      <x:c r="E269" s="46" t="str">
        <x:v>Mercenaria mercenaria</x:v>
      </x:c>
      <x:c r="F269" s="46" t="str">
        <x:v>Northern quahog</x:v>
      </x:c>
      <x:c r="G269" s="46" t="str">
        <x:v>Other demersal invertebrates</x:v>
      </x:c>
      <x:c r="H269" s="46" t="str">
        <x:v>Molluscs</x:v>
      </x:c>
      <x:c r="I269" s="60" t="n">
        <x:v>25.9149991154</x:v>
      </x:c>
      <x:c r="J269" s="60" t="n">
        <x:v>25.9149991154</x:v>
      </x:c>
      <x:c r="K269" s="60" t="n">
        <x:v>0</x:v>
      </x:c>
      <x:c r="L269" s="60" t="n">
        <x:v>10.7498807047</x:v>
      </x:c>
      <x:c r="M269" s="60" t="n">
        <x:v>15.1651184107</x:v>
      </x:c>
      <x:c r="N269" s="46" t="str">
        <x:v>mercenaria mercenaria</x:v>
      </x:c>
      <x:c r="O269" s="62" t="n">
        <x:v>2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Mercenaria mercenaria</x:v>
      </x:c>
      <x:c r="T269" s="62" t="n">
        <x:f>IF(O269="","",(1/'Metadata'!$B$5)^(O269-1))</x:f>
        <x:v>10</x:v>
      </x:c>
      <x:c r="U269" s="60" t="n">
        <x:f>IF(T269="","",I269*T269)</x:f>
        <x:v>259.149991154</x:v>
      </x:c>
    </x:row>
    <x:row r="270" ht="18" customHeight="1">
      <x:c r="A270" s="46" t="str">
        <x:v>LME_012</x:v>
      </x:c>
      <x:c r="B270" s="46" t="str">
        <x:v>Caribbean Sea</x:v>
      </x:c>
      <x:c r="C270" s="46" t="str">
        <x:v>LME</x:v>
      </x:c>
      <x:c r="D270" s="58" t="n">
        <x:v>2019</x:v>
      </x:c>
      <x:c r="E270" s="46" t="str">
        <x:v>Haemulon flavolineatum</x:v>
      </x:c>
      <x:c r="F270" s="46" t="str">
        <x:v>French grunt</x:v>
      </x:c>
      <x:c r="G270" s="46" t="str">
        <x:v>Small reef assoc. fish (&lt;30 cm)</x:v>
      </x:c>
      <x:c r="H270" s="46" t="str">
        <x:v>Perch-likes</x:v>
      </x:c>
      <x:c r="I270" s="60" t="n">
        <x:v>25.749773274</x:v>
      </x:c>
      <x:c r="J270" s="60" t="n">
        <x:v>25.749773274</x:v>
      </x:c>
      <x:c r="K270" s="60" t="n">
        <x:v>0</x:v>
      </x:c>
      <x:c r="L270" s="60" t="n">
        <x:v>1.62128288</x:v>
      </x:c>
      <x:c r="M270" s="60" t="n">
        <x:v>24.128490394</x:v>
      </x:c>
      <x:c r="N270" s="46" t="str">
        <x:v>haemulon flavolineatum</x:v>
      </x:c>
      <x:c r="O270" s="62" t="n">
        <x:v>3.46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Haemulon flavolineatum</x:v>
      </x:c>
      <x:c r="T270" s="62" t="n">
        <x:f>IF(O270="","",(1/'Metadata'!$B$5)^(O270-1))</x:f>
        <x:v>288.40315031266056</x:v>
      </x:c>
      <x:c r="U270" s="60" t="n">
        <x:f>IF(T270="","",I270*T270)</x:f>
        <x:v>7426.315732058351</x:v>
      </x:c>
    </x:row>
    <x:row r="271" ht="18" customHeight="1">
      <x:c r="A271" s="46" t="str">
        <x:v>LME_012</x:v>
      </x:c>
      <x:c r="B271" s="46" t="str">
        <x:v>Caribbean Sea</x:v>
      </x:c>
      <x:c r="C271" s="46" t="str">
        <x:v>LME</x:v>
      </x:c>
      <x:c r="D271" s="58" t="n">
        <x:v>2019</x:v>
      </x:c>
      <x:c r="E271" s="46" t="str">
        <x:v>Hyporthodus flavolimbatus</x:v>
      </x:c>
      <x:c r="F271" s="46" t="str">
        <x:v>Yellowedge grouper</x:v>
      </x:c>
      <x:c r="G271" s="46" t="str">
        <x:v>Large demersals (&gt;=90 cm)</x:v>
      </x:c>
      <x:c r="H271" s="46" t="str">
        <x:v>Perch-likes</x:v>
      </x:c>
      <x:c r="I271" s="60" t="n">
        <x:v>25.0961723371</x:v>
      </x:c>
      <x:c r="J271" s="60" t="n">
        <x:v>23.2894735273</x:v>
      </x:c>
      <x:c r="K271" s="60" t="n">
        <x:v>1.8066988098</x:v>
      </x:c>
      <x:c r="L271" s="60" t="n">
        <x:v>17.3858141866</x:v>
      </x:c>
      <x:c r="M271" s="60" t="n">
        <x:v>7.710358150499999</x:v>
      </x:c>
      <x:c r="N271" s="46" t="str">
        <x:v>hyporthodus flavolimbatus</x:v>
      </x:c>
      <x:c r="O271" s="62" t="n">
        <x:v>3.82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Hyporthodus flavolimbatus</x:v>
      </x:c>
      <x:c r="T271" s="62" t="n">
        <x:f>IF(O271="","",(1/'Metadata'!$B$5)^(O271-1))</x:f>
        <x:v>660.6934480075957</x:v>
      </x:c>
      <x:c r="U271" s="60" t="n">
        <x:f>IF(T271="","",I271*T271)</x:f>
        <x:v>16580.87663319144</x:v>
      </x:c>
    </x:row>
    <x:row r="272" ht="18" customHeight="1">
      <x:c r="A272" s="46" t="str">
        <x:v>LME_012</x:v>
      </x:c>
      <x:c r="B272" s="46" t="str">
        <x:v>Caribbean Sea</x:v>
      </x:c>
      <x:c r="C272" s="46" t="str">
        <x:v>LME</x:v>
      </x:c>
      <x:c r="D272" s="58" t="n">
        <x:v>2019</x:v>
      </x:c>
      <x:c r="E272" s="46" t="str">
        <x:v>Cetengraulis edentulus</x:v>
      </x:c>
      <x:c r="F272" s="46" t="str">
        <x:v>Atlantic anchoveta</x:v>
      </x:c>
      <x:c r="G272" s="46" t="str">
        <x:v>Small pelagics (&lt;30 cm)</x:v>
      </x:c>
      <x:c r="H272" s="46" t="str">
        <x:v>Anchovies</x:v>
      </x:c>
      <x:c r="I272" s="60" t="n">
        <x:v>24.638922202999996</x:v>
      </x:c>
      <x:c r="J272" s="60" t="n">
        <x:v>24.243297132699997</x:v>
      </x:c>
      <x:c r="K272" s="60" t="n">
        <x:v>0.3956250703</x:v>
      </x:c>
      <x:c r="L272" s="60" t="n">
        <x:v>4.3048663218</x:v>
      </x:c>
      <x:c r="M272" s="60" t="n">
        <x:v>20.334055881199998</x:v>
      </x:c>
      <x:c r="N272" s="46" t="str">
        <x:v>cetengraulis edentulus</x:v>
      </x:c>
      <x:c r="O272" s="62" t="n">
        <x:v>2.11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Cetengraulis edentulus</x:v>
      </x:c>
      <x:c r="T272" s="62" t="n">
        <x:f>IF(O272="","",(1/'Metadata'!$B$5)^(O272-1))</x:f>
        <x:v>12.882495516931336</x:v>
      </x:c>
      <x:c r="U272" s="60" t="n">
        <x:f>IF(T272="","",I272*T272)</x:f>
        <x:v>317.4108048221674</x:v>
      </x:c>
    </x:row>
    <x:row r="273" ht="18" customHeight="1">
      <x:c r="A273" s="46" t="str">
        <x:v>LME_012</x:v>
      </x:c>
      <x:c r="B273" s="46" t="str">
        <x:v>Caribbean Sea</x:v>
      </x:c>
      <x:c r="C273" s="46" t="str">
        <x:v>LME</x:v>
      </x:c>
      <x:c r="D273" s="58" t="n">
        <x:v>2019</x:v>
      </x:c>
      <x:c r="E273" s="46" t="str">
        <x:v>Scarus coelestinus</x:v>
      </x:c>
      <x:c r="F273" s="46" t="str">
        <x:v>Midnight parrotfish</x:v>
      </x:c>
      <x:c r="G273" s="46" t="str">
        <x:v>Medium reef assoc. fish (30 - 89 cm)</x:v>
      </x:c>
      <x:c r="H273" s="46" t="str">
        <x:v>Perch-likes</x:v>
      </x:c>
      <x:c r="I273" s="60" t="n">
        <x:v>24.3196988312</x:v>
      </x:c>
      <x:c r="J273" s="60" t="n">
        <x:v>24.3196988312</x:v>
      </x:c>
      <x:c r="K273" s="60" t="n">
        <x:v>0</x:v>
      </x:c>
      <x:c r="L273" s="60" t="n">
        <x:v>0.3426813983</x:v>
      </x:c>
      <x:c r="M273" s="60" t="n">
        <x:v>23.9770174329</x:v>
      </x:c>
      <x:c r="N273" s="46" t="str">
        <x:v>scarus coelestinus</x:v>
      </x:c>
      <x:c r="O273" s="62" t="n">
        <x:v>2.03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Scarus coelestinus</x:v>
      </x:c>
      <x:c r="T273" s="62" t="n">
        <x:f>IF(O273="","",(1/'Metadata'!$B$5)^(O273-1))</x:f>
        <x:v>10.71519305237606</x:v>
      </x:c>
      <x:c r="U273" s="60" t="n">
        <x:f>IF(T273="","",I273*T273)</x:f>
        <x:v>260.59026795195246</x:v>
      </x:c>
    </x:row>
    <x:row r="274" ht="18" customHeight="1">
      <x:c r="A274" s="46" t="str">
        <x:v>LME_012</x:v>
      </x:c>
      <x:c r="B274" s="46" t="str">
        <x:v>Caribbean Sea</x:v>
      </x:c>
      <x:c r="C274" s="46" t="str">
        <x:v>LME</x:v>
      </x:c>
      <x:c r="D274" s="58" t="n">
        <x:v>2019</x:v>
      </x:c>
      <x:c r="E274" s="46" t="str">
        <x:v>Sparisoma rubripinne</x:v>
      </x:c>
      <x:c r="F274" s="46" t="str">
        <x:v>Redfin parrotfish</x:v>
      </x:c>
      <x:c r="G274" s="46" t="str">
        <x:v>Medium reef assoc. fish (30 - 89 cm)</x:v>
      </x:c>
      <x:c r="H274" s="46" t="str">
        <x:v>Perch-likes</x:v>
      </x:c>
      <x:c r="I274" s="60" t="n">
        <x:v>24.3081181638</x:v>
      </x:c>
      <x:c r="J274" s="60" t="n">
        <x:v>24.3081181638</x:v>
      </x:c>
      <x:c r="K274" s="60" t="n">
        <x:v>0</x:v>
      </x:c>
      <x:c r="L274" s="60" t="n">
        <x:v>0.3424982759</x:v>
      </x:c>
      <x:c r="M274" s="60" t="n">
        <x:v>23.9656198879</x:v>
      </x:c>
      <x:c r="N274" s="46" t="str">
        <x:v>sparisoma rubripinne</x:v>
      </x:c>
      <x:c r="O274" s="62" t="n">
        <x:v>2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Sparisoma rubripinne</x:v>
      </x:c>
      <x:c r="T274" s="62" t="n">
        <x:f>IF(O274="","",(1/'Metadata'!$B$5)^(O274-1))</x:f>
        <x:v>10</x:v>
      </x:c>
      <x:c r="U274" s="60" t="n">
        <x:f>IF(T274="","",I274*T274)</x:f>
        <x:v>243.081181638</x:v>
      </x:c>
    </x:row>
    <x:row r="275" ht="18" customHeight="1">
      <x:c r="A275" s="46" t="str">
        <x:v>LME_012</x:v>
      </x:c>
      <x:c r="B275" s="46" t="str">
        <x:v>Caribbean Sea</x:v>
      </x:c>
      <x:c r="C275" s="46" t="str">
        <x:v>LME</x:v>
      </x:c>
      <x:c r="D275" s="58" t="n">
        <x:v>2019</x:v>
      </x:c>
      <x:c r="E275" s="46" t="str">
        <x:v>Haemulon album</x:v>
      </x:c>
      <x:c r="F275" s="46" t="str">
        <x:v>White margate</x:v>
      </x:c>
      <x:c r="G275" s="46" t="str">
        <x:v>Medium reef assoc. fish (30 - 89 cm)</x:v>
      </x:c>
      <x:c r="H275" s="46" t="str">
        <x:v>Perch-likes</x:v>
      </x:c>
      <x:c r="I275" s="60" t="n">
        <x:v>24.3030714442</x:v>
      </x:c>
      <x:c r="J275" s="60" t="n">
        <x:v>24.3030714442</x:v>
      </x:c>
      <x:c r="K275" s="60" t="n">
        <x:v>0</x:v>
      </x:c>
      <x:c r="L275" s="60" t="n">
        <x:v>19.2769088399</x:v>
      </x:c>
      <x:c r="M275" s="60" t="n">
        <x:v>5.0261626043000005</x:v>
      </x:c>
      <x:c r="N275" s="46" t="str">
        <x:v>haemulon album</x:v>
      </x:c>
      <x:c r="O275" s="62" t="n">
        <x:v>3.32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Haemulon album</x:v>
      </x:c>
      <x:c r="T275" s="62" t="n">
        <x:f>IF(O275="","",(1/'Metadata'!$B$5)^(O275-1))</x:f>
        <x:v>208.92961308540387</x:v>
      </x:c>
      <x:c r="U275" s="60" t="n">
        <x:f>IF(T275="","",I275*T275)</x:f>
        <x:v>5077.631313623634</x:v>
      </x:c>
    </x:row>
    <x:row r="276" ht="18" customHeight="1">
      <x:c r="A276" s="46" t="str">
        <x:v>LME_012</x:v>
      </x:c>
      <x:c r="B276" s="46" t="str">
        <x:v>Caribbean Sea</x:v>
      </x:c>
      <x:c r="C276" s="46" t="str">
        <x:v>LME</x:v>
      </x:c>
      <x:c r="D276" s="58" t="n">
        <x:v>2019</x:v>
      </x:c>
      <x:c r="E276" s="46" t="str">
        <x:v>Scarus coeruleus</x:v>
      </x:c>
      <x:c r="F276" s="46" t="str">
        <x:v>Blue parrotfish</x:v>
      </x:c>
      <x:c r="G276" s="46" t="str">
        <x:v>Large reef assoc. fish (&gt;=90 cm)</x:v>
      </x:c>
      <x:c r="H276" s="46" t="str">
        <x:v>Perch-likes</x:v>
      </x:c>
      <x:c r="I276" s="60" t="n">
        <x:v>24.2993025246</x:v>
      </x:c>
      <x:c r="J276" s="60" t="n">
        <x:v>24.2993025246</x:v>
      </x:c>
      <x:c r="K276" s="60" t="n">
        <x:v>0</x:v>
      </x:c>
      <x:c r="L276" s="60" t="n">
        <x:v>0.3424268948</x:v>
      </x:c>
      <x:c r="M276" s="60" t="n">
        <x:v>23.956875629800003</x:v>
      </x:c>
      <x:c r="N276" s="46" t="str">
        <x:v>scarus coeruleus</x:v>
      </x:c>
      <x:c r="O276" s="62" t="n">
        <x:v>2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Scarus coeruleus</x:v>
      </x:c>
      <x:c r="T276" s="62" t="n">
        <x:f>IF(O276="","",(1/'Metadata'!$B$5)^(O276-1))</x:f>
        <x:v>10</x:v>
      </x:c>
      <x:c r="U276" s="60" t="n">
        <x:f>IF(T276="","",I276*T276)</x:f>
        <x:v>242.993025246</x:v>
      </x:c>
    </x:row>
    <x:row r="277" ht="18" customHeight="1">
      <x:c r="A277" s="46" t="str">
        <x:v>LME_012</x:v>
      </x:c>
      <x:c r="B277" s="46" t="str">
        <x:v>Caribbean Sea</x:v>
      </x:c>
      <x:c r="C277" s="46" t="str">
        <x:v>LME</x:v>
      </x:c>
      <x:c r="D277" s="58" t="n">
        <x:v>2019</x:v>
      </x:c>
      <x:c r="E277" s="46" t="str">
        <x:v>Holocentrus rufus</x:v>
      </x:c>
      <x:c r="F277" s="46" t="str">
        <x:v>Longspine squirrelfish</x:v>
      </x:c>
      <x:c r="G277" s="46" t="str">
        <x:v>Medium reef assoc. fish (30 - 89 cm)</x:v>
      </x:c>
      <x:c r="H277" s="46" t="str">
        <x:v>Other fishes &amp; inverts</x:v>
      </x:c>
      <x:c r="I277" s="60" t="n">
        <x:v>24.2816992219</x:v>
      </x:c>
      <x:c r="J277" s="60" t="n">
        <x:v>24.2816992219</x:v>
      </x:c>
      <x:c r="K277" s="60" t="n">
        <x:v>0</x:v>
      </x:c>
      <x:c r="L277" s="60" t="n">
        <x:v>0.3421260364</x:v>
      </x:c>
      <x:c r="M277" s="60" t="n">
        <x:v>23.9395731855</x:v>
      </x:c>
      <x:c r="N277" s="46" t="str">
        <x:v>holocentrus rufus</x:v>
      </x:c>
      <x:c r="O277" s="62" t="n">
        <x:v>3.51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Holocentrus rufus</x:v>
      </x:c>
      <x:c r="T277" s="62" t="n">
        <x:f>IF(O277="","",(1/'Metadata'!$B$5)^(O277-1))</x:f>
        <x:v>323.5936569296281</x:v>
      </x:c>
      <x:c r="U277" s="60" t="n">
        <x:f>IF(T277="","",I277*T277)</x:f>
        <x:v>7857.403847679925</x:v>
      </x:c>
    </x:row>
    <x:row r="278" ht="18" customHeight="1">
      <x:c r="A278" s="46" t="str">
        <x:v>LME_012</x:v>
      </x:c>
      <x:c r="B278" s="46" t="str">
        <x:v>Caribbean Sea</x:v>
      </x:c>
      <x:c r="C278" s="46" t="str">
        <x:v>LME</x:v>
      </x:c>
      <x:c r="D278" s="58" t="n">
        <x:v>2019</x:v>
      </x:c>
      <x:c r="E278" s="46" t="str">
        <x:v>Scarus guacamaia</x:v>
      </x:c>
      <x:c r="F278" s="46" t="str">
        <x:v>Rainbow parrotfish</x:v>
      </x:c>
      <x:c r="G278" s="46" t="str">
        <x:v>Large reef assoc. fish (&gt;=90 cm)</x:v>
      </x:c>
      <x:c r="H278" s="46" t="str">
        <x:v>Perch-likes</x:v>
      </x:c>
      <x:c r="I278" s="60" t="n">
        <x:v>24.1196790548</x:v>
      </x:c>
      <x:c r="J278" s="60" t="n">
        <x:v>24.1196790548</x:v>
      </x:c>
      <x:c r="K278" s="60" t="n">
        <x:v>0</x:v>
      </x:c>
      <x:c r="L278" s="60" t="n">
        <x:v>0.33992378980000004</x:v>
      </x:c>
      <x:c r="M278" s="60" t="n">
        <x:v>23.779755265</x:v>
      </x:c>
      <x:c r="N278" s="46" t="str">
        <x:v>scarus guacamaia</x:v>
      </x:c>
      <x:c r="O278" s="62" t="n">
        <x:v>2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Scarus guacamaia</x:v>
      </x:c>
      <x:c r="T278" s="62" t="n">
        <x:f>IF(O278="","",(1/'Metadata'!$B$5)^(O278-1))</x:f>
        <x:v>10</x:v>
      </x:c>
      <x:c r="U278" s="60" t="n">
        <x:f>IF(T278="","",I278*T278)</x:f>
        <x:v>241.196790548</x:v>
      </x:c>
    </x:row>
    <x:row r="279" ht="18" customHeight="1">
      <x:c r="A279" s="46" t="str">
        <x:v>LME_012</x:v>
      </x:c>
      <x:c r="B279" s="46" t="str">
        <x:v>Caribbean Sea</x:v>
      </x:c>
      <x:c r="C279" s="46" t="str">
        <x:v>LME</x:v>
      </x:c>
      <x:c r="D279" s="58" t="n">
        <x:v>2019</x:v>
      </x:c>
      <x:c r="E279" s="46" t="str">
        <x:v>Veneridae</x:v>
      </x:c>
      <x:c r="F279" s="46" t="str">
        <x:v>Venus clams</x:v>
      </x:c>
      <x:c r="G279" s="46" t="str">
        <x:v>Other demersal invertebrates</x:v>
      </x:c>
      <x:c r="H279" s="46" t="str">
        <x:v>Molluscs</x:v>
      </x:c>
      <x:c r="I279" s="60" t="n">
        <x:v>23.960550992199998</x:v>
      </x:c>
      <x:c r="J279" s="60" t="n">
        <x:v>23.960550992199998</x:v>
      </x:c>
      <x:c r="K279" s="60" t="n">
        <x:v>0</x:v>
      </x:c>
      <x:c r="L279" s="60" t="n">
        <x:v>10.9181544363</x:v>
      </x:c>
      <x:c r="M279" s="60" t="n">
        <x:v>13.0423965559</x:v>
      </x:c>
      <x:c r="N279" s="46" t="str">
        <x:v>veneridae</x:v>
      </x:c>
      <x:c r="O279" s="62" t="n">
        <x:v>2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Veneridae</x:v>
      </x:c>
      <x:c r="T279" s="62" t="n">
        <x:f>IF(O279="","",(1/'Metadata'!$B$5)^(O279-1))</x:f>
        <x:v>10</x:v>
      </x:c>
      <x:c r="U279" s="60" t="n">
        <x:f>IF(T279="","",I279*T279)</x:f>
        <x:v>239.60550992199998</x:v>
      </x:c>
    </x:row>
    <x:row r="280" ht="18" customHeight="1">
      <x:c r="A280" s="46" t="str">
        <x:v>LME_012</x:v>
      </x:c>
      <x:c r="B280" s="46" t="str">
        <x:v>Caribbean Sea</x:v>
      </x:c>
      <x:c r="C280" s="46" t="str">
        <x:v>LME</x:v>
      </x:c>
      <x:c r="D280" s="58" t="n">
        <x:v>2019</x:v>
      </x:c>
      <x:c r="E280" s="46" t="str">
        <x:v>Joturus pichardi</x:v>
      </x:c>
      <x:c r="F280" s="46" t="str">
        <x:v>Bobo mullet</x:v>
      </x:c>
      <x:c r="G280" s="46" t="str">
        <x:v>Medium pelagics (30 - 89 cm)</x:v>
      </x:c>
      <x:c r="H280" s="46" t="str">
        <x:v>Perch-likes</x:v>
      </x:c>
      <x:c r="I280" s="60" t="n">
        <x:v>22.428992344</x:v>
      </x:c>
      <x:c r="J280" s="60" t="n">
        <x:v>22.428992344</x:v>
      </x:c>
      <x:c r="K280" s="60" t="n">
        <x:v>0</x:v>
      </x:c>
      <x:c r="L280" s="60" t="n">
        <x:v>17.8310259106</x:v>
      </x:c>
      <x:c r="M280" s="60" t="n">
        <x:v>4.597966433400001</x:v>
      </x:c>
      <x:c r="N280" s="46" t="str">
        <x:v>joturus pichardi</x:v>
      </x:c>
      <x:c r="O280" s="62" t="n">
        <x:v>2.47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Joturus pichardi</x:v>
      </x:c>
      <x:c r="T280" s="62" t="n">
        <x:f>IF(O280="","",(1/'Metadata'!$B$5)^(O280-1))</x:f>
        <x:v>29.51209226666387</x:v>
      </x:c>
      <x:c r="U280" s="60" t="n">
        <x:f>IF(T280="","",I280*T280)</x:f>
        <x:v>661.9264915044256</x:v>
      </x:c>
    </x:row>
    <x:row r="281" ht="18" customHeight="1">
      <x:c r="A281" s="46" t="str">
        <x:v>LME_012</x:v>
      </x:c>
      <x:c r="B281" s="46" t="str">
        <x:v>Caribbean Sea</x:v>
      </x:c>
      <x:c r="C281" s="46" t="str">
        <x:v>LME</x:v>
      </x:c>
      <x:c r="D281" s="58" t="n">
        <x:v>2019</x:v>
      </x:c>
      <x:c r="E281" s="46" t="str">
        <x:v>Alopias superciliosus</x:v>
      </x:c>
      <x:c r="F281" s="46" t="str">
        <x:v>Bigeye thresher</x:v>
      </x:c>
      <x:c r="G281" s="46" t="str">
        <x:v>Large sharks (&gt;=90 cm)</x:v>
      </x:c>
      <x:c r="H281" s="46" t="str">
        <x:v>Sharks &amp; rays</x:v>
      </x:c>
      <x:c r="I281" s="60" t="n">
        <x:v>21.0446375713</x:v>
      </x:c>
      <x:c r="J281" s="60" t="n">
        <x:v>21.0446375713</x:v>
      </x:c>
      <x:c r="K281" s="60" t="n">
        <x:v>0</x:v>
      </x:c>
      <x:c r="L281" s="60" t="n">
        <x:v>21.0446375713</x:v>
      </x:c>
      <x:c r="M281" s="60" t="n">
        <x:v>0</x:v>
      </x:c>
      <x:c r="N281" s="46" t="str">
        <x:v>alopias superciliosus</x:v>
      </x:c>
      <x:c r="O281" s="62" t="n">
        <x:v>4.51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Alopias superciliosus</x:v>
      </x:c>
      <x:c r="T281" s="62" t="n">
        <x:f>IF(O281="","",(1/'Metadata'!$B$5)^(O281-1))</x:f>
        <x:v>3235.936569296281</x:v>
      </x:c>
      <x:c r="U281" s="60" t="n">
        <x:f>IF(T281="","",I281*T281)</x:f>
        <x:v>68099.11230455614</x:v>
      </x:c>
    </x:row>
    <x:row r="282" ht="18" customHeight="1">
      <x:c r="A282" s="46" t="str">
        <x:v>LME_012</x:v>
      </x:c>
      <x:c r="B282" s="46" t="str">
        <x:v>Caribbean Sea</x:v>
      </x:c>
      <x:c r="C282" s="46" t="str">
        <x:v>LME</x:v>
      </x:c>
      <x:c r="D282" s="58" t="n">
        <x:v>2019</x:v>
      </x:c>
      <x:c r="E282" s="46" t="str">
        <x:v>Mycteroperca acutirostris</x:v>
      </x:c>
      <x:c r="F282" s="46" t="str">
        <x:v>Comb grouper</x:v>
      </x:c>
      <x:c r="G282" s="46" t="str">
        <x:v>Medium reef assoc. fish (30 - 89 cm)</x:v>
      </x:c>
      <x:c r="H282" s="46" t="str">
        <x:v>Perch-likes</x:v>
      </x:c>
      <x:c r="I282" s="60" t="n">
        <x:v>20.535603078399998</x:v>
      </x:c>
      <x:c r="J282" s="60" t="n">
        <x:v>20.535603078399998</x:v>
      </x:c>
      <x:c r="K282" s="60" t="n">
        <x:v>0</x:v>
      </x:c>
      <x:c r="L282" s="60" t="n">
        <x:v>2.2696694089</x:v>
      </x:c>
      <x:c r="M282" s="60" t="n">
        <x:v>18.265933669499997</x:v>
      </x:c>
      <x:c r="N282" s="46" t="str">
        <x:v>mycteroperca acutirostris</x:v>
      </x:c>
      <x:c r="O282" s="62" t="n">
        <x:v>3.4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Mycteroperca acutirostris</x:v>
      </x:c>
      <x:c r="T282" s="62" t="n">
        <x:f>IF(O282="","",(1/'Metadata'!$B$5)^(O282-1))</x:f>
        <x:v>251.18864315095797</x:v>
      </x:c>
      <x:c r="U282" s="60" t="n">
        <x:f>IF(T282="","",I282*T282)</x:f>
        <x:v>5158.310273549931</x:v>
      </x:c>
    </x:row>
    <x:row r="283" ht="18" customHeight="1">
      <x:c r="A283" s="46" t="str">
        <x:v>LME_012</x:v>
      </x:c>
      <x:c r="B283" s="46" t="str">
        <x:v>Caribbean Sea</x:v>
      </x:c>
      <x:c r="C283" s="46" t="str">
        <x:v>LME</x:v>
      </x:c>
      <x:c r="D283" s="58" t="n">
        <x:v>2019</x:v>
      </x:c>
      <x:c r="E283" s="46" t="str">
        <x:v>Epinephelus itajara</x:v>
      </x:c>
      <x:c r="F283" s="46" t="str">
        <x:v>Atlantic goliath grouper</x:v>
      </x:c>
      <x:c r="G283" s="46" t="str">
        <x:v>Large reef assoc. fish (&gt;=90 cm)</x:v>
      </x:c>
      <x:c r="H283" s="46" t="str">
        <x:v>Perch-likes</x:v>
      </x:c>
      <x:c r="I283" s="60" t="n">
        <x:v>20.3287750176</x:v>
      </x:c>
      <x:c r="J283" s="60" t="n">
        <x:v>20.3287750176</x:v>
      </x:c>
      <x:c r="K283" s="60" t="n">
        <x:v>0</x:v>
      </x:c>
      <x:c r="L283" s="60" t="n">
        <x:v>10.5416810268</x:v>
      </x:c>
      <x:c r="M283" s="60" t="n">
        <x:v>9.787093990799999</x:v>
      </x:c>
      <x:c r="N283" s="46" t="str">
        <x:v>epinephelus itajara</x:v>
      </x:c>
      <x:c r="O283" s="62" t="n">
        <x:v>4.09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Epinephelus itajara</x:v>
      </x:c>
      <x:c r="T283" s="62" t="n">
        <x:f>IF(O283="","",(1/'Metadata'!$B$5)^(O283-1))</x:f>
        <x:v>1230.268770812381</x:v>
      </x:c>
      <x:c r="U283" s="60" t="n">
        <x:f>IF(T283="","",I283*T283)</x:f>
        <x:v>25009.857053024192</x:v>
      </x:c>
    </x:row>
    <x:row r="284" ht="18" customHeight="1">
      <x:c r="A284" s="46" t="str">
        <x:v>LME_012</x:v>
      </x:c>
      <x:c r="B284" s="46" t="str">
        <x:v>Caribbean Sea</x:v>
      </x:c>
      <x:c r="C284" s="46" t="str">
        <x:v>LME</x:v>
      </x:c>
      <x:c r="D284" s="58" t="n">
        <x:v>2019</x:v>
      </x:c>
      <x:c r="E284" s="46" t="str">
        <x:v>Lutjanus buccanella</x:v>
      </x:c>
      <x:c r="F284" s="46" t="str">
        <x:v>Blackfin snapper</x:v>
      </x:c>
      <x:c r="G284" s="46" t="str">
        <x:v>Medium reef assoc. fish (30 - 89 cm)</x:v>
      </x:c>
      <x:c r="H284" s="46" t="str">
        <x:v>Perch-likes</x:v>
      </x:c>
      <x:c r="I284" s="60" t="n">
        <x:v>19.5937178098</x:v>
      </x:c>
      <x:c r="J284" s="60" t="n">
        <x:v>19.5937178098</x:v>
      </x:c>
      <x:c r="K284" s="60" t="n">
        <x:v>0</x:v>
      </x:c>
      <x:c r="L284" s="60" t="n">
        <x:v>15.734081711</x:v>
      </x:c>
      <x:c r="M284" s="60" t="n">
        <x:v>3.8596360988</x:v>
      </x:c>
      <x:c r="N284" s="46" t="str">
        <x:v>lutjanus buccanella</x:v>
      </x:c>
      <x:c r="O284" s="62" t="n">
        <x:v>3.9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Lutjanus buccanella</x:v>
      </x:c>
      <x:c r="T284" s="62" t="n">
        <x:f>IF(O284="","",(1/'Metadata'!$B$5)^(O284-1))</x:f>
        <x:v>794.3282347242813</x:v>
      </x:c>
      <x:c r="U284" s="60" t="n">
        <x:f>IF(T284="","",I284*T284)</x:f>
        <x:v>15563.843279544146</x:v>
      </x:c>
    </x:row>
    <x:row r="285" ht="18" customHeight="1">
      <x:c r="A285" s="46" t="str">
        <x:v>LME_012</x:v>
      </x:c>
      <x:c r="B285" s="46" t="str">
        <x:v>Caribbean Sea</x:v>
      </x:c>
      <x:c r="C285" s="46" t="str">
        <x:v>LME</x:v>
      </x:c>
      <x:c r="D285" s="58" t="n">
        <x:v>2019</x:v>
      </x:c>
      <x:c r="E285" s="46" t="str">
        <x:v>Fistulariidae</x:v>
      </x:c>
      <x:c r="F285" s="46" t="str">
        <x:v>Cornetfishes</x:v>
      </x:c>
      <x:c r="G285" s="46" t="str">
        <x:v>Large reef assoc. fish (&gt;=90 cm)</x:v>
      </x:c>
      <x:c r="H285" s="46" t="str">
        <x:v>Other fishes &amp; inverts</x:v>
      </x:c>
      <x:c r="I285" s="60" t="n">
        <x:v>18.4296954083</x:v>
      </x:c>
      <x:c r="J285" s="60" t="n">
        <x:v>18.4296954083</x:v>
      </x:c>
      <x:c r="K285" s="60" t="n">
        <x:v>0</x:v>
      </x:c>
      <x:c r="L285" s="60" t="n">
        <x:v>8.7211623777</x:v>
      </x:c>
      <x:c r="M285" s="60" t="n">
        <x:v>9.7085330306</x:v>
      </x:c>
      <x:c r="N285" s="46" t="str">
        <x:v>fistulariidae</x:v>
      </x:c>
      <x:c r="O285" s="62" t="n">
        <x:v>3.86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Fistulariidae</x:v>
      </x:c>
      <x:c r="T285" s="62" t="n">
        <x:f>IF(O285="","",(1/'Metadata'!$B$5)^(O285-1))</x:f>
        <x:v>724.4359600749899</x:v>
      </x:c>
      <x:c r="U285" s="60" t="n">
        <x:f>IF(T285="","",I285*T285)</x:f>
        <x:v>13351.134087001443</x:v>
      </x:c>
    </x:row>
    <x:row r="286" ht="18" customHeight="1">
      <x:c r="A286" s="46" t="str">
        <x:v>LME_012</x:v>
      </x:c>
      <x:c r="B286" s="46" t="str">
        <x:v>Caribbean Sea</x:v>
      </x:c>
      <x:c r="C286" s="46" t="str">
        <x:v>LME</x:v>
      </x:c>
      <x:c r="D286" s="58" t="n">
        <x:v>2019</x:v>
      </x:c>
      <x:c r="E286" s="46" t="str">
        <x:v>Xiphiidae</x:v>
      </x:c>
      <x:c r="F286" s="46" t="str">
        <x:v>Swordfishes</x:v>
      </x:c>
      <x:c r="G286" s="46" t="str">
        <x:v>Large pelagics (&gt;=90 cm)</x:v>
      </x:c>
      <x:c r="H286" s="46" t="str">
        <x:v>Tuna &amp; billfishes</x:v>
      </x:c>
      <x:c r="I286" s="60" t="n">
        <x:v>18.424274705400002</x:v>
      </x:c>
      <x:c r="J286" s="60" t="n">
        <x:v>18.3999479062</x:v>
      </x:c>
      <x:c r="K286" s="60" t="n">
        <x:v>0.0243267992</x:v>
      </x:c>
      <x:c r="L286" s="60" t="n">
        <x:v>4.8717749353</x:v>
      </x:c>
      <x:c r="M286" s="60" t="n">
        <x:v>13.5524997701</x:v>
      </x:c>
      <x:c r="N286" s="46" t="str">
        <x:v>xiphiidae</x:v>
      </x:c>
      <x:c r="O286" s="62" t="n">
        <x:v>4.5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Xiphiidae</x:v>
      </x:c>
      <x:c r="T286" s="62" t="n">
        <x:f>IF(O286="","",(1/'Metadata'!$B$5)^(O286-1))</x:f>
        <x:v>3162.2776601683795</x:v>
      </x:c>
      <x:c r="U286" s="60" t="n">
        <x:f>IF(T286="","",I286*T286)</x:f>
        <x:v>58262.672305691776</x:v>
      </x:c>
    </x:row>
    <x:row r="287" ht="18" customHeight="1">
      <x:c r="A287" s="46" t="str">
        <x:v>LME_012</x:v>
      </x:c>
      <x:c r="B287" s="46" t="str">
        <x:v>Caribbean Sea</x:v>
      </x:c>
      <x:c r="C287" s="46" t="str">
        <x:v>LME</x:v>
      </x:c>
      <x:c r="D287" s="58" t="n">
        <x:v>2019</x:v>
      </x:c>
      <x:c r="E287" s="46" t="str">
        <x:v>Ostreidae</x:v>
      </x:c>
      <x:c r="F287" s="46" t="str">
        <x:v>True oysters</x:v>
      </x:c>
      <x:c r="G287" s="46" t="str">
        <x:v>Other demersal invertebrates</x:v>
      </x:c>
      <x:c r="H287" s="46" t="str">
        <x:v>Molluscs</x:v>
      </x:c>
      <x:c r="I287" s="60" t="n">
        <x:v>17.8273093715</x:v>
      </x:c>
      <x:c r="J287" s="60" t="n">
        <x:v>17.8273093715</x:v>
      </x:c>
      <x:c r="K287" s="60" t="n">
        <x:v>0</x:v>
      </x:c>
      <x:c r="L287" s="60" t="n">
        <x:v>0</x:v>
      </x:c>
      <x:c r="M287" s="60" t="n">
        <x:v>17.8273093715</x:v>
      </x:c>
      <x:c r="N287" s="46" t="str">
        <x:v>ostreidae</x:v>
      </x:c>
      <x:c r="O287" s="62" t="n">
        <x:v>2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Ostreidae</x:v>
      </x:c>
      <x:c r="T287" s="62" t="n">
        <x:f>IF(O287="","",(1/'Metadata'!$B$5)^(O287-1))</x:f>
        <x:v>10</x:v>
      </x:c>
      <x:c r="U287" s="60" t="n">
        <x:f>IF(T287="","",I287*T287)</x:f>
        <x:v>178.27309371500002</x:v>
      </x:c>
    </x:row>
    <x:row r="288" ht="18" customHeight="1">
      <x:c r="A288" s="46" t="str">
        <x:v>LME_012</x:v>
      </x:c>
      <x:c r="B288" s="46" t="str">
        <x:v>Caribbean Sea</x:v>
      </x:c>
      <x:c r="C288" s="46" t="str">
        <x:v>LME</x:v>
      </x:c>
      <x:c r="D288" s="58" t="n">
        <x:v>2019</x:v>
      </x:c>
      <x:c r="E288" s="46" t="str">
        <x:v>Echinozoa</x:v>
      </x:c>
      <x:c r="F288" s="46" t="str">
        <x:v>Sea urchins and sea cucumbers</x:v>
      </x:c>
      <x:c r="G288" s="46" t="str">
        <x:v>Other demersal invertebrates</x:v>
      </x:c>
      <x:c r="H288" s="46" t="str">
        <x:v>Other fishes &amp; inverts</x:v>
      </x:c>
      <x:c r="I288" s="60" t="n">
        <x:v>17.7131801846</x:v>
      </x:c>
      <x:c r="J288" s="60" t="n">
        <x:v>17.7131801846</x:v>
      </x:c>
      <x:c r="K288" s="60" t="n">
        <x:v>0</x:v>
      </x:c>
      <x:c r="L288" s="60" t="n">
        <x:v>0</x:v>
      </x:c>
      <x:c r="M288" s="60" t="n">
        <x:v>17.7131801846</x:v>
      </x:c>
      <x:c r="N288" s="46" t="str">
        <x:v>echinozoa</x:v>
      </x:c>
      <x:c r="O288" s="62" t="n">
        <x:v>2.3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Echinozoa</x:v>
      </x:c>
      <x:c r="T288" s="62" t="n">
        <x:f>IF(O288="","",(1/'Metadata'!$B$5)^(O288-1))</x:f>
        <x:v>19.952623149688787</x:v>
      </x:c>
      <x:c r="U288" s="60" t="n">
        <x:f>IF(T288="","",I288*T288)</x:f>
        <x:v>353.42440900585865</x:v>
      </x:c>
    </x:row>
    <x:row r="289" ht="18" customHeight="1">
      <x:c r="A289" s="46" t="str">
        <x:v>LME_012</x:v>
      </x:c>
      <x:c r="B289" s="46" t="str">
        <x:v>Caribbean Sea</x:v>
      </x:c>
      <x:c r="C289" s="46" t="str">
        <x:v>LME</x:v>
      </x:c>
      <x:c r="D289" s="58" t="n">
        <x:v>2019</x:v>
      </x:c>
      <x:c r="E289" s="46" t="str">
        <x:v>Sphyrna tiburo</x:v>
      </x:c>
      <x:c r="F289" s="46" t="str">
        <x:v>Bonnethead</x:v>
      </x:c>
      <x:c r="G289" s="46" t="str">
        <x:v>Large sharks (&gt;=90 cm)</x:v>
      </x:c>
      <x:c r="H289" s="46" t="str">
        <x:v>Sharks &amp; rays</x:v>
      </x:c>
      <x:c r="I289" s="60" t="n">
        <x:v>15.178043991500001</x:v>
      </x:c>
      <x:c r="J289" s="60" t="n">
        <x:v>7.9717392391</x:v>
      </x:c>
      <x:c r="K289" s="60" t="n">
        <x:v>7.2063047524</x:v>
      </x:c>
      <x:c r="L289" s="60" t="n">
        <x:v>0.0540729122</x:v>
      </x:c>
      <x:c r="M289" s="60" t="n">
        <x:v>15.1239710793</x:v>
      </x:c>
      <x:c r="N289" s="46" t="str">
        <x:v>sphyrna tiburo</x:v>
      </x:c>
      <x:c r="O289" s="62" t="n">
        <x:v>3.88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Sphyrna tiburo</x:v>
      </x:c>
      <x:c r="T289" s="62" t="n">
        <x:f>IF(O289="","",(1/'Metadata'!$B$5)^(O289-1))</x:f>
        <x:v>758.5775750291835</x:v>
      </x:c>
      <x:c r="U289" s="60" t="n">
        <x:f>IF(T289="","",I289*T289)</x:f>
        <x:v>11513.723804758341</x:v>
      </x:c>
    </x:row>
    <x:row r="290" ht="18" customHeight="1">
      <x:c r="A290" s="46" t="str">
        <x:v>LME_012</x:v>
      </x:c>
      <x:c r="B290" s="46" t="str">
        <x:v>Caribbean Sea</x:v>
      </x:c>
      <x:c r="C290" s="46" t="str">
        <x:v>LME</x:v>
      </x:c>
      <x:c r="D290" s="58" t="n">
        <x:v>2019</x:v>
      </x:c>
      <x:c r="E290" s="46" t="str">
        <x:v>Peprilus</x:v>
      </x:c>
      <x:c r="F290" s="46" t="str">
        <x:v>Harvestfishes</x:v>
      </x:c>
      <x:c r="G290" s="46" t="str">
        <x:v>Small benthopelagics (&lt;30 cm)</x:v>
      </x:c>
      <x:c r="H290" s="46" t="str">
        <x:v>Perch-likes</x:v>
      </x:c>
      <x:c r="I290" s="60" t="n">
        <x:v>15.0618526371</x:v>
      </x:c>
      <x:c r="J290" s="60" t="n">
        <x:v>14.9331662325</x:v>
      </x:c>
      <x:c r="K290" s="60" t="n">
        <x:v>0.1286864046</x:v>
      </x:c>
      <x:c r="L290" s="60" t="n">
        <x:v>1.7745378744</x:v>
      </x:c>
      <x:c r="M290" s="60" t="n">
        <x:v>13.2873147627</x:v>
      </x:c>
      <x:c r="N290" s="46" t="str">
        <x:v>peprilus</x:v>
      </x:c>
      <x:c r="O290" s="62" t="n">
        <x:v>3.78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Peprilus</x:v>
      </x:c>
      <x:c r="T290" s="62" t="n">
        <x:f>IF(O290="","",(1/'Metadata'!$B$5)^(O290-1))</x:f>
        <x:v>602.5595860743575</x:v>
      </x:c>
      <x:c r="U290" s="60" t="n">
        <x:f>IF(T290="","",I290*T290)</x:f>
        <x:v>9075.663690523947</x:v>
      </x:c>
    </x:row>
    <x:row r="291" ht="18" customHeight="1">
      <x:c r="A291" s="46" t="str">
        <x:v>LME_012</x:v>
      </x:c>
      <x:c r="B291" s="46" t="str">
        <x:v>Caribbean Sea</x:v>
      </x:c>
      <x:c r="C291" s="46" t="str">
        <x:v>LME</x:v>
      </x:c>
      <x:c r="D291" s="58" t="n">
        <x:v>2019</x:v>
      </x:c>
      <x:c r="E291" s="46" t="str">
        <x:v>Carcharhinus brevipinna</x:v>
      </x:c>
      <x:c r="F291" s="46" t="str">
        <x:v>Spinner shark</x:v>
      </x:c>
      <x:c r="G291" s="46" t="str">
        <x:v>Large sharks (&gt;=90 cm)</x:v>
      </x:c>
      <x:c r="H291" s="46" t="str">
        <x:v>Sharks &amp; rays</x:v>
      </x:c>
      <x:c r="I291" s="60" t="n">
        <x:v>14.9293677836</x:v>
      </x:c>
      <x:c r="J291" s="60" t="n">
        <x:v>14.9293677836</x:v>
      </x:c>
      <x:c r="K291" s="60" t="n">
        <x:v>0</x:v>
      </x:c>
      <x:c r="L291" s="60" t="n">
        <x:v>13.615825794400001</x:v>
      </x:c>
      <x:c r="M291" s="60" t="n">
        <x:v>1.3135419892</x:v>
      </x:c>
      <x:c r="N291" s="46" t="str">
        <x:v>carcharhinus brevipinna</x:v>
      </x:c>
      <x:c r="O291" s="62" t="n">
        <x:v>4.2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Carcharhinus brevipinna</x:v>
      </x:c>
      <x:c r="T291" s="62" t="n">
        <x:f>IF(O291="","",(1/'Metadata'!$B$5)^(O291-1))</x:f>
        <x:v>1584.893192461114</x:v>
      </x:c>
      <x:c r="U291" s="60" t="n">
        <x:f>IF(T291="","",I291*T291)</x:f>
        <x:v>23661.45336797591</x:v>
      </x:c>
    </x:row>
    <x:row r="292" ht="18" customHeight="1">
      <x:c r="A292" s="46" t="str">
        <x:v>LME_012</x:v>
      </x:c>
      <x:c r="B292" s="46" t="str">
        <x:v>Caribbean Sea</x:v>
      </x:c>
      <x:c r="C292" s="46" t="str">
        <x:v>LME</x:v>
      </x:c>
      <x:c r="D292" s="58" t="n">
        <x:v>2019</x:v>
      </x:c>
      <x:c r="E292" s="46" t="str">
        <x:v>Bothidae</x:v>
      </x:c>
      <x:c r="F292" s="46" t="str">
        <x:v>Lefteye flounders</x:v>
      </x:c>
      <x:c r="G292" s="46" t="str">
        <x:v>Small to medium flatfishes (&lt;90 cm)</x:v>
      </x:c>
      <x:c r="H292" s="46" t="str">
        <x:v>Flatfishes</x:v>
      </x:c>
      <x:c r="I292" s="60" t="n">
        <x:v>14.0512826614</x:v>
      </x:c>
      <x:c r="J292" s="60" t="n">
        <x:v>3.4657683238</x:v>
      </x:c>
      <x:c r="K292" s="60" t="n">
        <x:v>10.5855143376</x:v>
      </x:c>
      <x:c r="L292" s="60" t="n">
        <x:v>3.4652748251</x:v>
      </x:c>
      <x:c r="M292" s="60" t="n">
        <x:v>10.5860078363</x:v>
      </x:c>
      <x:c r="N292" s="46" t="str">
        <x:v>bothidae</x:v>
      </x:c>
      <x:c r="O292" s="62" t="n">
        <x:v>3.77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Bothidae</x:v>
      </x:c>
      <x:c r="T292" s="62" t="n">
        <x:f>IF(O292="","",(1/'Metadata'!$B$5)^(O292-1))</x:f>
        <x:v>588.843655355589</x:v>
      </x:c>
      <x:c r="U292" s="60" t="n">
        <x:f>IF(T292="","",I292*T292)</x:f>
        <x:v>8274.008644773385</x:v>
      </x:c>
    </x:row>
    <x:row r="293" ht="18" customHeight="1">
      <x:c r="A293" s="46" t="str">
        <x:v>LME_012</x:v>
      </x:c>
      <x:c r="B293" s="46" t="str">
        <x:v>Caribbean Sea</x:v>
      </x:c>
      <x:c r="C293" s="46" t="str">
        <x:v>LME</x:v>
      </x:c>
      <x:c r="D293" s="58" t="n">
        <x:v>2019</x:v>
      </x:c>
      <x:c r="E293" s="46" t="str">
        <x:v>Crassostrea</x:v>
      </x:c>
      <x:c r="F293" s="46" t="str">
        <x:v>Cupped oysters</x:v>
      </x:c>
      <x:c r="G293" s="46" t="str">
        <x:v>Other demersal invertebrates</x:v>
      </x:c>
      <x:c r="H293" s="46" t="str">
        <x:v>Molluscs</x:v>
      </x:c>
      <x:c r="I293" s="60" t="n">
        <x:v>13.0420857151</x:v>
      </x:c>
      <x:c r="J293" s="60" t="n">
        <x:v>13.0420857151</x:v>
      </x:c>
      <x:c r="K293" s="60" t="n">
        <x:v>0</x:v>
      </x:c>
      <x:c r="L293" s="60" t="n">
        <x:v>0</x:v>
      </x:c>
      <x:c r="M293" s="60" t="n">
        <x:v>13.0420857151</x:v>
      </x:c>
      <x:c r="N293" s="46" t="str">
        <x:v>crassostrea</x:v>
      </x:c>
      <x:c r="O293" s="62" t="n">
        <x:v>2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Crassostrea</x:v>
      </x:c>
      <x:c r="T293" s="62" t="n">
        <x:f>IF(O293="","",(1/'Metadata'!$B$5)^(O293-1))</x:f>
        <x:v>10</x:v>
      </x:c>
      <x:c r="U293" s="60" t="n">
        <x:f>IF(T293="","",I293*T293)</x:f>
        <x:v>130.420857151</x:v>
      </x:c>
    </x:row>
    <x:row r="294" ht="18" customHeight="1">
      <x:c r="A294" s="46" t="str">
        <x:v>LME_012</x:v>
      </x:c>
      <x:c r="B294" s="46" t="str">
        <x:v>Caribbean Sea</x:v>
      </x:c>
      <x:c r="C294" s="46" t="str">
        <x:v>LME</x:v>
      </x:c>
      <x:c r="D294" s="58" t="n">
        <x:v>2019</x:v>
      </x:c>
      <x:c r="E294" s="46" t="str">
        <x:v>Orthopristis chrysoptera</x:v>
      </x:c>
      <x:c r="F294" s="46" t="str">
        <x:v>Pigfish</x:v>
      </x:c>
      <x:c r="G294" s="46" t="str">
        <x:v>Medium demersals (30 - 89 cm)</x:v>
      </x:c>
      <x:c r="H294" s="46" t="str">
        <x:v>Perch-likes</x:v>
      </x:c>
      <x:c r="I294" s="60" t="n">
        <x:v>12.9547892125</x:v>
      </x:c>
      <x:c r="J294" s="60" t="n">
        <x:v>12.8479868045</x:v>
      </x:c>
      <x:c r="K294" s="60" t="n">
        <x:v>0.106802408</x:v>
      </x:c>
      <x:c r="L294" s="60" t="n">
        <x:v>1.0928381586</x:v>
      </x:c>
      <x:c r="M294" s="60" t="n">
        <x:v>11.8619510539</x:v>
      </x:c>
      <x:c r="N294" s="46" t="str">
        <x:v>orthopristis chrysoptera</x:v>
      </x:c>
      <x:c r="O294" s="62" t="n">
        <x:v>3.42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Orthopristis chrysoptera</x:v>
      </x:c>
      <x:c r="T294" s="62" t="n">
        <x:f>IF(O294="","",(1/'Metadata'!$B$5)^(O294-1))</x:f>
        <x:v>263.02679918953817</x:v>
      </x:c>
      <x:c r="U294" s="60" t="n">
        <x:f>IF(T294="","",I294*T294)</x:f>
        <x:v>3407.4567407390327</x:v>
      </x:c>
    </x:row>
    <x:row r="295" ht="18" customHeight="1">
      <x:c r="A295" s="46" t="str">
        <x:v>LME_012</x:v>
      </x:c>
      <x:c r="B295" s="46" t="str">
        <x:v>Caribbean Sea</x:v>
      </x:c>
      <x:c r="C295" s="46" t="str">
        <x:v>LME</x:v>
      </x:c>
      <x:c r="D295" s="58" t="n">
        <x:v>2019</x:v>
      </x:c>
      <x:c r="E295" s="46" t="str">
        <x:v>Mycteroperca interstitialis</x:v>
      </x:c>
      <x:c r="F295" s="46" t="str">
        <x:v>Yellowmouth grouper</x:v>
      </x:c>
      <x:c r="G295" s="46" t="str">
        <x:v>Medium reef assoc. fish (30 - 89 cm)</x:v>
      </x:c>
      <x:c r="H295" s="46" t="str">
        <x:v>Perch-likes</x:v>
      </x:c>
      <x:c r="I295" s="60" t="n">
        <x:v>12.5744383231</x:v>
      </x:c>
      <x:c r="J295" s="60" t="n">
        <x:v>12.5744383231</x:v>
      </x:c>
      <x:c r="K295" s="60" t="n">
        <x:v>0</x:v>
      </x:c>
      <x:c r="L295" s="60" t="n">
        <x:v>11.251166434</x:v>
      </x:c>
      <x:c r="M295" s="60" t="n">
        <x:v>1.3232718891</x:v>
      </x:c>
      <x:c r="N295" s="46" t="str">
        <x:v>mycteroperca interstitialis</x:v>
      </x:c>
      <x:c r="O295" s="62" t="n">
        <x:v>4.5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Mycteroperca interstitialis</x:v>
      </x:c>
      <x:c r="T295" s="62" t="n">
        <x:f>IF(O295="","",(1/'Metadata'!$B$5)^(O295-1))</x:f>
        <x:v>3162.2776601683795</x:v>
      </x:c>
      <x:c r="U295" s="60" t="n">
        <x:f>IF(T295="","",I295*T295)</x:f>
        <x:v>39763.865398304275</x:v>
      </x:c>
    </x:row>
    <x:row r="296" ht="18" customHeight="1">
      <x:c r="A296" s="46" t="str">
        <x:v>LME_012</x:v>
      </x:c>
      <x:c r="B296" s="46" t="str">
        <x:v>Caribbean Sea</x:v>
      </x:c>
      <x:c r="C296" s="46" t="str">
        <x:v>LME</x:v>
      </x:c>
      <x:c r="D296" s="58" t="n">
        <x:v>2019</x:v>
      </x:c>
      <x:c r="E296" s="46" t="str">
        <x:v>Triglidae</x:v>
      </x:c>
      <x:c r="F296" s="46" t="str">
        <x:v>Searobins, gurnards</x:v>
      </x:c>
      <x:c r="G296" s="46" t="str">
        <x:v>Medium demersals (30 - 89 cm)</x:v>
      </x:c>
      <x:c r="H296" s="46" t="str">
        <x:v>Scorpionfishes</x:v>
      </x:c>
      <x:c r="I296" s="60" t="n">
        <x:v>12.3062780989</x:v>
      </x:c>
      <x:c r="J296" s="60" t="n">
        <x:v>12.3056575313</x:v>
      </x:c>
      <x:c r="K296" s="60" t="n">
        <x:v>0.0006205676</x:v>
      </x:c>
      <x:c r="L296" s="60" t="n">
        <x:v>5.8443571055</x:v>
      </x:c>
      <x:c r="M296" s="60" t="n">
        <x:v>6.461920993400001</x:v>
      </x:c>
      <x:c r="N296" s="46" t="str">
        <x:v>triglidae</x:v>
      </x:c>
      <x:c r="O296" s="62" t="n">
        <x:v>3.74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Triglidae</x:v>
      </x:c>
      <x:c r="T296" s="62" t="n">
        <x:f>IF(O296="","",(1/'Metadata'!$B$5)^(O296-1))</x:f>
        <x:v>549.5408738576248</x:v>
      </x:c>
      <x:c r="U296" s="60" t="n">
        <x:f>IF(T296="","",I296*T296)</x:f>
        <x:v>6762.802820404455</x:v>
      </x:c>
    </x:row>
    <x:row r="297" ht="18" customHeight="1">
      <x:c r="A297" s="46" t="str">
        <x:v>LME_012</x:v>
      </x:c>
      <x:c r="B297" s="46" t="str">
        <x:v>Caribbean Sea</x:v>
      </x:c>
      <x:c r="C297" s="46" t="str">
        <x:v>LME</x:v>
      </x:c>
      <x:c r="D297" s="58" t="n">
        <x:v>2019</x:v>
      </x:c>
      <x:c r="E297" s="46" t="str">
        <x:v>Mycteroperca phenax</x:v>
      </x:c>
      <x:c r="F297" s="46" t="str">
        <x:v>Scamp</x:v>
      </x:c>
      <x:c r="G297" s="46" t="str">
        <x:v>Medium reef assoc. fish (30 - 89 cm)</x:v>
      </x:c>
      <x:c r="H297" s="46" t="str">
        <x:v>Perch-likes</x:v>
      </x:c>
      <x:c r="I297" s="60" t="n">
        <x:v>11.7711108091</x:v>
      </x:c>
      <x:c r="J297" s="60" t="n">
        <x:v>11.230032938099999</x:v>
      </x:c>
      <x:c r="K297" s="60" t="n">
        <x:v>0.5410778709999999</x:v>
      </x:c>
      <x:c r="L297" s="60" t="n">
        <x:v>7.8090661094</x:v>
      </x:c>
      <x:c r="M297" s="60" t="n">
        <x:v>3.9620446997</x:v>
      </x:c>
      <x:c r="N297" s="46" t="str">
        <x:v>mycteroperca phenax</x:v>
      </x:c>
      <x:c r="O297" s="62" t="n">
        <x:v>4.47</x:v>
      </x:c>
      <x:c r="P297" s="46" t="str">
        <x:v>exact_2020_supplement</x:v>
      </x:c>
      <x:c r="Q297" s="62" t="str">
        <x:v>2020 supplement MeanTL</x:v>
      </x:c>
      <x:c r="R297" s="46" t="str">
        <x:v>high</x:v>
      </x:c>
      <x:c r="S297" s="46" t="str">
        <x:v>Mycteroperca phenax</x:v>
      </x:c>
      <x:c r="T297" s="62" t="n">
        <x:f>IF(O297="","",(1/'Metadata'!$B$5)^(O297-1))</x:f>
        <x:v>2951.209226666384</x:v>
      </x:c>
      <x:c r="U297" s="60" t="n">
        <x:f>IF(T297="","",I297*T297)</x:f>
        <x:v>34739.01082792832</x:v>
      </x:c>
    </x:row>
    <x:row r="298" ht="18" customHeight="1">
      <x:c r="A298" s="46" t="str">
        <x:v>LME_012</x:v>
      </x:c>
      <x:c r="B298" s="46" t="str">
        <x:v>Caribbean Sea</x:v>
      </x:c>
      <x:c r="C298" s="46" t="str">
        <x:v>LME</x:v>
      </x:c>
      <x:c r="D298" s="58" t="n">
        <x:v>2019</x:v>
      </x:c>
      <x:c r="E298" s="46" t="str">
        <x:v>Scyphozoa</x:v>
      </x:c>
      <x:c r="F298" s="46" t="str">
        <x:v>True jellyfishes</x:v>
      </x:c>
      <x:c r="G298" s="46" t="str">
        <x:v>Jellyfish</x:v>
      </x:c>
      <x:c r="H298" s="46" t="str">
        <x:v>Other fishes &amp; inverts</x:v>
      </x:c>
      <x:c r="I298" s="60" t="n">
        <x:v>11.611190965399999</x:v>
      </x:c>
      <x:c r="J298" s="60" t="n">
        <x:v>0.0305581508</x:v>
      </x:c>
      <x:c r="K298" s="60" t="n">
        <x:v>11.5806328146</x:v>
      </x:c>
      <x:c r="L298" s="60" t="n">
        <x:v>0</x:v>
      </x:c>
      <x:c r="M298" s="60" t="n">
        <x:v>11.611190965399999</x:v>
      </x:c>
      <x:c r="N298" s="46" t="str">
        <x:v>scyphozoa</x:v>
      </x:c>
      <x:c r="O298" s="62" t="n">
        <x:v>3.46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Scyphozoa</x:v>
      </x:c>
      <x:c r="T298" s="62" t="n">
        <x:f>IF(O298="","",(1/'Metadata'!$B$5)^(O298-1))</x:f>
        <x:v>288.40315031266056</x:v>
      </x:c>
      <x:c r="U298" s="60" t="n">
        <x:f>IF(T298="","",I298*T298)</x:f>
        <x:v>3348.7040533032623</x:v>
      </x:c>
    </x:row>
    <x:row r="299" ht="18" customHeight="1">
      <x:c r="A299" s="46" t="str">
        <x:v>LME_012</x:v>
      </x:c>
      <x:c r="B299" s="46" t="str">
        <x:v>Caribbean Sea</x:v>
      </x:c>
      <x:c r="C299" s="46" t="str">
        <x:v>LME</x:v>
      </x:c>
      <x:c r="D299" s="58" t="n">
        <x:v>2019</x:v>
      </x:c>
      <x:c r="E299" s="46" t="str">
        <x:v>Mycteroperca tigris</x:v>
      </x:c>
      <x:c r="F299" s="46" t="str">
        <x:v>Tiger grouper</x:v>
      </x:c>
      <x:c r="G299" s="46" t="str">
        <x:v>Medium reef assoc. fish (30 - 89 cm)</x:v>
      </x:c>
      <x:c r="H299" s="46" t="str">
        <x:v>Perch-likes</x:v>
      </x:c>
      <x:c r="I299" s="60" t="n">
        <x:v>11.607025458799999</x:v>
      </x:c>
      <x:c r="J299" s="60" t="n">
        <x:v>11.607025458799999</x:v>
      </x:c>
      <x:c r="K299" s="60" t="n">
        <x:v>0</x:v>
      </x:c>
      <x:c r="L299" s="60" t="n">
        <x:v>10.2981095548</x:v>
      </x:c>
      <x:c r="M299" s="60" t="n">
        <x:v>1.308915904</x:v>
      </x:c>
      <x:c r="N299" s="46" t="str">
        <x:v>mycteroperca tigris</x:v>
      </x:c>
      <x:c r="O299" s="62" t="n">
        <x:v>4.5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Mycteroperca tigris</x:v>
      </x:c>
      <x:c r="T299" s="62" t="n">
        <x:f>IF(O299="","",(1/'Metadata'!$B$5)^(O299-1))</x:f>
        <x:v>3162.2776601683795</x:v>
      </x:c>
      <x:c r="U299" s="60" t="n">
        <x:f>IF(T299="","",I299*T299)</x:f>
        <x:v>36704.637309368874</x:v>
      </x:c>
    </x:row>
    <x:row r="300" ht="18" customHeight="1">
      <x:c r="A300" s="46" t="str">
        <x:v>LME_012</x:v>
      </x:c>
      <x:c r="B300" s="46" t="str">
        <x:v>Caribbean Sea</x:v>
      </x:c>
      <x:c r="C300" s="46" t="str">
        <x:v>LME</x:v>
      </x:c>
      <x:c r="D300" s="58" t="n">
        <x:v>2019</x:v>
      </x:c>
      <x:c r="E300" s="46" t="str">
        <x:v>Rachycentridae</x:v>
      </x:c>
      <x:c r="F300" s="46" t="str">
        <x:v>Cobias</x:v>
      </x:c>
      <x:c r="G300" s="46" t="str">
        <x:v>Large pelagics (&gt;=90 cm)</x:v>
      </x:c>
      <x:c r="H300" s="46" t="str">
        <x:v>Perch-likes</x:v>
      </x:c>
      <x:c r="I300" s="60" t="n">
        <x:v>11.535459872099999</x:v>
      </x:c>
      <x:c r="J300" s="60" t="n">
        <x:v>5.855846408</x:v>
      </x:c>
      <x:c r="K300" s="60" t="n">
        <x:v>5.6796134641</x:v>
      </x:c>
      <x:c r="L300" s="60" t="n">
        <x:v>0.6334860144000001</x:v>
      </x:c>
      <x:c r="M300" s="60" t="n">
        <x:v>10.9019738577</x:v>
      </x:c>
      <x:c r="N300" s="46" t="str">
        <x:v>rachycentridae</x:v>
      </x:c>
      <x:c r="O300" s="62" t="n">
        <x:v>3.96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Rachycentridae</x:v>
      </x:c>
      <x:c r="T300" s="62" t="n">
        <x:f>IF(O300="","",(1/'Metadata'!$B$5)^(O300-1))</x:f>
        <x:v>912.0108393559096</x:v>
      </x:c>
      <x:c r="U300" s="60" t="n">
        <x:f>IF(T300="","",I300*T300)</x:f>
        <x:v>10520.464440310334</x:v>
      </x:c>
    </x:row>
    <x:row r="301" ht="18" customHeight="1">
      <x:c r="A301" s="46" t="str">
        <x:v>LME_012</x:v>
      </x:c>
      <x:c r="B301" s="46" t="str">
        <x:v>Caribbean Sea</x:v>
      </x:c>
      <x:c r="C301" s="46" t="str">
        <x:v>LME</x:v>
      </x:c>
      <x:c r="D301" s="58" t="n">
        <x:v>2019</x:v>
      </x:c>
      <x:c r="E301" s="46" t="str">
        <x:v>Clibanarius tricolor</x:v>
      </x:c>
      <x:c r="F301" s="46" t="str">
        <x:v>Tricolor hermit</x:v>
      </x:c>
      <x:c r="G301" s="46" t="str">
        <x:v>Lobsters, crabs</x:v>
      </x:c>
      <x:c r="H301" s="46" t="str">
        <x:v>Crustaceans</x:v>
      </x:c>
      <x:c r="I301" s="60" t="n">
        <x:v>11.3980657824</x:v>
      </x:c>
      <x:c r="J301" s="60" t="n">
        <x:v>11.3980657824</x:v>
      </x:c>
      <x:c r="K301" s="60" t="n">
        <x:v>0</x:v>
      </x:c>
      <x:c r="L301" s="60" t="n">
        <x:v>11.3980657824</x:v>
      </x:c>
      <x:c r="M301" s="60" t="n">
        <x:v>0</x:v>
      </x:c>
      <x:c r="N301" s="46" t="str">
        <x:v>clibanarius tricolor</x:v>
      </x:c>
      <x:c r="O301" s="62" t="n">
        <x:v>4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Clibanarius tricolor</x:v>
      </x:c>
      <x:c r="T301" s="62" t="n">
        <x:f>IF(O301="","",(1/'Metadata'!$B$5)^(O301-1))</x:f>
        <x:v>1000</x:v>
      </x:c>
      <x:c r="U301" s="60" t="n">
        <x:f>IF(T301="","",I301*T301)</x:f>
        <x:v>11398.065782399999</x:v>
      </x:c>
    </x:row>
    <x:row r="302" ht="18" customHeight="1">
      <x:c r="A302" s="46" t="str">
        <x:v>LME_012</x:v>
      </x:c>
      <x:c r="B302" s="46" t="str">
        <x:v>Caribbean Sea</x:v>
      </x:c>
      <x:c r="C302" s="46" t="str">
        <x:v>LME</x:v>
      </x:c>
      <x:c r="D302" s="58" t="n">
        <x:v>2019</x:v>
      </x:c>
      <x:c r="E302" s="46" t="str">
        <x:v>Gobiidae</x:v>
      </x:c>
      <x:c r="F302" s="46" t="str">
        <x:v>Gobies</x:v>
      </x:c>
      <x:c r="G302" s="46" t="str">
        <x:v>Small reef assoc. fish (&lt;30 cm)</x:v>
      </x:c>
      <x:c r="H302" s="46" t="str">
        <x:v>Perch-likes</x:v>
      </x:c>
      <x:c r="I302" s="60" t="n">
        <x:v>11.245818189500001</x:v>
      </x:c>
      <x:c r="J302" s="60" t="n">
        <x:v>4.4108123822000005</x:v>
      </x:c>
      <x:c r="K302" s="60" t="n">
        <x:v>6.8350058073</x:v>
      </x:c>
      <x:c r="L302" s="60" t="n">
        <x:v>2.9280708515000002</x:v>
      </x:c>
      <x:c r="M302" s="60" t="n">
        <x:v>8.317747338</x:v>
      </x:c>
      <x:c r="N302" s="46" t="str">
        <x:v>gobiidae</x:v>
      </x:c>
      <x:c r="O302" s="62" t="n">
        <x:v>3.11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Gobiidae</x:v>
      </x:c>
      <x:c r="T302" s="62" t="n">
        <x:f>IF(O302="","",(1/'Metadata'!$B$5)^(O302-1))</x:f>
        <x:v>128.82495516931337</x:v>
      </x:c>
      <x:c r="U302" s="60" t="n">
        <x:f>IF(T302="","",I302*T302)</x:f>
        <x:v>1448.7420241045866</x:v>
      </x:c>
    </x:row>
    <x:row r="303" ht="18" customHeight="1">
      <x:c r="A303" s="46" t="str">
        <x:v>LME_012</x:v>
      </x:c>
      <x:c r="B303" s="46" t="str">
        <x:v>Caribbean Sea</x:v>
      </x:c>
      <x:c r="C303" s="46" t="str">
        <x:v>LME</x:v>
      </x:c>
      <x:c r="D303" s="58" t="n">
        <x:v>2019</x:v>
      </x:c>
      <x:c r="E303" s="46" t="str">
        <x:v>Clupeiformes</x:v>
      </x:c>
      <x:c r="F303" s="46" t="str">
        <x:v>Herrings, shads, anchovies</x:v>
      </x:c>
      <x:c r="G303" s="46" t="str">
        <x:v>Small pelagics (&lt;30 cm)</x:v>
      </x:c>
      <x:c r="H303" s="46" t="str">
        <x:v>Other fishes &amp; inverts</x:v>
      </x:c>
      <x:c r="I303" s="60" t="n">
        <x:v>10.095681918</x:v>
      </x:c>
      <x:c r="J303" s="60" t="n">
        <x:v>10.095681918</x:v>
      </x:c>
      <x:c r="K303" s="60" t="n">
        <x:v>0</x:v>
      </x:c>
      <x:c r="L303" s="60" t="n">
        <x:v>10.095681918</x:v>
      </x:c>
      <x:c r="M303" s="60" t="n">
        <x:v>0</x:v>
      </x:c>
      <x:c r="N303" s="46" t="str">
        <x:v>clupeiformes</x:v>
      </x:c>
      <x:c r="O303" s="62" t="n">
        <x:v>3.24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Clupeiformes</x:v>
      </x:c>
      <x:c r="T303" s="62" t="n">
        <x:f>IF(O303="","",(1/'Metadata'!$B$5)^(O303-1))</x:f>
        <x:v>173.78008287493762</x:v>
      </x:c>
      <x:c r="U303" s="60" t="n">
        <x:f>IF(T303="","",I303*T303)</x:f>
        <x:v>1754.4284403890492</x:v>
      </x:c>
    </x:row>
    <x:row r="304" ht="18" customHeight="1">
      <x:c r="A304" s="46" t="str">
        <x:v>LME_012</x:v>
      </x:c>
      <x:c r="B304" s="46" t="str">
        <x:v>Caribbean Sea</x:v>
      </x:c>
      <x:c r="C304" s="46" t="str">
        <x:v>LME</x:v>
      </x:c>
      <x:c r="D304" s="58" t="n">
        <x:v>2019</x:v>
      </x:c>
      <x:c r="E304" s="46" t="str">
        <x:v>Istiophorus</x:v>
      </x:c>
      <x:c r="F304" s="46" t="str">
        <x:v>Sailfishes</x:v>
      </x:c>
      <x:c r="G304" s="46" t="str">
        <x:v>Large pelagics (&gt;=90 cm)</x:v>
      </x:c>
      <x:c r="H304" s="46" t="str">
        <x:v>Tuna &amp; billfishes</x:v>
      </x:c>
      <x:c r="I304" s="60" t="n">
        <x:v>9.915005396</x:v>
      </x:c>
      <x:c r="J304" s="60" t="n">
        <x:v>9.915005396</x:v>
      </x:c>
      <x:c r="K304" s="60" t="n">
        <x:v>0</x:v>
      </x:c>
      <x:c r="L304" s="60" t="n">
        <x:v>1.9553429214000002</x:v>
      </x:c>
      <x:c r="M304" s="60" t="n">
        <x:v>7.9596624746</x:v>
      </x:c>
      <x:c r="N304" s="46" t="str">
        <x:v>istiophorus</x:v>
      </x:c>
      <x:c r="O304" s="62" t="n">
        <x:v>4.5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Istiophorus</x:v>
      </x:c>
      <x:c r="T304" s="62" t="n">
        <x:f>IF(O304="","",(1/'Metadata'!$B$5)^(O304-1))</x:f>
        <x:v>3162.2776601683795</x:v>
      </x:c>
      <x:c r="U304" s="60" t="n">
        <x:f>IF(T304="","",I304*T304)</x:f>
        <x:v>31354.000064219737</x:v>
      </x:c>
    </x:row>
    <x:row r="305" ht="18" customHeight="1">
      <x:c r="A305" s="46" t="str">
        <x:v>LME_012</x:v>
      </x:c>
      <x:c r="B305" s="46" t="str">
        <x:v>Caribbean Sea</x:v>
      </x:c>
      <x:c r="C305" s="46" t="str">
        <x:v>LME</x:v>
      </x:c>
      <x:c r="D305" s="58" t="n">
        <x:v>2019</x:v>
      </x:c>
      <x:c r="E305" s="46" t="str">
        <x:v>Scomber</x:v>
      </x:c>
      <x:c r="F305" s="46" t="str">
        <x:v>Chub mackerels</x:v>
      </x:c>
      <x:c r="G305" s="46" t="str">
        <x:v>Medium pelagics (30 - 89 cm)</x:v>
      </x:c>
      <x:c r="H305" s="46" t="str">
        <x:v>Perch-likes</x:v>
      </x:c>
      <x:c r="I305" s="60" t="n">
        <x:v>9.900181830600001</x:v>
      </x:c>
      <x:c r="J305" s="60" t="n">
        <x:v>9.900181830600001</x:v>
      </x:c>
      <x:c r="K305" s="60" t="n">
        <x:v>0</x:v>
      </x:c>
      <x:c r="L305" s="60" t="n">
        <x:v>4.4223744412</x:v>
      </x:c>
      <x:c r="M305" s="60" t="n">
        <x:v>5.477807389400001</x:v>
      </x:c>
      <x:c r="N305" s="46" t="str">
        <x:v>scomber</x:v>
      </x:c>
      <x:c r="O305" s="62" t="n">
        <x:v>3.65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Scomber</x:v>
      </x:c>
      <x:c r="T305" s="62" t="n">
        <x:f>IF(O305="","",(1/'Metadata'!$B$5)^(O305-1))</x:f>
        <x:v>446.683592150963</x:v>
      </x:c>
      <x:c r="U305" s="60" t="n">
        <x:f>IF(T305="","",I305*T305)</x:f>
        <x:v>4422.248783040105</x:v>
      </x:c>
    </x:row>
    <x:row r="306" ht="18" customHeight="1">
      <x:c r="A306" s="46" t="str">
        <x:v>LME_012</x:v>
      </x:c>
      <x:c r="B306" s="46" t="str">
        <x:v>Caribbean Sea</x:v>
      </x:c>
      <x:c r="C306" s="46" t="str">
        <x:v>LME</x:v>
      </x:c>
      <x:c r="D306" s="58" t="n">
        <x:v>2019</x:v>
      </x:c>
      <x:c r="E306" s="46" t="str">
        <x:v>Cantherhines</x:v>
      </x:c>
      <x:c r="F306" s="46" t="str">
        <x:v>Mideye spined filefishes</x:v>
      </x:c>
      <x:c r="G306" s="46" t="str">
        <x:v>Medium reef assoc. fish (30 - 89 cm)</x:v>
      </x:c>
      <x:c r="H306" s="46" t="str">
        <x:v>Other fishes &amp; inverts</x:v>
      </x:c>
      <x:c r="I306" s="60" t="n">
        <x:v>9.862788299</x:v>
      </x:c>
      <x:c r="J306" s="60" t="n">
        <x:v>9.862788299</x:v>
      </x:c>
      <x:c r="K306" s="60" t="n">
        <x:v>0</x:v>
      </x:c>
      <x:c r="L306" s="60" t="n">
        <x:v>1.7820685426</x:v>
      </x:c>
      <x:c r="M306" s="60" t="n">
        <x:v>8.080719756399999</x:v>
      </x:c>
      <x:c r="N306" s="46" t="str">
        <x:v>cantherhines</x:v>
      </x:c>
      <x:c r="O306" s="62" t="n">
        <x:v>3.5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Cantherhines</x:v>
      </x:c>
      <x:c r="T306" s="62" t="n">
        <x:f>IF(O306="","",(1/'Metadata'!$B$5)^(O306-1))</x:f>
        <x:v>316.22776601683796</x:v>
      </x:c>
      <x:c r="U306" s="60" t="n">
        <x:f>IF(T306="","",I306*T306)</x:f>
        <x:v>3118.8875104897793</x:v>
      </x:c>
    </x:row>
    <x:row r="307" ht="18" customHeight="1">
      <x:c r="A307" s="46" t="str">
        <x:v>LME_012</x:v>
      </x:c>
      <x:c r="B307" s="46" t="str">
        <x:v>Caribbean Sea</x:v>
      </x:c>
      <x:c r="C307" s="46" t="str">
        <x:v>LME</x:v>
      </x:c>
      <x:c r="D307" s="58" t="n">
        <x:v>2019</x:v>
      </x:c>
      <x:c r="E307" s="46" t="str">
        <x:v>Alectis ciliaris</x:v>
      </x:c>
      <x:c r="F307" s="46" t="str">
        <x:v>African pompano</x:v>
      </x:c>
      <x:c r="G307" s="46" t="str">
        <x:v>Large pelagics (&gt;=90 cm)</x:v>
      </x:c>
      <x:c r="H307" s="46" t="str">
        <x:v>Perch-likes</x:v>
      </x:c>
      <x:c r="I307" s="60" t="n">
        <x:v>9.7904858695</x:v>
      </x:c>
      <x:c r="J307" s="60" t="n">
        <x:v>9.7904858695</x:v>
      </x:c>
      <x:c r="K307" s="60" t="n">
        <x:v>0</x:v>
      </x:c>
      <x:c r="L307" s="60" t="n">
        <x:v>8.0750371288</x:v>
      </x:c>
      <x:c r="M307" s="60" t="n">
        <x:v>1.7154487406999999</x:v>
      </x:c>
      <x:c r="N307" s="46" t="str">
        <x:v>alectis ciliaris</x:v>
      </x:c>
      <x:c r="O307" s="62" t="n">
        <x:v>3.95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Alectis ciliaris</x:v>
      </x:c>
      <x:c r="T307" s="62" t="n">
        <x:f>IF(O307="","",(1/'Metadata'!$B$5)^(O307-1))</x:f>
        <x:v>891.2509381337459</x:v>
      </x:c>
      <x:c r="U307" s="60" t="n">
        <x:f>IF(T307="","",I307*T307)</x:f>
        <x:v>8725.779715977058</x:v>
      </x:c>
    </x:row>
    <x:row r="308" ht="18" customHeight="1">
      <x:c r="A308" s="46" t="str">
        <x:v>LME_012</x:v>
      </x:c>
      <x:c r="B308" s="46" t="str">
        <x:v>Caribbean Sea</x:v>
      </x:c>
      <x:c r="C308" s="46" t="str">
        <x:v>LME</x:v>
      </x:c>
      <x:c r="D308" s="58" t="n">
        <x:v>2019</x:v>
      </x:c>
      <x:c r="E308" s="46" t="str">
        <x:v>Pleoticus robustus</x:v>
      </x:c>
      <x:c r="F308" s="46" t="str">
        <x:v>Royal red shrimp</x:v>
      </x:c>
      <x:c r="G308" s="46" t="str">
        <x:v>Shrimps</x:v>
      </x:c>
      <x:c r="H308" s="46" t="str">
        <x:v>Crustaceans</x:v>
      </x:c>
      <x:c r="I308" s="60" t="n">
        <x:v>9.5489145612</x:v>
      </x:c>
      <x:c r="J308" s="60" t="n">
        <x:v>9.5489145612</x:v>
      </x:c>
      <x:c r="K308" s="60" t="n">
        <x:v>0</x:v>
      </x:c>
      <x:c r="L308" s="60" t="n">
        <x:v>9.4028466473</x:v>
      </x:c>
      <x:c r="M308" s="60" t="n">
        <x:v>0.1460679139</x:v>
      </x:c>
      <x:c r="N308" s="46" t="str">
        <x:v>pleoticus robustus</x:v>
      </x:c>
      <x:c r="O308" s="62" t="n">
        <x:v>2.2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Pleoticus robustus</x:v>
      </x:c>
      <x:c r="T308" s="62" t="n">
        <x:f>IF(O308="","",(1/'Metadata'!$B$5)^(O308-1))</x:f>
        <x:v>15.848931924611142</x:v>
      </x:c>
      <x:c r="U308" s="60" t="n">
        <x:f>IF(T308="","",I308*T308)</x:f>
        <x:v>151.34009683438688</x:v>
      </x:c>
    </x:row>
    <x:row r="309" ht="18" customHeight="1">
      <x:c r="A309" s="46" t="str">
        <x:v>LME_012</x:v>
      </x:c>
      <x:c r="B309" s="46" t="str">
        <x:v>Caribbean Sea</x:v>
      </x:c>
      <x:c r="C309" s="46" t="str">
        <x:v>LME</x:v>
      </x:c>
      <x:c r="D309" s="58" t="n">
        <x:v>2019</x:v>
      </x:c>
      <x:c r="E309" s="46" t="str">
        <x:v>Echinodermata</x:v>
      </x:c>
      <x:c r="F309" s="46" t="str">
        <x:v>Sea urchins, stars, cucumbers</x:v>
      </x:c>
      <x:c r="G309" s="46" t="str">
        <x:v>Other demersal invertebrates</x:v>
      </x:c>
      <x:c r="H309" s="46" t="str">
        <x:v>Other fishes &amp; inverts</x:v>
      </x:c>
      <x:c r="I309" s="60" t="n">
        <x:v>9.2561040181</x:v>
      </x:c>
      <x:c r="J309" s="60" t="n">
        <x:v>9.2561040181</x:v>
      </x:c>
      <x:c r="K309" s="60" t="n">
        <x:v>0</x:v>
      </x:c>
      <x:c r="L309" s="60" t="n">
        <x:v>0</x:v>
      </x:c>
      <x:c r="M309" s="60" t="n">
        <x:v>9.2561040181</x:v>
      </x:c>
      <x:c r="N309" s="46" t="str">
        <x:v>echinodermata</x:v>
      </x:c>
      <x:c r="O309" s="62" t="n">
        <x:v>2.3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Echinodermata</x:v>
      </x:c>
      <x:c r="T309" s="62" t="n">
        <x:f>IF(O309="","",(1/'Metadata'!$B$5)^(O309-1))</x:f>
        <x:v>19.952623149688787</x:v>
      </x:c>
      <x:c r="U309" s="60" t="n">
        <x:f>IF(T309="","",I309*T309)</x:f>
        <x:v>184.68355530746948</x:v>
      </x:c>
    </x:row>
    <x:row r="310" ht="18" customHeight="1">
      <x:c r="A310" s="46" t="str">
        <x:v>LME_012</x:v>
      </x:c>
      <x:c r="B310" s="46" t="str">
        <x:v>Caribbean Sea</x:v>
      </x:c>
      <x:c r="C310" s="46" t="str">
        <x:v>LME</x:v>
      </x:c>
      <x:c r="D310" s="58" t="n">
        <x:v>2019</x:v>
      </x:c>
      <x:c r="E310" s="46" t="str">
        <x:v>Lepidocybium flavobrunneum</x:v>
      </x:c>
      <x:c r="F310" s="46" t="str">
        <x:v>Escolar</x:v>
      </x:c>
      <x:c r="G310" s="46" t="str">
        <x:v>Large bathypelagics (&gt;=90 cm)</x:v>
      </x:c>
      <x:c r="H310" s="46" t="str">
        <x:v>Perch-likes</x:v>
      </x:c>
      <x:c r="I310" s="60" t="n">
        <x:v>9.0055413643</x:v>
      </x:c>
      <x:c r="J310" s="60" t="n">
        <x:v>9.0055413643</x:v>
      </x:c>
      <x:c r="K310" s="60" t="n">
        <x:v>0</x:v>
      </x:c>
      <x:c r="L310" s="60" t="n">
        <x:v>9.0051572659</x:v>
      </x:c>
      <x:c r="M310" s="60" t="n">
        <x:v>0.00038409839999999995</x:v>
      </x:c>
      <x:c r="N310" s="46" t="str">
        <x:v>lepidocybium flavobrunneum</x:v>
      </x:c>
      <x:c r="O310" s="62" t="n">
        <x:v>4.34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Lepidocybium flavobrunneum</x:v>
      </x:c>
      <x:c r="T310" s="62" t="n">
        <x:f>IF(O310="","",(1/'Metadata'!$B$5)^(O310-1))</x:f>
        <x:v>2187.761623949552</x:v>
      </x:c>
      <x:c r="U310" s="60" t="n">
        <x:f>IF(T310="","",I310*T310)</x:f>
        <x:v>19701.977799705834</x:v>
      </x:c>
    </x:row>
    <x:row r="311" ht="18" customHeight="1">
      <x:c r="A311" s="46" t="str">
        <x:v>LME_012</x:v>
      </x:c>
      <x:c r="B311" s="46" t="str">
        <x:v>Caribbean Sea</x:v>
      </x:c>
      <x:c r="C311" s="46" t="str">
        <x:v>LME</x:v>
      </x:c>
      <x:c r="D311" s="58" t="n">
        <x:v>2019</x:v>
      </x:c>
      <x:c r="E311" s="46" t="str">
        <x:v>Stromateidae</x:v>
      </x:c>
      <x:c r="F311" s="46" t="str">
        <x:v>Butterfishes</x:v>
      </x:c>
      <x:c r="G311" s="46" t="str">
        <x:v>Small benthopelagics (&lt;30 cm)</x:v>
      </x:c>
      <x:c r="H311" s="46" t="str">
        <x:v>Perch-likes</x:v>
      </x:c>
      <x:c r="I311" s="60" t="n">
        <x:v>8.798194466800002</x:v>
      </x:c>
      <x:c r="J311" s="60" t="n">
        <x:v>8.1916115198</x:v>
      </x:c>
      <x:c r="K311" s="60" t="n">
        <x:v>0.6065829469999999</x:v>
      </x:c>
      <x:c r="L311" s="60" t="n">
        <x:v>7.5914662152000005</x:v>
      </x:c>
      <x:c r="M311" s="60" t="n">
        <x:v>1.2067282516</x:v>
      </x:c>
      <x:c r="N311" s="46" t="str">
        <x:v>stromateidae</x:v>
      </x:c>
      <x:c r="O311" s="62" t="n">
        <x:v>3.62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Stromateidae</x:v>
      </x:c>
      <x:c r="T311" s="62" t="n">
        <x:f>IF(O311="","",(1/'Metadata'!$B$5)^(O311-1))</x:f>
        <x:v>416.8693834703355</x:v>
      </x:c>
      <x:c r="U311" s="60" t="n">
        <x:f>IF(T311="","",I311*T311)</x:f>
        <x:v>3667.697903027034</x:v>
      </x:c>
    </x:row>
    <x:row r="312" ht="18" customHeight="1">
      <x:c r="A312" s="46" t="str">
        <x:v>LME_012</x:v>
      </x:c>
      <x:c r="B312" s="46" t="str">
        <x:v>Caribbean Sea</x:v>
      </x:c>
      <x:c r="C312" s="46" t="str">
        <x:v>LME</x:v>
      </x:c>
      <x:c r="D312" s="58" t="n">
        <x:v>2019</x:v>
      </x:c>
      <x:c r="E312" s="46" t="str">
        <x:v>Isurus paucus</x:v>
      </x:c>
      <x:c r="F312" s="46" t="str">
        <x:v>Longfin mako</x:v>
      </x:c>
      <x:c r="G312" s="46" t="str">
        <x:v>Large sharks (&gt;=90 cm)</x:v>
      </x:c>
      <x:c r="H312" s="46" t="str">
        <x:v>Sharks &amp; rays</x:v>
      </x:c>
      <x:c r="I312" s="60" t="n">
        <x:v>8.7312797191</x:v>
      </x:c>
      <x:c r="J312" s="60" t="n">
        <x:v>8.7312797191</x:v>
      </x:c>
      <x:c r="K312" s="60" t="n">
        <x:v>0</x:v>
      </x:c>
      <x:c r="L312" s="60" t="n">
        <x:v>8.7312797191</x:v>
      </x:c>
      <x:c r="M312" s="60" t="n">
        <x:v>0</x:v>
      </x:c>
      <x:c r="N312" s="46" t="str">
        <x:v>isurus paucus</x:v>
      </x:c>
      <x:c r="O312" s="62" t="n">
        <x:v>4.51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Isurus paucus</x:v>
      </x:c>
      <x:c r="T312" s="62" t="n">
        <x:f>IF(O312="","",(1/'Metadata'!$B$5)^(O312-1))</x:f>
        <x:v>3235.936569296281</x:v>
      </x:c>
      <x:c r="U312" s="60" t="n">
        <x:f>IF(T312="","",I312*T312)</x:f>
        <x:v>28253.86733979065</x:v>
      </x:c>
    </x:row>
    <x:row r="313" ht="18" customHeight="1">
      <x:c r="A313" s="46" t="str">
        <x:v>LME_012</x:v>
      </x:c>
      <x:c r="B313" s="46" t="str">
        <x:v>Caribbean Sea</x:v>
      </x:c>
      <x:c r="C313" s="46" t="str">
        <x:v>LME</x:v>
      </x:c>
      <x:c r="D313" s="58" t="n">
        <x:v>2019</x:v>
      </x:c>
      <x:c r="E313" s="46" t="str">
        <x:v>Kyphosus sectatrix</x:v>
      </x:c>
      <x:c r="F313" s="46" t="str">
        <x:v>Bermuda sea chub</x:v>
      </x:c>
      <x:c r="G313" s="46" t="str">
        <x:v>Medium reef assoc. fish (30 - 89 cm)</x:v>
      </x:c>
      <x:c r="H313" s="46" t="str">
        <x:v>Perch-likes</x:v>
      </x:c>
      <x:c r="I313" s="60" t="n">
        <x:v>8.0872055396</x:v>
      </x:c>
      <x:c r="J313" s="60" t="n">
        <x:v>8.0872055396</x:v>
      </x:c>
      <x:c r="K313" s="60" t="n">
        <x:v>0</x:v>
      </x:c>
      <x:c r="L313" s="60" t="n">
        <x:v>2.3087435377000003</x:v>
      </x:c>
      <x:c r="M313" s="60" t="n">
        <x:v>5.7784620018999995</x:v>
      </x:c>
      <x:c r="N313" s="46" t="str">
        <x:v>kyphosus sectatrix</x:v>
      </x:c>
      <x:c r="O313" s="62" t="n">
        <x:v>2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Kyphosus sectatrix</x:v>
      </x:c>
      <x:c r="T313" s="62" t="n">
        <x:f>IF(O313="","",(1/'Metadata'!$B$5)^(O313-1))</x:f>
        <x:v>10</x:v>
      </x:c>
      <x:c r="U313" s="60" t="n">
        <x:f>IF(T313="","",I313*T313)</x:f>
        <x:v>80.872055396</x:v>
      </x:c>
    </x:row>
    <x:row r="314" ht="18" customHeight="1">
      <x:c r="A314" s="46" t="str">
        <x:v>LME_012</x:v>
      </x:c>
      <x:c r="B314" s="46" t="str">
        <x:v>Caribbean Sea</x:v>
      </x:c>
      <x:c r="C314" s="46" t="str">
        <x:v>LME</x:v>
      </x:c>
      <x:c r="D314" s="58" t="n">
        <x:v>2019</x:v>
      </x:c>
      <x:c r="E314" s="46" t="str">
        <x:v>Caranx lugubris</x:v>
      </x:c>
      <x:c r="F314" s="46" t="str">
        <x:v>Black jack</x:v>
      </x:c>
      <x:c r="G314" s="46" t="str">
        <x:v>Large benthopelagics (&gt;=90 cm)</x:v>
      </x:c>
      <x:c r="H314" s="46" t="str">
        <x:v>Perch-likes</x:v>
      </x:c>
      <x:c r="I314" s="60" t="n">
        <x:v>6.6808360318</x:v>
      </x:c>
      <x:c r="J314" s="60" t="n">
        <x:v>6.6808360318</x:v>
      </x:c>
      <x:c r="K314" s="60" t="n">
        <x:v>0</x:v>
      </x:c>
      <x:c r="L314" s="60" t="n">
        <x:v>5.7128332751</x:v>
      </x:c>
      <x:c r="M314" s="60" t="n">
        <x:v>0.9680027567</x:v>
      </x:c>
      <x:c r="N314" s="46" t="str">
        <x:v>caranx lugubris</x:v>
      </x:c>
      <x:c r="O314" s="62" t="n">
        <x:v>4.5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Caranx lugubris</x:v>
      </x:c>
      <x:c r="T314" s="62" t="n">
        <x:f>IF(O314="","",(1/'Metadata'!$B$5)^(O314-1))</x:f>
        <x:v>3162.2776601683795</x:v>
      </x:c>
      <x:c r="U314" s="60" t="n">
        <x:f>IF(T314="","",I314*T314)</x:f>
        <x:v>21126.658534609105</x:v>
      </x:c>
    </x:row>
    <x:row r="315" ht="18" customHeight="1">
      <x:c r="A315" s="46" t="str">
        <x:v>LME_012</x:v>
      </x:c>
      <x:c r="B315" s="46" t="str">
        <x:v>Caribbean Sea</x:v>
      </x:c>
      <x:c r="C315" s="46" t="str">
        <x:v>LME</x:v>
      </x:c>
      <x:c r="D315" s="58" t="n">
        <x:v>2019</x:v>
      </x:c>
      <x:c r="E315" s="46" t="str">
        <x:v>Octopoda</x:v>
      </x:c>
      <x:c r="F315" s="46" t="str">
        <x:v>Octopuses, argonauts</x:v>
      </x:c>
      <x:c r="G315" s="46" t="str">
        <x:v>Cephalopods</x:v>
      </x:c>
      <x:c r="H315" s="46" t="str">
        <x:v>Other fishes &amp; inverts</x:v>
      </x:c>
      <x:c r="I315" s="60" t="n">
        <x:v>6.6366233616</x:v>
      </x:c>
      <x:c r="J315" s="60" t="n">
        <x:v>6.6366233616</x:v>
      </x:c>
      <x:c r="K315" s="60" t="n">
        <x:v>0</x:v>
      </x:c>
      <x:c r="L315" s="60" t="n">
        <x:v>6.6366233616</x:v>
      </x:c>
      <x:c r="M315" s="60" t="n">
        <x:v>0</x:v>
      </x:c>
      <x:c r="N315" s="46" t="str">
        <x:v>octopoda</x:v>
      </x:c>
      <x:c r="O315" s="62" t="n">
        <x:v>3.58</x:v>
      </x:c>
      <x:c r="P315" s="46" t="str">
        <x:v>exact_sea_around_us</x:v>
      </x:c>
      <x:c r="Q315" s="62" t="str">
        <x:v>Sea Around Us exploited organisms</x:v>
      </x:c>
      <x:c r="R315" s="46" t="str">
        <x:v>high</x:v>
      </x:c>
      <x:c r="S315" s="46" t="str">
        <x:v>Octopoda</x:v>
      </x:c>
      <x:c r="T315" s="62" t="n">
        <x:f>IF(O315="","",(1/'Metadata'!$B$5)^(O315-1))</x:f>
        <x:v>380.1893963205613</x:v>
      </x:c>
      <x:c r="U315" s="60" t="n">
        <x:f>IF(T315="","",I315*T315)</x:f>
        <x:v>2523.173829453638</x:v>
      </x:c>
    </x:row>
    <x:row r="316" ht="18" customHeight="1">
      <x:c r="A316" s="46" t="str">
        <x:v>LME_012</x:v>
      </x:c>
      <x:c r="B316" s="46" t="str">
        <x:v>Caribbean Sea</x:v>
      </x:c>
      <x:c r="C316" s="46" t="str">
        <x:v>LME</x:v>
      </x:c>
      <x:c r="D316" s="58" t="n">
        <x:v>2019</x:v>
      </x:c>
      <x:c r="E316" s="46" t="str">
        <x:v>Tetraodontidae</x:v>
      </x:c>
      <x:c r="F316" s="46" t="str">
        <x:v>Puffers, tobies</x:v>
      </x:c>
      <x:c r="G316" s="46" t="str">
        <x:v>Large reef assoc. fish (&gt;=90 cm)</x:v>
      </x:c>
      <x:c r="H316" s="46" t="str">
        <x:v>Other fishes &amp; inverts</x:v>
      </x:c>
      <x:c r="I316" s="60" t="n">
        <x:v>6.487536517000001</x:v>
      </x:c>
      <x:c r="J316" s="60" t="n">
        <x:v>0.6046944953</x:v>
      </x:c>
      <x:c r="K316" s="60" t="n">
        <x:v>5.8828420217</x:v>
      </x:c>
      <x:c r="L316" s="60" t="n">
        <x:v>0.6031440568</x:v>
      </x:c>
      <x:c r="M316" s="60" t="n">
        <x:v>5.8843924602</x:v>
      </x:c>
      <x:c r="N316" s="46" t="str">
        <x:v>tetraodontidae</x:v>
      </x:c>
      <x:c r="O316" s="62" t="n">
        <x:v>3.5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Tetraodontidae</x:v>
      </x:c>
      <x:c r="T316" s="62" t="n">
        <x:f>IF(O316="","",(1/'Metadata'!$B$5)^(O316-1))</x:f>
        <x:v>316.22776601683796</x:v>
      </x:c>
      <x:c r="U316" s="60" t="n">
        <x:f>IF(T316="","",I316*T316)</x:f>
        <x:v>2051.539179723568</x:v>
      </x:c>
    </x:row>
    <x:row r="317" ht="18" customHeight="1">
      <x:c r="A317" s="46" t="str">
        <x:v>LME_012</x:v>
      </x:c>
      <x:c r="B317" s="46" t="str">
        <x:v>Caribbean Sea</x:v>
      </x:c>
      <x:c r="C317" s="46" t="str">
        <x:v>LME</x:v>
      </x:c>
      <x:c r="D317" s="58" t="n">
        <x:v>2019</x:v>
      </x:c>
      <x:c r="E317" s="46" t="str">
        <x:v>Anguilla rostrata</x:v>
      </x:c>
      <x:c r="F317" s="46" t="str">
        <x:v>American eel</x:v>
      </x:c>
      <x:c r="G317" s="46" t="str">
        <x:v>Large demersals (&gt;=90 cm)</x:v>
      </x:c>
      <x:c r="H317" s="46" t="str">
        <x:v>Other fishes &amp; inverts</x:v>
      </x:c>
      <x:c r="I317" s="60" t="n">
        <x:v>5.5604505701</x:v>
      </x:c>
      <x:c r="J317" s="60" t="n">
        <x:v>5.5604505701</x:v>
      </x:c>
      <x:c r="K317" s="60" t="n">
        <x:v>0</x:v>
      </x:c>
      <x:c r="L317" s="60" t="n">
        <x:v>5.2975066529</x:v>
      </x:c>
      <x:c r="M317" s="60" t="n">
        <x:v>0.26294391720000004</x:v>
      </x:c>
      <x:c r="N317" s="46" t="str">
        <x:v>anguilla rostrata</x:v>
      </x:c>
      <x:c r="O317" s="62" t="n">
        <x:v>3.83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Anguilla rostrata</x:v>
      </x:c>
      <x:c r="T317" s="62" t="n">
        <x:f>IF(O317="","",(1/'Metadata'!$B$5)^(O317-1))</x:f>
        <x:v>676.0829753919819</x:v>
      </x:c>
      <x:c r="U317" s="60" t="n">
        <x:f>IF(T317="","",I317*T317)</x:f>
        <x:v>3759.3259659532505</x:v>
      </x:c>
    </x:row>
    <x:row r="318" ht="18" customHeight="1">
      <x:c r="A318" s="46" t="str">
        <x:v>LME_012</x:v>
      </x:c>
      <x:c r="B318" s="46" t="str">
        <x:v>Caribbean Sea</x:v>
      </x:c>
      <x:c r="C318" s="46" t="str">
        <x:v>LME</x:v>
      </x:c>
      <x:c r="D318" s="58" t="n">
        <x:v>2019</x:v>
      </x:c>
      <x:c r="E318" s="46" t="str">
        <x:v>Haemulopsis corvinaeformis</x:v>
      </x:c>
      <x:c r="F318" s="46" t="str">
        <x:v>Roughneck grunt</x:v>
      </x:c>
      <x:c r="G318" s="46" t="str">
        <x:v>Small demersals (&lt;30 cm)</x:v>
      </x:c>
      <x:c r="H318" s="46" t="str">
        <x:v>Perch-likes</x:v>
      </x:c>
      <x:c r="I318" s="60" t="n">
        <x:v>5.0582289865</x:v>
      </x:c>
      <x:c r="J318" s="60" t="n">
        <x:v>5.0582289865</x:v>
      </x:c>
      <x:c r="K318" s="60" t="n">
        <x:v>0</x:v>
      </x:c>
      <x:c r="L318" s="60" t="n">
        <x:v>1.1951645747</x:v>
      </x:c>
      <x:c r="M318" s="60" t="n">
        <x:v>3.8630644118</x:v>
      </x:c>
      <x:c r="N318" s="46" t="str">
        <x:v>haemulopsis corvinaeformis</x:v>
      </x:c>
      <x:c r="O318" s="62" t="n">
        <x:v>3.59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Haemulopsis corvinaeformis</x:v>
      </x:c>
      <x:c r="T318" s="62" t="n">
        <x:f>IF(O318="","",(1/'Metadata'!$B$5)^(O318-1))</x:f>
        <x:v>389.04514499428046</x:v>
      </x:c>
      <x:c r="U318" s="60" t="n">
        <x:f>IF(T318="","",I318*T318)</x:f>
        <x:v>1967.8794294671648</x:v>
      </x:c>
    </x:row>
    <x:row r="319" ht="18" customHeight="1">
      <x:c r="A319" s="46" t="str">
        <x:v>LME_012</x:v>
      </x:c>
      <x:c r="B319" s="46" t="str">
        <x:v>Caribbean Sea</x:v>
      </x:c>
      <x:c r="C319" s="46" t="str">
        <x:v>LME</x:v>
      </x:c>
      <x:c r="D319" s="58" t="n">
        <x:v>2019</x:v>
      </x:c>
      <x:c r="E319" s="46" t="str">
        <x:v>Diapterus rhombeus</x:v>
      </x:c>
      <x:c r="F319" s="46" t="str">
        <x:v>Caitipa mojarra</x:v>
      </x:c>
      <x:c r="G319" s="46" t="str">
        <x:v>Medium demersals (30 - 89 cm)</x:v>
      </x:c>
      <x:c r="H319" s="46" t="str">
        <x:v>Perch-likes</x:v>
      </x:c>
      <x:c r="I319" s="60" t="n">
        <x:v>4.8322163747</x:v>
      </x:c>
      <x:c r="J319" s="60" t="n">
        <x:v>4.8322163747</x:v>
      </x:c>
      <x:c r="K319" s="60" t="n">
        <x:v>0</x:v>
      </x:c>
      <x:c r="L319" s="60" t="n">
        <x:v>0.9529638012</x:v>
      </x:c>
      <x:c r="M319" s="60" t="n">
        <x:v>3.8792525735</x:v>
      </x:c>
      <x:c r="N319" s="46" t="str">
        <x:v>diapterus rhombeus</x:v>
      </x:c>
      <x:c r="O319" s="62" t="n">
        <x:v>3.01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Diapterus rhombeus</x:v>
      </x:c>
      <x:c r="T319" s="62" t="n">
        <x:f>IF(O319="","",(1/'Metadata'!$B$5)^(O319-1))</x:f>
        <x:v>102.32929922807536</x:v>
      </x:c>
      <x:c r="U319" s="60" t="n">
        <x:f>IF(T319="","",I319*T319)</x:f>
        <x:v>494.47731534148176</x:v>
      </x:c>
    </x:row>
    <x:row r="320" ht="18" customHeight="1">
      <x:c r="A320" s="46" t="str">
        <x:v>LME_012</x:v>
      </x:c>
      <x:c r="B320" s="46" t="str">
        <x:v>Caribbean Sea</x:v>
      </x:c>
      <x:c r="C320" s="46" t="str">
        <x:v>LME</x:v>
      </x:c>
      <x:c r="D320" s="58" t="n">
        <x:v>2019</x:v>
      </x:c>
      <x:c r="E320" s="46" t="str">
        <x:v>Cynoscion nebulosus</x:v>
      </x:c>
      <x:c r="F320" s="46" t="str">
        <x:v>Spotted weakfish</x:v>
      </x:c>
      <x:c r="G320" s="46" t="str">
        <x:v>Medium demersals (30 - 89 cm)</x:v>
      </x:c>
      <x:c r="H320" s="46" t="str">
        <x:v>Perch-likes</x:v>
      </x:c>
      <x:c r="I320" s="60" t="n">
        <x:v>4.3255370315</x:v>
      </x:c>
      <x:c r="J320" s="60" t="n">
        <x:v>4.2949838465</x:v>
      </x:c>
      <x:c r="K320" s="60" t="n">
        <x:v>0.030553185</x:v>
      </x:c>
      <x:c r="L320" s="60" t="n">
        <x:v>4.2757103417</x:v>
      </x:c>
      <x:c r="M320" s="60" t="n">
        <x:v>0.0498266898</x:v>
      </x:c>
      <x:c r="N320" s="46" t="str">
        <x:v>cynoscion nebulosus</x:v>
      </x:c>
      <x:c r="O320" s="62" t="n">
        <x:v>3.98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Cynoscion nebulosus</x:v>
      </x:c>
      <x:c r="T320" s="62" t="n">
        <x:f>IF(O320="","",(1/'Metadata'!$B$5)^(O320-1))</x:f>
        <x:v>954.992586021436</x:v>
      </x:c>
      <x:c r="U320" s="60" t="n">
        <x:f>IF(T320="","",I320*T320)</x:f>
        <x:v>4130.85579564367</x:v>
      </x:c>
    </x:row>
    <x:row r="321" ht="18" customHeight="1">
      <x:c r="A321" s="46" t="str">
        <x:v>LME_012</x:v>
      </x:c>
      <x:c r="B321" s="46" t="str">
        <x:v>Caribbean Sea</x:v>
      </x:c>
      <x:c r="C321" s="46" t="str">
        <x:v>LME</x:v>
      </x:c>
      <x:c r="D321" s="58" t="n">
        <x:v>2019</x:v>
      </x:c>
      <x:c r="E321" s="46" t="str">
        <x:v>Rajidae</x:v>
      </x:c>
      <x:c r="F321" s="46" t="str">
        <x:v>Stingrays</x:v>
      </x:c>
      <x:c r="G321" s="46" t="str">
        <x:v>Large rays (&gt;=90 cm)</x:v>
      </x:c>
      <x:c r="H321" s="46" t="str">
        <x:v>Sharks &amp; rays</x:v>
      </x:c>
      <x:c r="I321" s="60" t="n">
        <x:v>4.2137978468</x:v>
      </x:c>
      <x:c r="J321" s="60" t="n">
        <x:v>3.3108807135</x:v>
      </x:c>
      <x:c r="K321" s="60" t="n">
        <x:v>0.9029171333</x:v>
      </x:c>
      <x:c r="L321" s="60" t="n">
        <x:v>3.3108807135</x:v>
      </x:c>
      <x:c r="M321" s="60" t="n">
        <x:v>0.9029171333</x:v>
      </x:c>
      <x:c r="N321" s="46" t="str">
        <x:v>rajidae</x:v>
      </x:c>
      <x:c r="O321" s="62" t="n">
        <x:v>3.82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Rajidae</x:v>
      </x:c>
      <x:c r="T321" s="62" t="n">
        <x:f>IF(O321="","",(1/'Metadata'!$B$5)^(O321-1))</x:f>
        <x:v>660.6934480075957</x:v>
      </x:c>
      <x:c r="U321" s="60" t="n">
        <x:f>IF(T321="","",I321*T321)</x:f>
        <x:v>2784.028628609275</x:v>
      </x:c>
    </x:row>
    <x:row r="322" ht="18" customHeight="1">
      <x:c r="A322" s="46" t="str">
        <x:v>LME_012</x:v>
      </x:c>
      <x:c r="B322" s="46" t="str">
        <x:v>Caribbean Sea</x:v>
      </x:c>
      <x:c r="C322" s="46" t="str">
        <x:v>LME</x:v>
      </x:c>
      <x:c r="D322" s="58" t="n">
        <x:v>2019</x:v>
      </x:c>
      <x:c r="E322" s="46" t="str">
        <x:v>Acanthurus bahianus</x:v>
      </x:c>
      <x:c r="F322" s="46" t="str">
        <x:v>Ocean surgeon</x:v>
      </x:c>
      <x:c r="G322" s="46" t="str">
        <x:v>Medium reef assoc. fish (30 - 89 cm)</x:v>
      </x:c>
      <x:c r="H322" s="46" t="str">
        <x:v>Perch-likes</x:v>
      </x:c>
      <x:c r="I322" s="60" t="n">
        <x:v>4.2022082437</x:v>
      </x:c>
      <x:c r="J322" s="60" t="n">
        <x:v>4.2022082437</x:v>
      </x:c>
      <x:c r="K322" s="60" t="n">
        <x:v>0</x:v>
      </x:c>
      <x:c r="L322" s="60" t="n">
        <x:v>0.3549827902</x:v>
      </x:c>
      <x:c r="M322" s="60" t="n">
        <x:v>3.8472254535</x:v>
      </x:c>
      <x:c r="N322" s="46" t="str">
        <x:v>acanthurus bahianus</x:v>
      </x:c>
      <x:c r="O322" s="62" t="n">
        <x:v>2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Acanthurus bahianus</x:v>
      </x:c>
      <x:c r="T322" s="62" t="n">
        <x:f>IF(O322="","",(1/'Metadata'!$B$5)^(O322-1))</x:f>
        <x:v>10</x:v>
      </x:c>
      <x:c r="U322" s="60" t="n">
        <x:f>IF(T322="","",I322*T322)</x:f>
        <x:v>42.022082437</x:v>
      </x:c>
    </x:row>
    <x:row r="323" ht="18" customHeight="1">
      <x:c r="A323" s="46" t="str">
        <x:v>LME_012</x:v>
      </x:c>
      <x:c r="B323" s="46" t="str">
        <x:v>Caribbean Sea</x:v>
      </x:c>
      <x:c r="C323" s="46" t="str">
        <x:v>LME</x:v>
      </x:c>
      <x:c r="D323" s="58" t="n">
        <x:v>2019</x:v>
      </x:c>
      <x:c r="E323" s="46" t="str">
        <x:v>Pristipomoides macrophthalmus</x:v>
      </x:c>
      <x:c r="F323" s="46" t="str">
        <x:v>Cardinal snapper</x:v>
      </x:c>
      <x:c r="G323" s="46" t="str">
        <x:v>Medium benthopelagics (30 - 89 cm)</x:v>
      </x:c>
      <x:c r="H323" s="46" t="str">
        <x:v>Perch-likes</x:v>
      </x:c>
      <x:c r="I323" s="60" t="n">
        <x:v>4.0057077845</x:v>
      </x:c>
      <x:c r="J323" s="60" t="n">
        <x:v>3.8064939297000002</x:v>
      </x:c>
      <x:c r="K323" s="60" t="n">
        <x:v>0.19921385479999998</x:v>
      </x:c>
      <x:c r="L323" s="60" t="n">
        <x:v>0.8182861319</x:v>
      </x:c>
      <x:c r="M323" s="60" t="n">
        <x:v>3.1874216526</x:v>
      </x:c>
      <x:c r="N323" s="46" t="str">
        <x:v>pristipomoides macrophthalmus</x:v>
      </x:c>
      <x:c r="O323" s="62" t="n">
        <x:v>3.87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Pristipomoides macrophthalmus</x:v>
      </x:c>
      <x:c r="T323" s="62" t="n">
        <x:f>IF(O323="","",(1/'Metadata'!$B$5)^(O323-1))</x:f>
        <x:v>741.3102413009177</x:v>
      </x:c>
      <x:c r="U323" s="60" t="n">
        <x:f>IF(T323="","",I323*T323)</x:f>
        <x:v>2969.4722043086595</x:v>
      </x:c>
    </x:row>
    <x:row r="324" ht="18" customHeight="1">
      <x:c r="A324" s="46" t="str">
        <x:v>LME_012</x:v>
      </x:c>
      <x:c r="B324" s="46" t="str">
        <x:v>Caribbean Sea</x:v>
      </x:c>
      <x:c r="C324" s="46" t="str">
        <x:v>LME</x:v>
      </x:c>
      <x:c r="D324" s="58" t="n">
        <x:v>2019</x:v>
      </x:c>
      <x:c r="E324" s="46" t="str">
        <x:v>Helicolenus dactylopterus</x:v>
      </x:c>
      <x:c r="F324" s="46" t="str">
        <x:v>Blackbelly rosefish</x:v>
      </x:c>
      <x:c r="G324" s="46" t="str">
        <x:v>Medium bathydemersals (30 - 89 cm)</x:v>
      </x:c>
      <x:c r="H324" s="46" t="str">
        <x:v>Scorpionfishes</x:v>
      </x:c>
      <x:c r="I324" s="60" t="n">
        <x:v>3.9835387090000003</x:v>
      </x:c>
      <x:c r="J324" s="60" t="n">
        <x:v>3.9415091723</x:v>
      </x:c>
      <x:c r="K324" s="60" t="n">
        <x:v>0.0420295367</x:v>
      </x:c>
      <x:c r="L324" s="60" t="n">
        <x:v>1.0219661354</x:v>
      </x:c>
      <x:c r="M324" s="60" t="n">
        <x:v>2.9615725736000003</x:v>
      </x:c>
      <x:c r="N324" s="46" t="str">
        <x:v>helicolenus dactylopterus</x:v>
      </x:c>
      <x:c r="O324" s="62" t="n">
        <x:v>3.54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Helicolenus dactylopterus</x:v>
      </x:c>
      <x:c r="T324" s="62" t="n">
        <x:f>IF(O324="","",(1/'Metadata'!$B$5)^(O324-1))</x:f>
        <x:v>346.73685045253166</x:v>
      </x:c>
      <x:c r="U324" s="60" t="n">
        <x:f>IF(T324="","",I324*T324)</x:f>
        <x:v>1381.2396656144042</x:v>
      </x:c>
    </x:row>
    <x:row r="325" ht="18" customHeight="1">
      <x:c r="A325" s="46" t="str">
        <x:v>LME_012</x:v>
      </x:c>
      <x:c r="B325" s="46" t="str">
        <x:v>Caribbean Sea</x:v>
      </x:c>
      <x:c r="C325" s="46" t="str">
        <x:v>LME</x:v>
      </x:c>
      <x:c r="D325" s="58" t="n">
        <x:v>2019</x:v>
      </x:c>
      <x:c r="E325" s="46" t="str">
        <x:v>Dorosoma cepedianum</x:v>
      </x:c>
      <x:c r="F325" s="46" t="str">
        <x:v>American gizzard shad</x:v>
      </x:c>
      <x:c r="G325" s="46" t="str">
        <x:v>Medium pelagics (30 - 89 cm)</x:v>
      </x:c>
      <x:c r="H325" s="46" t="str">
        <x:v>Herring-likes</x:v>
      </x:c>
      <x:c r="I325" s="60" t="n">
        <x:v>3.8401937145</x:v>
      </x:c>
      <x:c r="J325" s="60" t="n">
        <x:v>3.8401937145</x:v>
      </x:c>
      <x:c r="K325" s="60" t="n">
        <x:v>0</x:v>
      </x:c>
      <x:c r="L325" s="60" t="n">
        <x:v>3.8102988525999995</x:v>
      </x:c>
      <x:c r="M325" s="60" t="n">
        <x:v>0.0298948619</x:v>
      </x:c>
      <x:c r="N325" s="46" t="str">
        <x:v>dorosoma cepedianum</x:v>
      </x:c>
      <x:c r="O325" s="62" t="n">
        <x:v>2.4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Dorosoma cepedianum</x:v>
      </x:c>
      <x:c r="T325" s="62" t="n">
        <x:f>IF(O325="","",(1/'Metadata'!$B$5)^(O325-1))</x:f>
        <x:v>25.118864315095795</x:v>
      </x:c>
      <x:c r="U325" s="60" t="n">
        <x:f>IF(T325="","",I325*T325)</x:f>
        <x:v>96.46130485820922</x:v>
      </x:c>
    </x:row>
    <x:row r="326" ht="18" customHeight="1">
      <x:c r="A326" s="46" t="str">
        <x:v>LME_012</x:v>
      </x:c>
      <x:c r="B326" s="46" t="str">
        <x:v>Caribbean Sea</x:v>
      </x:c>
      <x:c r="C326" s="46" t="str">
        <x:v>LME</x:v>
      </x:c>
      <x:c r="D326" s="58" t="n">
        <x:v>2019</x:v>
      </x:c>
      <x:c r="E326" s="46" t="str">
        <x:v>Anchoa hepsetus</x:v>
      </x:c>
      <x:c r="F326" s="46" t="str">
        <x:v>Broad-striped anchovy</x:v>
      </x:c>
      <x:c r="G326" s="46" t="str">
        <x:v>Small pelagics (&lt;30 cm)</x:v>
      </x:c>
      <x:c r="H326" s="46" t="str">
        <x:v>Anchovies</x:v>
      </x:c>
      <x:c r="I326" s="60" t="n">
        <x:v>3.5590627533</x:v>
      </x:c>
      <x:c r="J326" s="60" t="n">
        <x:v>2.8548926814</x:v>
      </x:c>
      <x:c r="K326" s="60" t="n">
        <x:v>0.7041700719</x:v>
      </x:c>
      <x:c r="L326" s="60" t="n">
        <x:v>0</x:v>
      </x:c>
      <x:c r="M326" s="60" t="n">
        <x:v>3.5590627533</x:v>
      </x:c>
      <x:c r="N326" s="46" t="str">
        <x:v>anchoa hepsetus</x:v>
      </x:c>
      <x:c r="O326" s="62" t="n">
        <x:v>3.34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Anchoa hepsetus</x:v>
      </x:c>
      <x:c r="T326" s="62" t="n">
        <x:f>IF(O326="","",(1/'Metadata'!$B$5)^(O326-1))</x:f>
        <x:v>218.77616239495518</x:v>
      </x:c>
      <x:c r="U326" s="60" t="n">
        <x:f>IF(T326="","",I326*T326)</x:f>
        <x:v>778.6380908897971</x:v>
      </x:c>
    </x:row>
    <x:row r="327" ht="18" customHeight="1">
      <x:c r="A327" s="46" t="str">
        <x:v>LME_012</x:v>
      </x:c>
      <x:c r="B327" s="46" t="str">
        <x:v>Caribbean Sea</x:v>
      </x:c>
      <x:c r="C327" s="46" t="str">
        <x:v>LME</x:v>
      </x:c>
      <x:c r="D327" s="58" t="n">
        <x:v>2019</x:v>
      </x:c>
      <x:c r="E327" s="46" t="str">
        <x:v>Pagrus pagrus</x:v>
      </x:c>
      <x:c r="F327" s="46" t="str">
        <x:v>Red porgy</x:v>
      </x:c>
      <x:c r="G327" s="46" t="str">
        <x:v>Medium benthopelagics (30 - 89 cm)</x:v>
      </x:c>
      <x:c r="H327" s="46" t="str">
        <x:v>Perch-likes</x:v>
      </x:c>
      <x:c r="I327" s="60" t="n">
        <x:v>3.4578201622</x:v>
      </x:c>
      <x:c r="J327" s="60" t="n">
        <x:v>3.457706692</x:v>
      </x:c>
      <x:c r="K327" s="60" t="n">
        <x:v>0.0001134702</x:v>
      </x:c>
      <x:c r="L327" s="60" t="n">
        <x:v>2.3572549339999997</x:v>
      </x:c>
      <x:c r="M327" s="60" t="n">
        <x:v>1.1005652282</x:v>
      </x:c>
      <x:c r="N327" s="46" t="str">
        <x:v>pagrus pagrus</x:v>
      </x:c>
      <x:c r="O327" s="62" t="n">
        <x:v>3.86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Pagrus pagrus</x:v>
      </x:c>
      <x:c r="T327" s="62" t="n">
        <x:f>IF(O327="","",(1/'Metadata'!$B$5)^(O327-1))</x:f>
        <x:v>724.4359600749899</x:v>
      </x:c>
      <x:c r="U327" s="60" t="n">
        <x:f>IF(T327="","",I327*T327)</x:f>
        <x:v>2504.969268970014</x:v>
      </x:c>
    </x:row>
    <x:row r="328" ht="18" customHeight="1">
      <x:c r="A328" s="46" t="str">
        <x:v>LME_012</x:v>
      </x:c>
      <x:c r="B328" s="46" t="str">
        <x:v>Caribbean Sea</x:v>
      </x:c>
      <x:c r="C328" s="46" t="str">
        <x:v>LME</x:v>
      </x:c>
      <x:c r="D328" s="58" t="n">
        <x:v>2019</x:v>
      </x:c>
      <x:c r="E328" s="46" t="str">
        <x:v>Anguilla</x:v>
      </x:c>
      <x:c r="F328" s="46" t="str">
        <x:v>Eels</x:v>
      </x:c>
      <x:c r="G328" s="46" t="str">
        <x:v>Large demersals (&gt;=90 cm)</x:v>
      </x:c>
      <x:c r="H328" s="46" t="str">
        <x:v>Other fishes &amp; inverts</x:v>
      </x:c>
      <x:c r="I328" s="60" t="n">
        <x:v>2.9708896699</x:v>
      </x:c>
      <x:c r="J328" s="60" t="n">
        <x:v>2.9708896699</x:v>
      </x:c>
      <x:c r="K328" s="60" t="n">
        <x:v>0</x:v>
      </x:c>
      <x:c r="L328" s="60" t="n">
        <x:v>0</x:v>
      </x:c>
      <x:c r="M328" s="60" t="n">
        <x:v>2.9708896699</x:v>
      </x:c>
      <x:c r="N328" s="46" t="str">
        <x:v>anguilla</x:v>
      </x:c>
      <x:c r="O328" s="62" t="n">
        <x:v>3.63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Anguilla</x:v>
      </x:c>
      <x:c r="T328" s="62" t="n">
        <x:f>IF(O328="","",(1/'Metadata'!$B$5)^(O328-1))</x:f>
        <x:v>426.57951880159254</x:v>
      </x:c>
      <x:c r="U328" s="60" t="n">
        <x:f>IF(T328="","",I328*T328)</x:f>
        <x:v>1267.3206857985642</x:v>
      </x:c>
    </x:row>
    <x:row r="329" ht="18" customHeight="1">
      <x:c r="A329" s="46" t="str">
        <x:v>LME_012</x:v>
      </x:c>
      <x:c r="B329" s="46" t="str">
        <x:v>Caribbean Sea</x:v>
      </x:c>
      <x:c r="C329" s="46" t="str">
        <x:v>LME</x:v>
      </x:c>
      <x:c r="D329" s="58" t="n">
        <x:v>2019</x:v>
      </x:c>
      <x:c r="E329" s="46" t="str">
        <x:v>Peprilus paru</x:v>
      </x:c>
      <x:c r="F329" s="46" t="str">
        <x:v>American harvestfish</x:v>
      </x:c>
      <x:c r="G329" s="46" t="str">
        <x:v>Small benthopelagics (&lt;30 cm)</x:v>
      </x:c>
      <x:c r="H329" s="46" t="str">
        <x:v>Perch-likes</x:v>
      </x:c>
      <x:c r="I329" s="60" t="n">
        <x:v>2.8434812315999998</x:v>
      </x:c>
      <x:c r="J329" s="60" t="n">
        <x:v>2.7601187728</x:v>
      </x:c>
      <x:c r="K329" s="60" t="n">
        <x:v>0.0833624588</x:v>
      </x:c>
      <x:c r="L329" s="60" t="n">
        <x:v>2.7182377104</x:v>
      </x:c>
      <x:c r="M329" s="60" t="n">
        <x:v>0.12524352119999999</x:v>
      </x:c>
      <x:c r="N329" s="46" t="str">
        <x:v>peprilus paru</x:v>
      </x:c>
      <x:c r="O329" s="62" t="n">
        <x:v>4.5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Peprilus paru</x:v>
      </x:c>
      <x:c r="T329" s="62" t="n">
        <x:f>IF(O329="","",(1/'Metadata'!$B$5)^(O329-1))</x:f>
        <x:v>3162.2776601683795</x:v>
      </x:c>
      <x:c r="U329" s="60" t="n">
        <x:f>IF(T329="","",I329*T329)</x:f>
        <x:v>8991.87717579675</x:v>
      </x:c>
    </x:row>
    <x:row r="330" ht="18" customHeight="1">
      <x:c r="A330" s="46" t="str">
        <x:v>LME_012</x:v>
      </x:c>
      <x:c r="B330" s="46" t="str">
        <x:v>Caribbean Sea</x:v>
      </x:c>
      <x:c r="C330" s="46" t="str">
        <x:v>LME</x:v>
      </x:c>
      <x:c r="D330" s="58" t="n">
        <x:v>2019</x:v>
      </x:c>
      <x:c r="E330" s="46" t="str">
        <x:v>Alopias vulpinus</x:v>
      </x:c>
      <x:c r="F330" s="46" t="str">
        <x:v>Thresher</x:v>
      </x:c>
      <x:c r="G330" s="46" t="str">
        <x:v>Large sharks (&gt;=90 cm)</x:v>
      </x:c>
      <x:c r="H330" s="46" t="str">
        <x:v>Sharks &amp; rays</x:v>
      </x:c>
      <x:c r="I330" s="60" t="n">
        <x:v>2.643209412</x:v>
      </x:c>
      <x:c r="J330" s="60" t="n">
        <x:v>2.643209412</x:v>
      </x:c>
      <x:c r="K330" s="60" t="n">
        <x:v>0</x:v>
      </x:c>
      <x:c r="L330" s="60" t="n">
        <x:v>2.5639443009000003</x:v>
      </x:c>
      <x:c r="M330" s="60" t="n">
        <x:v>0.07926511110000001</x:v>
      </x:c>
      <x:c r="N330" s="46" t="str">
        <x:v>alopias vulpinus</x:v>
      </x:c>
      <x:c r="O330" s="62" t="n">
        <x:v>4.5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Alopias vulpinus</x:v>
      </x:c>
      <x:c r="T330" s="62" t="n">
        <x:f>IF(O330="","",(1/'Metadata'!$B$5)^(O330-1))</x:f>
        <x:v>3162.2776601683795</x:v>
      </x:c>
      <x:c r="U330" s="60" t="n">
        <x:f>IF(T330="","",I330*T330)</x:f>
        <x:v>8358.562074714398</x:v>
      </x:c>
    </x:row>
    <x:row r="331" ht="18" customHeight="1">
      <x:c r="A331" s="46" t="str">
        <x:v>LME_012</x:v>
      </x:c>
      <x:c r="B331" s="46" t="str">
        <x:v>Caribbean Sea</x:v>
      </x:c>
      <x:c r="C331" s="46" t="str">
        <x:v>LME</x:v>
      </x:c>
      <x:c r="D331" s="58" t="n">
        <x:v>2019</x:v>
      </x:c>
      <x:c r="E331" s="46" t="str">
        <x:v>Tetrapturus pfluegeri</x:v>
      </x:c>
      <x:c r="F331" s="46" t="str">
        <x:v>Longbill spearfish</x:v>
      </x:c>
      <x:c r="G331" s="46" t="str">
        <x:v>Large pelagics (&gt;=90 cm)</x:v>
      </x:c>
      <x:c r="H331" s="46" t="str">
        <x:v>Tuna &amp; billfishes</x:v>
      </x:c>
      <x:c r="I331" s="60" t="n">
        <x:v>2.6320719096</x:v>
      </x:c>
      <x:c r="J331" s="60" t="n">
        <x:v>2.6320719096</x:v>
      </x:c>
      <x:c r="K331" s="60" t="n">
        <x:v>0</x:v>
      </x:c>
      <x:c r="L331" s="60" t="n">
        <x:v>2.5727888947</x:v>
      </x:c>
      <x:c r="M331" s="60" t="n">
        <x:v>0.0592830149</x:v>
      </x:c>
      <x:c r="N331" s="46" t="str">
        <x:v>tetrapturus pfluegeri</x:v>
      </x:c>
      <x:c r="O331" s="62" t="n">
        <x:v>4.4</x:v>
      </x:c>
      <x:c r="P331" s="46" t="str">
        <x:v>exact_2020_supplement</x:v>
      </x:c>
      <x:c r="Q331" s="62" t="str">
        <x:v>2020 supplement MeanTL</x:v>
      </x:c>
      <x:c r="R331" s="46" t="str">
        <x:v>high</x:v>
      </x:c>
      <x:c r="S331" s="46" t="str">
        <x:v>Tetrapturus pfluegeri</x:v>
      </x:c>
      <x:c r="T331" s="62" t="n">
        <x:f>IF(O331="","",(1/'Metadata'!$B$5)^(O331-1))</x:f>
        <x:v>2511.886431509582</x:v>
      </x:c>
      <x:c r="U331" s="60" t="n">
        <x:f>IF(T331="","",I331*T331)</x:f>
        <x:v>6611.465716481755</x:v>
      </x:c>
    </x:row>
    <x:row r="332" ht="18" customHeight="1">
      <x:c r="A332" s="46" t="str">
        <x:v>LME_012</x:v>
      </x:c>
      <x:c r="B332" s="46" t="str">
        <x:v>Caribbean Sea</x:v>
      </x:c>
      <x:c r="C332" s="46" t="str">
        <x:v>LME</x:v>
      </x:c>
      <x:c r="D332" s="58" t="n">
        <x:v>2019</x:v>
      </x:c>
      <x:c r="E332" s="46" t="str">
        <x:v>Sicyonia brevirostris</x:v>
      </x:c>
      <x:c r="F332" s="46" t="str">
        <x:v>Rock shrimp</x:v>
      </x:c>
      <x:c r="G332" s="46" t="str">
        <x:v>Shrimps</x:v>
      </x:c>
      <x:c r="H332" s="46" t="str">
        <x:v>Crustaceans</x:v>
      </x:c>
      <x:c r="I332" s="60" t="n">
        <x:v>2.5083148525</x:v>
      </x:c>
      <x:c r="J332" s="60" t="n">
        <x:v>2.4797781377</x:v>
      </x:c>
      <x:c r="K332" s="60" t="n">
        <x:v>0.0285367148</x:v>
      </x:c>
      <x:c r="L332" s="60" t="n">
        <x:v>1.8621181098</x:v>
      </x:c>
      <x:c r="M332" s="60" t="n">
        <x:v>0.6461967427</x:v>
      </x:c>
      <x:c r="N332" s="46" t="str">
        <x:v>sicyonia brevirostris</x:v>
      </x:c>
      <x:c r="O332" s="62" t="n">
        <x:v>2.2</x:v>
      </x:c>
      <x:c r="P332" s="46" t="str">
        <x:v>exact_sea_around_us</x:v>
      </x:c>
      <x:c r="Q332" s="62" t="str">
        <x:v>Sea Around Us exploited organisms</x:v>
      </x:c>
      <x:c r="R332" s="46" t="str">
        <x:v>high</x:v>
      </x:c>
      <x:c r="S332" s="46" t="str">
        <x:v>Sicyonia brevirostris</x:v>
      </x:c>
      <x:c r="T332" s="62" t="n">
        <x:f>IF(O332="","",(1/'Metadata'!$B$5)^(O332-1))</x:f>
        <x:v>15.848931924611142</x:v>
      </x:c>
      <x:c r="U332" s="60" t="n">
        <x:f>IF(T332="","",I332*T332)</x:f>
        <x:v>39.75411134276354</x:v>
      </x:c>
    </x:row>
    <x:row r="333" ht="18" customHeight="1">
      <x:c r="A333" s="46" t="str">
        <x:v>LME_012</x:v>
      </x:c>
      <x:c r="B333" s="46" t="str">
        <x:v>Caribbean Sea</x:v>
      </x:c>
      <x:c r="C333" s="46" t="str">
        <x:v>LME</x:v>
      </x:c>
      <x:c r="D333" s="58" t="n">
        <x:v>2019</x:v>
      </x:c>
      <x:c r="E333" s="46" t="str">
        <x:v>Cittarium pica</x:v>
      </x:c>
      <x:c r="F333" s="46" t="str">
        <x:v>West Indian top shell</x:v>
      </x:c>
      <x:c r="G333" s="46" t="str">
        <x:v>Other demersal invertebrates</x:v>
      </x:c>
      <x:c r="H333" s="46" t="str">
        <x:v>Molluscs</x:v>
      </x:c>
      <x:c r="I333" s="60" t="n">
        <x:v>2.3666686606</x:v>
      </x:c>
      <x:c r="J333" s="60" t="n">
        <x:v>2.3666686606</x:v>
      </x:c>
      <x:c r="K333" s="60" t="n">
        <x:v>0</x:v>
      </x:c>
      <x:c r="L333" s="60" t="n">
        <x:v>0.16642421289999998</x:v>
      </x:c>
      <x:c r="M333" s="60" t="n">
        <x:v>2.2002444477</x:v>
      </x:c>
      <x:c r="N333" s="46" t="str">
        <x:v>cittarium pica</x:v>
      </x:c>
      <x:c r="O333" s="62" t="n">
        <x:v>2.03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Cittarium pica</x:v>
      </x:c>
      <x:c r="T333" s="62" t="n">
        <x:f>IF(O333="","",(1/'Metadata'!$B$5)^(O333-1))</x:f>
        <x:v>10.71519305237606</x:v>
      </x:c>
      <x:c r="U333" s="60" t="n">
        <x:f>IF(T333="","",I333*T333)</x:f>
        <x:v>25.359311589337274</x:v>
      </x:c>
    </x:row>
    <x:row r="334" ht="18" customHeight="1">
      <x:c r="A334" s="46" t="str">
        <x:v>LME_012</x:v>
      </x:c>
      <x:c r="B334" s="46" t="str">
        <x:v>Caribbean Sea</x:v>
      </x:c>
      <x:c r="C334" s="46" t="str">
        <x:v>LME</x:v>
      </x:c>
      <x:c r="D334" s="58" t="n">
        <x:v>2019</x:v>
      </x:c>
      <x:c r="E334" s="46" t="str">
        <x:v>Squalus</x:v>
      </x:c>
      <x:c r="F334" s="46" t="str">
        <x:v>Dogfishes</x:v>
      </x:c>
      <x:c r="G334" s="46" t="str">
        <x:v>Large sharks (&gt;=90 cm)</x:v>
      </x:c>
      <x:c r="H334" s="46" t="str">
        <x:v>Sharks &amp; rays</x:v>
      </x:c>
      <x:c r="I334" s="60" t="n">
        <x:v>1.8203875024</x:v>
      </x:c>
      <x:c r="J334" s="60" t="n">
        <x:v>1.8203875024</x:v>
      </x:c>
      <x:c r="K334" s="60" t="n">
        <x:v>0</x:v>
      </x:c>
      <x:c r="L334" s="60" t="n">
        <x:v>0</x:v>
      </x:c>
      <x:c r="M334" s="60" t="n">
        <x:v>1.8203875024</x:v>
      </x:c>
      <x:c r="N334" s="46" t="str">
        <x:v>squalus</x:v>
      </x:c>
      <x:c r="O334" s="62" t="n">
        <x:v>4.23</x:v>
      </x:c>
      <x:c r="P334" s="46" t="str">
        <x:v>exact_sea_around_us</x:v>
      </x:c>
      <x:c r="Q334" s="62" t="str">
        <x:v>Sea Around Us exploited organisms</x:v>
      </x:c>
      <x:c r="R334" s="46" t="str">
        <x:v>high</x:v>
      </x:c>
      <x:c r="S334" s="46" t="str">
        <x:v>Squalus</x:v>
      </x:c>
      <x:c r="T334" s="62" t="n">
        <x:f>IF(O334="","",(1/'Metadata'!$B$5)^(O334-1))</x:f>
        <x:v>1698.243652461746</x:v>
      </x:c>
      <x:c r="U334" s="60" t="n">
        <x:f>IF(T334="","",I334*T334)</x:f>
        <x:v>3091.4615209714916</x:v>
      </x:c>
    </x:row>
    <x:row r="335" ht="18" customHeight="1">
      <x:c r="A335" s="46" t="str">
        <x:v>LME_012</x:v>
      </x:c>
      <x:c r="B335" s="46" t="str">
        <x:v>Caribbean Sea</x:v>
      </x:c>
      <x:c r="C335" s="46" t="str">
        <x:v>LME</x:v>
      </x:c>
      <x:c r="D335" s="58" t="n">
        <x:v>2019</x:v>
      </x:c>
      <x:c r="E335" s="46" t="str">
        <x:v>Selene vomer</x:v>
      </x:c>
      <x:c r="F335" s="46" t="str">
        <x:v>Lookdown</x:v>
      </x:c>
      <x:c r="G335" s="46" t="str">
        <x:v>Medium demersals (30 - 89 cm)</x:v>
      </x:c>
      <x:c r="H335" s="46" t="str">
        <x:v>Perch-likes</x:v>
      </x:c>
      <x:c r="I335" s="60" t="n">
        <x:v>1.8172880134</x:v>
      </x:c>
      <x:c r="J335" s="60" t="n">
        <x:v>1.8172880134</x:v>
      </x:c>
      <x:c r="K335" s="60" t="n">
        <x:v>0</x:v>
      </x:c>
      <x:c r="L335" s="60" t="n">
        <x:v>0.482296169</x:v>
      </x:c>
      <x:c r="M335" s="60" t="n">
        <x:v>1.3349918444</x:v>
      </x:c>
      <x:c r="N335" s="46" t="str">
        <x:v>selene vomer</x:v>
      </x:c>
      <x:c r="O335" s="62" t="n">
        <x:v>4.29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Selene vomer</x:v>
      </x:c>
      <x:c r="T335" s="62" t="n">
        <x:f>IF(O335="","",(1/'Metadata'!$B$5)^(O335-1))</x:f>
        <x:v>1949.8445997580454</x:v>
      </x:c>
      <x:c r="U335" s="60" t="n">
        <x:f>IF(T335="","",I335*T335)</x:f>
        <x:v>3543.4292191330164</x:v>
      </x:c>
    </x:row>
    <x:row r="336" ht="18" customHeight="1">
      <x:c r="A336" s="46" t="str">
        <x:v>LME_012</x:v>
      </x:c>
      <x:c r="B336" s="46" t="str">
        <x:v>Caribbean Sea</x:v>
      </x:c>
      <x:c r="C336" s="46" t="str">
        <x:v>LME</x:v>
      </x:c>
      <x:c r="D336" s="58" t="n">
        <x:v>2019</x:v>
      </x:c>
      <x:c r="E336" s="46" t="str">
        <x:v>Mobula birostris</x:v>
      </x:c>
      <x:c r="F336" s="46" t="str">
        <x:v>Giant manta</x:v>
      </x:c>
      <x:c r="G336" s="46" t="str">
        <x:v>Large rays (&gt;=90 cm)</x:v>
      </x:c>
      <x:c r="H336" s="46" t="str">
        <x:v>Sharks &amp; rays</x:v>
      </x:c>
      <x:c r="I336" s="60" t="n">
        <x:v>1.791789805</x:v>
      </x:c>
      <x:c r="J336" s="60" t="n">
        <x:v>1.791789805</x:v>
      </x:c>
      <x:c r="K336" s="60" t="n">
        <x:v>0</x:v>
      </x:c>
      <x:c r="L336" s="60" t="n">
        <x:v>1.791789805</x:v>
      </x:c>
      <x:c r="M336" s="60" t="n">
        <x:v>0</x:v>
      </x:c>
      <x:c r="N336" s="46" t="str">
        <x:v>mobula birostris</x:v>
      </x:c>
      <x:c r="O336" s="62" t="n">
        <x:v>3.46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Mobula birostris</x:v>
      </x:c>
      <x:c r="T336" s="62" t="n">
        <x:f>IF(O336="","",(1/'Metadata'!$B$5)^(O336-1))</x:f>
        <x:v>288.40315031266056</x:v>
      </x:c>
      <x:c r="U336" s="60" t="n">
        <x:f>IF(T336="","",I336*T336)</x:f>
        <x:v>516.7578244601077</x:v>
      </x:c>
    </x:row>
    <x:row r="337" ht="18" customHeight="1">
      <x:c r="A337" s="46" t="str">
        <x:v>LME_012</x:v>
      </x:c>
      <x:c r="B337" s="46" t="str">
        <x:v>Caribbean Sea</x:v>
      </x:c>
      <x:c r="C337" s="46" t="str">
        <x:v>LME</x:v>
      </x:c>
      <x:c r="D337" s="58" t="n">
        <x:v>2019</x:v>
      </x:c>
      <x:c r="E337" s="46" t="str">
        <x:v>Morone saxatilis</x:v>
      </x:c>
      <x:c r="F337" s="46" t="str">
        <x:v>Striped bass</x:v>
      </x:c>
      <x:c r="G337" s="46" t="str">
        <x:v>Large demersals (&gt;=90 cm)</x:v>
      </x:c>
      <x:c r="H337" s="46" t="str">
        <x:v>Perch-likes</x:v>
      </x:c>
      <x:c r="I337" s="60" t="n">
        <x:v>1.6561036548999999</x:v>
      </x:c>
      <x:c r="J337" s="60" t="n">
        <x:v>1.6561036548999999</x:v>
      </x:c>
      <x:c r="K337" s="60" t="n">
        <x:v>0</x:v>
      </x:c>
      <x:c r="L337" s="60" t="n">
        <x:v>0.7631695199</x:v>
      </x:c>
      <x:c r="M337" s="60" t="n">
        <x:v>0.892934135</x:v>
      </x:c>
      <x:c r="N337" s="46" t="str">
        <x:v>morone saxatilis</x:v>
      </x:c>
      <x:c r="O337" s="62" t="n">
        <x:v>4.65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Morone saxatilis</x:v>
      </x:c>
      <x:c r="T337" s="62" t="n">
        <x:f>IF(O337="","",(1/'Metadata'!$B$5)^(O337-1))</x:f>
        <x:v>4466.835921509635</x:v>
      </x:c>
      <x:c r="U337" s="60" t="n">
        <x:f>IF(T337="","",I337*T337)</x:f>
        <x:v>7397.543295450716</x:v>
      </x:c>
    </x:row>
    <x:row r="338" ht="18" customHeight="1">
      <x:c r="A338" s="46" t="str">
        <x:v>LME_012</x:v>
      </x:c>
      <x:c r="B338" s="46" t="str">
        <x:v>Caribbean Sea</x:v>
      </x:c>
      <x:c r="C338" s="46" t="str">
        <x:v>LME</x:v>
      </x:c>
      <x:c r="D338" s="58" t="n">
        <x:v>2019</x:v>
      </x:c>
      <x:c r="E338" s="46" t="str">
        <x:v>Peprilus burti</x:v>
      </x:c>
      <x:c r="F338" s="46" t="str">
        <x:v>Gulf butterfish</x:v>
      </x:c>
      <x:c r="G338" s="46" t="str">
        <x:v>Small benthopelagics (&lt;30 cm)</x:v>
      </x:c>
      <x:c r="H338" s="46" t="str">
        <x:v>Perch-likes</x:v>
      </x:c>
      <x:c r="I338" s="60" t="n">
        <x:v>1.6170515146</x:v>
      </x:c>
      <x:c r="J338" s="60" t="n">
        <x:v>1.6170515146</x:v>
      </x:c>
      <x:c r="K338" s="60" t="n">
        <x:v>0</x:v>
      </x:c>
      <x:c r="L338" s="60" t="n">
        <x:v>1.6170515146</x:v>
      </x:c>
      <x:c r="M338" s="60" t="n">
        <x:v>0</x:v>
      </x:c>
      <x:c r="N338" s="46" t="str">
        <x:v>peprilus burti</x:v>
      </x:c>
      <x:c r="O338" s="62" t="n">
        <x:v>4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Peprilus burti</x:v>
      </x:c>
      <x:c r="T338" s="62" t="n">
        <x:f>IF(O338="","",(1/'Metadata'!$B$5)^(O338-1))</x:f>
        <x:v>1000</x:v>
      </x:c>
      <x:c r="U338" s="60" t="n">
        <x:f>IF(T338="","",I338*T338)</x:f>
        <x:v>1617.0515146</x:v>
      </x:c>
    </x:row>
    <x:row r="339" ht="18" customHeight="1">
      <x:c r="A339" s="46" t="str">
        <x:v>LME_012</x:v>
      </x:c>
      <x:c r="B339" s="46" t="str">
        <x:v>Caribbean Sea</x:v>
      </x:c>
      <x:c r="C339" s="46" t="str">
        <x:v>LME</x:v>
      </x:c>
      <x:c r="D339" s="58" t="n">
        <x:v>2019</x:v>
      </x:c>
      <x:c r="E339" s="46" t="str">
        <x:v>Sphyraena picudilla</x:v>
      </x:c>
      <x:c r="F339" s="46" t="str">
        <x:v>Southern sennet</x:v>
      </x:c>
      <x:c r="G339" s="46" t="str">
        <x:v>Medium reef assoc. fish (30 - 89 cm)</x:v>
      </x:c>
      <x:c r="H339" s="46" t="str">
        <x:v>Perch-likes</x:v>
      </x:c>
      <x:c r="I339" s="60" t="n">
        <x:v>1.4306921998</x:v>
      </x:c>
      <x:c r="J339" s="60" t="n">
        <x:v>1.4306921998</x:v>
      </x:c>
      <x:c r="K339" s="60" t="n">
        <x:v>0</x:v>
      </x:c>
      <x:c r="L339" s="60" t="n">
        <x:v>0.857917251</x:v>
      </x:c>
      <x:c r="M339" s="60" t="n">
        <x:v>0.5727749487999999</x:v>
      </x:c>
      <x:c r="N339" s="46" t="str">
        <x:v>sphyraena picudilla</x:v>
      </x:c>
      <x:c r="O339" s="62" t="n">
        <x:v>4.18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Sphyraena picudilla</x:v>
      </x:c>
      <x:c r="T339" s="62" t="n">
        <x:f>IF(O339="","",(1/'Metadata'!$B$5)^(O339-1))</x:f>
        <x:v>1513.5612484362073</x:v>
      </x:c>
      <x:c r="U339" s="60" t="n">
        <x:f>IF(T339="","",I339*T339)</x:f>
        <x:v>2165.4402720572316</x:v>
      </x:c>
    </x:row>
    <x:row r="340" ht="18" customHeight="1">
      <x:c r="A340" s="46" t="str">
        <x:v>LME_012</x:v>
      </x:c>
      <x:c r="B340" s="46" t="str">
        <x:v>Caribbean Sea</x:v>
      </x:c>
      <x:c r="C340" s="46" t="str">
        <x:v>LME</x:v>
      </x:c>
      <x:c r="D340" s="58" t="n">
        <x:v>2019</x:v>
      </x:c>
      <x:c r="E340" s="46" t="str">
        <x:v>Bodianus parrae</x:v>
      </x:c>
      <x:c r="F340" s="46" t="str">
        <x:v>Creole wrasse</x:v>
      </x:c>
      <x:c r="G340" s="46" t="str">
        <x:v>Medium reef assoc. fish (30 - 89 cm)</x:v>
      </x:c>
      <x:c r="H340" s="46" t="str">
        <x:v>Perch-likes</x:v>
      </x:c>
      <x:c r="I340" s="60" t="n">
        <x:v>1.4125693954</x:v>
      </x:c>
      <x:c r="J340" s="60" t="n">
        <x:v>1.4125693954</x:v>
      </x:c>
      <x:c r="K340" s="60" t="n">
        <x:v>0</x:v>
      </x:c>
      <x:c r="L340" s="60" t="n">
        <x:v>1.3604585364</x:v>
      </x:c>
      <x:c r="M340" s="60" t="n">
        <x:v>0.052110859</x:v>
      </x:c>
      <x:c r="N340" s="46" t="str">
        <x:v>bodianus parrae</x:v>
      </x:c>
      <x:c r="O340" s="62" t="n">
        <x:v>3.42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Bodianus parrae</x:v>
      </x:c>
      <x:c r="T340" s="62" t="n">
        <x:f>IF(O340="","",(1/'Metadata'!$B$5)^(O340-1))</x:f>
        <x:v>263.02679918953817</x:v>
      </x:c>
      <x:c r="U340" s="60" t="n">
        <x:f>IF(T340="","",I340*T340)</x:f>
        <x:v>371.54360670516314</x:v>
      </x:c>
    </x:row>
    <x:row r="341" ht="18" customHeight="1">
      <x:c r="A341" s="46" t="str">
        <x:v>LME_012</x:v>
      </x:c>
      <x:c r="B341" s="46" t="str">
        <x:v>Caribbean Sea</x:v>
      </x:c>
      <x:c r="C341" s="46" t="str">
        <x:v>LME</x:v>
      </x:c>
      <x:c r="D341" s="58" t="n">
        <x:v>2019</x:v>
      </x:c>
      <x:c r="E341" s="46" t="str">
        <x:v>Centrolophidae</x:v>
      </x:c>
      <x:c r="F341" s="46" t="str">
        <x:v>Medusafishes</x:v>
      </x:c>
      <x:c r="G341" s="46" t="str">
        <x:v>Medium benthopelagics (30 - 89 cm)</x:v>
      </x:c>
      <x:c r="H341" s="46" t="str">
        <x:v>Perch-likes</x:v>
      </x:c>
      <x:c r="I341" s="60" t="n">
        <x:v>1.234338239</x:v>
      </x:c>
      <x:c r="J341" s="60" t="n">
        <x:v>1.234338239</x:v>
      </x:c>
      <x:c r="K341" s="60" t="n">
        <x:v>0</x:v>
      </x:c>
      <x:c r="L341" s="60" t="n">
        <x:v>1.2259397003</x:v>
      </x:c>
      <x:c r="M341" s="60" t="n">
        <x:v>0.0083985387</x:v>
      </x:c>
      <x:c r="N341" s="46" t="str">
        <x:v>centrolophidae</x:v>
      </x:c>
      <x:c r="O341" s="62" t="n">
        <x:v>3.65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Centrolophidae</x:v>
      </x:c>
      <x:c r="T341" s="62" t="n">
        <x:f>IF(O341="","",(1/'Metadata'!$B$5)^(O341-1))</x:f>
        <x:v>446.683592150963</x:v>
      </x:c>
      <x:c r="U341" s="60" t="n">
        <x:f>IF(T341="","",I341*T341)</x:f>
        <x:v>551.358638525814</x:v>
      </x:c>
    </x:row>
    <x:row r="342" ht="18" customHeight="1">
      <x:c r="A342" s="46" t="str">
        <x:v>LME_012</x:v>
      </x:c>
      <x:c r="B342" s="46" t="str">
        <x:v>Caribbean Sea</x:v>
      </x:c>
      <x:c r="C342" s="46" t="str">
        <x:v>LME</x:v>
      </x:c>
      <x:c r="D342" s="58" t="n">
        <x:v>2019</x:v>
      </x:c>
      <x:c r="E342" s="46" t="str">
        <x:v>Panulirus guttatus</x:v>
      </x:c>
      <x:c r="F342" s="46" t="str">
        <x:v>Spotted spiny lobster</x:v>
      </x:c>
      <x:c r="G342" s="46" t="str">
        <x:v>Lobsters, crabs</x:v>
      </x:c>
      <x:c r="H342" s="46" t="str">
        <x:v>Crustaceans</x:v>
      </x:c>
      <x:c r="I342" s="60" t="n">
        <x:v>1.2204253252</x:v>
      </x:c>
      <x:c r="J342" s="60" t="n">
        <x:v>1.2204253252</x:v>
      </x:c>
      <x:c r="K342" s="60" t="n">
        <x:v>0</x:v>
      </x:c>
      <x:c r="L342" s="60" t="n">
        <x:v>0.0001185805</x:v>
      </x:c>
      <x:c r="M342" s="60" t="n">
        <x:v>1.2203067447</x:v>
      </x:c>
      <x:c r="N342" s="46" t="str">
        <x:v>panulirus guttatus</x:v>
      </x:c>
      <x:c r="O342" s="62" t="n">
        <x:v>3.14</x:v>
      </x:c>
      <x:c r="P342" s="46" t="str">
        <x:v>exact_sea_around_us</x:v>
      </x:c>
      <x:c r="Q342" s="62" t="str">
        <x:v>Sea Around Us exploited organisms</x:v>
      </x:c>
      <x:c r="R342" s="46" t="str">
        <x:v>high</x:v>
      </x:c>
      <x:c r="S342" s="46" t="str">
        <x:v>Panulirus guttatus</x:v>
      </x:c>
      <x:c r="T342" s="62" t="n">
        <x:f>IF(O342="","",(1/'Metadata'!$B$5)^(O342-1))</x:f>
        <x:v>138.03842646028852</x:v>
      </x:c>
      <x:c r="U342" s="60" t="n">
        <x:f>IF(T342="","",I342*T342)</x:f>
        <x:v>168.4655915028939</x:v>
      </x:c>
    </x:row>
    <x:row r="343" ht="18" customHeight="1">
      <x:c r="A343" s="46" t="str">
        <x:v>LME_012</x:v>
      </x:c>
      <x:c r="B343" s="46" t="str">
        <x:v>Caribbean Sea</x:v>
      </x:c>
      <x:c r="C343" s="46" t="str">
        <x:v>LME</x:v>
      </x:c>
      <x:c r="D343" s="58" t="n">
        <x:v>2019</x:v>
      </x:c>
      <x:c r="E343" s="46" t="str">
        <x:v>Carpilius corallinus</x:v>
      </x:c>
      <x:c r="F343" s="46" t="str">
        <x:v>Batwing coral crab</x:v>
      </x:c>
      <x:c r="G343" s="46" t="str">
        <x:v>Lobsters, crabs</x:v>
      </x:c>
      <x:c r="H343" s="46" t="str">
        <x:v>Crustaceans</x:v>
      </x:c>
      <x:c r="I343" s="60" t="n">
        <x:v>0.9859275056</x:v>
      </x:c>
      <x:c r="J343" s="60" t="n">
        <x:v>0.9859275056</x:v>
      </x:c>
      <x:c r="K343" s="60" t="n">
        <x:v>0</x:v>
      </x:c>
      <x:c r="L343" s="60" t="n">
        <x:v>0.9494516017</x:v>
      </x:c>
      <x:c r="M343" s="60" t="n">
        <x:v>0.0364759039</x:v>
      </x:c>
      <x:c r="N343" s="46" t="str">
        <x:v>carpilius corallinus</x:v>
      </x:c>
      <x:c r="O343" s="62" t="n">
        <x:v>3.44</x:v>
      </x:c>
      <x:c r="P343" s="46" t="str">
        <x:v>exact_sea_around_us</x:v>
      </x:c>
      <x:c r="Q343" s="62" t="str">
        <x:v>Sea Around Us exploited organisms</x:v>
      </x:c>
      <x:c r="R343" s="46" t="str">
        <x:v>high</x:v>
      </x:c>
      <x:c r="S343" s="46" t="str">
        <x:v>Carpilius corallinus</x:v>
      </x:c>
      <x:c r="T343" s="62" t="n">
        <x:f>IF(O343="","",(1/'Metadata'!$B$5)^(O343-1))</x:f>
        <x:v>275.4228703338166</x:v>
      </x:c>
      <x:c r="U343" s="60" t="n">
        <x:f>IF(T343="","",I343*T343)</x:f>
        <x:v>271.54698353341206</x:v>
      </x:c>
    </x:row>
    <x:row r="344" ht="18" customHeight="1">
      <x:c r="A344" s="46" t="str">
        <x:v>LME_012</x:v>
      </x:c>
      <x:c r="B344" s="46" t="str">
        <x:v>Caribbean Sea</x:v>
      </x:c>
      <x:c r="C344" s="46" t="str">
        <x:v>LME</x:v>
      </x:c>
      <x:c r="D344" s="58" t="n">
        <x:v>2019</x:v>
      </x:c>
      <x:c r="E344" s="46" t="str">
        <x:v>Anomura</x:v>
      </x:c>
      <x:c r="F344" s="46" t="str">
        <x:v>Craylets, squat lobsters, hermits</x:v>
      </x:c>
      <x:c r="G344" s="46" t="str">
        <x:v>Lobsters, crabs</x:v>
      </x:c>
      <x:c r="H344" s="46" t="str">
        <x:v>Crustaceans</x:v>
      </x:c>
      <x:c r="I344" s="60" t="n">
        <x:v>0.9395283964</x:v>
      </x:c>
      <x:c r="J344" s="60" t="n">
        <x:v>0.9395283964</x:v>
      </x:c>
      <x:c r="K344" s="60" t="n">
        <x:v>0</x:v>
      </x:c>
      <x:c r="L344" s="60" t="n">
        <x:v>0.9395283964</x:v>
      </x:c>
      <x:c r="M344" s="60" t="n">
        <x:v>0</x:v>
      </x:c>
      <x:c r="N344" s="46" t="str">
        <x:v>anomura</x:v>
      </x:c>
      <x:c r="O344" s="62" t="n">
        <x:v>3.1</x:v>
      </x:c>
      <x:c r="P344" s="46" t="str">
        <x:v>exact_sea_around_us</x:v>
      </x:c>
      <x:c r="Q344" s="62" t="str">
        <x:v>Sea Around Us exploited organisms</x:v>
      </x:c>
      <x:c r="R344" s="46" t="str">
        <x:v>high</x:v>
      </x:c>
      <x:c r="S344" s="46" t="str">
        <x:v>Anomura</x:v>
      </x:c>
      <x:c r="T344" s="62" t="n">
        <x:f>IF(O344="","",(1/'Metadata'!$B$5)^(O344-1))</x:f>
        <x:v>125.89254117941675</x:v>
      </x:c>
      <x:c r="U344" s="60" t="n">
        <x:f>IF(T344="","",I344*T344)</x:f>
        <x:v>118.27961733301838</x:v>
      </x:c>
    </x:row>
    <x:row r="345" ht="18" customHeight="1">
      <x:c r="A345" s="46" t="str">
        <x:v>LME_012</x:v>
      </x:c>
      <x:c r="B345" s="46" t="str">
        <x:v>Caribbean Sea</x:v>
      </x:c>
      <x:c r="C345" s="46" t="str">
        <x:v>LME</x:v>
      </x:c>
      <x:c r="D345" s="58" t="n">
        <x:v>2019</x:v>
      </x:c>
      <x:c r="E345" s="46" t="str">
        <x:v>Gymnura micrura</x:v>
      </x:c>
      <x:c r="F345" s="46" t="str">
        <x:v>Smooth butterfly ray</x:v>
      </x:c>
      <x:c r="G345" s="46" t="str">
        <x:v>Small to medium rays (&lt;90 cm)</x:v>
      </x:c>
      <x:c r="H345" s="46" t="str">
        <x:v>Sharks &amp; rays</x:v>
      </x:c>
      <x:c r="I345" s="60" t="n">
        <x:v>0.8362827751</x:v>
      </x:c>
      <x:c r="J345" s="60" t="n">
        <x:v>0.0303069096</x:v>
      </x:c>
      <x:c r="K345" s="60" t="n">
        <x:v>0.8059758655</x:v>
      </x:c>
      <x:c r="L345" s="60" t="n">
        <x:v>0</x:v>
      </x:c>
      <x:c r="M345" s="60" t="n">
        <x:v>0.8362827751</x:v>
      </x:c>
      <x:c r="N345" s="46" t="str">
        <x:v>gymnura micrura</x:v>
      </x:c>
      <x:c r="O345" s="62" t="n">
        <x:v>3.56</x:v>
      </x:c>
      <x:c r="P345" s="46" t="str">
        <x:v>exact_2020_supplement</x:v>
      </x:c>
      <x:c r="Q345" s="62" t="str">
        <x:v>2020 supplement MeanTL</x:v>
      </x:c>
      <x:c r="R345" s="46" t="str">
        <x:v>high</x:v>
      </x:c>
      <x:c r="S345" s="46" t="str">
        <x:v>Gymnura micrura</x:v>
      </x:c>
      <x:c r="T345" s="62" t="n">
        <x:f>IF(O345="","",(1/'Metadata'!$B$5)^(O345-1))</x:f>
        <x:v>363.0780547701014</x:v>
      </x:c>
      <x:c r="U345" s="60" t="n">
        <x:f>IF(T345="","",I345*T345)</x:f>
        <x:v>303.63592322105023</x:v>
      </x:c>
    </x:row>
    <x:row r="346" ht="18" customHeight="1">
      <x:c r="A346" s="46" t="str">
        <x:v>LME_012</x:v>
      </x:c>
      <x:c r="B346" s="46" t="str">
        <x:v>Caribbean Sea</x:v>
      </x:c>
      <x:c r="C346" s="46" t="str">
        <x:v>LME</x:v>
      </x:c>
      <x:c r="D346" s="58" t="n">
        <x:v>2019</x:v>
      </x:c>
      <x:c r="E346" s="46" t="str">
        <x:v>Balistes</x:v>
      </x:c>
      <x:c r="F346" s="46" t="str">
        <x:v>Triggerfish</x:v>
      </x:c>
      <x:c r="G346" s="46" t="str">
        <x:v>Medium reef assoc. fish (30 - 89 cm)</x:v>
      </x:c>
      <x:c r="H346" s="46" t="str">
        <x:v>Other fishes &amp; inverts</x:v>
      </x:c>
      <x:c r="I346" s="60" t="n">
        <x:v>0.7738547682</x:v>
      </x:c>
      <x:c r="J346" s="60" t="n">
        <x:v>0.7738547682</x:v>
      </x:c>
      <x:c r="K346" s="60" t="n">
        <x:v>0</x:v>
      </x:c>
      <x:c r="L346" s="60" t="n">
        <x:v>0</x:v>
      </x:c>
      <x:c r="M346" s="60" t="n">
        <x:v>0.7738547682</x:v>
      </x:c>
      <x:c r="N346" s="46" t="str">
        <x:v>balistes</x:v>
      </x:c>
      <x:c r="O346" s="62" t="n">
        <x:v>3.94</x:v>
      </x:c>
      <x:c r="P346" s="46" t="str">
        <x:v>exact_sea_around_us</x:v>
      </x:c>
      <x:c r="Q346" s="62" t="str">
        <x:v>Sea Around Us exploited organisms</x:v>
      </x:c>
      <x:c r="R346" s="46" t="str">
        <x:v>high</x:v>
      </x:c>
      <x:c r="S346" s="46" t="str">
        <x:v>Balistes</x:v>
      </x:c>
      <x:c r="T346" s="62" t="n">
        <x:f>IF(O346="","",(1/'Metadata'!$B$5)^(O346-1))</x:f>
        <x:v>870.9635899560806</x:v>
      </x:c>
      <x:c r="U346" s="60" t="n">
        <x:f>IF(T346="","",I346*T346)</x:f>
        <x:v>673.9993270161026</x:v>
      </x:c>
    </x:row>
    <x:row r="347" ht="18" customHeight="1">
      <x:c r="A347" s="46" t="str">
        <x:v>LME_012</x:v>
      </x:c>
      <x:c r="B347" s="46" t="str">
        <x:v>Caribbean Sea</x:v>
      </x:c>
      <x:c r="C347" s="46" t="str">
        <x:v>LME</x:v>
      </x:c>
      <x:c r="D347" s="58" t="n">
        <x:v>2019</x:v>
      </x:c>
      <x:c r="E347" s="46" t="str">
        <x:v>Limulus polyphemus</x:v>
      </x:c>
      <x:c r="F347" s="46" t="str">
        <x:v>Horseshoe crab</x:v>
      </x:c>
      <x:c r="G347" s="46" t="str">
        <x:v>Lobsters, crabs</x:v>
      </x:c>
      <x:c r="H347" s="46" t="str">
        <x:v>Crustaceans</x:v>
      </x:c>
      <x:c r="I347" s="60" t="n">
        <x:v>0.762838946</x:v>
      </x:c>
      <x:c r="J347" s="60" t="n">
        <x:v>0.762838946</x:v>
      </x:c>
      <x:c r="K347" s="60" t="n">
        <x:v>0</x:v>
      </x:c>
      <x:c r="L347" s="60" t="n">
        <x:v>0.762838946</x:v>
      </x:c>
      <x:c r="M347" s="60" t="n">
        <x:v>0</x:v>
      </x:c>
      <x:c r="N347" s="46" t="str">
        <x:v>limulus polyphemus</x:v>
      </x:c>
      <x:c r="O347" s="62" t="n">
        <x:v>2.95</x:v>
      </x:c>
      <x:c r="P347" s="46" t="str">
        <x:v>exact_2020_supplement</x:v>
      </x:c>
      <x:c r="Q347" s="62" t="str">
        <x:v>2020 supplement MeanTL</x:v>
      </x:c>
      <x:c r="R347" s="46" t="str">
        <x:v>high</x:v>
      </x:c>
      <x:c r="S347" s="46" t="str">
        <x:v>Limulus polyphemus</x:v>
      </x:c>
      <x:c r="T347" s="62" t="n">
        <x:f>IF(O347="","",(1/'Metadata'!$B$5)^(O347-1))</x:f>
        <x:v>89.12509381337459</x:v>
      </x:c>
      <x:c r="U347" s="60" t="n">
        <x:f>IF(T347="","",I347*T347)</x:f>
        <x:v>67.9880926267458</x:v>
      </x:c>
    </x:row>
    <x:row r="348" ht="18" customHeight="1">
      <x:c r="A348" s="46" t="str">
        <x:v>LME_012</x:v>
      </x:c>
      <x:c r="B348" s="46" t="str">
        <x:v>Caribbean Sea</x:v>
      </x:c>
      <x:c r="C348" s="46" t="str">
        <x:v>LME</x:v>
      </x:c>
      <x:c r="D348" s="58" t="n">
        <x:v>2019</x:v>
      </x:c>
      <x:c r="E348" s="46" t="str">
        <x:v>Eucinostomus</x:v>
      </x:c>
      <x:c r="F348" s="46" t="str">
        <x:v>Mojarras</x:v>
      </x:c>
      <x:c r="G348" s="46" t="str">
        <x:v>Large reef assoc. fish (&gt;=90 cm)</x:v>
      </x:c>
      <x:c r="H348" s="46" t="str">
        <x:v>Perch-likes</x:v>
      </x:c>
      <x:c r="I348" s="60" t="n">
        <x:v>0.7180340963</x:v>
      </x:c>
      <x:c r="J348" s="60" t="n">
        <x:v>0</x:v>
      </x:c>
      <x:c r="K348" s="60" t="n">
        <x:v>0.7180340963</x:v>
      </x:c>
      <x:c r="L348" s="60" t="n">
        <x:v>0</x:v>
      </x:c>
      <x:c r="M348" s="60" t="n">
        <x:v>0.7180340963</x:v>
      </x:c>
      <x:c r="N348" s="46" t="str">
        <x:v>eucinostomus</x:v>
      </x:c>
      <x:c r="O348" s="62" t="n">
        <x:v>3.5</x:v>
      </x:c>
      <x:c r="P348" s="46" t="str">
        <x:v>exact_sea_around_us</x:v>
      </x:c>
      <x:c r="Q348" s="62" t="str">
        <x:v>Sea Around Us exploited organisms</x:v>
      </x:c>
      <x:c r="R348" s="46" t="str">
        <x:v>high</x:v>
      </x:c>
      <x:c r="S348" s="46" t="str">
        <x:v>Eucinostomus</x:v>
      </x:c>
      <x:c r="T348" s="62" t="n">
        <x:f>IF(O348="","",(1/'Metadata'!$B$5)^(O348-1))</x:f>
        <x:v>316.22776601683796</x:v>
      </x:c>
      <x:c r="U348" s="60" t="n">
        <x:f>IF(T348="","",I348*T348)</x:f>
        <x:v>227.06231819686812</x:v>
      </x:c>
    </x:row>
    <x:row r="349" ht="18" customHeight="1">
      <x:c r="A349" s="46" t="str">
        <x:v>LME_012</x:v>
      </x:c>
      <x:c r="B349" s="46" t="str">
        <x:v>Caribbean Sea</x:v>
      </x:c>
      <x:c r="C349" s="46" t="str">
        <x:v>LME</x:v>
      </x:c>
      <x:c r="D349" s="58" t="n">
        <x:v>2019</x:v>
      </x:c>
      <x:c r="E349" s="46" t="str">
        <x:v>Harengula jaguana</x:v>
      </x:c>
      <x:c r="F349" s="46" t="str">
        <x:v>Scaled herring</x:v>
      </x:c>
      <x:c r="G349" s="46" t="str">
        <x:v>Small pelagics (&lt;30 cm)</x:v>
      </x:c>
      <x:c r="H349" s="46" t="str">
        <x:v>Herring-likes</x:v>
      </x:c>
      <x:c r="I349" s="60" t="n">
        <x:v>0.6662054152000001</x:v>
      </x:c>
      <x:c r="J349" s="60" t="n">
        <x:v>0.6662054152000001</x:v>
      </x:c>
      <x:c r="K349" s="60" t="n">
        <x:v>0</x:v>
      </x:c>
      <x:c r="L349" s="60" t="n">
        <x:v>0.6659177003000001</x:v>
      </x:c>
      <x:c r="M349" s="60" t="n">
        <x:v>0.00028771490000000004</x:v>
      </x:c>
      <x:c r="N349" s="46" t="str">
        <x:v>harengula jaguana</x:v>
      </x:c>
      <x:c r="O349" s="62" t="n">
        <x:v>3.42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Harengula jaguana</x:v>
      </x:c>
      <x:c r="T349" s="62" t="n">
        <x:f>IF(O349="","",(1/'Metadata'!$B$5)^(O349-1))</x:f>
        <x:v>263.02679918953817</x:v>
      </x:c>
      <x:c r="U349" s="60" t="n">
        <x:f>IF(T349="","",I349*T349)</x:f>
        <x:v>175.22987796279332</x:v>
      </x:c>
    </x:row>
    <x:row r="350" ht="18" customHeight="1">
      <x:c r="A350" s="46" t="str">
        <x:v>LME_012</x:v>
      </x:c>
      <x:c r="B350" s="46" t="str">
        <x:v>Caribbean Sea</x:v>
      </x:c>
      <x:c r="C350" s="46" t="str">
        <x:v>LME</x:v>
      </x:c>
      <x:c r="D350" s="58" t="n">
        <x:v>2019</x:v>
      </x:c>
      <x:c r="E350" s="46" t="str">
        <x:v>Neoniphon marianus</x:v>
      </x:c>
      <x:c r="F350" s="46" t="str">
        <x:v>Longjaw squirrelfish</x:v>
      </x:c>
      <x:c r="G350" s="46" t="str">
        <x:v>Small reef assoc. fish (&lt;30 cm)</x:v>
      </x:c>
      <x:c r="H350" s="46" t="str">
        <x:v>Other fishes &amp; inverts</x:v>
      </x:c>
      <x:c r="I350" s="60" t="n">
        <x:v>0.6553755206</x:v>
      </x:c>
      <x:c r="J350" s="60" t="n">
        <x:v>0.6553755206</x:v>
      </x:c>
      <x:c r="K350" s="60" t="n">
        <x:v>0</x:v>
      </x:c>
      <x:c r="L350" s="60" t="n">
        <x:v>0.0188663941</x:v>
      </x:c>
      <x:c r="M350" s="60" t="n">
        <x:v>0.6365091265</x:v>
      </x:c>
      <x:c r="N350" s="46" t="str">
        <x:v>neoniphon marianus</x:v>
      </x:c>
      <x:c r="O350" s="62" t="n">
        <x:v>3.57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Neoniphon marianus</x:v>
      </x:c>
      <x:c r="T350" s="62" t="n">
        <x:f>IF(O350="","",(1/'Metadata'!$B$5)^(O350-1))</x:f>
        <x:v>371.5352290971724</x:v>
      </x:c>
      <x:c r="U350" s="60" t="n">
        <x:f>IF(T350="","",I350*T350)</x:f>
        <x:v>243.49509419079965</x:v>
      </x:c>
    </x:row>
    <x:row r="351" ht="18" customHeight="1">
      <x:c r="A351" s="46" t="str">
        <x:v>LME_012</x:v>
      </x:c>
      <x:c r="B351" s="46" t="str">
        <x:v>Caribbean Sea</x:v>
      </x:c>
      <x:c r="C351" s="46" t="str">
        <x:v>LME</x:v>
      </x:c>
      <x:c r="D351" s="58" t="n">
        <x:v>2019</x:v>
      </x:c>
      <x:c r="E351" s="46" t="str">
        <x:v>Diplectrum formosum</x:v>
      </x:c>
      <x:c r="F351" s="46" t="str">
        <x:v>Sand perch</x:v>
      </x:c>
      <x:c r="G351" s="46" t="str">
        <x:v>Small demersals (&lt;30 cm)</x:v>
      </x:c>
      <x:c r="H351" s="46" t="str">
        <x:v>Perch-likes</x:v>
      </x:c>
      <x:c r="I351" s="60" t="n">
        <x:v>0.5441131874</x:v>
      </x:c>
      <x:c r="J351" s="60" t="n">
        <x:v>0.4787650099</x:v>
      </x:c>
      <x:c r="K351" s="60" t="n">
        <x:v>0.0653481775</x:v>
      </x:c>
      <x:c r="L351" s="60" t="n">
        <x:v>0.0055968193</x:v>
      </x:c>
      <x:c r="M351" s="60" t="n">
        <x:v>0.5385163681</x:v>
      </x:c>
      <x:c r="N351" s="46" t="str">
        <x:v>diplectrum formosum</x:v>
      </x:c>
      <x:c r="O351" s="62" t="n">
        <x:v>4.49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Diplectrum formosum</x:v>
      </x:c>
      <x:c r="T351" s="62" t="n">
        <x:f>IF(O351="","",(1/'Metadata'!$B$5)^(O351-1))</x:f>
        <x:v>3090.295432513592</x:v>
      </x:c>
      <x:c r="U351" s="60" t="n">
        <x:f>IF(T351="","",I351*T351)</x:f>
        <x:v>1681.4704977926322</x:v>
      </x:c>
    </x:row>
    <x:row r="352" ht="18" customHeight="1">
      <x:c r="A352" s="46" t="str">
        <x:v>LME_012</x:v>
      </x:c>
      <x:c r="B352" s="46" t="str">
        <x:v>Caribbean Sea</x:v>
      </x:c>
      <x:c r="C352" s="46" t="str">
        <x:v>LME</x:v>
      </x:c>
      <x:c r="D352" s="58" t="n">
        <x:v>2019</x:v>
      </x:c>
      <x:c r="E352" s="46" t="str">
        <x:v>Lysmata wurdemanni</x:v>
      </x:c>
      <x:c r="F352" s="46" t="str">
        <x:v>Peppermint shrimp</x:v>
      </x:c>
      <x:c r="G352" s="46" t="str">
        <x:v>Shrimps</x:v>
      </x:c>
      <x:c r="H352" s="46" t="str">
        <x:v>Crustaceans</x:v>
      </x:c>
      <x:c r="I352" s="60" t="n">
        <x:v>0.4887801481</x:v>
      </x:c>
      <x:c r="J352" s="60" t="n">
        <x:v>0.4887801481</x:v>
      </x:c>
      <x:c r="K352" s="60" t="n">
        <x:v>0</x:v>
      </x:c>
      <x:c r="L352" s="60" t="n">
        <x:v>0.4887801481</x:v>
      </x:c>
      <x:c r="M352" s="60" t="n">
        <x:v>0</x:v>
      </x:c>
      <x:c r="N352" s="46" t="str">
        <x:v>lysmata wurdemanni</x:v>
      </x:c>
      <x:c r="O352" s="62" t="n">
        <x:v>2.86</x:v>
      </x:c>
      <x:c r="P352" s="46" t="str">
        <x:v>exact_sea_around_us</x:v>
      </x:c>
      <x:c r="Q352" s="62" t="str">
        <x:v>Sea Around Us exploited organisms</x:v>
      </x:c>
      <x:c r="R352" s="46" t="str">
        <x:v>high</x:v>
      </x:c>
      <x:c r="S352" s="46" t="str">
        <x:v>Lysmata wurdemanni</x:v>
      </x:c>
      <x:c r="T352" s="62" t="n">
        <x:f>IF(O352="","",(1/'Metadata'!$B$5)^(O352-1))</x:f>
        <x:v>72.44359600749898</x:v>
      </x:c>
      <x:c r="U352" s="60" t="n">
        <x:f>IF(T352="","",I352*T352)</x:f>
        <x:v>35.40899158544192</x:v>
      </x:c>
    </x:row>
    <x:row r="353" ht="18" customHeight="1">
      <x:c r="A353" s="46" t="str">
        <x:v>LME_012</x:v>
      </x:c>
      <x:c r="B353" s="46" t="str">
        <x:v>Caribbean Sea</x:v>
      </x:c>
      <x:c r="C353" s="46" t="str">
        <x:v>LME</x:v>
      </x:c>
      <x:c r="D353" s="58" t="n">
        <x:v>2019</x:v>
      </x:c>
      <x:c r="E353" s="46" t="str">
        <x:v>Lamniformes</x:v>
      </x:c>
      <x:c r="F353" s="46" t="str">
        <x:v>Mackerel sharks</x:v>
      </x:c>
      <x:c r="G353" s="46" t="str">
        <x:v>Large sharks (&gt;=90 cm)</x:v>
      </x:c>
      <x:c r="H353" s="46" t="str">
        <x:v>Sharks &amp; rays</x:v>
      </x:c>
      <x:c r="I353" s="60" t="n">
        <x:v>0.4580369029</x:v>
      </x:c>
      <x:c r="J353" s="60" t="n">
        <x:v>0.4580369029</x:v>
      </x:c>
      <x:c r="K353" s="60" t="n">
        <x:v>0</x:v>
      </x:c>
      <x:c r="L353" s="60" t="n">
        <x:v>0.4580369029</x:v>
      </x:c>
      <x:c r="M353" s="60" t="n">
        <x:v>0</x:v>
      </x:c>
      <x:c r="N353" s="46" t="str">
        <x:v>lamniformes</x:v>
      </x:c>
      <x:c r="O353" s="62" t="n">
        <x:v>4.34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Lamniformes</x:v>
      </x:c>
      <x:c r="T353" s="62" t="n">
        <x:f>IF(O353="","",(1/'Metadata'!$B$5)^(O353-1))</x:f>
        <x:v>2187.761623949552</x:v>
      </x:c>
      <x:c r="U353" s="60" t="n">
        <x:f>IF(T353="","",I353*T353)</x:f>
        <x:v>1002.0755585173272</x:v>
      </x:c>
    </x:row>
    <x:row r="354" ht="18" customHeight="1">
      <x:c r="A354" s="46" t="str">
        <x:v>LME_012</x:v>
      </x:c>
      <x:c r="B354" s="46" t="str">
        <x:v>Caribbean Sea</x:v>
      </x:c>
      <x:c r="C354" s="46" t="str">
        <x:v>LME</x:v>
      </x:c>
      <x:c r="D354" s="58" t="n">
        <x:v>2019</x:v>
      </x:c>
      <x:c r="E354" s="46" t="str">
        <x:v>Diodon hystrix</x:v>
      </x:c>
      <x:c r="F354" s="46" t="str">
        <x:v>Spotted porcupinefish</x:v>
      </x:c>
      <x:c r="G354" s="46" t="str">
        <x:v>Medium reef assoc. fish (30 - 89 cm)</x:v>
      </x:c>
      <x:c r="H354" s="46" t="str">
        <x:v>Other fishes &amp; inverts</x:v>
      </x:c>
      <x:c r="I354" s="60" t="n">
        <x:v>0.42617470910000005</x:v>
      </x:c>
      <x:c r="J354" s="60" t="n">
        <x:v>0.42617470910000005</x:v>
      </x:c>
      <x:c r="K354" s="60" t="n">
        <x:v>0</x:v>
      </x:c>
      <x:c r="L354" s="60" t="n">
        <x:v>0.42617470910000005</x:v>
      </x:c>
      <x:c r="M354" s="60" t="n">
        <x:v>0</x:v>
      </x:c>
      <x:c r="N354" s="46" t="str">
        <x:v>diodon hystrix</x:v>
      </x:c>
      <x:c r="O354" s="62" t="n">
        <x:v>3.67</x:v>
      </x:c>
      <x:c r="P354" s="46" t="str">
        <x:v>exact_2020_supplement</x:v>
      </x:c>
      <x:c r="Q354" s="62" t="str">
        <x:v>2020 supplement MeanTL</x:v>
      </x:c>
      <x:c r="R354" s="46" t="str">
        <x:v>high</x:v>
      </x:c>
      <x:c r="S354" s="46" t="str">
        <x:v>Diodon hystrix</x:v>
      </x:c>
      <x:c r="T354" s="62" t="n">
        <x:f>IF(O354="","",(1/'Metadata'!$B$5)^(O354-1))</x:f>
        <x:v>467.73514128719813</x:v>
      </x:c>
      <x:c r="U354" s="60" t="n">
        <x:f>IF(T354="","",I354*T354)</x:f>
        <x:v>199.33688777391907</x:v>
      </x:c>
    </x:row>
    <x:row r="355" ht="18" customHeight="1">
      <x:c r="A355" s="46" t="str">
        <x:v>LME_012</x:v>
      </x:c>
      <x:c r="B355" s="46" t="str">
        <x:v>Caribbean Sea</x:v>
      </x:c>
      <x:c r="C355" s="46" t="str">
        <x:v>LME</x:v>
      </x:c>
      <x:c r="D355" s="58" t="n">
        <x:v>2019</x:v>
      </x:c>
      <x:c r="E355" s="46" t="str">
        <x:v>Dasyatis</x:v>
      </x:c>
      <x:c r="F355" s="46" t="str">
        <x:v>Rough whip stingrays</x:v>
      </x:c>
      <x:c r="G355" s="46" t="str">
        <x:v>Large rays (&gt;=90 cm)</x:v>
      </x:c>
      <x:c r="H355" s="46" t="str">
        <x:v>Sharks &amp; rays</x:v>
      </x:c>
      <x:c r="I355" s="60" t="n">
        <x:v>0.378054693</x:v>
      </x:c>
      <x:c r="J355" s="60" t="n">
        <x:v>0</x:v>
      </x:c>
      <x:c r="K355" s="60" t="n">
        <x:v>0.378054693</x:v>
      </x:c>
      <x:c r="L355" s="60" t="n">
        <x:v>0</x:v>
      </x:c>
      <x:c r="M355" s="60" t="n">
        <x:v>0.378054693</x:v>
      </x:c>
      <x:c r="N355" s="46" t="str">
        <x:v>dasyatis</x:v>
      </x:c>
      <x:c r="O355" s="62" t="n">
        <x:v>3.28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Dasyatis</x:v>
      </x:c>
      <x:c r="T355" s="62" t="n">
        <x:f>IF(O355="","",(1/'Metadata'!$B$5)^(O355-1))</x:f>
        <x:v>190.54607179632464</x:v>
      </x:c>
      <x:c r="U355" s="60" t="n">
        <x:f>IF(T355="","",I355*T355)</x:f>
        <x:v>72.03683667531547</x:v>
      </x:c>
    </x:row>
    <x:row r="356" ht="18" customHeight="1">
      <x:c r="A356" s="46" t="str">
        <x:v>LME_012</x:v>
      </x:c>
      <x:c r="B356" s="46" t="str">
        <x:v>Caribbean Sea</x:v>
      </x:c>
      <x:c r="C356" s="46" t="str">
        <x:v>LME</x:v>
      </x:c>
      <x:c r="D356" s="58" t="n">
        <x:v>2019</x:v>
      </x:c>
      <x:c r="E356" s="46" t="str">
        <x:v>Holothuria floridana</x:v>
      </x:c>
      <x:c r="F356" s="46" t="str">
        <x:v>Florida sea cucumber</x:v>
      </x:c>
      <x:c r="G356" s="46" t="str">
        <x:v>Other demersal invertebrates</x:v>
      </x:c>
      <x:c r="H356" s="46" t="str">
        <x:v>Other fishes &amp; inverts</x:v>
      </x:c>
      <x:c r="I356" s="60" t="n">
        <x:v>0.36530758059999996</x:v>
      </x:c>
      <x:c r="J356" s="60" t="n">
        <x:v>0.36530758059999996</x:v>
      </x:c>
      <x:c r="K356" s="60" t="n">
        <x:v>0</x:v>
      </x:c>
      <x:c r="L356" s="60" t="n">
        <x:v>0.36530758059999996</x:v>
      </x:c>
      <x:c r="M356" s="60" t="n">
        <x:v>0</x:v>
      </x:c>
      <x:c r="N356" s="46" t="str">
        <x:v>holothuria floridana</x:v>
      </x:c>
      <x:c r="O356" s="62" t="n">
        <x:v>2</x:v>
      </x:c>
      <x:c r="P356" s="46" t="str">
        <x:v>exact_sea_around_us</x:v>
      </x:c>
      <x:c r="Q356" s="62" t="str">
        <x:v>Sea Around Us exploited organisms</x:v>
      </x:c>
      <x:c r="R356" s="46" t="str">
        <x:v>high</x:v>
      </x:c>
      <x:c r="S356" s="46" t="str">
        <x:v>Holothuria floridana</x:v>
      </x:c>
      <x:c r="T356" s="62" t="n">
        <x:f>IF(O356="","",(1/'Metadata'!$B$5)^(O356-1))</x:f>
        <x:v>10</x:v>
      </x:c>
      <x:c r="U356" s="60" t="n">
        <x:f>IF(T356="","",I356*T356)</x:f>
        <x:v>3.6530758059999995</x:v>
      </x:c>
    </x:row>
    <x:row r="357" ht="18" customHeight="1">
      <x:c r="A357" s="46" t="str">
        <x:v>LME_012</x:v>
      </x:c>
      <x:c r="B357" s="46" t="str">
        <x:v>Caribbean Sea</x:v>
      </x:c>
      <x:c r="C357" s="46" t="str">
        <x:v>LME</x:v>
      </x:c>
      <x:c r="D357" s="58" t="n">
        <x:v>2019</x:v>
      </x:c>
      <x:c r="E357" s="46" t="str">
        <x:v>Neoniphon coruscum</x:v>
      </x:c>
      <x:c r="F357" s="46" t="str">
        <x:v>Reef squirrelfish</x:v>
      </x:c>
      <x:c r="G357" s="46" t="str">
        <x:v>Small reef assoc. fish (&lt;30 cm)</x:v>
      </x:c>
      <x:c r="H357" s="46" t="str">
        <x:v>Other fishes &amp; inverts</x:v>
      </x:c>
      <x:c r="I357" s="60" t="n">
        <x:v>0.35891807189999997</x:v>
      </x:c>
      <x:c r="J357" s="60" t="n">
        <x:v>0.35891807189999997</x:v>
      </x:c>
      <x:c r="K357" s="60" t="n">
        <x:v>0</x:v>
      </x:c>
      <x:c r="L357" s="60" t="n">
        <x:v>0.34251315969999996</x:v>
      </x:c>
      <x:c r="M357" s="60" t="n">
        <x:v>0.0164049122</x:v>
      </x:c>
      <x:c r="N357" s="46" t="str">
        <x:v>neoniphon coruscum</x:v>
      </x:c>
      <x:c r="O357" s="62" t="n">
        <x:v>3.57</x:v>
      </x:c>
      <x:c r="P357" s="46" t="str">
        <x:v>exact_sea_around_us</x:v>
      </x:c>
      <x:c r="Q357" s="62" t="str">
        <x:v>Sea Around Us exploited organisms</x:v>
      </x:c>
      <x:c r="R357" s="46" t="str">
        <x:v>high</x:v>
      </x:c>
      <x:c r="S357" s="46" t="str">
        <x:v>Neoniphon coruscum</x:v>
      </x:c>
      <x:c r="T357" s="62" t="n">
        <x:f>IF(O357="","",(1/'Metadata'!$B$5)^(O357-1))</x:f>
        <x:v>371.5352290971724</x:v>
      </x:c>
      <x:c r="U357" s="60" t="n">
        <x:f>IF(T357="","",I357*T357)</x:f>
        <x:v>133.3507080704819</x:v>
      </x:c>
    </x:row>
    <x:row r="358" ht="18" customHeight="1">
      <x:c r="A358" s="46" t="str">
        <x:v>LME_012</x:v>
      </x:c>
      <x:c r="B358" s="46" t="str">
        <x:v>Caribbean Sea</x:v>
      </x:c>
      <x:c r="C358" s="46" t="str">
        <x:v>LME</x:v>
      </x:c>
      <x:c r="D358" s="58" t="n">
        <x:v>2019</x:v>
      </x:c>
      <x:c r="E358" s="46" t="str">
        <x:v>Dorosoma</x:v>
      </x:c>
      <x:c r="F358" s="46" t="str">
        <x:v>Gizzard shads</x:v>
      </x:c>
      <x:c r="G358" s="46" t="str">
        <x:v>Small pelagics (&lt;30 cm)</x:v>
      </x:c>
      <x:c r="H358" s="46" t="str">
        <x:v>Herring-likes</x:v>
      </x:c>
      <x:c r="I358" s="60" t="n">
        <x:v>0.3457445904</x:v>
      </x:c>
      <x:c r="J358" s="60" t="n">
        <x:v>0.0485917233</x:v>
      </x:c>
      <x:c r="K358" s="60" t="n">
        <x:v>0.2971528671</x:v>
      </x:c>
      <x:c r="L358" s="60" t="n">
        <x:v>0.048449155</x:v>
      </x:c>
      <x:c r="M358" s="60" t="n">
        <x:v>0.2972954354</x:v>
      </x:c>
      <x:c r="N358" s="46" t="str">
        <x:v>dorosoma</x:v>
      </x:c>
      <x:c r="O358" s="62" t="n">
        <x:v>2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Dorosoma</x:v>
      </x:c>
      <x:c r="T358" s="62" t="n">
        <x:f>IF(O358="","",(1/'Metadata'!$B$5)^(O358-1))</x:f>
        <x:v>10</x:v>
      </x:c>
      <x:c r="U358" s="60" t="n">
        <x:f>IF(T358="","",I358*T358)</x:f>
        <x:v>3.457445904</x:v>
      </x:c>
    </x:row>
    <x:row r="359" ht="18" customHeight="1">
      <x:c r="A359" s="46" t="str">
        <x:v>LME_012</x:v>
      </x:c>
      <x:c r="B359" s="46" t="str">
        <x:v>Caribbean Sea</x:v>
      </x:c>
      <x:c r="C359" s="46" t="str">
        <x:v>LME</x:v>
      </x:c>
      <x:c r="D359" s="58" t="n">
        <x:v>2019</x:v>
      </x:c>
      <x:c r="E359" s="46" t="str">
        <x:v>Centropristis striata</x:v>
      </x:c>
      <x:c r="F359" s="46" t="str">
        <x:v>Black seabass</x:v>
      </x:c>
      <x:c r="G359" s="46" t="str">
        <x:v>Medium reef assoc. fish (30 - 89 cm)</x:v>
      </x:c>
      <x:c r="H359" s="46" t="str">
        <x:v>Perch-likes</x:v>
      </x:c>
      <x:c r="I359" s="60" t="n">
        <x:v>0.3224375316</x:v>
      </x:c>
      <x:c r="J359" s="60" t="n">
        <x:v>0.2862062017</x:v>
      </x:c>
      <x:c r="K359" s="60" t="n">
        <x:v>0.0362313299</x:v>
      </x:c>
      <x:c r="L359" s="60" t="n">
        <x:v>0.132703563</x:v>
      </x:c>
      <x:c r="M359" s="60" t="n">
        <x:v>0.18973396860000002</x:v>
      </x:c>
      <x:c r="N359" s="46" t="str">
        <x:v>centropristis striata</x:v>
      </x:c>
      <x:c r="O359" s="62" t="n">
        <x:v>3.89</x:v>
      </x:c>
      <x:c r="P359" s="46" t="str">
        <x:v>exact_2020_supplement</x:v>
      </x:c>
      <x:c r="Q359" s="62" t="str">
        <x:v>2020 supplement MeanTL</x:v>
      </x:c>
      <x:c r="R359" s="46" t="str">
        <x:v>high</x:v>
      </x:c>
      <x:c r="S359" s="46" t="str">
        <x:v>Centropristis striata</x:v>
      </x:c>
      <x:c r="T359" s="62" t="n">
        <x:f>IF(O359="","",(1/'Metadata'!$B$5)^(O359-1))</x:f>
        <x:v>776.247116628692</x:v>
      </x:c>
      <x:c r="U359" s="60" t="n">
        <x:f>IF(T359="","",I359*T359)</x:f>
        <x:v>250.29120419737274</x:v>
      </x:c>
    </x:row>
    <x:row r="360" ht="18" customHeight="1">
      <x:c r="A360" s="46" t="str">
        <x:v>LME_012</x:v>
      </x:c>
      <x:c r="B360" s="46" t="str">
        <x:v>Caribbean Sea</x:v>
      </x:c>
      <x:c r="C360" s="46" t="str">
        <x:v>LME</x:v>
      </x:c>
      <x:c r="D360" s="58" t="n">
        <x:v>2019</x:v>
      </x:c>
      <x:c r="E360" s="46" t="str">
        <x:v>Ruvettus pretiosus</x:v>
      </x:c>
      <x:c r="F360" s="46" t="str">
        <x:v>Oilfish</x:v>
      </x:c>
      <x:c r="G360" s="46" t="str">
        <x:v>Large benthopelagics (&gt;=90 cm)</x:v>
      </x:c>
      <x:c r="H360" s="46" t="str">
        <x:v>Perch-likes</x:v>
      </x:c>
      <x:c r="I360" s="60" t="n">
        <x:v>0.3071048709</x:v>
      </x:c>
      <x:c r="J360" s="60" t="n">
        <x:v>0.3071048709</x:v>
      </x:c>
      <x:c r="K360" s="60" t="n">
        <x:v>0</x:v>
      </x:c>
      <x:c r="L360" s="60" t="n">
        <x:v>0.3062909915</x:v>
      </x:c>
      <x:c r="M360" s="60" t="n">
        <x:v>0.0008138793999999999</x:v>
      </x:c>
      <x:c r="N360" s="46" t="str">
        <x:v>ruvettus pretiosus</x:v>
      </x:c>
      <x:c r="O360" s="62" t="n">
        <x:v>4.18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Ruvettus pretiosus</x:v>
      </x:c>
      <x:c r="T360" s="62" t="n">
        <x:f>IF(O360="","",(1/'Metadata'!$B$5)^(O360-1))</x:f>
        <x:v>1513.5612484362073</x:v>
      </x:c>
      <x:c r="U360" s="60" t="n">
        <x:f>IF(T360="","",I360*T360)</x:f>
        <x:v>464.82203180024425</x:v>
      </x:c>
    </x:row>
    <x:row r="361" ht="18" customHeight="1">
      <x:c r="A361" s="46" t="str">
        <x:v>LME_012</x:v>
      </x:c>
      <x:c r="B361" s="46" t="str">
        <x:v>Caribbean Sea</x:v>
      </x:c>
      <x:c r="C361" s="46" t="str">
        <x:v>LME</x:v>
      </x:c>
      <x:c r="D361" s="58" t="n">
        <x:v>2019</x:v>
      </x:c>
      <x:c r="E361" s="46" t="str">
        <x:v>Paranthias furcifer</x:v>
      </x:c>
      <x:c r="F361" s="46" t="str">
        <x:v>Creole-fish</x:v>
      </x:c>
      <x:c r="G361" s="46" t="str">
        <x:v>Medium benthopelagics (30 - 89 cm)</x:v>
      </x:c>
      <x:c r="H361" s="46" t="str">
        <x:v>Perch-likes</x:v>
      </x:c>
      <x:c r="I361" s="60" t="n">
        <x:v>0.2854032259</x:v>
      </x:c>
      <x:c r="J361" s="60" t="n">
        <x:v>0.2854032259</x:v>
      </x:c>
      <x:c r="K361" s="60" t="n">
        <x:v>0</x:v>
      </x:c>
      <x:c r="L361" s="60" t="n">
        <x:v>0.22432001020000003</x:v>
      </x:c>
      <x:c r="M361" s="60" t="n">
        <x:v>0.0610832157</x:v>
      </x:c>
      <x:c r="N361" s="46" t="str">
        <x:v>paranthias furcifer</x:v>
      </x:c>
      <x:c r="O361" s="62" t="n">
        <x:v>3.21</x:v>
      </x:c>
      <x:c r="P361" s="46" t="str">
        <x:v>exact_2020_supplement</x:v>
      </x:c>
      <x:c r="Q361" s="62" t="str">
        <x:v>2020 supplement MeanTL</x:v>
      </x:c>
      <x:c r="R361" s="46" t="str">
        <x:v>high</x:v>
      </x:c>
      <x:c r="S361" s="46" t="str">
        <x:v>Paranthias furcifer</x:v>
      </x:c>
      <x:c r="T361" s="62" t="n">
        <x:f>IF(O361="","",(1/'Metadata'!$B$5)^(O361-1))</x:f>
        <x:v>162.18100973589299</x:v>
      </x:c>
      <x:c r="U361" s="60" t="n">
        <x:f>IF(T361="","",I361*T361)</x:f>
        <x:v>46.286983358343164</x:v>
      </x:c>
    </x:row>
    <x:row r="362" ht="18" customHeight="1">
      <x:c r="A362" s="46" t="str">
        <x:v>LME_012</x:v>
      </x:c>
      <x:c r="B362" s="46" t="str">
        <x:v>Caribbean Sea</x:v>
      </x:c>
      <x:c r="C362" s="46" t="str">
        <x:v>LME</x:v>
      </x:c>
      <x:c r="D362" s="58" t="n">
        <x:v>2019</x:v>
      </x:c>
      <x:c r="E362" s="46" t="str">
        <x:v>Merostomata</x:v>
      </x:c>
      <x:c r="F362" s="46" t="str">
        <x:v>Chelicerates</x:v>
      </x:c>
      <x:c r="G362" s="46" t="str">
        <x:v>Other demersal invertebrates</x:v>
      </x:c>
      <x:c r="H362" s="46" t="str">
        <x:v>Other fishes &amp; inverts</x:v>
      </x:c>
      <x:c r="I362" s="60" t="n">
        <x:v>0.2682645945</x:v>
      </x:c>
      <x:c r="J362" s="60" t="n">
        <x:v>0.0658172163</x:v>
      </x:c>
      <x:c r="K362" s="60" t="n">
        <x:v>0.2024473782</x:v>
      </x:c>
      <x:c r="L362" s="60" t="n">
        <x:v>0</x:v>
      </x:c>
      <x:c r="M362" s="60" t="n">
        <x:v>0.2682645945</x:v>
      </x:c>
      <x:c r="N362" s="46" t="str">
        <x:v>merostomata</x:v>
      </x:c>
      <x:c r="O362" s="62" t="n">
        <x:v>2.98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Merostomata</x:v>
      </x:c>
      <x:c r="T362" s="62" t="n">
        <x:f>IF(O362="","",(1/'Metadata'!$B$5)^(O362-1))</x:f>
        <x:v>95.49925860214358</x:v>
      </x:c>
      <x:c r="U362" s="60" t="n">
        <x:f>IF(T362="","",I362*T362)</x:f>
        <x:v>25.619069883954687</x:v>
      </x:c>
    </x:row>
    <x:row r="363" ht="18" customHeight="1">
      <x:c r="A363" s="46" t="str">
        <x:v>LME_012</x:v>
      </x:c>
      <x:c r="B363" s="46" t="str">
        <x:v>Caribbean Sea</x:v>
      </x:c>
      <x:c r="C363" s="46" t="str">
        <x:v>LME</x:v>
      </x:c>
      <x:c r="D363" s="58" t="n">
        <x:v>2019</x:v>
      </x:c>
      <x:c r="E363" s="46" t="str">
        <x:v>Hyporthodus nigritus</x:v>
      </x:c>
      <x:c r="F363" s="46" t="str">
        <x:v>Warsaw grouper</x:v>
      </x:c>
      <x:c r="G363" s="46" t="str">
        <x:v>Large demersals (&gt;=90 cm)</x:v>
      </x:c>
      <x:c r="H363" s="46" t="str">
        <x:v>Perch-likes</x:v>
      </x:c>
      <x:c r="I363" s="60" t="n">
        <x:v>0.2288837218</x:v>
      </x:c>
      <x:c r="J363" s="60" t="n">
        <x:v>0.17708797310000002</x:v>
      </x:c>
      <x:c r="K363" s="60" t="n">
        <x:v>0.0517957487</x:v>
      </x:c>
      <x:c r="L363" s="60" t="n">
        <x:v>0.0943051099</x:v>
      </x:c>
      <x:c r="M363" s="60" t="n">
        <x:v>0.1345786119</x:v>
      </x:c>
      <x:c r="N363" s="46" t="str">
        <x:v>hyporthodus nigritus</x:v>
      </x:c>
      <x:c r="O363" s="62" t="n">
        <x:v>3.97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Hyporthodus nigritus</x:v>
      </x:c>
      <x:c r="T363" s="62" t="n">
        <x:f>IF(O363="","",(1/'Metadata'!$B$5)^(O363-1))</x:f>
        <x:v>933.2543007969915</x:v>
      </x:c>
      <x:c r="U363" s="60" t="n">
        <x:f>IF(T363="","",I363*T363)</x:f>
        <x:v>213.60671775227212</x:v>
      </x:c>
    </x:row>
    <x:row r="364" ht="18" customHeight="1">
      <x:c r="A364" s="46" t="str">
        <x:v>LME_012</x:v>
      </x:c>
      <x:c r="B364" s="46" t="str">
        <x:v>Caribbean Sea</x:v>
      </x:c>
      <x:c r="C364" s="46" t="str">
        <x:v>LME</x:v>
      </x:c>
      <x:c r="D364" s="58" t="n">
        <x:v>2019</x:v>
      </x:c>
      <x:c r="E364" s="46" t="str">
        <x:v>Rhinobatidae</x:v>
      </x:c>
      <x:c r="F364" s="46" t="str">
        <x:v>Guitarfishes, fanrays</x:v>
      </x:c>
      <x:c r="G364" s="46" t="str">
        <x:v>Large rays (&gt;=90 cm)</x:v>
      </x:c>
      <x:c r="H364" s="46" t="str">
        <x:v>Sharks &amp; rays</x:v>
      </x:c>
      <x:c r="I364" s="60" t="n">
        <x:v>0.2228830462</x:v>
      </x:c>
      <x:c r="J364" s="60" t="n">
        <x:v>0.0377767851</x:v>
      </x:c>
      <x:c r="K364" s="60" t="n">
        <x:v>0.1851062611</x:v>
      </x:c>
      <x:c r="L364" s="60" t="n">
        <x:v>0.0377767851</x:v>
      </x:c>
      <x:c r="M364" s="60" t="n">
        <x:v>0.1851062611</x:v>
      </x:c>
      <x:c r="N364" s="46" t="str">
        <x:v>rhinobatidae</x:v>
      </x:c>
      <x:c r="O364" s="62" t="n">
        <x:v>3.7</x:v>
      </x:c>
      <x:c r="P364" s="46" t="str">
        <x:v>exact_sea_around_us</x:v>
      </x:c>
      <x:c r="Q364" s="62" t="str">
        <x:v>Sea Around Us exploited organisms</x:v>
      </x:c>
      <x:c r="R364" s="46" t="str">
        <x:v>high</x:v>
      </x:c>
      <x:c r="S364" s="46" t="str">
        <x:v>Rhinobatidae</x:v>
      </x:c>
      <x:c r="T364" s="62" t="n">
        <x:f>IF(O364="","",(1/'Metadata'!$B$5)^(O364-1))</x:f>
        <x:v>501.18723362727246</x:v>
      </x:c>
      <x:c r="U364" s="60" t="n">
        <x:f>IF(T364="","",I364*T364)</x:f>
        <x:v>111.70613734739756</x:v>
      </x:c>
    </x:row>
    <x:row r="365" ht="18" customHeight="1">
      <x:c r="A365" s="46" t="str">
        <x:v>LME_012</x:v>
      </x:c>
      <x:c r="B365" s="46" t="str">
        <x:v>Caribbean Sea</x:v>
      </x:c>
      <x:c r="C365" s="46" t="str">
        <x:v>LME</x:v>
      </x:c>
      <x:c r="D365" s="58" t="n">
        <x:v>2019</x:v>
      </x:c>
      <x:c r="E365" s="46" t="str">
        <x:v>Lamnidae</x:v>
      </x:c>
      <x:c r="F365" s="46" t="str">
        <x:v>Mackerel/white sharks</x:v>
      </x:c>
      <x:c r="G365" s="46" t="str">
        <x:v>Large sharks (&gt;=90 cm)</x:v>
      </x:c>
      <x:c r="H365" s="46" t="str">
        <x:v>Sharks &amp; rays</x:v>
      </x:c>
      <x:c r="I365" s="60" t="n">
        <x:v>0.2213436197</x:v>
      </x:c>
      <x:c r="J365" s="60" t="n">
        <x:v>0.1374537573</x:v>
      </x:c>
      <x:c r="K365" s="60" t="n">
        <x:v>0.0838898624</x:v>
      </x:c>
      <x:c r="L365" s="60" t="n">
        <x:v>0.1318692075</x:v>
      </x:c>
      <x:c r="M365" s="60" t="n">
        <x:v>0.0894744122</x:v>
      </x:c>
      <x:c r="N365" s="46" t="str">
        <x:v>lamnidae</x:v>
      </x:c>
      <x:c r="O365" s="62" t="n">
        <x:v>4.5</x:v>
      </x:c>
      <x:c r="P365" s="46" t="str">
        <x:v>exact_sea_around_us</x:v>
      </x:c>
      <x:c r="Q365" s="62" t="str">
        <x:v>Sea Around Us exploited organisms</x:v>
      </x:c>
      <x:c r="R365" s="46" t="str">
        <x:v>high</x:v>
      </x:c>
      <x:c r="S365" s="46" t="str">
        <x:v>Lamnidae</x:v>
      </x:c>
      <x:c r="T365" s="62" t="n">
        <x:f>IF(O365="","",(1/'Metadata'!$B$5)^(O365-1))</x:f>
        <x:v>3162.2776601683795</x:v>
      </x:c>
      <x:c r="U365" s="60" t="n">
        <x:f>IF(T365="","",I365*T365)</x:f>
        <x:v>699.9499837981156</x:v>
      </x:c>
    </x:row>
    <x:row r="366" ht="18" customHeight="1">
      <x:c r="A366" s="46" t="str">
        <x:v>LME_012</x:v>
      </x:c>
      <x:c r="B366" s="46" t="str">
        <x:v>Caribbean Sea</x:v>
      </x:c>
      <x:c r="C366" s="46" t="str">
        <x:v>LME</x:v>
      </x:c>
      <x:c r="D366" s="58" t="n">
        <x:v>2019</x:v>
      </x:c>
      <x:c r="E366" s="46" t="str">
        <x:v>Trachinotus goodei</x:v>
      </x:c>
      <x:c r="F366" s="46" t="str">
        <x:v>Great pompano</x:v>
      </x:c>
      <x:c r="G366" s="46" t="str">
        <x:v>Medium reef assoc. fish (30 - 89 cm)</x:v>
      </x:c>
      <x:c r="H366" s="46" t="str">
        <x:v>Perch-likes</x:v>
      </x:c>
      <x:c r="I366" s="60" t="n">
        <x:v>0.21260269729999998</x:v>
      </x:c>
      <x:c r="J366" s="60" t="n">
        <x:v>0.21260269729999998</x:v>
      </x:c>
      <x:c r="K366" s="60" t="n">
        <x:v>0</x:v>
      </x:c>
      <x:c r="L366" s="60" t="n">
        <x:v>0.0749542794</x:v>
      </x:c>
      <x:c r="M366" s="60" t="n">
        <x:v>0.1376484179</x:v>
      </x:c>
      <x:c r="N366" s="46" t="str">
        <x:v>trachinotus goodei</x:v>
      </x:c>
      <x:c r="O366" s="62" t="n">
        <x:v>4.34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Trachinotus goodei</x:v>
      </x:c>
      <x:c r="T366" s="62" t="n">
        <x:f>IF(O366="","",(1/'Metadata'!$B$5)^(O366-1))</x:f>
        <x:v>2187.761623949552</x:v>
      </x:c>
      <x:c r="U366" s="60" t="n">
        <x:f>IF(T366="","",I366*T366)</x:f>
        <x:v>465.12402230110297</x:v>
      </x:c>
    </x:row>
    <x:row r="367" ht="18" customHeight="1">
      <x:c r="A367" s="46" t="str">
        <x:v>LME_012</x:v>
      </x:c>
      <x:c r="B367" s="46" t="str">
        <x:v>Caribbean Sea</x:v>
      </x:c>
      <x:c r="C367" s="46" t="str">
        <x:v>LME</x:v>
      </x:c>
      <x:c r="D367" s="58" t="n">
        <x:v>2019</x:v>
      </x:c>
      <x:c r="E367" s="46" t="str">
        <x:v>Kyphosus</x:v>
      </x:c>
      <x:c r="F367" s="46" t="str">
        <x:v>Sea chubs</x:v>
      </x:c>
      <x:c r="G367" s="46" t="str">
        <x:v>Medium reef assoc. fish (30 - 89 cm)</x:v>
      </x:c>
      <x:c r="H367" s="46" t="str">
        <x:v>Perch-likes</x:v>
      </x:c>
      <x:c r="I367" s="60" t="n">
        <x:v>0.20612272510000001</x:v>
      </x:c>
      <x:c r="J367" s="60" t="n">
        <x:v>0.20612272510000001</x:v>
      </x:c>
      <x:c r="K367" s="60" t="n">
        <x:v>0</x:v>
      </x:c>
      <x:c r="L367" s="60" t="n">
        <x:v>0.071324643</x:v>
      </x:c>
      <x:c r="M367" s="60" t="n">
        <x:v>0.1347980821</x:v>
      </x:c>
      <x:c r="N367" s="46" t="str">
        <x:v>kyphosus</x:v>
      </x:c>
      <x:c r="O367" s="62" t="n">
        <x:v>2.05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Kyphosus</x:v>
      </x:c>
      <x:c r="T367" s="62" t="n">
        <x:f>IF(O367="","",(1/'Metadata'!$B$5)^(O367-1))</x:f>
        <x:v>11.220184543019629</x:v>
      </x:c>
      <x:c r="U367" s="60" t="n">
        <x:f>IF(T367="","",I367*T367)</x:f>
        <x:v>2.3127350141321044</x:v>
      </x:c>
    </x:row>
    <x:row r="368" ht="18" customHeight="1">
      <x:c r="A368" s="46" t="str">
        <x:v>LME_012</x:v>
      </x:c>
      <x:c r="B368" s="46" t="str">
        <x:v>Caribbean Sea</x:v>
      </x:c>
      <x:c r="C368" s="46" t="str">
        <x:v>LME</x:v>
      </x:c>
      <x:c r="D368" s="58" t="n">
        <x:v>2019</x:v>
      </x:c>
      <x:c r="E368" s="46" t="str">
        <x:v>Elacatinus oceanops</x:v>
      </x:c>
      <x:c r="F368" s="46" t="str">
        <x:v>Neon goby</x:v>
      </x:c>
      <x:c r="G368" s="46" t="str">
        <x:v>Small reef assoc. fish (&lt;30 cm)</x:v>
      </x:c>
      <x:c r="H368" s="46" t="str">
        <x:v>Perch-likes</x:v>
      </x:c>
      <x:c r="I368" s="60" t="n">
        <x:v>0.18827456890000002</x:v>
      </x:c>
      <x:c r="J368" s="60" t="n">
        <x:v>0.18827456890000002</x:v>
      </x:c>
      <x:c r="K368" s="60" t="n">
        <x:v>0</x:v>
      </x:c>
      <x:c r="L368" s="60" t="n">
        <x:v>0.18827456890000002</x:v>
      </x:c>
      <x:c r="M368" s="60" t="n">
        <x:v>0</x:v>
      </x:c>
      <x:c r="N368" s="46" t="str">
        <x:v>elacatinus oceanops</x:v>
      </x:c>
      <x:c r="O368" s="62" t="n">
        <x:v>3.5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Elacatinus oceanops</x:v>
      </x:c>
      <x:c r="T368" s="62" t="n">
        <x:f>IF(O368="","",(1/'Metadata'!$B$5)^(O368-1))</x:f>
        <x:v>316.22776601683796</x:v>
      </x:c>
      <x:c r="U368" s="60" t="n">
        <x:f>IF(T368="","",I368*T368)</x:f>
        <x:v>59.537646321030245</x:v>
      </x:c>
    </x:row>
    <x:row r="369" ht="18" customHeight="1">
      <x:c r="A369" s="46" t="str">
        <x:v>LME_012</x:v>
      </x:c>
      <x:c r="B369" s="46" t="str">
        <x:v>Caribbean Sea</x:v>
      </x:c>
      <x:c r="C369" s="46" t="str">
        <x:v>LME</x:v>
      </x:c>
      <x:c r="D369" s="58" t="n">
        <x:v>2019</x:v>
      </x:c>
      <x:c r="E369" s="46" t="str">
        <x:v>Priacanthus</x:v>
      </x:c>
      <x:c r="F369" s="46" t="str">
        <x:v>Bigeyes</x:v>
      </x:c>
      <x:c r="G369" s="46" t="str">
        <x:v>Medium reef assoc. fish (30 - 89 cm)</x:v>
      </x:c>
      <x:c r="H369" s="46" t="str">
        <x:v>Perch-likes</x:v>
      </x:c>
      <x:c r="I369" s="60" t="n">
        <x:v>0.1595745796</x:v>
      </x:c>
      <x:c r="J369" s="60" t="n">
        <x:v>0.1595745796</x:v>
      </x:c>
      <x:c r="K369" s="60" t="n">
        <x:v>0</x:v>
      </x:c>
      <x:c r="L369" s="60" t="n">
        <x:v>0.1237163908</x:v>
      </x:c>
      <x:c r="M369" s="60" t="n">
        <x:v>0.0358581888</x:v>
      </x:c>
      <x:c r="N369" s="46" t="str">
        <x:v>priacanthus</x:v>
      </x:c>
      <x:c r="O369" s="62" t="n">
        <x:v>3.81</x:v>
      </x:c>
      <x:c r="P369" s="46" t="str">
        <x:v>exact_sea_around_us</x:v>
      </x:c>
      <x:c r="Q369" s="62" t="str">
        <x:v>Sea Around Us exploited organisms</x:v>
      </x:c>
      <x:c r="R369" s="46" t="str">
        <x:v>high</x:v>
      </x:c>
      <x:c r="S369" s="46" t="str">
        <x:v>Priacanthus</x:v>
      </x:c>
      <x:c r="T369" s="62" t="n">
        <x:f>IF(O369="","",(1/'Metadata'!$B$5)^(O369-1))</x:f>
        <x:v>645.6542290346556</x:v>
      </x:c>
      <x:c r="U369" s="60" t="n">
        <x:f>IF(T369="","",I369*T369)</x:f>
        <x:v>103.03000216516728</x:v>
      </x:c>
    </x:row>
    <x:row r="370" ht="18" customHeight="1">
      <x:c r="A370" s="46" t="str">
        <x:v>LME_012</x:v>
      </x:c>
      <x:c r="B370" s="46" t="str">
        <x:v>Caribbean Sea</x:v>
      </x:c>
      <x:c r="C370" s="46" t="str">
        <x:v>LME</x:v>
      </x:c>
      <x:c r="D370" s="58" t="n">
        <x:v>2019</x:v>
      </x:c>
      <x:c r="E370" s="46" t="str">
        <x:v>Busycon</x:v>
      </x:c>
      <x:c r="F370" s="46" t="str">
        <x:v>Whelks</x:v>
      </x:c>
      <x:c r="G370" s="46" t="str">
        <x:v>Other demersal invertebrates</x:v>
      </x:c>
      <x:c r="H370" s="46" t="str">
        <x:v>Molluscs</x:v>
      </x:c>
      <x:c r="I370" s="60" t="n">
        <x:v>0.1409682784</x:v>
      </x:c>
      <x:c r="J370" s="60" t="n">
        <x:v>0.1409682784</x:v>
      </x:c>
      <x:c r="K370" s="60" t="n">
        <x:v>0</x:v>
      </x:c>
      <x:c r="L370" s="60" t="n">
        <x:v>0.1266935686</x:v>
      </x:c>
      <x:c r="M370" s="60" t="n">
        <x:v>0.0142747098</x:v>
      </x:c>
      <x:c r="N370" s="46" t="str">
        <x:v>busycon</x:v>
      </x:c>
      <x:c r="O370" s="62" t="n">
        <x:v>3</x:v>
      </x:c>
      <x:c r="P370" s="46" t="str">
        <x:v>exact_sea_around_us</x:v>
      </x:c>
      <x:c r="Q370" s="62" t="str">
        <x:v>Sea Around Us exploited organisms</x:v>
      </x:c>
      <x:c r="R370" s="46" t="str">
        <x:v>high</x:v>
      </x:c>
      <x:c r="S370" s="46" t="str">
        <x:v>Busycon</x:v>
      </x:c>
      <x:c r="T370" s="62" t="n">
        <x:f>IF(O370="","",(1/'Metadata'!$B$5)^(O370-1))</x:f>
        <x:v>100</x:v>
      </x:c>
      <x:c r="U370" s="60" t="n">
        <x:f>IF(T370="","",I370*T370)</x:f>
        <x:v>14.096827840000001</x:v>
      </x:c>
    </x:row>
    <x:row r="371" ht="18" customHeight="1">
      <x:c r="A371" s="46" t="str">
        <x:v>LME_012</x:v>
      </x:c>
      <x:c r="B371" s="46" t="str">
        <x:v>Caribbean Sea</x:v>
      </x:c>
      <x:c r="C371" s="46" t="str">
        <x:v>LME</x:v>
      </x:c>
      <x:c r="D371" s="58" t="n">
        <x:v>2019</x:v>
      </x:c>
      <x:c r="E371" s="46" t="str">
        <x:v>Trichiurus</x:v>
      </x:c>
      <x:c r="F371" s="46" t="str">
        <x:v>Hairtails</x:v>
      </x:c>
      <x:c r="G371" s="46" t="str">
        <x:v>Large benthopelagics (&gt;=90 cm)</x:v>
      </x:c>
      <x:c r="H371" s="46" t="str">
        <x:v>Perch-likes</x:v>
      </x:c>
      <x:c r="I371" s="60" t="n">
        <x:v>0.1339223749</x:v>
      </x:c>
      <x:c r="J371" s="60" t="n">
        <x:v>0.1339223749</x:v>
      </x:c>
      <x:c r="K371" s="60" t="n">
        <x:v>0</x:v>
      </x:c>
      <x:c r="L371" s="60" t="n">
        <x:v>0.1339223749</x:v>
      </x:c>
      <x:c r="M371" s="60" t="n">
        <x:v>0</x:v>
      </x:c>
      <x:c r="N371" s="46" t="str">
        <x:v>trichiurus</x:v>
      </x:c>
      <x:c r="O371" s="62" t="n">
        <x:v>4.42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Trichiurus</x:v>
      </x:c>
      <x:c r="T371" s="62" t="n">
        <x:f>IF(O371="","",(1/'Metadata'!$B$5)^(O371-1))</x:f>
        <x:v>2630.2679918953813</x:v>
      </x:c>
      <x:c r="U371" s="60" t="n">
        <x:f>IF(T371="","",I371*T371)</x:f>
        <x:v>352.2517360980834</x:v>
      </x:c>
    </x:row>
    <x:row r="372" ht="18" customHeight="1">
      <x:c r="A372" s="46" t="str">
        <x:v>LME_012</x:v>
      </x:c>
      <x:c r="B372" s="46" t="str">
        <x:v>Caribbean Sea</x:v>
      </x:c>
      <x:c r="C372" s="46" t="str">
        <x:v>LME</x:v>
      </x:c>
      <x:c r="D372" s="58" t="n">
        <x:v>2019</x:v>
      </x:c>
      <x:c r="E372" s="46" t="str">
        <x:v>Mithraculus sculptus</x:v>
      </x:c>
      <x:c r="F372" s="46" t="str">
        <x:v>Green clinging crab</x:v>
      </x:c>
      <x:c r="G372" s="46" t="str">
        <x:v>Lobsters, crabs</x:v>
      </x:c>
      <x:c r="H372" s="46" t="str">
        <x:v>Crustaceans</x:v>
      </x:c>
      <x:c r="I372" s="60" t="n">
        <x:v>0.1290668237</x:v>
      </x:c>
      <x:c r="J372" s="60" t="n">
        <x:v>0.1290668237</x:v>
      </x:c>
      <x:c r="K372" s="60" t="n">
        <x:v>0</x:v>
      </x:c>
      <x:c r="L372" s="60" t="n">
        <x:v>0.1290668237</x:v>
      </x:c>
      <x:c r="M372" s="60" t="n">
        <x:v>0</x:v>
      </x:c>
      <x:c r="N372" s="46" t="str">
        <x:v>mithraculus sculptus</x:v>
      </x:c>
      <x:c r="O372" s="62" t="n">
        <x:v>3.54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Mithraculus sculptus</x:v>
      </x:c>
      <x:c r="T372" s="62" t="n">
        <x:f>IF(O372="","",(1/'Metadata'!$B$5)^(O372-1))</x:f>
        <x:v>346.73685045253166</x:v>
      </x:c>
      <x:c r="U372" s="60" t="n">
        <x:f>IF(T372="","",I372*T372)</x:f>
        <x:v>44.752223947650165</x:v>
      </x:c>
    </x:row>
    <x:row r="373" ht="18" customHeight="1">
      <x:c r="A373" s="46" t="str">
        <x:v>LME_012</x:v>
      </x:c>
      <x:c r="B373" s="46" t="str">
        <x:v>Caribbean Sea</x:v>
      </x:c>
      <x:c r="C373" s="46" t="str">
        <x:v>LME</x:v>
      </x:c>
      <x:c r="D373" s="58" t="n">
        <x:v>2019</x:v>
      </x:c>
      <x:c r="E373" s="46" t="str">
        <x:v>Pomacanthus paru</x:v>
      </x:c>
      <x:c r="F373" s="46" t="str">
        <x:v>French angelfish</x:v>
      </x:c>
      <x:c r="G373" s="46" t="str">
        <x:v>Medium reef assoc. fish (30 - 89 cm)</x:v>
      </x:c>
      <x:c r="H373" s="46" t="str">
        <x:v>Perch-likes</x:v>
      </x:c>
      <x:c r="I373" s="60" t="n">
        <x:v>0.11828264200000002</x:v>
      </x:c>
      <x:c r="J373" s="60" t="n">
        <x:v>0.11828264200000002</x:v>
      </x:c>
      <x:c r="K373" s="60" t="n">
        <x:v>0</x:v>
      </x:c>
      <x:c r="L373" s="60" t="n">
        <x:v>0.11828264200000002</x:v>
      </x:c>
      <x:c r="M373" s="60" t="n">
        <x:v>0</x:v>
      </x:c>
      <x:c r="N373" s="46" t="str">
        <x:v>pomacanthus paru</x:v>
      </x:c>
      <x:c r="O373" s="62" t="n">
        <x:v>2.81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Pomacanthus paru</x:v>
      </x:c>
      <x:c r="T373" s="62" t="n">
        <x:f>IF(O373="","",(1/'Metadata'!$B$5)^(O373-1))</x:f>
        <x:v>64.56542290346556</x:v>
      </x:c>
      <x:c r="U373" s="60" t="n">
        <x:f>IF(T373="","",I373*T373)</x:f>
        <x:v>7.636968802869219</x:v>
      </x:c>
    </x:row>
    <x:row r="374" ht="18" customHeight="1">
      <x:c r="A374" s="46" t="str">
        <x:v>LME_012</x:v>
      </x:c>
      <x:c r="B374" s="46" t="str">
        <x:v>Caribbean Sea</x:v>
      </x:c>
      <x:c r="C374" s="46" t="str">
        <x:v>LME</x:v>
      </x:c>
      <x:c r="D374" s="58" t="n">
        <x:v>2019</x:v>
      </x:c>
      <x:c r="E374" s="46" t="str">
        <x:v>Brotula barbata</x:v>
      </x:c>
      <x:c r="F374" s="46" t="str">
        <x:v>Bearded brotula</x:v>
      </x:c>
      <x:c r="G374" s="46" t="str">
        <x:v>Medium benthopelagics (30 - 89 cm)</x:v>
      </x:c>
      <x:c r="H374" s="46" t="str">
        <x:v>Other fishes &amp; inverts</x:v>
      </x:c>
      <x:c r="I374" s="60" t="n">
        <x:v>0.0888837212</x:v>
      </x:c>
      <x:c r="J374" s="60" t="n">
        <x:v>0.0888837212</x:v>
      </x:c>
      <x:c r="K374" s="60" t="n">
        <x:v>0</x:v>
      </x:c>
      <x:c r="L374" s="60" t="n">
        <x:v>0.0866469415</x:v>
      </x:c>
      <x:c r="M374" s="60" t="n">
        <x:v>0.0022367797</x:v>
      </x:c>
      <x:c r="N374" s="46" t="str">
        <x:v>brotula barbata</x:v>
      </x:c>
      <x:c r="O374" s="62" t="n">
        <x:v>3.8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Brotula barbata</x:v>
      </x:c>
      <x:c r="T374" s="62" t="n">
        <x:f>IF(O374="","",(1/'Metadata'!$B$5)^(O374-1))</x:f>
        <x:v>630.957344480193</x:v>
      </x:c>
      <x:c r="U374" s="60" t="n">
        <x:f>IF(T374="","",I374*T374)</x:f>
        <x:v>56.08183669586983</x:v>
      </x:c>
    </x:row>
    <x:row r="375" ht="18" customHeight="1">
      <x:c r="A375" s="46" t="str">
        <x:v>LME_012</x:v>
      </x:c>
      <x:c r="B375" s="46" t="str">
        <x:v>Caribbean Sea</x:v>
      </x:c>
      <x:c r="C375" s="46" t="str">
        <x:v>LME</x:v>
      </x:c>
      <x:c r="D375" s="58" t="n">
        <x:v>2019</x:v>
      </x:c>
      <x:c r="E375" s="46" t="str">
        <x:v>Carcharhinus plumbeus</x:v>
      </x:c>
      <x:c r="F375" s="46" t="str">
        <x:v>Sandbar shark</x:v>
      </x:c>
      <x:c r="G375" s="46" t="str">
        <x:v>Large sharks (&gt;=90 cm)</x:v>
      </x:c>
      <x:c r="H375" s="46" t="str">
        <x:v>Sharks &amp; rays</x:v>
      </x:c>
      <x:c r="I375" s="60" t="n">
        <x:v>0.0837149915</x:v>
      </x:c>
      <x:c r="J375" s="60" t="n">
        <x:v>0.0837149915</x:v>
      </x:c>
      <x:c r="K375" s="60" t="n">
        <x:v>0</x:v>
      </x:c>
      <x:c r="L375" s="60" t="n">
        <x:v>0</x:v>
      </x:c>
      <x:c r="M375" s="60" t="n">
        <x:v>0.0837149915</x:v>
      </x:c>
      <x:c r="N375" s="46" t="str">
        <x:v>carcharhinus plumbeus</x:v>
      </x:c>
      <x:c r="O375" s="62" t="n">
        <x:v>4.49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Carcharhinus plumbeus</x:v>
      </x:c>
      <x:c r="T375" s="62" t="n">
        <x:f>IF(O375="","",(1/'Metadata'!$B$5)^(O375-1))</x:f>
        <x:v>3090.295432513592</x:v>
      </x:c>
      <x:c r="U375" s="60" t="n">
        <x:f>IF(T375="","",I375*T375)</x:f>
        <x:v>258.7040558653642</x:v>
      </x:c>
    </x:row>
    <x:row r="376" ht="18" customHeight="1">
      <x:c r="A376" s="46" t="str">
        <x:v>LME_012</x:v>
      </x:c>
      <x:c r="B376" s="46" t="str">
        <x:v>Caribbean Sea</x:v>
      </x:c>
      <x:c r="C376" s="46" t="str">
        <x:v>LME</x:v>
      </x:c>
      <x:c r="D376" s="58" t="n">
        <x:v>2019</x:v>
      </x:c>
      <x:c r="E376" s="46" t="str">
        <x:v>Holacanthus ciliaris</x:v>
      </x:c>
      <x:c r="F376" s="46" t="str">
        <x:v>Queen angelfish</x:v>
      </x:c>
      <x:c r="G376" s="46" t="str">
        <x:v>Medium reef assoc. fish (30 - 89 cm)</x:v>
      </x:c>
      <x:c r="H376" s="46" t="str">
        <x:v>Perch-likes</x:v>
      </x:c>
      <x:c r="I376" s="60" t="n">
        <x:v>0.0831377843</x:v>
      </x:c>
      <x:c r="J376" s="60" t="n">
        <x:v>0.0831377843</x:v>
      </x:c>
      <x:c r="K376" s="60" t="n">
        <x:v>0</x:v>
      </x:c>
      <x:c r="L376" s="60" t="n">
        <x:v>0.0831377843</x:v>
      </x:c>
      <x:c r="M376" s="60" t="n">
        <x:v>0</x:v>
      </x:c>
      <x:c r="N376" s="46" t="str">
        <x:v>holacanthus ciliaris</x:v>
      </x:c>
      <x:c r="O376" s="62" t="n">
        <x:v>2.99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Holacanthus ciliaris</x:v>
      </x:c>
      <x:c r="T376" s="62" t="n">
        <x:f>IF(O376="","",(1/'Metadata'!$B$5)^(O376-1))</x:f>
        <x:v>97.72372209558111</x:v>
      </x:c>
      <x:c r="U376" s="60" t="n">
        <x:f>IF(T376="","",I376*T376)</x:f>
        <x:v>8.124533728575567</x:v>
      </x:c>
    </x:row>
    <x:row r="377" ht="18" customHeight="1">
      <x:c r="A377" s="46" t="str">
        <x:v>LME_012</x:v>
      </x:c>
      <x:c r="B377" s="46" t="str">
        <x:v>Caribbean Sea</x:v>
      </x:c>
      <x:c r="C377" s="46" t="str">
        <x:v>LME</x:v>
      </x:c>
      <x:c r="D377" s="58" t="n">
        <x:v>2019</x:v>
      </x:c>
      <x:c r="E377" s="46" t="str">
        <x:v>Eucinostomus argenteus</x:v>
      </x:c>
      <x:c r="F377" s="46" t="str">
        <x:v>Silver mojarra</x:v>
      </x:c>
      <x:c r="G377" s="46" t="str">
        <x:v>Small demersals (&lt;30 cm)</x:v>
      </x:c>
      <x:c r="H377" s="46" t="str">
        <x:v>Perch-likes</x:v>
      </x:c>
      <x:c r="I377" s="60" t="n">
        <x:v>0.0823794144</x:v>
      </x:c>
      <x:c r="J377" s="60" t="n">
        <x:v>0</x:v>
      </x:c>
      <x:c r="K377" s="60" t="n">
        <x:v>0.0823794144</x:v>
      </x:c>
      <x:c r="L377" s="60" t="n">
        <x:v>0</x:v>
      </x:c>
      <x:c r="M377" s="60" t="n">
        <x:v>0.0823794144</x:v>
      </x:c>
      <x:c r="N377" s="46" t="str">
        <x:v>eucinostomus argenteus</x:v>
      </x:c>
      <x:c r="O377" s="62" t="n">
        <x:v>3.24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Eucinostomus argenteus</x:v>
      </x:c>
      <x:c r="T377" s="62" t="n">
        <x:f>IF(O377="","",(1/'Metadata'!$B$5)^(O377-1))</x:f>
        <x:v>173.78008287493762</x:v>
      </x:c>
      <x:c r="U377" s="60" t="n">
        <x:f>IF(T377="","",I377*T377)</x:f>
        <x:v>14.31590146162083</x:v>
      </x:c>
    </x:row>
    <x:row r="378" ht="18" customHeight="1">
      <x:c r="A378" s="46" t="str">
        <x:v>LME_012</x:v>
      </x:c>
      <x:c r="B378" s="46" t="str">
        <x:v>Caribbean Sea</x:v>
      </x:c>
      <x:c r="C378" s="46" t="str">
        <x:v>LME</x:v>
      </x:c>
      <x:c r="D378" s="58" t="n">
        <x:v>2019</x:v>
      </x:c>
      <x:c r="E378" s="46" t="str">
        <x:v>Prionotus</x:v>
      </x:c>
      <x:c r="F378" s="46" t="str">
        <x:v>Saw-back searobins</x:v>
      </x:c>
      <x:c r="G378" s="46" t="str">
        <x:v>Large reef assoc. fish (&gt;=90 cm)</x:v>
      </x:c>
      <x:c r="H378" s="46" t="str">
        <x:v>Scorpionfishes</x:v>
      </x:c>
      <x:c r="I378" s="60" t="n">
        <x:v>0.074514794</x:v>
      </x:c>
      <x:c r="J378" s="60" t="n">
        <x:v>0.0462123561</x:v>
      </x:c>
      <x:c r="K378" s="60" t="n">
        <x:v>0.0283024379</x:v>
      </x:c>
      <x:c r="L378" s="60" t="n">
        <x:v>0</x:v>
      </x:c>
      <x:c r="M378" s="60" t="n">
        <x:v>0.074514794</x:v>
      </x:c>
      <x:c r="N378" s="46" t="str">
        <x:v>prionotus</x:v>
      </x:c>
      <x:c r="O378" s="62" t="n">
        <x:v>3.97</x:v>
      </x:c>
      <x:c r="P378" s="46" t="str">
        <x:v>exact_sea_around_us</x:v>
      </x:c>
      <x:c r="Q378" s="62" t="str">
        <x:v>Sea Around Us exploited organisms</x:v>
      </x:c>
      <x:c r="R378" s="46" t="str">
        <x:v>high</x:v>
      </x:c>
      <x:c r="S378" s="46" t="str">
        <x:v>Prionotus</x:v>
      </x:c>
      <x:c r="T378" s="62" t="n">
        <x:f>IF(O378="","",(1/'Metadata'!$B$5)^(O378-1))</x:f>
        <x:v>933.2543007969915</x:v>
      </x:c>
      <x:c r="U378" s="60" t="n">
        <x:f>IF(T378="","",I378*T378)</x:f>
        <x:v>69.54125197350186</x:v>
      </x:c>
    </x:row>
    <x:row r="379" ht="18" customHeight="1">
      <x:c r="A379" s="46" t="str">
        <x:v>LME_012</x:v>
      </x:c>
      <x:c r="B379" s="46" t="str">
        <x:v>Caribbean Sea</x:v>
      </x:c>
      <x:c r="C379" s="46" t="str">
        <x:v>LME</x:v>
      </x:c>
      <x:c r="D379" s="58" t="n">
        <x:v>2019</x:v>
      </x:c>
      <x:c r="E379" s="46" t="str">
        <x:v>Myripristis jacobus</x:v>
      </x:c>
      <x:c r="F379" s="46" t="str">
        <x:v>Blackbar soldierfish</x:v>
      </x:c>
      <x:c r="G379" s="46" t="str">
        <x:v>Small reef assoc. fish (&lt;30 cm)</x:v>
      </x:c>
      <x:c r="H379" s="46" t="str">
        <x:v>Other fishes &amp; inverts</x:v>
      </x:c>
      <x:c r="I379" s="60" t="n">
        <x:v>0.064886568</x:v>
      </x:c>
      <x:c r="J379" s="60" t="n">
        <x:v>0.064886568</x:v>
      </x:c>
      <x:c r="K379" s="60" t="n">
        <x:v>0</x:v>
      </x:c>
      <x:c r="L379" s="60" t="n">
        <x:v>0.0493689022</x:v>
      </x:c>
      <x:c r="M379" s="60" t="n">
        <x:v>0.0155176658</x:v>
      </x:c>
      <x:c r="N379" s="46" t="str">
        <x:v>myripristis jacobus</x:v>
      </x:c>
      <x:c r="O379" s="62" t="n">
        <x:v>3.39</x:v>
      </x:c>
      <x:c r="P379" s="46" t="str">
        <x:v>exact_2020_supplement</x:v>
      </x:c>
      <x:c r="Q379" s="62" t="str">
        <x:v>2020 supplement MeanTL</x:v>
      </x:c>
      <x:c r="R379" s="46" t="str">
        <x:v>high</x:v>
      </x:c>
      <x:c r="S379" s="46" t="str">
        <x:v>Myripristis jacobus</x:v>
      </x:c>
      <x:c r="T379" s="62" t="n">
        <x:f>IF(O379="","",(1/'Metadata'!$B$5)^(O379-1))</x:f>
        <x:v>245.4708915685031</x:v>
      </x:c>
      <x:c r="U379" s="60" t="n">
        <x:f>IF(T379="","",I379*T379)</x:f>
        <x:v>15.927763697780305</x:v>
      </x:c>
    </x:row>
    <x:row r="380" ht="18" customHeight="1">
      <x:c r="A380" s="46" t="str">
        <x:v>LME_012</x:v>
      </x:c>
      <x:c r="B380" s="46" t="str">
        <x:v>Caribbean Sea</x:v>
      </x:c>
      <x:c r="C380" s="46" t="str">
        <x:v>LME</x:v>
      </x:c>
      <x:c r="D380" s="58" t="n">
        <x:v>2019</x:v>
      </x:c>
      <x:c r="E380" s="46" t="str">
        <x:v>Ophioderma squamosissimum</x:v>
      </x:c>
      <x:c r="F380" s="46" t="str">
        <x:v>Scaly brittle star</x:v>
      </x:c>
      <x:c r="G380" s="46" t="str">
        <x:v>Other demersal invertebrates</x:v>
      </x:c>
      <x:c r="H380" s="46" t="str">
        <x:v>Other fishes &amp; inverts</x:v>
      </x:c>
      <x:c r="I380" s="60" t="n">
        <x:v>0.0642032319</x:v>
      </x:c>
      <x:c r="J380" s="60" t="n">
        <x:v>0.0642032319</x:v>
      </x:c>
      <x:c r="K380" s="60" t="n">
        <x:v>0</x:v>
      </x:c>
      <x:c r="L380" s="60" t="n">
        <x:v>0.0642032319</x:v>
      </x:c>
      <x:c r="M380" s="60" t="n">
        <x:v>0</x:v>
      </x:c>
      <x:c r="N380" s="46" t="str">
        <x:v>ophioderma squamosissimum</x:v>
      </x:c>
      <x:c r="O380" s="62" t="n">
        <x:v>2.61</x:v>
      </x:c>
      <x:c r="P380" s="46" t="str">
        <x:v>exact_sea_around_us</x:v>
      </x:c>
      <x:c r="Q380" s="62" t="str">
        <x:v>Sea Around Us exploited organisms</x:v>
      </x:c>
      <x:c r="R380" s="46" t="str">
        <x:v>high</x:v>
      </x:c>
      <x:c r="S380" s="46" t="str">
        <x:v>Ophioderma squamosissimum</x:v>
      </x:c>
      <x:c r="T380" s="62" t="n">
        <x:f>IF(O380="","",(1/'Metadata'!$B$5)^(O380-1))</x:f>
        <x:v>40.73802778041126</x:v>
      </x:c>
      <x:c r="U380" s="60" t="n">
        <x:f>IF(T380="","",I380*T380)</x:f>
        <x:v>2.6155130447343864</x:v>
      </x:c>
    </x:row>
    <x:row r="381" ht="18" customHeight="1">
      <x:c r="A381" s="46" t="str">
        <x:v>LME_012</x:v>
      </x:c>
      <x:c r="B381" s="46" t="str">
        <x:v>Caribbean Sea</x:v>
      </x:c>
      <x:c r="C381" s="46" t="str">
        <x:v>LME</x:v>
      </x:c>
      <x:c r="D381" s="58" t="n">
        <x:v>2019</x:v>
      </x:c>
      <x:c r="E381" s="46" t="str">
        <x:v>Lophiidae</x:v>
      </x:c>
      <x:c r="F381" s="46" t="str">
        <x:v>Goosefishes</x:v>
      </x:c>
      <x:c r="G381" s="46" t="str">
        <x:v>Medium bathydemersals (30 - 89 cm)</x:v>
      </x:c>
      <x:c r="H381" s="46" t="str">
        <x:v>Other fishes &amp; inverts</x:v>
      </x:c>
      <x:c r="I381" s="60" t="n">
        <x:v>0.0618574993</x:v>
      </x:c>
      <x:c r="J381" s="60" t="n">
        <x:v>0.006031435900000001</x:v>
      </x:c>
      <x:c r="K381" s="60" t="n">
        <x:v>0.0558260634</x:v>
      </x:c>
      <x:c r="L381" s="60" t="n">
        <x:v>0</x:v>
      </x:c>
      <x:c r="M381" s="60" t="n">
        <x:v>0.0618574993</x:v>
      </x:c>
      <x:c r="N381" s="46" t="str">
        <x:v>lophiidae</x:v>
      </x:c>
      <x:c r="O381" s="62" t="n">
        <x:v>4.46</x:v>
      </x:c>
      <x:c r="P381" s="46" t="str">
        <x:v>exact_sea_around_us</x:v>
      </x:c>
      <x:c r="Q381" s="62" t="str">
        <x:v>Sea Around Us exploited organisms</x:v>
      </x:c>
      <x:c r="R381" s="46" t="str">
        <x:v>high</x:v>
      </x:c>
      <x:c r="S381" s="46" t="str">
        <x:v>Lophiidae</x:v>
      </x:c>
      <x:c r="T381" s="62" t="n">
        <x:f>IF(O381="","",(1/'Metadata'!$B$5)^(O381-1))</x:f>
        <x:v>2884.031503126606</x:v>
      </x:c>
      <x:c r="U381" s="60" t="n">
        <x:f>IF(T381="","",I381*T381)</x:f>
        <x:v>178.39897668583197</x:v>
      </x:c>
    </x:row>
    <x:row r="382" ht="18" customHeight="1">
      <x:c r="A382" s="46" t="str">
        <x:v>LME_012</x:v>
      </x:c>
      <x:c r="B382" s="46" t="str">
        <x:v>Caribbean Sea</x:v>
      </x:c>
      <x:c r="C382" s="46" t="str">
        <x:v>LME</x:v>
      </x:c>
      <x:c r="D382" s="58" t="n">
        <x:v>2019</x:v>
      </x:c>
      <x:c r="E382" s="46" t="str">
        <x:v>Lunarca ovalis</x:v>
      </x:c>
      <x:c r="F382" s="46" t="str">
        <x:v>Oval blood ark</x:v>
      </x:c>
      <x:c r="G382" s="46" t="str">
        <x:v>Other demersal invertebrates</x:v>
      </x:c>
      <x:c r="H382" s="46" t="str">
        <x:v>Molluscs</x:v>
      </x:c>
      <x:c r="I382" s="60" t="n">
        <x:v>0.0616521765</x:v>
      </x:c>
      <x:c r="J382" s="60" t="n">
        <x:v>0.0616521765</x:v>
      </x:c>
      <x:c r="K382" s="60" t="n">
        <x:v>0</x:v>
      </x:c>
      <x:c r="L382" s="60" t="n">
        <x:v>0.0479107974</x:v>
      </x:c>
      <x:c r="M382" s="60" t="n">
        <x:v>0.013741379100000001</x:v>
      </x:c>
      <x:c r="N382" s="46" t="str">
        <x:v>lunarca ovalis</x:v>
      </x:c>
      <x:c r="O382" s="62" t="n">
        <x:v>2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Lunarca ovalis</x:v>
      </x:c>
      <x:c r="T382" s="62" t="n">
        <x:f>IF(O382="","",(1/'Metadata'!$B$5)^(O382-1))</x:f>
        <x:v>10</x:v>
      </x:c>
      <x:c r="U382" s="60" t="n">
        <x:f>IF(T382="","",I382*T382)</x:f>
        <x:v>0.616521765</x:v>
      </x:c>
    </x:row>
    <x:row r="383" ht="18" customHeight="1">
      <x:c r="A383" s="46" t="str">
        <x:v>LME_012</x:v>
      </x:c>
      <x:c r="B383" s="46" t="str">
        <x:v>Caribbean Sea</x:v>
      </x:c>
      <x:c r="C383" s="46" t="str">
        <x:v>LME</x:v>
      </x:c>
      <x:c r="D383" s="58" t="n">
        <x:v>2019</x:v>
      </x:c>
      <x:c r="E383" s="46" t="str">
        <x:v>Stenopus hispidus</x:v>
      </x:c>
      <x:c r="F383" s="46" t="str">
        <x:v>Banded coral shrimp</x:v>
      </x:c>
      <x:c r="G383" s="46" t="str">
        <x:v>Shrimps</x:v>
      </x:c>
      <x:c r="H383" s="46" t="str">
        <x:v>Crustaceans</x:v>
      </x:c>
      <x:c r="I383" s="60" t="n">
        <x:v>0.0606658575</x:v>
      </x:c>
      <x:c r="J383" s="60" t="n">
        <x:v>0.0606658575</x:v>
      </x:c>
      <x:c r="K383" s="60" t="n">
        <x:v>0</x:v>
      </x:c>
      <x:c r="L383" s="60" t="n">
        <x:v>0.0606658575</x:v>
      </x:c>
      <x:c r="M383" s="60" t="n">
        <x:v>0</x:v>
      </x:c>
      <x:c r="N383" s="46" t="str">
        <x:v>stenopus hispidus</x:v>
      </x:c>
      <x:c r="O383" s="62" t="n">
        <x:v>2.86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Stenopus hispidus</x:v>
      </x:c>
      <x:c r="T383" s="62" t="n">
        <x:f>IF(O383="","",(1/'Metadata'!$B$5)^(O383-1))</x:f>
        <x:v>72.44359600749898</x:v>
      </x:c>
      <x:c r="U383" s="60" t="n">
        <x:f>IF(T383="","",I383*T383)</x:f>
        <x:v>4.394852872178502</x:v>
      </x:c>
    </x:row>
    <x:row r="384" ht="18" customHeight="1">
      <x:c r="A384" s="46" t="str">
        <x:v>LME_012</x:v>
      </x:c>
      <x:c r="B384" s="46" t="str">
        <x:v>Caribbean Sea</x:v>
      </x:c>
      <x:c r="C384" s="46" t="str">
        <x:v>LME</x:v>
      </x:c>
      <x:c r="D384" s="58" t="n">
        <x:v>2019</x:v>
      </x:c>
      <x:c r="E384" s="46" t="str">
        <x:v>Phrontis vibex</x:v>
      </x:c>
      <x:c r="F384" s="46" t="str">
        <x:v>Bruised nassa</x:v>
      </x:c>
      <x:c r="G384" s="46" t="str">
        <x:v>Other demersal invertebrates</x:v>
      </x:c>
      <x:c r="H384" s="46" t="str">
        <x:v>Molluscs</x:v>
      </x:c>
      <x:c r="I384" s="60" t="n">
        <x:v>0.05447178119999999</x:v>
      </x:c>
      <x:c r="J384" s="60" t="n">
        <x:v>0.05447178119999999</x:v>
      </x:c>
      <x:c r="K384" s="60" t="n">
        <x:v>0</x:v>
      </x:c>
      <x:c r="L384" s="60" t="n">
        <x:v>0.05447178119999999</x:v>
      </x:c>
      <x:c r="M384" s="60" t="n">
        <x:v>0</x:v>
      </x:c>
      <x:c r="N384" s="46" t="str">
        <x:v>phrontis vibex</x:v>
      </x:c>
      <x:c r="O384" s="62" t="n">
        <x:v>2.8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Phrontis vibex</x:v>
      </x:c>
      <x:c r="T384" s="62" t="n">
        <x:f>IF(O384="","",(1/'Metadata'!$B$5)^(O384-1))</x:f>
        <x:v>63.0957344480193</x:v>
      </x:c>
      <x:c r="U384" s="60" t="n">
        <x:f>IF(T384="","",I384*T384)</x:f>
        <x:v>3.43693704150581</x:v>
      </x:c>
    </x:row>
    <x:row r="385" ht="18" customHeight="1">
      <x:c r="A385" s="46" t="str">
        <x:v>LME_012</x:v>
      </x:c>
      <x:c r="B385" s="46" t="str">
        <x:v>Caribbean Sea</x:v>
      </x:c>
      <x:c r="C385" s="46" t="str">
        <x:v>LME</x:v>
      </x:c>
      <x:c r="D385" s="58" t="n">
        <x:v>2019</x:v>
      </x:c>
      <x:c r="E385" s="46" t="str">
        <x:v>Thalassoma bifasciatum</x:v>
      </x:c>
      <x:c r="F385" s="46" t="str">
        <x:v>Bluehead</x:v>
      </x:c>
      <x:c r="G385" s="46" t="str">
        <x:v>Small reef assoc. fish (&lt;30 cm)</x:v>
      </x:c>
      <x:c r="H385" s="46" t="str">
        <x:v>Perch-likes</x:v>
      </x:c>
      <x:c r="I385" s="60" t="n">
        <x:v>0.0477494774</x:v>
      </x:c>
      <x:c r="J385" s="60" t="n">
        <x:v>0.0477494774</x:v>
      </x:c>
      <x:c r="K385" s="60" t="n">
        <x:v>0</x:v>
      </x:c>
      <x:c r="L385" s="60" t="n">
        <x:v>0.0477494774</x:v>
      </x:c>
      <x:c r="M385" s="60" t="n">
        <x:v>0</x:v>
      </x:c>
      <x:c r="N385" s="46" t="str">
        <x:v>thalassoma bifasciatum</x:v>
      </x:c>
      <x:c r="O385" s="62" t="n">
        <x:v>3.3</x:v>
      </x:c>
      <x:c r="P385" s="46" t="str">
        <x:v>exact_2020_supplement</x:v>
      </x:c>
      <x:c r="Q385" s="62" t="str">
        <x:v>2020 supplement MeanTL</x:v>
      </x:c>
      <x:c r="R385" s="46" t="str">
        <x:v>high</x:v>
      </x:c>
      <x:c r="S385" s="46" t="str">
        <x:v>Thalassoma bifasciatum</x:v>
      </x:c>
      <x:c r="T385" s="62" t="n">
        <x:f>IF(O385="","",(1/'Metadata'!$B$5)^(O385-1))</x:f>
        <x:v>199.52623149688787</x:v>
      </x:c>
      <x:c r="U385" s="60" t="n">
        <x:f>IF(T385="","",I385*T385)</x:f>
        <x:v>9.527273281567815</x:v>
      </x:c>
    </x:row>
    <x:row r="386" ht="18" customHeight="1">
      <x:c r="A386" s="46" t="str">
        <x:v>LME_012</x:v>
      </x:c>
      <x:c r="B386" s="46" t="str">
        <x:v>Caribbean Sea</x:v>
      </x:c>
      <x:c r="C386" s="46" t="str">
        <x:v>LME</x:v>
      </x:c>
      <x:c r="D386" s="58" t="n">
        <x:v>2019</x:v>
      </x:c>
      <x:c r="E386" s="46" t="str">
        <x:v>Conger oceanicus</x:v>
      </x:c>
      <x:c r="F386" s="46" t="str">
        <x:v>American conger</x:v>
      </x:c>
      <x:c r="G386" s="46" t="str">
        <x:v>Large demersals (&gt;=90 cm)</x:v>
      </x:c>
      <x:c r="H386" s="46" t="str">
        <x:v>Other fishes &amp; inverts</x:v>
      </x:c>
      <x:c r="I386" s="60" t="n">
        <x:v>0.0421421415</x:v>
      </x:c>
      <x:c r="J386" s="60" t="n">
        <x:v>0.0421421415</x:v>
      </x:c>
      <x:c r="K386" s="60" t="n">
        <x:v>0</x:v>
      </x:c>
      <x:c r="L386" s="60" t="n">
        <x:v>0.0421421415</x:v>
      </x:c>
      <x:c r="M386" s="60" t="n">
        <x:v>0</x:v>
      </x:c>
      <x:c r="N386" s="46" t="str">
        <x:v>conger oceanicus</x:v>
      </x:c>
      <x:c r="O386" s="62" t="n">
        <x:v>4.5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Conger oceanicus</x:v>
      </x:c>
      <x:c r="T386" s="62" t="n">
        <x:f>IF(O386="","",(1/'Metadata'!$B$5)^(O386-1))</x:f>
        <x:v>3162.2776601683795</x:v>
      </x:c>
      <x:c r="U386" s="60" t="n">
        <x:f>IF(T386="","",I386*T386)</x:f>
        <x:v>133.26515261710477</x:v>
      </x:c>
    </x:row>
    <x:row r="387" ht="18" customHeight="1">
      <x:c r="A387" s="46" t="str">
        <x:v>LME_012</x:v>
      </x:c>
      <x:c r="B387" s="46" t="str">
        <x:v>Caribbean Sea</x:v>
      </x:c>
      <x:c r="C387" s="46" t="str">
        <x:v>LME</x:v>
      </x:c>
      <x:c r="D387" s="58" t="n">
        <x:v>2019</x:v>
      </x:c>
      <x:c r="E387" s="46" t="str">
        <x:v>Neomerinthe hemingwayi</x:v>
      </x:c>
      <x:c r="F387" s="46" t="str">
        <x:v>Spinycheek scorpionfish</x:v>
      </x:c>
      <x:c r="G387" s="46" t="str">
        <x:v>Medium demersals (30 - 89 cm)</x:v>
      </x:c>
      <x:c r="H387" s="46" t="str">
        <x:v>Scorpionfishes</x:v>
      </x:c>
      <x:c r="I387" s="60" t="n">
        <x:v>0.0400421484</x:v>
      </x:c>
      <x:c r="J387" s="60" t="n">
        <x:v>0.0400421484</x:v>
      </x:c>
      <x:c r="K387" s="60" t="n">
        <x:v>0</x:v>
      </x:c>
      <x:c r="L387" s="60" t="n">
        <x:v>0.0006055423</x:v>
      </x:c>
      <x:c r="M387" s="60" t="n">
        <x:v>0.0394366061</x:v>
      </x:c>
      <x:c r="N387" s="46" t="str">
        <x:v>neomerinthe hemingwayi</x:v>
      </x:c>
      <x:c r="O387" s="62" t="n">
        <x:v>4.01</x:v>
      </x:c>
      <x:c r="P387" s="46" t="str">
        <x:v>exact_sea_around_us</x:v>
      </x:c>
      <x:c r="Q387" s="62" t="str">
        <x:v>Sea Around Us exploited organisms</x:v>
      </x:c>
      <x:c r="R387" s="46" t="str">
        <x:v>high</x:v>
      </x:c>
      <x:c r="S387" s="46" t="str">
        <x:v>Neomerinthe hemingwayi</x:v>
      </x:c>
      <x:c r="T387" s="62" t="n">
        <x:f>IF(O387="","",(1/'Metadata'!$B$5)^(O387-1))</x:f>
        <x:v>1023.2929922807537</x:v>
      </x:c>
      <x:c r="U387" s="60" t="n">
        <x:f>IF(T387="","",I387*T387)</x:f>
        <x:v>40.97484985358599</x:v>
      </x:c>
    </x:row>
    <x:row r="388" ht="18" customHeight="1">
      <x:c r="A388" s="46" t="str">
        <x:v>LME_012</x:v>
      </x:c>
      <x:c r="B388" s="46" t="str">
        <x:v>Caribbean Sea</x:v>
      </x:c>
      <x:c r="C388" s="46" t="str">
        <x:v>LME</x:v>
      </x:c>
      <x:c r="D388" s="58" t="n">
        <x:v>2019</x:v>
      </x:c>
      <x:c r="E388" s="46" t="str">
        <x:v>Stenorhynchus seticornis</x:v>
      </x:c>
      <x:c r="F388" s="46" t="str">
        <x:v>Yellowline arrow crab</x:v>
      </x:c>
      <x:c r="G388" s="46" t="str">
        <x:v>Lobsters, crabs</x:v>
      </x:c>
      <x:c r="H388" s="46" t="str">
        <x:v>Crustaceans</x:v>
      </x:c>
      <x:c r="I388" s="60" t="n">
        <x:v>0.0354434967</x:v>
      </x:c>
      <x:c r="J388" s="60" t="n">
        <x:v>0.0354434967</x:v>
      </x:c>
      <x:c r="K388" s="60" t="n">
        <x:v>0</x:v>
      </x:c>
      <x:c r="L388" s="60" t="n">
        <x:v>0.0354434967</x:v>
      </x:c>
      <x:c r="M388" s="60" t="n">
        <x:v>0</x:v>
      </x:c>
      <x:c r="N388" s="46" t="str">
        <x:v>stenorhynchus seticornis</x:v>
      </x:c>
      <x:c r="O388" s="62" t="n">
        <x:v>2.86</x:v>
      </x:c>
      <x:c r="P388" s="46" t="str">
        <x:v>exact_sea_around_us</x:v>
      </x:c>
      <x:c r="Q388" s="62" t="str">
        <x:v>Sea Around Us exploited organisms</x:v>
      </x:c>
      <x:c r="R388" s="46" t="str">
        <x:v>high</x:v>
      </x:c>
      <x:c r="S388" s="46" t="str">
        <x:v>Stenorhynchus seticornis</x:v>
      </x:c>
      <x:c r="T388" s="62" t="n">
        <x:f>IF(O388="","",(1/'Metadata'!$B$5)^(O388-1))</x:f>
        <x:v>72.44359600749898</x:v>
      </x:c>
      <x:c r="U388" s="60" t="n">
        <x:f>IF(T388="","",I388*T388)</x:f>
        <x:v>2.5676543560279232</x:v>
      </x:c>
    </x:row>
    <x:row r="389" ht="18" customHeight="1">
      <x:c r="A389" s="46" t="str">
        <x:v>LME_012</x:v>
      </x:c>
      <x:c r="B389" s="46" t="str">
        <x:v>Caribbean Sea</x:v>
      </x:c>
      <x:c r="C389" s="46" t="str">
        <x:v>LME</x:v>
      </x:c>
      <x:c r="D389" s="58" t="n">
        <x:v>2019</x:v>
      </x:c>
      <x:c r="E389" s="46" t="str">
        <x:v>Geryon</x:v>
      </x:c>
      <x:c r="F389" s="46" t="str">
        <x:v>Deepsea crabs</x:v>
      </x:c>
      <x:c r="G389" s="46" t="str">
        <x:v>Lobsters, crabs</x:v>
      </x:c>
      <x:c r="H389" s="46" t="str">
        <x:v>Crustaceans</x:v>
      </x:c>
      <x:c r="I389" s="60" t="n">
        <x:v>0.032448696799999996</x:v>
      </x:c>
      <x:c r="J389" s="60" t="n">
        <x:v>0.032448696799999996</x:v>
      </x:c>
      <x:c r="K389" s="60" t="n">
        <x:v>0</x:v>
      </x:c>
      <x:c r="L389" s="60" t="n">
        <x:v>0</x:v>
      </x:c>
      <x:c r="M389" s="60" t="n">
        <x:v>0.032448696799999996</x:v>
      </x:c>
      <x:c r="N389" s="46" t="str">
        <x:v>geryon</x:v>
      </x:c>
      <x:c r="O389" s="62" t="n">
        <x:v>2.6</x:v>
      </x:c>
      <x:c r="P389" s="46" t="str">
        <x:v>exact_sea_around_us</x:v>
      </x:c>
      <x:c r="Q389" s="62" t="str">
        <x:v>Sea Around Us exploited organisms</x:v>
      </x:c>
      <x:c r="R389" s="46" t="str">
        <x:v>high</x:v>
      </x:c>
      <x:c r="S389" s="46" t="str">
        <x:v>Geryon</x:v>
      </x:c>
      <x:c r="T389" s="62" t="n">
        <x:f>IF(O389="","",(1/'Metadata'!$B$5)^(O389-1))</x:f>
        <x:v>39.810717055349734</x:v>
      </x:c>
      <x:c r="U389" s="60" t="n">
        <x:f>IF(T389="","",I389*T389)</x:f>
        <x:v>1.291805887119632</x:v>
      </x:c>
    </x:row>
    <x:row r="390" ht="18" customHeight="1">
      <x:c r="A390" s="46" t="str">
        <x:v>LME_012</x:v>
      </x:c>
      <x:c r="B390" s="46" t="str">
        <x:v>Caribbean Sea</x:v>
      </x:c>
      <x:c r="C390" s="46" t="str">
        <x:v>LME</x:v>
      </x:c>
      <x:c r="D390" s="58" t="n">
        <x:v>2019</x:v>
      </x:c>
      <x:c r="E390" s="46" t="str">
        <x:v>Kyphosidae</x:v>
      </x:c>
      <x:c r="F390" s="46" t="str">
        <x:v>Sea chubs, knifefishes, niblers</x:v>
      </x:c>
      <x:c r="G390" s="46" t="str">
        <x:v>Medium reef assoc. fish (30 - 89 cm)</x:v>
      </x:c>
      <x:c r="H390" s="46" t="str">
        <x:v>Perch-likes</x:v>
      </x:c>
      <x:c r="I390" s="60" t="n">
        <x:v>0.031687800099999996</x:v>
      </x:c>
      <x:c r="J390" s="60" t="n">
        <x:v>0.0204913533</x:v>
      </x:c>
      <x:c r="K390" s="60" t="n">
        <x:v>0.0111964468</x:v>
      </x:c>
      <x:c r="L390" s="60" t="n">
        <x:v>0.0190483425</x:v>
      </x:c>
      <x:c r="M390" s="60" t="n">
        <x:v>0.0126394576</x:v>
      </x:c>
      <x:c r="N390" s="46" t="str">
        <x:v>kyphosidae</x:v>
      </x:c>
      <x:c r="O390" s="62" t="n">
        <x:v>2.19</x:v>
      </x:c>
      <x:c r="P390" s="46" t="str">
        <x:v>exact_sea_around_us</x:v>
      </x:c>
      <x:c r="Q390" s="62" t="str">
        <x:v>Sea Around Us exploited organisms</x:v>
      </x:c>
      <x:c r="R390" s="46" t="str">
        <x:v>high</x:v>
      </x:c>
      <x:c r="S390" s="46" t="str">
        <x:v>Kyphosidae</x:v>
      </x:c>
      <x:c r="T390" s="62" t="n">
        <x:f>IF(O390="","",(1/'Metadata'!$B$5)^(O390-1))</x:f>
        <x:v>15.488166189124811</x:v>
      </x:c>
      <x:c r="U390" s="60" t="n">
        <x:f>IF(T390="","",I390*T390)</x:f>
        <x:v>0.49078591411656575</x:v>
      </x:c>
    </x:row>
    <x:row r="391" ht="18" customHeight="1">
      <x:c r="A391" s="46" t="str">
        <x:v>LME_012</x:v>
      </x:c>
      <x:c r="B391" s="46" t="str">
        <x:v>Caribbean Sea</x:v>
      </x:c>
      <x:c r="C391" s="46" t="str">
        <x:v>LME</x:v>
      </x:c>
      <x:c r="D391" s="58" t="n">
        <x:v>2019</x:v>
      </x:c>
      <x:c r="E391" s="46" t="str">
        <x:v>Isurus</x:v>
      </x:c>
      <x:c r="F391" s="46" t="str">
        <x:v>Mako sharks</x:v>
      </x:c>
      <x:c r="G391" s="46" t="str">
        <x:v>Large sharks (&gt;=90 cm)</x:v>
      </x:c>
      <x:c r="H391" s="46" t="str">
        <x:v>Sharks &amp; rays</x:v>
      </x:c>
      <x:c r="I391" s="60" t="n">
        <x:v>0.0300019612</x:v>
      </x:c>
      <x:c r="J391" s="60" t="n">
        <x:v>0.0300019612</x:v>
      </x:c>
      <x:c r="K391" s="60" t="n">
        <x:v>0</x:v>
      </x:c>
      <x:c r="L391" s="60" t="n">
        <x:v>0</x:v>
      </x:c>
      <x:c r="M391" s="60" t="n">
        <x:v>0.0300019612</x:v>
      </x:c>
      <x:c r="N391" s="46" t="str">
        <x:v>isurus</x:v>
      </x:c>
      <x:c r="O391" s="62" t="n">
        <x:v>4.5</x:v>
      </x:c>
      <x:c r="P391" s="46" t="str">
        <x:v>exact_sea_around_us</x:v>
      </x:c>
      <x:c r="Q391" s="62" t="str">
        <x:v>Sea Around Us exploited organisms</x:v>
      </x:c>
      <x:c r="R391" s="46" t="str">
        <x:v>high</x:v>
      </x:c>
      <x:c r="S391" s="46" t="str">
        <x:v>Isurus</x:v>
      </x:c>
      <x:c r="T391" s="62" t="n">
        <x:f>IF(O391="","",(1/'Metadata'!$B$5)^(O391-1))</x:f>
        <x:v>3162.2776601683795</x:v>
      </x:c>
      <x:c r="U391" s="60" t="n">
        <x:f>IF(T391="","",I391*T391)</x:f>
        <x:v>94.87453166399851</x:v>
      </x:c>
    </x:row>
    <x:row r="392" ht="18" customHeight="1">
      <x:c r="A392" s="46" t="str">
        <x:v>LME_012</x:v>
      </x:c>
      <x:c r="B392" s="46" t="str">
        <x:v>Caribbean Sea</x:v>
      </x:c>
      <x:c r="C392" s="46" t="str">
        <x:v>LME</x:v>
      </x:c>
      <x:c r="D392" s="58" t="n">
        <x:v>2019</x:v>
      </x:c>
      <x:c r="E392" s="46" t="str">
        <x:v>Sardinella brasiliensis</x:v>
      </x:c>
      <x:c r="F392" s="46" t="str">
        <x:v>Brazilian sardinella</x:v>
      </x:c>
      <x:c r="G392" s="46" t="str">
        <x:v>Small pelagics (&lt;30 cm)</x:v>
      </x:c>
      <x:c r="H392" s="46" t="str">
        <x:v>Herring-likes</x:v>
      </x:c>
      <x:c r="I392" s="60" t="n">
        <x:v>0.025404639200000002</x:v>
      </x:c>
      <x:c r="J392" s="60" t="n">
        <x:v>0.025404639200000002</x:v>
      </x:c>
      <x:c r="K392" s="60" t="n">
        <x:v>0</x:v>
      </x:c>
      <x:c r="L392" s="60" t="n">
        <x:v>0</x:v>
      </x:c>
      <x:c r="M392" s="60" t="n">
        <x:v>0.025404639200000002</x:v>
      </x:c>
      <x:c r="N392" s="46" t="str">
        <x:v>sardinella brasiliensis</x:v>
      </x:c>
      <x:c r="O392" s="62" t="n">
        <x:v>3.1</x:v>
      </x:c>
      <x:c r="P392" s="46" t="str">
        <x:v>exact_2020_supplement</x:v>
      </x:c>
      <x:c r="Q392" s="62" t="str">
        <x:v>2020 supplement MeanTL</x:v>
      </x:c>
      <x:c r="R392" s="46" t="str">
        <x:v>high</x:v>
      </x:c>
      <x:c r="S392" s="46" t="str">
        <x:v>Sardinella brasiliensis</x:v>
      </x:c>
      <x:c r="T392" s="62" t="n">
        <x:f>IF(O392="","",(1/'Metadata'!$B$5)^(O392-1))</x:f>
        <x:v>125.89254117941675</x:v>
      </x:c>
      <x:c r="U392" s="60" t="n">
        <x:f>IF(T392="","",I392*T392)</x:f>
        <x:v>3.1982545866342256</x:v>
      </x:c>
    </x:row>
    <x:row r="393" ht="18" customHeight="1">
      <x:c r="A393" s="46" t="str">
        <x:v>LME_012</x:v>
      </x:c>
      <x:c r="B393" s="46" t="str">
        <x:v>Caribbean Sea</x:v>
      </x:c>
      <x:c r="C393" s="46" t="str">
        <x:v>LME</x:v>
      </x:c>
      <x:c r="D393" s="58" t="n">
        <x:v>2019</x:v>
      </x:c>
      <x:c r="E393" s="46" t="str">
        <x:v>Turbo castanea</x:v>
      </x:c>
      <x:c r="F393" s="46" t="str">
        <x:v>Chestnut turban</x:v>
      </x:c>
      <x:c r="G393" s="46" t="str">
        <x:v>Other demersal invertebrates</x:v>
      </x:c>
      <x:c r="H393" s="46" t="str">
        <x:v>Molluscs</x:v>
      </x:c>
      <x:c r="I393" s="60" t="n">
        <x:v>0.0243571598</x:v>
      </x:c>
      <x:c r="J393" s="60" t="n">
        <x:v>0.0243571598</x:v>
      </x:c>
      <x:c r="K393" s="60" t="n">
        <x:v>0</x:v>
      </x:c>
      <x:c r="L393" s="60" t="n">
        <x:v>0.0243571598</x:v>
      </x:c>
      <x:c r="M393" s="60" t="n">
        <x:v>0</x:v>
      </x:c>
      <x:c r="N393" s="46" t="str">
        <x:v>turbo castanea</x:v>
      </x:c>
      <x:c r="O393" s="62" t="n">
        <x:v>2.1</x:v>
      </x:c>
      <x:c r="P393" s="46" t="str">
        <x:v>exact_sea_around_us</x:v>
      </x:c>
      <x:c r="Q393" s="62" t="str">
        <x:v>Sea Around Us exploited organisms</x:v>
      </x:c>
      <x:c r="R393" s="46" t="str">
        <x:v>high</x:v>
      </x:c>
      <x:c r="S393" s="46" t="str">
        <x:v>Turbo castanea</x:v>
      </x:c>
      <x:c r="T393" s="62" t="n">
        <x:f>IF(O393="","",(1/'Metadata'!$B$5)^(O393-1))</x:f>
        <x:v>12.589254117941675</x:v>
      </x:c>
      <x:c r="U393" s="60" t="n">
        <x:f>IF(T393="","",I393*T393)</x:f>
        <x:v>0.30663847431351343</x:v>
      </x:c>
    </x:row>
    <x:row r="394" ht="18" customHeight="1">
      <x:c r="A394" s="46" t="str">
        <x:v>LME_012</x:v>
      </x:c>
      <x:c r="B394" s="46" t="str">
        <x:v>Caribbean Sea</x:v>
      </x:c>
      <x:c r="C394" s="46" t="str">
        <x:v>LME</x:v>
      </x:c>
      <x:c r="D394" s="58" t="n">
        <x:v>2019</x:v>
      </x:c>
      <x:c r="E394" s="46" t="str">
        <x:v>Carcharhinus longimanus</x:v>
      </x:c>
      <x:c r="F394" s="46" t="str">
        <x:v>Oceanic whitetip shark</x:v>
      </x:c>
      <x:c r="G394" s="46" t="str">
        <x:v>Large sharks (&gt;=90 cm)</x:v>
      </x:c>
      <x:c r="H394" s="46" t="str">
        <x:v>Sharks &amp; rays</x:v>
      </x:c>
      <x:c r="I394" s="60" t="n">
        <x:v>0.0218849173</x:v>
      </x:c>
      <x:c r="J394" s="60" t="n">
        <x:v>0.0218849173</x:v>
      </x:c>
      <x:c r="K394" s="60" t="n">
        <x:v>0</x:v>
      </x:c>
      <x:c r="L394" s="60" t="n">
        <x:v>0.0218849173</x:v>
      </x:c>
      <x:c r="M394" s="60" t="n">
        <x:v>0</x:v>
      </x:c>
      <x:c r="N394" s="46" t="str">
        <x:v>carcharhinus longimanus</x:v>
      </x:c>
      <x:c r="O394" s="62" t="n">
        <x:v>4.16</x:v>
      </x:c>
      <x:c r="P394" s="46" t="str">
        <x:v>exact_2020_supplement</x:v>
      </x:c>
      <x:c r="Q394" s="62" t="str">
        <x:v>2020 supplement MeanTL</x:v>
      </x:c>
      <x:c r="R394" s="46" t="str">
        <x:v>high</x:v>
      </x:c>
      <x:c r="S394" s="46" t="str">
        <x:v>Carcharhinus longimanus</x:v>
      </x:c>
      <x:c r="T394" s="62" t="n">
        <x:f>IF(O394="","",(1/'Metadata'!$B$5)^(O394-1))</x:f>
        <x:v>1445.439770745928</x:v>
      </x:c>
      <x:c r="U394" s="60" t="n">
        <x:f>IF(T394="","",I394*T394)</x:f>
        <x:v>31.633329844905592</x:v>
      </x:c>
    </x:row>
    <x:row r="395" ht="18" customHeight="1">
      <x:c r="A395" s="46" t="str">
        <x:v>LME_012</x:v>
      </x:c>
      <x:c r="B395" s="46" t="str">
        <x:v>Caribbean Sea</x:v>
      </x:c>
      <x:c r="C395" s="46" t="str">
        <x:v>LME</x:v>
      </x:c>
      <x:c r="D395" s="58" t="n">
        <x:v>2019</x:v>
      </x:c>
      <x:c r="E395" s="46" t="str">
        <x:v>Pristipomoides</x:v>
      </x:c>
      <x:c r="F395" s="46" t="str">
        <x:v>Jobfishes</x:v>
      </x:c>
      <x:c r="G395" s="46" t="str">
        <x:v>Medium demersals (30 - 89 cm)</x:v>
      </x:c>
      <x:c r="H395" s="46" t="str">
        <x:v>Perch-likes</x:v>
      </x:c>
      <x:c r="I395" s="60" t="n">
        <x:v>0.0205423886</x:v>
      </x:c>
      <x:c r="J395" s="60" t="n">
        <x:v>0</x:v>
      </x:c>
      <x:c r="K395" s="60" t="n">
        <x:v>0.0205423886</x:v>
      </x:c>
      <x:c r="L395" s="60" t="n">
        <x:v>0</x:v>
      </x:c>
      <x:c r="M395" s="60" t="n">
        <x:v>0.0205423886</x:v>
      </x:c>
      <x:c r="N395" s="46" t="str">
        <x:v>pristipomoides</x:v>
      </x:c>
      <x:c r="O395" s="62" t="n">
        <x:v>3.91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Pristipomoides</x:v>
      </x:c>
      <x:c r="T395" s="62" t="n">
        <x:f>IF(O395="","",(1/'Metadata'!$B$5)^(O395-1))</x:f>
        <x:v>812.8305161640995</x:v>
      </x:c>
      <x:c r="U395" s="60" t="n">
        <x:f>IF(T395="","",I395*T395)</x:f>
        <x:v>16.697480328981513</x:v>
      </x:c>
    </x:row>
    <x:row r="396" ht="18" customHeight="1">
      <x:c r="A396" s="46" t="str">
        <x:v>LME_012</x:v>
      </x:c>
      <x:c r="B396" s="46" t="str">
        <x:v>Caribbean Sea</x:v>
      </x:c>
      <x:c r="C396" s="46" t="str">
        <x:v>LME</x:v>
      </x:c>
      <x:c r="D396" s="58" t="n">
        <x:v>2019</x:v>
      </x:c>
      <x:c r="E396" s="46" t="str">
        <x:v>Lytechinus variegatus</x:v>
      </x:c>
      <x:c r="F396" s="46" t="str">
        <x:v>Green sea urchin</x:v>
      </x:c>
      <x:c r="G396" s="46" t="str">
        <x:v>Other demersal invertebrates</x:v>
      </x:c>
      <x:c r="H396" s="46" t="str">
        <x:v>Other fishes &amp; inverts</x:v>
      </x:c>
      <x:c r="I396" s="60" t="n">
        <x:v>0.0200123556</x:v>
      </x:c>
      <x:c r="J396" s="60" t="n">
        <x:v>0.0200123556</x:v>
      </x:c>
      <x:c r="K396" s="60" t="n">
        <x:v>0</x:v>
      </x:c>
      <x:c r="L396" s="60" t="n">
        <x:v>0.0200123556</x:v>
      </x:c>
      <x:c r="M396" s="60" t="n">
        <x:v>0</x:v>
      </x:c>
      <x:c r="N396" s="46" t="str">
        <x:v>lytechinus variegatus</x:v>
      </x:c>
      <x:c r="O396" s="62" t="n">
        <x:v>2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Lytechinus variegatus</x:v>
      </x:c>
      <x:c r="T396" s="62" t="n">
        <x:f>IF(O396="","",(1/'Metadata'!$B$5)^(O396-1))</x:f>
        <x:v>10</x:v>
      </x:c>
      <x:c r="U396" s="60" t="n">
        <x:f>IF(T396="","",I396*T396)</x:f>
        <x:v>0.200123556</x:v>
      </x:c>
    </x:row>
    <x:row r="397" ht="18" customHeight="1">
      <x:c r="A397" s="46" t="str">
        <x:v>LME_012</x:v>
      </x:c>
      <x:c r="B397" s="46" t="str">
        <x:v>Caribbean Sea</x:v>
      </x:c>
      <x:c r="C397" s="46" t="str">
        <x:v>LME</x:v>
      </x:c>
      <x:c r="D397" s="58" t="n">
        <x:v>2019</x:v>
      </x:c>
      <x:c r="E397" s="46" t="str">
        <x:v>Rhizostomeae</x:v>
      </x:c>
      <x:c r="F397" s="46" t="str">
        <x:v>Oral arm jellyfishes</x:v>
      </x:c>
      <x:c r="G397" s="46" t="str">
        <x:v>Jellyfish</x:v>
      </x:c>
      <x:c r="H397" s="46" t="str">
        <x:v>Other fishes &amp; inverts</x:v>
      </x:c>
      <x:c r="I397" s="60" t="n">
        <x:v>0.018530286</x:v>
      </x:c>
      <x:c r="J397" s="60" t="n">
        <x:v>0.018530286</x:v>
      </x:c>
      <x:c r="K397" s="60" t="n">
        <x:v>0</x:v>
      </x:c>
      <x:c r="L397" s="60" t="n">
        <x:v>0.018530286</x:v>
      </x:c>
      <x:c r="M397" s="60" t="n">
        <x:v>0</x:v>
      </x:c>
      <x:c r="N397" s="46" t="str">
        <x:v>rhizostomeae</x:v>
      </x:c>
      <x:c r="O397" s="62" t="n">
        <x:v>3.46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Rhizostomeae</x:v>
      </x:c>
      <x:c r="T397" s="62" t="n">
        <x:f>IF(O397="","",(1/'Metadata'!$B$5)^(O397-1))</x:f>
        <x:v>288.40315031266056</x:v>
      </x:c>
      <x:c r="U397" s="60" t="n">
        <x:f>IF(T397="","",I397*T397)</x:f>
        <x:v>5.34419285859459</x:v>
      </x:c>
    </x:row>
    <x:row r="398" ht="18" customHeight="1">
      <x:c r="A398" s="46" t="str">
        <x:v>LME_012</x:v>
      </x:c>
      <x:c r="B398" s="46" t="str">
        <x:v>Caribbean Sea</x:v>
      </x:c>
      <x:c r="C398" s="46" t="str">
        <x:v>LME</x:v>
      </x:c>
      <x:c r="D398" s="58" t="n">
        <x:v>2019</x:v>
      </x:c>
      <x:c r="E398" s="46" t="str">
        <x:v>Mercenaria campechiensis</x:v>
      </x:c>
      <x:c r="F398" s="46" t="str">
        <x:v>Southern hardshell clam</x:v>
      </x:c>
      <x:c r="G398" s="46" t="str">
        <x:v>Other demersal invertebrates</x:v>
      </x:c>
      <x:c r="H398" s="46" t="str">
        <x:v>Molluscs</x:v>
      </x:c>
      <x:c r="I398" s="60" t="n">
        <x:v>0.0158078235</x:v>
      </x:c>
      <x:c r="J398" s="60" t="n">
        <x:v>0.0158078235</x:v>
      </x:c>
      <x:c r="K398" s="60" t="n">
        <x:v>0</x:v>
      </x:c>
      <x:c r="L398" s="60" t="n">
        <x:v>0.0158078235</x:v>
      </x:c>
      <x:c r="M398" s="60" t="n">
        <x:v>0</x:v>
      </x:c>
      <x:c r="N398" s="46" t="str">
        <x:v>mercenaria campechiensis</x:v>
      </x:c>
      <x:c r="O398" s="62" t="n">
        <x:v>2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Mercenaria campechiensis</x:v>
      </x:c>
      <x:c r="T398" s="62" t="n">
        <x:f>IF(O398="","",(1/'Metadata'!$B$5)^(O398-1))</x:f>
        <x:v>10</x:v>
      </x:c>
      <x:c r="U398" s="60" t="n">
        <x:f>IF(T398="","",I398*T398)</x:f>
        <x:v>0.15807823499999998</x:v>
      </x:c>
    </x:row>
    <x:row r="399" ht="18" customHeight="1">
      <x:c r="A399" s="46" t="str">
        <x:v>LME_012</x:v>
      </x:c>
      <x:c r="B399" s="46" t="str">
        <x:v>Caribbean Sea</x:v>
      </x:c>
      <x:c r="C399" s="46" t="str">
        <x:v>LME</x:v>
      </x:c>
      <x:c r="D399" s="58" t="n">
        <x:v>2019</x:v>
      </x:c>
      <x:c r="E399" s="46" t="str">
        <x:v>Holacanthus tricolor</x:v>
      </x:c>
      <x:c r="F399" s="46" t="str">
        <x:v>Rock beauty</x:v>
      </x:c>
      <x:c r="G399" s="46" t="str">
        <x:v>Medium reef assoc. fish (30 - 89 cm)</x:v>
      </x:c>
      <x:c r="H399" s="46" t="str">
        <x:v>Perch-likes</x:v>
      </x:c>
      <x:c r="I399" s="60" t="n">
        <x:v>0.015673355800000004</x:v>
      </x:c>
      <x:c r="J399" s="60" t="n">
        <x:v>0.015673355800000004</x:v>
      </x:c>
      <x:c r="K399" s="60" t="n">
        <x:v>0</x:v>
      </x:c>
      <x:c r="L399" s="60" t="n">
        <x:v>0.015673355800000004</x:v>
      </x:c>
      <x:c r="M399" s="60" t="n">
        <x:v>0</x:v>
      </x:c>
      <x:c r="N399" s="46" t="str">
        <x:v>holacanthus tricolor</x:v>
      </x:c>
      <x:c r="O399" s="62" t="n">
        <x:v>3.01</x:v>
      </x:c>
      <x:c r="P399" s="46" t="str">
        <x:v>exact_2020_supplement</x:v>
      </x:c>
      <x:c r="Q399" s="62" t="str">
        <x:v>2020 supplement MeanTL</x:v>
      </x:c>
      <x:c r="R399" s="46" t="str">
        <x:v>high</x:v>
      </x:c>
      <x:c r="S399" s="46" t="str">
        <x:v>Holacanthus tricolor</x:v>
      </x:c>
      <x:c r="T399" s="62" t="n">
        <x:f>IF(O399="","",(1/'Metadata'!$B$5)^(O399-1))</x:f>
        <x:v>102.32929922807536</x:v>
      </x:c>
      <x:c r="U399" s="60" t="n">
        <x:f>IF(T399="","",I399*T399)</x:f>
        <x:v>1.6038435155662907</x:v>
      </x:c>
    </x:row>
    <x:row r="400" ht="18" customHeight="1">
      <x:c r="A400" s="46" t="str">
        <x:v>LME_012</x:v>
      </x:c>
      <x:c r="B400" s="46" t="str">
        <x:v>Caribbean Sea</x:v>
      </x:c>
      <x:c r="C400" s="46" t="str">
        <x:v>LME</x:v>
      </x:c>
      <x:c r="D400" s="58" t="n">
        <x:v>2019</x:v>
      </x:c>
      <x:c r="E400" s="46" t="str">
        <x:v>Acanthurus coeruleus</x:v>
      </x:c>
      <x:c r="F400" s="46" t="str">
        <x:v>Blue tang surgeonfish</x:v>
      </x:c>
      <x:c r="G400" s="46" t="str">
        <x:v>Medium reef assoc. fish (30 - 89 cm)</x:v>
      </x:c>
      <x:c r="H400" s="46" t="str">
        <x:v>Perch-likes</x:v>
      </x:c>
      <x:c r="I400" s="60" t="n">
        <x:v>0.0149661848</x:v>
      </x:c>
      <x:c r="J400" s="60" t="n">
        <x:v>0.0149661848</x:v>
      </x:c>
      <x:c r="K400" s="60" t="n">
        <x:v>0</x:v>
      </x:c>
      <x:c r="L400" s="60" t="n">
        <x:v>0.0149661848</x:v>
      </x:c>
      <x:c r="M400" s="60" t="n">
        <x:v>0</x:v>
      </x:c>
      <x:c r="N400" s="46" t="str">
        <x:v>acanthurus coeruleus</x:v>
      </x:c>
      <x:c r="O400" s="62" t="n">
        <x:v>2.01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Acanthurus coeruleus</x:v>
      </x:c>
      <x:c r="T400" s="62" t="n">
        <x:f>IF(O400="","",(1/'Metadata'!$B$5)^(O400-1))</x:f>
        <x:v>10.232929922807536</x:v>
      </x:c>
      <x:c r="U400" s="60" t="n">
        <x:f>IF(T400="","",I400*T400)</x:f>
        <x:v>0.1531479202701873</x:v>
      </x:c>
    </x:row>
    <x:row r="401" ht="18" customHeight="1">
      <x:c r="A401" s="46" t="str">
        <x:v>LME_012</x:v>
      </x:c>
      <x:c r="B401" s="46" t="str">
        <x:v>Caribbean Sea</x:v>
      </x:c>
      <x:c r="C401" s="46" t="str">
        <x:v>LME</x:v>
      </x:c>
      <x:c r="D401" s="58" t="n">
        <x:v>2019</x:v>
      </x:c>
      <x:c r="E401" s="46" t="str">
        <x:v>Stenotomus chrysops</x:v>
      </x:c>
      <x:c r="F401" s="46" t="str">
        <x:v>Scup</x:v>
      </x:c>
      <x:c r="G401" s="46" t="str">
        <x:v>Medium demersals (30 - 89 cm)</x:v>
      </x:c>
      <x:c r="H401" s="46" t="str">
        <x:v>Perch-likes</x:v>
      </x:c>
      <x:c r="I401" s="60" t="n">
        <x:v>0.014340461200000001</x:v>
      </x:c>
      <x:c r="J401" s="60" t="n">
        <x:v>0.014272369200000001</x:v>
      </x:c>
      <x:c r="K401" s="60" t="n">
        <x:v>0.000068092</x:v>
      </x:c>
      <x:c r="L401" s="60" t="n">
        <x:v>0.0137435535</x:v>
      </x:c>
      <x:c r="M401" s="60" t="n">
        <x:v>0.0005969077000000001</x:v>
      </x:c>
      <x:c r="N401" s="46" t="str">
        <x:v>stenotomus chrysops</x:v>
      </x:c>
      <x:c r="O401" s="62" t="n">
        <x:v>3.82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Stenotomus chrysops</x:v>
      </x:c>
      <x:c r="T401" s="62" t="n">
        <x:f>IF(O401="","",(1/'Metadata'!$B$5)^(O401-1))</x:f>
        <x:v>660.6934480075957</x:v>
      </x:c>
      <x:c r="U401" s="60" t="n">
        <x:f>IF(T401="","",I401*T401)</x:f>
        <x:v>9.474648756247145</x:v>
      </x:c>
    </x:row>
    <x:row r="402" ht="18" customHeight="1">
      <x:c r="A402" s="46" t="str">
        <x:v>LME_012</x:v>
      </x:c>
      <x:c r="B402" s="46" t="str">
        <x:v>Caribbean Sea</x:v>
      </x:c>
      <x:c r="C402" s="46" t="str">
        <x:v>LME</x:v>
      </x:c>
      <x:c r="D402" s="58" t="n">
        <x:v>2019</x:v>
      </x:c>
      <x:c r="E402" s="46" t="str">
        <x:v>Aluterus</x:v>
      </x:c>
      <x:c r="F402" s="46" t="str">
        <x:v>Aluterid filefishes</x:v>
      </x:c>
      <x:c r="G402" s="46" t="str">
        <x:v>Large reef assoc. fish (&gt;=90 cm)</x:v>
      </x:c>
      <x:c r="H402" s="46" t="str">
        <x:v>Other fishes &amp; inverts</x:v>
      </x:c>
      <x:c r="I402" s="60" t="n">
        <x:v>0.0131174744</x:v>
      </x:c>
      <x:c r="J402" s="60" t="n">
        <x:v>0</x:v>
      </x:c>
      <x:c r="K402" s="60" t="n">
        <x:v>0.0131174744</x:v>
      </x:c>
      <x:c r="L402" s="60" t="n">
        <x:v>0</x:v>
      </x:c>
      <x:c r="M402" s="60" t="n">
        <x:v>0.0131174744</x:v>
      </x:c>
      <x:c r="N402" s="46" t="str">
        <x:v>aluterus</x:v>
      </x:c>
      <x:c r="O402" s="62" t="n">
        <x:v>2.81</x:v>
      </x:c>
      <x:c r="P402" s="46" t="str">
        <x:v>exact_sea_around_us</x:v>
      </x:c>
      <x:c r="Q402" s="62" t="str">
        <x:v>Sea Around Us exploited organisms</x:v>
      </x:c>
      <x:c r="R402" s="46" t="str">
        <x:v>high</x:v>
      </x:c>
      <x:c r="S402" s="46" t="str">
        <x:v>Aluterus</x:v>
      </x:c>
      <x:c r="T402" s="62" t="n">
        <x:f>IF(O402="","",(1/'Metadata'!$B$5)^(O402-1))</x:f>
        <x:v>64.56542290346556</x:v>
      </x:c>
      <x:c r="U402" s="60" t="n">
        <x:f>IF(T402="","",I402*T402)</x:f>
        <x:v>0.8469352820613832</x:v>
      </x:c>
    </x:row>
    <x:row r="403" ht="18" customHeight="1">
      <x:c r="A403" s="46" t="str">
        <x:v>LME_012</x:v>
      </x:c>
      <x:c r="B403" s="46" t="str">
        <x:v>Caribbean Sea</x:v>
      </x:c>
      <x:c r="C403" s="46" t="str">
        <x:v>LME</x:v>
      </x:c>
      <x:c r="D403" s="58" t="n">
        <x:v>2019</x:v>
      </x:c>
      <x:c r="E403" s="46" t="str">
        <x:v>Opsanus tau</x:v>
      </x:c>
      <x:c r="F403" s="46" t="str">
        <x:v>Oyster toadfish</x:v>
      </x:c>
      <x:c r="G403" s="46" t="str">
        <x:v>Medium reef assoc. fish (30 - 89 cm)</x:v>
      </x:c>
      <x:c r="H403" s="46" t="str">
        <x:v>Other fishes &amp; inverts</x:v>
      </x:c>
      <x:c r="I403" s="60" t="n">
        <x:v>0.0100814503</x:v>
      </x:c>
      <x:c r="J403" s="60" t="n">
        <x:v>0.0100814503</x:v>
      </x:c>
      <x:c r="K403" s="60" t="n">
        <x:v>0</x:v>
      </x:c>
      <x:c r="L403" s="60" t="n">
        <x:v>0</x:v>
      </x:c>
      <x:c r="M403" s="60" t="n">
        <x:v>0.0100814503</x:v>
      </x:c>
      <x:c r="N403" s="46" t="str">
        <x:v>opsanus tau</x:v>
      </x:c>
      <x:c r="O403" s="62" t="n">
        <x:v>3.84</x:v>
      </x:c>
      <x:c r="P403" s="46" t="str">
        <x:v>exact_2020_supplement</x:v>
      </x:c>
      <x:c r="Q403" s="62" t="str">
        <x:v>2020 supplement MeanTL</x:v>
      </x:c>
      <x:c r="R403" s="46" t="str">
        <x:v>high</x:v>
      </x:c>
      <x:c r="S403" s="46" t="str">
        <x:v>Opsanus tau</x:v>
      </x:c>
      <x:c r="T403" s="62" t="n">
        <x:f>IF(O403="","",(1/'Metadata'!$B$5)^(O403-1))</x:f>
        <x:v>691.8309709189363</x:v>
      </x:c>
      <x:c r="U403" s="60" t="n">
        <x:f>IF(T403="","",I403*T403)</x:f>
        <x:v>6.974659549320001</x:v>
      </x:c>
    </x:row>
    <x:row r="404" ht="18" customHeight="1">
      <x:c r="A404" s="46" t="str">
        <x:v>LME_012</x:v>
      </x:c>
      <x:c r="B404" s="46" t="str">
        <x:v>Caribbean Sea</x:v>
      </x:c>
      <x:c r="C404" s="46" t="str">
        <x:v>LME</x:v>
      </x:c>
      <x:c r="D404" s="58" t="n">
        <x:v>2019</x:v>
      </x:c>
      <x:c r="E404" s="46" t="str">
        <x:v>Hyperoglyphe bythites</x:v>
      </x:c>
      <x:c r="F404" s="46" t="str">
        <x:v>Black driftfish</x:v>
      </x:c>
      <x:c r="G404" s="46" t="str">
        <x:v>Medium pelagics (30 - 89 cm)</x:v>
      </x:c>
      <x:c r="H404" s="46" t="str">
        <x:v>Perch-likes</x:v>
      </x:c>
      <x:c r="I404" s="60" t="n">
        <x:v>0.0091198618</x:v>
      </x:c>
      <x:c r="J404" s="60" t="n">
        <x:v>0.0091198618</x:v>
      </x:c>
      <x:c r="K404" s="60" t="n">
        <x:v>0</x:v>
      </x:c>
      <x:c r="L404" s="60" t="n">
        <x:v>0.0091198618</x:v>
      </x:c>
      <x:c r="M404" s="60" t="n">
        <x:v>0</x:v>
      </x:c>
      <x:c r="N404" s="46" t="str">
        <x:v>hyperoglyphe bythites</x:v>
      </x:c>
      <x:c r="O404" s="62" t="n">
        <x:v>3.26</x:v>
      </x:c>
      <x:c r="P404" s="46" t="str">
        <x:v>exact_sea_around_us</x:v>
      </x:c>
      <x:c r="Q404" s="62" t="str">
        <x:v>Sea Around Us exploited organisms</x:v>
      </x:c>
      <x:c r="R404" s="46" t="str">
        <x:v>high</x:v>
      </x:c>
      <x:c r="S404" s="46" t="str">
        <x:v>Hyperoglyphe bythites</x:v>
      </x:c>
      <x:c r="T404" s="62" t="n">
        <x:f>IF(O404="","",(1/'Metadata'!$B$5)^(O404-1))</x:f>
        <x:v>181.97008586099827</x:v>
      </x:c>
      <x:c r="U404" s="60" t="n">
        <x:f>IF(T404="","",I404*T404)</x:f>
        <x:v>1.6595420347864382</x:v>
      </x:c>
    </x:row>
    <x:row r="405" ht="18" customHeight="1">
      <x:c r="A405" s="46" t="str">
        <x:v>LME_012</x:v>
      </x:c>
      <x:c r="B405" s="46" t="str">
        <x:v>Caribbean Sea</x:v>
      </x:c>
      <x:c r="C405" s="46" t="str">
        <x:v>LME</x:v>
      </x:c>
      <x:c r="D405" s="58" t="n">
        <x:v>2019</x:v>
      </x:c>
      <x:c r="E405" s="46" t="str">
        <x:v>Pareques acuminatus</x:v>
      </x:c>
      <x:c r="F405" s="46" t="str">
        <x:v>High-hat</x:v>
      </x:c>
      <x:c r="G405" s="46" t="str">
        <x:v>Small reef assoc. fish (&lt;30 cm)</x:v>
      </x:c>
      <x:c r="H405" s="46" t="str">
        <x:v>Perch-likes</x:v>
      </x:c>
      <x:c r="I405" s="60" t="n">
        <x:v>0.0090238312</x:v>
      </x:c>
      <x:c r="J405" s="60" t="n">
        <x:v>0.0090238312</x:v>
      </x:c>
      <x:c r="K405" s="60" t="n">
        <x:v>0</x:v>
      </x:c>
      <x:c r="L405" s="60" t="n">
        <x:v>0.0090238312</x:v>
      </x:c>
      <x:c r="M405" s="60" t="n">
        <x:v>0</x:v>
      </x:c>
      <x:c r="N405" s="46" t="str">
        <x:v>pareques acuminatus</x:v>
      </x:c>
      <x:c r="O405" s="62" t="n">
        <x:v>3.59</x:v>
      </x:c>
      <x:c r="P405" s="46" t="str">
        <x:v>exact_2020_supplement</x:v>
      </x:c>
      <x:c r="Q405" s="62" t="str">
        <x:v>2020 supplement MeanTL</x:v>
      </x:c>
      <x:c r="R405" s="46" t="str">
        <x:v>high</x:v>
      </x:c>
      <x:c r="S405" s="46" t="str">
        <x:v>Pareques acuminatus</x:v>
      </x:c>
      <x:c r="T405" s="62" t="n">
        <x:f>IF(O405="","",(1/'Metadata'!$B$5)^(O405-1))</x:f>
        <x:v>389.04514499428046</x:v>
      </x:c>
      <x:c r="U405" s="60" t="n">
        <x:f>IF(T405="","",I405*T405)</x:f>
        <x:v>3.510677717607912</x:v>
      </x:c>
    </x:row>
    <x:row r="406" ht="18" customHeight="1">
      <x:c r="A406" s="46" t="str">
        <x:v>LME_012</x:v>
      </x:c>
      <x:c r="B406" s="46" t="str">
        <x:v>Caribbean Sea</x:v>
      </x:c>
      <x:c r="C406" s="46" t="str">
        <x:v>LME</x:v>
      </x:c>
      <x:c r="D406" s="58" t="n">
        <x:v>2019</x:v>
      </x:c>
      <x:c r="E406" s="46" t="str">
        <x:v>Hypoplectrus unicolor</x:v>
      </x:c>
      <x:c r="F406" s="46" t="str">
        <x:v>Butter hamlet</x:v>
      </x:c>
      <x:c r="G406" s="46" t="str">
        <x:v>Small reef assoc. fish (&lt;30 cm)</x:v>
      </x:c>
      <x:c r="H406" s="46" t="str">
        <x:v>Perch-likes</x:v>
      </x:c>
      <x:c r="I406" s="60" t="n">
        <x:v>0.0079289849</x:v>
      </x:c>
      <x:c r="J406" s="60" t="n">
        <x:v>0.0079289849</x:v>
      </x:c>
      <x:c r="K406" s="60" t="n">
        <x:v>0</x:v>
      </x:c>
      <x:c r="L406" s="60" t="n">
        <x:v>0.0079289849</x:v>
      </x:c>
      <x:c r="M406" s="60" t="n">
        <x:v>0</x:v>
      </x:c>
      <x:c r="N406" s="46" t="str">
        <x:v>hypoplectrus unicolor</x:v>
      </x:c>
      <x:c r="O406" s="62" t="n">
        <x:v>3.97</x:v>
      </x:c>
      <x:c r="P406" s="46" t="str">
        <x:v>exact_2020_supplement</x:v>
      </x:c>
      <x:c r="Q406" s="62" t="str">
        <x:v>2020 supplement MeanTL</x:v>
      </x:c>
      <x:c r="R406" s="46" t="str">
        <x:v>high</x:v>
      </x:c>
      <x:c r="S406" s="46" t="str">
        <x:v>Hypoplectrus unicolor</x:v>
      </x:c>
      <x:c r="T406" s="62" t="n">
        <x:f>IF(O406="","",(1/'Metadata'!$B$5)^(O406-1))</x:f>
        <x:v>933.2543007969915</x:v>
      </x:c>
      <x:c r="U406" s="60" t="n">
        <x:f>IF(T406="","",I406*T406)</x:f>
        <x:v>7.399759258879404</x:v>
      </x:c>
    </x:row>
    <x:row r="407" ht="18" customHeight="1">
      <x:c r="A407" s="46" t="str">
        <x:v>LME_012</x:v>
      </x:c>
      <x:c r="B407" s="46" t="str">
        <x:v>Caribbean Sea</x:v>
      </x:c>
      <x:c r="C407" s="46" t="str">
        <x:v>LME</x:v>
      </x:c>
      <x:c r="D407" s="58" t="n">
        <x:v>2019</x:v>
      </x:c>
      <x:c r="E407" s="46" t="str">
        <x:v>Chaetodon capistratus</x:v>
      </x:c>
      <x:c r="F407" s="46" t="str">
        <x:v>Foureye butterflyfish</x:v>
      </x:c>
      <x:c r="G407" s="46" t="str">
        <x:v>Small reef assoc. fish (&lt;30 cm)</x:v>
      </x:c>
      <x:c r="H407" s="46" t="str">
        <x:v>Perch-likes</x:v>
      </x:c>
      <x:c r="I407" s="60" t="n">
        <x:v>0.0078965392</x:v>
      </x:c>
      <x:c r="J407" s="60" t="n">
        <x:v>0.0078965392</x:v>
      </x:c>
      <x:c r="K407" s="60" t="n">
        <x:v>0</x:v>
      </x:c>
      <x:c r="L407" s="60" t="n">
        <x:v>0.0078965392</x:v>
      </x:c>
      <x:c r="M407" s="60" t="n">
        <x:v>0</x:v>
      </x:c>
      <x:c r="N407" s="46" t="str">
        <x:v>chaetodon capistratus</x:v>
      </x:c>
      <x:c r="O407" s="62" t="n">
        <x:v>3.43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Chaetodon capistratus</x:v>
      </x:c>
      <x:c r="T407" s="62" t="n">
        <x:f>IF(O407="","",(1/'Metadata'!$B$5)^(O407-1))</x:f>
        <x:v>269.1534803926917</x:v>
      </x:c>
      <x:c r="U407" s="60" t="n">
        <x:f>IF(T407="","",I407*T407)</x:f>
        <x:v>2.1253810087373215</x:v>
      </x:c>
    </x:row>
    <x:row r="408" ht="18" customHeight="1">
      <x:c r="A408" s="46" t="str">
        <x:v>LME_012</x:v>
      </x:c>
      <x:c r="B408" s="46" t="str">
        <x:v>Caribbean Sea</x:v>
      </x:c>
      <x:c r="C408" s="46" t="str">
        <x:v>LME</x:v>
      </x:c>
      <x:c r="D408" s="58" t="n">
        <x:v>2019</x:v>
      </x:c>
      <x:c r="E408" s="46" t="str">
        <x:v>Hippocampus zosterae</x:v>
      </x:c>
      <x:c r="F408" s="46" t="str">
        <x:v>Dwarf seahorse</x:v>
      </x:c>
      <x:c r="G408" s="46" t="str">
        <x:v>Small demersals (&lt;30 cm)</x:v>
      </x:c>
      <x:c r="H408" s="46" t="str">
        <x:v>Other fishes &amp; inverts</x:v>
      </x:c>
      <x:c r="I408" s="60" t="n">
        <x:v>0.007834352</x:v>
      </x:c>
      <x:c r="J408" s="60" t="n">
        <x:v>0.007834352</x:v>
      </x:c>
      <x:c r="K408" s="60" t="n">
        <x:v>0</x:v>
      </x:c>
      <x:c r="L408" s="60" t="n">
        <x:v>0.007834352</x:v>
      </x:c>
      <x:c r="M408" s="60" t="n">
        <x:v>0</x:v>
      </x:c>
      <x:c r="N408" s="46" t="str">
        <x:v>hippocampus zosterae</x:v>
      </x:c>
      <x:c r="O408" s="62" t="n">
        <x:v>3.19</x:v>
      </x:c>
      <x:c r="P408" s="46" t="str">
        <x:v>exact_sea_around_us</x:v>
      </x:c>
      <x:c r="Q408" s="62" t="str">
        <x:v>Sea Around Us exploited organisms</x:v>
      </x:c>
      <x:c r="R408" s="46" t="str">
        <x:v>high</x:v>
      </x:c>
      <x:c r="S408" s="46" t="str">
        <x:v>Hippocampus zosterae</x:v>
      </x:c>
      <x:c r="T408" s="62" t="n">
        <x:f>IF(O408="","",(1/'Metadata'!$B$5)^(O408-1))</x:f>
        <x:v>154.88166189124811</x:v>
      </x:c>
      <x:c r="U408" s="60" t="n">
        <x:f>IF(T408="","",I408*T408)</x:f>
        <x:v>1.2133974576010234</x:v>
      </x:c>
    </x:row>
    <x:row r="409" ht="18" customHeight="1">
      <x:c r="A409" s="46" t="str">
        <x:v>LME_012</x:v>
      </x:c>
      <x:c r="B409" s="46" t="str">
        <x:v>Caribbean Sea</x:v>
      </x:c>
      <x:c r="C409" s="46" t="str">
        <x:v>LME</x:v>
      </x:c>
      <x:c r="D409" s="58" t="n">
        <x:v>2019</x:v>
      </x:c>
      <x:c r="E409" s="46" t="str">
        <x:v>Ophioderma brevispinum</x:v>
      </x:c>
      <x:c r="F409" s="46" t="str">
        <x:v>Short-spined brittle star</x:v>
      </x:c>
      <x:c r="G409" s="46" t="str">
        <x:v>Other demersal invertebrates</x:v>
      </x:c>
      <x:c r="H409" s="46" t="str">
        <x:v>Other fishes &amp; inverts</x:v>
      </x:c>
      <x:c r="I409" s="60" t="n">
        <x:v>0.0074185864</x:v>
      </x:c>
      <x:c r="J409" s="60" t="n">
        <x:v>0.0074185864</x:v>
      </x:c>
      <x:c r="K409" s="60" t="n">
        <x:v>0</x:v>
      </x:c>
      <x:c r="L409" s="60" t="n">
        <x:v>0.0074185864</x:v>
      </x:c>
      <x:c r="M409" s="60" t="n">
        <x:v>0</x:v>
      </x:c>
      <x:c r="N409" s="46" t="str">
        <x:v>ophioderma brevispinum</x:v>
      </x:c>
      <x:c r="O409" s="62" t="n">
        <x:v>3.22</x:v>
      </x:c>
      <x:c r="P409" s="46" t="str">
        <x:v>exact_sea_around_us</x:v>
      </x:c>
      <x:c r="Q409" s="62" t="str">
        <x:v>Sea Around Us exploited organisms</x:v>
      </x:c>
      <x:c r="R409" s="46" t="str">
        <x:v>high</x:v>
      </x:c>
      <x:c r="S409" s="46" t="str">
        <x:v>Ophioderma brevispinum</x:v>
      </x:c>
      <x:c r="T409" s="62" t="n">
        <x:f>IF(O409="","",(1/'Metadata'!$B$5)^(O409-1))</x:f>
        <x:v>165.95869074375614</x:v>
      </x:c>
      <x:c r="U409" s="60" t="n">
        <x:f>IF(T409="","",I409*T409)</x:f>
        <x:v>1.2311788861134352</x:v>
      </x:c>
    </x:row>
    <x:row r="410" ht="18" customHeight="1">
      <x:c r="A410" s="46" t="str">
        <x:v>LME_012</x:v>
      </x:c>
      <x:c r="B410" s="46" t="str">
        <x:v>Caribbean Sea</x:v>
      </x:c>
      <x:c r="C410" s="46" t="str">
        <x:v>LME</x:v>
      </x:c>
      <x:c r="D410" s="58" t="n">
        <x:v>2019</x:v>
      </x:c>
      <x:c r="E410" s="46" t="str">
        <x:v>Ophiocoma echinata</x:v>
      </x:c>
      <x:c r="F410" s="46" t="str">
        <x:v>Black brittle star</x:v>
      </x:c>
      <x:c r="G410" s="46" t="str">
        <x:v>Other demersal invertebrates</x:v>
      </x:c>
      <x:c r="H410" s="46" t="str">
        <x:v>Other fishes &amp; inverts</x:v>
      </x:c>
      <x:c r="I410" s="60" t="n">
        <x:v>0.0065157627</x:v>
      </x:c>
      <x:c r="J410" s="60" t="n">
        <x:v>0.0065157627</x:v>
      </x:c>
      <x:c r="K410" s="60" t="n">
        <x:v>0</x:v>
      </x:c>
      <x:c r="L410" s="60" t="n">
        <x:v>0.0065157627</x:v>
      </x:c>
      <x:c r="M410" s="60" t="n">
        <x:v>0</x:v>
      </x:c>
      <x:c r="N410" s="46" t="str">
        <x:v>ophiocoma echinata</x:v>
      </x:c>
      <x:c r="O410" s="62" t="n">
        <x:v>2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Ophiocoma echinata</x:v>
      </x:c>
      <x:c r="T410" s="62" t="n">
        <x:f>IF(O410="","",(1/'Metadata'!$B$5)^(O410-1))</x:f>
        <x:v>10</x:v>
      </x:c>
      <x:c r="U410" s="60" t="n">
        <x:f>IF(T410="","",I410*T410)</x:f>
        <x:v>0.065157627</x:v>
      </x:c>
    </x:row>
    <x:row r="411" ht="18" customHeight="1">
      <x:c r="A411" s="46" t="str">
        <x:v>LME_012</x:v>
      </x:c>
      <x:c r="B411" s="46" t="str">
        <x:v>Caribbean Sea</x:v>
      </x:c>
      <x:c r="C411" s="46" t="str">
        <x:v>LME</x:v>
      </x:c>
      <x:c r="D411" s="58" t="n">
        <x:v>2019</x:v>
      </x:c>
      <x:c r="E411" s="46" t="str">
        <x:v>Canthigaster rostrata</x:v>
      </x:c>
      <x:c r="F411" s="46" t="str">
        <x:v>Caribbean sharpnose-puffer</x:v>
      </x:c>
      <x:c r="G411" s="46" t="str">
        <x:v>Small reef assoc. fish (&lt;30 cm)</x:v>
      </x:c>
      <x:c r="H411" s="46" t="str">
        <x:v>Other fishes &amp; inverts</x:v>
      </x:c>
      <x:c r="I411" s="60" t="n">
        <x:v>0.006379516900000001</x:v>
      </x:c>
      <x:c r="J411" s="60" t="n">
        <x:v>0.006379516900000001</x:v>
      </x:c>
      <x:c r="K411" s="60" t="n">
        <x:v>0</x:v>
      </x:c>
      <x:c r="L411" s="60" t="n">
        <x:v>0.006379516900000001</x:v>
      </x:c>
      <x:c r="M411" s="60" t="n">
        <x:v>0</x:v>
      </x:c>
      <x:c r="N411" s="46" t="str">
        <x:v>canthigaster rostrata</x:v>
      </x:c>
      <x:c r="O411" s="62" t="n">
        <x:v>3.28</x:v>
      </x:c>
      <x:c r="P411" s="46" t="str">
        <x:v>exact_2020_supplement</x:v>
      </x:c>
      <x:c r="Q411" s="62" t="str">
        <x:v>2020 supplement MeanTL</x:v>
      </x:c>
      <x:c r="R411" s="46" t="str">
        <x:v>high</x:v>
      </x:c>
      <x:c r="S411" s="46" t="str">
        <x:v>Canthigaster rostrata</x:v>
      </x:c>
      <x:c r="T411" s="62" t="n">
        <x:f>IF(O411="","",(1/'Metadata'!$B$5)^(O411-1))</x:f>
        <x:v>190.54607179632464</x:v>
      </x:c>
      <x:c r="U411" s="60" t="n">
        <x:f>IF(T411="","",I411*T411)</x:f>
        <x:v>1.2155918852532666</x:v>
      </x:c>
    </x:row>
    <x:row r="412" ht="18" customHeight="1">
      <x:c r="A412" s="46" t="str">
        <x:v>LME_012</x:v>
      </x:c>
      <x:c r="B412" s="46" t="str">
        <x:v>Caribbean Sea</x:v>
      </x:c>
      <x:c r="C412" s="46" t="str">
        <x:v>LME</x:v>
      </x:c>
      <x:c r="D412" s="58" t="n">
        <x:v>2019</x:v>
      </x:c>
      <x:c r="E412" s="46" t="str">
        <x:v>Melichthys niger</x:v>
      </x:c>
      <x:c r="F412" s="46" t="str">
        <x:v>Black triggerfish</x:v>
      </x:c>
      <x:c r="G412" s="46" t="str">
        <x:v>Medium reef assoc. fish (30 - 89 cm)</x:v>
      </x:c>
      <x:c r="H412" s="46" t="str">
        <x:v>Other fishes &amp; inverts</x:v>
      </x:c>
      <x:c r="I412" s="60" t="n">
        <x:v>0.0061541136</x:v>
      </x:c>
      <x:c r="J412" s="60" t="n">
        <x:v>0.0061541136</x:v>
      </x:c>
      <x:c r="K412" s="60" t="n">
        <x:v>0</x:v>
      </x:c>
      <x:c r="L412" s="60" t="n">
        <x:v>0</x:v>
      </x:c>
      <x:c r="M412" s="60" t="n">
        <x:v>0.0061541136</x:v>
      </x:c>
      <x:c r="N412" s="46" t="str">
        <x:v>melichthys niger</x:v>
      </x:c>
      <x:c r="O412" s="62" t="n">
        <x:v>2.39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Melichthys niger</x:v>
      </x:c>
      <x:c r="T412" s="62" t="n">
        <x:f>IF(O412="","",(1/'Metadata'!$B$5)^(O412-1))</x:f>
        <x:v>24.547089156850312</x:v>
      </x:c>
      <x:c r="U412" s="60" t="n">
        <x:f>IF(T412="","",I412*T412)</x:f>
        <x:v>0.15106557522058506</x:v>
      </x:c>
    </x:row>
    <x:row r="413" ht="18" customHeight="1">
      <x:c r="A413" s="46" t="str">
        <x:v>LME_012</x:v>
      </x:c>
      <x:c r="B413" s="46" t="str">
        <x:v>Caribbean Sea</x:v>
      </x:c>
      <x:c r="C413" s="46" t="str">
        <x:v>LME</x:v>
      </x:c>
      <x:c r="D413" s="58" t="n">
        <x:v>2019</x:v>
      </x:c>
      <x:c r="E413" s="46" t="str">
        <x:v>Elysia crispata</x:v>
      </x:c>
      <x:c r="F413" s="46" t="str">
        <x:v>Lettuce seaslug</x:v>
      </x:c>
      <x:c r="G413" s="46" t="str">
        <x:v>Other demersal invertebrates</x:v>
      </x:c>
      <x:c r="H413" s="46" t="str">
        <x:v>Molluscs</x:v>
      </x:c>
      <x:c r="I413" s="60" t="n">
        <x:v>0.005830164499999999</x:v>
      </x:c>
      <x:c r="J413" s="60" t="n">
        <x:v>0.005830164499999999</x:v>
      </x:c>
      <x:c r="K413" s="60" t="n">
        <x:v>0</x:v>
      </x:c>
      <x:c r="L413" s="60" t="n">
        <x:v>0.005830164499999999</x:v>
      </x:c>
      <x:c r="M413" s="60" t="n">
        <x:v>0</x:v>
      </x:c>
      <x:c r="N413" s="46" t="str">
        <x:v>elysia crispata</x:v>
      </x:c>
      <x:c r="O413" s="62" t="n">
        <x:v>2.19</x:v>
      </x:c>
      <x:c r="P413" s="46" t="str">
        <x:v>exact_sea_around_us</x:v>
      </x:c>
      <x:c r="Q413" s="62" t="str">
        <x:v>Sea Around Us exploited organisms</x:v>
      </x:c>
      <x:c r="R413" s="46" t="str">
        <x:v>high</x:v>
      </x:c>
      <x:c r="S413" s="46" t="str">
        <x:v>Elysia crispata</x:v>
      </x:c>
      <x:c r="T413" s="62" t="n">
        <x:f>IF(O413="","",(1/'Metadata'!$B$5)^(O413-1))</x:f>
        <x:v>15.488166189124811</x:v>
      </x:c>
      <x:c r="U413" s="60" t="n">
        <x:f>IF(T413="","",I413*T413)</x:f>
        <x:v>0.09029855668593575</x:v>
      </x:c>
    </x:row>
    <x:row r="414" ht="18" customHeight="1">
      <x:c r="A414" s="46" t="str">
        <x:v>LME_012</x:v>
      </x:c>
      <x:c r="B414" s="46" t="str">
        <x:v>Caribbean Sea</x:v>
      </x:c>
      <x:c r="C414" s="46" t="str">
        <x:v>LME</x:v>
      </x:c>
      <x:c r="D414" s="58" t="n">
        <x:v>2019</x:v>
      </x:c>
      <x:c r="E414" s="46" t="str">
        <x:v>Oligoplites saurus</x:v>
      </x:c>
      <x:c r="F414" s="46" t="str">
        <x:v>Leatherjacket</x:v>
      </x:c>
      <x:c r="G414" s="46" t="str">
        <x:v>Medium reef assoc. fish (30 - 89 cm)</x:v>
      </x:c>
      <x:c r="H414" s="46" t="str">
        <x:v>Perch-likes</x:v>
      </x:c>
      <x:c r="I414" s="60" t="n">
        <x:v>0.005580199</x:v>
      </x:c>
      <x:c r="J414" s="60" t="n">
        <x:v>0.005580199</x:v>
      </x:c>
      <x:c r="K414" s="60" t="n">
        <x:v>0</x:v>
      </x:c>
      <x:c r="L414" s="60" t="n">
        <x:v>0</x:v>
      </x:c>
      <x:c r="M414" s="60" t="n">
        <x:v>0.005580199</x:v>
      </x:c>
      <x:c r="N414" s="46" t="str">
        <x:v>oligoplites saurus</x:v>
      </x:c>
      <x:c r="O414" s="62" t="n">
        <x:v>4.33</x:v>
      </x:c>
      <x:c r="P414" s="46" t="str">
        <x:v>exact_2020_supplement</x:v>
      </x:c>
      <x:c r="Q414" s="62" t="str">
        <x:v>2020 supplement MeanTL</x:v>
      </x:c>
      <x:c r="R414" s="46" t="str">
        <x:v>high</x:v>
      </x:c>
      <x:c r="S414" s="46" t="str">
        <x:v>Oligoplites saurus</x:v>
      </x:c>
      <x:c r="T414" s="62" t="n">
        <x:f>IF(O414="","",(1/'Metadata'!$B$5)^(O414-1))</x:f>
        <x:v>2137.9620895022326</x:v>
      </x:c>
      <x:c r="U414" s="60" t="n">
        <x:f>IF(T414="","",I414*T414)</x:f>
        <x:v>11.93025391387827</x:v>
      </x:c>
    </x:row>
    <x:row r="415" ht="18" customHeight="1">
      <x:c r="A415" s="46" t="str">
        <x:v>LME_012</x:v>
      </x:c>
      <x:c r="B415" s="46" t="str">
        <x:v>Caribbean Sea</x:v>
      </x:c>
      <x:c r="C415" s="46" t="str">
        <x:v>LME</x:v>
      </x:c>
      <x:c r="D415" s="58" t="n">
        <x:v>2019</x:v>
      </x:c>
      <x:c r="E415" s="46" t="str">
        <x:v>Auxis rochei</x:v>
      </x:c>
      <x:c r="F415" s="46" t="str">
        <x:v>Bullet tuna</x:v>
      </x:c>
      <x:c r="G415" s="46" t="str">
        <x:v>Medium pelagics (30 - 89 cm)</x:v>
      </x:c>
      <x:c r="H415" s="46" t="str">
        <x:v>Tuna &amp; billfishes</x:v>
      </x:c>
      <x:c r="I415" s="60" t="n">
        <x:v>0.005521574299999999</x:v>
      </x:c>
      <x:c r="J415" s="60" t="n">
        <x:v>0.005521574299999999</x:v>
      </x:c>
      <x:c r="K415" s="60" t="n">
        <x:v>0</x:v>
      </x:c>
      <x:c r="L415" s="60" t="n">
        <x:v>0.005521574299999999</x:v>
      </x:c>
      <x:c r="M415" s="60" t="n">
        <x:v>0</x:v>
      </x:c>
      <x:c r="N415" s="46" t="str">
        <x:v>auxis rochei</x:v>
      </x:c>
      <x:c r="O415" s="62" t="n">
        <x:v>4.13</x:v>
      </x:c>
      <x:c r="P415" s="46" t="str">
        <x:v>exact_2020_supplement</x:v>
      </x:c>
      <x:c r="Q415" s="62" t="str">
        <x:v>2020 supplement MeanTL</x:v>
      </x:c>
      <x:c r="R415" s="46" t="str">
        <x:v>high</x:v>
      </x:c>
      <x:c r="S415" s="46" t="str">
        <x:v>Auxis rochei</x:v>
      </x:c>
      <x:c r="T415" s="62" t="n">
        <x:f>IF(O415="","",(1/'Metadata'!$B$5)^(O415-1))</x:f>
        <x:v>1348.9628825916532</x:v>
      </x:c>
      <x:c r="U415" s="60" t="n">
        <x:f>IF(T415="","",I415*T415)</x:f>
        <x:v>7.448398784171989</x:v>
      </x:c>
    </x:row>
    <x:row r="416" ht="18" customHeight="1">
      <x:c r="A416" s="46" t="str">
        <x:v>LME_012</x:v>
      </x:c>
      <x:c r="B416" s="46" t="str">
        <x:v>Caribbean Sea</x:v>
      </x:c>
      <x:c r="C416" s="46" t="str">
        <x:v>LME</x:v>
      </x:c>
      <x:c r="D416" s="58" t="n">
        <x:v>2019</x:v>
      </x:c>
      <x:c r="E416" s="46" t="str">
        <x:v>Lagocephalus laevigatus</x:v>
      </x:c>
      <x:c r="F416" s="46" t="str">
        <x:v>Smooth puffer</x:v>
      </x:c>
      <x:c r="G416" s="46" t="str">
        <x:v>Medium pelagics (30 - 89 cm)</x:v>
      </x:c>
      <x:c r="H416" s="46" t="str">
        <x:v>Other fishes &amp; inverts</x:v>
      </x:c>
      <x:c r="I416" s="60" t="n">
        <x:v>0.0054288919</x:v>
      </x:c>
      <x:c r="J416" s="60" t="n">
        <x:v>0.0054288919</x:v>
      </x:c>
      <x:c r="K416" s="60" t="n">
        <x:v>0</x:v>
      </x:c>
      <x:c r="L416" s="60" t="n">
        <x:v>0</x:v>
      </x:c>
      <x:c r="M416" s="60" t="n">
        <x:v>0.0054288919</x:v>
      </x:c>
      <x:c r="N416" s="46" t="str">
        <x:v>lagocephalus laevigatus</x:v>
      </x:c>
      <x:c r="O416" s="62" t="n">
        <x:v>4.02</x:v>
      </x:c>
      <x:c r="P416" s="46" t="str">
        <x:v>exact_2020_supplement</x:v>
      </x:c>
      <x:c r="Q416" s="62" t="str">
        <x:v>2020 supplement MeanTL</x:v>
      </x:c>
      <x:c r="R416" s="46" t="str">
        <x:v>high</x:v>
      </x:c>
      <x:c r="S416" s="46" t="str">
        <x:v>Lagocephalus laevigatus</x:v>
      </x:c>
      <x:c r="T416" s="62" t="n">
        <x:f>IF(O416="","",(1/'Metadata'!$B$5)^(O416-1))</x:f>
        <x:v>1047.1285480508984</x:v>
      </x:c>
      <x:c r="U416" s="60" t="n">
        <x:f>IF(T416="","",I416*T416)</x:f>
        <x:v>5.684747692772283</x:v>
      </x:c>
    </x:row>
    <x:row r="417" ht="18" customHeight="1">
      <x:c r="A417" s="46" t="str">
        <x:v>LME_012</x:v>
      </x:c>
      <x:c r="B417" s="46" t="str">
        <x:v>Caribbean Sea</x:v>
      </x:c>
      <x:c r="C417" s="46" t="str">
        <x:v>LME</x:v>
      </x:c>
      <x:c r="D417" s="58" t="n">
        <x:v>2019</x:v>
      </x:c>
      <x:c r="E417" s="46" t="str">
        <x:v>Squalidae</x:v>
      </x:c>
      <x:c r="F417" s="46" t="str">
        <x:v>Dogfish sharks</x:v>
      </x:c>
      <x:c r="G417" s="46" t="str">
        <x:v>Large sharks (&gt;=90 cm)</x:v>
      </x:c>
      <x:c r="H417" s="46" t="str">
        <x:v>Sharks &amp; rays</x:v>
      </x:c>
      <x:c r="I417" s="60" t="n">
        <x:v>0.0054125643000000005</x:v>
      </x:c>
      <x:c r="J417" s="60" t="n">
        <x:v>0.0054125643000000005</x:v>
      </x:c>
      <x:c r="K417" s="60" t="n">
        <x:v>0</x:v>
      </x:c>
      <x:c r="L417" s="60" t="n">
        <x:v>0</x:v>
      </x:c>
      <x:c r="M417" s="60" t="n">
        <x:v>0.0054125643000000005</x:v>
      </x:c>
      <x:c r="N417" s="46" t="str">
        <x:v>squalidae</x:v>
      </x:c>
      <x:c r="O417" s="62" t="n">
        <x:v>4.23</x:v>
      </x:c>
      <x:c r="P417" s="46" t="str">
        <x:v>exact_sea_around_us</x:v>
      </x:c>
      <x:c r="Q417" s="62" t="str">
        <x:v>Sea Around Us exploited organisms</x:v>
      </x:c>
      <x:c r="R417" s="46" t="str">
        <x:v>high</x:v>
      </x:c>
      <x:c r="S417" s="46" t="str">
        <x:v>Squalidae</x:v>
      </x:c>
      <x:c r="T417" s="62" t="n">
        <x:f>IF(O417="","",(1/'Metadata'!$B$5)^(O417-1))</x:f>
        <x:v>1698.243652461746</x:v>
      </x:c>
      <x:c r="U417" s="60" t="n">
        <x:f>IF(T417="","",I417*T417)</x:f>
        <x:v>9.191852966016054</x:v>
      </x:c>
    </x:row>
    <x:row r="418" ht="18" customHeight="1">
      <x:c r="A418" s="46" t="str">
        <x:v>LME_012</x:v>
      </x:c>
      <x:c r="B418" s="46" t="str">
        <x:v>Caribbean Sea</x:v>
      </x:c>
      <x:c r="C418" s="46" t="str">
        <x:v>LME</x:v>
      </x:c>
      <x:c r="D418" s="58" t="n">
        <x:v>2019</x:v>
      </x:c>
      <x:c r="E418" s="46" t="str">
        <x:v>Argopecten irradians</x:v>
      </x:c>
      <x:c r="F418" s="46" t="str">
        <x:v>Atlantic bay scallop</x:v>
      </x:c>
      <x:c r="G418" s="46" t="str">
        <x:v>Other demersal invertebrates</x:v>
      </x:c>
      <x:c r="H418" s="46" t="str">
        <x:v>Molluscs</x:v>
      </x:c>
      <x:c r="I418" s="60" t="n">
        <x:v>0.0053512543</x:v>
      </x:c>
      <x:c r="J418" s="60" t="n">
        <x:v>0.0053512543</x:v>
      </x:c>
      <x:c r="K418" s="60" t="n">
        <x:v>0</x:v>
      </x:c>
      <x:c r="L418" s="60" t="n">
        <x:v>0</x:v>
      </x:c>
      <x:c r="M418" s="60" t="n">
        <x:v>0.0053512543</x:v>
      </x:c>
      <x:c r="N418" s="46" t="str">
        <x:v>argopecten irradians</x:v>
      </x:c>
      <x:c r="O418" s="62" t="n">
        <x:v>2</x:v>
      </x:c>
      <x:c r="P418" s="46" t="str">
        <x:v>exact_sea_around_us</x:v>
      </x:c>
      <x:c r="Q418" s="62" t="str">
        <x:v>Sea Around Us exploited organisms</x:v>
      </x:c>
      <x:c r="R418" s="46" t="str">
        <x:v>high</x:v>
      </x:c>
      <x:c r="S418" s="46" t="str">
        <x:v>Argopecten irradians</x:v>
      </x:c>
      <x:c r="T418" s="62" t="n">
        <x:f>IF(O418="","",(1/'Metadata'!$B$5)^(O418-1))</x:f>
        <x:v>10</x:v>
      </x:c>
      <x:c r="U418" s="60" t="n">
        <x:f>IF(T418="","",I418*T418)</x:f>
        <x:v>0.053512543</x:v>
      </x:c>
    </x:row>
    <x:row r="419" ht="18" customHeight="1">
      <x:c r="A419" s="46" t="str">
        <x:v>LME_012</x:v>
      </x:c>
      <x:c r="B419" s="46" t="str">
        <x:v>Caribbean Sea</x:v>
      </x:c>
      <x:c r="C419" s="46" t="str">
        <x:v>LME</x:v>
      </x:c>
      <x:c r="D419" s="58" t="n">
        <x:v>2019</x:v>
      </x:c>
      <x:c r="E419" s="46" t="str">
        <x:v>Pectinidae</x:v>
      </x:c>
      <x:c r="F419" s="46" t="str">
        <x:v>Scallops</x:v>
      </x:c>
      <x:c r="G419" s="46" t="str">
        <x:v>Other demersal invertebrates</x:v>
      </x:c>
      <x:c r="H419" s="46" t="str">
        <x:v>Molluscs</x:v>
      </x:c>
      <x:c r="I419" s="60" t="n">
        <x:v>0.0050736377</x:v>
      </x:c>
      <x:c r="J419" s="60" t="n">
        <x:v>0.0007995321</x:v>
      </x:c>
      <x:c r="K419" s="60" t="n">
        <x:v>0.0042741056</x:v>
      </x:c>
      <x:c r="L419" s="60" t="n">
        <x:v>0.0001146613</x:v>
      </x:c>
      <x:c r="M419" s="60" t="n">
        <x:v>0.0049589764</x:v>
      </x:c>
      <x:c r="N419" s="46" t="str">
        <x:v>pectinidae</x:v>
      </x:c>
      <x:c r="O419" s="62" t="n">
        <x:v>2</x:v>
      </x:c>
      <x:c r="P419" s="46" t="str">
        <x:v>exact_sea_around_us</x:v>
      </x:c>
      <x:c r="Q419" s="62" t="str">
        <x:v>Sea Around Us exploited organisms</x:v>
      </x:c>
      <x:c r="R419" s="46" t="str">
        <x:v>high</x:v>
      </x:c>
      <x:c r="S419" s="46" t="str">
        <x:v>Pectinidae</x:v>
      </x:c>
      <x:c r="T419" s="62" t="n">
        <x:f>IF(O419="","",(1/'Metadata'!$B$5)^(O419-1))</x:f>
        <x:v>10</x:v>
      </x:c>
      <x:c r="U419" s="60" t="n">
        <x:f>IF(T419="","",I419*T419)</x:f>
        <x:v>0.050736377</x:v>
      </x:c>
    </x:row>
    <x:row r="420" ht="18" customHeight="1">
      <x:c r="A420" s="46" t="str">
        <x:v>LME_012</x:v>
      </x:c>
      <x:c r="B420" s="46" t="str">
        <x:v>Caribbean Sea</x:v>
      </x:c>
      <x:c r="C420" s="46" t="str">
        <x:v>LME</x:v>
      </x:c>
      <x:c r="D420" s="58" t="n">
        <x:v>2019</x:v>
      </x:c>
      <x:c r="E420" s="46" t="str">
        <x:v>Aetobatus narinari</x:v>
      </x:c>
      <x:c r="F420" s="46" t="str">
        <x:v>Spotted eagle ray</x:v>
      </x:c>
      <x:c r="G420" s="46" t="str">
        <x:v>Large rays (&gt;=90 cm)</x:v>
      </x:c>
      <x:c r="H420" s="46" t="str">
        <x:v>Sharks &amp; rays</x:v>
      </x:c>
      <x:c r="I420" s="60" t="n">
        <x:v>0.0048357003</x:v>
      </x:c>
      <x:c r="J420" s="60" t="n">
        <x:v>0</x:v>
      </x:c>
      <x:c r="K420" s="60" t="n">
        <x:v>0.0048357003</x:v>
      </x:c>
      <x:c r="L420" s="60" t="n">
        <x:v>0</x:v>
      </x:c>
      <x:c r="M420" s="60" t="n">
        <x:v>0.0048357003</x:v>
      </x:c>
      <x:c r="N420" s="46" t="str">
        <x:v>aetobatus narinari</x:v>
      </x:c>
      <x:c r="O420" s="62" t="n">
        <x:v>4.17</x:v>
      </x:c>
      <x:c r="P420" s="46" t="str">
        <x:v>exact_2020_supplement</x:v>
      </x:c>
      <x:c r="Q420" s="62" t="str">
        <x:v>2020 supplement MeanTL</x:v>
      </x:c>
      <x:c r="R420" s="46" t="str">
        <x:v>high</x:v>
      </x:c>
      <x:c r="S420" s="46" t="str">
        <x:v>Aetobatus narinari</x:v>
      </x:c>
      <x:c r="T420" s="62" t="n">
        <x:f>IF(O420="","",(1/'Metadata'!$B$5)^(O420-1))</x:f>
        <x:v>1479.1083881682073</x:v>
      </x:c>
      <x:c r="U420" s="60" t="n">
        <x:f>IF(T420="","",I420*T420)</x:f>
        <x:v>7.152524876397516</x:v>
      </x:c>
    </x:row>
    <x:row r="421" ht="18" customHeight="1">
      <x:c r="A421" s="46" t="str">
        <x:v>LME_012</x:v>
      </x:c>
      <x:c r="B421" s="46" t="str">
        <x:v>Caribbean Sea</x:v>
      </x:c>
      <x:c r="C421" s="46" t="str">
        <x:v>LME</x:v>
      </x:c>
      <x:c r="D421" s="58" t="n">
        <x:v>2019</x:v>
      </x:c>
      <x:c r="E421" s="46" t="str">
        <x:v>Metoporhaphis calcarata</x:v>
      </x:c>
      <x:c r="F421" s="46" t="str">
        <x:v>False arrow crab</x:v>
      </x:c>
      <x:c r="G421" s="46" t="str">
        <x:v>Lobsters, crabs</x:v>
      </x:c>
      <x:c r="H421" s="46" t="str">
        <x:v>Crustaceans</x:v>
      </x:c>
      <x:c r="I421" s="60" t="n">
        <x:v>0.0043365226</x:v>
      </x:c>
      <x:c r="J421" s="60" t="n">
        <x:v>0.0043365226</x:v>
      </x:c>
      <x:c r="K421" s="60" t="n">
        <x:v>0</x:v>
      </x:c>
      <x:c r="L421" s="60" t="n">
        <x:v>0.0043365226</x:v>
      </x:c>
      <x:c r="M421" s="60" t="n">
        <x:v>0</x:v>
      </x:c>
      <x:c r="N421" s="46" t="str">
        <x:v>metoporhaphis calcarata</x:v>
      </x:c>
      <x:c r="O421" s="62" t="n">
        <x:v>2.86</x:v>
      </x:c>
      <x:c r="P421" s="46" t="str">
        <x:v>exact_sea_around_us</x:v>
      </x:c>
      <x:c r="Q421" s="62" t="str">
        <x:v>Sea Around Us exploited organisms</x:v>
      </x:c>
      <x:c r="R421" s="46" t="str">
        <x:v>high</x:v>
      </x:c>
      <x:c r="S421" s="46" t="str">
        <x:v>Metoporhaphis calcarata</x:v>
      </x:c>
      <x:c r="T421" s="62" t="n">
        <x:f>IF(O421="","",(1/'Metadata'!$B$5)^(O421-1))</x:f>
        <x:v>72.44359600749898</x:v>
      </x:c>
      <x:c r="U421" s="60" t="n">
        <x:f>IF(T421="","",I421*T421)</x:f>
        <x:v>0.3141532913117891</x:v>
      </x:c>
    </x:row>
    <x:row r="422" ht="18" customHeight="1">
      <x:c r="A422" s="46" t="str">
        <x:v>LME_012</x:v>
      </x:c>
      <x:c r="B422" s="46" t="str">
        <x:v>Caribbean Sea</x:v>
      </x:c>
      <x:c r="C422" s="46" t="str">
        <x:v>LME</x:v>
      </x:c>
      <x:c r="D422" s="58" t="n">
        <x:v>2019</x:v>
      </x:c>
      <x:c r="E422" s="46" t="str">
        <x:v>Lepisosteus osseus</x:v>
      </x:c>
      <x:c r="F422" s="46" t="str">
        <x:v>Longnose gar</x:v>
      </x:c>
      <x:c r="G422" s="46" t="str">
        <x:v>Large demersals (&gt;=90 cm)</x:v>
      </x:c>
      <x:c r="H422" s="46" t="str">
        <x:v>Other fishes &amp; inverts</x:v>
      </x:c>
      <x:c r="I422" s="60" t="n">
        <x:v>0.0038550891</x:v>
      </x:c>
      <x:c r="J422" s="60" t="n">
        <x:v>0.0038550891</x:v>
      </x:c>
      <x:c r="K422" s="60" t="n">
        <x:v>0</x:v>
      </x:c>
      <x:c r="L422" s="60" t="n">
        <x:v>0</x:v>
      </x:c>
      <x:c r="M422" s="60" t="n">
        <x:v>0.0038550891</x:v>
      </x:c>
      <x:c r="N422" s="46" t="str">
        <x:v>lepisosteus osseus</x:v>
      </x:c>
      <x:c r="O422" s="62" t="n">
        <x:v>4.19</x:v>
      </x:c>
      <x:c r="P422" s="46" t="str">
        <x:v>exact_2020_supplement</x:v>
      </x:c>
      <x:c r="Q422" s="62" t="str">
        <x:v>2020 supplement MeanTL</x:v>
      </x:c>
      <x:c r="R422" s="46" t="str">
        <x:v>high</x:v>
      </x:c>
      <x:c r="S422" s="46" t="str">
        <x:v>Lepisosteus osseus</x:v>
      </x:c>
      <x:c r="T422" s="62" t="n">
        <x:f>IF(O422="","",(1/'Metadata'!$B$5)^(O422-1))</x:f>
        <x:v>1548.8166189124827</x:v>
      </x:c>
      <x:c r="U422" s="60" t="n">
        <x:f>IF(T422="","",I422*T422)</x:f>
        <x:v>5.970826065468366</x:v>
      </x:c>
    </x:row>
    <x:row r="423" ht="18" customHeight="1">
      <x:c r="A423" s="46" t="str">
        <x:v>LME_012</x:v>
      </x:c>
      <x:c r="B423" s="46" t="str">
        <x:v>Caribbean Sea</x:v>
      </x:c>
      <x:c r="C423" s="46" t="str">
        <x:v>LME</x:v>
      </x:c>
      <x:c r="D423" s="58" t="n">
        <x:v>2019</x:v>
      </x:c>
      <x:c r="E423" s="46" t="str">
        <x:v>Azurina cyanea</x:v>
      </x:c>
      <x:c r="F423" s="46" t="str">
        <x:v>Blue chromis</x:v>
      </x:c>
      <x:c r="G423" s="46" t="str">
        <x:v>Small reef assoc. fish (&lt;30 cm)</x:v>
      </x:c>
      <x:c r="H423" s="46" t="str">
        <x:v>Perch-likes</x:v>
      </x:c>
      <x:c r="I423" s="60" t="n">
        <x:v>0.0036821954000000002</x:v>
      </x:c>
      <x:c r="J423" s="60" t="n">
        <x:v>0.0036821954000000002</x:v>
      </x:c>
      <x:c r="K423" s="60" t="n">
        <x:v>0</x:v>
      </x:c>
      <x:c r="L423" s="60" t="n">
        <x:v>0.0036821954000000002</x:v>
      </x:c>
      <x:c r="M423" s="60" t="n">
        <x:v>0</x:v>
      </x:c>
      <x:c r="N423" s="46" t="str">
        <x:v>azurina cyanea</x:v>
      </x:c>
      <x:c r="O423" s="62" t="n">
        <x:v>3.07</x:v>
      </x:c>
      <x:c r="P423" s="46" t="str">
        <x:v>exact_sea_around_us</x:v>
      </x:c>
      <x:c r="Q423" s="62" t="str">
        <x:v>Sea Around Us exploited organisms</x:v>
      </x:c>
      <x:c r="R423" s="46" t="str">
        <x:v>high</x:v>
      </x:c>
      <x:c r="S423" s="46" t="str">
        <x:v>Azurina cyanea</x:v>
      </x:c>
      <x:c r="T423" s="62" t="n">
        <x:f>IF(O423="","",(1/'Metadata'!$B$5)^(O423-1))</x:f>
        <x:v>117.48975549395291</x:v>
      </x:c>
      <x:c r="U423" s="60" t="n">
        <x:f>IF(T423="","",I423*T423)</x:f>
        <x:v>0.4326202372269582</x:v>
      </x:c>
    </x:row>
    <x:row r="424" ht="18" customHeight="1">
      <x:c r="A424" s="46" t="str">
        <x:v>LME_012</x:v>
      </x:c>
      <x:c r="B424" s="46" t="str">
        <x:v>Caribbean Sea</x:v>
      </x:c>
      <x:c r="C424" s="46" t="str">
        <x:v>LME</x:v>
      </x:c>
      <x:c r="D424" s="58" t="n">
        <x:v>2019</x:v>
      </x:c>
      <x:c r="E424" s="46" t="str">
        <x:v>Opistognathus aurifrons</x:v>
      </x:c>
      <x:c r="F424" s="46" t="str">
        <x:v>Yellowhead jawfish</x:v>
      </x:c>
      <x:c r="G424" s="46" t="str">
        <x:v>Small reef assoc. fish (&lt;30 cm)</x:v>
      </x:c>
      <x:c r="H424" s="46" t="str">
        <x:v>Other fishes &amp; inverts</x:v>
      </x:c>
      <x:c r="I424" s="60" t="n">
        <x:v>0.0036622966</x:v>
      </x:c>
      <x:c r="J424" s="60" t="n">
        <x:v>0.0036622966</x:v>
      </x:c>
      <x:c r="K424" s="60" t="n">
        <x:v>0</x:v>
      </x:c>
      <x:c r="L424" s="60" t="n">
        <x:v>0.0036622966</x:v>
      </x:c>
      <x:c r="M424" s="60" t="n">
        <x:v>0</x:v>
      </x:c>
      <x:c r="N424" s="46" t="str">
        <x:v>opistognathus aurifrons</x:v>
      </x:c>
      <x:c r="O424" s="62" t="n">
        <x:v>3.04</x:v>
      </x:c>
      <x:c r="P424" s="46" t="str">
        <x:v>exact_2020_supplement</x:v>
      </x:c>
      <x:c r="Q424" s="62" t="str">
        <x:v>2020 supplement MeanTL</x:v>
      </x:c>
      <x:c r="R424" s="46" t="str">
        <x:v>high</x:v>
      </x:c>
      <x:c r="S424" s="46" t="str">
        <x:v>Opistognathus aurifrons</x:v>
      </x:c>
      <x:c r="T424" s="62" t="n">
        <x:f>IF(O424="","",(1/'Metadata'!$B$5)^(O424-1))</x:f>
        <x:v>109.64781961431851</x:v>
      </x:c>
      <x:c r="U424" s="60" t="n">
        <x:f>IF(T424="","",I424*T424)</x:f>
        <x:v>0.401562836970932</x:v>
      </x:c>
    </x:row>
    <x:row r="425" ht="18" customHeight="1">
      <x:c r="A425" s="46" t="str">
        <x:v>LME_012</x:v>
      </x:c>
      <x:c r="B425" s="46" t="str">
        <x:v>Caribbean Sea</x:v>
      </x:c>
      <x:c r="C425" s="46" t="str">
        <x:v>LME</x:v>
      </x:c>
      <x:c r="D425" s="58" t="n">
        <x:v>2019</x:v>
      </x:c>
      <x:c r="E425" s="46" t="str">
        <x:v>Geukensia demissa</x:v>
      </x:c>
      <x:c r="F425" s="46" t="str">
        <x:v>Ribbed mussel</x:v>
      </x:c>
      <x:c r="G425" s="46" t="str">
        <x:v>Other demersal invertebrates</x:v>
      </x:c>
      <x:c r="H425" s="46" t="str">
        <x:v>Molluscs</x:v>
      </x:c>
      <x:c r="I425" s="60" t="n">
        <x:v>0.0034407292999999997</x:v>
      </x:c>
      <x:c r="J425" s="60" t="n">
        <x:v>0.0034407292999999997</x:v>
      </x:c>
      <x:c r="K425" s="60" t="n">
        <x:v>0</x:v>
      </x:c>
      <x:c r="L425" s="60" t="n">
        <x:v>0.0034407292999999997</x:v>
      </x:c>
      <x:c r="M425" s="60" t="n">
        <x:v>0</x:v>
      </x:c>
      <x:c r="N425" s="46" t="str">
        <x:v>geukensia demissa</x:v>
      </x:c>
      <x:c r="O425" s="62" t="n">
        <x:v>2</x:v>
      </x:c>
      <x:c r="P425" s="46" t="str">
        <x:v>exact_sea_around_us</x:v>
      </x:c>
      <x:c r="Q425" s="62" t="str">
        <x:v>Sea Around Us exploited organisms</x:v>
      </x:c>
      <x:c r="R425" s="46" t="str">
        <x:v>high</x:v>
      </x:c>
      <x:c r="S425" s="46" t="str">
        <x:v>Geukensia demissa</x:v>
      </x:c>
      <x:c r="T425" s="62" t="n">
        <x:f>IF(O425="","",(1/'Metadata'!$B$5)^(O425-1))</x:f>
        <x:v>10</x:v>
      </x:c>
      <x:c r="U425" s="60" t="n">
        <x:f>IF(T425="","",I425*T425)</x:f>
        <x:v>0.034407293</x:v>
      </x:c>
    </x:row>
    <x:row r="426" ht="18" customHeight="1">
      <x:c r="A426" s="46" t="str">
        <x:v>LME_012</x:v>
      </x:c>
      <x:c r="B426" s="46" t="str">
        <x:v>Caribbean Sea</x:v>
      </x:c>
      <x:c r="C426" s="46" t="str">
        <x:v>LME</x:v>
      </x:c>
      <x:c r="D426" s="58" t="n">
        <x:v>2019</x:v>
      </x:c>
      <x:c r="E426" s="46" t="str">
        <x:v>Lolliguncula brevis</x:v>
      </x:c>
      <x:c r="F426" s="46" t="str">
        <x:v>Western Atlantic brief squid</x:v>
      </x:c>
      <x:c r="G426" s="46" t="str">
        <x:v>Cephalopods</x:v>
      </x:c>
      <x:c r="H426" s="46" t="str">
        <x:v>Other fishes &amp; inverts</x:v>
      </x:c>
      <x:c r="I426" s="60" t="n">
        <x:v>0.0027511315</x:v>
      </x:c>
      <x:c r="J426" s="60" t="n">
        <x:v>0.0027511315</x:v>
      </x:c>
      <x:c r="K426" s="60" t="n">
        <x:v>0</x:v>
      </x:c>
      <x:c r="L426" s="60" t="n">
        <x:v>0.0027511315</x:v>
      </x:c>
      <x:c r="M426" s="60" t="n">
        <x:v>0</x:v>
      </x:c>
      <x:c r="N426" s="46" t="str">
        <x:v>lolliguncula brevis</x:v>
      </x:c>
      <x:c r="O426" s="62" t="n">
        <x:v>4.5</x:v>
      </x:c>
      <x:c r="P426" s="46" t="str">
        <x:v>exact_2020_supplement</x:v>
      </x:c>
      <x:c r="Q426" s="62" t="str">
        <x:v>2020 supplement MeanTL</x:v>
      </x:c>
      <x:c r="R426" s="46" t="str">
        <x:v>high</x:v>
      </x:c>
      <x:c r="S426" s="46" t="str">
        <x:v>Lolliguncula brevis</x:v>
      </x:c>
      <x:c r="T426" s="62" t="n">
        <x:f>IF(O426="","",(1/'Metadata'!$B$5)^(O426-1))</x:f>
        <x:v>3162.2776601683795</x:v>
      </x:c>
      <x:c r="U426" s="60" t="n">
        <x:f>IF(T426="","",I426*T426)</x:f>
        <x:v>8.699841682635524</x:v>
      </x:c>
    </x:row>
    <x:row r="427" ht="18" customHeight="1">
      <x:c r="A427" s="46" t="str">
        <x:v>LME_012</x:v>
      </x:c>
      <x:c r="B427" s="46" t="str">
        <x:v>Caribbean Sea</x:v>
      </x:c>
      <x:c r="C427" s="46" t="str">
        <x:v>LME</x:v>
      </x:c>
      <x:c r="D427" s="58" t="n">
        <x:v>2019</x:v>
      </x:c>
      <x:c r="E427" s="46" t="str">
        <x:v>Strombus pugilis</x:v>
      </x:c>
      <x:c r="F427" s="46" t="str">
        <x:v>Florida fighting conch</x:v>
      </x:c>
      <x:c r="G427" s="46" t="str">
        <x:v>Other demersal invertebrates</x:v>
      </x:c>
      <x:c r="H427" s="46" t="str">
        <x:v>Molluscs</x:v>
      </x:c>
      <x:c r="I427" s="60" t="n">
        <x:v>0.0026957096</x:v>
      </x:c>
      <x:c r="J427" s="60" t="n">
        <x:v>0.0026957096</x:v>
      </x:c>
      <x:c r="K427" s="60" t="n">
        <x:v>0</x:v>
      </x:c>
      <x:c r="L427" s="60" t="n">
        <x:v>0.0026957096</x:v>
      </x:c>
      <x:c r="M427" s="60" t="n">
        <x:v>0</x:v>
      </x:c>
      <x:c r="N427" s="46" t="str">
        <x:v>strombus pugilis</x:v>
      </x:c>
      <x:c r="O427" s="62" t="n">
        <x:v>2</x:v>
      </x:c>
      <x:c r="P427" s="46" t="str">
        <x:v>exact_sea_around_us</x:v>
      </x:c>
      <x:c r="Q427" s="62" t="str">
        <x:v>Sea Around Us exploited organisms</x:v>
      </x:c>
      <x:c r="R427" s="46" t="str">
        <x:v>high</x:v>
      </x:c>
      <x:c r="S427" s="46" t="str">
        <x:v>Strombus pugilis</x:v>
      </x:c>
      <x:c r="T427" s="62" t="n">
        <x:f>IF(O427="","",(1/'Metadata'!$B$5)^(O427-1))</x:f>
        <x:v>10</x:v>
      </x:c>
      <x:c r="U427" s="60" t="n">
        <x:f>IF(T427="","",I427*T427)</x:f>
        <x:v>0.026957096</x:v>
      </x:c>
    </x:row>
    <x:row r="428" ht="18" customHeight="1">
      <x:c r="A428" s="46" t="str">
        <x:v>LME_012</x:v>
      </x:c>
      <x:c r="B428" s="46" t="str">
        <x:v>Caribbean Sea</x:v>
      </x:c>
      <x:c r="C428" s="46" t="str">
        <x:v>LME</x:v>
      </x:c>
      <x:c r="D428" s="58" t="n">
        <x:v>2019</x:v>
      </x:c>
      <x:c r="E428" s="46" t="str">
        <x:v>Paguristes puncticeps</x:v>
      </x:c>
      <x:c r="F428" s="46" t="str">
        <x:v>Hermit crab</x:v>
      </x:c>
      <x:c r="G428" s="46" t="str">
        <x:v>Lobsters, crabs</x:v>
      </x:c>
      <x:c r="H428" s="46" t="str">
        <x:v>Crustaceans</x:v>
      </x:c>
      <x:c r="I428" s="60" t="n">
        <x:v>0.0026009354</x:v>
      </x:c>
      <x:c r="J428" s="60" t="n">
        <x:v>0.0026009354</x:v>
      </x:c>
      <x:c r="K428" s="60" t="n">
        <x:v>0</x:v>
      </x:c>
      <x:c r="L428" s="60" t="n">
        <x:v>0.0026009354</x:v>
      </x:c>
      <x:c r="M428" s="60" t="n">
        <x:v>0</x:v>
      </x:c>
      <x:c r="N428" s="46" t="str">
        <x:v>paguristes puncticeps</x:v>
      </x:c>
      <x:c r="O428" s="62" t="n">
        <x:v>3.08</x:v>
      </x:c>
      <x:c r="P428" s="46" t="str">
        <x:v>exact_sea_around_us</x:v>
      </x:c>
      <x:c r="Q428" s="62" t="str">
        <x:v>Sea Around Us exploited organisms</x:v>
      </x:c>
      <x:c r="R428" s="46" t="str">
        <x:v>high</x:v>
      </x:c>
      <x:c r="S428" s="46" t="str">
        <x:v>Paguristes puncticeps</x:v>
      </x:c>
      <x:c r="T428" s="62" t="n">
        <x:f>IF(O428="","",(1/'Metadata'!$B$5)^(O428-1))</x:f>
        <x:v>120.22644346174131</x:v>
      </x:c>
      <x:c r="U428" s="60" t="n">
        <x:f>IF(T428="","",I428*T428)</x:f>
        <x:v>0.31270121281574154</x:v>
      </x:c>
    </x:row>
    <x:row r="429" ht="18" customHeight="1">
      <x:c r="A429" s="46" t="str">
        <x:v>LME_012</x:v>
      </x:c>
      <x:c r="B429" s="46" t="str">
        <x:v>Caribbean Sea</x:v>
      </x:c>
      <x:c r="C429" s="46" t="str">
        <x:v>LME</x:v>
      </x:c>
      <x:c r="D429" s="58" t="n">
        <x:v>2019</x:v>
      </x:c>
      <x:c r="E429" s="46" t="str">
        <x:v>Serranus tigrinus</x:v>
      </x:c>
      <x:c r="F429" s="46" t="str">
        <x:v>Harlequin bass</x:v>
      </x:c>
      <x:c r="G429" s="46" t="str">
        <x:v>Small reef assoc. fish (&lt;30 cm)</x:v>
      </x:c>
      <x:c r="H429" s="46" t="str">
        <x:v>Perch-likes</x:v>
      </x:c>
      <x:c r="I429" s="60" t="n">
        <x:v>0.0025785317</x:v>
      </x:c>
      <x:c r="J429" s="60" t="n">
        <x:v>0.0025785317</x:v>
      </x:c>
      <x:c r="K429" s="60" t="n">
        <x:v>0</x:v>
      </x:c>
      <x:c r="L429" s="60" t="n">
        <x:v>0.0025785317</x:v>
      </x:c>
      <x:c r="M429" s="60" t="n">
        <x:v>0</x:v>
      </x:c>
      <x:c r="N429" s="46" t="str">
        <x:v>serranus tigrinus</x:v>
      </x:c>
      <x:c r="O429" s="62" t="n">
        <x:v>3.72</x:v>
      </x:c>
      <x:c r="P429" s="46" t="str">
        <x:v>exact_2020_supplement</x:v>
      </x:c>
      <x:c r="Q429" s="62" t="str">
        <x:v>2020 supplement MeanTL</x:v>
      </x:c>
      <x:c r="R429" s="46" t="str">
        <x:v>high</x:v>
      </x:c>
      <x:c r="S429" s="46" t="str">
        <x:v>Serranus tigrinus</x:v>
      </x:c>
      <x:c r="T429" s="62" t="n">
        <x:f>IF(O429="","",(1/'Metadata'!$B$5)^(O429-1))</x:f>
        <x:v>524.8074602497728</x:v>
      </x:c>
      <x:c r="U429" s="60" t="n">
        <x:f>IF(T429="","",I429*T429)</x:f>
        <x:v>1.353232672650529</x:v>
      </x:c>
    </x:row>
    <x:row r="430" ht="18" customHeight="1">
      <x:c r="A430" s="46" t="str">
        <x:v>LME_012</x:v>
      </x:c>
      <x:c r="B430" s="46" t="str">
        <x:v>Caribbean Sea</x:v>
      </x:c>
      <x:c r="C430" s="46" t="str">
        <x:v>LME</x:v>
      </x:c>
      <x:c r="D430" s="58" t="n">
        <x:v>2019</x:v>
      </x:c>
      <x:c r="E430" s="46" t="str">
        <x:v>Alopias</x:v>
      </x:c>
      <x:c r="F430" s="46" t="str">
        <x:v>Thresher sharks</x:v>
      </x:c>
      <x:c r="G430" s="46" t="str">
        <x:v>Large sharks (&gt;=90 cm)</x:v>
      </x:c>
      <x:c r="H430" s="46" t="str">
        <x:v>Sharks &amp; rays</x:v>
      </x:c>
      <x:c r="I430" s="60" t="n">
        <x:v>0.0024089459</x:v>
      </x:c>
      <x:c r="J430" s="60" t="n">
        <x:v>0.0024089459</x:v>
      </x:c>
      <x:c r="K430" s="60" t="n">
        <x:v>0</x:v>
      </x:c>
      <x:c r="L430" s="60" t="n">
        <x:v>0.0024089459</x:v>
      </x:c>
      <x:c r="M430" s="60" t="n">
        <x:v>0</x:v>
      </x:c>
      <x:c r="N430" s="46" t="str">
        <x:v>alopias</x:v>
      </x:c>
      <x:c r="O430" s="62" t="n">
        <x:v>4.5</x:v>
      </x:c>
      <x:c r="P430" s="46" t="str">
        <x:v>exact_sea_around_us</x:v>
      </x:c>
      <x:c r="Q430" s="62" t="str">
        <x:v>Sea Around Us exploited organisms</x:v>
      </x:c>
      <x:c r="R430" s="46" t="str">
        <x:v>high</x:v>
      </x:c>
      <x:c r="S430" s="46" t="str">
        <x:v>Alopias</x:v>
      </x:c>
      <x:c r="T430" s="62" t="n">
        <x:f>IF(O430="","",(1/'Metadata'!$B$5)^(O430-1))</x:f>
        <x:v>3162.2776601683795</x:v>
      </x:c>
      <x:c r="U430" s="60" t="n">
        <x:f>IF(T430="","",I430*T430)</x:f>
        <x:v>7.617755804124211</x:v>
      </x:c>
    </x:row>
    <x:row r="431" ht="18" customHeight="1">
      <x:c r="A431" s="46" t="str">
        <x:v>LME_012</x:v>
      </x:c>
      <x:c r="B431" s="46" t="str">
        <x:v>Caribbean Sea</x:v>
      </x:c>
      <x:c r="C431" s="46" t="str">
        <x:v>LME</x:v>
      </x:c>
      <x:c r="D431" s="58" t="n">
        <x:v>2019</x:v>
      </x:c>
      <x:c r="E431" s="46" t="str">
        <x:v>Stenocionops furcatus</x:v>
      </x:c>
      <x:c r="F431" s="46" t="str">
        <x:v>Furcate spider crab</x:v>
      </x:c>
      <x:c r="G431" s="46" t="str">
        <x:v>Lobsters, crabs</x:v>
      </x:c>
      <x:c r="H431" s="46" t="str">
        <x:v>Crustaceans</x:v>
      </x:c>
      <x:c r="I431" s="60" t="n">
        <x:v>0.0023484614</x:v>
      </x:c>
      <x:c r="J431" s="60" t="n">
        <x:v>0.0023484614</x:v>
      </x:c>
      <x:c r="K431" s="60" t="n">
        <x:v>0</x:v>
      </x:c>
      <x:c r="L431" s="60" t="n">
        <x:v>0.0023484614</x:v>
      </x:c>
      <x:c r="M431" s="60" t="n">
        <x:v>0</x:v>
      </x:c>
      <x:c r="N431" s="46" t="str">
        <x:v>stenocionops furcatus</x:v>
      </x:c>
      <x:c r="O431" s="62" t="n">
        <x:v>2.1</x:v>
      </x:c>
      <x:c r="P431" s="46" t="str">
        <x:v>exact_sea_around_us</x:v>
      </x:c>
      <x:c r="Q431" s="62" t="str">
        <x:v>Sea Around Us exploited organisms</x:v>
      </x:c>
      <x:c r="R431" s="46" t="str">
        <x:v>high</x:v>
      </x:c>
      <x:c r="S431" s="46" t="str">
        <x:v>Stenocionops furcatus</x:v>
      </x:c>
      <x:c r="T431" s="62" t="n">
        <x:f>IF(O431="","",(1/'Metadata'!$B$5)^(O431-1))</x:f>
        <x:v>12.589254117941675</x:v>
      </x:c>
      <x:c r="U431" s="60" t="n">
        <x:f>IF(T431="","",I431*T431)</x:f>
        <x:v>0.02956537735077707</x:v>
      </x:c>
    </x:row>
    <x:row r="432" ht="18" customHeight="1">
      <x:c r="A432" s="46" t="str">
        <x:v>LME_012</x:v>
      </x:c>
      <x:c r="B432" s="46" t="str">
        <x:v>Caribbean Sea</x:v>
      </x:c>
      <x:c r="C432" s="46" t="str">
        <x:v>LME</x:v>
      </x:c>
      <x:c r="D432" s="58" t="n">
        <x:v>2019</x:v>
      </x:c>
      <x:c r="E432" s="46" t="str">
        <x:v>Halichoeres garnoti</x:v>
      </x:c>
      <x:c r="F432" s="46" t="str">
        <x:v>Yellowhead wrasse</x:v>
      </x:c>
      <x:c r="G432" s="46" t="str">
        <x:v>Small reef assoc. fish (&lt;30 cm)</x:v>
      </x:c>
      <x:c r="H432" s="46" t="str">
        <x:v>Perch-likes</x:v>
      </x:c>
      <x:c r="I432" s="60" t="n">
        <x:v>0.0019388351</x:v>
      </x:c>
      <x:c r="J432" s="60" t="n">
        <x:v>0.0019388351</x:v>
      </x:c>
      <x:c r="K432" s="60" t="n">
        <x:v>0</x:v>
      </x:c>
      <x:c r="L432" s="60" t="n">
        <x:v>0.0019388351</x:v>
      </x:c>
      <x:c r="M432" s="60" t="n">
        <x:v>0</x:v>
      </x:c>
      <x:c r="N432" s="46" t="str">
        <x:v>halichoeres garnoti</x:v>
      </x:c>
      <x:c r="O432" s="62" t="n">
        <x:v>3.7</x:v>
      </x:c>
      <x:c r="P432" s="46" t="str">
        <x:v>exact_2020_supplement</x:v>
      </x:c>
      <x:c r="Q432" s="62" t="str">
        <x:v>2020 supplement MeanTL</x:v>
      </x:c>
      <x:c r="R432" s="46" t="str">
        <x:v>high</x:v>
      </x:c>
      <x:c r="S432" s="46" t="str">
        <x:v>Halichoeres garnoti</x:v>
      </x:c>
      <x:c r="T432" s="62" t="n">
        <x:f>IF(O432="","",(1/'Metadata'!$B$5)^(O432-1))</x:f>
        <x:v>501.18723362727246</x:v>
      </x:c>
      <x:c r="U432" s="60" t="n">
        <x:f>IF(T432="","",I432*T432)</x:f>
        <x:v>0.9717194002284562</x:v>
      </x:c>
    </x:row>
    <x:row r="433" ht="18" customHeight="1">
      <x:c r="A433" s="46" t="str">
        <x:v>LME_012</x:v>
      </x:c>
      <x:c r="B433" s="46" t="str">
        <x:v>Caribbean Sea</x:v>
      </x:c>
      <x:c r="C433" s="46" t="str">
        <x:v>LME</x:v>
      </x:c>
      <x:c r="D433" s="58" t="n">
        <x:v>2019</x:v>
      </x:c>
      <x:c r="E433" s="46" t="str">
        <x:v>Hemanthias leptus</x:v>
      </x:c>
      <x:c r="F433" s="46" t="str">
        <x:v>Longtail bass</x:v>
      </x:c>
      <x:c r="G433" s="46" t="str">
        <x:v>Medium demersals (30 - 89 cm)</x:v>
      </x:c>
      <x:c r="H433" s="46" t="str">
        <x:v>Perch-likes</x:v>
      </x:c>
      <x:c r="I433" s="60" t="n">
        <x:v>0.0019333482</x:v>
      </x:c>
      <x:c r="J433" s="60" t="n">
        <x:v>0.0019333482</x:v>
      </x:c>
      <x:c r="K433" s="60" t="n">
        <x:v>0</x:v>
      </x:c>
      <x:c r="L433" s="60" t="n">
        <x:v>0.0019333482</x:v>
      </x:c>
      <x:c r="M433" s="60" t="n">
        <x:v>0</x:v>
      </x:c>
      <x:c r="N433" s="46" t="str">
        <x:v>hemanthias leptus</x:v>
      </x:c>
      <x:c r="O433" s="62" t="n">
        <x:v>4.03</x:v>
      </x:c>
      <x:c r="P433" s="46" t="str">
        <x:v>exact_sea_around_us</x:v>
      </x:c>
      <x:c r="Q433" s="62" t="str">
        <x:v>Sea Around Us exploited organisms</x:v>
      </x:c>
      <x:c r="R433" s="46" t="str">
        <x:v>high</x:v>
      </x:c>
      <x:c r="S433" s="46" t="str">
        <x:v>Hemanthias leptus</x:v>
      </x:c>
      <x:c r="T433" s="62" t="n">
        <x:f>IF(O433="","",(1/'Metadata'!$B$5)^(O433-1))</x:f>
        <x:v>1071.519305237607</x:v>
      </x:c>
      <x:c r="U433" s="60" t="n">
        <x:f>IF(T433="","",I433*T433)</x:f>
        <x:v>2.0716199200463783</x:v>
      </x:c>
    </x:row>
    <x:row r="434" ht="18" customHeight="1">
      <x:c r="A434" s="46" t="str">
        <x:v>LME_012</x:v>
      </x:c>
      <x:c r="B434" s="46" t="str">
        <x:v>Caribbean Sea</x:v>
      </x:c>
      <x:c r="C434" s="46" t="str">
        <x:v>LME</x:v>
      </x:c>
      <x:c r="D434" s="58" t="n">
        <x:v>2019</x:v>
      </x:c>
      <x:c r="E434" s="46" t="str">
        <x:v>Congridae</x:v>
      </x:c>
      <x:c r="F434" s="46" t="str">
        <x:v>Conger, garden eels</x:v>
      </x:c>
      <x:c r="G434" s="46" t="str">
        <x:v>Large demersals (&gt;=90 cm)</x:v>
      </x:c>
      <x:c r="H434" s="46" t="str">
        <x:v>Other fishes &amp; inverts</x:v>
      </x:c>
      <x:c r="I434" s="60" t="n">
        <x:v>0.0019028377</x:v>
      </x:c>
      <x:c r="J434" s="60" t="n">
        <x:v>0</x:v>
      </x:c>
      <x:c r="K434" s="60" t="n">
        <x:v>0.0019028377</x:v>
      </x:c>
      <x:c r="L434" s="60" t="n">
        <x:v>0</x:v>
      </x:c>
      <x:c r="M434" s="60" t="n">
        <x:v>0.0019028377</x:v>
      </x:c>
      <x:c r="N434" s="46" t="str">
        <x:v>congridae</x:v>
      </x:c>
      <x:c r="O434" s="62" t="n">
        <x:v>4.18</x:v>
      </x:c>
      <x:c r="P434" s="46" t="str">
        <x:v>exact_sea_around_us</x:v>
      </x:c>
      <x:c r="Q434" s="62" t="str">
        <x:v>Sea Around Us exploited organisms</x:v>
      </x:c>
      <x:c r="R434" s="46" t="str">
        <x:v>high</x:v>
      </x:c>
      <x:c r="S434" s="46" t="str">
        <x:v>Congridae</x:v>
      </x:c>
      <x:c r="T434" s="62" t="n">
        <x:f>IF(O434="","",(1/'Metadata'!$B$5)^(O434-1))</x:f>
        <x:v>1513.5612484362073</x:v>
      </x:c>
      <x:c r="U434" s="60" t="n">
        <x:f>IF(T434="","",I434*T434)</x:f>
        <x:v>2.880061404783481</x:v>
      </x:c>
    </x:row>
    <x:row r="435" ht="18" customHeight="1">
      <x:c r="A435" s="46" t="str">
        <x:v>LME_012</x:v>
      </x:c>
      <x:c r="B435" s="46" t="str">
        <x:v>Caribbean Sea</x:v>
      </x:c>
      <x:c r="C435" s="46" t="str">
        <x:v>LME</x:v>
      </x:c>
      <x:c r="D435" s="58" t="n">
        <x:v>2019</x:v>
      </x:c>
      <x:c r="E435" s="46" t="str">
        <x:v>Hippocampus erectus</x:v>
      </x:c>
      <x:c r="F435" s="46" t="str">
        <x:v>Lined seahorse</x:v>
      </x:c>
      <x:c r="G435" s="46" t="str">
        <x:v>Small reef assoc. fish (&lt;30 cm)</x:v>
      </x:c>
      <x:c r="H435" s="46" t="str">
        <x:v>Other fishes &amp; inverts</x:v>
      </x:c>
      <x:c r="I435" s="60" t="n">
        <x:v>0.0017152634</x:v>
      </x:c>
      <x:c r="J435" s="60" t="n">
        <x:v>0.0017152634</x:v>
      </x:c>
      <x:c r="K435" s="60" t="n">
        <x:v>0</x:v>
      </x:c>
      <x:c r="L435" s="60" t="n">
        <x:v>0.0017152634</x:v>
      </x:c>
      <x:c r="M435" s="60" t="n">
        <x:v>0</x:v>
      </x:c>
      <x:c r="N435" s="46" t="str">
        <x:v>hippocampus erectus</x:v>
      </x:c>
      <x:c r="O435" s="62" t="n">
        <x:v>3.46</x:v>
      </x:c>
      <x:c r="P435" s="46" t="str">
        <x:v>exact_2020_supplement</x:v>
      </x:c>
      <x:c r="Q435" s="62" t="str">
        <x:v>2020 supplement MeanTL</x:v>
      </x:c>
      <x:c r="R435" s="46" t="str">
        <x:v>high</x:v>
      </x:c>
      <x:c r="S435" s="46" t="str">
        <x:v>Hippocampus erectus</x:v>
      </x:c>
      <x:c r="T435" s="62" t="n">
        <x:f>IF(O435="","",(1/'Metadata'!$B$5)^(O435-1))</x:f>
        <x:v>288.40315031266056</x:v>
      </x:c>
      <x:c r="U435" s="60" t="n">
        <x:f>IF(T435="","",I435*T435)</x:f>
        <x:v>0.4946873681760052</x:v>
      </x:c>
    </x:row>
    <x:row r="436" ht="18" customHeight="1">
      <x:c r="A436" s="46" t="str">
        <x:v>LME_012</x:v>
      </x:c>
      <x:c r="B436" s="46" t="str">
        <x:v>Caribbean Sea</x:v>
      </x:c>
      <x:c r="C436" s="46" t="str">
        <x:v>LME</x:v>
      </x:c>
      <x:c r="D436" s="58" t="n">
        <x:v>2019</x:v>
      </x:c>
      <x:c r="E436" s="46" t="str">
        <x:v>Clibanarius vittatus</x:v>
      </x:c>
      <x:c r="F436" s="46" t="str">
        <x:v>Thinstripe hermit</x:v>
      </x:c>
      <x:c r="G436" s="46" t="str">
        <x:v>Lobsters, crabs</x:v>
      </x:c>
      <x:c r="H436" s="46" t="str">
        <x:v>Crustaceans</x:v>
      </x:c>
      <x:c r="I436" s="60" t="n">
        <x:v>0.0017152439</x:v>
      </x:c>
      <x:c r="J436" s="60" t="n">
        <x:v>0.0017152439</x:v>
      </x:c>
      <x:c r="K436" s="60" t="n">
        <x:v>0</x:v>
      </x:c>
      <x:c r="L436" s="60" t="n">
        <x:v>0.0017152439</x:v>
      </x:c>
      <x:c r="M436" s="60" t="n">
        <x:v>0</x:v>
      </x:c>
      <x:c r="N436" s="46" t="str">
        <x:v>clibanarius vittatus</x:v>
      </x:c>
      <x:c r="O436" s="62" t="n">
        <x:v>2</x:v>
      </x:c>
      <x:c r="P436" s="46" t="str">
        <x:v>exact_sea_around_us</x:v>
      </x:c>
      <x:c r="Q436" s="62" t="str">
        <x:v>Sea Around Us exploited organisms</x:v>
      </x:c>
      <x:c r="R436" s="46" t="str">
        <x:v>high</x:v>
      </x:c>
      <x:c r="S436" s="46" t="str">
        <x:v>Clibanarius vittatus</x:v>
      </x:c>
      <x:c r="T436" s="62" t="n">
        <x:f>IF(O436="","",(1/'Metadata'!$B$5)^(O436-1))</x:f>
        <x:v>10</x:v>
      </x:c>
      <x:c r="U436" s="60" t="n">
        <x:f>IF(T436="","",I436*T436)</x:f>
        <x:v>0.017152439000000002</x:v>
      </x:c>
    </x:row>
    <x:row r="437" ht="18" customHeight="1">
      <x:c r="A437" s="46" t="str">
        <x:v>LME_012</x:v>
      </x:c>
      <x:c r="B437" s="46" t="str">
        <x:v>Caribbean Sea</x:v>
      </x:c>
      <x:c r="C437" s="46" t="str">
        <x:v>LME</x:v>
      </x:c>
      <x:c r="D437" s="58" t="n">
        <x:v>2019</x:v>
      </x:c>
      <x:c r="E437" s="46" t="str">
        <x:v>Porcellana sayana</x:v>
      </x:c>
      <x:c r="F437" s="46" t="str">
        <x:v>Spotted porcelain crab</x:v>
      </x:c>
      <x:c r="G437" s="46" t="str">
        <x:v>Lobsters, crabs</x:v>
      </x:c>
      <x:c r="H437" s="46" t="str">
        <x:v>Crustaceans</x:v>
      </x:c>
      <x:c r="I437" s="60" t="n">
        <x:v>0.0014291155</x:v>
      </x:c>
      <x:c r="J437" s="60" t="n">
        <x:v>0.0014291155</x:v>
      </x:c>
      <x:c r="K437" s="60" t="n">
        <x:v>0</x:v>
      </x:c>
      <x:c r="L437" s="60" t="n">
        <x:v>0.0014291155</x:v>
      </x:c>
      <x:c r="M437" s="60" t="n">
        <x:v>0</x:v>
      </x:c>
      <x:c r="N437" s="46" t="str">
        <x:v>porcellana sayana</x:v>
      </x:c>
      <x:c r="O437" s="62" t="n">
        <x:v>2.88</x:v>
      </x:c>
      <x:c r="P437" s="46" t="str">
        <x:v>exact_sea_around_us</x:v>
      </x:c>
      <x:c r="Q437" s="62" t="str">
        <x:v>Sea Around Us exploited organisms</x:v>
      </x:c>
      <x:c r="R437" s="46" t="str">
        <x:v>high</x:v>
      </x:c>
      <x:c r="S437" s="46" t="str">
        <x:v>Porcellana sayana</x:v>
      </x:c>
      <x:c r="T437" s="62" t="n">
        <x:f>IF(O437="","",(1/'Metadata'!$B$5)^(O437-1))</x:f>
        <x:v>75.85775750291836</x:v>
      </x:c>
      <x:c r="U437" s="60" t="n">
        <x:f>IF(T437="","",I437*T437)</x:f>
        <x:v>0.10840949704266192</x:v>
      </x:c>
    </x:row>
    <x:row r="438" ht="18" customHeight="1">
      <x:c r="A438" s="46" t="str">
        <x:v>LME_012</x:v>
      </x:c>
      <x:c r="B438" s="46" t="str">
        <x:v>Caribbean Sea</x:v>
      </x:c>
      <x:c r="C438" s="46" t="str">
        <x:v>LME</x:v>
      </x:c>
      <x:c r="D438" s="58" t="n">
        <x:v>2019</x:v>
      </x:c>
      <x:c r="E438" s="46" t="str">
        <x:v>Eucidaris tribuloides</x:v>
      </x:c>
      <x:c r="F438" s="46" t="str">
        <x:v>Slate pencil urchin</x:v>
      </x:c>
      <x:c r="G438" s="46" t="str">
        <x:v>Other demersal invertebrates</x:v>
      </x:c>
      <x:c r="H438" s="46" t="str">
        <x:v>Other fishes &amp; inverts</x:v>
      </x:c>
      <x:c r="I438" s="60" t="n">
        <x:v>0.0013658222</x:v>
      </x:c>
      <x:c r="J438" s="60" t="n">
        <x:v>0.0013658222</x:v>
      </x:c>
      <x:c r="K438" s="60" t="n">
        <x:v>0</x:v>
      </x:c>
      <x:c r="L438" s="60" t="n">
        <x:v>0.0013658222</x:v>
      </x:c>
      <x:c r="M438" s="60" t="n">
        <x:v>0</x:v>
      </x:c>
      <x:c r="N438" s="46" t="str">
        <x:v>eucidaris tribuloides</x:v>
      </x:c>
      <x:c r="O438" s="62" t="n">
        <x:v>2.5</x:v>
      </x:c>
      <x:c r="P438" s="46" t="str">
        <x:v>exact_2020_supplement</x:v>
      </x:c>
      <x:c r="Q438" s="62" t="str">
        <x:v>2020 supplement MeanTL</x:v>
      </x:c>
      <x:c r="R438" s="46" t="str">
        <x:v>high</x:v>
      </x:c>
      <x:c r="S438" s="46" t="str">
        <x:v>Eucidaris tribuloides</x:v>
      </x:c>
      <x:c r="T438" s="62" t="n">
        <x:f>IF(O438="","",(1/'Metadata'!$B$5)^(O438-1))</x:f>
        <x:v>31.622776601683793</x:v>
      </x:c>
      <x:c r="U438" s="60" t="n">
        <x:f>IF(T438="","",I438*T438)</x:f>
        <x:v>0.04319109030822028</x:v>
      </x:c>
    </x:row>
    <x:row r="439" ht="18" customHeight="1">
      <x:c r="A439" s="46" t="str">
        <x:v>LME_012</x:v>
      </x:c>
      <x:c r="B439" s="46" t="str">
        <x:v>Caribbean Sea</x:v>
      </x:c>
      <x:c r="C439" s="46" t="str">
        <x:v>LME</x:v>
      </x:c>
      <x:c r="D439" s="58" t="n">
        <x:v>2019</x:v>
      </x:c>
      <x:c r="E439" s="46" t="str">
        <x:v>Caulolatilus chrysops</x:v>
      </x:c>
      <x:c r="F439" s="46" t="str">
        <x:v>Atlantic goldeneye tilefish</x:v>
      </x:c>
      <x:c r="G439" s="46" t="str">
        <x:v>Medium demersals (30 - 89 cm)</x:v>
      </x:c>
      <x:c r="H439" s="46" t="str">
        <x:v>Perch-likes</x:v>
      </x:c>
      <x:c r="I439" s="60" t="n">
        <x:v>0.0013564249</x:v>
      </x:c>
      <x:c r="J439" s="60" t="n">
        <x:v>0.0013564249</x:v>
      </x:c>
      <x:c r="K439" s="60" t="n">
        <x:v>0</x:v>
      </x:c>
      <x:c r="L439" s="60" t="n">
        <x:v>0.0013564249</x:v>
      </x:c>
      <x:c r="M439" s="60" t="n">
        <x:v>0</x:v>
      </x:c>
      <x:c r="N439" s="46" t="str">
        <x:v>caulolatilus chrysops</x:v>
      </x:c>
      <x:c r="O439" s="62" t="n">
        <x:v>3.62</x:v>
      </x:c>
      <x:c r="P439" s="46" t="str">
        <x:v>exact_2020_supplement</x:v>
      </x:c>
      <x:c r="Q439" s="62" t="str">
        <x:v>2020 supplement MeanTL</x:v>
      </x:c>
      <x:c r="R439" s="46" t="str">
        <x:v>high</x:v>
      </x:c>
      <x:c r="S439" s="46" t="str">
        <x:v>Caulolatilus chrysops</x:v>
      </x:c>
      <x:c r="T439" s="62" t="n">
        <x:f>IF(O439="","",(1/'Metadata'!$B$5)^(O439-1))</x:f>
        <x:v>416.8693834703355</x:v>
      </x:c>
      <x:c r="U439" s="60" t="n">
        <x:f>IF(T439="","",I439*T439)</x:f>
        <x:v>0.5654520117868115</x:v>
      </x:c>
    </x:row>
    <x:row r="440" ht="18" customHeight="1">
      <x:c r="A440" s="46" t="str">
        <x:v>LME_012</x:v>
      </x:c>
      <x:c r="B440" s="46" t="str">
        <x:v>Caribbean Sea</x:v>
      </x:c>
      <x:c r="C440" s="46" t="str">
        <x:v>LME</x:v>
      </x:c>
      <x:c r="D440" s="58" t="n">
        <x:v>2019</x:v>
      </x:c>
      <x:c r="E440" s="46" t="str">
        <x:v>Echinaster sentus</x:v>
      </x:c>
      <x:c r="F440" s="46" t="str">
        <x:v>Red spiny starfish</x:v>
      </x:c>
      <x:c r="G440" s="46" t="str">
        <x:v>Other demersal invertebrates</x:v>
      </x:c>
      <x:c r="H440" s="46" t="str">
        <x:v>Other fishes &amp; inverts</x:v>
      </x:c>
      <x:c r="I440" s="60" t="n">
        <x:v>0.0012330581</x:v>
      </x:c>
      <x:c r="J440" s="60" t="n">
        <x:v>0.0012330581</x:v>
      </x:c>
      <x:c r="K440" s="60" t="n">
        <x:v>0</x:v>
      </x:c>
      <x:c r="L440" s="60" t="n">
        <x:v>0.0012330581</x:v>
      </x:c>
      <x:c r="M440" s="60" t="n">
        <x:v>0</x:v>
      </x:c>
      <x:c r="N440" s="46" t="str">
        <x:v>echinaster sentus</x:v>
      </x:c>
      <x:c r="O440" s="62" t="n">
        <x:v>2.85</x:v>
      </x:c>
      <x:c r="P440" s="46" t="str">
        <x:v>exact_sea_around_us</x:v>
      </x:c>
      <x:c r="Q440" s="62" t="str">
        <x:v>Sea Around Us exploited organisms</x:v>
      </x:c>
      <x:c r="R440" s="46" t="str">
        <x:v>high</x:v>
      </x:c>
      <x:c r="S440" s="46" t="str">
        <x:v>Echinaster sentus</x:v>
      </x:c>
      <x:c r="T440" s="62" t="n">
        <x:f>IF(O440="","",(1/'Metadata'!$B$5)^(O440-1))</x:f>
        <x:v>70.79457843841381</x:v>
      </x:c>
      <x:c r="U440" s="60" t="n">
        <x:f>IF(T440="","",I440*T440)</x:f>
        <x:v>0.0872938283795715</x:v>
      </x:c>
    </x:row>
    <x:row r="441" ht="18" customHeight="1">
      <x:c r="A441" s="46" t="str">
        <x:v>LME_012</x:v>
      </x:c>
      <x:c r="B441" s="46" t="str">
        <x:v>Caribbean Sea</x:v>
      </x:c>
      <x:c r="C441" s="46" t="str">
        <x:v>LME</x:v>
      </x:c>
      <x:c r="D441" s="58" t="n">
        <x:v>2019</x:v>
      </x:c>
      <x:c r="E441" s="46" t="str">
        <x:v>Phimochirus operculatus</x:v>
      </x:c>
      <x:c r="F441" s="46" t="str">
        <x:v>Polkadotted hermit</x:v>
      </x:c>
      <x:c r="G441" s="46" t="str">
        <x:v>Lobsters, crabs</x:v>
      </x:c>
      <x:c r="H441" s="46" t="str">
        <x:v>Crustaceans</x:v>
      </x:c>
      <x:c r="I441" s="60" t="n">
        <x:v>0.001200112</x:v>
      </x:c>
      <x:c r="J441" s="60" t="n">
        <x:v>0.001200112</x:v>
      </x:c>
      <x:c r="K441" s="60" t="n">
        <x:v>0</x:v>
      </x:c>
      <x:c r="L441" s="60" t="n">
        <x:v>0.001200112</x:v>
      </x:c>
      <x:c r="M441" s="60" t="n">
        <x:v>0</x:v>
      </x:c>
      <x:c r="N441" s="46" t="str">
        <x:v>phimochirus operculatus</x:v>
      </x:c>
      <x:c r="O441" s="62" t="n">
        <x:v>2.86</x:v>
      </x:c>
      <x:c r="P441" s="46" t="str">
        <x:v>exact_sea_around_us</x:v>
      </x:c>
      <x:c r="Q441" s="62" t="str">
        <x:v>Sea Around Us exploited organisms</x:v>
      </x:c>
      <x:c r="R441" s="46" t="str">
        <x:v>high</x:v>
      </x:c>
      <x:c r="S441" s="46" t="str">
        <x:v>Phimochirus operculatus</x:v>
      </x:c>
      <x:c r="T441" s="62" t="n">
        <x:f>IF(O441="","",(1/'Metadata'!$B$5)^(O441-1))</x:f>
        <x:v>72.44359600749898</x:v>
      </x:c>
      <x:c r="U441" s="60" t="n">
        <x:f>IF(T441="","",I441*T441)</x:f>
        <x:v>0.08694042889175162</x:v>
      </x:c>
    </x:row>
    <x:row r="442" ht="18" customHeight="1">
      <x:c r="A442" s="46" t="str">
        <x:v>LME_012</x:v>
      </x:c>
      <x:c r="B442" s="46" t="str">
        <x:v>Caribbean Sea</x:v>
      </x:c>
      <x:c r="C442" s="46" t="str">
        <x:v>LME</x:v>
      </x:c>
      <x:c r="D442" s="58" t="n">
        <x:v>2019</x:v>
      </x:c>
      <x:c r="E442" s="46" t="str">
        <x:v>Mola</x:v>
      </x:c>
      <x:c r="F442" s="46" t="str">
        <x:v>Sunfishes</x:v>
      </x:c>
      <x:c r="G442" s="46" t="str">
        <x:v>Large pelagics (&gt;=90 cm)</x:v>
      </x:c>
      <x:c r="H442" s="46" t="str">
        <x:v>Other fishes &amp; inverts</x:v>
      </x:c>
      <x:c r="I442" s="60" t="n">
        <x:v>0.0011547828</x:v>
      </x:c>
      <x:c r="J442" s="60" t="n">
        <x:v>0.0011547828</x:v>
      </x:c>
      <x:c r="K442" s="60" t="n">
        <x:v>0</x:v>
      </x:c>
      <x:c r="L442" s="60" t="n">
        <x:v>0</x:v>
      </x:c>
      <x:c r="M442" s="60" t="n">
        <x:v>0.0011547828</x:v>
      </x:c>
      <x:c r="N442" s="46" t="str">
        <x:v>mola</x:v>
      </x:c>
      <x:c r="O442" s="62" t="n">
        <x:v>3.68</x:v>
      </x:c>
      <x:c r="P442" s="46" t="str">
        <x:v>exact_sea_around_us</x:v>
      </x:c>
      <x:c r="Q442" s="62" t="str">
        <x:v>Sea Around Us exploited organisms</x:v>
      </x:c>
      <x:c r="R442" s="46" t="str">
        <x:v>high</x:v>
      </x:c>
      <x:c r="S442" s="46" t="str">
        <x:v>Mola</x:v>
      </x:c>
      <x:c r="T442" s="62" t="n">
        <x:f>IF(O442="","",(1/'Metadata'!$B$5)^(O442-1))</x:f>
        <x:v>478.6300923226385</x:v>
      </x:c>
      <x:c r="U442" s="60" t="n">
        <x:f>IF(T442="","",I442*T442)</x:f>
        <x:v>0.552713798176595</x:v>
      </x:c>
    </x:row>
    <x:row r="443" ht="18" customHeight="1">
      <x:c r="A443" s="46" t="str">
        <x:v>LME_012</x:v>
      </x:c>
      <x:c r="B443" s="46" t="str">
        <x:v>Caribbean Sea</x:v>
      </x:c>
      <x:c r="C443" s="46" t="str">
        <x:v>LME</x:v>
      </x:c>
      <x:c r="D443" s="58" t="n">
        <x:v>2019</x:v>
      </x:c>
      <x:c r="E443" s="46" t="str">
        <x:v>Urobatis jamaicensis</x:v>
      </x:c>
      <x:c r="F443" s="46" t="str">
        <x:v>Yellow stingray</x:v>
      </x:c>
      <x:c r="G443" s="46" t="str">
        <x:v>Small to medium rays (&lt;90 cm)</x:v>
      </x:c>
      <x:c r="H443" s="46" t="str">
        <x:v>Sharks &amp; rays</x:v>
      </x:c>
      <x:c r="I443" s="60" t="n">
        <x:v>0.0011210153</x:v>
      </x:c>
      <x:c r="J443" s="60" t="n">
        <x:v>0.0011210153</x:v>
      </x:c>
      <x:c r="K443" s="60" t="n">
        <x:v>0</x:v>
      </x:c>
      <x:c r="L443" s="60" t="n">
        <x:v>0.0011210153</x:v>
      </x:c>
      <x:c r="M443" s="60" t="n">
        <x:v>0</x:v>
      </x:c>
      <x:c r="N443" s="46" t="str">
        <x:v>urobatis jamaicensis</x:v>
      </x:c>
      <x:c r="O443" s="62" t="n">
        <x:v>3.55</x:v>
      </x:c>
      <x:c r="P443" s="46" t="str">
        <x:v>exact_2020_supplement</x:v>
      </x:c>
      <x:c r="Q443" s="62" t="str">
        <x:v>2020 supplement MeanTL</x:v>
      </x:c>
      <x:c r="R443" s="46" t="str">
        <x:v>high</x:v>
      </x:c>
      <x:c r="S443" s="46" t="str">
        <x:v>Urobatis jamaicensis</x:v>
      </x:c>
      <x:c r="T443" s="62" t="n">
        <x:f>IF(O443="","",(1/'Metadata'!$B$5)^(O443-1))</x:f>
        <x:v>354.8133892335753</x:v>
      </x:c>
      <x:c r="U443" s="60" t="n">
        <x:f>IF(T443="","",I443*T443)</x:f>
        <x:v>0.39775123797569323</x:v>
      </x:c>
    </x:row>
    <x:row r="444" ht="18" customHeight="1">
      <x:c r="A444" s="46" t="str">
        <x:v>LME_012</x:v>
      </x:c>
      <x:c r="B444" s="46" t="str">
        <x:v>Caribbean Sea</x:v>
      </x:c>
      <x:c r="C444" s="46" t="str">
        <x:v>LME</x:v>
      </x:c>
      <x:c r="D444" s="58" t="n">
        <x:v>2019</x:v>
      </x:c>
      <x:c r="E444" s="46" t="str">
        <x:v>Eques punctatus</x:v>
      </x:c>
      <x:c r="F444" s="46" t="str">
        <x:v>Spotted drum</x:v>
      </x:c>
      <x:c r="G444" s="46" t="str">
        <x:v>Small reef assoc. fish (&lt;30 cm)</x:v>
      </x:c>
      <x:c r="H444" s="46" t="str">
        <x:v>Perch-likes</x:v>
      </x:c>
      <x:c r="I444" s="60" t="n">
        <x:v>0.0010634505</x:v>
      </x:c>
      <x:c r="J444" s="60" t="n">
        <x:v>0.0010634505</x:v>
      </x:c>
      <x:c r="K444" s="60" t="n">
        <x:v>0</x:v>
      </x:c>
      <x:c r="L444" s="60" t="n">
        <x:v>0.0010634505</x:v>
      </x:c>
      <x:c r="M444" s="60" t="n">
        <x:v>0</x:v>
      </x:c>
      <x:c r="N444" s="46" t="str">
        <x:v>eques punctatus</x:v>
      </x:c>
      <x:c r="O444" s="62" t="n">
        <x:v>3.5</x:v>
      </x:c>
      <x:c r="P444" s="46" t="str">
        <x:v>exact_sea_around_us</x:v>
      </x:c>
      <x:c r="Q444" s="62" t="str">
        <x:v>Sea Around Us exploited organisms</x:v>
      </x:c>
      <x:c r="R444" s="46" t="str">
        <x:v>high</x:v>
      </x:c>
      <x:c r="S444" s="46" t="str">
        <x:v>Eques punctatus</x:v>
      </x:c>
      <x:c r="T444" s="62" t="n">
        <x:f>IF(O444="","",(1/'Metadata'!$B$5)^(O444-1))</x:f>
        <x:v>316.22776601683796</x:v>
      </x:c>
      <x:c r="U444" s="60" t="n">
        <x:f>IF(T444="","",I444*T444)</x:f>
        <x:v>0.33629257588448935</x:v>
      </x:c>
    </x:row>
    <x:row r="445" ht="18" customHeight="1">
      <x:c r="A445" s="46" t="str">
        <x:v>LME_012</x:v>
      </x:c>
      <x:c r="B445" s="46" t="str">
        <x:v>Caribbean Sea</x:v>
      </x:c>
      <x:c r="C445" s="46" t="str">
        <x:v>LME</x:v>
      </x:c>
      <x:c r="D445" s="58" t="n">
        <x:v>2019</x:v>
      </x:c>
      <x:c r="E445" s="46" t="str">
        <x:v>Chaetodon sedentarius</x:v>
      </x:c>
      <x:c r="F445" s="46" t="str">
        <x:v>Reef butterflyfish</x:v>
      </x:c>
      <x:c r="G445" s="46" t="str">
        <x:v>Small reef assoc. fish (&lt;30 cm)</x:v>
      </x:c>
      <x:c r="H445" s="46" t="str">
        <x:v>Perch-likes</x:v>
      </x:c>
      <x:c r="I445" s="60" t="n">
        <x:v>0.0010091144</x:v>
      </x:c>
      <x:c r="J445" s="60" t="n">
        <x:v>0.0010091144</x:v>
      </x:c>
      <x:c r="K445" s="60" t="n">
        <x:v>0</x:v>
      </x:c>
      <x:c r="L445" s="60" t="n">
        <x:v>0.0010091144</x:v>
      </x:c>
      <x:c r="M445" s="60" t="n">
        <x:v>0</x:v>
      </x:c>
      <x:c r="N445" s="46" t="str">
        <x:v>chaetodon sedentarius</x:v>
      </x:c>
      <x:c r="O445" s="62" t="n">
        <x:v>3.85</x:v>
      </x:c>
      <x:c r="P445" s="46" t="str">
        <x:v>exact_2020_supplement</x:v>
      </x:c>
      <x:c r="Q445" s="62" t="str">
        <x:v>2020 supplement MeanTL</x:v>
      </x:c>
      <x:c r="R445" s="46" t="str">
        <x:v>high</x:v>
      </x:c>
      <x:c r="S445" s="46" t="str">
        <x:v>Chaetodon sedentarius</x:v>
      </x:c>
      <x:c r="T445" s="62" t="n">
        <x:f>IF(O445="","",(1/'Metadata'!$B$5)^(O445-1))</x:f>
        <x:v>707.945784384138</x:v>
      </x:c>
      <x:c r="U445" s="60" t="n">
        <x:f>IF(T445="","",I445*T445)</x:f>
        <x:v>0.7143982854413288</x:v>
      </x:c>
    </x:row>
    <x:row r="446" ht="18" customHeight="1">
      <x:c r="A446" s="46" t="str">
        <x:v>LME_012</x:v>
      </x:c>
      <x:c r="B446" s="46" t="str">
        <x:v>Caribbean Sea</x:v>
      </x:c>
      <x:c r="C446" s="46" t="str">
        <x:v>LME</x:v>
      </x:c>
      <x:c r="D446" s="58" t="n">
        <x:v>2019</x:v>
      </x:c>
      <x:c r="E446" s="46" t="str">
        <x:v>Octopus briareus</x:v>
      </x:c>
      <x:c r="F446" s="46" t="str">
        <x:v>Caribbean reef octopus</x:v>
      </x:c>
      <x:c r="G446" s="46" t="str">
        <x:v>Cephalopods</x:v>
      </x:c>
      <x:c r="H446" s="46" t="str">
        <x:v>Molluscs</x:v>
      </x:c>
      <x:c r="I446" s="60" t="n">
        <x:v>0.0009887264999999998</x:v>
      </x:c>
      <x:c r="J446" s="60" t="n">
        <x:v>0.0009887264999999998</x:v>
      </x:c>
      <x:c r="K446" s="60" t="n">
        <x:v>0</x:v>
      </x:c>
      <x:c r="L446" s="60" t="n">
        <x:v>0.0009887264999999998</x:v>
      </x:c>
      <x:c r="M446" s="60" t="n">
        <x:v>0</x:v>
      </x:c>
      <x:c r="N446" s="46" t="str">
        <x:v>octopus briareus</x:v>
      </x:c>
      <x:c r="O446" s="62" t="n">
        <x:v>3.64</x:v>
      </x:c>
      <x:c r="P446" s="46" t="str">
        <x:v>exact_2020_supplement</x:v>
      </x:c>
      <x:c r="Q446" s="62" t="str">
        <x:v>2020 supplement MeanTL</x:v>
      </x:c>
      <x:c r="R446" s="46" t="str">
        <x:v>high</x:v>
      </x:c>
      <x:c r="S446" s="46" t="str">
        <x:v>Octopus briareus</x:v>
      </x:c>
      <x:c r="T446" s="62" t="n">
        <x:f>IF(O446="","",(1/'Metadata'!$B$5)^(O446-1))</x:f>
        <x:v>436.5158322401661</x:v>
      </x:c>
      <x:c r="U446" s="60" t="n">
        <x:f>IF(T446="","",I446*T446)</x:f>
        <x:v>0.4315947710054065</x:v>
      </x:c>
    </x:row>
    <x:row r="447" ht="18" customHeight="1">
      <x:c r="A447" s="46" t="str">
        <x:v>LME_012</x:v>
      </x:c>
      <x:c r="B447" s="46" t="str">
        <x:v>Caribbean Sea</x:v>
      </x:c>
      <x:c r="C447" s="46" t="str">
        <x:v>LME</x:v>
      </x:c>
      <x:c r="D447" s="58" t="n">
        <x:v>2019</x:v>
      </x:c>
      <x:c r="E447" s="46" t="str">
        <x:v>Echinometra lucunter</x:v>
      </x:c>
      <x:c r="F447" s="46" t="str">
        <x:v>Rock boring urchin</x:v>
      </x:c>
      <x:c r="G447" s="46" t="str">
        <x:v>Other demersal invertebrates</x:v>
      </x:c>
      <x:c r="H447" s="46" t="str">
        <x:v>Other fishes &amp; inverts</x:v>
      </x:c>
      <x:c r="I447" s="60" t="n">
        <x:v>0.0009552729</x:v>
      </x:c>
      <x:c r="J447" s="60" t="n">
        <x:v>0.0009552729</x:v>
      </x:c>
      <x:c r="K447" s="60" t="n">
        <x:v>0</x:v>
      </x:c>
      <x:c r="L447" s="60" t="n">
        <x:v>0.0009552729</x:v>
      </x:c>
      <x:c r="M447" s="60" t="n">
        <x:v>0</x:v>
      </x:c>
      <x:c r="N447" s="46" t="str">
        <x:v>echinometra lucunter</x:v>
      </x:c>
      <x:c r="O447" s="62" t="n">
        <x:v>2.312</x:v>
      </x:c>
      <x:c r="P447" s="46" t="str">
        <x:v>exact_sea_around_us</x:v>
      </x:c>
      <x:c r="Q447" s="62" t="str">
        <x:v>Sea Around Us exploited organisms</x:v>
      </x:c>
      <x:c r="R447" s="46" t="str">
        <x:v>high</x:v>
      </x:c>
      <x:c r="S447" s="46" t="str">
        <x:v>Echinometra lucunter</x:v>
      </x:c>
      <x:c r="T447" s="62" t="n">
        <x:f>IF(O447="","",(1/'Metadata'!$B$5)^(O447-1))</x:f>
        <x:v>20.511621788255646</x:v>
      </x:c>
      <x:c r="U447" s="60" t="n">
        <x:f>IF(T447="","",I447*T447)</x:f>
        <x:v>0.01959419642937016</x:v>
      </x:c>
    </x:row>
    <x:row r="448" ht="18" customHeight="1">
      <x:c r="A448" s="46" t="str">
        <x:v>LME_012</x:v>
      </x:c>
      <x:c r="B448" s="46" t="str">
        <x:v>Caribbean Sea</x:v>
      </x:c>
      <x:c r="C448" s="46" t="str">
        <x:v>LME</x:v>
      </x:c>
      <x:c r="D448" s="58" t="n">
        <x:v>2019</x:v>
      </x:c>
      <x:c r="E448" s="46" t="str">
        <x:v>Perciformes</x:v>
      </x:c>
      <x:c r="F448" s="46" t="str">
        <x:v>Perch-likes</x:v>
      </x:c>
      <x:c r="G448" s="46" t="str">
        <x:v>Medium demersals (30 - 89 cm)</x:v>
      </x:c>
      <x:c r="H448" s="46" t="str">
        <x:v>Perch-likes</x:v>
      </x:c>
      <x:c r="I448" s="60" t="n">
        <x:v>0.00079185</x:v>
      </x:c>
      <x:c r="J448" s="60" t="n">
        <x:v>0.0007480041</x:v>
      </x:c>
      <x:c r="K448" s="60" t="n">
        <x:v>0.0000438459</x:v>
      </x:c>
      <x:c r="L448" s="60" t="n">
        <x:v>0.0007480041</x:v>
      </x:c>
      <x:c r="M448" s="60" t="n">
        <x:v>0.0000438459</x:v>
      </x:c>
      <x:c r="N448" s="46" t="str">
        <x:v>perciformes</x:v>
      </x:c>
      <x:c r="O448" s="62" t="n">
        <x:v>3.53</x:v>
      </x:c>
      <x:c r="P448" s="46" t="str">
        <x:v>exact_sea_around_us</x:v>
      </x:c>
      <x:c r="Q448" s="62" t="str">
        <x:v>Sea Around Us exploited organisms</x:v>
      </x:c>
      <x:c r="R448" s="46" t="str">
        <x:v>high</x:v>
      </x:c>
      <x:c r="S448" s="46" t="str">
        <x:v>Perciformes</x:v>
      </x:c>
      <x:c r="T448" s="62" t="n">
        <x:f>IF(O448="","",(1/'Metadata'!$B$5)^(O448-1))</x:f>
        <x:v>338.84415613920237</x:v>
      </x:c>
      <x:c r="U448" s="60" t="n">
        <x:f>IF(T448="","",I448*T448)</x:f>
        <x:v>0.2683137450388274</x:v>
      </x:c>
    </x:row>
    <x:row r="449" ht="18" customHeight="1">
      <x:c r="A449" s="46" t="str">
        <x:v>LME_012</x:v>
      </x:c>
      <x:c r="B449" s="46" t="str">
        <x:v>Caribbean Sea</x:v>
      </x:c>
      <x:c r="C449" s="46" t="str">
        <x:v>LME</x:v>
      </x:c>
      <x:c r="D449" s="58" t="n">
        <x:v>2019</x:v>
      </x:c>
      <x:c r="E449" s="46" t="str">
        <x:v>Emblemaria pandionis</x:v>
      </x:c>
      <x:c r="F449" s="46" t="str">
        <x:v>Sailfin blenny</x:v>
      </x:c>
      <x:c r="G449" s="46" t="str">
        <x:v>Small reef assoc. fish (&lt;30 cm)</x:v>
      </x:c>
      <x:c r="H449" s="46" t="str">
        <x:v>Perch-likes</x:v>
      </x:c>
      <x:c r="I449" s="60" t="n">
        <x:v>0.0007573835</x:v>
      </x:c>
      <x:c r="J449" s="60" t="n">
        <x:v>0.0007573835</x:v>
      </x:c>
      <x:c r="K449" s="60" t="n">
        <x:v>0</x:v>
      </x:c>
      <x:c r="L449" s="60" t="n">
        <x:v>0.0007573835</x:v>
      </x:c>
      <x:c r="M449" s="60" t="n">
        <x:v>0</x:v>
      </x:c>
      <x:c r="N449" s="46" t="str">
        <x:v>emblemaria pandionis</x:v>
      </x:c>
      <x:c r="O449" s="62" t="n">
        <x:v>3.4</x:v>
      </x:c>
      <x:c r="P449" s="46" t="str">
        <x:v>exact_2020_supplement</x:v>
      </x:c>
      <x:c r="Q449" s="62" t="str">
        <x:v>2020 supplement MeanTL</x:v>
      </x:c>
      <x:c r="R449" s="46" t="str">
        <x:v>high</x:v>
      </x:c>
      <x:c r="S449" s="46" t="str">
        <x:v>Emblemaria pandionis</x:v>
      </x:c>
      <x:c r="T449" s="62" t="n">
        <x:f>IF(O449="","",(1/'Metadata'!$B$5)^(O449-1))</x:f>
        <x:v>251.18864315095797</x:v>
      </x:c>
      <x:c r="U449" s="60" t="n">
        <x:f>IF(T449="","",I449*T449)</x:f>
        <x:v>0.19024613370992358</x:v>
      </x:c>
    </x:row>
    <x:row r="450" ht="18" customHeight="1">
      <x:c r="A450" s="46" t="str">
        <x:v>LME_012</x:v>
      </x:c>
      <x:c r="B450" s="46" t="str">
        <x:v>Caribbean Sea</x:v>
      </x:c>
      <x:c r="C450" s="46" t="str">
        <x:v>LME</x:v>
      </x:c>
      <x:c r="D450" s="58" t="n">
        <x:v>2019</x:v>
      </x:c>
      <x:c r="E450" s="46" t="str">
        <x:v>Eriphia gonagra</x:v>
      </x:c>
      <x:c r="F450" s="46" t="str">
        <x:v>Warty crab</x:v>
      </x:c>
      <x:c r="G450" s="46" t="str">
        <x:v>Lobsters, crabs</x:v>
      </x:c>
      <x:c r="H450" s="46" t="str">
        <x:v>Crustaceans</x:v>
      </x:c>
      <x:c r="I450" s="60" t="n">
        <x:v>0.0007460242</x:v>
      </x:c>
      <x:c r="J450" s="60" t="n">
        <x:v>0.0007460242</x:v>
      </x:c>
      <x:c r="K450" s="60" t="n">
        <x:v>0</x:v>
      </x:c>
      <x:c r="L450" s="60" t="n">
        <x:v>0.0007460242</x:v>
      </x:c>
      <x:c r="M450" s="60" t="n">
        <x:v>0</x:v>
      </x:c>
      <x:c r="N450" s="46" t="str">
        <x:v>eriphia gonagra</x:v>
      </x:c>
      <x:c r="O450" s="62" t="n">
        <x:v>2.99</x:v>
      </x:c>
      <x:c r="P450" s="46" t="str">
        <x:v>exact_sea_around_us</x:v>
      </x:c>
      <x:c r="Q450" s="62" t="str">
        <x:v>Sea Around Us exploited organisms</x:v>
      </x:c>
      <x:c r="R450" s="46" t="str">
        <x:v>high</x:v>
      </x:c>
      <x:c r="S450" s="46" t="str">
        <x:v>Eriphia gonagra</x:v>
      </x:c>
      <x:c r="T450" s="62" t="n">
        <x:f>IF(O450="","",(1/'Metadata'!$B$5)^(O450-1))</x:f>
        <x:v>97.72372209558111</x:v>
      </x:c>
      <x:c r="U450" s="60" t="n">
        <x:f>IF(T450="","",I450*T450)</x:f>
        <x:v>0.07290426159737823</x:v>
      </x:c>
    </x:row>
    <x:row r="451" ht="18" customHeight="1">
      <x:c r="A451" s="46" t="str">
        <x:v>LME_012</x:v>
      </x:c>
      <x:c r="B451" s="46" t="str">
        <x:v>Caribbean Sea</x:v>
      </x:c>
      <x:c r="C451" s="46" t="str">
        <x:v>LME</x:v>
      </x:c>
      <x:c r="D451" s="58" t="n">
        <x:v>2019</x:v>
      </x:c>
      <x:c r="E451" s="46" t="str">
        <x:v>Fasciolaria tulipa</x:v>
      </x:c>
      <x:c r="F451" s="46" t="str">
        <x:v>True tulip</x:v>
      </x:c>
      <x:c r="G451" s="46" t="str">
        <x:v>Other demersal invertebrates</x:v>
      </x:c>
      <x:c r="H451" s="46" t="str">
        <x:v>Molluscs</x:v>
      </x:c>
      <x:c r="I451" s="60" t="n">
        <x:v>0.0007065317</x:v>
      </x:c>
      <x:c r="J451" s="60" t="n">
        <x:v>0.0007065317</x:v>
      </x:c>
      <x:c r="K451" s="60" t="n">
        <x:v>0</x:v>
      </x:c>
      <x:c r="L451" s="60" t="n">
        <x:v>0.0007065317</x:v>
      </x:c>
      <x:c r="M451" s="60" t="n">
        <x:v>0</x:v>
      </x:c>
      <x:c r="N451" s="46" t="str">
        <x:v>fasciolaria tulipa</x:v>
      </x:c>
      <x:c r="O451" s="62" t="n">
        <x:v>3.05</x:v>
      </x:c>
      <x:c r="P451" s="46" t="str">
        <x:v>exact_sea_around_us</x:v>
      </x:c>
      <x:c r="Q451" s="62" t="str">
        <x:v>Sea Around Us exploited organisms</x:v>
      </x:c>
      <x:c r="R451" s="46" t="str">
        <x:v>high</x:v>
      </x:c>
      <x:c r="S451" s="46" t="str">
        <x:v>Fasciolaria tulipa</x:v>
      </x:c>
      <x:c r="T451" s="62" t="n">
        <x:f>IF(O451="","",(1/'Metadata'!$B$5)^(O451-1))</x:f>
        <x:v>112.2018454301963</x:v>
      </x:c>
      <x:c r="U451" s="60" t="n">
        <x:f>IF(T451="","",I451*T451)</x:f>
        <x:v>0.07927416059493382</x:v>
      </x:c>
    </x:row>
    <x:row r="452" ht="18" customHeight="1">
      <x:c r="A452" s="46" t="str">
        <x:v>LME_012</x:v>
      </x:c>
      <x:c r="B452" s="46" t="str">
        <x:v>Caribbean Sea</x:v>
      </x:c>
      <x:c r="C452" s="46" t="str">
        <x:v>LME</x:v>
      </x:c>
      <x:c r="D452" s="58" t="n">
        <x:v>2019</x:v>
      </x:c>
      <x:c r="E452" s="46" t="str">
        <x:v>Scorpaenodes caribbaeus</x:v>
      </x:c>
      <x:c r="F452" s="46" t="str">
        <x:v>Reef scorpionfish</x:v>
      </x:c>
      <x:c r="G452" s="46" t="str">
        <x:v>Small reef assoc. fish (&lt;30 cm)</x:v>
      </x:c>
      <x:c r="H452" s="46" t="str">
        <x:v>Scorpionfishes</x:v>
      </x:c>
      <x:c r="I452" s="60" t="n">
        <x:v>0.0006926558</x:v>
      </x:c>
      <x:c r="J452" s="60" t="n">
        <x:v>0.0006926558</x:v>
      </x:c>
      <x:c r="K452" s="60" t="n">
        <x:v>0</x:v>
      </x:c>
      <x:c r="L452" s="60" t="n">
        <x:v>0.0006926558</x:v>
      </x:c>
      <x:c r="M452" s="60" t="n">
        <x:v>0</x:v>
      </x:c>
      <x:c r="N452" s="46" t="str">
        <x:v>scorpaenodes caribbaeus</x:v>
      </x:c>
      <x:c r="O452" s="62" t="n">
        <x:v>3.6</x:v>
      </x:c>
      <x:c r="P452" s="46" t="str">
        <x:v>exact_2020_supplement</x:v>
      </x:c>
      <x:c r="Q452" s="62" t="str">
        <x:v>2020 supplement MeanTL</x:v>
      </x:c>
      <x:c r="R452" s="46" t="str">
        <x:v>high</x:v>
      </x:c>
      <x:c r="S452" s="46" t="str">
        <x:v>Scorpaenodes caribbaeus</x:v>
      </x:c>
      <x:c r="T452" s="62" t="n">
        <x:f>IF(O452="","",(1/'Metadata'!$B$5)^(O452-1))</x:f>
        <x:v>398.1071705534973</x:v>
      </x:c>
      <x:c r="U452" s="60" t="n">
        <x:f>IF(T452="","",I452*T452)</x:f>
        <x:v>0.27575124070546914</x:v>
      </x:c>
    </x:row>
    <x:row r="453" ht="18" customHeight="1">
      <x:c r="A453" s="46" t="str">
        <x:v>LME_012</x:v>
      </x:c>
      <x:c r="B453" s="46" t="str">
        <x:v>Caribbean Sea</x:v>
      </x:c>
      <x:c r="C453" s="46" t="str">
        <x:v>LME</x:v>
      </x:c>
      <x:c r="D453" s="58" t="n">
        <x:v>2019</x:v>
      </x:c>
      <x:c r="E453" s="46" t="str">
        <x:v>Cantherhines macrocerus</x:v>
      </x:c>
      <x:c r="F453" s="46" t="str">
        <x:v>American whitespotted filefish</x:v>
      </x:c>
      <x:c r="G453" s="46" t="str">
        <x:v>Medium reef assoc. fish (30 - 89 cm)</x:v>
      </x:c>
      <x:c r="H453" s="46" t="str">
        <x:v>Other fishes &amp; inverts</x:v>
      </x:c>
      <x:c r="I453" s="60" t="n">
        <x:v>0.0006335822</x:v>
      </x:c>
      <x:c r="J453" s="60" t="n">
        <x:v>0.0006335822</x:v>
      </x:c>
      <x:c r="K453" s="60" t="n">
        <x:v>0</x:v>
      </x:c>
      <x:c r="L453" s="60" t="n">
        <x:v>0.0006335822</x:v>
      </x:c>
      <x:c r="M453" s="60" t="n">
        <x:v>0</x:v>
      </x:c>
      <x:c r="N453" s="46" t="str">
        <x:v>cantherhines macrocerus</x:v>
      </x:c>
      <x:c r="O453" s="62" t="n">
        <x:v>3.06</x:v>
      </x:c>
      <x:c r="P453" s="46" t="str">
        <x:v>exact_2020_supplement</x:v>
      </x:c>
      <x:c r="Q453" s="62" t="str">
        <x:v>2020 supplement MeanTL</x:v>
      </x:c>
      <x:c r="R453" s="46" t="str">
        <x:v>high</x:v>
      </x:c>
      <x:c r="S453" s="46" t="str">
        <x:v>Cantherhines macrocerus</x:v>
      </x:c>
      <x:c r="T453" s="62" t="n">
        <x:f>IF(O453="","",(1/'Metadata'!$B$5)^(O453-1))</x:f>
        <x:v>114.81536214968828</x:v>
      </x:c>
      <x:c r="U453" s="60" t="n">
        <x:f>IF(T453="","",I453*T453)</x:f>
        <x:v>0.07274496974459624</x:v>
      </x:c>
    </x:row>
    <x:row r="454" ht="18" customHeight="1">
      <x:c r="A454" s="46" t="str">
        <x:v>LME_012</x:v>
      </x:c>
      <x:c r="B454" s="46" t="str">
        <x:v>Caribbean Sea</x:v>
      </x:c>
      <x:c r="C454" s="46" t="str">
        <x:v>LME</x:v>
      </x:c>
      <x:c r="D454" s="58" t="n">
        <x:v>2019</x:v>
      </x:c>
      <x:c r="E454" s="46" t="str">
        <x:v>Opistognathus whitehursti</x:v>
      </x:c>
      <x:c r="F454" s="46" t="str">
        <x:v>Dusky jawfish</x:v>
      </x:c>
      <x:c r="G454" s="46" t="str">
        <x:v>Small reef assoc. fish (&lt;30 cm)</x:v>
      </x:c>
      <x:c r="H454" s="46" t="str">
        <x:v>Perch-likes</x:v>
      </x:c>
      <x:c r="I454" s="60" t="n">
        <x:v>0.0005669264</x:v>
      </x:c>
      <x:c r="J454" s="60" t="n">
        <x:v>0.0005669264</x:v>
      </x:c>
      <x:c r="K454" s="60" t="n">
        <x:v>0</x:v>
      </x:c>
      <x:c r="L454" s="60" t="n">
        <x:v>0.0005669264</x:v>
      </x:c>
      <x:c r="M454" s="60" t="n">
        <x:v>0</x:v>
      </x:c>
      <x:c r="N454" s="46" t="str">
        <x:v>opistognathus whitehursti</x:v>
      </x:c>
      <x:c r="O454" s="62" t="n">
        <x:v>3.69</x:v>
      </x:c>
      <x:c r="P454" s="46" t="str">
        <x:v>exact_2020_supplement</x:v>
      </x:c>
      <x:c r="Q454" s="62" t="str">
        <x:v>2020 supplement MeanTL</x:v>
      </x:c>
      <x:c r="R454" s="46" t="str">
        <x:v>high</x:v>
      </x:c>
      <x:c r="S454" s="46" t="str">
        <x:v>Opistognathus whitehursti</x:v>
      </x:c>
      <x:c r="T454" s="62" t="n">
        <x:f>IF(O454="","",(1/'Metadata'!$B$5)^(O454-1))</x:f>
        <x:v>489.77881936844614</x:v>
      </x:c>
      <x:c r="U454" s="60" t="n">
        <x:f>IF(T454="","",I454*T454)</x:f>
        <x:v>0.27766854286080345</x:v>
      </x:c>
    </x:row>
    <x:row r="455" ht="18" customHeight="1">
      <x:c r="A455" s="46" t="str">
        <x:v>LME_012</x:v>
      </x:c>
      <x:c r="B455" s="46" t="str">
        <x:v>Caribbean Sea</x:v>
      </x:c>
      <x:c r="C455" s="46" t="str">
        <x:v>LME</x:v>
      </x:c>
      <x:c r="D455" s="58" t="n">
        <x:v>2019</x:v>
      </x:c>
      <x:c r="E455" s="46" t="str">
        <x:v>Porichthys</x:v>
      </x:c>
      <x:c r="F455" s="46" t="str">
        <x:v>Midshipman</x:v>
      </x:c>
      <x:c r="G455" s="46" t="str">
        <x:v>Large reef assoc. fish (&gt;=90 cm)</x:v>
      </x:c>
      <x:c r="H455" s="46" t="str">
        <x:v>Other fishes &amp; inverts</x:v>
      </x:c>
      <x:c r="I455" s="60" t="n">
        <x:v>0.0004893382</x:v>
      </x:c>
      <x:c r="J455" s="60" t="n">
        <x:v>0</x:v>
      </x:c>
      <x:c r="K455" s="60" t="n">
        <x:v>0.0004893382</x:v>
      </x:c>
      <x:c r="L455" s="60" t="n">
        <x:v>0</x:v>
      </x:c>
      <x:c r="M455" s="60" t="n">
        <x:v>0.0004893382</x:v>
      </x:c>
      <x:c r="N455" s="46" t="str">
        <x:v>porichthys</x:v>
      </x:c>
      <x:c r="O455" s="62" t="n">
        <x:v>3.8</x:v>
      </x:c>
      <x:c r="P455" s="46" t="str">
        <x:v>exact_sea_around_us</x:v>
      </x:c>
      <x:c r="Q455" s="62" t="str">
        <x:v>Sea Around Us exploited organisms</x:v>
      </x:c>
      <x:c r="R455" s="46" t="str">
        <x:v>high</x:v>
      </x:c>
      <x:c r="S455" s="46" t="str">
        <x:v>Porichthys</x:v>
      </x:c>
      <x:c r="T455" s="62" t="n">
        <x:f>IF(O455="","",(1/'Metadata'!$B$5)^(O455-1))</x:f>
        <x:v>630.957344480193</x:v>
      </x:c>
      <x:c r="U455" s="60" t="n">
        <x:f>IF(T455="","",I455*T455)</x:f>
        <x:v>0.3087515312247176</x:v>
      </x:c>
    </x:row>
    <x:row r="456" ht="18" customHeight="1">
      <x:c r="A456" s="46" t="str">
        <x:v>LME_012</x:v>
      </x:c>
      <x:c r="B456" s="46" t="str">
        <x:v>Caribbean Sea</x:v>
      </x:c>
      <x:c r="C456" s="46" t="str">
        <x:v>LME</x:v>
      </x:c>
      <x:c r="D456" s="58" t="n">
        <x:v>2019</x:v>
      </x:c>
      <x:c r="E456" s="46" t="str">
        <x:v>Acanthostracion quadricornis</x:v>
      </x:c>
      <x:c r="F456" s="46" t="str">
        <x:v>Scrawled cowfish</x:v>
      </x:c>
      <x:c r="G456" s="46" t="str">
        <x:v>Medium reef assoc. fish (30 - 89 cm)</x:v>
      </x:c>
      <x:c r="H456" s="46" t="str">
        <x:v>Other fishes &amp; inverts</x:v>
      </x:c>
      <x:c r="I456" s="60" t="n">
        <x:v>0.00047606560000000006</x:v>
      </x:c>
      <x:c r="J456" s="60" t="n">
        <x:v>0.00047606560000000006</x:v>
      </x:c>
      <x:c r="K456" s="60" t="n">
        <x:v>0</x:v>
      </x:c>
      <x:c r="L456" s="60" t="n">
        <x:v>0.00047606560000000006</x:v>
      </x:c>
      <x:c r="M456" s="60" t="n">
        <x:v>0</x:v>
      </x:c>
      <x:c r="N456" s="46" t="str">
        <x:v>acanthostracion quadricornis</x:v>
      </x:c>
      <x:c r="O456" s="62" t="n">
        <x:v>2.68</x:v>
      </x:c>
      <x:c r="P456" s="46" t="str">
        <x:v>exact_2020_supplement</x:v>
      </x:c>
      <x:c r="Q456" s="62" t="str">
        <x:v>2020 supplement MeanTL</x:v>
      </x:c>
      <x:c r="R456" s="46" t="str">
        <x:v>high</x:v>
      </x:c>
      <x:c r="S456" s="46" t="str">
        <x:v>Acanthostracion quadricornis</x:v>
      </x:c>
      <x:c r="T456" s="62" t="n">
        <x:f>IF(O456="","",(1/'Metadata'!$B$5)^(O456-1))</x:f>
        <x:v>47.86300923226385</x:v>
      </x:c>
      <x:c r="U456" s="60" t="n">
        <x:f>IF(T456="","",I456*T456)</x:f>
        <x:v>0.022785932207963232</x:v>
      </x:c>
    </x:row>
    <x:row r="457" ht="18" customHeight="1">
      <x:c r="A457" s="46" t="str">
        <x:v>LME_012</x:v>
      </x:c>
      <x:c r="B457" s="46" t="str">
        <x:v>Caribbean Sea</x:v>
      </x:c>
      <x:c r="C457" s="46" t="str">
        <x:v>LME</x:v>
      </x:c>
      <x:c r="D457" s="58" t="n">
        <x:v>2019</x:v>
      </x:c>
      <x:c r="E457" s="46" t="str">
        <x:v>Triplofusus giganteus</x:v>
      </x:c>
      <x:c r="F457" s="46" t="str">
        <x:v>Horse conch</x:v>
      </x:c>
      <x:c r="G457" s="46" t="str">
        <x:v>Other demersal invertebrates</x:v>
      </x:c>
      <x:c r="H457" s="46" t="str">
        <x:v>Molluscs</x:v>
      </x:c>
      <x:c r="I457" s="60" t="n">
        <x:v>0.00046525719999999997</x:v>
      </x:c>
      <x:c r="J457" s="60" t="n">
        <x:v>0.00046525719999999997</x:v>
      </x:c>
      <x:c r="K457" s="60" t="n">
        <x:v>0</x:v>
      </x:c>
      <x:c r="L457" s="60" t="n">
        <x:v>0.00046525719999999997</x:v>
      </x:c>
      <x:c r="M457" s="60" t="n">
        <x:v>0</x:v>
      </x:c>
      <x:c r="N457" s="46" t="str">
        <x:v>triplofusus giganteus</x:v>
      </x:c>
      <x:c r="O457" s="62" t="n">
        <x:v>2.96</x:v>
      </x:c>
      <x:c r="P457" s="46" t="str">
        <x:v>exact_sea_around_us</x:v>
      </x:c>
      <x:c r="Q457" s="62" t="str">
        <x:v>Sea Around Us exploited organisms</x:v>
      </x:c>
      <x:c r="R457" s="46" t="str">
        <x:v>high</x:v>
      </x:c>
      <x:c r="S457" s="46" t="str">
        <x:v>Triplofusus giganteus</x:v>
      </x:c>
      <x:c r="T457" s="62" t="n">
        <x:f>IF(O457="","",(1/'Metadata'!$B$5)^(O457-1))</x:f>
        <x:v>91.20108393559097</x:v>
      </x:c>
      <x:c r="U457" s="60" t="n">
        <x:f>IF(T457="","",I457*T457)</x:f>
        <x:v>0.042431960948838034</x:v>
      </x:c>
    </x:row>
    <x:row r="458" ht="18" customHeight="1">
      <x:c r="A458" s="46" t="str">
        <x:v>LME_012</x:v>
      </x:c>
      <x:c r="B458" s="46" t="str">
        <x:v>Caribbean Sea</x:v>
      </x:c>
      <x:c r="C458" s="46" t="str">
        <x:v>LME</x:v>
      </x:c>
      <x:c r="D458" s="58" t="n">
        <x:v>2019</x:v>
      </x:c>
      <x:c r="E458" s="46" t="str">
        <x:v>Sinistrofulgur sinistrum</x:v>
      </x:c>
      <x:c r="F458" s="46" t="str">
        <x:v>Lightning whelk</x:v>
      </x:c>
      <x:c r="G458" s="46" t="str">
        <x:v>Other demersal invertebrates</x:v>
      </x:c>
      <x:c r="H458" s="46" t="str">
        <x:v>Molluscs</x:v>
      </x:c>
      <x:c r="I458" s="60" t="n">
        <x:v>0.00045468700000000006</x:v>
      </x:c>
      <x:c r="J458" s="60" t="n">
        <x:v>0.00045468700000000006</x:v>
      </x:c>
      <x:c r="K458" s="60" t="n">
        <x:v>0</x:v>
      </x:c>
      <x:c r="L458" s="60" t="n">
        <x:v>0.00045468700000000006</x:v>
      </x:c>
      <x:c r="M458" s="60" t="n">
        <x:v>0</x:v>
      </x:c>
      <x:c r="N458" s="46" t="str">
        <x:v>sinistrofulgur sinistrum</x:v>
      </x:c>
      <x:c r="O458" s="62" t="n">
        <x:v>3.23</x:v>
      </x:c>
      <x:c r="P458" s="46" t="str">
        <x:v>exact_sea_around_us</x:v>
      </x:c>
      <x:c r="Q458" s="62" t="str">
        <x:v>Sea Around Us exploited organisms</x:v>
      </x:c>
      <x:c r="R458" s="46" t="str">
        <x:v>high</x:v>
      </x:c>
      <x:c r="S458" s="46" t="str">
        <x:v>Sinistrofulgur sinistrum</x:v>
      </x:c>
      <x:c r="T458" s="62" t="n">
        <x:f>IF(O458="","",(1/'Metadata'!$B$5)^(O458-1))</x:f>
        <x:v>169.82436524617444</x:v>
      </x:c>
      <x:c r="U458" s="60" t="n">
        <x:f>IF(T458="","",I458*T458)</x:f>
        <x:v>0.07721693116068733</x:v>
      </x:c>
    </x:row>
    <x:row r="459" ht="18" customHeight="1">
      <x:c r="A459" s="46" t="str">
        <x:v>LME_012</x:v>
      </x:c>
      <x:c r="B459" s="46" t="str">
        <x:v>Caribbean Sea</x:v>
      </x:c>
      <x:c r="C459" s="46" t="str">
        <x:v>LME</x:v>
      </x:c>
      <x:c r="D459" s="58" t="n">
        <x:v>2019</x:v>
      </x:c>
      <x:c r="E459" s="46" t="str">
        <x:v>Stephanolepis hispida</x:v>
      </x:c>
      <x:c r="F459" s="46" t="str">
        <x:v>Planehead filefish</x:v>
      </x:c>
      <x:c r="G459" s="46" t="str">
        <x:v>Small reef assoc. fish (&lt;30 cm)</x:v>
      </x:c>
      <x:c r="H459" s="46" t="str">
        <x:v>Other fishes &amp; inverts</x:v>
      </x:c>
      <x:c r="I459" s="60" t="n">
        <x:v>0.0004259067</x:v>
      </x:c>
      <x:c r="J459" s="60" t="n">
        <x:v>0.0004259067</x:v>
      </x:c>
      <x:c r="K459" s="60" t="n">
        <x:v>0</x:v>
      </x:c>
      <x:c r="L459" s="60" t="n">
        <x:v>0.0004259067</x:v>
      </x:c>
      <x:c r="M459" s="60" t="n">
        <x:v>0</x:v>
      </x:c>
      <x:c r="N459" s="46" t="str">
        <x:v>stephanolepis hispida</x:v>
      </x:c>
      <x:c r="O459" s="62" t="n">
        <x:v>2.6</x:v>
      </x:c>
      <x:c r="P459" s="46" t="str">
        <x:v>exact_sea_around_us</x:v>
      </x:c>
      <x:c r="Q459" s="62" t="str">
        <x:v>Sea Around Us exploited organisms</x:v>
      </x:c>
      <x:c r="R459" s="46" t="str">
        <x:v>high</x:v>
      </x:c>
      <x:c r="S459" s="46" t="str">
        <x:v>Stephanolepis hispida</x:v>
      </x:c>
      <x:c r="T459" s="62" t="n">
        <x:f>IF(O459="","",(1/'Metadata'!$B$5)^(O459-1))</x:f>
        <x:v>39.810717055349734</x:v>
      </x:c>
      <x:c r="U459" s="60" t="n">
        <x:f>IF(T459="","",I459*T459)</x:f>
        <x:v>0.016955651125677724</x:v>
      </x:c>
    </x:row>
    <x:row r="460" ht="18" customHeight="1">
      <x:c r="A460" s="46" t="str">
        <x:v>LME_012</x:v>
      </x:c>
      <x:c r="B460" s="46" t="str">
        <x:v>Caribbean Sea</x:v>
      </x:c>
      <x:c r="C460" s="46" t="str">
        <x:v>LME</x:v>
      </x:c>
      <x:c r="D460" s="58" t="n">
        <x:v>2019</x:v>
      </x:c>
      <x:c r="E460" s="46" t="str">
        <x:v>Zenopsis conchifer</x:v>
      </x:c>
      <x:c r="F460" s="46" t="str">
        <x:v>Silvery John dory</x:v>
      </x:c>
      <x:c r="G460" s="46" t="str">
        <x:v>Medium benthopelagics (30 - 89 cm)</x:v>
      </x:c>
      <x:c r="H460" s="46" t="str">
        <x:v>Other fishes &amp; inverts</x:v>
      </x:c>
      <x:c r="I460" s="60" t="n">
        <x:v>0.00041570999999999996</x:v>
      </x:c>
      <x:c r="J460" s="60" t="n">
        <x:v>0.00041570999999999996</x:v>
      </x:c>
      <x:c r="K460" s="60" t="n">
        <x:v>0</x:v>
      </x:c>
      <x:c r="L460" s="60" t="n">
        <x:v>0</x:v>
      </x:c>
      <x:c r="M460" s="60" t="n">
        <x:v>0.00041570999999999996</x:v>
      </x:c>
      <x:c r="N460" s="46" t="str">
        <x:v>zenopsis conchifer</x:v>
      </x:c>
      <x:c r="O460" s="62" t="n">
        <x:v>4.5</x:v>
      </x:c>
      <x:c r="P460" s="46" t="str">
        <x:v>exact_2020_supplement</x:v>
      </x:c>
      <x:c r="Q460" s="62" t="str">
        <x:v>2020 supplement MeanTL</x:v>
      </x:c>
      <x:c r="R460" s="46" t="str">
        <x:v>high</x:v>
      </x:c>
      <x:c r="S460" s="46" t="str">
        <x:v>Zenopsis conchifer</x:v>
      </x:c>
      <x:c r="T460" s="62" t="n">
        <x:f>IF(O460="","",(1/'Metadata'!$B$5)^(O460-1))</x:f>
        <x:v>3162.2776601683795</x:v>
      </x:c>
      <x:c r="U460" s="60" t="n">
        <x:f>IF(T460="","",I460*T460)</x:f>
        <x:v>1.3145904461085969</x:v>
      </x:c>
    </x:row>
    <x:row r="461" ht="18" customHeight="1">
      <x:c r="A461" s="46" t="str">
        <x:v>LME_012</x:v>
      </x:c>
      <x:c r="B461" s="46" t="str">
        <x:v>Caribbean Sea</x:v>
      </x:c>
      <x:c r="C461" s="46" t="str">
        <x:v>LME</x:v>
      </x:c>
      <x:c r="D461" s="58" t="n">
        <x:v>2019</x:v>
      </x:c>
      <x:c r="E461" s="46" t="str">
        <x:v>Periclimenes yucatanicus</x:v>
      </x:c>
      <x:c r="F461" s="46" t="str">
        <x:v>Spotted cleaner shrimp</x:v>
      </x:c>
      <x:c r="G461" s="46" t="str">
        <x:v>Shrimps</x:v>
      </x:c>
      <x:c r="H461" s="46" t="str">
        <x:v>Crustaceans</x:v>
      </x:c>
      <x:c r="I461" s="60" t="n">
        <x:v>0.00039571629999999994</x:v>
      </x:c>
      <x:c r="J461" s="60" t="n">
        <x:v>0.00039571629999999994</x:v>
      </x:c>
      <x:c r="K461" s="60" t="n">
        <x:v>0</x:v>
      </x:c>
      <x:c r="L461" s="60" t="n">
        <x:v>0.00039571629999999994</x:v>
      </x:c>
      <x:c r="M461" s="60" t="n">
        <x:v>0</x:v>
      </x:c>
      <x:c r="N461" s="46" t="str">
        <x:v>periclimenes yucatanicus</x:v>
      </x:c>
      <x:c r="O461" s="62" t="n">
        <x:v>2.86</x:v>
      </x:c>
      <x:c r="P461" s="46" t="str">
        <x:v>exact_sea_around_us</x:v>
      </x:c>
      <x:c r="Q461" s="62" t="str">
        <x:v>Sea Around Us exploited organisms</x:v>
      </x:c>
      <x:c r="R461" s="46" t="str">
        <x:v>high</x:v>
      </x:c>
      <x:c r="S461" s="46" t="str">
        <x:v>Periclimenes yucatanicus</x:v>
      </x:c>
      <x:c r="T461" s="62" t="n">
        <x:f>IF(O461="","",(1/'Metadata'!$B$5)^(O461-1))</x:f>
        <x:v>72.44359600749898</x:v>
      </x:c>
      <x:c r="U461" s="60" t="n">
        <x:f>IF(T461="","",I461*T461)</x:f>
        <x:v>0.028667111770782266</x:v>
      </x:c>
    </x:row>
    <x:row r="462" ht="18" customHeight="1">
      <x:c r="A462" s="46" t="str">
        <x:v>LME_012</x:v>
      </x:c>
      <x:c r="B462" s="46" t="str">
        <x:v>Caribbean Sea</x:v>
      </x:c>
      <x:c r="C462" s="46" t="str">
        <x:v>LME</x:v>
      </x:c>
      <x:c r="D462" s="58" t="n">
        <x:v>2019</x:v>
      </x:c>
      <x:c r="E462" s="46" t="str">
        <x:v>Apogon maculatus</x:v>
      </x:c>
      <x:c r="F462" s="46" t="str">
        <x:v>Flamefish</x:v>
      </x:c>
      <x:c r="G462" s="46" t="str">
        <x:v>Small reef assoc. fish (&lt;30 cm)</x:v>
      </x:c>
      <x:c r="H462" s="46" t="str">
        <x:v>Perch-likes</x:v>
      </x:c>
      <x:c r="I462" s="60" t="n">
        <x:v>0.0003899675</x:v>
      </x:c>
      <x:c r="J462" s="60" t="n">
        <x:v>0.0003899675</x:v>
      </x:c>
      <x:c r="K462" s="60" t="n">
        <x:v>0</x:v>
      </x:c>
      <x:c r="L462" s="60" t="n">
        <x:v>0.0003899675</x:v>
      </x:c>
      <x:c r="M462" s="60" t="n">
        <x:v>0</x:v>
      </x:c>
      <x:c r="N462" s="46" t="str">
        <x:v>apogon maculatus</x:v>
      </x:c>
      <x:c r="O462" s="62" t="n">
        <x:v>3.48</x:v>
      </x:c>
      <x:c r="P462" s="46" t="str">
        <x:v>exact_2020_supplement</x:v>
      </x:c>
      <x:c r="Q462" s="62" t="str">
        <x:v>2020 supplement MeanTL</x:v>
      </x:c>
      <x:c r="R462" s="46" t="str">
        <x:v>high</x:v>
      </x:c>
      <x:c r="S462" s="46" t="str">
        <x:v>Apogon maculatus</x:v>
      </x:c>
      <x:c r="T462" s="62" t="n">
        <x:f>IF(O462="","",(1/'Metadata'!$B$5)^(O462-1))</x:f>
        <x:v>301.9951720402016</x:v>
      </x:c>
      <x:c r="U462" s="60" t="n">
        <x:f>IF(T462="","",I462*T462)</x:f>
        <x:v>0.11776830225258733</x:v>
      </x:c>
    </x:row>
    <x:row r="463" ht="18" customHeight="1">
      <x:c r="A463" s="46" t="str">
        <x:v>LME_012</x:v>
      </x:c>
      <x:c r="B463" s="46" t="str">
        <x:v>Caribbean Sea</x:v>
      </x:c>
      <x:c r="C463" s="46" t="str">
        <x:v>LME</x:v>
      </x:c>
      <x:c r="D463" s="58" t="n">
        <x:v>2019</x:v>
      </x:c>
      <x:c r="E463" s="46" t="str">
        <x:v>Cyprinidae</x:v>
      </x:c>
      <x:c r="F463" s="46" t="str">
        <x:v>Carps, barbels, other cyprinids</x:v>
      </x:c>
      <x:c r="G463" s="46" t="str">
        <x:v>Medium demersals (30 - 89 cm)</x:v>
      </x:c>
      <x:c r="H463" s="46" t="str">
        <x:v>Other fishes &amp; inverts</x:v>
      </x:c>
      <x:c r="I463" s="60" t="n">
        <x:v>0.0003878714</x:v>
      </x:c>
      <x:c r="J463" s="60" t="n">
        <x:v>0.0003878714</x:v>
      </x:c>
      <x:c r="K463" s="60" t="n">
        <x:v>0</x:v>
      </x:c>
      <x:c r="L463" s="60" t="n">
        <x:v>0</x:v>
      </x:c>
      <x:c r="M463" s="60" t="n">
        <x:v>0.0003878714</x:v>
      </x:c>
      <x:c r="N463" s="46" t="str">
        <x:v>cyprinidae</x:v>
      </x:c>
      <x:c r="O463" s="62" t="n">
        <x:v>2.8</x:v>
      </x:c>
      <x:c r="P463" s="46" t="str">
        <x:v>exact_sea_around_us</x:v>
      </x:c>
      <x:c r="Q463" s="62" t="str">
        <x:v>Sea Around Us exploited organisms</x:v>
      </x:c>
      <x:c r="R463" s="46" t="str">
        <x:v>high</x:v>
      </x:c>
      <x:c r="S463" s="46" t="str">
        <x:v>Cyprinidae</x:v>
      </x:c>
      <x:c r="T463" s="62" t="n">
        <x:f>IF(O463="","",(1/'Metadata'!$B$5)^(O463-1))</x:f>
        <x:v>63.0957344480193</x:v>
      </x:c>
      <x:c r="U463" s="60" t="n">
        <x:f>IF(T463="","",I463*T463)</x:f>
        <x:v>0.02447303085438147</x:v>
      </x:c>
    </x:row>
    <x:row r="464" ht="18" customHeight="1">
      <x:c r="A464" s="46" t="str">
        <x:v>LME_012</x:v>
      </x:c>
      <x:c r="B464" s="46" t="str">
        <x:v>Caribbean Sea</x:v>
      </x:c>
      <x:c r="C464" s="46" t="str">
        <x:v>LME</x:v>
      </x:c>
      <x:c r="D464" s="58" t="n">
        <x:v>2019</x:v>
      </x:c>
      <x:c r="E464" s="46" t="str">
        <x:v>Chromis insolata</x:v>
      </x:c>
      <x:c r="F464" s="46" t="str">
        <x:v>Sunshinefish</x:v>
      </x:c>
      <x:c r="G464" s="46" t="str">
        <x:v>Small reef assoc. fish (&lt;30 cm)</x:v>
      </x:c>
      <x:c r="H464" s="46" t="str">
        <x:v>Perch-likes</x:v>
      </x:c>
      <x:c r="I464" s="60" t="n">
        <x:v>0.0003374875</x:v>
      </x:c>
      <x:c r="J464" s="60" t="n">
        <x:v>0.0003374875</x:v>
      </x:c>
      <x:c r="K464" s="60" t="n">
        <x:v>0</x:v>
      </x:c>
      <x:c r="L464" s="60" t="n">
        <x:v>0.0003374875</x:v>
      </x:c>
      <x:c r="M464" s="60" t="n">
        <x:v>0</x:v>
      </x:c>
      <x:c r="N464" s="46" t="str">
        <x:v>chromis insolata</x:v>
      </x:c>
      <x:c r="O464" s="62" t="n">
        <x:v>3.4</x:v>
      </x:c>
      <x:c r="P464" s="46" t="str">
        <x:v>exact_2020_supplement</x:v>
      </x:c>
      <x:c r="Q464" s="62" t="str">
        <x:v>2020 supplement MeanTL</x:v>
      </x:c>
      <x:c r="R464" s="46" t="str">
        <x:v>high</x:v>
      </x:c>
      <x:c r="S464" s="46" t="str">
        <x:v>Chromis insolata</x:v>
      </x:c>
      <x:c r="T464" s="62" t="n">
        <x:f>IF(O464="","",(1/'Metadata'!$B$5)^(O464-1))</x:f>
        <x:v>251.18864315095797</x:v>
      </x:c>
      <x:c r="U464" s="60" t="n">
        <x:f>IF(T464="","",I464*T464)</x:f>
        <x:v>0.08477302720540893</x:v>
      </x:c>
    </x:row>
    <x:row r="465" ht="18" customHeight="1">
      <x:c r="A465" s="46" t="str">
        <x:v>LME_012</x:v>
      </x:c>
      <x:c r="B465" s="46" t="str">
        <x:v>Caribbean Sea</x:v>
      </x:c>
      <x:c r="C465" s="46" t="str">
        <x:v>LME</x:v>
      </x:c>
      <x:c r="D465" s="58" t="n">
        <x:v>2019</x:v>
      </x:c>
      <x:c r="E465" s="46" t="str">
        <x:v>Mithraculus forceps</x:v>
      </x:c>
      <x:c r="F465" s="46" t="str">
        <x:v>Red-ridged clinging crab</x:v>
      </x:c>
      <x:c r="G465" s="46" t="str">
        <x:v>Lobsters, crabs</x:v>
      </x:c>
      <x:c r="H465" s="46" t="str">
        <x:v>Crustaceans</x:v>
      </x:c>
      <x:c r="I465" s="60" t="n">
        <x:v>0.0002690765</x:v>
      </x:c>
      <x:c r="J465" s="60" t="n">
        <x:v>0.0002690765</x:v>
      </x:c>
      <x:c r="K465" s="60" t="n">
        <x:v>0</x:v>
      </x:c>
      <x:c r="L465" s="60" t="n">
        <x:v>0.0002690765</x:v>
      </x:c>
      <x:c r="M465" s="60" t="n">
        <x:v>0</x:v>
      </x:c>
      <x:c r="N465" s="46" t="str">
        <x:v>mithraculus forceps</x:v>
      </x:c>
      <x:c r="O465" s="62" t="n">
        <x:v>2.85</x:v>
      </x:c>
      <x:c r="P465" s="46" t="str">
        <x:v>exact_sea_around_us</x:v>
      </x:c>
      <x:c r="Q465" s="62" t="str">
        <x:v>Sea Around Us exploited organisms</x:v>
      </x:c>
      <x:c r="R465" s="46" t="str">
        <x:v>high</x:v>
      </x:c>
      <x:c r="S465" s="46" t="str">
        <x:v>Mithraculus forceps</x:v>
      </x:c>
      <x:c r="T465" s="62" t="n">
        <x:f>IF(O465="","",(1/'Metadata'!$B$5)^(O465-1))</x:f>
        <x:v>70.79457843841381</x:v>
      </x:c>
      <x:c r="U465" s="60" t="n">
        <x:f>IF(T465="","",I465*T465)</x:f>
        <x:v>0.01904915738518385</x:v>
      </x:c>
    </x:row>
    <x:row r="466" ht="18" customHeight="1">
      <x:c r="A466" s="46" t="str">
        <x:v>LME_012</x:v>
      </x:c>
      <x:c r="B466" s="46" t="str">
        <x:v>Caribbean Sea</x:v>
      </x:c>
      <x:c r="C466" s="46" t="str">
        <x:v>LME</x:v>
      </x:c>
      <x:c r="D466" s="58" t="n">
        <x:v>2019</x:v>
      </x:c>
      <x:c r="E466" s="46" t="str">
        <x:v>Spondylus americanus</x:v>
      </x:c>
      <x:c r="F466" s="46" t="str">
        <x:v>Atlantic thorny oyster</x:v>
      </x:c>
      <x:c r="G466" s="46" t="str">
        <x:v>Other demersal invertebrates</x:v>
      </x:c>
      <x:c r="H466" s="46" t="str">
        <x:v>Molluscs</x:v>
      </x:c>
      <x:c r="I466" s="60" t="n">
        <x:v>0.0002581431</x:v>
      </x:c>
      <x:c r="J466" s="60" t="n">
        <x:v>0.0002581431</x:v>
      </x:c>
      <x:c r="K466" s="60" t="n">
        <x:v>0</x:v>
      </x:c>
      <x:c r="L466" s="60" t="n">
        <x:v>0.0002581431</x:v>
      </x:c>
      <x:c r="M466" s="60" t="n">
        <x:v>0</x:v>
      </x:c>
      <x:c r="N466" s="46" t="str">
        <x:v>spondylus americanus</x:v>
      </x:c>
      <x:c r="O466" s="62" t="n">
        <x:v>2.02</x:v>
      </x:c>
      <x:c r="P466" s="46" t="str">
        <x:v>exact_sea_around_us</x:v>
      </x:c>
      <x:c r="Q466" s="62" t="str">
        <x:v>Sea Around Us exploited organisms</x:v>
      </x:c>
      <x:c r="R466" s="46" t="str">
        <x:v>high</x:v>
      </x:c>
      <x:c r="S466" s="46" t="str">
        <x:v>Spondylus americanus</x:v>
      </x:c>
      <x:c r="T466" s="62" t="n">
        <x:f>IF(O466="","",(1/'Metadata'!$B$5)^(O466-1))</x:f>
        <x:v>10.471285480508996</x:v>
      </x:c>
      <x:c r="U466" s="60" t="n">
        <x:f>IF(T466="","",I466*T466)</x:f>
        <x:v>0.0027030900949235816</x:v>
      </x:c>
    </x:row>
    <x:row r="467" ht="18" customHeight="1">
      <x:c r="A467" s="46" t="str">
        <x:v>LME_012</x:v>
      </x:c>
      <x:c r="B467" s="46" t="str">
        <x:v>Caribbean Sea</x:v>
      </x:c>
      <x:c r="C467" s="46" t="str">
        <x:v>LME</x:v>
      </x:c>
      <x:c r="D467" s="58" t="n">
        <x:v>2019</x:v>
      </x:c>
      <x:c r="E467" s="46" t="str">
        <x:v>Haemulon melanurum</x:v>
      </x:c>
      <x:c r="F467" s="46" t="str">
        <x:v>Cottonwick grunt</x:v>
      </x:c>
      <x:c r="G467" s="46" t="str">
        <x:v>Small reef assoc. fish (&lt;30 cm)</x:v>
      </x:c>
      <x:c r="H467" s="46" t="str">
        <x:v>Perch-likes</x:v>
      </x:c>
      <x:c r="I467" s="60" t="n">
        <x:v>0.0002528626</x:v>
      </x:c>
      <x:c r="J467" s="60" t="n">
        <x:v>0.0002528626</x:v>
      </x:c>
      <x:c r="K467" s="60" t="n">
        <x:v>0</x:v>
      </x:c>
      <x:c r="L467" s="60" t="n">
        <x:v>0.0002528626</x:v>
      </x:c>
      <x:c r="M467" s="60" t="n">
        <x:v>0</x:v>
      </x:c>
      <x:c r="N467" s="46" t="str">
        <x:v>haemulon melanurum</x:v>
      </x:c>
      <x:c r="O467" s="62" t="n">
        <x:v>2.17</x:v>
      </x:c>
      <x:c r="P467" s="46" t="str">
        <x:v>exact_2020_supplement</x:v>
      </x:c>
      <x:c r="Q467" s="62" t="str">
        <x:v>2020 supplement MeanTL</x:v>
      </x:c>
      <x:c r="R467" s="46" t="str">
        <x:v>high</x:v>
      </x:c>
      <x:c r="S467" s="46" t="str">
        <x:v>Haemulon melanurum</x:v>
      </x:c>
      <x:c r="T467" s="62" t="n">
        <x:f>IF(O467="","",(1/'Metadata'!$B$5)^(O467-1))</x:f>
        <x:v>14.791083881682072</x:v>
      </x:c>
      <x:c r="U467" s="60" t="n">
        <x:f>IF(T467="","",I467*T467)</x:f>
        <x:v>0.0037401119271402213</x:v>
      </x:c>
    </x:row>
    <x:row r="468" ht="18" customHeight="1">
      <x:c r="A468" s="46" t="str">
        <x:v>LME_012</x:v>
      </x:c>
      <x:c r="B468" s="46" t="str">
        <x:v>Caribbean Sea</x:v>
      </x:c>
      <x:c r="C468" s="46" t="str">
        <x:v>LME</x:v>
      </x:c>
      <x:c r="D468" s="58" t="n">
        <x:v>2019</x:v>
      </x:c>
      <x:c r="E468" s="46" t="str">
        <x:v>Syngnathus pelagicus</x:v>
      </x:c>
      <x:c r="F468" s="46" t="str">
        <x:v>Sargassum pipefish</x:v>
      </x:c>
      <x:c r="G468" s="46" t="str">
        <x:v>Small pelagics (&lt;30 cm)</x:v>
      </x:c>
      <x:c r="H468" s="46" t="str">
        <x:v>Other fishes &amp; inverts</x:v>
      </x:c>
      <x:c r="I468" s="60" t="n">
        <x:v>0.0002498123</x:v>
      </x:c>
      <x:c r="J468" s="60" t="n">
        <x:v>0.0002498123</x:v>
      </x:c>
      <x:c r="K468" s="60" t="n">
        <x:v>0</x:v>
      </x:c>
      <x:c r="L468" s="60" t="n">
        <x:v>0.0002498123</x:v>
      </x:c>
      <x:c r="M468" s="60" t="n">
        <x:v>0</x:v>
      </x:c>
      <x:c r="N468" s="46" t="str">
        <x:v>syngnathus pelagicus</x:v>
      </x:c>
      <x:c r="O468" s="62" t="n">
        <x:v>3.29</x:v>
      </x:c>
      <x:c r="P468" s="46" t="str">
        <x:v>exact_sea_around_us</x:v>
      </x:c>
      <x:c r="Q468" s="62" t="str">
        <x:v>Sea Around Us exploited organisms</x:v>
      </x:c>
      <x:c r="R468" s="46" t="str">
        <x:v>high</x:v>
      </x:c>
      <x:c r="S468" s="46" t="str">
        <x:v>Syngnathus pelagicus</x:v>
      </x:c>
      <x:c r="T468" s="62" t="n">
        <x:f>IF(O468="","",(1/'Metadata'!$B$5)^(O468-1))</x:f>
        <x:v>194.98445997580455</x:v>
      </x:c>
      <x:c r="U468" s="60" t="n">
        <x:f>IF(T468="","",I468*T468)</x:f>
        <x:v>0.04870951641081368</x:v>
      </x:c>
    </x:row>
    <x:row r="469" ht="18" customHeight="1">
      <x:c r="A469" s="46" t="str">
        <x:v>LME_012</x:v>
      </x:c>
      <x:c r="B469" s="46" t="str">
        <x:v>Caribbean Sea</x:v>
      </x:c>
      <x:c r="C469" s="46" t="str">
        <x:v>LME</x:v>
      </x:c>
      <x:c r="D469" s="58" t="n">
        <x:v>2019</x:v>
      </x:c>
      <x:c r="E469" s="46" t="str">
        <x:v>Azurina multilineata</x:v>
      </x:c>
      <x:c r="F469" s="46" t="str">
        <x:v>Brown chromis</x:v>
      </x:c>
      <x:c r="G469" s="46" t="str">
        <x:v>Small reef assoc. fish (&lt;30 cm)</x:v>
      </x:c>
      <x:c r="H469" s="46" t="str">
        <x:v>Herring-likes</x:v>
      </x:c>
      <x:c r="I469" s="60" t="n">
        <x:v>0.000235383</x:v>
      </x:c>
      <x:c r="J469" s="60" t="n">
        <x:v>0.000235383</x:v>
      </x:c>
      <x:c r="K469" s="60" t="n">
        <x:v>0</x:v>
      </x:c>
      <x:c r="L469" s="60" t="n">
        <x:v>0.000235383</x:v>
      </x:c>
      <x:c r="M469" s="60" t="n">
        <x:v>0</x:v>
      </x:c>
      <x:c r="N469" s="46" t="str">
        <x:v>azurina multilineata</x:v>
      </x:c>
      <x:c r="O469" s="62" t="n">
        <x:v>3.01</x:v>
      </x:c>
      <x:c r="P469" s="46" t="str">
        <x:v>exact_sea_around_us</x:v>
      </x:c>
      <x:c r="Q469" s="62" t="str">
        <x:v>Sea Around Us exploited organisms</x:v>
      </x:c>
      <x:c r="R469" s="46" t="str">
        <x:v>high</x:v>
      </x:c>
      <x:c r="S469" s="46" t="str">
        <x:v>Azurina multilineata</x:v>
      </x:c>
      <x:c r="T469" s="62" t="n">
        <x:f>IF(O469="","",(1/'Metadata'!$B$5)^(O469-1))</x:f>
        <x:v>102.32929922807536</x:v>
      </x:c>
      <x:c r="U469" s="60" t="n">
        <x:f>IF(T469="","",I469*T469)</x:f>
        <x:v>0.024086577440202064</x:v>
      </x:c>
    </x:row>
    <x:row r="470" ht="18" customHeight="1">
      <x:c r="A470" s="46" t="str">
        <x:v>LME_012</x:v>
      </x:c>
      <x:c r="B470" s="46" t="str">
        <x:v>Caribbean Sea</x:v>
      </x:c>
      <x:c r="C470" s="46" t="str">
        <x:v>LME</x:v>
      </x:c>
      <x:c r="D470" s="58" t="n">
        <x:v>2019</x:v>
      </x:c>
      <x:c r="E470" s="46" t="str">
        <x:v>Paraclinus fasciatus</x:v>
      </x:c>
      <x:c r="F470" s="46" t="str">
        <x:v>Banded blenny</x:v>
      </x:c>
      <x:c r="G470" s="46" t="str">
        <x:v>Small reef assoc. fish (&lt;30 cm)</x:v>
      </x:c>
      <x:c r="H470" s="46" t="str">
        <x:v>Perch-likes</x:v>
      </x:c>
      <x:c r="I470" s="60" t="n">
        <x:v>0.000227658</x:v>
      </x:c>
      <x:c r="J470" s="60" t="n">
        <x:v>0.000227658</x:v>
      </x:c>
      <x:c r="K470" s="60" t="n">
        <x:v>0</x:v>
      </x:c>
      <x:c r="L470" s="60" t="n">
        <x:v>0.000227658</x:v>
      </x:c>
      <x:c r="M470" s="60" t="n">
        <x:v>0</x:v>
      </x:c>
      <x:c r="N470" s="46" t="str">
        <x:v>paraclinus fasciatus</x:v>
      </x:c>
      <x:c r="O470" s="62" t="n">
        <x:v>3.6</x:v>
      </x:c>
      <x:c r="P470" s="46" t="str">
        <x:v>exact_sea_around_us</x:v>
      </x:c>
      <x:c r="Q470" s="62" t="str">
        <x:v>Sea Around Us exploited organisms</x:v>
      </x:c>
      <x:c r="R470" s="46" t="str">
        <x:v>high</x:v>
      </x:c>
      <x:c r="S470" s="46" t="str">
        <x:v>Paraclinus fasciatus</x:v>
      </x:c>
      <x:c r="T470" s="62" t="n">
        <x:f>IF(O470="","",(1/'Metadata'!$B$5)^(O470-1))</x:f>
        <x:v>398.1071705534973</x:v>
      </x:c>
      <x:c r="U470" s="60" t="n">
        <x:f>IF(T470="","",I470*T470)</x:f>
        <x:v>0.09063228223386809</x:v>
      </x:c>
    </x:row>
    <x:row r="471" ht="18" customHeight="1">
      <x:c r="A471" s="46" t="str">
        <x:v>LME_012</x:v>
      </x:c>
      <x:c r="B471" s="46" t="str">
        <x:v>Caribbean Sea</x:v>
      </x:c>
      <x:c r="C471" s="46" t="str">
        <x:v>LME</x:v>
      </x:c>
      <x:c r="D471" s="58" t="n">
        <x:v>2019</x:v>
      </x:c>
      <x:c r="E471" s="46" t="str">
        <x:v>Halichoeres maculipinna</x:v>
      </x:c>
      <x:c r="F471" s="46" t="str">
        <x:v>Clown wrasse</x:v>
      </x:c>
      <x:c r="G471" s="46" t="str">
        <x:v>Small reef assoc. fish (&lt;30 cm)</x:v>
      </x:c>
      <x:c r="H471" s="46" t="str">
        <x:v>Perch-likes</x:v>
      </x:c>
      <x:c r="I471" s="60" t="n">
        <x:v>0.0001793644</x:v>
      </x:c>
      <x:c r="J471" s="60" t="n">
        <x:v>0.0001793644</x:v>
      </x:c>
      <x:c r="K471" s="60" t="n">
        <x:v>0</x:v>
      </x:c>
      <x:c r="L471" s="60" t="n">
        <x:v>0.0001793644</x:v>
      </x:c>
      <x:c r="M471" s="60" t="n">
        <x:v>0</x:v>
      </x:c>
      <x:c r="N471" s="46" t="str">
        <x:v>halichoeres maculipinna</x:v>
      </x:c>
      <x:c r="O471" s="62" t="n">
        <x:v>3.29</x:v>
      </x:c>
      <x:c r="P471" s="46" t="str">
        <x:v>exact_2020_supplement</x:v>
      </x:c>
      <x:c r="Q471" s="62" t="str">
        <x:v>2020 supplement MeanTL</x:v>
      </x:c>
      <x:c r="R471" s="46" t="str">
        <x:v>high</x:v>
      </x:c>
      <x:c r="S471" s="46" t="str">
        <x:v>Halichoeres maculipinna</x:v>
      </x:c>
      <x:c r="T471" s="62" t="n">
        <x:f>IF(O471="","",(1/'Metadata'!$B$5)^(O471-1))</x:f>
        <x:v>194.98445997580455</x:v>
      </x:c>
      <x:c r="U471" s="60" t="n">
        <x:f>IF(T471="","",I471*T471)</x:f>
        <x:v>0.0349732706728842</x:v>
      </x:c>
    </x:row>
    <x:row r="472" ht="18" customHeight="1">
      <x:c r="A472" s="46" t="str">
        <x:v>LME_012</x:v>
      </x:c>
      <x:c r="B472" s="46" t="str">
        <x:v>Caribbean Sea</x:v>
      </x:c>
      <x:c r="C472" s="46" t="str">
        <x:v>LME</x:v>
      </x:c>
      <x:c r="D472" s="58" t="n">
        <x:v>2019</x:v>
      </x:c>
      <x:c r="E472" s="46" t="str">
        <x:v>Chaetodon striatus</x:v>
      </x:c>
      <x:c r="F472" s="46" t="str">
        <x:v>Banded butterflyfish</x:v>
      </x:c>
      <x:c r="G472" s="46" t="str">
        <x:v>Small reef assoc. fish (&lt;30 cm)</x:v>
      </x:c>
      <x:c r="H472" s="46" t="str">
        <x:v>Perch-likes</x:v>
      </x:c>
      <x:c r="I472" s="60" t="n">
        <x:v>0.00017601109999999999</x:v>
      </x:c>
      <x:c r="J472" s="60" t="n">
        <x:v>0.00017601109999999999</x:v>
      </x:c>
      <x:c r="K472" s="60" t="n">
        <x:v>0</x:v>
      </x:c>
      <x:c r="L472" s="60" t="n">
        <x:v>0.00017601109999999999</x:v>
      </x:c>
      <x:c r="M472" s="60" t="n">
        <x:v>0</x:v>
      </x:c>
      <x:c r="N472" s="46" t="str">
        <x:v>chaetodon striatus</x:v>
      </x:c>
      <x:c r="O472" s="62" t="n">
        <x:v>3.53</x:v>
      </x:c>
      <x:c r="P472" s="46" t="str">
        <x:v>exact_2020_supplement</x:v>
      </x:c>
      <x:c r="Q472" s="62" t="str">
        <x:v>2020 supplement MeanTL</x:v>
      </x:c>
      <x:c r="R472" s="46" t="str">
        <x:v>high</x:v>
      </x:c>
      <x:c r="S472" s="46" t="str">
        <x:v>Chaetodon striatus</x:v>
      </x:c>
      <x:c r="T472" s="62" t="n">
        <x:f>IF(O472="","",(1/'Metadata'!$B$5)^(O472-1))</x:f>
        <x:v>338.84415613920237</x:v>
      </x:c>
      <x:c r="U472" s="60" t="n">
        <x:f>IF(T472="","",I472*T472)</x:f>
        <x:v>0.05964033265063276</x:v>
      </x:c>
    </x:row>
    <x:row r="473" ht="18" customHeight="1">
      <x:c r="A473" s="46" t="str">
        <x:v>LME_012</x:v>
      </x:c>
      <x:c r="B473" s="46" t="str">
        <x:v>Caribbean Sea</x:v>
      </x:c>
      <x:c r="C473" s="46" t="str">
        <x:v>LME</x:v>
      </x:c>
      <x:c r="D473" s="58" t="n">
        <x:v>2019</x:v>
      </x:c>
      <x:c r="E473" s="46" t="str">
        <x:v>Halichoeres bivittatus</x:v>
      </x:c>
      <x:c r="F473" s="46" t="str">
        <x:v>Slippery dick</x:v>
      </x:c>
      <x:c r="G473" s="46" t="str">
        <x:v>Medium reef assoc. fish (30 - 89 cm)</x:v>
      </x:c>
      <x:c r="H473" s="46" t="str">
        <x:v>Herring-likes</x:v>
      </x:c>
      <x:c r="I473" s="60" t="n">
        <x:v>0.0001558531</x:v>
      </x:c>
      <x:c r="J473" s="60" t="n">
        <x:v>0.0001558531</x:v>
      </x:c>
      <x:c r="K473" s="60" t="n">
        <x:v>0</x:v>
      </x:c>
      <x:c r="L473" s="60" t="n">
        <x:v>0.0001558531</x:v>
      </x:c>
      <x:c r="M473" s="60" t="n">
        <x:v>0</x:v>
      </x:c>
      <x:c r="N473" s="46" t="str">
        <x:v>halichoeres bivittatus</x:v>
      </x:c>
      <x:c r="O473" s="62" t="n">
        <x:v>3.82</x:v>
      </x:c>
      <x:c r="P473" s="46" t="str">
        <x:v>exact_2020_supplement</x:v>
      </x:c>
      <x:c r="Q473" s="62" t="str">
        <x:v>2020 supplement MeanTL</x:v>
      </x:c>
      <x:c r="R473" s="46" t="str">
        <x:v>high</x:v>
      </x:c>
      <x:c r="S473" s="46" t="str">
        <x:v>Halichoeres bivittatus</x:v>
      </x:c>
      <x:c r="T473" s="62" t="n">
        <x:f>IF(O473="","",(1/'Metadata'!$B$5)^(O473-1))</x:f>
        <x:v>660.6934480075957</x:v>
      </x:c>
      <x:c r="U473" s="60" t="n">
        <x:f>IF(T473="","",I473*T473)</x:f>
        <x:v>0.10297112202167262</x:v>
      </x:c>
    </x:row>
    <x:row r="474" ht="18" customHeight="1">
      <x:c r="A474" s="46" t="str">
        <x:v>LME_012</x:v>
      </x:c>
      <x:c r="B474" s="46" t="str">
        <x:v>Caribbean Sea</x:v>
      </x:c>
      <x:c r="C474" s="46" t="str">
        <x:v>LME</x:v>
      </x:c>
      <x:c r="D474" s="58" t="n">
        <x:v>2019</x:v>
      </x:c>
      <x:c r="E474" s="46" t="str">
        <x:v>Chromis scotti</x:v>
      </x:c>
      <x:c r="F474" s="46" t="str">
        <x:v>Purple reeffish</x:v>
      </x:c>
      <x:c r="G474" s="46" t="str">
        <x:v>Small reef assoc. fish (&lt;30 cm)</x:v>
      </x:c>
      <x:c r="H474" s="46" t="str">
        <x:v>Perch-likes</x:v>
      </x:c>
      <x:c r="I474" s="60" t="n">
        <x:v>0.00014929709999999998</x:v>
      </x:c>
      <x:c r="J474" s="60" t="n">
        <x:v>0.00014929709999999998</x:v>
      </x:c>
      <x:c r="K474" s="60" t="n">
        <x:v>0</x:v>
      </x:c>
      <x:c r="L474" s="60" t="n">
        <x:v>0.00014929709999999998</x:v>
      </x:c>
      <x:c r="M474" s="60" t="n">
        <x:v>0</x:v>
      </x:c>
      <x:c r="N474" s="46" t="str">
        <x:v>chromis scotti</x:v>
      </x:c>
      <x:c r="O474" s="62" t="n">
        <x:v>3.4</x:v>
      </x:c>
      <x:c r="P474" s="46" t="str">
        <x:v>exact_2020_supplement</x:v>
      </x:c>
      <x:c r="Q474" s="62" t="str">
        <x:v>2020 supplement MeanTL</x:v>
      </x:c>
      <x:c r="R474" s="46" t="str">
        <x:v>high</x:v>
      </x:c>
      <x:c r="S474" s="46" t="str">
        <x:v>Chromis scotti</x:v>
      </x:c>
      <x:c r="T474" s="62" t="n">
        <x:f>IF(O474="","",(1/'Metadata'!$B$5)^(O474-1))</x:f>
        <x:v>251.18864315095797</x:v>
      </x:c>
      <x:c r="U474" s="60" t="n">
        <x:f>IF(T474="","",I474*T474)</x:f>
        <x:v>0.03750173597537288</x:v>
      </x:c>
    </x:row>
    <x:row r="475" ht="18" customHeight="1">
      <x:c r="A475" s="46" t="str">
        <x:v>LME_012</x:v>
      </x:c>
      <x:c r="B475" s="46" t="str">
        <x:v>Caribbean Sea</x:v>
      </x:c>
      <x:c r="C475" s="46" t="str">
        <x:v>LME</x:v>
      </x:c>
      <x:c r="D475" s="58" t="n">
        <x:v>2019</x:v>
      </x:c>
      <x:c r="E475" s="46" t="str">
        <x:v>Abudefduf saxatilis</x:v>
      </x:c>
      <x:c r="F475" s="46" t="str">
        <x:v>Sergeant-major</x:v>
      </x:c>
      <x:c r="G475" s="46" t="str">
        <x:v>Small reef assoc. fish (&lt;30 cm)</x:v>
      </x:c>
      <x:c r="H475" s="46" t="str">
        <x:v>Perch-likes</x:v>
      </x:c>
      <x:c r="I475" s="60" t="n">
        <x:v>0.0001309109</x:v>
      </x:c>
      <x:c r="J475" s="60" t="n">
        <x:v>0.0001309109</x:v>
      </x:c>
      <x:c r="K475" s="60" t="n">
        <x:v>0</x:v>
      </x:c>
      <x:c r="L475" s="60" t="n">
        <x:v>0.0001309109</x:v>
      </x:c>
      <x:c r="M475" s="60" t="n">
        <x:v>0</x:v>
      </x:c>
      <x:c r="N475" s="46" t="str">
        <x:v>abudefduf saxatilis</x:v>
      </x:c>
      <x:c r="O475" s="62" t="n">
        <x:v>3.82</x:v>
      </x:c>
      <x:c r="P475" s="46" t="str">
        <x:v>exact_2020_supplement</x:v>
      </x:c>
      <x:c r="Q475" s="62" t="str">
        <x:v>2020 supplement MeanTL</x:v>
      </x:c>
      <x:c r="R475" s="46" t="str">
        <x:v>high</x:v>
      </x:c>
      <x:c r="S475" s="46" t="str">
        <x:v>Abudefduf saxatilis</x:v>
      </x:c>
      <x:c r="T475" s="62" t="n">
        <x:f>IF(O475="","",(1/'Metadata'!$B$5)^(O475-1))</x:f>
        <x:v>660.6934480075957</x:v>
      </x:c>
      <x:c r="U475" s="60" t="n">
        <x:f>IF(T475="","",I475*T475)</x:f>
        <x:v>0.08649197390277756</x:v>
      </x:c>
    </x:row>
    <x:row r="476" ht="18" customHeight="1">
      <x:c r="A476" s="46" t="str">
        <x:v>LME_012</x:v>
      </x:c>
      <x:c r="B476" s="46" t="str">
        <x:v>Caribbean Sea</x:v>
      </x:c>
      <x:c r="C476" s="46" t="str">
        <x:v>LME</x:v>
      </x:c>
      <x:c r="D476" s="58" t="n">
        <x:v>2019</x:v>
      </x:c>
      <x:c r="E476" s="46" t="str">
        <x:v>Emblemariopsis diaphana</x:v>
      </x:c>
      <x:c r="F476" s="46" t="str">
        <x:v>Glass blenny</x:v>
      </x:c>
      <x:c r="G476" s="46" t="str">
        <x:v>Small reef assoc. fish (&lt;30 cm)</x:v>
      </x:c>
      <x:c r="H476" s="46" t="str">
        <x:v>Perch-likes</x:v>
      </x:c>
      <x:c r="I476" s="60" t="n">
        <x:v>0.0001303448</x:v>
      </x:c>
      <x:c r="J476" s="60" t="n">
        <x:v>0.0001303448</x:v>
      </x:c>
      <x:c r="K476" s="60" t="n">
        <x:v>0</x:v>
      </x:c>
      <x:c r="L476" s="60" t="n">
        <x:v>0.0001303448</x:v>
      </x:c>
      <x:c r="M476" s="60" t="n">
        <x:v>0</x:v>
      </x:c>
      <x:c r="N476" s="46" t="str">
        <x:v>emblemariopsis diaphana</x:v>
      </x:c>
      <x:c r="O476" s="62" t="n">
        <x:v>3.3</x:v>
      </x:c>
      <x:c r="P476" s="46" t="str">
        <x:v>exact_sea_around_us</x:v>
      </x:c>
      <x:c r="Q476" s="62" t="str">
        <x:v>Sea Around Us exploited organisms</x:v>
      </x:c>
      <x:c r="R476" s="46" t="str">
        <x:v>high</x:v>
      </x:c>
      <x:c r="S476" s="46" t="str">
        <x:v>Emblemariopsis diaphana</x:v>
      </x:c>
      <x:c r="T476" s="62" t="n">
        <x:f>IF(O476="","",(1/'Metadata'!$B$5)^(O476-1))</x:f>
        <x:v>199.52623149688787</x:v>
      </x:c>
      <x:c r="U476" s="60" t="n">
        <x:f>IF(T476="","",I476*T476)</x:f>
        <x:v>0.026007206739215555</x:v>
      </x:c>
    </x:row>
    <x:row r="477" ht="18" customHeight="1">
      <x:c r="A477" s="46" t="str">
        <x:v>LME_012</x:v>
      </x:c>
      <x:c r="B477" s="46" t="str">
        <x:v>Caribbean Sea</x:v>
      </x:c>
      <x:c r="C477" s="46" t="str">
        <x:v>LME</x:v>
      </x:c>
      <x:c r="D477" s="58" t="n">
        <x:v>2019</x:v>
      </x:c>
      <x:c r="E477" s="46" t="str">
        <x:v>Carcharias taurus</x:v>
      </x:c>
      <x:c r="F477" s="46" t="str">
        <x:v>Sand tiger shark</x:v>
      </x:c>
      <x:c r="G477" s="46" t="str">
        <x:v>Large sharks (&gt;=90 cm)</x:v>
      </x:c>
      <x:c r="H477" s="46" t="str">
        <x:v>Sharks &amp; rays</x:v>
      </x:c>
      <x:c r="I477" s="60" t="n">
        <x:v>0.0001288637</x:v>
      </x:c>
      <x:c r="J477" s="60" t="n">
        <x:v>0</x:v>
      </x:c>
      <x:c r="K477" s="60" t="n">
        <x:v>0.0001288637</x:v>
      </x:c>
      <x:c r="L477" s="60" t="n">
        <x:v>0</x:v>
      </x:c>
      <x:c r="M477" s="60" t="n">
        <x:v>0.0001288637</x:v>
      </x:c>
      <x:c r="N477" s="46" t="str">
        <x:v>carcharias taurus</x:v>
      </x:c>
      <x:c r="O477" s="62" t="n">
        <x:v>4.5</x:v>
      </x:c>
      <x:c r="P477" s="46" t="str">
        <x:v>exact_2020_supplement</x:v>
      </x:c>
      <x:c r="Q477" s="62" t="str">
        <x:v>2020 supplement MeanTL</x:v>
      </x:c>
      <x:c r="R477" s="46" t="str">
        <x:v>high</x:v>
      </x:c>
      <x:c r="S477" s="46" t="str">
        <x:v>Carcharias taurus</x:v>
      </x:c>
      <x:c r="T477" s="62" t="n">
        <x:f>IF(O477="","",(1/'Metadata'!$B$5)^(O477-1))</x:f>
        <x:v>3162.2776601683795</x:v>
      </x:c>
      <x:c r="U477" s="60" t="n">
        <x:f>IF(T477="","",I477*T477)</x:f>
        <x:v>0.40750279971664</x:v>
      </x:c>
    </x:row>
    <x:row r="478" ht="18" customHeight="1">
      <x:c r="A478" s="46" t="str">
        <x:v>LME_012</x:v>
      </x:c>
      <x:c r="B478" s="46" t="str">
        <x:v>Caribbean Sea</x:v>
      </x:c>
      <x:c r="C478" s="46" t="str">
        <x:v>LME</x:v>
      </x:c>
      <x:c r="D478" s="58" t="n">
        <x:v>2019</x:v>
      </x:c>
      <x:c r="E478" s="46" t="str">
        <x:v>Malacoctenus triangulatus</x:v>
      </x:c>
      <x:c r="F478" s="46" t="str">
        <x:v>Saddled blenny</x:v>
      </x:c>
      <x:c r="G478" s="46" t="str">
        <x:v>Small reef assoc. fish (&lt;30 cm)</x:v>
      </x:c>
      <x:c r="H478" s="46" t="str">
        <x:v>Perch-likes</x:v>
      </x:c>
      <x:c r="I478" s="60" t="n">
        <x:v>0.0001279286</x:v>
      </x:c>
      <x:c r="J478" s="60" t="n">
        <x:v>0.0001279286</x:v>
      </x:c>
      <x:c r="K478" s="60" t="n">
        <x:v>0</x:v>
      </x:c>
      <x:c r="L478" s="60" t="n">
        <x:v>0.0001279286</x:v>
      </x:c>
      <x:c r="M478" s="60" t="n">
        <x:v>0</x:v>
      </x:c>
      <x:c r="N478" s="46" t="str">
        <x:v>malacoctenus triangulatus</x:v>
      </x:c>
      <x:c r="O478" s="62" t="n">
        <x:v>3.5</x:v>
      </x:c>
      <x:c r="P478" s="46" t="str">
        <x:v>exact_2020_supplement</x:v>
      </x:c>
      <x:c r="Q478" s="62" t="str">
        <x:v>2020 supplement MeanTL</x:v>
      </x:c>
      <x:c r="R478" s="46" t="str">
        <x:v>high</x:v>
      </x:c>
      <x:c r="S478" s="46" t="str">
        <x:v>Malacoctenus triangulatus</x:v>
      </x:c>
      <x:c r="T478" s="62" t="n">
        <x:f>IF(O478="","",(1/'Metadata'!$B$5)^(O478-1))</x:f>
        <x:v>316.22776601683796</x:v>
      </x:c>
      <x:c r="U478" s="60" t="n">
        <x:f>IF(T478="","",I478*T478)</x:f>
        <x:v>0.04045457538766165</x:v>
      </x:c>
    </x:row>
    <x:row r="479" ht="18" customHeight="1">
      <x:c r="A479" s="46" t="str">
        <x:v>LME_012</x:v>
      </x:c>
      <x:c r="B479" s="46" t="str">
        <x:v>Caribbean Sea</x:v>
      </x:c>
      <x:c r="C479" s="46" t="str">
        <x:v>LME</x:v>
      </x:c>
      <x:c r="D479" s="58" t="n">
        <x:v>2019</x:v>
      </x:c>
      <x:c r="E479" s="46" t="str">
        <x:v>Macrocypraea zebra</x:v>
      </x:c>
      <x:c r="F479" s="46" t="str">
        <x:v>Measled cowrie</x:v>
      </x:c>
      <x:c r="G479" s="46" t="str">
        <x:v>Other demersal invertebrates</x:v>
      </x:c>
      <x:c r="H479" s="46" t="str">
        <x:v>Molluscs</x:v>
      </x:c>
      <x:c r="I479" s="60" t="n">
        <x:v>0.0001128078</x:v>
      </x:c>
      <x:c r="J479" s="60" t="n">
        <x:v>0.0001128078</x:v>
      </x:c>
      <x:c r="K479" s="60" t="n">
        <x:v>0</x:v>
      </x:c>
      <x:c r="L479" s="60" t="n">
        <x:v>0.0001128078</x:v>
      </x:c>
      <x:c r="M479" s="60" t="n">
        <x:v>0</x:v>
      </x:c>
      <x:c r="N479" s="46" t="str">
        <x:v>macrocypraea zebra</x:v>
      </x:c>
      <x:c r="O479" s="62" t="n">
        <x:v>2.28</x:v>
      </x:c>
      <x:c r="P479" s="46" t="str">
        <x:v>exact_sea_around_us</x:v>
      </x:c>
      <x:c r="Q479" s="62" t="str">
        <x:v>Sea Around Us exploited organisms</x:v>
      </x:c>
      <x:c r="R479" s="46" t="str">
        <x:v>high</x:v>
      </x:c>
      <x:c r="S479" s="46" t="str">
        <x:v>Macrocypraea zebra</x:v>
      </x:c>
      <x:c r="T479" s="62" t="n">
        <x:f>IF(O479="","",(1/'Metadata'!$B$5)^(O479-1))</x:f>
        <x:v>19.054607179632463</x:v>
      </x:c>
      <x:c r="U479" s="60" t="n">
        <x:f>IF(T479="","",I479*T479)</x:f>
        <x:v>0.0021495083157985428</x:v>
      </x:c>
    </x:row>
    <x:row r="480" ht="18" customHeight="1">
      <x:c r="A480" s="46" t="str">
        <x:v>LME_012</x:v>
      </x:c>
      <x:c r="B480" s="46" t="str">
        <x:v>Caribbean Sea</x:v>
      </x:c>
      <x:c r="C480" s="46" t="str">
        <x:v>LME</x:v>
      </x:c>
      <x:c r="D480" s="58" t="n">
        <x:v>2019</x:v>
      </x:c>
      <x:c r="E480" s="46" t="str">
        <x:v>Anchoviella</x:v>
      </x:c>
      <x:c r="F480" s="46" t="str">
        <x:v>Anchovies</x:v>
      </x:c>
      <x:c r="G480" s="46" t="str">
        <x:v>Small pelagics (&lt;30 cm)</x:v>
      </x:c>
      <x:c r="H480" s="46" t="str">
        <x:v>Anchovies</x:v>
      </x:c>
      <x:c r="I480" s="60" t="n">
        <x:v>0.0000907651</x:v>
      </x:c>
      <x:c r="J480" s="60" t="n">
        <x:v>0.0000907651</x:v>
      </x:c>
      <x:c r="K480" s="60" t="n">
        <x:v>0</x:v>
      </x:c>
      <x:c r="L480" s="60" t="n">
        <x:v>0</x:v>
      </x:c>
      <x:c r="M480" s="60" t="n">
        <x:v>0.0000907651</x:v>
      </x:c>
      <x:c r="N480" s="46" t="str">
        <x:v>anchoviella</x:v>
      </x:c>
      <x:c r="O480" s="62" t="n">
        <x:v>3.18</x:v>
      </x:c>
      <x:c r="P480" s="46" t="str">
        <x:v>exact_sea_around_us</x:v>
      </x:c>
      <x:c r="Q480" s="62" t="str">
        <x:v>Sea Around Us exploited organisms</x:v>
      </x:c>
      <x:c r="R480" s="46" t="str">
        <x:v>high</x:v>
      </x:c>
      <x:c r="S480" s="46" t="str">
        <x:v>Anchoviella</x:v>
      </x:c>
      <x:c r="T480" s="62" t="n">
        <x:f>IF(O480="","",(1/'Metadata'!$B$5)^(O480-1))</x:f>
        <x:v>151.35612484362088</x:v>
      </x:c>
      <x:c r="U480" s="60" t="n">
        <x:f>IF(T480="","",I480*T480)</x:f>
        <x:v>0.013737853807043732</x:v>
      </x:c>
    </x:row>
    <x:row r="481" ht="18" customHeight="1">
      <x:c r="A481" s="46" t="str">
        <x:v>LME_012</x:v>
      </x:c>
      <x:c r="B481" s="46" t="str">
        <x:v>Caribbean Sea</x:v>
      </x:c>
      <x:c r="C481" s="46" t="str">
        <x:v>LME</x:v>
      </x:c>
      <x:c r="D481" s="58" t="n">
        <x:v>2019</x:v>
      </x:c>
      <x:c r="E481" s="46" t="str">
        <x:v>Stephanolepis setifer</x:v>
      </x:c>
      <x:c r="F481" s="46" t="str">
        <x:v>Pygmy filefish</x:v>
      </x:c>
      <x:c r="G481" s="46" t="str">
        <x:v>Small reef assoc. fish (&lt;30 cm)</x:v>
      </x:c>
      <x:c r="H481" s="46" t="str">
        <x:v>Other fishes &amp; inverts</x:v>
      </x:c>
      <x:c r="I481" s="60" t="n">
        <x:v>0.0000876358</x:v>
      </x:c>
      <x:c r="J481" s="60" t="n">
        <x:v>0.0000876358</x:v>
      </x:c>
      <x:c r="K481" s="60" t="n">
        <x:v>0</x:v>
      </x:c>
      <x:c r="L481" s="60" t="n">
        <x:v>0.0000876358</x:v>
      </x:c>
      <x:c r="M481" s="60" t="n">
        <x:v>0</x:v>
      </x:c>
      <x:c r="N481" s="46" t="str">
        <x:v>stephanolepis setifer</x:v>
      </x:c>
      <x:c r="O481" s="62" t="n">
        <x:v>2.85</x:v>
      </x:c>
      <x:c r="P481" s="46" t="str">
        <x:v>exact_2020_supplement</x:v>
      </x:c>
      <x:c r="Q481" s="62" t="str">
        <x:v>2020 supplement MeanTL</x:v>
      </x:c>
      <x:c r="R481" s="46" t="str">
        <x:v>high</x:v>
      </x:c>
      <x:c r="S481" s="46" t="str">
        <x:v>Stephanolepis setifer</x:v>
      </x:c>
      <x:c r="T481" s="62" t="n">
        <x:f>IF(O481="","",(1/'Metadata'!$B$5)^(O481-1))</x:f>
        <x:v>70.79457843841381</x:v>
      </x:c>
      <x:c r="U481" s="60" t="n">
        <x:f>IF(T481="","",I481*T481)</x:f>
        <x:v>0.006204139517113145</x:v>
      </x:c>
    </x:row>
    <x:row r="482" ht="18" customHeight="1">
      <x:c r="A482" s="46" t="str">
        <x:v>LME_012</x:v>
      </x:c>
      <x:c r="B482" s="46" t="str">
        <x:v>Caribbean Sea</x:v>
      </x:c>
      <x:c r="C482" s="46" t="str">
        <x:v>LME</x:v>
      </x:c>
      <x:c r="D482" s="58" t="n">
        <x:v>2019</x:v>
      </x:c>
      <x:c r="E482" s="46" t="str">
        <x:v>Astrophyton muricatum</x:v>
      </x:c>
      <x:c r="F482" s="46" t="str">
        <x:v>Giant basket star</x:v>
      </x:c>
      <x:c r="G482" s="46" t="str">
        <x:v>Other demersal invertebrates</x:v>
      </x:c>
      <x:c r="H482" s="46" t="str">
        <x:v>Other fishes &amp; inverts</x:v>
      </x:c>
      <x:c r="I482" s="60" t="n">
        <x:v>0.00008571420000000001</x:v>
      </x:c>
      <x:c r="J482" s="60" t="n">
        <x:v>0.00008571420000000001</x:v>
      </x:c>
      <x:c r="K482" s="60" t="n">
        <x:v>0</x:v>
      </x:c>
      <x:c r="L482" s="60" t="n">
        <x:v>0.00008571420000000001</x:v>
      </x:c>
      <x:c r="M482" s="60" t="n">
        <x:v>0</x:v>
      </x:c>
      <x:c r="N482" s="46" t="str">
        <x:v>astrophyton muricatum</x:v>
      </x:c>
      <x:c r="O482" s="62" t="n">
        <x:v>3.1</x:v>
      </x:c>
      <x:c r="P482" s="46" t="str">
        <x:v>exact_sea_around_us</x:v>
      </x:c>
      <x:c r="Q482" s="62" t="str">
        <x:v>Sea Around Us exploited organisms</x:v>
      </x:c>
      <x:c r="R482" s="46" t="str">
        <x:v>high</x:v>
      </x:c>
      <x:c r="S482" s="46" t="str">
        <x:v>Astrophyton muricatum</x:v>
      </x:c>
      <x:c r="T482" s="62" t="n">
        <x:f>IF(O482="","",(1/'Metadata'!$B$5)^(O482-1))</x:f>
        <x:v>125.89254117941675</x:v>
      </x:c>
      <x:c r="U482" s="60" t="n">
        <x:f>IF(T482="","",I482*T482)</x:f>
        <x:v>0.010790778453160765</x:v>
      </x:c>
    </x:row>
    <x:row r="483" ht="18" customHeight="1">
      <x:c r="A483" s="46" t="str">
        <x:v>LME_012</x:v>
      </x:c>
      <x:c r="B483" s="46" t="str">
        <x:v>Caribbean Sea</x:v>
      </x:c>
      <x:c r="C483" s="46" t="str">
        <x:v>LME</x:v>
      </x:c>
      <x:c r="D483" s="58" t="n">
        <x:v>2019</x:v>
      </x:c>
      <x:c r="E483" s="46" t="str">
        <x:v>Eques lanceolatus</x:v>
      </x:c>
      <x:c r="F483" s="46" t="str">
        <x:v>Jack-knifefish</x:v>
      </x:c>
      <x:c r="G483" s="46" t="str">
        <x:v>Small reef assoc. fish (&lt;30 cm)</x:v>
      </x:c>
      <x:c r="H483" s="46" t="str">
        <x:v>Perch-likes</x:v>
      </x:c>
      <x:c r="I483" s="60" t="n">
        <x:v>0.0000758399</x:v>
      </x:c>
      <x:c r="J483" s="60" t="n">
        <x:v>0.0000758399</x:v>
      </x:c>
      <x:c r="K483" s="60" t="n">
        <x:v>0</x:v>
      </x:c>
      <x:c r="L483" s="60" t="n">
        <x:v>0.0000758399</x:v>
      </x:c>
      <x:c r="M483" s="60" t="n">
        <x:v>0</x:v>
      </x:c>
      <x:c r="N483" s="46" t="str">
        <x:v>eques lanceolatus</x:v>
      </x:c>
      <x:c r="O483" s="62" t="n">
        <x:v>3.43</x:v>
      </x:c>
      <x:c r="P483" s="46" t="str">
        <x:v>exact_sea_around_us</x:v>
      </x:c>
      <x:c r="Q483" s="62" t="str">
        <x:v>Sea Around Us exploited organisms</x:v>
      </x:c>
      <x:c r="R483" s="46" t="str">
        <x:v>high</x:v>
      </x:c>
      <x:c r="S483" s="46" t="str">
        <x:v>Eques lanceolatus</x:v>
      </x:c>
      <x:c r="T483" s="62" t="n">
        <x:f>IF(O483="","",(1/'Metadata'!$B$5)^(O483-1))</x:f>
        <x:v>269.1534803926917</x:v>
      </x:c>
      <x:c r="U483" s="60" t="n">
        <x:f>IF(T483="","",I483*T483)</x:f>
        <x:v>0.020412573037633698</x:v>
      </x:c>
    </x:row>
    <x:row r="484" ht="18" customHeight="1">
      <x:c r="A484" s="46" t="str">
        <x:v>LME_012</x:v>
      </x:c>
      <x:c r="B484" s="46" t="str">
        <x:v>Caribbean Sea</x:v>
      </x:c>
      <x:c r="C484" s="46" t="str">
        <x:v>LME</x:v>
      </x:c>
      <x:c r="D484" s="58" t="n">
        <x:v>2019</x:v>
      </x:c>
      <x:c r="E484" s="46" t="str">
        <x:v>Melongena corona</x:v>
      </x:c>
      <x:c r="F484" s="46" t="str">
        <x:v>Crown conch</x:v>
      </x:c>
      <x:c r="G484" s="46" t="str">
        <x:v>Other demersal invertebrates</x:v>
      </x:c>
      <x:c r="H484" s="46" t="str">
        <x:v>Molluscs</x:v>
      </x:c>
      <x:c r="I484" s="60" t="n">
        <x:v>0.0000640715</x:v>
      </x:c>
      <x:c r="J484" s="60" t="n">
        <x:v>0.0000640715</x:v>
      </x:c>
      <x:c r="K484" s="60" t="n">
        <x:v>0</x:v>
      </x:c>
      <x:c r="L484" s="60" t="n">
        <x:v>0.0000640715</x:v>
      </x:c>
      <x:c r="M484" s="60" t="n">
        <x:v>0</x:v>
      </x:c>
      <x:c r="N484" s="46" t="str">
        <x:v>melongena corona</x:v>
      </x:c>
      <x:c r="O484" s="62" t="n">
        <x:v>3.15</x:v>
      </x:c>
      <x:c r="P484" s="46" t="str">
        <x:v>exact_sea_around_us</x:v>
      </x:c>
      <x:c r="Q484" s="62" t="str">
        <x:v>Sea Around Us exploited organisms</x:v>
      </x:c>
      <x:c r="R484" s="46" t="str">
        <x:v>high</x:v>
      </x:c>
      <x:c r="S484" s="46" t="str">
        <x:v>Melongena corona</x:v>
      </x:c>
      <x:c r="T484" s="62" t="n">
        <x:f>IF(O484="","",(1/'Metadata'!$B$5)^(O484-1))</x:f>
        <x:v>141.2537544622754</x:v>
      </x:c>
      <x:c r="U484" s="60" t="n">
        <x:f>IF(T484="","",I484*T484)</x:f>
        <x:v>0.009050339929029677</x:v>
      </x:c>
    </x:row>
    <x:row r="485" ht="18" customHeight="1">
      <x:c r="A485" s="46" t="str">
        <x:v>LME_012</x:v>
      </x:c>
      <x:c r="B485" s="46" t="str">
        <x:v>Caribbean Sea</x:v>
      </x:c>
      <x:c r="C485" s="46" t="str">
        <x:v>LME</x:v>
      </x:c>
      <x:c r="D485" s="58" t="n">
        <x:v>2019</x:v>
      </x:c>
      <x:c r="E485" s="46" t="str">
        <x:v>Ogcocephalus</x:v>
      </x:c>
      <x:c r="F485" s="46" t="str">
        <x:v>Batfishes</x:v>
      </x:c>
      <x:c r="G485" s="46" t="str">
        <x:v>Small reef assoc. fish (&lt;30 cm)</x:v>
      </x:c>
      <x:c r="H485" s="46" t="str">
        <x:v>Other fishes &amp; inverts</x:v>
      </x:c>
      <x:c r="I485" s="60" t="n">
        <x:v>0.0000600758</x:v>
      </x:c>
      <x:c r="J485" s="60" t="n">
        <x:v>0</x:v>
      </x:c>
      <x:c r="K485" s="60" t="n">
        <x:v>0.0000600758</x:v>
      </x:c>
      <x:c r="L485" s="60" t="n">
        <x:v>0</x:v>
      </x:c>
      <x:c r="M485" s="60" t="n">
        <x:v>0.0000600758</x:v>
      </x:c>
      <x:c r="N485" s="46" t="str">
        <x:v>ogcocephalus</x:v>
      </x:c>
      <x:c r="O485" s="62" t="n">
        <x:v>3.36</x:v>
      </x:c>
      <x:c r="P485" s="46" t="str">
        <x:v>exact_sea_around_us</x:v>
      </x:c>
      <x:c r="Q485" s="62" t="str">
        <x:v>Sea Around Us exploited organisms</x:v>
      </x:c>
      <x:c r="R485" s="46" t="str">
        <x:v>high</x:v>
      </x:c>
      <x:c r="S485" s="46" t="str">
        <x:v>Ogcocephalus</x:v>
      </x:c>
      <x:c r="T485" s="62" t="n">
        <x:f>IF(O485="","",(1/'Metadata'!$B$5)^(O485-1))</x:f>
        <x:v>229.08676527677724</x:v>
      </x:c>
      <x:c r="U485" s="60" t="n">
        <x:f>IF(T485="","",I485*T485)</x:f>
        <x:v>0.013762570693414614</x:v>
      </x:c>
    </x:row>
    <x:row r="486" ht="18" customHeight="1">
      <x:c r="A486" s="46" t="str">
        <x:v>LME_012</x:v>
      </x:c>
      <x:c r="B486" s="46" t="str">
        <x:v>Caribbean Sea</x:v>
      </x:c>
      <x:c r="C486" s="46" t="str">
        <x:v>LME</x:v>
      </x:c>
      <x:c r="D486" s="58" t="n">
        <x:v>2019</x:v>
      </x:c>
      <x:c r="E486" s="46" t="str">
        <x:v>Gymnothorax</x:v>
      </x:c>
      <x:c r="F486" s="46" t="str">
        <x:v>Morays</x:v>
      </x:c>
      <x:c r="G486" s="46" t="str">
        <x:v>Large reef assoc. fish (&gt;=90 cm)</x:v>
      </x:c>
      <x:c r="H486" s="46" t="str">
        <x:v>Other fishes &amp; inverts</x:v>
      </x:c>
      <x:c r="I486" s="60" t="n">
        <x:v>0.0000598176</x:v>
      </x:c>
      <x:c r="J486" s="60" t="n">
        <x:v>0</x:v>
      </x:c>
      <x:c r="K486" s="60" t="n">
        <x:v>0.0000598176</x:v>
      </x:c>
      <x:c r="L486" s="60" t="n">
        <x:v>0</x:v>
      </x:c>
      <x:c r="M486" s="60" t="n">
        <x:v>0.0000598176</x:v>
      </x:c>
      <x:c r="N486" s="46" t="str">
        <x:v>gymnothorax</x:v>
      </x:c>
      <x:c r="O486" s="62" t="n">
        <x:v>4.22</x:v>
      </x:c>
      <x:c r="P486" s="46" t="str">
        <x:v>exact_sea_around_us</x:v>
      </x:c>
      <x:c r="Q486" s="62" t="str">
        <x:v>Sea Around Us exploited organisms</x:v>
      </x:c>
      <x:c r="R486" s="46" t="str">
        <x:v>high</x:v>
      </x:c>
      <x:c r="S486" s="46" t="str">
        <x:v>Gymnothorax</x:v>
      </x:c>
      <x:c r="T486" s="62" t="n">
        <x:f>IF(O486="","",(1/'Metadata'!$B$5)^(O486-1))</x:f>
        <x:v>1659.5869074375596</x:v>
      </x:c>
      <x:c r="U486" s="60" t="n">
        <x:f>IF(T486="","",I486*T486)</x:f>
        <x:v>0.09927250579433697</x:v>
      </x:c>
    </x:row>
    <x:row r="487" ht="18" customHeight="1">
      <x:c r="A487" s="46" t="str">
        <x:v>LME_012</x:v>
      </x:c>
      <x:c r="B487" s="46" t="str">
        <x:v>Caribbean Sea</x:v>
      </x:c>
      <x:c r="C487" s="46" t="str">
        <x:v>LME</x:v>
      </x:c>
      <x:c r="D487" s="58" t="n">
        <x:v>2019</x:v>
      </x:c>
      <x:c r="E487" s="46" t="str">
        <x:v>Chasmodes saburrae</x:v>
      </x:c>
      <x:c r="F487" s="46" t="str">
        <x:v>Florida blenny</x:v>
      </x:c>
      <x:c r="G487" s="46" t="str">
        <x:v>Small demersals (&lt;30 cm)</x:v>
      </x:c>
      <x:c r="H487" s="46" t="str">
        <x:v>Perch-likes</x:v>
      </x:c>
      <x:c r="I487" s="60" t="n">
        <x:v>0.0000571699</x:v>
      </x:c>
      <x:c r="J487" s="60" t="n">
        <x:v>0.0000571699</x:v>
      </x:c>
      <x:c r="K487" s="60" t="n">
        <x:v>0</x:v>
      </x:c>
      <x:c r="L487" s="60" t="n">
        <x:v>0.0000571699</x:v>
      </x:c>
      <x:c r="M487" s="60" t="n">
        <x:v>0</x:v>
      </x:c>
      <x:c r="N487" s="46" t="str">
        <x:v>chasmodes saburrae</x:v>
      </x:c>
      <x:c r="O487" s="62" t="n">
        <x:v>3.47</x:v>
      </x:c>
      <x:c r="P487" s="46" t="str">
        <x:v>exact_2020_supplement</x:v>
      </x:c>
      <x:c r="Q487" s="62" t="str">
        <x:v>2020 supplement MeanTL</x:v>
      </x:c>
      <x:c r="R487" s="46" t="str">
        <x:v>high</x:v>
      </x:c>
      <x:c r="S487" s="46" t="str">
        <x:v>Chasmodes saburrae</x:v>
      </x:c>
      <x:c r="T487" s="62" t="n">
        <x:f>IF(O487="","",(1/'Metadata'!$B$5)^(O487-1))</x:f>
        <x:v>295.1209226666387</x:v>
      </x:c>
      <x:c r="U487" s="60" t="n">
        <x:f>IF(T487="","",I487*T487)</x:f>
        <x:v>0.01687203363675947</x:v>
      </x:c>
    </x:row>
    <x:row r="488" ht="18" customHeight="1">
      <x:c r="A488" s="46" t="str">
        <x:v>LME_012</x:v>
      </x:c>
      <x:c r="B488" s="46" t="str">
        <x:v>Caribbean Sea</x:v>
      </x:c>
      <x:c r="C488" s="46" t="str">
        <x:v>LME</x:v>
      </x:c>
      <x:c r="D488" s="58" t="n">
        <x:v>2019</x:v>
      </x:c>
      <x:c r="E488" s="46" t="str">
        <x:v>Octopus joubini</x:v>
      </x:c>
      <x:c r="F488" s="46" t="str">
        <x:v>Atlantic pygmy octopus</x:v>
      </x:c>
      <x:c r="G488" s="46" t="str">
        <x:v>Cephalopods</x:v>
      </x:c>
      <x:c r="H488" s="46" t="str">
        <x:v>Molluscs</x:v>
      </x:c>
      <x:c r="I488" s="60" t="n">
        <x:v>0.00005455</x:v>
      </x:c>
      <x:c r="J488" s="60" t="n">
        <x:v>0.00005455</x:v>
      </x:c>
      <x:c r="K488" s="60" t="n">
        <x:v>0</x:v>
      </x:c>
      <x:c r="L488" s="60" t="n">
        <x:v>0.00005455</x:v>
      </x:c>
      <x:c r="M488" s="60" t="n">
        <x:v>0</x:v>
      </x:c>
      <x:c r="N488" s="46" t="str">
        <x:v>octopus joubini</x:v>
      </x:c>
      <x:c r="O488" s="62" t="n">
        <x:v>3.34</x:v>
      </x:c>
      <x:c r="P488" s="46" t="str">
        <x:v>exact_2020_supplement</x:v>
      </x:c>
      <x:c r="Q488" s="62" t="str">
        <x:v>2020 supplement MeanTL</x:v>
      </x:c>
      <x:c r="R488" s="46" t="str">
        <x:v>high</x:v>
      </x:c>
      <x:c r="S488" s="46" t="str">
        <x:v>Octopus joubini</x:v>
      </x:c>
      <x:c r="T488" s="62" t="n">
        <x:f>IF(O488="","",(1/'Metadata'!$B$5)^(O488-1))</x:f>
        <x:v>218.77616239495518</x:v>
      </x:c>
      <x:c r="U488" s="60" t="n">
        <x:f>IF(T488="","",I488*T488)</x:f>
        <x:v>0.011934239658644805</x:v>
      </x:c>
    </x:row>
    <x:row r="489" ht="18" customHeight="1">
      <x:c r="A489" s="46" t="str">
        <x:v>LME_012</x:v>
      </x:c>
      <x:c r="B489" s="46" t="str">
        <x:v>Caribbean Sea</x:v>
      </x:c>
      <x:c r="C489" s="46" t="str">
        <x:v>LME</x:v>
      </x:c>
      <x:c r="D489" s="58" t="n">
        <x:v>2019</x:v>
      </x:c>
      <x:c r="E489" s="46" t="str">
        <x:v>Ophioblennius atlanticus</x:v>
      </x:c>
      <x:c r="F489" s="46" t="str">
        <x:v>Redlip blenny</x:v>
      </x:c>
      <x:c r="G489" s="46" t="str">
        <x:v>Small reef assoc. fish (&lt;30 cm)</x:v>
      </x:c>
      <x:c r="H489" s="46" t="str">
        <x:v>Perch-likes</x:v>
      </x:c>
      <x:c r="I489" s="60" t="n">
        <x:v>0.000045899</x:v>
      </x:c>
      <x:c r="J489" s="60" t="n">
        <x:v>0.000045899</x:v>
      </x:c>
      <x:c r="K489" s="60" t="n">
        <x:v>0</x:v>
      </x:c>
      <x:c r="L489" s="60" t="n">
        <x:v>0.000045899</x:v>
      </x:c>
      <x:c r="M489" s="60" t="n">
        <x:v>0</x:v>
      </x:c>
      <x:c r="N489" s="46" t="str">
        <x:v>ophioblennius atlanticus</x:v>
      </x:c>
      <x:c r="O489" s="62" t="n">
        <x:v>2.01</x:v>
      </x:c>
      <x:c r="P489" s="46" t="str">
        <x:v>exact_2020_supplement</x:v>
      </x:c>
      <x:c r="Q489" s="62" t="str">
        <x:v>2020 supplement MeanTL</x:v>
      </x:c>
      <x:c r="R489" s="46" t="str">
        <x:v>high</x:v>
      </x:c>
      <x:c r="S489" s="46" t="str">
        <x:v>Ophioblennius atlanticus</x:v>
      </x:c>
      <x:c r="T489" s="62" t="n">
        <x:f>IF(O489="","",(1/'Metadata'!$B$5)^(O489-1))</x:f>
        <x:v>10.232929922807536</x:v>
      </x:c>
      <x:c r="U489" s="60" t="n">
        <x:f>IF(T489="","",I489*T489)</x:f>
        <x:v>0.0004696812505269431</x:v>
      </x:c>
    </x:row>
    <x:row r="490" ht="18" customHeight="1">
      <x:c r="A490" s="46" t="str">
        <x:v>LME_012</x:v>
      </x:c>
      <x:c r="B490" s="46" t="str">
        <x:v>Caribbean Sea</x:v>
      </x:c>
      <x:c r="C490" s="46" t="str">
        <x:v>LME</x:v>
      </x:c>
      <x:c r="D490" s="58" t="n">
        <x:v>2019</x:v>
      </x:c>
      <x:c r="E490" s="46" t="str">
        <x:v>Serranus tortugarum</x:v>
      </x:c>
      <x:c r="F490" s="46" t="str">
        <x:v>Chalk bass</x:v>
      </x:c>
      <x:c r="G490" s="46" t="str">
        <x:v>Small reef assoc. fish (&lt;30 cm)</x:v>
      </x:c>
      <x:c r="H490" s="46" t="str">
        <x:v>Perch-likes</x:v>
      </x:c>
      <x:c r="I490" s="60" t="n">
        <x:v>0.000041834000000000006</x:v>
      </x:c>
      <x:c r="J490" s="60" t="n">
        <x:v>0.000041834000000000006</x:v>
      </x:c>
      <x:c r="K490" s="60" t="n">
        <x:v>0</x:v>
      </x:c>
      <x:c r="L490" s="60" t="n">
        <x:v>0.000041834000000000006</x:v>
      </x:c>
      <x:c r="M490" s="60" t="n">
        <x:v>0</x:v>
      </x:c>
      <x:c r="N490" s="46" t="str">
        <x:v>serranus tortugarum</x:v>
      </x:c>
      <x:c r="O490" s="62" t="n">
        <x:v>3.08</x:v>
      </x:c>
      <x:c r="P490" s="46" t="str">
        <x:v>exact_2020_supplement</x:v>
      </x:c>
      <x:c r="Q490" s="62" t="str">
        <x:v>2020 supplement MeanTL</x:v>
      </x:c>
      <x:c r="R490" s="46" t="str">
        <x:v>high</x:v>
      </x:c>
      <x:c r="S490" s="46" t="str">
        <x:v>Serranus tortugarum</x:v>
      </x:c>
      <x:c r="T490" s="62" t="n">
        <x:f>IF(O490="","",(1/'Metadata'!$B$5)^(O490-1))</x:f>
        <x:v>120.22644346174131</x:v>
      </x:c>
      <x:c r="U490" s="60" t="n">
        <x:f>IF(T490="","",I490*T490)</x:f>
        <x:v>0.005029553035778487</x:v>
      </x:c>
    </x:row>
    <x:row r="491" ht="18" customHeight="1">
      <x:c r="A491" s="46" t="str">
        <x:v>LME_012</x:v>
      </x:c>
      <x:c r="B491" s="46" t="str">
        <x:v>Caribbean Sea</x:v>
      </x:c>
      <x:c r="C491" s="46" t="str">
        <x:v>LME</x:v>
      </x:c>
      <x:c r="D491" s="58" t="n">
        <x:v>2019</x:v>
      </x:c>
      <x:c r="E491" s="46" t="str">
        <x:v>Serranus baldwini</x:v>
      </x:c>
      <x:c r="F491" s="46" t="str">
        <x:v>Lantern bass</x:v>
      </x:c>
      <x:c r="G491" s="46" t="str">
        <x:v>Small reef assoc. fish (&lt;30 cm)</x:v>
      </x:c>
      <x:c r="H491" s="46" t="str">
        <x:v>Perch-likes</x:v>
      </x:c>
      <x:c r="I491" s="60" t="n">
        <x:v>0.0000384778</x:v>
      </x:c>
      <x:c r="J491" s="60" t="n">
        <x:v>0.0000384778</x:v>
      </x:c>
      <x:c r="K491" s="60" t="n">
        <x:v>0</x:v>
      </x:c>
      <x:c r="L491" s="60" t="n">
        <x:v>0.0000384778</x:v>
      </x:c>
      <x:c r="M491" s="60" t="n">
        <x:v>0</x:v>
      </x:c>
      <x:c r="N491" s="46" t="str">
        <x:v>serranus baldwini</x:v>
      </x:c>
      <x:c r="O491" s="62" t="n">
        <x:v>4.05</x:v>
      </x:c>
      <x:c r="P491" s="46" t="str">
        <x:v>exact_2020_supplement</x:v>
      </x:c>
      <x:c r="Q491" s="62" t="str">
        <x:v>2020 supplement MeanTL</x:v>
      </x:c>
      <x:c r="R491" s="46" t="str">
        <x:v>high</x:v>
      </x:c>
      <x:c r="S491" s="46" t="str">
        <x:v>Serranus baldwini</x:v>
      </x:c>
      <x:c r="T491" s="62" t="n">
        <x:f>IF(O491="","",(1/'Metadata'!$B$5)^(O491-1))</x:f>
        <x:v>1122.018454301963</x:v>
      </x:c>
      <x:c r="U491" s="60" t="n">
        <x:f>IF(T491="","",I491*T491)</x:f>
        <x:v>0.04317280168094007</x:v>
      </x:c>
    </x:row>
    <x:row r="492" ht="18" customHeight="1">
      <x:c r="A492" s="46" t="str">
        <x:v>LME_012</x:v>
      </x:c>
      <x:c r="B492" s="46" t="str">
        <x:v>Caribbean Sea</x:v>
      </x:c>
      <x:c r="C492" s="46" t="str">
        <x:v>LME</x:v>
      </x:c>
      <x:c r="D492" s="58" t="n">
        <x:v>2019</x:v>
      </x:c>
      <x:c r="E492" s="46" t="str">
        <x:v>Gymnothorax miliaris</x:v>
      </x:c>
      <x:c r="F492" s="46" t="str">
        <x:v>Goldentail moray</x:v>
      </x:c>
      <x:c r="G492" s="46" t="str">
        <x:v>Large reef assoc. fish (&gt;=90 cm)</x:v>
      </x:c>
      <x:c r="H492" s="46" t="str">
        <x:v>Other fishes &amp; inverts</x:v>
      </x:c>
      <x:c r="I492" s="60" t="n">
        <x:v>0.000035808</x:v>
      </x:c>
      <x:c r="J492" s="60" t="n">
        <x:v>0.000035808</x:v>
      </x:c>
      <x:c r="K492" s="60" t="n">
        <x:v>0</x:v>
      </x:c>
      <x:c r="L492" s="60" t="n">
        <x:v>0.000035808</x:v>
      </x:c>
      <x:c r="M492" s="60" t="n">
        <x:v>0</x:v>
      </x:c>
      <x:c r="N492" s="46" t="str">
        <x:v>gymnothorax miliaris</x:v>
      </x:c>
      <x:c r="O492" s="62" t="n">
        <x:v>3.87</x:v>
      </x:c>
      <x:c r="P492" s="46" t="str">
        <x:v>exact_2020_supplement</x:v>
      </x:c>
      <x:c r="Q492" s="62" t="str">
        <x:v>2020 supplement MeanTL</x:v>
      </x:c>
      <x:c r="R492" s="46" t="str">
        <x:v>high</x:v>
      </x:c>
      <x:c r="S492" s="46" t="str">
        <x:v>Gymnothorax miliaris</x:v>
      </x:c>
      <x:c r="T492" s="62" t="n">
        <x:f>IF(O492="","",(1/'Metadata'!$B$5)^(O492-1))</x:f>
        <x:v>741.3102413009177</x:v>
      </x:c>
      <x:c r="U492" s="60" t="n">
        <x:f>IF(T492="","",I492*T492)</x:f>
        <x:v>0.026544837120503262</x:v>
      </x:c>
    </x:row>
    <x:row r="493" ht="18" customHeight="1">
      <x:c r="A493" s="46" t="str">
        <x:v>LME_012</x:v>
      </x:c>
      <x:c r="B493" s="46" t="str">
        <x:v>Caribbean Sea</x:v>
      </x:c>
      <x:c r="C493" s="46" t="str">
        <x:v>LME</x:v>
      </x:c>
      <x:c r="D493" s="58" t="n">
        <x:v>2019</x:v>
      </x:c>
      <x:c r="E493" s="46" t="str">
        <x:v>Stegastes partitus</x:v>
      </x:c>
      <x:c r="F493" s="46" t="str">
        <x:v>Bicolor damselfish</x:v>
      </x:c>
      <x:c r="G493" s="46" t="str">
        <x:v>Small reef assoc. fish (&lt;30 cm)</x:v>
      </x:c>
      <x:c r="H493" s="46" t="str">
        <x:v>Perch-likes</x:v>
      </x:c>
      <x:c r="I493" s="60" t="n">
        <x:v>0.0000307979</x:v>
      </x:c>
      <x:c r="J493" s="60" t="n">
        <x:v>0.0000307979</x:v>
      </x:c>
      <x:c r="K493" s="60" t="n">
        <x:v>0</x:v>
      </x:c>
      <x:c r="L493" s="60" t="n">
        <x:v>0.0000307979</x:v>
      </x:c>
      <x:c r="M493" s="60" t="n">
        <x:v>0</x:v>
      </x:c>
      <x:c r="N493" s="46" t="str">
        <x:v>stegastes partitus</x:v>
      </x:c>
      <x:c r="O493" s="62" t="n">
        <x:v>2</x:v>
      </x:c>
      <x:c r="P493" s="46" t="str">
        <x:v>exact_2020_supplement</x:v>
      </x:c>
      <x:c r="Q493" s="62" t="str">
        <x:v>2020 supplement MeanTL</x:v>
      </x:c>
      <x:c r="R493" s="46" t="str">
        <x:v>high</x:v>
      </x:c>
      <x:c r="S493" s="46" t="str">
        <x:v>Stegastes partitus</x:v>
      </x:c>
      <x:c r="T493" s="62" t="n">
        <x:f>IF(O493="","",(1/'Metadata'!$B$5)^(O493-1))</x:f>
        <x:v>10</x:v>
      </x:c>
      <x:c r="U493" s="60" t="n">
        <x:f>IF(T493="","",I493*T493)</x:f>
        <x:v>0.000307979</x:v>
      </x:c>
    </x:row>
    <x:row r="494" ht="18" customHeight="1">
      <x:c r="A494" s="46" t="str">
        <x:v>LME_012</x:v>
      </x:c>
      <x:c r="B494" s="46" t="str">
        <x:v>Caribbean Sea</x:v>
      </x:c>
      <x:c r="C494" s="46" t="str">
        <x:v>LME</x:v>
      </x:c>
      <x:c r="D494" s="58" t="n">
        <x:v>2019</x:v>
      </x:c>
      <x:c r="E494" s="46" t="str">
        <x:v>Felimare picta</x:v>
      </x:c>
      <x:c r="F494" s="46" t="str">
        <x:v>Florida regal doris</x:v>
      </x:c>
      <x:c r="G494" s="46" t="str">
        <x:v>Other demersal invertebrates</x:v>
      </x:c>
      <x:c r="H494" s="46" t="str">
        <x:v>Molluscs</x:v>
      </x:c>
      <x:c r="I494" s="60" t="n">
        <x:v>0.0000274869</x:v>
      </x:c>
      <x:c r="J494" s="60" t="n">
        <x:v>0.0000274869</x:v>
      </x:c>
      <x:c r="K494" s="60" t="n">
        <x:v>0</x:v>
      </x:c>
      <x:c r="L494" s="60" t="n">
        <x:v>0.0000274869</x:v>
      </x:c>
      <x:c r="M494" s="60" t="n">
        <x:v>0</x:v>
      </x:c>
      <x:c r="N494" s="46" t="str">
        <x:v>felimare picta</x:v>
      </x:c>
      <x:c r="O494" s="62" t="n">
        <x:v>3</x:v>
      </x:c>
      <x:c r="P494" s="46" t="str">
        <x:v>exact_sea_around_us</x:v>
      </x:c>
      <x:c r="Q494" s="62" t="str">
        <x:v>Sea Around Us exploited organisms</x:v>
      </x:c>
      <x:c r="R494" s="46" t="str">
        <x:v>high</x:v>
      </x:c>
      <x:c r="S494" s="46" t="str">
        <x:v>Felimare picta</x:v>
      </x:c>
      <x:c r="T494" s="62" t="n">
        <x:f>IF(O494="","",(1/'Metadata'!$B$5)^(O494-1))</x:f>
        <x:v>100</x:v>
      </x:c>
      <x:c r="U494" s="60" t="n">
        <x:f>IF(T494="","",I494*T494)</x:f>
        <x:v>0.00274869</x:v>
      </x:c>
    </x:row>
    <x:row r="495" ht="18" customHeight="1">
      <x:c r="A495" s="46" t="str">
        <x:v>LME_012</x:v>
      </x:c>
      <x:c r="B495" s="46" t="str">
        <x:v>Caribbean Sea</x:v>
      </x:c>
      <x:c r="C495" s="46" t="str">
        <x:v>LME</x:v>
      </x:c>
      <x:c r="D495" s="58" t="n">
        <x:v>2019</x:v>
      </x:c>
      <x:c r="E495" s="46" t="str">
        <x:v>Diodon holocanthus</x:v>
      </x:c>
      <x:c r="F495" s="46" t="str">
        <x:v>Longspined porcupinefish</x:v>
      </x:c>
      <x:c r="G495" s="46" t="str">
        <x:v>Medium reef assoc. fish (30 - 89 cm)</x:v>
      </x:c>
      <x:c r="H495" s="46" t="str">
        <x:v>Other fishes &amp; inverts</x:v>
      </x:c>
      <x:c r="I495" s="60" t="n">
        <x:v>0.000024115</x:v>
      </x:c>
      <x:c r="J495" s="60" t="n">
        <x:v>0.000024115</x:v>
      </x:c>
      <x:c r="K495" s="60" t="n">
        <x:v>0</x:v>
      </x:c>
      <x:c r="L495" s="60" t="n">
        <x:v>0.000024115</x:v>
      </x:c>
      <x:c r="M495" s="60" t="n">
        <x:v>0</x:v>
      </x:c>
      <x:c r="N495" s="46" t="str">
        <x:v>diodon holocanthus</x:v>
      </x:c>
      <x:c r="O495" s="62" t="n">
        <x:v>3.85</x:v>
      </x:c>
      <x:c r="P495" s="46" t="str">
        <x:v>exact_2020_supplement</x:v>
      </x:c>
      <x:c r="Q495" s="62" t="str">
        <x:v>2020 supplement MeanTL</x:v>
      </x:c>
      <x:c r="R495" s="46" t="str">
        <x:v>high</x:v>
      </x:c>
      <x:c r="S495" s="46" t="str">
        <x:v>Diodon holocanthus</x:v>
      </x:c>
      <x:c r="T495" s="62" t="n">
        <x:f>IF(O495="","",(1/'Metadata'!$B$5)^(O495-1))</x:f>
        <x:v>707.945784384138</x:v>
      </x:c>
      <x:c r="U495" s="60" t="n">
        <x:f>IF(T495="","",I495*T495)</x:f>
        <x:v>0.01707211259042349</x:v>
      </x:c>
    </x:row>
    <x:row r="496" ht="18" customHeight="1">
      <x:c r="A496" s="46" t="str">
        <x:v>LME_012</x:v>
      </x:c>
      <x:c r="B496" s="46" t="str">
        <x:v>Caribbean Sea</x:v>
      </x:c>
      <x:c r="C496" s="46" t="str">
        <x:v>LME</x:v>
      </x:c>
      <x:c r="D496" s="58" t="n">
        <x:v>2019</x:v>
      </x:c>
      <x:c r="E496" s="46" t="str">
        <x:v>Gymnothorax nigromarginatus</x:v>
      </x:c>
      <x:c r="F496" s="46" t="str">
        <x:v>Blackedge moray</x:v>
      </x:c>
      <x:c r="G496" s="46" t="str">
        <x:v>Large reef assoc. fish (&gt;=90 cm)</x:v>
      </x:c>
      <x:c r="H496" s="46" t="str">
        <x:v>Other fishes &amp; inverts</x:v>
      </x:c>
      <x:c r="I496" s="60" t="n">
        <x:v>0.0000240156</x:v>
      </x:c>
      <x:c r="J496" s="60" t="n">
        <x:v>0.0000240156</x:v>
      </x:c>
      <x:c r="K496" s="60" t="n">
        <x:v>0</x:v>
      </x:c>
      <x:c r="L496" s="60" t="n">
        <x:v>0.0000240156</x:v>
      </x:c>
      <x:c r="M496" s="60" t="n">
        <x:v>0</x:v>
      </x:c>
      <x:c r="N496" s="46" t="str">
        <x:v>gymnothorax nigromarginatus</x:v>
      </x:c>
      <x:c r="O496" s="62" t="n">
        <x:v>4.04</x:v>
      </x:c>
      <x:c r="P496" s="46" t="str">
        <x:v>exact_sea_around_us</x:v>
      </x:c>
      <x:c r="Q496" s="62" t="str">
        <x:v>Sea Around Us exploited organisms</x:v>
      </x:c>
      <x:c r="R496" s="46" t="str">
        <x:v>high</x:v>
      </x:c>
      <x:c r="S496" s="46" t="str">
        <x:v>Gymnothorax nigromarginatus</x:v>
      </x:c>
      <x:c r="T496" s="62" t="n">
        <x:f>IF(O496="","",(1/'Metadata'!$B$5)^(O496-1))</x:f>
        <x:v>1096.4781961431852</x:v>
      </x:c>
      <x:c r="U496" s="60" t="n">
        <x:f>IF(T496="","",I496*T496)</x:f>
        <x:v>0.02633258176729628</x:v>
      </x:c>
    </x:row>
    <x:row r="497" ht="18" customHeight="1">
      <x:c r="A497" s="46" t="str">
        <x:v>LME_012</x:v>
      </x:c>
      <x:c r="B497" s="46" t="str">
        <x:v>Caribbean Sea</x:v>
      </x:c>
      <x:c r="C497" s="46" t="str">
        <x:v>LME</x:v>
      </x:c>
      <x:c r="D497" s="58" t="n">
        <x:v>2019</x:v>
      </x:c>
      <x:c r="E497" s="46" t="str">
        <x:v>Cyphoma gibbosum</x:v>
      </x:c>
      <x:c r="F497" s="46" t="str">
        <x:v>Flamingo tounge snail</x:v>
      </x:c>
      <x:c r="G497" s="46" t="str">
        <x:v>Other demersal invertebrates</x:v>
      </x:c>
      <x:c r="H497" s="46" t="str">
        <x:v>Molluscs</x:v>
      </x:c>
      <x:c r="I497" s="60" t="n">
        <x:v>0.0000239616</x:v>
      </x:c>
      <x:c r="J497" s="60" t="n">
        <x:v>0.0000239616</x:v>
      </x:c>
      <x:c r="K497" s="60" t="n">
        <x:v>0</x:v>
      </x:c>
      <x:c r="L497" s="60" t="n">
        <x:v>0.0000239616</x:v>
      </x:c>
      <x:c r="M497" s="60" t="n">
        <x:v>0</x:v>
      </x:c>
      <x:c r="N497" s="46" t="str">
        <x:v>cyphoma gibbosum</x:v>
      </x:c>
      <x:c r="O497" s="62" t="n">
        <x:v>2.28</x:v>
      </x:c>
      <x:c r="P497" s="46" t="str">
        <x:v>exact_sea_around_us</x:v>
      </x:c>
      <x:c r="Q497" s="62" t="str">
        <x:v>Sea Around Us exploited organisms</x:v>
      </x:c>
      <x:c r="R497" s="46" t="str">
        <x:v>high</x:v>
      </x:c>
      <x:c r="S497" s="46" t="str">
        <x:v>Cyphoma gibbosum</x:v>
      </x:c>
      <x:c r="T497" s="62" t="n">
        <x:f>IF(O497="","",(1/'Metadata'!$B$5)^(O497-1))</x:f>
        <x:v>19.054607179632463</x:v>
      </x:c>
      <x:c r="U497" s="60" t="n">
        <x:f>IF(T497="","",I497*T497)</x:f>
        <x:v>0.0004565788753954812</x:v>
      </x:c>
    </x:row>
    <x:row r="498" ht="18" customHeight="1">
      <x:c r="A498" s="46" t="str">
        <x:v>LME_012</x:v>
      </x:c>
      <x:c r="B498" s="46" t="str">
        <x:v>Caribbean Sea</x:v>
      </x:c>
      <x:c r="C498" s="46" t="str">
        <x:v>LME</x:v>
      </x:c>
      <x:c r="D498" s="58" t="n">
        <x:v>2019</x:v>
      </x:c>
      <x:c r="E498" s="46" t="str">
        <x:v>Macrostrombus costatus</x:v>
      </x:c>
      <x:c r="F498" s="46" t="str">
        <x:v>Milk conch</x:v>
      </x:c>
      <x:c r="G498" s="46" t="str">
        <x:v>Other demersal invertebrates</x:v>
      </x:c>
      <x:c r="H498" s="46" t="str">
        <x:v>Molluscs</x:v>
      </x:c>
      <x:c r="I498" s="60" t="n">
        <x:v>0.0000214768</x:v>
      </x:c>
      <x:c r="J498" s="60" t="n">
        <x:v>0.0000214768</x:v>
      </x:c>
      <x:c r="K498" s="60" t="n">
        <x:v>0</x:v>
      </x:c>
      <x:c r="L498" s="60" t="n">
        <x:v>0.0000214768</x:v>
      </x:c>
      <x:c r="M498" s="60" t="n">
        <x:v>0</x:v>
      </x:c>
      <x:c r="N498" s="46" t="str">
        <x:v>macrostrombus costatus</x:v>
      </x:c>
      <x:c r="O498" s="62" t="n">
        <x:v>2</x:v>
      </x:c>
      <x:c r="P498" s="46" t="str">
        <x:v>exact_sea_around_us</x:v>
      </x:c>
      <x:c r="Q498" s="62" t="str">
        <x:v>Sea Around Us exploited organisms</x:v>
      </x:c>
      <x:c r="R498" s="46" t="str">
        <x:v>high</x:v>
      </x:c>
      <x:c r="S498" s="46" t="str">
        <x:v>Macrostrombus costatus</x:v>
      </x:c>
      <x:c r="T498" s="62" t="n">
        <x:f>IF(O498="","",(1/'Metadata'!$B$5)^(O498-1))</x:f>
        <x:v>10</x:v>
      </x:c>
      <x:c r="U498" s="60" t="n">
        <x:f>IF(T498="","",I498*T498)</x:f>
        <x:v>0.000214768</x:v>
      </x:c>
    </x:row>
    <x:row r="499" ht="18" customHeight="1">
      <x:c r="A499" s="46" t="str">
        <x:v>LME_012</x:v>
      </x:c>
      <x:c r="B499" s="46" t="str">
        <x:v>Caribbean Sea</x:v>
      </x:c>
      <x:c r="C499" s="46" t="str">
        <x:v>LME</x:v>
      </x:c>
      <x:c r="D499" s="58" t="n">
        <x:v>2019</x:v>
      </x:c>
      <x:c r="E499" s="46" t="str">
        <x:v>Amblycirrhitus pinos</x:v>
      </x:c>
      <x:c r="F499" s="46" t="str">
        <x:v>Redspotted hawkfish</x:v>
      </x:c>
      <x:c r="G499" s="46" t="str">
        <x:v>Small reef assoc. fish (&lt;30 cm)</x:v>
      </x:c>
      <x:c r="H499" s="46" t="str">
        <x:v>Perch-likes</x:v>
      </x:c>
      <x:c r="I499" s="60" t="n">
        <x:v>0.0000200422</x:v>
      </x:c>
      <x:c r="J499" s="60" t="n">
        <x:v>0.0000200422</x:v>
      </x:c>
      <x:c r="K499" s="60" t="n">
        <x:v>0</x:v>
      </x:c>
      <x:c r="L499" s="60" t="n">
        <x:v>0.0000200422</x:v>
      </x:c>
      <x:c r="M499" s="60" t="n">
        <x:v>0</x:v>
      </x:c>
      <x:c r="N499" s="46" t="str">
        <x:v>amblycirrhitus pinos</x:v>
      </x:c>
      <x:c r="O499" s="62" t="n">
        <x:v>3.23</x:v>
      </x:c>
      <x:c r="P499" s="46" t="str">
        <x:v>exact_2020_supplement</x:v>
      </x:c>
      <x:c r="Q499" s="62" t="str">
        <x:v>2020 supplement MeanTL</x:v>
      </x:c>
      <x:c r="R499" s="46" t="str">
        <x:v>high</x:v>
      </x:c>
      <x:c r="S499" s="46" t="str">
        <x:v>Amblycirrhitus pinos</x:v>
      </x:c>
      <x:c r="T499" s="62" t="n">
        <x:f>IF(O499="","",(1/'Metadata'!$B$5)^(O499-1))</x:f>
        <x:v>169.82436524617444</x:v>
      </x:c>
      <x:c r="U499" s="60" t="n">
        <x:f>IF(T499="","",I499*T499)</x:f>
        <x:v>0.0034036538931368774</x:v>
      </x:c>
    </x:row>
    <x:row r="500" ht="18" customHeight="1">
      <x:c r="A500" s="46" t="str">
        <x:v>LME_012</x:v>
      </x:c>
      <x:c r="B500" s="46" t="str">
        <x:v>Caribbean Sea</x:v>
      </x:c>
      <x:c r="C500" s="46" t="str">
        <x:v>LME</x:v>
      </x:c>
      <x:c r="D500" s="58" t="n">
        <x:v>2019</x:v>
      </x:c>
      <x:c r="E500" s="46" t="str">
        <x:v>Aulostomus maculatus</x:v>
      </x:c>
      <x:c r="F500" s="46" t="str">
        <x:v>Trumpetfish</x:v>
      </x:c>
      <x:c r="G500" s="46" t="str">
        <x:v>Large reef assoc. fish (&gt;=90 cm)</x:v>
      </x:c>
      <x:c r="H500" s="46" t="str">
        <x:v>Other fishes &amp; inverts</x:v>
      </x:c>
      <x:c r="I500" s="60" t="n">
        <x:v>0.000012752900000000001</x:v>
      </x:c>
      <x:c r="J500" s="60" t="n">
        <x:v>0.000012752900000000001</x:v>
      </x:c>
      <x:c r="K500" s="60" t="n">
        <x:v>0</x:v>
      </x:c>
      <x:c r="L500" s="60" t="n">
        <x:v>0.000012752900000000001</x:v>
      </x:c>
      <x:c r="M500" s="60" t="n">
        <x:v>0</x:v>
      </x:c>
      <x:c r="N500" s="46" t="str">
        <x:v>aulostomus maculatus</x:v>
      </x:c>
      <x:c r="O500" s="62" t="n">
        <x:v>4.26</x:v>
      </x:c>
      <x:c r="P500" s="46" t="str">
        <x:v>exact_2020_supplement</x:v>
      </x:c>
      <x:c r="Q500" s="62" t="str">
        <x:v>2020 supplement MeanTL</x:v>
      </x:c>
      <x:c r="R500" s="46" t="str">
        <x:v>high</x:v>
      </x:c>
      <x:c r="S500" s="46" t="str">
        <x:v>Aulostomus maculatus</x:v>
      </x:c>
      <x:c r="T500" s="62" t="n">
        <x:f>IF(O500="","",(1/'Metadata'!$B$5)^(O500-1))</x:f>
        <x:v>1819.7008586099826</x:v>
      </x:c>
      <x:c r="U500" s="60" t="n">
        <x:f>IF(T500="","",I500*T500)</x:f>
        <x:v>0.02320646307976725</x:v>
      </x:c>
    </x:row>
    <x:row r="501" ht="18" customHeight="1">
      <x:c r="A501" s="46" t="str">
        <x:v>LME_012</x:v>
      </x:c>
      <x:c r="B501" s="46" t="str">
        <x:v>Caribbean Sea</x:v>
      </x:c>
      <x:c r="C501" s="46" t="str">
        <x:v>LME</x:v>
      </x:c>
      <x:c r="D501" s="58" t="n">
        <x:v>2019</x:v>
      </x:c>
      <x:c r="E501" s="46" t="str">
        <x:v>Gymnothorax funebris</x:v>
      </x:c>
      <x:c r="F501" s="46" t="str">
        <x:v>Green moray</x:v>
      </x:c>
      <x:c r="G501" s="46" t="str">
        <x:v>Large reef assoc. fish (&gt;=90 cm)</x:v>
      </x:c>
      <x:c r="H501" s="46" t="str">
        <x:v>Other fishes &amp; inverts</x:v>
      </x:c>
      <x:c r="I501" s="60" t="n">
        <x:v>0.0000126367</x:v>
      </x:c>
      <x:c r="J501" s="60" t="n">
        <x:v>0.0000126367</x:v>
      </x:c>
      <x:c r="K501" s="60" t="n">
        <x:v>0</x:v>
      </x:c>
      <x:c r="L501" s="60" t="n">
        <x:v>0.0000126367</x:v>
      </x:c>
      <x:c r="M501" s="60" t="n">
        <x:v>0</x:v>
      </x:c>
      <x:c r="N501" s="46" t="str">
        <x:v>gymnothorax funebris</x:v>
      </x:c>
      <x:c r="O501" s="62" t="n">
        <x:v>4.01</x:v>
      </x:c>
      <x:c r="P501" s="46" t="str">
        <x:v>exact_2020_supplement</x:v>
      </x:c>
      <x:c r="Q501" s="62" t="str">
        <x:v>2020 supplement MeanTL</x:v>
      </x:c>
      <x:c r="R501" s="46" t="str">
        <x:v>high</x:v>
      </x:c>
      <x:c r="S501" s="46" t="str">
        <x:v>Gymnothorax funebris</x:v>
      </x:c>
      <x:c r="T501" s="62" t="n">
        <x:f>IF(O501="","",(1/'Metadata'!$B$5)^(O501-1))</x:f>
        <x:v>1023.2929922807537</x:v>
      </x:c>
      <x:c r="U501" s="60" t="n">
        <x:f>IF(T501="","",I501*T501)</x:f>
        <x:v>0.0129310465555542</x:v>
      </x:c>
    </x:row>
    <x:row r="502" ht="18" customHeight="1">
      <x:c r="A502" s="46" t="str">
        <x:v>LME_012</x:v>
      </x:c>
      <x:c r="B502" s="46" t="str">
        <x:v>Caribbean Sea</x:v>
      </x:c>
      <x:c r="C502" s="46" t="str">
        <x:v>LME</x:v>
      </x:c>
      <x:c r="D502" s="58" t="n">
        <x:v>2019</x:v>
      </x:c>
      <x:c r="E502" s="46" t="str">
        <x:v>Labrisomus nuchipinnis</x:v>
      </x:c>
      <x:c r="F502" s="46" t="str">
        <x:v>Hairy blenny</x:v>
      </x:c>
      <x:c r="G502" s="46" t="str">
        <x:v>Small reef assoc. fish (&lt;30 cm)</x:v>
      </x:c>
      <x:c r="H502" s="46" t="str">
        <x:v>Perch-likes</x:v>
      </x:c>
      <x:c r="I502" s="60" t="n">
        <x:v>0.000012421899999999999</x:v>
      </x:c>
      <x:c r="J502" s="60" t="n">
        <x:v>0.000012421899999999999</x:v>
      </x:c>
      <x:c r="K502" s="60" t="n">
        <x:v>0</x:v>
      </x:c>
      <x:c r="L502" s="60" t="n">
        <x:v>0.000012421899999999999</x:v>
      </x:c>
      <x:c r="M502" s="60" t="n">
        <x:v>0</x:v>
      </x:c>
      <x:c r="N502" s="46" t="str">
        <x:v>labrisomus nuchipinnis</x:v>
      </x:c>
      <x:c r="O502" s="62" t="n">
        <x:v>3.59</x:v>
      </x:c>
      <x:c r="P502" s="46" t="str">
        <x:v>exact_2020_supplement</x:v>
      </x:c>
      <x:c r="Q502" s="62" t="str">
        <x:v>2020 supplement MeanTL</x:v>
      </x:c>
      <x:c r="R502" s="46" t="str">
        <x:v>high</x:v>
      </x:c>
      <x:c r="S502" s="46" t="str">
        <x:v>Labrisomus nuchipinnis</x:v>
      </x:c>
      <x:c r="T502" s="62" t="n">
        <x:f>IF(O502="","",(1/'Metadata'!$B$5)^(O502-1))</x:f>
        <x:v>389.04514499428046</x:v>
      </x:c>
      <x:c r="U502" s="60" t="n">
        <x:f>IF(T502="","",I502*T502)</x:f>
        <x:v>0.004832679886604452</x:v>
      </x:c>
    </x:row>
    <x:row r="503" ht="18" customHeight="1">
      <x:c r="A503" s="46" t="str">
        <x:v>LME_012</x:v>
      </x:c>
      <x:c r="B503" s="46" t="str">
        <x:v>Caribbean Sea</x:v>
      </x:c>
      <x:c r="C503" s="46" t="str">
        <x:v>LME</x:v>
      </x:c>
      <x:c r="D503" s="58" t="n">
        <x:v>2019</x:v>
      </x:c>
      <x:c r="E503" s="46" t="str">
        <x:v>Cantherhines pullus</x:v>
      </x:c>
      <x:c r="F503" s="46" t="str">
        <x:v>Orangespotted filefish</x:v>
      </x:c>
      <x:c r="G503" s="46" t="str">
        <x:v>Small reef assoc. fish (&lt;30 cm)</x:v>
      </x:c>
      <x:c r="H503" s="46" t="str">
        <x:v>Other fishes &amp; inverts</x:v>
      </x:c>
      <x:c r="I503" s="60" t="n">
        <x:v>0.0000119556</x:v>
      </x:c>
      <x:c r="J503" s="60" t="n">
        <x:v>0.0000119556</x:v>
      </x:c>
      <x:c r="K503" s="60" t="n">
        <x:v>0</x:v>
      </x:c>
      <x:c r="L503" s="60" t="n">
        <x:v>0.0000119556</x:v>
      </x:c>
      <x:c r="M503" s="60" t="n">
        <x:v>0</x:v>
      </x:c>
      <x:c r="N503" s="46" t="str">
        <x:v>cantherhines pullus</x:v>
      </x:c>
      <x:c r="O503" s="62" t="n">
        <x:v>2.62</x:v>
      </x:c>
      <x:c r="P503" s="46" t="str">
        <x:v>exact_2020_supplement</x:v>
      </x:c>
      <x:c r="Q503" s="62" t="str">
        <x:v>2020 supplement MeanTL</x:v>
      </x:c>
      <x:c r="R503" s="46" t="str">
        <x:v>high</x:v>
      </x:c>
      <x:c r="S503" s="46" t="str">
        <x:v>Cantherhines pullus</x:v>
      </x:c>
      <x:c r="T503" s="62" t="n">
        <x:f>IF(O503="","",(1/'Metadata'!$B$5)^(O503-1))</x:f>
        <x:v>41.68693834703355</x:v>
      </x:c>
      <x:c r="U503" s="60" t="n">
        <x:f>IF(T503="","",I503*T503)</x:f>
        <x:v>0.0004983923601017944</x:v>
      </x:c>
    </x:row>
    <x:row r="504" ht="18" customHeight="1">
      <x:c r="A504" s="46" t="str">
        <x:v>LME_012</x:v>
      </x:c>
      <x:c r="B504" s="46" t="str">
        <x:v>Caribbean Sea</x:v>
      </x:c>
      <x:c r="C504" s="46" t="str">
        <x:v>LME</x:v>
      </x:c>
      <x:c r="D504" s="58" t="n">
        <x:v>2019</x:v>
      </x:c>
      <x:c r="E504" s="46" t="str">
        <x:v>Lactophrys</x:v>
      </x:c>
      <x:c r="F504" s="46" t="str">
        <x:v>Cowfishes</x:v>
      </x:c>
      <x:c r="G504" s="46" t="str">
        <x:v>Medium reef assoc. fish (30 - 89 cm)</x:v>
      </x:c>
      <x:c r="H504" s="46" t="str">
        <x:v>Other fishes &amp; inverts</x:v>
      </x:c>
      <x:c r="I504" s="60" t="n">
        <x:v>0.000011082299999999999</x:v>
      </x:c>
      <x:c r="J504" s="60" t="n">
        <x:v>0.000011082299999999999</x:v>
      </x:c>
      <x:c r="K504" s="60" t="n">
        <x:v>0</x:v>
      </x:c>
      <x:c r="L504" s="60" t="n">
        <x:v>0.000011082299999999999</x:v>
      </x:c>
      <x:c r="M504" s="60" t="n">
        <x:v>0</x:v>
      </x:c>
      <x:c r="N504" s="46" t="str">
        <x:v>lactophrys</x:v>
      </x:c>
      <x:c r="O504" s="62" t="n">
        <x:v>3.16</x:v>
      </x:c>
      <x:c r="P504" s="46" t="str">
        <x:v>exact_sea_around_us</x:v>
      </x:c>
      <x:c r="Q504" s="62" t="str">
        <x:v>Sea Around Us exploited organisms</x:v>
      </x:c>
      <x:c r="R504" s="46" t="str">
        <x:v>high</x:v>
      </x:c>
      <x:c r="S504" s="46" t="str">
        <x:v>Lactophrys</x:v>
      </x:c>
      <x:c r="T504" s="62" t="n">
        <x:f>IF(O504="","",(1/'Metadata'!$B$5)^(O504-1))</x:f>
        <x:v>144.5439770745928</x:v>
      </x:c>
      <x:c r="U504" s="60" t="n">
        <x:f>IF(T504="","",I504*T504)</x:f>
        <x:v>0.0016018797171337596</x:v>
      </x:c>
    </x:row>
    <x:row r="505" ht="18" customHeight="1">
      <x:c r="A505" s="46" t="str">
        <x:v>LME_012</x:v>
      </x:c>
      <x:c r="B505" s="46" t="str">
        <x:v>Caribbean Sea</x:v>
      </x:c>
      <x:c r="C505" s="46" t="str">
        <x:v>LME</x:v>
      </x:c>
      <x:c r="D505" s="58" t="n">
        <x:v>2019</x:v>
      </x:c>
      <x:c r="E505" s="46" t="str">
        <x:v>Diodon</x:v>
      </x:c>
      <x:c r="F505" s="46" t="str">
        <x:v>Porcupinefishes</x:v>
      </x:c>
      <x:c r="G505" s="46" t="str">
        <x:v>Medium reef assoc. fish (30 - 89 cm)</x:v>
      </x:c>
      <x:c r="H505" s="46" t="str">
        <x:v>Other fishes &amp; inverts</x:v>
      </x:c>
      <x:c r="I505" s="60" t="n">
        <x:v>0.0000080453</x:v>
      </x:c>
      <x:c r="J505" s="60" t="n">
        <x:v>0</x:v>
      </x:c>
      <x:c r="K505" s="60" t="n">
        <x:v>0.0000080453</x:v>
      </x:c>
      <x:c r="L505" s="60" t="n">
        <x:v>0</x:v>
      </x:c>
      <x:c r="M505" s="60" t="n">
        <x:v>0.0000080453</x:v>
      </x:c>
      <x:c r="N505" s="46" t="str">
        <x:v>diodon</x:v>
      </x:c>
      <x:c r="O505" s="62" t="n">
        <x:v>3.36</x:v>
      </x:c>
      <x:c r="P505" s="46" t="str">
        <x:v>exact_sea_around_us</x:v>
      </x:c>
      <x:c r="Q505" s="62" t="str">
        <x:v>Sea Around Us exploited organisms</x:v>
      </x:c>
      <x:c r="R505" s="46" t="str">
        <x:v>high</x:v>
      </x:c>
      <x:c r="S505" s="46" t="str">
        <x:v>Diodon</x:v>
      </x:c>
      <x:c r="T505" s="62" t="n">
        <x:f>IF(O505="","",(1/'Metadata'!$B$5)^(O505-1))</x:f>
        <x:v>229.08676527677724</x:v>
      </x:c>
      <x:c r="U505" s="60" t="n">
        <x:f>IF(T505="","",I505*T505)</x:f>
        <x:v>0.001843071752681256</x:v>
      </x:c>
    </x:row>
    <x:row r="506" ht="18" customHeight="1">
      <x:c r="A506" s="46" t="str">
        <x:v>LME_012</x:v>
      </x:c>
      <x:c r="B506" s="46" t="str">
        <x:v>Caribbean Sea</x:v>
      </x:c>
      <x:c r="C506" s="46" t="str">
        <x:v>LME</x:v>
      </x:c>
      <x:c r="D506" s="58" t="n">
        <x:v>2019</x:v>
      </x:c>
      <x:c r="E506" s="46" t="str">
        <x:v>Histrio histrio</x:v>
      </x:c>
      <x:c r="F506" s="46" t="str">
        <x:v>Sargassumfish</x:v>
      </x:c>
      <x:c r="G506" s="46" t="str">
        <x:v>Small reef assoc. fish (&lt;30 cm)</x:v>
      </x:c>
      <x:c r="H506" s="46" t="str">
        <x:v>Other fishes &amp; inverts</x:v>
      </x:c>
      <x:c r="I506" s="60" t="n">
        <x:v>0.0000068445</x:v>
      </x:c>
      <x:c r="J506" s="60" t="n">
        <x:v>0.0000068445</x:v>
      </x:c>
      <x:c r="K506" s="60" t="n">
        <x:v>0</x:v>
      </x:c>
      <x:c r="L506" s="60" t="n">
        <x:v>0.0000068445</x:v>
      </x:c>
      <x:c r="M506" s="60" t="n">
        <x:v>0</x:v>
      </x:c>
      <x:c r="N506" s="46" t="str">
        <x:v>histrio histrio</x:v>
      </x:c>
      <x:c r="O506" s="62" t="n">
        <x:v>3.93</x:v>
      </x:c>
      <x:c r="P506" s="46" t="str">
        <x:v>exact_2020_supplement</x:v>
      </x:c>
      <x:c r="Q506" s="62" t="str">
        <x:v>2020 supplement MeanTL</x:v>
      </x:c>
      <x:c r="R506" s="46" t="str">
        <x:v>high</x:v>
      </x:c>
      <x:c r="S506" s="46" t="str">
        <x:v>Histrio histrio</x:v>
      </x:c>
      <x:c r="T506" s="62" t="n">
        <x:f>IF(O506="","",(1/'Metadata'!$B$5)^(O506-1))</x:f>
        <x:v>851.1380382023768</x:v>
      </x:c>
      <x:c r="U506" s="60" t="n">
        <x:f>IF(T506="","",I506*T506)</x:f>
        <x:v>0.005825614302476169</x:v>
      </x:c>
    </x:row>
    <x:row r="507" ht="18" customHeight="1">
      <x:c r="A507" s="46" t="str">
        <x:v>LME_012</x:v>
      </x:c>
      <x:c r="B507" s="46" t="str">
        <x:v>Caribbean Sea</x:v>
      </x:c>
      <x:c r="C507" s="46" t="str">
        <x:v>LME</x:v>
      </x:c>
      <x:c r="D507" s="58" t="n">
        <x:v>2019</x:v>
      </x:c>
      <x:c r="E507" s="46" t="str">
        <x:v>Hypleurochilus bermudensis</x:v>
      </x:c>
      <x:c r="F507" s="46" t="str">
        <x:v>Barred blenny</x:v>
      </x:c>
      <x:c r="G507" s="46" t="str">
        <x:v>Small reef assoc. fish (&lt;30 cm)</x:v>
      </x:c>
      <x:c r="H507" s="46" t="str">
        <x:v>Perch-likes</x:v>
      </x:c>
      <x:c r="I507" s="60" t="n">
        <x:v>0.0000041732999999999995</x:v>
      </x:c>
      <x:c r="J507" s="60" t="n">
        <x:v>0.0000041732999999999995</x:v>
      </x:c>
      <x:c r="K507" s="60" t="n">
        <x:v>0</x:v>
      </x:c>
      <x:c r="L507" s="60" t="n">
        <x:v>0.0000041732999999999995</x:v>
      </x:c>
      <x:c r="M507" s="60" t="n">
        <x:v>0</x:v>
      </x:c>
      <x:c r="N507" s="46" t="str">
        <x:v>hypleurochilus bermudensis</x:v>
      </x:c>
      <x:c r="O507" s="62" t="n">
        <x:v>3.2</x:v>
      </x:c>
      <x:c r="P507" s="46" t="str">
        <x:v>exact_sea_around_us</x:v>
      </x:c>
      <x:c r="Q507" s="62" t="str">
        <x:v>Sea Around Us exploited organisms</x:v>
      </x:c>
      <x:c r="R507" s="46" t="str">
        <x:v>high</x:v>
      </x:c>
      <x:c r="S507" s="46" t="str">
        <x:v>Hypleurochilus bermudensis</x:v>
      </x:c>
      <x:c r="T507" s="62" t="n">
        <x:f>IF(O507="","",(1/'Metadata'!$B$5)^(O507-1))</x:f>
        <x:v>158.48931924611142</x:v>
      </x:c>
      <x:c r="U507" s="60" t="n">
        <x:f>IF(T507="","",I507*T507)</x:f>
        <x:v>0.0006614234760097968</x:v>
      </x:c>
    </x:row>
    <x:row r="508" ht="18" customHeight="1">
      <x:c r="A508" s="46" t="str">
        <x:v>LME_012</x:v>
      </x:c>
      <x:c r="B508" s="46" t="str">
        <x:v>Caribbean Sea</x:v>
      </x:c>
      <x:c r="C508" s="46" t="str">
        <x:v>LME</x:v>
      </x:c>
      <x:c r="D508" s="58" t="n">
        <x:v>2019</x:v>
      </x:c>
      <x:c r="E508" s="46" t="str">
        <x:v>Fowlerichthys ocellatus</x:v>
      </x:c>
      <x:c r="F508" s="46" t="str">
        <x:v>Ocellated frogfish</x:v>
      </x:c>
      <x:c r="G508" s="46" t="str">
        <x:v>Small reef assoc. fish (&lt;30 cm)</x:v>
      </x:c>
      <x:c r="H508" s="46" t="str">
        <x:v>Other fishes &amp; inverts</x:v>
      </x:c>
      <x:c r="I508" s="60" t="n">
        <x:v>0.0000017055</x:v>
      </x:c>
      <x:c r="J508" s="60" t="n">
        <x:v>0.0000017055</x:v>
      </x:c>
      <x:c r="K508" s="60" t="n">
        <x:v>0</x:v>
      </x:c>
      <x:c r="L508" s="60" t="n">
        <x:v>0.0000017055</x:v>
      </x:c>
      <x:c r="M508" s="60" t="n">
        <x:v>0</x:v>
      </x:c>
      <x:c r="N508" s="46" t="str">
        <x:v>fowlerichthys ocellatus</x:v>
      </x:c>
      <x:c r="O508" s="62" t="n">
        <x:v>4.05</x:v>
      </x:c>
      <x:c r="P508" s="46" t="str">
        <x:v>exact_2020_supplement</x:v>
      </x:c>
      <x:c r="Q508" s="62" t="str">
        <x:v>2020 supplement MeanTL</x:v>
      </x:c>
      <x:c r="R508" s="46" t="str">
        <x:v>high</x:v>
      </x:c>
      <x:c r="S508" s="46" t="str">
        <x:v>Fowlerichthys ocellatus</x:v>
      </x:c>
      <x:c r="T508" s="62" t="n">
        <x:f>IF(O508="","",(1/'Metadata'!$B$5)^(O508-1))</x:f>
        <x:v>1122.018454301963</x:v>
      </x:c>
      <x:c r="U508" s="60" t="n">
        <x:f>IF(T508="","",I508*T508)</x:f>
        <x:v>0.0019136024738119978</x:v>
      </x:c>
    </x:row>
  </x:sheetData>
  <x:conditionalFormatting sqref="R2:R50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1a5788d344146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4</x:v>
      </x:c>
      <x:c r="C2" s="64" t="n">
        <x:v>4</x:v>
      </x:c>
      <x:c r="D2" s="60" t="n">
        <x:v>3996.4462912992003</x:v>
      </x:c>
      <x:c r="E2" s="60" t="n">
        <x:v>3996.4462912992003</x:v>
      </x:c>
      <x:c r="F2" s="62" t="n">
        <x:v>0</x:v>
      </x:c>
      <x:c r="G2" s="66" t="n">
        <x:v>1</x:v>
      </x:c>
      <x:c r="H2" s="62" t="n">
        <x:f>IF(E2=0,"",I2/E2)</x:f>
        <x:v>157.6453116088981</x:v>
      </x:c>
      <x:c r="I2" s="60" t="n">
        <x:f>SUMIF('Species'!$H$2:$H$508,A2,'Species'!$U$2:$U$508)</x:f>
        <x:v>630021.0209200876</x:v>
      </x:c>
      <x:c r="J2" s="62" t="n">
        <x:v>3.1934046009104398</x:v>
      </x:c>
      <x:c r="K2" s="62" t="n">
        <x:f>IF(J2="","",(1/'Metadata'!$B$5)^(J2-1))</x:f>
        <x:v>156.10061026470606</x:v>
      </x:c>
      <x:c r="L2" s="60" t="n">
        <x:f>IF(E2=0,"",E2*K2)</x:f>
        <x:v>623847.7049619264</x:v>
      </x:c>
      <x:c r="M2" s="60" t="n">
        <x:f>I2-L2</x:f>
        <x:v>6173.31595816114</x:v>
      </x:c>
      <x:c r="N2" s="62" t="n">
        <x:f>IF(L2=0,"",I2/L2)</x:f>
        <x:v>1.0098955496815332</x:v>
      </x:c>
      <x:c r="O2" s="66" t="n">
        <x:f>IF(L2=0,"",M2/L2)</x:f>
        <x:v>0.009895549681533089</x:v>
      </x:c>
    </x:row>
    <x:row r="3" ht="18" customHeight="1">
      <x:c r="A3" s="46" t="str">
        <x:v>Cod-likes</x:v>
      </x:c>
      <x:c r="B3" s="64" t="n">
        <x:v>1</x:v>
      </x:c>
      <x:c r="C3" s="64" t="n">
        <x:v>1</x:v>
      </x:c>
      <x:c r="D3" s="60" t="n">
        <x:v>106.3242169429</x:v>
      </x:c>
      <x:c r="E3" s="60" t="n">
        <x:v>106.3242169429</x:v>
      </x:c>
      <x:c r="F3" s="62" t="n">
        <x:v>0</x:v>
      </x:c>
      <x:c r="G3" s="66" t="n">
        <x:v>1</x:v>
      </x:c>
      <x:c r="H3" s="62" t="n">
        <x:f>IF(E3=0,"",I3/E3)</x:f>
        <x:v>812.8305161640995</x:v>
      </x:c>
      <x:c r="I3" s="60" t="n">
        <x:f>SUMIF('Species'!$H$2:$H$508,A3,'Species'!$U$2:$U$508)</x:f>
        <x:v>86423.5681384411</x:v>
      </x:c>
      <x:c r="J3" s="62" t="n">
        <x:v>3.91</x:v>
      </x:c>
      <x:c r="K3" s="62" t="n">
        <x:f>IF(J3="","",(1/'Metadata'!$B$5)^(J3-1))</x:f>
        <x:v>812.8305161640995</x:v>
      </x:c>
      <x:c r="L3" s="60" t="n">
        <x:f>IF(E3=0,"",E3*K3)</x:f>
        <x:v>86423.5681384411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Crustaceans</x:v>
      </x:c>
      <x:c r="B4" s="64" t="n">
        <x:v>44</x:v>
      </x:c>
      <x:c r="C4" s="64" t="n">
        <x:v>44</x:v>
      </x:c>
      <x:c r="D4" s="60" t="n">
        <x:v>60429.47482592629</x:v>
      </x:c>
      <x:c r="E4" s="60" t="n">
        <x:v>60429.47482592629</x:v>
      </x:c>
      <x:c r="F4" s="62" t="n">
        <x:v>0</x:v>
      </x:c>
      <x:c r="G4" s="66" t="n">
        <x:v>1</x:v>
      </x:c>
      <x:c r="H4" s="62" t="n">
        <x:f>IF(E4=0,"",I4/E4)</x:f>
        <x:v>227.48734837393462</x:v>
      </x:c>
      <x:c r="I4" s="60" t="n">
        <x:f>SUMIF('Species'!$H$2:$H$508,A4,'Species'!$U$2:$U$508)</x:f>
        <x:v>13746940.991779407</x:v>
      </x:c>
      <x:c r="J4" s="62" t="n">
        <x:v>3.2125762733697525</x:v>
      </x:c>
      <x:c r="K4" s="62" t="n">
        <x:f>IF(J4="","",(1/'Metadata'!$B$5)^(J4-1))</x:f>
        <x:v>163.1459410635327</x:v>
      </x:c>
      <x:c r="L4" s="60" t="n">
        <x:f>IF(E4=0,"",E4*K4)</x:f>
        <x:v>9858823.538450804</x:v>
      </x:c>
      <x:c r="M4" s="60" t="n">
        <x:f>I4-L4</x:f>
        <x:v>3888117.453328604</x:v>
      </x:c>
      <x:c r="N4" s="62" t="n">
        <x:f>IF(L4=0,"",I4/L4)</x:f>
        <x:v>1.3943794549283084</x:v>
      </x:c>
      <x:c r="O4" s="66" t="n">
        <x:f>IF(L4=0,"",M4/L4)</x:f>
        <x:v>0.39437945492830834</x:v>
      </x:c>
    </x:row>
    <x:row r="5" ht="18" customHeight="1">
      <x:c r="A5" s="46" t="str">
        <x:v>Flatfishes</x:v>
      </x:c>
      <x:c r="B5" s="64" t="n">
        <x:v>3</x:v>
      </x:c>
      <x:c r="C5" s="64" t="n">
        <x:v>3</x:v>
      </x:c>
      <x:c r="D5" s="60" t="n">
        <x:v>190.2980075253</x:v>
      </x:c>
      <x:c r="E5" s="60" t="n">
        <x:v>190.2980075253</x:v>
      </x:c>
      <x:c r="F5" s="62" t="n">
        <x:v>0</x:v>
      </x:c>
      <x:c r="G5" s="66" t="n">
        <x:v>1</x:v>
      </x:c>
      <x:c r="H5" s="62" t="n">
        <x:f>IF(E5=0,"",I5/E5)</x:f>
        <x:v>276.7480012475941</x:v>
      </x:c>
      <x:c r="I5" s="60" t="n">
        <x:f>SUMIF('Species'!$H$2:$H$508,A5,'Species'!$U$2:$U$508)</x:f>
        <x:v>52664.5932240264</x:v>
      </x:c>
      <x:c r="J5" s="62" t="n">
        <x:v>3.4089926358439953</x:v>
      </x:c>
      <x:c r="K5" s="62" t="n">
        <x:f>IF(J5="","",(1/'Metadata'!$B$5)^(J5-1))</x:f>
        <x:v>256.44405519670505</x:v>
      </x:c>
      <x:c r="L5" s="60" t="n">
        <x:f>IF(E5=0,"",E5*K5)</x:f>
        <x:v>48800.792745641025</x:v>
      </x:c>
      <x:c r="M5" s="60" t="n">
        <x:f>I5-L5</x:f>
        <x:v>3863.8004783853758</x:v>
      </x:c>
      <x:c r="N5" s="62" t="n">
        <x:f>IF(L5=0,"",I5/L5)</x:f>
        <x:v>1.079174953130869</x:v>
      </x:c>
      <x:c r="O5" s="66" t="n">
        <x:f>IF(L5=0,"",M5/L5)</x:f>
        <x:v>0.0791749531308689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119269.19500032571</x:v>
      </x:c>
      <x:c r="E6" s="60" t="n">
        <x:v>119269.19500032571</x:v>
      </x:c>
      <x:c r="F6" s="62" t="n">
        <x:v>0</x:v>
      </x:c>
      <x:c r="G6" s="66" t="n">
        <x:v>1</x:v>
      </x:c>
      <x:c r="H6" s="62" t="n">
        <x:f>IF(E6=0,"",I6/E6)</x:f>
        <x:v>313.0527840250147</x:v>
      </x:c>
      <x:c r="I6" s="60" t="n">
        <x:f>SUMIF('Species'!$H$2:$H$508,A6,'Species'!$U$2:$U$508)</x:f>
        <x:v>37337553.54327433</x:v>
      </x:c>
      <x:c r="J6" s="62" t="n">
        <x:v>3.4183104265885556</x:v>
      </x:c>
      <x:c r="K6" s="62" t="n">
        <x:f>IF(J6="","",(1/'Metadata'!$B$5)^(J6-1))</x:f>
        <x:v>262.0055111582137</x:v>
      </x:c>
      <x:c r="L6" s="60" t="n">
        <x:f>IF(E6=0,"",E6*K6)</x:f>
        <x:v>31249186.401489004</x:v>
      </x:c>
      <x:c r="M6" s="60" t="n">
        <x:f>I6-L6</x:f>
        <x:v>6088367.141785324</x:v>
      </x:c>
      <x:c r="N6" s="62" t="n">
        <x:f>IF(L6=0,"",I6/L6)</x:f>
        <x:v>1.1948328210393093</x:v>
      </x:c>
      <x:c r="O6" s="66" t="n">
        <x:f>IF(L6=0,"",M6/L6)</x:f>
        <x:v>0.19483282103930927</x:v>
      </x:c>
    </x:row>
    <x:row r="7" ht="18" customHeight="1">
      <x:c r="A7" s="46" t="str">
        <x:v>Molluscs</x:v>
      </x:c>
      <x:c r="B7" s="64" t="n">
        <x:v>40</x:v>
      </x:c>
      <x:c r="C7" s="64" t="n">
        <x:v>40</x:v>
      </x:c>
      <x:c r="D7" s="60" t="n">
        <x:v>68314.5491680265</x:v>
      </x:c>
      <x:c r="E7" s="60" t="n">
        <x:v>68314.5491680265</x:v>
      </x:c>
      <x:c r="F7" s="62" t="n">
        <x:v>0</x:v>
      </x:c>
      <x:c r="G7" s="66" t="n">
        <x:v>1</x:v>
      </x:c>
      <x:c r="H7" s="62" t="n">
        <x:f>IF(E7=0,"",I7/E7)</x:f>
        <x:v>13.28652978374673</x:v>
      </x:c>
      <x:c r="I7" s="60" t="n">
        <x:f>SUMIF('Species'!$H$2:$H$508,A7,'Species'!$U$2:$U$508)</x:f>
        <x:v>907663.2921842145</x:v>
      </x:c>
      <x:c r="J7" s="62" t="n">
        <x:v>2.0921272721148396</x:v>
      </x:c>
      <x:c r="K7" s="62" t="n">
        <x:f>IF(J7="","",(1/'Metadata'!$B$5)^(J7-1))</x:f>
        <x:v>12.363096869418472</x:v>
      </x:c>
      <x:c r="L7" s="60" t="n">
        <x:f>IF(E7=0,"",E7*K7)</x:f>
        <x:v>844579.3889549626</x:v>
      </x:c>
      <x:c r="M7" s="60" t="n">
        <x:f>I7-L7</x:f>
        <x:v>63083.90322925185</x:v>
      </x:c>
      <x:c r="N7" s="62" t="n">
        <x:f>IF(L7=0,"",I7/L7)</x:f>
        <x:v>1.0746926861515156</x:v>
      </x:c>
      <x:c r="O7" s="66" t="n">
        <x:f>IF(L7=0,"",M7/L7)</x:f>
        <x:v>0.07469268615151561</x:v>
      </x:c>
    </x:row>
    <x:row r="8" ht="18" customHeight="1">
      <x:c r="A8" s="46" t="str">
        <x:v>Other fishes &amp; inverts</x:v>
      </x:c>
      <x:c r="B8" s="64" t="n">
        <x:v>110</x:v>
      </x:c>
      <x:c r="C8" s="64" t="n">
        <x:v>110</x:v>
      </x:c>
      <x:c r="D8" s="60" t="n">
        <x:v>127853.04166348011</x:v>
      </x:c>
      <x:c r="E8" s="60" t="n">
        <x:v>127853.04166348011</x:v>
      </x:c>
      <x:c r="F8" s="62" t="n">
        <x:v>0</x:v>
      </x:c>
      <x:c r="G8" s="66" t="n">
        <x:v>1</x:v>
      </x:c>
      <x:c r="H8" s="62" t="n">
        <x:f>IF(E8=0,"",I8/E8)</x:f>
        <x:v>357.29059118947504</x:v>
      </x:c>
      <x:c r="I8" s="60" t="n">
        <x:f>SUMIF('Species'!$H$2:$H$508,A8,'Species'!$U$2:$U$508)</x:f>
        <x:v>45680688.84131739</x:v>
      </x:c>
      <x:c r="J8" s="62" t="n">
        <x:v>3.4342610086783663</x:v>
      </x:c>
      <x:c r="K8" s="62" t="n">
        <x:f>IF(J8="","",(1/'Metadata'!$B$5)^(J8-1))</x:f>
        <x:v>271.80723251005725</x:v>
      </x:c>
      <x:c r="L8" s="60" t="n">
        <x:f>IF(E8=0,"",E8*K8)</x:f>
        <x:v>34751381.42254357</x:v>
      </x:c>
      <x:c r="M8" s="60" t="n">
        <x:f>I8-L8</x:f>
        <x:v>10929307.418773822</x:v>
      </x:c>
      <x:c r="N8" s="62" t="n">
        <x:f>IF(L8=0,"",I8/L8)</x:f>
        <x:v>1.3144999413371197</x:v>
      </x:c>
      <x:c r="O8" s="66" t="n">
        <x:f>IF(L8=0,"",M8/L8)</x:f>
        <x:v>0.31449994133711967</x:v>
      </x:c>
    </x:row>
    <x:row r="9" ht="18" customHeight="1">
      <x:c r="A9" s="46" t="str">
        <x:v>Perch-likes</x:v>
      </x:c>
      <x:c r="B9" s="64" t="n">
        <x:v>223</x:v>
      </x:c>
      <x:c r="C9" s="64" t="n">
        <x:v>223</x:v>
      </x:c>
      <x:c r="D9" s="60" t="n">
        <x:v>205693.3038436284</x:v>
      </x:c>
      <x:c r="E9" s="60" t="n">
        <x:v>205693.3038436284</x:v>
      </x:c>
      <x:c r="F9" s="62" t="n">
        <x:v>0</x:v>
      </x:c>
      <x:c r="G9" s="66" t="n">
        <x:v>1</x:v>
      </x:c>
      <x:c r="H9" s="62" t="n">
        <x:f>IF(E9=0,"",I9/E9)</x:f>
        <x:v>1118.7259460256914</x:v>
      </x:c>
      <x:c r="I9" s="60" t="n">
        <x:f>SUMIF('Species'!$H$2:$H$508,A9,'Species'!$U$2:$U$508)</x:f>
        <x:v>230114435.93361318</x:v>
      </x:c>
      <x:c r="J9" s="62" t="n">
        <x:v>3.7890642956944176</x:v>
      </x:c>
      <x:c r="K9" s="62" t="n">
        <x:f>IF(J9="","",(1/'Metadata'!$B$5)^(J9-1))</x:f>
        <x:v>615.2679541163047</x:v>
      </x:c>
      <x:c r="L9" s="60" t="n">
        <x:f>IF(E9=0,"",E9*K9)</x:f>
        <x:v>126556498.2312927</x:v>
      </x:c>
      <x:c r="M9" s="60" t="n">
        <x:f>I9-L9</x:f>
        <x:v>103557937.70232049</x:v>
      </x:c>
      <x:c r="N9" s="62" t="n">
        <x:f>IF(L9=0,"",I9/L9)</x:f>
        <x:v>1.818274360855494</x:v>
      </x:c>
      <x:c r="O9" s="66" t="n">
        <x:f>IF(L9=0,"",M9/L9)</x:f>
        <x:v>0.818274360855494</x:v>
      </x:c>
    </x:row>
    <x:row r="10" ht="18" customHeight="1">
      <x:c r="A10" s="46" t="str">
        <x:v>Scorpionfishes</x:v>
      </x:c>
      <x:c r="B10" s="64" t="n">
        <x:v>5</x:v>
      </x:c>
      <x:c r="C10" s="64" t="n">
        <x:v>5</x:v>
      </x:c>
      <x:c r="D10" s="60" t="n">
        <x:v>16.4050664061</x:v>
      </x:c>
      <x:c r="E10" s="60" t="n">
        <x:v>16.4050664061</x:v>
      </x:c>
      <x:c r="F10" s="62" t="n">
        <x:v>0</x:v>
      </x:c>
      <x:c r="G10" s="66" t="n">
        <x:v>1</x:v>
      </x:c>
      <x:c r="H10" s="62" t="n">
        <x:f>IF(E10=0,"",I10/E10)</x:f>
        <x:v>503.1881087672529</x:v>
      </x:c>
      <x:c r="I10" s="60" t="n">
        <x:f>SUMIF('Species'!$H$2:$H$508,A10,'Species'!$U$2:$U$508)</x:f>
        <x:v>8254.834339086654</x:v>
      </x:c>
      <x:c r="J10" s="62" t="n">
        <x:v>3.693133080239278</x:v>
      </x:c>
      <x:c r="K10" s="62" t="n">
        <x:f>IF(J10="","",(1/'Metadata'!$B$5)^(J10-1))</x:f>
        <x:v>493.3249496574733</x:v>
      </x:c>
      <x:c r="L10" s="60" t="n">
        <x:f>IF(E10=0,"",E10*K10)</x:f>
        <x:v>8093.02855891679</x:v>
      </x:c>
      <x:c r="M10" s="60" t="n">
        <x:f>I10-L10</x:f>
        <x:v>161.8057801698642</x:v>
      </x:c>
      <x:c r="N10" s="62" t="n">
        <x:f>IF(L10=0,"",I10/L10)</x:f>
        <x:v>1.0199932298510905</x:v>
      </x:c>
      <x:c r="O10" s="66" t="n">
        <x:f>IF(L10=0,"",M10/L10)</x:f>
        <x:v>0.019993229851090637</x:v>
      </x:c>
    </x:row>
    <x:row r="11" ht="18" customHeight="1">
      <x:c r="A11" s="46" t="str">
        <x:v>Sharks &amp; rays</x:v>
      </x:c>
      <x:c r="B11" s="64" t="n">
        <x:v>46</x:v>
      </x:c>
      <x:c r="C11" s="64" t="n">
        <x:v>46</x:v>
      </x:c>
      <x:c r="D11" s="60" t="n">
        <x:v>22893.7295984106</x:v>
      </x:c>
      <x:c r="E11" s="60" t="n">
        <x:v>22893.7295984106</x:v>
      </x:c>
      <x:c r="F11" s="62" t="n">
        <x:v>0</x:v>
      </x:c>
      <x:c r="G11" s="66" t="n">
        <x:v>1</x:v>
      </x:c>
      <x:c r="H11" s="62" t="n">
        <x:f>IF(E11=0,"",I11/E11)</x:f>
        <x:v>1002.0318863084472</x:v>
      </x:c>
      <x:c r="I11" s="60" t="n">
        <x:f>SUMIF('Species'!$H$2:$H$508,A11,'Species'!$U$2:$U$508)</x:f>
        <x:v>22940247.0541309</x:v>
      </x:c>
      <x:c r="J11" s="62" t="n">
        <x:v>3.913428912940755</x:v>
      </x:c>
      <x:c r="K11" s="62" t="n">
        <x:f>IF(J11="","",(1/'Metadata'!$B$5)^(J11-1))</x:f>
        <x:v>819.2735102368621</x:v>
      </x:c>
      <x:c r="L11" s="60" t="n">
        <x:f>IF(E11=0,"",E11*K11)</x:f>
        <x:v>18756226.2105034</x:v>
      </x:c>
      <x:c r="M11" s="60" t="n">
        <x:f>I11-L11</x:f>
        <x:v>4184020.8436275013</x:v>
      </x:c>
      <x:c r="N11" s="62" t="n">
        <x:f>IF(L11=0,"",I11/L11)</x:f>
        <x:v>1.223073703455574</x:v>
      </x:c>
      <x:c r="O11" s="66" t="n">
        <x:f>IF(L11=0,"",M11/L11)</x:f>
        <x:v>0.2230737034555741</x:v>
      </x:c>
    </x:row>
    <x:row r="12" ht="18" customHeight="1">
      <x:c r="A12" s="46" t="str">
        <x:v>Tuna &amp; billfishes</x:v>
      </x:c>
      <x:c r="B12" s="64" t="n">
        <x:v>21</x:v>
      </x:c>
      <x:c r="C12" s="64" t="n">
        <x:v>21</x:v>
      </x:c>
      <x:c r="D12" s="60" t="n">
        <x:v>16945.195538182306</x:v>
      </x:c>
      <x:c r="E12" s="60" t="n">
        <x:v>16945.195538182306</x:v>
      </x:c>
      <x:c r="F12" s="62" t="n">
        <x:v>0</x:v>
      </x:c>
      <x:c r="G12" s="66" t="n">
        <x:v>1</x:v>
      </x:c>
      <x:c r="H12" s="62" t="n">
        <x:f>IF(E12=0,"",I12/E12)</x:f>
        <x:v>2770.971735698021</x:v>
      </x:c>
      <x:c r="I12" s="60" t="n">
        <x:f>SUMIF('Species'!$H$2:$H$508,A12,'Species'!$U$2:$U$508)</x:f>
        <x:v>46954657.892179385</x:v>
      </x:c>
      <x:c r="J12" s="62" t="n">
        <x:v>4.438285296670075</x:v>
      </x:c>
      <x:c r="K12" s="62" t="n">
        <x:f>IF(J12="","",(1/'Metadata'!$B$5)^(J12-1))</x:f>
        <x:v>2743.375758132064</x:v>
      </x:c>
      <x:c r="L12" s="60" t="n">
        <x:f>IF(E12=0,"",E12*K12)</x:f>
        <x:v>46487038.65625696</x:v>
      </x:c>
      <x:c r="M12" s="60" t="n">
        <x:f>I12-L12</x:f>
        <x:v>467619.235922426</x:v>
      </x:c>
      <x:c r="N12" s="62" t="n">
        <x:f>IF(L12=0,"",I12/L12)</x:f>
        <x:v>1.0100591315222331</x:v>
      </x:c>
      <x:c r="O12" s="66" t="n">
        <x:f>IF(L12=0,"",M12/L12)</x:f>
        <x:v>0.010059131522233164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61310d9677942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11</x:v>
      </x:c>
      <x:c r="C2" s="64" t="n">
        <x:v>11</x:v>
      </x:c>
      <x:c r="D2" s="60" t="n">
        <x:v>4477.9872574560995</x:v>
      </x:c>
      <x:c r="E2" s="60" t="n">
        <x:v>4477.9872574560995</x:v>
      </x:c>
      <x:c r="F2" s="62" t="n">
        <x:v>0</x:v>
      </x:c>
      <x:c r="G2" s="66" t="n">
        <x:v>1</x:v>
      </x:c>
      <x:c r="H2" s="62" t="n">
        <x:f>IF(E2=0,"",I2/E2)</x:f>
        <x:v>457.5530799171481</x:v>
      </x:c>
      <x:c r="I2" s="60" t="n">
        <x:f>SUMIF('Species'!$G$2:$G$508,A2,'Species'!$U$2:$U$508)</x:f>
        <x:v>2048916.8614787818</x:v>
      </x:c>
      <x:c r="J2" s="62" t="n">
        <x:v>3.6363251800702017</x:v>
      </x:c>
      <x:c r="K2" s="62" t="n">
        <x:f>IF(J2="","",(1/'Metadata'!$B$5)^(J2-1))</x:f>
        <x:v>432.8377991055428</x:v>
      </x:c>
      <x:c r="L2" s="60" t="n">
        <x:f>IF(E2=0,"",E2*K2)</x:f>
        <x:v>1938242.1489399637</x:v>
      </x:c>
      <x:c r="M2" s="60" t="n">
        <x:f>I2-L2</x:f>
        <x:v>110674.71253881813</x:v>
      </x:c>
      <x:c r="N2" s="62" t="n">
        <x:f>IF(L2=0,"",I2/L2)</x:f>
        <x:v>1.0571005602160426</x:v>
      </x:c>
      <x:c r="O2" s="66" t="n">
        <x:f>IF(L2=0,"",M2/L2)</x:f>
        <x:v>0.05710056021604256</x:v>
      </x:c>
    </x:row>
    <x:row r="3" ht="18" customHeight="1">
      <x:c r="A3" s="46" t="str">
        <x:v>Jellyfish</x:v>
      </x:c>
      <x:c r="B3" s="64" t="n">
        <x:v>4</x:v>
      </x:c>
      <x:c r="C3" s="64" t="n">
        <x:v>4</x:v>
      </x:c>
      <x:c r="D3" s="60" t="n">
        <x:v>4203.2244360552</x:v>
      </x:c>
      <x:c r="E3" s="60" t="n">
        <x:v>4203.2244360552</x:v>
      </x:c>
      <x:c r="F3" s="62" t="n">
        <x:v>0</x:v>
      </x:c>
      <x:c r="G3" s="66" t="n">
        <x:v>1</x:v>
      </x:c>
      <x:c r="H3" s="62" t="n">
        <x:f>IF(E3=0,"",I3/E3)</x:f>
        <x:v>285.60394533118966</x:v>
      </x:c>
      <x:c r="I3" s="60" t="n">
        <x:f>SUMIF('Species'!$G$2:$G$508,A3,'Species'!$U$2:$U$508)</x:f>
        <x:v>1200457.48204983</x:v>
      </x:c>
      <x:c r="J3" s="62" t="n">
        <x:v>3.45517565519029</x:v>
      </x:c>
      <x:c r="K3" s="62" t="n">
        <x:f>IF(J3="","",(1/'Metadata'!$B$5)^(J3-1))</x:f>
        <x:v>285.2171626496688</x:v>
      </x:c>
      <x:c r="L3" s="60" t="n">
        <x:f>IF(E3=0,"",E3*K3)</x:f>
        <x:v>1198831.7476314185</x:v>
      </x:c>
      <x:c r="M3" s="60" t="n">
        <x:f>I3-L3</x:f>
        <x:v>1625.7344184115063</x:v>
      </x:c>
      <x:c r="N3" s="62" t="n">
        <x:f>IF(L3=0,"",I3/L3)</x:f>
        <x:v>1.0013560989034729</x:v>
      </x:c>
      <x:c r="O3" s="66" t="n">
        <x:f>IF(L3=0,"",M3/L3)</x:f>
        <x:v>0.0013560989034729328</x:v>
      </x:c>
    </x:row>
    <x:row r="4" ht="18" customHeight="1">
      <x:c r="A4" s="46" t="str">
        <x:v>Large bathydemersals (&gt;=90 cm)</x:v>
      </x:c>
      <x:c r="B4" s="64" t="n">
        <x:v>2</x:v>
      </x:c>
      <x:c r="C4" s="64" t="n">
        <x:v>2</x:v>
      </x:c>
      <x:c r="D4" s="60" t="n">
        <x:v>639.3276778385999</x:v>
      </x:c>
      <x:c r="E4" s="60" t="n">
        <x:v>639.3276778385999</x:v>
      </x:c>
      <x:c r="F4" s="62" t="n">
        <x:v>0</x:v>
      </x:c>
      <x:c r="G4" s="66" t="n">
        <x:v>1</x:v>
      </x:c>
      <x:c r="H4" s="62" t="n">
        <x:f>IF(E4=0,"",I4/E4)</x:f>
        <x:v>791.2641437252673</x:v>
      </x:c>
      <x:c r="I4" s="60" t="n">
        <x:f>SUMIF('Species'!$G$2:$G$508,A4,'Species'!$U$2:$U$508)</x:f>
        <x:v>505877.0675648233</x:v>
      </x:c>
      <x:c r="J4" s="62" t="n">
        <x:v>3.7583015500891</x:v>
      </x:c>
      <x:c r="K4" s="62" t="n">
        <x:f>IF(J4="","",(1/'Metadata'!$B$5)^(J4-1))</x:f>
        <x:v>573.1938870056429</x:v>
      </x:c>
      <x:c r="L4" s="60" t="n">
        <x:f>IF(E4=0,"",E4*K4)</x:f>
        <x:v>366458.7167305985</x:v>
      </x:c>
      <x:c r="M4" s="60" t="n">
        <x:f>I4-L4</x:f>
        <x:v>139418.35083422484</x:v>
      </x:c>
      <x:c r="N4" s="62" t="n">
        <x:f>IF(L4=0,"",I4/L4)</x:f>
        <x:v>1.3804476315314884</x:v>
      </x:c>
      <x:c r="O4" s="66" t="n">
        <x:f>IF(L4=0,"",M4/L4)</x:f>
        <x:v>0.3804476315314885</x:v>
      </x:c>
    </x:row>
    <x:row r="5" ht="18" customHeight="1">
      <x:c r="A5" s="46" t="str">
        <x:v>Large bathypelagics (&gt;=90 cm)</x:v>
      </x:c>
      <x:c r="B5" s="64" t="n">
        <x:v>1</x:v>
      </x:c>
      <x:c r="C5" s="64" t="n">
        <x:v>1</x:v>
      </x:c>
      <x:c r="D5" s="60" t="n">
        <x:v>9.0055413643</x:v>
      </x:c>
      <x:c r="E5" s="60" t="n">
        <x:v>9.0055413643</x:v>
      </x:c>
      <x:c r="F5" s="62" t="n">
        <x:v>0</x:v>
      </x:c>
      <x:c r="G5" s="66" t="n">
        <x:v>1</x:v>
      </x:c>
      <x:c r="H5" s="62" t="n">
        <x:f>IF(E5=0,"",I5/E5)</x:f>
        <x:v>2187.761623949552</x:v>
      </x:c>
      <x:c r="I5" s="60" t="n">
        <x:f>SUMIF('Species'!$G$2:$G$508,A5,'Species'!$U$2:$U$508)</x:f>
        <x:v>19701.977799705834</x:v>
      </x:c>
      <x:c r="J5" s="62" t="n">
        <x:v>4.34</x:v>
      </x:c>
      <x:c r="K5" s="62" t="n">
        <x:f>IF(J5="","",(1/'Metadata'!$B$5)^(J5-1))</x:f>
        <x:v>2187.761623949552</x:v>
      </x:c>
      <x:c r="L5" s="60" t="n">
        <x:f>IF(E5=0,"",E5*K5)</x:f>
        <x:v>19701.977799705834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Large benthopelagics (&gt;=90 cm)</x:v>
      </x:c>
      <x:c r="B6" s="64" t="n">
        <x:v>11</x:v>
      </x:c>
      <x:c r="C6" s="64" t="n">
        <x:v>11</x:v>
      </x:c>
      <x:c r="D6" s="60" t="n">
        <x:v>11773.2147231586</x:v>
      </x:c>
      <x:c r="E6" s="60" t="n">
        <x:v>11773.2147231586</x:v>
      </x:c>
      <x:c r="F6" s="62" t="n">
        <x:v>0</x:v>
      </x:c>
      <x:c r="G6" s="66" t="n">
        <x:v>1</x:v>
      </x:c>
      <x:c r="H6" s="62" t="n">
        <x:f>IF(E6=0,"",I6/E6)</x:f>
        <x:v>2291.288113419442</x:v>
      </x:c>
      <x:c r="I6" s="60" t="n">
        <x:f>SUMIF('Species'!$G$2:$G$508,A6,'Species'!$U$2:$U$508)</x:f>
        <x:v>26975826.95190807</x:v>
      </x:c>
      <x:c r="J6" s="62" t="n">
        <x:v>4.257927821864189</x:v>
      </x:c>
      <x:c r="K6" s="62" t="n">
        <x:f>IF(J6="","",(1/'Metadata'!$B$5)^(J6-1))</x:f>
        <x:v>1811.0390796132829</x:v>
      </x:c>
      <x:c r="L6" s="60" t="n">
        <x:f>IF(E6=0,"",E6*K6)</x:f>
        <x:v>21321751.956318703</x:v>
      </x:c>
      <x:c r="M6" s="60" t="n">
        <x:f>I6-L6</x:f>
        <x:v>5654074.995589368</x:v>
      </x:c>
      <x:c r="N6" s="62" t="n">
        <x:f>IF(L6=0,"",I6/L6)</x:f>
        <x:v>1.2651787248614803</x:v>
      </x:c>
      <x:c r="O6" s="66" t="n">
        <x:f>IF(L6=0,"",M6/L6)</x:f>
        <x:v>0.26517872486148036</x:v>
      </x:c>
    </x:row>
    <x:row r="7" ht="18" customHeight="1">
      <x:c r="A7" s="46" t="str">
        <x:v>Large demersals (&gt;=90 cm)</x:v>
      </x:c>
      <x:c r="B7" s="64" t="n">
        <x:v>16</x:v>
      </x:c>
      <x:c r="C7" s="64" t="n">
        <x:v>16</x:v>
      </x:c>
      <x:c r="D7" s="60" t="n">
        <x:v>3441.4951984229</x:v>
      </x:c>
      <x:c r="E7" s="60" t="n">
        <x:v>3441.4951984229</x:v>
      </x:c>
      <x:c r="F7" s="62" t="n">
        <x:v>0</x:v>
      </x:c>
      <x:c r="G7" s="66" t="n">
        <x:v>1</x:v>
      </x:c>
      <x:c r="H7" s="62" t="n">
        <x:f>IF(E7=0,"",I7/E7)</x:f>
        <x:v>1074.071003312323</x:v>
      </x:c>
      <x:c r="I7" s="60" t="n">
        <x:f>SUMIF('Species'!$G$2:$G$508,A7,'Species'!$U$2:$U$508)</x:f>
        <x:v>3696410.2006646264</x:v>
      </x:c>
      <x:c r="J7" s="62" t="n">
        <x:v>4.025213862636227</x:v>
      </x:c>
      <x:c r="K7" s="62" t="n">
        <x:f>IF(J7="","",(1/'Metadata'!$B$5)^(J7-1))</x:f>
        <x:v>1059.775469269711</x:v>
      </x:c>
      <x:c r="L7" s="60" t="n">
        <x:f>IF(E7=0,"",E7*K7)</x:f>
        <x:v>3647212.188898086</x:v>
      </x:c>
      <x:c r="M7" s="60" t="n">
        <x:f>I7-L7</x:f>
        <x:v>49198.01176654035</x:v>
      </x:c>
      <x:c r="N7" s="62" t="n">
        <x:f>IF(L7=0,"",I7/L7)</x:f>
        <x:v>1.0134892101743618</x:v>
      </x:c>
      <x:c r="O7" s="66" t="n">
        <x:f>IF(L7=0,"",M7/L7)</x:f>
        <x:v>0.013489210174361778</x:v>
      </x:c>
    </x:row>
    <x:row r="8" ht="18" customHeight="1">
      <x:c r="A8" s="46" t="str">
        <x:v>Large pelagics (&gt;=90 cm)</x:v>
      </x:c>
      <x:c r="B8" s="64" t="n">
        <x:v>36</x:v>
      </x:c>
      <x:c r="C8" s="64" t="n">
        <x:v>36</x:v>
      </x:c>
      <x:c r="D8" s="60" t="n">
        <x:v>41553.14948624139</x:v>
      </x:c>
      <x:c r="E8" s="60" t="n">
        <x:v>41553.14948624139</x:v>
      </x:c>
      <x:c r="F8" s="62" t="n">
        <x:v>0</x:v>
      </x:c>
      <x:c r="G8" s="66" t="n">
        <x:v>1</x:v>
      </x:c>
      <x:c r="H8" s="62" t="n">
        <x:f>IF(E8=0,"",I8/E8)</x:f>
        <x:v>2526.3255783346854</x:v>
      </x:c>
      <x:c r="I8" s="60" t="n">
        <x:f>SUMIF('Species'!$G$2:$G$508,A8,'Species'!$U$2:$U$508)</x:f>
        <x:v>104976784.40745641</x:v>
      </x:c>
      <x:c r="J8" s="62" t="n">
        <x:v>4.377230619691275</x:v>
      </x:c>
      <x:c r="K8" s="62" t="n">
        <x:f>IF(J8="","",(1/'Metadata'!$B$5)^(J8-1))</x:f>
        <x:v>2383.584868076516</x:v>
      </x:c>
      <x:c r="L8" s="60" t="n">
        <x:f>IF(E8=0,"",E8*K8)</x:f>
        <x:v>99045458.33632644</x:v>
      </x:c>
      <x:c r="M8" s="60" t="n">
        <x:f>I8-L8</x:f>
        <x:v>5931326.071129978</x:v>
      </x:c>
      <x:c r="N8" s="62" t="n">
        <x:f>IF(L8=0,"",I8/L8)</x:f>
        <x:v>1.0598848869070716</x:v>
      </x:c>
      <x:c r="O8" s="66" t="n">
        <x:f>IF(L8=0,"",M8/L8)</x:f>
        <x:v>0.05988488690707157</x:v>
      </x:c>
    </x:row>
    <x:row r="9" ht="18" customHeight="1">
      <x:c r="A9" s="46" t="str">
        <x:v>Large rays (&gt;=90 cm)</x:v>
      </x:c>
      <x:c r="B9" s="64" t="n">
        <x:v>11</x:v>
      </x:c>
      <x:c r="C9" s="64" t="n">
        <x:v>11</x:v>
      </x:c>
      <x:c r="D9" s="60" t="n">
        <x:v>11924.366342411098</x:v>
      </x:c>
      <x:c r="E9" s="60" t="n">
        <x:v>11924.366342411098</x:v>
      </x:c>
      <x:c r="F9" s="62" t="n">
        <x:v>0</x:v>
      </x:c>
      <x:c r="G9" s="66" t="n">
        <x:v>1</x:v>
      </x:c>
      <x:c r="H9" s="62" t="n">
        <x:f>IF(E9=0,"",I9/E9)</x:f>
        <x:v>487.6022726318891</x:v>
      </x:c>
      <x:c r="I9" s="60" t="n">
        <x:f>SUMIF('Species'!$G$2:$G$508,A9,'Species'!$U$2:$U$508)</x:f>
        <x:v>5814348.128254859</x:v>
      </x:c>
      <x:c r="J9" s="62" t="n">
        <x:v>3.670448542597901</x:v>
      </x:c>
      <x:c r="K9" s="62" t="n">
        <x:f>IF(J9="","",(1/'Metadata'!$B$5)^(J9-1))</x:f>
        <x:v>468.2184711993147</x:v>
      </x:c>
      <x:c r="L9" s="60" t="n">
        <x:f>IF(E9=0,"",E9*K9)</x:f>
        <x:v>5583208.5788642885</x:v>
      </x:c>
      <x:c r="M9" s="60" t="n">
        <x:f>I9-L9</x:f>
        <x:v>231139.54939057026</x:v>
      </x:c>
      <x:c r="N9" s="62" t="n">
        <x:f>IF(L9=0,"",I9/L9)</x:f>
        <x:v>1.0413990532729815</x:v>
      </x:c>
      <x:c r="O9" s="66" t="n">
        <x:f>IF(L9=0,"",M9/L9)</x:f>
        <x:v>0.041399053272981545</x:v>
      </x:c>
    </x:row>
    <x:row r="10" ht="18" customHeight="1">
      <x:c r="A10" s="46" t="str">
        <x:v>Large reef assoc. fish (&gt;=90 cm)</x:v>
      </x:c>
      <x:c r="B10" s="64" t="n">
        <x:v>29</x:v>
      </x:c>
      <x:c r="C10" s="64" t="n">
        <x:v>29</x:v>
      </x:c>
      <x:c r="D10" s="60" t="n">
        <x:v>15020.612387018</x:v>
      </x:c>
      <x:c r="E10" s="60" t="n">
        <x:v>15020.612387018</x:v>
      </x:c>
      <x:c r="F10" s="62" t="n">
        <x:v>0</x:v>
      </x:c>
      <x:c r="G10" s="66" t="n">
        <x:v>1</x:v>
      </x:c>
      <x:c r="H10" s="62" t="n">
        <x:f>IF(E10=0,"",I10/E10)</x:f>
        <x:v>710.3208866479505</x:v>
      </x:c>
      <x:c r="I10" s="60" t="n">
        <x:f>SUMIF('Species'!$G$2:$G$508,A10,'Species'!$U$2:$U$508)</x:f>
        <x:v>10669454.708741814</x:v>
      </x:c>
      <x:c r="J10" s="62" t="n">
        <x:v>3.7291954109833316</x:v>
      </x:c>
      <x:c r="K10" s="62" t="n">
        <x:f>IF(J10="","",(1/'Metadata'!$B$5)^(J10-1))</x:f>
        <x:v>536.0377936885315</x:v>
      </x:c>
      <x:c r="L10" s="60" t="n">
        <x:f>IF(E10=0,"",E10*K10)</x:f>
        <x:v>8051615.923787755</x:v>
      </x:c>
      <x:c r="M10" s="60" t="n">
        <x:f>I10-L10</x:f>
        <x:v>2617838.784954059</x:v>
      </x:c>
      <x:c r="N10" s="62" t="n">
        <x:f>IF(L10=0,"",I10/L10)</x:f>
        <x:v>1.3251320989144424</x:v>
      </x:c>
      <x:c r="O10" s="66" t="n">
        <x:f>IF(L10=0,"",M10/L10)</x:f>
        <x:v>0.3251320989144423</x:v>
      </x:c>
    </x:row>
    <x:row r="11" ht="18" customHeight="1">
      <x:c r="A11" s="46" t="str">
        <x:v>Large sharks (&gt;=90 cm)</x:v>
      </x:c>
      <x:c r="B11" s="64" t="n">
        <x:v>33</x:v>
      </x:c>
      <x:c r="C11" s="64" t="n">
        <x:v>33</x:v>
      </x:c>
      <x:c r="D11" s="60" t="n">
        <x:v>10968.525852209099</x:v>
      </x:c>
      <x:c r="E11" s="60" t="n">
        <x:v>10968.525852209099</x:v>
      </x:c>
      <x:c r="F11" s="62" t="n">
        <x:v>0</x:v>
      </x:c>
      <x:c r="G11" s="66" t="n">
        <x:v>1</x:v>
      </x:c>
      <x:c r="H11" s="62" t="n">
        <x:f>IF(E11=0,"",I11/E11)</x:f>
        <x:v>1561.3397026139498</x:v>
      </x:c>
      <x:c r="I11" s="60" t="n">
        <x:f>SUMIF('Species'!$G$2:$G$508,A11,'Species'!$U$2:$U$508)</x:f>
        <x:v>17125594.892201576</x:v>
      </x:c>
      <x:c r="J11" s="62" t="n">
        <x:v>4.177610532508236</x:v>
      </x:c>
      <x:c r="K11" s="62" t="n">
        <x:f>IF(J11="","",(1/'Metadata'!$B$5)^(J11-1))</x:f>
        <x:v>1505.2565736665588</x:v>
      </x:c>
      <x:c r="L11" s="60" t="n">
        <x:f>IF(E11=0,"",E11*K11)</x:f>
        <x:v>16510445.64246934</x:v>
      </x:c>
      <x:c r="M11" s="60" t="n">
        <x:f>I11-L11</x:f>
        <x:v>615149.2497322373</x:v>
      </x:c>
      <x:c r="N11" s="62" t="n">
        <x:f>IF(L11=0,"",I11/L11)</x:f>
        <x:v>1.037258185699719</x:v>
      </x:c>
      <x:c r="O11" s="66" t="n">
        <x:f>IF(L11=0,"",M11/L11)</x:f>
        <x:v>0.0372581856997189</x:v>
      </x:c>
    </x:row>
    <x:row r="12" ht="18" customHeight="1">
      <x:c r="A12" s="46" t="str">
        <x:v>Lobsters, crabs</x:v>
      </x:c>
      <x:c r="B12" s="64" t="n">
        <x:v>27</x:v>
      </x:c>
      <x:c r="C12" s="64" t="n">
        <x:v>27</x:v>
      </x:c>
      <x:c r="D12" s="60" t="n">
        <x:v>48571.9896267277</x:v>
      </x:c>
      <x:c r="E12" s="60" t="n">
        <x:v>48571.9896267277</x:v>
      </x:c>
      <x:c r="F12" s="62" t="n">
        <x:v>0</x:v>
      </x:c>
      <x:c r="G12" s="66" t="n">
        <x:v>1</x:v>
      </x:c>
      <x:c r="H12" s="62" t="n">
        <x:f>IF(E12=0,"",I12/E12)</x:f>
        <x:v>263.2371396482844</x:v>
      </x:c>
      <x:c r="I12" s="60" t="n">
        <x:f>SUMIF('Species'!$G$2:$G$508,A12,'Species'!$U$2:$U$508)</x:f>
        <x:v>12785951.616365943</x:v>
      </x:c>
      <x:c r="J12" s="62" t="n">
        <x:v>3.3109710229183023</x:v>
      </x:c>
      <x:c r="K12" s="62" t="n">
        <x:f>IF(J12="","",(1/'Metadata'!$B$5)^(J12-1))</x:f>
        <x:v>204.6308097998924</x:v>
      </x:c>
      <x:c r="L12" s="60" t="n">
        <x:f>IF(E12=0,"",E12*K12)</x:f>
        <x:v>9939325.570909264</x:v>
      </x:c>
      <x:c r="M12" s="60" t="n">
        <x:f>I12-L12</x:f>
        <x:v>2846626.0454566795</x:v>
      </x:c>
      <x:c r="N12" s="62" t="n">
        <x:f>IF(L12=0,"",I12/L12)</x:f>
        <x:v>1.28640032214945</x:v>
      </x:c>
      <x:c r="O12" s="66" t="n">
        <x:f>IF(L12=0,"",M12/L12)</x:f>
        <x:v>0.28640032214945005</x:v>
      </x:c>
    </x:row>
    <x:row r="13" ht="18" customHeight="1">
      <x:c r="A13" s="46" t="str">
        <x:v>Medium bathydemersals (30 - 89 cm)</x:v>
      </x:c>
      <x:c r="B13" s="64" t="n">
        <x:v>4</x:v>
      </x:c>
      <x:c r="C13" s="64" t="n">
        <x:v>4</x:v>
      </x:c>
      <x:c r="D13" s="60" t="n">
        <x:v>163.95572299799997</x:v>
      </x:c>
      <x:c r="E13" s="60" t="n">
        <x:v>163.95572299799997</x:v>
      </x:c>
      <x:c r="F13" s="62" t="n">
        <x:v>0</x:v>
      </x:c>
      <x:c r="G13" s="66" t="n">
        <x:v>1</x:v>
      </x:c>
      <x:c r="H13" s="62" t="n">
        <x:f>IF(E13=0,"",I13/E13)</x:f>
        <x:v>1929.8844786189359</x:v>
      </x:c>
      <x:c r="I13" s="60" t="n">
        <x:f>SUMIF('Species'!$G$2:$G$508,A13,'Species'!$U$2:$U$508)</x:f>
        <x:v>316415.60499458585</x:v>
      </x:c>
      <x:c r="J13" s="62" t="n">
        <x:v>4.26740861029453</x:v>
      </x:c>
      <x:c r="K13" s="62" t="n">
        <x:f>IF(J13="","",(1/'Metadata'!$B$5)^(J13-1))</x:f>
        <x:v>1851.0093405602738</x:v>
      </x:c>
      <x:c r="L13" s="60" t="n">
        <x:f>IF(E13=0,"",E13*K13)</x:f>
        <x:v>303483.5747076108</x:v>
      </x:c>
      <x:c r="M13" s="60" t="n">
        <x:f>I13-L13</x:f>
        <x:v>12932.03028697503</x:v>
      </x:c>
      <x:c r="N13" s="62" t="n">
        <x:f>IF(L13=0,"",I13/L13)</x:f>
        <x:v>1.042611961123215</x:v>
      </x:c>
      <x:c r="O13" s="66" t="n">
        <x:f>IF(L13=0,"",M13/L13)</x:f>
        <x:v>0.04261196112321501</x:v>
      </x:c>
    </x:row>
    <x:row r="14" ht="18" customHeight="1">
      <x:c r="A14" s="46" t="str">
        <x:v>Medium benthopelagics (30 - 89 cm)</x:v>
      </x:c>
      <x:c r="B14" s="64" t="n">
        <x:v>15</x:v>
      </x:c>
      <x:c r="C14" s="64" t="n">
        <x:v>15</x:v>
      </x:c>
      <x:c r="D14" s="60" t="n">
        <x:v>10684.113235533601</x:v>
      </x:c>
      <x:c r="E14" s="60" t="n">
        <x:v>10684.113235533601</x:v>
      </x:c>
      <x:c r="F14" s="62" t="n">
        <x:v>0</x:v>
      </x:c>
      <x:c r="G14" s="66" t="n">
        <x:v>1</x:v>
      </x:c>
      <x:c r="H14" s="62" t="n">
        <x:f>IF(E14=0,"",I14/E14)</x:f>
        <x:v>859.5563657329163</x:v>
      </x:c>
      <x:c r="I14" s="60" t="n">
        <x:f>SUMIF('Species'!$G$2:$G$508,A14,'Species'!$U$2:$U$508)</x:f>
        <x:v>9183597.543814212</x:v>
      </x:c>
      <x:c r="J14" s="62" t="n">
        <x:v>3.77524888342043</x:v>
      </x:c>
      <x:c r="K14" s="62" t="n">
        <x:f>IF(J14="","",(1/'Metadata'!$B$5)^(J14-1))</x:f>
        <x:v>596.00360059403</x:v>
      </x:c>
      <x:c r="L14" s="60" t="n">
        <x:f>IF(E14=0,"",E14*K14)</x:f>
        <x:v>6367769.957532358</x:v>
      </x:c>
      <x:c r="M14" s="60" t="n">
        <x:f>I14-L14</x:f>
        <x:v>2815827.5862818537</x:v>
      </x:c>
      <x:c r="N14" s="62" t="n">
        <x:f>IF(L14=0,"",I14/L14)</x:f>
        <x:v>1.4421999546247812</x:v>
      </x:c>
      <x:c r="O14" s="66" t="n">
        <x:f>IF(L14=0,"",M14/L14)</x:f>
        <x:v>0.4421999546247812</x:v>
      </x:c>
    </x:row>
    <x:row r="15" ht="18" customHeight="1">
      <x:c r="A15" s="46" t="str">
        <x:v>Medium demersals (30 - 89 cm)</x:v>
      </x:c>
      <x:c r="B15" s="64" t="n">
        <x:v>44</x:v>
      </x:c>
      <x:c r="C15" s="64" t="n">
        <x:v>44</x:v>
      </x:c>
      <x:c r="D15" s="60" t="n">
        <x:v>141437.6146310934</x:v>
      </x:c>
      <x:c r="E15" s="60" t="n">
        <x:v>141437.6146310934</x:v>
      </x:c>
      <x:c r="F15" s="62" t="n">
        <x:v>0</x:v>
      </x:c>
      <x:c r="G15" s="66" t="n">
        <x:v>1</x:v>
      </x:c>
      <x:c r="H15" s="62" t="n">
        <x:f>IF(E15=0,"",I15/E15)</x:f>
        <x:v>348.905551664957</x:v>
      </x:c>
      <x:c r="I15" s="60" t="n">
        <x:f>SUMIF('Species'!$G$2:$G$508,A15,'Species'!$U$2:$U$508)</x:f>
        <x:v>49348368.95903724</x:v>
      </x:c>
      <x:c r="J15" s="62" t="n">
        <x:v>3.353409931573789</x:v>
      </x:c>
      <x:c r="K15" s="62" t="n">
        <x:f>IF(J15="","",(1/'Metadata'!$B$5)^(J15-1))</x:f>
        <x:v>225.63679983243685</x:v>
      </x:c>
      <x:c r="L15" s="60" t="n">
        <x:f>IF(E15=0,"",E15*K15)</x:f>
        <x:v>31913530.741293363</x:v>
      </x:c>
      <x:c r="M15" s="60" t="n">
        <x:f>I15-L15</x:f>
        <x:v>17434838.217743874</x:v>
      </x:c>
      <x:c r="N15" s="62" t="n">
        <x:f>IF(L15=0,"",I15/L15)</x:f>
        <x:v>1.546314927015728</x:v>
      </x:c>
      <x:c r="O15" s="66" t="n">
        <x:f>IF(L15=0,"",M15/L15)</x:f>
        <x:v>0.5463149270157279</x:v>
      </x:c>
    </x:row>
    <x:row r="16" ht="18" customHeight="1">
      <x:c r="A16" s="46" t="str">
        <x:v>Medium pelagics (30 - 89 cm)</x:v>
      </x:c>
      <x:c r="B16" s="64" t="n">
        <x:v>22</x:v>
      </x:c>
      <x:c r="C16" s="64" t="n">
        <x:v>22</x:v>
      </x:c>
      <x:c r="D16" s="60" t="n">
        <x:v>32358.604155239296</x:v>
      </x:c>
      <x:c r="E16" s="60" t="n">
        <x:v>32358.604155239296</x:v>
      </x:c>
      <x:c r="F16" s="62" t="n">
        <x:v>0</x:v>
      </x:c>
      <x:c r="G16" s="66" t="n">
        <x:v>1</x:v>
      </x:c>
      <x:c r="H16" s="62" t="n">
        <x:f>IF(E16=0,"",I16/E16)</x:f>
        <x:v>984.3165294463809</x:v>
      </x:c>
      <x:c r="I16" s="60" t="n">
        <x:f>SUMIF('Species'!$G$2:$G$508,A16,'Species'!$U$2:$U$508)</x:f>
        <x:v>31851108.93981438</x:v>
      </x:c>
      <x:c r="J16" s="62" t="n">
        <x:v>3.82498704372722</x:v>
      </x:c>
      <x:c r="K16" s="62" t="n">
        <x:f>IF(J16="","",(1/'Metadata'!$B$5)^(J16-1))</x:f>
        <x:v>668.3239792150238</x:v>
      </x:c>
      <x:c r="L16" s="60" t="n">
        <x:f>IF(E16=0,"",E16*K16)</x:f>
        <x:v>21626031.09087333</x:v>
      </x:c>
      <x:c r="M16" s="60" t="n">
        <x:f>I16-L16</x:f>
        <x:v>10225077.84894105</x:v>
      </x:c>
      <x:c r="N16" s="62" t="n">
        <x:f>IF(L16=0,"",I16/L16)</x:f>
        <x:v>1.4728134259113437</x:v>
      </x:c>
      <x:c r="O16" s="66" t="n">
        <x:f>IF(L16=0,"",M16/L16)</x:f>
        <x:v>0.47281342591134357</x:v>
      </x:c>
    </x:row>
    <x:row r="17" ht="18" customHeight="1">
      <x:c r="A17" s="46" t="str">
        <x:v>Medium reef assoc. fish (30 - 89 cm)</x:v>
      </x:c>
      <x:c r="B17" s="64" t="n">
        <x:v>82</x:v>
      </x:c>
      <x:c r="C17" s="64" t="n">
        <x:v>82</x:v>
      </x:c>
      <x:c r="D17" s="60" t="n">
        <x:v>72235.1517058158</x:v>
      </x:c>
      <x:c r="E17" s="60" t="n">
        <x:v>72235.1517058158</x:v>
      </x:c>
      <x:c r="F17" s="62" t="n">
        <x:v>0</x:v>
      </x:c>
      <x:c r="G17" s="66" t="n">
        <x:v>1</x:v>
      </x:c>
      <x:c r="H17" s="62" t="n">
        <x:f>IF(E17=0,"",I17/E17)</x:f>
        <x:v>1086.6220659294531</x:v>
      </x:c>
      <x:c r="I17" s="60" t="n">
        <x:f>SUMIF('Species'!$G$2:$G$508,A17,'Species'!$U$2:$U$508)</x:f>
        <x:v>78492309.77930103</x:v>
      </x:c>
      <x:c r="J17" s="62" t="n">
        <x:v>3.8810312380658245</x:v>
      </x:c>
      <x:c r="K17" s="62" t="n">
        <x:f>IF(J17="","",(1/'Metadata'!$B$5)^(J17-1))</x:f>
        <x:v>760.3809678871921</x:v>
      </x:c>
      <x:c r="L17" s="60" t="n">
        <x:f>IF(E17=0,"",E17*K17)</x:f>
        <x:v>54926234.56954638</x:v>
      </x:c>
      <x:c r="M17" s="60" t="n">
        <x:f>I17-L17</x:f>
        <x:v>23566075.209754653</x:v>
      </x:c>
      <x:c r="N17" s="62" t="n">
        <x:f>IF(L17=0,"",I17/L17)</x:f>
        <x:v>1.4290495315115004</x:v>
      </x:c>
      <x:c r="O17" s="66" t="n">
        <x:f>IF(L17=0,"",M17/L17)</x:f>
        <x:v>0.42904953151150044</x:v>
      </x:c>
    </x:row>
    <x:row r="18" ht="18" customHeight="1">
      <x:c r="A18" s="46" t="str">
        <x:v>Other demersal invertebrates</x:v>
      </x:c>
      <x:c r="B18" s="64" t="n">
        <x:v>55</x:v>
      </x:c>
      <x:c r="C18" s="64" t="n">
        <x:v>55</x:v>
      </x:c>
      <x:c r="D18" s="60" t="n">
        <x:v>69505.1369812113</x:v>
      </x:c>
      <x:c r="E18" s="60" t="n">
        <x:v>69505.1369812113</x:v>
      </x:c>
      <x:c r="F18" s="62" t="n">
        <x:v>0</x:v>
      </x:c>
      <x:c r="G18" s="66" t="n">
        <x:v>1</x:v>
      </x:c>
      <x:c r="H18" s="62" t="n">
        <x:f>IF(E18=0,"",I18/E18)</x:f>
        <x:v>13.272035650996724</x:v>
      </x:c>
      <x:c r="I18" s="60" t="n">
        <x:f>SUMIF('Species'!$G$2:$G$508,A18,'Species'!$U$2:$U$508)</x:f>
        <x:v>922474.6559420471</x:v>
      </x:c>
      <x:c r="J18" s="62" t="n">
        <x:v>2.0916251237224253</x:v>
      </x:c>
      <x:c r="K18" s="62" t="n">
        <x:f>IF(J18="","",(1/'Metadata'!$B$5)^(J18-1))</x:f>
        <x:v>12.348810430540265</x:v>
      </x:c>
      <x:c r="L18" s="60" t="n">
        <x:f>IF(E18=0,"",E18*K18)</x:f>
        <x:v>858305.760529712</x:v>
      </x:c>
      <x:c r="M18" s="60" t="n">
        <x:f>I18-L18</x:f>
        <x:v>64168.89541233517</x:v>
      </x:c>
      <x:c r="N18" s="62" t="n">
        <x:f>IF(L18=0,"",I18/L18)</x:f>
        <x:v>1.0747622797879541</x:v>
      </x:c>
      <x:c r="O18" s="66" t="n">
        <x:f>IF(L18=0,"",M18/L18)</x:f>
        <x:v>0.07476227978795423</x:v>
      </x:c>
    </x:row>
    <x:row r="19" ht="18" customHeight="1">
      <x:c r="A19" s="46" t="str">
        <x:v>Shrimps</x:v>
      </x:c>
      <x:c r="B19" s="64" t="n">
        <x:v>17</x:v>
      </x:c>
      <x:c r="C19" s="64" t="n">
        <x:v>17</x:v>
      </x:c>
      <x:c r="D19" s="60" t="n">
        <x:v>11857.485199198602</x:v>
      </x:c>
      <x:c r="E19" s="60" t="n">
        <x:v>11857.485199198602</x:v>
      </x:c>
      <x:c r="F19" s="62" t="n">
        <x:v>0</x:v>
      </x:c>
      <x:c r="G19" s="66" t="n">
        <x:v>1</x:v>
      </x:c>
      <x:c r="H19" s="62" t="n">
        <x:f>IF(E19=0,"",I19/E19)</x:f>
        <x:v>81.04495677366828</x:v>
      </x:c>
      <x:c r="I19" s="60" t="n">
        <x:f>SUMIF('Species'!$G$2:$G$508,A19,'Species'!$U$2:$U$508)</x:f>
        <x:v>960989.3754134619</x:v>
      </x:c>
      <x:c r="J19" s="62" t="n">
        <x:v>2.8095204251769483</x:v>
      </x:c>
      <x:c r="K19" s="62" t="n">
        <x:f>IF(J19="","",(1/'Metadata'!$B$5)^(J19-1))</x:f>
        <x:v>64.49416512172992</x:v>
      </x:c>
      <x:c r="L19" s="60" t="n">
        <x:f>IF(E19=0,"",E19*K19)</x:f>
        <x:v>764738.6083655832</x:v>
      </x:c>
      <x:c r="M19" s="60" t="n">
        <x:f>I19-L19</x:f>
        <x:v>196250.7670478787</x:v>
      </x:c>
      <x:c r="N19" s="62" t="n">
        <x:f>IF(L19=0,"",I19/L19)</x:f>
        <x:v>1.2566246360535012</x:v>
      </x:c>
      <x:c r="O19" s="66" t="n">
        <x:f>IF(L19=0,"",M19/L19)</x:f>
        <x:v>0.2566246360535011</x:v>
      </x:c>
    </x:row>
    <x:row r="20" ht="18" customHeight="1">
      <x:c r="A20" s="46" t="str">
        <x:v>Small benthopelagics (&lt;30 cm)</x:v>
      </x:c>
      <x:c r="B20" s="64" t="n">
        <x:v>5</x:v>
      </x:c>
      <x:c r="C20" s="64" t="n">
        <x:v>5</x:v>
      </x:c>
      <x:c r="D20" s="60" t="n">
        <x:v>3172.4059182854</x:v>
      </x:c>
      <x:c r="E20" s="60" t="n">
        <x:v>3172.4059182854</x:v>
      </x:c>
      <x:c r="F20" s="62" t="n">
        <x:v>0</x:v>
      </x:c>
      <x:c r="G20" s="66" t="n">
        <x:v>1</x:v>
      </x:c>
      <x:c r="H20" s="62" t="n">
        <x:f>IF(E20=0,"",I20/E20)</x:f>
        <x:v>113.55643423570626</x:v>
      </x:c>
      <x:c r="I20" s="60" t="n">
        <x:f>SUMIF('Species'!$G$2:$G$508,A20,'Species'!$U$2:$U$508)</x:f>
        <x:v>360247.10402874136</x:v>
      </x:c>
      <x:c r="J20" s="62" t="n">
        <x:v>3.0370091224659137</x:v>
      </x:c>
      <x:c r="K20" s="62" t="n">
        <x:f>IF(J20="","",(1/'Metadata'!$B$5)^(J20-1))</x:f>
        <x:v>108.89529668268895</x:v>
      </x:c>
      <x:c r="L20" s="60" t="n">
        <x:f>IF(E20=0,"",E20*K20)</x:f>
        <x:v>345460.0836696069</x:v>
      </x:c>
      <x:c r="M20" s="60" t="n">
        <x:f>I20-L20</x:f>
        <x:v>14787.020359134476</x:v>
      </x:c>
      <x:c r="N20" s="62" t="n">
        <x:f>IF(L20=0,"",I20/L20)</x:f>
        <x:v>1.0428038464011853</x:v>
      </x:c>
      <x:c r="O20" s="66" t="n">
        <x:f>IF(L20=0,"",M20/L20)</x:f>
        <x:v>0.0428038464011853</x:v>
      </x:c>
    </x:row>
    <x:row r="21" ht="18" customHeight="1">
      <x:c r="A21" s="46" t="str">
        <x:v>Small demersals (&lt;30 cm)</x:v>
      </x:c>
      <x:c r="B21" s="64" t="n">
        <x:v>6</x:v>
      </x:c>
      <x:c r="C21" s="64" t="n">
        <x:v>6</x:v>
      </x:c>
      <x:c r="D21" s="60" t="n">
        <x:v>121.3638170169</x:v>
      </x:c>
      <x:c r="E21" s="60" t="n">
        <x:v>121.3638170169</x:v>
      </x:c>
      <x:c r="F21" s="62" t="n">
        <x:v>0</x:v>
      </x:c>
      <x:c r="G21" s="66" t="n">
        <x:v>1</x:v>
      </x:c>
      <x:c r="H21" s="62" t="n">
        <x:f>IF(E21=0,"",I21/E21)</x:f>
        <x:v>418.46956142280953</x:v>
      </x:c>
      <x:c r="I21" s="60" t="n">
        <x:f>SUMIF('Species'!$G$2:$G$508,A21,'Species'!$U$2:$U$508)</x:f>
        <x:v>50787.06327966025</x:v>
      </x:c>
      <x:c r="J21" s="62" t="n">
        <x:v>3.6128334327205622</x:v>
      </x:c>
      <x:c r="K21" s="62" t="n">
        <x:f>IF(J21="","",(1/'Metadata'!$B$5)^(J21-1))</x:f>
        <x:v>410.04680538523013</x:v>
      </x:c>
      <x:c r="L21" s="60" t="n">
        <x:f>IF(E21=0,"",E21*K21)</x:f>
        <x:v>49764.845457137475</x:v>
      </x:c>
      <x:c r="M21" s="60" t="n">
        <x:f>I21-L21</x:f>
        <x:v>1022.2178225227763</x:v>
      </x:c>
      <x:c r="N21" s="62" t="n">
        <x:f>IF(L21=0,"",I21/L21)</x:f>
        <x:v>1.0205409624632154</x:v>
      </x:c>
      <x:c r="O21" s="66" t="n">
        <x:f>IF(L21=0,"",M21/L21)</x:f>
        <x:v>0.0205409624632154</x:v>
      </x:c>
    </x:row>
    <x:row r="22" ht="18" customHeight="1">
      <x:c r="A22" s="46" t="str">
        <x:v>Small pelagics (&lt;30 cm)</x:v>
      </x:c>
      <x:c r="B22" s="64" t="n">
        <x:v>13</x:v>
      </x:c>
      <x:c r="C22" s="64" t="n">
        <x:v>13</x:v>
      </x:c>
      <x:c r="D22" s="60" t="n">
        <x:v>123271.8966384046</x:v>
      </x:c>
      <x:c r="E22" s="60" t="n">
        <x:v>123271.8966384046</x:v>
      </x:c>
      <x:c r="F22" s="62" t="n">
        <x:v>0</x:v>
      </x:c>
      <x:c r="G22" s="66" t="n">
        <x:v>1</x:v>
      </x:c>
      <x:c r="H22" s="62" t="n">
        <x:f>IF(E22=0,"",I22/E22)</x:f>
        <x:v>308.01207321695966</x:v>
      </x:c>
      <x:c r="I22" s="60" t="n">
        <x:f>SUMIF('Species'!$G$2:$G$508,A22,'Species'!$U$2:$U$508)</x:f>
        <x:v>37969232.45298176</x:v>
      </x:c>
      <x:c r="J22" s="62" t="n">
        <x:v>3.411036151332193</x:v>
      </x:c>
      <x:c r="K22" s="62" t="n">
        <x:f>IF(J22="","",(1/'Metadata'!$B$5)^(J22-1))</x:f>
        <x:v>257.6535622814191</x:v>
      </x:c>
      <x:c r="L22" s="60" t="n">
        <x:f>IF(E22=0,"",E22*K22)</x:f>
        <x:v>31761443.298071843</x:v>
      </x:c>
      <x:c r="M22" s="60" t="n">
        <x:f>I22-L22</x:f>
        <x:v>6207789.15490992</x:v>
      </x:c>
      <x:c r="N22" s="62" t="n">
        <x:f>IF(L22=0,"",I22/L22)</x:f>
        <x:v>1.1954504742322833</x:v>
      </x:c>
      <x:c r="O22" s="66" t="n">
        <x:f>IF(L22=0,"",M22/L22)</x:f>
        <x:v>0.19545047423228337</x:v>
      </x:c>
    </x:row>
    <x:row r="23" ht="18" customHeight="1">
      <x:c r="A23" s="46" t="str">
        <x:v>Small reef assoc. fish (&lt;30 cm)</x:v>
      </x:c>
      <x:c r="B23" s="64" t="n">
        <x:v>58</x:v>
      </x:c>
      <x:c r="C23" s="64" t="n">
        <x:v>58</x:v>
      </x:c>
      <x:c r="D23" s="60" t="n">
        <x:v>8126.201275137801</x:v>
      </x:c>
      <x:c r="E23" s="60" t="n">
        <x:v>8126.201275137801</x:v>
      </x:c>
      <x:c r="F23" s="62" t="n">
        <x:v>0</x:v>
      </x:c>
      <x:c r="G23" s="66" t="n">
        <x:v>1</x:v>
      </x:c>
      <x:c r="H23" s="62" t="n">
        <x:f>IF(E23=0,"",I23/E23)</x:f>
        <x:v>385.3863643138919</x:v>
      </x:c>
      <x:c r="I23" s="60" t="n">
        <x:f>SUMIF('Species'!$G$2:$G$508,A23,'Species'!$U$2:$U$508)</x:f>
        <x:v>3131727.165108269</x:v>
      </x:c>
      <x:c r="J23" s="62" t="n">
        <x:v>3.324190020733796</x:v>
      </x:c>
      <x:c r="K23" s="62" t="n">
        <x:f>IF(J23="","",(1/'Metadata'!$B$5)^(J23-1))</x:f>
        <x:v>210.9550958661136</x:v>
      </x:c>
      <x:c r="L23" s="60" t="n">
        <x:f>IF(E23=0,"",E23*K23)</x:f>
        <x:v>1714263.5690240292</x:v>
      </x:c>
      <x:c r="M23" s="60" t="n">
        <x:f>I23-L23</x:f>
        <x:v>1417463.59608424</x:v>
      </x:c>
      <x:c r="N23" s="62" t="n">
        <x:f>IF(L23=0,"",I23/L23)</x:f>
        <x:v>1.8268644458747003</x:v>
      </x:c>
      <x:c r="O23" s="66" t="n">
        <x:f>IF(L23=0,"",M23/L23)</x:f>
        <x:v>0.8268644458747003</x:v>
      </x:c>
    </x:row>
    <x:row r="24" ht="18" customHeight="1">
      <x:c r="A24" s="46" t="str">
        <x:v>Small to medium flatfishes (&lt;90 cm)</x:v>
      </x:c>
      <x:c r="B24" s="64" t="n">
        <x:v>3</x:v>
      </x:c>
      <x:c r="C24" s="64" t="n">
        <x:v>3</x:v>
      </x:c>
      <x:c r="D24" s="60" t="n">
        <x:v>190.2980075253</x:v>
      </x:c>
      <x:c r="E24" s="60" t="n">
        <x:v>190.2980075253</x:v>
      </x:c>
      <x:c r="F24" s="62" t="n">
        <x:v>0</x:v>
      </x:c>
      <x:c r="G24" s="66" t="n">
        <x:v>1</x:v>
      </x:c>
      <x:c r="H24" s="62" t="n">
        <x:f>IF(E24=0,"",I24/E24)</x:f>
        <x:v>276.7480012475941</x:v>
      </x:c>
      <x:c r="I24" s="60" t="n">
        <x:f>SUMIF('Species'!$G$2:$G$508,A24,'Species'!$U$2:$U$508)</x:f>
        <x:v>52664.5932240264</x:v>
      </x:c>
      <x:c r="J24" s="62" t="n">
        <x:v>3.4089926358439953</x:v>
      </x:c>
      <x:c r="K24" s="62" t="n">
        <x:f>IF(J24="","",(1/'Metadata'!$B$5)^(J24-1))</x:f>
        <x:v>256.44405519670505</x:v>
      </x:c>
      <x:c r="L24" s="60" t="n">
        <x:f>IF(E24=0,"",E24*K24)</x:f>
        <x:v>48800.792745641025</x:v>
      </x:c>
      <x:c r="M24" s="60" t="n">
        <x:f>I24-L24</x:f>
        <x:v>3863.8004783853758</x:v>
      </x:c>
      <x:c r="N24" s="62" t="n">
        <x:f>IF(L24=0,"",I24/L24)</x:f>
        <x:v>1.079174953130869</x:v>
      </x:c>
      <x:c r="O24" s="66" t="n">
        <x:f>IF(L24=0,"",M24/L24)</x:f>
        <x:v>0.0791749531308689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0.8374037904</x:v>
      </x:c>
      <x:c r="E25" s="60" t="n">
        <x:v>0.8374037904</x:v>
      </x:c>
      <x:c r="F25" s="62" t="n">
        <x:v>0</x:v>
      </x:c>
      <x:c r="G25" s="66" t="n">
        <x:v>1</x:v>
      </x:c>
      <x:c r="H25" s="62" t="n">
        <x:f>IF(E25=0,"",I25/E25)</x:f>
        <x:v>363.06699103164925</x:v>
      </x:c>
      <x:c r="I25" s="60" t="n">
        <x:f>SUMIF('Species'!$G$2:$G$508,A25,'Species'!$U$2:$U$508)</x:f>
        <x:v>304.0336744590259</x:v>
      </x:c>
      <x:c r="J25" s="62" t="n">
        <x:v>3.5599866132048503</x:v>
      </x:c>
      <x:c r="K25" s="62" t="n">
        <x:f>IF(J25="","",(1/'Metadata'!$B$5)^(J25-1))</x:f>
        <x:v>363.0668633393188</x:v>
      </x:c>
      <x:c r="L25" s="60" t="n">
        <x:f>IF(E25=0,"",E25*K25)</x:f>
        <x:v>304.03356752898435</x:v>
      </x:c>
      <x:c r="M25" s="60" t="n">
        <x:f>I25-L25</x:f>
        <x:v>0.00010693004156792085</x:v>
      </x:c>
      <x:c r="N25" s="62" t="n">
        <x:f>IF(L25=0,"",I25/L25)</x:f>
        <x:v>1.0000003517047227</x:v>
      </x:c>
      <x:c r="O25" s="66" t="n">
        <x:f>IF(L25=0,"",M25/L25)</x:f>
        <x:v>3.517047227284432e-7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3f7116dbcc342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LME_012</x:v>
      </x:c>
      <x:c r="B2" s="46" t="str">
        <x:v>raw_filtered_tonnes</x:v>
      </x:c>
      <x:c r="C2" s="46" t="n">
        <x:v>625707.9632201534</x:v>
      </x:c>
      <x:c r="D2" s="46" t="str">
        <x:v>tonnes</x:v>
      </x:c>
    </x:row>
    <x:row r="3" ht="18" customHeight="1">
      <x:c r="A3" s="46" t="str">
        <x:v>LME_012</x:v>
      </x:c>
      <x:c r="B3" s="46" t="str">
        <x:v>species_catch_tonnes</x:v>
      </x:c>
      <x:c r="C3" s="46" t="n">
        <x:v>625707.9632201534</x:v>
      </x:c>
      <x:c r="D3" s="46" t="str">
        <x:v>tonnes</x:v>
      </x:c>
    </x:row>
    <x:row r="4" ht="18" customHeight="1">
      <x:c r="A4" s="46" t="str">
        <x:v>LME_012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LME_012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LME_012</x:v>
      </x:c>
      <x:c r="B6" s="46" t="str">
        <x:v>matched_catch_tonnes</x:v>
      </x:c>
      <x:c r="C6" s="46" t="n">
        <x:v>625707.9632201534</x:v>
      </x:c>
      <x:c r="D6" s="46" t="str">
        <x:v>tonnes</x:v>
      </x:c>
    </x:row>
    <x:row r="7" ht="18" customHeight="1">
      <x:c r="A7" s="46" t="str">
        <x:v>LME_012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LME_012</x:v>
      </x:c>
      <x:c r="B8" s="46" t="str">
        <x:v>taxa_count</x:v>
      </x:c>
      <x:c r="C8" s="46" t="n">
        <x:v>507</x:v>
      </x:c>
      <x:c r="D8" s="46" t="str">
        <x:v>count</x:v>
      </x:c>
    </x:row>
    <x:row r="9" ht="18" customHeight="1">
      <x:c r="A9" s="46" t="str">
        <x:v>LME_012</x:v>
      </x:c>
      <x:c r="B9" s="46" t="str">
        <x:v>matched_taxa_count</x:v>
      </x:c>
      <x:c r="C9" s="46" t="n">
        <x:v>507</x:v>
      </x:c>
      <x:c r="D9" s="46" t="str">
        <x:v>count</x:v>
      </x:c>
    </x:row>
    <x:row r="10" ht="18" customHeight="1">
      <x:c r="A10" s="46" t="str">
        <x:v>LME_012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LME_012</x:v>
      </x:c>
      <x:c r="B11" s="46" t="str">
        <x:v>species_ppr</x:v>
      </x:c>
      <x:c r="C11" s="46" t="n">
        <x:v>398459551.5651003</x:v>
      </x:c>
      <x:c r="D11" s="46" t="str">
        <x:v>tonnes_primary_production_equivalent</x:v>
      </x:c>
    </x:row>
    <x:row r="12" ht="18" customHeight="1">
      <x:c r="A12" s="46" t="str">
        <x:v>LME_012</x:v>
      </x:c>
      <x:c r="B12" s="46" t="str">
        <x:v>commercial_ppr</x:v>
      </x:c>
      <x:c r="C12" s="46" t="n">
        <x:v>398459551.56510025</x:v>
      </x:c>
      <x:c r="D12" s="46" t="str">
        <x:v>tonnes_primary_production_equivalent</x:v>
      </x:c>
    </x:row>
    <x:row r="13" ht="18" customHeight="1">
      <x:c r="A13" s="46" t="str">
        <x:v>LME_012</x:v>
      </x:c>
      <x:c r="B13" s="46" t="str">
        <x:v>functional_ppr</x:v>
      </x:c>
      <x:c r="C13" s="46" t="n">
        <x:v>398459551.5651003</x:v>
      </x:c>
      <x:c r="D13" s="46" t="str">
        <x:v>tonnes_primary_production_equivalent</x:v>
      </x:c>
    </x:row>
    <x:row r="14" ht="18" customHeight="1">
      <x:c r="A14" s="46" t="str">
        <x:v>LME_012</x:v>
      </x:c>
      <x:c r="B14" s="46" t="str">
        <x:v>commercial_ppr_difference</x:v>
      </x:c>
      <x:c r="C14" s="46" t="n">
        <x:v>-5.960464477539063e-8</x:v>
      </x:c>
      <x:c r="D14" s="46" t="str">
        <x:v>tonnes_primary_production_equivalent</x:v>
      </x:c>
    </x:row>
    <x:row r="15" ht="18" customHeight="1">
      <x:c r="A15" s="46" t="str">
        <x:v>LME_012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LME_012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0e48dab41c24b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LME_012 - Caribbean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