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6c089fdad249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6a0f8d7be3343b2"/>
    <x:sheet xmlns:r="http://schemas.openxmlformats.org/officeDocument/2006/relationships" name="Commercial" sheetId="2" r:id="R4bb685cbe5d742e8"/>
    <x:sheet xmlns:r="http://schemas.openxmlformats.org/officeDocument/2006/relationships" name="Functional" sheetId="3" r:id="R2d117eb1599d4c7f"/>
    <x:sheet xmlns:r="http://schemas.openxmlformats.org/officeDocument/2006/relationships" name="Missing TL" sheetId="4" r:id="Ra62eeb4ca2b24a54"/>
    <x:sheet xmlns:r="http://schemas.openxmlformats.org/officeDocument/2006/relationships" name="Validation" sheetId="5" r:id="Re12f8e5e61b549c2"/>
    <x:sheet xmlns:r="http://schemas.openxmlformats.org/officeDocument/2006/relationships" name="Metadata" sheetId="6" r:id="R1972990592af49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74fb8baf0b47d8" /><Relationship Type="http://schemas.openxmlformats.org/officeDocument/2006/relationships/theme" Target="/xl/theme/theme1.xml" Id="R75c2e7825b0546f5" /><Relationship Type="http://schemas.openxmlformats.org/officeDocument/2006/relationships/sharedStrings" Target="/xl/sharedStrings.xml" Id="R10ab4820a9124544" /><Relationship Type="http://schemas.openxmlformats.org/officeDocument/2006/relationships/worksheet" Target="/xl/worksheets/sheet1.xml" Id="Re6a0f8d7be3343b2" /><Relationship Type="http://schemas.openxmlformats.org/officeDocument/2006/relationships/worksheet" Target="/xl/worksheets/sheet2.xml" Id="R4bb685cbe5d742e8" /><Relationship Type="http://schemas.openxmlformats.org/officeDocument/2006/relationships/worksheet" Target="/xl/worksheets/sheet3.xml" Id="R2d117eb1599d4c7f" /><Relationship Type="http://schemas.openxmlformats.org/officeDocument/2006/relationships/worksheet" Target="/xl/worksheets/sheet4.xml" Id="Ra62eeb4ca2b24a54" /><Relationship Type="http://schemas.openxmlformats.org/officeDocument/2006/relationships/worksheet" Target="/xl/worksheets/sheet5.xml" Id="Re12f8e5e61b549c2" /><Relationship Type="http://schemas.openxmlformats.org/officeDocument/2006/relationships/worksheet" Target="/xl/worksheets/sheet6.xml" Id="R1972990592af4995" /></Relationships>
</file>

<file path=xl/tables/table1.xml><?xml version="1.0" encoding="utf-8"?>
<x:table xmlns:x="http://schemas.openxmlformats.org/spreadsheetml/2006/main" id="1" name="LME060SpeciesTable" displayName="LME060SpeciesTable" ref="A1:U115" headerRowCount="1" totalsRowCount="0" totalsRowShown="0">
  <x:autoFilter ref="A1:U11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60CommercialTable" displayName="LME060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60FunctionalTable" displayName="LME060FunctionalTable" ref="A1:O23" headerRowCount="1" totalsRowCount="0" totalsRowShown="0">
  <x:autoFilter ref="A1:O23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60ValidationTable" displayName="LME06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d0aee1d0ec4ff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3e5214905cf4d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749f00374e94f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e0d656126b48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LME_060</x:v>
      </x:c>
      <x:c r="B2" s="46" t="str">
        <x:v>Faroe Plateau</x:v>
      </x:c>
      <x:c r="C2" s="46" t="str">
        <x:v>LME</x:v>
      </x:c>
      <x:c r="D2" s="58" t="n">
        <x:v>2019</x:v>
      </x:c>
      <x:c r="E2" s="46" t="str">
        <x:v>Micromesistius poutassou</x:v>
      </x:c>
      <x:c r="F2" s="46" t="str">
        <x:v>Blue whiting</x:v>
      </x:c>
      <x:c r="G2" s="46" t="str">
        <x:v>Medium benthopelagics (30 - 89 cm)</x:v>
      </x:c>
      <x:c r="H2" s="46" t="str">
        <x:v>Cod-likes</x:v>
      </x:c>
      <x:c r="I2" s="60" t="n">
        <x:v>277343.4904496029</x:v>
      </x:c>
      <x:c r="J2" s="60" t="n">
        <x:v>277104.0123324779</x:v>
      </x:c>
      <x:c r="K2" s="60" t="n">
        <x:v>239.478117125</x:v>
      </x:c>
      <x:c r="L2" s="60" t="n">
        <x:v>277104.0123324779</x:v>
      </x:c>
      <x:c r="M2" s="60" t="n">
        <x:v>239.478117125</x:v>
      </x:c>
      <x:c r="N2" s="46" t="str">
        <x:v>micromesistius poutassou</x:v>
      </x:c>
      <x:c r="O2" s="62" t="n">
        <x:v>4.13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Micromesistius poutassou</x:v>
      </x:c>
      <x:c r="T2" s="62" t="n">
        <x:f>IF(O2="","",(1/'Metadata'!$B$5)^(O2-1))</x:f>
        <x:v>1348.9628825916532</x:v>
      </x:c>
      <x:c r="U2" s="60" t="n">
        <x:f>IF(T2="","",I2*T2)</x:f>
        <x:v>374126074.34492695</x:v>
      </x:c>
    </x:row>
    <x:row r="3" ht="18" customHeight="1">
      <x:c r="A3" s="46" t="str">
        <x:v>LME_060</x:v>
      </x:c>
      <x:c r="B3" s="46" t="str">
        <x:v>Faroe Plateau</x:v>
      </x:c>
      <x:c r="C3" s="46" t="str">
        <x:v>LME</x:v>
      </x:c>
      <x:c r="D3" s="58" t="n">
        <x:v>2019</x:v>
      </x:c>
      <x:c r="E3" s="46" t="str">
        <x:v>Scomber scombrus</x:v>
      </x:c>
      <x:c r="F3" s="46" t="str">
        <x:v>Atlantic mackerel</x:v>
      </x:c>
      <x:c r="G3" s="46" t="str">
        <x:v>Medium pelagics (30 - 89 cm)</x:v>
      </x:c>
      <x:c r="H3" s="46" t="str">
        <x:v>Perch-likes</x:v>
      </x:c>
      <x:c r="I3" s="60" t="n">
        <x:v>49720.205025878604</x:v>
      </x:c>
      <x:c r="J3" s="60" t="n">
        <x:v>49717.2326088382</x:v>
      </x:c>
      <x:c r="K3" s="60" t="n">
        <x:v>2.9724170404</x:v>
      </x:c>
      <x:c r="L3" s="60" t="n">
        <x:v>49717.2326088382</x:v>
      </x:c>
      <x:c r="M3" s="60" t="n">
        <x:v>2.9724170404</x:v>
      </x:c>
      <x:c r="N3" s="46" t="str">
        <x:v>scomber scombrus</x:v>
      </x:c>
      <x:c r="O3" s="62" t="n">
        <x:v>3.63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Scomber scombrus</x:v>
      </x:c>
      <x:c r="T3" s="62" t="n">
        <x:f>IF(O3="","",(1/'Metadata'!$B$5)^(O3-1))</x:f>
        <x:v>426.57951880159254</x:v>
      </x:c>
      <x:c r="U3" s="60" t="n">
        <x:f>IF(T3="","",I3*T3)</x:f>
        <x:v>21209621.13465582</x:v>
      </x:c>
    </x:row>
    <x:row r="4" ht="18" customHeight="1">
      <x:c r="A4" s="46" t="str">
        <x:v>LME_060</x:v>
      </x:c>
      <x:c r="B4" s="46" t="str">
        <x:v>Faroe Plateau</x:v>
      </x:c>
      <x:c r="C4" s="46" t="str">
        <x:v>LME</x:v>
      </x:c>
      <x:c r="D4" s="58" t="n">
        <x:v>2019</x:v>
      </x:c>
      <x:c r="E4" s="46" t="str">
        <x:v>Gadus morhua</x:v>
      </x:c>
      <x:c r="F4" s="46" t="str">
        <x:v>Atlantic cod</x:v>
      </x:c>
      <x:c r="G4" s="46" t="str">
        <x:v>Large benthopelagics (&gt;=90 cm)</x:v>
      </x:c>
      <x:c r="H4" s="46" t="str">
        <x:v>Cod-likes</x:v>
      </x:c>
      <x:c r="I4" s="60" t="n">
        <x:v>21098.313931375502</x:v>
      </x:c>
      <x:c r="J4" s="60" t="n">
        <x:v>21080.6942566389</x:v>
      </x:c>
      <x:c r="K4" s="60" t="n">
        <x:v>17.6196747366</x:v>
      </x:c>
      <x:c r="L4" s="60" t="n">
        <x:v>20740.3782482513</x:v>
      </x:c>
      <x:c r="M4" s="60" t="n">
        <x:v>357.9356831242</x:v>
      </x:c>
      <x:c r="N4" s="46" t="str">
        <x:v>gadus morhua</x:v>
      </x:c>
      <x:c r="O4" s="62" t="n">
        <x:v>4.09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Gadus morhua</x:v>
      </x:c>
      <x:c r="T4" s="62" t="n">
        <x:f>IF(O4="","",(1/'Metadata'!$B$5)^(O4-1))</x:f>
        <x:v>1230.268770812381</x:v>
      </x:c>
      <x:c r="U4" s="60" t="n">
        <x:f>IF(T4="","",I4*T4)</x:f>
        <x:v>25956596.746567074</x:v>
      </x:c>
    </x:row>
    <x:row r="5" ht="18" customHeight="1">
      <x:c r="A5" s="46" t="str">
        <x:v>LME_060</x:v>
      </x:c>
      <x:c r="B5" s="46" t="str">
        <x:v>Faroe Plateau</x:v>
      </x:c>
      <x:c r="C5" s="46" t="str">
        <x:v>LME</x:v>
      </x:c>
      <x:c r="D5" s="58" t="n">
        <x:v>2019</x:v>
      </x:c>
      <x:c r="E5" s="46" t="str">
        <x:v>Marine fishes not identified</x:v>
      </x:c>
      <x:c r="F5" s="46" t="str">
        <x:v>Marine fishes nei</x:v>
      </x:c>
      <x:c r="G5" s="46" t="str">
        <x:v>Medium demersals (30 - 89 cm)</x:v>
      </x:c>
      <x:c r="H5" s="46" t="str">
        <x:v>Other fishes &amp; inverts</x:v>
      </x:c>
      <x:c r="I5" s="60" t="n">
        <x:v>20722.776312331</x:v>
      </x:c>
      <x:c r="J5" s="60" t="n">
        <x:v>20592.939455130898</x:v>
      </x:c>
      <x:c r="K5" s="60" t="n">
        <x:v>129.8368572001</x:v>
      </x:c>
      <x:c r="L5" s="60" t="n">
        <x:v>20510.0270730194</x:v>
      </x:c>
      <x:c r="M5" s="60" t="n">
        <x:v>212.7492393116</x:v>
      </x:c>
      <x:c r="N5" s="46" t="str">
        <x:v>marine fishes not identified</x:v>
      </x:c>
      <x:c r="O5" s="62" t="n">
        <x:v>3.28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Marine fishes not identified</x:v>
      </x:c>
      <x:c r="T5" s="62" t="n">
        <x:f>IF(O5="","",(1/'Metadata'!$B$5)^(O5-1))</x:f>
        <x:v>190.54607179632464</x:v>
      </x:c>
      <x:c r="U5" s="60" t="n">
        <x:f>IF(T5="","",I5*T5)</x:f>
        <x:v>3948643.6230285983</x:v>
      </x:c>
    </x:row>
    <x:row r="6" ht="18" customHeight="1">
      <x:c r="A6" s="46" t="str">
        <x:v>LME_060</x:v>
      </x:c>
      <x:c r="B6" s="46" t="str">
        <x:v>Faroe Plateau</x:v>
      </x:c>
      <x:c r="C6" s="46" t="str">
        <x:v>LME</x:v>
      </x:c>
      <x:c r="D6" s="58" t="n">
        <x:v>2019</x:v>
      </x:c>
      <x:c r="E6" s="46" t="str">
        <x:v>Argentina</x:v>
      </x:c>
      <x:c r="F6" s="46" t="str">
        <x:v>Argentines</x:v>
      </x:c>
      <x:c r="G6" s="46" t="str">
        <x:v>Medium bathydemersals (30 - 89 cm)</x:v>
      </x:c>
      <x:c r="H6" s="46" t="str">
        <x:v>Salmon, smelts, etc</x:v>
      </x:c>
      <x:c r="I6" s="60" t="n">
        <x:v>18397.3015770671</x:v>
      </x:c>
      <x:c r="J6" s="60" t="n">
        <x:v>18388.2440058075</x:v>
      </x:c>
      <x:c r="K6" s="60" t="n">
        <x:v>9.0575712596</x:v>
      </x:c>
      <x:c r="L6" s="60" t="n">
        <x:v>18388.2440058075</x:v>
      </x:c>
      <x:c r="M6" s="60" t="n">
        <x:v>9.0575712596</x:v>
      </x:c>
      <x:c r="N6" s="46" t="str">
        <x:v>argentina</x:v>
      </x:c>
      <x:c r="O6" s="62" t="n">
        <x:v>3.35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Argentina</x:v>
      </x:c>
      <x:c r="T6" s="62" t="n">
        <x:f>IF(O6="","",(1/'Metadata'!$B$5)^(O6-1))</x:f>
        <x:v>223.872113856834</x:v>
      </x:c>
      <x:c r="U6" s="60" t="n">
        <x:f>IF(T6="","",I6*T6)</x:f>
        <x:v>4118642.793319678</x:v>
      </x:c>
    </x:row>
    <x:row r="7" ht="18" customHeight="1">
      <x:c r="A7" s="46" t="str">
        <x:v>LME_060</x:v>
      </x:c>
      <x:c r="B7" s="46" t="str">
        <x:v>Faroe Plateau</x:v>
      </x:c>
      <x:c r="C7" s="46" t="str">
        <x:v>LME</x:v>
      </x:c>
      <x:c r="D7" s="58" t="n">
        <x:v>2019</x:v>
      </x:c>
      <x:c r="E7" s="46" t="str">
        <x:v>Melanogrammus aeglefinus</x:v>
      </x:c>
      <x:c r="F7" s="46" t="str">
        <x:v>Haddock</x:v>
      </x:c>
      <x:c r="G7" s="46" t="str">
        <x:v>Medium demersals (30 - 89 cm)</x:v>
      </x:c>
      <x:c r="H7" s="46" t="str">
        <x:v>Cod-likes</x:v>
      </x:c>
      <x:c r="I7" s="60" t="n">
        <x:v>9601.014116072</x:v>
      </x:c>
      <x:c r="J7" s="60" t="n">
        <x:v>9595.0238157283</x:v>
      </x:c>
      <x:c r="K7" s="60" t="n">
        <x:v>5.9903003436999995</x:v>
      </x:c>
      <x:c r="L7" s="60" t="n">
        <x:v>9501.157723138202</x:v>
      </x:c>
      <x:c r="M7" s="60" t="n">
        <x:v>99.85639293380001</x:v>
      </x:c>
      <x:c r="N7" s="46" t="str">
        <x:v>melanogrammus aeglefinus</x:v>
      </x:c>
      <x:c r="O7" s="62" t="n">
        <x:v>4.03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Melanogrammus aeglefinus</x:v>
      </x:c>
      <x:c r="T7" s="62" t="n">
        <x:f>IF(O7="","",(1/'Metadata'!$B$5)^(O7-1))</x:f>
        <x:v>1071.519305237607</x:v>
      </x:c>
      <x:c r="U7" s="60" t="n">
        <x:f>IF(T7="","",I7*T7)</x:f>
        <x:v>10287671.975229928</x:v>
      </x:c>
    </x:row>
    <x:row r="8" ht="18" customHeight="1">
      <x:c r="A8" s="46" t="str">
        <x:v>LME_060</x:v>
      </x:c>
      <x:c r="B8" s="46" t="str">
        <x:v>Faroe Plateau</x:v>
      </x:c>
      <x:c r="C8" s="46" t="str">
        <x:v>LME</x:v>
      </x:c>
      <x:c r="D8" s="58" t="n">
        <x:v>2019</x:v>
      </x:c>
      <x:c r="E8" s="46" t="str">
        <x:v>Molva molva</x:v>
      </x:c>
      <x:c r="F8" s="46" t="str">
        <x:v>Ling</x:v>
      </x:c>
      <x:c r="G8" s="46" t="str">
        <x:v>Large demersals (&gt;=90 cm)</x:v>
      </x:c>
      <x:c r="H8" s="46" t="str">
        <x:v>Cod-likes</x:v>
      </x:c>
      <x:c r="I8" s="60" t="n">
        <x:v>6206.730619827101</x:v>
      </x:c>
      <x:c r="J8" s="60" t="n">
        <x:v>6199.0620536011</x:v>
      </x:c>
      <x:c r="K8" s="60" t="n">
        <x:v>7.668566226</x:v>
      </x:c>
      <x:c r="L8" s="60" t="n">
        <x:v>6199.0620536011</x:v>
      </x:c>
      <x:c r="M8" s="60" t="n">
        <x:v>7.668566226</x:v>
      </x:c>
      <x:c r="N8" s="46" t="str">
        <x:v>molva molva</x:v>
      </x:c>
      <x:c r="O8" s="62" t="n">
        <x:v>4.4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Molva molva</x:v>
      </x:c>
      <x:c r="T8" s="62" t="n">
        <x:f>IF(O8="","",(1/'Metadata'!$B$5)^(O8-1))</x:f>
        <x:v>2511.886431509582</x:v>
      </x:c>
      <x:c r="U8" s="60" t="n">
        <x:f>IF(T8="","",I8*T8)</x:f>
        <x:v>15590602.427978752</x:v>
      </x:c>
    </x:row>
    <x:row r="9" ht="18" customHeight="1">
      <x:c r="A9" s="46" t="str">
        <x:v>LME_060</x:v>
      </x:c>
      <x:c r="B9" s="46" t="str">
        <x:v>Faroe Plateau</x:v>
      </x:c>
      <x:c r="C9" s="46" t="str">
        <x:v>LME</x:v>
      </x:c>
      <x:c r="D9" s="58" t="n">
        <x:v>2019</x:v>
      </x:c>
      <x:c r="E9" s="46" t="str">
        <x:v>Aequipecten opercularis</x:v>
      </x:c>
      <x:c r="F9" s="46" t="str">
        <x:v>Queen scallop</x:v>
      </x:c>
      <x:c r="G9" s="46" t="str">
        <x:v>Other demersal invertebrates</x:v>
      </x:c>
      <x:c r="H9" s="46" t="str">
        <x:v>Molluscs</x:v>
      </x:c>
      <x:c r="I9" s="60" t="n">
        <x:v>5364.0470206743</x:v>
      </x:c>
      <x:c r="J9" s="60" t="n">
        <x:v>5364.0470206743</x:v>
      </x:c>
      <x:c r="K9" s="60" t="n">
        <x:v>0</x:v>
      </x:c>
      <x:c r="L9" s="60" t="n">
        <x:v>5364.0470206743</x:v>
      </x:c>
      <x:c r="M9" s="60" t="n">
        <x:v>0</x:v>
      </x:c>
      <x:c r="N9" s="46" t="str">
        <x:v>aequipecten opercularis</x:v>
      </x:c>
      <x:c r="O9" s="62" t="n">
        <x:v>2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Aequipecten opercularis</x:v>
      </x:c>
      <x:c r="T9" s="62" t="n">
        <x:f>IF(O9="","",(1/'Metadata'!$B$5)^(O9-1))</x:f>
        <x:v>10</x:v>
      </x:c>
      <x:c r="U9" s="60" t="n">
        <x:f>IF(T9="","",I9*T9)</x:f>
        <x:v>53640.470206743004</x:v>
      </x:c>
    </x:row>
    <x:row r="10" ht="18" customHeight="1">
      <x:c r="A10" s="46" t="str">
        <x:v>LME_060</x:v>
      </x:c>
      <x:c r="B10" s="46" t="str">
        <x:v>Faroe Plateau</x:v>
      </x:c>
      <x:c r="C10" s="46" t="str">
        <x:v>LME</x:v>
      </x:c>
      <x:c r="D10" s="58" t="n">
        <x:v>2019</x:v>
      </x:c>
      <x:c r="E10" s="46" t="str">
        <x:v>Lophius piscatorius</x:v>
      </x:c>
      <x:c r="F10" s="46" t="str">
        <x:v>Angler</x:v>
      </x:c>
      <x:c r="G10" s="46" t="str">
        <x:v>Large bathydemersals (&gt;=90 cm)</x:v>
      </x:c>
      <x:c r="H10" s="46" t="str">
        <x:v>Other fishes &amp; inverts</x:v>
      </x:c>
      <x:c r="I10" s="60" t="n">
        <x:v>2491.8804141942</x:v>
      </x:c>
      <x:c r="J10" s="60" t="n">
        <x:v>2491.8804141942</x:v>
      </x:c>
      <x:c r="K10" s="60" t="n">
        <x:v>0</x:v>
      </x:c>
      <x:c r="L10" s="60" t="n">
        <x:v>2491.8804141942</x:v>
      </x:c>
      <x:c r="M10" s="60" t="n">
        <x:v>0</x:v>
      </x:c>
      <x:c r="N10" s="46" t="str">
        <x:v>lophius piscatorius</x:v>
      </x:c>
      <x:c r="O10" s="62" t="n">
        <x:v>4.45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Lophius piscatorius</x:v>
      </x:c>
      <x:c r="T10" s="62" t="n">
        <x:f>IF(O10="","",(1/'Metadata'!$B$5)^(O10-1))</x:f>
        <x:v>2818.382931264455</x:v>
      </x:c>
      <x:c r="U10" s="60" t="n">
        <x:f>IF(T10="","",I10*T10)</x:f>
        <x:v>7023073.226117133</x:v>
      </x:c>
    </x:row>
    <x:row r="11" ht="18" customHeight="1">
      <x:c r="A11" s="46" t="str">
        <x:v>LME_060</x:v>
      </x:c>
      <x:c r="B11" s="46" t="str">
        <x:v>Faroe Plateau</x:v>
      </x:c>
      <x:c r="C11" s="46" t="str">
        <x:v>LME</x:v>
      </x:c>
      <x:c r="D11" s="58" t="n">
        <x:v>2019</x:v>
      </x:c>
      <x:c r="E11" s="46" t="str">
        <x:v>Reinhardtius hippoglossoides</x:v>
      </x:c>
      <x:c r="F11" s="46" t="str">
        <x:v>Greenland halibut</x:v>
      </x:c>
      <x:c r="G11" s="46" t="str">
        <x:v>Small to medium flatfishes (&lt;90 cm)</x:v>
      </x:c>
      <x:c r="H11" s="46" t="str">
        <x:v>Flatfishes</x:v>
      </x:c>
      <x:c r="I11" s="60" t="n">
        <x:v>2125.4547423941</x:v>
      </x:c>
      <x:c r="J11" s="60" t="n">
        <x:v>2123.2076884389</x:v>
      </x:c>
      <x:c r="K11" s="60" t="n">
        <x:v>2.2470539552</x:v>
      </x:c>
      <x:c r="L11" s="60" t="n">
        <x:v>2123.2076884389</x:v>
      </x:c>
      <x:c r="M11" s="60" t="n">
        <x:v>2.2470539552</x:v>
      </x:c>
      <x:c r="N11" s="46" t="str">
        <x:v>reinhardtius hippoglossoides</x:v>
      </x:c>
      <x:c r="O11" s="62" t="n">
        <x:v>4.38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Reinhardtius hippoglossoides</x:v>
      </x:c>
      <x:c r="T11" s="62" t="n">
        <x:f>IF(O11="","",(1/'Metadata'!$B$5)^(O11-1))</x:f>
        <x:v>2398.83291901949</x:v>
      </x:c>
      <x:c r="U11" s="60" t="n">
        <x:f>IF(T11="","",I11*T11)</x:f>
        <x:v>5098610.803941057</x:v>
      </x:c>
    </x:row>
    <x:row r="12" ht="18" customHeight="1">
      <x:c r="A12" s="46" t="str">
        <x:v>LME_060</x:v>
      </x:c>
      <x:c r="B12" s="46" t="str">
        <x:v>Faroe Plateau</x:v>
      </x:c>
      <x:c r="C12" s="46" t="str">
        <x:v>LME</x:v>
      </x:c>
      <x:c r="D12" s="58" t="n">
        <x:v>2019</x:v>
      </x:c>
      <x:c r="E12" s="46" t="str">
        <x:v>Brosme brosme</x:v>
      </x:c>
      <x:c r="F12" s="46" t="str">
        <x:v>Tusk</x:v>
      </x:c>
      <x:c r="G12" s="46" t="str">
        <x:v>Large demersals (&gt;=90 cm)</x:v>
      </x:c>
      <x:c r="H12" s="46" t="str">
        <x:v>Cod-likes</x:v>
      </x:c>
      <x:c r="I12" s="60" t="n">
        <x:v>1784.2957346184</x:v>
      </x:c>
      <x:c r="J12" s="60" t="n">
        <x:v>1778.7113315372999</x:v>
      </x:c>
      <x:c r="K12" s="60" t="n">
        <x:v>5.5844030811000005</x:v>
      </x:c>
      <x:c r="L12" s="60" t="n">
        <x:v>1778.7113315372999</x:v>
      </x:c>
      <x:c r="M12" s="60" t="n">
        <x:v>5.5844030811000005</x:v>
      </x:c>
      <x:c r="N12" s="46" t="str">
        <x:v>brosme brosme</x:v>
      </x:c>
      <x:c r="O12" s="62" t="n">
        <x:v>3.9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Brosme brosme</x:v>
      </x:c>
      <x:c r="T12" s="62" t="n">
        <x:f>IF(O12="","",(1/'Metadata'!$B$5)^(O12-1))</x:f>
        <x:v>794.3282347242813</x:v>
      </x:c>
      <x:c r="U12" s="60" t="n">
        <x:f>IF(T12="","",I12*T12)</x:f>
        <x:v>1417316.4811054983</x:v>
      </x:c>
    </x:row>
    <x:row r="13" ht="18" customHeight="1">
      <x:c r="A13" s="46" t="str">
        <x:v>LME_060</x:v>
      </x:c>
      <x:c r="B13" s="46" t="str">
        <x:v>Faroe Plateau</x:v>
      </x:c>
      <x:c r="C13" s="46" t="str">
        <x:v>LME</x:v>
      </x:c>
      <x:c r="D13" s="58" t="n">
        <x:v>2019</x:v>
      </x:c>
      <x:c r="E13" s="46" t="str">
        <x:v>Sebastes</x:v>
      </x:c>
      <x:c r="F13" s="46" t="str">
        <x:v>Redfishes</x:v>
      </x:c>
      <x:c r="G13" s="46" t="str">
        <x:v>Large reef assoc. fish (&gt;=90 cm)</x:v>
      </x:c>
      <x:c r="H13" s="46" t="str">
        <x:v>Scorpionfishes</x:v>
      </x:c>
      <x:c r="I13" s="60" t="n">
        <x:v>1525.4638402142</x:v>
      </x:c>
      <x:c r="J13" s="60" t="n">
        <x:v>1525.4638402142</x:v>
      </x:c>
      <x:c r="K13" s="60" t="n">
        <x:v>0</x:v>
      </x:c>
      <x:c r="L13" s="60" t="n">
        <x:v>1525.4638402142</x:v>
      </x:c>
      <x:c r="M13" s="60" t="n">
        <x:v>0</x:v>
      </x:c>
      <x:c r="N13" s="46" t="str">
        <x:v>sebastes</x:v>
      </x:c>
      <x:c r="O13" s="62" t="n">
        <x:v>3.79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Sebastes</x:v>
      </x:c>
      <x:c r="T13" s="62" t="n">
        <x:f>IF(O13="","",(1/'Metadata'!$B$5)^(O13-1))</x:f>
        <x:v>616.5950018614822</x:v>
      </x:c>
      <x:c r="U13" s="60" t="n">
        <x:f>IF(T13="","",I13*T13)</x:f>
        <x:v>940593.3793964983</x:v>
      </x:c>
    </x:row>
    <x:row r="14" ht="18" customHeight="1">
      <x:c r="A14" s="46" t="str">
        <x:v>LME_060</x:v>
      </x:c>
      <x:c r="B14" s="46" t="str">
        <x:v>Faroe Plateau</x:v>
      </x:c>
      <x:c r="C14" s="46" t="str">
        <x:v>LME</x:v>
      </x:c>
      <x:c r="D14" s="58" t="n">
        <x:v>2019</x:v>
      </x:c>
      <x:c r="E14" s="46" t="str">
        <x:v>Molva dypterygia</x:v>
      </x:c>
      <x:c r="F14" s="46" t="str">
        <x:v>Blue ling</x:v>
      </x:c>
      <x:c r="G14" s="46" t="str">
        <x:v>Large demersals (&gt;=90 cm)</x:v>
      </x:c>
      <x:c r="H14" s="46" t="str">
        <x:v>Cod-likes</x:v>
      </x:c>
      <x:c r="I14" s="60" t="n">
        <x:v>1038.324944131</x:v>
      </x:c>
      <x:c r="J14" s="60" t="n">
        <x:v>1038.324944131</x:v>
      </x:c>
      <x:c r="K14" s="60" t="n">
        <x:v>0</x:v>
      </x:c>
      <x:c r="L14" s="60" t="n">
        <x:v>1038.324944131</x:v>
      </x:c>
      <x:c r="M14" s="60" t="n">
        <x:v>0</x:v>
      </x:c>
      <x:c r="N14" s="46" t="str">
        <x:v>molva dypterygia</x:v>
      </x:c>
      <x:c r="O14" s="62" t="n">
        <x:v>4.49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Molva dypterygia</x:v>
      </x:c>
      <x:c r="T14" s="62" t="n">
        <x:f>IF(O14="","",(1/'Metadata'!$B$5)^(O14-1))</x:f>
        <x:v>3090.295432513592</x:v>
      </x:c>
      <x:c r="U14" s="60" t="n">
        <x:f>IF(T14="","",I14*T14)</x:f>
        <x:v>3208730.8323129597</x:v>
      </x:c>
    </x:row>
    <x:row r="15" ht="18" customHeight="1">
      <x:c r="A15" s="46" t="str">
        <x:v>LME_060</x:v>
      </x:c>
      <x:c r="B15" s="46" t="str">
        <x:v>Faroe Plateau</x:v>
      </x:c>
      <x:c r="C15" s="46" t="str">
        <x:v>LME</x:v>
      </x:c>
      <x:c r="D15" s="58" t="n">
        <x:v>2019</x:v>
      </x:c>
      <x:c r="E15" s="46" t="str">
        <x:v>Aphanopus carbo</x:v>
      </x:c>
      <x:c r="F15" s="46" t="str">
        <x:v>Black scabbardfish</x:v>
      </x:c>
      <x:c r="G15" s="46" t="str">
        <x:v>Large benthopelagics (&gt;=90 cm)</x:v>
      </x:c>
      <x:c r="H15" s="46" t="str">
        <x:v>Perch-likes</x:v>
      </x:c>
      <x:c r="I15" s="60" t="n">
        <x:v>505.4105486957</x:v>
      </x:c>
      <x:c r="J15" s="60" t="n">
        <x:v>505.4105486957</x:v>
      </x:c>
      <x:c r="K15" s="60" t="n">
        <x:v>0</x:v>
      </x:c>
      <x:c r="L15" s="60" t="n">
        <x:v>505.4105486957</x:v>
      </x:c>
      <x:c r="M15" s="60" t="n">
        <x:v>0</x:v>
      </x:c>
      <x:c r="N15" s="46" t="str">
        <x:v>aphanopus carbo</x:v>
      </x:c>
      <x:c r="O15" s="62" t="n">
        <x:v>4.48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Aphanopus carbo</x:v>
      </x:c>
      <x:c r="T15" s="62" t="n">
        <x:f>IF(O15="","",(1/'Metadata'!$B$5)^(O15-1))</x:f>
        <x:v>3019.951720402019</x:v>
      </x:c>
      <x:c r="U15" s="60" t="n">
        <x:f>IF(T15="","",I15*T15)</x:f>
        <x:v>1526315.4560429077</x:v>
      </x:c>
    </x:row>
    <x:row r="16" ht="18" customHeight="1">
      <x:c r="A16" s="46" t="str">
        <x:v>LME_060</x:v>
      </x:c>
      <x:c r="B16" s="46" t="str">
        <x:v>Faroe Plateau</x:v>
      </x:c>
      <x:c r="C16" s="46" t="str">
        <x:v>LME</x:v>
      </x:c>
      <x:c r="D16" s="58" t="n">
        <x:v>2019</x:v>
      </x:c>
      <x:c r="E16" s="46" t="str">
        <x:v>Microstomus kitt</x:v>
      </x:c>
      <x:c r="F16" s="46" t="str">
        <x:v>Lemon sole</x:v>
      </x:c>
      <x:c r="G16" s="46" t="str">
        <x:v>Small to medium flatfishes (&lt;90 cm)</x:v>
      </x:c>
      <x:c r="H16" s="46" t="str">
        <x:v>Flatfishes</x:v>
      </x:c>
      <x:c r="I16" s="60" t="n">
        <x:v>411.7626432406</x:v>
      </x:c>
      <x:c r="J16" s="60" t="n">
        <x:v>411.7626432406</x:v>
      </x:c>
      <x:c r="K16" s="60" t="n">
        <x:v>0</x:v>
      </x:c>
      <x:c r="L16" s="60" t="n">
        <x:v>411.7626432406</x:v>
      </x:c>
      <x:c r="M16" s="60" t="n">
        <x:v>0</x:v>
      </x:c>
      <x:c r="N16" s="46" t="str">
        <x:v>microstomus kitt</x:v>
      </x:c>
      <x:c r="O16" s="62" t="n">
        <x:v>3.22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Microstomus kitt</x:v>
      </x:c>
      <x:c r="T16" s="62" t="n">
        <x:f>IF(O16="","",(1/'Metadata'!$B$5)^(O16-1))</x:f>
        <x:v>165.95869074375614</x:v>
      </x:c>
      <x:c r="U16" s="60" t="n">
        <x:f>IF(T16="","",I16*T16)</x:f>
        <x:v>68335.58916939833</x:v>
      </x:c>
    </x:row>
    <x:row r="17" ht="18" customHeight="1">
      <x:c r="A17" s="46" t="str">
        <x:v>LME_060</x:v>
      </x:c>
      <x:c r="B17" s="46" t="str">
        <x:v>Faroe Plateau</x:v>
      </x:c>
      <x:c r="C17" s="46" t="str">
        <x:v>LME</x:v>
      </x:c>
      <x:c r="D17" s="58" t="n">
        <x:v>2019</x:v>
      </x:c>
      <x:c r="E17" s="46" t="str">
        <x:v>Merlangius merlangus</x:v>
      </x:c>
      <x:c r="F17" s="46" t="str">
        <x:v>Whiting</x:v>
      </x:c>
      <x:c r="G17" s="46" t="str">
        <x:v>Medium benthopelagics (30 - 89 cm)</x:v>
      </x:c>
      <x:c r="H17" s="46" t="str">
        <x:v>Cod-likes</x:v>
      </x:c>
      <x:c r="I17" s="60" t="n">
        <x:v>346.88482576449996</x:v>
      </x:c>
      <x:c r="J17" s="60" t="n">
        <x:v>346.88482576449996</x:v>
      </x:c>
      <x:c r="K17" s="60" t="n">
        <x:v>0</x:v>
      </x:c>
      <x:c r="L17" s="60" t="n">
        <x:v>346.88482576449996</x:v>
      </x:c>
      <x:c r="M17" s="60" t="n">
        <x:v>0</x:v>
      </x:c>
      <x:c r="N17" s="46" t="str">
        <x:v>merlangius merlangus</x:v>
      </x:c>
      <x:c r="O17" s="62" t="n">
        <x:v>4.36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Merlangius merlangus</x:v>
      </x:c>
      <x:c r="T17" s="62" t="n">
        <x:f>IF(O17="","",(1/'Metadata'!$B$5)^(O17-1))</x:f>
        <x:v>2290.867652767775</x:v>
      </x:c>
      <x:c r="U17" s="60" t="n">
        <x:f>IF(T17="","",I17*T17)</x:f>
        <x:v>794667.2265798786</x:v>
      </x:c>
    </x:row>
    <x:row r="18" ht="18" customHeight="1">
      <x:c r="A18" s="46" t="str">
        <x:v>LME_060</x:v>
      </x:c>
      <x:c r="B18" s="46" t="str">
        <x:v>Faroe Plateau</x:v>
      </x:c>
      <x:c r="C18" s="46" t="str">
        <x:v>LME</x:v>
      </x:c>
      <x:c r="D18" s="58" t="n">
        <x:v>2019</x:v>
      </x:c>
      <x:c r="E18" s="46" t="str">
        <x:v>Pleuronectes platessa</x:v>
      </x:c>
      <x:c r="F18" s="46" t="str">
        <x:v>European plaice</x:v>
      </x:c>
      <x:c r="G18" s="46" t="str">
        <x:v>Large flatfishes (&gt;=90 cm)</x:v>
      </x:c>
      <x:c r="H18" s="46" t="str">
        <x:v>Flatfishes</x:v>
      </x:c>
      <x:c r="I18" s="60" t="n">
        <x:v>296.28775034710003</x:v>
      </x:c>
      <x:c r="J18" s="60" t="n">
        <x:v>296.2497603896</x:v>
      </x:c>
      <x:c r="K18" s="60" t="n">
        <x:v>0.037989957500000004</x:v>
      </x:c>
      <x:c r="L18" s="60" t="n">
        <x:v>296.24369352310003</x:v>
      </x:c>
      <x:c r="M18" s="60" t="n">
        <x:v>0.04405682400000001</x:v>
      </x:c>
      <x:c r="N18" s="46" t="str">
        <x:v>pleuronectes platessa</x:v>
      </x:c>
      <x:c r="O18" s="62" t="n">
        <x:v>3.26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Pleuronectes platessa</x:v>
      </x:c>
      <x:c r="T18" s="62" t="n">
        <x:f>IF(O18="","",(1/'Metadata'!$B$5)^(O18-1))</x:f>
        <x:v>181.97008586099827</x:v>
      </x:c>
      <x:c r="U18" s="60" t="n">
        <x:f>IF(T18="","",I18*T18)</x:f>
        <x:v>53915.507370223815</x:v>
      </x:c>
    </x:row>
    <x:row r="19" ht="18" customHeight="1">
      <x:c r="A19" s="46" t="str">
        <x:v>LME_060</x:v>
      </x:c>
      <x:c r="B19" s="46" t="str">
        <x:v>Faroe Plateau</x:v>
      </x:c>
      <x:c r="C19" s="46" t="str">
        <x:v>LME</x:v>
      </x:c>
      <x:c r="D19" s="58" t="n">
        <x:v>2019</x:v>
      </x:c>
      <x:c r="E19" s="46" t="str">
        <x:v>Raja</x:v>
      </x:c>
      <x:c r="F19" s="46" t="str">
        <x:v>Stingrays, skates</x:v>
      </x:c>
      <x:c r="G19" s="46" t="str">
        <x:v>Small to medium rays (&lt;90 cm)</x:v>
      </x:c>
      <x:c r="H19" s="46" t="str">
        <x:v>Sharks &amp; rays</x:v>
      </x:c>
      <x:c r="I19" s="60" t="n">
        <x:v>112.5135552196</x:v>
      </x:c>
      <x:c r="J19" s="60" t="n">
        <x:v>112.5135552196</x:v>
      </x:c>
      <x:c r="K19" s="60" t="n">
        <x:v>0</x:v>
      </x:c>
      <x:c r="L19" s="60" t="n">
        <x:v>112.5135552196</x:v>
      </x:c>
      <x:c r="M19" s="60" t="n">
        <x:v>0</x:v>
      </x:c>
      <x:c r="N19" s="46" t="str">
        <x:v>raja</x:v>
      </x:c>
      <x:c r="O19" s="62" t="n">
        <x:v>3.8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Raja</x:v>
      </x:c>
      <x:c r="T19" s="62" t="n">
        <x:f>IF(O19="","",(1/'Metadata'!$B$5)^(O19-1))</x:f>
        <x:v>630.957344480193</x:v>
      </x:c>
      <x:c r="U19" s="60" t="n">
        <x:f>IF(T19="","",I19*T19)</x:f>
        <x:v>70991.25401938437</x:v>
      </x:c>
    </x:row>
    <x:row r="20" ht="18" customHeight="1">
      <x:c r="A20" s="46" t="str">
        <x:v>LME_060</x:v>
      </x:c>
      <x:c r="B20" s="46" t="str">
        <x:v>Faroe Plateau</x:v>
      </x:c>
      <x:c r="C20" s="46" t="str">
        <x:v>LME</x:v>
      </x:c>
      <x:c r="D20" s="58" t="n">
        <x:v>2019</x:v>
      </x:c>
      <x:c r="E20" s="46" t="str">
        <x:v>Notoscopelus</x:v>
      </x:c>
      <x:c r="F20" s="46" t="str">
        <x:v>Lampfish</x:v>
      </x:c>
      <x:c r="G20" s="46" t="str">
        <x:v>Small pelagics (&lt;30 cm)</x:v>
      </x:c>
      <x:c r="H20" s="46" t="str">
        <x:v>Other fishes &amp; inverts</x:v>
      </x:c>
      <x:c r="I20" s="60" t="n">
        <x:v>82.3144865191</x:v>
      </x:c>
      <x:c r="J20" s="60" t="n">
        <x:v>82.3144865191</x:v>
      </x:c>
      <x:c r="K20" s="60" t="n">
        <x:v>0</x:v>
      </x:c>
      <x:c r="L20" s="60" t="n">
        <x:v>82.3144865191</x:v>
      </x:c>
      <x:c r="M20" s="60" t="n">
        <x:v>0</x:v>
      </x:c>
      <x:c r="N20" s="46" t="str">
        <x:v>notoscopelus</x:v>
      </x:c>
      <x:c r="O20" s="62" t="n">
        <x:v>3.15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Notoscopelus</x:v>
      </x:c>
      <x:c r="T20" s="62" t="n">
        <x:f>IF(O20="","",(1/'Metadata'!$B$5)^(O20-1))</x:f>
        <x:v>141.2537544622754</x:v>
      </x:c>
      <x:c r="U20" s="60" t="n">
        <x:f>IF(T20="","",I20*T20)</x:f>
        <x:v>11627.23026745723</x:v>
      </x:c>
    </x:row>
    <x:row r="21" ht="18" customHeight="1">
      <x:c r="A21" s="46" t="str">
        <x:v>LME_060</x:v>
      </x:c>
      <x:c r="B21" s="46" t="str">
        <x:v>Faroe Plateau</x:v>
      </x:c>
      <x:c r="C21" s="46" t="str">
        <x:v>LME</x:v>
      </x:c>
      <x:c r="D21" s="58" t="n">
        <x:v>2019</x:v>
      </x:c>
      <x:c r="E21" s="46" t="str">
        <x:v>Gadidae</x:v>
      </x:c>
      <x:c r="F21" s="46" t="str">
        <x:v>Cods, haddocks</x:v>
      </x:c>
      <x:c r="G21" s="46" t="str">
        <x:v>Medium demersals (30 - 89 cm)</x:v>
      </x:c>
      <x:c r="H21" s="46" t="str">
        <x:v>Cod-likes</x:v>
      </x:c>
      <x:c r="I21" s="60" t="n">
        <x:v>72.1976580796</x:v>
      </x:c>
      <x:c r="J21" s="60" t="n">
        <x:v>0</x:v>
      </x:c>
      <x:c r="K21" s="60" t="n">
        <x:v>72.1976580796</x:v>
      </x:c>
      <x:c r="L21" s="60" t="n">
        <x:v>0</x:v>
      </x:c>
      <x:c r="M21" s="60" t="n">
        <x:v>72.1976580796</x:v>
      </x:c>
      <x:c r="N21" s="46" t="str">
        <x:v>gadidae</x:v>
      </x:c>
      <x:c r="O21" s="62" t="n">
        <x:v>3.84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Gadidae</x:v>
      </x:c>
      <x:c r="T21" s="62" t="n">
        <x:f>IF(O21="","",(1/'Metadata'!$B$5)^(O21-1))</x:f>
        <x:v>691.8309709189363</x:v>
      </x:c>
      <x:c r="U21" s="60" t="n">
        <x:f>IF(T21="","",I21*T21)</x:f>
        <x:v>49948.575887283056</x:v>
      </x:c>
    </x:row>
    <x:row r="22" ht="18" customHeight="1">
      <x:c r="A22" s="46" t="str">
        <x:v>LME_060</x:v>
      </x:c>
      <x:c r="B22" s="46" t="str">
        <x:v>Faroe Plateau</x:v>
      </x:c>
      <x:c r="C22" s="46" t="str">
        <x:v>LME</x:v>
      </x:c>
      <x:c r="D22" s="58" t="n">
        <x:v>2019</x:v>
      </x:c>
      <x:c r="E22" s="46" t="str">
        <x:v>Anarhichas</x:v>
      </x:c>
      <x:c r="F22" s="46" t="str">
        <x:v>Wolffishes</x:v>
      </x:c>
      <x:c r="G22" s="46" t="str">
        <x:v>Large demersals (&gt;=90 cm)</x:v>
      </x:c>
      <x:c r="H22" s="46" t="str">
        <x:v>Perch-likes</x:v>
      </x:c>
      <x:c r="I22" s="60" t="n">
        <x:v>68.10942810360001</x:v>
      </x:c>
      <x:c r="J22" s="60" t="n">
        <x:v>68.10942810360001</x:v>
      </x:c>
      <x:c r="K22" s="60" t="n">
        <x:v>0</x:v>
      </x:c>
      <x:c r="L22" s="60" t="n">
        <x:v>68.10942810360001</x:v>
      </x:c>
      <x:c r="M22" s="60" t="n">
        <x:v>0</x:v>
      </x:c>
      <x:c r="N22" s="46" t="str">
        <x:v>anarhichas</x:v>
      </x:c>
      <x:c r="O22" s="62" t="n">
        <x:v>3.35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Anarhichas</x:v>
      </x:c>
      <x:c r="T22" s="62" t="n">
        <x:f>IF(O22="","",(1/'Metadata'!$B$5)^(O22-1))</x:f>
        <x:v>223.872113856834</x:v>
      </x:c>
      <x:c r="U22" s="60" t="n">
        <x:f>IF(T22="","",I22*T22)</x:f>
        <x:v>15247.80164313299</x:v>
      </x:c>
    </x:row>
    <x:row r="23" ht="18" customHeight="1">
      <x:c r="A23" s="46" t="str">
        <x:v>LME_060</x:v>
      </x:c>
      <x:c r="B23" s="46" t="str">
        <x:v>Faroe Plateau</x:v>
      </x:c>
      <x:c r="C23" s="46" t="str">
        <x:v>LME</x:v>
      </x:c>
      <x:c r="D23" s="58" t="n">
        <x:v>2019</x:v>
      </x:c>
      <x:c r="E23" s="46" t="str">
        <x:v>Trisopterus esmarkii</x:v>
      </x:c>
      <x:c r="F23" s="46" t="str">
        <x:v>Norway pout</x:v>
      </x:c>
      <x:c r="G23" s="46" t="str">
        <x:v>Medium benthopelagics (30 - 89 cm)</x:v>
      </x:c>
      <x:c r="H23" s="46" t="str">
        <x:v>Cod-likes</x:v>
      </x:c>
      <x:c r="I23" s="60" t="n">
        <x:v>64.3504022397</x:v>
      </x:c>
      <x:c r="J23" s="60" t="n">
        <x:v>61.464741381900005</x:v>
      </x:c>
      <x:c r="K23" s="60" t="n">
        <x:v>2.8856608578</x:v>
      </x:c>
      <x:c r="L23" s="60" t="n">
        <x:v>61.464741381900005</x:v>
      </x:c>
      <x:c r="M23" s="60" t="n">
        <x:v>2.8856608578</x:v>
      </x:c>
      <x:c r="N23" s="46" t="str">
        <x:v>trisopterus esmarkii</x:v>
      </x:c>
      <x:c r="O23" s="62" t="n">
        <x:v>3.24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Trisopterus esmarkii</x:v>
      </x:c>
      <x:c r="T23" s="62" t="n">
        <x:f>IF(O23="","",(1/'Metadata'!$B$5)^(O23-1))</x:f>
        <x:v>173.78008287493762</x:v>
      </x:c>
      <x:c r="U23" s="60" t="n">
        <x:f>IF(T23="","",I23*T23)</x:f>
        <x:v>11182.818234250637</x:v>
      </x:c>
    </x:row>
    <x:row r="24" ht="18" customHeight="1">
      <x:c r="A24" s="46" t="str">
        <x:v>LME_060</x:v>
      </x:c>
      <x:c r="B24" s="46" t="str">
        <x:v>Faroe Plateau</x:v>
      </x:c>
      <x:c r="C24" s="46" t="str">
        <x:v>LME</x:v>
      </x:c>
      <x:c r="D24" s="58" t="n">
        <x:v>2019</x:v>
      </x:c>
      <x:c r="E24" s="46" t="str">
        <x:v>Squalidae</x:v>
      </x:c>
      <x:c r="F24" s="46" t="str">
        <x:v>Dogfish sharks</x:v>
      </x:c>
      <x:c r="G24" s="46" t="str">
        <x:v>Large sharks (&gt;=90 cm)</x:v>
      </x:c>
      <x:c r="H24" s="46" t="str">
        <x:v>Sharks &amp; rays</x:v>
      </x:c>
      <x:c r="I24" s="60" t="n">
        <x:v>64.3101301732</x:v>
      </x:c>
      <x:c r="J24" s="60" t="n">
        <x:v>64.3101301732</x:v>
      </x:c>
      <x:c r="K24" s="60" t="n">
        <x:v>0</x:v>
      </x:c>
      <x:c r="L24" s="60" t="n">
        <x:v>64.3101301732</x:v>
      </x:c>
      <x:c r="M24" s="60" t="n">
        <x:v>0</x:v>
      </x:c>
      <x:c r="N24" s="46" t="str">
        <x:v>squalidae</x:v>
      </x:c>
      <x:c r="O24" s="62" t="n">
        <x:v>4.23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Squalidae</x:v>
      </x:c>
      <x:c r="T24" s="62" t="n">
        <x:f>IF(O24="","",(1/'Metadata'!$B$5)^(O24-1))</x:f>
        <x:v>1698.243652461746</x:v>
      </x:c>
      <x:c r="U24" s="60" t="n">
        <x:f>IF(T24="","",I24*T24)</x:f>
        <x:v>109214.2703556255</x:v>
      </x:c>
    </x:row>
    <x:row r="25" ht="18" customHeight="1">
      <x:c r="A25" s="46" t="str">
        <x:v>LME_060</x:v>
      </x:c>
      <x:c r="B25" s="46" t="str">
        <x:v>Faroe Plateau</x:v>
      </x:c>
      <x:c r="C25" s="46" t="str">
        <x:v>LME</x:v>
      </x:c>
      <x:c r="D25" s="58" t="n">
        <x:v>2019</x:v>
      </x:c>
      <x:c r="E25" s="46" t="str">
        <x:v>Gadiformes</x:v>
      </x:c>
      <x:c r="F25" s="46" t="str">
        <x:v>Cods</x:v>
      </x:c>
      <x:c r="G25" s="46" t="str">
        <x:v>Medium benthopelagics (30 - 89 cm)</x:v>
      </x:c>
      <x:c r="H25" s="46" t="str">
        <x:v>Cod-likes</x:v>
      </x:c>
      <x:c r="I25" s="60" t="n">
        <x:v>61.8143530028</x:v>
      </x:c>
      <x:c r="J25" s="60" t="n">
        <x:v>57.361139211099996</x:v>
      </x:c>
      <x:c r="K25" s="60" t="n">
        <x:v>4.4532137917</x:v>
      </x:c>
      <x:c r="L25" s="60" t="n">
        <x:v>57.361139211099996</x:v>
      </x:c>
      <x:c r="M25" s="60" t="n">
        <x:v>4.4532137917</x:v>
      </x:c>
      <x:c r="N25" s="46" t="str">
        <x:v>gadiformes</x:v>
      </x:c>
      <x:c r="O25" s="62" t="n">
        <x:v>3.91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Gadiformes</x:v>
      </x:c>
      <x:c r="T25" s="62" t="n">
        <x:f>IF(O25="","",(1/'Metadata'!$B$5)^(O25-1))</x:f>
        <x:v>812.8305161640995</x:v>
      </x:c>
      <x:c r="U25" s="60" t="n">
        <x:f>IF(T25="","",I25*T25)</x:f>
        <x:v>50244.59245761578</x:v>
      </x:c>
    </x:row>
    <x:row r="26" ht="18" customHeight="1">
      <x:c r="A26" s="46" t="str">
        <x:v>LME_060</x:v>
      </x:c>
      <x:c r="B26" s="46" t="str">
        <x:v>Faroe Plateau</x:v>
      </x:c>
      <x:c r="C26" s="46" t="str">
        <x:v>LME</x:v>
      </x:c>
      <x:c r="D26" s="58" t="n">
        <x:v>2019</x:v>
      </x:c>
      <x:c r="E26" s="46" t="str">
        <x:v>Scombridae</x:v>
      </x:c>
      <x:c r="F26" s="46" t="str">
        <x:v>Mackerels, tunas, bonitos</x:v>
      </x:c>
      <x:c r="G26" s="46" t="str">
        <x:v>Medium pelagics (30 - 89 cm)</x:v>
      </x:c>
      <x:c r="H26" s="46" t="str">
        <x:v>Perch-likes</x:v>
      </x:c>
      <x:c r="I26" s="60" t="n">
        <x:v>59.2594037907</x:v>
      </x:c>
      <x:c r="J26" s="60" t="n">
        <x:v>0</x:v>
      </x:c>
      <x:c r="K26" s="60" t="n">
        <x:v>59.2594037907</x:v>
      </x:c>
      <x:c r="L26" s="60" t="n">
        <x:v>0</x:v>
      </x:c>
      <x:c r="M26" s="60" t="n">
        <x:v>59.2594037907</x:v>
      </x:c>
      <x:c r="N26" s="46" t="str">
        <x:v>scombridae</x:v>
      </x:c>
      <x:c r="O26" s="62" t="n">
        <x:v>4.26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Scombridae</x:v>
      </x:c>
      <x:c r="T26" s="62" t="n">
        <x:f>IF(O26="","",(1/'Metadata'!$B$5)^(O26-1))</x:f>
        <x:v>1819.7008586099826</x:v>
      </x:c>
      <x:c r="U26" s="60" t="n">
        <x:f>IF(T26="","",I26*T26)</x:f>
        <x:v>107834.38795865244</x:v>
      </x:c>
    </x:row>
    <x:row r="27" ht="18" customHeight="1">
      <x:c r="A27" s="46" t="str">
        <x:v>LME_060</x:v>
      </x:c>
      <x:c r="B27" s="46" t="str">
        <x:v>Faroe Plateau</x:v>
      </x:c>
      <x:c r="C27" s="46" t="str">
        <x:v>LME</x:v>
      </x:c>
      <x:c r="D27" s="58" t="n">
        <x:v>2019</x:v>
      </x:c>
      <x:c r="E27" s="46" t="str">
        <x:v>Merlucciidae</x:v>
      </x:c>
      <x:c r="F27" s="46" t="str">
        <x:v>Merluccid hakes</x:v>
      </x:c>
      <x:c r="G27" s="46" t="str">
        <x:v>Large bathydemersals (&gt;=90 cm)</x:v>
      </x:c>
      <x:c r="H27" s="46" t="str">
        <x:v>Cod-likes</x:v>
      </x:c>
      <x:c r="I27" s="60" t="n">
        <x:v>51.872683465600005</x:v>
      </x:c>
      <x:c r="J27" s="60" t="n">
        <x:v>0</x:v>
      </x:c>
      <x:c r="K27" s="60" t="n">
        <x:v>51.872683465600005</x:v>
      </x:c>
      <x:c r="L27" s="60" t="n">
        <x:v>0</x:v>
      </x:c>
      <x:c r="M27" s="60" t="n">
        <x:v>51.872683465600005</x:v>
      </x:c>
      <x:c r="N27" s="46" t="str">
        <x:v>merlucciidae</x:v>
      </x:c>
      <x:c r="O27" s="62" t="n">
        <x:v>4.35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Merlucciidae</x:v>
      </x:c>
      <x:c r="T27" s="62" t="n">
        <x:f>IF(O27="","",(1/'Metadata'!$B$5)^(O27-1))</x:f>
        <x:v>2238.7211385683377</x:v>
      </x:c>
      <x:c r="U27" s="60" t="n">
        <x:f>IF(T27="","",I27*T27)</x:f>
        <x:v>116128.47298870303</x:v>
      </x:c>
    </x:row>
    <x:row r="28" ht="18" customHeight="1">
      <x:c r="A28" s="46" t="str">
        <x:v>LME_060</x:v>
      </x:c>
      <x:c r="B28" s="46" t="str">
        <x:v>Faroe Plateau</x:v>
      </x:c>
      <x:c r="C28" s="46" t="str">
        <x:v>LME</x:v>
      </x:c>
      <x:c r="D28" s="58" t="n">
        <x:v>2019</x:v>
      </x:c>
      <x:c r="E28" s="46" t="str">
        <x:v>Anarhichas lupus</x:v>
      </x:c>
      <x:c r="F28" s="46" t="str">
        <x:v>Atlantic wolffish</x:v>
      </x:c>
      <x:c r="G28" s="46" t="str">
        <x:v>Large demersals (&gt;=90 cm)</x:v>
      </x:c>
      <x:c r="H28" s="46" t="str">
        <x:v>Perch-likes</x:v>
      </x:c>
      <x:c r="I28" s="60" t="n">
        <x:v>46.6994191129</x:v>
      </x:c>
      <x:c r="J28" s="60" t="n">
        <x:v>46.6994191129</x:v>
      </x:c>
      <x:c r="K28" s="60" t="n">
        <x:v>0</x:v>
      </x:c>
      <x:c r="L28" s="60" t="n">
        <x:v>46.6994191129</x:v>
      </x:c>
      <x:c r="M28" s="60" t="n">
        <x:v>0</x:v>
      </x:c>
      <x:c r="N28" s="46" t="str">
        <x:v>anarhichas lupus</x:v>
      </x:c>
      <x:c r="O28" s="62" t="n">
        <x:v>3.55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Anarhichas lupus</x:v>
      </x:c>
      <x:c r="T28" s="62" t="n">
        <x:f>IF(O28="","",(1/'Metadata'!$B$5)^(O28-1))</x:f>
        <x:v>354.8133892335753</x:v>
      </x:c>
      <x:c r="U28" s="60" t="n">
        <x:f>IF(T28="","",I28*T28)</x:f>
        <x:v>16569.579170687255</x:v>
      </x:c>
    </x:row>
    <x:row r="29" ht="18" customHeight="1">
      <x:c r="A29" s="46" t="str">
        <x:v>LME_060</x:v>
      </x:c>
      <x:c r="B29" s="46" t="str">
        <x:v>Faroe Plateau</x:v>
      </x:c>
      <x:c r="C29" s="46" t="str">
        <x:v>LME</x:v>
      </x:c>
      <x:c r="D29" s="58" t="n">
        <x:v>2019</x:v>
      </x:c>
      <x:c r="E29" s="46" t="str">
        <x:v>Coryphaenoides rupestris</x:v>
      </x:c>
      <x:c r="F29" s="46" t="str">
        <x:v>Roundnose grenadier</x:v>
      </x:c>
      <x:c r="G29" s="46" t="str">
        <x:v>Large bathypelagics (&gt;=90 cm)</x:v>
      </x:c>
      <x:c r="H29" s="46" t="str">
        <x:v>Cod-likes</x:v>
      </x:c>
      <x:c r="I29" s="60" t="n">
        <x:v>41.9176408029</x:v>
      </x:c>
      <x:c r="J29" s="60" t="n">
        <x:v>41.9176408029</x:v>
      </x:c>
      <x:c r="K29" s="60" t="n">
        <x:v>0</x:v>
      </x:c>
      <x:c r="L29" s="60" t="n">
        <x:v>41.9176408029</x:v>
      </x:c>
      <x:c r="M29" s="60" t="n">
        <x:v>0</x:v>
      </x:c>
      <x:c r="N29" s="46" t="str">
        <x:v>coryphaenoides rupestris</x:v>
      </x:c>
      <x:c r="O29" s="62" t="n">
        <x:v>3.54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Coryphaenoides rupestris</x:v>
      </x:c>
      <x:c r="T29" s="62" t="n">
        <x:f>IF(O29="","",(1/'Metadata'!$B$5)^(O29-1))</x:f>
        <x:v>346.73685045253166</x:v>
      </x:c>
      <x:c r="U29" s="60" t="n">
        <x:f>IF(T29="","",I29*T29)</x:f>
        <x:v>14534.390750398077</x:v>
      </x:c>
    </x:row>
    <x:row r="30" ht="18" customHeight="1">
      <x:c r="A30" s="46" t="str">
        <x:v>LME_060</x:v>
      </x:c>
      <x:c r="B30" s="46" t="str">
        <x:v>Faroe Plateau</x:v>
      </x:c>
      <x:c r="C30" s="46" t="str">
        <x:v>LME</x:v>
      </x:c>
      <x:c r="D30" s="58" t="n">
        <x:v>2019</x:v>
      </x:c>
      <x:c r="E30" s="46" t="str">
        <x:v>Pleuronectidae</x:v>
      </x:c>
      <x:c r="F30" s="46" t="str">
        <x:v>Righteye flounders</x:v>
      </x:c>
      <x:c r="G30" s="46" t="str">
        <x:v>Small to medium flatfishes (&lt;90 cm)</x:v>
      </x:c>
      <x:c r="H30" s="46" t="str">
        <x:v>Flatfishes</x:v>
      </x:c>
      <x:c r="I30" s="60" t="n">
        <x:v>39.8972774566</x:v>
      </x:c>
      <x:c r="J30" s="60" t="n">
        <x:v>0</x:v>
      </x:c>
      <x:c r="K30" s="60" t="n">
        <x:v>39.8972774566</x:v>
      </x:c>
      <x:c r="L30" s="60" t="n">
        <x:v>0</x:v>
      </x:c>
      <x:c r="M30" s="60" t="n">
        <x:v>39.8972774566</x:v>
      </x:c>
      <x:c r="N30" s="46" t="str">
        <x:v>pleuronectidae</x:v>
      </x:c>
      <x:c r="O30" s="62" t="n">
        <x:v>3.49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Pleuronectidae</x:v>
      </x:c>
      <x:c r="T30" s="62" t="n">
        <x:f>IF(O30="","",(1/'Metadata'!$B$5)^(O30-1))</x:f>
        <x:v>309.0295432513592</x:v>
      </x:c>
      <x:c r="U30" s="60" t="n">
        <x:f>IF(T30="","",I30*T30)</x:f>
        <x:v>12329.43742938585</x:v>
      </x:c>
    </x:row>
    <x:row r="31" ht="18" customHeight="1">
      <x:c r="A31" s="46" t="str">
        <x:v>LME_060</x:v>
      </x:c>
      <x:c r="B31" s="46" t="str">
        <x:v>Faroe Plateau</x:v>
      </x:c>
      <x:c r="C31" s="46" t="str">
        <x:v>LME</x:v>
      </x:c>
      <x:c r="D31" s="58" t="n">
        <x:v>2019</x:v>
      </x:c>
      <x:c r="E31" s="46" t="str">
        <x:v>Congridae</x:v>
      </x:c>
      <x:c r="F31" s="46" t="str">
        <x:v>Conger, garden eels</x:v>
      </x:c>
      <x:c r="G31" s="46" t="str">
        <x:v>Large demersals (&gt;=90 cm)</x:v>
      </x:c>
      <x:c r="H31" s="46" t="str">
        <x:v>Other fishes &amp; inverts</x:v>
      </x:c>
      <x:c r="I31" s="60" t="n">
        <x:v>36.62518905</x:v>
      </x:c>
      <x:c r="J31" s="60" t="n">
        <x:v>0</x:v>
      </x:c>
      <x:c r="K31" s="60" t="n">
        <x:v>36.62518905</x:v>
      </x:c>
      <x:c r="L31" s="60" t="n">
        <x:v>0</x:v>
      </x:c>
      <x:c r="M31" s="60" t="n">
        <x:v>36.62518905</x:v>
      </x:c>
      <x:c r="N31" s="46" t="str">
        <x:v>congridae</x:v>
      </x:c>
      <x:c r="O31" s="62" t="n">
        <x:v>4.18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Congridae</x:v>
      </x:c>
      <x:c r="T31" s="62" t="n">
        <x:f>IF(O31="","",(1/'Metadata'!$B$5)^(O31-1))</x:f>
        <x:v>1513.5612484362073</x:v>
      </x:c>
      <x:c r="U31" s="60" t="n">
        <x:f>IF(T31="","",I31*T31)</x:f>
        <x:v>55434.466862730114</x:v>
      </x:c>
    </x:row>
    <x:row r="32" ht="18" customHeight="1">
      <x:c r="A32" s="46" t="str">
        <x:v>LME_060</x:v>
      </x:c>
      <x:c r="B32" s="46" t="str">
        <x:v>Faroe Plateau</x:v>
      </x:c>
      <x:c r="C32" s="46" t="str">
        <x:v>LME</x:v>
      </x:c>
      <x:c r="D32" s="58" t="n">
        <x:v>2019</x:v>
      </x:c>
      <x:c r="E32" s="46" t="str">
        <x:v>Rajiformes</x:v>
      </x:c>
      <x:c r="F32" s="46" t="str">
        <x:v>Skates and rays</x:v>
      </x:c>
      <x:c r="G32" s="46" t="str">
        <x:v>Large rays (&gt;=90 cm)</x:v>
      </x:c>
      <x:c r="H32" s="46" t="str">
        <x:v>Sharks &amp; rays</x:v>
      </x:c>
      <x:c r="I32" s="60" t="n">
        <x:v>34.9555723287</x:v>
      </x:c>
      <x:c r="J32" s="60" t="n">
        <x:v>34.9555723287</x:v>
      </x:c>
      <x:c r="K32" s="60" t="n">
        <x:v>0</x:v>
      </x:c>
      <x:c r="L32" s="60" t="n">
        <x:v>34.9555723287</x:v>
      </x:c>
      <x:c r="M32" s="60" t="n">
        <x:v>0</x:v>
      </x:c>
      <x:c r="N32" s="46" t="str">
        <x:v>rajiformes</x:v>
      </x:c>
      <x:c r="O32" s="62" t="n">
        <x:v>3.61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Rajiformes</x:v>
      </x:c>
      <x:c r="T32" s="62" t="n">
        <x:f>IF(O32="","",(1/'Metadata'!$B$5)^(O32-1))</x:f>
        <x:v>407.3802778041126</x:v>
      </x:c>
      <x:c r="U32" s="60" t="n">
        <x:f>IF(T32="","",I32*T32)</x:f>
        <x:v>14240.210766067557</x:v>
      </x:c>
    </x:row>
    <x:row r="33" ht="18" customHeight="1">
      <x:c r="A33" s="46" t="str">
        <x:v>LME_060</x:v>
      </x:c>
      <x:c r="B33" s="46" t="str">
        <x:v>Faroe Plateau</x:v>
      </x:c>
      <x:c r="C33" s="46" t="str">
        <x:v>LME</x:v>
      </x:c>
      <x:c r="D33" s="58" t="n">
        <x:v>2019</x:v>
      </x:c>
      <x:c r="E33" s="46" t="str">
        <x:v>Pollachius pollachius</x:v>
      </x:c>
      <x:c r="F33" s="46" t="str">
        <x:v>Pollack</x:v>
      </x:c>
      <x:c r="G33" s="46" t="str">
        <x:v>Large benthopelagics (&gt;=90 cm)</x:v>
      </x:c>
      <x:c r="H33" s="46" t="str">
        <x:v>Cod-likes</x:v>
      </x:c>
      <x:c r="I33" s="60" t="n">
        <x:v>34.2024269426</x:v>
      </x:c>
      <x:c r="J33" s="60" t="n">
        <x:v>34.2024269426</x:v>
      </x:c>
      <x:c r="K33" s="60" t="n">
        <x:v>0</x:v>
      </x:c>
      <x:c r="L33" s="60" t="n">
        <x:v>34.2024269426</x:v>
      </x:c>
      <x:c r="M33" s="60" t="n">
        <x:v>0</x:v>
      </x:c>
      <x:c r="N33" s="46" t="str">
        <x:v>pollachius pollachius</x:v>
      </x:c>
      <x:c r="O33" s="62" t="n">
        <x:v>4.32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Pollachius pollachius</x:v>
      </x:c>
      <x:c r="T33" s="62" t="n">
        <x:f>IF(O33="","",(1/'Metadata'!$B$5)^(O33-1))</x:f>
        <x:v>2089.2961308540407</x:v>
      </x:c>
      <x:c r="U33" s="60" t="n">
        <x:f>IF(T33="","",I33*T33)</x:f>
        <x:v>71458.99827699218</x:v>
      </x:c>
    </x:row>
    <x:row r="34" ht="18" customHeight="1">
      <x:c r="A34" s="46" t="str">
        <x:v>LME_060</x:v>
      </x:c>
      <x:c r="B34" s="46" t="str">
        <x:v>Faroe Plateau</x:v>
      </x:c>
      <x:c r="C34" s="46" t="str">
        <x:v>LME</x:v>
      </x:c>
      <x:c r="D34" s="58" t="n">
        <x:v>2019</x:v>
      </x:c>
      <x:c r="E34" s="46" t="str">
        <x:v>Sciaenidae</x:v>
      </x:c>
      <x:c r="F34" s="46" t="str">
        <x:v>Drums, croakers</x:v>
      </x:c>
      <x:c r="G34" s="46" t="str">
        <x:v>Medium demersals (30 - 89 cm)</x:v>
      </x:c>
      <x:c r="H34" s="46" t="str">
        <x:v>Perch-likes</x:v>
      </x:c>
      <x:c r="I34" s="60" t="n">
        <x:v>32.3132341166</x:v>
      </x:c>
      <x:c r="J34" s="60" t="n">
        <x:v>0</x:v>
      </x:c>
      <x:c r="K34" s="60" t="n">
        <x:v>32.3132341166</x:v>
      </x:c>
      <x:c r="L34" s="60" t="n">
        <x:v>0</x:v>
      </x:c>
      <x:c r="M34" s="60" t="n">
        <x:v>32.3132341166</x:v>
      </x:c>
      <x:c r="N34" s="46" t="str">
        <x:v>sciaenidae</x:v>
      </x:c>
      <x:c r="O34" s="62" t="n">
        <x:v>3.76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Sciaenidae</x:v>
      </x:c>
      <x:c r="T34" s="62" t="n">
        <x:f>IF(O34="","",(1/'Metadata'!$B$5)^(O34-1))</x:f>
        <x:v>575.4399373371566</x:v>
      </x:c>
      <x:c r="U34" s="60" t="n">
        <x:f>IF(T34="","",I34*T34)</x:f>
        <x:v>18594.325415217176</x:v>
      </x:c>
    </x:row>
    <x:row r="35" ht="18" customHeight="1">
      <x:c r="A35" s="46" t="str">
        <x:v>LME_060</x:v>
      </x:c>
      <x:c r="B35" s="46" t="str">
        <x:v>Faroe Plateau</x:v>
      </x:c>
      <x:c r="C35" s="46" t="str">
        <x:v>LME</x:v>
      </x:c>
      <x:c r="D35" s="58" t="n">
        <x:v>2019</x:v>
      </x:c>
      <x:c r="E35" s="46" t="str">
        <x:v>Miscellaneous marine crustaceans</x:v>
      </x:c>
      <x:c r="F35" s="46" t="str">
        <x:v>Marine crabs, shrimps, lobsters nei</x:v>
      </x:c>
      <x:c r="G35" s="46" t="str">
        <x:v>Shrimps</x:v>
      </x:c>
      <x:c r="H35" s="46" t="str">
        <x:v>Crustaceans</x:v>
      </x:c>
      <x:c r="I35" s="60" t="n">
        <x:v>27.8089727748</x:v>
      </x:c>
      <x:c r="J35" s="60" t="n">
        <x:v>0.0000675978</x:v>
      </x:c>
      <x:c r="K35" s="60" t="n">
        <x:v>27.808905177</x:v>
      </x:c>
      <x:c r="L35" s="60" t="n">
        <x:v>0.0000675978</x:v>
      </x:c>
      <x:c r="M35" s="60" t="n">
        <x:v>27.808905177</x:v>
      </x:c>
      <x:c r="N35" s="46" t="str">
        <x:v>miscellaneous marine crustaceans</x:v>
      </x:c>
      <x:c r="O35" s="62" t="n">
        <x:v>2.7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Miscellaneous marine crustaceans</x:v>
      </x:c>
      <x:c r="T35" s="62" t="n">
        <x:f>IF(O35="","",(1/'Metadata'!$B$5)^(O35-1))</x:f>
        <x:v>50.11872336272725</x:v>
      </x:c>
      <x:c r="U35" s="60" t="n">
        <x:f>IF(T35="","",I35*T35)</x:f>
        <x:v>1393.7502135018149</x:v>
      </x:c>
    </x:row>
    <x:row r="36" ht="18" customHeight="1">
      <x:c r="A36" s="46" t="str">
        <x:v>LME_060</x:v>
      </x:c>
      <x:c r="B36" s="46" t="str">
        <x:v>Faroe Plateau</x:v>
      </x:c>
      <x:c r="C36" s="46" t="str">
        <x:v>LME</x:v>
      </x:c>
      <x:c r="D36" s="58" t="n">
        <x:v>2019</x:v>
      </x:c>
      <x:c r="E36" s="46" t="str">
        <x:v>Clupeidae</x:v>
      </x:c>
      <x:c r="F36" s="46" t="str">
        <x:v>Herrings, sardines, menhadens</x:v>
      </x:c>
      <x:c r="G36" s="46" t="str">
        <x:v>Small pelagics (&lt;30 cm)</x:v>
      </x:c>
      <x:c r="H36" s="46" t="str">
        <x:v>Herring-likes</x:v>
      </x:c>
      <x:c r="I36" s="60" t="n">
        <x:v>26.9654504448</x:v>
      </x:c>
      <x:c r="J36" s="60" t="n">
        <x:v>0</x:v>
      </x:c>
      <x:c r="K36" s="60" t="n">
        <x:v>26.9654504448</x:v>
      </x:c>
      <x:c r="L36" s="60" t="n">
        <x:v>0</x:v>
      </x:c>
      <x:c r="M36" s="60" t="n">
        <x:v>26.9654504448</x:v>
      </x:c>
      <x:c r="N36" s="46" t="str">
        <x:v>clupeidae</x:v>
      </x:c>
      <x:c r="O36" s="62" t="n">
        <x:v>3.16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Clupeidae</x:v>
      </x:c>
      <x:c r="T36" s="62" t="n">
        <x:f>IF(O36="","",(1/'Metadata'!$B$5)^(O36-1))</x:f>
        <x:v>144.5439770745928</x:v>
      </x:c>
      <x:c r="U36" s="60" t="n">
        <x:f>IF(T36="","",I36*T36)</x:f>
        <x:v>3897.693450899239</x:v>
      </x:c>
    </x:row>
    <x:row r="37" ht="18" customHeight="1">
      <x:c r="A37" s="46" t="str">
        <x:v>LME_060</x:v>
      </x:c>
      <x:c r="B37" s="46" t="str">
        <x:v>Faroe Plateau</x:v>
      </x:c>
      <x:c r="C37" s="46" t="str">
        <x:v>LME</x:v>
      </x:c>
      <x:c r="D37" s="58" t="n">
        <x:v>2019</x:v>
      </x:c>
      <x:c r="E37" s="46" t="str">
        <x:v>Nephrops norvegicus</x:v>
      </x:c>
      <x:c r="F37" s="46" t="str">
        <x:v>Norway lobster</x:v>
      </x:c>
      <x:c r="G37" s="46" t="str">
        <x:v>Lobsters, crabs</x:v>
      </x:c>
      <x:c r="H37" s="46" t="str">
        <x:v>Crustaceans</x:v>
      </x:c>
      <x:c r="I37" s="60" t="n">
        <x:v>24.7013605924</x:v>
      </x:c>
      <x:c r="J37" s="60" t="n">
        <x:v>24.7013605924</x:v>
      </x:c>
      <x:c r="K37" s="60" t="n">
        <x:v>0</x:v>
      </x:c>
      <x:c r="L37" s="60" t="n">
        <x:v>24.7013605924</x:v>
      </x:c>
      <x:c r="M37" s="60" t="n">
        <x:v>0</x:v>
      </x:c>
      <x:c r="N37" s="46" t="str">
        <x:v>nephrops norvegicus</x:v>
      </x:c>
      <x:c r="O37" s="62" t="n">
        <x:v>2.87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Nephrops norvegicus</x:v>
      </x:c>
      <x:c r="T37" s="62" t="n">
        <x:f>IF(O37="","",(1/'Metadata'!$B$5)^(O37-1))</x:f>
        <x:v>74.13102413009177</x:v>
      </x:c>
      <x:c r="U37" s="60" t="n">
        <x:f>IF(T37="","",I37*T37)</x:f>
        <x:v>1831.1371581213025</x:v>
      </x:c>
    </x:row>
    <x:row r="38" ht="18" customHeight="1">
      <x:c r="A38" s="46" t="str">
        <x:v>LME_060</x:v>
      </x:c>
      <x:c r="B38" s="46" t="str">
        <x:v>Faroe Plateau</x:v>
      </x:c>
      <x:c r="C38" s="46" t="str">
        <x:v>LME</x:v>
      </x:c>
      <x:c r="D38" s="58" t="n">
        <x:v>2019</x:v>
      </x:c>
      <x:c r="E38" s="46" t="str">
        <x:v>Centroscymnus coelolepis</x:v>
      </x:c>
      <x:c r="F38" s="46" t="str">
        <x:v>Portuguese dogfish</x:v>
      </x:c>
      <x:c r="G38" s="46" t="str">
        <x:v>Large sharks (&gt;=90 cm)</x:v>
      </x:c>
      <x:c r="H38" s="46" t="str">
        <x:v>Sharks &amp; rays</x:v>
      </x:c>
      <x:c r="I38" s="60" t="n">
        <x:v>21.4408569849</x:v>
      </x:c>
      <x:c r="J38" s="60" t="n">
        <x:v>21.4408569849</x:v>
      </x:c>
      <x:c r="K38" s="60" t="n">
        <x:v>0</x:v>
      </x:c>
      <x:c r="L38" s="60" t="n">
        <x:v>21.4408569849</x:v>
      </x:c>
      <x:c r="M38" s="60" t="n">
        <x:v>0</x:v>
      </x:c>
      <x:c r="N38" s="46" t="str">
        <x:v>centroscymnus coelolepis</x:v>
      </x:c>
      <x:c r="O38" s="62" t="n">
        <x:v>4.48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Centroscymnus coelolepis</x:v>
      </x:c>
      <x:c r="T38" s="62" t="n">
        <x:f>IF(O38="","",(1/'Metadata'!$B$5)^(O38-1))</x:f>
        <x:v>3019.951720402019</x:v>
      </x:c>
      <x:c r="U38" s="60" t="n">
        <x:f>IF(T38="","",I38*T38)</x:f>
        <x:v>64750.352938442404</x:v>
      </x:c>
    </x:row>
    <x:row r="39" ht="18" customHeight="1">
      <x:c r="A39" s="46" t="str">
        <x:v>LME_060</x:v>
      </x:c>
      <x:c r="B39" s="46" t="str">
        <x:v>Faroe Plateau</x:v>
      </x:c>
      <x:c r="C39" s="46" t="str">
        <x:v>LME</x:v>
      </x:c>
      <x:c r="D39" s="58" t="n">
        <x:v>2019</x:v>
      </x:c>
      <x:c r="E39" s="46" t="str">
        <x:v>Hippoglossus hippoglossus</x:v>
      </x:c>
      <x:c r="F39" s="46" t="str">
        <x:v>Atlantic halibut</x:v>
      </x:c>
      <x:c r="G39" s="46" t="str">
        <x:v>Large flatfishes (&gt;=90 cm)</x:v>
      </x:c>
      <x:c r="H39" s="46" t="str">
        <x:v>Flatfishes</x:v>
      </x:c>
      <x:c r="I39" s="60" t="n">
        <x:v>21.2370453716</x:v>
      </x:c>
      <x:c r="J39" s="60" t="n">
        <x:v>21.2370453716</x:v>
      </x:c>
      <x:c r="K39" s="60" t="n">
        <x:v>0</x:v>
      </x:c>
      <x:c r="L39" s="60" t="n">
        <x:v>21.2370453716</x:v>
      </x:c>
      <x:c r="M39" s="60" t="n">
        <x:v>0</x:v>
      </x:c>
      <x:c r="N39" s="46" t="str">
        <x:v>hippoglossus hippoglossus</x:v>
      </x:c>
      <x:c r="O39" s="62" t="n">
        <x:v>4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Hippoglossus hippoglossus</x:v>
      </x:c>
      <x:c r="T39" s="62" t="n">
        <x:f>IF(O39="","",(1/'Metadata'!$B$5)^(O39-1))</x:f>
        <x:v>1000</x:v>
      </x:c>
      <x:c r="U39" s="60" t="n">
        <x:f>IF(T39="","",I39*T39)</x:f>
        <x:v>21237.0453716</x:v>
      </x:c>
    </x:row>
    <x:row r="40" ht="18" customHeight="1">
      <x:c r="A40" s="46" t="str">
        <x:v>LME_060</x:v>
      </x:c>
      <x:c r="B40" s="46" t="str">
        <x:v>Faroe Plateau</x:v>
      </x:c>
      <x:c r="C40" s="46" t="str">
        <x:v>LME</x:v>
      </x:c>
      <x:c r="D40" s="58" t="n">
        <x:v>2019</x:v>
      </x:c>
      <x:c r="E40" s="46" t="str">
        <x:v>Brachyura</x:v>
      </x:c>
      <x:c r="F40" s="46" t="str">
        <x:v>Marine crabs</x:v>
      </x:c>
      <x:c r="G40" s="46" t="str">
        <x:v>Lobsters, crabs</x:v>
      </x:c>
      <x:c r="H40" s="46" t="str">
        <x:v>Crustaceans</x:v>
      </x:c>
      <x:c r="I40" s="60" t="n">
        <x:v>19.857295371000003</x:v>
      </x:c>
      <x:c r="J40" s="60" t="n">
        <x:v>19.857295371000003</x:v>
      </x:c>
      <x:c r="K40" s="60" t="n">
        <x:v>0</x:v>
      </x:c>
      <x:c r="L40" s="60" t="n">
        <x:v>19.857295371000003</x:v>
      </x:c>
      <x:c r="M40" s="60" t="n">
        <x:v>0</x:v>
      </x:c>
      <x:c r="N40" s="46" t="str">
        <x:v>brachyura</x:v>
      </x:c>
      <x:c r="O40" s="62" t="n">
        <x:v>2.6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Brachyura</x:v>
      </x:c>
      <x:c r="T40" s="62" t="n">
        <x:f>IF(O40="","",(1/'Metadata'!$B$5)^(O40-1))</x:f>
        <x:v>39.810717055349734</x:v>
      </x:c>
      <x:c r="U40" s="60" t="n">
        <x:f>IF(T40="","",I40*T40)</x:f>
        <x:v>790.5331674993871</x:v>
      </x:c>
    </x:row>
    <x:row r="41" ht="18" customHeight="1">
      <x:c r="A41" s="46" t="str">
        <x:v>LME_060</x:v>
      </x:c>
      <x:c r="B41" s="46" t="str">
        <x:v>Faroe Plateau</x:v>
      </x:c>
      <x:c r="C41" s="46" t="str">
        <x:v>LME</x:v>
      </x:c>
      <x:c r="D41" s="58" t="n">
        <x:v>2019</x:v>
      </x:c>
      <x:c r="E41" s="46" t="str">
        <x:v>Lophiidae</x:v>
      </x:c>
      <x:c r="F41" s="46" t="str">
        <x:v>Goosefishes</x:v>
      </x:c>
      <x:c r="G41" s="46" t="str">
        <x:v>Medium bathydemersals (30 - 89 cm)</x:v>
      </x:c>
      <x:c r="H41" s="46" t="str">
        <x:v>Other fishes &amp; inverts</x:v>
      </x:c>
      <x:c r="I41" s="60" t="n">
        <x:v>19.0301577431</x:v>
      </x:c>
      <x:c r="J41" s="60" t="n">
        <x:v>19.030156510199998</x:v>
      </x:c>
      <x:c r="K41" s="60" t="n">
        <x:v>0.0000012329</x:v>
      </x:c>
      <x:c r="L41" s="60" t="n">
        <x:v>19.030152751099997</x:v>
      </x:c>
      <x:c r="M41" s="60" t="n">
        <x:v>0.000004992</x:v>
      </x:c>
      <x:c r="N41" s="46" t="str">
        <x:v>lophiidae</x:v>
      </x:c>
      <x:c r="O41" s="62" t="n">
        <x:v>4.46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Lophiidae</x:v>
      </x:c>
      <x:c r="T41" s="62" t="n">
        <x:f>IF(O41="","",(1/'Metadata'!$B$5)^(O41-1))</x:f>
        <x:v>2884.031503126606</x:v>
      </x:c>
      <x:c r="U41" s="60" t="n">
        <x:f>IF(T41="","",I41*T41)</x:f>
        <x:v>54883.57444056911</x:v>
      </x:c>
    </x:row>
    <x:row r="42" ht="18" customHeight="1">
      <x:c r="A42" s="46" t="str">
        <x:v>LME_060</x:v>
      </x:c>
      <x:c r="B42" s="46" t="str">
        <x:v>Faroe Plateau</x:v>
      </x:c>
      <x:c r="C42" s="46" t="str">
        <x:v>LME</x:v>
      </x:c>
      <x:c r="D42" s="58" t="n">
        <x:v>2019</x:v>
      </x:c>
      <x:c r="E42" s="46" t="str">
        <x:v>Macrouridae</x:v>
      </x:c>
      <x:c r="F42" s="46" t="str">
        <x:v>Grenadiers, rattails</x:v>
      </x:c>
      <x:c r="G42" s="46" t="str">
        <x:v>Medium benthopelagics (30 - 89 cm)</x:v>
      </x:c>
      <x:c r="H42" s="46" t="str">
        <x:v>Cod-likes</x:v>
      </x:c>
      <x:c r="I42" s="60" t="n">
        <x:v>17.3321935867</x:v>
      </x:c>
      <x:c r="J42" s="60" t="n">
        <x:v>0</x:v>
      </x:c>
      <x:c r="K42" s="60" t="n">
        <x:v>17.3321935867</x:v>
      </x:c>
      <x:c r="L42" s="60" t="n">
        <x:v>0</x:v>
      </x:c>
      <x:c r="M42" s="60" t="n">
        <x:v>17.3321935867</x:v>
      </x:c>
      <x:c r="N42" s="46" t="str">
        <x:v>macrouridae</x:v>
      </x:c>
      <x:c r="O42" s="62" t="n">
        <x:v>3.88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Macrouridae</x:v>
      </x:c>
      <x:c r="T42" s="62" t="n">
        <x:f>IF(O42="","",(1/'Metadata'!$B$5)^(O42-1))</x:f>
        <x:v>758.5775750291835</x:v>
      </x:c>
      <x:c r="U42" s="60" t="n">
        <x:f>IF(T42="","",I42*T42)</x:f>
        <x:v>13147.813380935253</x:v>
      </x:c>
    </x:row>
    <x:row r="43" ht="18" customHeight="1">
      <x:c r="A43" s="46" t="str">
        <x:v>LME_060</x:v>
      </x:c>
      <x:c r="B43" s="46" t="str">
        <x:v>Faroe Plateau</x:v>
      </x:c>
      <x:c r="C43" s="46" t="str">
        <x:v>LME</x:v>
      </x:c>
      <x:c r="D43" s="58" t="n">
        <x:v>2019</x:v>
      </x:c>
      <x:c r="E43" s="46" t="str">
        <x:v>Merluccius merluccius</x:v>
      </x:c>
      <x:c r="F43" s="46" t="str">
        <x:v>European hake</x:v>
      </x:c>
      <x:c r="G43" s="46" t="str">
        <x:v>Large demersals (&gt;=90 cm)</x:v>
      </x:c>
      <x:c r="H43" s="46" t="str">
        <x:v>Cod-likes</x:v>
      </x:c>
      <x:c r="I43" s="60" t="n">
        <x:v>16.3042031287</x:v>
      </x:c>
      <x:c r="J43" s="60" t="n">
        <x:v>16.3042031287</x:v>
      </x:c>
      <x:c r="K43" s="60" t="n">
        <x:v>0</x:v>
      </x:c>
      <x:c r="L43" s="60" t="n">
        <x:v>16.3042031287</x:v>
      </x:c>
      <x:c r="M43" s="60" t="n">
        <x:v>0</x:v>
      </x:c>
      <x:c r="N43" s="46" t="str">
        <x:v>merluccius merluccius</x:v>
      </x:c>
      <x:c r="O43" s="62" t="n">
        <x:v>4.42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Merluccius merluccius</x:v>
      </x:c>
      <x:c r="T43" s="62" t="n">
        <x:f>IF(O43="","",(1/'Metadata'!$B$5)^(O43-1))</x:f>
        <x:v>2630.2679918953813</x:v>
      </x:c>
      <x:c r="U43" s="60" t="n">
        <x:f>IF(T43="","",I43*T43)</x:f>
        <x:v>42884.42362278014</x:v>
      </x:c>
    </x:row>
    <x:row r="44" ht="18" customHeight="1">
      <x:c r="A44" s="46" t="str">
        <x:v>LME_060</x:v>
      </x:c>
      <x:c r="B44" s="46" t="str">
        <x:v>Faroe Plateau</x:v>
      </x:c>
      <x:c r="C44" s="46" t="str">
        <x:v>LME</x:v>
      </x:c>
      <x:c r="D44" s="58" t="n">
        <x:v>2019</x:v>
      </x:c>
      <x:c r="E44" s="46" t="str">
        <x:v>Marine finfishes not identified</x:v>
      </x:c>
      <x:c r="F44" s="46" t="str">
        <x:v>Finfishes</x:v>
      </x:c>
      <x:c r="G44" s="46" t="str">
        <x:v>Medium demersals (30 - 89 cm)</x:v>
      </x:c>
      <x:c r="H44" s="46" t="str">
        <x:v>Other fishes &amp; inverts</x:v>
      </x:c>
      <x:c r="I44" s="60" t="n">
        <x:v>15.3496082347</x:v>
      </x:c>
      <x:c r="J44" s="60" t="n">
        <x:v>0.027015003500000002</x:v>
      </x:c>
      <x:c r="K44" s="60" t="n">
        <x:v>15.322593231199999</x:v>
      </x:c>
      <x:c r="L44" s="60" t="n">
        <x:v>0.027015003500000002</x:v>
      </x:c>
      <x:c r="M44" s="60" t="n">
        <x:v>15.322593231199999</x:v>
      </x:c>
      <x:c r="N44" s="46" t="str">
        <x:v>marine finfishes not identified</x:v>
      </x:c>
      <x:c r="O44" s="62" t="n">
        <x:v>3.23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Marine finfishes not identified</x:v>
      </x:c>
      <x:c r="T44" s="62" t="n">
        <x:f>IF(O44="","",(1/'Metadata'!$B$5)^(O44-1))</x:f>
        <x:v>169.82436524617444</x:v>
      </x:c>
      <x:c r="U44" s="60" t="n">
        <x:f>IF(T44="","",I44*T44)</x:f>
        <x:v>2606.7374752353794</x:v>
      </x:c>
    </x:row>
    <x:row r="45" ht="18" customHeight="1">
      <x:c r="A45" s="46" t="str">
        <x:v>LME_060</x:v>
      </x:c>
      <x:c r="B45" s="46" t="str">
        <x:v>Faroe Plateau</x:v>
      </x:c>
      <x:c r="C45" s="46" t="str">
        <x:v>LME</x:v>
      </x:c>
      <x:c r="D45" s="58" t="n">
        <x:v>2019</x:v>
      </x:c>
      <x:c r="E45" s="46" t="str">
        <x:v>Carangidae</x:v>
      </x:c>
      <x:c r="F45" s="46" t="str">
        <x:v>Jacks, pompanos</x:v>
      </x:c>
      <x:c r="G45" s="46" t="str">
        <x:v>Medium pelagics (30 - 89 cm)</x:v>
      </x:c>
      <x:c r="H45" s="46" t="str">
        <x:v>Perch-likes</x:v>
      </x:c>
      <x:c r="I45" s="60" t="n">
        <x:v>13.4660482228</x:v>
      </x:c>
      <x:c r="J45" s="60" t="n">
        <x:v>0.0008069606</x:v>
      </x:c>
      <x:c r="K45" s="60" t="n">
        <x:v>13.4652412622</x:v>
      </x:c>
      <x:c r="L45" s="60" t="n">
        <x:v>0.0008069606</x:v>
      </x:c>
      <x:c r="M45" s="60" t="n">
        <x:v>13.4652412622</x:v>
      </x:c>
      <x:c r="N45" s="46" t="str">
        <x:v>carangidae</x:v>
      </x:c>
      <x:c r="O45" s="62" t="n">
        <x:v>4.05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Carangidae</x:v>
      </x:c>
      <x:c r="T45" s="62" t="n">
        <x:f>IF(O45="","",(1/'Metadata'!$B$5)^(O45-1))</x:f>
        <x:v>1122.018454301963</x:v>
      </x:c>
      <x:c r="U45" s="60" t="n">
        <x:f>IF(T45="","",I45*T45)</x:f>
        <x:v>15109.15461250175</x:v>
      </x:c>
    </x:row>
    <x:row r="46" ht="18" customHeight="1">
      <x:c r="A46" s="46" t="str">
        <x:v>LME_060</x:v>
      </x:c>
      <x:c r="B46" s="46" t="str">
        <x:v>Faroe Plateau</x:v>
      </x:c>
      <x:c r="C46" s="46" t="str">
        <x:v>LME</x:v>
      </x:c>
      <x:c r="D46" s="58" t="n">
        <x:v>2019</x:v>
      </x:c>
      <x:c r="E46" s="46" t="str">
        <x:v>Scophthalmidae</x:v>
      </x:c>
      <x:c r="F46" s="46" t="str">
        <x:v>Turbots</x:v>
      </x:c>
      <x:c r="G46" s="46" t="str">
        <x:v>Small to medium flatfishes (&lt;90 cm)</x:v>
      </x:c>
      <x:c r="H46" s="46" t="str">
        <x:v>Flatfishes</x:v>
      </x:c>
      <x:c r="I46" s="60" t="n">
        <x:v>13.3161413057</x:v>
      </x:c>
      <x:c r="J46" s="60" t="n">
        <x:v>0</x:v>
      </x:c>
      <x:c r="K46" s="60" t="n">
        <x:v>13.3161413057</x:v>
      </x:c>
      <x:c r="L46" s="60" t="n">
        <x:v>0</x:v>
      </x:c>
      <x:c r="M46" s="60" t="n">
        <x:v>13.3161413057</x:v>
      </x:c>
      <x:c r="N46" s="46" t="str">
        <x:v>scophthalmidae</x:v>
      </x:c>
      <x:c r="O46" s="62" t="n">
        <x:v>3.71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Scophthalmidae</x:v>
      </x:c>
      <x:c r="T46" s="62" t="n">
        <x:f>IF(O46="","",(1/'Metadata'!$B$5)^(O46-1))</x:f>
        <x:v>512.8613839913648</x:v>
      </x:c>
      <x:c r="U46" s="60" t="n">
        <x:f>IF(T46="","",I46*T46)</x:f>
        <x:v>6829.334659465882</x:v>
      </x:c>
    </x:row>
    <x:row r="47" ht="18" customHeight="1">
      <x:c r="A47" s="46" t="str">
        <x:v>LME_060</x:v>
      </x:c>
      <x:c r="B47" s="46" t="str">
        <x:v>Faroe Plateau</x:v>
      </x:c>
      <x:c r="C47" s="46" t="str">
        <x:v>LME</x:v>
      </x:c>
      <x:c r="D47" s="58" t="n">
        <x:v>2019</x:v>
      </x:c>
      <x:c r="E47" s="46" t="str">
        <x:v>Bivalvia</x:v>
      </x:c>
      <x:c r="F47" s="46" t="str">
        <x:v>Clams</x:v>
      </x:c>
      <x:c r="G47" s="46" t="str">
        <x:v>Other demersal invertebrates</x:v>
      </x:c>
      <x:c r="H47" s="46" t="str">
        <x:v>Molluscs</x:v>
      </x:c>
      <x:c r="I47" s="60" t="n">
        <x:v>9.5077921613</x:v>
      </x:c>
      <x:c r="J47" s="60" t="n">
        <x:v>0.0000077797</x:v>
      </x:c>
      <x:c r="K47" s="60" t="n">
        <x:v>9.5077843816</x:v>
      </x:c>
      <x:c r="L47" s="60" t="n">
        <x:v>0.0000077797</x:v>
      </x:c>
      <x:c r="M47" s="60" t="n">
        <x:v>9.5077843816</x:v>
      </x:c>
      <x:c r="N47" s="46" t="str">
        <x:v>bivalvia</x:v>
      </x:c>
      <x:c r="O47" s="62" t="n">
        <x:v>2.23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Bivalvia</x:v>
      </x:c>
      <x:c r="T47" s="62" t="n">
        <x:f>IF(O47="","",(1/'Metadata'!$B$5)^(O47-1))</x:f>
        <x:v>16.982436524617444</x:v>
      </x:c>
      <x:c r="U47" s="60" t="n">
        <x:f>IF(T47="","",I47*T47)</x:f>
        <x:v>161.46547686853253</x:v>
      </x:c>
    </x:row>
    <x:row r="48" ht="18" customHeight="1">
      <x:c r="A48" s="46" t="str">
        <x:v>LME_060</x:v>
      </x:c>
      <x:c r="B48" s="46" t="str">
        <x:v>Faroe Plateau</x:v>
      </x:c>
      <x:c r="C48" s="46" t="str">
        <x:v>LME</x:v>
      </x:c>
      <x:c r="D48" s="58" t="n">
        <x:v>2019</x:v>
      </x:c>
      <x:c r="E48" s="46" t="str">
        <x:v>Gastropoda</x:v>
      </x:c>
      <x:c r="F48" s="46" t="str">
        <x:v>Sea snails</x:v>
      </x:c>
      <x:c r="G48" s="46" t="str">
        <x:v>Other demersal invertebrates</x:v>
      </x:c>
      <x:c r="H48" s="46" t="str">
        <x:v>Molluscs</x:v>
      </x:c>
      <x:c r="I48" s="60" t="n">
        <x:v>8.9558493854</x:v>
      </x:c>
      <x:c r="J48" s="60" t="n">
        <x:v>0</x:v>
      </x:c>
      <x:c r="K48" s="60" t="n">
        <x:v>8.9558493854</x:v>
      </x:c>
      <x:c r="L48" s="60" t="n">
        <x:v>0</x:v>
      </x:c>
      <x:c r="M48" s="60" t="n">
        <x:v>8.9558493854</x:v>
      </x:c>
      <x:c r="N48" s="46" t="str">
        <x:v>gastropoda</x:v>
      </x:c>
      <x:c r="O48" s="62" t="n">
        <x:v>3.06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Gastropoda</x:v>
      </x:c>
      <x:c r="T48" s="62" t="n">
        <x:f>IF(O48="","",(1/'Metadata'!$B$5)^(O48-1))</x:f>
        <x:v>114.81536214968828</x:v>
      </x:c>
      <x:c r="U48" s="60" t="n">
        <x:f>IF(T48="","",I48*T48)</x:f>
        <x:v>1028.2690905427644</x:v>
      </x:c>
    </x:row>
    <x:row r="49" ht="18" customHeight="1">
      <x:c r="A49" s="46" t="str">
        <x:v>LME_060</x:v>
      </x:c>
      <x:c r="B49" s="46" t="str">
        <x:v>Faroe Plateau</x:v>
      </x:c>
      <x:c r="C49" s="46" t="str">
        <x:v>LME</x:v>
      </x:c>
      <x:c r="D49" s="58" t="n">
        <x:v>2019</x:v>
      </x:c>
      <x:c r="E49" s="46" t="str">
        <x:v>Sebastidae</x:v>
      </x:c>
      <x:c r="F49" s="46" t="str">
        <x:v>Rockfishes, rockcods, thornyheads</x:v>
      </x:c>
      <x:c r="G49" s="46" t="str">
        <x:v>Medium demersals (30 - 89 cm)</x:v>
      </x:c>
      <x:c r="H49" s="46" t="str">
        <x:v>Scorpionfishes</x:v>
      </x:c>
      <x:c r="I49" s="60" t="n">
        <x:v>8.9541685736</x:v>
      </x:c>
      <x:c r="J49" s="60" t="n">
        <x:v>0</x:v>
      </x:c>
      <x:c r="K49" s="60" t="n">
        <x:v>8.9541685736</x:v>
      </x:c>
      <x:c r="L49" s="60" t="n">
        <x:v>0</x:v>
      </x:c>
      <x:c r="M49" s="60" t="n">
        <x:v>8.9541685736</x:v>
      </x:c>
      <x:c r="N49" s="46" t="str">
        <x:v>sebastidae</x:v>
      </x:c>
      <x:c r="O49" s="62" t="n">
        <x:v>3.74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Sebastidae</x:v>
      </x:c>
      <x:c r="T49" s="62" t="n">
        <x:f>IF(O49="","",(1/'Metadata'!$B$5)^(O49-1))</x:f>
        <x:v>549.5408738576248</x:v>
      </x:c>
      <x:c r="U49" s="60" t="n">
        <x:f>IF(T49="","",I49*T49)</x:f>
        <x:v>4920.681622604626</x:v>
      </x:c>
    </x:row>
    <x:row r="50" ht="18" customHeight="1">
      <x:c r="A50" s="46" t="str">
        <x:v>LME_060</x:v>
      </x:c>
      <x:c r="B50" s="46" t="str">
        <x:v>Faroe Plateau</x:v>
      </x:c>
      <x:c r="C50" s="46" t="str">
        <x:v>LME</x:v>
      </x:c>
      <x:c r="D50" s="58" t="n">
        <x:v>2019</x:v>
      </x:c>
      <x:c r="E50" s="46" t="str">
        <x:v>Triglidae</x:v>
      </x:c>
      <x:c r="F50" s="46" t="str">
        <x:v>Searobins, gurnards</x:v>
      </x:c>
      <x:c r="G50" s="46" t="str">
        <x:v>Medium demersals (30 - 89 cm)</x:v>
      </x:c>
      <x:c r="H50" s="46" t="str">
        <x:v>Scorpionfishes</x:v>
      </x:c>
      <x:c r="I50" s="60" t="n">
        <x:v>8.7247901743</x:v>
      </x:c>
      <x:c r="J50" s="60" t="n">
        <x:v>0.0195054005</x:v>
      </x:c>
      <x:c r="K50" s="60" t="n">
        <x:v>8.7052847738</x:v>
      </x:c>
      <x:c r="L50" s="60" t="n">
        <x:v>0.0195054005</x:v>
      </x:c>
      <x:c r="M50" s="60" t="n">
        <x:v>8.7052847738</x:v>
      </x:c>
      <x:c r="N50" s="46" t="str">
        <x:v>triglidae</x:v>
      </x:c>
      <x:c r="O50" s="62" t="n">
        <x:v>3.74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Triglidae</x:v>
      </x:c>
      <x:c r="T50" s="62" t="n">
        <x:f>IF(O50="","",(1/'Metadata'!$B$5)^(O50-1))</x:f>
        <x:v>549.5408738576248</x:v>
      </x:c>
      <x:c r="U50" s="60" t="n">
        <x:f>IF(T50="","",I50*T50)</x:f>
        <x:v>4794.628816609241</x:v>
      </x:c>
    </x:row>
    <x:row r="51" ht="18" customHeight="1">
      <x:c r="A51" s="46" t="str">
        <x:v>LME_060</x:v>
      </x:c>
      <x:c r="B51" s="46" t="str">
        <x:v>Faroe Plateau</x:v>
      </x:c>
      <x:c r="C51" s="46" t="str">
        <x:v>LME</x:v>
      </x:c>
      <x:c r="D51" s="58" t="n">
        <x:v>2019</x:v>
      </x:c>
      <x:c r="E51" s="46" t="str">
        <x:v>Chimaera monstrosa</x:v>
      </x:c>
      <x:c r="F51" s="46" t="str">
        <x:v>Rabbit fish</x:v>
      </x:c>
      <x:c r="G51" s="46" t="str">
        <x:v>Large rays (&gt;=90 cm)</x:v>
      </x:c>
      <x:c r="H51" s="46" t="str">
        <x:v>Sharks &amp; rays</x:v>
      </x:c>
      <x:c r="I51" s="60" t="n">
        <x:v>8.435368679200002</x:v>
      </x:c>
      <x:c r="J51" s="60" t="n">
        <x:v>8.435368679200002</x:v>
      </x:c>
      <x:c r="K51" s="60" t="n">
        <x:v>0</x:v>
      </x:c>
      <x:c r="L51" s="60" t="n">
        <x:v>8.435368679200002</x:v>
      </x:c>
      <x:c r="M51" s="60" t="n">
        <x:v>0</x:v>
      </x:c>
      <x:c r="N51" s="46" t="str">
        <x:v>chimaera monstrosa</x:v>
      </x:c>
      <x:c r="O51" s="62" t="n">
        <x:v>3.52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Chimaera monstrosa</x:v>
      </x:c>
      <x:c r="T51" s="62" t="n">
        <x:f>IF(O51="","",(1/'Metadata'!$B$5)^(O51-1))</x:f>
        <x:v>331.1311214825911</x:v>
      </x:c>
      <x:c r="U51" s="60" t="n">
        <x:f>IF(T51="","",I51*T51)</x:f>
        <x:v>2793.2130908626195</x:v>
      </x:c>
    </x:row>
    <x:row r="52" ht="18" customHeight="1">
      <x:c r="A52" s="46" t="str">
        <x:v>LME_060</x:v>
      </x:c>
      <x:c r="B52" s="46" t="str">
        <x:v>Faroe Plateau</x:v>
      </x:c>
      <x:c r="C52" s="46" t="str">
        <x:v>LME</x:v>
      </x:c>
      <x:c r="D52" s="58" t="n">
        <x:v>2019</x:v>
      </x:c>
      <x:c r="E52" s="46" t="str">
        <x:v>Epigonus telescopus</x:v>
      </x:c>
      <x:c r="F52" s="46" t="str">
        <x:v>Black cardinal fish</x:v>
      </x:c>
      <x:c r="G52" s="46" t="str">
        <x:v>Medium bathydemersals (30 - 89 cm)</x:v>
      </x:c>
      <x:c r="H52" s="46" t="str">
        <x:v>Perch-likes</x:v>
      </x:c>
      <x:c r="I52" s="60" t="n">
        <x:v>6.5893049204</x:v>
      </x:c>
      <x:c r="J52" s="60" t="n">
        <x:v>6.5893049204</x:v>
      </x:c>
      <x:c r="K52" s="60" t="n">
        <x:v>0</x:v>
      </x:c>
      <x:c r="L52" s="60" t="n">
        <x:v>6.5893049204</x:v>
      </x:c>
      <x:c r="M52" s="60" t="n">
        <x:v>0</x:v>
      </x:c>
      <x:c r="N52" s="46" t="str">
        <x:v>epigonus telescopus</x:v>
      </x:c>
      <x:c r="O52" s="62" t="n">
        <x:v>3.59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Epigonus telescopus</x:v>
      </x:c>
      <x:c r="T52" s="62" t="n">
        <x:f>IF(O52="","",(1/'Metadata'!$B$5)^(O52-1))</x:f>
        <x:v>389.04514499428046</x:v>
      </x:c>
      <x:c r="U52" s="60" t="n">
        <x:f>IF(T52="","",I52*T52)</x:f>
        <x:v>2563.5370881685435</x:v>
      </x:c>
    </x:row>
    <x:row r="53" ht="18" customHeight="1">
      <x:c r="A53" s="46" t="str">
        <x:v>LME_060</x:v>
      </x:c>
      <x:c r="B53" s="46" t="str">
        <x:v>Faroe Plateau</x:v>
      </x:c>
      <x:c r="C53" s="46" t="str">
        <x:v>LME</x:v>
      </x:c>
      <x:c r="D53" s="58" t="n">
        <x:v>2019</x:v>
      </x:c>
      <x:c r="E53" s="46" t="str">
        <x:v>Limanda limanda</x:v>
      </x:c>
      <x:c r="F53" s="46" t="str">
        <x:v>Common dab</x:v>
      </x:c>
      <x:c r="G53" s="46" t="str">
        <x:v>Small to medium flatfishes (&lt;90 cm)</x:v>
      </x:c>
      <x:c r="H53" s="46" t="str">
        <x:v>Flatfishes</x:v>
      </x:c>
      <x:c r="I53" s="60" t="n">
        <x:v>6.5337652345</x:v>
      </x:c>
      <x:c r="J53" s="60" t="n">
        <x:v>6.5337652345</x:v>
      </x:c>
      <x:c r="K53" s="60" t="n">
        <x:v>0</x:v>
      </x:c>
      <x:c r="L53" s="60" t="n">
        <x:v>6.5337652345</x:v>
      </x:c>
      <x:c r="M53" s="60" t="n">
        <x:v>0</x:v>
      </x:c>
      <x:c r="N53" s="46" t="str">
        <x:v>limanda limanda</x:v>
      </x:c>
      <x:c r="O53" s="62" t="n">
        <x:v>3.29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Limanda limanda</x:v>
      </x:c>
      <x:c r="T53" s="62" t="n">
        <x:f>IF(O53="","",(1/'Metadata'!$B$5)^(O53-1))</x:f>
        <x:v>194.98445997580455</x:v>
      </x:c>
      <x:c r="U53" s="60" t="n">
        <x:f>IF(T53="","",I53*T53)</x:f>
        <x:v>1273.9826858576685</x:v>
      </x:c>
    </x:row>
    <x:row r="54" ht="18" customHeight="1">
      <x:c r="A54" s="46" t="str">
        <x:v>LME_060</x:v>
      </x:c>
      <x:c r="B54" s="46" t="str">
        <x:v>Faroe Plateau</x:v>
      </x:c>
      <x:c r="C54" s="46" t="str">
        <x:v>LME</x:v>
      </x:c>
      <x:c r="D54" s="58" t="n">
        <x:v>2019</x:v>
      </x:c>
      <x:c r="E54" s="46" t="str">
        <x:v>Hydrolagus</x:v>
      </x:c>
      <x:c r="F54" s="46" t="str">
        <x:v>Ghostsharks</x:v>
      </x:c>
      <x:c r="G54" s="46" t="str">
        <x:v>Small to medium rays (&lt;90 cm)</x:v>
      </x:c>
      <x:c r="H54" s="46" t="str">
        <x:v>Sharks &amp; rays</x:v>
      </x:c>
      <x:c r="I54" s="60" t="n">
        <x:v>5.784453181000001</x:v>
      </x:c>
      <x:c r="J54" s="60" t="n">
        <x:v>5.784453181000001</x:v>
      </x:c>
      <x:c r="K54" s="60" t="n">
        <x:v>0</x:v>
      </x:c>
      <x:c r="L54" s="60" t="n">
        <x:v>5.784453181000001</x:v>
      </x:c>
      <x:c r="M54" s="60" t="n">
        <x:v>0</x:v>
      </x:c>
      <x:c r="N54" s="46" t="str">
        <x:v>hydrolagus</x:v>
      </x:c>
      <x:c r="O54" s="62" t="n">
        <x:v>3.51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Hydrolagus</x:v>
      </x:c>
      <x:c r="T54" s="62" t="n">
        <x:f>IF(O54="","",(1/'Metadata'!$B$5)^(O54-1))</x:f>
        <x:v>323.5936569296281</x:v>
      </x:c>
      <x:c r="U54" s="60" t="n">
        <x:f>IF(T54="","",I54*T54)</x:f>
        <x:v>1871.81235817801</x:v>
      </x:c>
    </x:row>
    <x:row r="55" ht="18" customHeight="1">
      <x:c r="A55" s="46" t="str">
        <x:v>LME_060</x:v>
      </x:c>
      <x:c r="B55" s="46" t="str">
        <x:v>Faroe Plateau</x:v>
      </x:c>
      <x:c r="C55" s="46" t="str">
        <x:v>LME</x:v>
      </x:c>
      <x:c r="D55" s="58" t="n">
        <x:v>2019</x:v>
      </x:c>
      <x:c r="E55" s="46" t="str">
        <x:v>Sebastes norvegicus</x:v>
      </x:c>
      <x:c r="F55" s="46" t="str">
        <x:v>Golden redfish</x:v>
      </x:c>
      <x:c r="G55" s="46" t="str">
        <x:v>Medium benthopelagics (30 - 89 cm)</x:v>
      </x:c>
      <x:c r="H55" s="46" t="str">
        <x:v>Scorpionfishes</x:v>
      </x:c>
      <x:c r="I55" s="60" t="n">
        <x:v>5.3858659843</x:v>
      </x:c>
      <x:c r="J55" s="60" t="n">
        <x:v>5.3858659843</x:v>
      </x:c>
      <x:c r="K55" s="60" t="n">
        <x:v>0</x:v>
      </x:c>
      <x:c r="L55" s="60" t="n">
        <x:v>5.3858659843</x:v>
      </x:c>
      <x:c r="M55" s="60" t="n">
        <x:v>0</x:v>
      </x:c>
      <x:c r="N55" s="46" t="str">
        <x:v>sebastes norvegicus</x:v>
      </x:c>
      <x:c r="O55" s="62" t="n">
        <x:v>4.04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Sebastes norvegicus</x:v>
      </x:c>
      <x:c r="T55" s="62" t="n">
        <x:f>IF(O55="","",(1/'Metadata'!$B$5)^(O55-1))</x:f>
        <x:v>1096.4781961431852</x:v>
      </x:c>
      <x:c r="U55" s="60" t="n">
        <x:f>IF(T55="","",I55*T55)</x:f>
        <x:v>5905.484619134204</x:v>
      </x:c>
    </x:row>
    <x:row r="56" ht="18" customHeight="1">
      <x:c r="A56" s="46" t="str">
        <x:v>LME_060</x:v>
      </x:c>
      <x:c r="B56" s="46" t="str">
        <x:v>Faroe Plateau</x:v>
      </x:c>
      <x:c r="C56" s="46" t="str">
        <x:v>LME</x:v>
      </x:c>
      <x:c r="D56" s="58" t="n">
        <x:v>2019</x:v>
      </x:c>
      <x:c r="E56" s="46" t="str">
        <x:v>Rajidae</x:v>
      </x:c>
      <x:c r="F56" s="46" t="str">
        <x:v>Stingrays</x:v>
      </x:c>
      <x:c r="G56" s="46" t="str">
        <x:v>Large rays (&gt;=90 cm)</x:v>
      </x:c>
      <x:c r="H56" s="46" t="str">
        <x:v>Sharks &amp; rays</x:v>
      </x:c>
      <x:c r="I56" s="60" t="n">
        <x:v>5.0093145086</x:v>
      </x:c>
      <x:c r="J56" s="60" t="n">
        <x:v>5.0093145086</x:v>
      </x:c>
      <x:c r="K56" s="60" t="n">
        <x:v>0</x:v>
      </x:c>
      <x:c r="L56" s="60" t="n">
        <x:v>5.0093145086</x:v>
      </x:c>
      <x:c r="M56" s="60" t="n">
        <x:v>0</x:v>
      </x:c>
      <x:c r="N56" s="46" t="str">
        <x:v>rajidae</x:v>
      </x:c>
      <x:c r="O56" s="62" t="n">
        <x:v>3.82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Rajidae</x:v>
      </x:c>
      <x:c r="T56" s="62" t="n">
        <x:f>IF(O56="","",(1/'Metadata'!$B$5)^(O56-1))</x:f>
        <x:v>660.6934480075957</x:v>
      </x:c>
      <x:c r="U56" s="60" t="n">
        <x:f>IF(T56="","",I56*T56)</x:f>
        <x:v>3309.621274841409</x:v>
      </x:c>
    </x:row>
    <x:row r="57" ht="18" customHeight="1">
      <x:c r="A57" s="46" t="str">
        <x:v>LME_060</x:v>
      </x:c>
      <x:c r="B57" s="46" t="str">
        <x:v>Faroe Plateau</x:v>
      </x:c>
      <x:c r="C57" s="46" t="str">
        <x:v>LME</x:v>
      </x:c>
      <x:c r="D57" s="58" t="n">
        <x:v>2019</x:v>
      </x:c>
      <x:c r="E57" s="46" t="str">
        <x:v>Phycis blennoides</x:v>
      </x:c>
      <x:c r="F57" s="46" t="str">
        <x:v>Greater forkbeard</x:v>
      </x:c>
      <x:c r="G57" s="46" t="str">
        <x:v>Large benthopelagics (&gt;=90 cm)</x:v>
      </x:c>
      <x:c r="H57" s="46" t="str">
        <x:v>Cod-likes</x:v>
      </x:c>
      <x:c r="I57" s="60" t="n">
        <x:v>4.6559595156</x:v>
      </x:c>
      <x:c r="J57" s="60" t="n">
        <x:v>4.6559595156</x:v>
      </x:c>
      <x:c r="K57" s="60" t="n">
        <x:v>0</x:v>
      </x:c>
      <x:c r="L57" s="60" t="n">
        <x:v>4.6559595156</x:v>
      </x:c>
      <x:c r="M57" s="60" t="n">
        <x:v>0</x:v>
      </x:c>
      <x:c r="N57" s="46" t="str">
        <x:v>phycis blennoides</x:v>
      </x:c>
      <x:c r="O57" s="62" t="n">
        <x:v>3.87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Phycis blennoides</x:v>
      </x:c>
      <x:c r="T57" s="62" t="n">
        <x:f>IF(O57="","",(1/'Metadata'!$B$5)^(O57-1))</x:f>
        <x:v>741.3102413009177</x:v>
      </x:c>
      <x:c r="U57" s="60" t="n">
        <x:f>IF(T57="","",I57*T57)</x:f>
        <x:v>3451.5104719967403</x:v>
      </x:c>
    </x:row>
    <x:row r="58" ht="18" customHeight="1">
      <x:c r="A58" s="46" t="str">
        <x:v>LME_060</x:v>
      </x:c>
      <x:c r="B58" s="46" t="str">
        <x:v>Faroe Plateau</x:v>
      </x:c>
      <x:c r="C58" s="46" t="str">
        <x:v>LME</x:v>
      </x:c>
      <x:c r="D58" s="58" t="n">
        <x:v>2019</x:v>
      </x:c>
      <x:c r="E58" s="46" t="str">
        <x:v>Argentina silus</x:v>
      </x:c>
      <x:c r="F58" s="46" t="str">
        <x:v>Greater argentine</x:v>
      </x:c>
      <x:c r="G58" s="46" t="str">
        <x:v>Medium bathydemersals (30 - 89 cm)</x:v>
      </x:c>
      <x:c r="H58" s="46" t="str">
        <x:v>Salmon, smelts, etc</x:v>
      </x:c>
      <x:c r="I58" s="60" t="n">
        <x:v>3.9888775057999997</x:v>
      </x:c>
      <x:c r="J58" s="60" t="n">
        <x:v>3.9888775057999997</x:v>
      </x:c>
      <x:c r="K58" s="60" t="n">
        <x:v>0</x:v>
      </x:c>
      <x:c r="L58" s="60" t="n">
        <x:v>3.9888775057999997</x:v>
      </x:c>
      <x:c r="M58" s="60" t="n">
        <x:v>0</x:v>
      </x:c>
      <x:c r="N58" s="46" t="str">
        <x:v>argentina silus</x:v>
      </x:c>
      <x:c r="O58" s="62" t="n">
        <x:v>3.32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Argentina silus</x:v>
      </x:c>
      <x:c r="T58" s="62" t="n">
        <x:f>IF(O58="","",(1/'Metadata'!$B$5)^(O58-1))</x:f>
        <x:v>208.92961308540387</x:v>
      </x:c>
      <x:c r="U58" s="60" t="n">
        <x:f>IF(T58="","",I58*T58)</x:f>
        <x:v>833.3946339318647</x:v>
      </x:c>
    </x:row>
    <x:row r="59" ht="18" customHeight="1">
      <x:c r="A59" s="46" t="str">
        <x:v>LME_060</x:v>
      </x:c>
      <x:c r="B59" s="46" t="str">
        <x:v>Faroe Plateau</x:v>
      </x:c>
      <x:c r="C59" s="46" t="str">
        <x:v>LME</x:v>
      </x:c>
      <x:c r="D59" s="58" t="n">
        <x:v>2019</x:v>
      </x:c>
      <x:c r="E59" s="46" t="str">
        <x:v>Amblyraja radiata</x:v>
      </x:c>
      <x:c r="F59" s="46" t="str">
        <x:v>Starry ray</x:v>
      </x:c>
      <x:c r="G59" s="46" t="str">
        <x:v>Large rays (&gt;=90 cm)</x:v>
      </x:c>
      <x:c r="H59" s="46" t="str">
        <x:v>Sharks &amp; rays</x:v>
      </x:c>
      <x:c r="I59" s="60" t="n">
        <x:v>3.7141715672</x:v>
      </x:c>
      <x:c r="J59" s="60" t="n">
        <x:v>3.7141715672</x:v>
      </x:c>
      <x:c r="K59" s="60" t="n">
        <x:v>0</x:v>
      </x:c>
      <x:c r="L59" s="60" t="n">
        <x:v>3.7141715672</x:v>
      </x:c>
      <x:c r="M59" s="60" t="n">
        <x:v>0</x:v>
      </x:c>
      <x:c r="N59" s="46" t="str">
        <x:v>amblyraja radiata</x:v>
      </x:c>
      <x:c r="O59" s="62" t="n">
        <x:v>4.2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Amblyraja radiata</x:v>
      </x:c>
      <x:c r="T59" s="62" t="n">
        <x:f>IF(O59="","",(1/'Metadata'!$B$5)^(O59-1))</x:f>
        <x:v>1584.893192461114</x:v>
      </x:c>
      <x:c r="U59" s="60" t="n">
        <x:f>IF(T59="","",I59*T59)</x:f>
        <x:v>5886.565232487907</x:v>
      </x:c>
    </x:row>
    <x:row r="60" ht="18" customHeight="1">
      <x:c r="A60" s="46" t="str">
        <x:v>LME_060</x:v>
      </x:c>
      <x:c r="B60" s="46" t="str">
        <x:v>Faroe Plateau</x:v>
      </x:c>
      <x:c r="C60" s="46" t="str">
        <x:v>LME</x:v>
      </x:c>
      <x:c r="D60" s="58" t="n">
        <x:v>2019</x:v>
      </x:c>
      <x:c r="E60" s="46" t="str">
        <x:v>Mora moro</x:v>
      </x:c>
      <x:c r="F60" s="46" t="str">
        <x:v>Common mora</x:v>
      </x:c>
      <x:c r="G60" s="46" t="str">
        <x:v>Medium bathypelagics (30 - 89 cm)</x:v>
      </x:c>
      <x:c r="H60" s="46" t="str">
        <x:v>Cod-likes</x:v>
      </x:c>
      <x:c r="I60" s="60" t="n">
        <x:v>2.98572274</x:v>
      </x:c>
      <x:c r="J60" s="60" t="n">
        <x:v>2.98572274</x:v>
      </x:c>
      <x:c r="K60" s="60" t="n">
        <x:v>0</x:v>
      </x:c>
      <x:c r="L60" s="60" t="n">
        <x:v>2.98572274</x:v>
      </x:c>
      <x:c r="M60" s="60" t="n">
        <x:v>0</x:v>
      </x:c>
      <x:c r="N60" s="46" t="str">
        <x:v>mora moro</x:v>
      </x:c>
      <x:c r="O60" s="62" t="n">
        <x:v>3.75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Mora moro</x:v>
      </x:c>
      <x:c r="T60" s="62" t="n">
        <x:f>IF(O60="","",(1/'Metadata'!$B$5)^(O60-1))</x:f>
        <x:v>562.341325190349</x:v>
      </x:c>
      <x:c r="U60" s="60" t="n">
        <x:f>IF(T60="","",I60*T60)</x:f>
        <x:v>1678.9952822625598</x:v>
      </x:c>
    </x:row>
    <x:row r="61" ht="18" customHeight="1">
      <x:c r="A61" s="46" t="str">
        <x:v>LME_060</x:v>
      </x:c>
      <x:c r="B61" s="46" t="str">
        <x:v>Faroe Plateau</x:v>
      </x:c>
      <x:c r="C61" s="46" t="str">
        <x:v>LME</x:v>
      </x:c>
      <x:c r="D61" s="58" t="n">
        <x:v>2019</x:v>
      </x:c>
      <x:c r="E61" s="46" t="str">
        <x:v>Sebastes mentella</x:v>
      </x:c>
      <x:c r="F61" s="46" t="str">
        <x:v>Beaked redfish</x:v>
      </x:c>
      <x:c r="G61" s="46" t="str">
        <x:v>Medium bathypelagics (30 - 89 cm)</x:v>
      </x:c>
      <x:c r="H61" s="46" t="str">
        <x:v>Scorpionfishes</x:v>
      </x:c>
      <x:c r="I61" s="60" t="n">
        <x:v>1.5277912551</x:v>
      </x:c>
      <x:c r="J61" s="60" t="n">
        <x:v>1.5277912551</x:v>
      </x:c>
      <x:c r="K61" s="60" t="n">
        <x:v>0</x:v>
      </x:c>
      <x:c r="L61" s="60" t="n">
        <x:v>1.5277912551</x:v>
      </x:c>
      <x:c r="M61" s="60" t="n">
        <x:v>0</x:v>
      </x:c>
      <x:c r="N61" s="46" t="str">
        <x:v>sebastes mentella</x:v>
      </x:c>
      <x:c r="O61" s="62" t="n">
        <x:v>3.65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Sebastes mentella</x:v>
      </x:c>
      <x:c r="T61" s="62" t="n">
        <x:f>IF(O61="","",(1/'Metadata'!$B$5)^(O61-1))</x:f>
        <x:v>446.683592150963</x:v>
      </x:c>
      <x:c r="U61" s="60" t="n">
        <x:f>IF(T61="","",I61*T61)</x:f>
        <x:v>682.4392858848963</x:v>
      </x:c>
    </x:row>
    <x:row r="62" ht="18" customHeight="1">
      <x:c r="A62" s="46" t="str">
        <x:v>LME_060</x:v>
      </x:c>
      <x:c r="B62" s="46" t="str">
        <x:v>Faroe Plateau</x:v>
      </x:c>
      <x:c r="C62" s="46" t="str">
        <x:v>LME</x:v>
      </x:c>
      <x:c r="D62" s="58" t="n">
        <x:v>2019</x:v>
      </x:c>
      <x:c r="E62" s="46" t="str">
        <x:v>Eutrigla gurnardus</x:v>
      </x:c>
      <x:c r="F62" s="46" t="str">
        <x:v>Grey gurnard</x:v>
      </x:c>
      <x:c r="G62" s="46" t="str">
        <x:v>Medium demersals (30 - 89 cm)</x:v>
      </x:c>
      <x:c r="H62" s="46" t="str">
        <x:v>Scorpionfishes</x:v>
      </x:c>
      <x:c r="I62" s="60" t="n">
        <x:v>1.5055395716</x:v>
      </x:c>
      <x:c r="J62" s="60" t="n">
        <x:v>1.5055395716</x:v>
      </x:c>
      <x:c r="K62" s="60" t="n">
        <x:v>0</x:v>
      </x:c>
      <x:c r="L62" s="60" t="n">
        <x:v>1.5055395716</x:v>
      </x:c>
      <x:c r="M62" s="60" t="n">
        <x:v>0</x:v>
      </x:c>
      <x:c r="N62" s="46" t="str">
        <x:v>eutrigla gurnardus</x:v>
      </x:c>
      <x:c r="O62" s="62" t="n">
        <x:v>3.87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Eutrigla gurnardus</x:v>
      </x:c>
      <x:c r="T62" s="62" t="n">
        <x:f>IF(O62="","",(1/'Metadata'!$B$5)^(O62-1))</x:f>
        <x:v>741.3102413009177</x:v>
      </x:c>
      <x:c r="U62" s="60" t="n">
        <x:f>IF(T62="","",I62*T62)</x:f>
        <x:v>1116.0719031108763</x:v>
      </x:c>
    </x:row>
    <x:row r="63" ht="18" customHeight="1">
      <x:c r="A63" s="46" t="str">
        <x:v>LME_060</x:v>
      </x:c>
      <x:c r="B63" s="46" t="str">
        <x:v>Faroe Plateau</x:v>
      </x:c>
      <x:c r="C63" s="46" t="str">
        <x:v>LME</x:v>
      </x:c>
      <x:c r="D63" s="58" t="n">
        <x:v>2019</x:v>
      </x:c>
      <x:c r="E63" s="46" t="str">
        <x:v>Elasmobranchii</x:v>
      </x:c>
      <x:c r="F63" s="46" t="str">
        <x:v>Sharks, rays, skates</x:v>
      </x:c>
      <x:c r="G63" s="46" t="str">
        <x:v>Large sharks (&gt;=90 cm)</x:v>
      </x:c>
      <x:c r="H63" s="46" t="str">
        <x:v>Sharks &amp; rays</x:v>
      </x:c>
      <x:c r="I63" s="60" t="n">
        <x:v>1.2960665655</x:v>
      </x:c>
      <x:c r="J63" s="60" t="n">
        <x:v>0.000008893800000000001</x:v>
      </x:c>
      <x:c r="K63" s="60" t="n">
        <x:v>1.2960576717</x:v>
      </x:c>
      <x:c r="L63" s="60" t="n">
        <x:v>0.000008893800000000001</x:v>
      </x:c>
      <x:c r="M63" s="60" t="n">
        <x:v>1.2960576717</x:v>
      </x:c>
      <x:c r="N63" s="46" t="str">
        <x:v>elasmobranchii</x:v>
      </x:c>
      <x:c r="O63" s="62" t="n">
        <x:v>4.05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Elasmobranchii</x:v>
      </x:c>
      <x:c r="T63" s="62" t="n">
        <x:f>IF(O63="","",(1/'Metadata'!$B$5)^(O63-1))</x:f>
        <x:v>1122.018454301963</x:v>
      </x:c>
      <x:c r="U63" s="60" t="n">
        <x:f>IF(T63="","",I63*T63)</x:f>
        <x:v>1454.2106044947639</x:v>
      </x:c>
    </x:row>
    <x:row r="64" ht="18" customHeight="1">
      <x:c r="A64" s="46" t="str">
        <x:v>LME_060</x:v>
      </x:c>
      <x:c r="B64" s="46" t="str">
        <x:v>Faroe Plateau</x:v>
      </x:c>
      <x:c r="C64" s="46" t="str">
        <x:v>LME</x:v>
      </x:c>
      <x:c r="D64" s="58" t="n">
        <x:v>2019</x:v>
      </x:c>
      <x:c r="E64" s="46" t="str">
        <x:v>Lamna nasus</x:v>
      </x:c>
      <x:c r="F64" s="46" t="str">
        <x:v>Porbeagle</x:v>
      </x:c>
      <x:c r="G64" s="46" t="str">
        <x:v>Large sharks (&gt;=90 cm)</x:v>
      </x:c>
      <x:c r="H64" s="46" t="str">
        <x:v>Sharks &amp; rays</x:v>
      </x:c>
      <x:c r="I64" s="60" t="n">
        <x:v>1.0982523458</x:v>
      </x:c>
      <x:c r="J64" s="60" t="n">
        <x:v>1.0982523458</x:v>
      </x:c>
      <x:c r="K64" s="60" t="n">
        <x:v>0</x:v>
      </x:c>
      <x:c r="L64" s="60" t="n">
        <x:v>1.0982523458</x:v>
      </x:c>
      <x:c r="M64" s="60" t="n">
        <x:v>0</x:v>
      </x:c>
      <x:c r="N64" s="46" t="str">
        <x:v>lamna nasus</x:v>
      </x:c>
      <x:c r="O64" s="62" t="n">
        <x:v>4.57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Lamna nasus</x:v>
      </x:c>
      <x:c r="T64" s="62" t="n">
        <x:f>IF(O64="","",(1/'Metadata'!$B$5)^(O64-1))</x:f>
        <x:v>3715.3522909717276</x:v>
      </x:c>
      <x:c r="U64" s="60" t="n">
        <x:f>IF(T64="","",I64*T64)</x:f>
        <x:v>4080.394369033104</x:v>
      </x:c>
    </x:row>
    <x:row r="65" ht="18" customHeight="1">
      <x:c r="A65" s="46" t="str">
        <x:v>LME_060</x:v>
      </x:c>
      <x:c r="B65" s="46" t="str">
        <x:v>Faroe Plateau</x:v>
      </x:c>
      <x:c r="C65" s="46" t="str">
        <x:v>LME</x:v>
      </x:c>
      <x:c r="D65" s="58" t="n">
        <x:v>2019</x:v>
      </x:c>
      <x:c r="E65" s="46" t="str">
        <x:v>Trachurus trachurus</x:v>
      </x:c>
      <x:c r="F65" s="46" t="str">
        <x:v>Atlantic horse mackerel</x:v>
      </x:c>
      <x:c r="G65" s="46" t="str">
        <x:v>Medium pelagics (30 - 89 cm)</x:v>
      </x:c>
      <x:c r="H65" s="46" t="str">
        <x:v>Perch-likes</x:v>
      </x:c>
      <x:c r="I65" s="60" t="n">
        <x:v>0.9419930808</x:v>
      </x:c>
      <x:c r="J65" s="60" t="n">
        <x:v>0.9419930808</x:v>
      </x:c>
      <x:c r="K65" s="60" t="n">
        <x:v>0</x:v>
      </x:c>
      <x:c r="L65" s="60" t="n">
        <x:v>0.9419930808</x:v>
      </x:c>
      <x:c r="M65" s="60" t="n">
        <x:v>0</x:v>
      </x:c>
      <x:c r="N65" s="46" t="str">
        <x:v>trachurus trachurus</x:v>
      </x:c>
      <x:c r="O65" s="62" t="n">
        <x:v>3.71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Trachurus trachurus</x:v>
      </x:c>
      <x:c r="T65" s="62" t="n">
        <x:f>IF(O65="","",(1/'Metadata'!$B$5)^(O65-1))</x:f>
        <x:v>512.8613839913648</x:v>
      </x:c>
      <x:c r="U65" s="60" t="n">
        <x:f>IF(T65="","",I65*T65)</x:f>
        <x:v>483.11187512937755</x:v>
      </x:c>
    </x:row>
    <x:row r="66" ht="18" customHeight="1">
      <x:c r="A66" s="46" t="str">
        <x:v>LME_060</x:v>
      </x:c>
      <x:c r="B66" s="46" t="str">
        <x:v>Faroe Plateau</x:v>
      </x:c>
      <x:c r="C66" s="46" t="str">
        <x:v>LME</x:v>
      </x:c>
      <x:c r="D66" s="58" t="n">
        <x:v>2019</x:v>
      </x:c>
      <x:c r="E66" s="46" t="str">
        <x:v>Dipturus batis</x:v>
      </x:c>
      <x:c r="F66" s="46" t="str">
        <x:v>Blue skate</x:v>
      </x:c>
      <x:c r="G66" s="46" t="str">
        <x:v>Large rays (&gt;=90 cm)</x:v>
      </x:c>
      <x:c r="H66" s="46" t="str">
        <x:v>Sharks &amp; rays</x:v>
      </x:c>
      <x:c r="I66" s="60" t="n">
        <x:v>0.9336715082</x:v>
      </x:c>
      <x:c r="J66" s="60" t="n">
        <x:v>0.9336715082</x:v>
      </x:c>
      <x:c r="K66" s="60" t="n">
        <x:v>0</x:v>
      </x:c>
      <x:c r="L66" s="60" t="n">
        <x:v>0.9336715082</x:v>
      </x:c>
      <x:c r="M66" s="60" t="n">
        <x:v>0</x:v>
      </x:c>
      <x:c r="N66" s="46" t="str">
        <x:v>dipturus batis</x:v>
      </x:c>
      <x:c r="O66" s="62" t="n">
        <x:v>3.52</x:v>
      </x:c>
      <x:c r="P66" s="46" t="str">
        <x:v>exact_2020_supplement</x:v>
      </x:c>
      <x:c r="Q66" s="62" t="str">
        <x:v>2020 supplement MeanTL</x:v>
      </x:c>
      <x:c r="R66" s="46" t="str">
        <x:v>high</x:v>
      </x:c>
      <x:c r="S66" s="46" t="str">
        <x:v>Dipturus batis</x:v>
      </x:c>
      <x:c r="T66" s="62" t="n">
        <x:f>IF(O66="","",(1/'Metadata'!$B$5)^(O66-1))</x:f>
        <x:v>331.1311214825911</x:v>
      </x:c>
      <x:c r="U66" s="60" t="n">
        <x:f>IF(T66="","",I66*T66)</x:f>
        <x:v>309.1676936066082</x:v>
      </x:c>
    </x:row>
    <x:row r="67" ht="18" customHeight="1">
      <x:c r="A67" s="46" t="str">
        <x:v>LME_060</x:v>
      </x:c>
      <x:c r="B67" s="46" t="str">
        <x:v>Faroe Plateau</x:v>
      </x:c>
      <x:c r="C67" s="46" t="str">
        <x:v>LME</x:v>
      </x:c>
      <x:c r="D67" s="58" t="n">
        <x:v>2019</x:v>
      </x:c>
      <x:c r="E67" s="46" t="str">
        <x:v>Mallotus villosus</x:v>
      </x:c>
      <x:c r="F67" s="46" t="str">
        <x:v>Capelin</x:v>
      </x:c>
      <x:c r="G67" s="46" t="str">
        <x:v>Small pelagics (&lt;30 cm)</x:v>
      </x:c>
      <x:c r="H67" s="46" t="str">
        <x:v>Salmon, smelts, etc</x:v>
      </x:c>
      <x:c r="I67" s="60" t="n">
        <x:v>0.8309537940999999</x:v>
      </x:c>
      <x:c r="J67" s="60" t="n">
        <x:v>0.2909181485</x:v>
      </x:c>
      <x:c r="K67" s="60" t="n">
        <x:v>0.5400356456</x:v>
      </x:c>
      <x:c r="L67" s="60" t="n">
        <x:v>0.2909181485</x:v>
      </x:c>
      <x:c r="M67" s="60" t="n">
        <x:v>0.5400356456</x:v>
      </x:c>
      <x:c r="N67" s="46" t="str">
        <x:v>mallotus villosus</x:v>
      </x:c>
      <x:c r="O67" s="62" t="n">
        <x:v>3.15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Mallotus villosus</x:v>
      </x:c>
      <x:c r="T67" s="62" t="n">
        <x:f>IF(O67="","",(1/'Metadata'!$B$5)^(O67-1))</x:f>
        <x:v>141.2537544622754</x:v>
      </x:c>
      <x:c r="U67" s="60" t="n">
        <x:f>IF(T67="","",I67*T67)</x:f>
        <x:v>117.37534320129754</x:v>
      </x:c>
    </x:row>
    <x:row r="68" ht="18" customHeight="1">
      <x:c r="A68" s="46" t="str">
        <x:v>LME_060</x:v>
      </x:c>
      <x:c r="B68" s="46" t="str">
        <x:v>Faroe Plateau</x:v>
      </x:c>
      <x:c r="C68" s="46" t="str">
        <x:v>LME</x:v>
      </x:c>
      <x:c r="D68" s="58" t="n">
        <x:v>2019</x:v>
      </x:c>
      <x:c r="E68" s="46" t="str">
        <x:v>Crangonidae</x:v>
      </x:c>
      <x:c r="F68" s="46" t="str">
        <x:v>Brown shrimps</x:v>
      </x:c>
      <x:c r="G68" s="46" t="str">
        <x:v>Shrimps</x:v>
      </x:c>
      <x:c r="H68" s="46" t="str">
        <x:v>Crustaceans</x:v>
      </x:c>
      <x:c r="I68" s="60" t="n">
        <x:v>0.7646929604</x:v>
      </x:c>
      <x:c r="J68" s="60" t="n">
        <x:v>0</x:v>
      </x:c>
      <x:c r="K68" s="60" t="n">
        <x:v>0.7646929604</x:v>
      </x:c>
      <x:c r="L68" s="60" t="n">
        <x:v>0</x:v>
      </x:c>
      <x:c r="M68" s="60" t="n">
        <x:v>0.7646929604</x:v>
      </x:c>
      <x:c r="N68" s="46" t="str">
        <x:v>crangonidae</x:v>
      </x:c>
      <x:c r="O68" s="62" t="n">
        <x:v>3.19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Crangonidae</x:v>
      </x:c>
      <x:c r="T68" s="62" t="n">
        <x:f>IF(O68="","",(1/'Metadata'!$B$5)^(O68-1))</x:f>
        <x:v>154.88166189124811</x:v>
      </x:c>
      <x:c r="U68" s="60" t="n">
        <x:f>IF(T68="","",I68*T68)</x:f>
        <x:v>118.43691654329038</x:v>
      </x:c>
    </x:row>
    <x:row r="69" ht="18" customHeight="1">
      <x:c r="A69" s="46" t="str">
        <x:v>LME_060</x:v>
      </x:c>
      <x:c r="B69" s="46" t="str">
        <x:v>Faroe Plateau</x:v>
      </x:c>
      <x:c r="C69" s="46" t="str">
        <x:v>LME</x:v>
      </x:c>
      <x:c r="D69" s="58" t="n">
        <x:v>2019</x:v>
      </x:c>
      <x:c r="E69" s="46" t="str">
        <x:v>Cephalopoda</x:v>
      </x:c>
      <x:c r="F69" s="46" t="str">
        <x:v>Squids, cuttlefishes, octopuses</x:v>
      </x:c>
      <x:c r="G69" s="46" t="str">
        <x:v>Cephalopods</x:v>
      </x:c>
      <x:c r="H69" s="46" t="str">
        <x:v>Other fishes &amp; inverts</x:v>
      </x:c>
      <x:c r="I69" s="60" t="n">
        <x:v>0.7184128898</x:v>
      </x:c>
      <x:c r="J69" s="60" t="n">
        <x:v>0.0216883653</x:v>
      </x:c>
      <x:c r="K69" s="60" t="n">
        <x:v>0.6967245245</x:v>
      </x:c>
      <x:c r="L69" s="60" t="n">
        <x:v>0.0216883653</x:v>
      </x:c>
      <x:c r="M69" s="60" t="n">
        <x:v>0.6967245245</x:v>
      </x:c>
      <x:c r="N69" s="46" t="str">
        <x:v>cephalopoda</x:v>
      </x:c>
      <x:c r="O69" s="62" t="n">
        <x:v>3.81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Cephalopoda</x:v>
      </x:c>
      <x:c r="T69" s="62" t="n">
        <x:f>IF(O69="","",(1/'Metadata'!$B$5)^(O69-1))</x:f>
        <x:v>645.6542290346556</x:v>
      </x:c>
      <x:c r="U69" s="60" t="n">
        <x:f>IF(T69="","",I69*T69)</x:f>
        <x:v>463.84632049237797</x:v>
      </x:c>
    </x:row>
    <x:row r="70" ht="18" customHeight="1">
      <x:c r="A70" s="46" t="str">
        <x:v>LME_060</x:v>
      </x:c>
      <x:c r="B70" s="46" t="str">
        <x:v>Faroe Plateau</x:v>
      </x:c>
      <x:c r="C70" s="46" t="str">
        <x:v>LME</x:v>
      </x:c>
      <x:c r="D70" s="58" t="n">
        <x:v>2019</x:v>
      </x:c>
      <x:c r="E70" s="46" t="str">
        <x:v>Hippoglossoides platessoides</x:v>
      </x:c>
      <x:c r="F70" s="46" t="str">
        <x:v>American plaice</x:v>
      </x:c>
      <x:c r="G70" s="46" t="str">
        <x:v>Small to medium flatfishes (&lt;90 cm)</x:v>
      </x:c>
      <x:c r="H70" s="46" t="str">
        <x:v>Flatfishes</x:v>
      </x:c>
      <x:c r="I70" s="60" t="n">
        <x:v>0.6216292094</x:v>
      </x:c>
      <x:c r="J70" s="60" t="n">
        <x:v>0.6216292094</x:v>
      </x:c>
      <x:c r="K70" s="60" t="n">
        <x:v>0</x:v>
      </x:c>
      <x:c r="L70" s="60" t="n">
        <x:v>0.6216292094</x:v>
      </x:c>
      <x:c r="M70" s="60" t="n">
        <x:v>0</x:v>
      </x:c>
      <x:c r="N70" s="46" t="str">
        <x:v>hippoglossoides platessoides</x:v>
      </x:c>
      <x:c r="O70" s="62" t="n">
        <x:v>4.08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Hippoglossoides platessoides</x:v>
      </x:c>
      <x:c r="T70" s="62" t="n">
        <x:f>IF(O70="","",(1/'Metadata'!$B$5)^(O70-1))</x:f>
        <x:v>1202.2644346174131</x:v>
      </x:c>
      <x:c r="U70" s="60" t="n">
        <x:f>IF(T70="","",I70*T70)</x:f>
        <x:v>747.3626899809606</x:v>
      </x:c>
    </x:row>
    <x:row r="71" ht="18" customHeight="1">
      <x:c r="A71" s="46" t="str">
        <x:v>LME_060</x:v>
      </x:c>
      <x:c r="B71" s="46" t="str">
        <x:v>Faroe Plateau</x:v>
      </x:c>
      <x:c r="C71" s="46" t="str">
        <x:v>LME</x:v>
      </x:c>
      <x:c r="D71" s="58" t="n">
        <x:v>2019</x:v>
      </x:c>
      <x:c r="E71" s="46" t="str">
        <x:v>Lepidorhombus</x:v>
      </x:c>
      <x:c r="F71" s="46" t="str">
        <x:v>Megrims</x:v>
      </x:c>
      <x:c r="G71" s="46" t="str">
        <x:v>Small to medium flatfishes (&lt;90 cm)</x:v>
      </x:c>
      <x:c r="H71" s="46" t="str">
        <x:v>Flatfishes</x:v>
      </x:c>
      <x:c r="I71" s="60" t="n">
        <x:v>0.41857979479999996</x:v>
      </x:c>
      <x:c r="J71" s="60" t="n">
        <x:v>0.41857979479999996</x:v>
      </x:c>
      <x:c r="K71" s="60" t="n">
        <x:v>0</x:v>
      </x:c>
      <x:c r="L71" s="60" t="n">
        <x:v>0.41857979479999996</x:v>
      </x:c>
      <x:c r="M71" s="60" t="n">
        <x:v>0</x:v>
      </x:c>
      <x:c r="N71" s="46" t="str">
        <x:v>lepidorhombus</x:v>
      </x:c>
      <x:c r="O71" s="62" t="n">
        <x:v>3.96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Lepidorhombus</x:v>
      </x:c>
      <x:c r="T71" s="62" t="n">
        <x:f>IF(O71="","",(1/'Metadata'!$B$5)^(O71-1))</x:f>
        <x:v>912.0108393559096</x:v>
      </x:c>
      <x:c r="U71" s="60" t="n">
        <x:f>IF(T71="","",I71*T71)</x:f>
        <x:v>381.74930999297237</x:v>
      </x:c>
    </x:row>
    <x:row r="72" ht="18" customHeight="1">
      <x:c r="A72" s="46" t="str">
        <x:v>LME_060</x:v>
      </x:c>
      <x:c r="B72" s="46" t="str">
        <x:v>Faroe Plateau</x:v>
      </x:c>
      <x:c r="C72" s="46" t="str">
        <x:v>LME</x:v>
      </x:c>
      <x:c r="D72" s="58" t="n">
        <x:v>2019</x:v>
      </x:c>
      <x:c r="E72" s="46" t="str">
        <x:v>Anarhichadidae</x:v>
      </x:c>
      <x:c r="F72" s="46" t="str">
        <x:v>Wolffishes, wolfeels</x:v>
      </x:c>
      <x:c r="G72" s="46" t="str">
        <x:v>Large demersals (&gt;=90 cm)</x:v>
      </x:c>
      <x:c r="H72" s="46" t="str">
        <x:v>Perch-likes</x:v>
      </x:c>
      <x:c r="I72" s="60" t="n">
        <x:v>0.31993545970000004</x:v>
      </x:c>
      <x:c r="J72" s="60" t="n">
        <x:v>0.31993545970000004</x:v>
      </x:c>
      <x:c r="K72" s="60" t="n">
        <x:v>0</x:v>
      </x:c>
      <x:c r="L72" s="60" t="n">
        <x:v>0.31993545970000004</x:v>
      </x:c>
      <x:c r="M72" s="60" t="n">
        <x:v>0</x:v>
      </x:c>
      <x:c r="N72" s="46" t="str">
        <x:v>anarhichadidae</x:v>
      </x:c>
      <x:c r="O72" s="62" t="n">
        <x:v>3.47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Anarhichadidae</x:v>
      </x:c>
      <x:c r="T72" s="62" t="n">
        <x:f>IF(O72="","",(1/'Metadata'!$B$5)^(O72-1))</x:f>
        <x:v>295.1209226666387</x:v>
      </x:c>
      <x:c r="U72" s="60" t="n">
        <x:f>IF(T72="","",I72*T72)</x:f>
        <x:v>94.41964806043921</x:v>
      </x:c>
    </x:row>
    <x:row r="73" ht="18" customHeight="1">
      <x:c r="A73" s="46" t="str">
        <x:v>LME_060</x:v>
      </x:c>
      <x:c r="B73" s="46" t="str">
        <x:v>Faroe Plateau</x:v>
      </x:c>
      <x:c r="C73" s="46" t="str">
        <x:v>LME</x:v>
      </x:c>
      <x:c r="D73" s="58" t="n">
        <x:v>2019</x:v>
      </x:c>
      <x:c r="E73" s="46" t="str">
        <x:v>Lampris guttatus</x:v>
      </x:c>
      <x:c r="F73" s="46" t="str">
        <x:v>Opah</x:v>
      </x:c>
      <x:c r="G73" s="46" t="str">
        <x:v>Large bathypelagics (&gt;=90 cm)</x:v>
      </x:c>
      <x:c r="H73" s="46" t="str">
        <x:v>Other fishes &amp; inverts</x:v>
      </x:c>
      <x:c r="I73" s="60" t="n">
        <x:v>0.29722515889999995</x:v>
      </x:c>
      <x:c r="J73" s="60" t="n">
        <x:v>0.29722515889999995</x:v>
      </x:c>
      <x:c r="K73" s="60" t="n">
        <x:v>0</x:v>
      </x:c>
      <x:c r="L73" s="60" t="n">
        <x:v>0.29722515889999995</x:v>
      </x:c>
      <x:c r="M73" s="60" t="n">
        <x:v>0</x:v>
      </x:c>
      <x:c r="N73" s="46" t="str">
        <x:v>lampris guttatus</x:v>
      </x:c>
      <x:c r="O73" s="62" t="n">
        <x:v>4.22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Lampris guttatus</x:v>
      </x:c>
      <x:c r="T73" s="62" t="n">
        <x:f>IF(O73="","",(1/'Metadata'!$B$5)^(O73-1))</x:f>
        <x:v>1659.5869074375596</x:v>
      </x:c>
      <x:c r="U73" s="60" t="n">
        <x:f>IF(T73="","",I73*T73)</x:f>
        <x:v>493.27098227148815</x:v>
      </x:c>
    </x:row>
    <x:row r="74" ht="18" customHeight="1">
      <x:c r="A74" s="46" t="str">
        <x:v>LME_060</x:v>
      </x:c>
      <x:c r="B74" s="46" t="str">
        <x:v>Faroe Plateau</x:v>
      </x:c>
      <x:c r="C74" s="46" t="str">
        <x:v>LME</x:v>
      </x:c>
      <x:c r="D74" s="58" t="n">
        <x:v>2019</x:v>
      </x:c>
      <x:c r="E74" s="46" t="str">
        <x:v>Scophthalmus maximus</x:v>
      </x:c>
      <x:c r="F74" s="46" t="str">
        <x:v>Turbot</x:v>
      </x:c>
      <x:c r="G74" s="46" t="str">
        <x:v>Large flatfishes (&gt;=90 cm)</x:v>
      </x:c>
      <x:c r="H74" s="46" t="str">
        <x:v>Flatfishes</x:v>
      </x:c>
      <x:c r="I74" s="60" t="n">
        <x:v>0.2749075415</x:v>
      </x:c>
      <x:c r="J74" s="60" t="n">
        <x:v>0.2749075415</x:v>
      </x:c>
      <x:c r="K74" s="60" t="n">
        <x:v>0</x:v>
      </x:c>
      <x:c r="L74" s="60" t="n">
        <x:v>0.2749075415</x:v>
      </x:c>
      <x:c r="M74" s="60" t="n">
        <x:v>0</x:v>
      </x:c>
      <x:c r="N74" s="46" t="str">
        <x:v>scophthalmus maximus</x:v>
      </x:c>
      <x:c r="O74" s="62" t="n">
        <x:v>4.36</x:v>
      </x:c>
      <x:c r="P74" s="46" t="str">
        <x:v>exact_2020_supplement</x:v>
      </x:c>
      <x:c r="Q74" s="62" t="str">
        <x:v>2020 supplement MeanTL</x:v>
      </x:c>
      <x:c r="R74" s="46" t="str">
        <x:v>high</x:v>
      </x:c>
      <x:c r="S74" s="46" t="str">
        <x:v>Scophthalmus maximus</x:v>
      </x:c>
      <x:c r="T74" s="62" t="n">
        <x:f>IF(O74="","",(1/'Metadata'!$B$5)^(O74-1))</x:f>
        <x:v>2290.867652767775</x:v>
      </x:c>
      <x:c r="U74" s="60" t="n">
        <x:f>IF(T74="","",I74*T74)</x:f>
        <x:v>629.7767943242648</x:v>
      </x:c>
    </x:row>
    <x:row r="75" ht="18" customHeight="1">
      <x:c r="A75" s="46" t="str">
        <x:v>LME_060</x:v>
      </x:c>
      <x:c r="B75" s="46" t="str">
        <x:v>Faroe Plateau</x:v>
      </x:c>
      <x:c r="C75" s="46" t="str">
        <x:v>LME</x:v>
      </x:c>
      <x:c r="D75" s="58" t="n">
        <x:v>2019</x:v>
      </x:c>
      <x:c r="E75" s="46" t="str">
        <x:v>Macrourus berglax</x:v>
      </x:c>
      <x:c r="F75" s="46" t="str">
        <x:v>Roughhead grenadier</x:v>
      </x:c>
      <x:c r="G75" s="46" t="str">
        <x:v>Large benthopelagics (&gt;=90 cm)</x:v>
      </x:c>
      <x:c r="H75" s="46" t="str">
        <x:v>Cod-likes</x:v>
      </x:c>
      <x:c r="I75" s="60" t="n">
        <x:v>0.243215751</x:v>
      </x:c>
      <x:c r="J75" s="60" t="n">
        <x:v>0.243215751</x:v>
      </x:c>
      <x:c r="K75" s="60" t="n">
        <x:v>0</x:v>
      </x:c>
      <x:c r="L75" s="60" t="n">
        <x:v>0.243215751</x:v>
      </x:c>
      <x:c r="M75" s="60" t="n">
        <x:v>0</x:v>
      </x:c>
      <x:c r="N75" s="46" t="str">
        <x:v>macrourus berglax</x:v>
      </x:c>
      <x:c r="O75" s="62" t="n">
        <x:v>4.48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Macrourus berglax</x:v>
      </x:c>
      <x:c r="T75" s="62" t="n">
        <x:f>IF(O75="","",(1/'Metadata'!$B$5)^(O75-1))</x:f>
        <x:v>3019.951720402019</x:v>
      </x:c>
      <x:c r="U75" s="60" t="n">
        <x:f>IF(T75="","",I75*T75)</x:f>
        <x:v>734.499825661319</x:v>
      </x:c>
    </x:row>
    <x:row r="76" ht="18" customHeight="1">
      <x:c r="A76" s="46" t="str">
        <x:v>LME_060</x:v>
      </x:c>
      <x:c r="B76" s="46" t="str">
        <x:v>Faroe Plateau</x:v>
      </x:c>
      <x:c r="C76" s="46" t="str">
        <x:v>LME</x:v>
      </x:c>
      <x:c r="D76" s="58" t="n">
        <x:v>2019</x:v>
      </x:c>
      <x:c r="E76" s="46" t="str">
        <x:v>Pecten maximus</x:v>
      </x:c>
      <x:c r="F76" s="46" t="str">
        <x:v>Great Atlantic scallop</x:v>
      </x:c>
      <x:c r="G76" s="46" t="str">
        <x:v>Other demersal invertebrates</x:v>
      </x:c>
      <x:c r="H76" s="46" t="str">
        <x:v>Molluscs</x:v>
      </x:c>
      <x:c r="I76" s="60" t="n">
        <x:v>0.23559766850000002</x:v>
      </x:c>
      <x:c r="J76" s="60" t="n">
        <x:v>0.23559766850000002</x:v>
      </x:c>
      <x:c r="K76" s="60" t="n">
        <x:v>0</x:v>
      </x:c>
      <x:c r="L76" s="60" t="n">
        <x:v>0.23559766850000002</x:v>
      </x:c>
      <x:c r="M76" s="60" t="n">
        <x:v>0</x:v>
      </x:c>
      <x:c r="N76" s="46" t="str">
        <x:v>pecten maximus</x:v>
      </x:c>
      <x:c r="O76" s="62" t="n">
        <x:v>2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Pecten maximus</x:v>
      </x:c>
      <x:c r="T76" s="62" t="n">
        <x:f>IF(O76="","",(1/'Metadata'!$B$5)^(O76-1))</x:f>
        <x:v>10</x:v>
      </x:c>
      <x:c r="U76" s="60" t="n">
        <x:f>IF(T76="","",I76*T76)</x:f>
        <x:v>2.3559766850000003</x:v>
      </x:c>
    </x:row>
    <x:row r="77" ht="18" customHeight="1">
      <x:c r="A77" s="46" t="str">
        <x:v>LME_060</x:v>
      </x:c>
      <x:c r="B77" s="46" t="str">
        <x:v>Faroe Plateau</x:v>
      </x:c>
      <x:c r="C77" s="46" t="str">
        <x:v>LME</x:v>
      </x:c>
      <x:c r="D77" s="58" t="n">
        <x:v>2019</x:v>
      </x:c>
      <x:c r="E77" s="46" t="str">
        <x:v>Conger conger</x:v>
      </x:c>
      <x:c r="F77" s="46" t="str">
        <x:v>European conger</x:v>
      </x:c>
      <x:c r="G77" s="46" t="str">
        <x:v>Large demersals (&gt;=90 cm)</x:v>
      </x:c>
      <x:c r="H77" s="46" t="str">
        <x:v>Other fishes &amp; inverts</x:v>
      </x:c>
      <x:c r="I77" s="60" t="n">
        <x:v>0.147048657</x:v>
      </x:c>
      <x:c r="J77" s="60" t="n">
        <x:v>0.147048657</x:v>
      </x:c>
      <x:c r="K77" s="60" t="n">
        <x:v>0</x:v>
      </x:c>
      <x:c r="L77" s="60" t="n">
        <x:v>0.147048657</x:v>
      </x:c>
      <x:c r="M77" s="60" t="n">
        <x:v>0</x:v>
      </x:c>
      <x:c r="N77" s="46" t="str">
        <x:v>conger conger</x:v>
      </x:c>
      <x:c r="O77" s="62" t="n">
        <x:v>4.31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Conger conger</x:v>
      </x:c>
      <x:c r="T77" s="62" t="n">
        <x:f>IF(O77="","",(1/'Metadata'!$B$5)^(O77-1))</x:f>
        <x:v>2041.7379446695275</x:v>
      </x:c>
      <x:c r="U77" s="60" t="n">
        <x:f>IF(T77="","",I77*T77)</x:f>
        <x:v>300.2348227095943</x:v>
      </x:c>
    </x:row>
    <x:row r="78" ht="18" customHeight="1">
      <x:c r="A78" s="46" t="str">
        <x:v>LME_060</x:v>
      </x:c>
      <x:c r="B78" s="46" t="str">
        <x:v>Faroe Plateau</x:v>
      </x:c>
      <x:c r="C78" s="46" t="str">
        <x:v>LME</x:v>
      </x:c>
      <x:c r="D78" s="58" t="n">
        <x:v>2019</x:v>
      </x:c>
      <x:c r="E78" s="46" t="str">
        <x:v>Amblyraja hyperborea</x:v>
      </x:c>
      <x:c r="F78" s="46" t="str">
        <x:v>Arctic skate</x:v>
      </x:c>
      <x:c r="G78" s="46" t="str">
        <x:v>Small to medium rays (&lt;90 cm)</x:v>
      </x:c>
      <x:c r="H78" s="46" t="str">
        <x:v>Sharks &amp; rays</x:v>
      </x:c>
      <x:c r="I78" s="60" t="n">
        <x:v>0.14636425939999997</x:v>
      </x:c>
      <x:c r="J78" s="60" t="n">
        <x:v>0.14636425939999997</x:v>
      </x:c>
      <x:c r="K78" s="60" t="n">
        <x:v>0</x:v>
      </x:c>
      <x:c r="L78" s="60" t="n">
        <x:v>0.14636425939999997</x:v>
      </x:c>
      <x:c r="M78" s="60" t="n">
        <x:v>0</x:v>
      </x:c>
      <x:c r="N78" s="46" t="str">
        <x:v>amblyraja hyperborea</x:v>
      </x:c>
      <x:c r="O78" s="62" t="n">
        <x:v>4.31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Amblyraja hyperborea</x:v>
      </x:c>
      <x:c r="T78" s="62" t="n">
        <x:f>IF(O78="","",(1/'Metadata'!$B$5)^(O78-1))</x:f>
        <x:v>2041.7379446695275</x:v>
      </x:c>
      <x:c r="U78" s="60" t="n">
        <x:f>IF(T78="","",I78*T78)</x:f>
        <x:v>298.8374621604335</x:v>
      </x:c>
    </x:row>
    <x:row r="79" ht="18" customHeight="1">
      <x:c r="A79" s="46" t="str">
        <x:v>LME_060</x:v>
      </x:c>
      <x:c r="B79" s="46" t="str">
        <x:v>Faroe Plateau</x:v>
      </x:c>
      <x:c r="C79" s="46" t="str">
        <x:v>LME</x:v>
      </x:c>
      <x:c r="D79" s="58" t="n">
        <x:v>2019</x:v>
      </x:c>
      <x:c r="E79" s="46" t="str">
        <x:v>Beryx</x:v>
      </x:c>
      <x:c r="F79" s="46" t="str">
        <x:v>Alfonsinos</x:v>
      </x:c>
      <x:c r="G79" s="46" t="str">
        <x:v>Medium benthopelagics (30 - 89 cm)</x:v>
      </x:c>
      <x:c r="H79" s="46" t="str">
        <x:v>Other fishes &amp; inverts</x:v>
      </x:c>
      <x:c r="I79" s="60" t="n">
        <x:v>0.1163567208</x:v>
      </x:c>
      <x:c r="J79" s="60" t="n">
        <x:v>0.1163567208</x:v>
      </x:c>
      <x:c r="K79" s="60" t="n">
        <x:v>0</x:v>
      </x:c>
      <x:c r="L79" s="60" t="n">
        <x:v>0.1163567208</x:v>
      </x:c>
      <x:c r="M79" s="60" t="n">
        <x:v>0</x:v>
      </x:c>
      <x:c r="N79" s="46" t="str">
        <x:v>beryx</x:v>
      </x:c>
      <x:c r="O79" s="62" t="n">
        <x:v>3.97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Beryx</x:v>
      </x:c>
      <x:c r="T79" s="62" t="n">
        <x:f>IF(O79="","",(1/'Metadata'!$B$5)^(O79-1))</x:f>
        <x:v>933.2543007969915</x:v>
      </x:c>
      <x:c r="U79" s="60" t="n">
        <x:f>IF(T79="","",I79*T79)</x:f>
        <x:v>108.59041011323475</x:v>
      </x:c>
    </x:row>
    <x:row r="80" ht="18" customHeight="1">
      <x:c r="A80" s="46" t="str">
        <x:v>LME_060</x:v>
      </x:c>
      <x:c r="B80" s="46" t="str">
        <x:v>Faroe Plateau</x:v>
      </x:c>
      <x:c r="C80" s="46" t="str">
        <x:v>LME</x:v>
      </x:c>
      <x:c r="D80" s="58" t="n">
        <x:v>2019</x:v>
      </x:c>
      <x:c r="E80" s="46" t="str">
        <x:v>Glyptocephalus cynoglossus</x:v>
      </x:c>
      <x:c r="F80" s="46" t="str">
        <x:v>Witch flounder</x:v>
      </x:c>
      <x:c r="G80" s="46" t="str">
        <x:v>Small to medium flatfishes (&lt;90 cm)</x:v>
      </x:c>
      <x:c r="H80" s="46" t="str">
        <x:v>Flatfishes</x:v>
      </x:c>
      <x:c r="I80" s="60" t="n">
        <x:v>0.1060497089</x:v>
      </x:c>
      <x:c r="J80" s="60" t="n">
        <x:v>0.1060497089</x:v>
      </x:c>
      <x:c r="K80" s="60" t="n">
        <x:v>0</x:v>
      </x:c>
      <x:c r="L80" s="60" t="n">
        <x:v>0.1060497089</x:v>
      </x:c>
      <x:c r="M80" s="60" t="n">
        <x:v>0</x:v>
      </x:c>
      <x:c r="N80" s="46" t="str">
        <x:v>glyptocephalus cynoglossus</x:v>
      </x:c>
      <x:c r="O80" s="62" t="n">
        <x:v>3.17</x:v>
      </x:c>
      <x:c r="P80" s="46" t="str">
        <x:v>exact_2020_supplement</x:v>
      </x:c>
      <x:c r="Q80" s="62" t="str">
        <x:v>2020 supplement MeanTL</x:v>
      </x:c>
      <x:c r="R80" s="46" t="str">
        <x:v>high</x:v>
      </x:c>
      <x:c r="S80" s="46" t="str">
        <x:v>Glyptocephalus cynoglossus</x:v>
      </x:c>
      <x:c r="T80" s="62" t="n">
        <x:f>IF(O80="","",(1/'Metadata'!$B$5)^(O80-1))</x:f>
        <x:v>147.91083881682073</x:v>
      </x:c>
      <x:c r="U80" s="60" t="n">
        <x:f>IF(T80="","",I80*T80)</x:f>
        <x:v>15.685901399678658</x:v>
      </x:c>
    </x:row>
    <x:row r="81" ht="18" customHeight="1">
      <x:c r="A81" s="46" t="str">
        <x:v>LME_060</x:v>
      </x:c>
      <x:c r="B81" s="46" t="str">
        <x:v>Faroe Plateau</x:v>
      </x:c>
      <x:c r="C81" s="46" t="str">
        <x:v>LME</x:v>
      </x:c>
      <x:c r="D81" s="58" t="n">
        <x:v>2019</x:v>
      </x:c>
      <x:c r="E81" s="46" t="str">
        <x:v>Carcinus maenas</x:v>
      </x:c>
      <x:c r="F81" s="46" t="str">
        <x:v>Green crab</x:v>
      </x:c>
      <x:c r="G81" s="46" t="str">
        <x:v>Lobsters, crabs</x:v>
      </x:c>
      <x:c r="H81" s="46" t="str">
        <x:v>Crustaceans</x:v>
      </x:c>
      <x:c r="I81" s="60" t="n">
        <x:v>0.0931095424</x:v>
      </x:c>
      <x:c r="J81" s="60" t="n">
        <x:v>0.0931095424</x:v>
      </x:c>
      <x:c r="K81" s="60" t="n">
        <x:v>0</x:v>
      </x:c>
      <x:c r="L81" s="60" t="n">
        <x:v>0.0931095424</x:v>
      </x:c>
      <x:c r="M81" s="60" t="n">
        <x:v>0</x:v>
      </x:c>
      <x:c r="N81" s="46" t="str">
        <x:v>carcinus maenas</x:v>
      </x:c>
      <x:c r="O81" s="62" t="n">
        <x:v>3.5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Carcinus maenas</x:v>
      </x:c>
      <x:c r="T81" s="62" t="n">
        <x:f>IF(O81="","",(1/'Metadata'!$B$5)^(O81-1))</x:f>
        <x:v>316.22776601683796</x:v>
      </x:c>
      <x:c r="U81" s="60" t="n">
        <x:f>IF(T81="","",I81*T81)</x:f>
        <x:v>29.443822588002053</x:v>
      </x:c>
    </x:row>
    <x:row r="82" ht="18" customHeight="1">
      <x:c r="A82" s="46" t="str">
        <x:v>LME_060</x:v>
      </x:c>
      <x:c r="B82" s="46" t="str">
        <x:v>Faroe Plateau</x:v>
      </x:c>
      <x:c r="C82" s="46" t="str">
        <x:v>LME</x:v>
      </x:c>
      <x:c r="D82" s="58" t="n">
        <x:v>2019</x:v>
      </x:c>
      <x:c r="E82" s="46" t="str">
        <x:v>Perciformes</x:v>
      </x:c>
      <x:c r="F82" s="46" t="str">
        <x:v>Perch-likes</x:v>
      </x:c>
      <x:c r="G82" s="46" t="str">
        <x:v>Medium demersals (30 - 89 cm)</x:v>
      </x:c>
      <x:c r="H82" s="46" t="str">
        <x:v>Perch-likes</x:v>
      </x:c>
      <x:c r="I82" s="60" t="n">
        <x:v>0.0920578974</x:v>
      </x:c>
      <x:c r="J82" s="60" t="n">
        <x:v>0.0506299289</x:v>
      </x:c>
      <x:c r="K82" s="60" t="n">
        <x:v>0.0414279685</x:v>
      </x:c>
      <x:c r="L82" s="60" t="n">
        <x:v>0.0506299289</x:v>
      </x:c>
      <x:c r="M82" s="60" t="n">
        <x:v>0.0414279685</x:v>
      </x:c>
      <x:c r="N82" s="46" t="str">
        <x:v>perciformes</x:v>
      </x:c>
      <x:c r="O82" s="62" t="n">
        <x:v>3.53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Perciformes</x:v>
      </x:c>
      <x:c r="T82" s="62" t="n">
        <x:f>IF(O82="","",(1/'Metadata'!$B$5)^(O82-1))</x:f>
        <x:v>338.84415613920237</x:v>
      </x:c>
      <x:c r="U82" s="60" t="n">
        <x:f>IF(T82="","",I82*T82)</x:f>
        <x:v>31.193280560452273</x:v>
      </x:c>
    </x:row>
    <x:row r="83" ht="18" customHeight="1">
      <x:c r="A83" s="46" t="str">
        <x:v>LME_060</x:v>
      </x:c>
      <x:c r="B83" s="46" t="str">
        <x:v>Faroe Plateau</x:v>
      </x:c>
      <x:c r="C83" s="46" t="str">
        <x:v>LME</x:v>
      </x:c>
      <x:c r="D83" s="58" t="n">
        <x:v>2019</x:v>
      </x:c>
      <x:c r="E83" s="46" t="str">
        <x:v>Necora puber</x:v>
      </x:c>
      <x:c r="F83" s="46" t="str">
        <x:v>Velvet swimcrab</x:v>
      </x:c>
      <x:c r="G83" s="46" t="str">
        <x:v>Lobsters, crabs</x:v>
      </x:c>
      <x:c r="H83" s="46" t="str">
        <x:v>Crustaceans</x:v>
      </x:c>
      <x:c r="I83" s="60" t="n">
        <x:v>0.0854148937</x:v>
      </x:c>
      <x:c r="J83" s="60" t="n">
        <x:v>0.0854148937</x:v>
      </x:c>
      <x:c r="K83" s="60" t="n">
        <x:v>0</x:v>
      </x:c>
      <x:c r="L83" s="60" t="n">
        <x:v>0.0854148937</x:v>
      </x:c>
      <x:c r="M83" s="60" t="n">
        <x:v>0</x:v>
      </x:c>
      <x:c r="N83" s="46" t="str">
        <x:v>necora puber</x:v>
      </x:c>
      <x:c r="O83" s="62" t="n">
        <x:v>2.6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Necora puber</x:v>
      </x:c>
      <x:c r="T83" s="62" t="n">
        <x:f>IF(O83="","",(1/'Metadata'!$B$5)^(O83-1))</x:f>
        <x:v>39.810717055349734</x:v>
      </x:c>
      <x:c r="U83" s="60" t="n">
        <x:f>IF(T83="","",I83*T83)</x:f>
        <x:v>3.4004281654034743</x:v>
      </x:c>
    </x:row>
    <x:row r="84" ht="18" customHeight="1">
      <x:c r="A84" s="46" t="str">
        <x:v>LME_060</x:v>
      </x:c>
      <x:c r="B84" s="46" t="str">
        <x:v>Faroe Plateau</x:v>
      </x:c>
      <x:c r="C84" s="46" t="str">
        <x:v>LME</x:v>
      </x:c>
      <x:c r="D84" s="58" t="n">
        <x:v>2019</x:v>
      </x:c>
      <x:c r="E84" s="46" t="str">
        <x:v>Leucoraja fullonica</x:v>
      </x:c>
      <x:c r="F84" s="46" t="str">
        <x:v>Shagreen ray</x:v>
      </x:c>
      <x:c r="G84" s="46" t="str">
        <x:v>Large rays (&gt;=90 cm)</x:v>
      </x:c>
      <x:c r="H84" s="46" t="str">
        <x:v>Sharks &amp; rays</x:v>
      </x:c>
      <x:c r="I84" s="60" t="n">
        <x:v>0.0845070114</x:v>
      </x:c>
      <x:c r="J84" s="60" t="n">
        <x:v>0.0845070114</x:v>
      </x:c>
      <x:c r="K84" s="60" t="n">
        <x:v>0</x:v>
      </x:c>
      <x:c r="L84" s="60" t="n">
        <x:v>0.0845070114</x:v>
      </x:c>
      <x:c r="M84" s="60" t="n">
        <x:v>0</x:v>
      </x:c>
      <x:c r="N84" s="46" t="str">
        <x:v>leucoraja fullonica</x:v>
      </x:c>
      <x:c r="O84" s="62" t="n">
        <x:v>3.5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Leucoraja fullonica</x:v>
      </x:c>
      <x:c r="T84" s="62" t="n">
        <x:f>IF(O84="","",(1/'Metadata'!$B$5)^(O84-1))</x:f>
        <x:v>316.22776601683796</x:v>
      </x:c>
      <x:c r="U84" s="60" t="n">
        <x:f>IF(T84="","",I84*T84)</x:f>
        <x:v>26.723463427781457</x:v>
      </x:c>
    </x:row>
    <x:row r="85" ht="18" customHeight="1">
      <x:c r="A85" s="46" t="str">
        <x:v>LME_060</x:v>
      </x:c>
      <x:c r="B85" s="46" t="str">
        <x:v>Faroe Plateau</x:v>
      </x:c>
      <x:c r="C85" s="46" t="str">
        <x:v>LME</x:v>
      </x:c>
      <x:c r="D85" s="58" t="n">
        <x:v>2019</x:v>
      </x:c>
      <x:c r="E85" s="46" t="str">
        <x:v>Cyclopterus lumpus</x:v>
      </x:c>
      <x:c r="F85" s="46" t="str">
        <x:v>Lumpfish</x:v>
      </x:c>
      <x:c r="G85" s="46" t="str">
        <x:v>Medium benthopelagics (30 - 89 cm)</x:v>
      </x:c>
      <x:c r="H85" s="46" t="str">
        <x:v>Scorpionfishes</x:v>
      </x:c>
      <x:c r="I85" s="60" t="n">
        <x:v>0.08050700840000001</x:v>
      </x:c>
      <x:c r="J85" s="60" t="n">
        <x:v>0.08050700840000001</x:v>
      </x:c>
      <x:c r="K85" s="60" t="n">
        <x:v>0</x:v>
      </x:c>
      <x:c r="L85" s="60" t="n">
        <x:v>0.08050700840000001</x:v>
      </x:c>
      <x:c r="M85" s="60" t="n">
        <x:v>0</x:v>
      </x:c>
      <x:c r="N85" s="46" t="str">
        <x:v>cyclopterus lumpus</x:v>
      </x:c>
      <x:c r="O85" s="62" t="n">
        <x:v>3.89</x:v>
      </x:c>
      <x:c r="P85" s="46" t="str">
        <x:v>exact_2020_supplement</x:v>
      </x:c>
      <x:c r="Q85" s="62" t="str">
        <x:v>2020 supplement MeanTL</x:v>
      </x:c>
      <x:c r="R85" s="46" t="str">
        <x:v>high</x:v>
      </x:c>
      <x:c r="S85" s="46" t="str">
        <x:v>Cyclopterus lumpus</x:v>
      </x:c>
      <x:c r="T85" s="62" t="n">
        <x:f>IF(O85="","",(1/'Metadata'!$B$5)^(O85-1))</x:f>
        <x:v>776.247116628692</x:v>
      </x:c>
      <x:c r="U85" s="60" t="n">
        <x:f>IF(T85="","",I85*T85)</x:f>
        <x:v>62.49333313890189</x:v>
      </x:c>
    </x:row>
    <x:row r="86" ht="18" customHeight="1">
      <x:c r="A86" s="46" t="str">
        <x:v>LME_060</x:v>
      </x:c>
      <x:c r="B86" s="46" t="str">
        <x:v>Faroe Plateau</x:v>
      </x:c>
      <x:c r="C86" s="46" t="str">
        <x:v>LME</x:v>
      </x:c>
      <x:c r="D86" s="58" t="n">
        <x:v>2019</x:v>
      </x:c>
      <x:c r="E86" s="46" t="str">
        <x:v>Osteichthyes</x:v>
      </x:c>
      <x:c r="F86" s="46" t="str">
        <x:v>Bony fishes</x:v>
      </x:c>
      <x:c r="G86" s="46" t="str">
        <x:v>Medium demersals (30 - 89 cm)</x:v>
      </x:c>
      <x:c r="H86" s="46" t="str">
        <x:v>Other fishes &amp; inverts</x:v>
      </x:c>
      <x:c r="I86" s="60" t="n">
        <x:v>0.044574364000000005</x:v>
      </x:c>
      <x:c r="J86" s="60" t="n">
        <x:v>0.044574364000000005</x:v>
      </x:c>
      <x:c r="K86" s="60" t="n">
        <x:v>0</x:v>
      </x:c>
      <x:c r="L86" s="60" t="n">
        <x:v>0.044574364000000005</x:v>
      </x:c>
      <x:c r="M86" s="60" t="n">
        <x:v>0</x:v>
      </x:c>
      <x:c r="N86" s="46" t="str">
        <x:v>osteichthyes</x:v>
      </x:c>
      <x:c r="O86" s="62" t="n">
        <x:v>3.79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Osteichthyes</x:v>
      </x:c>
      <x:c r="T86" s="62" t="n">
        <x:f>IF(O86="","",(1/'Metadata'!$B$5)^(O86-1))</x:f>
        <x:v>616.5950018614822</x:v>
      </x:c>
      <x:c r="U86" s="60" t="n">
        <x:f>IF(T86="","",I86*T86)</x:f>
        <x:v>27.484330053554388</x:v>
      </x:c>
    </x:row>
    <x:row r="87" ht="18" customHeight="1">
      <x:c r="A87" s="46" t="str">
        <x:v>LME_060</x:v>
      </x:c>
      <x:c r="B87" s="46" t="str">
        <x:v>Faroe Plateau</x:v>
      </x:c>
      <x:c r="C87" s="46" t="str">
        <x:v>LME</x:v>
      </x:c>
      <x:c r="D87" s="58" t="n">
        <x:v>2019</x:v>
      </x:c>
      <x:c r="E87" s="46" t="str">
        <x:v>Squalus acanthias</x:v>
      </x:c>
      <x:c r="F87" s="46" t="str">
        <x:v>Picked dogfish</x:v>
      </x:c>
      <x:c r="G87" s="46" t="str">
        <x:v>Large sharks (&gt;=90 cm)</x:v>
      </x:c>
      <x:c r="H87" s="46" t="str">
        <x:v>Sharks &amp; rays</x:v>
      </x:c>
      <x:c r="I87" s="60" t="n">
        <x:v>0.04295731669999999</x:v>
      </x:c>
      <x:c r="J87" s="60" t="n">
        <x:v>0.04295731669999999</x:v>
      </x:c>
      <x:c r="K87" s="60" t="n">
        <x:v>0</x:v>
      </x:c>
      <x:c r="L87" s="60" t="n">
        <x:v>0.04295731669999999</x:v>
      </x:c>
      <x:c r="M87" s="60" t="n">
        <x:v>0</x:v>
      </x:c>
      <x:c r="N87" s="46" t="str">
        <x:v>squalus acanthias</x:v>
      </x:c>
      <x:c r="O87" s="62" t="n">
        <x:v>4.37</x:v>
      </x:c>
      <x:c r="P87" s="46" t="str">
        <x:v>exact_2020_supplement</x:v>
      </x:c>
      <x:c r="Q87" s="62" t="str">
        <x:v>2020 supplement MeanTL</x:v>
      </x:c>
      <x:c r="R87" s="46" t="str">
        <x:v>high</x:v>
      </x:c>
      <x:c r="S87" s="46" t="str">
        <x:v>Squalus acanthias</x:v>
      </x:c>
      <x:c r="T87" s="62" t="n">
        <x:f>IF(O87="","",(1/'Metadata'!$B$5)^(O87-1))</x:f>
        <x:v>2344.228815319923</x:v>
      </x:c>
      <x:c r="U87" s="60" t="n">
        <x:f>IF(T87="","",I87*T87)</x:f>
        <x:v>100.70177963696372</x:v>
      </x:c>
    </x:row>
    <x:row r="88" ht="18" customHeight="1">
      <x:c r="A88" s="46" t="str">
        <x:v>LME_060</x:v>
      </x:c>
      <x:c r="B88" s="46" t="str">
        <x:v>Faroe Plateau</x:v>
      </x:c>
      <x:c r="C88" s="46" t="str">
        <x:v>LME</x:v>
      </x:c>
      <x:c r="D88" s="58" t="n">
        <x:v>2019</x:v>
      </x:c>
      <x:c r="E88" s="46" t="str">
        <x:v>Pandalus borealis</x:v>
      </x:c>
      <x:c r="F88" s="46" t="str">
        <x:v>Northern prawn</x:v>
      </x:c>
      <x:c r="G88" s="46" t="str">
        <x:v>Shrimps</x:v>
      </x:c>
      <x:c r="H88" s="46" t="str">
        <x:v>Crustaceans</x:v>
      </x:c>
      <x:c r="I88" s="60" t="n">
        <x:v>0.0194252252</x:v>
      </x:c>
      <x:c r="J88" s="60" t="n">
        <x:v>0.0194252252</x:v>
      </x:c>
      <x:c r="K88" s="60" t="n">
        <x:v>0</x:v>
      </x:c>
      <x:c r="L88" s="60" t="n">
        <x:v>0.0194252252</x:v>
      </x:c>
      <x:c r="M88" s="60" t="n">
        <x:v>0</x:v>
      </x:c>
      <x:c r="N88" s="46" t="str">
        <x:v>pandalus borealis</x:v>
      </x:c>
      <x:c r="O88" s="62" t="n">
        <x:v>3.07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Pandalus borealis</x:v>
      </x:c>
      <x:c r="T88" s="62" t="n">
        <x:f>IF(O88="","",(1/'Metadata'!$B$5)^(O88-1))</x:f>
        <x:v>117.48975549395291</x:v>
      </x:c>
      <x:c r="U88" s="60" t="n">
        <x:f>IF(T88="","",I88*T88)</x:f>
        <x:v>2.2822649591629727</x:v>
      </x:c>
    </x:row>
    <x:row r="89" ht="18" customHeight="1">
      <x:c r="A89" s="46" t="str">
        <x:v>LME_060</x:v>
      </x:c>
      <x:c r="B89" s="46" t="str">
        <x:v>Faroe Plateau</x:v>
      </x:c>
      <x:c r="C89" s="46" t="str">
        <x:v>LME</x:v>
      </x:c>
      <x:c r="D89" s="58" t="n">
        <x:v>2019</x:v>
      </x:c>
      <x:c r="E89" s="46" t="str">
        <x:v>Teuthida</x:v>
      </x:c>
      <x:c r="F89" s="46" t="str">
        <x:v>Squids</x:v>
      </x:c>
      <x:c r="G89" s="46" t="str">
        <x:v>Cephalopods</x:v>
      </x:c>
      <x:c r="H89" s="46" t="str">
        <x:v>Other fishes &amp; inverts</x:v>
      </x:c>
      <x:c r="I89" s="60" t="n">
        <x:v>0.018208396800000002</x:v>
      </x:c>
      <x:c r="J89" s="60" t="n">
        <x:v>0.018208396800000002</x:v>
      </x:c>
      <x:c r="K89" s="60" t="n">
        <x:v>0</x:v>
      </x:c>
      <x:c r="L89" s="60" t="n">
        <x:v>0.018208396800000002</x:v>
      </x:c>
      <x:c r="M89" s="60" t="n">
        <x:v>0</x:v>
      </x:c>
      <x:c r="N89" s="46" t="str">
        <x:v>teuthida</x:v>
      </x:c>
      <x:c r="O89" s="62" t="n">
        <x:v>4.13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Teuthida</x:v>
      </x:c>
      <x:c r="T89" s="62" t="n">
        <x:f>IF(O89="","",(1/'Metadata'!$B$5)^(O89-1))</x:f>
        <x:v>1348.9628825916532</x:v>
      </x:c>
      <x:c r="U89" s="60" t="n">
        <x:f>IF(T89="","",I89*T89)</x:f>
        <x:v>24.562451434700638</x:v>
      </x:c>
    </x:row>
    <x:row r="90" ht="18" customHeight="1">
      <x:c r="A90" s="46" t="str">
        <x:v>LME_060</x:v>
      </x:c>
      <x:c r="B90" s="46" t="str">
        <x:v>Faroe Plateau</x:v>
      </x:c>
      <x:c r="C90" s="46" t="str">
        <x:v>LME</x:v>
      </x:c>
      <x:c r="D90" s="58" t="n">
        <x:v>2019</x:v>
      </x:c>
      <x:c r="E90" s="46" t="str">
        <x:v>Platichthys flesus</x:v>
      </x:c>
      <x:c r="F90" s="46" t="str">
        <x:v>European flounder</x:v>
      </x:c>
      <x:c r="G90" s="46" t="str">
        <x:v>Small to medium flatfishes (&lt;90 cm)</x:v>
      </x:c>
      <x:c r="H90" s="46" t="str">
        <x:v>Flatfishes</x:v>
      </x:c>
      <x:c r="I90" s="60" t="n">
        <x:v>0.0180510922</x:v>
      </x:c>
      <x:c r="J90" s="60" t="n">
        <x:v>0.0180510922</x:v>
      </x:c>
      <x:c r="K90" s="60" t="n">
        <x:v>0</x:v>
      </x:c>
      <x:c r="L90" s="60" t="n">
        <x:v>0.010152635899999998</x:v>
      </x:c>
      <x:c r="M90" s="60" t="n">
        <x:v>0.0078984563</x:v>
      </x:c>
      <x:c r="N90" s="46" t="str">
        <x:v>platichthys flesus</x:v>
      </x:c>
      <x:c r="O90" s="62" t="n">
        <x:v>3.32</x:v>
      </x:c>
      <x:c r="P90" s="46" t="str">
        <x:v>exact_2020_supplement</x:v>
      </x:c>
      <x:c r="Q90" s="62" t="str">
        <x:v>2020 supplement MeanTL</x:v>
      </x:c>
      <x:c r="R90" s="46" t="str">
        <x:v>high</x:v>
      </x:c>
      <x:c r="S90" s="46" t="str">
        <x:v>Platichthys flesus</x:v>
      </x:c>
      <x:c r="T90" s="62" t="n">
        <x:f>IF(O90="","",(1/'Metadata'!$B$5)^(O90-1))</x:f>
        <x:v>208.92961308540387</x:v>
      </x:c>
      <x:c r="U90" s="60" t="n">
        <x:f>IF(T90="","",I90*T90)</x:f>
        <x:v>3.771407709114952</x:v>
      </x:c>
    </x:row>
    <x:row r="91" ht="18" customHeight="1">
      <x:c r="A91" s="46" t="str">
        <x:v>LME_060</x:v>
      </x:c>
      <x:c r="B91" s="46" t="str">
        <x:v>Faroe Plateau</x:v>
      </x:c>
      <x:c r="C91" s="46" t="str">
        <x:v>LME</x:v>
      </x:c>
      <x:c r="D91" s="58" t="n">
        <x:v>2019</x:v>
      </x:c>
      <x:c r="E91" s="46" t="str">
        <x:v>Dipturus oxyrinchus</x:v>
      </x:c>
      <x:c r="F91" s="46" t="str">
        <x:v>Longnosed skate</x:v>
      </x:c>
      <x:c r="G91" s="46" t="str">
        <x:v>Large rays (&gt;=90 cm)</x:v>
      </x:c>
      <x:c r="H91" s="46" t="str">
        <x:v>Sharks &amp; rays</x:v>
      </x:c>
      <x:c r="I91" s="60" t="n">
        <x:v>0.0155173416</x:v>
      </x:c>
      <x:c r="J91" s="60" t="n">
        <x:v>0.0155173416</x:v>
      </x:c>
      <x:c r="K91" s="60" t="n">
        <x:v>0</x:v>
      </x:c>
      <x:c r="L91" s="60" t="n">
        <x:v>0.0155173416</x:v>
      </x:c>
      <x:c r="M91" s="60" t="n">
        <x:v>0</x:v>
      </x:c>
      <x:c r="N91" s="46" t="str">
        <x:v>dipturus oxyrinchus</x:v>
      </x:c>
      <x:c r="O91" s="62" t="n">
        <x:v>3.5</x:v>
      </x:c>
      <x:c r="P91" s="46" t="str">
        <x:v>exact_2020_supplement</x:v>
      </x:c>
      <x:c r="Q91" s="62" t="str">
        <x:v>2020 supplement MeanTL</x:v>
      </x:c>
      <x:c r="R91" s="46" t="str">
        <x:v>high</x:v>
      </x:c>
      <x:c r="S91" s="46" t="str">
        <x:v>Dipturus oxyrinchus</x:v>
      </x:c>
      <x:c r="T91" s="62" t="n">
        <x:f>IF(O91="","",(1/'Metadata'!$B$5)^(O91-1))</x:f>
        <x:v>316.22776601683796</x:v>
      </x:c>
      <x:c r="U91" s="60" t="n">
        <x:f>IF(T91="","",I91*T91)</x:f>
        <x:v>4.907014268688146</x:v>
      </x:c>
    </x:row>
    <x:row r="92" ht="18" customHeight="1">
      <x:c r="A92" s="46" t="str">
        <x:v>LME_060</x:v>
      </x:c>
      <x:c r="B92" s="46" t="str">
        <x:v>Faroe Plateau</x:v>
      </x:c>
      <x:c r="C92" s="46" t="str">
        <x:v>LME</x:v>
      </x:c>
      <x:c r="D92" s="58" t="n">
        <x:v>2019</x:v>
      </x:c>
      <x:c r="E92" s="46" t="str">
        <x:v>Chelidonichthys cuculus</x:v>
      </x:c>
      <x:c r="F92" s="46" t="str">
        <x:v>Red gurnard</x:v>
      </x:c>
      <x:c r="G92" s="46" t="str">
        <x:v>Medium demersals (30 - 89 cm)</x:v>
      </x:c>
      <x:c r="H92" s="46" t="str">
        <x:v>Scorpionfishes</x:v>
      </x:c>
      <x:c r="I92" s="60" t="n">
        <x:v>0.0097682411</x:v>
      </x:c>
      <x:c r="J92" s="60" t="n">
        <x:v>0.0097682411</x:v>
      </x:c>
      <x:c r="K92" s="60" t="n">
        <x:v>0</x:v>
      </x:c>
      <x:c r="L92" s="60" t="n">
        <x:v>0.0097682411</x:v>
      </x:c>
      <x:c r="M92" s="60" t="n">
        <x:v>0</x:v>
      </x:c>
      <x:c r="N92" s="46" t="str">
        <x:v>chelidonichthys cuculus</x:v>
      </x:c>
      <x:c r="O92" s="62" t="n">
        <x:v>3.81</x:v>
      </x:c>
      <x:c r="P92" s="46" t="str">
        <x:v>exact_2020_supplement</x:v>
      </x:c>
      <x:c r="Q92" s="62" t="str">
        <x:v>2020 supplement MeanTL</x:v>
      </x:c>
      <x:c r="R92" s="46" t="str">
        <x:v>high</x:v>
      </x:c>
      <x:c r="S92" s="46" t="str">
        <x:v>Chelidonichthys cuculus</x:v>
      </x:c>
      <x:c r="T92" s="62" t="n">
        <x:f>IF(O92="","",(1/'Metadata'!$B$5)^(O92-1))</x:f>
        <x:v>645.6542290346556</x:v>
      </x:c>
      <x:c r="U92" s="60" t="n">
        <x:f>IF(T92="","",I92*T92)</x:f>
        <x:v>6.306906176445136</x:v>
      </x:c>
    </x:row>
    <x:row r="93" ht="18" customHeight="1">
      <x:c r="A93" s="46" t="str">
        <x:v>LME_060</x:v>
      </x:c>
      <x:c r="B93" s="46" t="str">
        <x:v>Faroe Plateau</x:v>
      </x:c>
      <x:c r="C93" s="46" t="str">
        <x:v>LME</x:v>
      </x:c>
      <x:c r="D93" s="58" t="n">
        <x:v>2019</x:v>
      </x:c>
      <x:c r="E93" s="46" t="str">
        <x:v>Raja clavata</x:v>
      </x:c>
      <x:c r="F93" s="46" t="str">
        <x:v>Thornback ray</x:v>
      </x:c>
      <x:c r="G93" s="46" t="str">
        <x:v>Large rays (&gt;=90 cm)</x:v>
      </x:c>
      <x:c r="H93" s="46" t="str">
        <x:v>Sharks &amp; rays</x:v>
      </x:c>
      <x:c r="I93" s="60" t="n">
        <x:v>0.009713818800000001</x:v>
      </x:c>
      <x:c r="J93" s="60" t="n">
        <x:v>0.009713818800000001</x:v>
      </x:c>
      <x:c r="K93" s="60" t="n">
        <x:v>0</x:v>
      </x:c>
      <x:c r="L93" s="60" t="n">
        <x:v>0.009713818800000001</x:v>
      </x:c>
      <x:c r="M93" s="60" t="n">
        <x:v>0</x:v>
      </x:c>
      <x:c r="N93" s="46" t="str">
        <x:v>raja clavata</x:v>
      </x:c>
      <x:c r="O93" s="62" t="n">
        <x:v>3.84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Raja clavata</x:v>
      </x:c>
      <x:c r="T93" s="62" t="n">
        <x:f>IF(O93="","",(1/'Metadata'!$B$5)^(O93-1))</x:f>
        <x:v>691.8309709189363</x:v>
      </x:c>
      <x:c r="U93" s="60" t="n">
        <x:f>IF(T93="","",I93*T93)</x:f>
        <x:v>6.720320691734617</x:v>
      </x:c>
    </x:row>
    <x:row r="94" ht="18" customHeight="1">
      <x:c r="A94" s="46" t="str">
        <x:v>LME_060</x:v>
      </x:c>
      <x:c r="B94" s="46" t="str">
        <x:v>Faroe Plateau</x:v>
      </x:c>
      <x:c r="C94" s="46" t="str">
        <x:v>LME</x:v>
      </x:c>
      <x:c r="D94" s="58" t="n">
        <x:v>2019</x:v>
      </x:c>
      <x:c r="E94" s="46" t="str">
        <x:v>Chondrichthyes</x:v>
      </x:c>
      <x:c r="F94" s="46" t="str">
        <x:v>Sharks, rays, chimaeras</x:v>
      </x:c>
      <x:c r="G94" s="46" t="str">
        <x:v>Large sharks (&gt;=90 cm)</x:v>
      </x:c>
      <x:c r="H94" s="46" t="str">
        <x:v>Sharks &amp; rays</x:v>
      </x:c>
      <x:c r="I94" s="60" t="n">
        <x:v>0.004914918</x:v>
      </x:c>
      <x:c r="J94" s="60" t="n">
        <x:v>0.0049148339</x:v>
      </x:c>
      <x:c r="K94" s="60" t="n">
        <x:v>8.41e-8</x:v>
      </x:c>
      <x:c r="L94" s="60" t="n">
        <x:v>0.0049146464</x:v>
      </x:c>
      <x:c r="M94" s="60" t="n">
        <x:v>2.716e-7</x:v>
      </x:c>
      <x:c r="N94" s="46" t="str">
        <x:v>chondrichthyes</x:v>
      </x:c>
      <x:c r="O94" s="62" t="n">
        <x:v>4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Chondrichthyes</x:v>
      </x:c>
      <x:c r="T94" s="62" t="n">
        <x:f>IF(O94="","",(1/'Metadata'!$B$5)^(O94-1))</x:f>
        <x:v>1000</x:v>
      </x:c>
      <x:c r="U94" s="60" t="n">
        <x:f>IF(T94="","",I94*T94)</x:f>
        <x:v>4.914918</x:v>
      </x:c>
    </x:row>
    <x:row r="95" ht="18" customHeight="1">
      <x:c r="A95" s="46" t="str">
        <x:v>LME_060</x:v>
      </x:c>
      <x:c r="B95" s="46" t="str">
        <x:v>Faroe Plateau</x:v>
      </x:c>
      <x:c r="C95" s="46" t="str">
        <x:v>LME</x:v>
      </x:c>
      <x:c r="D95" s="58" t="n">
        <x:v>2019</x:v>
      </x:c>
      <x:c r="E95" s="46" t="str">
        <x:v>Buccinum undatum</x:v>
      </x:c>
      <x:c r="F95" s="46" t="str">
        <x:v>Whelk</x:v>
      </x:c>
      <x:c r="G95" s="46" t="str">
        <x:v>Other demersal invertebrates</x:v>
      </x:c>
      <x:c r="H95" s="46" t="str">
        <x:v>Molluscs</x:v>
      </x:c>
      <x:c r="I95" s="60" t="n">
        <x:v>0.0016340458</x:v>
      </x:c>
      <x:c r="J95" s="60" t="n">
        <x:v>0.0016340458</x:v>
      </x:c>
      <x:c r="K95" s="60" t="n">
        <x:v>0</x:v>
      </x:c>
      <x:c r="L95" s="60" t="n">
        <x:v>0.0016340458</x:v>
      </x:c>
      <x:c r="M95" s="60" t="n">
        <x:v>0</x:v>
      </x:c>
      <x:c r="N95" s="46" t="str">
        <x:v>buccinum undatum</x:v>
      </x:c>
      <x:c r="O95" s="62" t="n">
        <x:v>3.75</x:v>
      </x:c>
      <x:c r="P95" s="46" t="str">
        <x:v>exact_2020_supplement</x:v>
      </x:c>
      <x:c r="Q95" s="62" t="str">
        <x:v>2020 supplement MeanTL</x:v>
      </x:c>
      <x:c r="R95" s="46" t="str">
        <x:v>high</x:v>
      </x:c>
      <x:c r="S95" s="46" t="str">
        <x:v>Buccinum undatum</x:v>
      </x:c>
      <x:c r="T95" s="62" t="n">
        <x:f>IF(O95="","",(1/'Metadata'!$B$5)^(O95-1))</x:f>
        <x:v>562.341325190349</x:v>
      </x:c>
      <x:c r="U95" s="60" t="n">
        <x:f>IF(T95="","",I95*T95)</x:f>
        <x:v>0.918891480593724</x:v>
      </x:c>
    </x:row>
    <x:row r="96" ht="18" customHeight="1">
      <x:c r="A96" s="46" t="str">
        <x:v>LME_060</x:v>
      </x:c>
      <x:c r="B96" s="46" t="str">
        <x:v>Faroe Plateau</x:v>
      </x:c>
      <x:c r="C96" s="46" t="str">
        <x:v>LME</x:v>
      </x:c>
      <x:c r="D96" s="58" t="n">
        <x:v>2019</x:v>
      </x:c>
      <x:c r="E96" s="46" t="str">
        <x:v>Ommastrephidae</x:v>
      </x:c>
      <x:c r="F96" s="46" t="str">
        <x:v>Arrow squids</x:v>
      </x:c>
      <x:c r="G96" s="46" t="str">
        <x:v>Cephalopods</x:v>
      </x:c>
      <x:c r="H96" s="46" t="str">
        <x:v>Other fishes &amp; inverts</x:v>
      </x:c>
      <x:c r="I96" s="60" t="n">
        <x:v>0.0013279419</x:v>
      </x:c>
      <x:c r="J96" s="60" t="n">
        <x:v>0.0013279419</x:v>
      </x:c>
      <x:c r="K96" s="60" t="n">
        <x:v>0</x:v>
      </x:c>
      <x:c r="L96" s="60" t="n">
        <x:v>0.0013279419</x:v>
      </x:c>
      <x:c r="M96" s="60" t="n">
        <x:v>0</x:v>
      </x:c>
      <x:c r="N96" s="46" t="str">
        <x:v>ommastrephidae</x:v>
      </x:c>
      <x:c r="O96" s="62" t="n">
        <x:v>4.09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Ommastrephidae</x:v>
      </x:c>
      <x:c r="T96" s="62" t="n">
        <x:f>IF(O96="","",(1/'Metadata'!$B$5)^(O96-1))</x:f>
        <x:v>1230.268770812381</x:v>
      </x:c>
      <x:c r="U96" s="60" t="n">
        <x:f>IF(T96="","",I96*T96)</x:f>
        <x:v>1.633725449023258</x:v>
      </x:c>
    </x:row>
    <x:row r="97" ht="18" customHeight="1">
      <x:c r="A97" s="46" t="str">
        <x:v>LME_060</x:v>
      </x:c>
      <x:c r="B97" s="46" t="str">
        <x:v>Faroe Plateau</x:v>
      </x:c>
      <x:c r="C97" s="46" t="str">
        <x:v>LME</x:v>
      </x:c>
      <x:c r="D97" s="58" t="n">
        <x:v>2019</x:v>
      </x:c>
      <x:c r="E97" s="46" t="str">
        <x:v>Anguilla anguilla</x:v>
      </x:c>
      <x:c r="F97" s="46" t="str">
        <x:v>European eel</x:v>
      </x:c>
      <x:c r="G97" s="46" t="str">
        <x:v>Large demersals (&gt;=90 cm)</x:v>
      </x:c>
      <x:c r="H97" s="46" t="str">
        <x:v>Other fishes &amp; inverts</x:v>
      </x:c>
      <x:c r="I97" s="60" t="n">
        <x:v>0.0011574808999999999</x:v>
      </x:c>
      <x:c r="J97" s="60" t="n">
        <x:v>0.0011574808999999999</x:v>
      </x:c>
      <x:c r="K97" s="60" t="n">
        <x:v>0</x:v>
      </x:c>
      <x:c r="L97" s="60" t="n">
        <x:v>0.0011574808999999999</x:v>
      </x:c>
      <x:c r="M97" s="60" t="n">
        <x:v>0</x:v>
      </x:c>
      <x:c r="N97" s="46" t="str">
        <x:v>anguilla anguilla</x:v>
      </x:c>
      <x:c r="O97" s="62" t="n">
        <x:v>3.55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Anguilla anguilla</x:v>
      </x:c>
      <x:c r="T97" s="62" t="n">
        <x:f>IF(O97="","",(1/'Metadata'!$B$5)^(O97-1))</x:f>
        <x:v>354.8133892335753</x:v>
      </x:c>
      <x:c r="U97" s="60" t="n">
        <x:f>IF(T97="","",I97*T97)</x:f>
        <x:v>0.41068972110212904</x:v>
      </x:c>
    </x:row>
    <x:row r="98" ht="18" customHeight="1">
      <x:c r="A98" s="46" t="str">
        <x:v>LME_060</x:v>
      </x:c>
      <x:c r="B98" s="46" t="str">
        <x:v>Faroe Plateau</x:v>
      </x:c>
      <x:c r="C98" s="46" t="str">
        <x:v>LME</x:v>
      </x:c>
      <x:c r="D98" s="58" t="n">
        <x:v>2019</x:v>
      </x:c>
      <x:c r="E98" s="46" t="str">
        <x:v>Scorpaeniformes</x:v>
      </x:c>
      <x:c r="F98" s="46" t="str">
        <x:v>Scorpionfishes, flatheads</x:v>
      </x:c>
      <x:c r="G98" s="46" t="str">
        <x:v>Medium demersals (30 - 89 cm)</x:v>
      </x:c>
      <x:c r="H98" s="46" t="str">
        <x:v>Scorpionfishes</x:v>
      </x:c>
      <x:c r="I98" s="60" t="n">
        <x:v>0.0007653149000000001</x:v>
      </x:c>
      <x:c r="J98" s="60" t="n">
        <x:v>0</x:v>
      </x:c>
      <x:c r="K98" s="60" t="n">
        <x:v>0.0007653149000000001</x:v>
      </x:c>
      <x:c r="L98" s="60" t="n">
        <x:v>0</x:v>
      </x:c>
      <x:c r="M98" s="60" t="n">
        <x:v>0.0007653149000000001</x:v>
      </x:c>
      <x:c r="N98" s="46" t="str">
        <x:v>scorpaeniformes</x:v>
      </x:c>
      <x:c r="O98" s="62" t="n">
        <x:v>3.78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Scorpaeniformes</x:v>
      </x:c>
      <x:c r="T98" s="62" t="n">
        <x:f>IF(O98="","",(1/'Metadata'!$B$5)^(O98-1))</x:f>
        <x:v>602.5595860743575</x:v>
      </x:c>
      <x:c r="U98" s="60" t="n">
        <x:f>IF(T98="","",I98*T98)</x:f>
        <x:v>0.4611478293605384</x:v>
      </x:c>
    </x:row>
    <x:row r="99" ht="18" customHeight="1">
      <x:c r="A99" s="46" t="str">
        <x:v>LME_060</x:v>
      </x:c>
      <x:c r="B99" s="46" t="str">
        <x:v>Faroe Plateau</x:v>
      </x:c>
      <x:c r="C99" s="46" t="str">
        <x:v>LME</x:v>
      </x:c>
      <x:c r="D99" s="58" t="n">
        <x:v>2019</x:v>
      </x:c>
      <x:c r="E99" s="46" t="str">
        <x:v>Mugilidae</x:v>
      </x:c>
      <x:c r="F99" s="46" t="str">
        <x:v>Mullets, grey mullets</x:v>
      </x:c>
      <x:c r="G99" s="46" t="str">
        <x:v>Medium reef assoc. fish (30 - 89 cm)</x:v>
      </x:c>
      <x:c r="H99" s="46" t="str">
        <x:v>Perch-likes</x:v>
      </x:c>
      <x:c r="I99" s="60" t="n">
        <x:v>0.00028852980000000004</x:v>
      </x:c>
      <x:c r="J99" s="60" t="n">
        <x:v>0.00028852980000000004</x:v>
      </x:c>
      <x:c r="K99" s="60" t="n">
        <x:v>0</x:v>
      </x:c>
      <x:c r="L99" s="60" t="n">
        <x:v>0.00028852980000000004</x:v>
      </x:c>
      <x:c r="M99" s="60" t="n">
        <x:v>0</x:v>
      </x:c>
      <x:c r="N99" s="46" t="str">
        <x:v>mugilidae</x:v>
      </x:c>
      <x:c r="O99" s="62" t="n">
        <x:v>2.53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Mugilidae</x:v>
      </x:c>
      <x:c r="T99" s="62" t="n">
        <x:f>IF(O99="","",(1/'Metadata'!$B$5)^(O99-1))</x:f>
        <x:v>33.88441561392024</x:v>
      </x:c>
      <x:c r="U99" s="60" t="n">
        <x:f>IF(T99="","",I99*T99)</x:f>
        <x:v>0.009776663660201286</x:v>
      </x:c>
    </x:row>
    <x:row r="100" ht="18" customHeight="1">
      <x:c r="A100" s="46" t="str">
        <x:v>LME_060</x:v>
      </x:c>
      <x:c r="B100" s="46" t="str">
        <x:v>Faroe Plateau</x:v>
      </x:c>
      <x:c r="C100" s="46" t="str">
        <x:v>LME</x:v>
      </x:c>
      <x:c r="D100" s="58" t="n">
        <x:v>2019</x:v>
      </x:c>
      <x:c r="E100" s="46" t="str">
        <x:v>Veneridae</x:v>
      </x:c>
      <x:c r="F100" s="46" t="str">
        <x:v>Venus clams</x:v>
      </x:c>
      <x:c r="G100" s="46" t="str">
        <x:v>Other demersal invertebrates</x:v>
      </x:c>
      <x:c r="H100" s="46" t="str">
        <x:v>Molluscs</x:v>
      </x:c>
      <x:c r="I100" s="60" t="n">
        <x:v>0.00018910120000000002</x:v>
      </x:c>
      <x:c r="J100" s="60" t="n">
        <x:v>0.00018910120000000002</x:v>
      </x:c>
      <x:c r="K100" s="60" t="n">
        <x:v>0</x:v>
      </x:c>
      <x:c r="L100" s="60" t="n">
        <x:v>0.00018910120000000002</x:v>
      </x:c>
      <x:c r="M100" s="60" t="n">
        <x:v>0</x:v>
      </x:c>
      <x:c r="N100" s="46" t="str">
        <x:v>veneridae</x:v>
      </x:c>
      <x:c r="O100" s="62" t="n">
        <x:v>2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Veneridae</x:v>
      </x:c>
      <x:c r="T100" s="62" t="n">
        <x:f>IF(O100="","",(1/'Metadata'!$B$5)^(O100-1))</x:f>
        <x:v>10</x:v>
      </x:c>
      <x:c r="U100" s="60" t="n">
        <x:f>IF(T100="","",I100*T100)</x:f>
        <x:v>0.001891012</x:v>
      </x:c>
    </x:row>
    <x:row r="101" ht="18" customHeight="1">
      <x:c r="A101" s="46" t="str">
        <x:v>LME_060</x:v>
      </x:c>
      <x:c r="B101" s="46" t="str">
        <x:v>Faroe Plateau</x:v>
      </x:c>
      <x:c r="C101" s="46" t="str">
        <x:v>LME</x:v>
      </x:c>
      <x:c r="D101" s="58" t="n">
        <x:v>2019</x:v>
      </x:c>
      <x:c r="E101" s="46" t="str">
        <x:v>Ruditapes decussatus</x:v>
      </x:c>
      <x:c r="F101" s="46" t="str">
        <x:v>Grooved carpet shell</x:v>
      </x:c>
      <x:c r="G101" s="46" t="str">
        <x:v>Other demersal invertebrates</x:v>
      </x:c>
      <x:c r="H101" s="46" t="str">
        <x:v>Molluscs</x:v>
      </x:c>
      <x:c r="I101" s="60" t="n">
        <x:v>0.0001328995</x:v>
      </x:c>
      <x:c r="J101" s="60" t="n">
        <x:v>0.0001328995</x:v>
      </x:c>
      <x:c r="K101" s="60" t="n">
        <x:v>0</x:v>
      </x:c>
      <x:c r="L101" s="60" t="n">
        <x:v>0.0001328995</x:v>
      </x:c>
      <x:c r="M101" s="60" t="n">
        <x:v>0</x:v>
      </x:c>
      <x:c r="N101" s="46" t="str">
        <x:v>ruditapes decussatus</x:v>
      </x:c>
      <x:c r="O101" s="62" t="n">
        <x:v>2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Ruditapes decussatus</x:v>
      </x:c>
      <x:c r="T101" s="62" t="n">
        <x:f>IF(O101="","",(1/'Metadata'!$B$5)^(O101-1))</x:f>
        <x:v>10</x:v>
      </x:c>
      <x:c r="U101" s="60" t="n">
        <x:f>IF(T101="","",I101*T101)</x:f>
        <x:v>0.001328995</x:v>
      </x:c>
    </x:row>
    <x:row r="102" ht="18" customHeight="1">
      <x:c r="A102" s="46" t="str">
        <x:v>LME_060</x:v>
      </x:c>
      <x:c r="B102" s="46" t="str">
        <x:v>Faroe Plateau</x:v>
      </x:c>
      <x:c r="C102" s="46" t="str">
        <x:v>LME</x:v>
      </x:c>
      <x:c r="D102" s="58" t="n">
        <x:v>2019</x:v>
      </x:c>
      <x:c r="E102" s="46" t="str">
        <x:v>Sparidae</x:v>
      </x:c>
      <x:c r="F102" s="46" t="str">
        <x:v>Porgies, seabreams</x:v>
      </x:c>
      <x:c r="G102" s="46" t="str">
        <x:v>Medium benthopelagics (30 - 89 cm)</x:v>
      </x:c>
      <x:c r="H102" s="46" t="str">
        <x:v>Perch-likes</x:v>
      </x:c>
      <x:c r="I102" s="60" t="n">
        <x:v>0.0001023218</x:v>
      </x:c>
      <x:c r="J102" s="60" t="n">
        <x:v>0.0001023218</x:v>
      </x:c>
      <x:c r="K102" s="60" t="n">
        <x:v>0</x:v>
      </x:c>
      <x:c r="L102" s="60" t="n">
        <x:v>0.0001023218</x:v>
      </x:c>
      <x:c r="M102" s="60" t="n">
        <x:v>0</x:v>
      </x:c>
      <x:c r="N102" s="46" t="str">
        <x:v>sparidae</x:v>
      </x:c>
      <x:c r="O102" s="62" t="n">
        <x:v>3.31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Sparidae</x:v>
      </x:c>
      <x:c r="T102" s="62" t="n">
        <x:f>IF(O102="","",(1/'Metadata'!$B$5)^(O102-1))</x:f>
        <x:v>204.17379446695296</x:v>
      </x:c>
      <x:c r="U102" s="60" t="n">
        <x:f>IF(T102="","",I102*T102)</x:f>
        <x:v>0.020891430162688667</x:v>
      </x:c>
    </x:row>
    <x:row r="103" ht="18" customHeight="1">
      <x:c r="A103" s="46" t="str">
        <x:v>LME_060</x:v>
      </x:c>
      <x:c r="B103" s="46" t="str">
        <x:v>Faroe Plateau</x:v>
      </x:c>
      <x:c r="C103" s="46" t="str">
        <x:v>LME</x:v>
      </x:c>
      <x:c r="D103" s="58" t="n">
        <x:v>2019</x:v>
      </x:c>
      <x:c r="E103" s="46" t="str">
        <x:v>Mollusca</x:v>
      </x:c>
      <x:c r="F103" s="46" t="str">
        <x:v>Clams, seasnails, squids, octopuses</x:v>
      </x:c>
      <x:c r="G103" s="46" t="str">
        <x:v>Other demersal invertebrates</x:v>
      </x:c>
      <x:c r="H103" s="46" t="str">
        <x:v>Molluscs</x:v>
      </x:c>
      <x:c r="I103" s="60" t="n">
        <x:v>0.00010073720000000001</x:v>
      </x:c>
      <x:c r="J103" s="60" t="n">
        <x:v>0.00010073720000000001</x:v>
      </x:c>
      <x:c r="K103" s="60" t="n">
        <x:v>0</x:v>
      </x:c>
      <x:c r="L103" s="60" t="n">
        <x:v>0.00010073720000000001</x:v>
      </x:c>
      <x:c r="M103" s="60" t="n">
        <x:v>0</x:v>
      </x:c>
      <x:c r="N103" s="46" t="str">
        <x:v>mollusca</x:v>
      </x:c>
      <x:c r="O103" s="62" t="n">
        <x:v>2.1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Mollusca</x:v>
      </x:c>
      <x:c r="T103" s="62" t="n">
        <x:f>IF(O103="","",(1/'Metadata'!$B$5)^(O103-1))</x:f>
        <x:v>12.589254117941675</x:v>
      </x:c>
      <x:c r="U103" s="60" t="n">
        <x:f>IF(T103="","",I103*T103)</x:f>
        <x:v>0.0012682062099299142</x:v>
      </x:c>
    </x:row>
    <x:row r="104" ht="18" customHeight="1">
      <x:c r="A104" s="46" t="str">
        <x:v>LME_060</x:v>
      </x:c>
      <x:c r="B104" s="46" t="str">
        <x:v>Faroe Plateau</x:v>
      </x:c>
      <x:c r="C104" s="46" t="str">
        <x:v>LME</x:v>
      </x:c>
      <x:c r="D104" s="58" t="n">
        <x:v>2019</x:v>
      </x:c>
      <x:c r="E104" s="46" t="str">
        <x:v>Symphodus melops</x:v>
      </x:c>
      <x:c r="F104" s="46" t="str">
        <x:v>Corkwing wrasse</x:v>
      </x:c>
      <x:c r="G104" s="46" t="str">
        <x:v>Small reef assoc. fish (&lt;30 cm)</x:v>
      </x:c>
      <x:c r="H104" s="46" t="str">
        <x:v>Perch-likes</x:v>
      </x:c>
      <x:c r="I104" s="60" t="n">
        <x:v>0.0000532991</x:v>
      </x:c>
      <x:c r="J104" s="60" t="n">
        <x:v>0.0000532991</x:v>
      </x:c>
      <x:c r="K104" s="60" t="n">
        <x:v>0</x:v>
      </x:c>
      <x:c r="L104" s="60" t="n">
        <x:v>0.0000532991</x:v>
      </x:c>
      <x:c r="M104" s="60" t="n">
        <x:v>0</x:v>
      </x:c>
      <x:c r="N104" s="46" t="str">
        <x:v>symphodus melops</x:v>
      </x:c>
      <x:c r="O104" s="62" t="n">
        <x:v>3.38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Symphodus melops</x:v>
      </x:c>
      <x:c r="T104" s="62" t="n">
        <x:f>IF(O104="","",(1/'Metadata'!$B$5)^(O104-1))</x:f>
        <x:v>239.88329190194898</x:v>
      </x:c>
      <x:c r="U104" s="60" t="n">
        <x:f>IF(T104="","",I104*T104)</x:f>
        <x:v>0.012785563563411168</x:v>
      </x:c>
    </x:row>
    <x:row r="105" ht="18" customHeight="1">
      <x:c r="A105" s="46" t="str">
        <x:v>LME_060</x:v>
      </x:c>
      <x:c r="B105" s="46" t="str">
        <x:v>Faroe Plateau</x:v>
      </x:c>
      <x:c r="C105" s="46" t="str">
        <x:v>LME</x:v>
      </x:c>
      <x:c r="D105" s="58" t="n">
        <x:v>2019</x:v>
      </x:c>
      <x:c r="E105" s="46" t="str">
        <x:v>Pleuronectiformes</x:v>
      </x:c>
      <x:c r="F105" s="46" t="str">
        <x:v>Flatfishes</x:v>
      </x:c>
      <x:c r="G105" s="46" t="str">
        <x:v>Small to medium flatfishes (&lt;90 cm)</x:v>
      </x:c>
      <x:c r="H105" s="46" t="str">
        <x:v>Flatfishes</x:v>
      </x:c>
      <x:c r="I105" s="60" t="n">
        <x:v>0.000047629799999999996</x:v>
      </x:c>
      <x:c r="J105" s="60" t="n">
        <x:v>0.000047629799999999996</x:v>
      </x:c>
      <x:c r="K105" s="60" t="n">
        <x:v>0</x:v>
      </x:c>
      <x:c r="L105" s="60" t="n">
        <x:v>0.000047629799999999996</x:v>
      </x:c>
      <x:c r="M105" s="60" t="n">
        <x:v>0</x:v>
      </x:c>
      <x:c r="N105" s="46" t="str">
        <x:v>pleuronectiformes</x:v>
      </x:c>
      <x:c r="O105" s="62" t="n">
        <x:v>3.57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Pleuronectiformes</x:v>
      </x:c>
      <x:c r="T105" s="62" t="n">
        <x:f>IF(O105="","",(1/'Metadata'!$B$5)^(O105-1))</x:f>
        <x:v>371.5352290971724</x:v>
      </x:c>
      <x:c r="U105" s="60" t="n">
        <x:f>IF(T105="","",I105*T105)</x:f>
        <x:v>0.0176961486548525</x:v>
      </x:c>
    </x:row>
    <x:row r="106" ht="18" customHeight="1">
      <x:c r="A106" s="46" t="str">
        <x:v>LME_060</x:v>
      </x:c>
      <x:c r="B106" s="46" t="str">
        <x:v>Faroe Plateau</x:v>
      </x:c>
      <x:c r="C106" s="46" t="str">
        <x:v>LME</x:v>
      </x:c>
      <x:c r="D106" s="58" t="n">
        <x:v>2019</x:v>
      </x:c>
      <x:c r="E106" s="46" t="str">
        <x:v>Ostrea edulis</x:v>
      </x:c>
      <x:c r="F106" s="46" t="str">
        <x:v>European flat oyster</x:v>
      </x:c>
      <x:c r="G106" s="46" t="str">
        <x:v>Other demersal invertebrates</x:v>
      </x:c>
      <x:c r="H106" s="46" t="str">
        <x:v>Molluscs</x:v>
      </x:c>
      <x:c r="I106" s="60" t="n">
        <x:v>0.0000429185</x:v>
      </x:c>
      <x:c r="J106" s="60" t="n">
        <x:v>0.0000429185</x:v>
      </x:c>
      <x:c r="K106" s="60" t="n">
        <x:v>0</x:v>
      </x:c>
      <x:c r="L106" s="60" t="n">
        <x:v>0.0000429185</x:v>
      </x:c>
      <x:c r="M106" s="60" t="n">
        <x:v>0</x:v>
      </x:c>
      <x:c r="N106" s="46" t="str">
        <x:v>ostrea edulis</x:v>
      </x:c>
      <x:c r="O106" s="62" t="n">
        <x:v>2</x:v>
      </x:c>
      <x:c r="P106" s="46" t="str">
        <x:v>exact_2020_supplement</x:v>
      </x:c>
      <x:c r="Q106" s="62" t="str">
        <x:v>2020 supplement MeanTL</x:v>
      </x:c>
      <x:c r="R106" s="46" t="str">
        <x:v>high</x:v>
      </x:c>
      <x:c r="S106" s="46" t="str">
        <x:v>Ostrea edulis</x:v>
      </x:c>
      <x:c r="T106" s="62" t="n">
        <x:f>IF(O106="","",(1/'Metadata'!$B$5)^(O106-1))</x:f>
        <x:v>10</x:v>
      </x:c>
      <x:c r="U106" s="60" t="n">
        <x:f>IF(T106="","",I106*T106)</x:f>
        <x:v>0.000429185</x:v>
      </x:c>
    </x:row>
    <x:row r="107" ht="18" customHeight="1">
      <x:c r="A107" s="46" t="str">
        <x:v>LME_060</x:v>
      </x:c>
      <x:c r="B107" s="46" t="str">
        <x:v>Faroe Plateau</x:v>
      </x:c>
      <x:c r="C107" s="46" t="str">
        <x:v>LME</x:v>
      </x:c>
      <x:c r="D107" s="58" t="n">
        <x:v>2019</x:v>
      </x:c>
      <x:c r="E107" s="46" t="str">
        <x:v>Pagellus bogaraveo</x:v>
      </x:c>
      <x:c r="F107" s="46" t="str">
        <x:v>Blackspot seabream</x:v>
      </x:c>
      <x:c r="G107" s="46" t="str">
        <x:v>Medium benthopelagics (30 - 89 cm)</x:v>
      </x:c>
      <x:c r="H107" s="46" t="str">
        <x:v>Perch-likes</x:v>
      </x:c>
      <x:c r="I107" s="60" t="n">
        <x:v>0.000025866799999999998</x:v>
      </x:c>
      <x:c r="J107" s="60" t="n">
        <x:v>0.000025866799999999998</x:v>
      </x:c>
      <x:c r="K107" s="60" t="n">
        <x:v>0</x:v>
      </x:c>
      <x:c r="L107" s="60" t="n">
        <x:v>0.000025866799999999998</x:v>
      </x:c>
      <x:c r="M107" s="60" t="n">
        <x:v>0</x:v>
      </x:c>
      <x:c r="N107" s="46" t="str">
        <x:v>pagellus bogaraveo</x:v>
      </x:c>
      <x:c r="O107" s="62" t="n">
        <x:v>4.21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Pagellus bogaraveo</x:v>
      </x:c>
      <x:c r="T107" s="62" t="n">
        <x:f>IF(O107="","",(1/'Metadata'!$B$5)^(O107-1))</x:f>
        <x:v>1621.8100973589299</x:v>
      </x:c>
      <x:c r="U107" s="60" t="n">
        <x:f>IF(T107="","",I107*T107)</x:f>
        <x:v>0.04195103742636396</x:v>
      </x:c>
    </x:row>
    <x:row r="108" ht="18" customHeight="1">
      <x:c r="A108" s="46" t="str">
        <x:v>LME_060</x:v>
      </x:c>
      <x:c r="B108" s="46" t="str">
        <x:v>Faroe Plateau</x:v>
      </x:c>
      <x:c r="C108" s="46" t="str">
        <x:v>LME</x:v>
      </x:c>
      <x:c r="D108" s="58" t="n">
        <x:v>2019</x:v>
      </x:c>
      <x:c r="E108" s="46" t="str">
        <x:v>Venerupis corrugata</x:v>
      </x:c>
      <x:c r="F108" s="46" t="str">
        <x:v>Corrugated venus</x:v>
      </x:c>
      <x:c r="G108" s="46" t="str">
        <x:v>Other demersal invertebrates</x:v>
      </x:c>
      <x:c r="H108" s="46" t="str">
        <x:v>Molluscs</x:v>
      </x:c>
      <x:c r="I108" s="60" t="n">
        <x:v>0.0000176033</x:v>
      </x:c>
      <x:c r="J108" s="60" t="n">
        <x:v>0.0000176033</x:v>
      </x:c>
      <x:c r="K108" s="60" t="n">
        <x:v>0</x:v>
      </x:c>
      <x:c r="L108" s="60" t="n">
        <x:v>0.0000176033</x:v>
      </x:c>
      <x:c r="M108" s="60" t="n">
        <x:v>0</x:v>
      </x:c>
      <x:c r="N108" s="46" t="str">
        <x:v>venerupis corrugata</x:v>
      </x:c>
      <x:c r="O108" s="62" t="n">
        <x:v>2.1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Venerupis corrugata</x:v>
      </x:c>
      <x:c r="T108" s="62" t="n">
        <x:f>IF(O108="","",(1/'Metadata'!$B$5)^(O108-1))</x:f>
        <x:v>12.589254117941675</x:v>
      </x:c>
      <x:c r="U108" s="60" t="n">
        <x:f>IF(T108="","",I108*T108)</x:f>
        <x:v>0.0002216124170143627</x:v>
      </x:c>
    </x:row>
    <x:row r="109" ht="18" customHeight="1">
      <x:c r="A109" s="46" t="str">
        <x:v>LME_060</x:v>
      </x:c>
      <x:c r="B109" s="46" t="str">
        <x:v>Faroe Plateau</x:v>
      </x:c>
      <x:c r="C109" s="46" t="str">
        <x:v>LME</x:v>
      </x:c>
      <x:c r="D109" s="58" t="n">
        <x:v>2019</x:v>
      </x:c>
      <x:c r="E109" s="46" t="str">
        <x:v>Portunidae</x:v>
      </x:c>
      <x:c r="F109" s="46" t="str">
        <x:v>Swimming crabs</x:v>
      </x:c>
      <x:c r="G109" s="46" t="str">
        <x:v>Lobsters, crabs</x:v>
      </x:c>
      <x:c r="H109" s="46" t="str">
        <x:v>Crustaceans</x:v>
      </x:c>
      <x:c r="I109" s="60" t="n">
        <x:v>0.0000095905</x:v>
      </x:c>
      <x:c r="J109" s="60" t="n">
        <x:v>0.0000095905</x:v>
      </x:c>
      <x:c r="K109" s="60" t="n">
        <x:v>0</x:v>
      </x:c>
      <x:c r="L109" s="60" t="n">
        <x:v>0.0000095905</x:v>
      </x:c>
      <x:c r="M109" s="60" t="n">
        <x:v>0</x:v>
      </x:c>
      <x:c r="N109" s="46" t="str">
        <x:v>portunidae</x:v>
      </x:c>
      <x:c r="O109" s="62" t="n">
        <x:v>3.56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Portunidae</x:v>
      </x:c>
      <x:c r="T109" s="62" t="n">
        <x:f>IF(O109="","",(1/'Metadata'!$B$5)^(O109-1))</x:f>
        <x:v>363.0780547701014</x:v>
      </x:c>
      <x:c r="U109" s="60" t="n">
        <x:f>IF(T109="","",I109*T109)</x:f>
        <x:v>0.003482100084272658</x:v>
      </x:c>
    </x:row>
    <x:row r="110" ht="18" customHeight="1">
      <x:c r="A110" s="46" t="str">
        <x:v>LME_060</x:v>
      </x:c>
      <x:c r="B110" s="46" t="str">
        <x:v>Faroe Plateau</x:v>
      </x:c>
      <x:c r="C110" s="46" t="str">
        <x:v>LME</x:v>
      </x:c>
      <x:c r="D110" s="58" t="n">
        <x:v>2019</x:v>
      </x:c>
      <x:c r="E110" s="46" t="str">
        <x:v>Mimachlamys varia</x:v>
      </x:c>
      <x:c r="F110" s="46" t="str">
        <x:v>Variegated scallop</x:v>
      </x:c>
      <x:c r="G110" s="46" t="str">
        <x:v>Other demersal invertebrates</x:v>
      </x:c>
      <x:c r="H110" s="46" t="str">
        <x:v>Molluscs</x:v>
      </x:c>
      <x:c r="I110" s="60" t="n">
        <x:v>0.000004016</x:v>
      </x:c>
      <x:c r="J110" s="60" t="n">
        <x:v>0.000004016</x:v>
      </x:c>
      <x:c r="K110" s="60" t="n">
        <x:v>0</x:v>
      </x:c>
      <x:c r="L110" s="60" t="n">
        <x:v>0.000004016</x:v>
      </x:c>
      <x:c r="M110" s="60" t="n">
        <x:v>0</x:v>
      </x:c>
      <x:c r="N110" s="46" t="str">
        <x:v>mimachlamys varia</x:v>
      </x:c>
      <x:c r="O110" s="62" t="n">
        <x:v>2.1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Mimachlamys varia</x:v>
      </x:c>
      <x:c r="T110" s="62" t="n">
        <x:f>IF(O110="","",(1/'Metadata'!$B$5)^(O110-1))</x:f>
        <x:v>12.589254117941675</x:v>
      </x:c>
      <x:c r="U110" s="60" t="n">
        <x:f>IF(T110="","",I110*T110)</x:f>
        <x:v>0.000050558444537653764</x:v>
      </x:c>
    </x:row>
    <x:row r="111" ht="18" customHeight="1">
      <x:c r="A111" s="46" t="str">
        <x:v>LME_060</x:v>
      </x:c>
      <x:c r="B111" s="46" t="str">
        <x:v>Faroe Plateau</x:v>
      </x:c>
      <x:c r="C111" s="46" t="str">
        <x:v>LME</x:v>
      </x:c>
      <x:c r="D111" s="58" t="n">
        <x:v>2019</x:v>
      </x:c>
      <x:c r="E111" s="46" t="str">
        <x:v>Mugil cephalus</x:v>
      </x:c>
      <x:c r="F111" s="46" t="str">
        <x:v>Flathead grey mullet</x:v>
      </x:c>
      <x:c r="G111" s="46" t="str">
        <x:v>Large benthopelagics (&gt;=90 cm)</x:v>
      </x:c>
      <x:c r="H111" s="46" t="str">
        <x:v>Perch-likes</x:v>
      </x:c>
      <x:c r="I111" s="60" t="n">
        <x:v>0.0000036283</x:v>
      </x:c>
      <x:c r="J111" s="60" t="n">
        <x:v>0.0000036283</x:v>
      </x:c>
      <x:c r="K111" s="60" t="n">
        <x:v>0</x:v>
      </x:c>
      <x:c r="L111" s="60" t="n">
        <x:v>0.0000036283</x:v>
      </x:c>
      <x:c r="M111" s="60" t="n">
        <x:v>0</x:v>
      </x:c>
      <x:c r="N111" s="46" t="str">
        <x:v>mugil cephalus</x:v>
      </x:c>
      <x:c r="O111" s="62" t="n">
        <x:v>2.14</x:v>
      </x:c>
      <x:c r="P111" s="46" t="str">
        <x:v>exact_2020_supplement</x:v>
      </x:c>
      <x:c r="Q111" s="62" t="str">
        <x:v>2020 supplement MeanTL</x:v>
      </x:c>
      <x:c r="R111" s="46" t="str">
        <x:v>high</x:v>
      </x:c>
      <x:c r="S111" s="46" t="str">
        <x:v>Mugil cephalus</x:v>
      </x:c>
      <x:c r="T111" s="62" t="n">
        <x:f>IF(O111="","",(1/'Metadata'!$B$5)^(O111-1))</x:f>
        <x:v>13.803842646028853</x:v>
      </x:c>
      <x:c r="U111" s="60" t="n">
        <x:f>IF(T111="","",I111*T111)</x:f>
        <x:v>0.00005008448227258649</x:v>
      </x:c>
    </x:row>
    <x:row r="112" ht="18" customHeight="1">
      <x:c r="A112" s="46" t="str">
        <x:v>LME_060</x:v>
      </x:c>
      <x:c r="B112" s="46" t="str">
        <x:v>Faroe Plateau</x:v>
      </x:c>
      <x:c r="C112" s="46" t="str">
        <x:v>LME</x:v>
      </x:c>
      <x:c r="D112" s="58" t="n">
        <x:v>2019</x:v>
      </x:c>
      <x:c r="E112" s="46" t="str">
        <x:v>Dendrobranchiata</x:v>
      </x:c>
      <x:c r="F112" s="46" t="str">
        <x:v>Shrimps and prawns</x:v>
      </x:c>
      <x:c r="G112" s="46" t="str">
        <x:v>Shrimps</x:v>
      </x:c>
      <x:c r="H112" s="46" t="str">
        <x:v>Crustaceans</x:v>
      </x:c>
      <x:c r="I112" s="60" t="n">
        <x:v>0.000003162</x:v>
      </x:c>
      <x:c r="J112" s="60" t="n">
        <x:v>0.000003162</x:v>
      </x:c>
      <x:c r="K112" s="60" t="n">
        <x:v>0</x:v>
      </x:c>
      <x:c r="L112" s="60" t="n">
        <x:v>0.000003162</x:v>
      </x:c>
      <x:c r="M112" s="60" t="n">
        <x:v>0</x:v>
      </x:c>
      <x:c r="N112" s="46" t="str">
        <x:v>dendrobranchiata</x:v>
      </x:c>
      <x:c r="O112" s="62" t="n">
        <x:v>3.24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Dendrobranchiata</x:v>
      </x:c>
      <x:c r="T112" s="62" t="n">
        <x:f>IF(O112="","",(1/'Metadata'!$B$5)^(O112-1))</x:f>
        <x:v>173.78008287493762</x:v>
      </x:c>
      <x:c r="U112" s="60" t="n">
        <x:f>IF(T112="","",I112*T112)</x:f>
        <x:v>0.0005494926220505527</x:v>
      </x:c>
    </x:row>
    <x:row r="113" ht="18" customHeight="1">
      <x:c r="A113" s="46" t="str">
        <x:v>LME_060</x:v>
      </x:c>
      <x:c r="B113" s="46" t="str">
        <x:v>Faroe Plateau</x:v>
      </x:c>
      <x:c r="C113" s="46" t="str">
        <x:v>LME</x:v>
      </x:c>
      <x:c r="D113" s="58" t="n">
        <x:v>2019</x:v>
      </x:c>
      <x:c r="E113" s="46" t="str">
        <x:v>Echinoidea</x:v>
      </x:c>
      <x:c r="F113" s="46" t="str">
        <x:v>Sea urchins, sea hedgehogs</x:v>
      </x:c>
      <x:c r="G113" s="46" t="str">
        <x:v>Other demersal invertebrates</x:v>
      </x:c>
      <x:c r="H113" s="46" t="str">
        <x:v>Other fishes &amp; inverts</x:v>
      </x:c>
      <x:c r="I113" s="60" t="n">
        <x:v>0.0000014261000000000002</x:v>
      </x:c>
      <x:c r="J113" s="60" t="n">
        <x:v>0.0000014261000000000002</x:v>
      </x:c>
      <x:c r="K113" s="60" t="n">
        <x:v>0</x:v>
      </x:c>
      <x:c r="L113" s="60" t="n">
        <x:v>0.0000014261000000000002</x:v>
      </x:c>
      <x:c r="M113" s="60" t="n">
        <x:v>0</x:v>
      </x:c>
      <x:c r="N113" s="46" t="str">
        <x:v>echinoidea</x:v>
      </x:c>
      <x:c r="O113" s="62" t="n">
        <x:v>2.51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Echinoidea</x:v>
      </x:c>
      <x:c r="T113" s="62" t="n">
        <x:f>IF(O113="","",(1/'Metadata'!$B$5)^(O113-1))</x:f>
        <x:v>32.35936569296281</x:v>
      </x:c>
      <x:c r="U113" s="60" t="n">
        <x:f>IF(T113="","",I113*T113)</x:f>
        <x:v>0.000046147691414734274</x:v>
      </x:c>
    </x:row>
    <x:row r="114" ht="18" customHeight="1">
      <x:c r="A114" s="46" t="str">
        <x:v>LME_060</x:v>
      </x:c>
      <x:c r="B114" s="46" t="str">
        <x:v>Faroe Plateau</x:v>
      </x:c>
      <x:c r="C114" s="46" t="str">
        <x:v>LME</x:v>
      </x:c>
      <x:c r="D114" s="58" t="n">
        <x:v>2019</x:v>
      </x:c>
      <x:c r="E114" s="46" t="str">
        <x:v>Pandalus</x:v>
      </x:c>
      <x:c r="F114" s="46" t="str">
        <x:v>Seabed shrimps</x:v>
      </x:c>
      <x:c r="G114" s="46" t="str">
        <x:v>Shrimps</x:v>
      </x:c>
      <x:c r="H114" s="46" t="str">
        <x:v>Crustaceans</x:v>
      </x:c>
      <x:c r="I114" s="60" t="n">
        <x:v>0.0000012929999999999997</x:v>
      </x:c>
      <x:c r="J114" s="60" t="n">
        <x:v>0.0000012864999999999999</x:v>
      </x:c>
      <x:c r="K114" s="60" t="n">
        <x:v>6.5e-9</x:v>
      </x:c>
      <x:c r="L114" s="60" t="n">
        <x:v>0.0000012746999999999998</x:v>
      </x:c>
      <x:c r="M114" s="60" t="n">
        <x:v>1.83e-8</x:v>
      </x:c>
      <x:c r="N114" s="46" t="str">
        <x:v>pandalus</x:v>
      </x:c>
      <x:c r="O114" s="62" t="n">
        <x:v>2.6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Pandalus</x:v>
      </x:c>
      <x:c r="T114" s="62" t="n">
        <x:f>IF(O114="","",(1/'Metadata'!$B$5)^(O114-1))</x:f>
        <x:v>39.810717055349734</x:v>
      </x:c>
      <x:c r="U114" s="60" t="n">
        <x:f>IF(T114="","",I114*T114)</x:f>
        <x:v>0.000051475257152567196</x:v>
      </x:c>
    </x:row>
    <x:row r="115" ht="18" customHeight="1">
      <x:c r="A115" s="46" t="str">
        <x:v>LME_060</x:v>
      </x:c>
      <x:c r="B115" s="46" t="str">
        <x:v>Faroe Plateau</x:v>
      </x:c>
      <x:c r="C115" s="46" t="str">
        <x:v>LME</x:v>
      </x:c>
      <x:c r="D115" s="58" t="n">
        <x:v>2019</x:v>
      </x:c>
      <x:c r="E115" s="46" t="str">
        <x:v>Decapoda</x:v>
      </x:c>
      <x:c r="F115" s="46" t="str">
        <x:v>Crabs, lobsters, shrimps</x:v>
      </x:c>
      <x:c r="G115" s="46" t="str">
        <x:v>Lobsters, crabs</x:v>
      </x:c>
      <x:c r="H115" s="46" t="str">
        <x:v>Crustaceans</x:v>
      </x:c>
      <x:c r="I115" s="60" t="n">
        <x:v>7.37e-8</x:v>
      </x:c>
      <x:c r="J115" s="60" t="n">
        <x:v>7.37e-8</x:v>
      </x:c>
      <x:c r="K115" s="60" t="n">
        <x:v>0</x:v>
      </x:c>
      <x:c r="L115" s="60" t="n">
        <x:v>7.37e-8</x:v>
      </x:c>
      <x:c r="M115" s="60" t="n">
        <x:v>0</x:v>
      </x:c>
      <x:c r="N115" s="46" t="str">
        <x:v>decapoda</x:v>
      </x:c>
      <x:c r="O115" s="62" t="n">
        <x:v>3.43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Decapoda</x:v>
      </x:c>
      <x:c r="T115" s="62" t="n">
        <x:f>IF(O115="","",(1/'Metadata'!$B$5)^(O115-1))</x:f>
        <x:v>269.1534803926917</x:v>
      </x:c>
      <x:c r="U115" s="60" t="n">
        <x:f>IF(T115="","",I115*T115)</x:f>
        <x:v>0.000019836611504941377</x:v>
      </x:c>
    </x:row>
  </x:sheetData>
  <x:conditionalFormatting sqref="R2:R11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0d0aee1d0ec4ff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Cod-likes</x:v>
      </x:c>
      <x:c r="B2" s="64" t="n">
        <x:v>18</x:v>
      </x:c>
      <x:c r="C2" s="64" t="n">
        <x:v>18</x:v>
      </x:c>
      <x:c r="D2" s="60" t="n">
        <x:v>317786.93108064664</x:v>
      </x:c>
      <x:c r="E2" s="60" t="n">
        <x:v>317786.93108064664</x:v>
      </x:c>
      <x:c r="F2" s="62" t="n">
        <x:v>0</x:v>
      </x:c>
      <x:c r="G2" s="66" t="n">
        <x:v>1</x:v>
      </x:c>
      <x:c r="H2" s="62" t="n">
        <x:f>IF(E2=0,"",I2/E2)</x:f>
        <x:v>1358.6369132854945</x:v>
      </x:c>
      <x:c r="I2" s="60" t="n">
        <x:f>SUMIF('Species'!$H$2:$H$115,A2,'Species'!$U$2:$U$115)</x:f>
        <x:v>431757055.12587994</x:v>
      </x:c>
      <x:c r="J2" s="62" t="n">
        <x:v>4.129416217806036</x:v>
      </x:c>
      <x:c r="K2" s="62" t="n">
        <x:f>IF(J2="","",(1/'Metadata'!$B$5)^(J2-1))</x:f>
        <x:v>1347.1508138255751</x:v>
      </x:c>
      <x:c r="L2" s="60" t="n">
        <x:f>IF(E2=0,"",E2*K2)</x:f>
        <x:v>428106922.82842505</x:v>
      </x:c>
      <x:c r="M2" s="60" t="n">
        <x:f>I2-L2</x:f>
        <x:v>3650132.2974548936</x:v>
      </x:c>
      <x:c r="N2" s="62" t="n">
        <x:f>IF(L2=0,"",I2/L2)</x:f>
        <x:v>1.0085262164726025</x:v>
      </x:c>
      <x:c r="O2" s="66" t="n">
        <x:f>IF(L2=0,"",M2/L2)</x:f>
        <x:v>0.008526216472602521</x:v>
      </x:c>
    </x:row>
    <x:row r="3" ht="18" customHeight="1">
      <x:c r="A3" s="46" t="str">
        <x:v>Crustaceans</x:v>
      </x:c>
      <x:c r="B3" s="64" t="n">
        <x:v>11</x:v>
      </x:c>
      <x:c r="C3" s="64" t="n">
        <x:v>11</x:v>
      </x:c>
      <x:c r="D3" s="60" t="n">
        <x:v>73.3302854791</x:v>
      </x:c>
      <x:c r="E3" s="60" t="n">
        <x:v>73.3302854791</x:v>
      </x:c>
      <x:c r="F3" s="62" t="n">
        <x:v>0</x:v>
      </x:c>
      <x:c r="G3" s="66" t="n">
        <x:v>1</x:v>
      </x:c>
      <x:c r="H3" s="62" t="n">
        <x:f>IF(E3=0,"",I3/E3)</x:f>
        <x:v>56.85220024775642</x:v>
      </x:c>
      <x:c r="I3" s="60" t="n">
        <x:f>SUMIF('Species'!$H$2:$H$115,A3,'Species'!$U$2:$U$115)</x:f>
        <x:v>4168.988074282938</x:v>
      </x:c>
      <x:c r="J3" s="62" t="n">
        <x:v>2.7362925720867066</x:v>
      </x:c>
      <x:c r="K3" s="62" t="n">
        <x:f>IF(J3="","",(1/'Metadata'!$B$5)^(J3-1))</x:f>
        <x:v>54.48695926865842</x:v>
      </x:c>
      <x:c r="L3" s="60" t="n">
        <x:f>IF(E3=0,"",E3*K3)</x:f>
        <x:v>3995.5442780588155</x:v>
      </x:c>
      <x:c r="M3" s="60" t="n">
        <x:f>I3-L3</x:f>
        <x:v>173.4437962241227</x:v>
      </x:c>
      <x:c r="N3" s="62" t="n">
        <x:f>IF(L3=0,"",I3/L3)</x:f>
        <x:v>1.0434093040031052</x:v>
      </x:c>
      <x:c r="O3" s="66" t="n">
        <x:f>IF(L3=0,"",M3/L3)</x:f>
        <x:v>0.04340930400310522</x:v>
      </x:c>
    </x:row>
    <x:row r="4" ht="18" customHeight="1">
      <x:c r="A4" s="46" t="str">
        <x:v>Flatfishes</x:v>
      </x:c>
      <x:c r="B4" s="64" t="n">
        <x:v>13</x:v>
      </x:c>
      <x:c r="C4" s="64" t="n">
        <x:v>13</x:v>
      </x:c>
      <x:c r="D4" s="60" t="n">
        <x:v>2915.9286303268</x:v>
      </x:c>
      <x:c r="E4" s="60" t="n">
        <x:v>2915.9286303268</x:v>
      </x:c>
      <x:c r="F4" s="62" t="n">
        <x:v>0</x:v>
      </x:c>
      <x:c r="G4" s="66" t="n">
        <x:v>1</x:v>
      </x:c>
      <x:c r="H4" s="62" t="n">
        <x:f>IF(E4=0,"",I4/E4)</x:f>
        <x:v>1805.3631387530063</x:v>
      </x:c>
      <x:c r="I4" s="60" t="n">
        <x:f>SUMIF('Species'!$H$2:$H$115,A4,'Species'!$U$2:$U$115)</x:f>
        <x:v>5264310.064426546</x:v>
      </x:c>
      <x:c r="J4" s="62" t="n">
        <x:v>4.081767562561537</x:v>
      </x:c>
      <x:c r="K4" s="62" t="n">
        <x:f>IF(J4="","",(1/'Metadata'!$B$5)^(J4-1))</x:f>
        <x:v>1207.1675776668267</x:v>
      </x:c>
      <x:c r="L4" s="60" t="n">
        <x:f>IF(E4=0,"",E4*K4)</x:f>
        <x:v>3520014.5013209507</x:v>
      </x:c>
      <x:c r="M4" s="60" t="n">
        <x:f>I4-L4</x:f>
        <x:v>1744295.5631055953</x:v>
      </x:c>
      <x:c r="N4" s="62" t="n">
        <x:f>IF(L4=0,"",I4/L4)</x:f>
        <x:v>1.4955364707875538</x:v>
      </x:c>
      <x:c r="O4" s="66" t="n">
        <x:f>IF(L4=0,"",M4/L4)</x:f>
        <x:v>0.49553647078755386</x:v>
      </x:c>
    </x:row>
    <x:row r="5" ht="18" customHeight="1">
      <x:c r="A5" s="46" t="str">
        <x:v>Herring-likes</x:v>
      </x:c>
      <x:c r="B5" s="64" t="n">
        <x:v>1</x:v>
      </x:c>
      <x:c r="C5" s="64" t="n">
        <x:v>1</x:v>
      </x:c>
      <x:c r="D5" s="60" t="n">
        <x:v>26.9654504448</x:v>
      </x:c>
      <x:c r="E5" s="60" t="n">
        <x:v>26.9654504448</x:v>
      </x:c>
      <x:c r="F5" s="62" t="n">
        <x:v>0</x:v>
      </x:c>
      <x:c r="G5" s="66" t="n">
        <x:v>1</x:v>
      </x:c>
      <x:c r="H5" s="62" t="n">
        <x:f>IF(E5=0,"",I5/E5)</x:f>
        <x:v>144.5439770745928</x:v>
      </x:c>
      <x:c r="I5" s="60" t="n">
        <x:f>SUMIF('Species'!$H$2:$H$115,A5,'Species'!$U$2:$U$115)</x:f>
        <x:v>3897.693450899239</x:v>
      </x:c>
      <x:c r="J5" s="62" t="n">
        <x:v>3.16</x:v>
      </x:c>
      <x:c r="K5" s="62" t="n">
        <x:f>IF(J5="","",(1/'Metadata'!$B$5)^(J5-1))</x:f>
        <x:v>144.5439770745928</x:v>
      </x:c>
      <x:c r="L5" s="60" t="n">
        <x:f>IF(E5=0,"",E5*K5)</x:f>
        <x:v>3897.693450899239</x:v>
      </x:c>
      <x:c r="M5" s="60" t="n">
        <x:f>I5-L5</x:f>
        <x:v>0</x:v>
      </x:c>
      <x:c r="N5" s="62" t="n">
        <x:f>IF(L5=0,"",I5/L5)</x:f>
        <x:v>1</x:v>
      </x:c>
      <x:c r="O5" s="66" t="n">
        <x:f>IF(L5=0,"",M5/L5)</x:f>
        <x:v>0</x:v>
      </x:c>
    </x:row>
    <x:row r="6" ht="18" customHeight="1">
      <x:c r="A6" s="46" t="str">
        <x:v>Molluscs</x:v>
      </x:c>
      <x:c r="B6" s="64" t="n">
        <x:v>11</x:v>
      </x:c>
      <x:c r="C6" s="64" t="n">
        <x:v>11</x:v>
      </x:c>
      <x:c r="D6" s="60" t="n">
        <x:v>5382.748381211001</x:v>
      </x:c>
      <x:c r="E6" s="60" t="n">
        <x:v>5382.748381211001</x:v>
      </x:c>
      <x:c r="F6" s="62" t="n">
        <x:v>0</x:v>
      </x:c>
      <x:c r="G6" s="66" t="n">
        <x:v>1</x:v>
      </x:c>
      <x:c r="H6" s="62" t="n">
        <x:f>IF(E6=0,"",I6/E6)</x:f>
        <x:v>10.18689356227211</x:v>
      </x:c>
      <x:c r="I6" s="60" t="n">
        <x:f>SUMIF('Species'!$H$2:$H$115,A6,'Species'!$U$2:$U$115)</x:f>
        <x:v>54833.48483188897</x:v>
      </x:c>
      <x:c r="J6" s="62" t="n">
        <x:v>2.0021704273605287</x:v>
      </x:c>
      <x:c r="K6" s="62" t="n">
        <x:f>IF(J6="","",(1/'Metadata'!$B$5)^(J6-1))</x:f>
        <x:v>10.050101024863904</x:v>
      </x:c>
      <x:c r="L6" s="60" t="n">
        <x:f>IF(E6=0,"",E6*K6)</x:f>
        <x:v>54097.16502259321</x:v>
      </x:c>
      <x:c r="M6" s="60" t="n">
        <x:f>I6-L6</x:f>
        <x:v>736.3198092957609</x:v>
      </x:c>
      <x:c r="N6" s="62" t="n">
        <x:f>IF(L6=0,"",I6/L6)</x:f>
        <x:v>1.0136110609306097</x:v>
      </x:c>
      <x:c r="O6" s="66" t="n">
        <x:f>IF(L6=0,"",M6/L6)</x:f>
        <x:v>0.013611060930609643</x:v>
      </x:c>
    </x:row>
    <x:row r="7" ht="18" customHeight="1">
      <x:c r="A7" s="46" t="str">
        <x:v>Other fishes &amp; inverts</x:v>
      </x:c>
      <x:c r="B7" s="64" t="n">
        <x:v>15</x:v>
      </x:c>
      <x:c r="C7" s="64" t="n">
        <x:v>15</x:v>
      </x:c>
      <x:c r="D7" s="60" t="n">
        <x:v>23369.3204811083</x:v>
      </x:c>
      <x:c r="E7" s="60" t="n">
        <x:v>23369.3204811083</x:v>
      </x:c>
      <x:c r="F7" s="62" t="n">
        <x:v>0</x:v>
      </x:c>
      <x:c r="G7" s="66" t="n">
        <x:v>1</x:v>
      </x:c>
      <x:c r="H7" s="62" t="n">
        <x:f>IF(E7=0,"",I7/E7)</x:f>
        <x:v>474.8828234411634</x:v>
      </x:c>
      <x:c r="I7" s="60" t="n">
        <x:f>SUMIF('Species'!$H$2:$H$115,A7,'Species'!$U$2:$U$115)</x:f>
        <x:v>11097688.891970117</x:v>
      </x:c>
      <x:c r="J7" s="62" t="n">
        <x:v>3.406678115158531</x:v>
      </x:c>
      <x:c r="K7" s="62" t="n">
        <x:f>IF(J7="","",(1/'Metadata'!$B$5)^(J7-1))</x:f>
        <x:v>255.08100250513448</x:v>
      </x:c>
      <x:c r="L7" s="60" t="n">
        <x:f>IF(E7=0,"",E7*K7)</x:f>
        <x:v>5961069.696184877</x:v>
      </x:c>
      <x:c r="M7" s="60" t="n">
        <x:f>I7-L7</x:f>
        <x:v>5136619.195785239</x:v>
      </x:c>
      <x:c r="N7" s="62" t="n">
        <x:f>IF(L7=0,"",I7/L7)</x:f>
        <x:v>1.8616942021450795</x:v>
      </x:c>
      <x:c r="O7" s="66" t="n">
        <x:f>IF(L7=0,"",M7/L7)</x:f>
        <x:v>0.8616942021450795</x:v>
      </x:c>
    </x:row>
    <x:row r="8" ht="18" customHeight="1">
      <x:c r="A8" s="46" t="str">
        <x:v>Perch-likes</x:v>
      </x:c>
      <x:c r="B8" s="64" t="n">
        <x:v>16</x:v>
      </x:c>
      <x:c r="C8" s="64" t="n">
        <x:v>16</x:v>
      </x:c>
      <x:c r="D8" s="60" t="n">
        <x:v>50453.40687292501</x:v>
      </x:c>
      <x:c r="E8" s="60" t="n">
        <x:v>50453.40687292501</x:v>
      </x:c>
      <x:c r="F8" s="62" t="n">
        <x:v>0</x:v>
      </x:c>
      <x:c r="G8" s="66" t="n">
        <x:v>1</x:v>
      </x:c>
      <x:c r="H8" s="62" t="n">
        <x:f>IF(E8=0,"",I8/E8)</x:f>
        <x:v>454.1311599542589</x:v>
      </x:c>
      <x:c r="I8" s="60" t="n">
        <x:f>SUMIF('Species'!$H$2:$H$115,A8,'Species'!$U$2:$U$115)</x:f>
        <x:v>22912464.18684561</x:v>
      </x:c>
      <x:c r="J8" s="62" t="n">
        <x:v>3.6389931151159995</x:v>
      </x:c>
      <x:c r="K8" s="62" t="n">
        <x:f>IF(J8="","",(1/'Metadata'!$B$5)^(J8-1))</x:f>
        <x:v>435.50496955694393</x:v>
      </x:c>
      <x:c r="L8" s="60" t="n">
        <x:f>IF(E8=0,"",E8*K8)</x:f>
        <x:v>21972709.42423731</x:v>
      </x:c>
      <x:c r="M8" s="60" t="n">
        <x:f>I8-L8</x:f>
        <x:v>939754.7626083009</x:v>
      </x:c>
      <x:c r="N8" s="62" t="n">
        <x:f>IF(L8=0,"",I8/L8)</x:f>
        <x:v>1.0427691799160503</x:v>
      </x:c>
      <x:c r="O8" s="66" t="n">
        <x:f>IF(L8=0,"",M8/L8)</x:f>
        <x:v>0.04276917991605036</x:v>
      </x:c>
    </x:row>
    <x:row r="9" ht="18" customHeight="1">
      <x:c r="A9" s="46" t="str">
        <x:v>Salmon, smelts, etc</x:v>
      </x:c>
      <x:c r="B9" s="64" t="n">
        <x:v>3</x:v>
      </x:c>
      <x:c r="C9" s="64" t="n">
        <x:v>3</x:v>
      </x:c>
      <x:c r="D9" s="60" t="n">
        <x:v>18402.121408367</x:v>
      </x:c>
      <x:c r="E9" s="60" t="n">
        <x:v>18402.121408367</x:v>
      </x:c>
      <x:c r="F9" s="62" t="n">
        <x:v>0</x:v>
      </x:c>
      <x:c r="G9" s="66" t="n">
        <x:v>1</x:v>
      </x:c>
      <x:c r="H9" s="62" t="n">
        <x:f>IF(E9=0,"",I9/E9)</x:f>
        <x:v>223.8651442340627</x:v>
      </x:c>
      <x:c r="I9" s="60" t="n">
        <x:f>SUMIF('Species'!$H$2:$H$115,A9,'Species'!$U$2:$U$115)</x:f>
        <x:v>4119593.563296811</x:v>
      </x:c>
      <x:c r="J9" s="62" t="n">
        <x:v>3.349984466079881</x:v>
      </x:c>
      <x:c r="K9" s="62" t="n">
        <x:f>IF(J9="","",(1/'Metadata'!$B$5)^(J9-1))</x:f>
        <x:v>223.86410650356268</x:v>
      </x:c>
      <x:c r="L9" s="60" t="n">
        <x:f>IF(E9=0,"",E9*K9)</x:f>
        <x:v>4119574.4668541607</x:v>
      </x:c>
      <x:c r="M9" s="60" t="n">
        <x:f>I9-L9</x:f>
        <x:v>19.096442650537938</x:v>
      </x:c>
      <x:c r="N9" s="62" t="n">
        <x:f>IF(L9=0,"",I9/L9)</x:f>
        <x:v>1.0000046355376762</x:v>
      </x:c>
      <x:c r="O9" s="66" t="n">
        <x:f>IF(L9=0,"",M9/L9)</x:f>
        <x:v>0.000004635537676084441</x:v>
      </x:c>
    </x:row>
    <x:row r="10" ht="18" customHeight="1">
      <x:c r="A10" s="46" t="str">
        <x:v>Scorpionfishes</x:v>
      </x:c>
      <x:c r="B10" s="64" t="n">
        <x:v>9</x:v>
      </x:c>
      <x:c r="C10" s="64" t="n">
        <x:v>9</x:v>
      </x:c>
      <x:c r="D10" s="60" t="n">
        <x:v>1551.6530363375002</x:v>
      </x:c>
      <x:c r="E10" s="60" t="n">
        <x:v>1551.6530363375002</x:v>
      </x:c>
      <x:c r="F10" s="62" t="n">
        <x:v>0</x:v>
      </x:c>
      <x:c r="G10" s="66" t="n">
        <x:v>1</x:v>
      </x:c>
      <x:c r="H10" s="62" t="n">
        <x:f>IF(E10=0,"",I10/E10)</x:f>
        <x:v>617.4588806866449</x:v>
      </x:c>
      <x:c r="I10" s="60" t="n">
        <x:f>SUMIF('Species'!$H$2:$H$115,A10,'Species'!$U$2:$U$115)</x:f>
        <x:v>958081.9470309868</x:v>
      </x:c>
      <x:c r="J10" s="62" t="n">
        <x:v>3.7902431660637848</x:v>
      </x:c>
      <x:c r="K10" s="62" t="n">
        <x:f>IF(J10="","",(1/'Metadata'!$B$5)^(J10-1))</x:f>
        <x:v>616.9403365795717</x:v>
      </x:c>
      <x:c r="L10" s="60" t="n">
        <x:f>IF(E10=0,"",E10*K10)</x:f>
        <x:v>957277.3464927719</x:v>
      </x:c>
      <x:c r="M10" s="60" t="n">
        <x:f>I10-L10</x:f>
        <x:v>804.6005382149015</x:v>
      </x:c>
      <x:c r="N10" s="62" t="n">
        <x:f>IF(L10=0,"",I10/L10)</x:f>
        <x:v>1.0008405093269601</x:v>
      </x:c>
      <x:c r="O10" s="66" t="n">
        <x:f>IF(L10=0,"",M10/L10)</x:f>
        <x:v>0.0008405093269602163</x:v>
      </x:c>
    </x:row>
    <x:row r="11" ht="18" customHeight="1">
      <x:c r="A11" s="46" t="str">
        <x:v>Sharks &amp; rays</x:v>
      </x:c>
      <x:c r="B11" s="64" t="n">
        <x:v>17</x:v>
      </x:c>
      <x:c r="C11" s="64" t="n">
        <x:v>17</x:v>
      </x:c>
      <x:c r="D11" s="60" t="n">
        <x:v>259.7953877278</x:v>
      </x:c>
      <x:c r="E11" s="60" t="n">
        <x:v>259.7953877278</x:v>
      </x:c>
      <x:c r="F11" s="62" t="n">
        <x:v>0</x:v>
      </x:c>
      <x:c r="G11" s="66" t="n">
        <x:v>1</x:v>
      </x:c>
      <x:c r="H11" s="62" t="n">
        <x:f>IF(E11=0,"",I11/E11)</x:f>
        <x:v>1075.2457158858103</x:v>
      </x:c>
      <x:c r="I11" s="60" t="n">
        <x:f>SUMIF('Species'!$H$2:$H$115,A11,'Species'!$U$2:$U$115)</x:f>
        <x:v>279343.87766120996</x:v>
      </x:c>
      <x:c r="J11" s="62" t="n">
        <x:v>3.9313217264676643</x:v>
      </x:c>
      <x:c r="K11" s="62" t="n">
        <x:f>IF(J11="","",(1/'Metadata'!$B$5)^(J11-1))</x:f>
        <x:v>853.732326916769</x:v>
      </x:c>
      <x:c r="L11" s="60" t="n">
        <x:f>IF(E11=0,"",E11*K11)</x:f>
        <x:v>221795.72088709893</x:v>
      </x:c>
      <x:c r="M11" s="60" t="n">
        <x:f>I11-L11</x:f>
        <x:v>57548.156774111034</x:v>
      </x:c>
      <x:c r="N11" s="62" t="n">
        <x:f>IF(L11=0,"",I11/L11)</x:f>
        <x:v>1.25946468463837</x:v>
      </x:c>
      <x:c r="O11" s="66" t="n">
        <x:f>IF(L11=0,"",M11/L11)</x:f>
        <x:v>0.2594646846383699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43e5214905cf4d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3</x:v>
      </x:c>
      <x:c r="C2" s="64" t="n">
        <x:v>3</x:v>
      </x:c>
      <x:c r="D2" s="60" t="n">
        <x:v>0.7379492284999999</x:v>
      </x:c>
      <x:c r="E2" s="60" t="n">
        <x:v>0.7379492284999999</x:v>
      </x:c>
      <x:c r="F2" s="62" t="n">
        <x:v>0</x:v>
      </x:c>
      <x:c r="G2" s="66" t="n">
        <x:v>1</x:v>
      </x:c>
      <x:c r="H2" s="62" t="n">
        <x:f>IF(E2=0,"",I2/E2)</x:f>
        <x:v>664.0599087991349</x:v>
      </x:c>
      <x:c r="I2" s="60" t="n">
        <x:f>SUMIF('Species'!$G$2:$G$115,A2,'Species'!$U$2:$U$115)</x:f>
        <x:v>490.04249737610184</x:v>
      </x:c>
      <x:c r="J2" s="62" t="n">
        <x:v>3.818399643862491</x:v>
      </x:c>
      <x:c r="K2" s="62" t="n">
        <x:f>IF(J2="","",(1/'Metadata'!$B$5)^(J2-1))</x:f>
        <x:v>658.2633018404706</x:v>
      </x:c>
      <x:c r="L2" s="60" t="n">
        <x:f>IF(E2=0,"",E2*K2)</x:f>
        <x:v>485.7648957430378</x:v>
      </x:c>
      <x:c r="M2" s="60" t="n">
        <x:f>I2-L2</x:f>
        <x:v>4.277601633064023</x:v>
      </x:c>
      <x:c r="N2" s="62" t="n">
        <x:f>IF(L2=0,"",I2/L2)</x:f>
        <x:v>1.0088059093412276</x:v>
      </x:c>
      <x:c r="O2" s="66" t="n">
        <x:f>IF(L2=0,"",M2/L2)</x:f>
        <x:v>0.008805909341227509</x:v>
      </x:c>
    </x:row>
    <x:row r="3" ht="18" customHeight="1">
      <x:c r="A3" s="46" t="str">
        <x:v>Large bathydemersals (&gt;=90 cm)</x:v>
      </x:c>
      <x:c r="B3" s="64" t="n">
        <x:v>2</x:v>
      </x:c>
      <x:c r="C3" s="64" t="n">
        <x:v>2</x:v>
      </x:c>
      <x:c r="D3" s="60" t="n">
        <x:v>2543.7530976598</x:v>
      </x:c>
      <x:c r="E3" s="60" t="n">
        <x:v>2543.7530976598</x:v>
      </x:c>
      <x:c r="F3" s="62" t="n">
        <x:v>0</x:v>
      </x:c>
      <x:c r="G3" s="66" t="n">
        <x:v>1</x:v>
      </x:c>
      <x:c r="H3" s="62" t="n">
        <x:f>IF(E3=0,"",I3/E3)</x:f>
        <x:v>2806.5623608178616</x:v>
      </x:c>
      <x:c r="I3" s="60" t="n">
        <x:f>SUMIF('Species'!$G$2:$G$115,A3,'Species'!$U$2:$U$115)</x:f>
        <x:v>7139201.699105836</x:v>
      </x:c>
      <x:c r="J3" s="62" t="n">
        <x:v>4.447960781511645</x:v>
      </x:c>
      <x:c r="K3" s="62" t="n">
        <x:f>IF(J3="","",(1/'Metadata'!$B$5)^(J3-1))</x:f>
        <x:v>2805.180307772866</x:v>
      </x:c>
      <x:c r="L3" s="60" t="n">
        <x:f>IF(E3=0,"",E3*K3)</x:f>
        <x:v>7135686.097391499</x:v>
      </x:c>
      <x:c r="M3" s="60" t="n">
        <x:f>I3-L3</x:f>
        <x:v>3515.6017143372446</x:v>
      </x:c>
      <x:c r="N3" s="62" t="n">
        <x:f>IF(L3=0,"",I3/L3)</x:f>
        <x:v>1.0004926788631612</x:v>
      </x:c>
      <x:c r="O3" s="66" t="n">
        <x:f>IF(L3=0,"",M3/L3)</x:f>
        <x:v>0.0004926788631610909</x:v>
      </x:c>
    </x:row>
    <x:row r="4" ht="18" customHeight="1">
      <x:c r="A4" s="46" t="str">
        <x:v>Large bathypelagics (&gt;=90 cm)</x:v>
      </x:c>
      <x:c r="B4" s="64" t="n">
        <x:v>2</x:v>
      </x:c>
      <x:c r="C4" s="64" t="n">
        <x:v>2</x:v>
      </x:c>
      <x:c r="D4" s="60" t="n">
        <x:v>42.2148659618</x:v>
      </x:c>
      <x:c r="E4" s="60" t="n">
        <x:v>42.2148659618</x:v>
      </x:c>
      <x:c r="F4" s="62" t="n">
        <x:v>0</x:v>
      </x:c>
      <x:c r="G4" s="66" t="n">
        <x:v>1</x:v>
      </x:c>
      <x:c r="H4" s="62" t="n">
        <x:f>IF(E4=0,"",I4/E4)</x:f>
        <x:v>355.98032565750685</x:v>
      </x:c>
      <x:c r="I4" s="60" t="n">
        <x:f>SUMIF('Species'!$G$2:$G$115,A4,'Species'!$U$2:$U$115)</x:f>
        <x:v>15027.661732669565</x:v>
      </x:c>
      <x:c r="J4" s="62" t="n">
        <x:v>3.544787723552999</x:v>
      </x:c>
      <x:c r="K4" s="62" t="n">
        <x:f>IF(J4="","",(1/'Metadata'!$B$5)^(J4-1))</x:f>
        <x:v>350.5804737366158</x:v>
      </x:c>
      <x:c r="L4" s="60" t="n">
        <x:f>IF(E4=0,"",E4*K4)</x:f>
        <x:v>14799.70770761558</x:v>
      </x:c>
      <x:c r="M4" s="60" t="n">
        <x:f>I4-L4</x:f>
        <x:v>227.95402505398488</x:v>
      </x:c>
      <x:c r="N4" s="62" t="n">
        <x:f>IF(L4=0,"",I4/L4)</x:f>
        <x:v>1.0154026031836214</x:v>
      </x:c>
      <x:c r="O4" s="66" t="n">
        <x:f>IF(L4=0,"",M4/L4)</x:f>
        <x:v>0.01540260318362133</x:v>
      </x:c>
    </x:row>
    <x:row r="5" ht="18" customHeight="1">
      <x:c r="A5" s="46" t="str">
        <x:v>Large benthopelagics (&gt;=90 cm)</x:v>
      </x:c>
      <x:c r="B5" s="64" t="n">
        <x:v>6</x:v>
      </x:c>
      <x:c r="C5" s="64" t="n">
        <x:v>6</x:v>
      </x:c>
      <x:c r="D5" s="60" t="n">
        <x:v>21642.826085908706</x:v>
      </x:c>
      <x:c r="E5" s="60" t="n">
        <x:v>21642.826085908706</x:v>
      </x:c>
      <x:c r="F5" s="62" t="n">
        <x:v>0</x:v>
      </x:c>
      <x:c r="G5" s="66" t="n">
        <x:v>1</x:v>
      </x:c>
      <x:c r="H5" s="62" t="n">
        <x:f>IF(E5=0,"",I5/E5)</x:f>
        <x:v>1273.3345036292485</x:v>
      </x:c>
      <x:c r="I5" s="60" t="n">
        <x:f>SUMIF('Species'!$G$2:$G$115,A5,'Species'!$U$2:$U$115)</x:f>
        <x:v>27558557.211234715</x:v>
      </x:c>
      <x:c r="J5" s="62" t="n">
        <x:v>4.099427937338333</x:v>
      </x:c>
      <x:c r="K5" s="62" t="n">
        <x:f>IF(J5="","",(1/'Metadata'!$B$5)^(J5-1))</x:f>
        <x:v>1257.2682180270342</x:v>
      </x:c>
      <x:c r="L5" s="60" t="n">
        <x:f>IF(E5=0,"",E5*K5)</x:f>
        <x:v>27210837.38609945</x:v>
      </x:c>
      <x:c r="M5" s="60" t="n">
        <x:f>I5-L5</x:f>
        <x:v>347719.82513526455</x:v>
      </x:c>
      <x:c r="N5" s="62" t="n">
        <x:f>IF(L5=0,"",I5/L5)</x:f>
        <x:v>1.012778725630579</x:v>
      </x:c>
      <x:c r="O5" s="66" t="n">
        <x:f>IF(L5=0,"",M5/L5)</x:f>
        <x:v>0.012778725630578934</x:v>
      </x:c>
    </x:row>
    <x:row r="6" ht="18" customHeight="1">
      <x:c r="A6" s="46" t="str">
        <x:v>Large demersals (&gt;=90 cm)</x:v>
      </x:c>
      <x:c r="B6" s="64" t="n">
        <x:v>10</x:v>
      </x:c>
      <x:c r="C6" s="64" t="n">
        <x:v>10</x:v>
      </x:c>
      <x:c r="D6" s="60" t="n">
        <x:v>9197.557679569301</x:v>
      </x:c>
      <x:c r="E6" s="60" t="n">
        <x:v>9197.557679569301</x:v>
      </x:c>
      <x:c r="F6" s="62" t="n">
        <x:v>0</x:v>
      </x:c>
      <x:c r="G6" s="66" t="n">
        <x:v>1</x:v>
      </x:c>
      <x:c r="H6" s="62" t="n">
        <x:f>IF(E6=0,"",I6/E6)</x:f>
        <x:v>2212.2373989623993</x:v>
      </x:c>
      <x:c r="I6" s="60" t="n">
        <x:f>SUMIF('Species'!$G$2:$G$115,A6,'Species'!$U$2:$U$115)</x:f>
        <x:v>20347181.077857032</x:v>
      </x:c>
      <x:c r="J6" s="62" t="n">
        <x:v>4.300196196010266</x:v>
      </x:c>
      <x:c r="K6" s="62" t="n">
        <x:f>IF(J6="","",(1/'Metadata'!$B$5)^(J6-1))</x:f>
        <x:v>1996.1638943313287</x:v>
      </x:c>
      <x:c r="L6" s="60" t="n">
        <x:f>IF(E6=0,"",E6*K6)</x:f>
        <x:v>18359832.555986077</x:v>
      </x:c>
      <x:c r="M6" s="60" t="n">
        <x:f>I6-L6</x:f>
        <x:v>1987348.5218709558</x:v>
      </x:c>
      <x:c r="N6" s="62" t="n">
        <x:f>IF(L6=0,"",I6/L6)</x:f>
        <x:v>1.1082443707376295</x:v>
      </x:c>
      <x:c r="O6" s="66" t="n">
        <x:f>IF(L6=0,"",M6/L6)</x:f>
        <x:v>0.10824437073762945</x:v>
      </x:c>
    </x:row>
    <x:row r="7" ht="18" customHeight="1">
      <x:c r="A7" s="46" t="str">
        <x:v>Large flatfishes (&gt;=90 cm)</x:v>
      </x:c>
      <x:c r="B7" s="64" t="n">
        <x:v>3</x:v>
      </x:c>
      <x:c r="C7" s="64" t="n">
        <x:v>3</x:v>
      </x:c>
      <x:c r="D7" s="60" t="n">
        <x:v>317.79970326020003</x:v>
      </x:c>
      <x:c r="E7" s="60" t="n">
        <x:v>317.79970326020003</x:v>
      </x:c>
      <x:c r="F7" s="62" t="n">
        <x:v>0</x:v>
      </x:c>
      <x:c r="G7" s="66" t="n">
        <x:v>1</x:v>
      </x:c>
      <x:c r="H7" s="62" t="n">
        <x:f>IF(E7=0,"",I7/E7)</x:f>
        <x:v>238.45940936609668</x:v>
      </x:c>
      <x:c r="I7" s="60" t="n">
        <x:f>SUMIF('Species'!$G$2:$G$115,A7,'Species'!$U$2:$U$115)</x:f>
        <x:v>75782.32953614809</x:v>
      </x:c>
      <x:c r="J7" s="62" t="n">
        <x:v>3.310402224125172</x:v>
      </x:c>
      <x:c r="K7" s="62" t="n">
        <x:f>IF(J7="","",(1/'Metadata'!$B$5)^(J7-1))</x:f>
        <x:v>204.36297869710998</x:v>
      </x:c>
      <x:c r="L7" s="60" t="n">
        <x:f>IF(E7=0,"",E7*K7)</x:f>
        <x:v>64946.49398731213</x:v>
      </x:c>
      <x:c r="M7" s="60" t="n">
        <x:f>I7-L7</x:f>
        <x:v>10835.835548835952</x:v>
      </x:c>
      <x:c r="N7" s="62" t="n">
        <x:f>IF(L7=0,"",I7/L7)</x:f>
        <x:v>1.1668425019363298</x:v>
      </x:c>
      <x:c r="O7" s="66" t="n">
        <x:f>IF(L7=0,"",M7/L7)</x:f>
        <x:v>0.16684250193632974</x:v>
      </x:c>
    </x:row>
    <x:row r="8" ht="18" customHeight="1">
      <x:c r="A8" s="46" t="str">
        <x:v>Large rays (&gt;=90 cm)</x:v>
      </x:c>
      <x:c r="B8" s="64" t="n">
        <x:v>8</x:v>
      </x:c>
      <x:c r="C8" s="64" t="n">
        <x:v>8</x:v>
      </x:c>
      <x:c r="D8" s="60" t="n">
        <x:v>53.157836763700004</x:v>
      </x:c>
      <x:c r="E8" s="60" t="n">
        <x:v>53.157836763700004</x:v>
      </x:c>
      <x:c r="F8" s="62" t="n">
        <x:v>0</x:v>
      </x:c>
      <x:c r="G8" s="66" t="n">
        <x:v>1</x:v>
      </x:c>
      <x:c r="H8" s="62" t="n">
        <x:f>IF(E8=0,"",I8/E8)</x:f>
        <x:v>499.96633562039676</x:v>
      </x:c>
      <x:c r="I8" s="60" t="n">
        <x:f>SUMIF('Species'!$G$2:$G$115,A8,'Species'!$U$2:$U$115)</x:f>
        <x:v>26577.1288562543</x:v>
      </x:c>
      <x:c r="J8" s="62" t="n">
        <x:v>3.65498556186009</x:v>
      </x:c>
      <x:c r="K8" s="62" t="n">
        <x:f>IF(J8="","",(1/'Metadata'!$B$5)^(J8-1))</x:f>
        <x:v>451.8409226530897</x:v>
      </x:c>
      <x:c r="L8" s="60" t="n">
        <x:f>IF(E8=0,"",E8*K8)</x:f>
        <x:v>24018.88600955254</x:v>
      </x:c>
      <x:c r="M8" s="60" t="n">
        <x:f>I8-L8</x:f>
        <x:v>2558.24284670176</x:v>
      </x:c>
      <x:c r="N8" s="62" t="n">
        <x:f>IF(L8=0,"",I8/L8)</x:f>
        <x:v>1.106509637694451</x:v>
      </x:c>
      <x:c r="O8" s="66" t="n">
        <x:f>IF(L8=0,"",M8/L8)</x:f>
        <x:v>0.10650963769445103</x:v>
      </x:c>
    </x:row>
    <x:row r="9" ht="18" customHeight="1">
      <x:c r="A9" s="46" t="str">
        <x:v>Large reef assoc. fish (&gt;=90 cm)</x:v>
      </x:c>
      <x:c r="B9" s="64" t="n">
        <x:v>1</x:v>
      </x:c>
      <x:c r="C9" s="64" t="n">
        <x:v>1</x:v>
      </x:c>
      <x:c r="D9" s="60" t="n">
        <x:v>1525.4638402142</x:v>
      </x:c>
      <x:c r="E9" s="60" t="n">
        <x:v>1525.4638402142</x:v>
      </x:c>
      <x:c r="F9" s="62" t="n">
        <x:v>0</x:v>
      </x:c>
      <x:c r="G9" s="66" t="n">
        <x:v>1</x:v>
      </x:c>
      <x:c r="H9" s="62" t="n">
        <x:f>IF(E9=0,"",I9/E9)</x:f>
        <x:v>616.5950018614822</x:v>
      </x:c>
      <x:c r="I9" s="60" t="n">
        <x:f>SUMIF('Species'!$G$2:$G$115,A9,'Species'!$U$2:$U$115)</x:f>
        <x:v>940593.3793964983</x:v>
      </x:c>
      <x:c r="J9" s="62" t="n">
        <x:v>3.79</x:v>
      </x:c>
      <x:c r="K9" s="62" t="n">
        <x:f>IF(J9="","",(1/'Metadata'!$B$5)^(J9-1))</x:f>
        <x:v>616.5950018614822</x:v>
      </x:c>
      <x:c r="L9" s="60" t="n">
        <x:f>IF(E9=0,"",E9*K9)</x:f>
        <x:v>940593.3793964983</x:v>
      </x:c>
      <x:c r="M9" s="60" t="n">
        <x:f>I9-L9</x:f>
        <x:v>0</x:v>
      </x:c>
      <x:c r="N9" s="62" t="n">
        <x:f>IF(L9=0,"",I9/L9)</x:f>
        <x:v>1</x:v>
      </x:c>
      <x:c r="O9" s="66" t="n">
        <x:f>IF(L9=0,"",M9/L9)</x:f>
        <x:v>0</x:v>
      </x:c>
    </x:row>
    <x:row r="10" ht="18" customHeight="1">
      <x:c r="A10" s="46" t="str">
        <x:v>Large sharks (&gt;=90 cm)</x:v>
      </x:c>
      <x:c r="B10" s="64" t="n">
        <x:v>6</x:v>
      </x:c>
      <x:c r="C10" s="64" t="n">
        <x:v>6</x:v>
      </x:c>
      <x:c r="D10" s="60" t="n">
        <x:v>88.1931783041</x:v>
      </x:c>
      <x:c r="E10" s="60" t="n">
        <x:v>88.1931783041</x:v>
      </x:c>
      <x:c r="F10" s="62" t="n">
        <x:v>0</x:v>
      </x:c>
      <x:c r="G10" s="66" t="n">
        <x:v>1</x:v>
      </x:c>
      <x:c r="H10" s="62" t="n">
        <x:f>IF(E10=0,"",I10/E10)</x:f>
        <x:v>2036.49362024277</x:v>
      </x:c>
      <x:c r="I10" s="60" t="n">
        <x:f>SUMIF('Species'!$G$2:$G$115,A10,'Species'!$U$2:$U$115)</x:f>
        <x:v>179604.84496523274</x:v>
      </x:c>
      <x:c r="J10" s="62" t="n">
        <x:v>4.292422193655642</x:v>
      </x:c>
      <x:c r="K10" s="62" t="n">
        <x:f>IF(J10="","",(1/'Metadata'!$B$5)^(J10-1))</x:f>
        <x:v>1960.749864436613</x:v>
      </x:c>
      <x:c r="L10" s="60" t="n">
        <x:f>IF(E10=0,"",E10*K10)</x:f>
        <x:v>172924.76240399812</x:v>
      </x:c>
      <x:c r="M10" s="60" t="n">
        <x:f>I10-L10</x:f>
        <x:v>6680.082561234623</x:v>
      </x:c>
      <x:c r="N10" s="62" t="n">
        <x:f>IF(L10=0,"",I10/L10)</x:f>
        <x:v>1.0386299941568125</x:v>
      </x:c>
      <x:c r="O10" s="66" t="n">
        <x:f>IF(L10=0,"",M10/L10)</x:f>
        <x:v>0.03862999415681242</x:v>
      </x:c>
    </x:row>
    <x:row r="11" ht="18" customHeight="1">
      <x:c r="A11" s="46" t="str">
        <x:v>Lobsters, crabs</x:v>
      </x:c>
      <x:c r="B11" s="64" t="n">
        <x:v>6</x:v>
      </x:c>
      <x:c r="C11" s="64" t="n">
        <x:v>6</x:v>
      </x:c>
      <x:c r="D11" s="60" t="n">
        <x:v>44.7371900637</x:v>
      </x:c>
      <x:c r="E11" s="60" t="n">
        <x:v>44.7371900637</x:v>
      </x:c>
      <x:c r="F11" s="62" t="n">
        <x:v>0</x:v>
      </x:c>
      <x:c r="G11" s="66" t="n">
        <x:v>1</x:v>
      </x:c>
      <x:c r="H11" s="62" t="n">
        <x:f>IF(E11=0,"",I11/E11)</x:f>
        <x:v>59.33582494857408</x:v>
      </x:c>
      <x:c r="I11" s="60" t="n">
        <x:f>SUMIF('Species'!$G$2:$G$115,A11,'Species'!$U$2:$U$115)</x:f>
        <x:v>2654.5180783107908</x:v>
      </x:c>
      <x:c r="J11" s="62" t="n">
        <x:v>2.750952154271275</x:v>
      </x:c>
      <x:c r="K11" s="62" t="n">
        <x:f>IF(J11="","",(1/'Metadata'!$B$5)^(J11-1))</x:f>
        <x:v>56.35755639273463</x:v>
      </x:c>
      <x:c r="L11" s="60" t="n">
        <x:f>IF(E11=0,"",E11*K11)</x:f>
        <x:v>2521.27871186746</x:v>
      </x:c>
      <x:c r="M11" s="60" t="n">
        <x:f>I11-L11</x:f>
        <x:v>133.2393664433307</x:v>
      </x:c>
      <x:c r="N11" s="62" t="n">
        <x:f>IF(L11=0,"",I11/L11)</x:f>
        <x:v>1.0528459490877322</x:v>
      </x:c>
      <x:c r="O11" s="66" t="n">
        <x:f>IF(L11=0,"",M11/L11)</x:f>
        <x:v>0.05284594908773216</x:v>
      </x:c>
    </x:row>
    <x:row r="12" ht="18" customHeight="1">
      <x:c r="A12" s="46" t="str">
        <x:v>Medium bathydemersals (30 - 89 cm)</x:v>
      </x:c>
      <x:c r="B12" s="64" t="n">
        <x:v>4</x:v>
      </x:c>
      <x:c r="C12" s="64" t="n">
        <x:v>4</x:v>
      </x:c>
      <x:c r="D12" s="60" t="n">
        <x:v>18426.909917236397</x:v>
      </x:c>
      <x:c r="E12" s="60" t="n">
        <x:v>18426.909917236397</x:v>
      </x:c>
      <x:c r="F12" s="62" t="n">
        <x:v>0</x:v>
      </x:c>
      <x:c r="G12" s="66" t="n">
        <x:v>1</x:v>
      </x:c>
      <x:c r="H12" s="62" t="n">
        <x:f>IF(E12=0,"",I12/E12)</x:f>
        <x:v>226.6751896136033</x:v>
      </x:c>
      <x:c r="I12" s="60" t="n">
        <x:f>SUMIF('Species'!$G$2:$G$115,A12,'Species'!$U$2:$U$115)</x:f>
        <x:v>4176923.2994823474</x:v>
      </x:c>
      <x:c r="J12" s="62" t="n">
        <x:v>3.3512256662702553</x:v>
      </x:c>
      <x:c r="K12" s="62" t="n">
        <x:f>IF(J12="","",(1/'Metadata'!$B$5)^(J12-1))</x:f>
        <x:v>224.50481832381664</x:v>
      </x:c>
      <x:c r="L12" s="60" t="n">
        <x:f>IF(E12=0,"",E12*K12)</x:f>
        <x:v>4136930.0632384922</x:v>
      </x:c>
      <x:c r="M12" s="60" t="n">
        <x:f>I12-L12</x:f>
        <x:v>39993.23624385521</x:v>
      </x:c>
      <x:c r="N12" s="62" t="n">
        <x:f>IF(L12=0,"",I12/L12)</x:f>
        <x:v>1.0096673706426034</x:v>
      </x:c>
      <x:c r="O12" s="66" t="n">
        <x:f>IF(L12=0,"",M12/L12)</x:f>
        <x:v>0.009667370642603396</x:v>
      </x:c>
    </x:row>
    <x:row r="13" ht="18" customHeight="1">
      <x:c r="A13" s="46" t="str">
        <x:v>Medium bathypelagics (30 - 89 cm)</x:v>
      </x:c>
      <x:c r="B13" s="64" t="n">
        <x:v>2</x:v>
      </x:c>
      <x:c r="C13" s="64" t="n">
        <x:v>2</x:v>
      </x:c>
      <x:c r="D13" s="60" t="n">
        <x:v>4.5135139951</x:v>
      </x:c>
      <x:c r="E13" s="60" t="n">
        <x:v>4.5135139951</x:v>
      </x:c>
      <x:c r="F13" s="62" t="n">
        <x:v>0</x:v>
      </x:c>
      <x:c r="G13" s="66" t="n">
        <x:v>1</x:v>
      </x:c>
      <x:c r="H13" s="62" t="n">
        <x:f>IF(E13=0,"",I13/E13)</x:f>
        <x:v>523.1920341248741</x:v>
      </x:c>
      <x:c r="I13" s="60" t="n">
        <x:f>SUMIF('Species'!$G$2:$G$115,A13,'Species'!$U$2:$U$115)</x:f>
        <x:v>2361.434568147456</x:v>
      </x:c>
      <x:c r="J13" s="62" t="n">
        <x:v>3.716150736283113</x:v>
      </x:c>
      <x:c r="K13" s="62" t="n">
        <x:f>IF(J13="","",(1/'Metadata'!$B$5)^(J13-1))</x:f>
        <x:v>520.176509690307</x:v>
      </x:c>
      <x:c r="L13" s="60" t="n">
        <x:f>IF(E13=0,"",E13*K13)</x:f>
        <x:v>2347.8239564094715</x:v>
      </x:c>
      <x:c r="M13" s="60" t="n">
        <x:f>I13-L13</x:f>
        <x:v>13.610611737984527</x:v>
      </x:c>
      <x:c r="N13" s="62" t="n">
        <x:f>IF(L13=0,"",I13/L13)</x:f>
        <x:v>1.005797117667544</x:v>
      </x:c>
      <x:c r="O13" s="66" t="n">
        <x:f>IF(L13=0,"",M13/L13)</x:f>
        <x:v>0.005797117667544054</x:v>
      </x:c>
    </x:row>
    <x:row r="14" ht="18" customHeight="1">
      <x:c r="A14" s="46" t="str">
        <x:v>Medium benthopelagics (30 - 89 cm)</x:v>
      </x:c>
      <x:c r="B14" s="64" t="n">
        <x:v>10</x:v>
      </x:c>
      <x:c r="C14" s="64" t="n">
        <x:v>10</x:v>
      </x:c>
      <x:c r="D14" s="60" t="n">
        <x:v>277839.4550820987</x:v>
      </x:c>
      <x:c r="E14" s="60" t="n">
        <x:v>277839.4550820987</x:v>
      </x:c>
      <x:c r="F14" s="62" t="n">
        <x:v>0</x:v>
      </x:c>
      <x:c r="G14" s="66" t="n">
        <x:v>1</x:v>
      </x:c>
      <x:c r="H14" s="62" t="n">
        <x:f>IF(E14=0,"",I14/E14)</x:f>
        <x:v>1349.7053300654347</x:v>
      </x:c>
      <x:c r="I14" s="60" t="n">
        <x:f>SUMIF('Species'!$G$2:$G$115,A14,'Species'!$U$2:$U$115)</x:f>
        <x:v>375001393.4267846</x:v>
      </x:c>
      <x:c r="J14" s="62" t="n">
        <x:v>4.130014600868489</x:v>
      </x:c>
      <x:c r="K14" s="62" t="n">
        <x:f>IF(J14="","",(1/'Metadata'!$B$5)^(J14-1))</x:f>
        <x:v>1349.008235138273</x:v>
      </x:c>
      <x:c r="L14" s="60" t="n">
        <x:f>IF(E14=0,"",E14*K14)</x:f>
        <x:v>374807712.95208144</x:v>
      </x:c>
      <x:c r="M14" s="60" t="n">
        <x:f>I14-L14</x:f>
        <x:v>193680.4747031331</x:v>
      </x:c>
      <x:c r="N14" s="62" t="n">
        <x:f>IF(L14=0,"",I14/L14)</x:f>
        <x:v>1.0005167462354967</x:v>
      </x:c>
      <x:c r="O14" s="66" t="n">
        <x:f>IF(L14=0,"",M14/L14)</x:f>
        <x:v>0.0005167462354967461</x:v>
      </x:c>
    </x:row>
    <x:row r="15" ht="18" customHeight="1">
      <x:c r="A15" s="46" t="str">
        <x:v>Medium demersals (30 - 89 cm)</x:v>
      </x:c>
      <x:c r="B15" s="64" t="n">
        <x:v>12</x:v>
      </x:c>
      <x:c r="C15" s="64" t="n">
        <x:v>12</x:v>
      </x:c>
      <x:c r="D15" s="60" t="n">
        <x:v>30462.982592970802</x:v>
      </x:c>
      <x:c r="E15" s="60" t="n">
        <x:v>30462.982592970802</x:v>
      </x:c>
      <x:c r="F15" s="62" t="n">
        <x:v>0</x:v>
      </x:c>
      <x:c r="G15" s="66" t="n">
        <x:v>1</x:v>
      </x:c>
      <x:c r="H15" s="62" t="n">
        <x:f>IF(E15=0,"",I15/E15)</x:f>
        <x:v>470.0249563989544</x:v>
      </x:c>
      <x:c r="I15" s="60" t="n">
        <x:f>SUMIF('Species'!$G$2:$G$115,A15,'Species'!$U$2:$U$115)</x:f>
        <x:v>14318362.065043207</x:v>
      </x:c>
      <x:c r="J15" s="62" t="n">
        <x:v>3.5184863669198196</x:v>
      </x:c>
      <x:c r="K15" s="62" t="n">
        <x:f>IF(J15="","",(1/'Metadata'!$B$5)^(J15-1))</x:f>
        <x:v>329.9790492679469</x:v>
      </x:c>
      <x:c r="L15" s="60" t="n">
        <x:f>IF(E15=0,"",E15*K15)</x:f>
        <x:v>10052146.03389452</x:v>
      </x:c>
      <x:c r="M15" s="60" t="n">
        <x:f>I15-L15</x:f>
        <x:v>4266216.031148687</x:v>
      </x:c>
      <x:c r="N15" s="62" t="n">
        <x:f>IF(L15=0,"",I15/L15)</x:f>
        <x:v>1.4244084812102376</x:v>
      </x:c>
      <x:c r="O15" s="66" t="n">
        <x:f>IF(L15=0,"",M15/L15)</x:f>
        <x:v>0.4244084812102376</x:v>
      </x:c>
    </x:row>
    <x:row r="16" ht="18" customHeight="1">
      <x:c r="A16" s="46" t="str">
        <x:v>Medium pelagics (30 - 89 cm)</x:v>
      </x:c>
      <x:c r="B16" s="64" t="n">
        <x:v>4</x:v>
      </x:c>
      <x:c r="C16" s="64" t="n">
        <x:v>4</x:v>
      </x:c>
      <x:c r="D16" s="60" t="n">
        <x:v>49793.8724709729</x:v>
      </x:c>
      <x:c r="E16" s="60" t="n">
        <x:v>49793.8724709729</x:v>
      </x:c>
      <x:c r="F16" s="62" t="n">
        <x:v>0</x:v>
      </x:c>
      <x:c r="G16" s="66" t="n">
        <x:v>1</x:v>
      </x:c>
      <x:c r="H16" s="62" t="n">
        <x:f>IF(E16=0,"",I16/E16)</x:f>
        <x:v>428.42716845407233</x:v>
      </x:c>
      <x:c r="I16" s="60" t="n">
        <x:f>SUMIF('Species'!$G$2:$G$115,A16,'Species'!$U$2:$U$115)</x:f>
        <x:v>21333047.7891021</x:v>
      </x:c>
      <x:c r="J16" s="62" t="n">
        <x:v>3.630864855893931</x:v>
      </x:c>
      <x:c r="K16" s="62" t="n">
        <x:f>IF(J16="","",(1/'Metadata'!$B$5)^(J16-1))</x:f>
        <x:v>427.4298574879526</x:v>
      </x:c>
      <x:c r="L16" s="60" t="n">
        <x:f>IF(E16=0,"",E16*K16)</x:f>
        <x:v>21283387.81404123</x:v>
      </x:c>
      <x:c r="M16" s="60" t="n">
        <x:f>I16-L16</x:f>
        <x:v>49659.97506086901</x:v>
      </x:c>
      <x:c r="N16" s="62" t="n">
        <x:f>IF(L16=0,"",I16/L16)</x:f>
        <x:v>1.0023332739832005</x:v>
      </x:c>
      <x:c r="O16" s="66" t="n">
        <x:f>IF(L16=0,"",M16/L16)</x:f>
        <x:v>0.002333273983200502</x:v>
      </x:c>
    </x:row>
    <x:row r="17" ht="18" customHeight="1">
      <x:c r="A17" s="46" t="str">
        <x:v>Medium reef assoc. fish (30 - 89 cm)</x:v>
      </x:c>
      <x:c r="B17" s="64" t="n">
        <x:v>1</x:v>
      </x:c>
      <x:c r="C17" s="64" t="n">
        <x:v>1</x:v>
      </x:c>
      <x:c r="D17" s="60" t="n">
        <x:v>0.00028852980000000004</x:v>
      </x:c>
      <x:c r="E17" s="60" t="n">
        <x:v>0.00028852980000000004</x:v>
      </x:c>
      <x:c r="F17" s="62" t="n">
        <x:v>0</x:v>
      </x:c>
      <x:c r="G17" s="66" t="n">
        <x:v>1</x:v>
      </x:c>
      <x:c r="H17" s="62" t="n">
        <x:f>IF(E17=0,"",I17/E17)</x:f>
        <x:v>33.88441561392024</x:v>
      </x:c>
      <x:c r="I17" s="60" t="n">
        <x:f>SUMIF('Species'!$G$2:$G$115,A17,'Species'!$U$2:$U$115)</x:f>
        <x:v>0.009776663660201286</x:v>
      </x:c>
      <x:c r="J17" s="62" t="n">
        <x:v>2.53</x:v>
      </x:c>
      <x:c r="K17" s="62" t="n">
        <x:f>IF(J17="","",(1/'Metadata'!$B$5)^(J17-1))</x:f>
        <x:v>33.88441561392024</x:v>
      </x:c>
      <x:c r="L17" s="60" t="n">
        <x:f>IF(E17=0,"",E17*K17)</x:f>
        <x:v>0.009776663660201286</x:v>
      </x:c>
      <x:c r="M17" s="60" t="n">
        <x:f>I17-L17</x:f>
        <x:v>0</x:v>
      </x:c>
      <x:c r="N17" s="62" t="n">
        <x:f>IF(L17=0,"",I17/L17)</x:f>
        <x:v>1</x:v>
      </x:c>
      <x:c r="O17" s="66" t="n">
        <x:f>IF(L17=0,"",M17/L17)</x:f>
        <x:v>0</x:v>
      </x:c>
    </x:row>
    <x:row r="18" ht="18" customHeight="1">
      <x:c r="A18" s="46" t="str">
        <x:v>Other demersal invertebrates</x:v>
      </x:c>
      <x:c r="B18" s="64" t="n">
        <x:v>12</x:v>
      </x:c>
      <x:c r="C18" s="64" t="n">
        <x:v>12</x:v>
      </x:c>
      <x:c r="D18" s="60" t="n">
        <x:v>5382.748382637102</x:v>
      </x:c>
      <x:c r="E18" s="60" t="n">
        <x:v>5382.748382637102</x:v>
      </x:c>
      <x:c r="F18" s="62" t="n">
        <x:v>0</x:v>
      </x:c>
      <x:c r="G18" s="66" t="n">
        <x:v>1</x:v>
      </x:c>
      <x:c r="H18" s="62" t="n">
        <x:f>IF(E18=0,"",I18/E18)</x:f>
        <x:v>10.186893568146461</x:v>
      </x:c>
      <x:c r="I18" s="60" t="n">
        <x:f>SUMIF('Species'!$G$2:$G$115,A18,'Species'!$U$2:$U$115)</x:f>
        <x:v>54833.48487803666</x:v>
      </x:c>
      <x:c r="J18" s="62" t="n">
        <x:v>2.0021704274950727</x:v>
      </x:c>
      <x:c r="K18" s="62" t="n">
        <x:f>IF(J18="","",(1/'Metadata'!$B$5)^(J18-1))</x:f>
        <x:v>10.050101027977414</x:v>
      </x:c>
      <x:c r="L18" s="60" t="n">
        <x:f>IF(E18=0,"",E18*K18)</x:f>
        <x:v>54097.1650536849</x:v>
      </x:c>
      <x:c r="M18" s="60" t="n">
        <x:f>I18-L18</x:f>
        <x:v>736.3198243517618</x:v>
      </x:c>
      <x:c r="N18" s="62" t="n">
        <x:f>IF(L18=0,"",I18/L18)</x:f>
        <x:v>1.013611061201101</x:v>
      </x:c>
      <x:c r="O18" s="66" t="n">
        <x:f>IF(L18=0,"",M18/L18)</x:f>
        <x:v>0.013611061201100895</x:v>
      </x:c>
    </x:row>
    <x:row r="19" ht="18" customHeight="1">
      <x:c r="A19" s="46" t="str">
        <x:v>Shrimps</x:v>
      </x:c>
      <x:c r="B19" s="64" t="n">
        <x:v>5</x:v>
      </x:c>
      <x:c r="C19" s="64" t="n">
        <x:v>5</x:v>
      </x:c>
      <x:c r="D19" s="60" t="n">
        <x:v>28.5930954154</x:v>
      </x:c>
      <x:c r="E19" s="60" t="n">
        <x:v>28.5930954154</x:v>
      </x:c>
      <x:c r="F19" s="62" t="n">
        <x:v>0</x:v>
      </x:c>
      <x:c r="G19" s="66" t="n">
        <x:v>1</x:v>
      </x:c>
      <x:c r="H19" s="62" t="n">
        <x:f>IF(E19=0,"",I19/E19)</x:f>
        <x:v>52.96628343206474</x:v>
      </x:c>
      <x:c r="I19" s="60" t="n">
        <x:f>SUMIF('Species'!$G$2:$G$115,A19,'Species'!$U$2:$U$115)</x:f>
        <x:v>1514.4699959721474</x:v>
      </x:c>
      <x:c r="J19" s="62" t="n">
        <x:v>2.7133559678150245</x:v>
      </x:c>
      <x:c r="K19" s="62" t="n">
        <x:f>IF(J19="","",(1/'Metadata'!$B$5)^(J19-1))</x:f>
        <x:v>51.683982149553074</x:v>
      </x:c>
      <x:c r="L19" s="60" t="n">
        <x:f>IF(E19=0,"",E19*K19)</x:f>
        <x:v>1477.8050330500014</x:v>
      </x:c>
      <x:c r="M19" s="60" t="n">
        <x:f>I19-L19</x:f>
        <x:v>36.66496292214606</x:v>
      </x:c>
      <x:c r="N19" s="62" t="n">
        <x:f>IF(L19=0,"",I19/L19)</x:f>
        <x:v>1.0248104195764405</x:v>
      </x:c>
      <x:c r="O19" s="66" t="n">
        <x:f>IF(L19=0,"",M19/L19)</x:f>
        <x:v>0.024810419576440503</x:v>
      </x:c>
    </x:row>
    <x:row r="20" ht="18" customHeight="1">
      <x:c r="A20" s="46" t="str">
        <x:v>Small pelagics (&lt;30 cm)</x:v>
      </x:c>
      <x:c r="B20" s="64" t="n">
        <x:v>3</x:v>
      </x:c>
      <x:c r="C20" s="64" t="n">
        <x:v>3</x:v>
      </x:c>
      <x:c r="D20" s="60" t="n">
        <x:v>110.110890758</x:v>
      </x:c>
      <x:c r="E20" s="60" t="n">
        <x:v>110.110890758</x:v>
      </x:c>
      <x:c r="F20" s="62" t="n">
        <x:v>0</x:v>
      </x:c>
      <x:c r="G20" s="66" t="n">
        <x:v>1</x:v>
      </x:c>
      <x:c r="H20" s="62" t="n">
        <x:f>IF(E20=0,"",I20/E20)</x:f>
        <x:v>142.0595088630803</x:v>
      </x:c>
      <x:c r="I20" s="60" t="n">
        <x:f>SUMIF('Species'!$G$2:$G$115,A20,'Species'!$U$2:$U$115)</x:f>
        <x:v>15642.299061557767</x:v>
      </x:c>
      <x:c r="J20" s="62" t="n">
        <x:v>3.1524489358190793</x:v>
      </x:c>
      <x:c r="K20" s="62" t="n">
        <x:f>IF(J20="","",(1/'Metadata'!$B$5)^(J20-1))</x:f>
        <x:v>142.05251782272634</x:v>
      </x:c>
      <x:c r="L20" s="60" t="n">
        <x:f>IF(E20=0,"",E20*K20)</x:f>
        <x:v>15641.529271877069</x:v>
      </x:c>
      <x:c r="M20" s="60" t="n">
        <x:f>I20-L20</x:f>
        <x:v>0.7697896806985227</x:v>
      </x:c>
      <x:c r="N20" s="62" t="n">
        <x:f>IF(L20=0,"",I20/L20)</x:f>
        <x:v>1.0000492144768787</x:v>
      </x:c>
      <x:c r="O20" s="66" t="n">
        <x:f>IF(L20=0,"",M20/L20)</x:f>
        <x:v>0.00004921447687871403</x:v>
      </x:c>
    </x:row>
    <x:row r="21" ht="18" customHeight="1">
      <x:c r="A21" s="46" t="str">
        <x:v>Small reef assoc. fish (&lt;30 cm)</x:v>
      </x:c>
      <x:c r="B21" s="64" t="n">
        <x:v>1</x:v>
      </x:c>
      <x:c r="C21" s="64" t="n">
        <x:v>1</x:v>
      </x:c>
      <x:c r="D21" s="60" t="n">
        <x:v>0.0000532991</x:v>
      </x:c>
      <x:c r="E21" s="60" t="n">
        <x:v>0.0000532991</x:v>
      </x:c>
      <x:c r="F21" s="62" t="n">
        <x:v>0</x:v>
      </x:c>
      <x:c r="G21" s="66" t="n">
        <x:v>1</x:v>
      </x:c>
      <x:c r="H21" s="62" t="n">
        <x:f>IF(E21=0,"",I21/E21)</x:f>
        <x:v>239.88329190194898</x:v>
      </x:c>
      <x:c r="I21" s="60" t="n">
        <x:f>SUMIF('Species'!$G$2:$G$115,A21,'Species'!$U$2:$U$115)</x:f>
        <x:v>0.012785563563411168</x:v>
      </x:c>
      <x:c r="J21" s="62" t="n">
        <x:v>3.38</x:v>
      </x:c>
      <x:c r="K21" s="62" t="n">
        <x:f>IF(J21="","",(1/'Metadata'!$B$5)^(J21-1))</x:f>
        <x:v>239.88329190194898</x:v>
      </x:c>
      <x:c r="L21" s="60" t="n">
        <x:f>IF(E21=0,"",E21*K21)</x:f>
        <x:v>0.012785563563411168</x:v>
      </x:c>
      <x:c r="M21" s="60" t="n">
        <x:f>I21-L21</x:f>
        <x:v>0</x:v>
      </x:c>
      <x:c r="N21" s="62" t="n">
        <x:f>IF(L21=0,"",I21/L21)</x:f>
        <x:v>1</x:v>
      </x:c>
      <x:c r="O21" s="66" t="n">
        <x:f>IF(L21=0,"",M21/L21)</x:f>
        <x:v>0</x:v>
      </x:c>
    </x:row>
    <x:row r="22" ht="18" customHeight="1">
      <x:c r="A22" s="46" t="str">
        <x:v>Small to medium flatfishes (&lt;90 cm)</x:v>
      </x:c>
      <x:c r="B22" s="64" t="n">
        <x:v>10</x:v>
      </x:c>
      <x:c r="C22" s="64" t="n">
        <x:v>10</x:v>
      </x:c>
      <x:c r="D22" s="60" t="n">
        <x:v>2598.1289270666</x:v>
      </x:c>
      <x:c r="E22" s="60" t="n">
        <x:v>2598.1289270666</x:v>
      </x:c>
      <x:c r="F22" s="62" t="n">
        <x:v>0</x:v>
      </x:c>
      <x:c r="G22" s="66" t="n">
        <x:v>1</x:v>
      </x:c>
      <x:c r="H22" s="62" t="n">
        <x:f>IF(E22=0,"",I22/E22)</x:f>
        <x:v>1997.0247360851597</x:v>
      </x:c>
      <x:c r="I22" s="60" t="n">
        <x:f>SUMIF('Species'!$G$2:$G$115,A22,'Species'!$U$2:$U$115)</x:f>
        <x:v>5188527.734890397</x:v>
      </x:c>
      <x:c r="J22" s="62" t="n">
        <x:v>4.17611995327875</x:v>
      </x:c>
      <x:c r="K22" s="62" t="n">
        <x:f>IF(J22="","",(1/'Metadata'!$B$5)^(J22-1))</x:f>
        <x:v>1500.099109609534</x:v>
      </x:c>
      <x:c r="L22" s="60" t="n">
        <x:f>IF(E22=0,"",E22*K22)</x:f>
        <x:v>3897450.890143381</x:v>
      </x:c>
      <x:c r="M22" s="60" t="n">
        <x:f>I22-L22</x:f>
        <x:v>1291076.8447470157</x:v>
      </x:c>
      <x:c r="N22" s="62" t="n">
        <x:f>IF(L22=0,"",I22/L22)</x:f>
        <x:v>1.3312618634944542</x:v>
      </x:c>
      <x:c r="O22" s="66" t="n">
        <x:f>IF(L22=0,"",M22/L22)</x:f>
        <x:v>0.3312618634944542</x:v>
      </x:c>
    </x:row>
    <x:row r="23" ht="18" customHeight="1">
      <x:c r="A23" s="46" t="str">
        <x:v>Small to medium rays (&lt;90 cm)</x:v>
      </x:c>
      <x:c r="B23" s="64" t="n">
        <x:v>3</x:v>
      </x:c>
      <x:c r="C23" s="64" t="n">
        <x:v>3</x:v>
      </x:c>
      <x:c r="D23" s="60" t="n">
        <x:v>118.44437266</x:v>
      </x:c>
      <x:c r="E23" s="60" t="n">
        <x:v>118.44437266</x:v>
      </x:c>
      <x:c r="F23" s="62" t="n">
        <x:v>0</x:v>
      </x:c>
      <x:c r="G23" s="66" t="n">
        <x:v>1</x:v>
      </x:c>
      <x:c r="H23" s="62" t="n">
        <x:f>IF(E23=0,"",I23/E23)</x:f>
        <x:v>617.6899940171696</x:v>
      </x:c>
      <x:c r="I23" s="60" t="n">
        <x:f>SUMIF('Species'!$G$2:$G$115,A23,'Species'!$U$2:$U$115)</x:f>
        <x:v>73161.90383972281</x:v>
      </x:c>
      <x:c r="J23" s="62" t="n">
        <x:v>3.7864675238324983</x:v>
      </x:c>
      <x:c r="K23" s="62" t="n">
        <x:f>IF(J23="","",(1/'Metadata'!$B$5)^(J23-1))</x:f>
        <x:v>611.6000663181366</x:v>
      </x:c>
      <x:c r="L23" s="60" t="n">
        <x:f>IF(E23=0,"",E23*K23)</x:f>
        <x:v>72440.58617386608</x:v>
      </x:c>
      <x:c r="M23" s="60" t="n">
        <x:f>I23-L23</x:f>
        <x:v>721.317665856739</x:v>
      </x:c>
      <x:c r="N23" s="62" t="n">
        <x:f>IF(L23=0,"",I23/L23)</x:f>
        <x:v>1.0099573692587949</x:v>
      </x:c>
      <x:c r="O23" s="66" t="n">
        <x:f>IF(L23=0,"",M23/L23)</x:f>
        <x:v>0.009957369258794929</x:v>
      </x:c>
    </x:row>
  </x:sheetData>
  <x:conditionalFormatting sqref="G2:G23">
    <x:cfRule type="cellIs" dxfId="2" priority="1" operator="lessThan">
      <x:formula>0.9</x:formula>
    </x:cfRule>
  </x:conditionalFormatting>
  <x:conditionalFormatting sqref="O2:O2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749f00374e94f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LME_060</x:v>
      </x:c>
      <x:c r="B2" s="46" t="str">
        <x:v>raw_filtered_tonnes</x:v>
      </x:c>
      <x:c r="C2" s="46" t="n">
        <x:v>420222.2010145739</x:v>
      </x:c>
      <x:c r="D2" s="46" t="str">
        <x:v>tonnes</x:v>
      </x:c>
    </x:row>
    <x:row r="3" ht="18" customHeight="1">
      <x:c r="A3" s="46" t="str">
        <x:v>LME_060</x:v>
      </x:c>
      <x:c r="B3" s="46" t="str">
        <x:v>species_catch_tonnes</x:v>
      </x:c>
      <x:c r="C3" s="46" t="n">
        <x:v>420222.20101457404</x:v>
      </x:c>
      <x:c r="D3" s="46" t="str">
        <x:v>tonnes</x:v>
      </x:c>
    </x:row>
    <x:row r="4" ht="18" customHeight="1">
      <x:c r="A4" s="46" t="str">
        <x:v>LME_060</x:v>
      </x:c>
      <x:c r="B4" s="46" t="str">
        <x:v>catch_difference_tonnes</x:v>
      </x:c>
      <x:c r="C4" s="46" t="n">
        <x:v>1.1641532182693481e-10</x:v>
      </x:c>
      <x:c r="D4" s="46" t="str">
        <x:v>tonnes</x:v>
      </x:c>
    </x:row>
    <x:row r="5" ht="18" customHeight="1">
      <x:c r="A5" s="46" t="str">
        <x:v>LME_060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LME_060</x:v>
      </x:c>
      <x:c r="B6" s="46" t="str">
        <x:v>matched_catch_tonnes</x:v>
      </x:c>
      <x:c r="C6" s="46" t="n">
        <x:v>420222.20101457404</x:v>
      </x:c>
      <x:c r="D6" s="46" t="str">
        <x:v>tonnes</x:v>
      </x:c>
    </x:row>
    <x:row r="7" ht="18" customHeight="1">
      <x:c r="A7" s="46" t="str">
        <x:v>LME_060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LME_060</x:v>
      </x:c>
      <x:c r="B8" s="46" t="str">
        <x:v>taxa_count</x:v>
      </x:c>
      <x:c r="C8" s="46" t="n">
        <x:v>114</x:v>
      </x:c>
      <x:c r="D8" s="46" t="str">
        <x:v>count</x:v>
      </x:c>
    </x:row>
    <x:row r="9" ht="18" customHeight="1">
      <x:c r="A9" s="46" t="str">
        <x:v>LME_060</x:v>
      </x:c>
      <x:c r="B9" s="46" t="str">
        <x:v>matched_taxa_count</x:v>
      </x:c>
      <x:c r="C9" s="46" t="n">
        <x:v>114</x:v>
      </x:c>
      <x:c r="D9" s="46" t="str">
        <x:v>count</x:v>
      </x:c>
    </x:row>
    <x:row r="10" ht="18" customHeight="1">
      <x:c r="A10" s="46" t="str">
        <x:v>LME_060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LME_060</x:v>
      </x:c>
      <x:c r="B11" s="46" t="str">
        <x:v>species_ppr</x:v>
      </x:c>
      <x:c r="C11" s="46" t="n">
        <x:v>476451437.8234684</x:v>
      </x:c>
      <x:c r="D11" s="46" t="str">
        <x:v>tonnes_primary_production_equivalent</x:v>
      </x:c>
    </x:row>
    <x:row r="12" ht="18" customHeight="1">
      <x:c r="A12" s="46" t="str">
        <x:v>LME_060</x:v>
      </x:c>
      <x:c r="B12" s="46" t="str">
        <x:v>commercial_ppr</x:v>
      </x:c>
      <x:c r="C12" s="46" t="n">
        <x:v>476451437.82346827</x:v>
      </x:c>
      <x:c r="D12" s="46" t="str">
        <x:v>tonnes_primary_production_equivalent</x:v>
      </x:c>
    </x:row>
    <x:row r="13" ht="18" customHeight="1">
      <x:c r="A13" s="46" t="str">
        <x:v>LME_060</x:v>
      </x:c>
      <x:c r="B13" s="46" t="str">
        <x:v>functional_ppr</x:v>
      </x:c>
      <x:c r="C13" s="46" t="n">
        <x:v>476451437.82346827</x:v>
      </x:c>
      <x:c r="D13" s="46" t="str">
        <x:v>tonnes_primary_production_equivalent</x:v>
      </x:c>
    </x:row>
    <x:row r="14" ht="18" customHeight="1">
      <x:c r="A14" s="46" t="str">
        <x:v>LME_060</x:v>
      </x:c>
      <x:c r="B14" s="46" t="str">
        <x:v>commercial_ppr_difference</x:v>
      </x:c>
      <x:c r="C14" s="46" t="n">
        <x:v>-1.1920928955078125e-7</x:v>
      </x:c>
      <x:c r="D14" s="46" t="str">
        <x:v>tonnes_primary_production_equivalent</x:v>
      </x:c>
    </x:row>
    <x:row r="15" ht="18" customHeight="1">
      <x:c r="A15" s="46" t="str">
        <x:v>LME_060</x:v>
      </x:c>
      <x:c r="B15" s="46" t="str">
        <x:v>functional_ppr_difference</x:v>
      </x:c>
      <x:c r="C15" s="46" t="n">
        <x:v>-1.1920928955078125e-7</x:v>
      </x:c>
      <x:c r="D15" s="46" t="str">
        <x:v>tonnes_primary_production_equivalent</x:v>
      </x:c>
    </x:row>
    <x:row r="16" ht="18" customHeight="1">
      <x:c r="A16" s="46" t="str">
        <x:v>LME_060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LME_060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LME_060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LME_060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0ae0d656126b485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LME_060 - Faroe Plateau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LME_060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raw_data/SAU_downloads/LME_060-catch.zip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