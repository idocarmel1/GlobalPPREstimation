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a565ae27a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01c55fbdd474f0b"/>
    <x:sheet xmlns:r="http://schemas.openxmlformats.org/officeDocument/2006/relationships" name="Commercial" sheetId="2" r:id="R19675fcf30874e61"/>
    <x:sheet xmlns:r="http://schemas.openxmlformats.org/officeDocument/2006/relationships" name="Functional" sheetId="3" r:id="R05b6855aad5344cc"/>
    <x:sheet xmlns:r="http://schemas.openxmlformats.org/officeDocument/2006/relationships" name="Missing TL" sheetId="4" r:id="R4b060f9249ad4987"/>
    <x:sheet xmlns:r="http://schemas.openxmlformats.org/officeDocument/2006/relationships" name="Validation" sheetId="5" r:id="R8da1985c3d2743f9"/>
    <x:sheet xmlns:r="http://schemas.openxmlformats.org/officeDocument/2006/relationships" name="Metadata" sheetId="6" r:id="Ra5e3adc362da40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d78d02dcc4cbc" /><Relationship Type="http://schemas.openxmlformats.org/officeDocument/2006/relationships/theme" Target="/xl/theme/theme1.xml" Id="Rae8add8040594a99" /><Relationship Type="http://schemas.openxmlformats.org/officeDocument/2006/relationships/sharedStrings" Target="/xl/sharedStrings.xml" Id="R23882cece7b34147" /><Relationship Type="http://schemas.openxmlformats.org/officeDocument/2006/relationships/worksheet" Target="/xl/worksheets/sheet1.xml" Id="Rc01c55fbdd474f0b" /><Relationship Type="http://schemas.openxmlformats.org/officeDocument/2006/relationships/worksheet" Target="/xl/worksheets/sheet2.xml" Id="R19675fcf30874e61" /><Relationship Type="http://schemas.openxmlformats.org/officeDocument/2006/relationships/worksheet" Target="/xl/worksheets/sheet3.xml" Id="R05b6855aad5344cc" /><Relationship Type="http://schemas.openxmlformats.org/officeDocument/2006/relationships/worksheet" Target="/xl/worksheets/sheet4.xml" Id="R4b060f9249ad4987" /><Relationship Type="http://schemas.openxmlformats.org/officeDocument/2006/relationships/worksheet" Target="/xl/worksheets/sheet5.xml" Id="R8da1985c3d2743f9" /><Relationship Type="http://schemas.openxmlformats.org/officeDocument/2006/relationships/worksheet" Target="/xl/worksheets/sheet6.xml" Id="Ra5e3adc362da4036" /></Relationships>
</file>

<file path=xl/tables/table1.xml><?xml version="1.0" encoding="utf-8"?>
<x:table xmlns:x="http://schemas.openxmlformats.org/spreadsheetml/2006/main" id="1" name="LME020SpeciesTable" displayName="LME020SpeciesTable" ref="A1:U139" headerRowCount="1" totalsRowCount="0" totalsRowShown="0">
  <x:autoFilter ref="A1:U1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0CommercialTable" displayName="LME02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0FunctionalTable" displayName="LME020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0ValidationTable" displayName="LME02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f7c68a2e664e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7fc3932a9846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d5996ea6d840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362247d87840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LME_020</x:v>
      </x:c>
      <x:c r="B2" s="46" t="str">
        <x:v>Barents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316359.2641249522</x:v>
      </x:c>
      <x:c r="J2" s="60" t="n">
        <x:v>312084.7912924216</x:v>
      </x:c>
      <x:c r="K2" s="60" t="n">
        <x:v>4274.4728325306005</x:v>
      </x:c>
      <x:c r="L2" s="60" t="n">
        <x:v>269504.8523956131</x:v>
      </x:c>
      <x:c r="M2" s="60" t="n">
        <x:v>46854.411729339095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1230.268770812381</x:v>
      </x:c>
      <x:c r="U2" s="60" t="n">
        <x:f>IF(T2="","",I2*T2)</x:f>
        <x:v>389206923.0101143</x:v>
      </x:c>
    </x:row>
    <x:row r="3" ht="18" customHeight="1">
      <x:c r="A3" s="46" t="str">
        <x:v>LME_020</x:v>
      </x:c>
      <x:c r="B3" s="46" t="str">
        <x:v>Barents Sea</x:v>
      </x:c>
      <x:c r="C3" s="46" t="str">
        <x:v>LME</x:v>
      </x:c>
      <x:c r="D3" s="58" t="n">
        <x:v>2019</x:v>
      </x:c>
      <x:c r="E3" s="46" t="str">
        <x:v>Melanogrammus aeglefinus</x:v>
      </x:c>
      <x:c r="F3" s="46" t="str">
        <x:v>Haddock</x:v>
      </x:c>
      <x:c r="G3" s="46" t="str">
        <x:v>Medium demersals (30 - 89 cm)</x:v>
      </x:c>
      <x:c r="H3" s="46" t="str">
        <x:v>Cod-likes</x:v>
      </x:c>
      <x:c r="I3" s="60" t="n">
        <x:v>86078.3916728946</x:v>
      </x:c>
      <x:c r="J3" s="60" t="n">
        <x:v>76331.2988357404</x:v>
      </x:c>
      <x:c r="K3" s="60" t="n">
        <x:v>9747.092837154201</x:v>
      </x:c>
      <x:c r="L3" s="60" t="n">
        <x:v>71393.48799103619</x:v>
      </x:c>
      <x:c r="M3" s="60" t="n">
        <x:v>14684.903681858399</x:v>
      </x:c>
      <x:c r="N3" s="46" t="str">
        <x:v>melanogrammus aeglefinus</x:v>
      </x:c>
      <x:c r="O3" s="62" t="n">
        <x:v>4.03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Melanogrammus aeglefinus</x:v>
      </x:c>
      <x:c r="T3" s="62" t="n">
        <x:f>IF(O3="","",(1/'Metadata'!$B$5)^(O3-1))</x:f>
        <x:v>1071.519305237607</x:v>
      </x:c>
      <x:c r="U3" s="60" t="n">
        <x:f>IF(T3="","",I3*T3)</x:f>
        <x:v>92234658.44131066</x:v>
      </x:c>
    </x:row>
    <x:row r="4" ht="18" customHeight="1">
      <x:c r="A4" s="46" t="str">
        <x:v>LME_020</x:v>
      </x:c>
      <x:c r="B4" s="46" t="str">
        <x:v>Barents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58595.810721522</x:v>
      </x:c>
      <x:c r="J4" s="60" t="n">
        <x:v>57472.9936797115</x:v>
      </x:c>
      <x:c r="K4" s="60" t="n">
        <x:v>1122.8170418105</x:v>
      </x:c>
      <x:c r="L4" s="60" t="n">
        <x:v>56533.7836832097</x:v>
      </x:c>
      <x:c r="M4" s="60" t="n">
        <x:v>2062.0270383123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11165201.55670698</x:v>
      </x:c>
    </x:row>
    <x:row r="5" ht="18" customHeight="1">
      <x:c r="A5" s="46" t="str">
        <x:v>LME_020</x:v>
      </x:c>
      <x:c r="B5" s="46" t="str">
        <x:v>Barents Sea</x:v>
      </x:c>
      <x:c r="C5" s="46" t="str">
        <x:v>LME</x:v>
      </x:c>
      <x:c r="D5" s="58" t="n">
        <x:v>2019</x:v>
      </x:c>
      <x:c r="E5" s="46" t="str">
        <x:v>Scomber scombrus</x:v>
      </x:c>
      <x:c r="F5" s="46" t="str">
        <x:v>Atlantic mackerel</x:v>
      </x:c>
      <x:c r="G5" s="46" t="str">
        <x:v>Medium pelagics (30 - 89 cm)</x:v>
      </x:c>
      <x:c r="H5" s="46" t="str">
        <x:v>Perch-likes</x:v>
      </x:c>
      <x:c r="I5" s="60" t="n">
        <x:v>47667.8191214223</x:v>
      </x:c>
      <x:c r="J5" s="60" t="n">
        <x:v>47393.404729313996</x:v>
      </x:c>
      <x:c r="K5" s="60" t="n">
        <x:v>274.41439210830004</x:v>
      </x:c>
      <x:c r="L5" s="60" t="n">
        <x:v>45611.7335180815</x:v>
      </x:c>
      <x:c r="M5" s="60" t="n">
        <x:v>2056.0856033408</x:v>
      </x:c>
      <x:c r="N5" s="46" t="str">
        <x:v>scomber scombrus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scombrus</x:v>
      </x:c>
      <x:c r="T5" s="62" t="n">
        <x:f>IF(O5="","",(1/'Metadata'!$B$5)^(O5-1))</x:f>
        <x:v>426.57951880159254</x:v>
      </x:c>
      <x:c r="U5" s="60" t="n">
        <x:f>IF(T5="","",I5*T5)</x:f>
        <x:v>20334115.343137674</x:v>
      </x:c>
    </x:row>
    <x:row r="6" ht="18" customHeight="1">
      <x:c r="A6" s="46" t="str">
        <x:v>LME_020</x:v>
      </x:c>
      <x:c r="B6" s="46" t="str">
        <x:v>Barents Sea</x:v>
      </x:c>
      <x:c r="C6" s="46" t="str">
        <x:v>LME</x:v>
      </x:c>
      <x:c r="D6" s="58" t="n">
        <x:v>2019</x:v>
      </x:c>
      <x:c r="E6" s="46" t="str">
        <x:v>Clupea harengus</x:v>
      </x:c>
      <x:c r="F6" s="46" t="str">
        <x:v>Atlantic herring</x:v>
      </x:c>
      <x:c r="G6" s="46" t="str">
        <x:v>Medium pelagics (30 - 89 cm)</x:v>
      </x:c>
      <x:c r="H6" s="46" t="str">
        <x:v>Herring-likes</x:v>
      </x:c>
      <x:c r="I6" s="60" t="n">
        <x:v>30453.684310540397</x:v>
      </x:c>
      <x:c r="J6" s="60" t="n">
        <x:v>29320.973679956496</x:v>
      </x:c>
      <x:c r="K6" s="60" t="n">
        <x:v>1132.7106305839002</x:v>
      </x:c>
      <x:c r="L6" s="60" t="n">
        <x:v>29235.9510566418</x:v>
      </x:c>
      <x:c r="M6" s="60" t="n">
        <x:v>1217.7332538986</x:v>
      </x:c>
      <x:c r="N6" s="46" t="str">
        <x:v>clupea harengus</x:v>
      </x:c>
      <x:c r="O6" s="62" t="n">
        <x:v>3.38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Clupea harengus</x:v>
      </x:c>
      <x:c r="T6" s="62" t="n">
        <x:f>IF(O6="","",(1/'Metadata'!$B$5)^(O6-1))</x:f>
        <x:v>239.88329190194898</x:v>
      </x:c>
      <x:c r="U6" s="60" t="n">
        <x:f>IF(T6="","",I6*T6)</x:f>
        <x:v>7305330.042955166</x:v>
      </x:c>
    </x:row>
    <x:row r="7" ht="18" customHeight="1">
      <x:c r="A7" s="46" t="str">
        <x:v>LME_020</x:v>
      </x:c>
      <x:c r="B7" s="46" t="str">
        <x:v>Barents Sea</x:v>
      </x:c>
      <x:c r="C7" s="46" t="str">
        <x:v>LME</x:v>
      </x:c>
      <x:c r="D7" s="58" t="n">
        <x:v>2019</x:v>
      </x:c>
      <x:c r="E7" s="46" t="str">
        <x:v>Pollachius virens</x:v>
      </x:c>
      <x:c r="F7" s="46" t="str">
        <x:v>Saithe</x:v>
      </x:c>
      <x:c r="G7" s="46" t="str">
        <x:v>Large demersals (&gt;=90 cm)</x:v>
      </x:c>
      <x:c r="H7" s="46" t="str">
        <x:v>Cod-likes</x:v>
      </x:c>
      <x:c r="I7" s="60" t="n">
        <x:v>30025.3242745128</x:v>
      </x:c>
      <x:c r="J7" s="60" t="n">
        <x:v>26617.667441815298</x:v>
      </x:c>
      <x:c r="K7" s="60" t="n">
        <x:v>3407.6568326975002</x:v>
      </x:c>
      <x:c r="L7" s="60" t="n">
        <x:v>10768.9343893162</x:v>
      </x:c>
      <x:c r="M7" s="60" t="n">
        <x:v>19256.3898851966</x:v>
      </x:c>
      <x:c r="N7" s="46" t="str">
        <x:v>pollachius virens</x:v>
      </x:c>
      <x:c r="O7" s="62" t="n">
        <x:v>4.31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Pollachius virens</x:v>
      </x:c>
      <x:c r="T7" s="62" t="n">
        <x:f>IF(O7="","",(1/'Metadata'!$B$5)^(O7-1))</x:f>
        <x:v>2041.7379446695275</x:v>
      </x:c>
      <x:c r="U7" s="60" t="n">
        <x:f>IF(T7="","",I7*T7)</x:f>
        <x:v>61303843.87227984</x:v>
      </x:c>
    </x:row>
    <x:row r="8" ht="18" customHeight="1">
      <x:c r="A8" s="46" t="str">
        <x:v>LME_020</x:v>
      </x:c>
      <x:c r="B8" s="46" t="str">
        <x:v>Barents Sea</x:v>
      </x:c>
      <x:c r="C8" s="46" t="str">
        <x:v>LME</x:v>
      </x:c>
      <x:c r="D8" s="58" t="n">
        <x:v>2019</x:v>
      </x:c>
      <x:c r="E8" s="46" t="str">
        <x:v>Reinhardtius hippoglossoides</x:v>
      </x:c>
      <x:c r="F8" s="46" t="str">
        <x:v>Greenland halibut</x:v>
      </x:c>
      <x:c r="G8" s="46" t="str">
        <x:v>Small to medium flatfishes (&lt;90 cm)</x:v>
      </x:c>
      <x:c r="H8" s="46" t="str">
        <x:v>Flatfishes</x:v>
      </x:c>
      <x:c r="I8" s="60" t="n">
        <x:v>13453.7839654206</x:v>
      </x:c>
      <x:c r="J8" s="60" t="n">
        <x:v>11555.3072524135</x:v>
      </x:c>
      <x:c r="K8" s="60" t="n">
        <x:v>1898.4767130071</x:v>
      </x:c>
      <x:c r="L8" s="60" t="n">
        <x:v>11538.766951777</x:v>
      </x:c>
      <x:c r="M8" s="60" t="n">
        <x:v>1915.0170136436</x:v>
      </x:c>
      <x:c r="N8" s="46" t="str">
        <x:v>reinhardtius hippoglossoides</x:v>
      </x:c>
      <x:c r="O8" s="62" t="n">
        <x:v>4.38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Reinhardtius hippoglossoides</x:v>
      </x:c>
      <x:c r="T8" s="62" t="n">
        <x:f>IF(O8="","",(1/'Metadata'!$B$5)^(O8-1))</x:f>
        <x:v>2398.83291901949</x:v>
      </x:c>
      <x:c r="U8" s="60" t="n">
        <x:f>IF(T8="","",I8*T8)</x:f>
        <x:v>32273379.861627508</x:v>
      </x:c>
    </x:row>
    <x:row r="9" ht="18" customHeight="1">
      <x:c r="A9" s="46" t="str">
        <x:v>LME_020</x:v>
      </x:c>
      <x:c r="B9" s="46" t="str">
        <x:v>Barents Sea</x:v>
      </x:c>
      <x:c r="C9" s="46" t="str">
        <x:v>LME</x:v>
      </x:c>
      <x:c r="D9" s="58" t="n">
        <x:v>2019</x:v>
      </x:c>
      <x:c r="E9" s="46" t="str">
        <x:v>Pandalus borealis</x:v>
      </x:c>
      <x:c r="F9" s="46" t="str">
        <x:v>Northern prawn</x:v>
      </x:c>
      <x:c r="G9" s="46" t="str">
        <x:v>Shrimps</x:v>
      </x:c>
      <x:c r="H9" s="46" t="str">
        <x:v>Crustaceans</x:v>
      </x:c>
      <x:c r="I9" s="60" t="n">
        <x:v>12067.5252658549</x:v>
      </x:c>
      <x:c r="J9" s="60" t="n">
        <x:v>11868.4315725471</x:v>
      </x:c>
      <x:c r="K9" s="60" t="n">
        <x:v>199.0936933078</x:v>
      </x:c>
      <x:c r="L9" s="60" t="n">
        <x:v>11862.111123917999</x:v>
      </x:c>
      <x:c r="M9" s="60" t="n">
        <x:v>205.41414193690002</x:v>
      </x:c>
      <x:c r="N9" s="46" t="str">
        <x:v>pandalus borealis</x:v>
      </x:c>
      <x:c r="O9" s="62" t="n">
        <x:v>3.07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Pandalus borealis</x:v>
      </x:c>
      <x:c r="T9" s="62" t="n">
        <x:f>IF(O9="","",(1/'Metadata'!$B$5)^(O9-1))</x:f>
        <x:v>117.48975549395291</x:v>
      </x:c>
      <x:c r="U9" s="60" t="n">
        <x:f>IF(T9="","",I9*T9)</x:f>
        <x:v>1417810.5929023912</x:v>
      </x:c>
    </x:row>
    <x:row r="10" ht="18" customHeight="1">
      <x:c r="A10" s="46" t="str">
        <x:v>LME_020</x:v>
      </x:c>
      <x:c r="B10" s="46" t="str">
        <x:v>Barents Sea</x:v>
      </x:c>
      <x:c r="C10" s="46" t="str">
        <x:v>LME</x:v>
      </x:c>
      <x:c r="D10" s="58" t="n">
        <x:v>2019</x:v>
      </x:c>
      <x:c r="E10" s="46" t="str">
        <x:v>Pleuronectes platessa</x:v>
      </x:c>
      <x:c r="F10" s="46" t="str">
        <x:v>European plaice</x:v>
      </x:c>
      <x:c r="G10" s="46" t="str">
        <x:v>Large flatfishes (&gt;=90 cm)</x:v>
      </x:c>
      <x:c r="H10" s="46" t="str">
        <x:v>Flatfishes</x:v>
      </x:c>
      <x:c r="I10" s="60" t="n">
        <x:v>10574.155584423299</x:v>
      </x:c>
      <x:c r="J10" s="60" t="n">
        <x:v>10570.1795521975</x:v>
      </x:c>
      <x:c r="K10" s="60" t="n">
        <x:v>3.9760322257999996</x:v>
      </x:c>
      <x:c r="L10" s="60" t="n">
        <x:v>10459.265153628201</x:v>
      </x:c>
      <x:c r="M10" s="60" t="n">
        <x:v>114.8904307951</x:v>
      </x:c>
      <x:c r="N10" s="46" t="str">
        <x:v>pleuronectes platessa</x:v>
      </x:c>
      <x:c r="O10" s="62" t="n">
        <x:v>3.26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Pleuronectes platessa</x:v>
      </x:c>
      <x:c r="T10" s="62" t="n">
        <x:f>IF(O10="","",(1/'Metadata'!$B$5)^(O10-1))</x:f>
        <x:v>181.97008586099827</x:v>
      </x:c>
      <x:c r="U10" s="60" t="n">
        <x:f>IF(T10="","",I10*T10)</x:f>
        <x:v>1924179.999605062</x:v>
      </x:c>
    </x:row>
    <x:row r="11" ht="18" customHeight="1">
      <x:c r="A11" s="46" t="str">
        <x:v>LME_020</x:v>
      </x:c>
      <x:c r="B11" s="46" t="str">
        <x:v>Barents Sea</x:v>
      </x:c>
      <x:c r="C11" s="46" t="str">
        <x:v>LME</x:v>
      </x:c>
      <x:c r="D11" s="58" t="n">
        <x:v>2019</x:v>
      </x:c>
      <x:c r="E11" s="46" t="str">
        <x:v>Chionoecetes opilio</x:v>
      </x:c>
      <x:c r="F11" s="46" t="str">
        <x:v>Snow crab</x:v>
      </x:c>
      <x:c r="G11" s="46" t="str">
        <x:v>Lobsters, crabs</x:v>
      </x:c>
      <x:c r="H11" s="46" t="str">
        <x:v>Crustaceans</x:v>
      </x:c>
      <x:c r="I11" s="60" t="n">
        <x:v>10541.576736571602</x:v>
      </x:c>
      <x:c r="J11" s="60" t="n">
        <x:v>9897.300380825402</x:v>
      </x:c>
      <x:c r="K11" s="60" t="n">
        <x:v>644.2763557462</x:v>
      </x:c>
      <x:c r="L11" s="60" t="n">
        <x:v>9762.0886230267</x:v>
      </x:c>
      <x:c r="M11" s="60" t="n">
        <x:v>779.4881135449</x:v>
      </x:c>
      <x:c r="N11" s="46" t="str">
        <x:v>chionoecetes opilio</x:v>
      </x:c>
      <x:c r="O11" s="62" t="n">
        <x:v>3.54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Chionoecetes opilio</x:v>
      </x:c>
      <x:c r="T11" s="62" t="n">
        <x:f>IF(O11="","",(1/'Metadata'!$B$5)^(O11-1))</x:f>
        <x:v>346.73685045253166</x:v>
      </x:c>
      <x:c r="U11" s="60" t="n">
        <x:f>IF(T11="","",I11*T11)</x:f>
        <x:v>3655153.116442514</x:v>
      </x:c>
    </x:row>
    <x:row r="12" ht="18" customHeight="1">
      <x:c r="A12" s="46" t="str">
        <x:v>LME_020</x:v>
      </x:c>
      <x:c r="B12" s="46" t="str">
        <x:v>Barents Sea</x:v>
      </x:c>
      <x:c r="C12" s="46" t="str">
        <x:v>LME</x:v>
      </x:c>
      <x:c r="D12" s="58" t="n">
        <x:v>2019</x:v>
      </x:c>
      <x:c r="E12" s="46" t="str">
        <x:v>Paralithodes camtschaticus</x:v>
      </x:c>
      <x:c r="F12" s="46" t="str">
        <x:v>Red king crab</x:v>
      </x:c>
      <x:c r="G12" s="46" t="str">
        <x:v>Lobsters, crabs</x:v>
      </x:c>
      <x:c r="H12" s="46" t="str">
        <x:v>Crustaceans</x:v>
      </x:c>
      <x:c r="I12" s="60" t="n">
        <x:v>10249.2108045596</x:v>
      </x:c>
      <x:c r="J12" s="60" t="n">
        <x:v>9871.3537064664</x:v>
      </x:c>
      <x:c r="K12" s="60" t="n">
        <x:v>377.8570980932</x:v>
      </x:c>
      <x:c r="L12" s="60" t="n">
        <x:v>9768.5946608421</x:v>
      </x:c>
      <x:c r="M12" s="60" t="n">
        <x:v>480.61614371750005</x:v>
      </x:c>
      <x:c r="N12" s="46" t="str">
        <x:v>paralithodes camtschaticus</x:v>
      </x:c>
      <x:c r="O12" s="62" t="n">
        <x:v>3.7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Paralithodes camtschaticus</x:v>
      </x:c>
      <x:c r="T12" s="62" t="n">
        <x:f>IF(O12="","",(1/'Metadata'!$B$5)^(O12-1))</x:f>
        <x:v>501.18723362727246</x:v>
      </x:c>
      <x:c r="U12" s="60" t="n">
        <x:f>IF(T12="","",I12*T12)</x:f>
        <x:v>5136773.609999977</x:v>
      </x:c>
    </x:row>
    <x:row r="13" ht="18" customHeight="1">
      <x:c r="A13" s="46" t="str">
        <x:v>LME_020</x:v>
      </x:c>
      <x:c r="B13" s="46" t="str">
        <x:v>Barents Sea</x:v>
      </x:c>
      <x:c r="C13" s="46" t="str">
        <x:v>LME</x:v>
      </x:c>
      <x:c r="D13" s="58" t="n">
        <x:v>2019</x:v>
      </x:c>
      <x:c r="E13" s="46" t="str">
        <x:v>Sebastes mentella</x:v>
      </x:c>
      <x:c r="F13" s="46" t="str">
        <x:v>Beaked redfish</x:v>
      </x:c>
      <x:c r="G13" s="46" t="str">
        <x:v>Medium bathypelagics (30 - 89 cm)</x:v>
      </x:c>
      <x:c r="H13" s="46" t="str">
        <x:v>Scorpionfishes</x:v>
      </x:c>
      <x:c r="I13" s="60" t="n">
        <x:v>9967.4879270983</x:v>
      </x:c>
      <x:c r="J13" s="60" t="n">
        <x:v>9885.440171743701</x:v>
      </x:c>
      <x:c r="K13" s="60" t="n">
        <x:v>82.0477553546</x:v>
      </x:c>
      <x:c r="L13" s="60" t="n">
        <x:v>9881.630636946702</x:v>
      </x:c>
      <x:c r="M13" s="60" t="n">
        <x:v>85.85729015160001</x:v>
      </x:c>
      <x:c r="N13" s="46" t="str">
        <x:v>sebastes mentella</x:v>
      </x:c>
      <x:c r="O13" s="62" t="n">
        <x:v>3.65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Sebastes mentella</x:v>
      </x:c>
      <x:c r="T13" s="62" t="n">
        <x:f>IF(O13="","",(1/'Metadata'!$B$5)^(O13-1))</x:f>
        <x:v>446.683592150963</x:v>
      </x:c>
      <x:c r="U13" s="60" t="n">
        <x:f>IF(T13="","",I13*T13)</x:f>
        <x:v>4452313.311997625</x:v>
      </x:c>
    </x:row>
    <x:row r="14" ht="18" customHeight="1">
      <x:c r="A14" s="46" t="str">
        <x:v>LME_020</x:v>
      </x:c>
      <x:c r="B14" s="46" t="str">
        <x:v>Barents Sea</x:v>
      </x:c>
      <x:c r="C14" s="46" t="str">
        <x:v>LME</x:v>
      </x:c>
      <x:c r="D14" s="58" t="n">
        <x:v>2019</x:v>
      </x:c>
      <x:c r="E14" s="46" t="str">
        <x:v>Anarhichas denticulatus</x:v>
      </x:c>
      <x:c r="F14" s="46" t="str">
        <x:v>Northern wolffish</x:v>
      </x:c>
      <x:c r="G14" s="46" t="str">
        <x:v>Large benthopelagics (&gt;=90 cm)</x:v>
      </x:c>
      <x:c r="H14" s="46" t="str">
        <x:v>Perch-likes</x:v>
      </x:c>
      <x:c r="I14" s="60" t="n">
        <x:v>8999.003612116301</x:v>
      </x:c>
      <x:c r="J14" s="60" t="n">
        <x:v>8999.003612116301</x:v>
      </x:c>
      <x:c r="K14" s="60" t="n">
        <x:v>0</x:v>
      </x:c>
      <x:c r="L14" s="60" t="n">
        <x:v>8936.3006338985</x:v>
      </x:c>
      <x:c r="M14" s="60" t="n">
        <x:v>62.7029782178</x:v>
      </x:c>
      <x:c r="N14" s="46" t="str">
        <x:v>anarhichas denticulatus</x:v>
      </x:c>
      <x:c r="O14" s="62" t="n">
        <x:v>3.75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Anarhichas denticulatus</x:v>
      </x:c>
      <x:c r="T14" s="62" t="n">
        <x:f>IF(O14="","",(1/'Metadata'!$B$5)^(O14-1))</x:f>
        <x:v>562.341325190349</x:v>
      </x:c>
      <x:c r="U14" s="60" t="n">
        <x:f>IF(T14="","",I14*T14)</x:f>
        <x:v>5060511.616630219</x:v>
      </x:c>
    </x:row>
    <x:row r="15" ht="18" customHeight="1">
      <x:c r="A15" s="46" t="str">
        <x:v>LME_020</x:v>
      </x:c>
      <x:c r="B15" s="46" t="str">
        <x:v>Barents Sea</x:v>
      </x:c>
      <x:c r="C15" s="46" t="str">
        <x:v>LME</x:v>
      </x:c>
      <x:c r="D15" s="58" t="n">
        <x:v>2019</x:v>
      </x:c>
      <x:c r="E15" s="46" t="str">
        <x:v>Sebastes</x:v>
      </x:c>
      <x:c r="F15" s="46" t="str">
        <x:v>Redfishes</x:v>
      </x:c>
      <x:c r="G15" s="46" t="str">
        <x:v>Large reef assoc. fish (&gt;=90 cm)</x:v>
      </x:c>
      <x:c r="H15" s="46" t="str">
        <x:v>Scorpionfishes</x:v>
      </x:c>
      <x:c r="I15" s="60" t="n">
        <x:v>3419.1108795867</x:v>
      </x:c>
      <x:c r="J15" s="60" t="n">
        <x:v>791.3620764607</x:v>
      </x:c>
      <x:c r="K15" s="60" t="n">
        <x:v>2627.748803126</x:v>
      </x:c>
      <x:c r="L15" s="60" t="n">
        <x:v>790.7102209796</x:v>
      </x:c>
      <x:c r="M15" s="60" t="n">
        <x:v>2628.4006586071</x:v>
      </x:c>
      <x:c r="N15" s="46" t="str">
        <x:v>sebastes</x:v>
      </x:c>
      <x:c r="O15" s="62" t="n">
        <x:v>3.79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Sebastes</x:v>
      </x:c>
      <x:c r="T15" s="62" t="n">
        <x:f>IF(O15="","",(1/'Metadata'!$B$5)^(O15-1))</x:f>
        <x:v>616.5950018614822</x:v>
      </x:c>
      <x:c r="U15" s="60" t="n">
        <x:f>IF(T15="","",I15*T15)</x:f>
        <x:v>2108206.679163375</x:v>
      </x:c>
    </x:row>
    <x:row r="16" ht="18" customHeight="1">
      <x:c r="A16" s="46" t="str">
        <x:v>LME_020</x:v>
      </x:c>
      <x:c r="B16" s="46" t="str">
        <x:v>Barents Sea</x:v>
      </x:c>
      <x:c r="C16" s="46" t="str">
        <x:v>LME</x:v>
      </x:c>
      <x:c r="D16" s="58" t="n">
        <x:v>2019</x:v>
      </x:c>
      <x:c r="E16" s="46" t="str">
        <x:v>Anarhichas lupus</x:v>
      </x:c>
      <x:c r="F16" s="46" t="str">
        <x:v>Atlantic wolffish</x:v>
      </x:c>
      <x:c r="G16" s="46" t="str">
        <x:v>Large demersals (&gt;=90 cm)</x:v>
      </x:c>
      <x:c r="H16" s="46" t="str">
        <x:v>Perch-likes</x:v>
      </x:c>
      <x:c r="I16" s="60" t="n">
        <x:v>2694.4634256723</x:v>
      </x:c>
      <x:c r="J16" s="60" t="n">
        <x:v>2694.4634256723</x:v>
      </x:c>
      <x:c r="K16" s="60" t="n">
        <x:v>0</x:v>
      </x:c>
      <x:c r="L16" s="60" t="n">
        <x:v>1834.8821500011002</x:v>
      </x:c>
      <x:c r="M16" s="60" t="n">
        <x:v>859.5812756711999</x:v>
      </x:c>
      <x:c r="N16" s="46" t="str">
        <x:v>anarhichas lupus</x:v>
      </x:c>
      <x:c r="O16" s="62" t="n">
        <x:v>3.55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Anarhichas lupus</x:v>
      </x:c>
      <x:c r="T16" s="62" t="n">
        <x:f>IF(O16="","",(1/'Metadata'!$B$5)^(O16-1))</x:f>
        <x:v>354.8133892335753</x:v>
      </x:c>
      <x:c r="U16" s="60" t="n">
        <x:f>IF(T16="","",I16*T16)</x:f>
        <x:v>956031.7002286986</x:v>
      </x:c>
    </x:row>
    <x:row r="17" ht="18" customHeight="1">
      <x:c r="A17" s="46" t="str">
        <x:v>LME_020</x:v>
      </x:c>
      <x:c r="B17" s="46" t="str">
        <x:v>Barents Sea</x:v>
      </x:c>
      <x:c r="C17" s="46" t="str">
        <x:v>LME</x:v>
      </x:c>
      <x:c r="D17" s="58" t="n">
        <x:v>2019</x:v>
      </x:c>
      <x:c r="E17" s="46" t="str">
        <x:v>Anarhichas minor</x:v>
      </x:c>
      <x:c r="F17" s="46" t="str">
        <x:v>Spotted wolffish</x:v>
      </x:c>
      <x:c r="G17" s="46" t="str">
        <x:v>Large demersals (&gt;=90 cm)</x:v>
      </x:c>
      <x:c r="H17" s="46" t="str">
        <x:v>Perch-likes</x:v>
      </x:c>
      <x:c r="I17" s="60" t="n">
        <x:v>2476.6714201451</x:v>
      </x:c>
      <x:c r="J17" s="60" t="n">
        <x:v>2476.6714201451</x:v>
      </x:c>
      <x:c r="K17" s="60" t="n">
        <x:v>0</x:v>
      </x:c>
      <x:c r="L17" s="60" t="n">
        <x:v>2434.3799037073</x:v>
      </x:c>
      <x:c r="M17" s="60" t="n">
        <x:v>42.2915164378</x:v>
      </x:c>
      <x:c r="N17" s="46" t="str">
        <x:v>anarhichas minor</x:v>
      </x:c>
      <x:c r="O17" s="62" t="n">
        <x:v>3.45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Anarhichas minor</x:v>
      </x:c>
      <x:c r="T17" s="62" t="n">
        <x:f>IF(O17="","",(1/'Metadata'!$B$5)^(O17-1))</x:f>
        <x:v>281.8382931264455</x:v>
      </x:c>
      <x:c r="U17" s="60" t="n">
        <x:f>IF(T17="","",I17*T17)</x:f>
        <x:v>698020.8456887447</x:v>
      </x:c>
    </x:row>
    <x:row r="18" ht="18" customHeight="1">
      <x:c r="A18" s="46" t="str">
        <x:v>LME_020</x:v>
      </x:c>
      <x:c r="B18" s="46" t="str">
        <x:v>Barents Sea</x:v>
      </x:c>
      <x:c r="C18" s="46" t="str">
        <x:v>LME</x:v>
      </x:c>
      <x:c r="D18" s="58" t="n">
        <x:v>2019</x:v>
      </x:c>
      <x:c r="E18" s="46" t="str">
        <x:v>Hippoglossoides platessoides</x:v>
      </x:c>
      <x:c r="F18" s="46" t="str">
        <x:v>American plaice</x:v>
      </x:c>
      <x:c r="G18" s="46" t="str">
        <x:v>Small to medium flatfishes (&lt;90 cm)</x:v>
      </x:c>
      <x:c r="H18" s="46" t="str">
        <x:v>Flatfishes</x:v>
      </x:c>
      <x:c r="I18" s="60" t="n">
        <x:v>2424.6607885013</x:v>
      </x:c>
      <x:c r="J18" s="60" t="n">
        <x:v>2420.8768080024</x:v>
      </x:c>
      <x:c r="K18" s="60" t="n">
        <x:v>3.7839804989</x:v>
      </x:c>
      <x:c r="L18" s="60" t="n">
        <x:v>2389.9398843255</x:v>
      </x:c>
      <x:c r="M18" s="60" t="n">
        <x:v>34.7209041758</x:v>
      </x:c>
      <x:c r="N18" s="46" t="str">
        <x:v>hippoglossoides platessoides</x:v>
      </x:c>
      <x:c r="O18" s="62" t="n">
        <x:v>4.08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Hippoglossoides platessoides</x:v>
      </x:c>
      <x:c r="T18" s="62" t="n">
        <x:f>IF(O18="","",(1/'Metadata'!$B$5)^(O18-1))</x:f>
        <x:v>1202.2644346174131</x:v>
      </x:c>
      <x:c r="U18" s="60" t="n">
        <x:f>IF(T18="","",I18*T18)</x:f>
        <x:v>2915083.4320265264</x:v>
      </x:c>
    </x:row>
    <x:row r="19" ht="18" customHeight="1">
      <x:c r="A19" s="46" t="str">
        <x:v>LME_020</x:v>
      </x:c>
      <x:c r="B19" s="46" t="str">
        <x:v>Barents Sea</x:v>
      </x:c>
      <x:c r="C19" s="46" t="str">
        <x:v>LME</x:v>
      </x:c>
      <x:c r="D19" s="58" t="n">
        <x:v>2019</x:v>
      </x:c>
      <x:c r="E19" s="46" t="str">
        <x:v>Micromesistius poutassou</x:v>
      </x:c>
      <x:c r="F19" s="46" t="str">
        <x:v>Blue whiting</x:v>
      </x:c>
      <x:c r="G19" s="46" t="str">
        <x:v>Medium benthopelagics (30 - 89 cm)</x:v>
      </x:c>
      <x:c r="H19" s="46" t="str">
        <x:v>Cod-likes</x:v>
      </x:c>
      <x:c r="I19" s="60" t="n">
        <x:v>2334.9281733544003</x:v>
      </x:c>
      <x:c r="J19" s="60" t="n">
        <x:v>2322.4151582854</x:v>
      </x:c>
      <x:c r="K19" s="60" t="n">
        <x:v>12.513015069</x:v>
      </x:c>
      <x:c r="L19" s="60" t="n">
        <x:v>2322.4151582854</x:v>
      </x:c>
      <x:c r="M19" s="60" t="n">
        <x:v>12.513015069</x:v>
      </x:c>
      <x:c r="N19" s="46" t="str">
        <x:v>micromesistius poutassou</x:v>
      </x:c>
      <x:c r="O19" s="62" t="n">
        <x:v>4.13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Micromesistius poutassou</x:v>
      </x:c>
      <x:c r="T19" s="62" t="n">
        <x:f>IF(O19="","",(1/'Metadata'!$B$5)^(O19-1))</x:f>
        <x:v>1348.9628825916532</x:v>
      </x:c>
      <x:c r="U19" s="60" t="n">
        <x:f>IF(T19="","",I19*T19)</x:f>
        <x:v>3149731.439372615</x:v>
      </x:c>
    </x:row>
    <x:row r="20" ht="18" customHeight="1">
      <x:c r="A20" s="46" t="str">
        <x:v>LME_020</x:v>
      </x:c>
      <x:c r="B20" s="46" t="str">
        <x:v>Barents Sea</x:v>
      </x:c>
      <x:c r="C20" s="46" t="str">
        <x:v>LME</x:v>
      </x:c>
      <x:c r="D20" s="58" t="n">
        <x:v>2019</x:v>
      </x:c>
      <x:c r="E20" s="46" t="str">
        <x:v>Pleuronectidae</x:v>
      </x:c>
      <x:c r="F20" s="46" t="str">
        <x:v>Righteye flounders</x:v>
      </x:c>
      <x:c r="G20" s="46" t="str">
        <x:v>Small to medium flatfishes (&lt;90 cm)</x:v>
      </x:c>
      <x:c r="H20" s="46" t="str">
        <x:v>Flatfishes</x:v>
      </x:c>
      <x:c r="I20" s="60" t="n">
        <x:v>2309.1296912474</x:v>
      </x:c>
      <x:c r="J20" s="60" t="n">
        <x:v>3.0024592568</x:v>
      </x:c>
      <x:c r="K20" s="60" t="n">
        <x:v>2306.1272319906</x:v>
      </x:c>
      <x:c r="L20" s="60" t="n">
        <x:v>2.9233303227</x:v>
      </x:c>
      <x:c r="M20" s="60" t="n">
        <x:v>2306.2063609247</x:v>
      </x:c>
      <x:c r="N20" s="46" t="str">
        <x:v>pleuronectidae</x:v>
      </x:c>
      <x:c r="O20" s="62" t="n">
        <x:v>3.49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Pleuronectidae</x:v>
      </x:c>
      <x:c r="T20" s="62" t="n">
        <x:f>IF(O20="","",(1/'Metadata'!$B$5)^(O20-1))</x:f>
        <x:v>309.0295432513592</x:v>
      </x:c>
      <x:c r="U20" s="60" t="n">
        <x:f>IF(T20="","",I20*T20)</x:f>
        <x:v>713589.2937943361</x:v>
      </x:c>
    </x:row>
    <x:row r="21" ht="18" customHeight="1">
      <x:c r="A21" s="46" t="str">
        <x:v>LME_020</x:v>
      </x:c>
      <x:c r="B21" s="46" t="str">
        <x:v>Barents Sea</x:v>
      </x:c>
      <x:c r="C21" s="46" t="str">
        <x:v>LME</x:v>
      </x:c>
      <x:c r="D21" s="58" t="n">
        <x:v>2019</x:v>
      </x:c>
      <x:c r="E21" s="46" t="str">
        <x:v>Gadiformes</x:v>
      </x:c>
      <x:c r="F21" s="46" t="str">
        <x:v>Cods</x:v>
      </x:c>
      <x:c r="G21" s="46" t="str">
        <x:v>Medium benthopelagics (30 - 89 cm)</x:v>
      </x:c>
      <x:c r="H21" s="46" t="str">
        <x:v>Cod-likes</x:v>
      </x:c>
      <x:c r="I21" s="60" t="n">
        <x:v>2255.2102717953</x:v>
      </x:c>
      <x:c r="J21" s="60" t="n">
        <x:v>19.4858263488</x:v>
      </x:c>
      <x:c r="K21" s="60" t="n">
        <x:v>2235.7244454465</x:v>
      </x:c>
      <x:c r="L21" s="60" t="n">
        <x:v>19.4858263488</x:v>
      </x:c>
      <x:c r="M21" s="60" t="n">
        <x:v>2235.7244454465</x:v>
      </x:c>
      <x:c r="N21" s="46" t="str">
        <x:v>gadiformes</x:v>
      </x:c>
      <x:c r="O21" s="62" t="n">
        <x:v>3.91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Gadiformes</x:v>
      </x:c>
      <x:c r="T21" s="62" t="n">
        <x:f>IF(O21="","",(1/'Metadata'!$B$5)^(O21-1))</x:f>
        <x:v>812.8305161640995</x:v>
      </x:c>
      <x:c r="U21" s="60" t="n">
        <x:f>IF(T21="","",I21*T21)</x:f>
        <x:v>1833103.7292819528</x:v>
      </x:c>
    </x:row>
    <x:row r="22" ht="18" customHeight="1">
      <x:c r="A22" s="46" t="str">
        <x:v>LME_020</x:v>
      </x:c>
      <x:c r="B22" s="46" t="str">
        <x:v>Barents Sea</x:v>
      </x:c>
      <x:c r="C22" s="46" t="str">
        <x:v>LME</x:v>
      </x:c>
      <x:c r="D22" s="58" t="n">
        <x:v>2019</x:v>
      </x:c>
      <x:c r="E22" s="46" t="str">
        <x:v>Sebastes norvegicus</x:v>
      </x:c>
      <x:c r="F22" s="46" t="str">
        <x:v>Golden redfish</x:v>
      </x:c>
      <x:c r="G22" s="46" t="str">
        <x:v>Medium benthopelagics (30 - 89 cm)</x:v>
      </x:c>
      <x:c r="H22" s="46" t="str">
        <x:v>Scorpionfishes</x:v>
      </x:c>
      <x:c r="I22" s="60" t="n">
        <x:v>2097.0367173479</x:v>
      </x:c>
      <x:c r="J22" s="60" t="n">
        <x:v>1862.9883311829997</x:v>
      </x:c>
      <x:c r="K22" s="60" t="n">
        <x:v>234.04838616490002</x:v>
      </x:c>
      <x:c r="L22" s="60" t="n">
        <x:v>1729.2011530562</x:v>
      </x:c>
      <x:c r="M22" s="60" t="n">
        <x:v>367.8355642917</x:v>
      </x:c>
      <x:c r="N22" s="46" t="str">
        <x:v>sebastes norvegicus</x:v>
      </x:c>
      <x:c r="O22" s="62" t="n">
        <x:v>4.04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Sebastes norvegicus</x:v>
      </x:c>
      <x:c r="T22" s="62" t="n">
        <x:f>IF(O22="","",(1/'Metadata'!$B$5)^(O22-1))</x:f>
        <x:v>1096.4781961431852</x:v>
      </x:c>
      <x:c r="U22" s="60" t="n">
        <x:f>IF(T22="","",I22*T22)</x:f>
        <x:v>2299355.037083652</x:v>
      </x:c>
    </x:row>
    <x:row r="23" ht="18" customHeight="1">
      <x:c r="A23" s="46" t="str">
        <x:v>LME_020</x:v>
      </x:c>
      <x:c r="B23" s="46" t="str">
        <x:v>Barents Sea</x:v>
      </x:c>
      <x:c r="C23" s="46" t="str">
        <x:v>LME</x:v>
      </x:c>
      <x:c r="D23" s="58" t="n">
        <x:v>2019</x:v>
      </x:c>
      <x:c r="E23" s="46" t="str">
        <x:v>Anarhichas</x:v>
      </x:c>
      <x:c r="F23" s="46" t="str">
        <x:v>Wolffishes</x:v>
      </x:c>
      <x:c r="G23" s="46" t="str">
        <x:v>Large demersals (&gt;=90 cm)</x:v>
      </x:c>
      <x:c r="H23" s="46" t="str">
        <x:v>Perch-likes</x:v>
      </x:c>
      <x:c r="I23" s="60" t="n">
        <x:v>1892.0022680295</x:v>
      </x:c>
      <x:c r="J23" s="60" t="n">
        <x:v>145.4652779084</x:v>
      </x:c>
      <x:c r="K23" s="60" t="n">
        <x:v>1746.5369901211</x:v>
      </x:c>
      <x:c r="L23" s="60" t="n">
        <x:v>145.4652779084</x:v>
      </x:c>
      <x:c r="M23" s="60" t="n">
        <x:v>1746.5369901211</x:v>
      </x:c>
      <x:c r="N23" s="46" t="str">
        <x:v>anarhichas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Anarhichas</x:v>
      </x:c>
      <x:c r="T23" s="62" t="n">
        <x:f>IF(O23="","",(1/'Metadata'!$B$5)^(O23-1))</x:f>
        <x:v>223.872113856834</x:v>
      </x:c>
      <x:c r="U23" s="60" t="n">
        <x:f>IF(T23="","",I23*T23)</x:f>
        <x:v>423566.5471656884</x:v>
      </x:c>
    </x:row>
    <x:row r="24" ht="18" customHeight="1">
      <x:c r="A24" s="46" t="str">
        <x:v>LME_020</x:v>
      </x:c>
      <x:c r="B24" s="46" t="str">
        <x:v>Barents Sea</x:v>
      </x:c>
      <x:c r="C24" s="46" t="str">
        <x:v>LME</x:v>
      </x:c>
      <x:c r="D24" s="58" t="n">
        <x:v>2019</x:v>
      </x:c>
      <x:c r="E24" s="46" t="str">
        <x:v>Eleginus nawaga</x:v>
      </x:c>
      <x:c r="F24" s="46" t="str">
        <x:v>Navaga</x:v>
      </x:c>
      <x:c r="G24" s="46" t="str">
        <x:v>Medium demersals (30 - 89 cm)</x:v>
      </x:c>
      <x:c r="H24" s="46" t="str">
        <x:v>Cod-likes</x:v>
      </x:c>
      <x:c r="I24" s="60" t="n">
        <x:v>1476.1707544936999</x:v>
      </x:c>
      <x:c r="J24" s="60" t="n">
        <x:v>1476.1707544936999</x:v>
      </x:c>
      <x:c r="K24" s="60" t="n">
        <x:v>0</x:v>
      </x:c>
      <x:c r="L24" s="60" t="n">
        <x:v>378.8838566009</x:v>
      </x:c>
      <x:c r="M24" s="60" t="n">
        <x:v>1097.2868978928</x:v>
      </x:c>
      <x:c r="N24" s="46" t="str">
        <x:v>eleginus nawaga</x:v>
      </x:c>
      <x:c r="O24" s="62" t="n">
        <x:v>4.24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Eleginus nawaga</x:v>
      </x:c>
      <x:c r="T24" s="62" t="n">
        <x:f>IF(O24="","",(1/'Metadata'!$B$5)^(O24-1))</x:f>
        <x:v>1737.8008287493763</x:v>
      </x:c>
      <x:c r="U24" s="60" t="n">
        <x:f>IF(T24="","",I24*T24)</x:f>
        <x:v>2565290.760534744</x:v>
      </x:c>
    </x:row>
    <x:row r="25" ht="18" customHeight="1">
      <x:c r="A25" s="46" t="str">
        <x:v>LME_020</x:v>
      </x:c>
      <x:c r="B25" s="46" t="str">
        <x:v>Barents Sea</x:v>
      </x:c>
      <x:c r="C25" s="46" t="str">
        <x:v>LME</x:v>
      </x:c>
      <x:c r="D25" s="58" t="n">
        <x:v>2019</x:v>
      </x:c>
      <x:c r="E25" s="46" t="str">
        <x:v>Boreogadus saida</x:v>
      </x:c>
      <x:c r="F25" s="46" t="str">
        <x:v>Polar cod</x:v>
      </x:c>
      <x:c r="G25" s="46" t="str">
        <x:v>Medium demersals (30 - 89 cm)</x:v>
      </x:c>
      <x:c r="H25" s="46" t="str">
        <x:v>Cod-likes</x:v>
      </x:c>
      <x:c r="I25" s="60" t="n">
        <x:v>1027.5500666425</x:v>
      </x:c>
      <x:c r="J25" s="60" t="n">
        <x:v>855.9419268619</x:v>
      </x:c>
      <x:c r="K25" s="60" t="n">
        <x:v>171.6081397806</x:v>
      </x:c>
      <x:c r="L25" s="60" t="n">
        <x:v>12.0004855596</x:v>
      </x:c>
      <x:c r="M25" s="60" t="n">
        <x:v>1015.5495810829</x:v>
      </x:c>
      <x:c r="N25" s="46" t="str">
        <x:v>boreogadus saida</x:v>
      </x:c>
      <x:c r="O25" s="62" t="n">
        <x:v>3.12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Boreogadus saida</x:v>
      </x:c>
      <x:c r="T25" s="62" t="n">
        <x:f>IF(O25="","",(1/'Metadata'!$B$5)^(O25-1))</x:f>
        <x:v>131.82567385564073</x:v>
      </x:c>
      <x:c r="U25" s="60" t="n">
        <x:f>IF(T25="","",I25*T25)</x:f>
        <x:v>135457.4799555561</x:v>
      </x:c>
    </x:row>
    <x:row r="26" ht="18" customHeight="1">
      <x:c r="A26" s="46" t="str">
        <x:v>LME_020</x:v>
      </x:c>
      <x:c r="B26" s="46" t="str">
        <x:v>Barents Sea</x:v>
      </x:c>
      <x:c r="C26" s="46" t="str">
        <x:v>LME</x:v>
      </x:c>
      <x:c r="D26" s="58" t="n">
        <x:v>2019</x:v>
      </x:c>
      <x:c r="E26" s="46" t="str">
        <x:v>Pollachius pollachius</x:v>
      </x:c>
      <x:c r="F26" s="46" t="str">
        <x:v>Pollack</x:v>
      </x:c>
      <x:c r="G26" s="46" t="str">
        <x:v>Large benthopelagics (&gt;=90 cm)</x:v>
      </x:c>
      <x:c r="H26" s="46" t="str">
        <x:v>Cod-likes</x:v>
      </x:c>
      <x:c r="I26" s="60" t="n">
        <x:v>836.7508573672</x:v>
      </x:c>
      <x:c r="J26" s="60" t="n">
        <x:v>836.7508573672</x:v>
      </x:c>
      <x:c r="K26" s="60" t="n">
        <x:v>0</x:v>
      </x:c>
      <x:c r="L26" s="60" t="n">
        <x:v>6.4116895928</x:v>
      </x:c>
      <x:c r="M26" s="60" t="n">
        <x:v>830.3391677743999</x:v>
      </x:c>
      <x:c r="N26" s="46" t="str">
        <x:v>pollachius pollachius</x:v>
      </x:c>
      <x:c r="O26" s="62" t="n">
        <x:v>4.32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Pollachius pollachius</x:v>
      </x:c>
      <x:c r="T26" s="62" t="n">
        <x:f>IF(O26="","",(1/'Metadata'!$B$5)^(O26-1))</x:f>
        <x:v>2089.2961308540407</x:v>
      </x:c>
      <x:c r="U26" s="60" t="n">
        <x:f>IF(T26="","",I26*T26)</x:f>
        <x:v>1748220.328786092</x:v>
      </x:c>
    </x:row>
    <x:row r="27" ht="18" customHeight="1">
      <x:c r="A27" s="46" t="str">
        <x:v>LME_020</x:v>
      </x:c>
      <x:c r="B27" s="46" t="str">
        <x:v>Barents Sea</x:v>
      </x:c>
      <x:c r="C27" s="46" t="str">
        <x:v>LME</x:v>
      </x:c>
      <x:c r="D27" s="58" t="n">
        <x:v>2019</x:v>
      </x:c>
      <x:c r="E27" s="46" t="str">
        <x:v>Brosme brosme</x:v>
      </x:c>
      <x:c r="F27" s="46" t="str">
        <x:v>Tusk</x:v>
      </x:c>
      <x:c r="G27" s="46" t="str">
        <x:v>Large demersals (&gt;=90 cm)</x:v>
      </x:c>
      <x:c r="H27" s="46" t="str">
        <x:v>Cod-likes</x:v>
      </x:c>
      <x:c r="I27" s="60" t="n">
        <x:v>790.1750766208</x:v>
      </x:c>
      <x:c r="J27" s="60" t="n">
        <x:v>786.8608713166</x:v>
      </x:c>
      <x:c r="K27" s="60" t="n">
        <x:v>3.3142053042</x:v>
      </x:c>
      <x:c r="L27" s="60" t="n">
        <x:v>93.89858188939999</x:v>
      </x:c>
      <x:c r="M27" s="60" t="n">
        <x:v>696.2764947314</x:v>
      </x:c>
      <x:c r="N27" s="46" t="str">
        <x:v>brosme brosme</x:v>
      </x:c>
      <x:c r="O27" s="62" t="n">
        <x:v>3.9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Brosme brosme</x:v>
      </x:c>
      <x:c r="T27" s="62" t="n">
        <x:f>IF(O27="","",(1/'Metadata'!$B$5)^(O27-1))</x:f>
        <x:v>794.3282347242813</x:v>
      </x:c>
      <x:c r="U27" s="60" t="n">
        <x:f>IF(T27="","",I27*T27)</x:f>
        <x:v>627658.3737353238</x:v>
      </x:c>
    </x:row>
    <x:row r="28" ht="18" customHeight="1">
      <x:c r="A28" s="46" t="str">
        <x:v>LME_020</x:v>
      </x:c>
      <x:c r="B28" s="46" t="str">
        <x:v>Barents Sea</x:v>
      </x:c>
      <x:c r="C28" s="46" t="str">
        <x:v>LME</x:v>
      </x:c>
      <x:c r="D28" s="58" t="n">
        <x:v>2019</x:v>
      </x:c>
      <x:c r="E28" s="46" t="str">
        <x:v>Molva molva</x:v>
      </x:c>
      <x:c r="F28" s="46" t="str">
        <x:v>Ling</x:v>
      </x:c>
      <x:c r="G28" s="46" t="str">
        <x:v>Large demersals (&gt;=90 cm)</x:v>
      </x:c>
      <x:c r="H28" s="46" t="str">
        <x:v>Cod-likes</x:v>
      </x:c>
      <x:c r="I28" s="60" t="n">
        <x:v>711.4974316643</x:v>
      </x:c>
      <x:c r="J28" s="60" t="n">
        <x:v>680.5186085303</x:v>
      </x:c>
      <x:c r="K28" s="60" t="n">
        <x:v>30.978823134000002</x:v>
      </x:c>
      <x:c r="L28" s="60" t="n">
        <x:v>130.51390556340002</x:v>
      </x:c>
      <x:c r="M28" s="60" t="n">
        <x:v>580.9835261009</x:v>
      </x:c>
      <x:c r="N28" s="46" t="str">
        <x:v>molva molva</x:v>
      </x:c>
      <x:c r="O28" s="62" t="n">
        <x:v>4.4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Molva molva</x:v>
      </x:c>
      <x:c r="T28" s="62" t="n">
        <x:f>IF(O28="","",(1/'Metadata'!$B$5)^(O28-1))</x:f>
        <x:v>2511.886431509582</x:v>
      </x:c>
      <x:c r="U28" s="60" t="n">
        <x:f>IF(T28="","",I28*T28)</x:f>
        <x:v>1787200.7446514713</x:v>
      </x:c>
    </x:row>
    <x:row r="29" ht="18" customHeight="1">
      <x:c r="A29" s="46" t="str">
        <x:v>LME_020</x:v>
      </x:c>
      <x:c r="B29" s="46" t="str">
        <x:v>Barents Sea</x:v>
      </x:c>
      <x:c r="C29" s="46" t="str">
        <x:v>LME</x:v>
      </x:c>
      <x:c r="D29" s="58" t="n">
        <x:v>2019</x:v>
      </x:c>
      <x:c r="E29" s="46" t="str">
        <x:v>Gadidae</x:v>
      </x:c>
      <x:c r="F29" s="46" t="str">
        <x:v>Cods, haddocks</x:v>
      </x:c>
      <x:c r="G29" s="46" t="str">
        <x:v>Medium demersals (30 - 89 cm)</x:v>
      </x:c>
      <x:c r="H29" s="46" t="str">
        <x:v>Cod-likes</x:v>
      </x:c>
      <x:c r="I29" s="60" t="n">
        <x:v>544.7869725366</x:v>
      </x:c>
      <x:c r="J29" s="60" t="n">
        <x:v>390.239670746</x:v>
      </x:c>
      <x:c r="K29" s="60" t="n">
        <x:v>154.5473017906</x:v>
      </x:c>
      <x:c r="L29" s="60" t="n">
        <x:v>390.239670746</x:v>
      </x:c>
      <x:c r="M29" s="60" t="n">
        <x:v>154.5473017906</x:v>
      </x:c>
      <x:c r="N29" s="46" t="str">
        <x:v>gadidae</x:v>
      </x:c>
      <x:c r="O29" s="62" t="n">
        <x:v>3.84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Gadidae</x:v>
      </x:c>
      <x:c r="T29" s="62" t="n">
        <x:f>IF(O29="","",(1/'Metadata'!$B$5)^(O29-1))</x:f>
        <x:v>691.8309709189363</x:v>
      </x:c>
      <x:c r="U29" s="60" t="n">
        <x:f>IF(T29="","",I29*T29)</x:f>
        <x:v>376900.5001539839</x:v>
      </x:c>
    </x:row>
    <x:row r="30" ht="18" customHeight="1">
      <x:c r="A30" s="46" t="str">
        <x:v>LME_020</x:v>
      </x:c>
      <x:c r="B30" s="46" t="str">
        <x:v>Barents Sea</x:v>
      </x:c>
      <x:c r="C30" s="46" t="str">
        <x:v>LME</x:v>
      </x:c>
      <x:c r="D30" s="58" t="n">
        <x:v>2019</x:v>
      </x:c>
      <x:c r="E30" s="46" t="str">
        <x:v>Merluccius merluccius</x:v>
      </x:c>
      <x:c r="F30" s="46" t="str">
        <x:v>European hake</x:v>
      </x:c>
      <x:c r="G30" s="46" t="str">
        <x:v>Large demersals (&gt;=90 cm)</x:v>
      </x:c>
      <x:c r="H30" s="46" t="str">
        <x:v>Cod-likes</x:v>
      </x:c>
      <x:c r="I30" s="60" t="n">
        <x:v>510.99737208140004</x:v>
      </x:c>
      <x:c r="J30" s="60" t="n">
        <x:v>510.99737208140004</x:v>
      </x:c>
      <x:c r="K30" s="60" t="n">
        <x:v>0</x:v>
      </x:c>
      <x:c r="L30" s="60" t="n">
        <x:v>510.99737208140004</x:v>
      </x:c>
      <x:c r="M30" s="60" t="n">
        <x:v>0</x:v>
      </x:c>
      <x:c r="N30" s="46" t="str">
        <x:v>merluccius merluccius</x:v>
      </x:c>
      <x:c r="O30" s="62" t="n">
        <x:v>4.42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Merluccius merluccius</x:v>
      </x:c>
      <x:c r="T30" s="62" t="n">
        <x:f>IF(O30="","",(1/'Metadata'!$B$5)^(O30-1))</x:f>
        <x:v>2630.2679918953813</x:v>
      </x:c>
      <x:c r="U30" s="60" t="n">
        <x:f>IF(T30="","",I30*T30)</x:f>
        <x:v>1344060.031728361</x:v>
      </x:c>
    </x:row>
    <x:row r="31" ht="18" customHeight="1">
      <x:c r="A31" s="46" t="str">
        <x:v>LME_020</x:v>
      </x:c>
      <x:c r="B31" s="46" t="str">
        <x:v>Barents Sea</x:v>
      </x:c>
      <x:c r="C31" s="46" t="str">
        <x:v>LME</x:v>
      </x:c>
      <x:c r="D31" s="58" t="n">
        <x:v>2019</x:v>
      </x:c>
      <x:c r="E31" s="46" t="str">
        <x:v>Raja</x:v>
      </x:c>
      <x:c r="F31" s="46" t="str">
        <x:v>Stingrays, skates</x:v>
      </x:c>
      <x:c r="G31" s="46" t="str">
        <x:v>Small to medium rays (&lt;90 cm)</x:v>
      </x:c>
      <x:c r="H31" s="46" t="str">
        <x:v>Sharks &amp; rays</x:v>
      </x:c>
      <x:c r="I31" s="60" t="n">
        <x:v>387.2263181076</x:v>
      </x:c>
      <x:c r="J31" s="60" t="n">
        <x:v>372.68025700269993</x:v>
      </x:c>
      <x:c r="K31" s="60" t="n">
        <x:v>14.5460611049</x:v>
      </x:c>
      <x:c r="L31" s="60" t="n">
        <x:v>372.5449662311</x:v>
      </x:c>
      <x:c r="M31" s="60" t="n">
        <x:v>14.681351876499999</x:v>
      </x:c>
      <x:c r="N31" s="46" t="str">
        <x:v>raja</x:v>
      </x:c>
      <x:c r="O31" s="62" t="n">
        <x:v>3.8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Raja</x:v>
      </x:c>
      <x:c r="T31" s="62" t="n">
        <x:f>IF(O31="","",(1/'Metadata'!$B$5)^(O31-1))</x:f>
        <x:v>630.957344480193</x:v>
      </x:c>
      <x:c r="U31" s="60" t="n">
        <x:f>IF(T31="","",I31*T31)</x:f>
        <x:v>244323.28938601376</x:v>
      </x:c>
    </x:row>
    <x:row r="32" ht="18" customHeight="1">
      <x:c r="A32" s="46" t="str">
        <x:v>LME_020</x:v>
      </x:c>
      <x:c r="B32" s="46" t="str">
        <x:v>Barents Sea</x:v>
      </x:c>
      <x:c r="C32" s="46" t="str">
        <x:v>LME</x:v>
      </x:c>
      <x:c r="D32" s="58" t="n">
        <x:v>2019</x:v>
      </x:c>
      <x:c r="E32" s="46" t="str">
        <x:v>Echinoidea</x:v>
      </x:c>
      <x:c r="F32" s="46" t="str">
        <x:v>Sea urchins, sea hedgehogs</x:v>
      </x:c>
      <x:c r="G32" s="46" t="str">
        <x:v>Other demersal invertebrates</x:v>
      </x:c>
      <x:c r="H32" s="46" t="str">
        <x:v>Other fishes &amp; inverts</x:v>
      </x:c>
      <x:c r="I32" s="60" t="n">
        <x:v>381.9962705233</x:v>
      </x:c>
      <x:c r="J32" s="60" t="n">
        <x:v>381.9962705233</x:v>
      </x:c>
      <x:c r="K32" s="60" t="n">
        <x:v>0</x:v>
      </x:c>
      <x:c r="L32" s="60" t="n">
        <x:v>381.9730620576</x:v>
      </x:c>
      <x:c r="M32" s="60" t="n">
        <x:v>0.0232084657</x:v>
      </x:c>
      <x:c r="N32" s="46" t="str">
        <x:v>echinoidea</x:v>
      </x:c>
      <x:c r="O32" s="62" t="n">
        <x:v>2.51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Echinoidea</x:v>
      </x:c>
      <x:c r="T32" s="62" t="n">
        <x:f>IF(O32="","",(1/'Metadata'!$B$5)^(O32-1))</x:f>
        <x:v>32.35936569296281</x:v>
      </x:c>
      <x:c r="U32" s="60" t="n">
        <x:f>IF(T32="","",I32*T32)</x:f>
        <x:v>12361.157011211415</x:v>
      </x:c>
    </x:row>
    <x:row r="33" ht="18" customHeight="1">
      <x:c r="A33" s="46" t="str">
        <x:v>LME_020</x:v>
      </x:c>
      <x:c r="B33" s="46" t="str">
        <x:v>Barents Sea</x:v>
      </x:c>
      <x:c r="C33" s="46" t="str">
        <x:v>LME</x:v>
      </x:c>
      <x:c r="D33" s="58" t="n">
        <x:v>2019</x:v>
      </x:c>
      <x:c r="E33" s="46" t="str">
        <x:v>Limanda limanda</x:v>
      </x:c>
      <x:c r="F33" s="46" t="str">
        <x:v>Common dab</x:v>
      </x:c>
      <x:c r="G33" s="46" t="str">
        <x:v>Small to medium flatfishes (&lt;90 cm)</x:v>
      </x:c>
      <x:c r="H33" s="46" t="str">
        <x:v>Flatfishes</x:v>
      </x:c>
      <x:c r="I33" s="60" t="n">
        <x:v>250.76741561839998</x:v>
      </x:c>
      <x:c r="J33" s="60" t="n">
        <x:v>250.76741561839998</x:v>
      </x:c>
      <x:c r="K33" s="60" t="n">
        <x:v>0</x:v>
      </x:c>
      <x:c r="L33" s="60" t="n">
        <x:v>247.7184863627</x:v>
      </x:c>
      <x:c r="M33" s="60" t="n">
        <x:v>3.0489292557</x:v>
      </x:c>
      <x:c r="N33" s="46" t="str">
        <x:v>limanda limanda</x:v>
      </x:c>
      <x:c r="O33" s="62" t="n">
        <x:v>3.29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Limanda limanda</x:v>
      </x:c>
      <x:c r="T33" s="62" t="n">
        <x:f>IF(O33="","",(1/'Metadata'!$B$5)^(O33-1))</x:f>
        <x:v>194.98445997580455</x:v>
      </x:c>
      <x:c r="U33" s="60" t="n">
        <x:f>IF(T33="","",I33*T33)</x:f>
        <x:v>48895.74911388186</x:v>
      </x:c>
    </x:row>
    <x:row r="34" ht="18" customHeight="1">
      <x:c r="A34" s="46" t="str">
        <x:v>LME_020</x:v>
      </x:c>
      <x:c r="B34" s="46" t="str">
        <x:v>Barents Sea</x:v>
      </x:c>
      <x:c r="C34" s="46" t="str">
        <x:v>LME</x:v>
      </x:c>
      <x:c r="D34" s="58" t="n">
        <x:v>2019</x:v>
      </x:c>
      <x:c r="E34" s="46" t="str">
        <x:v>Mallotus villosus</x:v>
      </x:c>
      <x:c r="F34" s="46" t="str">
        <x:v>Capelin</x:v>
      </x:c>
      <x:c r="G34" s="46" t="str">
        <x:v>Small pelagics (&lt;30 cm)</x:v>
      </x:c>
      <x:c r="H34" s="46" t="str">
        <x:v>Salmon, smelts, etc</x:v>
      </x:c>
      <x:c r="I34" s="60" t="n">
        <x:v>236.40067633089998</x:v>
      </x:c>
      <x:c r="J34" s="60" t="n">
        <x:v>64.8140080506</x:v>
      </x:c>
      <x:c r="K34" s="60" t="n">
        <x:v>171.58666828030002</x:v>
      </x:c>
      <x:c r="L34" s="60" t="n">
        <x:v>37.3385926059</x:v>
      </x:c>
      <x:c r="M34" s="60" t="n">
        <x:v>199.062083725</x:v>
      </x:c>
      <x:c r="N34" s="46" t="str">
        <x:v>mallotus villosus</x:v>
      </x:c>
      <x:c r="O34" s="62" t="n">
        <x:v>3.15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Mallotus villosus</x:v>
      </x:c>
      <x:c r="T34" s="62" t="n">
        <x:f>IF(O34="","",(1/'Metadata'!$B$5)^(O34-1))</x:f>
        <x:v>141.2537544622754</x:v>
      </x:c>
      <x:c r="U34" s="60" t="n">
        <x:f>IF(T34="","",I34*T34)</x:f>
        <x:v>33392.483089160785</x:v>
      </x:c>
    </x:row>
    <x:row r="35" ht="18" customHeight="1">
      <x:c r="A35" s="46" t="str">
        <x:v>LME_020</x:v>
      </x:c>
      <x:c r="B35" s="46" t="str">
        <x:v>Barents Sea</x:v>
      </x:c>
      <x:c r="C35" s="46" t="str">
        <x:v>LME</x:v>
      </x:c>
      <x:c r="D35" s="58" t="n">
        <x:v>2019</x:v>
      </x:c>
      <x:c r="E35" s="46" t="str">
        <x:v>Marine finfishes not identified</x:v>
      </x:c>
      <x:c r="F35" s="46" t="str">
        <x:v>Finfishes</x:v>
      </x:c>
      <x:c r="G35" s="46" t="str">
        <x:v>Medium demersals (30 - 89 cm)</x:v>
      </x:c>
      <x:c r="H35" s="46" t="str">
        <x:v>Other fishes &amp; inverts</x:v>
      </x:c>
      <x:c r="I35" s="60" t="n">
        <x:v>200.7599298766</x:v>
      </x:c>
      <x:c r="J35" s="60" t="n">
        <x:v>153.5380244604</x:v>
      </x:c>
      <x:c r="K35" s="60" t="n">
        <x:v>47.2219054162</x:v>
      </x:c>
      <x:c r="L35" s="60" t="n">
        <x:v>153.5380244604</x:v>
      </x:c>
      <x:c r="M35" s="60" t="n">
        <x:v>47.2219054162</x:v>
      </x:c>
      <x:c r="N35" s="46" t="str">
        <x:v>marine finfishes not identified</x:v>
      </x:c>
      <x:c r="O35" s="62" t="n">
        <x:v>3.23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Marine finfishes not identified</x:v>
      </x:c>
      <x:c r="T35" s="62" t="n">
        <x:f>IF(O35="","",(1/'Metadata'!$B$5)^(O35-1))</x:f>
        <x:v>169.82436524617444</x:v>
      </x:c>
      <x:c r="U35" s="60" t="n">
        <x:f>IF(T35="","",I35*T35)</x:f>
        <x:v>34093.927658160086</x:v>
      </x:c>
    </x:row>
    <x:row r="36" ht="18" customHeight="1">
      <x:c r="A36" s="46" t="str">
        <x:v>LME_020</x:v>
      </x:c>
      <x:c r="B36" s="46" t="str">
        <x:v>Barents Sea</x:v>
      </x:c>
      <x:c r="C36" s="46" t="str">
        <x:v>LME</x:v>
      </x:c>
      <x:c r="D36" s="58" t="n">
        <x:v>2019</x:v>
      </x:c>
      <x:c r="E36" s="46" t="str">
        <x:v>Salmo salar</x:v>
      </x:c>
      <x:c r="F36" s="46" t="str">
        <x:v>Atlantic salmon</x:v>
      </x:c>
      <x:c r="G36" s="46" t="str">
        <x:v>Large benthopelagics (&gt;=90 cm)</x:v>
      </x:c>
      <x:c r="H36" s="46" t="str">
        <x:v>Salmon, smelts, etc</x:v>
      </x:c>
      <x:c r="I36" s="60" t="n">
        <x:v>196.0722443729</x:v>
      </x:c>
      <x:c r="J36" s="60" t="n">
        <x:v>196.0722443729</x:v>
      </x:c>
      <x:c r="K36" s="60" t="n">
        <x:v>0</x:v>
      </x:c>
      <x:c r="L36" s="60" t="n">
        <x:v>21.2507693408</x:v>
      </x:c>
      <x:c r="M36" s="60" t="n">
        <x:v>174.8214750321</x:v>
      </x:c>
      <x:c r="N36" s="46" t="str">
        <x:v>salmo salar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Salmo salar</x:v>
      </x:c>
      <x:c r="T36" s="62" t="n">
        <x:f>IF(O36="","",(1/'Metadata'!$B$5)^(O36-1))</x:f>
        <x:v>3162.2776601683795</x:v>
      </x:c>
      <x:c r="U36" s="60" t="n">
        <x:f>IF(T36="","",I36*T36)</x:f>
        <x:v>620034.8781594969</x:v>
      </x:c>
    </x:row>
    <x:row r="37" ht="18" customHeight="1">
      <x:c r="A37" s="46" t="str">
        <x:v>LME_020</x:v>
      </x:c>
      <x:c r="B37" s="46" t="str">
        <x:v>Barents Sea</x:v>
      </x:c>
      <x:c r="C37" s="46" t="str">
        <x:v>LME</x:v>
      </x:c>
      <x:c r="D37" s="58" t="n">
        <x:v>2019</x:v>
      </x:c>
      <x:c r="E37" s="46" t="str">
        <x:v>Lophiidae</x:v>
      </x:c>
      <x:c r="F37" s="46" t="str">
        <x:v>Goosefishes</x:v>
      </x:c>
      <x:c r="G37" s="46" t="str">
        <x:v>Medium bathydemersals (30 - 89 cm)</x:v>
      </x:c>
      <x:c r="H37" s="46" t="str">
        <x:v>Other fishes &amp; inverts</x:v>
      </x:c>
      <x:c r="I37" s="60" t="n">
        <x:v>142.64173714729998</x:v>
      </x:c>
      <x:c r="J37" s="60" t="n">
        <x:v>142.64173714729998</x:v>
      </x:c>
      <x:c r="K37" s="60" t="n">
        <x:v>0</x:v>
      </x:c>
      <x:c r="L37" s="60" t="n">
        <x:v>142.64173714729998</x:v>
      </x:c>
      <x:c r="M37" s="60" t="n">
        <x:v>0</x:v>
      </x:c>
      <x:c r="N37" s="46" t="str">
        <x:v>lophiidae</x:v>
      </x:c>
      <x:c r="O37" s="62" t="n">
        <x:v>4.46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Lophiidae</x:v>
      </x:c>
      <x:c r="T37" s="62" t="n">
        <x:f>IF(O37="","",(1/'Metadata'!$B$5)^(O37-1))</x:f>
        <x:v>2884.031503126606</x:v>
      </x:c>
      <x:c r="U37" s="60" t="n">
        <x:f>IF(T37="","",I37*T37)</x:f>
        <x:v>411383.26359351777</x:v>
      </x:c>
    </x:row>
    <x:row r="38" ht="18" customHeight="1">
      <x:c r="A38" s="46" t="str">
        <x:v>LME_020</x:v>
      </x:c>
      <x:c r="B38" s="46" t="str">
        <x:v>Barents Sea</x:v>
      </x:c>
      <x:c r="C38" s="46" t="str">
        <x:v>LME</x:v>
      </x:c>
      <x:c r="D38" s="58" t="n">
        <x:v>2019</x:v>
      </x:c>
      <x:c r="E38" s="46" t="str">
        <x:v>Merlucciidae</x:v>
      </x:c>
      <x:c r="F38" s="46" t="str">
        <x:v>Merluccid hakes</x:v>
      </x:c>
      <x:c r="G38" s="46" t="str">
        <x:v>Large bathydemersals (&gt;=90 cm)</x:v>
      </x:c>
      <x:c r="H38" s="46" t="str">
        <x:v>Cod-likes</x:v>
      </x:c>
      <x:c r="I38" s="60" t="n">
        <x:v>103.4638332615</x:v>
      </x:c>
      <x:c r="J38" s="60" t="n">
        <x:v>0</x:v>
      </x:c>
      <x:c r="K38" s="60" t="n">
        <x:v>103.4638332615</x:v>
      </x:c>
      <x:c r="L38" s="60" t="n">
        <x:v>0</x:v>
      </x:c>
      <x:c r="M38" s="60" t="n">
        <x:v>103.4638332615</x:v>
      </x:c>
      <x:c r="N38" s="46" t="str">
        <x:v>merlucciidae</x:v>
      </x:c>
      <x:c r="O38" s="62" t="n">
        <x:v>4.35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Merlucciidae</x:v>
      </x:c>
      <x:c r="T38" s="62" t="n">
        <x:f>IF(O38="","",(1/'Metadata'!$B$5)^(O38-1))</x:f>
        <x:v>2238.7211385683377</x:v>
      </x:c>
      <x:c r="U38" s="60" t="n">
        <x:f>IF(T38="","",I38*T38)</x:f>
        <x:v>231626.67059982993</x:v>
      </x:c>
    </x:row>
    <x:row r="39" ht="18" customHeight="1">
      <x:c r="A39" s="46" t="str">
        <x:v>LME_020</x:v>
      </x:c>
      <x:c r="B39" s="46" t="str">
        <x:v>Barents Sea</x:v>
      </x:c>
      <x:c r="C39" s="46" t="str">
        <x:v>LME</x:v>
      </x:c>
      <x:c r="D39" s="58" t="n">
        <x:v>2019</x:v>
      </x:c>
      <x:c r="E39" s="46" t="str">
        <x:v>Miscellaneous marine crustaceans</x:v>
      </x:c>
      <x:c r="F39" s="46" t="str">
        <x:v>Marine crabs, shrimps, lobsters nei</x:v>
      </x:c>
      <x:c r="G39" s="46" t="str">
        <x:v>Shrimps</x:v>
      </x:c>
      <x:c r="H39" s="46" t="str">
        <x:v>Crustaceans</x:v>
      </x:c>
      <x:c r="I39" s="60" t="n">
        <x:v>89.0703258409</x:v>
      </x:c>
      <x:c r="J39" s="60" t="n">
        <x:v>0.45600509359999997</x:v>
      </x:c>
      <x:c r="K39" s="60" t="n">
        <x:v>88.6143207473</x:v>
      </x:c>
      <x:c r="L39" s="60" t="n">
        <x:v>0.45600509359999997</x:v>
      </x:c>
      <x:c r="M39" s="60" t="n">
        <x:v>88.6143207473</x:v>
      </x:c>
      <x:c r="N39" s="46" t="str">
        <x:v>miscellaneous marine crustaceans</x:v>
      </x:c>
      <x:c r="O39" s="62" t="n">
        <x:v>2.7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Miscellaneous marine crustaceans</x:v>
      </x:c>
      <x:c r="T39" s="62" t="n">
        <x:f>IF(O39="","",(1/'Metadata'!$B$5)^(O39-1))</x:f>
        <x:v>50.11872336272725</x:v>
      </x:c>
      <x:c r="U39" s="60" t="n">
        <x:f>IF(T39="","",I39*T39)</x:f>
        <x:v>4464.091020648044</x:v>
      </x:c>
    </x:row>
    <x:row r="40" ht="18" customHeight="1">
      <x:c r="A40" s="46" t="str">
        <x:v>LME_020</x:v>
      </x:c>
      <x:c r="B40" s="46" t="str">
        <x:v>Barents Sea</x:v>
      </x:c>
      <x:c r="C40" s="46" t="str">
        <x:v>LME</x:v>
      </x:c>
      <x:c r="D40" s="58" t="n">
        <x:v>2019</x:v>
      </x:c>
      <x:c r="E40" s="46" t="str">
        <x:v>Clupea pallasii</x:v>
      </x:c>
      <x:c r="F40" s="46" t="str">
        <x:v>Pacific herring</x:v>
      </x:c>
      <x:c r="G40" s="46" t="str">
        <x:v>Medium pelagics (30 - 89 cm)</x:v>
      </x:c>
      <x:c r="H40" s="46" t="str">
        <x:v>Herring-likes</x:v>
      </x:c>
      <x:c r="I40" s="60" t="n">
        <x:v>87.6835417835</x:v>
      </x:c>
      <x:c r="J40" s="60" t="n">
        <x:v>87.6835417835</x:v>
      </x:c>
      <x:c r="K40" s="60" t="n">
        <x:v>0</x:v>
      </x:c>
      <x:c r="L40" s="60" t="n">
        <x:v>84.0785453751</x:v>
      </x:c>
      <x:c r="M40" s="60" t="n">
        <x:v>3.6049964084</x:v>
      </x:c>
      <x:c r="N40" s="46" t="str">
        <x:v>clupea pallasii</x:v>
      </x:c>
      <x:c r="O40" s="62" t="n">
        <x:v>3.16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Clupea pallasii</x:v>
      </x:c>
      <x:c r="T40" s="62" t="n">
        <x:f>IF(O40="","",(1/'Metadata'!$B$5)^(O40-1))</x:f>
        <x:v>144.5439770745928</x:v>
      </x:c>
      <x:c r="U40" s="60" t="n">
        <x:f>IF(T40="","",I40*T40)</x:f>
        <x:v>12674.127853373324</x:v>
      </x:c>
    </x:row>
    <x:row r="41" ht="18" customHeight="1">
      <x:c r="A41" s="46" t="str">
        <x:v>LME_020</x:v>
      </x:c>
      <x:c r="B41" s="46" t="str">
        <x:v>Barents Sea</x:v>
      </x:c>
      <x:c r="C41" s="46" t="str">
        <x:v>LME</x:v>
      </x:c>
      <x:c r="D41" s="58" t="n">
        <x:v>2019</x:v>
      </x:c>
      <x:c r="E41" s="46" t="str">
        <x:v>Perciformes</x:v>
      </x:c>
      <x:c r="F41" s="46" t="str">
        <x:v>Perch-likes</x:v>
      </x:c>
      <x:c r="G41" s="46" t="str">
        <x:v>Medium demersals (30 - 89 cm)</x:v>
      </x:c>
      <x:c r="H41" s="46" t="str">
        <x:v>Perch-likes</x:v>
      </x:c>
      <x:c r="I41" s="60" t="n">
        <x:v>71.4506202494</x:v>
      </x:c>
      <x:c r="J41" s="60" t="n">
        <x:v>71.4506202494</x:v>
      </x:c>
      <x:c r="K41" s="60" t="n">
        <x:v>0</x:v>
      </x:c>
      <x:c r="L41" s="60" t="n">
        <x:v>71.4506202494</x:v>
      </x:c>
      <x:c r="M41" s="60" t="n">
        <x:v>0</x:v>
      </x:c>
      <x:c r="N41" s="46" t="str">
        <x:v>perciformes</x:v>
      </x:c>
      <x:c r="O41" s="62" t="n">
        <x:v>3.53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Perciformes</x:v>
      </x:c>
      <x:c r="T41" s="62" t="n">
        <x:f>IF(O41="","",(1/'Metadata'!$B$5)^(O41-1))</x:f>
        <x:v>338.84415613920237</x:v>
      </x:c>
      <x:c r="U41" s="60" t="n">
        <x:f>IF(T41="","",I41*T41)</x:f>
        <x:v>24210.62512403055</x:v>
      </x:c>
    </x:row>
    <x:row r="42" ht="18" customHeight="1">
      <x:c r="A42" s="46" t="str">
        <x:v>LME_020</x:v>
      </x:c>
      <x:c r="B42" s="46" t="str">
        <x:v>Barents Sea</x:v>
      </x:c>
      <x:c r="C42" s="46" t="str">
        <x:v>LME</x:v>
      </x:c>
      <x:c r="D42" s="58" t="n">
        <x:v>2019</x:v>
      </x:c>
      <x:c r="E42" s="46" t="str">
        <x:v>Triglidae</x:v>
      </x:c>
      <x:c r="F42" s="46" t="str">
        <x:v>Searobins, gurnards</x:v>
      </x:c>
      <x:c r="G42" s="46" t="str">
        <x:v>Medium demersals (30 - 89 cm)</x:v>
      </x:c>
      <x:c r="H42" s="46" t="str">
        <x:v>Scorpionfishes</x:v>
      </x:c>
      <x:c r="I42" s="60" t="n">
        <x:v>69.4725603711</x:v>
      </x:c>
      <x:c r="J42" s="60" t="n">
        <x:v>34.654757878699996</x:v>
      </x:c>
      <x:c r="K42" s="60" t="n">
        <x:v>34.8178024924</x:v>
      </x:c>
      <x:c r="L42" s="60" t="n">
        <x:v>34.654757878699996</x:v>
      </x:c>
      <x:c r="M42" s="60" t="n">
        <x:v>34.8178024924</x:v>
      </x:c>
      <x:c r="N42" s="46" t="str">
        <x:v>triglidae</x:v>
      </x:c>
      <x:c r="O42" s="62" t="n">
        <x:v>3.74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Triglidae</x:v>
      </x:c>
      <x:c r="T42" s="62" t="n">
        <x:f>IF(O42="","",(1/'Metadata'!$B$5)^(O42-1))</x:f>
        <x:v>549.5408738576248</x:v>
      </x:c>
      <x:c r="U42" s="60" t="n">
        <x:f>IF(T42="","",I42*T42)</x:f>
        <x:v>38178.011535460886</x:v>
      </x:c>
    </x:row>
    <x:row r="43" ht="18" customHeight="1">
      <x:c r="A43" s="46" t="str">
        <x:v>LME_020</x:v>
      </x:c>
      <x:c r="B43" s="46" t="str">
        <x:v>Barents Sea</x:v>
      </x:c>
      <x:c r="C43" s="46" t="str">
        <x:v>LME</x:v>
      </x:c>
      <x:c r="D43" s="58" t="n">
        <x:v>2019</x:v>
      </x:c>
      <x:c r="E43" s="46" t="str">
        <x:v>Brachyura</x:v>
      </x:c>
      <x:c r="F43" s="46" t="str">
        <x:v>Marine crabs</x:v>
      </x:c>
      <x:c r="G43" s="46" t="str">
        <x:v>Lobsters, crabs</x:v>
      </x:c>
      <x:c r="H43" s="46" t="str">
        <x:v>Crustaceans</x:v>
      </x:c>
      <x:c r="I43" s="60" t="n">
        <x:v>68.3214182956</x:v>
      </x:c>
      <x:c r="J43" s="60" t="n">
        <x:v>68.3214182956</x:v>
      </x:c>
      <x:c r="K43" s="60" t="n">
        <x:v>0</x:v>
      </x:c>
      <x:c r="L43" s="60" t="n">
        <x:v>68.3214182956</x:v>
      </x:c>
      <x:c r="M43" s="60" t="n">
        <x:v>0</x:v>
      </x:c>
      <x:c r="N43" s="46" t="str">
        <x:v>brachyura</x:v>
      </x:c>
      <x:c r="O43" s="62" t="n">
        <x:v>2.6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Brachyura</x:v>
      </x:c>
      <x:c r="T43" s="62" t="n">
        <x:f>IF(O43="","",(1/'Metadata'!$B$5)^(O43-1))</x:f>
        <x:v>39.810717055349734</x:v>
      </x:c>
      <x:c r="U43" s="60" t="n">
        <x:f>IF(T43="","",I43*T43)</x:f>
        <x:v>2719.9246525863264</x:v>
      </x:c>
    </x:row>
    <x:row r="44" ht="18" customHeight="1">
      <x:c r="A44" s="46" t="str">
        <x:v>LME_020</x:v>
      </x:c>
      <x:c r="B44" s="46" t="str">
        <x:v>Barents Sea</x:v>
      </x:c>
      <x:c r="C44" s="46" t="str">
        <x:v>LME</x:v>
      </x:c>
      <x:c r="D44" s="58" t="n">
        <x:v>2019</x:v>
      </x:c>
      <x:c r="E44" s="46" t="str">
        <x:v>Macrouridae</x:v>
      </x:c>
      <x:c r="F44" s="46" t="str">
        <x:v>Grenadiers, rattails</x:v>
      </x:c>
      <x:c r="G44" s="46" t="str">
        <x:v>Medium benthopelagics (30 - 89 cm)</x:v>
      </x:c>
      <x:c r="H44" s="46" t="str">
        <x:v>Cod-likes</x:v>
      </x:c>
      <x:c r="I44" s="60" t="n">
        <x:v>53.811325128</x:v>
      </x:c>
      <x:c r="J44" s="60" t="n">
        <x:v>0</x:v>
      </x:c>
      <x:c r="K44" s="60" t="n">
        <x:v>53.811325128</x:v>
      </x:c>
      <x:c r="L44" s="60" t="n">
        <x:v>0</x:v>
      </x:c>
      <x:c r="M44" s="60" t="n">
        <x:v>53.811325128</x:v>
      </x:c>
      <x:c r="N44" s="46" t="str">
        <x:v>macrouridae</x:v>
      </x:c>
      <x:c r="O44" s="62" t="n">
        <x:v>3.88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Macrouridae</x:v>
      </x:c>
      <x:c r="T44" s="62" t="n">
        <x:f>IF(O44="","",(1/'Metadata'!$B$5)^(O44-1))</x:f>
        <x:v>758.5775750291835</x:v>
      </x:c>
      <x:c r="U44" s="60" t="n">
        <x:f>IF(T44="","",I44*T44)</x:f>
        <x:v>40820.06452470521</x:v>
      </x:c>
    </x:row>
    <x:row r="45" ht="18" customHeight="1">
      <x:c r="A45" s="46" t="str">
        <x:v>LME_020</x:v>
      </x:c>
      <x:c r="B45" s="46" t="str">
        <x:v>Barents Sea</x:v>
      </x:c>
      <x:c r="C45" s="46" t="str">
        <x:v>LME</x:v>
      </x:c>
      <x:c r="D45" s="58" t="n">
        <x:v>2019</x:v>
      </x:c>
      <x:c r="E45" s="46" t="str">
        <x:v>Cyclopterus lumpus</x:v>
      </x:c>
      <x:c r="F45" s="46" t="str">
        <x:v>Lumpfish</x:v>
      </x:c>
      <x:c r="G45" s="46" t="str">
        <x:v>Medium benthopelagics (30 - 89 cm)</x:v>
      </x:c>
      <x:c r="H45" s="46" t="str">
        <x:v>Scorpionfishes</x:v>
      </x:c>
      <x:c r="I45" s="60" t="n">
        <x:v>38.117143204499996</x:v>
      </x:c>
      <x:c r="J45" s="60" t="n">
        <x:v>12.048482499099999</x:v>
      </x:c>
      <x:c r="K45" s="60" t="n">
        <x:v>26.0686607054</x:v>
      </x:c>
      <x:c r="L45" s="60" t="n">
        <x:v>12.009212676799999</x:v>
      </x:c>
      <x:c r="M45" s="60" t="n">
        <x:v>26.1079305277</x:v>
      </x:c>
      <x:c r="N45" s="46" t="str">
        <x:v>cyclopterus lumpus</x:v>
      </x:c>
      <x:c r="O45" s="62" t="n">
        <x:v>3.89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Cyclopterus lumpus</x:v>
      </x:c>
      <x:c r="T45" s="62" t="n">
        <x:f>IF(O45="","",(1/'Metadata'!$B$5)^(O45-1))</x:f>
        <x:v>776.247116628692</x:v>
      </x:c>
      <x:c r="U45" s="60" t="n">
        <x:f>IF(T45="","",I45*T45)</x:f>
        <x:v>29588.322506616063</x:v>
      </x:c>
    </x:row>
    <x:row r="46" ht="18" customHeight="1">
      <x:c r="A46" s="46" t="str">
        <x:v>LME_020</x:v>
      </x:c>
      <x:c r="B46" s="46" t="str">
        <x:v>Barents Sea</x:v>
      </x:c>
      <x:c r="C46" s="46" t="str">
        <x:v>LME</x:v>
      </x:c>
      <x:c r="D46" s="58" t="n">
        <x:v>2019</x:v>
      </x:c>
      <x:c r="E46" s="46" t="str">
        <x:v>Bivalvia</x:v>
      </x:c>
      <x:c r="F46" s="46" t="str">
        <x:v>Clams</x:v>
      </x:c>
      <x:c r="G46" s="46" t="str">
        <x:v>Other demersal invertebrates</x:v>
      </x:c>
      <x:c r="H46" s="46" t="str">
        <x:v>Molluscs</x:v>
      </x:c>
      <x:c r="I46" s="60" t="n">
        <x:v>31.1151050504</x:v>
      </x:c>
      <x:c r="J46" s="60" t="n">
        <x:v>0.0658682467</x:v>
      </x:c>
      <x:c r="K46" s="60" t="n">
        <x:v>31.0492368037</x:v>
      </x:c>
      <x:c r="L46" s="60" t="n">
        <x:v>0.0658682467</x:v>
      </x:c>
      <x:c r="M46" s="60" t="n">
        <x:v>31.0492368037</x:v>
      </x:c>
      <x:c r="N46" s="46" t="str">
        <x:v>bivalvia</x:v>
      </x:c>
      <x:c r="O46" s="62" t="n">
        <x:v>2.23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Bivalvia</x:v>
      </x:c>
      <x:c r="T46" s="62" t="n">
        <x:f>IF(O46="","",(1/'Metadata'!$B$5)^(O46-1))</x:f>
        <x:v>16.982436524617444</x:v>
      </x:c>
      <x:c r="U46" s="60" t="n">
        <x:f>IF(T46="","",I46*T46)</x:f>
        <x:v>528.4102964752217</x:v>
      </x:c>
    </x:row>
    <x:row r="47" ht="18" customHeight="1">
      <x:c r="A47" s="46" t="str">
        <x:v>LME_020</x:v>
      </x:c>
      <x:c r="B47" s="46" t="str">
        <x:v>Barents Sea</x:v>
      </x:c>
      <x:c r="C47" s="46" t="str">
        <x:v>LME</x:v>
      </x:c>
      <x:c r="D47" s="58" t="n">
        <x:v>2019</x:v>
      </x:c>
      <x:c r="E47" s="46" t="str">
        <x:v>Macrourus berglax</x:v>
      </x:c>
      <x:c r="F47" s="46" t="str">
        <x:v>Roughhead grenadier</x:v>
      </x:c>
      <x:c r="G47" s="46" t="str">
        <x:v>Large benthopelagics (&gt;=90 cm)</x:v>
      </x:c>
      <x:c r="H47" s="46" t="str">
        <x:v>Cod-likes</x:v>
      </x:c>
      <x:c r="I47" s="60" t="n">
        <x:v>26.9571809289</x:v>
      </x:c>
      <x:c r="J47" s="60" t="n">
        <x:v>26.9571809289</x:v>
      </x:c>
      <x:c r="K47" s="60" t="n">
        <x:v>0</x:v>
      </x:c>
      <x:c r="L47" s="60" t="n">
        <x:v>26.9571809289</x:v>
      </x:c>
      <x:c r="M47" s="60" t="n">
        <x:v>0</x:v>
      </x:c>
      <x:c r="N47" s="46" t="str">
        <x:v>macrourus berglax</x:v>
      </x:c>
      <x:c r="O47" s="62" t="n">
        <x:v>4.48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Macrourus berglax</x:v>
      </x:c>
      <x:c r="T47" s="62" t="n">
        <x:f>IF(O47="","",(1/'Metadata'!$B$5)^(O47-1))</x:f>
        <x:v>3019.951720402019</x:v>
      </x:c>
      <x:c r="U47" s="60" t="n">
        <x:f>IF(T47="","",I47*T47)</x:f>
        <x:v>81409.38492342006</x:v>
      </x:c>
    </x:row>
    <x:row r="48" ht="18" customHeight="1">
      <x:c r="A48" s="46" t="str">
        <x:v>LME_020</x:v>
      </x:c>
      <x:c r="B48" s="46" t="str">
        <x:v>Barents Sea</x:v>
      </x:c>
      <x:c r="C48" s="46" t="str">
        <x:v>LME</x:v>
      </x:c>
      <x:c r="D48" s="58" t="n">
        <x:v>2019</x:v>
      </x:c>
      <x:c r="E48" s="46" t="str">
        <x:v>Coregonus</x:v>
      </x:c>
      <x:c r="F48" s="46" t="str">
        <x:v>Whitefishes</x:v>
      </x:c>
      <x:c r="G48" s="46" t="str">
        <x:v>Medium pelagics (30 - 89 cm)</x:v>
      </x:c>
      <x:c r="H48" s="46" t="str">
        <x:v>Salmon, smelts, etc</x:v>
      </x:c>
      <x:c r="I48" s="60" t="n">
        <x:v>26.442227202799998</x:v>
      </x:c>
      <x:c r="J48" s="60" t="n">
        <x:v>0.646255714</x:v>
      </x:c>
      <x:c r="K48" s="60" t="n">
        <x:v>25.7959714888</x:v>
      </x:c>
      <x:c r="L48" s="60" t="n">
        <x:v>0</x:v>
      </x:c>
      <x:c r="M48" s="60" t="n">
        <x:v>26.442227202799998</x:v>
      </x:c>
      <x:c r="N48" s="46" t="str">
        <x:v>coregonus</x:v>
      </x:c>
      <x:c r="O48" s="62" t="n">
        <x:v>3.3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Coregonus</x:v>
      </x:c>
      <x:c r="T48" s="62" t="n">
        <x:f>IF(O48="","",(1/'Metadata'!$B$5)^(O48-1))</x:f>
        <x:v>199.52623149688787</x:v>
      </x:c>
      <x:c r="U48" s="60" t="n">
        <x:f>IF(T48="","",I48*T48)</x:f>
        <x:v>5275.917946159178</x:v>
      </x:c>
    </x:row>
    <x:row r="49" ht="18" customHeight="1">
      <x:c r="A49" s="46" t="str">
        <x:v>LME_020</x:v>
      </x:c>
      <x:c r="B49" s="46" t="str">
        <x:v>Barents Sea</x:v>
      </x:c>
      <x:c r="C49" s="46" t="str">
        <x:v>LME</x:v>
      </x:c>
      <x:c r="D49" s="58" t="n">
        <x:v>2019</x:v>
      </x:c>
      <x:c r="E49" s="46" t="str">
        <x:v>Ammodytidae</x:v>
      </x:c>
      <x:c r="F49" s="46" t="str">
        <x:v>Sand lances</x:v>
      </x:c>
      <x:c r="G49" s="46" t="str">
        <x:v>Large reef assoc. fish (&gt;=90 cm)</x:v>
      </x:c>
      <x:c r="H49" s="46" t="str">
        <x:v>Perch-likes</x:v>
      </x:c>
      <x:c r="I49" s="60" t="n">
        <x:v>25.8086698252</x:v>
      </x:c>
      <x:c r="J49" s="60" t="n">
        <x:v>0</x:v>
      </x:c>
      <x:c r="K49" s="60" t="n">
        <x:v>25.8086698252</x:v>
      </x:c>
      <x:c r="L49" s="60" t="n">
        <x:v>0</x:v>
      </x:c>
      <x:c r="M49" s="60" t="n">
        <x:v>25.8086698252</x:v>
      </x:c>
      <x:c r="N49" s="46" t="str">
        <x:v>ammodytidae</x:v>
      </x:c>
      <x:c r="O49" s="62" t="n">
        <x:v>3.11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Ammodytidae</x:v>
      </x:c>
      <x:c r="T49" s="62" t="n">
        <x:f>IF(O49="","",(1/'Metadata'!$B$5)^(O49-1))</x:f>
        <x:v>128.82495516931337</x:v>
      </x:c>
      <x:c r="U49" s="60" t="n">
        <x:f>IF(T49="","",I49*T49)</x:f>
        <x:v>3324.8007332110005</x:v>
      </x:c>
    </x:row>
    <x:row r="50" ht="18" customHeight="1">
      <x:c r="A50" s="46" t="str">
        <x:v>LME_020</x:v>
      </x:c>
      <x:c r="B50" s="46" t="str">
        <x:v>Barents Sea</x:v>
      </x:c>
      <x:c r="C50" s="46" t="str">
        <x:v>LME</x:v>
      </x:c>
      <x:c r="D50" s="58" t="n">
        <x:v>2019</x:v>
      </x:c>
      <x:c r="E50" s="46" t="str">
        <x:v>Molva dypterygia</x:v>
      </x:c>
      <x:c r="F50" s="46" t="str">
        <x:v>Blue ling</x:v>
      </x:c>
      <x:c r="G50" s="46" t="str">
        <x:v>Large demersals (&gt;=90 cm)</x:v>
      </x:c>
      <x:c r="H50" s="46" t="str">
        <x:v>Cod-likes</x:v>
      </x:c>
      <x:c r="I50" s="60" t="n">
        <x:v>25.1309698282</x:v>
      </x:c>
      <x:c r="J50" s="60" t="n">
        <x:v>25.1309698282</x:v>
      </x:c>
      <x:c r="K50" s="60" t="n">
        <x:v>0</x:v>
      </x:c>
      <x:c r="L50" s="60" t="n">
        <x:v>25.1309698282</x:v>
      </x:c>
      <x:c r="M50" s="60" t="n">
        <x:v>0</x:v>
      </x:c>
      <x:c r="N50" s="46" t="str">
        <x:v>molva dypterygia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Molva dypterygia</x:v>
      </x:c>
      <x:c r="T50" s="62" t="n">
        <x:f>IF(O50="","",(1/'Metadata'!$B$5)^(O50-1))</x:f>
        <x:v>3090.295432513592</x:v>
      </x:c>
      <x:c r="U50" s="60" t="n">
        <x:f>IF(T50="","",I50*T50)</x:f>
        <x:v>77662.12127472335</x:v>
      </x:c>
    </x:row>
    <x:row r="51" ht="18" customHeight="1">
      <x:c r="A51" s="46" t="str">
        <x:v>LME_020</x:v>
      </x:c>
      <x:c r="B51" s="46" t="str">
        <x:v>Barents Sea</x:v>
      </x:c>
      <x:c r="C51" s="46" t="str">
        <x:v>LME</x:v>
      </x:c>
      <x:c r="D51" s="58" t="n">
        <x:v>2019</x:v>
      </x:c>
      <x:c r="E51" s="46" t="str">
        <x:v>Gastropoda</x:v>
      </x:c>
      <x:c r="F51" s="46" t="str">
        <x:v>Sea snails</x:v>
      </x:c>
      <x:c r="G51" s="46" t="str">
        <x:v>Other demersal invertebrates</x:v>
      </x:c>
      <x:c r="H51" s="46" t="str">
        <x:v>Molluscs</x:v>
      </x:c>
      <x:c r="I51" s="60" t="n">
        <x:v>24.9812795503</x:v>
      </x:c>
      <x:c r="J51" s="60" t="n">
        <x:v>0.5519737405</x:v>
      </x:c>
      <x:c r="K51" s="60" t="n">
        <x:v>24.4293058098</x:v>
      </x:c>
      <x:c r="L51" s="60" t="n">
        <x:v>0.5519737405</x:v>
      </x:c>
      <x:c r="M51" s="60" t="n">
        <x:v>24.4293058098</x:v>
      </x:c>
      <x:c r="N51" s="46" t="str">
        <x:v>gastropoda</x:v>
      </x:c>
      <x:c r="O51" s="62" t="n">
        <x:v>3.06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Gastropoda</x:v>
      </x:c>
      <x:c r="T51" s="62" t="n">
        <x:f>IF(O51="","",(1/'Metadata'!$B$5)^(O51-1))</x:f>
        <x:v>114.81536214968828</x:v>
      </x:c>
      <x:c r="U51" s="60" t="n">
        <x:f>IF(T51="","",I51*T51)</x:f>
        <x:v>2868.234658530296</x:v>
      </x:c>
    </x:row>
    <x:row r="52" ht="18" customHeight="1">
      <x:c r="A52" s="46" t="str">
        <x:v>LME_020</x:v>
      </x:c>
      <x:c r="B52" s="46" t="str">
        <x:v>Barents Sea</x:v>
      </x:c>
      <x:c r="C52" s="46" t="str">
        <x:v>LME</x:v>
      </x:c>
      <x:c r="D52" s="58" t="n">
        <x:v>2019</x:v>
      </x:c>
      <x:c r="E52" s="46" t="str">
        <x:v>Squaliformes</x:v>
      </x:c>
      <x:c r="F52" s="46" t="str">
        <x:v>Bramble, sleeper, dogfish sharks</x:v>
      </x:c>
      <x:c r="G52" s="46" t="str">
        <x:v>Large sharks (&gt;=90 cm)</x:v>
      </x:c>
      <x:c r="H52" s="46" t="str">
        <x:v>Sharks &amp; rays</x:v>
      </x:c>
      <x:c r="I52" s="60" t="n">
        <x:v>23.994113725600002</x:v>
      </x:c>
      <x:c r="J52" s="60" t="n">
        <x:v>0</x:v>
      </x:c>
      <x:c r="K52" s="60" t="n">
        <x:v>23.994113725600002</x:v>
      </x:c>
      <x:c r="L52" s="60" t="n">
        <x:v>0</x:v>
      </x:c>
      <x:c r="M52" s="60" t="n">
        <x:v>23.994113725600002</x:v>
      </x:c>
      <x:c r="N52" s="46" t="str">
        <x:v>squaliformes</x:v>
      </x:c>
      <x:c r="O52" s="62" t="n">
        <x:v>4.19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Squaliformes</x:v>
      </x:c>
      <x:c r="T52" s="62" t="n">
        <x:f>IF(O52="","",(1/'Metadata'!$B$5)^(O52-1))</x:f>
        <x:v>1548.8166189124827</x:v>
      </x:c>
      <x:c r="U52" s="60" t="n">
        <x:f>IF(T52="","",I52*T52)</x:f>
        <x:v>37162.48209428539</x:v>
      </x:c>
    </x:row>
    <x:row r="53" ht="18" customHeight="1">
      <x:c r="A53" s="46" t="str">
        <x:v>LME_020</x:v>
      </x:c>
      <x:c r="B53" s="46" t="str">
        <x:v>Barents Sea</x:v>
      </x:c>
      <x:c r="C53" s="46" t="str">
        <x:v>LME</x:v>
      </x:c>
      <x:c r="D53" s="58" t="n">
        <x:v>2019</x:v>
      </x:c>
      <x:c r="E53" s="46" t="str">
        <x:v>Sebastidae</x:v>
      </x:c>
      <x:c r="F53" s="46" t="str">
        <x:v>Rockfishes, rockcods, thornyheads</x:v>
      </x:c>
      <x:c r="G53" s="46" t="str">
        <x:v>Medium demersals (30 - 89 cm)</x:v>
      </x:c>
      <x:c r="H53" s="46" t="str">
        <x:v>Scorpionfishes</x:v>
      </x:c>
      <x:c r="I53" s="60" t="n">
        <x:v>21.7617917266</x:v>
      </x:c>
      <x:c r="J53" s="60" t="n">
        <x:v>0</x:v>
      </x:c>
      <x:c r="K53" s="60" t="n">
        <x:v>21.7617917266</x:v>
      </x:c>
      <x:c r="L53" s="60" t="n">
        <x:v>0</x:v>
      </x:c>
      <x:c r="M53" s="60" t="n">
        <x:v>21.7617917266</x:v>
      </x:c>
      <x:c r="N53" s="46" t="str">
        <x:v>sebastidae</x:v>
      </x:c>
      <x:c r="O53" s="62" t="n">
        <x:v>3.74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Sebastidae</x:v>
      </x:c>
      <x:c r="T53" s="62" t="n">
        <x:f>IF(O53="","",(1/'Metadata'!$B$5)^(O53-1))</x:f>
        <x:v>549.5408738576248</x:v>
      </x:c>
      <x:c r="U53" s="60" t="n">
        <x:f>IF(T53="","",I53*T53)</x:f>
        <x:v>11958.994042143393</x:v>
      </x:c>
    </x:row>
    <x:row r="54" ht="18" customHeight="1">
      <x:c r="A54" s="46" t="str">
        <x:v>LME_020</x:v>
      </x:c>
      <x:c r="B54" s="46" t="str">
        <x:v>Barents Sea</x:v>
      </x:c>
      <x:c r="C54" s="46" t="str">
        <x:v>LME</x:v>
      </x:c>
      <x:c r="D54" s="58" t="n">
        <x:v>2019</x:v>
      </x:c>
      <x:c r="E54" s="46" t="str">
        <x:v>Pleuronectiformes</x:v>
      </x:c>
      <x:c r="F54" s="46" t="str">
        <x:v>Flatfishes</x:v>
      </x:c>
      <x:c r="G54" s="46" t="str">
        <x:v>Small to medium flatfishes (&lt;90 cm)</x:v>
      </x:c>
      <x:c r="H54" s="46" t="str">
        <x:v>Flatfishes</x:v>
      </x:c>
      <x:c r="I54" s="60" t="n">
        <x:v>12.9310733221</x:v>
      </x:c>
      <x:c r="J54" s="60" t="n">
        <x:v>12.9310733221</x:v>
      </x:c>
      <x:c r="K54" s="60" t="n">
        <x:v>0</x:v>
      </x:c>
      <x:c r="L54" s="60" t="n">
        <x:v>0.032144572399999995</x:v>
      </x:c>
      <x:c r="M54" s="60" t="n">
        <x:v>12.898928749700001</x:v>
      </x:c>
      <x:c r="N54" s="46" t="str">
        <x:v>pleuronectiformes</x:v>
      </x:c>
      <x:c r="O54" s="62" t="n">
        <x:v>3.57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Pleuronectiformes</x:v>
      </x:c>
      <x:c r="T54" s="62" t="n">
        <x:f>IF(O54="","",(1/'Metadata'!$B$5)^(O54-1))</x:f>
        <x:v>371.5352290971724</x:v>
      </x:c>
      <x:c r="U54" s="60" t="n">
        <x:f>IF(T54="","",I54*T54)</x:f>
        <x:v>4804.349289198758</x:v>
      </x:c>
    </x:row>
    <x:row r="55" ht="18" customHeight="1">
      <x:c r="A55" s="46" t="str">
        <x:v>LME_020</x:v>
      </x:c>
      <x:c r="B55" s="46" t="str">
        <x:v>Barents Sea</x:v>
      </x:c>
      <x:c r="C55" s="46" t="str">
        <x:v>LME</x:v>
      </x:c>
      <x:c r="D55" s="58" t="n">
        <x:v>2019</x:v>
      </x:c>
      <x:c r="E55" s="46" t="str">
        <x:v>Elasmobranchii</x:v>
      </x:c>
      <x:c r="F55" s="46" t="str">
        <x:v>Sharks, rays, skates</x:v>
      </x:c>
      <x:c r="G55" s="46" t="str">
        <x:v>Large sharks (&gt;=90 cm)</x:v>
      </x:c>
      <x:c r="H55" s="46" t="str">
        <x:v>Sharks &amp; rays</x:v>
      </x:c>
      <x:c r="I55" s="60" t="n">
        <x:v>11.8160549967</x:v>
      </x:c>
      <x:c r="J55" s="60" t="n">
        <x:v>0.0113005554</x:v>
      </x:c>
      <x:c r="K55" s="60" t="n">
        <x:v>11.8047544413</x:v>
      </x:c>
      <x:c r="L55" s="60" t="n">
        <x:v>0.0113005554</x:v>
      </x:c>
      <x:c r="M55" s="60" t="n">
        <x:v>11.8047544413</x:v>
      </x:c>
      <x:c r="N55" s="46" t="str">
        <x:v>elasmobranchii</x:v>
      </x:c>
      <x:c r="O55" s="62" t="n">
        <x:v>4.05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Elasmobranchii</x:v>
      </x:c>
      <x:c r="T55" s="62" t="n">
        <x:f>IF(O55="","",(1/'Metadata'!$B$5)^(O55-1))</x:f>
        <x:v>1122.018454301963</x:v>
      </x:c>
      <x:c r="U55" s="60" t="n">
        <x:f>IF(T55="","",I55*T55)</x:f>
        <x:v>13257.83176334432</x:v>
      </x:c>
    </x:row>
    <x:row r="56" ht="18" customHeight="1">
      <x:c r="A56" s="46" t="str">
        <x:v>LME_020</x:v>
      </x:c>
      <x:c r="B56" s="46" t="str">
        <x:v>Barents Sea</x:v>
      </x:c>
      <x:c r="C56" s="46" t="str">
        <x:v>LME</x:v>
      </x:c>
      <x:c r="D56" s="58" t="n">
        <x:v>2019</x:v>
      </x:c>
      <x:c r="E56" s="46" t="str">
        <x:v>Hippoglossus hippoglossus</x:v>
      </x:c>
      <x:c r="F56" s="46" t="str">
        <x:v>Atlantic halibut</x:v>
      </x:c>
      <x:c r="G56" s="46" t="str">
        <x:v>Large flatfishes (&gt;=90 cm)</x:v>
      </x:c>
      <x:c r="H56" s="46" t="str">
        <x:v>Flatfishes</x:v>
      </x:c>
      <x:c r="I56" s="60" t="n">
        <x:v>10.2447180963</x:v>
      </x:c>
      <x:c r="J56" s="60" t="n">
        <x:v>10.2447180963</x:v>
      </x:c>
      <x:c r="K56" s="60" t="n">
        <x:v>0</x:v>
      </x:c>
      <x:c r="L56" s="60" t="n">
        <x:v>10.2447180963</x:v>
      </x:c>
      <x:c r="M56" s="60" t="n">
        <x:v>0</x:v>
      </x:c>
      <x:c r="N56" s="46" t="str">
        <x:v>hippoglossus hippoglossus</x:v>
      </x:c>
      <x:c r="O56" s="62" t="n">
        <x:v>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Hippoglossus hippoglossus</x:v>
      </x:c>
      <x:c r="T56" s="62" t="n">
        <x:f>IF(O56="","",(1/'Metadata'!$B$5)^(O56-1))</x:f>
        <x:v>1000</x:v>
      </x:c>
      <x:c r="U56" s="60" t="n">
        <x:f>IF(T56="","",I56*T56)</x:f>
        <x:v>10244.7180963</x:v>
      </x:c>
    </x:row>
    <x:row r="57" ht="18" customHeight="1">
      <x:c r="A57" s="46" t="str">
        <x:v>LME_020</x:v>
      </x:c>
      <x:c r="B57" s="46" t="str">
        <x:v>Barents Sea</x:v>
      </x:c>
      <x:c r="C57" s="46" t="str">
        <x:v>LME</x:v>
      </x:c>
      <x:c r="D57" s="58" t="n">
        <x:v>2019</x:v>
      </x:c>
      <x:c r="E57" s="46" t="str">
        <x:v>Mytilidae</x:v>
      </x:c>
      <x:c r="F57" s="46" t="str">
        <x:v>Sea mussels</x:v>
      </x:c>
      <x:c r="G57" s="46" t="str">
        <x:v>Other demersal invertebrates</x:v>
      </x:c>
      <x:c r="H57" s="46" t="str">
        <x:v>Molluscs</x:v>
      </x:c>
      <x:c r="I57" s="60" t="n">
        <x:v>9.5813216133</x:v>
      </x:c>
      <x:c r="J57" s="60" t="n">
        <x:v>9.5813216133</x:v>
      </x:c>
      <x:c r="K57" s="60" t="n">
        <x:v>0</x:v>
      </x:c>
      <x:c r="L57" s="60" t="n">
        <x:v>9.465787425</x:v>
      </x:c>
      <x:c r="M57" s="60" t="n">
        <x:v>0.11553418830000001</x:v>
      </x:c>
      <x:c r="N57" s="46" t="str">
        <x:v>mytilidae</x:v>
      </x:c>
      <x:c r="O57" s="62" t="n">
        <x:v>2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Mytilidae</x:v>
      </x:c>
      <x:c r="T57" s="62" t="n">
        <x:f>IF(O57="","",(1/'Metadata'!$B$5)^(O57-1))</x:f>
        <x:v>10</x:v>
      </x:c>
      <x:c r="U57" s="60" t="n">
        <x:f>IF(T57="","",I57*T57)</x:f>
        <x:v>95.813216133</x:v>
      </x:c>
    </x:row>
    <x:row r="58" ht="18" customHeight="1">
      <x:c r="A58" s="46" t="str">
        <x:v>LME_020</x:v>
      </x:c>
      <x:c r="B58" s="46" t="str">
        <x:v>Barents Sea</x:v>
      </x:c>
      <x:c r="C58" s="46" t="str">
        <x:v>LME</x:v>
      </x:c>
      <x:c r="D58" s="58" t="n">
        <x:v>2019</x:v>
      </x:c>
      <x:c r="E58" s="46" t="str">
        <x:v>Glyptocephalus cynoglossus</x:v>
      </x:c>
      <x:c r="F58" s="46" t="str">
        <x:v>Witch flounder</x:v>
      </x:c>
      <x:c r="G58" s="46" t="str">
        <x:v>Small to medium flatfishes (&lt;90 cm)</x:v>
      </x:c>
      <x:c r="H58" s="46" t="str">
        <x:v>Flatfishes</x:v>
      </x:c>
      <x:c r="I58" s="60" t="n">
        <x:v>8.116432871199999</x:v>
      </x:c>
      <x:c r="J58" s="60" t="n">
        <x:v>8.116432871199999</x:v>
      </x:c>
      <x:c r="K58" s="60" t="n">
        <x:v>0</x:v>
      </x:c>
      <x:c r="L58" s="60" t="n">
        <x:v>8.116432871199999</x:v>
      </x:c>
      <x:c r="M58" s="60" t="n">
        <x:v>0</x:v>
      </x:c>
      <x:c r="N58" s="46" t="str">
        <x:v>glyptocephalus cynoglossus</x:v>
      </x:c>
      <x:c r="O58" s="62" t="n">
        <x:v>3.17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Glyptocephalus cynoglossus</x:v>
      </x:c>
      <x:c r="T58" s="62" t="n">
        <x:f>IF(O58="","",(1/'Metadata'!$B$5)^(O58-1))</x:f>
        <x:v>147.91083881682073</x:v>
      </x:c>
      <x:c r="U58" s="60" t="n">
        <x:f>IF(T58="","",I58*T58)</x:f>
        <x:v>1200.5083941796086</x:v>
      </x:c>
    </x:row>
    <x:row r="59" ht="18" customHeight="1">
      <x:c r="A59" s="46" t="str">
        <x:v>LME_020</x:v>
      </x:c>
      <x:c r="B59" s="46" t="str">
        <x:v>Barents Sea</x:v>
      </x:c>
      <x:c r="C59" s="46" t="str">
        <x:v>LME</x:v>
      </x:c>
      <x:c r="D59" s="58" t="n">
        <x:v>2019</x:v>
      </x:c>
      <x:c r="E59" s="46" t="str">
        <x:v>Squalidae</x:v>
      </x:c>
      <x:c r="F59" s="46" t="str">
        <x:v>Dogfish sharks</x:v>
      </x:c>
      <x:c r="G59" s="46" t="str">
        <x:v>Large sharks (&gt;=90 cm)</x:v>
      </x:c>
      <x:c r="H59" s="46" t="str">
        <x:v>Sharks &amp; rays</x:v>
      </x:c>
      <x:c r="I59" s="60" t="n">
        <x:v>7.8545110323</x:v>
      </x:c>
      <x:c r="J59" s="60" t="n">
        <x:v>0.029958653000000002</x:v>
      </x:c>
      <x:c r="K59" s="60" t="n">
        <x:v>7.8245523793</x:v>
      </x:c>
      <x:c r="L59" s="60" t="n">
        <x:v>0.029958653000000002</x:v>
      </x:c>
      <x:c r="M59" s="60" t="n">
        <x:v>7.8245523793</x:v>
      </x:c>
      <x:c r="N59" s="46" t="str">
        <x:v>squalidae</x:v>
      </x:c>
      <x:c r="O59" s="62" t="n">
        <x:v>4.23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Squalidae</x:v>
      </x:c>
      <x:c r="T59" s="62" t="n">
        <x:f>IF(O59="","",(1/'Metadata'!$B$5)^(O59-1))</x:f>
        <x:v>1698.243652461746</x:v>
      </x:c>
      <x:c r="U59" s="60" t="n">
        <x:f>IF(T59="","",I59*T59)</x:f>
        <x:v>13338.87350379423</x:v>
      </x:c>
    </x:row>
    <x:row r="60" ht="18" customHeight="1">
      <x:c r="A60" s="46" t="str">
        <x:v>LME_020</x:v>
      </x:c>
      <x:c r="B60" s="46" t="str">
        <x:v>Barents Sea</x:v>
      </x:c>
      <x:c r="C60" s="46" t="str">
        <x:v>LME</x:v>
      </x:c>
      <x:c r="D60" s="58" t="n">
        <x:v>2019</x:v>
      </x:c>
      <x:c r="E60" s="46" t="str">
        <x:v>Lepidorhombus</x:v>
      </x:c>
      <x:c r="F60" s="46" t="str">
        <x:v>Megrims</x:v>
      </x:c>
      <x:c r="G60" s="46" t="str">
        <x:v>Small to medium flatfishes (&lt;90 cm)</x:v>
      </x:c>
      <x:c r="H60" s="46" t="str">
        <x:v>Flatfishes</x:v>
      </x:c>
      <x:c r="I60" s="60" t="n">
        <x:v>7.7126421759</x:v>
      </x:c>
      <x:c r="J60" s="60" t="n">
        <x:v>7.7126421759</x:v>
      </x:c>
      <x:c r="K60" s="60" t="n">
        <x:v>0</x:v>
      </x:c>
      <x:c r="L60" s="60" t="n">
        <x:v>7.7126421759</x:v>
      </x:c>
      <x:c r="M60" s="60" t="n">
        <x:v>0</x:v>
      </x:c>
      <x:c r="N60" s="46" t="str">
        <x:v>lepidorhombus</x:v>
      </x:c>
      <x:c r="O60" s="62" t="n">
        <x:v>3.96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Lepidorhombus</x:v>
      </x:c>
      <x:c r="T60" s="62" t="n">
        <x:f>IF(O60="","",(1/'Metadata'!$B$5)^(O60-1))</x:f>
        <x:v>912.0108393559096</x:v>
      </x:c>
      <x:c r="U60" s="60" t="n">
        <x:f>IF(T60="","",I60*T60)</x:f>
        <x:v>7034.013264494349</x:v>
      </x:c>
    </x:row>
    <x:row r="61" ht="18" customHeight="1">
      <x:c r="A61" s="46" t="str">
        <x:v>LME_020</x:v>
      </x:c>
      <x:c r="B61" s="46" t="str">
        <x:v>Barents Sea</x:v>
      </x:c>
      <x:c r="C61" s="46" t="str">
        <x:v>LME</x:v>
      </x:c>
      <x:c r="D61" s="58" t="n">
        <x:v>2019</x:v>
      </x:c>
      <x:c r="E61" s="46" t="str">
        <x:v>Lophius</x:v>
      </x:c>
      <x:c r="F61" s="46" t="str">
        <x:v>Frogfishes</x:v>
      </x:c>
      <x:c r="G61" s="46" t="str">
        <x:v>Medium bathydemersals (30 - 89 cm)</x:v>
      </x:c>
      <x:c r="H61" s="46" t="str">
        <x:v>Other fishes &amp; inverts</x:v>
      </x:c>
      <x:c r="I61" s="60" t="n">
        <x:v>6.9761176985999995</x:v>
      </x:c>
      <x:c r="J61" s="60" t="n">
        <x:v>6.9761176985999995</x:v>
      </x:c>
      <x:c r="K61" s="60" t="n">
        <x:v>0</x:v>
      </x:c>
      <x:c r="L61" s="60" t="n">
        <x:v>6.9761176985999995</x:v>
      </x:c>
      <x:c r="M61" s="60" t="n">
        <x:v>0</x:v>
      </x:c>
      <x:c r="N61" s="46" t="str">
        <x:v>lophius</x:v>
      </x:c>
      <x:c r="O61" s="62" t="n">
        <x:v>4.46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Lophius</x:v>
      </x:c>
      <x:c r="T61" s="62" t="n">
        <x:f>IF(O61="","",(1/'Metadata'!$B$5)^(O61-1))</x:f>
        <x:v>2884.031503126606</x:v>
      </x:c>
      <x:c r="U61" s="60" t="n">
        <x:f>IF(T61="","",I61*T61)</x:f>
        <x:v>20119.343212281474</x:v>
      </x:c>
    </x:row>
    <x:row r="62" ht="18" customHeight="1">
      <x:c r="A62" s="46" t="str">
        <x:v>LME_020</x:v>
      </x:c>
      <x:c r="B62" s="46" t="str">
        <x:v>Barents Sea</x:v>
      </x:c>
      <x:c r="C62" s="46" t="str">
        <x:v>LME</x:v>
      </x:c>
      <x:c r="D62" s="58" t="n">
        <x:v>2019</x:v>
      </x:c>
      <x:c r="E62" s="46" t="str">
        <x:v>Platichthys flesus</x:v>
      </x:c>
      <x:c r="F62" s="46" t="str">
        <x:v>European flounder</x:v>
      </x:c>
      <x:c r="G62" s="46" t="str">
        <x:v>Small to medium flatfishes (&lt;90 cm)</x:v>
      </x:c>
      <x:c r="H62" s="46" t="str">
        <x:v>Flatfishes</x:v>
      </x:c>
      <x:c r="I62" s="60" t="n">
        <x:v>6.5273893923</x:v>
      </x:c>
      <x:c r="J62" s="60" t="n">
        <x:v>6.5273893923</x:v>
      </x:c>
      <x:c r="K62" s="60" t="n">
        <x:v>0</x:v>
      </x:c>
      <x:c r="L62" s="60" t="n">
        <x:v>6.4881657713</x:v>
      </x:c>
      <x:c r="M62" s="60" t="n">
        <x:v>0.039223621</x:v>
      </x:c>
      <x:c r="N62" s="46" t="str">
        <x:v>platichthys flesus</x:v>
      </x:c>
      <x:c r="O62" s="62" t="n">
        <x:v>3.32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Platichthys flesus</x:v>
      </x:c>
      <x:c r="T62" s="62" t="n">
        <x:f>IF(O62="","",(1/'Metadata'!$B$5)^(O62-1))</x:f>
        <x:v>208.92961308540387</x:v>
      </x:c>
      <x:c r="U62" s="60" t="n">
        <x:f>IF(T62="","",I62*T62)</x:f>
        <x:v>1363.7649401910085</x:v>
      </x:c>
    </x:row>
    <x:row r="63" ht="18" customHeight="1">
      <x:c r="A63" s="46" t="str">
        <x:v>LME_020</x:v>
      </x:c>
      <x:c r="B63" s="46" t="str">
        <x:v>Barents Sea</x:v>
      </x:c>
      <x:c r="C63" s="46" t="str">
        <x:v>LME</x:v>
      </x:c>
      <x:c r="D63" s="58" t="n">
        <x:v>2019</x:v>
      </x:c>
      <x:c r="E63" s="46" t="str">
        <x:v>Chondrichthyes</x:v>
      </x:c>
      <x:c r="F63" s="46" t="str">
        <x:v>Sharks, rays, chimaeras</x:v>
      </x:c>
      <x:c r="G63" s="46" t="str">
        <x:v>Large sharks (&gt;=90 cm)</x:v>
      </x:c>
      <x:c r="H63" s="46" t="str">
        <x:v>Sharks &amp; rays</x:v>
      </x:c>
      <x:c r="I63" s="60" t="n">
        <x:v>6.269835861100001</x:v>
      </x:c>
      <x:c r="J63" s="60" t="n">
        <x:v>6.269835861100001</x:v>
      </x:c>
      <x:c r="K63" s="60" t="n">
        <x:v>0</x:v>
      </x:c>
      <x:c r="L63" s="60" t="n">
        <x:v>6.269835861100001</x:v>
      </x:c>
      <x:c r="M63" s="60" t="n">
        <x:v>0</x:v>
      </x:c>
      <x:c r="N63" s="46" t="str">
        <x:v>chondrichthyes</x:v>
      </x:c>
      <x:c r="O63" s="62" t="n">
        <x:v>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Chondrichthyes</x:v>
      </x:c>
      <x:c r="T63" s="62" t="n">
        <x:f>IF(O63="","",(1/'Metadata'!$B$5)^(O63-1))</x:f>
        <x:v>1000</x:v>
      </x:c>
      <x:c r="U63" s="60" t="n">
        <x:f>IF(T63="","",I63*T63)</x:f>
        <x:v>6269.8358611</x:v>
      </x:c>
    </x:row>
    <x:row r="64" ht="18" customHeight="1">
      <x:c r="A64" s="46" t="str">
        <x:v>LME_020</x:v>
      </x:c>
      <x:c r="B64" s="46" t="str">
        <x:v>Barents Sea</x:v>
      </x:c>
      <x:c r="C64" s="46" t="str">
        <x:v>LME</x:v>
      </x:c>
      <x:c r="D64" s="58" t="n">
        <x:v>2019</x:v>
      </x:c>
      <x:c r="E64" s="46" t="str">
        <x:v>Berycidae</x:v>
      </x:c>
      <x:c r="F64" s="46" t="str">
        <x:v>Alfonsinos, redfishes</x:v>
      </x:c>
      <x:c r="G64" s="46" t="str">
        <x:v>Medium benthopelagics (30 - 89 cm)</x:v>
      </x:c>
      <x:c r="H64" s="46" t="str">
        <x:v>Other fishes &amp; inverts</x:v>
      </x:c>
      <x:c r="I64" s="60" t="n">
        <x:v>6.2343038859</x:v>
      </x:c>
      <x:c r="J64" s="60" t="n">
        <x:v>6.2343038859</x:v>
      </x:c>
      <x:c r="K64" s="60" t="n">
        <x:v>0</x:v>
      </x:c>
      <x:c r="L64" s="60" t="n">
        <x:v>6.2343038859</x:v>
      </x:c>
      <x:c r="M64" s="60" t="n">
        <x:v>0</x:v>
      </x:c>
      <x:c r="N64" s="46" t="str">
        <x:v>berycidae</x:v>
      </x:c>
      <x:c r="O64" s="62" t="n">
        <x:v>3.99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Berycidae</x:v>
      </x:c>
      <x:c r="T64" s="62" t="n">
        <x:f>IF(O64="","",(1/'Metadata'!$B$5)^(O64-1))</x:f>
        <x:v>977.2372209558112</x:v>
      </x:c>
      <x:c r="U64" s="60" t="n">
        <x:f>IF(T64="","",I64*T64)</x:f>
        <x:v>6092.39380405093</x:v>
      </x:c>
    </x:row>
    <x:row r="65" ht="18" customHeight="1">
      <x:c r="A65" s="46" t="str">
        <x:v>LME_020</x:v>
      </x:c>
      <x:c r="B65" s="46" t="str">
        <x:v>Barents Sea</x:v>
      </x:c>
      <x:c r="C65" s="46" t="str">
        <x:v>LME</x:v>
      </x:c>
      <x:c r="D65" s="58" t="n">
        <x:v>2019</x:v>
      </x:c>
      <x:c r="E65" s="46" t="str">
        <x:v>Crangonidae</x:v>
      </x:c>
      <x:c r="F65" s="46" t="str">
        <x:v>Brown shrimps</x:v>
      </x:c>
      <x:c r="G65" s="46" t="str">
        <x:v>Shrimps</x:v>
      </x:c>
      <x:c r="H65" s="46" t="str">
        <x:v>Crustaceans</x:v>
      </x:c>
      <x:c r="I65" s="60" t="n">
        <x:v>5.4922110685</x:v>
      </x:c>
      <x:c r="J65" s="60" t="n">
        <x:v>0</x:v>
      </x:c>
      <x:c r="K65" s="60" t="n">
        <x:v>5.4922110685</x:v>
      </x:c>
      <x:c r="L65" s="60" t="n">
        <x:v>0</x:v>
      </x:c>
      <x:c r="M65" s="60" t="n">
        <x:v>5.4922110685</x:v>
      </x:c>
      <x:c r="N65" s="46" t="str">
        <x:v>crangonidae</x:v>
      </x:c>
      <x:c r="O65" s="62" t="n">
        <x:v>3.19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Crangonidae</x:v>
      </x:c>
      <x:c r="T65" s="62" t="n">
        <x:f>IF(O65="","",(1/'Metadata'!$B$5)^(O65-1))</x:f>
        <x:v>154.88166189124811</x:v>
      </x:c>
      <x:c r="U65" s="60" t="n">
        <x:f>IF(T65="","",I65*T65)</x:f>
        <x:v>850.6427777467875</x:v>
      </x:c>
    </x:row>
    <x:row r="66" ht="18" customHeight="1">
      <x:c r="A66" s="46" t="str">
        <x:v>LME_020</x:v>
      </x:c>
      <x:c r="B66" s="46" t="str">
        <x:v>Barents Sea</x:v>
      </x:c>
      <x:c r="C66" s="46" t="str">
        <x:v>LME</x:v>
      </x:c>
      <x:c r="D66" s="58" t="n">
        <x:v>2019</x:v>
      </x:c>
      <x:c r="E66" s="46" t="str">
        <x:v>Clupeidae</x:v>
      </x:c>
      <x:c r="F66" s="46" t="str">
        <x:v>Herrings, sardines, menhadens</x:v>
      </x:c>
      <x:c r="G66" s="46" t="str">
        <x:v>Small pelagics (&lt;30 cm)</x:v>
      </x:c>
      <x:c r="H66" s="46" t="str">
        <x:v>Herring-likes</x:v>
      </x:c>
      <x:c r="I66" s="60" t="n">
        <x:v>5.3116950897</x:v>
      </x:c>
      <x:c r="J66" s="60" t="n">
        <x:v>0.1569365298</x:v>
      </x:c>
      <x:c r="K66" s="60" t="n">
        <x:v>5.1547585599</x:v>
      </x:c>
      <x:c r="L66" s="60" t="n">
        <x:v>0.1569365298</x:v>
      </x:c>
      <x:c r="M66" s="60" t="n">
        <x:v>5.1547585599</x:v>
      </x:c>
      <x:c r="N66" s="46" t="str">
        <x:v>clupeidae</x:v>
      </x:c>
      <x:c r="O66" s="62" t="n">
        <x:v>3.16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Clupeidae</x:v>
      </x:c>
      <x:c r="T66" s="62" t="n">
        <x:f>IF(O66="","",(1/'Metadata'!$B$5)^(O66-1))</x:f>
        <x:v>144.5439770745928</x:v>
      </x:c>
      <x:c r="U66" s="60" t="n">
        <x:f>IF(T66="","",I66*T66)</x:f>
        <x:v>767.7735332728239</x:v>
      </x:c>
    </x:row>
    <x:row r="67" ht="18" customHeight="1">
      <x:c r="A67" s="46" t="str">
        <x:v>LME_020</x:v>
      </x:c>
      <x:c r="B67" s="46" t="str">
        <x:v>Barents Sea</x:v>
      </x:c>
      <x:c r="C67" s="46" t="str">
        <x:v>LME</x:v>
      </x:c>
      <x:c r="D67" s="58" t="n">
        <x:v>2019</x:v>
      </x:c>
      <x:c r="E67" s="46" t="str">
        <x:v>Raja clavata</x:v>
      </x:c>
      <x:c r="F67" s="46" t="str">
        <x:v>Thornback ray</x:v>
      </x:c>
      <x:c r="G67" s="46" t="str">
        <x:v>Large rays (&gt;=90 cm)</x:v>
      </x:c>
      <x:c r="H67" s="46" t="str">
        <x:v>Sharks &amp; rays</x:v>
      </x:c>
      <x:c r="I67" s="60" t="n">
        <x:v>4.7181664146</x:v>
      </x:c>
      <x:c r="J67" s="60" t="n">
        <x:v>4.7181664146</x:v>
      </x:c>
      <x:c r="K67" s="60" t="n">
        <x:v>0</x:v>
      </x:c>
      <x:c r="L67" s="60" t="n">
        <x:v>4.7181664146</x:v>
      </x:c>
      <x:c r="M67" s="60" t="n">
        <x:v>0</x:v>
      </x:c>
      <x:c r="N67" s="46" t="str">
        <x:v>raja clavata</x:v>
      </x:c>
      <x:c r="O67" s="62" t="n">
        <x:v>3.84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Raja clavata</x:v>
      </x:c>
      <x:c r="T67" s="62" t="n">
        <x:f>IF(O67="","",(1/'Metadata'!$B$5)^(O67-1))</x:f>
        <x:v>691.8309709189363</x:v>
      </x:c>
      <x:c r="U67" s="60" t="n">
        <x:f>IF(T67="","",I67*T67)</x:f>
        <x:v>3264.173651569834</x:v>
      </x:c>
    </x:row>
    <x:row r="68" ht="18" customHeight="1">
      <x:c r="A68" s="46" t="str">
        <x:v>LME_020</x:v>
      </x:c>
      <x:c r="B68" s="46" t="str">
        <x:v>Barents Sea</x:v>
      </x:c>
      <x:c r="C68" s="46" t="str">
        <x:v>LME</x:v>
      </x:c>
      <x:c r="D68" s="58" t="n">
        <x:v>2019</x:v>
      </x:c>
      <x:c r="E68" s="46" t="str">
        <x:v>Scombridae</x:v>
      </x:c>
      <x:c r="F68" s="46" t="str">
        <x:v>Mackerels, tunas, bonitos</x:v>
      </x:c>
      <x:c r="G68" s="46" t="str">
        <x:v>Medium pelagics (30 - 89 cm)</x:v>
      </x:c>
      <x:c r="H68" s="46" t="str">
        <x:v>Perch-likes</x:v>
      </x:c>
      <x:c r="I68" s="60" t="n">
        <x:v>4.2172635287</x:v>
      </x:c>
      <x:c r="J68" s="60" t="n">
        <x:v>0.1106985425</x:v>
      </x:c>
      <x:c r="K68" s="60" t="n">
        <x:v>4.1065649862</x:v>
      </x:c>
      <x:c r="L68" s="60" t="n">
        <x:v>0.1106985425</x:v>
      </x:c>
      <x:c r="M68" s="60" t="n">
        <x:v>4.1065649862</x:v>
      </x:c>
      <x:c r="N68" s="46" t="str">
        <x:v>scombridae</x:v>
      </x:c>
      <x:c r="O68" s="62" t="n">
        <x:v>4.26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Scombridae</x:v>
      </x:c>
      <x:c r="T68" s="62" t="n">
        <x:f>IF(O68="","",(1/'Metadata'!$B$5)^(O68-1))</x:f>
        <x:v>1819.7008586099826</x:v>
      </x:c>
      <x:c r="U68" s="60" t="n">
        <x:f>IF(T68="","",I68*T68)</x:f>
        <x:v>7674.158064159955</x:v>
      </x:c>
    </x:row>
    <x:row r="69" ht="18" customHeight="1">
      <x:c r="A69" s="46" t="str">
        <x:v>LME_020</x:v>
      </x:c>
      <x:c r="B69" s="46" t="str">
        <x:v>Barents Sea</x:v>
      </x:c>
      <x:c r="C69" s="46" t="str">
        <x:v>LME</x:v>
      </x:c>
      <x:c r="D69" s="58" t="n">
        <x:v>2019</x:v>
      </x:c>
      <x:c r="E69" s="46" t="str">
        <x:v>Lycodes</x:v>
      </x:c>
      <x:c r="F69" s="46" t="str">
        <x:v>Eelpouts</x:v>
      </x:c>
      <x:c r="G69" s="46" t="str">
        <x:v>Medium bathydemersals (30 - 89 cm)</x:v>
      </x:c>
      <x:c r="H69" s="46" t="str">
        <x:v>Perch-likes</x:v>
      </x:c>
      <x:c r="I69" s="60" t="n">
        <x:v>3.9962091378</x:v>
      </x:c>
      <x:c r="J69" s="60" t="n">
        <x:v>0</x:v>
      </x:c>
      <x:c r="K69" s="60" t="n">
        <x:v>3.9962091378</x:v>
      </x:c>
      <x:c r="L69" s="60" t="n">
        <x:v>0</x:v>
      </x:c>
      <x:c r="M69" s="60" t="n">
        <x:v>3.9962091378</x:v>
      </x:c>
      <x:c r="N69" s="46" t="str">
        <x:v>lycodes</x:v>
      </x:c>
      <x:c r="O69" s="62" t="n">
        <x:v>3.3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Lycodes</x:v>
      </x:c>
      <x:c r="T69" s="62" t="n">
        <x:f>IF(O69="","",(1/'Metadata'!$B$5)^(O69-1))</x:f>
        <x:v>199.52623149688787</x:v>
      </x:c>
      <x:c r="U69" s="60" t="n">
        <x:f>IF(T69="","",I69*T69)</x:f>
        <x:v>797.3485495386616</x:v>
      </x:c>
    </x:row>
    <x:row r="70" ht="18" customHeight="1">
      <x:c r="A70" s="46" t="str">
        <x:v>LME_020</x:v>
      </x:c>
      <x:c r="B70" s="46" t="str">
        <x:v>Barents Sea</x:v>
      </x:c>
      <x:c r="C70" s="46" t="str">
        <x:v>LME</x:v>
      </x:c>
      <x:c r="D70" s="58" t="n">
        <x:v>2019</x:v>
      </x:c>
      <x:c r="E70" s="46" t="str">
        <x:v>Carcinus maenas</x:v>
      </x:c>
      <x:c r="F70" s="46" t="str">
        <x:v>Green crab</x:v>
      </x:c>
      <x:c r="G70" s="46" t="str">
        <x:v>Lobsters, crabs</x:v>
      </x:c>
      <x:c r="H70" s="46" t="str">
        <x:v>Crustaceans</x:v>
      </x:c>
      <x:c r="I70" s="60" t="n">
        <x:v>2.9904775048</x:v>
      </x:c>
      <x:c r="J70" s="60" t="n">
        <x:v>2.9904775048</x:v>
      </x:c>
      <x:c r="K70" s="60" t="n">
        <x:v>0</x:v>
      </x:c>
      <x:c r="L70" s="60" t="n">
        <x:v>2.9904775048</x:v>
      </x:c>
      <x:c r="M70" s="60" t="n">
        <x:v>0</x:v>
      </x:c>
      <x:c r="N70" s="46" t="str">
        <x:v>carcinus maenas</x:v>
      </x:c>
      <x:c r="O70" s="62" t="n">
        <x:v>3.5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Carcinus maenas</x:v>
      </x:c>
      <x:c r="T70" s="62" t="n">
        <x:f>IF(O70="","",(1/'Metadata'!$B$5)^(O70-1))</x:f>
        <x:v>316.22776601683796</x:v>
      </x:c>
      <x:c r="U70" s="60" t="n">
        <x:f>IF(T70="","",I70*T70)</x:f>
        <x:v>945.6720206665118</x:v>
      </x:c>
    </x:row>
    <x:row r="71" ht="18" customHeight="1">
      <x:c r="A71" s="46" t="str">
        <x:v>LME_020</x:v>
      </x:c>
      <x:c r="B71" s="46" t="str">
        <x:v>Barents Sea</x:v>
      </x:c>
      <x:c r="C71" s="46" t="str">
        <x:v>LME</x:v>
      </x:c>
      <x:c r="D71" s="58" t="n">
        <x:v>2019</x:v>
      </x:c>
      <x:c r="E71" s="46" t="str">
        <x:v>Veneridae</x:v>
      </x:c>
      <x:c r="F71" s="46" t="str">
        <x:v>Venus clams</x:v>
      </x:c>
      <x:c r="G71" s="46" t="str">
        <x:v>Other demersal invertebrates</x:v>
      </x:c>
      <x:c r="H71" s="46" t="str">
        <x:v>Molluscs</x:v>
      </x:c>
      <x:c r="I71" s="60" t="n">
        <x:v>2.6830805898000003</x:v>
      </x:c>
      <x:c r="J71" s="60" t="n">
        <x:v>2.6830805898000003</x:v>
      </x:c>
      <x:c r="K71" s="60" t="n">
        <x:v>0</x:v>
      </x:c>
      <x:c r="L71" s="60" t="n">
        <x:v>2.6830805898000003</x:v>
      </x:c>
      <x:c r="M71" s="60" t="n">
        <x:v>0</x:v>
      </x:c>
      <x:c r="N71" s="46" t="str">
        <x:v>veneridae</x:v>
      </x:c>
      <x:c r="O71" s="62" t="n">
        <x:v>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Veneridae</x:v>
      </x:c>
      <x:c r="T71" s="62" t="n">
        <x:f>IF(O71="","",(1/'Metadata'!$B$5)^(O71-1))</x:f>
        <x:v>10</x:v>
      </x:c>
      <x:c r="U71" s="60" t="n">
        <x:f>IF(T71="","",I71*T71)</x:f>
        <x:v>26.830805898</x:v>
      </x:c>
    </x:row>
    <x:row r="72" ht="18" customHeight="1">
      <x:c r="A72" s="46" t="str">
        <x:v>LME_020</x:v>
      </x:c>
      <x:c r="B72" s="46" t="str">
        <x:v>Barents Sea</x:v>
      </x:c>
      <x:c r="C72" s="46" t="str">
        <x:v>LME</x:v>
      </x:c>
      <x:c r="D72" s="58" t="n">
        <x:v>2019</x:v>
      </x:c>
      <x:c r="E72" s="46" t="str">
        <x:v>Scophthalmidae</x:v>
      </x:c>
      <x:c r="F72" s="46" t="str">
        <x:v>Turbots</x:v>
      </x:c>
      <x:c r="G72" s="46" t="str">
        <x:v>Small to medium flatfishes (&lt;90 cm)</x:v>
      </x:c>
      <x:c r="H72" s="46" t="str">
        <x:v>Flatfishes</x:v>
      </x:c>
      <x:c r="I72" s="60" t="n">
        <x:v>2.4129215604</x:v>
      </x:c>
      <x:c r="J72" s="60" t="n">
        <x:v>0.0032373581999999997</x:v>
      </x:c>
      <x:c r="K72" s="60" t="n">
        <x:v>2.4096842022000002</x:v>
      </x:c>
      <x:c r="L72" s="60" t="n">
        <x:v>0.0032373581999999997</x:v>
      </x:c>
      <x:c r="M72" s="60" t="n">
        <x:v>2.4096842022000002</x:v>
      </x:c>
      <x:c r="N72" s="46" t="str">
        <x:v>scophthalmidae</x:v>
      </x:c>
      <x:c r="O72" s="62" t="n">
        <x:v>3.71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Scophthalmidae</x:v>
      </x:c>
      <x:c r="T72" s="62" t="n">
        <x:f>IF(O72="","",(1/'Metadata'!$B$5)^(O72-1))</x:f>
        <x:v>512.8613839913648</x:v>
      </x:c>
      <x:c r="U72" s="60" t="n">
        <x:f>IF(T72="","",I72*T72)</x:f>
        <x:v>1237.4942909293477</x:v>
      </x:c>
    </x:row>
    <x:row r="73" ht="18" customHeight="1">
      <x:c r="A73" s="46" t="str">
        <x:v>LME_020</x:v>
      </x:c>
      <x:c r="B73" s="46" t="str">
        <x:v>Barents Sea</x:v>
      </x:c>
      <x:c r="C73" s="46" t="str">
        <x:v>LME</x:v>
      </x:c>
      <x:c r="D73" s="58" t="n">
        <x:v>2019</x:v>
      </x:c>
      <x:c r="E73" s="46" t="str">
        <x:v>Osteichthyes</x:v>
      </x:c>
      <x:c r="F73" s="46" t="str">
        <x:v>Bony fishes</x:v>
      </x:c>
      <x:c r="G73" s="46" t="str">
        <x:v>Medium demersals (30 - 89 cm)</x:v>
      </x:c>
      <x:c r="H73" s="46" t="str">
        <x:v>Other fishes &amp; inverts</x:v>
      </x:c>
      <x:c r="I73" s="60" t="n">
        <x:v>1.933302324</x:v>
      </x:c>
      <x:c r="J73" s="60" t="n">
        <x:v>1.933302324</x:v>
      </x:c>
      <x:c r="K73" s="60" t="n">
        <x:v>0</x:v>
      </x:c>
      <x:c r="L73" s="60" t="n">
        <x:v>1.933302324</x:v>
      </x:c>
      <x:c r="M73" s="60" t="n">
        <x:v>0</x:v>
      </x:c>
      <x:c r="N73" s="46" t="str">
        <x:v>osteichthyes</x:v>
      </x:c>
      <x:c r="O73" s="62" t="n">
        <x:v>3.79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Osteichthyes</x:v>
      </x:c>
      <x:c r="T73" s="62" t="n">
        <x:f>IF(O73="","",(1/'Metadata'!$B$5)^(O73-1))</x:f>
        <x:v>616.5950018614822</x:v>
      </x:c>
      <x:c r="U73" s="60" t="n">
        <x:f>IF(T73="","",I73*T73)</x:f>
        <x:v>1192.0645500655878</x:v>
      </x:c>
    </x:row>
    <x:row r="74" ht="18" customHeight="1">
      <x:c r="A74" s="46" t="str">
        <x:v>LME_020</x:v>
      </x:c>
      <x:c r="B74" s="46" t="str">
        <x:v>Barents Sea</x:v>
      </x:c>
      <x:c r="C74" s="46" t="str">
        <x:v>LME</x:v>
      </x:c>
      <x:c r="D74" s="58" t="n">
        <x:v>2019</x:v>
      </x:c>
      <x:c r="E74" s="46" t="str">
        <x:v>Rajiformes</x:v>
      </x:c>
      <x:c r="F74" s="46" t="str">
        <x:v>Skates and rays</x:v>
      </x:c>
      <x:c r="G74" s="46" t="str">
        <x:v>Large rays (&gt;=90 cm)</x:v>
      </x:c>
      <x:c r="H74" s="46" t="str">
        <x:v>Sharks &amp; rays</x:v>
      </x:c>
      <x:c r="I74" s="60" t="n">
        <x:v>1.7078666358</x:v>
      </x:c>
      <x:c r="J74" s="60" t="n">
        <x:v>1.7078666358</x:v>
      </x:c>
      <x:c r="K74" s="60" t="n">
        <x:v>0</x:v>
      </x:c>
      <x:c r="L74" s="60" t="n">
        <x:v>1.7078666358</x:v>
      </x:c>
      <x:c r="M74" s="60" t="n">
        <x:v>0</x:v>
      </x:c>
      <x:c r="N74" s="46" t="str">
        <x:v>rajiformes</x:v>
      </x:c>
      <x:c r="O74" s="62" t="n">
        <x:v>3.61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Rajiformes</x:v>
      </x:c>
      <x:c r="T74" s="62" t="n">
        <x:f>IF(O74="","",(1/'Metadata'!$B$5)^(O74-1))</x:f>
        <x:v>407.3802778041126</x:v>
      </x:c>
      <x:c r="U74" s="60" t="n">
        <x:f>IF(T74="","",I74*T74)</x:f>
        <x:v>695.7511845445792</x:v>
      </x:c>
    </x:row>
    <x:row r="75" ht="18" customHeight="1">
      <x:c r="A75" s="46" t="str">
        <x:v>LME_020</x:v>
      </x:c>
      <x:c r="B75" s="46" t="str">
        <x:v>Barents Sea</x:v>
      </x:c>
      <x:c r="C75" s="46" t="str">
        <x:v>LME</x:v>
      </x:c>
      <x:c r="D75" s="58" t="n">
        <x:v>2019</x:v>
      </x:c>
      <x:c r="E75" s="46" t="str">
        <x:v>Coregonus muksun</x:v>
      </x:c>
      <x:c r="F75" s="46" t="str">
        <x:v>Muksun</x:v>
      </x:c>
      <x:c r="G75" s="46" t="str">
        <x:v>Large benthopelagics (&gt;=90 cm)</x:v>
      </x:c>
      <x:c r="H75" s="46" t="str">
        <x:v>Salmon, smelts, etc</x:v>
      </x:c>
      <x:c r="I75" s="60" t="n">
        <x:v>1.7054956695</x:v>
      </x:c>
      <x:c r="J75" s="60" t="n">
        <x:v>1.7054956695</x:v>
      </x:c>
      <x:c r="K75" s="60" t="n">
        <x:v>0</x:v>
      </x:c>
      <x:c r="L75" s="60" t="n">
        <x:v>0</x:v>
      </x:c>
      <x:c r="M75" s="60" t="n">
        <x:v>1.7054956695</x:v>
      </x:c>
      <x:c r="N75" s="46" t="str">
        <x:v>coregonus muksun</x:v>
      </x:c>
      <x:c r="O75" s="62" t="n">
        <x:v>3.27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Coregonus muksun</x:v>
      </x:c>
      <x:c r="T75" s="62" t="n">
        <x:f>IF(O75="","",(1/'Metadata'!$B$5)^(O75-1))</x:f>
        <x:v>186.20871366628674</x:v>
      </x:c>
      <x:c r="U75" s="60" t="n">
        <x:f>IF(T75="","",I75*T75)</x:f>
        <x:v>317.57815478101753</x:v>
      </x:c>
    </x:row>
    <x:row r="76" ht="18" customHeight="1">
      <x:c r="A76" s="46" t="str">
        <x:v>LME_020</x:v>
      </x:c>
      <x:c r="B76" s="46" t="str">
        <x:v>Barents Sea</x:v>
      </x:c>
      <x:c r="C76" s="46" t="str">
        <x:v>LME</x:v>
      </x:c>
      <x:c r="D76" s="58" t="n">
        <x:v>2019</x:v>
      </x:c>
      <x:c r="E76" s="46" t="str">
        <x:v>Carangidae</x:v>
      </x:c>
      <x:c r="F76" s="46" t="str">
        <x:v>Jacks, pompanos</x:v>
      </x:c>
      <x:c r="G76" s="46" t="str">
        <x:v>Medium pelagics (30 - 89 cm)</x:v>
      </x:c>
      <x:c r="H76" s="46" t="str">
        <x:v>Perch-likes</x:v>
      </x:c>
      <x:c r="I76" s="60" t="n">
        <x:v>1.6912138988</x:v>
      </x:c>
      <x:c r="J76" s="60" t="n">
        <x:v>1.5056973042000001</x:v>
      </x:c>
      <x:c r="K76" s="60" t="n">
        <x:v>0.1855165946</x:v>
      </x:c>
      <x:c r="L76" s="60" t="n">
        <x:v>1.5056973042000001</x:v>
      </x:c>
      <x:c r="M76" s="60" t="n">
        <x:v>0.1855165946</x:v>
      </x:c>
      <x:c r="N76" s="46" t="str">
        <x:v>carangidae</x:v>
      </x:c>
      <x:c r="O76" s="62" t="n">
        <x:v>4.05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Carangidae</x:v>
      </x:c>
      <x:c r="T76" s="62" t="n">
        <x:f>IF(O76="","",(1/'Metadata'!$B$5)^(O76-1))</x:f>
        <x:v>1122.018454301963</x:v>
      </x:c>
      <x:c r="U76" s="60" t="n">
        <x:f>IF(T76="","",I76*T76)</x:f>
        <x:v>1897.5732046255725</x:v>
      </x:c>
    </x:row>
    <x:row r="77" ht="18" customHeight="1">
      <x:c r="A77" s="46" t="str">
        <x:v>LME_020</x:v>
      </x:c>
      <x:c r="B77" s="46" t="str">
        <x:v>Barents Sea</x:v>
      </x:c>
      <x:c r="C77" s="46" t="str">
        <x:v>LME</x:v>
      </x:c>
      <x:c r="D77" s="58" t="n">
        <x:v>2019</x:v>
      </x:c>
      <x:c r="E77" s="46" t="str">
        <x:v>Clupeiformes</x:v>
      </x:c>
      <x:c r="F77" s="46" t="str">
        <x:v>Herrings, shads, anchovies</x:v>
      </x:c>
      <x:c r="G77" s="46" t="str">
        <x:v>Small pelagics (&lt;30 cm)</x:v>
      </x:c>
      <x:c r="H77" s="46" t="str">
        <x:v>Other fishes &amp; inverts</x:v>
      </x:c>
      <x:c r="I77" s="60" t="n">
        <x:v>1.2905741021</x:v>
      </x:c>
      <x:c r="J77" s="60" t="n">
        <x:v>1.2905741021</x:v>
      </x:c>
      <x:c r="K77" s="60" t="n">
        <x:v>0</x:v>
      </x:c>
      <x:c r="L77" s="60" t="n">
        <x:v>1.2905741021</x:v>
      </x:c>
      <x:c r="M77" s="60" t="n">
        <x:v>0</x:v>
      </x:c>
      <x:c r="N77" s="46" t="str">
        <x:v>clupeiformes</x:v>
      </x:c>
      <x:c r="O77" s="62" t="n">
        <x:v>3.24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Clupeiformes</x:v>
      </x:c>
      <x:c r="T77" s="62" t="n">
        <x:f>IF(O77="","",(1/'Metadata'!$B$5)^(O77-1))</x:f>
        <x:v>173.78008287493762</x:v>
      </x:c>
      <x:c r="U77" s="60" t="n">
        <x:f>IF(T77="","",I77*T77)</x:f>
        <x:v>224.2760744191862</x:v>
      </x:c>
    </x:row>
    <x:row r="78" ht="18" customHeight="1">
      <x:c r="A78" s="46" t="str">
        <x:v>LME_020</x:v>
      </x:c>
      <x:c r="B78" s="46" t="str">
        <x:v>Barents Sea</x:v>
      </x:c>
      <x:c r="C78" s="46" t="str">
        <x:v>LME</x:v>
      </x:c>
      <x:c r="D78" s="58" t="n">
        <x:v>2019</x:v>
      </x:c>
      <x:c r="E78" s="46" t="str">
        <x:v>Venerupis corrugata</x:v>
      </x:c>
      <x:c r="F78" s="46" t="str">
        <x:v>Corrugated venus</x:v>
      </x:c>
      <x:c r="G78" s="46" t="str">
        <x:v>Other demersal invertebrates</x:v>
      </x:c>
      <x:c r="H78" s="46" t="str">
        <x:v>Molluscs</x:v>
      </x:c>
      <x:c r="I78" s="60" t="n">
        <x:v>1.1707976845999999</x:v>
      </x:c>
      <x:c r="J78" s="60" t="n">
        <x:v>1.1707976845999999</x:v>
      </x:c>
      <x:c r="K78" s="60" t="n">
        <x:v>0</x:v>
      </x:c>
      <x:c r="L78" s="60" t="n">
        <x:v>1.1707976845999999</x:v>
      </x:c>
      <x:c r="M78" s="60" t="n">
        <x:v>0</x:v>
      </x:c>
      <x:c r="N78" s="46" t="str">
        <x:v>venerupis corrugata</x:v>
      </x:c>
      <x:c r="O78" s="62" t="n">
        <x:v>2.1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Venerupis corrugata</x:v>
      </x:c>
      <x:c r="T78" s="62" t="n">
        <x:f>IF(O78="","",(1/'Metadata'!$B$5)^(O78-1))</x:f>
        <x:v>12.589254117941675</x:v>
      </x:c>
      <x:c r="U78" s="60" t="n">
        <x:f>IF(T78="","",I78*T78)</x:f>
        <x:v>14.739469572127126</x:v>
      </x:c>
    </x:row>
    <x:row r="79" ht="18" customHeight="1">
      <x:c r="A79" s="46" t="str">
        <x:v>LME_020</x:v>
      </x:c>
      <x:c r="B79" s="46" t="str">
        <x:v>Barents Sea</x:v>
      </x:c>
      <x:c r="C79" s="46" t="str">
        <x:v>LME</x:v>
      </x:c>
      <x:c r="D79" s="58" t="n">
        <x:v>2019</x:v>
      </x:c>
      <x:c r="E79" s="46" t="str">
        <x:v>Phycis blennoides</x:v>
      </x:c>
      <x:c r="F79" s="46" t="str">
        <x:v>Greater forkbeard</x:v>
      </x:c>
      <x:c r="G79" s="46" t="str">
        <x:v>Large benthopelagics (&gt;=90 cm)</x:v>
      </x:c>
      <x:c r="H79" s="46" t="str">
        <x:v>Cod-likes</x:v>
      </x:c>
      <x:c r="I79" s="60" t="n">
        <x:v>1.1184034293</x:v>
      </x:c>
      <x:c r="J79" s="60" t="n">
        <x:v>1.1184034293</x:v>
      </x:c>
      <x:c r="K79" s="60" t="n">
        <x:v>0</x:v>
      </x:c>
      <x:c r="L79" s="60" t="n">
        <x:v>1.1184034293</x:v>
      </x:c>
      <x:c r="M79" s="60" t="n">
        <x:v>0</x:v>
      </x:c>
      <x:c r="N79" s="46" t="str">
        <x:v>phycis blennoides</x:v>
      </x:c>
      <x:c r="O79" s="62" t="n">
        <x:v>3.87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Phycis blennoides</x:v>
      </x:c>
      <x:c r="T79" s="62" t="n">
        <x:f>IF(O79="","",(1/'Metadata'!$B$5)^(O79-1))</x:f>
        <x:v>741.3102413009177</x:v>
      </x:c>
      <x:c r="U79" s="60" t="n">
        <x:f>IF(T79="","",I79*T79)</x:f>
        <x:v>829.0839160461569</x:v>
      </x:c>
    </x:row>
    <x:row r="80" ht="18" customHeight="1">
      <x:c r="A80" s="46" t="str">
        <x:v>LME_020</x:v>
      </x:c>
      <x:c r="B80" s="46" t="str">
        <x:v>Barents Sea</x:v>
      </x:c>
      <x:c r="C80" s="46" t="str">
        <x:v>LME</x:v>
      </x:c>
      <x:c r="D80" s="58" t="n">
        <x:v>2019</x:v>
      </x:c>
      <x:c r="E80" s="46" t="str">
        <x:v>Beryx decadactylus</x:v>
      </x:c>
      <x:c r="F80" s="46" t="str">
        <x:v>Alfonsino</x:v>
      </x:c>
      <x:c r="G80" s="46" t="str">
        <x:v>Medium bathydemersals (30 - 89 cm)</x:v>
      </x:c>
      <x:c r="H80" s="46" t="str">
        <x:v>Other fishes &amp; inverts</x:v>
      </x:c>
      <x:c r="I80" s="60" t="n">
        <x:v>1.1055669912</x:v>
      </x:c>
      <x:c r="J80" s="60" t="n">
        <x:v>1.1055669912</x:v>
      </x:c>
      <x:c r="K80" s="60" t="n">
        <x:v>0</x:v>
      </x:c>
      <x:c r="L80" s="60" t="n">
        <x:v>1.1055669912</x:v>
      </x:c>
      <x:c r="M80" s="60" t="n">
        <x:v>0</x:v>
      </x:c>
      <x:c r="N80" s="46" t="str">
        <x:v>beryx decadactylus</x:v>
      </x:c>
      <x:c r="O80" s="62" t="n">
        <x:v>4.13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Beryx decadactylus</x:v>
      </x:c>
      <x:c r="T80" s="62" t="n">
        <x:f>IF(O80="","",(1/'Metadata'!$B$5)^(O80-1))</x:f>
        <x:v>1348.9628825916532</x:v>
      </x:c>
      <x:c r="U80" s="60" t="n">
        <x:f>IF(T80="","",I80*T80)</x:f>
        <x:v>1491.3688353473328</x:v>
      </x:c>
    </x:row>
    <x:row r="81" ht="18" customHeight="1">
      <x:c r="A81" s="46" t="str">
        <x:v>LME_020</x:v>
      </x:c>
      <x:c r="B81" s="46" t="str">
        <x:v>Barents Sea</x:v>
      </x:c>
      <x:c r="C81" s="46" t="str">
        <x:v>LME</x:v>
      </x:c>
      <x:c r="D81" s="58" t="n">
        <x:v>2019</x:v>
      </x:c>
      <x:c r="E81" s="46" t="str">
        <x:v>Beryx</x:v>
      </x:c>
      <x:c r="F81" s="46" t="str">
        <x:v>Alfonsinos</x:v>
      </x:c>
      <x:c r="G81" s="46" t="str">
        <x:v>Medium benthopelagics (30 - 89 cm)</x:v>
      </x:c>
      <x:c r="H81" s="46" t="str">
        <x:v>Other fishes &amp; inverts</x:v>
      </x:c>
      <x:c r="I81" s="60" t="n">
        <x:v>1.0644261304</x:v>
      </x:c>
      <x:c r="J81" s="60" t="n">
        <x:v>1.0644261304</x:v>
      </x:c>
      <x:c r="K81" s="60" t="n">
        <x:v>0</x:v>
      </x:c>
      <x:c r="L81" s="60" t="n">
        <x:v>1.0644261304</x:v>
      </x:c>
      <x:c r="M81" s="60" t="n">
        <x:v>0</x:v>
      </x:c>
      <x:c r="N81" s="46" t="str">
        <x:v>beryx</x:v>
      </x:c>
      <x:c r="O81" s="62" t="n">
        <x:v>3.97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Beryx</x:v>
      </x:c>
      <x:c r="T81" s="62" t="n">
        <x:f>IF(O81="","",(1/'Metadata'!$B$5)^(O81-1))</x:f>
        <x:v>933.2543007969915</x:v>
      </x:c>
      <x:c r="U81" s="60" t="n">
        <x:f>IF(T81="","",I81*T81)</x:f>
        <x:v>993.3802640764993</x:v>
      </x:c>
    </x:row>
    <x:row r="82" ht="18" customHeight="1">
      <x:c r="A82" s="46" t="str">
        <x:v>LME_020</x:v>
      </x:c>
      <x:c r="B82" s="46" t="str">
        <x:v>Barents Sea</x:v>
      </x:c>
      <x:c r="C82" s="46" t="str">
        <x:v>LME</x:v>
      </x:c>
      <x:c r="D82" s="58" t="n">
        <x:v>2019</x:v>
      </x:c>
      <x:c r="E82" s="46" t="str">
        <x:v>Rajidae</x:v>
      </x:c>
      <x:c r="F82" s="46" t="str">
        <x:v>Stingrays</x:v>
      </x:c>
      <x:c r="G82" s="46" t="str">
        <x:v>Large rays (&gt;=90 cm)</x:v>
      </x:c>
      <x:c r="H82" s="46" t="str">
        <x:v>Sharks &amp; rays</x:v>
      </x:c>
      <x:c r="I82" s="60" t="n">
        <x:v>1.0475352078</x:v>
      </x:c>
      <x:c r="J82" s="60" t="n">
        <x:v>1.0475352078</x:v>
      </x:c>
      <x:c r="K82" s="60" t="n">
        <x:v>0</x:v>
      </x:c>
      <x:c r="L82" s="60" t="n">
        <x:v>1.0475352078</x:v>
      </x:c>
      <x:c r="M82" s="60" t="n">
        <x:v>0</x:v>
      </x:c>
      <x:c r="N82" s="46" t="str">
        <x:v>rajidae</x:v>
      </x:c>
      <x:c r="O82" s="62" t="n">
        <x:v>3.82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Rajidae</x:v>
      </x:c>
      <x:c r="T82" s="62" t="n">
        <x:f>IF(O82="","",(1/'Metadata'!$B$5)^(O82-1))</x:f>
        <x:v>660.6934480075957</x:v>
      </x:c>
      <x:c r="U82" s="60" t="n">
        <x:f>IF(T82="","",I82*T82)</x:f>
        <x:v>692.0996483507353</x:v>
      </x:c>
    </x:row>
    <x:row r="83" ht="18" customHeight="1">
      <x:c r="A83" s="46" t="str">
        <x:v>LME_020</x:v>
      </x:c>
      <x:c r="B83" s="46" t="str">
        <x:v>Barents Sea</x:v>
      </x:c>
      <x:c r="C83" s="46" t="str">
        <x:v>LME</x:v>
      </x:c>
      <x:c r="D83" s="58" t="n">
        <x:v>2019</x:v>
      </x:c>
      <x:c r="E83" s="46" t="str">
        <x:v>Carcharhinidae</x:v>
      </x:c>
      <x:c r="F83" s="46" t="str">
        <x:v>Requiem sharks</x:v>
      </x:c>
      <x:c r="G83" s="46" t="str">
        <x:v>Large sharks (&gt;=90 cm)</x:v>
      </x:c>
      <x:c r="H83" s="46" t="str">
        <x:v>Sharks &amp; rays</x:v>
      </x:c>
      <x:c r="I83" s="60" t="n">
        <x:v>1.0048330756000001</x:v>
      </x:c>
      <x:c r="J83" s="60" t="n">
        <x:v>1.0048330756000001</x:v>
      </x:c>
      <x:c r="K83" s="60" t="n">
        <x:v>0</x:v>
      </x:c>
      <x:c r="L83" s="60" t="n">
        <x:v>1.0048330756000001</x:v>
      </x:c>
      <x:c r="M83" s="60" t="n">
        <x:v>0</x:v>
      </x:c>
      <x:c r="N83" s="46" t="str">
        <x:v>carcharhinidae</x:v>
      </x:c>
      <x:c r="O83" s="62" t="n">
        <x:v>4.24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Carcharhinidae</x:v>
      </x:c>
      <x:c r="T83" s="62" t="n">
        <x:f>IF(O83="","",(1/'Metadata'!$B$5)^(O83-1))</x:f>
        <x:v>1737.8008287493763</x:v>
      </x:c>
      <x:c r="U83" s="60" t="n">
        <x:f>IF(T83="","",I83*T83)</x:f>
        <x:v>1746.199751532465</x:v>
      </x:c>
    </x:row>
    <x:row r="84" ht="18" customHeight="1">
      <x:c r="A84" s="46" t="str">
        <x:v>LME_020</x:v>
      </x:c>
      <x:c r="B84" s="46" t="str">
        <x:v>Barents Sea</x:v>
      </x:c>
      <x:c r="C84" s="46" t="str">
        <x:v>LME</x:v>
      </x:c>
      <x:c r="D84" s="58" t="n">
        <x:v>2019</x:v>
      </x:c>
      <x:c r="E84" s="46" t="str">
        <x:v>Modiolus</x:v>
      </x:c>
      <x:c r="F84" s="46" t="str">
        <x:v>Horse mussels</x:v>
      </x:c>
      <x:c r="G84" s="46" t="str">
        <x:v>Other demersal invertebrates</x:v>
      </x:c>
      <x:c r="H84" s="46" t="str">
        <x:v>Molluscs</x:v>
      </x:c>
      <x:c r="I84" s="60" t="n">
        <x:v>0.9740860767</x:v>
      </x:c>
      <x:c r="J84" s="60" t="n">
        <x:v>0.9740860767</x:v>
      </x:c>
      <x:c r="K84" s="60" t="n">
        <x:v>0</x:v>
      </x:c>
      <x:c r="L84" s="60" t="n">
        <x:v>0.9740860767</x:v>
      </x:c>
      <x:c r="M84" s="60" t="n">
        <x:v>0</x:v>
      </x:c>
      <x:c r="N84" s="46" t="str">
        <x:v>modiolus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Modiolus</x:v>
      </x:c>
      <x:c r="T84" s="62" t="n">
        <x:f>IF(O84="","",(1/'Metadata'!$B$5)^(O84-1))</x:f>
        <x:v>10</x:v>
      </x:c>
      <x:c r="U84" s="60" t="n">
        <x:f>IF(T84="","",I84*T84)</x:f>
        <x:v>9.740860767000001</x:v>
      </x:c>
    </x:row>
    <x:row r="85" ht="18" customHeight="1">
      <x:c r="A85" s="46" t="str">
        <x:v>LME_020</x:v>
      </x:c>
      <x:c r="B85" s="46" t="str">
        <x:v>Barents Sea</x:v>
      </x:c>
      <x:c r="C85" s="46" t="str">
        <x:v>LME</x:v>
      </x:c>
      <x:c r="D85" s="58" t="n">
        <x:v>2019</x:v>
      </x:c>
      <x:c r="E85" s="46" t="str">
        <x:v>Lophius piscatorius</x:v>
      </x:c>
      <x:c r="F85" s="46" t="str">
        <x:v>Angler</x:v>
      </x:c>
      <x:c r="G85" s="46" t="str">
        <x:v>Large bathydemersals (&gt;=90 cm)</x:v>
      </x:c>
      <x:c r="H85" s="46" t="str">
        <x:v>Other fishes &amp; inverts</x:v>
      </x:c>
      <x:c r="I85" s="60" t="n">
        <x:v>0.9728739256</x:v>
      </x:c>
      <x:c r="J85" s="60" t="n">
        <x:v>0.9728739256</x:v>
      </x:c>
      <x:c r="K85" s="60" t="n">
        <x:v>0</x:v>
      </x:c>
      <x:c r="L85" s="60" t="n">
        <x:v>0.9728739256</x:v>
      </x:c>
      <x:c r="M85" s="60" t="n">
        <x:v>0</x:v>
      </x:c>
      <x:c r="N85" s="46" t="str">
        <x:v>lophius piscatorius</x:v>
      </x:c>
      <x:c r="O85" s="62" t="n">
        <x:v>4.45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Lophius piscatorius</x:v>
      </x:c>
      <x:c r="T85" s="62" t="n">
        <x:f>IF(O85="","",(1/'Metadata'!$B$5)^(O85-1))</x:f>
        <x:v>2818.382931264455</x:v>
      </x:c>
      <x:c r="U85" s="60" t="n">
        <x:f>IF(T85="","",I85*T85)</x:f>
        <x:v>2741.931266183285</x:v>
      </x:c>
    </x:row>
    <x:row r="86" ht="18" customHeight="1">
      <x:c r="A86" s="46" t="str">
        <x:v>LME_020</x:v>
      </x:c>
      <x:c r="B86" s="46" t="str">
        <x:v>Barents Sea</x:v>
      </x:c>
      <x:c r="C86" s="46" t="str">
        <x:v>LME</x:v>
      </x:c>
      <x:c r="D86" s="58" t="n">
        <x:v>2019</x:v>
      </x:c>
      <x:c r="E86" s="46" t="str">
        <x:v>Microstomus kitt</x:v>
      </x:c>
      <x:c r="F86" s="46" t="str">
        <x:v>Lemon sole</x:v>
      </x:c>
      <x:c r="G86" s="46" t="str">
        <x:v>Small to medium flatfishes (&lt;90 cm)</x:v>
      </x:c>
      <x:c r="H86" s="46" t="str">
        <x:v>Flatfishes</x:v>
      </x:c>
      <x:c r="I86" s="60" t="n">
        <x:v>0.9055873808</x:v>
      </x:c>
      <x:c r="J86" s="60" t="n">
        <x:v>0.9055873808</x:v>
      </x:c>
      <x:c r="K86" s="60" t="n">
        <x:v>0</x:v>
      </x:c>
      <x:c r="L86" s="60" t="n">
        <x:v>0.9055873808</x:v>
      </x:c>
      <x:c r="M86" s="60" t="n">
        <x:v>0</x:v>
      </x:c>
      <x:c r="N86" s="46" t="str">
        <x:v>microstomus kitt</x:v>
      </x:c>
      <x:c r="O86" s="62" t="n">
        <x:v>3.22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Microstomus kitt</x:v>
      </x:c>
      <x:c r="T86" s="62" t="n">
        <x:f>IF(O86="","",(1/'Metadata'!$B$5)^(O86-1))</x:f>
        <x:v>165.95869074375614</x:v>
      </x:c>
      <x:c r="U86" s="60" t="n">
        <x:f>IF(T86="","",I86*T86)</x:f>
        <x:v>150.29009607163533</x:v>
      </x:c>
    </x:row>
    <x:row r="87" ht="18" customHeight="1">
      <x:c r="A87" s="46" t="str">
        <x:v>LME_020</x:v>
      </x:c>
      <x:c r="B87" s="46" t="str">
        <x:v>Barents Sea</x:v>
      </x:c>
      <x:c r="C87" s="46" t="str">
        <x:v>LME</x:v>
      </x:c>
      <x:c r="D87" s="58" t="n">
        <x:v>2019</x:v>
      </x:c>
      <x:c r="E87" s="46" t="str">
        <x:v>Anarhichadidae</x:v>
      </x:c>
      <x:c r="F87" s="46" t="str">
        <x:v>Wolffishes, wolfeels</x:v>
      </x:c>
      <x:c r="G87" s="46" t="str">
        <x:v>Large demersals (&gt;=90 cm)</x:v>
      </x:c>
      <x:c r="H87" s="46" t="str">
        <x:v>Perch-likes</x:v>
      </x:c>
      <x:c r="I87" s="60" t="n">
        <x:v>0.8822107989</x:v>
      </x:c>
      <x:c r="J87" s="60" t="n">
        <x:v>0.8822107989</x:v>
      </x:c>
      <x:c r="K87" s="60" t="n">
        <x:v>0</x:v>
      </x:c>
      <x:c r="L87" s="60" t="n">
        <x:v>0.8822107989</x:v>
      </x:c>
      <x:c r="M87" s="60" t="n">
        <x:v>0</x:v>
      </x:c>
      <x:c r="N87" s="46" t="str">
        <x:v>anarhichadidae</x:v>
      </x:c>
      <x:c r="O87" s="62" t="n">
        <x:v>3.47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Anarhichadidae</x:v>
      </x:c>
      <x:c r="T87" s="62" t="n">
        <x:f>IF(O87="","",(1/'Metadata'!$B$5)^(O87-1))</x:f>
        <x:v>295.1209226666387</x:v>
      </x:c>
      <x:c r="U87" s="60" t="n">
        <x:f>IF(T87="","",I87*T87)</x:f>
        <x:v>260.35886495784047</x:v>
      </x:c>
    </x:row>
    <x:row r="88" ht="18" customHeight="1">
      <x:c r="A88" s="46" t="str">
        <x:v>LME_020</x:v>
      </x:c>
      <x:c r="B88" s="46" t="str">
        <x:v>Barents Sea</x:v>
      </x:c>
      <x:c r="C88" s="46" t="str">
        <x:v>LME</x:v>
      </x:c>
      <x:c r="D88" s="58" t="n">
        <x:v>2019</x:v>
      </x:c>
      <x:c r="E88" s="46" t="str">
        <x:v>Merlangius merlangus</x:v>
      </x:c>
      <x:c r="F88" s="46" t="str">
        <x:v>Whiting</x:v>
      </x:c>
      <x:c r="G88" s="46" t="str">
        <x:v>Medium benthopelagics (30 - 89 cm)</x:v>
      </x:c>
      <x:c r="H88" s="46" t="str">
        <x:v>Cod-likes</x:v>
      </x:c>
      <x:c r="I88" s="60" t="n">
        <x:v>0.8512508765999999</x:v>
      </x:c>
      <x:c r="J88" s="60" t="n">
        <x:v>0.8512508765999999</x:v>
      </x:c>
      <x:c r="K88" s="60" t="n">
        <x:v>0</x:v>
      </x:c>
      <x:c r="L88" s="60" t="n">
        <x:v>0.8512508765999999</x:v>
      </x:c>
      <x:c r="M88" s="60" t="n">
        <x:v>0</x:v>
      </x:c>
      <x:c r="N88" s="46" t="str">
        <x:v>merlangius merlangus</x:v>
      </x:c>
      <x:c r="O88" s="62" t="n">
        <x:v>4.36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Merlangius merlangus</x:v>
      </x:c>
      <x:c r="T88" s="62" t="n">
        <x:f>IF(O88="","",(1/'Metadata'!$B$5)^(O88-1))</x:f>
        <x:v>2290.867652767775</x:v>
      </x:c>
      <x:c r="U88" s="60" t="n">
        <x:f>IF(T88="","",I88*T88)</x:f>
        <x:v>1950.1030975931526</x:v>
      </x:c>
    </x:row>
    <x:row r="89" ht="18" customHeight="1">
      <x:c r="A89" s="46" t="str">
        <x:v>LME_020</x:v>
      </x:c>
      <x:c r="B89" s="46" t="str">
        <x:v>Barents Sea</x:v>
      </x:c>
      <x:c r="C89" s="46" t="str">
        <x:v>LME</x:v>
      </x:c>
      <x:c r="D89" s="58" t="n">
        <x:v>2019</x:v>
      </x:c>
      <x:c r="E89" s="46" t="str">
        <x:v>Mollusca</x:v>
      </x:c>
      <x:c r="F89" s="46" t="str">
        <x:v>Clams, seasnails, squids, octopuses</x:v>
      </x:c>
      <x:c r="G89" s="46" t="str">
        <x:v>Other demersal invertebrates</x:v>
      </x:c>
      <x:c r="H89" s="46" t="str">
        <x:v>Molluscs</x:v>
      </x:c>
      <x:c r="I89" s="60" t="n">
        <x:v>0.7152908165</x:v>
      </x:c>
      <x:c r="J89" s="60" t="n">
        <x:v>0.7152908165</x:v>
      </x:c>
      <x:c r="K89" s="60" t="n">
        <x:v>0</x:v>
      </x:c>
      <x:c r="L89" s="60" t="n">
        <x:v>0.7152908165</x:v>
      </x:c>
      <x:c r="M89" s="60" t="n">
        <x:v>0</x:v>
      </x:c>
      <x:c r="N89" s="46" t="str">
        <x:v>mollusca</x:v>
      </x:c>
      <x:c r="O89" s="62" t="n">
        <x:v>2.1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Mollusca</x:v>
      </x:c>
      <x:c r="T89" s="62" t="n">
        <x:f>IF(O89="","",(1/'Metadata'!$B$5)^(O89-1))</x:f>
        <x:v>12.589254117941675</x:v>
      </x:c>
      <x:c r="U89" s="60" t="n">
        <x:f>IF(T89="","",I89*T89)</x:f>
        <x:v>9.004977857148488</x:v>
      </x:c>
    </x:row>
    <x:row r="90" ht="18" customHeight="1">
      <x:c r="A90" s="46" t="str">
        <x:v>LME_020</x:v>
      </x:c>
      <x:c r="B90" s="46" t="str">
        <x:v>Barents Sea</x:v>
      </x:c>
      <x:c r="C90" s="46" t="str">
        <x:v>LME</x:v>
      </x:c>
      <x:c r="D90" s="58" t="n">
        <x:v>2019</x:v>
      </x:c>
      <x:c r="E90" s="46" t="str">
        <x:v>Anguilla anguilla</x:v>
      </x:c>
      <x:c r="F90" s="46" t="str">
        <x:v>European eel</x:v>
      </x:c>
      <x:c r="G90" s="46" t="str">
        <x:v>Large demersals (&gt;=90 cm)</x:v>
      </x:c>
      <x:c r="H90" s="46" t="str">
        <x:v>Other fishes &amp; inverts</x:v>
      </x:c>
      <x:c r="I90" s="60" t="n">
        <x:v>0.4311234566</x:v>
      </x:c>
      <x:c r="J90" s="60" t="n">
        <x:v>0.4311234566</x:v>
      </x:c>
      <x:c r="K90" s="60" t="n">
        <x:v>0</x:v>
      </x:c>
      <x:c r="L90" s="60" t="n">
        <x:v>0.4311234566</x:v>
      </x:c>
      <x:c r="M90" s="60" t="n">
        <x:v>0</x:v>
      </x:c>
      <x:c r="N90" s="46" t="str">
        <x:v>anguilla anguilla</x:v>
      </x:c>
      <x:c r="O90" s="62" t="n">
        <x:v>3.55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Anguilla anguilla</x:v>
      </x:c>
      <x:c r="T90" s="62" t="n">
        <x:f>IF(O90="","",(1/'Metadata'!$B$5)^(O90-1))</x:f>
        <x:v>354.8133892335753</x:v>
      </x:c>
      <x:c r="U90" s="60" t="n">
        <x:f>IF(T90="","",I90*T90)</x:f>
        <x:v>152.96837481434022</x:v>
      </x:c>
    </x:row>
    <x:row r="91" ht="18" customHeight="1">
      <x:c r="A91" s="46" t="str">
        <x:v>LME_020</x:v>
      </x:c>
      <x:c r="B91" s="46" t="str">
        <x:v>Barents Sea</x:v>
      </x:c>
      <x:c r="C91" s="46" t="str">
        <x:v>LME</x:v>
      </x:c>
      <x:c r="D91" s="58" t="n">
        <x:v>2019</x:v>
      </x:c>
      <x:c r="E91" s="46" t="str">
        <x:v>Argentina sphyraena</x:v>
      </x:c>
      <x:c r="F91" s="46" t="str">
        <x:v>European argentine</x:v>
      </x:c>
      <x:c r="G91" s="46" t="str">
        <x:v>Medium pelagics (30 - 89 cm)</x:v>
      </x:c>
      <x:c r="H91" s="46" t="str">
        <x:v>Salmon, smelts, etc</x:v>
      </x:c>
      <x:c r="I91" s="60" t="n">
        <x:v>0.3717932833</x:v>
      </x:c>
      <x:c r="J91" s="60" t="n">
        <x:v>0.3717932833</x:v>
      </x:c>
      <x:c r="K91" s="60" t="n">
        <x:v>0</x:v>
      </x:c>
      <x:c r="L91" s="60" t="n">
        <x:v>0.3717932833</x:v>
      </x:c>
      <x:c r="M91" s="60" t="n">
        <x:v>0</x:v>
      </x:c>
      <x:c r="N91" s="46" t="str">
        <x:v>argentina sphyraena</x:v>
      </x:c>
      <x:c r="O91" s="62" t="n">
        <x:v>3.62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Argentina sphyraena</x:v>
      </x:c>
      <x:c r="T91" s="62" t="n">
        <x:f>IF(O91="","",(1/'Metadata'!$B$5)^(O91-1))</x:f>
        <x:v>416.8693834703355</x:v>
      </x:c>
      <x:c r="U91" s="60" t="n">
        <x:f>IF(T91="","",I91*T91)</x:f>
        <x:v>154.98923678768278</x:v>
      </x:c>
    </x:row>
    <x:row r="92" ht="18" customHeight="1">
      <x:c r="A92" s="46" t="str">
        <x:v>LME_020</x:v>
      </x:c>
      <x:c r="B92" s="46" t="str">
        <x:v>Barents Sea</x:v>
      </x:c>
      <x:c r="C92" s="46" t="str">
        <x:v>LME</x:v>
      </x:c>
      <x:c r="D92" s="58" t="n">
        <x:v>2019</x:v>
      </x:c>
      <x:c r="E92" s="46" t="str">
        <x:v>Sparidae</x:v>
      </x:c>
      <x:c r="F92" s="46" t="str">
        <x:v>Porgies, seabreams</x:v>
      </x:c>
      <x:c r="G92" s="46" t="str">
        <x:v>Medium benthopelagics (30 - 89 cm)</x:v>
      </x:c>
      <x:c r="H92" s="46" t="str">
        <x:v>Perch-likes</x:v>
      </x:c>
      <x:c r="I92" s="60" t="n">
        <x:v>0.35906428879999996</x:v>
      </x:c>
      <x:c r="J92" s="60" t="n">
        <x:v>0.35906428879999996</x:v>
      </x:c>
      <x:c r="K92" s="60" t="n">
        <x:v>0</x:v>
      </x:c>
      <x:c r="L92" s="60" t="n">
        <x:v>0.35906428879999996</x:v>
      </x:c>
      <x:c r="M92" s="60" t="n">
        <x:v>0</x:v>
      </x:c>
      <x:c r="N92" s="46" t="str">
        <x:v>sparidae</x:v>
      </x:c>
      <x:c r="O92" s="62" t="n">
        <x:v>3.31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Sparidae</x:v>
      </x:c>
      <x:c r="T92" s="62" t="n">
        <x:f>IF(O92="","",(1/'Metadata'!$B$5)^(O92-1))</x:f>
        <x:v>204.17379446695296</x:v>
      </x:c>
      <x:c r="U92" s="60" t="n">
        <x:f>IF(T92="","",I92*T92)</x:f>
        <x:v>73.31151830187383</x:v>
      </x:c>
    </x:row>
    <x:row r="93" ht="18" customHeight="1">
      <x:c r="A93" s="46" t="str">
        <x:v>LME_020</x:v>
      </x:c>
      <x:c r="B93" s="46" t="str">
        <x:v>Barents Sea</x:v>
      </x:c>
      <x:c r="C93" s="46" t="str">
        <x:v>LME</x:v>
      </x:c>
      <x:c r="D93" s="58" t="n">
        <x:v>2019</x:v>
      </x:c>
      <x:c r="E93" s="46" t="str">
        <x:v>Nephrops norvegicus</x:v>
      </x:c>
      <x:c r="F93" s="46" t="str">
        <x:v>Norway lobster</x:v>
      </x:c>
      <x:c r="G93" s="46" t="str">
        <x:v>Lobsters, crabs</x:v>
      </x:c>
      <x:c r="H93" s="46" t="str">
        <x:v>Crustaceans</x:v>
      </x:c>
      <x:c r="I93" s="60" t="n">
        <x:v>0.30887240579999997</x:v>
      </x:c>
      <x:c r="J93" s="60" t="n">
        <x:v>0.30887240579999997</x:v>
      </x:c>
      <x:c r="K93" s="60" t="n">
        <x:v>0</x:v>
      </x:c>
      <x:c r="L93" s="60" t="n">
        <x:v>0.30887240579999997</x:v>
      </x:c>
      <x:c r="M93" s="60" t="n">
        <x:v>0</x:v>
      </x:c>
      <x:c r="N93" s="46" t="str">
        <x:v>nephrops norvegicus</x:v>
      </x:c>
      <x:c r="O93" s="62" t="n">
        <x:v>2.87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Nephrops norvegicus</x:v>
      </x:c>
      <x:c r="T93" s="62" t="n">
        <x:f>IF(O93="","",(1/'Metadata'!$B$5)^(O93-1))</x:f>
        <x:v>74.13102413009177</x:v>
      </x:c>
      <x:c r="U93" s="60" t="n">
        <x:f>IF(T93="","",I93*T93)</x:f>
        <x:v>22.897027767479297</x:v>
      </x:c>
    </x:row>
    <x:row r="94" ht="18" customHeight="1">
      <x:c r="A94" s="46" t="str">
        <x:v>LME_020</x:v>
      </x:c>
      <x:c r="B94" s="46" t="str">
        <x:v>Barents Sea</x:v>
      </x:c>
      <x:c r="C94" s="46" t="str">
        <x:v>LME</x:v>
      </x:c>
      <x:c r="D94" s="58" t="n">
        <x:v>2019</x:v>
      </x:c>
      <x:c r="E94" s="46" t="str">
        <x:v>Anomura</x:v>
      </x:c>
      <x:c r="F94" s="46" t="str">
        <x:v>Craylets, squat lobsters, hermits</x:v>
      </x:c>
      <x:c r="G94" s="46" t="str">
        <x:v>Lobsters, crabs</x:v>
      </x:c>
      <x:c r="H94" s="46" t="str">
        <x:v>Crustaceans</x:v>
      </x:c>
      <x:c r="I94" s="60" t="n">
        <x:v>0.2713881352</x:v>
      </x:c>
      <x:c r="J94" s="60" t="n">
        <x:v>0.2713881352</x:v>
      </x:c>
      <x:c r="K94" s="60" t="n">
        <x:v>0</x:v>
      </x:c>
      <x:c r="L94" s="60" t="n">
        <x:v>0.2713881352</x:v>
      </x:c>
      <x:c r="M94" s="60" t="n">
        <x:v>0</x:v>
      </x:c>
      <x:c r="N94" s="46" t="str">
        <x:v>anomura</x:v>
      </x:c>
      <x:c r="O94" s="62" t="n">
        <x:v>3.1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Anomura</x:v>
      </x:c>
      <x:c r="T94" s="62" t="n">
        <x:f>IF(O94="","",(1/'Metadata'!$B$5)^(O94-1))</x:f>
        <x:v>125.89254117941675</x:v>
      </x:c>
      <x:c r="U94" s="60" t="n">
        <x:f>IF(T94="","",I94*T94)</x:f>
        <x:v>34.16574198627112</x:v>
      </x:c>
    </x:row>
    <x:row r="95" ht="18" customHeight="1">
      <x:c r="A95" s="46" t="str">
        <x:v>LME_020</x:v>
      </x:c>
      <x:c r="B95" s="46" t="str">
        <x:v>Barents Sea</x:v>
      </x:c>
      <x:c r="C95" s="46" t="str">
        <x:v>LME</x:v>
      </x:c>
      <x:c r="D95" s="58" t="n">
        <x:v>2019</x:v>
      </x:c>
      <x:c r="E95" s="46" t="str">
        <x:v>Gaidropsarus</x:v>
      </x:c>
      <x:c r="F95" s="46" t="str">
        <x:v>Rocklings</x:v>
      </x:c>
      <x:c r="G95" s="46" t="str">
        <x:v>Medium benthopelagics (30 - 89 cm)</x:v>
      </x:c>
      <x:c r="H95" s="46" t="str">
        <x:v>Cod-likes</x:v>
      </x:c>
      <x:c r="I95" s="60" t="n">
        <x:v>0.2651300323</x:v>
      </x:c>
      <x:c r="J95" s="60" t="n">
        <x:v>0.2651300323</x:v>
      </x:c>
      <x:c r="K95" s="60" t="n">
        <x:v>0</x:v>
      </x:c>
      <x:c r="L95" s="60" t="n">
        <x:v>0.2651300323</x:v>
      </x:c>
      <x:c r="M95" s="60" t="n">
        <x:v>0</x:v>
      </x:c>
      <x:c r="N95" s="46" t="str">
        <x:v>gaidropsarus</x:v>
      </x:c>
      <x:c r="O95" s="62" t="n">
        <x:v>3.4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Gaidropsarus</x:v>
      </x:c>
      <x:c r="T95" s="62" t="n">
        <x:f>IF(O95="","",(1/'Metadata'!$B$5)^(O95-1))</x:f>
        <x:v>251.18864315095797</x:v>
      </x:c>
      <x:c r="U95" s="60" t="n">
        <x:f>IF(T95="","",I95*T95)</x:f>
        <x:v>66.59765307200665</x:v>
      </x:c>
    </x:row>
    <x:row r="96" ht="18" customHeight="1">
      <x:c r="A96" s="46" t="str">
        <x:v>LME_020</x:v>
      </x:c>
      <x:c r="B96" s="46" t="str">
        <x:v>Barents Sea</x:v>
      </x:c>
      <x:c r="C96" s="46" t="str">
        <x:v>LME</x:v>
      </x:c>
      <x:c r="D96" s="58" t="n">
        <x:v>2019</x:v>
      </x:c>
      <x:c r="E96" s="46" t="str">
        <x:v>Donax</x:v>
      </x:c>
      <x:c r="F96" s="46" t="str">
        <x:v>Bean clams</x:v>
      </x:c>
      <x:c r="G96" s="46" t="str">
        <x:v>Other demersal invertebrates</x:v>
      </x:c>
      <x:c r="H96" s="46" t="str">
        <x:v>Molluscs</x:v>
      </x:c>
      <x:c r="I96" s="60" t="n">
        <x:v>0.2621492803</x:v>
      </x:c>
      <x:c r="J96" s="60" t="n">
        <x:v>0.2621492803</x:v>
      </x:c>
      <x:c r="K96" s="60" t="n">
        <x:v>0</x:v>
      </x:c>
      <x:c r="L96" s="60" t="n">
        <x:v>0.2621492803</x:v>
      </x:c>
      <x:c r="M96" s="60" t="n">
        <x:v>0</x:v>
      </x:c>
      <x:c r="N96" s="46" t="str">
        <x:v>donax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Donax</x:v>
      </x:c>
      <x:c r="T96" s="62" t="n">
        <x:f>IF(O96="","",(1/'Metadata'!$B$5)^(O96-1))</x:f>
        <x:v>10</x:v>
      </x:c>
      <x:c r="U96" s="60" t="n">
        <x:f>IF(T96="","",I96*T96)</x:f>
        <x:v>2.621492803</x:v>
      </x:c>
    </x:row>
    <x:row r="97" ht="18" customHeight="1">
      <x:c r="A97" s="46" t="str">
        <x:v>LME_020</x:v>
      </x:c>
      <x:c r="B97" s="46" t="str">
        <x:v>Barents Sea</x:v>
      </x:c>
      <x:c r="C97" s="46" t="str">
        <x:v>LME</x:v>
      </x:c>
      <x:c r="D97" s="58" t="n">
        <x:v>2019</x:v>
      </x:c>
      <x:c r="E97" s="46" t="str">
        <x:v>Coregonus sardinella</x:v>
      </x:c>
      <x:c r="F97" s="46" t="str">
        <x:v>Sardine cisco</x:v>
      </x:c>
      <x:c r="G97" s="46" t="str">
        <x:v>Medium pelagics (30 - 89 cm)</x:v>
      </x:c>
      <x:c r="H97" s="46" t="str">
        <x:v>Salmon, smelts, etc</x:v>
      </x:c>
      <x:c r="I97" s="60" t="n">
        <x:v>0.2603715149</x:v>
      </x:c>
      <x:c r="J97" s="60" t="n">
        <x:v>0.2603715149</x:v>
      </x:c>
      <x:c r="K97" s="60" t="n">
        <x:v>0</x:v>
      </x:c>
      <x:c r="L97" s="60" t="n">
        <x:v>0</x:v>
      </x:c>
      <x:c r="M97" s="60" t="n">
        <x:v>0.2603715149</x:v>
      </x:c>
      <x:c r="N97" s="46" t="str">
        <x:v>coregonus sardinella</x:v>
      </x:c>
      <x:c r="O97" s="62" t="n">
        <x:v>3.21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Coregonus sardinella</x:v>
      </x:c>
      <x:c r="T97" s="62" t="n">
        <x:f>IF(O97="","",(1/'Metadata'!$B$5)^(O97-1))</x:f>
        <x:v>162.18100973589299</x:v>
      </x:c>
      <x:c r="U97" s="60" t="n">
        <x:f>IF(T97="","",I97*T97)</x:f>
        <x:v>42.2273151929461</x:v>
      </x:c>
    </x:row>
    <x:row r="98" ht="18" customHeight="1">
      <x:c r="A98" s="46" t="str">
        <x:v>LME_020</x:v>
      </x:c>
      <x:c r="B98" s="46" t="str">
        <x:v>Barents Sea</x:v>
      </x:c>
      <x:c r="C98" s="46" t="str">
        <x:v>LME</x:v>
      </x:c>
      <x:c r="D98" s="58" t="n">
        <x:v>2019</x:v>
      </x:c>
      <x:c r="E98" s="46" t="str">
        <x:v>Merluccius</x:v>
      </x:c>
      <x:c r="F98" s="46" t="str">
        <x:v>Hakes</x:v>
      </x:c>
      <x:c r="G98" s="46" t="str">
        <x:v>Medium bathydemersals (30 - 89 cm)</x:v>
      </x:c>
      <x:c r="H98" s="46" t="str">
        <x:v>Cod-likes</x:v>
      </x:c>
      <x:c r="I98" s="60" t="n">
        <x:v>0.23152507430000002</x:v>
      </x:c>
      <x:c r="J98" s="60" t="n">
        <x:v>0.23152507430000002</x:v>
      </x:c>
      <x:c r="K98" s="60" t="n">
        <x:v>0</x:v>
      </x:c>
      <x:c r="L98" s="60" t="n">
        <x:v>0.23152507430000002</x:v>
      </x:c>
      <x:c r="M98" s="60" t="n">
        <x:v>0</x:v>
      </x:c>
      <x:c r="N98" s="46" t="str">
        <x:v>merluccius</x:v>
      </x:c>
      <x:c r="O98" s="62" t="n">
        <x:v>4.27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Merluccius</x:v>
      </x:c>
      <x:c r="T98" s="62" t="n">
        <x:f>IF(O98="","",(1/'Metadata'!$B$5)^(O98-1))</x:f>
        <x:v>1862.0871366628655</x:v>
      </x:c>
      <x:c r="U98" s="60" t="n">
        <x:f>IF(T98="","",I98*T98)</x:f>
        <x:v>431.1198626689442</x:v>
      </x:c>
    </x:row>
    <x:row r="99" ht="18" customHeight="1">
      <x:c r="A99" s="46" t="str">
        <x:v>LME_020</x:v>
      </x:c>
      <x:c r="B99" s="46" t="str">
        <x:v>Barents Sea</x:v>
      </x:c>
      <x:c r="C99" s="46" t="str">
        <x:v>LME</x:v>
      </x:c>
      <x:c r="D99" s="58" t="n">
        <x:v>2019</x:v>
      </x:c>
      <x:c r="E99" s="46" t="str">
        <x:v>Ensis ensis</x:v>
      </x:c>
      <x:c r="F99" s="46" t="str">
        <x:v>Pod razor</x:v>
      </x:c>
      <x:c r="G99" s="46" t="str">
        <x:v>Other demersal invertebrates</x:v>
      </x:c>
      <x:c r="H99" s="46" t="str">
        <x:v>Molluscs</x:v>
      </x:c>
      <x:c r="I99" s="60" t="n">
        <x:v>0.1892378484</x:v>
      </x:c>
      <x:c r="J99" s="60" t="n">
        <x:v>0.1892378484</x:v>
      </x:c>
      <x:c r="K99" s="60" t="n">
        <x:v>0</x:v>
      </x:c>
      <x:c r="L99" s="60" t="n">
        <x:v>0.1892378484</x:v>
      </x:c>
      <x:c r="M99" s="60" t="n">
        <x:v>0</x:v>
      </x:c>
      <x:c r="N99" s="46" t="str">
        <x:v>ensis ensis</x:v>
      </x:c>
      <x:c r="O99" s="62" t="n">
        <x:v>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Ensis ensis</x:v>
      </x:c>
      <x:c r="T99" s="62" t="n">
        <x:f>IF(O99="","",(1/'Metadata'!$B$5)^(O99-1))</x:f>
        <x:v>10</x:v>
      </x:c>
      <x:c r="U99" s="60" t="n">
        <x:f>IF(T99="","",I99*T99)</x:f>
        <x:v>1.892378484</x:v>
      </x:c>
    </x:row>
    <x:row r="100" ht="18" customHeight="1">
      <x:c r="A100" s="46" t="str">
        <x:v>LME_020</x:v>
      </x:c>
      <x:c r="B100" s="46" t="str">
        <x:v>Barents Sea</x:v>
      </x:c>
      <x:c r="C100" s="46" t="str">
        <x:v>LME</x:v>
      </x:c>
      <x:c r="D100" s="58" t="n">
        <x:v>2019</x:v>
      </x:c>
      <x:c r="E100" s="46" t="str">
        <x:v>Phycis</x:v>
      </x:c>
      <x:c r="F100" s="46" t="str">
        <x:v>Gunnels, forkbeards</x:v>
      </x:c>
      <x:c r="G100" s="46" t="str">
        <x:v>Medium benthopelagics (30 - 89 cm)</x:v>
      </x:c>
      <x:c r="H100" s="46" t="str">
        <x:v>Cod-likes</x:v>
      </x:c>
      <x:c r="I100" s="60" t="n">
        <x:v>0.1597528816</x:v>
      </x:c>
      <x:c r="J100" s="60" t="n">
        <x:v>0.1597528816</x:v>
      </x:c>
      <x:c r="K100" s="60" t="n">
        <x:v>0</x:v>
      </x:c>
      <x:c r="L100" s="60" t="n">
        <x:v>0.1597528816</x:v>
      </x:c>
      <x:c r="M100" s="60" t="n">
        <x:v>0</x:v>
      </x:c>
      <x:c r="N100" s="46" t="str">
        <x:v>phycis</x:v>
      </x:c>
      <x:c r="O100" s="62" t="n">
        <x:v>3.99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Phycis</x:v>
      </x:c>
      <x:c r="T100" s="62" t="n">
        <x:f>IF(O100="","",(1/'Metadata'!$B$5)^(O100-1))</x:f>
        <x:v>977.2372209558112</x:v>
      </x:c>
      <x:c r="U100" s="60" t="n">
        <x:f>IF(T100="","",I100*T100)</x:f>
        <x:v>156.11646205446675</x:v>
      </x:c>
    </x:row>
    <x:row r="101" ht="18" customHeight="1">
      <x:c r="A101" s="46" t="str">
        <x:v>LME_020</x:v>
      </x:c>
      <x:c r="B101" s="46" t="str">
        <x:v>Barents Sea</x:v>
      </x:c>
      <x:c r="C101" s="46" t="str">
        <x:v>LME</x:v>
      </x:c>
      <x:c r="D101" s="58" t="n">
        <x:v>2019</x:v>
      </x:c>
      <x:c r="E101" s="46" t="str">
        <x:v>Scomber</x:v>
      </x:c>
      <x:c r="F101" s="46" t="str">
        <x:v>Chub mackerels</x:v>
      </x:c>
      <x:c r="G101" s="46" t="str">
        <x:v>Medium pelagics (30 - 89 cm)</x:v>
      </x:c>
      <x:c r="H101" s="46" t="str">
        <x:v>Perch-likes</x:v>
      </x:c>
      <x:c r="I101" s="60" t="n">
        <x:v>0.15148380509999998</x:v>
      </x:c>
      <x:c r="J101" s="60" t="n">
        <x:v>0.15148380509999998</x:v>
      </x:c>
      <x:c r="K101" s="60" t="n">
        <x:v>0</x:v>
      </x:c>
      <x:c r="L101" s="60" t="n">
        <x:v>0.15148380509999998</x:v>
      </x:c>
      <x:c r="M101" s="60" t="n">
        <x:v>0</x:v>
      </x:c>
      <x:c r="N101" s="46" t="str">
        <x:v>scomber</x:v>
      </x:c>
      <x:c r="O101" s="62" t="n">
        <x:v>3.65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Scomber</x:v>
      </x:c>
      <x:c r="T101" s="62" t="n">
        <x:f>IF(O101="","",(1/'Metadata'!$B$5)^(O101-1))</x:f>
        <x:v>446.683592150963</x:v>
      </x:c>
      <x:c r="U101" s="60" t="n">
        <x:f>IF(T101="","",I101*T101)</x:f>
        <x:v>67.66533021476437</x:v>
      </x:c>
    </x:row>
    <x:row r="102" ht="18" customHeight="1">
      <x:c r="A102" s="46" t="str">
        <x:v>LME_020</x:v>
      </x:c>
      <x:c r="B102" s="46" t="str">
        <x:v>Barents Sea</x:v>
      </x:c>
      <x:c r="C102" s="46" t="str">
        <x:v>LME</x:v>
      </x:c>
      <x:c r="D102" s="58" t="n">
        <x:v>2019</x:v>
      </x:c>
      <x:c r="E102" s="46" t="str">
        <x:v>Leucoraja fullonica</x:v>
      </x:c>
      <x:c r="F102" s="46" t="str">
        <x:v>Shagreen ray</x:v>
      </x:c>
      <x:c r="G102" s="46" t="str">
        <x:v>Large rays (&gt;=90 cm)</x:v>
      </x:c>
      <x:c r="H102" s="46" t="str">
        <x:v>Sharks &amp; rays</x:v>
      </x:c>
      <x:c r="I102" s="60" t="n">
        <x:v>0.1360441851</x:v>
      </x:c>
      <x:c r="J102" s="60" t="n">
        <x:v>0.1360441851</x:v>
      </x:c>
      <x:c r="K102" s="60" t="n">
        <x:v>0</x:v>
      </x:c>
      <x:c r="L102" s="60" t="n">
        <x:v>0.1360441851</x:v>
      </x:c>
      <x:c r="M102" s="60" t="n">
        <x:v>0</x:v>
      </x:c>
      <x:c r="N102" s="46" t="str">
        <x:v>leucoraja fullonica</x:v>
      </x:c>
      <x:c r="O102" s="62" t="n">
        <x:v>3.5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Leucoraja fullonica</x:v>
      </x:c>
      <x:c r="T102" s="62" t="n">
        <x:f>IF(O102="","",(1/'Metadata'!$B$5)^(O102-1))</x:f>
        <x:v>316.22776601683796</x:v>
      </x:c>
      <x:c r="U102" s="60" t="n">
        <x:f>IF(T102="","",I102*T102)</x:f>
        <x:v>43.02094873375419</x:v>
      </x:c>
    </x:row>
    <x:row r="103" ht="18" customHeight="1">
      <x:c r="A103" s="46" t="str">
        <x:v>LME_020</x:v>
      </x:c>
      <x:c r="B103" s="46" t="str">
        <x:v>Barents Sea</x:v>
      </x:c>
      <x:c r="C103" s="46" t="str">
        <x:v>LME</x:v>
      </x:c>
      <x:c r="D103" s="58" t="n">
        <x:v>2019</x:v>
      </x:c>
      <x:c r="E103" s="46" t="str">
        <x:v>Mytilus edulis</x:v>
      </x:c>
      <x:c r="F103" s="46" t="str">
        <x:v>Blue mussel</x:v>
      </x:c>
      <x:c r="G103" s="46" t="str">
        <x:v>Other demersal invertebrates</x:v>
      </x:c>
      <x:c r="H103" s="46" t="str">
        <x:v>Molluscs</x:v>
      </x:c>
      <x:c r="I103" s="60" t="n">
        <x:v>0.12708534500000002</x:v>
      </x:c>
      <x:c r="J103" s="60" t="n">
        <x:v>0.12708534500000002</x:v>
      </x:c>
      <x:c r="K103" s="60" t="n">
        <x:v>0</x:v>
      </x:c>
      <x:c r="L103" s="60" t="n">
        <x:v>0.12708534500000002</x:v>
      </x:c>
      <x:c r="M103" s="60" t="n">
        <x:v>0</x:v>
      </x:c>
      <x:c r="N103" s="46" t="str">
        <x:v>mytilus edulis</x:v>
      </x:c>
      <x:c r="O103" s="62" t="n">
        <x:v>2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Mytilus edulis</x:v>
      </x:c>
      <x:c r="T103" s="62" t="n">
        <x:f>IF(O103="","",(1/'Metadata'!$B$5)^(O103-1))</x:f>
        <x:v>10</x:v>
      </x:c>
      <x:c r="U103" s="60" t="n">
        <x:f>IF(T103="","",I103*T103)</x:f>
        <x:v>1.2708534500000002</x:v>
      </x:c>
    </x:row>
    <x:row r="104" ht="18" customHeight="1">
      <x:c r="A104" s="46" t="str">
        <x:v>LME_020</x:v>
      </x:c>
      <x:c r="B104" s="46" t="str">
        <x:v>Barents Sea</x:v>
      </x:c>
      <x:c r="C104" s="46" t="str">
        <x:v>LME</x:v>
      </x:c>
      <x:c r="D104" s="58" t="n">
        <x:v>2019</x:v>
      </x:c>
      <x:c r="E104" s="46" t="str">
        <x:v>Trisopterus esmarkii</x:v>
      </x:c>
      <x:c r="F104" s="46" t="str">
        <x:v>Norway pout</x:v>
      </x:c>
      <x:c r="G104" s="46" t="str">
        <x:v>Medium benthopelagics (30 - 89 cm)</x:v>
      </x:c>
      <x:c r="H104" s="46" t="str">
        <x:v>Cod-likes</x:v>
      </x:c>
      <x:c r="I104" s="60" t="n">
        <x:v>0.1206350153</x:v>
      </x:c>
      <x:c r="J104" s="60" t="n">
        <x:v>0.1206350153</x:v>
      </x:c>
      <x:c r="K104" s="60" t="n">
        <x:v>0</x:v>
      </x:c>
      <x:c r="L104" s="60" t="n">
        <x:v>0.1206350153</x:v>
      </x:c>
      <x:c r="M104" s="60" t="n">
        <x:v>0</x:v>
      </x:c>
      <x:c r="N104" s="46" t="str">
        <x:v>trisopterus esmarkii</x:v>
      </x:c>
      <x:c r="O104" s="62" t="n">
        <x:v>3.24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Trisopterus esmarkii</x:v>
      </x:c>
      <x:c r="T104" s="62" t="n">
        <x:f>IF(O104="","",(1/'Metadata'!$B$5)^(O104-1))</x:f>
        <x:v>173.78008287493762</x:v>
      </x:c>
      <x:c r="U104" s="60" t="n">
        <x:f>IF(T104="","",I104*T104)</x:f>
        <x:v>20.96396295645337</x:v>
      </x:c>
    </x:row>
    <x:row r="105" ht="18" customHeight="1">
      <x:c r="A105" s="46" t="str">
        <x:v>LME_020</x:v>
      </x:c>
      <x:c r="B105" s="46" t="str">
        <x:v>Barents Sea</x:v>
      </x:c>
      <x:c r="C105" s="46" t="str">
        <x:v>LME</x:v>
      </x:c>
      <x:c r="D105" s="58" t="n">
        <x:v>2019</x:v>
      </x:c>
      <x:c r="E105" s="46" t="str">
        <x:v>Diplodus</x:v>
      </x:c>
      <x:c r="F105" s="46" t="str">
        <x:v>Two-toothed seabreams</x:v>
      </x:c>
      <x:c r="G105" s="46" t="str">
        <x:v>Medium benthopelagics (30 - 89 cm)</x:v>
      </x:c>
      <x:c r="H105" s="46" t="str">
        <x:v>Perch-likes</x:v>
      </x:c>
      <x:c r="I105" s="60" t="n">
        <x:v>0.1028353034</x:v>
      </x:c>
      <x:c r="J105" s="60" t="n">
        <x:v>0.1028353034</x:v>
      </x:c>
      <x:c r="K105" s="60" t="n">
        <x:v>0</x:v>
      </x:c>
      <x:c r="L105" s="60" t="n">
        <x:v>0.1028353034</x:v>
      </x:c>
      <x:c r="M105" s="60" t="n">
        <x:v>0</x:v>
      </x:c>
      <x:c r="N105" s="46" t="str">
        <x:v>diplodus</x:v>
      </x:c>
      <x:c r="O105" s="62" t="n">
        <x:v>2.97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Diplodus</x:v>
      </x:c>
      <x:c r="T105" s="62" t="n">
        <x:f>IF(O105="","",(1/'Metadata'!$B$5)^(O105-1))</x:f>
        <x:v>93.32543007969915</x:v>
      </x:c>
      <x:c r="U105" s="60" t="n">
        <x:f>IF(T105="","",I105*T105)</x:f>
        <x:v>9.597148917181347</x:v>
      </x:c>
    </x:row>
    <x:row r="106" ht="18" customHeight="1">
      <x:c r="A106" s="46" t="str">
        <x:v>LME_020</x:v>
      </x:c>
      <x:c r="B106" s="46" t="str">
        <x:v>Barents Sea</x:v>
      </x:c>
      <x:c r="C106" s="46" t="str">
        <x:v>LME</x:v>
      </x:c>
      <x:c r="D106" s="58" t="n">
        <x:v>2019</x:v>
      </x:c>
      <x:c r="E106" s="46" t="str">
        <x:v>Solen</x:v>
      </x:c>
      <x:c r="F106" s="46" t="str">
        <x:v>Razor clams</x:v>
      </x:c>
      <x:c r="G106" s="46" t="str">
        <x:v>Other demersal invertebrates</x:v>
      </x:c>
      <x:c r="H106" s="46" t="str">
        <x:v>Molluscs</x:v>
      </x:c>
      <x:c r="I106" s="60" t="n">
        <x:v>0.0979690888</x:v>
      </x:c>
      <x:c r="J106" s="60" t="n">
        <x:v>0.0979690888</x:v>
      </x:c>
      <x:c r="K106" s="60" t="n">
        <x:v>0</x:v>
      </x:c>
      <x:c r="L106" s="60" t="n">
        <x:v>0.0979690888</x:v>
      </x:c>
      <x:c r="M106" s="60" t="n">
        <x:v>0</x:v>
      </x:c>
      <x:c r="N106" s="46" t="str">
        <x:v>solen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Solen</x:v>
      </x:c>
      <x:c r="T106" s="62" t="n">
        <x:f>IF(O106="","",(1/'Metadata'!$B$5)^(O106-1))</x:f>
        <x:v>10</x:v>
      </x:c>
      <x:c r="U106" s="60" t="n">
        <x:f>IF(T106="","",I106*T106)</x:f>
        <x:v>0.979690888</x:v>
      </x:c>
    </x:row>
    <x:row r="107" ht="18" customHeight="1">
      <x:c r="A107" s="46" t="str">
        <x:v>LME_020</x:v>
      </x:c>
      <x:c r="B107" s="46" t="str">
        <x:v>Barents Sea</x:v>
      </x:c>
      <x:c r="C107" s="46" t="str">
        <x:v>LME</x:v>
      </x:c>
      <x:c r="D107" s="58" t="n">
        <x:v>2019</x:v>
      </x:c>
      <x:c r="E107" s="46" t="str">
        <x:v>Spondyliosoma cantharus</x:v>
      </x:c>
      <x:c r="F107" s="46" t="str">
        <x:v>Black seabream</x:v>
      </x:c>
      <x:c r="G107" s="46" t="str">
        <x:v>Medium benthopelagics (30 - 89 cm)</x:v>
      </x:c>
      <x:c r="H107" s="46" t="str">
        <x:v>Perch-likes</x:v>
      </x:c>
      <x:c r="I107" s="60" t="n">
        <x:v>0.09706844989999999</x:v>
      </x:c>
      <x:c r="J107" s="60" t="n">
        <x:v>0.09706844989999999</x:v>
      </x:c>
      <x:c r="K107" s="60" t="n">
        <x:v>0</x:v>
      </x:c>
      <x:c r="L107" s="60" t="n">
        <x:v>0.09706844989999999</x:v>
      </x:c>
      <x:c r="M107" s="60" t="n">
        <x:v>0</x:v>
      </x:c>
      <x:c r="N107" s="46" t="str">
        <x:v>spondyliosoma cantharus</x:v>
      </x:c>
      <x:c r="O107" s="62" t="n">
        <x:v>3.34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Spondyliosoma cantharus</x:v>
      </x:c>
      <x:c r="T107" s="62" t="n">
        <x:f>IF(O107="","",(1/'Metadata'!$B$5)^(O107-1))</x:f>
        <x:v>218.77616239495518</x:v>
      </x:c>
      <x:c r="U107" s="60" t="n">
        <x:f>IF(T107="","",I107*T107)</x:f>
        <x:v>21.23626295874897</x:v>
      </x:c>
    </x:row>
    <x:row r="108" ht="18" customHeight="1">
      <x:c r="A108" s="46" t="str">
        <x:v>LME_020</x:v>
      </x:c>
      <x:c r="B108" s="46" t="str">
        <x:v>Barents Sea</x:v>
      </x:c>
      <x:c r="C108" s="46" t="str">
        <x:v>LME</x:v>
      </x:c>
      <x:c r="D108" s="58" t="n">
        <x:v>2019</x:v>
      </x:c>
      <x:c r="E108" s="46" t="str">
        <x:v>Salmo trutta</x:v>
      </x:c>
      <x:c r="F108" s="46" t="str">
        <x:v>Sea trout</x:v>
      </x:c>
      <x:c r="G108" s="46" t="str">
        <x:v>Large pelagics (&gt;=90 cm)</x:v>
      </x:c>
      <x:c r="H108" s="46" t="str">
        <x:v>Salmon, smelts, etc</x:v>
      </x:c>
      <x:c r="I108" s="60" t="n">
        <x:v>0.0925735646</x:v>
      </x:c>
      <x:c r="J108" s="60" t="n">
        <x:v>0.0925735646</x:v>
      </x:c>
      <x:c r="K108" s="60" t="n">
        <x:v>0</x:v>
      </x:c>
      <x:c r="L108" s="60" t="n">
        <x:v>0</x:v>
      </x:c>
      <x:c r="M108" s="60" t="n">
        <x:v>0.0925735646</x:v>
      </x:c>
      <x:c r="N108" s="46" t="str">
        <x:v>salmo trutta</x:v>
      </x:c>
      <x:c r="O108" s="62" t="n">
        <x:v>3.36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Salmo trutta</x:v>
      </x:c>
      <x:c r="T108" s="62" t="n">
        <x:f>IF(O108="","",(1/'Metadata'!$B$5)^(O108-1))</x:f>
        <x:v>229.08676527677724</x:v>
      </x:c>
      <x:c r="U108" s="60" t="n">
        <x:f>IF(T108="","",I108*T108)</x:f>
        <x:v>21.207378464354775</x:v>
      </x:c>
    </x:row>
    <x:row r="109" ht="18" customHeight="1">
      <x:c r="A109" s="46" t="str">
        <x:v>LME_020</x:v>
      </x:c>
      <x:c r="B109" s="46" t="str">
        <x:v>Barents Sea</x:v>
      </x:c>
      <x:c r="C109" s="46" t="str">
        <x:v>LME</x:v>
      </x:c>
      <x:c r="D109" s="58" t="n">
        <x:v>2019</x:v>
      </x:c>
      <x:c r="E109" s="46" t="str">
        <x:v>Cephalopoda</x:v>
      </x:c>
      <x:c r="F109" s="46" t="str">
        <x:v>Squids, cuttlefishes, octopuses</x:v>
      </x:c>
      <x:c r="G109" s="46" t="str">
        <x:v>Cephalopods</x:v>
      </x:c>
      <x:c r="H109" s="46" t="str">
        <x:v>Other fishes &amp; inverts</x:v>
      </x:c>
      <x:c r="I109" s="60" t="n">
        <x:v>0.087697536</x:v>
      </x:c>
      <x:c r="J109" s="60" t="n">
        <x:v>0</x:v>
      </x:c>
      <x:c r="K109" s="60" t="n">
        <x:v>0.087697536</x:v>
      </x:c>
      <x:c r="L109" s="60" t="n">
        <x:v>0</x:v>
      </x:c>
      <x:c r="M109" s="60" t="n">
        <x:v>0.087697536</x:v>
      </x:c>
      <x:c r="N109" s="46" t="str">
        <x:v>cephalopoda</x:v>
      </x:c>
      <x:c r="O109" s="62" t="n">
        <x:v>3.81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Cephalopoda</x:v>
      </x:c>
      <x:c r="T109" s="62" t="n">
        <x:f>IF(O109="","",(1/'Metadata'!$B$5)^(O109-1))</x:f>
        <x:v>645.6542290346556</x:v>
      </x:c>
      <x:c r="U109" s="60" t="n">
        <x:f>IF(T109="","",I109*T109)</x:f>
        <x:v>56.62228499431896</x:v>
      </x:c>
    </x:row>
    <x:row r="110" ht="18" customHeight="1">
      <x:c r="A110" s="46" t="str">
        <x:v>LME_020</x:v>
      </x:c>
      <x:c r="B110" s="46" t="str">
        <x:v>Barents Sea</x:v>
      </x:c>
      <x:c r="C110" s="46" t="str">
        <x:v>LME</x:v>
      </x:c>
      <x:c r="D110" s="58" t="n">
        <x:v>2019</x:v>
      </x:c>
      <x:c r="E110" s="46" t="str">
        <x:v>Conger conger</x:v>
      </x:c>
      <x:c r="F110" s="46" t="str">
        <x:v>European conger</x:v>
      </x:c>
      <x:c r="G110" s="46" t="str">
        <x:v>Large demersals (&gt;=90 cm)</x:v>
      </x:c>
      <x:c r="H110" s="46" t="str">
        <x:v>Other fishes &amp; inverts</x:v>
      </x:c>
      <x:c r="I110" s="60" t="n">
        <x:v>0.0851094631</x:v>
      </x:c>
      <x:c r="J110" s="60" t="n">
        <x:v>0.0851094631</x:v>
      </x:c>
      <x:c r="K110" s="60" t="n">
        <x:v>0</x:v>
      </x:c>
      <x:c r="L110" s="60" t="n">
        <x:v>0.0851094631</x:v>
      </x:c>
      <x:c r="M110" s="60" t="n">
        <x:v>0</x:v>
      </x:c>
      <x:c r="N110" s="46" t="str">
        <x:v>conger conger</x:v>
      </x:c>
      <x:c r="O110" s="62" t="n">
        <x:v>4.31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Conger conger</x:v>
      </x:c>
      <x:c r="T110" s="62" t="n">
        <x:f>IF(O110="","",(1/'Metadata'!$B$5)^(O110-1))</x:f>
        <x:v>2041.7379446695275</x:v>
      </x:c>
      <x:c r="U110" s="60" t="n">
        <x:f>IF(T110="","",I110*T110)</x:f>
        <x:v>173.771220261721</x:v>
      </x:c>
    </x:row>
    <x:row r="111" ht="18" customHeight="1">
      <x:c r="A111" s="46" t="str">
        <x:v>LME_020</x:v>
      </x:c>
      <x:c r="B111" s="46" t="str">
        <x:v>Barents Sea</x:v>
      </x:c>
      <x:c r="C111" s="46" t="str">
        <x:v>LME</x:v>
      </x:c>
      <x:c r="D111" s="58" t="n">
        <x:v>2019</x:v>
      </x:c>
      <x:c r="E111" s="46" t="str">
        <x:v>Miscellaneous aquatic invertebrates</x:v>
      </x:c>
      <x:c r="F111" s="46" t="str">
        <x:v>Aquatic invertebrates</x:v>
      </x:c>
      <x:c r="G111" s="46" t="str">
        <x:v>Other demersal invertebrates</x:v>
      </x:c>
      <x:c r="H111" s="46" t="str">
        <x:v>Other fishes &amp; inverts</x:v>
      </x:c>
      <x:c r="I111" s="60" t="n">
        <x:v>0.0810888565</x:v>
      </x:c>
      <x:c r="J111" s="60" t="n">
        <x:v>0.0810888565</x:v>
      </x:c>
      <x:c r="K111" s="60" t="n">
        <x:v>0</x:v>
      </x:c>
      <x:c r="L111" s="60" t="n">
        <x:v>0.0810888565</x:v>
      </x:c>
      <x:c r="M111" s="60" t="n">
        <x:v>0</x:v>
      </x:c>
      <x:c r="N111" s="46" t="str">
        <x:v>miscellaneous aquatic invertebrates</x:v>
      </x:c>
      <x:c r="O111" s="62" t="n">
        <x:v>2.43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Miscellaneous aquatic invertebrates</x:v>
      </x:c>
      <x:c r="T111" s="62" t="n">
        <x:f>IF(O111="","",(1/'Metadata'!$B$5)^(O111-1))</x:f>
        <x:v>26.915348039269166</x:v>
      </x:c>
      <x:c r="U111" s="60" t="n">
        <x:f>IF(T111="","",I111*T111)</x:f>
        <x:v>2.182534794803854</x:v>
      </x:c>
    </x:row>
    <x:row r="112" ht="18" customHeight="1">
      <x:c r="A112" s="46" t="str">
        <x:v>LME_020</x:v>
      </x:c>
      <x:c r="B112" s="46" t="str">
        <x:v>Barents Sea</x:v>
      </x:c>
      <x:c r="C112" s="46" t="str">
        <x:v>LME</x:v>
      </x:c>
      <x:c r="D112" s="58" t="n">
        <x:v>2019</x:v>
      </x:c>
      <x:c r="E112" s="46" t="str">
        <x:v>Cancer pagurus</x:v>
      </x:c>
      <x:c r="F112" s="46" t="str">
        <x:v>Edible crab</x:v>
      </x:c>
      <x:c r="G112" s="46" t="str">
        <x:v>Lobsters, crabs</x:v>
      </x:c>
      <x:c r="H112" s="46" t="str">
        <x:v>Crustaceans</x:v>
      </x:c>
      <x:c r="I112" s="60" t="n">
        <x:v>0.0807287985</x:v>
      </x:c>
      <x:c r="J112" s="60" t="n">
        <x:v>0.0807287985</x:v>
      </x:c>
      <x:c r="K112" s="60" t="n">
        <x:v>0</x:v>
      </x:c>
      <x:c r="L112" s="60" t="n">
        <x:v>0.0807287985</x:v>
      </x:c>
      <x:c r="M112" s="60" t="n">
        <x:v>0</x:v>
      </x:c>
      <x:c r="N112" s="46" t="str">
        <x:v>cancer pagurus</x:v>
      </x:c>
      <x:c r="O112" s="62" t="n">
        <x:v>3.1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Cancer pagurus</x:v>
      </x:c>
      <x:c r="T112" s="62" t="n">
        <x:f>IF(O112="","",(1/'Metadata'!$B$5)^(O112-1))</x:f>
        <x:v>125.89254117941675</x:v>
      </x:c>
      <x:c r="U112" s="60" t="n">
        <x:f>IF(T112="","",I112*T112)</x:f>
        <x:v>10.163153589526088</x:v>
      </x:c>
    </x:row>
    <x:row r="113" ht="18" customHeight="1">
      <x:c r="A113" s="46" t="str">
        <x:v>LME_020</x:v>
      </x:c>
      <x:c r="B113" s="46" t="str">
        <x:v>Barents Sea</x:v>
      </x:c>
      <x:c r="C113" s="46" t="str">
        <x:v>LME</x:v>
      </x:c>
      <x:c r="D113" s="58" t="n">
        <x:v>2019</x:v>
      </x:c>
      <x:c r="E113" s="46" t="str">
        <x:v>Lepidorhombus whiffiagonis</x:v>
      </x:c>
      <x:c r="F113" s="46" t="str">
        <x:v>Megrim</x:v>
      </x:c>
      <x:c r="G113" s="46" t="str">
        <x:v>Small to medium flatfishes (&lt;90 cm)</x:v>
      </x:c>
      <x:c r="H113" s="46" t="str">
        <x:v>Flatfishes</x:v>
      </x:c>
      <x:c r="I113" s="60" t="n">
        <x:v>0.0804623337</x:v>
      </x:c>
      <x:c r="J113" s="60" t="n">
        <x:v>0.0804623337</x:v>
      </x:c>
      <x:c r="K113" s="60" t="n">
        <x:v>0</x:v>
      </x:c>
      <x:c r="L113" s="60" t="n">
        <x:v>0.0804623337</x:v>
      </x:c>
      <x:c r="M113" s="60" t="n">
        <x:v>0</x:v>
      </x:c>
      <x:c r="N113" s="46" t="str">
        <x:v>lepidorhombus whiffiagonis</x:v>
      </x:c>
      <x:c r="O113" s="62" t="n">
        <x:v>4.34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Lepidorhombus whiffiagonis</x:v>
      </x:c>
      <x:c r="T113" s="62" t="n">
        <x:f>IF(O113="","",(1/'Metadata'!$B$5)^(O113-1))</x:f>
        <x:v>2187.761623949552</x:v>
      </x:c>
      <x:c r="U113" s="60" t="n">
        <x:f>IF(T113="","",I113*T113)</x:f>
        <x:v>176.03240584228274</x:v>
      </x:c>
    </x:row>
    <x:row r="114" ht="18" customHeight="1">
      <x:c r="A114" s="46" t="str">
        <x:v>LME_020</x:v>
      </x:c>
      <x:c r="B114" s="46" t="str">
        <x:v>Barents Sea</x:v>
      </x:c>
      <x:c r="C114" s="46" t="str">
        <x:v>LME</x:v>
      </x:c>
      <x:c r="D114" s="58" t="n">
        <x:v>2019</x:v>
      </x:c>
      <x:c r="E114" s="46" t="str">
        <x:v>Scophthalmus maximus</x:v>
      </x:c>
      <x:c r="F114" s="46" t="str">
        <x:v>Turbot</x:v>
      </x:c>
      <x:c r="G114" s="46" t="str">
        <x:v>Large flatfishes (&gt;=90 cm)</x:v>
      </x:c>
      <x:c r="H114" s="46" t="str">
        <x:v>Flatfishes</x:v>
      </x:c>
      <x:c r="I114" s="60" t="n">
        <x:v>0.0796718301</x:v>
      </x:c>
      <x:c r="J114" s="60" t="n">
        <x:v>0.0796718301</x:v>
      </x:c>
      <x:c r="K114" s="60" t="n">
        <x:v>0</x:v>
      </x:c>
      <x:c r="L114" s="60" t="n">
        <x:v>0.0796718301</x:v>
      </x:c>
      <x:c r="M114" s="60" t="n">
        <x:v>0</x:v>
      </x:c>
      <x:c r="N114" s="46" t="str">
        <x:v>scophthalmus maximus</x:v>
      </x:c>
      <x:c r="O114" s="62" t="n">
        <x:v>4.36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Scophthalmus maximus</x:v>
      </x:c>
      <x:c r="T114" s="62" t="n">
        <x:f>IF(O114="","",(1/'Metadata'!$B$5)^(O114-1))</x:f>
        <x:v>2290.867652767775</x:v>
      </x:c>
      <x:c r="U114" s="60" t="n">
        <x:f>IF(T114="","",I114*T114)</x:f>
        <x:v>182.51761841289994</x:v>
      </x:c>
    </x:row>
    <x:row r="115" ht="18" customHeight="1">
      <x:c r="A115" s="46" t="str">
        <x:v>LME_020</x:v>
      </x:c>
      <x:c r="B115" s="46" t="str">
        <x:v>Barents Sea</x:v>
      </x:c>
      <x:c r="C115" s="46" t="str">
        <x:v>LME</x:v>
      </x:c>
      <x:c r="D115" s="58" t="n">
        <x:v>2019</x:v>
      </x:c>
      <x:c r="E115" s="46" t="str">
        <x:v>Murex</x:v>
      </x:c>
      <x:c r="F115" s="46" t="str">
        <x:v>Murex shells</x:v>
      </x:c>
      <x:c r="G115" s="46" t="str">
        <x:v>Other demersal invertebrates</x:v>
      </x:c>
      <x:c r="H115" s="46" t="str">
        <x:v>Molluscs</x:v>
      </x:c>
      <x:c r="I115" s="60" t="n">
        <x:v>0.0768835487</x:v>
      </x:c>
      <x:c r="J115" s="60" t="n">
        <x:v>0.0768835487</x:v>
      </x:c>
      <x:c r="K115" s="60" t="n">
        <x:v>0</x:v>
      </x:c>
      <x:c r="L115" s="60" t="n">
        <x:v>0.0768835487</x:v>
      </x:c>
      <x:c r="M115" s="60" t="n">
        <x:v>0</x:v>
      </x:c>
      <x:c r="N115" s="46" t="str">
        <x:v>murex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Murex</x:v>
      </x:c>
      <x:c r="T115" s="62" t="n">
        <x:f>IF(O115="","",(1/'Metadata'!$B$5)^(O115-1))</x:f>
        <x:v>10</x:v>
      </x:c>
      <x:c r="U115" s="60" t="n">
        <x:f>IF(T115="","",I115*T115)</x:f>
        <x:v>0.768835487</x:v>
      </x:c>
    </x:row>
    <x:row r="116" ht="18" customHeight="1">
      <x:c r="A116" s="46" t="str">
        <x:v>LME_020</x:v>
      </x:c>
      <x:c r="B116" s="46" t="str">
        <x:v>Barents Sea</x:v>
      </x:c>
      <x:c r="C116" s="46" t="str">
        <x:v>LME</x:v>
      </x:c>
      <x:c r="D116" s="58" t="n">
        <x:v>2019</x:v>
      </x:c>
      <x:c r="E116" s="46" t="str">
        <x:v>Eutrigla gurnardus</x:v>
      </x:c>
      <x:c r="F116" s="46" t="str">
        <x:v>Grey gurnard</x:v>
      </x:c>
      <x:c r="G116" s="46" t="str">
        <x:v>Medium demersals (30 - 89 cm)</x:v>
      </x:c>
      <x:c r="H116" s="46" t="str">
        <x:v>Scorpionfishes</x:v>
      </x:c>
      <x:c r="I116" s="60" t="n">
        <x:v>0.0630076141</x:v>
      </x:c>
      <x:c r="J116" s="60" t="n">
        <x:v>0.0630076141</x:v>
      </x:c>
      <x:c r="K116" s="60" t="n">
        <x:v>0</x:v>
      </x:c>
      <x:c r="L116" s="60" t="n">
        <x:v>0.0630076141</x:v>
      </x:c>
      <x:c r="M116" s="60" t="n">
        <x:v>0</x:v>
      </x:c>
      <x:c r="N116" s="46" t="str">
        <x:v>eutrigla gurnardus</x:v>
      </x:c>
      <x:c r="O116" s="62" t="n">
        <x:v>3.87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Eutrigla gurnardus</x:v>
      </x:c>
      <x:c r="T116" s="62" t="n">
        <x:f>IF(O116="","",(1/'Metadata'!$B$5)^(O116-1))</x:f>
        <x:v>741.3102413009177</x:v>
      </x:c>
      <x:c r="U116" s="60" t="n">
        <x:f>IF(T116="","",I116*T116)</x:f>
        <x:v>46.7081896122661</x:v>
      </x:c>
    </x:row>
    <x:row r="117" ht="18" customHeight="1">
      <x:c r="A117" s="46" t="str">
        <x:v>LME_020</x:v>
      </x:c>
      <x:c r="B117" s="46" t="str">
        <x:v>Barents Sea</x:v>
      </x:c>
      <x:c r="C117" s="46" t="str">
        <x:v>LME</x:v>
      </x:c>
      <x:c r="D117" s="58" t="n">
        <x:v>2019</x:v>
      </x:c>
      <x:c r="E117" s="46" t="str">
        <x:v>Argentina silus</x:v>
      </x:c>
      <x:c r="F117" s="46" t="str">
        <x:v>Greater argentine</x:v>
      </x:c>
      <x:c r="G117" s="46" t="str">
        <x:v>Medium bathydemersals (30 - 89 cm)</x:v>
      </x:c>
      <x:c r="H117" s="46" t="str">
        <x:v>Salmon, smelts, etc</x:v>
      </x:c>
      <x:c r="I117" s="60" t="n">
        <x:v>0.0565893478</x:v>
      </x:c>
      <x:c r="J117" s="60" t="n">
        <x:v>0.0565893478</x:v>
      </x:c>
      <x:c r="K117" s="60" t="n">
        <x:v>0</x:v>
      </x:c>
      <x:c r="L117" s="60" t="n">
        <x:v>0.0565893478</x:v>
      </x:c>
      <x:c r="M117" s="60" t="n">
        <x:v>0</x:v>
      </x:c>
      <x:c r="N117" s="46" t="str">
        <x:v>argentina silus</x:v>
      </x:c>
      <x:c r="O117" s="62" t="n">
        <x:v>3.32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Argentina silus</x:v>
      </x:c>
      <x:c r="T117" s="62" t="n">
        <x:f>IF(O117="","",(1/'Metadata'!$B$5)^(O117-1))</x:f>
        <x:v>208.92961308540387</x:v>
      </x:c>
      <x:c r="U117" s="60" t="n">
        <x:f>IF(T117="","",I117*T117)</x:f>
        <x:v>11.823190540609351</x:v>
      </x:c>
    </x:row>
    <x:row r="118" ht="18" customHeight="1">
      <x:c r="A118" s="46" t="str">
        <x:v>LME_020</x:v>
      </x:c>
      <x:c r="B118" s="46" t="str">
        <x:v>Barents Sea</x:v>
      </x:c>
      <x:c r="C118" s="46" t="str">
        <x:v>LME</x:v>
      </x:c>
      <x:c r="D118" s="58" t="n">
        <x:v>2019</x:v>
      </x:c>
      <x:c r="E118" s="46" t="str">
        <x:v>Glycymeris glycymeris</x:v>
      </x:c>
      <x:c r="F118" s="46" t="str">
        <x:v>Dog cockle</x:v>
      </x:c>
      <x:c r="G118" s="46" t="str">
        <x:v>Other demersal invertebrates</x:v>
      </x:c>
      <x:c r="H118" s="46" t="str">
        <x:v>Molluscs</x:v>
      </x:c>
      <x:c r="I118" s="60" t="n">
        <x:v>0.0531333999</x:v>
      </x:c>
      <x:c r="J118" s="60" t="n">
        <x:v>0.0531333999</x:v>
      </x:c>
      <x:c r="K118" s="60" t="n">
        <x:v>0</x:v>
      </x:c>
      <x:c r="L118" s="60" t="n">
        <x:v>0.0531333999</x:v>
      </x:c>
      <x:c r="M118" s="60" t="n">
        <x:v>0</x:v>
      </x:c>
      <x:c r="N118" s="46" t="str">
        <x:v>glycymeris glycymeris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Glycymeris glycymeris</x:v>
      </x:c>
      <x:c r="T118" s="62" t="n">
        <x:f>IF(O118="","",(1/'Metadata'!$B$5)^(O118-1))</x:f>
        <x:v>10</x:v>
      </x:c>
      <x:c r="U118" s="60" t="n">
        <x:f>IF(T118="","",I118*T118)</x:f>
        <x:v>0.531333999</x:v>
      </x:c>
    </x:row>
    <x:row r="119" ht="18" customHeight="1">
      <x:c r="A119" s="46" t="str">
        <x:v>LME_020</x:v>
      </x:c>
      <x:c r="B119" s="46" t="str">
        <x:v>Barents Sea</x:v>
      </x:c>
      <x:c r="C119" s="46" t="str">
        <x:v>LME</x:v>
      </x:c>
      <x:c r="D119" s="58" t="n">
        <x:v>2019</x:v>
      </x:c>
      <x:c r="E119" s="46" t="str">
        <x:v>Pecten maximus</x:v>
      </x:c>
      <x:c r="F119" s="46" t="str">
        <x:v>Great Atlantic scallop</x:v>
      </x:c>
      <x:c r="G119" s="46" t="str">
        <x:v>Other demersal invertebrates</x:v>
      </x:c>
      <x:c r="H119" s="46" t="str">
        <x:v>Molluscs</x:v>
      </x:c>
      <x:c r="I119" s="60" t="n">
        <x:v>0.0485269931</x:v>
      </x:c>
      <x:c r="J119" s="60" t="n">
        <x:v>0.0485269931</x:v>
      </x:c>
      <x:c r="K119" s="60" t="n">
        <x:v>0</x:v>
      </x:c>
      <x:c r="L119" s="60" t="n">
        <x:v>0.0485269931</x:v>
      </x:c>
      <x:c r="M119" s="60" t="n">
        <x:v>0</x:v>
      </x:c>
      <x:c r="N119" s="46" t="str">
        <x:v>pecten maximus</x:v>
      </x:c>
      <x:c r="O119" s="62" t="n">
        <x:v>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Pecten maximus</x:v>
      </x:c>
      <x:c r="T119" s="62" t="n">
        <x:f>IF(O119="","",(1/'Metadata'!$B$5)^(O119-1))</x:f>
        <x:v>10</x:v>
      </x:c>
      <x:c r="U119" s="60" t="n">
        <x:f>IF(T119="","",I119*T119)</x:f>
        <x:v>0.485269931</x:v>
      </x:c>
    </x:row>
    <x:row r="120" ht="18" customHeight="1">
      <x:c r="A120" s="46" t="str">
        <x:v>LME_020</x:v>
      </x:c>
      <x:c r="B120" s="46" t="str">
        <x:v>Barents Sea</x:v>
      </x:c>
      <x:c r="C120" s="46" t="str">
        <x:v>LME</x:v>
      </x:c>
      <x:c r="D120" s="58" t="n">
        <x:v>2019</x:v>
      </x:c>
      <x:c r="E120" s="46" t="str">
        <x:v>Coregonus autumnalis</x:v>
      </x:c>
      <x:c r="F120" s="46" t="str">
        <x:v>Arctic cisco</x:v>
      </x:c>
      <x:c r="G120" s="46" t="str">
        <x:v>Medium pelagics (30 - 89 cm)</x:v>
      </x:c>
      <x:c r="H120" s="46" t="str">
        <x:v>Salmon, smelts, etc</x:v>
      </x:c>
      <x:c r="I120" s="60" t="n">
        <x:v>0.0441271489</x:v>
      </x:c>
      <x:c r="J120" s="60" t="n">
        <x:v>0.0441271489</x:v>
      </x:c>
      <x:c r="K120" s="60" t="n">
        <x:v>0</x:v>
      </x:c>
      <x:c r="L120" s="60" t="n">
        <x:v>0</x:v>
      </x:c>
      <x:c r="M120" s="60" t="n">
        <x:v>0.0441271489</x:v>
      </x:c>
      <x:c r="N120" s="46" t="str">
        <x:v>coregonus autumnalis</x:v>
      </x:c>
      <x:c r="O120" s="62" t="n">
        <x:v>3.67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Coregonus autumnalis</x:v>
      </x:c>
      <x:c r="T120" s="62" t="n">
        <x:f>IF(O120="","",(1/'Metadata'!$B$5)^(O120-1))</x:f>
        <x:v>467.73514128719813</x:v>
      </x:c>
      <x:c r="U120" s="60" t="n">
        <x:f>IF(T120="","",I120*T120)</x:f>
        <x:v>20.63981822534273</x:v>
      </x:c>
    </x:row>
    <x:row r="121" ht="18" customHeight="1">
      <x:c r="A121" s="46" t="str">
        <x:v>LME_020</x:v>
      </x:c>
      <x:c r="B121" s="46" t="str">
        <x:v>Barents Sea</x:v>
      </x:c>
      <x:c r="C121" s="46" t="str">
        <x:v>LME</x:v>
      </x:c>
      <x:c r="D121" s="58" t="n">
        <x:v>2019</x:v>
      </x:c>
      <x:c r="E121" s="46" t="str">
        <x:v>Buccinum undatum</x:v>
      </x:c>
      <x:c r="F121" s="46" t="str">
        <x:v>Whelk</x:v>
      </x:c>
      <x:c r="G121" s="46" t="str">
        <x:v>Other demersal invertebrates</x:v>
      </x:c>
      <x:c r="H121" s="46" t="str">
        <x:v>Molluscs</x:v>
      </x:c>
      <x:c r="I121" s="60" t="n">
        <x:v>0.038900375</x:v>
      </x:c>
      <x:c r="J121" s="60" t="n">
        <x:v>0.038900375</x:v>
      </x:c>
      <x:c r="K121" s="60" t="n">
        <x:v>0</x:v>
      </x:c>
      <x:c r="L121" s="60" t="n">
        <x:v>0.038900375</x:v>
      </x:c>
      <x:c r="M121" s="60" t="n">
        <x:v>0</x:v>
      </x:c>
      <x:c r="N121" s="46" t="str">
        <x:v>buccinum undatum</x:v>
      </x:c>
      <x:c r="O121" s="62" t="n">
        <x:v>3.75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Buccinum undatum</x:v>
      </x:c>
      <x:c r="T121" s="62" t="n">
        <x:f>IF(O121="","",(1/'Metadata'!$B$5)^(O121-1))</x:f>
        <x:v>562.341325190349</x:v>
      </x:c>
      <x:c r="U121" s="60" t="n">
        <x:f>IF(T121="","",I121*T121)</x:f>
        <x:v>21.875288427901523</x:v>
      </x:c>
    </x:row>
    <x:row r="122" ht="18" customHeight="1">
      <x:c r="A122" s="46" t="str">
        <x:v>LME_020</x:v>
      </x:c>
      <x:c r="B122" s="46" t="str">
        <x:v>Barents Sea</x:v>
      </x:c>
      <x:c r="C122" s="46" t="str">
        <x:v>LME</x:v>
      </x:c>
      <x:c r="D122" s="58" t="n">
        <x:v>2019</x:v>
      </x:c>
      <x:c r="E122" s="46" t="str">
        <x:v>Molva</x:v>
      </x:c>
      <x:c r="F122" s="46" t="str">
        <x:v>Lings</x:v>
      </x:c>
      <x:c r="G122" s="46" t="str">
        <x:v>Large demersals (&gt;=90 cm)</x:v>
      </x:c>
      <x:c r="H122" s="46" t="str">
        <x:v>Cod-likes</x:v>
      </x:c>
      <x:c r="I122" s="60" t="n">
        <x:v>0.0304889503</x:v>
      </x:c>
      <x:c r="J122" s="60" t="n">
        <x:v>0.0304889503</x:v>
      </x:c>
      <x:c r="K122" s="60" t="n">
        <x:v>0</x:v>
      </x:c>
      <x:c r="L122" s="60" t="n">
        <x:v>0.0304889503</x:v>
      </x:c>
      <x:c r="M122" s="60" t="n">
        <x:v>0</x:v>
      </x:c>
      <x:c r="N122" s="46" t="str">
        <x:v>molva</x:v>
      </x:c>
      <x:c r="O122" s="62" t="n">
        <x:v>4.19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Molva</x:v>
      </x:c>
      <x:c r="T122" s="62" t="n">
        <x:f>IF(O122="","",(1/'Metadata'!$B$5)^(O122-1))</x:f>
        <x:v>1548.8166189124827</x:v>
      </x:c>
      <x:c r="U122" s="60" t="n">
        <x:f>IF(T122="","",I122*T122)</x:f>
        <x:v>47.22179291783673</x:v>
      </x:c>
    </x:row>
    <x:row r="123" ht="18" customHeight="1">
      <x:c r="A123" s="46" t="str">
        <x:v>LME_020</x:v>
      </x:c>
      <x:c r="B123" s="46" t="str">
        <x:v>Barents Sea</x:v>
      </x:c>
      <x:c r="C123" s="46" t="str">
        <x:v>LME</x:v>
      </x:c>
      <x:c r="D123" s="58" t="n">
        <x:v>2019</x:v>
      </x:c>
      <x:c r="E123" s="46" t="str">
        <x:v>Congridae</x:v>
      </x:c>
      <x:c r="F123" s="46" t="str">
        <x:v>Conger, garden eels</x:v>
      </x:c>
      <x:c r="G123" s="46" t="str">
        <x:v>Large demersals (&gt;=90 cm)</x:v>
      </x:c>
      <x:c r="H123" s="46" t="str">
        <x:v>Other fishes &amp; inverts</x:v>
      </x:c>
      <x:c r="I123" s="60" t="n">
        <x:v>0.0299968275</x:v>
      </x:c>
      <x:c r="J123" s="60" t="n">
        <x:v>0.000022536799999999997</x:v>
      </x:c>
      <x:c r="K123" s="60" t="n">
        <x:v>0.029974290700000003</x:v>
      </x:c>
      <x:c r="L123" s="60" t="n">
        <x:v>0.000022536799999999997</x:v>
      </x:c>
      <x:c r="M123" s="60" t="n">
        <x:v>0.029974290700000003</x:v>
      </x:c>
      <x:c r="N123" s="46" t="str">
        <x:v>congridae</x:v>
      </x:c>
      <x:c r="O123" s="62" t="n">
        <x:v>4.18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Congridae</x:v>
      </x:c>
      <x:c r="T123" s="62" t="n">
        <x:f>IF(O123="","",(1/'Metadata'!$B$5)^(O123-1))</x:f>
        <x:v>1513.5612484362073</x:v>
      </x:c>
      <x:c r="U123" s="60" t="n">
        <x:f>IF(T123="","",I123*T123)</x:f>
        <x:v>45.402035680025556</x:v>
      </x:c>
    </x:row>
    <x:row r="124" ht="18" customHeight="1">
      <x:c r="A124" s="46" t="str">
        <x:v>LME_020</x:v>
      </x:c>
      <x:c r="B124" s="46" t="str">
        <x:v>Barents Sea</x:v>
      </x:c>
      <x:c r="C124" s="46" t="str">
        <x:v>LME</x:v>
      </x:c>
      <x:c r="D124" s="58" t="n">
        <x:v>2019</x:v>
      </x:c>
      <x:c r="E124" s="46" t="str">
        <x:v>Crangon crangon</x:v>
      </x:c>
      <x:c r="F124" s="46" t="str">
        <x:v>Common shrimp</x:v>
      </x:c>
      <x:c r="G124" s="46" t="str">
        <x:v>Shrimps</x:v>
      </x:c>
      <x:c r="H124" s="46" t="str">
        <x:v>Crustaceans</x:v>
      </x:c>
      <x:c r="I124" s="60" t="n">
        <x:v>0.027294567600000003</x:v>
      </x:c>
      <x:c r="J124" s="60" t="n">
        <x:v>0.027294567600000003</x:v>
      </x:c>
      <x:c r="K124" s="60" t="n">
        <x:v>0</x:v>
      </x:c>
      <x:c r="L124" s="60" t="n">
        <x:v>0.027294567600000003</x:v>
      </x:c>
      <x:c r="M124" s="60" t="n">
        <x:v>0</x:v>
      </x:c>
      <x:c r="N124" s="46" t="str">
        <x:v>crangon crangon</x:v>
      </x:c>
      <x:c r="O124" s="62" t="n">
        <x:v>3.19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Crangon crangon</x:v>
      </x:c>
      <x:c r="T124" s="62" t="n">
        <x:f>IF(O124="","",(1/'Metadata'!$B$5)^(O124-1))</x:f>
        <x:v>154.88166189124811</x:v>
      </x:c>
      <x:c r="U124" s="60" t="n">
        <x:f>IF(T124="","",I124*T124)</x:f>
        <x:v>4.227427990491016</x:v>
      </x:c>
    </x:row>
    <x:row r="125" ht="18" customHeight="1">
      <x:c r="A125" s="46" t="str">
        <x:v>LME_020</x:v>
      </x:c>
      <x:c r="B125" s="46" t="str">
        <x:v>Barents Sea</x:v>
      </x:c>
      <x:c r="C125" s="46" t="str">
        <x:v>LME</x:v>
      </x:c>
      <x:c r="D125" s="58" t="n">
        <x:v>2019</x:v>
      </x:c>
      <x:c r="E125" s="46" t="str">
        <x:v>Solen vagina</x:v>
      </x:c>
      <x:c r="F125" s="46" t="str">
        <x:v>European razor clam</x:v>
      </x:c>
      <x:c r="G125" s="46" t="str">
        <x:v>Other demersal invertebrates</x:v>
      </x:c>
      <x:c r="H125" s="46" t="str">
        <x:v>Molluscs</x:v>
      </x:c>
      <x:c r="I125" s="60" t="n">
        <x:v>0.027014757</x:v>
      </x:c>
      <x:c r="J125" s="60" t="n">
        <x:v>0.027014757</x:v>
      </x:c>
      <x:c r="K125" s="60" t="n">
        <x:v>0</x:v>
      </x:c>
      <x:c r="L125" s="60" t="n">
        <x:v>0.027014757</x:v>
      </x:c>
      <x:c r="M125" s="60" t="n">
        <x:v>0</x:v>
      </x:c>
      <x:c r="N125" s="46" t="str">
        <x:v>solen vagina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Solen vagina</x:v>
      </x:c>
      <x:c r="T125" s="62" t="n">
        <x:f>IF(O125="","",(1/'Metadata'!$B$5)^(O125-1))</x:f>
        <x:v>10</x:v>
      </x:c>
      <x:c r="U125" s="60" t="n">
        <x:f>IF(T125="","",I125*T125)</x:f>
        <x:v>0.27014757</x:v>
      </x:c>
    </x:row>
    <x:row r="126" ht="18" customHeight="1">
      <x:c r="A126" s="46" t="str">
        <x:v>LME_020</x:v>
      </x:c>
      <x:c r="B126" s="46" t="str">
        <x:v>Barents Sea</x:v>
      </x:c>
      <x:c r="C126" s="46" t="str">
        <x:v>LME</x:v>
      </x:c>
      <x:c r="D126" s="58" t="n">
        <x:v>2019</x:v>
      </x:c>
      <x:c r="E126" s="46" t="str">
        <x:v>Necora puber</x:v>
      </x:c>
      <x:c r="F126" s="46" t="str">
        <x:v>Velvet swimcrab</x:v>
      </x:c>
      <x:c r="G126" s="46" t="str">
        <x:v>Lobsters, crabs</x:v>
      </x:c>
      <x:c r="H126" s="46" t="str">
        <x:v>Crustaceans</x:v>
      </x:c>
      <x:c r="I126" s="60" t="n">
        <x:v>0.0224951694</x:v>
      </x:c>
      <x:c r="J126" s="60" t="n">
        <x:v>0.0224951694</x:v>
      </x:c>
      <x:c r="K126" s="60" t="n">
        <x:v>0</x:v>
      </x:c>
      <x:c r="L126" s="60" t="n">
        <x:v>0.0224951694</x:v>
      </x:c>
      <x:c r="M126" s="60" t="n">
        <x:v>0</x:v>
      </x:c>
      <x:c r="N126" s="46" t="str">
        <x:v>necora puber</x:v>
      </x:c>
      <x:c r="O126" s="62" t="n">
        <x:v>2.6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Necora puber</x:v>
      </x:c>
      <x:c r="T126" s="62" t="n">
        <x:f>IF(O126="","",(1/'Metadata'!$B$5)^(O126-1))</x:f>
        <x:v>39.810717055349734</x:v>
      </x:c>
      <x:c r="U126" s="60" t="n">
        <x:f>IF(T126="","",I126*T126)</x:f>
        <x:v>0.8955488240955615</x:v>
      </x:c>
    </x:row>
    <x:row r="127" ht="18" customHeight="1">
      <x:c r="A127" s="46" t="str">
        <x:v>LME_020</x:v>
      </x:c>
      <x:c r="B127" s="46" t="str">
        <x:v>Barents Sea</x:v>
      </x:c>
      <x:c r="C127" s="46" t="str">
        <x:v>LME</x:v>
      </x:c>
      <x:c r="D127" s="58" t="n">
        <x:v>2019</x:v>
      </x:c>
      <x:c r="E127" s="46" t="str">
        <x:v>Dendrobranchiata</x:v>
      </x:c>
      <x:c r="F127" s="46" t="str">
        <x:v>Shrimps and prawns</x:v>
      </x:c>
      <x:c r="G127" s="46" t="str">
        <x:v>Shrimps</x:v>
      </x:c>
      <x:c r="H127" s="46" t="str">
        <x:v>Crustaceans</x:v>
      </x:c>
      <x:c r="I127" s="60" t="n">
        <x:v>0.0222060926</x:v>
      </x:c>
      <x:c r="J127" s="60" t="n">
        <x:v>0.0222060926</x:v>
      </x:c>
      <x:c r="K127" s="60" t="n">
        <x:v>0</x:v>
      </x:c>
      <x:c r="L127" s="60" t="n">
        <x:v>0.0222060926</x:v>
      </x:c>
      <x:c r="M127" s="60" t="n">
        <x:v>0</x:v>
      </x:c>
      <x:c r="N127" s="46" t="str">
        <x:v>dendrobranchiata</x:v>
      </x:c>
      <x:c r="O127" s="62" t="n">
        <x:v>3.24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Dendrobranchiata</x:v>
      </x:c>
      <x:c r="T127" s="62" t="n">
        <x:f>IF(O127="","",(1/'Metadata'!$B$5)^(O127-1))</x:f>
        <x:v>173.78008287493762</x:v>
      </x:c>
      <x:c r="U127" s="60" t="n">
        <x:f>IF(T127="","",I127*T127)</x:f>
        <x:v>3.8589766123565394</x:v>
      </x:c>
    </x:row>
    <x:row r="128" ht="18" customHeight="1">
      <x:c r="A128" s="46" t="str">
        <x:v>LME_020</x:v>
      </x:c>
      <x:c r="B128" s="46" t="str">
        <x:v>Barents Sea</x:v>
      </x:c>
      <x:c r="C128" s="46" t="str">
        <x:v>LME</x:v>
      </x:c>
      <x:c r="D128" s="58" t="n">
        <x:v>2019</x:v>
      </x:c>
      <x:c r="E128" s="46" t="str">
        <x:v>Ensis siliqua</x:v>
      </x:c>
      <x:c r="F128" s="46" t="str">
        <x:v>Sword razor shell</x:v>
      </x:c>
      <x:c r="G128" s="46" t="str">
        <x:v>Other demersal invertebrates</x:v>
      </x:c>
      <x:c r="H128" s="46" t="str">
        <x:v>Molluscs</x:v>
      </x:c>
      <x:c r="I128" s="60" t="n">
        <x:v>0.0160934434</x:v>
      </x:c>
      <x:c r="J128" s="60" t="n">
        <x:v>0.0160934434</x:v>
      </x:c>
      <x:c r="K128" s="60" t="n">
        <x:v>0</x:v>
      </x:c>
      <x:c r="L128" s="60" t="n">
        <x:v>0.0160934434</x:v>
      </x:c>
      <x:c r="M128" s="60" t="n">
        <x:v>0</x:v>
      </x:c>
      <x:c r="N128" s="46" t="str">
        <x:v>ensis siliqua</x:v>
      </x:c>
      <x:c r="O128" s="62" t="n">
        <x:v>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Ensis siliqua</x:v>
      </x:c>
      <x:c r="T128" s="62" t="n">
        <x:f>IF(O128="","",(1/'Metadata'!$B$5)^(O128-1))</x:f>
        <x:v>10</x:v>
      </x:c>
      <x:c r="U128" s="60" t="n">
        <x:f>IF(T128="","",I128*T128)</x:f>
        <x:v>0.16093443400000002</x:v>
      </x:c>
    </x:row>
    <x:row r="129" ht="18" customHeight="1">
      <x:c r="A129" s="46" t="str">
        <x:v>LME_020</x:v>
      </x:c>
      <x:c r="B129" s="46" t="str">
        <x:v>Barents Sea</x:v>
      </x:c>
      <x:c r="C129" s="46" t="str">
        <x:v>LME</x:v>
      </x:c>
      <x:c r="D129" s="58" t="n">
        <x:v>2019</x:v>
      </x:c>
      <x:c r="E129" s="46" t="str">
        <x:v>Homarus gammarus</x:v>
      </x:c>
      <x:c r="F129" s="46" t="str">
        <x:v>European lobster</x:v>
      </x:c>
      <x:c r="G129" s="46" t="str">
        <x:v>Lobsters, crabs</x:v>
      </x:c>
      <x:c r="H129" s="46" t="str">
        <x:v>Crustaceans</x:v>
      </x:c>
      <x:c r="I129" s="60" t="n">
        <x:v>0.0137643756</x:v>
      </x:c>
      <x:c r="J129" s="60" t="n">
        <x:v>0.0137643756</x:v>
      </x:c>
      <x:c r="K129" s="60" t="n">
        <x:v>0</x:v>
      </x:c>
      <x:c r="L129" s="60" t="n">
        <x:v>0.0137643756</x:v>
      </x:c>
      <x:c r="M129" s="60" t="n">
        <x:v>0</x:v>
      </x:c>
      <x:c r="N129" s="46" t="str">
        <x:v>homarus gammarus</x:v>
      </x:c>
      <x:c r="O129" s="62" t="n">
        <x:v>3.7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Homarus gammarus</x:v>
      </x:c>
      <x:c r="T129" s="62" t="n">
        <x:f>IF(O129="","",(1/'Metadata'!$B$5)^(O129-1))</x:f>
        <x:v>501.18723362727246</x:v>
      </x:c>
      <x:c r="U129" s="60" t="n">
        <x:f>IF(T129="","",I129*T129)</x:f>
        <x:v>6.898529329570729</x:v>
      </x:c>
    </x:row>
    <x:row r="130" ht="18" customHeight="1">
      <x:c r="A130" s="46" t="str">
        <x:v>LME_020</x:v>
      </x:c>
      <x:c r="B130" s="46" t="str">
        <x:v>Barents Sea</x:v>
      </x:c>
      <x:c r="C130" s="46" t="str">
        <x:v>LME</x:v>
      </x:c>
      <x:c r="D130" s="58" t="n">
        <x:v>2019</x:v>
      </x:c>
      <x:c r="E130" s="46" t="str">
        <x:v>Sepia officinalis</x:v>
      </x:c>
      <x:c r="F130" s="46" t="str">
        <x:v>Common cuttlefish</x:v>
      </x:c>
      <x:c r="G130" s="46" t="str">
        <x:v>Cephalopods</x:v>
      </x:c>
      <x:c r="H130" s="46" t="str">
        <x:v>Other fishes &amp; inverts</x:v>
      </x:c>
      <x:c r="I130" s="60" t="n">
        <x:v>0.0109320753</x:v>
      </x:c>
      <x:c r="J130" s="60" t="n">
        <x:v>0.0109320753</x:v>
      </x:c>
      <x:c r="K130" s="60" t="n">
        <x:v>0</x:v>
      </x:c>
      <x:c r="L130" s="60" t="n">
        <x:v>0.0109320753</x:v>
      </x:c>
      <x:c r="M130" s="60" t="n">
        <x:v>0</x:v>
      </x:c>
      <x:c r="N130" s="46" t="str">
        <x:v>sepia officinalis</x:v>
      </x:c>
      <x:c r="O130" s="62" t="n">
        <x:v>4.27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Sepia officinalis</x:v>
      </x:c>
      <x:c r="T130" s="62" t="n">
        <x:f>IF(O130="","",(1/'Metadata'!$B$5)^(O130-1))</x:f>
        <x:v>1862.0871366628655</x:v>
      </x:c>
      <x:c r="U130" s="60" t="n">
        <x:f>IF(T130="","",I130*T130)</x:f>
        <x:v>20.356476793159835</x:v>
      </x:c>
    </x:row>
    <x:row r="131" ht="18" customHeight="1">
      <x:c r="A131" s="46" t="str">
        <x:v>LME_020</x:v>
      </x:c>
      <x:c r="B131" s="46" t="str">
        <x:v>Barents Sea</x:v>
      </x:c>
      <x:c r="C131" s="46" t="str">
        <x:v>LME</x:v>
      </x:c>
      <x:c r="D131" s="58" t="n">
        <x:v>2019</x:v>
      </x:c>
      <x:c r="E131" s="46" t="str">
        <x:v>Sepiidae</x:v>
      </x:c>
      <x:c r="F131" s="46" t="str">
        <x:v>Cuttlefishes</x:v>
      </x:c>
      <x:c r="G131" s="46" t="str">
        <x:v>Cephalopods</x:v>
      </x:c>
      <x:c r="H131" s="46" t="str">
        <x:v>Other fishes &amp; inverts</x:v>
      </x:c>
      <x:c r="I131" s="60" t="n">
        <x:v>0.0091418947</x:v>
      </x:c>
      <x:c r="J131" s="60" t="n">
        <x:v>0.0091418947</x:v>
      </x:c>
      <x:c r="K131" s="60" t="n">
        <x:v>0</x:v>
      </x:c>
      <x:c r="L131" s="60" t="n">
        <x:v>0.0091418947</x:v>
      </x:c>
      <x:c r="M131" s="60" t="n">
        <x:v>0</x:v>
      </x:c>
      <x:c r="N131" s="46" t="str">
        <x:v>sepiidae</x:v>
      </x:c>
      <x:c r="O131" s="62" t="n">
        <x:v>3.6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Sepiidae</x:v>
      </x:c>
      <x:c r="T131" s="62" t="n">
        <x:f>IF(O131="","",(1/'Metadata'!$B$5)^(O131-1))</x:f>
        <x:v>398.1071705534973</x:v>
      </x:c>
      <x:c r="U131" s="60" t="n">
        <x:f>IF(T131="","",I131*T131)</x:f>
        <x:v>3.6394538325150134</x:v>
      </x:c>
    </x:row>
    <x:row r="132" ht="18" customHeight="1">
      <x:c r="A132" s="46" t="str">
        <x:v>LME_020</x:v>
      </x:c>
      <x:c r="B132" s="46" t="str">
        <x:v>Barents Sea</x:v>
      </x:c>
      <x:c r="C132" s="46" t="str">
        <x:v>LME</x:v>
      </x:c>
      <x:c r="D132" s="58" t="n">
        <x:v>2019</x:v>
      </x:c>
      <x:c r="E132" s="46" t="str">
        <x:v>Squalus acanthias</x:v>
      </x:c>
      <x:c r="F132" s="46" t="str">
        <x:v>Picked dogfish</x:v>
      </x:c>
      <x:c r="G132" s="46" t="str">
        <x:v>Large sharks (&gt;=90 cm)</x:v>
      </x:c>
      <x:c r="H132" s="46" t="str">
        <x:v>Sharks &amp; rays</x:v>
      </x:c>
      <x:c r="I132" s="60" t="n">
        <x:v>0.0086933426</x:v>
      </x:c>
      <x:c r="J132" s="60" t="n">
        <x:v>0.0086933426</x:v>
      </x:c>
      <x:c r="K132" s="60" t="n">
        <x:v>0</x:v>
      </x:c>
      <x:c r="L132" s="60" t="n">
        <x:v>0.0086933426</x:v>
      </x:c>
      <x:c r="M132" s="60" t="n">
        <x:v>0</x:v>
      </x:c>
      <x:c r="N132" s="46" t="str">
        <x:v>squalus acanthias</x:v>
      </x:c>
      <x:c r="O132" s="62" t="n">
        <x:v>4.37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Squalus acanthias</x:v>
      </x:c>
      <x:c r="T132" s="62" t="n">
        <x:f>IF(O132="","",(1/'Metadata'!$B$5)^(O132-1))</x:f>
        <x:v>2344.228815319923</x:v>
      </x:c>
      <x:c r="U132" s="60" t="n">
        <x:f>IF(T132="","",I132*T132)</x:f>
        <x:v>20.37918422436822</x:v>
      </x:c>
    </x:row>
    <x:row r="133" ht="18" customHeight="1">
      <x:c r="A133" s="46" t="str">
        <x:v>LME_020</x:v>
      </x:c>
      <x:c r="B133" s="46" t="str">
        <x:v>Barents Sea</x:v>
      </x:c>
      <x:c r="C133" s="46" t="str">
        <x:v>LME</x:v>
      </x:c>
      <x:c r="D133" s="58" t="n">
        <x:v>2019</x:v>
      </x:c>
      <x:c r="E133" s="46" t="str">
        <x:v>Acipenser sturio</x:v>
      </x:c>
      <x:c r="F133" s="46" t="str">
        <x:v>Sturgeon</x:v>
      </x:c>
      <x:c r="G133" s="46" t="str">
        <x:v>Large demersals (&gt;=90 cm)</x:v>
      </x:c>
      <x:c r="H133" s="46" t="str">
        <x:v>Other fishes &amp; inverts</x:v>
      </x:c>
      <x:c r="I133" s="60" t="n">
        <x:v>0.0075978273</x:v>
      </x:c>
      <x:c r="J133" s="60" t="n">
        <x:v>0.0075978273</x:v>
      </x:c>
      <x:c r="K133" s="60" t="n">
        <x:v>0</x:v>
      </x:c>
      <x:c r="L133" s="60" t="n">
        <x:v>0.0075978273</x:v>
      </x:c>
      <x:c r="M133" s="60" t="n">
        <x:v>0</x:v>
      </x:c>
      <x:c r="N133" s="46" t="str">
        <x:v>acipenser sturio</x:v>
      </x:c>
      <x:c r="O133" s="62" t="n">
        <x:v>3.51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Acipenser sturio</x:v>
      </x:c>
      <x:c r="T133" s="62" t="n">
        <x:f>IF(O133="","",(1/'Metadata'!$B$5)^(O133-1))</x:f>
        <x:v>323.5936569296281</x:v>
      </x:c>
      <x:c r="U133" s="60" t="n">
        <x:f>IF(T133="","",I133*T133)</x:f>
        <x:v>2.4586087207267626</x:v>
      </x:c>
    </x:row>
    <x:row r="134" ht="18" customHeight="1">
      <x:c r="A134" s="46" t="str">
        <x:v>LME_020</x:v>
      </x:c>
      <x:c r="B134" s="46" t="str">
        <x:v>Barents Sea</x:v>
      </x:c>
      <x:c r="C134" s="46" t="str">
        <x:v>LME</x:v>
      </x:c>
      <x:c r="D134" s="58" t="n">
        <x:v>2019</x:v>
      </x:c>
      <x:c r="E134" s="46" t="str">
        <x:v>Portunidae</x:v>
      </x:c>
      <x:c r="F134" s="46" t="str">
        <x:v>Swimming crabs</x:v>
      </x:c>
      <x:c r="G134" s="46" t="str">
        <x:v>Lobsters, crabs</x:v>
      </x:c>
      <x:c r="H134" s="46" t="str">
        <x:v>Crustaceans</x:v>
      </x:c>
      <x:c r="I134" s="60" t="n">
        <x:v>0.0056068281</x:v>
      </x:c>
      <x:c r="J134" s="60" t="n">
        <x:v>0.0056068281</x:v>
      </x:c>
      <x:c r="K134" s="60" t="n">
        <x:v>0</x:v>
      </x:c>
      <x:c r="L134" s="60" t="n">
        <x:v>0.0056068281</x:v>
      </x:c>
      <x:c r="M134" s="60" t="n">
        <x:v>0</x:v>
      </x:c>
      <x:c r="N134" s="46" t="str">
        <x:v>portunidae</x:v>
      </x:c>
      <x:c r="O134" s="62" t="n">
        <x:v>3.56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Portunidae</x:v>
      </x:c>
      <x:c r="T134" s="62" t="n">
        <x:f>IF(O134="","",(1/'Metadata'!$B$5)^(O134-1))</x:f>
        <x:v>363.0780547701014</x:v>
      </x:c>
      <x:c r="U134" s="60" t="n">
        <x:f>IF(T134="","",I134*T134)</x:f>
        <x:v>2.0357162399783437</x:v>
      </x:c>
    </x:row>
    <x:row r="135" ht="18" customHeight="1">
      <x:c r="A135" s="46" t="str">
        <x:v>LME_020</x:v>
      </x:c>
      <x:c r="B135" s="46" t="str">
        <x:v>Barents Sea</x:v>
      </x:c>
      <x:c r="C135" s="46" t="str">
        <x:v>LME</x:v>
      </x:c>
      <x:c r="D135" s="58" t="n">
        <x:v>2019</x:v>
      </x:c>
      <x:c r="E135" s="46" t="str">
        <x:v>Lamnidae</x:v>
      </x:c>
      <x:c r="F135" s="46" t="str">
        <x:v>Mackerel/white sharks</x:v>
      </x:c>
      <x:c r="G135" s="46" t="str">
        <x:v>Large sharks (&gt;=90 cm)</x:v>
      </x:c>
      <x:c r="H135" s="46" t="str">
        <x:v>Sharks &amp; rays</x:v>
      </x:c>
      <x:c r="I135" s="60" t="n">
        <x:v>0.0053397886</x:v>
      </x:c>
      <x:c r="J135" s="60" t="n">
        <x:v>0.0053397886</x:v>
      </x:c>
      <x:c r="K135" s="60" t="n">
        <x:v>0</x:v>
      </x:c>
      <x:c r="L135" s="60" t="n">
        <x:v>0.0053397886</x:v>
      </x:c>
      <x:c r="M135" s="60" t="n">
        <x:v>0</x:v>
      </x:c>
      <x:c r="N135" s="46" t="str">
        <x:v>lamnidae</x:v>
      </x:c>
      <x:c r="O135" s="62" t="n">
        <x:v>4.5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Lamnidae</x:v>
      </x:c>
      <x:c r="T135" s="62" t="n">
        <x:f>IF(O135="","",(1/'Metadata'!$B$5)^(O135-1))</x:f>
        <x:v>3162.2776601683795</x:v>
      </x:c>
      <x:c r="U135" s="60" t="n">
        <x:f>IF(T135="","",I135*T135)</x:f>
        <x:v>16.885894199801786</x:v>
      </x:c>
    </x:row>
    <x:row r="136" ht="18" customHeight="1">
      <x:c r="A136" s="46" t="str">
        <x:v>LME_020</x:v>
      </x:c>
      <x:c r="B136" s="46" t="str">
        <x:v>Barents Sea</x:v>
      </x:c>
      <x:c r="C136" s="46" t="str">
        <x:v>LME</x:v>
      </x:c>
      <x:c r="D136" s="58" t="n">
        <x:v>2019</x:v>
      </x:c>
      <x:c r="E136" s="46" t="str">
        <x:v>Alosa alosa</x:v>
      </x:c>
      <x:c r="F136" s="46" t="str">
        <x:v>Allis shad</x:v>
      </x:c>
      <x:c r="G136" s="46" t="str">
        <x:v>Medium pelagics (30 - 89 cm)</x:v>
      </x:c>
      <x:c r="H136" s="46" t="str">
        <x:v>Herring-likes</x:v>
      </x:c>
      <x:c r="I136" s="60" t="n">
        <x:v>0.0051839524000000005</x:v>
      </x:c>
      <x:c r="J136" s="60" t="n">
        <x:v>0.0051839524000000005</x:v>
      </x:c>
      <x:c r="K136" s="60" t="n">
        <x:v>0</x:v>
      </x:c>
      <x:c r="L136" s="60" t="n">
        <x:v>0.0051839524000000005</x:v>
      </x:c>
      <x:c r="M136" s="60" t="n">
        <x:v>0</x:v>
      </x:c>
      <x:c r="N136" s="46" t="str">
        <x:v>alosa alosa</x:v>
      </x:c>
      <x:c r="O136" s="62" t="n">
        <x:v>2.95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Alosa alosa</x:v>
      </x:c>
      <x:c r="T136" s="62" t="n">
        <x:f>IF(O136="","",(1/'Metadata'!$B$5)^(O136-1))</x:f>
        <x:v>89.12509381337459</x:v>
      </x:c>
      <x:c r="U136" s="60" t="n">
        <x:f>IF(T136="","",I136*T136)</x:f>
        <x:v>0.4620202439740684</x:v>
      </x:c>
    </x:row>
    <x:row r="137" ht="18" customHeight="1">
      <x:c r="A137" s="46" t="str">
        <x:v>LME_020</x:v>
      </x:c>
      <x:c r="B137" s="46" t="str">
        <x:v>Barents Sea</x:v>
      </x:c>
      <x:c r="C137" s="46" t="str">
        <x:v>LME</x:v>
      </x:c>
      <x:c r="D137" s="58" t="n">
        <x:v>2019</x:v>
      </x:c>
      <x:c r="E137" s="46" t="str">
        <x:v>Chlamys</x:v>
      </x:c>
      <x:c r="F137" s="46" t="str">
        <x:v>Cloak scallops</x:v>
      </x:c>
      <x:c r="G137" s="46" t="str">
        <x:v>Other demersal invertebrates</x:v>
      </x:c>
      <x:c r="H137" s="46" t="str">
        <x:v>Molluscs</x:v>
      </x:c>
      <x:c r="I137" s="60" t="n">
        <x:v>0.0051098458</x:v>
      </x:c>
      <x:c r="J137" s="60" t="n">
        <x:v>0.0051098458</x:v>
      </x:c>
      <x:c r="K137" s="60" t="n">
        <x:v>0</x:v>
      </x:c>
      <x:c r="L137" s="60" t="n">
        <x:v>0.0051098458</x:v>
      </x:c>
      <x:c r="M137" s="60" t="n">
        <x:v>0</x:v>
      </x:c>
      <x:c r="N137" s="46" t="str">
        <x:v>chlamys</x:v>
      </x:c>
      <x:c r="O137" s="62" t="n">
        <x:v>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Chlamys</x:v>
      </x:c>
      <x:c r="T137" s="62" t="n">
        <x:f>IF(O137="","",(1/'Metadata'!$B$5)^(O137-1))</x:f>
        <x:v>10</x:v>
      </x:c>
      <x:c r="U137" s="60" t="n">
        <x:f>IF(T137="","",I137*T137)</x:f>
        <x:v>0.051098458</x:v>
      </x:c>
    </x:row>
    <x:row r="138" ht="18" customHeight="1">
      <x:c r="A138" s="46" t="str">
        <x:v>LME_020</x:v>
      </x:c>
      <x:c r="B138" s="46" t="str">
        <x:v>Barents Sea</x:v>
      </x:c>
      <x:c r="C138" s="46" t="str">
        <x:v>LME</x:v>
      </x:c>
      <x:c r="D138" s="58" t="n">
        <x:v>2019</x:v>
      </x:c>
      <x:c r="E138" s="46" t="str">
        <x:v>Cyprinidae</x:v>
      </x:c>
      <x:c r="F138" s="46" t="str">
        <x:v>Carps, barbels, other cyprinids</x:v>
      </x:c>
      <x:c r="G138" s="46" t="str">
        <x:v>Medium demersals (30 - 89 cm)</x:v>
      </x:c>
      <x:c r="H138" s="46" t="str">
        <x:v>Other fishes &amp; inverts</x:v>
      </x:c>
      <x:c r="I138" s="60" t="n">
        <x:v>0.0033288834</x:v>
      </x:c>
      <x:c r="J138" s="60" t="n">
        <x:v>0.0033288834</x:v>
      </x:c>
      <x:c r="K138" s="60" t="n">
        <x:v>0</x:v>
      </x:c>
      <x:c r="L138" s="60" t="n">
        <x:v>0</x:v>
      </x:c>
      <x:c r="M138" s="60" t="n">
        <x:v>0.0033288834</x:v>
      </x:c>
      <x:c r="N138" s="46" t="str">
        <x:v>cyprinidae</x:v>
      </x:c>
      <x:c r="O138" s="62" t="n">
        <x:v>2.8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Cyprinidae</x:v>
      </x:c>
      <x:c r="T138" s="62" t="n">
        <x:f>IF(O138="","",(1/'Metadata'!$B$5)^(O138-1))</x:f>
        <x:v>63.0957344480193</x:v>
      </x:c>
      <x:c r="U138" s="60" t="n">
        <x:f>IF(T138="","",I138*T138)</x:f>
        <x:v>0.2100383430148196</x:v>
      </x:c>
    </x:row>
    <x:row r="139" ht="18" customHeight="1">
      <x:c r="A139" s="46" t="str">
        <x:v>LME_020</x:v>
      </x:c>
      <x:c r="B139" s="46" t="str">
        <x:v>Barents Sea</x:v>
      </x:c>
      <x:c r="C139" s="46" t="str">
        <x:v>LME</x:v>
      </x:c>
      <x:c r="D139" s="58" t="n">
        <x:v>2019</x:v>
      </x:c>
      <x:c r="E139" s="46" t="str">
        <x:v>Chaceon affinis</x:v>
      </x:c>
      <x:c r="F139" s="46" t="str">
        <x:v>Deepsea red crab</x:v>
      </x:c>
      <x:c r="G139" s="46" t="str">
        <x:v>Lobsters, crabs</x:v>
      </x:c>
      <x:c r="H139" s="46" t="str">
        <x:v>Crustaceans</x:v>
      </x:c>
      <x:c r="I139" s="60" t="n">
        <x:v>0.0009165496</x:v>
      </x:c>
      <x:c r="J139" s="60" t="n">
        <x:v>0.0009165496</x:v>
      </x:c>
      <x:c r="K139" s="60" t="n">
        <x:v>0</x:v>
      </x:c>
      <x:c r="L139" s="60" t="n">
        <x:v>0.0009165496</x:v>
      </x:c>
      <x:c r="M139" s="60" t="n">
        <x:v>0</x:v>
      </x:c>
      <x:c r="N139" s="46" t="str">
        <x:v>chaceon affinis</x:v>
      </x:c>
      <x:c r="O139" s="62" t="n">
        <x:v>3.1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Chaceon affinis</x:v>
      </x:c>
      <x:c r="T139" s="62" t="n">
        <x:f>IF(O139="","",(1/'Metadata'!$B$5)^(O139-1))</x:f>
        <x:v>125.89254117941675</x:v>
      </x:c>
      <x:c r="U139" s="60" t="n">
        <x:f>IF(T139="","",I139*T139)</x:f>
        <x:v>0.11538675826097795</x:v>
      </x:c>
    </x:row>
  </x:sheetData>
  <x:conditionalFormatting sqref="R2:R1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4f7c68a2e664e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23</x:v>
      </x:c>
      <x:c r="C2" s="64" t="n">
        <x:v>23</x:v>
      </x:c>
      <x:c r="D2" s="60" t="n">
        <x:v>443163.1875443222</x:v>
      </x:c>
      <x:c r="E2" s="60" t="n">
        <x:v>443163.1875443222</x:v>
      </x:c>
      <x:c r="F2" s="62" t="n">
        <x:v>0</x:v>
      </x:c>
      <x:c r="G2" s="66" t="n">
        <x:v>1</x:v>
      </x:c>
      <x:c r="H2" s="62" t="n">
        <x:f>IF(E2=0,"",I2/E2)</x:f>
        <x:v>1256.3048642308377</x:v>
      </x:c>
      <x:c r="I2" s="60" t="n">
        <x:f>SUMIF('Species'!$H$2:$H$139,A2,'Species'!$U$2:$U$139)</x:f>
        <x:v>556748068.1599749</x:v>
      </x:c>
      <x:c r="J2" s="62" t="n">
        <x:v>4.091543986902294</x:v>
      </x:c>
      <x:c r="K2" s="62" t="n">
        <x:f>IF(J2="","",(1/'Metadata'!$B$5)^(J2-1))</x:f>
        <x:v>1234.6503586533308</x:v>
      </x:c>
      <x:c r="L2" s="60" t="n">
        <x:f>IF(E2=0,"",E2*K2)</x:f>
        <x:v>547151588.4435507</x:v>
      </x:c>
      <x:c r="M2" s="60" t="n">
        <x:f>I2-L2</x:f>
        <x:v>9596479.716424227</x:v>
      </x:c>
      <x:c r="N2" s="62" t="n">
        <x:f>IF(L2=0,"",I2/L2)</x:f>
        <x:v>1.0175389780805038</x:v>
      </x:c>
      <x:c r="O2" s="66" t="n">
        <x:f>IF(L2=0,"",M2/L2)</x:f>
        <x:v>0.01753897808050372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33024.9405126183</x:v>
      </x:c>
      <x:c r="E3" s="60" t="n">
        <x:v>33024.9405126183</x:v>
      </x:c>
      <x:c r="F3" s="62" t="n">
        <x:v>0</x:v>
      </x:c>
      <x:c r="G3" s="66" t="n">
        <x:v>1</x:v>
      </x:c>
      <x:c r="H3" s="62" t="n">
        <x:f>IF(E3=0,"",I3/E3)</x:f>
        <x:v>309.4268376780629</x:v>
      </x:c>
      <x:c r="I3" s="60" t="n">
        <x:f>SUMIF('Species'!$H$2:$H$139,A3,'Species'!$U$2:$U$139)</x:f>
        <x:v>10218802.907325625</x:v>
      </x:c>
      <x:c r="J3" s="62" t="n">
        <x:v>3.4136305499263613</x:v>
      </x:c>
      <x:c r="K3" s="62" t="n">
        <x:f>IF(J3="","",(1/'Metadata'!$B$5)^(J3-1))</x:f>
        <x:v>259.1973457478768</x:v>
      </x:c>
      <x:c r="L3" s="60" t="n">
        <x:f>IF(E3=0,"",E3*K3)</x:f>
        <x:v>8559976.924352188</x:v>
      </x:c>
      <x:c r="M3" s="60" t="n">
        <x:f>I3-L3</x:f>
        <x:v>1658825.9829734378</x:v>
      </x:c>
      <x:c r="N3" s="62" t="n">
        <x:f>IF(L3=0,"",I3/L3)</x:f>
        <x:v>1.1937886045293256</x:v>
      </x:c>
      <x:c r="O3" s="66" t="n">
        <x:f>IF(L3=0,"",M3/L3)</x:f>
        <x:v>0.19378860452932545</x:v>
      </x:c>
    </x:row>
    <x:row r="4" ht="18" customHeight="1">
      <x:c r="A4" s="46" t="str">
        <x:v>Flatfishes</x:v>
      </x:c>
      <x:c r="B4" s="64" t="n">
        <x:v>14</x:v>
      </x:c>
      <x:c r="C4" s="64" t="n">
        <x:v>14</x:v>
      </x:c>
      <x:c r="D4" s="60" t="n">
        <x:v>29061.50834417379</x:v>
      </x:c>
      <x:c r="E4" s="60" t="n">
        <x:v>29061.50834417379</x:v>
      </x:c>
      <x:c r="F4" s="62" t="n">
        <x:v>0</x:v>
      </x:c>
      <x:c r="G4" s="66" t="n">
        <x:v>1</x:v>
      </x:c>
      <x:c r="H4" s="62" t="n">
        <x:f>IF(E4=0,"",I4/E4)</x:f>
        <x:v>1304.1828929076003</x:v>
      </x:c>
      <x:c r="I4" s="60" t="n">
        <x:f>SUMIF('Species'!$H$2:$H$139,A4,'Species'!$U$2:$U$139)</x:f>
        <x:v>37901522.02456294</x:v>
      </x:c>
      <x:c r="J4" s="62" t="n">
        <x:v>3.8660578961799983</x:v>
      </x:c>
      <x:c r="K4" s="62" t="n">
        <x:f>IF(J4="","",(1/'Metadata'!$B$5)^(J4-1))</x:f>
        <x:v>734.6117933750932</x:v>
      </x:c>
      <x:c r="L4" s="60" t="n">
        <x:f>IF(E4=0,"",E4*K4)</x:f>
        <x:v>21348926.762898743</x:v>
      </x:c>
      <x:c r="M4" s="60" t="n">
        <x:f>I4-L4</x:f>
        <x:v>16552595.261664197</x:v>
      </x:c>
      <x:c r="N4" s="62" t="n">
        <x:f>IF(L4=0,"",I4/L4)</x:f>
        <x:v>1.7753361771061085</x:v>
      </x:c>
      <x:c r="O4" s="66" t="n">
        <x:f>IF(L4=0,"",M4/L4)</x:f>
        <x:v>0.7753361771061084</x:v>
      </x:c>
    </x:row>
    <x:row r="5" ht="18" customHeight="1">
      <x:c r="A5" s="46" t="str">
        <x:v>Herring-likes</x:v>
      </x:c>
      <x:c r="B5" s="64" t="n">
        <x:v>4</x:v>
      </x:c>
      <x:c r="C5" s="64" t="n">
        <x:v>4</x:v>
      </x:c>
      <x:c r="D5" s="60" t="n">
        <x:v>30546.684731365993</x:v>
      </x:c>
      <x:c r="E5" s="60" t="n">
        <x:v>30546.684731365993</x:v>
      </x:c>
      <x:c r="F5" s="62" t="n">
        <x:v>0</x:v>
      </x:c>
      <x:c r="G5" s="66" t="n">
        <x:v>1</x:v>
      </x:c>
      <x:c r="H5" s="62" t="n">
        <x:f>IF(E5=0,"",I5/E5)</x:f>
        <x:v>239.59301870971882</x:v>
      </x:c>
      <x:c r="I5" s="60" t="n">
        <x:f>SUMIF('Species'!$H$2:$H$139,A5,'Species'!$U$2:$U$139)</x:f>
        <x:v>7318772.406362055</x:v>
      </x:c>
      <x:c r="J5" s="62" t="n">
        <x:v>3.3793301668776308</x:v>
      </x:c>
      <x:c r="K5" s="62" t="n">
        <x:f>IF(J5="","",(1/'Metadata'!$B$5)^(J5-1))</x:f>
        <x:v>239.51359361840412</x:v>
      </x:c>
      <x:c r="L5" s="60" t="n">
        <x:f>IF(E5=0,"",E5*K5)</x:f>
        <x:v>7316346.233137905</x:v>
      </x:c>
      <x:c r="M5" s="60" t="n">
        <x:f>I5-L5</x:f>
        <x:v>2426.173224150203</x:v>
      </x:c>
      <x:c r="N5" s="62" t="n">
        <x:f>IF(L5=0,"",I5/L5)</x:f>
        <x:v>1.0003316099521318</x:v>
      </x:c>
      <x:c r="O5" s="66" t="n">
        <x:f>IF(L5=0,"",M5/L5)</x:f>
        <x:v>0.00033160995213175453</x:v>
      </x:c>
    </x:row>
    <x:row r="6" ht="18" customHeight="1">
      <x:c r="A6" s="46" t="str">
        <x:v>Molluscs</x:v>
      </x:c>
      <x:c r="B6" s="64" t="n">
        <x:v>18</x:v>
      </x:c>
      <x:c r="C6" s="64" t="n">
        <x:v>18</x:v>
      </x:c>
      <x:c r="D6" s="60" t="n">
        <x:v>72.16306530700001</x:v>
      </x:c>
      <x:c r="E6" s="60" t="n">
        <x:v>72.16306530700001</x:v>
      </x:c>
      <x:c r="F6" s="62" t="n">
        <x:v>0</x:v>
      </x:c>
      <x:c r="G6" s="66" t="n">
        <x:v>1</x:v>
      </x:c>
      <x:c r="H6" s="62" t="n">
        <x:f>IF(E6=0,"",I6/E6)</x:f>
        <x:v>49.66088391504439</x:v>
      </x:c>
      <x:c r="I6" s="60" t="n">
        <x:f>SUMIF('Species'!$H$2:$H$139,A6,'Species'!$U$2:$U$139)</x:f>
        <x:v>3583.6816091646942</x:v>
      </x:c>
      <x:c r="J6" s="62" t="n">
        <x:v>2.4696767639661537</x:v>
      </x:c>
      <x:c r="K6" s="62" t="n">
        <x:f>IF(J6="","",(1/'Metadata'!$B$5)^(J6-1))</x:f>
        <x:v>29.49013522378579</x:v>
      </x:c>
      <x:c r="L6" s="60" t="n">
        <x:f>IF(E6=0,"",E6*K6)</x:f>
        <x:v>2128.098554066315</x:v>
      </x:c>
      <x:c r="M6" s="60" t="n">
        <x:f>I6-L6</x:f>
        <x:v>1455.5830550983792</x:v>
      </x:c>
      <x:c r="N6" s="62" t="n">
        <x:f>IF(L6=0,"",I6/L6)</x:f>
        <x:v>1.6839829162597235</x:v>
      </x:c>
      <x:c r="O6" s="66" t="n">
        <x:f>IF(L6=0,"",M6/L6)</x:f>
        <x:v>0.6839829162597236</x:v>
      </x:c>
    </x:row>
    <x:row r="7" ht="18" customHeight="1">
      <x:c r="A7" s="46" t="str">
        <x:v>Other fishes &amp; inverts</x:v>
      </x:c>
      <x:c r="B7" s="64" t="n">
        <x:v>20</x:v>
      </x:c>
      <x:c r="C7" s="64" t="n">
        <x:v>20</x:v>
      </x:c>
      <x:c r="D7" s="60" t="n">
        <x:v>59341.531840947406</x:v>
      </x:c>
      <x:c r="E7" s="60" t="n">
        <x:v>59341.531840947406</x:v>
      </x:c>
      <x:c r="F7" s="62" t="n">
        <x:v>0</x:v>
      </x:c>
      <x:c r="G7" s="66" t="n">
        <x:v>1</x:v>
      </x:c>
      <x:c r="H7" s="62" t="n">
        <x:f>IF(E7=0,"",I7/E7)</x:f>
        <x:v>196.42823352196143</x:v>
      </x:c>
      <x:c r="I7" s="60" t="n">
        <x:f>SUMIF('Species'!$H$2:$H$139,A7,'Species'!$U$2:$U$139)</x:f>
        <x:v>11656352.274004526</x:v>
      </x:c>
      <x:c r="J7" s="62" t="n">
        <x:v>3.277990776918862</x:v>
      </x:c>
      <x:c r="K7" s="62" t="n">
        <x:f>IF(J7="","",(1/'Metadata'!$B$5)^(J7-1))</x:f>
        <x:v>189.66656414296097</x:v>
      </x:c>
      <x:c r="L7" s="60" t="n">
        <x:f>IF(E7=0,"",E7*K7)</x:f>
        <x:v>11255104.455252612</x:v>
      </x:c>
      <x:c r="M7" s="60" t="n">
        <x:f>I7-L7</x:f>
        <x:v>401247.8187519144</x:v>
      </x:c>
      <x:c r="N7" s="62" t="n">
        <x:f>IF(L7=0,"",I7/L7)</x:f>
        <x:v>1.0356502971915695</x:v>
      </x:c>
      <x:c r="O7" s="66" t="n">
        <x:f>IF(L7=0,"",M7/L7)</x:f>
        <x:v>0.03565029719156958</x:v>
      </x:c>
    </x:row>
    <x:row r="8" ht="18" customHeight="1">
      <x:c r="A8" s="46" t="str">
        <x:v>Perch-likes</x:v>
      </x:c>
      <x:c r="B8" s="64" t="n">
        <x:v>15</x:v>
      </x:c>
      <x:c r="C8" s="64" t="n">
        <x:v>15</x:v>
      </x:c>
      <x:c r="D8" s="60" t="n">
        <x:v>63838.71648667149</x:v>
      </x:c>
      <x:c r="E8" s="60" t="n">
        <x:v>63838.71648667149</x:v>
      </x:c>
      <x:c r="F8" s="62" t="n">
        <x:v>0</x:v>
      </x:c>
      <x:c r="G8" s="66" t="n">
        <x:v>1</x:v>
      </x:c>
      <x:c r="H8" s="62" t="n">
        <x:f>IF(E8=0,"",I8/E8)</x:f>
        <x:v>430.9388446648315</x:v>
      </x:c>
      <x:c r="I8" s="60" t="n">
        <x:f>SUMIF('Species'!$H$2:$H$139,A8,'Species'!$U$2:$U$139)</x:f>
        <x:v>27510582.727651943</x:v>
      </x:c>
      <x:c r="J8" s="62" t="n">
        <x:v>3.627961984236241</x:v>
      </x:c>
      <x:c r="K8" s="62" t="n">
        <x:f>IF(J8="","",(1/'Metadata'!$B$5)^(J8-1))</x:f>
        <x:v>424.5823966986915</x:v>
      </x:c>
      <x:c r="L8" s="60" t="n">
        <x:f>IF(E8=0,"",E8*K8)</x:f>
        <x:v>27104795.24807925</x:v>
      </x:c>
      <x:c r="M8" s="60" t="n">
        <x:f>I8-L8</x:f>
        <x:v>405787.479572691</x:v>
      </x:c>
      <x:c r="N8" s="62" t="n">
        <x:f>IF(L8=0,"",I8/L8)</x:f>
        <x:v>1.0149710586580227</x:v>
      </x:c>
      <x:c r="O8" s="66" t="n">
        <x:f>IF(L8=0,"",M8/L8)</x:f>
        <x:v>0.01497105865802276</x:v>
      </x:c>
    </x:row>
    <x:row r="9" ht="18" customHeight="1">
      <x:c r="A9" s="46" t="str">
        <x:v>Salmon, smelts, etc</x:v>
      </x:c>
      <x:c r="B9" s="64" t="n">
        <x:v>9</x:v>
      </x:c>
      <x:c r="C9" s="64" t="n">
        <x:v>9</x:v>
      </x:c>
      <x:c r="D9" s="60" t="n">
        <x:v>461.4460984356</x:v>
      </x:c>
      <x:c r="E9" s="60" t="n">
        <x:v>461.4460984356</x:v>
      </x:c>
      <x:c r="F9" s="62" t="n">
        <x:v>0</x:v>
      </x:c>
      <x:c r="G9" s="66" t="n">
        <x:v>1</x:v>
      </x:c>
      <x:c r="H9" s="62" t="n">
        <x:f>IF(E9=0,"",I9/E9)</x:f>
        <x:v>1428.7080257561602</x:v>
      </x:c>
      <x:c r="I9" s="60" t="n">
        <x:f>SUMIF('Species'!$H$2:$H$139,A9,'Species'!$U$2:$U$139)</x:f>
        <x:v>659271.7442888088</x:v>
      </x:c>
      <x:c r="J9" s="62" t="n">
        <x:v>3.733190314677452</x:v>
      </x:c>
      <x:c r="K9" s="62" t="n">
        <x:f>IF(J9="","",(1/'Metadata'!$B$5)^(J9-1))</x:f>
        <x:v>540.9913419299106</x:v>
      </x:c>
      <x:c r="L9" s="60" t="n">
        <x:f>IF(E9=0,"",E9*K9)</x:f>
        <x:v>249638.34402099688</x:v>
      </x:c>
      <x:c r="M9" s="60" t="n">
        <x:f>I9-L9</x:f>
        <x:v>409633.4002678119</x:v>
      </x:c>
      <x:c r="N9" s="62" t="n">
        <x:f>IF(L9=0,"",I9/L9)</x:f>
        <x:v>2.640907376926671</x:v>
      </x:c>
      <x:c r="O9" s="66" t="n">
        <x:f>IF(L9=0,"",M9/L9)</x:f>
        <x:v>1.640907376926671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15613.050026949199</x:v>
      </x:c>
      <x:c r="E10" s="60" t="n">
        <x:v>15613.050026949199</x:v>
      </x:c>
      <x:c r="F10" s="62" t="n">
        <x:v>0</x:v>
      </x:c>
      <x:c r="G10" s="66" t="n">
        <x:v>1</x:v>
      </x:c>
      <x:c r="H10" s="62" t="n">
        <x:f>IF(E10=0,"",I10/E10)</x:f>
        <x:v>572.5753167438801</x:v>
      </x:c>
      <x:c r="I10" s="60" t="n">
        <x:f>SUMIF('Species'!$H$2:$H$139,A10,'Species'!$U$2:$U$139)</x:f>
        <x:v>8939647.064518483</x:v>
      </x:c>
      <x:c r="J10" s="62" t="n">
        <x:v>3.73415350673782</x:v>
      </x:c>
      <x:c r="K10" s="62" t="n">
        <x:f>IF(J10="","",(1/'Metadata'!$B$5)^(J10-1))</x:f>
        <x:v>542.1925011587333</x:v>
      </x:c>
      <x:c r="L10" s="60" t="n">
        <x:f>IF(E10=0,"",E10*K10)</x:f>
        <x:v>8465278.644828014</x:v>
      </x:c>
      <x:c r="M10" s="60" t="n">
        <x:f>I10-L10</x:f>
        <x:v>474368.4196904693</x:v>
      </x:c>
      <x:c r="N10" s="62" t="n">
        <x:f>IF(L10=0,"",I10/L10)</x:f>
        <x:v>1.0560369527800826</x:v>
      </x:c>
      <x:c r="O10" s="66" t="n">
        <x:f>IF(L10=0,"",M10/L10)</x:f>
        <x:v>0.056036952780082624</x:v>
      </x:c>
    </x:row>
    <x:row r="11" ht="18" customHeight="1">
      <x:c r="A11" s="46" t="str">
        <x:v>Sharks &amp; rays</x:v>
      </x:c>
      <x:c r="B11" s="64" t="n">
        <x:v>12</x:v>
      </x:c>
      <x:c r="C11" s="64" t="n">
        <x:v>12</x:v>
      </x:c>
      <x:c r="D11" s="60" t="n">
        <x:v>445.7893123734</x:v>
      </x:c>
      <x:c r="E11" s="60" t="n">
        <x:v>445.7893123734</x:v>
      </x:c>
      <x:c r="F11" s="62" t="n">
        <x:v>0</x:v>
      </x:c>
      <x:c r="G11" s="66" t="n">
        <x:v>1</x:v>
      </x:c>
      <x:c r="H11" s="62" t="n">
        <x:f>IF(E11=0,"",I11/E11)</x:f>
        <x:v>719.6915986244198</x:v>
      </x:c>
      <x:c r="I11" s="60" t="n">
        <x:f>SUMIF('Species'!$H$2:$H$139,A11,'Species'!$U$2:$U$139)</x:f>
        <x:v>320830.8228716931</x:v>
      </x:c>
      <x:c r="J11" s="62" t="n">
        <x:v>3.838669195502836</x:v>
      </x:c>
      <x:c r="K11" s="62" t="n">
        <x:f>IF(J11="","",(1/'Metadata'!$B$5)^(J11-1))</x:f>
        <x:v>689.7142445687755</x:v>
      </x:c>
      <x:c r="L11" s="60" t="n">
        <x:f>IF(E11=0,"",E11*K11)</x:f>
        <x:v>307467.23882045347</x:v>
      </x:c>
      <x:c r="M11" s="60" t="n">
        <x:f>I11-L11</x:f>
        <x:v>13363.584051239653</x:v>
      </x:c>
      <x:c r="N11" s="62" t="n">
        <x:f>IF(L11=0,"",I11/L11)</x:f>
        <x:v>1.043463440535996</x:v>
      </x:c>
      <x:c r="O11" s="66" t="n">
        <x:f>IF(L11=0,"",M11/L11)</x:f>
        <x:v>0.043463440535995976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77fc3932a9846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0.107771506</x:v>
      </x:c>
      <x:c r="E2" s="60" t="n">
        <x:v>0.107771506</x:v>
      </x:c>
      <x:c r="F2" s="62" t="n">
        <x:v>0</x:v>
      </x:c>
      <x:c r="G2" s="66" t="n">
        <x:v>1</x:v>
      </x:c>
      <x:c r="H2" s="62" t="n">
        <x:f>IF(E2=0,"",I2/E2)</x:f>
        <x:v>748.0475926539785</x:v>
      </x:c>
      <x:c r="I2" s="60" t="n">
        <x:f>SUMIF('Species'!$G$2:$G$139,A2,'Species'!$U$2:$U$139)</x:f>
        <x:v>80.6182156199938</x:v>
      </x:c>
      <x:c r="J2" s="62" t="n">
        <x:v>3.8388476691696227</x:v>
      </x:c>
      <x:c r="K2" s="62" t="n">
        <x:f>IF(J2="","",(1/'Metadata'!$B$5)^(J2-1))</x:f>
        <x:v>689.9977414401932</x:v>
      </x:c>
      <x:c r="L2" s="60" t="n">
        <x:f>IF(E2=0,"",E2*K2)</x:f>
        <x:v>74.36209573160824</x:v>
      </x:c>
      <x:c r="M2" s="60" t="n">
        <x:f>I2-L2</x:f>
        <x:v>6.2561198883855695</x:v>
      </x:c>
      <x:c r="N2" s="62" t="n">
        <x:f>IF(L2=0,"",I2/L2)</x:f>
        <x:v>1.0841304945326649</x:v>
      </x:c>
      <x:c r="O2" s="66" t="n">
        <x:f>IF(L2=0,"",M2/L2)</x:f>
        <x:v>0.08413049453266488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104.4367071871</x:v>
      </x:c>
      <x:c r="E3" s="60" t="n">
        <x:v>104.4367071871</x:v>
      </x:c>
      <x:c r="F3" s="62" t="n">
        <x:v>0</x:v>
      </x:c>
      <x:c r="G3" s="66" t="n">
        <x:v>1</x:v>
      </x:c>
      <x:c r="H3" s="62" t="n">
        <x:f>IF(E3=0,"",I3/E3)</x:f>
        <x:v>2244.1209434738134</x:v>
      </x:c>
      <x:c r="I3" s="60" t="n">
        <x:f>SUMIF('Species'!$G$2:$G$139,A3,'Species'!$U$2:$U$139)</x:f>
        <x:v>234368.60186601322</x:v>
      </x:c>
      <x:c r="J3" s="62" t="n">
        <x:v>4.350931544044047</x:v>
      </x:c>
      <x:c r="K3" s="62" t="n">
        <x:f>IF(J3="","",(1/'Metadata'!$B$5)^(J3-1))</x:f>
        <x:v>2243.5282582793698</x:v>
      </x:c>
      <x:c r="L3" s="60" t="n">
        <x:f>IF(E3=0,"",E3*K3)</x:f>
        <x:v>234306.703775907</x:v>
      </x:c>
      <x:c r="M3" s="60" t="n">
        <x:f>I3-L3</x:f>
        <x:v>61.89809010623139</x:v>
      </x:c>
      <x:c r="N3" s="62" t="n">
        <x:f>IF(L3=0,"",I3/L3)</x:f>
        <x:v>1.000264175497793</x:v>
      </x:c>
      <x:c r="O3" s="66" t="n">
        <x:f>IF(L3=0,"",M3/L3)</x:f>
        <x:v>0.00026417549779297515</x:v>
      </x:c>
    </x:row>
    <x:row r="4" ht="18" customHeight="1">
      <x:c r="A4" s="46" t="str">
        <x:v>Large benthopelagics (&gt;=90 cm)</x:v>
      </x:c>
      <x:c r="B4" s="64" t="n">
        <x:v>7</x:v>
      </x:c>
      <x:c r="C4" s="64" t="n">
        <x:v>7</x:v>
      </x:c>
      <x:c r="D4" s="60" t="n">
        <x:v>326420.8719188363</x:v>
      </x:c>
      <x:c r="E4" s="60" t="n">
        <x:v>326420.8719188363</x:v>
      </x:c>
      <x:c r="F4" s="62" t="n">
        <x:v>0</x:v>
      </x:c>
      <x:c r="G4" s="66" t="n">
        <x:v>1</x:v>
      </x:c>
      <x:c r="H4" s="62" t="n">
        <x:f>IF(E4=0,"",I4/E4)</x:f>
        <x:v>1215.3580852493014</x:v>
      </x:c>
      <x:c r="I4" s="60" t="n">
        <x:f>SUMIF('Species'!$G$2:$G$139,A4,'Species'!$U$2:$U$139)</x:f>
        <x:v>396718245.8806844</x:v>
      </x:c>
      <x:c r="J4" s="62" t="n">
        <x:v>4.081489667468125</x:v>
      </x:c>
      <x:c r="K4" s="62" t="n">
        <x:f>IF(J4="","",(1/'Metadata'!$B$5)^(J4-1))</x:f>
        <x:v>1206.3953858588843</x:v>
      </x:c>
      <x:c r="L4" s="60" t="n">
        <x:f>IF(E4=0,"",E4*K4)</x:f>
        <x:v>393792633.730918</x:v>
      </x:c>
      <x:c r="M4" s="60" t="n">
        <x:f>I4-L4</x:f>
        <x:v>2925612.1497663856</x:v>
      </x:c>
      <x:c r="N4" s="62" t="n">
        <x:f>IF(L4=0,"",I4/L4)</x:f>
        <x:v>1.007429321676356</x:v>
      </x:c>
      <x:c r="O4" s="66" t="n">
        <x:f>IF(L4=0,"",M4/L4)</x:f>
        <x:v>0.007429321676355892</x:v>
      </x:c>
    </x:row>
    <x:row r="5" ht="18" customHeight="1">
      <x:c r="A5" s="46" t="str">
        <x:v>Large demersals (&gt;=90 cm)</x:v>
      </x:c>
      <x:c r="B5" s="64" t="n">
        <x:v>14</x:v>
      </x:c>
      <x:c r="C5" s="64" t="n">
        <x:v>14</x:v>
      </x:c>
      <x:c r="D5" s="60" t="n">
        <x:v>39127.728765878106</x:v>
      </x:c>
      <x:c r="E5" s="60" t="n">
        <x:v>39127.728765878106</x:v>
      </x:c>
      <x:c r="F5" s="62" t="n">
        <x:v>0</x:v>
      </x:c>
      <x:c r="G5" s="66" t="n">
        <x:v>1</x:v>
      </x:c>
      <x:c r="H5" s="62" t="n">
        <x:f>IF(E5=0,"",I5/E5)</x:f>
        <x:v>1717.930698708719</x:v>
      </x:c>
      <x:c r="I5" s="60" t="n">
        <x:f>SUMIF('Species'!$G$2:$G$139,A5,'Species'!$U$2:$U$139)</x:f>
        <x:v>67218726.41765022</x:v>
      </x:c>
      <x:c r="J5" s="62" t="n">
        <x:v>4.151689306483993</x:v>
      </x:c>
      <x:c r="K5" s="62" t="n">
        <x:f>IF(J5="","",(1/'Metadata'!$B$5)^(J5-1))</x:f>
        <x:v>1418.0426934558961</x:v>
      </x:c>
      <x:c r="L5" s="60" t="n">
        <x:f>IF(E5=0,"",E5*K5)</x:f>
        <x:v>55484789.88797753</x:v>
      </x:c>
      <x:c r="M5" s="60" t="n">
        <x:f>I5-L5</x:f>
        <x:v>11733936.52967269</x:v>
      </x:c>
      <x:c r="N5" s="62" t="n">
        <x:f>IF(L5=0,"",I5/L5)</x:f>
        <x:v>1.2114802372571516</x:v>
      </x:c>
      <x:c r="O5" s="66" t="n">
        <x:f>IF(L5=0,"",M5/L5)</x:f>
        <x:v>0.2114802372571515</x:v>
      </x:c>
    </x:row>
    <x:row r="6" ht="18" customHeight="1">
      <x:c r="A6" s="46" t="str">
        <x:v>Large flatfishes (&gt;=90 cm)</x:v>
      </x:c>
      <x:c r="B6" s="64" t="n">
        <x:v>3</x:v>
      </x:c>
      <x:c r="C6" s="64" t="n">
        <x:v>3</x:v>
      </x:c>
      <x:c r="D6" s="60" t="n">
        <x:v>10584.4799743497</x:v>
      </x:c>
      <x:c r="E6" s="60" t="n">
        <x:v>10584.4799743497</x:v>
      </x:c>
      <x:c r="F6" s="62" t="n">
        <x:v>0</x:v>
      </x:c>
      <x:c r="G6" s="66" t="n">
        <x:v>1</x:v>
      </x:c>
      <x:c r="H6" s="62" t="n">
        <x:f>IF(E6=0,"",I6/E6)</x:f>
        <x:v>182.7777311694177</x:v>
      </x:c>
      <x:c r="I6" s="60" t="n">
        <x:f>SUMIF('Species'!$G$2:$G$139,A6,'Species'!$U$2:$U$139)</x:f>
        <x:v>1934607.2353197748</x:v>
      </x:c>
      <x:c r="J6" s="62" t="n">
        <x:v>3.2607245259495934</x:v>
      </x:c>
      <x:c r="K6" s="62" t="n">
        <x:f>IF(J6="","",(1/'Metadata'!$B$5)^(J6-1))</x:f>
        <x:v>182.27391676569096</x:v>
      </x:c>
      <x:c r="L6" s="60" t="n">
        <x:f>IF(E6=0,"",E6*K6)</x:f>
        <x:v>1929274.6218527402</x:v>
      </x:c>
      <x:c r="M6" s="60" t="n">
        <x:f>I6-L6</x:f>
        <x:v>5332.613467034651</x:v>
      </x:c>
      <x:c r="N6" s="62" t="n">
        <x:f>IF(L6=0,"",I6/L6)</x:f>
        <x:v>1.0027640510099665</x:v>
      </x:c>
      <x:c r="O6" s="66" t="n">
        <x:f>IF(L6=0,"",M6/L6)</x:f>
        <x:v>0.002764051009966421</x:v>
      </x:c>
    </x:row>
    <x:row r="7" ht="18" customHeight="1">
      <x:c r="A7" s="46" t="str">
        <x:v>Large pelagics (&gt;=90 cm)</x:v>
      </x:c>
      <x:c r="B7" s="64" t="n">
        <x:v>1</x:v>
      </x:c>
      <x:c r="C7" s="64" t="n">
        <x:v>1</x:v>
      </x:c>
      <x:c r="D7" s="60" t="n">
        <x:v>0.0925735646</x:v>
      </x:c>
      <x:c r="E7" s="60" t="n">
        <x:v>0.0925735646</x:v>
      </x:c>
      <x:c r="F7" s="62" t="n">
        <x:v>0</x:v>
      </x:c>
      <x:c r="G7" s="66" t="n">
        <x:v>1</x:v>
      </x:c>
      <x:c r="H7" s="62" t="n">
        <x:f>IF(E7=0,"",I7/E7)</x:f>
        <x:v>229.08676527677724</x:v>
      </x:c>
      <x:c r="I7" s="60" t="n">
        <x:f>SUMIF('Species'!$G$2:$G$139,A7,'Species'!$U$2:$U$139)</x:f>
        <x:v>21.207378464354775</x:v>
      </x:c>
      <x:c r="J7" s="62" t="n">
        <x:v>3.36</x:v>
      </x:c>
      <x:c r="K7" s="62" t="n">
        <x:f>IF(J7="","",(1/'Metadata'!$B$5)^(J7-1))</x:f>
        <x:v>229.08676527677724</x:v>
      </x:c>
      <x:c r="L7" s="60" t="n">
        <x:f>IF(E7=0,"",E7*K7)</x:f>
        <x:v>21.207378464354775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rays (&gt;=90 cm)</x:v>
      </x:c>
      <x:c r="B8" s="64" t="n">
        <x:v>4</x:v>
      </x:c>
      <x:c r="C8" s="64" t="n">
        <x:v>4</x:v>
      </x:c>
      <x:c r="D8" s="60" t="n">
        <x:v>7.6096124433000005</x:v>
      </x:c>
      <x:c r="E8" s="60" t="n">
        <x:v>7.6096124433000005</x:v>
      </x:c>
      <x:c r="F8" s="62" t="n">
        <x:v>0</x:v>
      </x:c>
      <x:c r="G8" s="66" t="n">
        <x:v>1</x:v>
      </x:c>
      <x:c r="H8" s="62" t="n">
        <x:f>IF(E8=0,"",I8/E8)</x:f>
        <x:v>616.9887715284012</x:v>
      </x:c>
      <x:c r="I8" s="60" t="n">
        <x:f>SUMIF('Species'!$G$2:$G$139,A8,'Species'!$U$2:$U$139)</x:f>
        <x:v>4695.045433198903</x:v>
      </x:c>
      <x:c r="J8" s="62" t="n">
        <x:v>3.7795481627018948</x:v>
      </x:c>
      <x:c r="K8" s="62" t="n">
        <x:f>IF(J8="","",(1/'Metadata'!$B$5)^(J8-1))</x:f>
        <x:v>601.9330127985627</x:v>
      </x:c>
      <x:c r="L8" s="60" t="n">
        <x:f>IF(E8=0,"",E8*K8)</x:f>
        <x:v>4580.476944225001</x:v>
      </x:c>
      <x:c r="M8" s="60" t="n">
        <x:f>I8-L8</x:f>
        <x:v>114.56848897390228</x:v>
      </x:c>
      <x:c r="N8" s="62" t="n">
        <x:f>IF(L8=0,"",I8/L8)</x:f>
        <x:v>1.0250123492310879</x:v>
      </x:c>
      <x:c r="O8" s="66" t="n">
        <x:f>IF(L8=0,"",M8/L8)</x:f>
        <x:v>0.02501234923108795</x:v>
      </x:c>
    </x:row>
    <x:row r="9" ht="18" customHeight="1">
      <x:c r="A9" s="46" t="str">
        <x:v>Large reef assoc. fish (&gt;=90 cm)</x:v>
      </x:c>
      <x:c r="B9" s="64" t="n">
        <x:v>2</x:v>
      </x:c>
      <x:c r="C9" s="64" t="n">
        <x:v>2</x:v>
      </x:c>
      <x:c r="D9" s="60" t="n">
        <x:v>3444.9195494119</x:v>
      </x:c>
      <x:c r="E9" s="60" t="n">
        <x:v>3444.9195494119</x:v>
      </x:c>
      <x:c r="F9" s="62" t="n">
        <x:v>0</x:v>
      </x:c>
      <x:c r="G9" s="66" t="n">
        <x:v>1</x:v>
      </x:c>
      <x:c r="H9" s="62" t="n">
        <x:f>IF(E9=0,"",I9/E9)</x:f>
        <x:v>612.9407231751047</x:v>
      </x:c>
      <x:c r="I9" s="60" t="n">
        <x:f>SUMIF('Species'!$G$2:$G$139,A9,'Species'!$U$2:$U$139)</x:f>
        <x:v>2111531.479896586</x:v>
      </x:c>
      <x:c r="J9" s="62" t="n">
        <x:v>3.7849055717472035</x:v>
      </x:c>
      <x:c r="K9" s="62" t="n">
        <x:f>IF(J9="","",(1/'Metadata'!$B$5)^(J9-1))</x:f>
        <x:v>609.4043805959677</x:v>
      </x:c>
      <x:c r="L9" s="60" t="n">
        <x:f>IF(E9=0,"",E9*K9)</x:f>
        <x:v>2099349.064212299</x:v>
      </x:c>
      <x:c r="M9" s="60" t="n">
        <x:f>I9-L9</x:f>
        <x:v>12182.41568428697</x:v>
      </x:c>
      <x:c r="N9" s="62" t="n">
        <x:f>IF(L9=0,"",I9/L9)</x:f>
        <x:v>1.005802949062622</x:v>
      </x:c>
      <x:c r="O9" s="66" t="n">
        <x:f>IF(L9=0,"",M9/L9)</x:f>
        <x:v>0.005802949062621922</x:v>
      </x:c>
    </x:row>
    <x:row r="10" ht="18" customHeight="1">
      <x:c r="A10" s="46" t="str">
        <x:v>Large sharks (&gt;=90 cm)</x:v>
      </x:c>
      <x:c r="B10" s="64" t="n">
        <x:v>7</x:v>
      </x:c>
      <x:c r="C10" s="64" t="n">
        <x:v>7</x:v>
      </x:c>
      <x:c r="D10" s="60" t="n">
        <x:v>50.95338182249999</x:v>
      </x:c>
      <x:c r="E10" s="60" t="n">
        <x:v>50.95338182249999</x:v>
      </x:c>
      <x:c r="F10" s="62" t="n">
        <x:v>0</x:v>
      </x:c>
      <x:c r="G10" s="66" t="n">
        <x:v>1</x:v>
      </x:c>
      <x:c r="H10" s="62" t="n">
        <x:f>IF(E10=0,"",I10/E10)</x:f>
        <x:v>1409.3762863992988</x:v>
      </x:c>
      <x:c r="I10" s="60" t="n">
        <x:f>SUMIF('Species'!$G$2:$G$139,A10,'Species'!$U$2:$U$139)</x:f>
        <x:v>71812.48805248058</x:v>
      </x:c>
      <x:c r="J10" s="62" t="n">
        <x:v>4.141369777759349</x:v>
      </x:c>
      <x:c r="K10" s="62" t="n">
        <x:f>IF(J10="","",(1/'Metadata'!$B$5)^(J10-1))</x:f>
        <x:v>1384.744910966528</x:v>
      </x:c>
      <x:c r="L10" s="60" t="n">
        <x:f>IF(E10=0,"",E10*K10)</x:f>
        <x:v>70557.43617524127</x:v>
      </x:c>
      <x:c r="M10" s="60" t="n">
        <x:f>I10-L10</x:f>
        <x:v>1255.0518772393116</x:v>
      </x:c>
      <x:c r="N10" s="62" t="n">
        <x:f>IF(L10=0,"",I10/L10)</x:f>
        <x:v>1.0177876627223554</x:v>
      </x:c>
      <x:c r="O10" s="66" t="n">
        <x:f>IF(L10=0,"",M10/L10)</x:f>
        <x:v>0.01778766272235543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20862.803209193804</x:v>
      </x:c>
      <x:c r="E11" s="60" t="n">
        <x:v>20862.803209193804</x:v>
      </x:c>
      <x:c r="F11" s="62" t="n">
        <x:v>0</x:v>
      </x:c>
      <x:c r="G11" s="66" t="n">
        <x:v>1</x:v>
      </x:c>
      <x:c r="H11" s="62" t="n">
        <x:f>IF(E11=0,"",I11/E11)</x:f>
        <x:v>421.5957657283643</x:v>
      </x:c>
      <x:c r="I11" s="60" t="n">
        <x:f>SUMIF('Species'!$G$2:$G$139,A11,'Species'!$U$2:$U$139)</x:f>
        <x:v>8795669.494220238</x:v>
      </x:c>
      <x:c r="J11" s="62" t="n">
        <x:v>3.615500442120368</x:v>
      </x:c>
      <x:c r="K11" s="62" t="n">
        <x:f>IF(J11="","",(1/'Metadata'!$B$5)^(J11-1))</x:f>
        <x:v>412.57265712362704</x:v>
      </x:c>
      <x:c r="L11" s="60" t="n">
        <x:f>IF(E11=0,"",E11*K11)</x:f>
        <x:v>8607422.15506442</x:v>
      </x:c>
      <x:c r="M11" s="60" t="n">
        <x:f>I11-L11</x:f>
        <x:v>188247.3391558174</x:v>
      </x:c>
      <x:c r="N11" s="62" t="n">
        <x:f>IF(L11=0,"",I11/L11)</x:f>
        <x:v>1.0218703504678293</x:v>
      </x:c>
      <x:c r="O11" s="66" t="n">
        <x:f>IF(L11=0,"",M11/L11)</x:f>
        <x:v>0.021870350467829296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155.007745397</x:v>
      </x:c>
      <x:c r="E12" s="60" t="n">
        <x:v>155.007745397</x:v>
      </x:c>
      <x:c r="F12" s="62" t="n">
        <x:v>0</x:v>
      </x:c>
      <x:c r="G12" s="66" t="n">
        <x:v>1</x:v>
      </x:c>
      <x:c r="H12" s="62" t="n">
        <x:f>IF(E12=0,"",I12/E12)</x:f>
        <x:v>2801.3714161943994</x:v>
      </x:c>
      <x:c r="I12" s="60" t="n">
        <x:f>SUMIF('Species'!$G$2:$G$139,A12,'Species'!$U$2:$U$139)</x:f>
        <x:v>434234.2672438948</x:v>
      </x:c>
      <x:c r="J12" s="62" t="n">
        <x:v>4.42704073519379</x:v>
      </x:c>
      <x:c r="K12" s="62" t="n">
        <x:f>IF(J12="","",(1/'Metadata'!$B$5)^(J12-1))</x:f>
        <x:v>2673.257138399191</x:v>
      </x:c>
      <x:c r="L12" s="60" t="n">
        <x:f>IF(E12=0,"",E12*K12)</x:f>
        <x:v>414375.5618896946</x:v>
      </x:c>
      <x:c r="M12" s="60" t="n">
        <x:f>I12-L12</x:f>
        <x:v>19858.70535420021</x:v>
      </x:c>
      <x:c r="N12" s="62" t="n">
        <x:f>IF(L12=0,"",I12/L12)</x:f>
        <x:v>1.0479244124910208</x:v>
      </x:c>
      <x:c r="O12" s="66" t="n">
        <x:f>IF(L12=0,"",M12/L12)</x:f>
        <x:v>0.047924412491020724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9967.4879270983</x:v>
      </x:c>
      <x:c r="E13" s="60" t="n">
        <x:v>9967.4879270983</x:v>
      </x:c>
      <x:c r="F13" s="62" t="n">
        <x:v>0</x:v>
      </x:c>
      <x:c r="G13" s="66" t="n">
        <x:v>1</x:v>
      </x:c>
      <x:c r="H13" s="62" t="n">
        <x:f>IF(E13=0,"",I13/E13)</x:f>
        <x:v>446.683592150963</x:v>
      </x:c>
      <x:c r="I13" s="60" t="n">
        <x:f>SUMIF('Species'!$G$2:$G$139,A13,'Species'!$U$2:$U$139)</x:f>
        <x:v>4452313.311997625</x:v>
      </x:c>
      <x:c r="J13" s="62" t="n">
        <x:v>3.65</x:v>
      </x:c>
      <x:c r="K13" s="62" t="n">
        <x:f>IF(J13="","",(1/'Metadata'!$B$5)^(J13-1))</x:f>
        <x:v>446.683592150963</x:v>
      </x:c>
      <x:c r="L13" s="60" t="n">
        <x:f>IF(E13=0,"",E13*K13)</x:f>
        <x:v>4452313.311997625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14</x:v>
      </x:c>
      <x:c r="C14" s="64" t="n">
        <x:v>14</x:v>
      </x:c>
      <x:c r="D14" s="60" t="n">
        <x:v>6788.3580976942985</x:v>
      </x:c>
      <x:c r="E14" s="60" t="n">
        <x:v>6788.3580976942985</x:v>
      </x:c>
      <x:c r="F14" s="62" t="n">
        <x:v>0</x:v>
      </x:c>
      <x:c r="G14" s="66" t="n">
        <x:v>1</x:v>
      </x:c>
      <x:c r="H14" s="62" t="n">
        <x:f>IF(E14=0,"",I14/E14)</x:f>
        <x:v>1084.5011690594313</x:v>
      </x:c>
      <x:c r="I14" s="60" t="n">
        <x:f>SUMIF('Species'!$G$2:$G$139,A14,'Species'!$U$2:$U$139)</x:f>
        <x:v>7361982.292943523</x:v>
      </x:c>
      <x:c r="J14" s="62" t="n">
        <x:v>4.025535635560198</x:v>
      </x:c>
      <x:c r="K14" s="62" t="n">
        <x:f>IF(J14="","",(1/'Metadata'!$B$5)^(J14-1))</x:f>
        <x:v>1060.5609579752033</x:v>
      </x:c>
      <x:c r="L14" s="60" t="n">
        <x:f>IF(E14=0,"",E14*K14)</x:f>
        <x:v>7199467.567169394</x:v>
      </x:c>
      <x:c r="M14" s="60" t="n">
        <x:f>I14-L14</x:f>
        <x:v>162514.72577412892</x:v>
      </x:c>
      <x:c r="N14" s="62" t="n">
        <x:f>IF(L14=0,"",I14/L14)</x:f>
        <x:v>1.0225731589534786</x:v>
      </x:c>
      <x:c r="O14" s="66" t="n">
        <x:f>IF(L14=0,"",M14/L14)</x:f>
        <x:v>0.022573158953478643</x:v>
      </x:c>
    </x:row>
    <x:row r="15" ht="18" customHeight="1">
      <x:c r="A15" s="46" t="str">
        <x:v>Medium demersals (30 - 89 cm)</x:v>
      </x:c>
      <x:c r="B15" s="64" t="n">
        <x:v>12</x:v>
      </x:c>
      <x:c r="C15" s="64" t="n">
        <x:v>12</x:v>
      </x:c>
      <x:c r="D15" s="60" t="n">
        <x:v>148088.15472913464</x:v>
      </x:c>
      <x:c r="E15" s="60" t="n">
        <x:v>148088.15472913464</x:v>
      </x:c>
      <x:c r="F15" s="62" t="n">
        <x:v>0</x:v>
      </x:c>
      <x:c r="G15" s="66" t="n">
        <x:v>1</x:v>
      </x:c>
      <x:c r="H15" s="62" t="n">
        <x:f>IF(E15=0,"",I15/E15)</x:f>
        <x:v>719.7549964394955</x:v>
      </x:c>
      <x:c r="I15" s="60" t="n">
        <x:f>SUMIF('Species'!$G$2:$G$139,A15,'Species'!$U$2:$U$139)</x:f>
        <x:v>106587189.27979976</x:v>
      </x:c>
      <x:c r="J15" s="62" t="n">
        <x:v>3.726810918235258</x:v>
      </x:c>
      <x:c r="K15" s="62" t="n">
        <x:f>IF(J15="","",(1/'Metadata'!$B$5)^(J15-1))</x:f>
        <x:v>533.1027443595883</x:v>
      </x:c>
      <x:c r="L15" s="60" t="n">
        <x:f>IF(E15=0,"",E15*K15)</x:f>
        <x:v>78946201.69324902</x:v>
      </x:c>
      <x:c r="M15" s="60" t="n">
        <x:f>I15-L15</x:f>
        <x:v>27640987.586550742</x:v>
      </x:c>
      <x:c r="N15" s="62" t="n">
        <x:f>IF(L15=0,"",I15/L15)</x:f>
        <x:v>1.3501243504272913</x:v>
      </x:c>
      <x:c r="O15" s="66" t="n">
        <x:f>IF(L15=0,"",M15/L15)</x:f>
        <x:v>0.3501243504272914</x:v>
      </x:c>
    </x:row>
    <x:row r="16" ht="18" customHeight="1">
      <x:c r="A16" s="46" t="str">
        <x:v>Medium pelagics (30 - 89 cm)</x:v>
      </x:c>
      <x:c r="B16" s="64" t="n">
        <x:v>11</x:v>
      </x:c>
      <x:c r="C16" s="64" t="n">
        <x:v>11</x:v>
      </x:c>
      <x:c r="D16" s="60" t="n">
        <x:v>78242.37063808106</x:v>
      </x:c>
      <x:c r="E16" s="60" t="n">
        <x:v>78242.37063808106</x:v>
      </x:c>
      <x:c r="F16" s="62" t="n">
        <x:v>0</x:v>
      </x:c>
      <x:c r="G16" s="66" t="n">
        <x:v>1</x:v>
      </x:c>
      <x:c r="H16" s="62" t="n">
        <x:f>IF(E16=0,"",I16/E16)</x:f>
        <x:v>353.60959696453773</x:v>
      </x:c>
      <x:c r="I16" s="60" t="n">
        <x:f>SUMIF('Species'!$G$2:$G$139,A16,'Species'!$U$2:$U$139)</x:f>
        <x:v>27667253.146881826</x:v>
      </x:c>
      <x:c r="J16" s="62" t="n">
        <x:v>3.5320977657857915</x:v>
      </x:c>
      <x:c r="K16" s="62" t="n">
        <x:f>IF(J16="","",(1/'Metadata'!$B$5)^(J16-1))</x:f>
        <x:v>340.4848289901296</x:v>
      </x:c>
      <x:c r="L16" s="60" t="n">
        <x:f>IF(E16=0,"",E16*K16)</x:f>
        <x:v>26640340.186489366</x:v>
      </x:c>
      <x:c r="M16" s="60" t="n">
        <x:f>I16-L16</x:f>
        <x:v>1026912.9603924602</x:v>
      </x:c>
      <x:c r="N16" s="62" t="n">
        <x:f>IF(L16=0,"",I16/L16)</x:f>
        <x:v>1.038547291558734</x:v>
      </x:c>
      <x:c r="O16" s="66" t="n">
        <x:f>IF(L16=0,"",M16/L16)</x:f>
        <x:v>0.03854729155873387</x:v>
      </x:c>
    </x:row>
    <x:row r="17" ht="18" customHeight="1">
      <x:c r="A17" s="46" t="str">
        <x:v>Other demersal invertebrates</x:v>
      </x:c>
      <x:c r="B17" s="64" t="n">
        <x:v>20</x:v>
      </x:c>
      <x:c r="C17" s="64" t="n">
        <x:v>20</x:v>
      </x:c>
      <x:c r="D17" s="60" t="n">
        <x:v>454.24042468679994</x:v>
      </x:c>
      <x:c r="E17" s="60" t="n">
        <x:v>454.24042468679994</x:v>
      </x:c>
      <x:c r="F17" s="62" t="n">
        <x:v>0</x:v>
      </x:c>
      <x:c r="G17" s="66" t="n">
        <x:v>1</x:v>
      </x:c>
      <x:c r="H17" s="62" t="n">
        <x:f>IF(E17=0,"",I17/E17)</x:f>
        <x:v>35.107005648311535</x:v>
      </x:c>
      <x:c r="I17" s="60" t="n">
        <x:f>SUMIF('Species'!$G$2:$G$139,A17,'Species'!$U$2:$U$139)</x:f>
        <x:v>15947.021155170914</x:v>
      </x:c>
      <x:c r="J17" s="62" t="n">
        <x:v>2.5035797536605617</x:v>
      </x:c>
      <x:c r="K17" s="62" t="n">
        <x:f>IF(J17="","",(1/'Metadata'!$B$5)^(J17-1))</x:f>
        <x:v>31.884510477792265</x:v>
      </x:c>
      <x:c r="L17" s="60" t="n">
        <x:f>IF(E17=0,"",E17*K17)</x:f>
        <x:v>14483.233580363081</x:v>
      </x:c>
      <x:c r="M17" s="60" t="n">
        <x:f>I17-L17</x:f>
        <x:v>1463.7875748078332</x:v>
      </x:c>
      <x:c r="N17" s="62" t="n">
        <x:f>IF(L17=0,"",I17/L17)</x:f>
        <x:v>1.1010677323324047</x:v>
      </x:c>
      <x:c r="O17" s="66" t="n">
        <x:f>IF(L17=0,"",M17/L17)</x:f>
        <x:v>0.10106773233240483</x:v>
      </x:c>
    </x:row>
    <x:row r="18" ht="18" customHeight="1">
      <x:c r="A18" s="46" t="str">
        <x:v>Shrimps</x:v>
      </x:c>
      <x:c r="B18" s="64" t="n">
        <x:v>5</x:v>
      </x:c>
      <x:c r="C18" s="64" t="n">
        <x:v>5</x:v>
      </x:c>
      <x:c r="D18" s="60" t="n">
        <x:v>12162.1373034245</x:v>
      </x:c>
      <x:c r="E18" s="60" t="n">
        <x:v>12162.1373034245</x:v>
      </x:c>
      <x:c r="F18" s="62" t="n">
        <x:v>0</x:v>
      </x:c>
      <x:c r="G18" s="66" t="n">
        <x:v>1</x:v>
      </x:c>
      <x:c r="H18" s="62" t="n">
        <x:f>IF(E18=0,"",I18/E18)</x:f>
        <x:v>117.01343091272915</x:v>
      </x:c>
      <x:c r="I18" s="60" t="n">
        <x:f>SUMIF('Species'!$G$2:$G$139,A18,'Species'!$U$2:$U$139)</x:f>
        <x:v>1423133.4131053889</x:v>
      </x:c>
      <x:c r="J18" s="62" t="n">
        <x:v>3.067345046841399</x:v>
      </x:c>
      <x:c r="K18" s="62" t="n">
        <x:f>IF(J18="","",(1/'Metadata'!$B$5)^(J18-1))</x:f>
        <x:v>116.77370153273436</x:v>
      </x:c>
      <x:c r="L18" s="60" t="n">
        <x:f>IF(E18=0,"",E18*K18)</x:f>
        <x:v>1420217.7914702273</x:v>
      </x:c>
      <x:c r="M18" s="60" t="n">
        <x:f>I18-L18</x:f>
        <x:v>2915.621635161573</x:v>
      </x:c>
      <x:c r="N18" s="62" t="n">
        <x:f>IF(L18=0,"",I18/L18)</x:f>
        <x:v>1.0020529398044953</x:v>
      </x:c>
      <x:c r="O18" s="66" t="n">
        <x:f>IF(L18=0,"",M18/L18)</x:f>
        <x:v>0.002052939804495256</x:v>
      </x:c>
    </x:row>
    <x:row r="19" ht="18" customHeight="1">
      <x:c r="A19" s="46" t="str">
        <x:v>Small pelagics (&lt;30 cm)</x:v>
      </x:c>
      <x:c r="B19" s="64" t="n">
        <x:v>3</x:v>
      </x:c>
      <x:c r="C19" s="64" t="n">
        <x:v>3</x:v>
      </x:c>
      <x:c r="D19" s="60" t="n">
        <x:v>243.0029455227</x:v>
      </x:c>
      <x:c r="E19" s="60" t="n">
        <x:v>243.0029455227</x:v>
      </x:c>
      <x:c r="F19" s="62" t="n">
        <x:v>0</x:v>
      </x:c>
      <x:c r="G19" s="66" t="n">
        <x:v>1</x:v>
      </x:c>
      <x:c r="H19" s="62" t="n">
        <x:f>IF(E19=0,"",I19/E19)</x:f>
        <x:v>141.49841938290737</x:v>
      </x:c>
      <x:c r="I19" s="60" t="n">
        <x:f>SUMIF('Species'!$G$2:$G$139,A19,'Species'!$U$2:$U$139)</x:f>
        <x:v>34384.532696852795</x:v>
      </x:c>
      <x:c r="J19" s="62" t="n">
        <x:v>3.1506965702400103</x:v>
      </x:c>
      <x:c r="K19" s="62" t="n">
        <x:f>IF(J19="","",(1/'Metadata'!$B$5)^(J19-1))</x:f>
        <x:v>141.48049487679518</x:v>
      </x:c>
      <x:c r="L19" s="60" t="n">
        <x:f>IF(E19=0,"",E19*K19)</x:f>
        <x:v>34380.176989070496</x:v>
      </x:c>
      <x:c r="M19" s="60" t="n">
        <x:f>I19-L19</x:f>
        <x:v>4.35570778229885</x:v>
      </x:c>
      <x:c r="N19" s="62" t="n">
        <x:f>IF(L19=0,"",I19/L19)</x:f>
        <x:v>1.0001266924188228</x:v>
      </x:c>
      <x:c r="O19" s="66" t="n">
        <x:f>IF(L19=0,"",M19/L19)</x:f>
        <x:v>0.00012669241882272845</x:v>
      </x:c>
    </x:row>
    <x:row r="20" ht="18" customHeight="1">
      <x:c r="A20" s="46" t="str">
        <x:v>Small to medium flatfishes (&lt;90 cm)</x:v>
      </x:c>
      <x:c r="B20" s="64" t="n">
        <x:v>11</x:v>
      </x:c>
      <x:c r="C20" s="64" t="n">
        <x:v>11</x:v>
      </x:c>
      <x:c r="D20" s="60" t="n">
        <x:v>18477.028369824096</x:v>
      </x:c>
      <x:c r="E20" s="60" t="n">
        <x:v>18477.028369824096</x:v>
      </x:c>
      <x:c r="F20" s="62" t="n">
        <x:v>0</x:v>
      </x:c>
      <x:c r="G20" s="66" t="n">
        <x:v>1</x:v>
      </x:c>
      <x:c r="H20" s="62" t="n">
        <x:f>IF(E20=0,"",I20/E20)</x:f>
        <x:v>1946.574636860049</x:v>
      </x:c>
      <x:c r="I20" s="60" t="n">
        <x:f>SUMIF('Species'!$G$2:$G$139,A20,'Species'!$U$2:$U$139)</x:f>
        <x:v>35966914.78924316</x:v>
      </x:c>
      <x:c r="J20" s="62" t="n">
        <x:v>4.21282030876974</x:v>
      </x:c>
      <x:c r="K20" s="62" t="n">
        <x:f>IF(J20="","",(1/'Metadata'!$B$5)^(J20-1))</x:f>
        <x:v>1632.3764053141354</x:v>
      </x:c>
      <x:c r="L20" s="60" t="n">
        <x:f>IF(E20=0,"",E20*K20)</x:f>
        <x:v>30161465.151220758</x:v>
      </x:c>
      <x:c r="M20" s="60" t="n">
        <x:f>I20-L20</x:f>
        <x:v>5805449.638022404</x:v>
      </x:c>
      <x:c r="N20" s="62" t="n">
        <x:f>IF(L20=0,"",I20/L20)</x:f>
        <x:v>1.1924790327298618</x:v>
      </x:c>
      <x:c r="O20" s="66" t="n">
        <x:f>IF(L20=0,"",M20/L20)</x:f>
        <x:v>0.19247903272986172</x:v>
      </x:c>
    </x:row>
    <x:row r="21" ht="18" customHeight="1">
      <x:c r="A21" s="46" t="str">
        <x:v>Small to medium rays (&lt;90 cm)</x:v>
      </x:c>
      <x:c r="B21" s="64" t="n">
        <x:v>1</x:v>
      </x:c>
      <x:c r="C21" s="64" t="n">
        <x:v>1</x:v>
      </x:c>
      <x:c r="D21" s="60" t="n">
        <x:v>387.2263181076</x:v>
      </x:c>
      <x:c r="E21" s="60" t="n">
        <x:v>387.2263181076</x:v>
      </x:c>
      <x:c r="F21" s="62" t="n">
        <x:v>0</x:v>
      </x:c>
      <x:c r="G21" s="66" t="n">
        <x:v>1</x:v>
      </x:c>
      <x:c r="H21" s="62" t="n">
        <x:f>IF(E21=0,"",I21/E21)</x:f>
        <x:v>630.957344480193</x:v>
      </x:c>
      <x:c r="I21" s="60" t="n">
        <x:f>SUMIF('Species'!$G$2:$G$139,A21,'Species'!$U$2:$U$139)</x:f>
        <x:v>244323.28938601376</x:v>
      </x:c>
      <x:c r="J21" s="62" t="n">
        <x:v>3.8</x:v>
      </x:c>
      <x:c r="K21" s="62" t="n">
        <x:f>IF(J21="","",(1/'Metadata'!$B$5)^(J21-1))</x:f>
        <x:v>630.957344480193</x:v>
      </x:c>
      <x:c r="L21" s="60" t="n">
        <x:f>IF(E21=0,"",E21*K21)</x:f>
        <x:v>244323.28938601376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2d5996ea6d840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LME_020</x:v>
      </x:c>
      <x:c r="B2" s="46" t="str">
        <x:v>raw_filtered_tonnes</x:v>
      </x:c>
      <x:c r="C2" s="46" t="n">
        <x:v>675569.0179631643</x:v>
      </x:c>
      <x:c r="D2" s="46" t="str">
        <x:v>tonnes</x:v>
      </x:c>
    </x:row>
    <x:row r="3" ht="18" customHeight="1">
      <x:c r="A3" s="46" t="str">
        <x:v>LME_020</x:v>
      </x:c>
      <x:c r="B3" s="46" t="str">
        <x:v>species_catch_tonnes</x:v>
      </x:c>
      <x:c r="C3" s="46" t="n">
        <x:v>675569.0179631643</x:v>
      </x:c>
      <x:c r="D3" s="46" t="str">
        <x:v>tonnes</x:v>
      </x:c>
    </x:row>
    <x:row r="4" ht="18" customHeight="1">
      <x:c r="A4" s="46" t="str">
        <x:v>LME_020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LME_020</x:v>
      </x:c>
      <x:c r="B6" s="46" t="str">
        <x:v>matched_catch_tonnes</x:v>
      </x:c>
      <x:c r="C6" s="46" t="n">
        <x:v>675569.0179631643</x:v>
      </x:c>
      <x:c r="D6" s="46" t="str">
        <x:v>tonnes</x:v>
      </x:c>
    </x:row>
    <x:row r="7" ht="18" customHeight="1">
      <x:c r="A7" s="46" t="str">
        <x:v>LME_020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LME_020</x:v>
      </x:c>
      <x:c r="B8" s="46" t="str">
        <x:v>taxa_count</x:v>
      </x:c>
      <x:c r="C8" s="46" t="n">
        <x:v>138</x:v>
      </x:c>
      <x:c r="D8" s="46" t="str">
        <x:v>count</x:v>
      </x:c>
    </x:row>
    <x:row r="9" ht="18" customHeight="1">
      <x:c r="A9" s="46" t="str">
        <x:v>LME_020</x:v>
      </x:c>
      <x:c r="B9" s="46" t="str">
        <x:v>matched_taxa_count</x:v>
      </x:c>
      <x:c r="C9" s="46" t="n">
        <x:v>138</x:v>
      </x:c>
      <x:c r="D9" s="46" t="str">
        <x:v>count</x:v>
      </x:c>
    </x:row>
    <x:row r="10" ht="18" customHeight="1">
      <x:c r="A10" s="46" t="str">
        <x:v>LME_020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LME_020</x:v>
      </x:c>
      <x:c r="B11" s="46" t="str">
        <x:v>species_ppr</x:v>
      </x:c>
      <x:c r="C11" s="46" t="n">
        <x:v>661277433.8131701</x:v>
      </x:c>
      <x:c r="D11" s="46" t="str">
        <x:v>tonnes_primary_production_equivalent</x:v>
      </x:c>
    </x:row>
    <x:row r="12" ht="18" customHeight="1">
      <x:c r="A12" s="46" t="str">
        <x:v>LME_020</x:v>
      </x:c>
      <x:c r="B12" s="46" t="str">
        <x:v>commercial_ppr</x:v>
      </x:c>
      <x:c r="C12" s="46" t="n">
        <x:v>661277433.8131701</x:v>
      </x:c>
      <x:c r="D12" s="46" t="str">
        <x:v>tonnes_primary_production_equivalent</x:v>
      </x:c>
    </x:row>
    <x:row r="13" ht="18" customHeight="1">
      <x:c r="A13" s="46" t="str">
        <x:v>LME_020</x:v>
      </x:c>
      <x:c r="B13" s="46" t="str">
        <x:v>functional_ppr</x:v>
      </x:c>
      <x:c r="C13" s="46" t="n">
        <x:v>661277433.8131702</x:v>
      </x:c>
      <x:c r="D13" s="46" t="str">
        <x:v>tonnes_primary_production_equivalent</x:v>
      </x:c>
    </x:row>
    <x:row r="14" ht="18" customHeight="1">
      <x:c r="A14" s="46" t="str">
        <x:v>LME_020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LME_020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LME_020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a362247d87840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LME_020 - Barents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