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2ea0bd7a5d4b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f7e7c2462aba41b4"/>
    <x:sheet xmlns:r="http://schemas.openxmlformats.org/officeDocument/2006/relationships" name="Commercial" sheetId="2" r:id="R840d97b0dc034ab6"/>
    <x:sheet xmlns:r="http://schemas.openxmlformats.org/officeDocument/2006/relationships" name="Functional" sheetId="3" r:id="Re39035b276f4483e"/>
    <x:sheet xmlns:r="http://schemas.openxmlformats.org/officeDocument/2006/relationships" name="Missing TL" sheetId="4" r:id="R6c1b594461194010"/>
    <x:sheet xmlns:r="http://schemas.openxmlformats.org/officeDocument/2006/relationships" name="Validation" sheetId="5" r:id="R5ca62f42eb684dd0"/>
    <x:sheet xmlns:r="http://schemas.openxmlformats.org/officeDocument/2006/relationships" name="Metadata" sheetId="6" r:id="R05a636ebc0b949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0c6c36ff3345e5" /><Relationship Type="http://schemas.openxmlformats.org/officeDocument/2006/relationships/theme" Target="/xl/theme/theme1.xml" Id="R04c24600f6ac4d76" /><Relationship Type="http://schemas.openxmlformats.org/officeDocument/2006/relationships/sharedStrings" Target="/xl/sharedStrings.xml" Id="R22ebe2bc67ca4d3e" /><Relationship Type="http://schemas.openxmlformats.org/officeDocument/2006/relationships/worksheet" Target="/xl/worksheets/sheet1.xml" Id="Rf7e7c2462aba41b4" /><Relationship Type="http://schemas.openxmlformats.org/officeDocument/2006/relationships/worksheet" Target="/xl/worksheets/sheet2.xml" Id="R840d97b0dc034ab6" /><Relationship Type="http://schemas.openxmlformats.org/officeDocument/2006/relationships/worksheet" Target="/xl/worksheets/sheet3.xml" Id="Re39035b276f4483e" /><Relationship Type="http://schemas.openxmlformats.org/officeDocument/2006/relationships/worksheet" Target="/xl/worksheets/sheet4.xml" Id="R6c1b594461194010" /><Relationship Type="http://schemas.openxmlformats.org/officeDocument/2006/relationships/worksheet" Target="/xl/worksheets/sheet5.xml" Id="R5ca62f42eb684dd0" /><Relationship Type="http://schemas.openxmlformats.org/officeDocument/2006/relationships/worksheet" Target="/xl/worksheets/sheet6.xml" Id="R05a636ebc0b949c0" /></Relationships>
</file>

<file path=xl/tables/table1.xml><?xml version="1.0" encoding="utf-8"?>
<x:table xmlns:x="http://schemas.openxmlformats.org/spreadsheetml/2006/main" id="1" name="LME013SpeciesTable" displayName="LME013SpeciesTable" ref="A1:U185" headerRowCount="1" totalsRowCount="0" totalsRowShown="0">
  <x:autoFilter ref="A1:U185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13CommercialTable" displayName="LME013CommercialTable" ref="A1:O13" headerRowCount="1" totalsRowCount="0" totalsRowShown="0">
  <x:autoFilter ref="A1:O13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13FunctionalTable" displayName="LME013FunctionalTable" ref="A1:O25" headerRowCount="1" totalsRowCount="0" totalsRowShown="0">
  <x:autoFilter ref="A1:O25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13ValidationTable" displayName="LME013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96a985e4ff3492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648f2dac6a34f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5d82161bbc34e7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95aa1dca7274b8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LME_013</x:v>
      </x:c>
      <x:c r="B2" s="46" t="str">
        <x:v>Humboldt Current</x:v>
      </x:c>
      <x:c r="C2" s="46" t="str">
        <x:v>LME</x:v>
      </x:c>
      <x:c r="D2" s="58" t="n">
        <x:v>2019</x:v>
      </x:c>
      <x:c r="E2" s="46" t="str">
        <x:v>Engraulis ringens</x:v>
      </x:c>
      <x:c r="F2" s="46" t="str">
        <x:v>Anchoveta</x:v>
      </x:c>
      <x:c r="G2" s="46" t="str">
        <x:v>Small pelagics (&lt;30 cm)</x:v>
      </x:c>
      <x:c r="H2" s="46" t="str">
        <x:v>Anchovies</x:v>
      </x:c>
      <x:c r="I2" s="60" t="n">
        <x:v>4598511.871499048</x:v>
      </x:c>
      <x:c r="J2" s="60" t="n">
        <x:v>4454533.713119687</x:v>
      </x:c>
      <x:c r="K2" s="60" t="n">
        <x:v>143978.158379361</x:v>
      </x:c>
      <x:c r="L2" s="60" t="n">
        <x:v>4145953.3908504224</x:v>
      </x:c>
      <x:c r="M2" s="60" t="n">
        <x:v>452558.4806486253</x:v>
      </x:c>
      <x:c r="N2" s="46" t="str">
        <x:v>engraulis ringens</x:v>
      </x:c>
      <x:c r="O2" s="62" t="n">
        <x:v>2.7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Engraulis ringens</x:v>
      </x:c>
      <x:c r="T2" s="62" t="n">
        <x:f>IF(O2="","",(1/'Metadata'!$B$5)^(O2-1))</x:f>
        <x:v>50.11872336272725</x:v>
      </x:c>
      <x:c r="U2" s="60" t="n">
        <x:f>IF(T2="","",I2*T2)</x:f>
        <x:v>230471544.36787793</x:v>
      </x:c>
    </x:row>
    <x:row r="3" ht="18" customHeight="1">
      <x:c r="A3" s="46" t="str">
        <x:v>LME_013</x:v>
      </x:c>
      <x:c r="B3" s="46" t="str">
        <x:v>Humboldt Current</x:v>
      </x:c>
      <x:c r="C3" s="46" t="str">
        <x:v>LME</x:v>
      </x:c>
      <x:c r="D3" s="58" t="n">
        <x:v>2019</x:v>
      </x:c>
      <x:c r="E3" s="46" t="str">
        <x:v>Dosidicus gigas</x:v>
      </x:c>
      <x:c r="F3" s="46" t="str">
        <x:v>Jumbo flying squid</x:v>
      </x:c>
      <x:c r="G3" s="46" t="str">
        <x:v>Cephalopods</x:v>
      </x:c>
      <x:c r="H3" s="46" t="str">
        <x:v>Other fishes &amp; inverts</x:v>
      </x:c>
      <x:c r="I3" s="60" t="n">
        <x:v>759913.3739865377</x:v>
      </x:c>
      <x:c r="J3" s="60" t="n">
        <x:v>702378.4880409725</x:v>
      </x:c>
      <x:c r="K3" s="60" t="n">
        <x:v>57534.8859455652</x:v>
      </x:c>
      <x:c r="L3" s="60" t="n">
        <x:v>665168.0364204283</x:v>
      </x:c>
      <x:c r="M3" s="60" t="n">
        <x:v>94745.3375661094</x:v>
      </x:c>
      <x:c r="N3" s="46" t="str">
        <x:v>dosidicus gigas</x:v>
      </x:c>
      <x:c r="O3" s="62" t="n">
        <x:v>4.14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Dosidicus gigas</x:v>
      </x:c>
      <x:c r="T3" s="62" t="n">
        <x:f>IF(O3="","",(1/'Metadata'!$B$5)^(O3-1))</x:f>
        <x:v>1380.3842646028838</x:v>
      </x:c>
      <x:c r="U3" s="60" t="n">
        <x:f>IF(T3="","",I3*T3)</x:f>
        <x:v>1048972463.9123031</x:v>
      </x:c>
    </x:row>
    <x:row r="4" ht="18" customHeight="1">
      <x:c r="A4" s="46" t="str">
        <x:v>LME_013</x:v>
      </x:c>
      <x:c r="B4" s="46" t="str">
        <x:v>Humboldt Current</x:v>
      </x:c>
      <x:c r="C4" s="46" t="str">
        <x:v>LME</x:v>
      </x:c>
      <x:c r="D4" s="58" t="n">
        <x:v>2019</x:v>
      </x:c>
      <x:c r="E4" s="46" t="str">
        <x:v>Trachurus murphyi</x:v>
      </x:c>
      <x:c r="F4" s="46" t="str">
        <x:v>Chilean jack mackerel</x:v>
      </x:c>
      <x:c r="G4" s="46" t="str">
        <x:v>Medium pelagics (30 - 89 cm)</x:v>
      </x:c>
      <x:c r="H4" s="46" t="str">
        <x:v>Perch-likes</x:v>
      </x:c>
      <x:c r="I4" s="60" t="n">
        <x:v>580714.2113245534</x:v>
      </x:c>
      <x:c r="J4" s="60" t="n">
        <x:v>580653.1077865864</x:v>
      </x:c>
      <x:c r="K4" s="60" t="n">
        <x:v>61.103537967</x:v>
      </x:c>
      <x:c r="L4" s="60" t="n">
        <x:v>570154.8000626373</x:v>
      </x:c>
      <x:c r="M4" s="60" t="n">
        <x:v>10559.4112619161</x:v>
      </x:c>
      <x:c r="N4" s="46" t="str">
        <x:v>trachurus murphyi</x:v>
      </x:c>
      <x:c r="O4" s="62" t="n">
        <x:v>3.33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Trachurus murphyi</x:v>
      </x:c>
      <x:c r="T4" s="62" t="n">
        <x:f>IF(O4="","",(1/'Metadata'!$B$5)^(O4-1))</x:f>
        <x:v>213.79620895022325</x:v>
      </x:c>
      <x:c r="U4" s="60" t="n">
        <x:f>IF(T4="","",I4*T4)</x:f>
        <x:v>124154496.8647083</x:v>
      </x:c>
    </x:row>
    <x:row r="5" ht="18" customHeight="1">
      <x:c r="A5" s="46" t="str">
        <x:v>LME_013</x:v>
      </x:c>
      <x:c r="B5" s="46" t="str">
        <x:v>Humboldt Current</x:v>
      </x:c>
      <x:c r="C5" s="46" t="str">
        <x:v>LME</x:v>
      </x:c>
      <x:c r="D5" s="58" t="n">
        <x:v>2019</x:v>
      </x:c>
      <x:c r="E5" s="46" t="str">
        <x:v>Strangomera bentincki</x:v>
      </x:c>
      <x:c r="F5" s="46" t="str">
        <x:v>Araucanian herring</x:v>
      </x:c>
      <x:c r="G5" s="46" t="str">
        <x:v>Small pelagics (&lt;30 cm)</x:v>
      </x:c>
      <x:c r="H5" s="46" t="str">
        <x:v>Herring-likes</x:v>
      </x:c>
      <x:c r="I5" s="60" t="n">
        <x:v>309373.640787046</x:v>
      </x:c>
      <x:c r="J5" s="60" t="n">
        <x:v>309373.640787046</x:v>
      </x:c>
      <x:c r="K5" s="60" t="n">
        <x:v>0</x:v>
      </x:c>
      <x:c r="L5" s="60" t="n">
        <x:v>309373.640787046</x:v>
      </x:c>
      <x:c r="M5" s="60" t="n">
        <x:v>0</x:v>
      </x:c>
      <x:c r="N5" s="46" t="str">
        <x:v>strangomera bentincki</x:v>
      </x:c>
      <x:c r="O5" s="62" t="n">
        <x:v>2</x:v>
      </x:c>
      <x:c r="P5" s="46" t="str">
        <x:v>exact_sea_around_us</x:v>
      </x:c>
      <x:c r="Q5" s="62" t="str">
        <x:v>Sea Around Us exploited organisms</x:v>
      </x:c>
      <x:c r="R5" s="46" t="str">
        <x:v>high</x:v>
      </x:c>
      <x:c r="S5" s="46" t="str">
        <x:v>Strangomera bentincki</x:v>
      </x:c>
      <x:c r="T5" s="62" t="n">
        <x:f>IF(O5="","",(1/'Metadata'!$B$5)^(O5-1))</x:f>
        <x:v>10</x:v>
      </x:c>
      <x:c r="U5" s="60" t="n">
        <x:f>IF(T5="","",I5*T5)</x:f>
        <x:v>3093736.40787046</x:v>
      </x:c>
    </x:row>
    <x:row r="6" ht="18" customHeight="1">
      <x:c r="A6" s="46" t="str">
        <x:v>LME_013</x:v>
      </x:c>
      <x:c r="B6" s="46" t="str">
        <x:v>Humboldt Current</x:v>
      </x:c>
      <x:c r="C6" s="46" t="str">
        <x:v>LME</x:v>
      </x:c>
      <x:c r="D6" s="58" t="n">
        <x:v>2019</x:v>
      </x:c>
      <x:c r="E6" s="46" t="str">
        <x:v>Marine fishes not identified</x:v>
      </x:c>
      <x:c r="F6" s="46" t="str">
        <x:v>Marine fishes nei</x:v>
      </x:c>
      <x:c r="G6" s="46" t="str">
        <x:v>Medium demersals (30 - 89 cm)</x:v>
      </x:c>
      <x:c r="H6" s="46" t="str">
        <x:v>Other fishes &amp; inverts</x:v>
      </x:c>
      <x:c r="I6" s="60" t="n">
        <x:v>172560.5732318803</x:v>
      </x:c>
      <x:c r="J6" s="60" t="n">
        <x:v>166624.4124786252</x:v>
      </x:c>
      <x:c r="K6" s="60" t="n">
        <x:v>5936.1607532551</x:v>
      </x:c>
      <x:c r="L6" s="60" t="n">
        <x:v>156447.5342201133</x:v>
      </x:c>
      <x:c r="M6" s="60" t="n">
        <x:v>16113.039011767</x:v>
      </x:c>
      <x:c r="N6" s="46" t="str">
        <x:v>marine fishes not identified</x:v>
      </x:c>
      <x:c r="O6" s="62" t="n">
        <x:v>3.28</x:v>
      </x:c>
      <x:c r="P6" s="46" t="str">
        <x:v>exact_sea_around_us</x:v>
      </x:c>
      <x:c r="Q6" s="62" t="str">
        <x:v>Sea Around Us exploited organisms</x:v>
      </x:c>
      <x:c r="R6" s="46" t="str">
        <x:v>high</x:v>
      </x:c>
      <x:c r="S6" s="46" t="str">
        <x:v>Marine fishes not identified</x:v>
      </x:c>
      <x:c r="T6" s="62" t="n">
        <x:f>IF(O6="","",(1/'Metadata'!$B$5)^(O6-1))</x:f>
        <x:v>190.54607179632464</x:v>
      </x:c>
      <x:c r="U6" s="60" t="n">
        <x:f>IF(T6="","",I6*T6)</x:f>
        <x:v>32880739.376256797</x:v>
      </x:c>
    </x:row>
    <x:row r="7" ht="18" customHeight="1">
      <x:c r="A7" s="46" t="str">
        <x:v>LME_013</x:v>
      </x:c>
      <x:c r="B7" s="46" t="str">
        <x:v>Humboldt Current</x:v>
      </x:c>
      <x:c r="C7" s="46" t="str">
        <x:v>LME</x:v>
      </x:c>
      <x:c r="D7" s="58" t="n">
        <x:v>2019</x:v>
      </x:c>
      <x:c r="E7" s="46" t="str">
        <x:v>Scomber japonicus</x:v>
      </x:c>
      <x:c r="F7" s="46" t="str">
        <x:v>Pacific chub mackerel</x:v>
      </x:c>
      <x:c r="G7" s="46" t="str">
        <x:v>Medium pelagics (30 - 89 cm)</x:v>
      </x:c>
      <x:c r="H7" s="46" t="str">
        <x:v>Perch-likes</x:v>
      </x:c>
      <x:c r="I7" s="60" t="n">
        <x:v>147607.04513110968</x:v>
      </x:c>
      <x:c r="J7" s="60" t="n">
        <x:v>147370.7303239665</x:v>
      </x:c>
      <x:c r="K7" s="60" t="n">
        <x:v>236.31480714320003</x:v>
      </x:c>
      <x:c r="L7" s="60" t="n">
        <x:v>134100.0199031997</x:v>
      </x:c>
      <x:c r="M7" s="60" t="n">
        <x:v>13507.025227909999</x:v>
      </x:c>
      <x:c r="N7" s="46" t="str">
        <x:v>scomber japonicus</x:v>
      </x:c>
      <x:c r="O7" s="62" t="n">
        <x:v>3.38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Scomber japonicus</x:v>
      </x:c>
      <x:c r="T7" s="62" t="n">
        <x:f>IF(O7="","",(1/'Metadata'!$B$5)^(O7-1))</x:f>
        <x:v>239.88329190194898</x:v>
      </x:c>
      <x:c r="U7" s="60" t="n">
        <x:f>IF(T7="","",I7*T7)</x:f>
        <x:v>35408463.89397014</x:v>
      </x:c>
    </x:row>
    <x:row r="8" ht="18" customHeight="1">
      <x:c r="A8" s="46" t="str">
        <x:v>LME_013</x:v>
      </x:c>
      <x:c r="B8" s="46" t="str">
        <x:v>Humboldt Current</x:v>
      </x:c>
      <x:c r="C8" s="46" t="str">
        <x:v>LME</x:v>
      </x:c>
      <x:c r="D8" s="58" t="n">
        <x:v>2019</x:v>
      </x:c>
      <x:c r="E8" s="46" t="str">
        <x:v>Sarda chiliensis</x:v>
      </x:c>
      <x:c r="F8" s="46" t="str">
        <x:v>Eastern Pacific bonito</x:v>
      </x:c>
      <x:c r="G8" s="46" t="str">
        <x:v>Medium pelagics (30 - 89 cm)</x:v>
      </x:c>
      <x:c r="H8" s="46" t="str">
        <x:v>Tuna &amp; billfishes</x:v>
      </x:c>
      <x:c r="I8" s="60" t="n">
        <x:v>91729.87716535271</x:v>
      </x:c>
      <x:c r="J8" s="60" t="n">
        <x:v>91711.3566091423</x:v>
      </x:c>
      <x:c r="K8" s="60" t="n">
        <x:v>18.520556210400002</x:v>
      </x:c>
      <x:c r="L8" s="60" t="n">
        <x:v>74647.9647430661</x:v>
      </x:c>
      <x:c r="M8" s="60" t="n">
        <x:v>17081.9124222866</x:v>
      </x:c>
      <x:c r="N8" s="46" t="str">
        <x:v>sarda chiliensis</x:v>
      </x:c>
      <x:c r="O8" s="62" t="n">
        <x:v>4.49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Sarda chiliensis</x:v>
      </x:c>
      <x:c r="T8" s="62" t="n">
        <x:f>IF(O8="","",(1/'Metadata'!$B$5)^(O8-1))</x:f>
        <x:v>3090.295432513592</x:v>
      </x:c>
      <x:c r="U8" s="60" t="n">
        <x:f>IF(T8="","",I8*T8)</x:f>
        <x:v>283472420.4291223</x:v>
      </x:c>
    </x:row>
    <x:row r="9" ht="18" customHeight="1">
      <x:c r="A9" s="46" t="str">
        <x:v>LME_013</x:v>
      </x:c>
      <x:c r="B9" s="46" t="str">
        <x:v>Humboldt Current</x:v>
      </x:c>
      <x:c r="C9" s="46" t="str">
        <x:v>LME</x:v>
      </x:c>
      <x:c r="D9" s="58" t="n">
        <x:v>2019</x:v>
      </x:c>
      <x:c r="E9" s="46" t="str">
        <x:v>Merluccius peruanus</x:v>
      </x:c>
      <x:c r="F9" s="46" t="str">
        <x:v>Peruvian hake</x:v>
      </x:c>
      <x:c r="G9" s="46" t="str">
        <x:v>Medium bathydemersals (30 - 89 cm)</x:v>
      </x:c>
      <x:c r="H9" s="46" t="str">
        <x:v>Cod-likes</x:v>
      </x:c>
      <x:c r="I9" s="60" t="n">
        <x:v>63732.511452741</x:v>
      </x:c>
      <x:c r="J9" s="60" t="n">
        <x:v>63598.7029161829</x:v>
      </x:c>
      <x:c r="K9" s="60" t="n">
        <x:v>133.8085365581</x:v>
      </x:c>
      <x:c r="L9" s="60" t="n">
        <x:v>53561.7433653157</x:v>
      </x:c>
      <x:c r="M9" s="60" t="n">
        <x:v>10170.7680874253</x:v>
      </x:c>
      <x:c r="N9" s="46" t="str">
        <x:v>merluccius peruanus</x:v>
      </x:c>
      <x:c r="O9" s="62" t="n">
        <x:v>4.4</x:v>
      </x:c>
      <x:c r="P9" s="46" t="str">
        <x:v>exact_sea_around_us</x:v>
      </x:c>
      <x:c r="Q9" s="62" t="str">
        <x:v>Sea Around Us exploited organisms</x:v>
      </x:c>
      <x:c r="R9" s="46" t="str">
        <x:v>high</x:v>
      </x:c>
      <x:c r="S9" s="46" t="str">
        <x:v>Merluccius peruanus</x:v>
      </x:c>
      <x:c r="T9" s="62" t="n">
        <x:f>IF(O9="","",(1/'Metadata'!$B$5)^(O9-1))</x:f>
        <x:v>2511.886431509582</x:v>
      </x:c>
      <x:c r="U9" s="60" t="n">
        <x:f>IF(T9="","",I9*T9)</x:f>
        <x:v>160088830.76416916</x:v>
      </x:c>
    </x:row>
    <x:row r="10" ht="18" customHeight="1">
      <x:c r="A10" s="46" t="str">
        <x:v>LME_013</x:v>
      </x:c>
      <x:c r="B10" s="46" t="str">
        <x:v>Humboldt Current</x:v>
      </x:c>
      <x:c r="C10" s="46" t="str">
        <x:v>LME</x:v>
      </x:c>
      <x:c r="D10" s="58" t="n">
        <x:v>2019</x:v>
      </x:c>
      <x:c r="E10" s="46" t="str">
        <x:v>Argopecten purpuratus</x:v>
      </x:c>
      <x:c r="F10" s="46" t="str">
        <x:v>Peruvian calico scallop</x:v>
      </x:c>
      <x:c r="G10" s="46" t="str">
        <x:v>Other demersal invertebrates</x:v>
      </x:c>
      <x:c r="H10" s="46" t="str">
        <x:v>Molluscs</x:v>
      </x:c>
      <x:c r="I10" s="60" t="n">
        <x:v>54089.3841047046</x:v>
      </x:c>
      <x:c r="J10" s="60" t="n">
        <x:v>54089.3841047046</x:v>
      </x:c>
      <x:c r="K10" s="60" t="n">
        <x:v>0</x:v>
      </x:c>
      <x:c r="L10" s="60" t="n">
        <x:v>51239.4817575738</x:v>
      </x:c>
      <x:c r="M10" s="60" t="n">
        <x:v>2849.9023471308</x:v>
      </x:c>
      <x:c r="N10" s="46" t="str">
        <x:v>argopecten purpuratus</x:v>
      </x:c>
      <x:c r="O10" s="62" t="n">
        <x:v>2</x:v>
      </x:c>
      <x:c r="P10" s="46" t="str">
        <x:v>exact_sea_around_us</x:v>
      </x:c>
      <x:c r="Q10" s="62" t="str">
        <x:v>Sea Around Us exploited organisms</x:v>
      </x:c>
      <x:c r="R10" s="46" t="str">
        <x:v>high</x:v>
      </x:c>
      <x:c r="S10" s="46" t="str">
        <x:v>Argopecten purpuratus</x:v>
      </x:c>
      <x:c r="T10" s="62" t="n">
        <x:f>IF(O10="","",(1/'Metadata'!$B$5)^(O10-1))</x:f>
        <x:v>10</x:v>
      </x:c>
      <x:c r="U10" s="60" t="n">
        <x:f>IF(T10="","",I10*T10)</x:f>
        <x:v>540893.841047046</x:v>
      </x:c>
    </x:row>
    <x:row r="11" ht="18" customHeight="1">
      <x:c r="A11" s="46" t="str">
        <x:v>LME_013</x:v>
      </x:c>
      <x:c r="B11" s="46" t="str">
        <x:v>Humboldt Current</x:v>
      </x:c>
      <x:c r="C11" s="46" t="str">
        <x:v>LME</x:v>
      </x:c>
      <x:c r="D11" s="58" t="n">
        <x:v>2019</x:v>
      </x:c>
      <x:c r="E11" s="46" t="str">
        <x:v>Katsuwonus pelamis</x:v>
      </x:c>
      <x:c r="F11" s="46" t="str">
        <x:v>Skipjack tuna</x:v>
      </x:c>
      <x:c r="G11" s="46" t="str">
        <x:v>Large pelagics (&gt;=90 cm)</x:v>
      </x:c>
      <x:c r="H11" s="46" t="str">
        <x:v>Tuna &amp; billfishes</x:v>
      </x:c>
      <x:c r="I11" s="60" t="n">
        <x:v>53711.599476350595</x:v>
      </x:c>
      <x:c r="J11" s="60" t="n">
        <x:v>53578.40865962739</x:v>
      </x:c>
      <x:c r="K11" s="60" t="n">
        <x:v>133.1908167232</x:v>
      </x:c>
      <x:c r="L11" s="60" t="n">
        <x:v>53398.0229055083</x:v>
      </x:c>
      <x:c r="M11" s="60" t="n">
        <x:v>313.5765708423</x:v>
      </x:c>
      <x:c r="N11" s="46" t="str">
        <x:v>katsuwonus pelamis</x:v>
      </x:c>
      <x:c r="O11" s="62" t="n">
        <x:v>4.43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Katsuwonus pelamis</x:v>
      </x:c>
      <x:c r="T11" s="62" t="n">
        <x:f>IF(O11="","",(1/'Metadata'!$B$5)^(O11-1))</x:f>
        <x:v>2691.534803926914</x:v>
      </x:c>
      <x:c r="U11" s="60" t="n">
        <x:f>IF(T11="","",I11*T11)</x:f>
        <x:v>144566639.36518022</x:v>
      </x:c>
    </x:row>
    <x:row r="12" ht="18" customHeight="1">
      <x:c r="A12" s="46" t="str">
        <x:v>LME_013</x:v>
      </x:c>
      <x:c r="B12" s="46" t="str">
        <x:v>Humboldt Current</x:v>
      </x:c>
      <x:c r="C12" s="46" t="str">
        <x:v>LME</x:v>
      </x:c>
      <x:c r="D12" s="58" t="n">
        <x:v>2019</x:v>
      </x:c>
      <x:c r="E12" s="46" t="str">
        <x:v>Coryphaena hippurus</x:v>
      </x:c>
      <x:c r="F12" s="46" t="str">
        <x:v>Common dolphinfish</x:v>
      </x:c>
      <x:c r="G12" s="46" t="str">
        <x:v>Large pelagics (&gt;=90 cm)</x:v>
      </x:c>
      <x:c r="H12" s="46" t="str">
        <x:v>Perch-likes</x:v>
      </x:c>
      <x:c r="I12" s="60" t="n">
        <x:v>47415.6120644041</x:v>
      </x:c>
      <x:c r="J12" s="60" t="n">
        <x:v>45479.9364933378</x:v>
      </x:c>
      <x:c r="K12" s="60" t="n">
        <x:v>1935.6755710663</x:v>
      </x:c>
      <x:c r="L12" s="60" t="n">
        <x:v>32351.0719901695</x:v>
      </x:c>
      <x:c r="M12" s="60" t="n">
        <x:v>15064.540074234601</x:v>
      </x:c>
      <x:c r="N12" s="46" t="str">
        <x:v>coryphaena hippurus</x:v>
      </x:c>
      <x:c r="O12" s="62" t="n">
        <x:v>4.37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Coryphaena hippurus</x:v>
      </x:c>
      <x:c r="T12" s="62" t="n">
        <x:f>IF(O12="","",(1/'Metadata'!$B$5)^(O12-1))</x:f>
        <x:v>2344.228815319923</x:v>
      </x:c>
      <x:c r="U12" s="60" t="n">
        <x:f>IF(T12="","",I12*T12)</x:f>
        <x:v>111153044.09740707</x:v>
      </x:c>
    </x:row>
    <x:row r="13" ht="18" customHeight="1">
      <x:c r="A13" s="46" t="str">
        <x:v>LME_013</x:v>
      </x:c>
      <x:c r="B13" s="46" t="str">
        <x:v>Humboldt Current</x:v>
      </x:c>
      <x:c r="C13" s="46" t="str">
        <x:v>LME</x:v>
      </x:c>
      <x:c r="D13" s="58" t="n">
        <x:v>2019</x:v>
      </x:c>
      <x:c r="E13" s="46" t="str">
        <x:v>Brama australis</x:v>
      </x:c>
      <x:c r="F13" s="46" t="str">
        <x:v>Southern rays bream</x:v>
      </x:c>
      <x:c r="G13" s="46" t="str">
        <x:v>Medium pelagics (30 - 89 cm)</x:v>
      </x:c>
      <x:c r="H13" s="46" t="str">
        <x:v>Perch-likes</x:v>
      </x:c>
      <x:c r="I13" s="60" t="n">
        <x:v>40574.2355543613</x:v>
      </x:c>
      <x:c r="J13" s="60" t="n">
        <x:v>39569.096562780695</x:v>
      </x:c>
      <x:c r="K13" s="60" t="n">
        <x:v>1005.1389915806001</x:v>
      </x:c>
      <x:c r="L13" s="60" t="n">
        <x:v>37568.601669901196</x:v>
      </x:c>
      <x:c r="M13" s="60" t="n">
        <x:v>3005.6338844601</x:v>
      </x:c>
      <x:c r="N13" s="46" t="str">
        <x:v>brama australis</x:v>
      </x:c>
      <x:c r="O13" s="62" t="n">
        <x:v>4.2</x:v>
      </x:c>
      <x:c r="P13" s="46" t="str">
        <x:v>exact_sea_around_us</x:v>
      </x:c>
      <x:c r="Q13" s="62" t="str">
        <x:v>Sea Around Us exploited organisms</x:v>
      </x:c>
      <x:c r="R13" s="46" t="str">
        <x:v>high</x:v>
      </x:c>
      <x:c r="S13" s="46" t="str">
        <x:v>Brama australis</x:v>
      </x:c>
      <x:c r="T13" s="62" t="n">
        <x:f>IF(O13="","",(1/'Metadata'!$B$5)^(O13-1))</x:f>
        <x:v>1584.893192461114</x:v>
      </x:c>
      <x:c r="U13" s="60" t="n">
        <x:f>IF(T13="","",I13*T13)</x:f>
        <x:v>64305829.719420925</x:v>
      </x:c>
    </x:row>
    <x:row r="14" ht="18" customHeight="1">
      <x:c r="A14" s="46" t="str">
        <x:v>LME_013</x:v>
      </x:c>
      <x:c r="B14" s="46" t="str">
        <x:v>Humboldt Current</x:v>
      </x:c>
      <x:c r="C14" s="46" t="str">
        <x:v>LME</x:v>
      </x:c>
      <x:c r="D14" s="58" t="n">
        <x:v>2019</x:v>
      </x:c>
      <x:c r="E14" s="46" t="str">
        <x:v>Scombridae</x:v>
      </x:c>
      <x:c r="F14" s="46" t="str">
        <x:v>Mackerels, tunas, bonitos</x:v>
      </x:c>
      <x:c r="G14" s="46" t="str">
        <x:v>Medium pelagics (30 - 89 cm)</x:v>
      </x:c>
      <x:c r="H14" s="46" t="str">
        <x:v>Perch-likes</x:v>
      </x:c>
      <x:c r="I14" s="60" t="n">
        <x:v>39279.6129525641</x:v>
      </x:c>
      <x:c r="J14" s="60" t="n">
        <x:v>38856.8041665464</x:v>
      </x:c>
      <x:c r="K14" s="60" t="n">
        <x:v>422.80878601769996</x:v>
      </x:c>
      <x:c r="L14" s="60" t="n">
        <x:v>38856.0833709687</x:v>
      </x:c>
      <x:c r="M14" s="60" t="n">
        <x:v>423.5295815954</x:v>
      </x:c>
      <x:c r="N14" s="46" t="str">
        <x:v>scombridae</x:v>
      </x:c>
      <x:c r="O14" s="62" t="n">
        <x:v>4.26</x:v>
      </x:c>
      <x:c r="P14" s="46" t="str">
        <x:v>exact_sea_around_us</x:v>
      </x:c>
      <x:c r="Q14" s="62" t="str">
        <x:v>Sea Around Us exploited organisms</x:v>
      </x:c>
      <x:c r="R14" s="46" t="str">
        <x:v>high</x:v>
      </x:c>
      <x:c r="S14" s="46" t="str">
        <x:v>Scombridae</x:v>
      </x:c>
      <x:c r="T14" s="62" t="n">
        <x:f>IF(O14="","",(1/'Metadata'!$B$5)^(O14-1))</x:f>
        <x:v>1819.7008586099826</x:v>
      </x:c>
      <x:c r="U14" s="60" t="n">
        <x:f>IF(T14="","",I14*T14)</x:f>
        <x:v>71477145.41564868</x:v>
      </x:c>
    </x:row>
    <x:row r="15" ht="18" customHeight="1">
      <x:c r="A15" s="46" t="str">
        <x:v>LME_013</x:v>
      </x:c>
      <x:c r="B15" s="46" t="str">
        <x:v>Humboldt Current</x:v>
      </x:c>
      <x:c r="C15" s="46" t="str">
        <x:v>LME</x:v>
      </x:c>
      <x:c r="D15" s="58" t="n">
        <x:v>2019</x:v>
      </x:c>
      <x:c r="E15" s="46" t="str">
        <x:v>Mollusca</x:v>
      </x:c>
      <x:c r="F15" s="46" t="str">
        <x:v>Clams, seasnails, squids, octopuses</x:v>
      </x:c>
      <x:c r="G15" s="46" t="str">
        <x:v>Other demersal invertebrates</x:v>
      </x:c>
      <x:c r="H15" s="46" t="str">
        <x:v>Molluscs</x:v>
      </x:c>
      <x:c r="I15" s="60" t="n">
        <x:v>39206.177167128204</x:v>
      </x:c>
      <x:c r="J15" s="60" t="n">
        <x:v>39206.177167128204</x:v>
      </x:c>
      <x:c r="K15" s="60" t="n">
        <x:v>0</x:v>
      </x:c>
      <x:c r="L15" s="60" t="n">
        <x:v>39206.177167128204</x:v>
      </x:c>
      <x:c r="M15" s="60" t="n">
        <x:v>0</x:v>
      </x:c>
      <x:c r="N15" s="46" t="str">
        <x:v>mollusca</x:v>
      </x:c>
      <x:c r="O15" s="62" t="n">
        <x:v>2.1</x:v>
      </x:c>
      <x:c r="P15" s="46" t="str">
        <x:v>exact_sea_around_us</x:v>
      </x:c>
      <x:c r="Q15" s="62" t="str">
        <x:v>Sea Around Us exploited organisms</x:v>
      </x:c>
      <x:c r="R15" s="46" t="str">
        <x:v>high</x:v>
      </x:c>
      <x:c r="S15" s="46" t="str">
        <x:v>Mollusca</x:v>
      </x:c>
      <x:c r="T15" s="62" t="n">
        <x:f>IF(O15="","",(1/'Metadata'!$B$5)^(O15-1))</x:f>
        <x:v>12.589254117941675</x:v>
      </x:c>
      <x:c r="U15" s="60" t="n">
        <x:f>IF(T15="","",I15*T15)</x:f>
        <x:v>493576.5273500196</x:v>
      </x:c>
    </x:row>
    <x:row r="16" ht="18" customHeight="1">
      <x:c r="A16" s="46" t="str">
        <x:v>LME_013</x:v>
      </x:c>
      <x:c r="B16" s="46" t="str">
        <x:v>Humboldt Current</x:v>
      </x:c>
      <x:c r="C16" s="46" t="str">
        <x:v>LME</x:v>
      </x:c>
      <x:c r="D16" s="58" t="n">
        <x:v>2019</x:v>
      </x:c>
      <x:c r="E16" s="46" t="str">
        <x:v>Loxechinus albus</x:v>
      </x:c>
      <x:c r="F16" s="46" t="str">
        <x:v>Chilean sea urchin</x:v>
      </x:c>
      <x:c r="G16" s="46" t="str">
        <x:v>Other demersal invertebrates</x:v>
      </x:c>
      <x:c r="H16" s="46" t="str">
        <x:v>Other fishes &amp; inverts</x:v>
      </x:c>
      <x:c r="I16" s="60" t="n">
        <x:v>38885.5453903753</x:v>
      </x:c>
      <x:c r="J16" s="60" t="n">
        <x:v>38885.5453903753</x:v>
      </x:c>
      <x:c r="K16" s="60" t="n">
        <x:v>0</x:v>
      </x:c>
      <x:c r="L16" s="60" t="n">
        <x:v>36415.379238244604</x:v>
      </x:c>
      <x:c r="M16" s="60" t="n">
        <x:v>2470.1661521307</x:v>
      </x:c>
      <x:c r="N16" s="46" t="str">
        <x:v>loxechinus albus</x:v>
      </x:c>
      <x:c r="O16" s="62" t="n">
        <x:v>2</x:v>
      </x:c>
      <x:c r="P16" s="46" t="str">
        <x:v>exact_2020_supplement</x:v>
      </x:c>
      <x:c r="Q16" s="62" t="str">
        <x:v>2020 supplement MeanTL</x:v>
      </x:c>
      <x:c r="R16" s="46" t="str">
        <x:v>high</x:v>
      </x:c>
      <x:c r="S16" s="46" t="str">
        <x:v>Loxechinus albus</x:v>
      </x:c>
      <x:c r="T16" s="62" t="n">
        <x:f>IF(O16="","",(1/'Metadata'!$B$5)^(O16-1))</x:f>
        <x:v>10</x:v>
      </x:c>
      <x:c r="U16" s="60" t="n">
        <x:f>IF(T16="","",I16*T16)</x:f>
        <x:v>388855.453903753</x:v>
      </x:c>
    </x:row>
    <x:row r="17" ht="18" customHeight="1">
      <x:c r="A17" s="46" t="str">
        <x:v>LME_013</x:v>
      </x:c>
      <x:c r="B17" s="46" t="str">
        <x:v>Humboldt Current</x:v>
      </x:c>
      <x:c r="C17" s="46" t="str">
        <x:v>LME</x:v>
      </x:c>
      <x:c r="D17" s="58" t="n">
        <x:v>2019</x:v>
      </x:c>
      <x:c r="E17" s="46" t="str">
        <x:v>Mugil cephalus</x:v>
      </x:c>
      <x:c r="F17" s="46" t="str">
        <x:v>Flathead grey mullet</x:v>
      </x:c>
      <x:c r="G17" s="46" t="str">
        <x:v>Large benthopelagics (&gt;=90 cm)</x:v>
      </x:c>
      <x:c r="H17" s="46" t="str">
        <x:v>Perch-likes</x:v>
      </x:c>
      <x:c r="I17" s="60" t="n">
        <x:v>32279.128569498604</x:v>
      </x:c>
      <x:c r="J17" s="60" t="n">
        <x:v>32279.128569498604</x:v>
      </x:c>
      <x:c r="K17" s="60" t="n">
        <x:v>0</x:v>
      </x:c>
      <x:c r="L17" s="60" t="n">
        <x:v>22843.3182965337</x:v>
      </x:c>
      <x:c r="M17" s="60" t="n">
        <x:v>9435.8102729649</x:v>
      </x:c>
      <x:c r="N17" s="46" t="str">
        <x:v>mugil cephalus</x:v>
      </x:c>
      <x:c r="O17" s="62" t="n">
        <x:v>2.14</x:v>
      </x:c>
      <x:c r="P17" s="46" t="str">
        <x:v>exact_2020_supplement</x:v>
      </x:c>
      <x:c r="Q17" s="62" t="str">
        <x:v>2020 supplement MeanTL</x:v>
      </x:c>
      <x:c r="R17" s="46" t="str">
        <x:v>high</x:v>
      </x:c>
      <x:c r="S17" s="46" t="str">
        <x:v>Mugil cephalus</x:v>
      </x:c>
      <x:c r="T17" s="62" t="n">
        <x:f>IF(O17="","",(1/'Metadata'!$B$5)^(O17-1))</x:f>
        <x:v>13.803842646028853</x:v>
      </x:c>
      <x:c r="U17" s="60" t="n">
        <x:f>IF(T17="","",I17*T17)</x:f>
        <x:v>445576.01152429316</x:v>
      </x:c>
    </x:row>
    <x:row r="18" ht="18" customHeight="1">
      <x:c r="A18" s="46" t="str">
        <x:v>LME_013</x:v>
      </x:c>
      <x:c r="B18" s="46" t="str">
        <x:v>Humboldt Current</x:v>
      </x:c>
      <x:c r="C18" s="46" t="str">
        <x:v>LME</x:v>
      </x:c>
      <x:c r="D18" s="58" t="n">
        <x:v>2019</x:v>
      </x:c>
      <x:c r="E18" s="46" t="str">
        <x:v>Merluccius gayi</x:v>
      </x:c>
      <x:c r="F18" s="46" t="str">
        <x:v>South Pacific hake</x:v>
      </x:c>
      <x:c r="G18" s="46" t="str">
        <x:v>Medium bathydemersals (30 - 89 cm)</x:v>
      </x:c>
      <x:c r="H18" s="46" t="str">
        <x:v>Cod-likes</x:v>
      </x:c>
      <x:c r="I18" s="60" t="n">
        <x:v>28557.4876467078</x:v>
      </x:c>
      <x:c r="J18" s="60" t="n">
        <x:v>26006.8658914546</x:v>
      </x:c>
      <x:c r="K18" s="60" t="n">
        <x:v>2550.6217552532</x:v>
      </x:c>
      <x:c r="L18" s="60" t="n">
        <x:v>25409.0230330331</x:v>
      </x:c>
      <x:c r="M18" s="60" t="n">
        <x:v>3148.4646136746996</x:v>
      </x:c>
      <x:c r="N18" s="46" t="str">
        <x:v>merluccius gayi</x:v>
      </x:c>
      <x:c r="O18" s="62" t="n">
        <x:v>4.26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Merluccius gayi</x:v>
      </x:c>
      <x:c r="T18" s="62" t="n">
        <x:f>IF(O18="","",(1/'Metadata'!$B$5)^(O18-1))</x:f>
        <x:v>1819.7008586099826</x:v>
      </x:c>
      <x:c r="U18" s="60" t="n">
        <x:f>IF(T18="","",I18*T18)</x:f>
        <x:v>51966084.79045815</x:v>
      </x:c>
    </x:row>
    <x:row r="19" ht="18" customHeight="1">
      <x:c r="A19" s="46" t="str">
        <x:v>LME_013</x:v>
      </x:c>
      <x:c r="B19" s="46" t="str">
        <x:v>Humboldt Current</x:v>
      </x:c>
      <x:c r="C19" s="46" t="str">
        <x:v>LME</x:v>
      </x:c>
      <x:c r="D19" s="58" t="n">
        <x:v>2019</x:v>
      </x:c>
      <x:c r="E19" s="46" t="str">
        <x:v>Ethmidium maculatum</x:v>
      </x:c>
      <x:c r="F19" s="46" t="str">
        <x:v>Pacific menhaden</x:v>
      </x:c>
      <x:c r="G19" s="46" t="str">
        <x:v>Small pelagics (&lt;30 cm)</x:v>
      </x:c>
      <x:c r="H19" s="46" t="str">
        <x:v>Herring-likes</x:v>
      </x:c>
      <x:c r="I19" s="60" t="n">
        <x:v>19393.7728927471</x:v>
      </x:c>
      <x:c r="J19" s="60" t="n">
        <x:v>19382.0056202389</x:v>
      </x:c>
      <x:c r="K19" s="60" t="n">
        <x:v>11.767272508200001</x:v>
      </x:c>
      <x:c r="L19" s="60" t="n">
        <x:v>16518.7469372804</x:v>
      </x:c>
      <x:c r="M19" s="60" t="n">
        <x:v>2875.0259554667</x:v>
      </x:c>
      <x:c r="N19" s="46" t="str">
        <x:v>ethmidium maculatum</x:v>
      </x:c>
      <x:c r="O19" s="62" t="n">
        <x:v>2.07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Ethmidium maculatum</x:v>
      </x:c>
      <x:c r="T19" s="62" t="n">
        <x:f>IF(O19="","",(1/'Metadata'!$B$5)^(O19-1))</x:f>
        <x:v>11.748975549395292</x:v>
      </x:c>
      <x:c r="U19" s="60" t="n">
        <x:f>IF(T19="","",I19*T19)</x:f>
        <x:v>227856.96352741087</x:v>
      </x:c>
    </x:row>
    <x:row r="20" ht="18" customHeight="1">
      <x:c r="A20" s="46" t="str">
        <x:v>LME_013</x:v>
      </x:c>
      <x:c r="B20" s="46" t="str">
        <x:v>Humboldt Current</x:v>
      </x:c>
      <x:c r="C20" s="46" t="str">
        <x:v>LME</x:v>
      </x:c>
      <x:c r="D20" s="58" t="n">
        <x:v>2019</x:v>
      </x:c>
      <x:c r="E20" s="46" t="str">
        <x:v>Clupeidae</x:v>
      </x:c>
      <x:c r="F20" s="46" t="str">
        <x:v>Herrings, sardines, menhadens</x:v>
      </x:c>
      <x:c r="G20" s="46" t="str">
        <x:v>Small pelagics (&lt;30 cm)</x:v>
      </x:c>
      <x:c r="H20" s="46" t="str">
        <x:v>Herring-likes</x:v>
      </x:c>
      <x:c r="I20" s="60" t="n">
        <x:v>18060.133696337998</x:v>
      </x:c>
      <x:c r="J20" s="60" t="n">
        <x:v>18060.133696337998</x:v>
      </x:c>
      <x:c r="K20" s="60" t="n">
        <x:v>0</x:v>
      </x:c>
      <x:c r="L20" s="60" t="n">
        <x:v>0</x:v>
      </x:c>
      <x:c r="M20" s="60" t="n">
        <x:v>18060.133696337998</x:v>
      </x:c>
      <x:c r="N20" s="46" t="str">
        <x:v>clupeidae</x:v>
      </x:c>
      <x:c r="O20" s="62" t="n">
        <x:v>3.16</x:v>
      </x:c>
      <x:c r="P20" s="46" t="str">
        <x:v>exact_sea_around_us</x:v>
      </x:c>
      <x:c r="Q20" s="62" t="str">
        <x:v>Sea Around Us exploited organisms</x:v>
      </x:c>
      <x:c r="R20" s="46" t="str">
        <x:v>high</x:v>
      </x:c>
      <x:c r="S20" s="46" t="str">
        <x:v>Clupeidae</x:v>
      </x:c>
      <x:c r="T20" s="62" t="n">
        <x:f>IF(O20="","",(1/'Metadata'!$B$5)^(O20-1))</x:f>
        <x:v>144.5439770745928</x:v>
      </x:c>
      <x:c r="U20" s="60" t="n">
        <x:f>IF(T20="","",I20*T20)</x:f>
        <x:v>2610483.55096756</x:v>
      </x:c>
    </x:row>
    <x:row r="21" ht="18" customHeight="1">
      <x:c r="A21" s="46" t="str">
        <x:v>LME_013</x:v>
      </x:c>
      <x:c r="B21" s="46" t="str">
        <x:v>Humboldt Current</x:v>
      </x:c>
      <x:c r="C21" s="46" t="str">
        <x:v>LME</x:v>
      </x:c>
      <x:c r="D21" s="58" t="n">
        <x:v>2019</x:v>
      </x:c>
      <x:c r="E21" s="46" t="str">
        <x:v>Sprattus fuegensis</x:v>
      </x:c>
      <x:c r="F21" s="46" t="str">
        <x:v>Falkland sprat</x:v>
      </x:c>
      <x:c r="G21" s="46" t="str">
        <x:v>Small pelagics (&lt;30 cm)</x:v>
      </x:c>
      <x:c r="H21" s="46" t="str">
        <x:v>Herring-likes</x:v>
      </x:c>
      <x:c r="I21" s="60" t="n">
        <x:v>13852.2271010069</x:v>
      </x:c>
      <x:c r="J21" s="60" t="n">
        <x:v>13852.2271010069</x:v>
      </x:c>
      <x:c r="K21" s="60" t="n">
        <x:v>0</x:v>
      </x:c>
      <x:c r="L21" s="60" t="n">
        <x:v>12001.6726686793</x:v>
      </x:c>
      <x:c r="M21" s="60" t="n">
        <x:v>1850.5544323276001</x:v>
      </x:c>
      <x:c r="N21" s="46" t="str">
        <x:v>sprattus fuegensis</x:v>
      </x:c>
      <x:c r="O21" s="62" t="n">
        <x:v>3.4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Sprattus fuegensis</x:v>
      </x:c>
      <x:c r="T21" s="62" t="n">
        <x:f>IF(O21="","",(1/'Metadata'!$B$5)^(O21-1))</x:f>
        <x:v>251.18864315095797</x:v>
      </x:c>
      <x:c r="U21" s="60" t="n">
        <x:f>IF(T21="","",I21*T21)</x:f>
        <x:v>3479522.130120851</x:v>
      </x:c>
    </x:row>
    <x:row r="22" ht="18" customHeight="1">
      <x:c r="A22" s="46" t="str">
        <x:v>LME_013</x:v>
      </x:c>
      <x:c r="B22" s="46" t="str">
        <x:v>Humboldt Current</x:v>
      </x:c>
      <x:c r="C22" s="46" t="str">
        <x:v>LME</x:v>
      </x:c>
      <x:c r="D22" s="58" t="n">
        <x:v>2019</x:v>
      </x:c>
      <x:c r="E22" s="46" t="str">
        <x:v>Normanichthys crockeri</x:v>
      </x:c>
      <x:c r="F22" s="46" t="str">
        <x:v>Mote sculpin</x:v>
      </x:c>
      <x:c r="G22" s="46" t="str">
        <x:v>Small demersals (&lt;30 cm)</x:v>
      </x:c>
      <x:c r="H22" s="46" t="str">
        <x:v>Scorpionfishes</x:v>
      </x:c>
      <x:c r="I22" s="60" t="n">
        <x:v>11843.4364278168</x:v>
      </x:c>
      <x:c r="J22" s="60" t="n">
        <x:v>11843.4364278168</x:v>
      </x:c>
      <x:c r="K22" s="60" t="n">
        <x:v>0</x:v>
      </x:c>
      <x:c r="L22" s="60" t="n">
        <x:v>10239.8920543825</x:v>
      </x:c>
      <x:c r="M22" s="60" t="n">
        <x:v>1603.5443734342998</x:v>
      </x:c>
      <x:c r="N22" s="46" t="str">
        <x:v>normanichthys crockeri</x:v>
      </x:c>
      <x:c r="O22" s="62" t="n">
        <x:v>2.75</x:v>
      </x:c>
      <x:c r="P22" s="46" t="str">
        <x:v>exact_2020_supplement</x:v>
      </x:c>
      <x:c r="Q22" s="62" t="str">
        <x:v>2020 supplement MeanTL</x:v>
      </x:c>
      <x:c r="R22" s="46" t="str">
        <x:v>high</x:v>
      </x:c>
      <x:c r="S22" s="46" t="str">
        <x:v>Normanichthys crockeri</x:v>
      </x:c>
      <x:c r="T22" s="62" t="n">
        <x:f>IF(O22="","",(1/'Metadata'!$B$5)^(O22-1))</x:f>
        <x:v>56.23413251903491</x:v>
      </x:c>
      <x:c r="U22" s="60" t="n">
        <x:f>IF(T22="","",I22*T22)</x:f>
        <x:v>666005.3735626154</x:v>
      </x:c>
    </x:row>
    <x:row r="23" ht="18" customHeight="1">
      <x:c r="A23" s="46" t="str">
        <x:v>LME_013</x:v>
      </x:c>
      <x:c r="B23" s="46" t="str">
        <x:v>Humboldt Current</x:v>
      </x:c>
      <x:c r="C23" s="46" t="str">
        <x:v>LME</x:v>
      </x:c>
      <x:c r="D23" s="58" t="n">
        <x:v>2019</x:v>
      </x:c>
      <x:c r="E23" s="46" t="str">
        <x:v>Xiphias gladius</x:v>
      </x:c>
      <x:c r="F23" s="46" t="str">
        <x:v>Swordfish</x:v>
      </x:c>
      <x:c r="G23" s="46" t="str">
        <x:v>Large pelagics (&gt;=90 cm)</x:v>
      </x:c>
      <x:c r="H23" s="46" t="str">
        <x:v>Tuna &amp; billfishes</x:v>
      </x:c>
      <x:c r="I23" s="60" t="n">
        <x:v>11753.5670754284</x:v>
      </x:c>
      <x:c r="J23" s="60" t="n">
        <x:v>11687.5238611663</x:v>
      </x:c>
      <x:c r="K23" s="60" t="n">
        <x:v>66.0432142621</x:v>
      </x:c>
      <x:c r="L23" s="60" t="n">
        <x:v>11084.569313592001</x:v>
      </x:c>
      <x:c r="M23" s="60" t="n">
        <x:v>668.9977618364</x:v>
      </x:c>
      <x:c r="N23" s="46" t="str">
        <x:v>xiphias gladius</x:v>
      </x:c>
      <x:c r="O23" s="62" t="n">
        <x:v>4.53</x:v>
      </x:c>
      <x:c r="P23" s="46" t="str">
        <x:v>exact_2020_supplement</x:v>
      </x:c>
      <x:c r="Q23" s="62" t="str">
        <x:v>2020 supplement MeanTL</x:v>
      </x:c>
      <x:c r="R23" s="46" t="str">
        <x:v>high</x:v>
      </x:c>
      <x:c r="S23" s="46" t="str">
        <x:v>Xiphias gladius</x:v>
      </x:c>
      <x:c r="T23" s="62" t="n">
        <x:f>IF(O23="","",(1/'Metadata'!$B$5)^(O23-1))</x:f>
        <x:v>3388.4415613920273</x:v>
      </x:c>
      <x:c r="U23" s="60" t="n">
        <x:f>IF(T23="","",I23*T23)</x:f>
        <x:v>39826275.17299053</x:v>
      </x:c>
    </x:row>
    <x:row r="24" ht="18" customHeight="1">
      <x:c r="A24" s="46" t="str">
        <x:v>LME_013</x:v>
      </x:c>
      <x:c r="B24" s="46" t="str">
        <x:v>Humboldt Current</x:v>
      </x:c>
      <x:c r="C24" s="46" t="str">
        <x:v>LME</x:v>
      </x:c>
      <x:c r="D24" s="58" t="n">
        <x:v>2019</x:v>
      </x:c>
      <x:c r="E24" s="46" t="str">
        <x:v>Ameghinomya antiqua</x:v>
      </x:c>
      <x:c r="F24" s="46" t="str">
        <x:v>Cancellated clam</x:v>
      </x:c>
      <x:c r="G24" s="46" t="str">
        <x:v>Other demersal invertebrates</x:v>
      </x:c>
      <x:c r="H24" s="46" t="str">
        <x:v>Molluscs</x:v>
      </x:c>
      <x:c r="I24" s="60" t="n">
        <x:v>11721.6593460736</x:v>
      </x:c>
      <x:c r="J24" s="60" t="n">
        <x:v>11721.6593460736</x:v>
      </x:c>
      <x:c r="K24" s="60" t="n">
        <x:v>0</x:v>
      </x:c>
      <x:c r="L24" s="60" t="n">
        <x:v>11721.6593460736</x:v>
      </x:c>
      <x:c r="M24" s="60" t="n">
        <x:v>0</x:v>
      </x:c>
      <x:c r="N24" s="46" t="str">
        <x:v>ameghinomya antiqua</x:v>
      </x:c>
      <x:c r="O24" s="62" t="n">
        <x:v>2</x:v>
      </x:c>
      <x:c r="P24" s="46" t="str">
        <x:v>exact_sea_around_us</x:v>
      </x:c>
      <x:c r="Q24" s="62" t="str">
        <x:v>Sea Around Us exploited organisms</x:v>
      </x:c>
      <x:c r="R24" s="46" t="str">
        <x:v>high</x:v>
      </x:c>
      <x:c r="S24" s="46" t="str">
        <x:v>Ameghinomya antiqua</x:v>
      </x:c>
      <x:c r="T24" s="62" t="n">
        <x:f>IF(O24="","",(1/'Metadata'!$B$5)^(O24-1))</x:f>
        <x:v>10</x:v>
      </x:c>
      <x:c r="U24" s="60" t="n">
        <x:f>IF(T24="","",I24*T24)</x:f>
        <x:v>117216.59346073601</x:v>
      </x:c>
    </x:row>
    <x:row r="25" ht="18" customHeight="1">
      <x:c r="A25" s="46" t="str">
        <x:v>LME_013</x:v>
      </x:c>
      <x:c r="B25" s="46" t="str">
        <x:v>Humboldt Current</x:v>
      </x:c>
      <x:c r="C25" s="46" t="str">
        <x:v>LME</x:v>
      </x:c>
      <x:c r="D25" s="58" t="n">
        <x:v>2019</x:v>
      </x:c>
      <x:c r="E25" s="46" t="str">
        <x:v>Doryteuthis gahi</x:v>
      </x:c>
      <x:c r="F25" s="46" t="str">
        <x:v>Patagonian squid</x:v>
      </x:c>
      <x:c r="G25" s="46" t="str">
        <x:v>Cephalopods</x:v>
      </x:c>
      <x:c r="H25" s="46" t="str">
        <x:v>Other fishes &amp; inverts</x:v>
      </x:c>
      <x:c r="I25" s="60" t="n">
        <x:v>11520.8957126671</x:v>
      </x:c>
      <x:c r="J25" s="60" t="n">
        <x:v>11520.8957126671</x:v>
      </x:c>
      <x:c r="K25" s="60" t="n">
        <x:v>0</x:v>
      </x:c>
      <x:c r="L25" s="60" t="n">
        <x:v>11370.0111498626</x:v>
      </x:c>
      <x:c r="M25" s="60" t="n">
        <x:v>150.8845628045</x:v>
      </x:c>
      <x:c r="N25" s="46" t="str">
        <x:v>doryteuthis gahi</x:v>
      </x:c>
      <x:c r="O25" s="62" t="n">
        <x:v>3.2</x:v>
      </x:c>
      <x:c r="P25" s="46" t="str">
        <x:v>exact_2020_supplement</x:v>
      </x:c>
      <x:c r="Q25" s="62" t="str">
        <x:v>2020 supplement MeanTL</x:v>
      </x:c>
      <x:c r="R25" s="46" t="str">
        <x:v>high</x:v>
      </x:c>
      <x:c r="S25" s="46" t="str">
        <x:v>Doryteuthis gahi</x:v>
      </x:c>
      <x:c r="T25" s="62" t="n">
        <x:f>IF(O25="","",(1/'Metadata'!$B$5)^(O25-1))</x:f>
        <x:v>158.48931924611142</x:v>
      </x:c>
      <x:c r="U25" s="60" t="n">
        <x:f>IF(T25="","",I25*T25)</x:f>
        <x:v>1825938.9186060522</x:v>
      </x:c>
    </x:row>
    <x:row r="26" ht="18" customHeight="1">
      <x:c r="A26" s="46" t="str">
        <x:v>LME_013</x:v>
      </x:c>
      <x:c r="B26" s="46" t="str">
        <x:v>Humboldt Current</x:v>
      </x:c>
      <x:c r="C26" s="46" t="str">
        <x:v>LME</x:v>
      </x:c>
      <x:c r="D26" s="58" t="n">
        <x:v>2019</x:v>
      </x:c>
      <x:c r="E26" s="46" t="str">
        <x:v>Coryphaena</x:v>
      </x:c>
      <x:c r="F26" s="46" t="str">
        <x:v>Dolphinfishes</x:v>
      </x:c>
      <x:c r="G26" s="46" t="str">
        <x:v>Large pelagics (&gt;=90 cm)</x:v>
      </x:c>
      <x:c r="H26" s="46" t="str">
        <x:v>Perch-likes</x:v>
      </x:c>
      <x:c r="I26" s="60" t="n">
        <x:v>11357.6514979064</x:v>
      </x:c>
      <x:c r="J26" s="60" t="n">
        <x:v>11357.6514979064</x:v>
      </x:c>
      <x:c r="K26" s="60" t="n">
        <x:v>0</x:v>
      </x:c>
      <x:c r="L26" s="60" t="n">
        <x:v>11357.6514979064</x:v>
      </x:c>
      <x:c r="M26" s="60" t="n">
        <x:v>0</x:v>
      </x:c>
      <x:c r="N26" s="46" t="str">
        <x:v>coryphaena</x:v>
      </x:c>
      <x:c r="O26" s="62" t="n">
        <x:v>4.49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Coryphaena</x:v>
      </x:c>
      <x:c r="T26" s="62" t="n">
        <x:f>IF(O26="","",(1/'Metadata'!$B$5)^(O26-1))</x:f>
        <x:v>3090.295432513592</x:v>
      </x:c>
      <x:c r="U26" s="60" t="n">
        <x:f>IF(T26="","",I26*T26)</x:f>
        <x:v>35098498.548061304</x:v>
      </x:c>
    </x:row>
    <x:row r="27" ht="18" customHeight="1">
      <x:c r="A27" s="46" t="str">
        <x:v>LME_013</x:v>
      </x:c>
      <x:c r="B27" s="46" t="str">
        <x:v>Humboldt Current</x:v>
      </x:c>
      <x:c r="C27" s="46" t="str">
        <x:v>LME</x:v>
      </x:c>
      <x:c r="D27" s="58" t="n">
        <x:v>2019</x:v>
      </x:c>
      <x:c r="E27" s="46" t="str">
        <x:v>Sciaenidae</x:v>
      </x:c>
      <x:c r="F27" s="46" t="str">
        <x:v>Drums, croakers</x:v>
      </x:c>
      <x:c r="G27" s="46" t="str">
        <x:v>Medium demersals (30 - 89 cm)</x:v>
      </x:c>
      <x:c r="H27" s="46" t="str">
        <x:v>Perch-likes</x:v>
      </x:c>
      <x:c r="I27" s="60" t="n">
        <x:v>10943.4041685469</x:v>
      </x:c>
      <x:c r="J27" s="60" t="n">
        <x:v>10929.1952531732</x:v>
      </x:c>
      <x:c r="K27" s="60" t="n">
        <x:v>14.2089153737</x:v>
      </x:c>
      <x:c r="L27" s="60" t="n">
        <x:v>9041.2891282809</x:v>
      </x:c>
      <x:c r="M27" s="60" t="n">
        <x:v>1902.1150402659998</x:v>
      </x:c>
      <x:c r="N27" s="46" t="str">
        <x:v>sciaenidae</x:v>
      </x:c>
      <x:c r="O27" s="62" t="n">
        <x:v>3.76</x:v>
      </x:c>
      <x:c r="P27" s="46" t="str">
        <x:v>exact_sea_around_us</x:v>
      </x:c>
      <x:c r="Q27" s="62" t="str">
        <x:v>Sea Around Us exploited organisms</x:v>
      </x:c>
      <x:c r="R27" s="46" t="str">
        <x:v>high</x:v>
      </x:c>
      <x:c r="S27" s="46" t="str">
        <x:v>Sciaenidae</x:v>
      </x:c>
      <x:c r="T27" s="62" t="n">
        <x:f>IF(O27="","",(1/'Metadata'!$B$5)^(O27-1))</x:f>
        <x:v>575.4399373371566</x:v>
      </x:c>
      <x:c r="U27" s="60" t="n">
        <x:f>IF(T27="","",I27*T27)</x:f>
        <x:v>6297271.809003807</x:v>
      </x:c>
    </x:row>
    <x:row r="28" ht="18" customHeight="1">
      <x:c r="A28" s="46" t="str">
        <x:v>LME_013</x:v>
      </x:c>
      <x:c r="B28" s="46" t="str">
        <x:v>Humboldt Current</x:v>
      </x:c>
      <x:c r="C28" s="46" t="str">
        <x:v>LME</x:v>
      </x:c>
      <x:c r="D28" s="58" t="n">
        <x:v>2019</x:v>
      </x:c>
      <x:c r="E28" s="46" t="str">
        <x:v>Prionace glauca</x:v>
      </x:c>
      <x:c r="F28" s="46" t="str">
        <x:v>Blue shark</x:v>
      </x:c>
      <x:c r="G28" s="46" t="str">
        <x:v>Large sharks (&gt;=90 cm)</x:v>
      </x:c>
      <x:c r="H28" s="46" t="str">
        <x:v>Sharks &amp; rays</x:v>
      </x:c>
      <x:c r="I28" s="60" t="n">
        <x:v>9942.2282491317</x:v>
      </x:c>
      <x:c r="J28" s="60" t="n">
        <x:v>7137.0019229713</x:v>
      </x:c>
      <x:c r="K28" s="60" t="n">
        <x:v>2805.2263261604003</x:v>
      </x:c>
      <x:c r="L28" s="60" t="n">
        <x:v>6415.4953392678</x:v>
      </x:c>
      <x:c r="M28" s="60" t="n">
        <x:v>3526.7329098639</x:v>
      </x:c>
      <x:c r="N28" s="46" t="str">
        <x:v>prionace glauca</x:v>
      </x:c>
      <x:c r="O28" s="62" t="n">
        <x:v>4.35</x:v>
      </x:c>
      <x:c r="P28" s="46" t="str">
        <x:v>exact_2020_supplement</x:v>
      </x:c>
      <x:c r="Q28" s="62" t="str">
        <x:v>2020 supplement MeanTL</x:v>
      </x:c>
      <x:c r="R28" s="46" t="str">
        <x:v>high</x:v>
      </x:c>
      <x:c r="S28" s="46" t="str">
        <x:v>Prionace glauca</x:v>
      </x:c>
      <x:c r="T28" s="62" t="n">
        <x:f>IF(O28="","",(1/'Metadata'!$B$5)^(O28-1))</x:f>
        <x:v>2238.7211385683377</x:v>
      </x:c>
      <x:c r="U28" s="60" t="n">
        <x:f>IF(T28="","",I28*T28)</x:f>
        <x:v>22257876.54580241</x:v>
      </x:c>
    </x:row>
    <x:row r="29" ht="18" customHeight="1">
      <x:c r="A29" s="46" t="str">
        <x:v>LME_013</x:v>
      </x:c>
      <x:c r="B29" s="46" t="str">
        <x:v>Humboldt Current</x:v>
      </x:c>
      <x:c r="C29" s="46" t="str">
        <x:v>LME</x:v>
      </x:c>
      <x:c r="D29" s="58" t="n">
        <x:v>2019</x:v>
      </x:c>
      <x:c r="E29" s="46" t="str">
        <x:v>Aulacomya atra</x:v>
      </x:c>
      <x:c r="F29" s="46" t="str">
        <x:v>Chilean ribbed mussel</x:v>
      </x:c>
      <x:c r="G29" s="46" t="str">
        <x:v>Other demersal invertebrates</x:v>
      </x:c>
      <x:c r="H29" s="46" t="str">
        <x:v>Molluscs</x:v>
      </x:c>
      <x:c r="I29" s="60" t="n">
        <x:v>9550.6290803397</x:v>
      </x:c>
      <x:c r="J29" s="60" t="n">
        <x:v>9550.6290803397</x:v>
      </x:c>
      <x:c r="K29" s="60" t="n">
        <x:v>0</x:v>
      </x:c>
      <x:c r="L29" s="60" t="n">
        <x:v>7210.305011646001</x:v>
      </x:c>
      <x:c r="M29" s="60" t="n">
        <x:v>2340.3240686937</x:v>
      </x:c>
      <x:c r="N29" s="46" t="str">
        <x:v>aulacomya atra</x:v>
      </x:c>
      <x:c r="O29" s="62" t="n">
        <x:v>2</x:v>
      </x:c>
      <x:c r="P29" s="46" t="str">
        <x:v>exact_sea_around_us</x:v>
      </x:c>
      <x:c r="Q29" s="62" t="str">
        <x:v>Sea Around Us exploited organisms</x:v>
      </x:c>
      <x:c r="R29" s="46" t="str">
        <x:v>high</x:v>
      </x:c>
      <x:c r="S29" s="46" t="str">
        <x:v>Aulacomya atra</x:v>
      </x:c>
      <x:c r="T29" s="62" t="n">
        <x:f>IF(O29="","",(1/'Metadata'!$B$5)^(O29-1))</x:f>
        <x:v>10</x:v>
      </x:c>
      <x:c r="U29" s="60" t="n">
        <x:f>IF(T29="","",I29*T29)</x:f>
        <x:v>95506.290803397</x:v>
      </x:c>
    </x:row>
    <x:row r="30" ht="18" customHeight="1">
      <x:c r="A30" s="46" t="str">
        <x:v>LME_013</x:v>
      </x:c>
      <x:c r="B30" s="46" t="str">
        <x:v>Humboldt Current</x:v>
      </x:c>
      <x:c r="C30" s="46" t="str">
        <x:v>LME</x:v>
      </x:c>
      <x:c r="D30" s="58" t="n">
        <x:v>2019</x:v>
      </x:c>
      <x:c r="E30" s="46" t="str">
        <x:v>Merluccius australis</x:v>
      </x:c>
      <x:c r="F30" s="46" t="str">
        <x:v>Southern hake</x:v>
      </x:c>
      <x:c r="G30" s="46" t="str">
        <x:v>Large benthopelagics (&gt;=90 cm)</x:v>
      </x:c>
      <x:c r="H30" s="46" t="str">
        <x:v>Cod-likes</x:v>
      </x:c>
      <x:c r="I30" s="60" t="n">
        <x:v>8622.9308698981</x:v>
      </x:c>
      <x:c r="J30" s="60" t="n">
        <x:v>7861.3253599028</x:v>
      </x:c>
      <x:c r="K30" s="60" t="n">
        <x:v>761.6055099953</x:v>
      </x:c>
      <x:c r="L30" s="60" t="n">
        <x:v>7321.589725075</x:v>
      </x:c>
      <x:c r="M30" s="60" t="n">
        <x:v>1301.3411448231</x:v>
      </x:c>
      <x:c r="N30" s="46" t="str">
        <x:v>merluccius australis</x:v>
      </x:c>
      <x:c r="O30" s="62" t="n">
        <x:v>4.45</x:v>
      </x:c>
      <x:c r="P30" s="46" t="str">
        <x:v>exact_2020_supplement</x:v>
      </x:c>
      <x:c r="Q30" s="62" t="str">
        <x:v>2020 supplement MeanTL</x:v>
      </x:c>
      <x:c r="R30" s="46" t="str">
        <x:v>high</x:v>
      </x:c>
      <x:c r="S30" s="46" t="str">
        <x:v>Merluccius australis</x:v>
      </x:c>
      <x:c r="T30" s="62" t="n">
        <x:f>IF(O30="","",(1/'Metadata'!$B$5)^(O30-1))</x:f>
        <x:v>2818.382931264455</x:v>
      </x:c>
      <x:c r="U30" s="60" t="n">
        <x:f>IF(T30="","",I30*T30)</x:f>
        <x:v>24302721.181194164</x:v>
      </x:c>
    </x:row>
    <x:row r="31" ht="18" customHeight="1">
      <x:c r="A31" s="46" t="str">
        <x:v>LME_013</x:v>
      </x:c>
      <x:c r="B31" s="46" t="str">
        <x:v>Humboldt Current</x:v>
      </x:c>
      <x:c r="C31" s="46" t="str">
        <x:v>LME</x:v>
      </x:c>
      <x:c r="D31" s="58" t="n">
        <x:v>2019</x:v>
      </x:c>
      <x:c r="E31" s="46" t="str">
        <x:v>Thunnus albacares</x:v>
      </x:c>
      <x:c r="F31" s="46" t="str">
        <x:v>Yellowfin tuna</x:v>
      </x:c>
      <x:c r="G31" s="46" t="str">
        <x:v>Large pelagics (&gt;=90 cm)</x:v>
      </x:c>
      <x:c r="H31" s="46" t="str">
        <x:v>Tuna &amp; billfishes</x:v>
      </x:c>
      <x:c r="I31" s="60" t="n">
        <x:v>8068.8496874697</x:v>
      </x:c>
      <x:c r="J31" s="60" t="n">
        <x:v>7653.3780514795</x:v>
      </x:c>
      <x:c r="K31" s="60" t="n">
        <x:v>415.4716359902</x:v>
      </x:c>
      <x:c r="L31" s="60" t="n">
        <x:v>7547.4703677689</x:v>
      </x:c>
      <x:c r="M31" s="60" t="n">
        <x:v>521.3793197008</x:v>
      </x:c>
      <x:c r="N31" s="46" t="str">
        <x:v>thunnus albacares</x:v>
      </x:c>
      <x:c r="O31" s="62" t="n">
        <x:v>4.41</x:v>
      </x:c>
      <x:c r="P31" s="46" t="str">
        <x:v>exact_2020_supplement</x:v>
      </x:c>
      <x:c r="Q31" s="62" t="str">
        <x:v>2020 supplement MeanTL</x:v>
      </x:c>
      <x:c r="R31" s="46" t="str">
        <x:v>high</x:v>
      </x:c>
      <x:c r="S31" s="46" t="str">
        <x:v>Thunnus albacares</x:v>
      </x:c>
      <x:c r="T31" s="62" t="n">
        <x:f>IF(O31="","",(1/'Metadata'!$B$5)^(O31-1))</x:f>
        <x:v>2570.3957827688646</x:v>
      </x:c>
      <x:c r="U31" s="60" t="n">
        <x:f>IF(T31="","",I31*T31)</x:f>
        <x:v>20740137.20846799</x:v>
      </x:c>
    </x:row>
    <x:row r="32" ht="18" customHeight="1">
      <x:c r="A32" s="46" t="str">
        <x:v>LME_013</x:v>
      </x:c>
      <x:c r="B32" s="46" t="str">
        <x:v>Humboldt Current</x:v>
      </x:c>
      <x:c r="C32" s="46" t="str">
        <x:v>LME</x:v>
      </x:c>
      <x:c r="D32" s="58" t="n">
        <x:v>2019</x:v>
      </x:c>
      <x:c r="E32" s="46" t="str">
        <x:v>Cynoscion analis</x:v>
      </x:c>
      <x:c r="F32" s="46" t="str">
        <x:v>Peruvian weakfish</x:v>
      </x:c>
      <x:c r="G32" s="46" t="str">
        <x:v>Medium demersals (30 - 89 cm)</x:v>
      </x:c>
      <x:c r="H32" s="46" t="str">
        <x:v>Perch-likes</x:v>
      </x:c>
      <x:c r="I32" s="60" t="n">
        <x:v>7729.484947783701</x:v>
      </x:c>
      <x:c r="J32" s="60" t="n">
        <x:v>7714.8620597838</x:v>
      </x:c>
      <x:c r="K32" s="60" t="n">
        <x:v>14.6228879999</x:v>
      </x:c>
      <x:c r="L32" s="60" t="n">
        <x:v>6399.658404595201</x:v>
      </x:c>
      <x:c r="M32" s="60" t="n">
        <x:v>1329.8265431885</x:v>
      </x:c>
      <x:c r="N32" s="46" t="str">
        <x:v>cynoscion analis</x:v>
      </x:c>
      <x:c r="O32" s="62" t="n">
        <x:v>4.06</x:v>
      </x:c>
      <x:c r="P32" s="46" t="str">
        <x:v>exact_2020_supplement</x:v>
      </x:c>
      <x:c r="Q32" s="62" t="str">
        <x:v>2020 supplement MeanTL</x:v>
      </x:c>
      <x:c r="R32" s="46" t="str">
        <x:v>high</x:v>
      </x:c>
      <x:c r="S32" s="46" t="str">
        <x:v>Cynoscion analis</x:v>
      </x:c>
      <x:c r="T32" s="62" t="n">
        <x:f>IF(O32="","",(1/'Metadata'!$B$5)^(O32-1))</x:f>
        <x:v>1148.1536214968817</x:v>
      </x:c>
      <x:c r="U32" s="60" t="n">
        <x:f>IF(T32="","",I32*T32)</x:f>
        <x:v>8874636.135103492</x:v>
      </x:c>
    </x:row>
    <x:row r="33" ht="18" customHeight="1">
      <x:c r="A33" s="46" t="str">
        <x:v>LME_013</x:v>
      </x:c>
      <x:c r="B33" s="46" t="str">
        <x:v>Humboldt Current</x:v>
      </x:c>
      <x:c r="C33" s="46" t="str">
        <x:v>LME</x:v>
      </x:c>
      <x:c r="D33" s="58" t="n">
        <x:v>2019</x:v>
      </x:c>
      <x:c r="E33" s="46" t="str">
        <x:v>Ophichthus</x:v>
      </x:c>
      <x:c r="F33" s="46" t="str">
        <x:v>Snake eel</x:v>
      </x:c>
      <x:c r="G33" s="46" t="str">
        <x:v>Medium demersals (30 - 89 cm)</x:v>
      </x:c>
      <x:c r="H33" s="46" t="str">
        <x:v>Other fishes &amp; inverts</x:v>
      </x:c>
      <x:c r="I33" s="60" t="n">
        <x:v>7526.8313195931005</x:v>
      </x:c>
      <x:c r="J33" s="60" t="n">
        <x:v>7526.8313195931005</x:v>
      </x:c>
      <x:c r="K33" s="60" t="n">
        <x:v>0</x:v>
      </x:c>
      <x:c r="L33" s="60" t="n">
        <x:v>3793.0692099445</x:v>
      </x:c>
      <x:c r="M33" s="60" t="n">
        <x:v>3733.7621096486</x:v>
      </x:c>
      <x:c r="N33" s="46" t="str">
        <x:v>ophichthus</x:v>
      </x:c>
      <x:c r="O33" s="62" t="n">
        <x:v>4.05</x:v>
      </x:c>
      <x:c r="P33" s="46" t="str">
        <x:v>exact_sea_around_us</x:v>
      </x:c>
      <x:c r="Q33" s="62" t="str">
        <x:v>Sea Around Us exploited organisms</x:v>
      </x:c>
      <x:c r="R33" s="46" t="str">
        <x:v>high</x:v>
      </x:c>
      <x:c r="S33" s="46" t="str">
        <x:v>Ophichthus</x:v>
      </x:c>
      <x:c r="T33" s="62" t="n">
        <x:f>IF(O33="","",(1/'Metadata'!$B$5)^(O33-1))</x:f>
        <x:v>1122.018454301963</x:v>
      </x:c>
      <x:c r="U33" s="60" t="n">
        <x:f>IF(T33="","",I33*T33)</x:f>
        <x:v>8445243.643001454</x:v>
      </x:c>
    </x:row>
    <x:row r="34" ht="18" customHeight="1">
      <x:c r="A34" s="46" t="str">
        <x:v>LME_013</x:v>
      </x:c>
      <x:c r="B34" s="46" t="str">
        <x:v>Humboldt Current</x:v>
      </x:c>
      <x:c r="C34" s="46" t="str">
        <x:v>LME</x:v>
      </x:c>
      <x:c r="D34" s="58" t="n">
        <x:v>2019</x:v>
      </x:c>
      <x:c r="E34" s="46" t="str">
        <x:v>Tagelus dombeii</x:v>
      </x:c>
      <x:c r="F34" s="46" t="str">
        <x:v>Hard razor clam</x:v>
      </x:c>
      <x:c r="G34" s="46" t="str">
        <x:v>Other demersal invertebrates</x:v>
      </x:c>
      <x:c r="H34" s="46" t="str">
        <x:v>Molluscs</x:v>
      </x:c>
      <x:c r="I34" s="60" t="n">
        <x:v>5669.2671807883</x:v>
      </x:c>
      <x:c r="J34" s="60" t="n">
        <x:v>5669.2671807883</x:v>
      </x:c>
      <x:c r="K34" s="60" t="n">
        <x:v>0</x:v>
      </x:c>
      <x:c r="L34" s="60" t="n">
        <x:v>5267.0564887909995</x:v>
      </x:c>
      <x:c r="M34" s="60" t="n">
        <x:v>402.2106919973</x:v>
      </x:c>
      <x:c r="N34" s="46" t="str">
        <x:v>tagelus dombeii</x:v>
      </x:c>
      <x:c r="O34" s="62" t="n">
        <x:v>2</x:v>
      </x:c>
      <x:c r="P34" s="46" t="str">
        <x:v>exact_sea_around_us</x:v>
      </x:c>
      <x:c r="Q34" s="62" t="str">
        <x:v>Sea Around Us exploited organisms</x:v>
      </x:c>
      <x:c r="R34" s="46" t="str">
        <x:v>high</x:v>
      </x:c>
      <x:c r="S34" s="46" t="str">
        <x:v>Tagelus dombeii</x:v>
      </x:c>
      <x:c r="T34" s="62" t="n">
        <x:f>IF(O34="","",(1/'Metadata'!$B$5)^(O34-1))</x:f>
        <x:v>10</x:v>
      </x:c>
      <x:c r="U34" s="60" t="n">
        <x:f>IF(T34="","",I34*T34)</x:f>
        <x:v>56692.671807883</x:v>
      </x:c>
    </x:row>
    <x:row r="35" ht="18" customHeight="1">
      <x:c r="A35" s="46" t="str">
        <x:v>LME_013</x:v>
      </x:c>
      <x:c r="B35" s="46" t="str">
        <x:v>Humboldt Current</x:v>
      </x:c>
      <x:c r="C35" s="46" t="str">
        <x:v>LME</x:v>
      </x:c>
      <x:c r="D35" s="58" t="n">
        <x:v>2019</x:v>
      </x:c>
      <x:c r="E35" s="46" t="str">
        <x:v>Odontesthes regia</x:v>
      </x:c>
      <x:c r="F35" s="46" t="str">
        <x:v>Chilean silverside</x:v>
      </x:c>
      <x:c r="G35" s="46" t="str">
        <x:v>Small pelagics (&lt;30 cm)</x:v>
      </x:c>
      <x:c r="H35" s="46" t="str">
        <x:v>Other fishes &amp; inverts</x:v>
      </x:c>
      <x:c r="I35" s="60" t="n">
        <x:v>5417.9043641544</x:v>
      </x:c>
      <x:c r="J35" s="60" t="n">
        <x:v>5417.9043641544</x:v>
      </x:c>
      <x:c r="K35" s="60" t="n">
        <x:v>0</x:v>
      </x:c>
      <x:c r="L35" s="60" t="n">
        <x:v>4629.227013243</x:v>
      </x:c>
      <x:c r="M35" s="60" t="n">
        <x:v>788.6773509114</x:v>
      </x:c>
      <x:c r="N35" s="46" t="str">
        <x:v>odontesthes regia</x:v>
      </x:c>
      <x:c r="O35" s="62" t="n">
        <x:v>4</x:v>
      </x:c>
      <x:c r="P35" s="46" t="str">
        <x:v>exact_2020_supplement</x:v>
      </x:c>
      <x:c r="Q35" s="62" t="str">
        <x:v>2020 supplement MeanTL</x:v>
      </x:c>
      <x:c r="R35" s="46" t="str">
        <x:v>high</x:v>
      </x:c>
      <x:c r="S35" s="46" t="str">
        <x:v>Odontesthes regia</x:v>
      </x:c>
      <x:c r="T35" s="62" t="n">
        <x:f>IF(O35="","",(1/'Metadata'!$B$5)^(O35-1))</x:f>
        <x:v>1000</x:v>
      </x:c>
      <x:c r="U35" s="60" t="n">
        <x:f>IF(T35="","",I35*T35)</x:f>
        <x:v>5417904.3641544</x:v>
      </x:c>
    </x:row>
    <x:row r="36" ht="18" customHeight="1">
      <x:c r="A36" s="46" t="str">
        <x:v>LME_013</x:v>
      </x:c>
      <x:c r="B36" s="46" t="str">
        <x:v>Humboldt Current</x:v>
      </x:c>
      <x:c r="C36" s="46" t="str">
        <x:v>LME</x:v>
      </x:c>
      <x:c r="D36" s="58" t="n">
        <x:v>2019</x:v>
      </x:c>
      <x:c r="E36" s="46" t="str">
        <x:v>Lithodes santolla</x:v>
      </x:c>
      <x:c r="F36" s="46" t="str">
        <x:v>Southern king crab</x:v>
      </x:c>
      <x:c r="G36" s="46" t="str">
        <x:v>Lobsters, crabs</x:v>
      </x:c>
      <x:c r="H36" s="46" t="str">
        <x:v>Crustaceans</x:v>
      </x:c>
      <x:c r="I36" s="60" t="n">
        <x:v>5361.999467772001</x:v>
      </x:c>
      <x:c r="J36" s="60" t="n">
        <x:v>5361.999467772001</x:v>
      </x:c>
      <x:c r="K36" s="60" t="n">
        <x:v>0</x:v>
      </x:c>
      <x:c r="L36" s="60" t="n">
        <x:v>4927.9359251231</x:v>
      </x:c>
      <x:c r="M36" s="60" t="n">
        <x:v>434.06354264889995</x:v>
      </x:c>
      <x:c r="N36" s="46" t="str">
        <x:v>lithodes santolla</x:v>
      </x:c>
      <x:c r="O36" s="62" t="n">
        <x:v>2.5</x:v>
      </x:c>
      <x:c r="P36" s="46" t="str">
        <x:v>exact_sea_around_us</x:v>
      </x:c>
      <x:c r="Q36" s="62" t="str">
        <x:v>Sea Around Us exploited organisms</x:v>
      </x:c>
      <x:c r="R36" s="46" t="str">
        <x:v>high</x:v>
      </x:c>
      <x:c r="S36" s="46" t="str">
        <x:v>Lithodes santolla</x:v>
      </x:c>
      <x:c r="T36" s="62" t="n">
        <x:f>IF(O36="","",(1/'Metadata'!$B$5)^(O36-1))</x:f>
        <x:v>31.622776601683793</x:v>
      </x:c>
      <x:c r="U36" s="60" t="n">
        <x:f>IF(T36="","",I36*T36)</x:f>
        <x:v>169561.31130770137</x:v>
      </x:c>
    </x:row>
    <x:row r="37" ht="18" customHeight="1">
      <x:c r="A37" s="46" t="str">
        <x:v>LME_013</x:v>
      </x:c>
      <x:c r="B37" s="46" t="str">
        <x:v>Humboldt Current</x:v>
      </x:c>
      <x:c r="C37" s="46" t="str">
        <x:v>LME</x:v>
      </x:c>
      <x:c r="D37" s="58" t="n">
        <x:v>2019</x:v>
      </x:c>
      <x:c r="E37" s="46" t="str">
        <x:v>Elasmobranchii</x:v>
      </x:c>
      <x:c r="F37" s="46" t="str">
        <x:v>Sharks, rays, skates</x:v>
      </x:c>
      <x:c r="G37" s="46" t="str">
        <x:v>Large sharks (&gt;=90 cm)</x:v>
      </x:c>
      <x:c r="H37" s="46" t="str">
        <x:v>Sharks &amp; rays</x:v>
      </x:c>
      <x:c r="I37" s="60" t="n">
        <x:v>5275.534640186101</x:v>
      </x:c>
      <x:c r="J37" s="60" t="n">
        <x:v>4925.337380684399</x:v>
      </x:c>
      <x:c r="K37" s="60" t="n">
        <x:v>350.1972595017</x:v>
      </x:c>
      <x:c r="L37" s="60" t="n">
        <x:v>4921.4522888201</x:v>
      </x:c>
      <x:c r="M37" s="60" t="n">
        <x:v>354.082351366</x:v>
      </x:c>
      <x:c r="N37" s="46" t="str">
        <x:v>elasmobranchii</x:v>
      </x:c>
      <x:c r="O37" s="62" t="n">
        <x:v>4.05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Elasmobranchii</x:v>
      </x:c>
      <x:c r="T37" s="62" t="n">
        <x:f>IF(O37="","",(1/'Metadata'!$B$5)^(O37-1))</x:f>
        <x:v>1122.018454301963</x:v>
      </x:c>
      <x:c r="U37" s="60" t="n">
        <x:f>IF(T37="","",I37*T37)</x:f>
        <x:v>5919247.222598071</x:v>
      </x:c>
    </x:row>
    <x:row r="38" ht="18" customHeight="1">
      <x:c r="A38" s="46" t="str">
        <x:v>LME_013</x:v>
      </x:c>
      <x:c r="B38" s="46" t="str">
        <x:v>Humboldt Current</x:v>
      </x:c>
      <x:c r="C38" s="46" t="str">
        <x:v>LME</x:v>
      </x:c>
      <x:c r="D38" s="58" t="n">
        <x:v>2019</x:v>
      </x:c>
      <x:c r="E38" s="46" t="str">
        <x:v>Paralomis granulosa</x:v>
      </x:c>
      <x:c r="F38" s="46" t="str">
        <x:v>Softshell red crab</x:v>
      </x:c>
      <x:c r="G38" s="46" t="str">
        <x:v>Lobsters, crabs</x:v>
      </x:c>
      <x:c r="H38" s="46" t="str">
        <x:v>Crustaceans</x:v>
      </x:c>
      <x:c r="I38" s="60" t="n">
        <x:v>4895.4222170565</x:v>
      </x:c>
      <x:c r="J38" s="60" t="n">
        <x:v>4895.4222170565</x:v>
      </x:c>
      <x:c r="K38" s="60" t="n">
        <x:v>0</x:v>
      </x:c>
      <x:c r="L38" s="60" t="n">
        <x:v>4611.1189427511</x:v>
      </x:c>
      <x:c r="M38" s="60" t="n">
        <x:v>284.30327430539995</x:v>
      </x:c>
      <x:c r="N38" s="46" t="str">
        <x:v>paralomis granulosa</x:v>
      </x:c>
      <x:c r="O38" s="62" t="n">
        <x:v>2.3</x:v>
      </x:c>
      <x:c r="P38" s="46" t="str">
        <x:v>exact_sea_around_us</x:v>
      </x:c>
      <x:c r="Q38" s="62" t="str">
        <x:v>Sea Around Us exploited organisms</x:v>
      </x:c>
      <x:c r="R38" s="46" t="str">
        <x:v>high</x:v>
      </x:c>
      <x:c r="S38" s="46" t="str">
        <x:v>Paralomis granulosa</x:v>
      </x:c>
      <x:c r="T38" s="62" t="n">
        <x:f>IF(O38="","",(1/'Metadata'!$B$5)^(O38-1))</x:f>
        <x:v>19.952623149688787</x:v>
      </x:c>
      <x:c r="U38" s="60" t="n">
        <x:f>IF(T38="","",I38*T38)</x:f>
        <x:v>97676.51465554233</x:v>
      </x:c>
    </x:row>
    <x:row r="39" ht="18" customHeight="1">
      <x:c r="A39" s="46" t="str">
        <x:v>LME_013</x:v>
      </x:c>
      <x:c r="B39" s="46" t="str">
        <x:v>Humboldt Current</x:v>
      </x:c>
      <x:c r="C39" s="46" t="str">
        <x:v>LME</x:v>
      </x:c>
      <x:c r="D39" s="58" t="n">
        <x:v>2019</x:v>
      </x:c>
      <x:c r="E39" s="46" t="str">
        <x:v>Sardinops sagax</x:v>
      </x:c>
      <x:c r="F39" s="46" t="str">
        <x:v>South American pilchard</x:v>
      </x:c>
      <x:c r="G39" s="46" t="str">
        <x:v>Medium pelagics (30 - 89 cm)</x:v>
      </x:c>
      <x:c r="H39" s="46" t="str">
        <x:v>Herring-likes</x:v>
      </x:c>
      <x:c r="I39" s="60" t="n">
        <x:v>3986.1454750827997</x:v>
      </x:c>
      <x:c r="J39" s="60" t="n">
        <x:v>3986.1454750827997</x:v>
      </x:c>
      <x:c r="K39" s="60" t="n">
        <x:v>0</x:v>
      </x:c>
      <x:c r="L39" s="60" t="n">
        <x:v>1516.3218690589</x:v>
      </x:c>
      <x:c r="M39" s="60" t="n">
        <x:v>2469.8236060239</x:v>
      </x:c>
      <x:c r="N39" s="46" t="str">
        <x:v>sardinops sagax</x:v>
      </x:c>
      <x:c r="O39" s="62" t="n">
        <x:v>2.84</x:v>
      </x:c>
      <x:c r="P39" s="46" t="str">
        <x:v>exact_2020_supplement</x:v>
      </x:c>
      <x:c r="Q39" s="62" t="str">
        <x:v>2020 supplement MeanTL</x:v>
      </x:c>
      <x:c r="R39" s="46" t="str">
        <x:v>high</x:v>
      </x:c>
      <x:c r="S39" s="46" t="str">
        <x:v>Sardinops sagax</x:v>
      </x:c>
      <x:c r="T39" s="62" t="n">
        <x:f>IF(O39="","",(1/'Metadata'!$B$5)^(O39-1))</x:f>
        <x:v>69.18309709189363</x:v>
      </x:c>
      <x:c r="U39" s="60" t="n">
        <x:f>IF(T39="","",I39*T39)</x:f>
        <x:v>275773.8894250658</x:v>
      </x:c>
    </x:row>
    <x:row r="40" ht="18" customHeight="1">
      <x:c r="A40" s="46" t="str">
        <x:v>LME_013</x:v>
      </x:c>
      <x:c r="B40" s="46" t="str">
        <x:v>Humboldt Current</x:v>
      </x:c>
      <x:c r="C40" s="46" t="str">
        <x:v>LME</x:v>
      </x:c>
      <x:c r="D40" s="58" t="n">
        <x:v>2019</x:v>
      </x:c>
      <x:c r="E40" s="46" t="str">
        <x:v>Decapoda</x:v>
      </x:c>
      <x:c r="F40" s="46" t="str">
        <x:v>Crabs, lobsters, shrimps</x:v>
      </x:c>
      <x:c r="G40" s="46" t="str">
        <x:v>Lobsters, crabs</x:v>
      </x:c>
      <x:c r="H40" s="46" t="str">
        <x:v>Crustaceans</x:v>
      </x:c>
      <x:c r="I40" s="60" t="n">
        <x:v>3822.507856927</x:v>
      </x:c>
      <x:c r="J40" s="60" t="n">
        <x:v>3822.507856927</x:v>
      </x:c>
      <x:c r="K40" s="60" t="n">
        <x:v>0</x:v>
      </x:c>
      <x:c r="L40" s="60" t="n">
        <x:v>3822.507856927</x:v>
      </x:c>
      <x:c r="M40" s="60" t="n">
        <x:v>0</x:v>
      </x:c>
      <x:c r="N40" s="46" t="str">
        <x:v>decapoda</x:v>
      </x:c>
      <x:c r="O40" s="62" t="n">
        <x:v>3.43</x:v>
      </x:c>
      <x:c r="P40" s="46" t="str">
        <x:v>exact_sea_around_us</x:v>
      </x:c>
      <x:c r="Q40" s="62" t="str">
        <x:v>Sea Around Us exploited organisms</x:v>
      </x:c>
      <x:c r="R40" s="46" t="str">
        <x:v>high</x:v>
      </x:c>
      <x:c r="S40" s="46" t="str">
        <x:v>Decapoda</x:v>
      </x:c>
      <x:c r="T40" s="62" t="n">
        <x:f>IF(O40="","",(1/'Metadata'!$B$5)^(O40-1))</x:f>
        <x:v>269.1534803926917</x:v>
      </x:c>
      <x:c r="U40" s="60" t="n">
        <x:f>IF(T40="","",I40*T40)</x:f>
        <x:v>1028841.2935203111</x:v>
      </x:c>
    </x:row>
    <x:row r="41" ht="18" customHeight="1">
      <x:c r="A41" s="46" t="str">
        <x:v>LME_013</x:v>
      </x:c>
      <x:c r="B41" s="46" t="str">
        <x:v>Humboldt Current</x:v>
      </x:c>
      <x:c r="C41" s="46" t="str">
        <x:v>LME</x:v>
      </x:c>
      <x:c r="D41" s="58" t="n">
        <x:v>2019</x:v>
      </x:c>
      <x:c r="E41" s="46" t="str">
        <x:v>Thyrsites atun</x:v>
      </x:c>
      <x:c r="F41" s="46" t="str">
        <x:v>Snoek</x:v>
      </x:c>
      <x:c r="G41" s="46" t="str">
        <x:v>Large benthopelagics (&gt;=90 cm)</x:v>
      </x:c>
      <x:c r="H41" s="46" t="str">
        <x:v>Perch-likes</x:v>
      </x:c>
      <x:c r="I41" s="60" t="n">
        <x:v>3279.5940435284</x:v>
      </x:c>
      <x:c r="J41" s="60" t="n">
        <x:v>3279.5940435284</x:v>
      </x:c>
      <x:c r="K41" s="60" t="n">
        <x:v>0</x:v>
      </x:c>
      <x:c r="L41" s="60" t="n">
        <x:v>2925.7125607107</x:v>
      </x:c>
      <x:c r="M41" s="60" t="n">
        <x:v>353.8814828177</x:v>
      </x:c>
      <x:c r="N41" s="46" t="str">
        <x:v>thyrsites atun</x:v>
      </x:c>
      <x:c r="O41" s="62" t="n">
        <x:v>3.63</x:v>
      </x:c>
      <x:c r="P41" s="46" t="str">
        <x:v>exact_2020_supplement</x:v>
      </x:c>
      <x:c r="Q41" s="62" t="str">
        <x:v>2020 supplement MeanTL</x:v>
      </x:c>
      <x:c r="R41" s="46" t="str">
        <x:v>high</x:v>
      </x:c>
      <x:c r="S41" s="46" t="str">
        <x:v>Thyrsites atun</x:v>
      </x:c>
      <x:c r="T41" s="62" t="n">
        <x:f>IF(O41="","",(1/'Metadata'!$B$5)^(O41-1))</x:f>
        <x:v>426.57951880159254</x:v>
      </x:c>
      <x:c r="U41" s="60" t="n">
        <x:f>IF(T41="","",I41*T41)</x:f>
        <x:v>1399007.6489529142</x:v>
      </x:c>
    </x:row>
    <x:row r="42" ht="18" customHeight="1">
      <x:c r="A42" s="46" t="str">
        <x:v>LME_013</x:v>
      </x:c>
      <x:c r="B42" s="46" t="str">
        <x:v>Humboldt Current</x:v>
      </x:c>
      <x:c r="C42" s="46" t="str">
        <x:v>LME</x:v>
      </x:c>
      <x:c r="D42" s="58" t="n">
        <x:v>2019</x:v>
      </x:c>
      <x:c r="E42" s="46" t="str">
        <x:v>Selene peruviana</x:v>
      </x:c>
      <x:c r="F42" s="46" t="str">
        <x:v>Peruvian moonfish</x:v>
      </x:c>
      <x:c r="G42" s="46" t="str">
        <x:v>Small pelagics (&lt;30 cm)</x:v>
      </x:c>
      <x:c r="H42" s="46" t="str">
        <x:v>Perch-likes</x:v>
      </x:c>
      <x:c r="I42" s="60" t="n">
        <x:v>3244.6077264285996</x:v>
      </x:c>
      <x:c r="J42" s="60" t="n">
        <x:v>3244.6077264285996</x:v>
      </x:c>
      <x:c r="K42" s="60" t="n">
        <x:v>0</x:v>
      </x:c>
      <x:c r="L42" s="60" t="n">
        <x:v>3244.6077264285996</x:v>
      </x:c>
      <x:c r="M42" s="60" t="n">
        <x:v>0</x:v>
      </x:c>
      <x:c r="N42" s="46" t="str">
        <x:v>selene peruviana</x:v>
      </x:c>
      <x:c r="O42" s="62" t="n">
        <x:v>4.26</x:v>
      </x:c>
      <x:c r="P42" s="46" t="str">
        <x:v>exact_2020_supplement</x:v>
      </x:c>
      <x:c r="Q42" s="62" t="str">
        <x:v>2020 supplement MeanTL</x:v>
      </x:c>
      <x:c r="R42" s="46" t="str">
        <x:v>high</x:v>
      </x:c>
      <x:c r="S42" s="46" t="str">
        <x:v>Selene peruviana</x:v>
      </x:c>
      <x:c r="T42" s="62" t="n">
        <x:f>IF(O42="","",(1/'Metadata'!$B$5)^(O42-1))</x:f>
        <x:v>1819.7008586099826</x:v>
      </x:c>
      <x:c r="U42" s="60" t="n">
        <x:f>IF(T42="","",I42*T42)</x:f>
        <x:v>5904215.465634706</x:v>
      </x:c>
    </x:row>
    <x:row r="43" ht="18" customHeight="1">
      <x:c r="A43" s="46" t="str">
        <x:v>LME_013</x:v>
      </x:c>
      <x:c r="B43" s="46" t="str">
        <x:v>Humboldt Current</x:v>
      </x:c>
      <x:c r="C43" s="46" t="str">
        <x:v>LME</x:v>
      </x:c>
      <x:c r="D43" s="58" t="n">
        <x:v>2019</x:v>
      </x:c>
      <x:c r="E43" s="46" t="str">
        <x:v>Stromateus stellatus</x:v>
      </x:c>
      <x:c r="F43" s="46" t="str">
        <x:v>Starry butterfish</x:v>
      </x:c>
      <x:c r="G43" s="46" t="str">
        <x:v>Small benthopelagics (&lt;30 cm)</x:v>
      </x:c>
      <x:c r="H43" s="46" t="str">
        <x:v>Perch-likes</x:v>
      </x:c>
      <x:c r="I43" s="60" t="n">
        <x:v>3079.5185024602</x:v>
      </x:c>
      <x:c r="J43" s="60" t="n">
        <x:v>3079.5185024602</x:v>
      </x:c>
      <x:c r="K43" s="60" t="n">
        <x:v>0</x:v>
      </x:c>
      <x:c r="L43" s="60" t="n">
        <x:v>3079.5185024602</x:v>
      </x:c>
      <x:c r="M43" s="60" t="n">
        <x:v>0</x:v>
      </x:c>
      <x:c r="N43" s="46" t="str">
        <x:v>stromateus stellatus</x:v>
      </x:c>
      <x:c r="O43" s="62" t="n">
        <x:v>3.59</x:v>
      </x:c>
      <x:c r="P43" s="46" t="str">
        <x:v>exact_sea_around_us</x:v>
      </x:c>
      <x:c r="Q43" s="62" t="str">
        <x:v>Sea Around Us exploited organisms</x:v>
      </x:c>
      <x:c r="R43" s="46" t="str">
        <x:v>high</x:v>
      </x:c>
      <x:c r="S43" s="46" t="str">
        <x:v>Stromateus stellatus</x:v>
      </x:c>
      <x:c r="T43" s="62" t="n">
        <x:f>IF(O43="","",(1/'Metadata'!$B$5)^(O43-1))</x:f>
        <x:v>389.04514499428046</x:v>
      </x:c>
      <x:c r="U43" s="60" t="n">
        <x:f>IF(T43="","",I43*T43)</x:f>
        <x:v>1198071.722302198</x:v>
      </x:c>
    </x:row>
    <x:row r="44" ht="18" customHeight="1">
      <x:c r="A44" s="46" t="str">
        <x:v>LME_013</x:v>
      </x:c>
      <x:c r="B44" s="46" t="str">
        <x:v>Humboldt Current</x:v>
      </x:c>
      <x:c r="C44" s="46" t="str">
        <x:v>LME</x:v>
      </x:c>
      <x:c r="D44" s="58" t="n">
        <x:v>2019</x:v>
      </x:c>
      <x:c r="E44" s="46" t="str">
        <x:v>Gastropoda</x:v>
      </x:c>
      <x:c r="F44" s="46" t="str">
        <x:v>Sea snails</x:v>
      </x:c>
      <x:c r="G44" s="46" t="str">
        <x:v>Other demersal invertebrates</x:v>
      </x:c>
      <x:c r="H44" s="46" t="str">
        <x:v>Molluscs</x:v>
      </x:c>
      <x:c r="I44" s="60" t="n">
        <x:v>3027.7772123269</x:v>
      </x:c>
      <x:c r="J44" s="60" t="n">
        <x:v>3027.7772123269</x:v>
      </x:c>
      <x:c r="K44" s="60" t="n">
        <x:v>0</x:v>
      </x:c>
      <x:c r="L44" s="60" t="n">
        <x:v>2673.431680571</x:v>
      </x:c>
      <x:c r="M44" s="60" t="n">
        <x:v>354.34553175589997</x:v>
      </x:c>
      <x:c r="N44" s="46" t="str">
        <x:v>gastropoda</x:v>
      </x:c>
      <x:c r="O44" s="62" t="n">
        <x:v>3.06</x:v>
      </x:c>
      <x:c r="P44" s="46" t="str">
        <x:v>exact_sea_around_us</x:v>
      </x:c>
      <x:c r="Q44" s="62" t="str">
        <x:v>Sea Around Us exploited organisms</x:v>
      </x:c>
      <x:c r="R44" s="46" t="str">
        <x:v>high</x:v>
      </x:c>
      <x:c r="S44" s="46" t="str">
        <x:v>Gastropoda</x:v>
      </x:c>
      <x:c r="T44" s="62" t="n">
        <x:f>IF(O44="","",(1/'Metadata'!$B$5)^(O44-1))</x:f>
        <x:v>114.81536214968828</x:v>
      </x:c>
      <x:c r="U44" s="60" t="n">
        <x:f>IF(T44="","",I44*T44)</x:f>
        <x:v>347635.33714188664</x:v>
      </x:c>
    </x:row>
    <x:row r="45" ht="18" customHeight="1">
      <x:c r="A45" s="46" t="str">
        <x:v>LME_013</x:v>
      </x:c>
      <x:c r="B45" s="46" t="str">
        <x:v>Humboldt Current</x:v>
      </x:c>
      <x:c r="C45" s="46" t="str">
        <x:v>LME</x:v>
      </x:c>
      <x:c r="D45" s="58" t="n">
        <x:v>2019</x:v>
      </x:c>
      <x:c r="E45" s="46" t="str">
        <x:v>Paralabrax humeralis</x:v>
      </x:c>
      <x:c r="F45" s="46" t="str">
        <x:v>Peruvian rock seabass</x:v>
      </x:c>
      <x:c r="G45" s="46" t="str">
        <x:v>Medium benthopelagics (30 - 89 cm)</x:v>
      </x:c>
      <x:c r="H45" s="46" t="str">
        <x:v>Perch-likes</x:v>
      </x:c>
      <x:c r="I45" s="60" t="n">
        <x:v>3020.2519044169</x:v>
      </x:c>
      <x:c r="J45" s="60" t="n">
        <x:v>3009.6906661795997</x:v>
      </x:c>
      <x:c r="K45" s="60" t="n">
        <x:v>10.5612382373</x:v>
      </x:c>
      <x:c r="L45" s="60" t="n">
        <x:v>2646.742135724</x:v>
      </x:c>
      <x:c r="M45" s="60" t="n">
        <x:v>373.5097686929</x:v>
      </x:c>
      <x:c r="N45" s="46" t="str">
        <x:v>paralabrax humeralis</x:v>
      </x:c>
      <x:c r="O45" s="62" t="n">
        <x:v>4.12</x:v>
      </x:c>
      <x:c r="P45" s="46" t="str">
        <x:v>exact_2020_supplement</x:v>
      </x:c>
      <x:c r="Q45" s="62" t="str">
        <x:v>2020 supplement MeanTL</x:v>
      </x:c>
      <x:c r="R45" s="46" t="str">
        <x:v>high</x:v>
      </x:c>
      <x:c r="S45" s="46" t="str">
        <x:v>Paralabrax humeralis</x:v>
      </x:c>
      <x:c r="T45" s="62" t="n">
        <x:f>IF(O45="","",(1/'Metadata'!$B$5)^(O45-1))</x:f>
        <x:v>1318.2567385564075</x:v>
      </x:c>
      <x:c r="U45" s="60" t="n">
        <x:f>IF(T45="","",I45*T45)</x:f>
        <x:v>3981467.425135401</x:v>
      </x:c>
    </x:row>
    <x:row r="46" ht="18" customHeight="1">
      <x:c r="A46" s="46" t="str">
        <x:v>LME_013</x:v>
      </x:c>
      <x:c r="B46" s="46" t="str">
        <x:v>Humboldt Current</x:v>
      </x:c>
      <x:c r="C46" s="46" t="str">
        <x:v>LME</x:v>
      </x:c>
      <x:c r="D46" s="58" t="n">
        <x:v>2019</x:v>
      </x:c>
      <x:c r="E46" s="46" t="str">
        <x:v>Penaeus californiensis</x:v>
      </x:c>
      <x:c r="F46" s="46" t="str">
        <x:v>Yellowleg shrimp</x:v>
      </x:c>
      <x:c r="G46" s="46" t="str">
        <x:v>Shrimps</x:v>
      </x:c>
      <x:c r="H46" s="46" t="str">
        <x:v>Crustaceans</x:v>
      </x:c>
      <x:c r="I46" s="60" t="n">
        <x:v>2903.7471662438</x:v>
      </x:c>
      <x:c r="J46" s="60" t="n">
        <x:v>2903.7471662438</x:v>
      </x:c>
      <x:c r="K46" s="60" t="n">
        <x:v>0</x:v>
      </x:c>
      <x:c r="L46" s="60" t="n">
        <x:v>2903.7471662438</x:v>
      </x:c>
      <x:c r="M46" s="60" t="n">
        <x:v>0</x:v>
      </x:c>
      <x:c r="N46" s="46" t="str">
        <x:v>penaeus californiensis</x:v>
      </x:c>
      <x:c r="O46" s="62" t="n">
        <x:v>2.7</x:v>
      </x:c>
      <x:c r="P46" s="46" t="str">
        <x:v>exact_sea_around_us</x:v>
      </x:c>
      <x:c r="Q46" s="62" t="str">
        <x:v>Sea Around Us exploited organisms</x:v>
      </x:c>
      <x:c r="R46" s="46" t="str">
        <x:v>high</x:v>
      </x:c>
      <x:c r="S46" s="46" t="str">
        <x:v>Penaeus californiensis</x:v>
      </x:c>
      <x:c r="T46" s="62" t="n">
        <x:f>IF(O46="","",(1/'Metadata'!$B$5)^(O46-1))</x:f>
        <x:v>50.11872336272725</x:v>
      </x:c>
      <x:c r="U46" s="60" t="n">
        <x:f>IF(T46="","",I46*T46)</x:f>
        <x:v>145532.1009402762</x:v>
      </x:c>
    </x:row>
    <x:row r="47" ht="18" customHeight="1">
      <x:c r="A47" s="46" t="str">
        <x:v>LME_013</x:v>
      </x:c>
      <x:c r="B47" s="46" t="str">
        <x:v>Humboldt Current</x:v>
      </x:c>
      <x:c r="C47" s="46" t="str">
        <x:v>LME</x:v>
      </x:c>
      <x:c r="D47" s="58" t="n">
        <x:v>2019</x:v>
      </x:c>
      <x:c r="E47" s="46" t="str">
        <x:v>Cilus gilberti</x:v>
      </x:c>
      <x:c r="F47" s="46" t="str">
        <x:v>Corvina drum</x:v>
      </x:c>
      <x:c r="G47" s="46" t="str">
        <x:v>Medium demersals (30 - 89 cm)</x:v>
      </x:c>
      <x:c r="H47" s="46" t="str">
        <x:v>Perch-likes</x:v>
      </x:c>
      <x:c r="I47" s="60" t="n">
        <x:v>2788.7327549762</x:v>
      </x:c>
      <x:c r="J47" s="60" t="n">
        <x:v>2786.7751886085</x:v>
      </x:c>
      <x:c r="K47" s="60" t="n">
        <x:v>1.9575663677</x:v>
      </x:c>
      <x:c r="L47" s="60" t="n">
        <x:v>2409.12833747</x:v>
      </x:c>
      <x:c r="M47" s="60" t="n">
        <x:v>379.6044175062</x:v>
      </x:c>
      <x:c r="N47" s="46" t="str">
        <x:v>cilus gilberti</x:v>
      </x:c>
      <x:c r="O47" s="62" t="n">
        <x:v>3.67</x:v>
      </x:c>
      <x:c r="P47" s="46" t="str">
        <x:v>exact_sea_around_us</x:v>
      </x:c>
      <x:c r="Q47" s="62" t="str">
        <x:v>Sea Around Us exploited organisms</x:v>
      </x:c>
      <x:c r="R47" s="46" t="str">
        <x:v>high</x:v>
      </x:c>
      <x:c r="S47" s="46" t="str">
        <x:v>Cilus gilberti</x:v>
      </x:c>
      <x:c r="T47" s="62" t="n">
        <x:f>IF(O47="","",(1/'Metadata'!$B$5)^(O47-1))</x:f>
        <x:v>467.73514128719813</x:v>
      </x:c>
      <x:c r="U47" s="60" t="n">
        <x:f>IF(T47="","",I47*T47)</x:f>
        <x:v>1304388.3091610302</x:v>
      </x:c>
    </x:row>
    <x:row r="48" ht="18" customHeight="1">
      <x:c r="A48" s="46" t="str">
        <x:v>LME_013</x:v>
      </x:c>
      <x:c r="B48" s="46" t="str">
        <x:v>Humboldt Current</x:v>
      </x:c>
      <x:c r="C48" s="46" t="str">
        <x:v>LME</x:v>
      </x:c>
      <x:c r="D48" s="58" t="n">
        <x:v>2019</x:v>
      </x:c>
      <x:c r="E48" s="46" t="str">
        <x:v>Grimothea monodon</x:v>
      </x:c>
      <x:c r="F48" s="46" t="str">
        <x:v>Squat Lobster</x:v>
      </x:c>
      <x:c r="G48" s="46" t="str">
        <x:v>Lobsters, crabs</x:v>
      </x:c>
      <x:c r="H48" s="46" t="str">
        <x:v>Crustaceans</x:v>
      </x:c>
      <x:c r="I48" s="60" t="n">
        <x:v>2770.6145615035</x:v>
      </x:c>
      <x:c r="J48" s="60" t="n">
        <x:v>1214.8336854571</x:v>
      </x:c>
      <x:c r="K48" s="60" t="n">
        <x:v>1555.7808760464</x:v>
      </x:c>
      <x:c r="L48" s="60" t="n">
        <x:v>1110.4744092786002</x:v>
      </x:c>
      <x:c r="M48" s="60" t="n">
        <x:v>1660.1401522249</x:v>
      </x:c>
      <x:c r="N48" s="46" t="str">
        <x:v>grimothea monodon</x:v>
      </x:c>
      <x:c r="O48" s="62" t="n">
        <x:v>2.74</x:v>
      </x:c>
      <x:c r="P48" s="46" t="str">
        <x:v>exact_sea_around_us</x:v>
      </x:c>
      <x:c r="Q48" s="62" t="str">
        <x:v>Sea Around Us exploited organisms</x:v>
      </x:c>
      <x:c r="R48" s="46" t="str">
        <x:v>high</x:v>
      </x:c>
      <x:c r="S48" s="46" t="str">
        <x:v>Grimothea monodon</x:v>
      </x:c>
      <x:c r="T48" s="62" t="n">
        <x:f>IF(O48="","",(1/'Metadata'!$B$5)^(O48-1))</x:f>
        <x:v>54.954087385762485</x:v>
      </x:c>
      <x:c r="U48" s="60" t="n">
        <x:f>IF(T48="","",I48*T48)</x:f>
        <x:v>152256.59472512937</x:v>
      </x:c>
    </x:row>
    <x:row r="49" ht="18" customHeight="1">
      <x:c r="A49" s="46" t="str">
        <x:v>LME_013</x:v>
      </x:c>
      <x:c r="B49" s="46" t="str">
        <x:v>Humboldt Current</x:v>
      </x:c>
      <x:c r="C49" s="46" t="str">
        <x:v>LME</x:v>
      </x:c>
      <x:c r="D49" s="58" t="n">
        <x:v>2019</x:v>
      </x:c>
      <x:c r="E49" s="46" t="str">
        <x:v>Tawera gayi</x:v>
      </x:c>
      <x:c r="F49" s="46" t="str">
        <x:v>Gay's little venus</x:v>
      </x:c>
      <x:c r="G49" s="46" t="str">
        <x:v>Other demersal invertebrates</x:v>
      </x:c>
      <x:c r="H49" s="46" t="str">
        <x:v>Molluscs</x:v>
      </x:c>
      <x:c r="I49" s="60" t="n">
        <x:v>2760.7360784053003</x:v>
      </x:c>
      <x:c r="J49" s="60" t="n">
        <x:v>2760.7360784053003</x:v>
      </x:c>
      <x:c r="K49" s="60" t="n">
        <x:v>0</x:v>
      </x:c>
      <x:c r="L49" s="60" t="n">
        <x:v>2516.9215565276004</x:v>
      </x:c>
      <x:c r="M49" s="60" t="n">
        <x:v>243.8145218777</x:v>
      </x:c>
      <x:c r="N49" s="46" t="str">
        <x:v>tawera gayi</x:v>
      </x:c>
      <x:c r="O49" s="62" t="n">
        <x:v>2</x:v>
      </x:c>
      <x:c r="P49" s="46" t="str">
        <x:v>exact_sea_around_us</x:v>
      </x:c>
      <x:c r="Q49" s="62" t="str">
        <x:v>Sea Around Us exploited organisms</x:v>
      </x:c>
      <x:c r="R49" s="46" t="str">
        <x:v>high</x:v>
      </x:c>
      <x:c r="S49" s="46" t="str">
        <x:v>Tawera gayi</x:v>
      </x:c>
      <x:c r="T49" s="62" t="n">
        <x:f>IF(O49="","",(1/'Metadata'!$B$5)^(O49-1))</x:f>
        <x:v>10</x:v>
      </x:c>
      <x:c r="U49" s="60" t="n">
        <x:f>IF(T49="","",I49*T49)</x:f>
        <x:v>27607.360784053002</x:v>
      </x:c>
    </x:row>
    <x:row r="50" ht="18" customHeight="1">
      <x:c r="A50" s="46" t="str">
        <x:v>LME_013</x:v>
      </x:c>
      <x:c r="B50" s="46" t="str">
        <x:v>Humboldt Current</x:v>
      </x:c>
      <x:c r="C50" s="46" t="str">
        <x:v>LME</x:v>
      </x:c>
      <x:c r="D50" s="58" t="n">
        <x:v>2019</x:v>
      </x:c>
      <x:c r="E50" s="46" t="str">
        <x:v>Cancer porteri</x:v>
      </x:c>
      <x:c r="F50" s="46" t="str">
        <x:v>Boco</x:v>
      </x:c>
      <x:c r="G50" s="46" t="str">
        <x:v>Lobsters, crabs</x:v>
      </x:c>
      <x:c r="H50" s="46" t="str">
        <x:v>Crustaceans</x:v>
      </x:c>
      <x:c r="I50" s="60" t="n">
        <x:v>2755.1759180835</x:v>
      </x:c>
      <x:c r="J50" s="60" t="n">
        <x:v>2755.1759180835</x:v>
      </x:c>
      <x:c r="K50" s="60" t="n">
        <x:v>0</x:v>
      </x:c>
      <x:c r="L50" s="60" t="n">
        <x:v>2598.9514705308998</x:v>
      </x:c>
      <x:c r="M50" s="60" t="n">
        <x:v>156.2244475526</x:v>
      </x:c>
      <x:c r="N50" s="46" t="str">
        <x:v>cancer porteri</x:v>
      </x:c>
      <x:c r="O50" s="62" t="n">
        <x:v>2.97</x:v>
      </x:c>
      <x:c r="P50" s="46" t="str">
        <x:v>exact_sea_around_us</x:v>
      </x:c>
      <x:c r="Q50" s="62" t="str">
        <x:v>Sea Around Us exploited organisms</x:v>
      </x:c>
      <x:c r="R50" s="46" t="str">
        <x:v>high</x:v>
      </x:c>
      <x:c r="S50" s="46" t="str">
        <x:v>Cancer porteri</x:v>
      </x:c>
      <x:c r="T50" s="62" t="n">
        <x:f>IF(O50="","",(1/'Metadata'!$B$5)^(O50-1))</x:f>
        <x:v>93.32543007969915</x:v>
      </x:c>
      <x:c r="U50" s="60" t="n">
        <x:f>IF(T50="","",I50*T50)</x:f>
        <x:v>257127.9775003726</x:v>
      </x:c>
    </x:row>
    <x:row r="51" ht="18" customHeight="1">
      <x:c r="A51" s="46" t="str">
        <x:v>LME_013</x:v>
      </x:c>
      <x:c r="B51" s="46" t="str">
        <x:v>Humboldt Current</x:v>
      </x:c>
      <x:c r="C51" s="46" t="str">
        <x:v>LME</x:v>
      </x:c>
      <x:c r="D51" s="58" t="n">
        <x:v>2019</x:v>
      </x:c>
      <x:c r="E51" s="46" t="str">
        <x:v>Pyura chilensis</x:v>
      </x:c>
      <x:c r="F51" s="46" t="str">
        <x:v>Red sea squirt</x:v>
      </x:c>
      <x:c r="G51" s="46" t="str">
        <x:v>Other demersal invertebrates</x:v>
      </x:c>
      <x:c r="H51" s="46" t="str">
        <x:v>Other fishes &amp; inverts</x:v>
      </x:c>
      <x:c r="I51" s="60" t="n">
        <x:v>2644.1123698042</x:v>
      </x:c>
      <x:c r="J51" s="60" t="n">
        <x:v>2644.1123698042</x:v>
      </x:c>
      <x:c r="K51" s="60" t="n">
        <x:v>0</x:v>
      </x:c>
      <x:c r="L51" s="60" t="n">
        <x:v>2474.3490999407</x:v>
      </x:c>
      <x:c r="M51" s="60" t="n">
        <x:v>169.7632698635</x:v>
      </x:c>
      <x:c r="N51" s="46" t="str">
        <x:v>pyura chilensis</x:v>
      </x:c>
      <x:c r="O51" s="62" t="n">
        <x:v>3</x:v>
      </x:c>
      <x:c r="P51" s="46" t="str">
        <x:v>exact_sea_around_us</x:v>
      </x:c>
      <x:c r="Q51" s="62" t="str">
        <x:v>Sea Around Us exploited organisms</x:v>
      </x:c>
      <x:c r="R51" s="46" t="str">
        <x:v>high</x:v>
      </x:c>
      <x:c r="S51" s="46" t="str">
        <x:v>Pyura chilensis</x:v>
      </x:c>
      <x:c r="T51" s="62" t="n">
        <x:f>IF(O51="","",(1/'Metadata'!$B$5)^(O51-1))</x:f>
        <x:v>100</x:v>
      </x:c>
      <x:c r="U51" s="60" t="n">
        <x:f>IF(T51="","",I51*T51)</x:f>
        <x:v>264411.23698042</x:v>
      </x:c>
    </x:row>
    <x:row r="52" ht="18" customHeight="1">
      <x:c r="A52" s="46" t="str">
        <x:v>LME_013</x:v>
      </x:c>
      <x:c r="B52" s="46" t="str">
        <x:v>Humboldt Current</x:v>
      </x:c>
      <x:c r="C52" s="46" t="str">
        <x:v>LME</x:v>
      </x:c>
      <x:c r="D52" s="58" t="n">
        <x:v>2019</x:v>
      </x:c>
      <x:c r="E52" s="46" t="str">
        <x:v>Isurus oxyrinchus</x:v>
      </x:c>
      <x:c r="F52" s="46" t="str">
        <x:v>Shortfin mako</x:v>
      </x:c>
      <x:c r="G52" s="46" t="str">
        <x:v>Large sharks (&gt;=90 cm)</x:v>
      </x:c>
      <x:c r="H52" s="46" t="str">
        <x:v>Sharks &amp; rays</x:v>
      </x:c>
      <x:c r="I52" s="60" t="n">
        <x:v>2554.4848930135</x:v>
      </x:c>
      <x:c r="J52" s="60" t="n">
        <x:v>1811.8420132305</x:v>
      </x:c>
      <x:c r="K52" s="60" t="n">
        <x:v>742.642879783</x:v>
      </x:c>
      <x:c r="L52" s="60" t="n">
        <x:v>1591.2898315716002</x:v>
      </x:c>
      <x:c r="M52" s="60" t="n">
        <x:v>963.1950614419001</x:v>
      </x:c>
      <x:c r="N52" s="46" t="str">
        <x:v>isurus oxyrinchus</x:v>
      </x:c>
      <x:c r="O52" s="62" t="n">
        <x:v>4.5</x:v>
      </x:c>
      <x:c r="P52" s="46" t="str">
        <x:v>exact_2020_supplement</x:v>
      </x:c>
      <x:c r="Q52" s="62" t="str">
        <x:v>2020 supplement MeanTL</x:v>
      </x:c>
      <x:c r="R52" s="46" t="str">
        <x:v>high</x:v>
      </x:c>
      <x:c r="S52" s="46" t="str">
        <x:v>Isurus oxyrinchus</x:v>
      </x:c>
      <x:c r="T52" s="62" t="n">
        <x:f>IF(O52="","",(1/'Metadata'!$B$5)^(O52-1))</x:f>
        <x:v>3162.2776601683795</x:v>
      </x:c>
      <x:c r="U52" s="60" t="n">
        <x:f>IF(T52="","",I52*T52)</x:f>
        <x:v>8077990.510414204</x:v>
      </x:c>
    </x:row>
    <x:row r="53" ht="18" customHeight="1">
      <x:c r="A53" s="46" t="str">
        <x:v>LME_013</x:v>
      </x:c>
      <x:c r="B53" s="46" t="str">
        <x:v>Humboldt Current</x:v>
      </x:c>
      <x:c r="C53" s="46" t="str">
        <x:v>LME</x:v>
      </x:c>
      <x:c r="D53" s="58" t="n">
        <x:v>2019</x:v>
      </x:c>
      <x:c r="E53" s="46" t="str">
        <x:v>Isacia conceptionis</x:v>
      </x:c>
      <x:c r="F53" s="46" t="str">
        <x:v>Cabinza grunt</x:v>
      </x:c>
      <x:c r="G53" s="46" t="str">
        <x:v>Medium benthopelagics (30 - 89 cm)</x:v>
      </x:c>
      <x:c r="H53" s="46" t="str">
        <x:v>Perch-likes</x:v>
      </x:c>
      <x:c r="I53" s="60" t="n">
        <x:v>2379.8036575496003</x:v>
      </x:c>
      <x:c r="J53" s="60" t="n">
        <x:v>2377.9171817992</x:v>
      </x:c>
      <x:c r="K53" s="60" t="n">
        <x:v>1.8864757504</x:v>
      </x:c>
      <x:c r="L53" s="60" t="n">
        <x:v>1749.0639177728</x:v>
      </x:c>
      <x:c r="M53" s="60" t="n">
        <x:v>630.7397397768</x:v>
      </x:c>
      <x:c r="N53" s="46" t="str">
        <x:v>isacia conceptionis</x:v>
      </x:c>
      <x:c r="O53" s="62" t="n">
        <x:v>2.91</x:v>
      </x:c>
      <x:c r="P53" s="46" t="str">
        <x:v>exact_2020_supplement</x:v>
      </x:c>
      <x:c r="Q53" s="62" t="str">
        <x:v>2020 supplement MeanTL</x:v>
      </x:c>
      <x:c r="R53" s="46" t="str">
        <x:v>high</x:v>
      </x:c>
      <x:c r="S53" s="46" t="str">
        <x:v>Isacia conceptionis</x:v>
      </x:c>
      <x:c r="T53" s="62" t="n">
        <x:f>IF(O53="","",(1/'Metadata'!$B$5)^(O53-1))</x:f>
        <x:v>81.28305161640995</x:v>
      </x:c>
      <x:c r="U53" s="60" t="n">
        <x:f>IF(T53="","",I53*T53)</x:f>
        <x:v>193437.70353352535</x:v>
      </x:c>
    </x:row>
    <x:row r="54" ht="18" customHeight="1">
      <x:c r="A54" s="46" t="str">
        <x:v>LME_013</x:v>
      </x:c>
      <x:c r="B54" s="46" t="str">
        <x:v>Humboldt Current</x:v>
      </x:c>
      <x:c r="C54" s="46" t="str">
        <x:v>LME</x:v>
      </x:c>
      <x:c r="D54" s="58" t="n">
        <x:v>2019</x:v>
      </x:c>
      <x:c r="E54" s="46" t="str">
        <x:v>Choromytilus chorus</x:v>
      </x:c>
      <x:c r="F54" s="46" t="str">
        <x:v>Choro mussel</x:v>
      </x:c>
      <x:c r="G54" s="46" t="str">
        <x:v>Other demersal invertebrates</x:v>
      </x:c>
      <x:c r="H54" s="46" t="str">
        <x:v>Molluscs</x:v>
      </x:c>
      <x:c r="I54" s="60" t="n">
        <x:v>2363.8535368464</x:v>
      </x:c>
      <x:c r="J54" s="60" t="n">
        <x:v>2363.8535368464</x:v>
      </x:c>
      <x:c r="K54" s="60" t="n">
        <x:v>0</x:v>
      </x:c>
      <x:c r="L54" s="60" t="n">
        <x:v>2232.1805248552996</x:v>
      </x:c>
      <x:c r="M54" s="60" t="n">
        <x:v>131.6730119911</x:v>
      </x:c>
      <x:c r="N54" s="46" t="str">
        <x:v>choromytilus chorus</x:v>
      </x:c>
      <x:c r="O54" s="62" t="n">
        <x:v>2</x:v>
      </x:c>
      <x:c r="P54" s="46" t="str">
        <x:v>exact_sea_around_us</x:v>
      </x:c>
      <x:c r="Q54" s="62" t="str">
        <x:v>Sea Around Us exploited organisms</x:v>
      </x:c>
      <x:c r="R54" s="46" t="str">
        <x:v>high</x:v>
      </x:c>
      <x:c r="S54" s="46" t="str">
        <x:v>Choromytilus chorus</x:v>
      </x:c>
      <x:c r="T54" s="62" t="n">
        <x:f>IF(O54="","",(1/'Metadata'!$B$5)^(O54-1))</x:f>
        <x:v>10</x:v>
      </x:c>
      <x:c r="U54" s="60" t="n">
        <x:f>IF(T54="","",I54*T54)</x:f>
        <x:v>23638.535368464</x:v>
      </x:c>
    </x:row>
    <x:row r="55" ht="18" customHeight="1">
      <x:c r="A55" s="46" t="str">
        <x:v>LME_013</x:v>
      </x:c>
      <x:c r="B55" s="46" t="str">
        <x:v>Humboldt Current</x:v>
      </x:c>
      <x:c r="C55" s="46" t="str">
        <x:v>LME</x:v>
      </x:c>
      <x:c r="D55" s="58" t="n">
        <x:v>2019</x:v>
      </x:c>
      <x:c r="E55" s="46" t="str">
        <x:v>Concholepas concholepas</x:v>
      </x:c>
      <x:c r="F55" s="46" t="str">
        <x:v>False abalone</x:v>
      </x:c>
      <x:c r="G55" s="46" t="str">
        <x:v>Other demersal invertebrates</x:v>
      </x:c>
      <x:c r="H55" s="46" t="str">
        <x:v>Molluscs</x:v>
      </x:c>
      <x:c r="I55" s="60" t="n">
        <x:v>2311.8832209545</x:v>
      </x:c>
      <x:c r="J55" s="60" t="n">
        <x:v>2311.8832209545</x:v>
      </x:c>
      <x:c r="K55" s="60" t="n">
        <x:v>0</x:v>
      </x:c>
      <x:c r="L55" s="60" t="n">
        <x:v>2123.2311281444</x:v>
      </x:c>
      <x:c r="M55" s="60" t="n">
        <x:v>188.6520928101</x:v>
      </x:c>
      <x:c r="N55" s="46" t="str">
        <x:v>concholepas concholepas</x:v>
      </x:c>
      <x:c r="O55" s="62" t="n">
        <x:v>3.18</x:v>
      </x:c>
      <x:c r="P55" s="46" t="str">
        <x:v>exact_2020_supplement</x:v>
      </x:c>
      <x:c r="Q55" s="62" t="str">
        <x:v>2020 supplement MeanTL</x:v>
      </x:c>
      <x:c r="R55" s="46" t="str">
        <x:v>high</x:v>
      </x:c>
      <x:c r="S55" s="46" t="str">
        <x:v>Concholepas concholepas</x:v>
      </x:c>
      <x:c r="T55" s="62" t="n">
        <x:f>IF(O55="","",(1/'Metadata'!$B$5)^(O55-1))</x:f>
        <x:v>151.35612484362088</x:v>
      </x:c>
      <x:c r="U55" s="60" t="n">
        <x:f>IF(T55="","",I55*T55)</x:f>
        <x:v>349917.68541466165</x:v>
      </x:c>
    </x:row>
    <x:row r="56" ht="18" customHeight="1">
      <x:c r="A56" s="46" t="str">
        <x:v>LME_013</x:v>
      </x:c>
      <x:c r="B56" s="46" t="str">
        <x:v>Humboldt Current</x:v>
      </x:c>
      <x:c r="C56" s="46" t="str">
        <x:v>LME</x:v>
      </x:c>
      <x:c r="D56" s="58" t="n">
        <x:v>2019</x:v>
      </x:c>
      <x:c r="E56" s="46" t="str">
        <x:v>Macruronus magellanicus</x:v>
      </x:c>
      <x:c r="F56" s="46" t="str">
        <x:v>Patagonian grenadier</x:v>
      </x:c>
      <x:c r="G56" s="46" t="str">
        <x:v>Large benthopelagics (&gt;=90 cm)</x:v>
      </x:c>
      <x:c r="H56" s="46" t="str">
        <x:v>Cod-likes</x:v>
      </x:c>
      <x:c r="I56" s="60" t="n">
        <x:v>2182.2010624613</x:v>
      </x:c>
      <x:c r="J56" s="60" t="n">
        <x:v>2182.2010624613</x:v>
      </x:c>
      <x:c r="K56" s="60" t="n">
        <x:v>0</x:v>
      </x:c>
      <x:c r="L56" s="60" t="n">
        <x:v>2179.4471165095997</x:v>
      </x:c>
      <x:c r="M56" s="60" t="n">
        <x:v>2.7539459517</x:v>
      </x:c>
      <x:c r="N56" s="46" t="str">
        <x:v>macruronus magellanicus</x:v>
      </x:c>
      <x:c r="O56" s="62" t="n">
        <x:v>3.93</x:v>
      </x:c>
      <x:c r="P56" s="46" t="str">
        <x:v>exact_2020_supplement</x:v>
      </x:c>
      <x:c r="Q56" s="62" t="str">
        <x:v>2020 supplement MeanTL</x:v>
      </x:c>
      <x:c r="R56" s="46" t="str">
        <x:v>high</x:v>
      </x:c>
      <x:c r="S56" s="46" t="str">
        <x:v>Macruronus magellanicus</x:v>
      </x:c>
      <x:c r="T56" s="62" t="n">
        <x:f>IF(O56="","",(1/'Metadata'!$B$5)^(O56-1))</x:f>
        <x:v>851.1380382023768</x:v>
      </x:c>
      <x:c r="U56" s="60" t="n">
        <x:f>IF(T56="","",I56*T56)</x:f>
        <x:v>1857354.3312664533</x:v>
      </x:c>
    </x:row>
    <x:row r="57" ht="18" customHeight="1">
      <x:c r="A57" s="46" t="str">
        <x:v>LME_013</x:v>
      </x:c>
      <x:c r="B57" s="46" t="str">
        <x:v>Humboldt Current</x:v>
      </x:c>
      <x:c r="C57" s="46" t="str">
        <x:v>LME</x:v>
      </x:c>
      <x:c r="D57" s="58" t="n">
        <x:v>2019</x:v>
      </x:c>
      <x:c r="E57" s="46" t="str">
        <x:v>Mesodesma donacium</x:v>
      </x:c>
      <x:c r="F57" s="46" t="str">
        <x:v>Macha clam</x:v>
      </x:c>
      <x:c r="G57" s="46" t="str">
        <x:v>Other demersal invertebrates</x:v>
      </x:c>
      <x:c r="H57" s="46" t="str">
        <x:v>Molluscs</x:v>
      </x:c>
      <x:c r="I57" s="60" t="n">
        <x:v>2113.9429160852</x:v>
      </x:c>
      <x:c r="J57" s="60" t="n">
        <x:v>2113.9429160852</x:v>
      </x:c>
      <x:c r="K57" s="60" t="n">
        <x:v>0</x:v>
      </x:c>
      <x:c r="L57" s="60" t="n">
        <x:v>2032.8478314862</x:v>
      </x:c>
      <x:c r="M57" s="60" t="n">
        <x:v>81.09508459899999</x:v>
      </x:c>
      <x:c r="N57" s="46" t="str">
        <x:v>mesodesma donacium</x:v>
      </x:c>
      <x:c r="O57" s="62" t="n">
        <x:v>2</x:v>
      </x:c>
      <x:c r="P57" s="46" t="str">
        <x:v>exact_sea_around_us</x:v>
      </x:c>
      <x:c r="Q57" s="62" t="str">
        <x:v>Sea Around Us exploited organisms</x:v>
      </x:c>
      <x:c r="R57" s="46" t="str">
        <x:v>high</x:v>
      </x:c>
      <x:c r="S57" s="46" t="str">
        <x:v>Mesodesma donacium</x:v>
      </x:c>
      <x:c r="T57" s="62" t="n">
        <x:f>IF(O57="","",(1/'Metadata'!$B$5)^(O57-1))</x:f>
        <x:v>10</x:v>
      </x:c>
      <x:c r="U57" s="60" t="n">
        <x:f>IF(T57="","",I57*T57)</x:f>
        <x:v>21139.429160852</x:v>
      </x:c>
    </x:row>
    <x:row r="58" ht="18" customHeight="1">
      <x:c r="A58" s="46" t="str">
        <x:v>LME_013</x:v>
      </x:c>
      <x:c r="B58" s="46" t="str">
        <x:v>Humboldt Current</x:v>
      </x:c>
      <x:c r="C58" s="46" t="str">
        <x:v>LME</x:v>
      </x:c>
      <x:c r="D58" s="58" t="n">
        <x:v>2019</x:v>
      </x:c>
      <x:c r="E58" s="46" t="str">
        <x:v>Cervimunida johni</x:v>
      </x:c>
      <x:c r="F58" s="46" t="str">
        <x:v>Carrot squat lobster</x:v>
      </x:c>
      <x:c r="G58" s="46" t="str">
        <x:v>Lobsters, crabs</x:v>
      </x:c>
      <x:c r="H58" s="46" t="str">
        <x:v>Crustaceans</x:v>
      </x:c>
      <x:c r="I58" s="60" t="n">
        <x:v>2053.6552128331</x:v>
      </x:c>
      <x:c r="J58" s="60" t="n">
        <x:v>769.917478863</x:v>
      </x:c>
      <x:c r="K58" s="60" t="n">
        <x:v>1283.7377339701002</x:v>
      </x:c>
      <x:c r="L58" s="60" t="n">
        <x:v>709.0455987909</x:v>
      </x:c>
      <x:c r="M58" s="60" t="n">
        <x:v>1344.6096140422</x:v>
      </x:c>
      <x:c r="N58" s="46" t="str">
        <x:v>cervimunida johni</x:v>
      </x:c>
      <x:c r="O58" s="62" t="n">
        <x:v>2.6</x:v>
      </x:c>
      <x:c r="P58" s="46" t="str">
        <x:v>exact_sea_around_us</x:v>
      </x:c>
      <x:c r="Q58" s="62" t="str">
        <x:v>Sea Around Us exploited organisms</x:v>
      </x:c>
      <x:c r="R58" s="46" t="str">
        <x:v>high</x:v>
      </x:c>
      <x:c r="S58" s="46" t="str">
        <x:v>Cervimunida johni</x:v>
      </x:c>
      <x:c r="T58" s="62" t="n">
        <x:f>IF(O58="","",(1/'Metadata'!$B$5)^(O58-1))</x:f>
        <x:v>39.810717055349734</x:v>
      </x:c>
      <x:c r="U58" s="60" t="n">
        <x:f>IF(T58="","",I58*T58)</x:f>
        <x:v>81757.48660734258</x:v>
      </x:c>
    </x:row>
    <x:row r="59" ht="18" customHeight="1">
      <x:c r="A59" s="46" t="str">
        <x:v>LME_013</x:v>
      </x:c>
      <x:c r="B59" s="46" t="str">
        <x:v>Humboldt Current</x:v>
      </x:c>
      <x:c r="C59" s="46" t="str">
        <x:v>LME</x:v>
      </x:c>
      <x:c r="D59" s="58" t="n">
        <x:v>2019</x:v>
      </x:c>
      <x:c r="E59" s="46" t="str">
        <x:v>Ensis macha</x:v>
      </x:c>
      <x:c r="F59" s="46" t="str">
        <x:v>Razor clam</x:v>
      </x:c>
      <x:c r="G59" s="46" t="str">
        <x:v>Other demersal invertebrates</x:v>
      </x:c>
      <x:c r="H59" s="46" t="str">
        <x:v>Molluscs</x:v>
      </x:c>
      <x:c r="I59" s="60" t="n">
        <x:v>2001.9118042992</x:v>
      </x:c>
      <x:c r="J59" s="60" t="n">
        <x:v>2001.9118042992</x:v>
      </x:c>
      <x:c r="K59" s="60" t="n">
        <x:v>0</x:v>
      </x:c>
      <x:c r="L59" s="60" t="n">
        <x:v>1808.576637448</x:v>
      </x:c>
      <x:c r="M59" s="60" t="n">
        <x:v>193.3351668512</x:v>
      </x:c>
      <x:c r="N59" s="46" t="str">
        <x:v>ensis macha</x:v>
      </x:c>
      <x:c r="O59" s="62" t="n">
        <x:v>2</x:v>
      </x:c>
      <x:c r="P59" s="46" t="str">
        <x:v>exact_sea_around_us</x:v>
      </x:c>
      <x:c r="Q59" s="62" t="str">
        <x:v>Sea Around Us exploited organisms</x:v>
      </x:c>
      <x:c r="R59" s="46" t="str">
        <x:v>high</x:v>
      </x:c>
      <x:c r="S59" s="46" t="str">
        <x:v>Ensis macha</x:v>
      </x:c>
      <x:c r="T59" s="62" t="n">
        <x:f>IF(O59="","",(1/'Metadata'!$B$5)^(O59-1))</x:f>
        <x:v>10</x:v>
      </x:c>
      <x:c r="U59" s="60" t="n">
        <x:f>IF(T59="","",I59*T59)</x:f>
        <x:v>20019.118042992</x:v>
      </x:c>
    </x:row>
    <x:row r="60" ht="18" customHeight="1">
      <x:c r="A60" s="46" t="str">
        <x:v>LME_013</x:v>
      </x:c>
      <x:c r="B60" s="46" t="str">
        <x:v>Humboldt Current</x:v>
      </x:c>
      <x:c r="C60" s="46" t="str">
        <x:v>LME</x:v>
      </x:c>
      <x:c r="D60" s="58" t="n">
        <x:v>2019</x:v>
      </x:c>
      <x:c r="E60" s="46" t="str">
        <x:v>Batoidea</x:v>
      </x:c>
      <x:c r="F60" s="46" t="str">
        <x:v>Batoids, skates, rays, sawfishes</x:v>
      </x:c>
      <x:c r="G60" s="46" t="str">
        <x:v>Large rays (&gt;=90 cm)</x:v>
      </x:c>
      <x:c r="H60" s="46" t="str">
        <x:v>Sharks &amp; rays</x:v>
      </x:c>
      <x:c r="I60" s="60" t="n">
        <x:v>1979.4166186843</x:v>
      </x:c>
      <x:c r="J60" s="60" t="n">
        <x:v>1742.6750915021</x:v>
      </x:c>
      <x:c r="K60" s="60" t="n">
        <x:v>236.7415271822</x:v>
      </x:c>
      <x:c r="L60" s="60" t="n">
        <x:v>1604.9849938497</x:v>
      </x:c>
      <x:c r="M60" s="60" t="n">
        <x:v>374.43162483460003</x:v>
      </x:c>
      <x:c r="N60" s="46" t="str">
        <x:v>batoidea</x:v>
      </x:c>
      <x:c r="O60" s="62" t="n">
        <x:v>3.72</x:v>
      </x:c>
      <x:c r="P60" s="46" t="str">
        <x:v>exact_sea_around_us</x:v>
      </x:c>
      <x:c r="Q60" s="62" t="str">
        <x:v>Sea Around Us exploited organisms</x:v>
      </x:c>
      <x:c r="R60" s="46" t="str">
        <x:v>high</x:v>
      </x:c>
      <x:c r="S60" s="46" t="str">
        <x:v>Batoidea</x:v>
      </x:c>
      <x:c r="T60" s="62" t="n">
        <x:f>IF(O60="","",(1/'Metadata'!$B$5)^(O60-1))</x:f>
        <x:v>524.8074602497728</x:v>
      </x:c>
      <x:c r="U60" s="60" t="n">
        <x:f>IF(T60="","",I60*T60)</x:f>
        <x:v>1038812.6084279005</x:v>
      </x:c>
    </x:row>
    <x:row r="61" ht="18" customHeight="1">
      <x:c r="A61" s="46" t="str">
        <x:v>LME_013</x:v>
      </x:c>
      <x:c r="B61" s="46" t="str">
        <x:v>Humboldt Current</x:v>
      </x:c>
      <x:c r="C61" s="46" t="str">
        <x:v>LME</x:v>
      </x:c>
      <x:c r="D61" s="58" t="n">
        <x:v>2019</x:v>
      </x:c>
      <x:c r="E61" s="46" t="str">
        <x:v>Mulinia edulis</x:v>
      </x:c>
      <x:c r="F61" s="46" t="str">
        <x:v>taquilla clam</x:v>
      </x:c>
      <x:c r="G61" s="46" t="str">
        <x:v>Other demersal invertebrates</x:v>
      </x:c>
      <x:c r="H61" s="46" t="str">
        <x:v>Molluscs</x:v>
      </x:c>
      <x:c r="I61" s="60" t="n">
        <x:v>1868.4970682969</x:v>
      </x:c>
      <x:c r="J61" s="60" t="n">
        <x:v>1868.4970682969</x:v>
      </x:c>
      <x:c r="K61" s="60" t="n">
        <x:v>0</x:v>
      </x:c>
      <x:c r="L61" s="60" t="n">
        <x:v>1868.4970682969</x:v>
      </x:c>
      <x:c r="M61" s="60" t="n">
        <x:v>0</x:v>
      </x:c>
      <x:c r="N61" s="46" t="str">
        <x:v>mulinia edulis</x:v>
      </x:c>
      <x:c r="O61" s="62" t="n">
        <x:v>2.03</x:v>
      </x:c>
      <x:c r="P61" s="46" t="str">
        <x:v>exact_sea_around_us</x:v>
      </x:c>
      <x:c r="Q61" s="62" t="str">
        <x:v>Sea Around Us exploited organisms</x:v>
      </x:c>
      <x:c r="R61" s="46" t="str">
        <x:v>high</x:v>
      </x:c>
      <x:c r="S61" s="46" t="str">
        <x:v>Mulinia edulis</x:v>
      </x:c>
      <x:c r="T61" s="62" t="n">
        <x:f>IF(O61="","",(1/'Metadata'!$B$5)^(O61-1))</x:f>
        <x:v>10.71519305237606</x:v>
      </x:c>
      <x:c r="U61" s="60" t="n">
        <x:f>IF(T61="","",I61*T61)</x:f>
        <x:v>20021.30680459998</x:v>
      </x:c>
    </x:row>
    <x:row r="62" ht="18" customHeight="1">
      <x:c r="A62" s="46" t="str">
        <x:v>LME_013</x:v>
      </x:c>
      <x:c r="B62" s="46" t="str">
        <x:v>Humboldt Current</x:v>
      </x:c>
      <x:c r="C62" s="46" t="str">
        <x:v>LME</x:v>
      </x:c>
      <x:c r="D62" s="58" t="n">
        <x:v>2019</x:v>
      </x:c>
      <x:c r="E62" s="46" t="str">
        <x:v>Marine pelagic fishes not identified</x:v>
      </x:c>
      <x:c r="F62" s="46" t="str">
        <x:v>Pelagic fishes</x:v>
      </x:c>
      <x:c r="G62" s="46" t="str">
        <x:v>Medium pelagics (30 - 89 cm)</x:v>
      </x:c>
      <x:c r="H62" s="46" t="str">
        <x:v>Other fishes &amp; inverts</x:v>
      </x:c>
      <x:c r="I62" s="60" t="n">
        <x:v>1831.3508029299</x:v>
      </x:c>
      <x:c r="J62" s="60" t="n">
        <x:v>1746.7128930469</x:v>
      </x:c>
      <x:c r="K62" s="60" t="n">
        <x:v>84.63790988299999</x:v>
      </x:c>
      <x:c r="L62" s="60" t="n">
        <x:v>1746.7128930469</x:v>
      </x:c>
      <x:c r="M62" s="60" t="n">
        <x:v>84.63790988299999</x:v>
      </x:c>
      <x:c r="N62" s="46" t="str">
        <x:v>marine pelagic fishes not identified</x:v>
      </x:c>
      <x:c r="O62" s="62" t="n">
        <x:v>3.35</x:v>
      </x:c>
      <x:c r="P62" s="46" t="str">
        <x:v>exact_sea_around_us</x:v>
      </x:c>
      <x:c r="Q62" s="62" t="str">
        <x:v>Sea Around Us exploited organisms</x:v>
      </x:c>
      <x:c r="R62" s="46" t="str">
        <x:v>high</x:v>
      </x:c>
      <x:c r="S62" s="46" t="str">
        <x:v>Marine pelagic fishes not identified</x:v>
      </x:c>
      <x:c r="T62" s="62" t="n">
        <x:f>IF(O62="","",(1/'Metadata'!$B$5)^(O62-1))</x:f>
        <x:v>223.872113856834</x:v>
      </x:c>
      <x:c r="U62" s="60" t="n">
        <x:f>IF(T62="","",I62*T62)</x:f>
        <x:v>409988.37546532694</x:v>
      </x:c>
    </x:row>
    <x:row r="63" ht="18" customHeight="1">
      <x:c r="A63" s="46" t="str">
        <x:v>LME_013</x:v>
      </x:c>
      <x:c r="B63" s="46" t="str">
        <x:v>Humboldt Current</x:v>
      </x:c>
      <x:c r="C63" s="46" t="str">
        <x:v>LME</x:v>
      </x:c>
      <x:c r="D63" s="58" t="n">
        <x:v>2019</x:v>
      </x:c>
      <x:c r="E63" s="46" t="str">
        <x:v>Dissostichus eleginoides</x:v>
      </x:c>
      <x:c r="F63" s="46" t="str">
        <x:v>Patagonian toothfish</x:v>
      </x:c>
      <x:c r="G63" s="46" t="str">
        <x:v>Large bathydemersals (&gt;=90 cm)</x:v>
      </x:c>
      <x:c r="H63" s="46" t="str">
        <x:v>Perch-likes</x:v>
      </x:c>
      <x:c r="I63" s="60" t="n">
        <x:v>1705.4215604382</x:v>
      </x:c>
      <x:c r="J63" s="60" t="n">
        <x:v>1705.4215604382</x:v>
      </x:c>
      <x:c r="K63" s="60" t="n">
        <x:v>0</x:v>
      </x:c>
      <x:c r="L63" s="60" t="n">
        <x:v>1564.7891642416</x:v>
      </x:c>
      <x:c r="M63" s="60" t="n">
        <x:v>140.6323961966</x:v>
      </x:c>
      <x:c r="N63" s="46" t="str">
        <x:v>dissostichus eleginoides</x:v>
      </x:c>
      <x:c r="O63" s="62" t="n">
        <x:v>3.96</x:v>
      </x:c>
      <x:c r="P63" s="46" t="str">
        <x:v>exact_2020_supplement</x:v>
      </x:c>
      <x:c r="Q63" s="62" t="str">
        <x:v>2020 supplement MeanTL</x:v>
      </x:c>
      <x:c r="R63" s="46" t="str">
        <x:v>high</x:v>
      </x:c>
      <x:c r="S63" s="46" t="str">
        <x:v>Dissostichus eleginoides</x:v>
      </x:c>
      <x:c r="T63" s="62" t="n">
        <x:f>IF(O63="","",(1/'Metadata'!$B$5)^(O63-1))</x:f>
        <x:v>912.0108393559096</x:v>
      </x:c>
      <x:c r="U63" s="60" t="n">
        <x:f>IF(T63="","",I63*T63)</x:f>
        <x:v>1555362.9487909079</x:v>
      </x:c>
    </x:row>
    <x:row r="64" ht="18" customHeight="1">
      <x:c r="A64" s="46" t="str">
        <x:v>LME_013</x:v>
      </x:c>
      <x:c r="B64" s="46" t="str">
        <x:v>Humboldt Current</x:v>
      </x:c>
      <x:c r="C64" s="46" t="str">
        <x:v>LME</x:v>
      </x:c>
      <x:c r="D64" s="58" t="n">
        <x:v>2019</x:v>
      </x:c>
      <x:c r="E64" s="46" t="str">
        <x:v>Mytilus chilensis</x:v>
      </x:c>
      <x:c r="F64" s="46" t="str">
        <x:v>Chilean mussel</x:v>
      </x:c>
      <x:c r="G64" s="46" t="str">
        <x:v>Other demersal invertebrates</x:v>
      </x:c>
      <x:c r="H64" s="46" t="str">
        <x:v>Molluscs</x:v>
      </x:c>
      <x:c r="I64" s="60" t="n">
        <x:v>1525.9736328413999</x:v>
      </x:c>
      <x:c r="J64" s="60" t="n">
        <x:v>1525.9736328413999</x:v>
      </x:c>
      <x:c r="K64" s="60" t="n">
        <x:v>0</x:v>
      </x:c>
      <x:c r="L64" s="60" t="n">
        <x:v>1356.7114361500999</x:v>
      </x:c>
      <x:c r="M64" s="60" t="n">
        <x:v>169.26219669129998</x:v>
      </x:c>
      <x:c r="N64" s="46" t="str">
        <x:v>mytilus chilensis</x:v>
      </x:c>
      <x:c r="O64" s="62" t="n">
        <x:v>2</x:v>
      </x:c>
      <x:c r="P64" s="46" t="str">
        <x:v>exact_sea_around_us</x:v>
      </x:c>
      <x:c r="Q64" s="62" t="str">
        <x:v>Sea Around Us exploited organisms</x:v>
      </x:c>
      <x:c r="R64" s="46" t="str">
        <x:v>high</x:v>
      </x:c>
      <x:c r="S64" s="46" t="str">
        <x:v>Mytilus chilensis</x:v>
      </x:c>
      <x:c r="T64" s="62" t="n">
        <x:f>IF(O64="","",(1/'Metadata'!$B$5)^(O64-1))</x:f>
        <x:v>10</x:v>
      </x:c>
      <x:c r="U64" s="60" t="n">
        <x:f>IF(T64="","",I64*T64)</x:f>
        <x:v>15259.736328414</x:v>
      </x:c>
    </x:row>
    <x:row r="65" ht="18" customHeight="1">
      <x:c r="A65" s="46" t="str">
        <x:v>LME_013</x:v>
      </x:c>
      <x:c r="B65" s="46" t="str">
        <x:v>Humboldt Current</x:v>
      </x:c>
      <x:c r="C65" s="46" t="str">
        <x:v>LME</x:v>
      </x:c>
      <x:c r="D65" s="58" t="n">
        <x:v>2019</x:v>
      </x:c>
      <x:c r="E65" s="46" t="str">
        <x:v>Bivalvia</x:v>
      </x:c>
      <x:c r="F65" s="46" t="str">
        <x:v>Clams</x:v>
      </x:c>
      <x:c r="G65" s="46" t="str">
        <x:v>Other demersal invertebrates</x:v>
      </x:c>
      <x:c r="H65" s="46" t="str">
        <x:v>Molluscs</x:v>
      </x:c>
      <x:c r="I65" s="60" t="n">
        <x:v>1486.0785792110998</x:v>
      </x:c>
      <x:c r="J65" s="60" t="n">
        <x:v>1486.0785792110998</x:v>
      </x:c>
      <x:c r="K65" s="60" t="n">
        <x:v>0</x:v>
      </x:c>
      <x:c r="L65" s="60" t="n">
        <x:v>1175.8108584579</x:v>
      </x:c>
      <x:c r="M65" s="60" t="n">
        <x:v>310.2677207532</x:v>
      </x:c>
      <x:c r="N65" s="46" t="str">
        <x:v>bivalvia</x:v>
      </x:c>
      <x:c r="O65" s="62" t="n">
        <x:v>2.23</x:v>
      </x:c>
      <x:c r="P65" s="46" t="str">
        <x:v>exact_sea_around_us</x:v>
      </x:c>
      <x:c r="Q65" s="62" t="str">
        <x:v>Sea Around Us exploited organisms</x:v>
      </x:c>
      <x:c r="R65" s="46" t="str">
        <x:v>high</x:v>
      </x:c>
      <x:c r="S65" s="46" t="str">
        <x:v>Bivalvia</x:v>
      </x:c>
      <x:c r="T65" s="62" t="n">
        <x:f>IF(O65="","",(1/'Metadata'!$B$5)^(O65-1))</x:f>
        <x:v>16.982436524617444</x:v>
      </x:c>
      <x:c r="U65" s="60" t="n">
        <x:f>IF(T65="","",I65*T65)</x:f>
        <x:v>25237.235142046182</x:v>
      </x:c>
    </x:row>
    <x:row r="66" ht="18" customHeight="1">
      <x:c r="A66" s="46" t="str">
        <x:v>LME_013</x:v>
      </x:c>
      <x:c r="B66" s="46" t="str">
        <x:v>Humboldt Current</x:v>
      </x:c>
      <x:c r="C66" s="46" t="str">
        <x:v>LME</x:v>
      </x:c>
      <x:c r="D66" s="58" t="n">
        <x:v>2019</x:v>
      </x:c>
      <x:c r="E66" s="46" t="str">
        <x:v>Gari solida</x:v>
      </x:c>
      <x:c r="F66" s="46" t="str">
        <x:v>Pacific clam</x:v>
      </x:c>
      <x:c r="G66" s="46" t="str">
        <x:v>Other demersal invertebrates</x:v>
      </x:c>
      <x:c r="H66" s="46" t="str">
        <x:v>Molluscs</x:v>
      </x:c>
      <x:c r="I66" s="60" t="n">
        <x:v>1320.9544086201001</x:v>
      </x:c>
      <x:c r="J66" s="60" t="n">
        <x:v>1320.9544086201001</x:v>
      </x:c>
      <x:c r="K66" s="60" t="n">
        <x:v>0</x:v>
      </x:c>
      <x:c r="L66" s="60" t="n">
        <x:v>1219.3970875388002</x:v>
      </x:c>
      <x:c r="M66" s="60" t="n">
        <x:v>101.5573210813</x:v>
      </x:c>
      <x:c r="N66" s="46" t="str">
        <x:v>gari solida</x:v>
      </x:c>
      <x:c r="O66" s="62" t="n">
        <x:v>2</x:v>
      </x:c>
      <x:c r="P66" s="46" t="str">
        <x:v>exact_sea_around_us</x:v>
      </x:c>
      <x:c r="Q66" s="62" t="str">
        <x:v>Sea Around Us exploited organisms</x:v>
      </x:c>
      <x:c r="R66" s="46" t="str">
        <x:v>high</x:v>
      </x:c>
      <x:c r="S66" s="46" t="str">
        <x:v>Gari solida</x:v>
      </x:c>
      <x:c r="T66" s="62" t="n">
        <x:f>IF(O66="","",(1/'Metadata'!$B$5)^(O66-1))</x:f>
        <x:v>10</x:v>
      </x:c>
      <x:c r="U66" s="60" t="n">
        <x:f>IF(T66="","",I66*T66)</x:f>
        <x:v>13209.544086201002</x:v>
      </x:c>
    </x:row>
    <x:row r="67" ht="18" customHeight="1">
      <x:c r="A67" s="46" t="str">
        <x:v>LME_013</x:v>
      </x:c>
      <x:c r="B67" s="46" t="str">
        <x:v>Humboldt Current</x:v>
      </x:c>
      <x:c r="C67" s="46" t="str">
        <x:v>LME</x:v>
      </x:c>
      <x:c r="D67" s="58" t="n">
        <x:v>2019</x:v>
      </x:c>
      <x:c r="E67" s="46" t="str">
        <x:v>Paralonchurus peruanus</x:v>
      </x:c>
      <x:c r="F67" s="46" t="str">
        <x:v>Peruvian banded croaker</x:v>
      </x:c>
      <x:c r="G67" s="46" t="str">
        <x:v>Medium demersals (30 - 89 cm)</x:v>
      </x:c>
      <x:c r="H67" s="46" t="str">
        <x:v>Perch-likes</x:v>
      </x:c>
      <x:c r="I67" s="60" t="n">
        <x:v>1296.4157308259</x:v>
      </x:c>
      <x:c r="J67" s="60" t="n">
        <x:v>1294.2563028196998</x:v>
      </x:c>
      <x:c r="K67" s="60" t="n">
        <x:v>2.1594280062</x:v>
      </x:c>
      <x:c r="L67" s="60" t="n">
        <x:v>1064.7550612014</x:v>
      </x:c>
      <x:c r="M67" s="60" t="n">
        <x:v>231.6606696245</x:v>
      </x:c>
      <x:c r="N67" s="46" t="str">
        <x:v>paralonchurus peruanus</x:v>
      </x:c>
      <x:c r="O67" s="62" t="n">
        <x:v>2.17</x:v>
      </x:c>
      <x:c r="P67" s="46" t="str">
        <x:v>exact_2020_supplement</x:v>
      </x:c>
      <x:c r="Q67" s="62" t="str">
        <x:v>2020 supplement MeanTL</x:v>
      </x:c>
      <x:c r="R67" s="46" t="str">
        <x:v>high</x:v>
      </x:c>
      <x:c r="S67" s="46" t="str">
        <x:v>Paralonchurus peruanus</x:v>
      </x:c>
      <x:c r="T67" s="62" t="n">
        <x:f>IF(O67="","",(1/'Metadata'!$B$5)^(O67-1))</x:f>
        <x:v>14.791083881682072</x:v>
      </x:c>
      <x:c r="U67" s="60" t="n">
        <x:f>IF(T67="","",I67*T67)</x:f>
        <x:v>19175.393820178055</x:v>
      </x:c>
    </x:row>
    <x:row r="68" ht="18" customHeight="1">
      <x:c r="A68" s="46" t="str">
        <x:v>LME_013</x:v>
      </x:c>
      <x:c r="B68" s="46" t="str">
        <x:v>Humboldt Current</x:v>
      </x:c>
      <x:c r="C68" s="46" t="str">
        <x:v>LME</x:v>
      </x:c>
      <x:c r="D68" s="58" t="n">
        <x:v>2019</x:v>
      </x:c>
      <x:c r="E68" s="46" t="str">
        <x:v>Mustelus</x:v>
      </x:c>
      <x:c r="F68" s="46" t="str">
        <x:v>Smoothhounds</x:v>
      </x:c>
      <x:c r="G68" s="46" t="str">
        <x:v>Large sharks (&gt;=90 cm)</x:v>
      </x:c>
      <x:c r="H68" s="46" t="str">
        <x:v>Sharks &amp; rays</x:v>
      </x:c>
      <x:c r="I68" s="60" t="n">
        <x:v>1275.1135093652001</x:v>
      </x:c>
      <x:c r="J68" s="60" t="n">
        <x:v>1275.1135093652001</x:v>
      </x:c>
      <x:c r="K68" s="60" t="n">
        <x:v>0</x:v>
      </x:c>
      <x:c r="L68" s="60" t="n">
        <x:v>1275.1135093652001</x:v>
      </x:c>
      <x:c r="M68" s="60" t="n">
        <x:v>0</x:v>
      </x:c>
      <x:c r="N68" s="46" t="str">
        <x:v>mustelus</x:v>
      </x:c>
      <x:c r="O68" s="62" t="n">
        <x:v>3.73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Mustelus</x:v>
      </x:c>
      <x:c r="T68" s="62" t="n">
        <x:f>IF(O68="","",(1/'Metadata'!$B$5)^(O68-1))</x:f>
        <x:v>537.0317963702527</x:v>
      </x:c>
      <x:c r="U68" s="60" t="n">
        <x:f>IF(T68="","",I68*T68)</x:f>
        <x:v>684776.4985103704</x:v>
      </x:c>
    </x:row>
    <x:row r="69" ht="18" customHeight="1">
      <x:c r="A69" s="46" t="str">
        <x:v>LME_013</x:v>
      </x:c>
      <x:c r="B69" s="46" t="str">
        <x:v>Humboldt Current</x:v>
      </x:c>
      <x:c r="C69" s="46" t="str">
        <x:v>LME</x:v>
      </x:c>
      <x:c r="D69" s="58" t="n">
        <x:v>2019</x:v>
      </x:c>
      <x:c r="E69" s="46" t="str">
        <x:v>Sphyrna zygaena</x:v>
      </x:c>
      <x:c r="F69" s="46" t="str">
        <x:v>Smooth hammerhead</x:v>
      </x:c>
      <x:c r="G69" s="46" t="str">
        <x:v>Large sharks (&gt;=90 cm)</x:v>
      </x:c>
      <x:c r="H69" s="46" t="str">
        <x:v>Sharks &amp; rays</x:v>
      </x:c>
      <x:c r="I69" s="60" t="n">
        <x:v>1207.1834027042</x:v>
      </x:c>
      <x:c r="J69" s="60" t="n">
        <x:v>831.9161037759</x:v>
      </x:c>
      <x:c r="K69" s="60" t="n">
        <x:v>375.2672989283</x:v>
      </x:c>
      <x:c r="L69" s="60" t="n">
        <x:v>662.7541607357</x:v>
      </x:c>
      <x:c r="M69" s="60" t="n">
        <x:v>544.4292419685</x:v>
      </x:c>
      <x:c r="N69" s="46" t="str">
        <x:v>sphyrna zygaena</x:v>
      </x:c>
      <x:c r="O69" s="62" t="n">
        <x:v>4.94</x:v>
      </x:c>
      <x:c r="P69" s="46" t="str">
        <x:v>exact_2020_supplement</x:v>
      </x:c>
      <x:c r="Q69" s="62" t="str">
        <x:v>2020 supplement MeanTL</x:v>
      </x:c>
      <x:c r="R69" s="46" t="str">
        <x:v>high</x:v>
      </x:c>
      <x:c r="S69" s="46" t="str">
        <x:v>Sphyrna zygaena</x:v>
      </x:c>
      <x:c r="T69" s="62" t="n">
        <x:f>IF(O69="","",(1/'Metadata'!$B$5)^(O69-1))</x:f>
        <x:v>8709.635899560813</x:v>
      </x:c>
      <x:c r="U69" s="60" t="n">
        <x:f>IF(T69="","",I69*T69)</x:f>
        <x:v>10514127.901546478</x:v>
      </x:c>
    </x:row>
    <x:row r="70" ht="18" customHeight="1">
      <x:c r="A70" s="46" t="str">
        <x:v>LME_013</x:v>
      </x:c>
      <x:c r="B70" s="46" t="str">
        <x:v>Humboldt Current</x:v>
      </x:c>
      <x:c r="C70" s="46" t="str">
        <x:v>LME</x:v>
      </x:c>
      <x:c r="D70" s="58" t="n">
        <x:v>2019</x:v>
      </x:c>
      <x:c r="E70" s="46" t="str">
        <x:v>Heterocarpus reedi</x:v>
      </x:c>
      <x:c r="F70" s="46" t="str">
        <x:v>Chilean nylon shrimp</x:v>
      </x:c>
      <x:c r="G70" s="46" t="str">
        <x:v>Shrimps</x:v>
      </x:c>
      <x:c r="H70" s="46" t="str">
        <x:v>Crustaceans</x:v>
      </x:c>
      <x:c r="I70" s="60" t="n">
        <x:v>1161.2885556099002</x:v>
      </x:c>
      <x:c r="J70" s="60" t="n">
        <x:v>1161.2885556099002</x:v>
      </x:c>
      <x:c r="K70" s="60" t="n">
        <x:v>0</x:v>
      </x:c>
      <x:c r="L70" s="60" t="n">
        <x:v>1073.4622715456</x:v>
      </x:c>
      <x:c r="M70" s="60" t="n">
        <x:v>87.8262840643</x:v>
      </x:c>
      <x:c r="N70" s="46" t="str">
        <x:v>heterocarpus reedi</x:v>
      </x:c>
      <x:c r="O70" s="62" t="n">
        <x:v>2.3</x:v>
      </x:c>
      <x:c r="P70" s="46" t="str">
        <x:v>exact_sea_around_us</x:v>
      </x:c>
      <x:c r="Q70" s="62" t="str">
        <x:v>Sea Around Us exploited organisms</x:v>
      </x:c>
      <x:c r="R70" s="46" t="str">
        <x:v>high</x:v>
      </x:c>
      <x:c r="S70" s="46" t="str">
        <x:v>Heterocarpus reedi</x:v>
      </x:c>
      <x:c r="T70" s="62" t="n">
        <x:f>IF(O70="","",(1/'Metadata'!$B$5)^(O70-1))</x:f>
        <x:v>19.952623149688787</x:v>
      </x:c>
      <x:c r="U70" s="60" t="n">
        <x:f>IF(T70="","",I70*T70)</x:f>
        <x:v>23170.752918130747</x:v>
      </x:c>
    </x:row>
    <x:row r="71" ht="18" customHeight="1">
      <x:c r="A71" s="46" t="str">
        <x:v>LME_013</x:v>
      </x:c>
      <x:c r="B71" s="46" t="str">
        <x:v>Humboldt Current</x:v>
      </x:c>
      <x:c r="C71" s="46" t="str">
        <x:v>LME</x:v>
      </x:c>
      <x:c r="D71" s="58" t="n">
        <x:v>2019</x:v>
      </x:c>
      <x:c r="E71" s="46" t="str">
        <x:v>Leukoma thaca</x:v>
      </x:c>
      <x:c r="F71" s="46" t="str">
        <x:v>Taca clam</x:v>
      </x:c>
      <x:c r="G71" s="46" t="str">
        <x:v>Other demersal invertebrates</x:v>
      </x:c>
      <x:c r="H71" s="46" t="str">
        <x:v>Molluscs</x:v>
      </x:c>
      <x:c r="I71" s="60" t="n">
        <x:v>1113.2482486024999</x:v>
      </x:c>
      <x:c r="J71" s="60" t="n">
        <x:v>1113.2482486024999</x:v>
      </x:c>
      <x:c r="K71" s="60" t="n">
        <x:v>0</x:v>
      </x:c>
      <x:c r="L71" s="60" t="n">
        <x:v>0.9792464655</x:v>
      </x:c>
      <x:c r="M71" s="60" t="n">
        <x:v>1112.269002137</x:v>
      </x:c>
      <x:c r="N71" s="46" t="str">
        <x:v>leukoma thaca</x:v>
      </x:c>
      <x:c r="O71" s="62" t="n">
        <x:v>2</x:v>
      </x:c>
      <x:c r="P71" s="46" t="str">
        <x:v>exact_sea_around_us</x:v>
      </x:c>
      <x:c r="Q71" s="62" t="str">
        <x:v>Sea Around Us exploited organisms</x:v>
      </x:c>
      <x:c r="R71" s="46" t="str">
        <x:v>high</x:v>
      </x:c>
      <x:c r="S71" s="46" t="str">
        <x:v>Leukoma thaca</x:v>
      </x:c>
      <x:c r="T71" s="62" t="n">
        <x:f>IF(O71="","",(1/'Metadata'!$B$5)^(O71-1))</x:f>
        <x:v>10</x:v>
      </x:c>
      <x:c r="U71" s="60" t="n">
        <x:f>IF(T71="","",I71*T71)</x:f>
        <x:v>11132.482486025</x:v>
      </x:c>
    </x:row>
    <x:row r="72" ht="18" customHeight="1">
      <x:c r="A72" s="46" t="str">
        <x:v>LME_013</x:v>
      </x:c>
      <x:c r="B72" s="46" t="str">
        <x:v>Humboldt Current</x:v>
      </x:c>
      <x:c r="C72" s="46" t="str">
        <x:v>LME</x:v>
      </x:c>
      <x:c r="D72" s="58" t="n">
        <x:v>2019</x:v>
      </x:c>
      <x:c r="E72" s="46" t="str">
        <x:v>Genypterus</x:v>
      </x:c>
      <x:c r="F72" s="46" t="str">
        <x:v>Genypterid cuskeels</x:v>
      </x:c>
      <x:c r="G72" s="46" t="str">
        <x:v>Large bathydemersals (&gt;=90 cm)</x:v>
      </x:c>
      <x:c r="H72" s="46" t="str">
        <x:v>Other fishes &amp; inverts</x:v>
      </x:c>
      <x:c r="I72" s="60" t="n">
        <x:v>1004.3517095579001</x:v>
      </x:c>
      <x:c r="J72" s="60" t="n">
        <x:v>1004.3517095579001</x:v>
      </x:c>
      <x:c r="K72" s="60" t="n">
        <x:v>0</x:v>
      </x:c>
      <x:c r="L72" s="60" t="n">
        <x:v>1004.3517095579001</x:v>
      </x:c>
      <x:c r="M72" s="60" t="n">
        <x:v>0</x:v>
      </x:c>
      <x:c r="N72" s="46" t="str">
        <x:v>genypterus</x:v>
      </x:c>
      <x:c r="O72" s="62" t="n">
        <x:v>4.2</x:v>
      </x:c>
      <x:c r="P72" s="46" t="str">
        <x:v>exact_sea_around_us</x:v>
      </x:c>
      <x:c r="Q72" s="62" t="str">
        <x:v>Sea Around Us exploited organisms</x:v>
      </x:c>
      <x:c r="R72" s="46" t="str">
        <x:v>high</x:v>
      </x:c>
      <x:c r="S72" s="46" t="str">
        <x:v>Genypterus</x:v>
      </x:c>
      <x:c r="T72" s="62" t="n">
        <x:f>IF(O72="","",(1/'Metadata'!$B$5)^(O72-1))</x:f>
        <x:v>1584.893192461114</x:v>
      </x:c>
      <x:c r="U72" s="60" t="n">
        <x:f>IF(T72="","",I72*T72)</x:f>
        <x:v>1591790.187314998</x:v>
      </x:c>
    </x:row>
    <x:row r="73" ht="18" customHeight="1">
      <x:c r="A73" s="46" t="str">
        <x:v>LME_013</x:v>
      </x:c>
      <x:c r="B73" s="46" t="str">
        <x:v>Humboldt Current</x:v>
      </x:c>
      <x:c r="C73" s="46" t="str">
        <x:v>LME</x:v>
      </x:c>
      <x:c r="D73" s="58" t="n">
        <x:v>2019</x:v>
      </x:c>
      <x:c r="E73" s="46" t="str">
        <x:v>Alopias vulpinus</x:v>
      </x:c>
      <x:c r="F73" s="46" t="str">
        <x:v>Thresher</x:v>
      </x:c>
      <x:c r="G73" s="46" t="str">
        <x:v>Large sharks (&gt;=90 cm)</x:v>
      </x:c>
      <x:c r="H73" s="46" t="str">
        <x:v>Sharks &amp; rays</x:v>
      </x:c>
      <x:c r="I73" s="60" t="n">
        <x:v>899.8313072396</x:v>
      </x:c>
      <x:c r="J73" s="60" t="n">
        <x:v>624.9424265002</x:v>
      </x:c>
      <x:c r="K73" s="60" t="n">
        <x:v>274.88888073939995</x:v>
      </x:c>
      <x:c r="L73" s="60" t="n">
        <x:v>535.3248025291</x:v>
      </x:c>
      <x:c r="M73" s="60" t="n">
        <x:v>364.5065047105</x:v>
      </x:c>
      <x:c r="N73" s="46" t="str">
        <x:v>alopias vulpinus</x:v>
      </x:c>
      <x:c r="O73" s="62" t="n">
        <x:v>4.5</x:v>
      </x:c>
      <x:c r="P73" s="46" t="str">
        <x:v>exact_2020_supplement</x:v>
      </x:c>
      <x:c r="Q73" s="62" t="str">
        <x:v>2020 supplement MeanTL</x:v>
      </x:c>
      <x:c r="R73" s="46" t="str">
        <x:v>high</x:v>
      </x:c>
      <x:c r="S73" s="46" t="str">
        <x:v>Alopias vulpinus</x:v>
      </x:c>
      <x:c r="T73" s="62" t="n">
        <x:f>IF(O73="","",(1/'Metadata'!$B$5)^(O73-1))</x:f>
        <x:v>3162.2776601683795</x:v>
      </x:c>
      <x:c r="U73" s="60" t="n">
        <x:f>IF(T73="","",I73*T73)</x:f>
        <x:v>2845516.4408038966</x:v>
      </x:c>
    </x:row>
    <x:row r="74" ht="18" customHeight="1">
      <x:c r="A74" s="46" t="str">
        <x:v>LME_013</x:v>
      </x:c>
      <x:c r="B74" s="46" t="str">
        <x:v>Humboldt Current</x:v>
      </x:c>
      <x:c r="C74" s="46" t="str">
        <x:v>LME</x:v>
      </x:c>
      <x:c r="D74" s="58" t="n">
        <x:v>2019</x:v>
      </x:c>
      <x:c r="E74" s="46" t="str">
        <x:v>Enteroctopus megalocyathus</x:v>
      </x:c>
      <x:c r="F74" s="46" t="str">
        <x:v>Patagonian giant octopus</x:v>
      </x:c>
      <x:c r="G74" s="46" t="str">
        <x:v>Cephalopods</x:v>
      </x:c>
      <x:c r="H74" s="46" t="str">
        <x:v>Other fishes &amp; inverts</x:v>
      </x:c>
      <x:c r="I74" s="60" t="n">
        <x:v>801.4191833353</x:v>
      </x:c>
      <x:c r="J74" s="60" t="n">
        <x:v>801.4191833353</x:v>
      </x:c>
      <x:c r="K74" s="60" t="n">
        <x:v>0</x:v>
      </x:c>
      <x:c r="L74" s="60" t="n">
        <x:v>801.4191833353</x:v>
      </x:c>
      <x:c r="M74" s="60" t="n">
        <x:v>0</x:v>
      </x:c>
      <x:c r="N74" s="46" t="str">
        <x:v>enteroctopus megalocyathus</x:v>
      </x:c>
      <x:c r="O74" s="62" t="n">
        <x:v>3.68</x:v>
      </x:c>
      <x:c r="P74" s="46" t="str">
        <x:v>exact_sea_around_us</x:v>
      </x:c>
      <x:c r="Q74" s="62" t="str">
        <x:v>Sea Around Us exploited organisms</x:v>
      </x:c>
      <x:c r="R74" s="46" t="str">
        <x:v>high</x:v>
      </x:c>
      <x:c r="S74" s="46" t="str">
        <x:v>Enteroctopus megalocyathus</x:v>
      </x:c>
      <x:c r="T74" s="62" t="n">
        <x:f>IF(O74="","",(1/'Metadata'!$B$5)^(O74-1))</x:f>
        <x:v>478.6300923226385</x:v>
      </x:c>
      <x:c r="U74" s="60" t="n">
        <x:f>IF(T74="","",I74*T74)</x:f>
        <x:v>383583.3377089082</x:v>
      </x:c>
    </x:row>
    <x:row r="75" ht="18" customHeight="1">
      <x:c r="A75" s="46" t="str">
        <x:v>LME_013</x:v>
      </x:c>
      <x:c r="B75" s="46" t="str">
        <x:v>Humboldt Current</x:v>
      </x:c>
      <x:c r="C75" s="46" t="str">
        <x:v>LME</x:v>
      </x:c>
      <x:c r="D75" s="58" t="n">
        <x:v>2019</x:v>
      </x:c>
      <x:c r="E75" s="46" t="str">
        <x:v>Pleuronectiformes</x:v>
      </x:c>
      <x:c r="F75" s="46" t="str">
        <x:v>Flatfishes</x:v>
      </x:c>
      <x:c r="G75" s="46" t="str">
        <x:v>Small to medium flatfishes (&lt;90 cm)</x:v>
      </x:c>
      <x:c r="H75" s="46" t="str">
        <x:v>Flatfishes</x:v>
      </x:c>
      <x:c r="I75" s="60" t="n">
        <x:v>786.5575559619</x:v>
      </x:c>
      <x:c r="J75" s="60" t="n">
        <x:v>784.9731509813</x:v>
      </x:c>
      <x:c r="K75" s="60" t="n">
        <x:v>1.5844049806</x:v>
      </x:c>
      <x:c r="L75" s="60" t="n">
        <x:v>735.5936606355001</x:v>
      </x:c>
      <x:c r="M75" s="60" t="n">
        <x:v>50.9638953264</x:v>
      </x:c>
      <x:c r="N75" s="46" t="str">
        <x:v>pleuronectiformes</x:v>
      </x:c>
      <x:c r="O75" s="62" t="n">
        <x:v>3.57</x:v>
      </x:c>
      <x:c r="P75" s="46" t="str">
        <x:v>exact_sea_around_us</x:v>
      </x:c>
      <x:c r="Q75" s="62" t="str">
        <x:v>Sea Around Us exploited organisms</x:v>
      </x:c>
      <x:c r="R75" s="46" t="str">
        <x:v>high</x:v>
      </x:c>
      <x:c r="S75" s="46" t="str">
        <x:v>Pleuronectiformes</x:v>
      </x:c>
      <x:c r="T75" s="62" t="n">
        <x:f>IF(O75="","",(1/'Metadata'!$B$5)^(O75-1))</x:f>
        <x:v>371.5352290971724</x:v>
      </x:c>
      <x:c r="U75" s="60" t="n">
        <x:f>IF(T75="","",I75*T75)</x:f>
        <x:v>292233.8417524165</x:v>
      </x:c>
    </x:row>
    <x:row r="76" ht="18" customHeight="1">
      <x:c r="A76" s="46" t="str">
        <x:v>LME_013</x:v>
      </x:c>
      <x:c r="B76" s="46" t="str">
        <x:v>Humboldt Current</x:v>
      </x:c>
      <x:c r="C76" s="46" t="str">
        <x:v>LME</x:v>
      </x:c>
      <x:c r="D76" s="58" t="n">
        <x:v>2019</x:v>
      </x:c>
      <x:c r="E76" s="46" t="str">
        <x:v>Genypterus blacodes</x:v>
      </x:c>
      <x:c r="F76" s="46" t="str">
        <x:v>Pink cusk-eel</x:v>
      </x:c>
      <x:c r="G76" s="46" t="str">
        <x:v>Large bathydemersals (&gt;=90 cm)</x:v>
      </x:c>
      <x:c r="H76" s="46" t="str">
        <x:v>Other fishes &amp; inverts</x:v>
      </x:c>
      <x:c r="I76" s="60" t="n">
        <x:v>721.0079918686</x:v>
      </x:c>
      <x:c r="J76" s="60" t="n">
        <x:v>721.0079918686</x:v>
      </x:c>
      <x:c r="K76" s="60" t="n">
        <x:v>0</x:v>
      </x:c>
      <x:c r="L76" s="60" t="n">
        <x:v>670.0559939167999</x:v>
      </x:c>
      <x:c r="M76" s="60" t="n">
        <x:v>50.9519979518</x:v>
      </x:c>
      <x:c r="N76" s="46" t="str">
        <x:v>genypterus blacodes</x:v>
      </x:c>
      <x:c r="O76" s="62" t="n">
        <x:v>4.22</x:v>
      </x:c>
      <x:c r="P76" s="46" t="str">
        <x:v>exact_2020_supplement</x:v>
      </x:c>
      <x:c r="Q76" s="62" t="str">
        <x:v>2020 supplement MeanTL</x:v>
      </x:c>
      <x:c r="R76" s="46" t="str">
        <x:v>high</x:v>
      </x:c>
      <x:c r="S76" s="46" t="str">
        <x:v>Genypterus blacodes</x:v>
      </x:c>
      <x:c r="T76" s="62" t="n">
        <x:f>IF(O76="","",(1/'Metadata'!$B$5)^(O76-1))</x:f>
        <x:v>1659.5869074375596</x:v>
      </x:c>
      <x:c r="U76" s="60" t="n">
        <x:f>IF(T76="","",I76*T76)</x:f>
        <x:v>1196575.423462975</x:v>
      </x:c>
    </x:row>
    <x:row r="77" ht="18" customHeight="1">
      <x:c r="A77" s="46" t="str">
        <x:v>LME_013</x:v>
      </x:c>
      <x:c r="B77" s="46" t="str">
        <x:v>Humboldt Current</x:v>
      </x:c>
      <x:c r="C77" s="46" t="str">
        <x:v>LME</x:v>
      </x:c>
      <x:c r="D77" s="58" t="n">
        <x:v>2019</x:v>
      </x:c>
      <x:c r="E77" s="46" t="str">
        <x:v>Callorhinchus callorynchus</x:v>
      </x:c>
      <x:c r="F77" s="46" t="str">
        <x:v>Plownose chimaera</x:v>
      </x:c>
      <x:c r="G77" s="46" t="str">
        <x:v>Small to medium rays (&lt;90 cm)</x:v>
      </x:c>
      <x:c r="H77" s="46" t="str">
        <x:v>Sharks &amp; rays</x:v>
      </x:c>
      <x:c r="I77" s="60" t="n">
        <x:v>717.3573543368</x:v>
      </x:c>
      <x:c r="J77" s="60" t="n">
        <x:v>717.3573543368</x:v>
      </x:c>
      <x:c r="K77" s="60" t="n">
        <x:v>0</x:v>
      </x:c>
      <x:c r="L77" s="60" t="n">
        <x:v>667.9237459813</x:v>
      </x:c>
      <x:c r="M77" s="60" t="n">
        <x:v>49.4336083555</x:v>
      </x:c>
      <x:c r="N77" s="46" t="str">
        <x:v>callorhinchus callorynchus</x:v>
      </x:c>
      <x:c r="O77" s="62" t="n">
        <x:v>3.35</x:v>
      </x:c>
      <x:c r="P77" s="46" t="str">
        <x:v>exact_2020_supplement</x:v>
      </x:c>
      <x:c r="Q77" s="62" t="str">
        <x:v>2020 supplement MeanTL</x:v>
      </x:c>
      <x:c r="R77" s="46" t="str">
        <x:v>high</x:v>
      </x:c>
      <x:c r="S77" s="46" t="str">
        <x:v>Callorhinchus callorynchus</x:v>
      </x:c>
      <x:c r="T77" s="62" t="n">
        <x:f>IF(O77="","",(1/'Metadata'!$B$5)^(O77-1))</x:f>
        <x:v>223.872113856834</x:v>
      </x:c>
      <x:c r="U77" s="60" t="n">
        <x:f>IF(T77="","",I77*T77)</x:f>
        <x:v>160596.3073061253</x:v>
      </x:c>
    </x:row>
    <x:row r="78" ht="18" customHeight="1">
      <x:c r="A78" s="46" t="str">
        <x:v>LME_013</x:v>
      </x:c>
      <x:c r="B78" s="46" t="str">
        <x:v>Humboldt Current</x:v>
      </x:c>
      <x:c r="C78" s="46" t="str">
        <x:v>LME</x:v>
      </x:c>
      <x:c r="D78" s="58" t="n">
        <x:v>2019</x:v>
      </x:c>
      <x:c r="E78" s="46" t="str">
        <x:v>Haemulidae</x:v>
      </x:c>
      <x:c r="F78" s="46" t="str">
        <x:v>Grunts, sweetlips, bonnetmouths</x:v>
      </x:c>
      <x:c r="G78" s="46" t="str">
        <x:v>Medium demersals (30 - 89 cm)</x:v>
      </x:c>
      <x:c r="H78" s="46" t="str">
        <x:v>Perch-likes</x:v>
      </x:c>
      <x:c r="I78" s="60" t="n">
        <x:v>634.9344318369</x:v>
      </x:c>
      <x:c r="J78" s="60" t="n">
        <x:v>634.9344318369</x:v>
      </x:c>
      <x:c r="K78" s="60" t="n">
        <x:v>0</x:v>
      </x:c>
      <x:c r="L78" s="60" t="n">
        <x:v>473.06487922879995</x:v>
      </x:c>
      <x:c r="M78" s="60" t="n">
        <x:v>161.8695526081</x:v>
      </x:c>
      <x:c r="N78" s="46" t="str">
        <x:v>haemulidae</x:v>
      </x:c>
      <x:c r="O78" s="62" t="n">
        <x:v>3.36</x:v>
      </x:c>
      <x:c r="P78" s="46" t="str">
        <x:v>exact_sea_around_us</x:v>
      </x:c>
      <x:c r="Q78" s="62" t="str">
        <x:v>Sea Around Us exploited organisms</x:v>
      </x:c>
      <x:c r="R78" s="46" t="str">
        <x:v>high</x:v>
      </x:c>
      <x:c r="S78" s="46" t="str">
        <x:v>Haemulidae</x:v>
      </x:c>
      <x:c r="T78" s="62" t="n">
        <x:f>IF(O78="","",(1/'Metadata'!$B$5)^(O78-1))</x:f>
        <x:v>229.08676527677724</x:v>
      </x:c>
      <x:c r="U78" s="60" t="n">
        <x:f>IF(T78="","",I78*T78)</x:f>
        <x:v>145455.07515236383</x:v>
      </x:c>
    </x:row>
    <x:row r="79" ht="18" customHeight="1">
      <x:c r="A79" s="46" t="str">
        <x:v>LME_013</x:v>
      </x:c>
      <x:c r="B79" s="46" t="str">
        <x:v>Humboldt Current</x:v>
      </x:c>
      <x:c r="C79" s="46" t="str">
        <x:v>LME</x:v>
      </x:c>
      <x:c r="D79" s="58" t="n">
        <x:v>2019</x:v>
      </x:c>
      <x:c r="E79" s="46" t="str">
        <x:v>Fistularia corneta</x:v>
      </x:c>
      <x:c r="F79" s="46" t="str">
        <x:v>Pacific cornetfish</x:v>
      </x:c>
      <x:c r="G79" s="46" t="str">
        <x:v>Large pelagics (&gt;=90 cm)</x:v>
      </x:c>
      <x:c r="H79" s="46" t="str">
        <x:v>Other fishes &amp; inverts</x:v>
      </x:c>
      <x:c r="I79" s="60" t="n">
        <x:v>573.0241878545</x:v>
      </x:c>
      <x:c r="J79" s="60" t="n">
        <x:v>573.0241878545</x:v>
      </x:c>
      <x:c r="K79" s="60" t="n">
        <x:v>0</x:v>
      </x:c>
      <x:c r="L79" s="60" t="n">
        <x:v>573.0241878545</x:v>
      </x:c>
      <x:c r="M79" s="60" t="n">
        <x:v>0</x:v>
      </x:c>
      <x:c r="N79" s="46" t="str">
        <x:v>fistularia corneta</x:v>
      </x:c>
      <x:c r="O79" s="62" t="n">
        <x:v>4.5</x:v>
      </x:c>
      <x:c r="P79" s="46" t="str">
        <x:v>exact_2020_supplement</x:v>
      </x:c>
      <x:c r="Q79" s="62" t="str">
        <x:v>2020 supplement MeanTL</x:v>
      </x:c>
      <x:c r="R79" s="46" t="str">
        <x:v>high</x:v>
      </x:c>
      <x:c r="S79" s="46" t="str">
        <x:v>Fistularia corneta</x:v>
      </x:c>
      <x:c r="T79" s="62" t="n">
        <x:f>IF(O79="","",(1/'Metadata'!$B$5)^(O79-1))</x:f>
        <x:v>3162.2776601683795</x:v>
      </x:c>
      <x:c r="U79" s="60" t="n">
        <x:f>IF(T79="","",I79*T79)</x:f>
        <x:v>1812061.5879884143</x:v>
      </x:c>
    </x:row>
    <x:row r="80" ht="18" customHeight="1">
      <x:c r="A80" s="46" t="str">
        <x:v>LME_013</x:v>
      </x:c>
      <x:c r="B80" s="46" t="str">
        <x:v>Humboldt Current</x:v>
      </x:c>
      <x:c r="C80" s="46" t="str">
        <x:v>LME</x:v>
      </x:c>
      <x:c r="D80" s="58" t="n">
        <x:v>2019</x:v>
      </x:c>
      <x:c r="E80" s="46" t="str">
        <x:v>Scomberomorus sierra</x:v>
      </x:c>
      <x:c r="F80" s="46" t="str">
        <x:v>Pacific sierra</x:v>
      </x:c>
      <x:c r="G80" s="46" t="str">
        <x:v>Large pelagics (&gt;=90 cm)</x:v>
      </x:c>
      <x:c r="H80" s="46" t="str">
        <x:v>Perch-likes</x:v>
      </x:c>
      <x:c r="I80" s="60" t="n">
        <x:v>557.7070771255</x:v>
      </x:c>
      <x:c r="J80" s="60" t="n">
        <x:v>557.7070771255</x:v>
      </x:c>
      <x:c r="K80" s="60" t="n">
        <x:v>0</x:v>
      </x:c>
      <x:c r="L80" s="60" t="n">
        <x:v>511.4182540397</x:v>
      </x:c>
      <x:c r="M80" s="60" t="n">
        <x:v>46.288823085800004</x:v>
      </x:c>
      <x:c r="N80" s="46" t="str">
        <x:v>scomberomorus sierra</x:v>
      </x:c>
      <x:c r="O80" s="62" t="n">
        <x:v>4.49</x:v>
      </x:c>
      <x:c r="P80" s="46" t="str">
        <x:v>exact_2020_supplement</x:v>
      </x:c>
      <x:c r="Q80" s="62" t="str">
        <x:v>2020 supplement MeanTL</x:v>
      </x:c>
      <x:c r="R80" s="46" t="str">
        <x:v>high</x:v>
      </x:c>
      <x:c r="S80" s="46" t="str">
        <x:v>Scomberomorus sierra</x:v>
      </x:c>
      <x:c r="T80" s="62" t="n">
        <x:f>IF(O80="","",(1/'Metadata'!$B$5)^(O80-1))</x:f>
        <x:v>3090.295432513592</x:v>
      </x:c>
      <x:c r="U80" s="60" t="n">
        <x:f>IF(T80="","",I80*T80)</x:f>
        <x:v>1723479.633121438</x:v>
      </x:c>
    </x:row>
    <x:row r="81" ht="18" customHeight="1">
      <x:c r="A81" s="46" t="str">
        <x:v>LME_013</x:v>
      </x:c>
      <x:c r="B81" s="46" t="str">
        <x:v>Humboldt Current</x:v>
      </x:c>
      <x:c r="C81" s="46" t="str">
        <x:v>LME</x:v>
      </x:c>
      <x:c r="D81" s="58" t="n">
        <x:v>2019</x:v>
      </x:c>
      <x:c r="E81" s="46" t="str">
        <x:v>Zearaja chilensis</x:v>
      </x:c>
      <x:c r="F81" s="46" t="str">
        <x:v>Yellownose skate</x:v>
      </x:c>
      <x:c r="G81" s="46" t="str">
        <x:v>Small to medium rays (&lt;90 cm)</x:v>
      </x:c>
      <x:c r="H81" s="46" t="str">
        <x:v>Sharks &amp; rays</x:v>
      </x:c>
      <x:c r="I81" s="60" t="n">
        <x:v>544.3079605962</x:v>
      </x:c>
      <x:c r="J81" s="60" t="n">
        <x:v>544.3079605962</x:v>
      </x:c>
      <x:c r="K81" s="60" t="n">
        <x:v>0</x:v>
      </x:c>
      <x:c r="L81" s="60" t="n">
        <x:v>495.4356553565</x:v>
      </x:c>
      <x:c r="M81" s="60" t="n">
        <x:v>48.8723052397</x:v>
      </x:c>
      <x:c r="N81" s="46" t="str">
        <x:v>zearaja chilensis</x:v>
      </x:c>
      <x:c r="O81" s="62" t="n">
        <x:v>4.46</x:v>
      </x:c>
      <x:c r="P81" s="46" t="str">
        <x:v>exact_2020_supplement</x:v>
      </x:c>
      <x:c r="Q81" s="62" t="str">
        <x:v>2020 supplement MeanTL</x:v>
      </x:c>
      <x:c r="R81" s="46" t="str">
        <x:v>high</x:v>
      </x:c>
      <x:c r="S81" s="46" t="str">
        <x:v>Zearaja chilensis</x:v>
      </x:c>
      <x:c r="T81" s="62" t="n">
        <x:f>IF(O81="","",(1/'Metadata'!$B$5)^(O81-1))</x:f>
        <x:v>2884.031503126606</x:v>
      </x:c>
      <x:c r="U81" s="60" t="n">
        <x:f>IF(T81="","",I81*T81)</x:f>
        <x:v>1569801.3057620362</x:v>
      </x:c>
    </x:row>
    <x:row r="82" ht="18" customHeight="1">
      <x:c r="A82" s="46" t="str">
        <x:v>LME_013</x:v>
      </x:c>
      <x:c r="B82" s="46" t="str">
        <x:v>Humboldt Current</x:v>
      </x:c>
      <x:c r="C82" s="46" t="str">
        <x:v>LME</x:v>
      </x:c>
      <x:c r="D82" s="58" t="n">
        <x:v>2019</x:v>
      </x:c>
      <x:c r="E82" s="46" t="str">
        <x:v>Prionotus stephanophrys</x:v>
      </x:c>
      <x:c r="F82" s="46" t="str">
        <x:v>Lumptail searobin</x:v>
      </x:c>
      <x:c r="G82" s="46" t="str">
        <x:v>Medium demersals (30 - 89 cm)</x:v>
      </x:c>
      <x:c r="H82" s="46" t="str">
        <x:v>Scorpionfishes</x:v>
      </x:c>
      <x:c r="I82" s="60" t="n">
        <x:v>503.2598021232</x:v>
      </x:c>
      <x:c r="J82" s="60" t="n">
        <x:v>466.2161306995</x:v>
      </x:c>
      <x:c r="K82" s="60" t="n">
        <x:v>37.0436714237</x:v>
      </x:c>
      <x:c r="L82" s="60" t="n">
        <x:v>0</x:v>
      </x:c>
      <x:c r="M82" s="60" t="n">
        <x:v>503.2598021232</x:v>
      </x:c>
      <x:c r="N82" s="46" t="str">
        <x:v>prionotus stephanophrys</x:v>
      </x:c>
      <x:c r="O82" s="62" t="n">
        <x:v>3.5</x:v>
      </x:c>
      <x:c r="P82" s="46" t="str">
        <x:v>exact_2020_supplement</x:v>
      </x:c>
      <x:c r="Q82" s="62" t="str">
        <x:v>2020 supplement MeanTL</x:v>
      </x:c>
      <x:c r="R82" s="46" t="str">
        <x:v>high</x:v>
      </x:c>
      <x:c r="S82" s="46" t="str">
        <x:v>Prionotus stephanophrys</x:v>
      </x:c>
      <x:c r="T82" s="62" t="n">
        <x:f>IF(O82="","",(1/'Metadata'!$B$5)^(O82-1))</x:f>
        <x:v>316.22776601683796</x:v>
      </x:c>
      <x:c r="U82" s="60" t="n">
        <x:f>IF(T82="","",I82*T82)</x:f>
        <x:v>159144.72295149547</x:v>
      </x:c>
    </x:row>
    <x:row r="83" ht="18" customHeight="1">
      <x:c r="A83" s="46" t="str">
        <x:v>LME_013</x:v>
      </x:c>
      <x:c r="B83" s="46" t="str">
        <x:v>Humboldt Current</x:v>
      </x:c>
      <x:c r="C83" s="46" t="str">
        <x:v>LME</x:v>
      </x:c>
      <x:c r="D83" s="58" t="n">
        <x:v>2019</x:v>
      </x:c>
      <x:c r="E83" s="46" t="str">
        <x:v>Hippoglossina macrops</x:v>
      </x:c>
      <x:c r="F83" s="46" t="str">
        <x:v>Bigeye flounder</x:v>
      </x:c>
      <x:c r="G83" s="46" t="str">
        <x:v>Small to medium flatfishes (&lt;90 cm)</x:v>
      </x:c>
      <x:c r="H83" s="46" t="str">
        <x:v>Flatfishes</x:v>
      </x:c>
      <x:c r="I83" s="60" t="n">
        <x:v>498.1226351957</x:v>
      </x:c>
      <x:c r="J83" s="60" t="n">
        <x:v>0</x:v>
      </x:c>
      <x:c r="K83" s="60" t="n">
        <x:v>498.1226351957</x:v>
      </x:c>
      <x:c r="L83" s="60" t="n">
        <x:v>0</x:v>
      </x:c>
      <x:c r="M83" s="60" t="n">
        <x:v>498.1226351957</x:v>
      </x:c>
      <x:c r="N83" s="46" t="str">
        <x:v>hippoglossina macrops</x:v>
      </x:c>
      <x:c r="O83" s="62" t="n">
        <x:v>3.73</x:v>
      </x:c>
      <x:c r="P83" s="46" t="str">
        <x:v>exact_2020_supplement</x:v>
      </x:c>
      <x:c r="Q83" s="62" t="str">
        <x:v>2020 supplement MeanTL</x:v>
      </x:c>
      <x:c r="R83" s="46" t="str">
        <x:v>high</x:v>
      </x:c>
      <x:c r="S83" s="46" t="str">
        <x:v>Hippoglossina macrops</x:v>
      </x:c>
      <x:c r="T83" s="62" t="n">
        <x:f>IF(O83="","",(1/'Metadata'!$B$5)^(O83-1))</x:f>
        <x:v>537.0317963702527</x:v>
      </x:c>
      <x:c r="U83" s="60" t="n">
        <x:f>IF(T83="","",I83*T83)</x:f>
        <x:v>267507.69359183084</x:v>
      </x:c>
    </x:row>
    <x:row r="84" ht="18" customHeight="1">
      <x:c r="A84" s="46" t="str">
        <x:v>LME_013</x:v>
      </x:c>
      <x:c r="B84" s="46" t="str">
        <x:v>Humboldt Current</x:v>
      </x:c>
      <x:c r="C84" s="46" t="str">
        <x:v>LME</x:v>
      </x:c>
      <x:c r="D84" s="58" t="n">
        <x:v>2019</x:v>
      </x:c>
      <x:c r="E84" s="46" t="str">
        <x:v>Semele solida</x:v>
      </x:c>
      <x:c r="F84" s="46" t="str">
        <x:v>Chilean semele</x:v>
      </x:c>
      <x:c r="G84" s="46" t="str">
        <x:v>Other demersal invertebrates</x:v>
      </x:c>
      <x:c r="H84" s="46" t="str">
        <x:v>Molluscs</x:v>
      </x:c>
      <x:c r="I84" s="60" t="n">
        <x:v>455.34489382239997</x:v>
      </x:c>
      <x:c r="J84" s="60" t="n">
        <x:v>455.34489382239997</x:v>
      </x:c>
      <x:c r="K84" s="60" t="n">
        <x:v>0</x:v>
      </x:c>
      <x:c r="L84" s="60" t="n">
        <x:v>427.4208463173</x:v>
      </x:c>
      <x:c r="M84" s="60" t="n">
        <x:v>27.9240475051</x:v>
      </x:c>
      <x:c r="N84" s="46" t="str">
        <x:v>semele solida</x:v>
      </x:c>
      <x:c r="O84" s="62" t="n">
        <x:v>2</x:v>
      </x:c>
      <x:c r="P84" s="46" t="str">
        <x:v>exact_sea_around_us</x:v>
      </x:c>
      <x:c r="Q84" s="62" t="str">
        <x:v>Sea Around Us exploited organisms</x:v>
      </x:c>
      <x:c r="R84" s="46" t="str">
        <x:v>high</x:v>
      </x:c>
      <x:c r="S84" s="46" t="str">
        <x:v>Semele solida</x:v>
      </x:c>
      <x:c r="T84" s="62" t="n">
        <x:f>IF(O84="","",(1/'Metadata'!$B$5)^(O84-1))</x:f>
        <x:v>10</x:v>
      </x:c>
      <x:c r="U84" s="60" t="n">
        <x:f>IF(T84="","",I84*T84)</x:f>
        <x:v>4553.448938224</x:v>
      </x:c>
    </x:row>
    <x:row r="85" ht="18" customHeight="1">
      <x:c r="A85" s="46" t="str">
        <x:v>LME_013</x:v>
      </x:c>
      <x:c r="B85" s="46" t="str">
        <x:v>Humboldt Current</x:v>
      </x:c>
      <x:c r="C85" s="46" t="str">
        <x:v>LME</x:v>
      </x:c>
      <x:c r="D85" s="58" t="n">
        <x:v>2019</x:v>
      </x:c>
      <x:c r="E85" s="46" t="str">
        <x:v>Epinephelus</x:v>
      </x:c>
      <x:c r="F85" s="46" t="str">
        <x:v>Seabasses, hinds</x:v>
      </x:c>
      <x:c r="G85" s="46" t="str">
        <x:v>Medium reef assoc. fish (30 - 89 cm)</x:v>
      </x:c>
      <x:c r="H85" s="46" t="str">
        <x:v>Perch-likes</x:v>
      </x:c>
      <x:c r="I85" s="60" t="n">
        <x:v>442.56669603970005</x:v>
      </x:c>
      <x:c r="J85" s="60" t="n">
        <x:v>442.56669603970005</x:v>
      </x:c>
      <x:c r="K85" s="60" t="n">
        <x:v>0</x:v>
      </x:c>
      <x:c r="L85" s="60" t="n">
        <x:v>442.56669603970005</x:v>
      </x:c>
      <x:c r="M85" s="60" t="n">
        <x:v>0</x:v>
      </x:c>
      <x:c r="N85" s="46" t="str">
        <x:v>epinephelus</x:v>
      </x:c>
      <x:c r="O85" s="62" t="n">
        <x:v>3.84</x:v>
      </x:c>
      <x:c r="P85" s="46" t="str">
        <x:v>exact_sea_around_us</x:v>
      </x:c>
      <x:c r="Q85" s="62" t="str">
        <x:v>Sea Around Us exploited organisms</x:v>
      </x:c>
      <x:c r="R85" s="46" t="str">
        <x:v>high</x:v>
      </x:c>
      <x:c r="S85" s="46" t="str">
        <x:v>Epinephelus</x:v>
      </x:c>
      <x:c r="T85" s="62" t="n">
        <x:f>IF(O85="","",(1/'Metadata'!$B$5)^(O85-1))</x:f>
        <x:v>691.8309709189363</x:v>
      </x:c>
      <x:c r="U85" s="60" t="n">
        <x:f>IF(T85="","",I85*T85)</x:f>
        <x:v>306181.3470175314</x:v>
      </x:c>
    </x:row>
    <x:row r="86" ht="18" customHeight="1">
      <x:c r="A86" s="46" t="str">
        <x:v>LME_013</x:v>
      </x:c>
      <x:c r="B86" s="46" t="str">
        <x:v>Humboldt Current</x:v>
      </x:c>
      <x:c r="C86" s="46" t="str">
        <x:v>LME</x:v>
      </x:c>
      <x:c r="D86" s="58" t="n">
        <x:v>2019</x:v>
      </x:c>
      <x:c r="E86" s="46" t="str">
        <x:v>Seriola lalandi</x:v>
      </x:c>
      <x:c r="F86" s="46" t="str">
        <x:v>Yellowtail amberjack</x:v>
      </x:c>
      <x:c r="G86" s="46" t="str">
        <x:v>Large benthopelagics (&gt;=90 cm)</x:v>
      </x:c>
      <x:c r="H86" s="46" t="str">
        <x:v>Perch-likes</x:v>
      </x:c>
      <x:c r="I86" s="60" t="n">
        <x:v>433.3295174588</x:v>
      </x:c>
      <x:c r="J86" s="60" t="n">
        <x:v>433.3295174588</x:v>
      </x:c>
      <x:c r="K86" s="60" t="n">
        <x:v>0</x:v>
      </x:c>
      <x:c r="L86" s="60" t="n">
        <x:v>379.8954382764</x:v>
      </x:c>
      <x:c r="M86" s="60" t="n">
        <x:v>53.434079182400005</x:v>
      </x:c>
      <x:c r="N86" s="46" t="str">
        <x:v>seriola lalandi</x:v>
      </x:c>
      <x:c r="O86" s="62" t="n">
        <x:v>4.16</x:v>
      </x:c>
      <x:c r="P86" s="46" t="str">
        <x:v>exact_2020_supplement</x:v>
      </x:c>
      <x:c r="Q86" s="62" t="str">
        <x:v>2020 supplement MeanTL</x:v>
      </x:c>
      <x:c r="R86" s="46" t="str">
        <x:v>high</x:v>
      </x:c>
      <x:c r="S86" s="46" t="str">
        <x:v>Seriola lalandi</x:v>
      </x:c>
      <x:c r="T86" s="62" t="n">
        <x:f>IF(O86="","",(1/'Metadata'!$B$5)^(O86-1))</x:f>
        <x:v>1445.439770745928</x:v>
      </x:c>
      <x:c r="U86" s="60" t="n">
        <x:f>IF(T86="","",I86*T86)</x:f>
        <x:v>626351.7183730914</x:v>
      </x:c>
    </x:row>
    <x:row r="87" ht="18" customHeight="1">
      <x:c r="A87" s="46" t="str">
        <x:v>LME_013</x:v>
      </x:c>
      <x:c r="B87" s="46" t="str">
        <x:v>Humboldt Current</x:v>
      </x:c>
      <x:c r="C87" s="46" t="str">
        <x:v>LME</x:v>
      </x:c>
      <x:c r="D87" s="58" t="n">
        <x:v>2019</x:v>
      </x:c>
      <x:c r="E87" s="46" t="str">
        <x:v>Cynoglossidae</x:v>
      </x:c>
      <x:c r="F87" s="46" t="str">
        <x:v>Tonguefishes</x:v>
      </x:c>
      <x:c r="G87" s="46" t="str">
        <x:v>Small to medium flatfishes (&lt;90 cm)</x:v>
      </x:c>
      <x:c r="H87" s="46" t="str">
        <x:v>Flatfishes</x:v>
      </x:c>
      <x:c r="I87" s="60" t="n">
        <x:v>433.3148751226</x:v>
      </x:c>
      <x:c r="J87" s="60" t="n">
        <x:v>433.3148751226</x:v>
      </x:c>
      <x:c r="K87" s="60" t="n">
        <x:v>0</x:v>
      </x:c>
      <x:c r="L87" s="60" t="n">
        <x:v>433.3148751226</x:v>
      </x:c>
      <x:c r="M87" s="60" t="n">
        <x:v>0</x:v>
      </x:c>
      <x:c r="N87" s="46" t="str">
        <x:v>cynoglossidae</x:v>
      </x:c>
      <x:c r="O87" s="62" t="n">
        <x:v>3.29</x:v>
      </x:c>
      <x:c r="P87" s="46" t="str">
        <x:v>exact_sea_around_us</x:v>
      </x:c>
      <x:c r="Q87" s="62" t="str">
        <x:v>Sea Around Us exploited organisms</x:v>
      </x:c>
      <x:c r="R87" s="46" t="str">
        <x:v>high</x:v>
      </x:c>
      <x:c r="S87" s="46" t="str">
        <x:v>Cynoglossidae</x:v>
      </x:c>
      <x:c r="T87" s="62" t="n">
        <x:f>IF(O87="","",(1/'Metadata'!$B$5)^(O87-1))</x:f>
        <x:v>194.98445997580455</x:v>
      </x:c>
      <x:c r="U87" s="60" t="n">
        <x:f>IF(T87="","",I87*T87)</x:f>
        <x:v>84489.66692526334</x:v>
      </x:c>
    </x:row>
    <x:row r="88" ht="18" customHeight="1">
      <x:c r="A88" s="46" t="str">
        <x:v>LME_013</x:v>
      </x:c>
      <x:c r="B88" s="46" t="str">
        <x:v>Humboldt Current</x:v>
      </x:c>
      <x:c r="C88" s="46" t="str">
        <x:v>LME</x:v>
      </x:c>
      <x:c r="D88" s="58" t="n">
        <x:v>2019</x:v>
      </x:c>
      <x:c r="E88" s="46" t="str">
        <x:v>Paralichthyidae</x:v>
      </x:c>
      <x:c r="F88" s="46" t="str">
        <x:v>Largetooth flounders</x:v>
      </x:c>
      <x:c r="G88" s="46" t="str">
        <x:v>Small to medium flatfishes (&lt;90 cm)</x:v>
      </x:c>
      <x:c r="H88" s="46" t="str">
        <x:v>Flatfishes</x:v>
      </x:c>
      <x:c r="I88" s="60" t="n">
        <x:v>379.3362120135</x:v>
      </x:c>
      <x:c r="J88" s="60" t="n">
        <x:v>0</x:v>
      </x:c>
      <x:c r="K88" s="60" t="n">
        <x:v>379.3362120135</x:v>
      </x:c>
      <x:c r="L88" s="60" t="n">
        <x:v>0</x:v>
      </x:c>
      <x:c r="M88" s="60" t="n">
        <x:v>379.3362120135</x:v>
      </x:c>
      <x:c r="N88" s="46" t="str">
        <x:v>paralichthyidae</x:v>
      </x:c>
      <x:c r="O88" s="62" t="n">
        <x:v>4.06</x:v>
      </x:c>
      <x:c r="P88" s="46" t="str">
        <x:v>exact_sea_around_us</x:v>
      </x:c>
      <x:c r="Q88" s="62" t="str">
        <x:v>Sea Around Us exploited organisms</x:v>
      </x:c>
      <x:c r="R88" s="46" t="str">
        <x:v>high</x:v>
      </x:c>
      <x:c r="S88" s="46" t="str">
        <x:v>Paralichthyidae</x:v>
      </x:c>
      <x:c r="T88" s="62" t="n">
        <x:f>IF(O88="","",(1/'Metadata'!$B$5)^(O88-1))</x:f>
        <x:v>1148.1536214968817</x:v>
      </x:c>
      <x:c r="U88" s="60" t="n">
        <x:f>IF(T88="","",I88*T88)</x:f>
        <x:v>435536.24558820896</x:v>
      </x:c>
    </x:row>
    <x:row r="89" ht="18" customHeight="1">
      <x:c r="A89" s="46" t="str">
        <x:v>LME_013</x:v>
      </x:c>
      <x:c r="B89" s="46" t="str">
        <x:v>Humboldt Current</x:v>
      </x:c>
      <x:c r="C89" s="46" t="str">
        <x:v>LME</x:v>
      </x:c>
      <x:c r="D89" s="58" t="n">
        <x:v>2019</x:v>
      </x:c>
      <x:c r="E89" s="46" t="str">
        <x:v>Chirodactylus variegatus</x:v>
      </x:c>
      <x:c r="F89" s="46" t="str">
        <x:v>Peruvian morwong</x:v>
      </x:c>
      <x:c r="G89" s="46" t="str">
        <x:v>Medium benthopelagics (30 - 89 cm)</x:v>
      </x:c>
      <x:c r="H89" s="46" t="str">
        <x:v>Perch-likes</x:v>
      </x:c>
      <x:c r="I89" s="60" t="n">
        <x:v>355.08296822619997</x:v>
      </x:c>
      <x:c r="J89" s="60" t="n">
        <x:v>355.08296822619997</x:v>
      </x:c>
      <x:c r="K89" s="60" t="n">
        <x:v>0</x:v>
      </x:c>
      <x:c r="L89" s="60" t="n">
        <x:v>289.7042077605</x:v>
      </x:c>
      <x:c r="M89" s="60" t="n">
        <x:v>65.3787604657</x:v>
      </x:c>
      <x:c r="N89" s="46" t="str">
        <x:v>chirodactylus variegatus</x:v>
      </x:c>
      <x:c r="O89" s="62" t="n">
        <x:v>3.65</x:v>
      </x:c>
      <x:c r="P89" s="46" t="str">
        <x:v>exact_sea_around_us</x:v>
      </x:c>
      <x:c r="Q89" s="62" t="str">
        <x:v>Sea Around Us exploited organisms</x:v>
      </x:c>
      <x:c r="R89" s="46" t="str">
        <x:v>high</x:v>
      </x:c>
      <x:c r="S89" s="46" t="str">
        <x:v>Chirodactylus variegatus</x:v>
      </x:c>
      <x:c r="T89" s="62" t="n">
        <x:f>IF(O89="","",(1/'Metadata'!$B$5)^(O89-1))</x:f>
        <x:v>446.683592150963</x:v>
      </x:c>
      <x:c r="U89" s="60" t="n">
        <x:f>IF(T89="","",I89*T89)</x:f>
        <x:v>158609.73575890527</x:v>
      </x:c>
    </x:row>
    <x:row r="90" ht="18" customHeight="1">
      <x:c r="A90" s="46" t="str">
        <x:v>LME_013</x:v>
      </x:c>
      <x:c r="B90" s="46" t="str">
        <x:v>Humboldt Current</x:v>
      </x:c>
      <x:c r="C90" s="46" t="str">
        <x:v>LME</x:v>
      </x:c>
      <x:c r="D90" s="58" t="n">
        <x:v>2019</x:v>
      </x:c>
      <x:c r="E90" s="46" t="str">
        <x:v>Seriolella violacea</x:v>
      </x:c>
      <x:c r="F90" s="46" t="str">
        <x:v>Palm ruff</x:v>
      </x:c>
      <x:c r="G90" s="46" t="str">
        <x:v>Medium pelagics (30 - 89 cm)</x:v>
      </x:c>
      <x:c r="H90" s="46" t="str">
        <x:v>Perch-likes</x:v>
      </x:c>
      <x:c r="I90" s="60" t="n">
        <x:v>342.131190043</x:v>
      </x:c>
      <x:c r="J90" s="60" t="n">
        <x:v>342.131190043</x:v>
      </x:c>
      <x:c r="K90" s="60" t="n">
        <x:v>0</x:v>
      </x:c>
      <x:c r="L90" s="60" t="n">
        <x:v>257.2491146882</x:v>
      </x:c>
      <x:c r="M90" s="60" t="n">
        <x:v>84.8820753548</x:v>
      </x:c>
      <x:c r="N90" s="46" t="str">
        <x:v>seriolella violacea</x:v>
      </x:c>
      <x:c r="O90" s="62" t="n">
        <x:v>3.53</x:v>
      </x:c>
      <x:c r="P90" s="46" t="str">
        <x:v>exact_sea_around_us</x:v>
      </x:c>
      <x:c r="Q90" s="62" t="str">
        <x:v>Sea Around Us exploited organisms</x:v>
      </x:c>
      <x:c r="R90" s="46" t="str">
        <x:v>high</x:v>
      </x:c>
      <x:c r="S90" s="46" t="str">
        <x:v>Seriolella violacea</x:v>
      </x:c>
      <x:c r="T90" s="62" t="n">
        <x:f>IF(O90="","",(1/'Metadata'!$B$5)^(O90-1))</x:f>
        <x:v>338.84415613920237</x:v>
      </x:c>
      <x:c r="U90" s="60" t="n">
        <x:f>IF(T90="","",I90*T90)</x:f>
        <x:v>115929.1543790214</x:v>
      </x:c>
    </x:row>
    <x:row r="91" ht="18" customHeight="1">
      <x:c r="A91" s="46" t="str">
        <x:v>LME_013</x:v>
      </x:c>
      <x:c r="B91" s="46" t="str">
        <x:v>Humboldt Current</x:v>
      </x:c>
      <x:c r="C91" s="46" t="str">
        <x:v>LME</x:v>
      </x:c>
      <x:c r="D91" s="58" t="n">
        <x:v>2019</x:v>
      </x:c>
      <x:c r="E91" s="46" t="str">
        <x:v>Stellifer minor</x:v>
      </x:c>
      <x:c r="F91" s="46" t="str">
        <x:v>Minor stardrum</x:v>
      </x:c>
      <x:c r="G91" s="46" t="str">
        <x:v>Medium demersals (30 - 89 cm)</x:v>
      </x:c>
      <x:c r="H91" s="46" t="str">
        <x:v>Perch-likes</x:v>
      </x:c>
      <x:c r="I91" s="60" t="n">
        <x:v>335.5818077052</x:v>
      </x:c>
      <x:c r="J91" s="60" t="n">
        <x:v>335.5818077052</x:v>
      </x:c>
      <x:c r="K91" s="60" t="n">
        <x:v>0</x:v>
      </x:c>
      <x:c r="L91" s="60" t="n">
        <x:v>30.013016029000003</x:v>
      </x:c>
      <x:c r="M91" s="60" t="n">
        <x:v>305.56879167619996</x:v>
      </x:c>
      <x:c r="N91" s="46" t="str">
        <x:v>stellifer minor</x:v>
      </x:c>
      <x:c r="O91" s="62" t="n">
        <x:v>3.45</x:v>
      </x:c>
      <x:c r="P91" s="46" t="str">
        <x:v>exact_sea_around_us</x:v>
      </x:c>
      <x:c r="Q91" s="62" t="str">
        <x:v>Sea Around Us exploited organisms</x:v>
      </x:c>
      <x:c r="R91" s="46" t="str">
        <x:v>high</x:v>
      </x:c>
      <x:c r="S91" s="46" t="str">
        <x:v>Stellifer minor</x:v>
      </x:c>
      <x:c r="T91" s="62" t="n">
        <x:f>IF(O91="","",(1/'Metadata'!$B$5)^(O91-1))</x:f>
        <x:v>281.8382931264455</x:v>
      </x:c>
      <x:c r="U91" s="60" t="n">
        <x:f>IF(T91="","",I91*T91)</x:f>
        <x:v>94579.80388792061</x:v>
      </x:c>
    </x:row>
    <x:row r="92" ht="18" customHeight="1">
      <x:c r="A92" s="46" t="str">
        <x:v>LME_013</x:v>
      </x:c>
      <x:c r="B92" s="46" t="str">
        <x:v>Humboldt Current</x:v>
      </x:c>
      <x:c r="C92" s="46" t="str">
        <x:v>LME</x:v>
      </x:c>
      <x:c r="D92" s="58" t="n">
        <x:v>2019</x:v>
      </x:c>
      <x:c r="E92" s="46" t="str">
        <x:v>Larimus pacificus</x:v>
      </x:c>
      <x:c r="F92" s="46" t="str">
        <x:v>Pacific drum</x:v>
      </x:c>
      <x:c r="G92" s="46" t="str">
        <x:v>Small pelagics (&lt;30 cm)</x:v>
      </x:c>
      <x:c r="H92" s="46" t="str">
        <x:v>Perch-likes</x:v>
      </x:c>
      <x:c r="I92" s="60" t="n">
        <x:v>328.67695898</x:v>
      </x:c>
      <x:c r="J92" s="60" t="n">
        <x:v>328.67695898</x:v>
      </x:c>
      <x:c r="K92" s="60" t="n">
        <x:v>0</x:v>
      </x:c>
      <x:c r="L92" s="60" t="n">
        <x:v>284.95840223060003</x:v>
      </x:c>
      <x:c r="M92" s="60" t="n">
        <x:v>43.7185567494</x:v>
      </x:c>
      <x:c r="N92" s="46" t="str">
        <x:v>larimus pacificus</x:v>
      </x:c>
      <x:c r="O92" s="62" t="n">
        <x:v>4.46</x:v>
      </x:c>
      <x:c r="P92" s="46" t="str">
        <x:v>exact_2020_supplement</x:v>
      </x:c>
      <x:c r="Q92" s="62" t="str">
        <x:v>2020 supplement MeanTL</x:v>
      </x:c>
      <x:c r="R92" s="46" t="str">
        <x:v>high</x:v>
      </x:c>
      <x:c r="S92" s="46" t="str">
        <x:v>Larimus pacificus</x:v>
      </x:c>
      <x:c r="T92" s="62" t="n">
        <x:f>IF(O92="","",(1/'Metadata'!$B$5)^(O92-1))</x:f>
        <x:v>2884.031503126606</x:v>
      </x:c>
      <x:c r="U92" s="60" t="n">
        <x:f>IF(T92="","",I92*T92)</x:f>
        <x:v>947914.7040501712</x:v>
      </x:c>
    </x:row>
    <x:row r="93" ht="18" customHeight="1">
      <x:c r="A93" s="46" t="str">
        <x:v>LME_013</x:v>
      </x:c>
      <x:c r="B93" s="46" t="str">
        <x:v>Humboldt Current</x:v>
      </x:c>
      <x:c r="C93" s="46" t="str">
        <x:v>LME</x:v>
      </x:c>
      <x:c r="D93" s="58" t="n">
        <x:v>2019</x:v>
      </x:c>
      <x:c r="E93" s="46" t="str">
        <x:v>Thunnus obesus</x:v>
      </x:c>
      <x:c r="F93" s="46" t="str">
        <x:v>Bigeye tuna</x:v>
      </x:c>
      <x:c r="G93" s="46" t="str">
        <x:v>Large pelagics (&gt;=90 cm)</x:v>
      </x:c>
      <x:c r="H93" s="46" t="str">
        <x:v>Tuna &amp; billfishes</x:v>
      </x:c>
      <x:c r="I93" s="60" t="n">
        <x:v>324.298980846</x:v>
      </x:c>
      <x:c r="J93" s="60" t="n">
        <x:v>310.891357681</x:v>
      </x:c>
      <x:c r="K93" s="60" t="n">
        <x:v>13.407623165</x:v>
      </x:c>
      <x:c r="L93" s="60" t="n">
        <x:v>310.6478343988</x:v>
      </x:c>
      <x:c r="M93" s="60" t="n">
        <x:v>13.6511464472</x:v>
      </x:c>
      <x:c r="N93" s="46" t="str">
        <x:v>thunnus obesus</x:v>
      </x:c>
      <x:c r="O93" s="62" t="n">
        <x:v>4.49</x:v>
      </x:c>
      <x:c r="P93" s="46" t="str">
        <x:v>exact_2020_supplement</x:v>
      </x:c>
      <x:c r="Q93" s="62" t="str">
        <x:v>2020 supplement MeanTL</x:v>
      </x:c>
      <x:c r="R93" s="46" t="str">
        <x:v>high</x:v>
      </x:c>
      <x:c r="S93" s="46" t="str">
        <x:v>Thunnus obesus</x:v>
      </x:c>
      <x:c r="T93" s="62" t="n">
        <x:f>IF(O93="","",(1/'Metadata'!$B$5)^(O93-1))</x:f>
        <x:v>3090.295432513592</x:v>
      </x:c>
      <x:c r="U93" s="60" t="n">
        <x:f>IF(T93="","",I93*T93)</x:f>
        <x:v>1002179.6592772066</x:v>
      </x:c>
    </x:row>
    <x:row r="94" ht="18" customHeight="1">
      <x:c r="A94" s="46" t="str">
        <x:v>LME_013</x:v>
      </x:c>
      <x:c r="B94" s="46" t="str">
        <x:v>Humboldt Current</x:v>
      </x:c>
      <x:c r="C94" s="46" t="str">
        <x:v>LME</x:v>
      </x:c>
      <x:c r="D94" s="58" t="n">
        <x:v>2019</x:v>
      </x:c>
      <x:c r="E94" s="46" t="str">
        <x:v>Austromegabalanus psittacus</x:v>
      </x:c>
      <x:c r="F94" s="46" t="str">
        <x:v>Giant barnacle</x:v>
      </x:c>
      <x:c r="G94" s="46" t="str">
        <x:v>Other demersal invertebrates</x:v>
      </x:c>
      <x:c r="H94" s="46" t="str">
        <x:v>Crustaceans</x:v>
      </x:c>
      <x:c r="I94" s="60" t="n">
        <x:v>295.8549743793</x:v>
      </x:c>
      <x:c r="J94" s="60" t="n">
        <x:v>295.8549743793</x:v>
      </x:c>
      <x:c r="K94" s="60" t="n">
        <x:v>0</x:v>
      </x:c>
      <x:c r="L94" s="60" t="n">
        <x:v>273.1285795494</x:v>
      </x:c>
      <x:c r="M94" s="60" t="n">
        <x:v>22.7263948299</x:v>
      </x:c>
      <x:c r="N94" s="46" t="str">
        <x:v>austromegabalanus psittacus</x:v>
      </x:c>
      <x:c r="O94" s="62" t="n">
        <x:v>2</x:v>
      </x:c>
      <x:c r="P94" s="46" t="str">
        <x:v>exact_sea_around_us</x:v>
      </x:c>
      <x:c r="Q94" s="62" t="str">
        <x:v>Sea Around Us exploited organisms</x:v>
      </x:c>
      <x:c r="R94" s="46" t="str">
        <x:v>high</x:v>
      </x:c>
      <x:c r="S94" s="46" t="str">
        <x:v>Austromegabalanus psittacus</x:v>
      </x:c>
      <x:c r="T94" s="62" t="n">
        <x:f>IF(O94="","",(1/'Metadata'!$B$5)^(O94-1))</x:f>
        <x:v>10</x:v>
      </x:c>
      <x:c r="U94" s="60" t="n">
        <x:f>IF(T94="","",I94*T94)</x:f>
        <x:v>2958.5497437930003</x:v>
      </x:c>
    </x:row>
    <x:row r="95" ht="18" customHeight="1">
      <x:c r="A95" s="46" t="str">
        <x:v>LME_013</x:v>
      </x:c>
      <x:c r="B95" s="46" t="str">
        <x:v>Humboldt Current</x:v>
      </x:c>
      <x:c r="C95" s="46" t="str">
        <x:v>LME</x:v>
      </x:c>
      <x:c r="D95" s="58" t="n">
        <x:v>2019</x:v>
      </x:c>
      <x:c r="E95" s="46" t="str">
        <x:v>Fissurella latimarginata</x:v>
      </x:c>
      <x:c r="F95" s="46" t="str">
        <x:v> </x:v>
      </x:c>
      <x:c r="G95" s="46" t="str">
        <x:v>Other demersal invertebrates</x:v>
      </x:c>
      <x:c r="H95" s="46" t="str">
        <x:v>Molluscs</x:v>
      </x:c>
      <x:c r="I95" s="60" t="n">
        <x:v>274.4791446352</x:v>
      </x:c>
      <x:c r="J95" s="60" t="n">
        <x:v>274.4791446352</x:v>
      </x:c>
      <x:c r="K95" s="60" t="n">
        <x:v>0</x:v>
      </x:c>
      <x:c r="L95" s="60" t="n">
        <x:v>218.96835978069998</x:v>
      </x:c>
      <x:c r="M95" s="60" t="n">
        <x:v>55.5107848545</x:v>
      </x:c>
      <x:c r="N95" s="46" t="str">
        <x:v>fissurella latimarginata</x:v>
      </x:c>
      <x:c r="O95" s="62" t="n">
        <x:v>2.19</x:v>
      </x:c>
      <x:c r="P95" s="46" t="str">
        <x:v>exact_sea_around_us</x:v>
      </x:c>
      <x:c r="Q95" s="62" t="str">
        <x:v>Sea Around Us exploited organisms</x:v>
      </x:c>
      <x:c r="R95" s="46" t="str">
        <x:v>high</x:v>
      </x:c>
      <x:c r="S95" s="46" t="str">
        <x:v>Fissurella latimarginata</x:v>
      </x:c>
      <x:c r="T95" s="62" t="n">
        <x:f>IF(O95="","",(1/'Metadata'!$B$5)^(O95-1))</x:f>
        <x:v>15.488166189124811</x:v>
      </x:c>
      <x:c r="U95" s="60" t="n">
        <x:f>IF(T95="","",I95*T95)</x:f>
        <x:v>4251.178607558803</x:v>
      </x:c>
    </x:row>
    <x:row r="96" ht="18" customHeight="1">
      <x:c r="A96" s="46" t="str">
        <x:v>LME_013</x:v>
      </x:c>
      <x:c r="B96" s="46" t="str">
        <x:v>Humboldt Current</x:v>
      </x:c>
      <x:c r="C96" s="46" t="str">
        <x:v>LME</x:v>
      </x:c>
      <x:c r="D96" s="58" t="n">
        <x:v>2019</x:v>
      </x:c>
      <x:c r="E96" s="46" t="str">
        <x:v>Galatheidae</x:v>
      </x:c>
      <x:c r="F96" s="46" t="str">
        <x:v>Squat lobsters</x:v>
      </x:c>
      <x:c r="G96" s="46" t="str">
        <x:v>Lobsters, crabs</x:v>
      </x:c>
      <x:c r="H96" s="46" t="str">
        <x:v>Crustaceans</x:v>
      </x:c>
      <x:c r="I96" s="60" t="n">
        <x:v>271.7844391834</x:v>
      </x:c>
      <x:c r="J96" s="60" t="n">
        <x:v>271.7844391834</x:v>
      </x:c>
      <x:c r="K96" s="60" t="n">
        <x:v>0</x:v>
      </x:c>
      <x:c r="L96" s="60" t="n">
        <x:v>271.7844391834</x:v>
      </x:c>
      <x:c r="M96" s="60" t="n">
        <x:v>0</x:v>
      </x:c>
      <x:c r="N96" s="46" t="str">
        <x:v>galatheidae</x:v>
      </x:c>
      <x:c r="O96" s="62" t="n">
        <x:v>3.1</x:v>
      </x:c>
      <x:c r="P96" s="46" t="str">
        <x:v>exact_sea_around_us</x:v>
      </x:c>
      <x:c r="Q96" s="62" t="str">
        <x:v>Sea Around Us exploited organisms</x:v>
      </x:c>
      <x:c r="R96" s="46" t="str">
        <x:v>high</x:v>
      </x:c>
      <x:c r="S96" s="46" t="str">
        <x:v>Galatheidae</x:v>
      </x:c>
      <x:c r="T96" s="62" t="n">
        <x:f>IF(O96="","",(1/'Metadata'!$B$5)^(O96-1))</x:f>
        <x:v>125.89254117941675</x:v>
      </x:c>
      <x:c r="U96" s="60" t="n">
        <x:f>IF(T96="","",I96*T96)</x:f>
        <x:v>34215.63370182087</x:v>
      </x:c>
    </x:row>
    <x:row r="97" ht="18" customHeight="1">
      <x:c r="A97" s="46" t="str">
        <x:v>LME_013</x:v>
      </x:c>
      <x:c r="B97" s="46" t="str">
        <x:v>Humboldt Current</x:v>
      </x:c>
      <x:c r="C97" s="46" t="str">
        <x:v>LME</x:v>
      </x:c>
      <x:c r="D97" s="58" t="n">
        <x:v>2019</x:v>
      </x:c>
      <x:c r="E97" s="46" t="str">
        <x:v>Athyonidium chilensis</x:v>
      </x:c>
      <x:c r="F97" s="46" t="str">
        <x:v>Burrowing shaggy sea cucumber</x:v>
      </x:c>
      <x:c r="G97" s="46" t="str">
        <x:v>Other demersal invertebrates</x:v>
      </x:c>
      <x:c r="H97" s="46" t="str">
        <x:v>Other fishes &amp; inverts</x:v>
      </x:c>
      <x:c r="I97" s="60" t="n">
        <x:v>246.5874196897</x:v>
      </x:c>
      <x:c r="J97" s="60" t="n">
        <x:v>246.5874196897</x:v>
      </x:c>
      <x:c r="K97" s="60" t="n">
        <x:v>0</x:v>
      </x:c>
      <x:c r="L97" s="60" t="n">
        <x:v>229.98674967379998</x:v>
      </x:c>
      <x:c r="M97" s="60" t="n">
        <x:v>16.6006700159</x:v>
      </x:c>
      <x:c r="N97" s="46" t="str">
        <x:v>athyonidium chilensis</x:v>
      </x:c>
      <x:c r="O97" s="62" t="n">
        <x:v>2.86</x:v>
      </x:c>
      <x:c r="P97" s="46" t="str">
        <x:v>exact_sea_around_us</x:v>
      </x:c>
      <x:c r="Q97" s="62" t="str">
        <x:v>Sea Around Us exploited organisms</x:v>
      </x:c>
      <x:c r="R97" s="46" t="str">
        <x:v>high</x:v>
      </x:c>
      <x:c r="S97" s="46" t="str">
        <x:v>Athyonidium chilensis</x:v>
      </x:c>
      <x:c r="T97" s="62" t="n">
        <x:f>IF(O97="","",(1/'Metadata'!$B$5)^(O97-1))</x:f>
        <x:v>72.44359600749898</x:v>
      </x:c>
      <x:c r="U97" s="60" t="n">
        <x:f>IF(T97="","",I97*T97)</x:f>
        <x:v>17863.679412532227</x:v>
      </x:c>
    </x:row>
    <x:row r="98" ht="18" customHeight="1">
      <x:c r="A98" s="46" t="str">
        <x:v>LME_013</x:v>
      </x:c>
      <x:c r="B98" s="46" t="str">
        <x:v>Humboldt Current</x:v>
      </x:c>
      <x:c r="C98" s="46" t="str">
        <x:v>LME</x:v>
      </x:c>
      <x:c r="D98" s="58" t="n">
        <x:v>2019</x:v>
      </x:c>
      <x:c r="E98" s="46" t="str">
        <x:v>Pseudograpsus setosus</x:v>
      </x:c>
      <x:c r="F98" s="46" t="str">
        <x:v>Jaiba peluda</x:v>
      </x:c>
      <x:c r="G98" s="46" t="str">
        <x:v>Lobsters, crabs</x:v>
      </x:c>
      <x:c r="H98" s="46" t="str">
        <x:v>Crustaceans</x:v>
      </x:c>
      <x:c r="I98" s="60" t="n">
        <x:v>211.0090852698</x:v>
      </x:c>
      <x:c r="J98" s="60" t="n">
        <x:v>211.0090852698</x:v>
      </x:c>
      <x:c r="K98" s="60" t="n">
        <x:v>0</x:v>
      </x:c>
      <x:c r="L98" s="60" t="n">
        <x:v>211.0090852698</x:v>
      </x:c>
      <x:c r="M98" s="60" t="n">
        <x:v>0</x:v>
      </x:c>
      <x:c r="N98" s="46" t="str">
        <x:v>pseudograpsus setosus</x:v>
      </x:c>
      <x:c r="O98" s="62" t="n">
        <x:v>3.37</x:v>
      </x:c>
      <x:c r="P98" s="46" t="str">
        <x:v>exact_sea_around_us</x:v>
      </x:c>
      <x:c r="Q98" s="62" t="str">
        <x:v>Sea Around Us exploited organisms</x:v>
      </x:c>
      <x:c r="R98" s="46" t="str">
        <x:v>high</x:v>
      </x:c>
      <x:c r="S98" s="46" t="str">
        <x:v>Pseudograpsus setosus</x:v>
      </x:c>
      <x:c r="T98" s="62" t="n">
        <x:f>IF(O98="","",(1/'Metadata'!$B$5)^(O98-1))</x:f>
        <x:v>234.42288153199226</x:v>
      </x:c>
      <x:c r="U98" s="60" t="n">
        <x:f>IF(T98="","",I98*T98)</x:f>
        <x:v>49465.35779837638</x:v>
      </x:c>
    </x:row>
    <x:row r="99" ht="18" customHeight="1">
      <x:c r="A99" s="46" t="str">
        <x:v>LME_013</x:v>
      </x:c>
      <x:c r="B99" s="46" t="str">
        <x:v>Humboldt Current</x:v>
      </x:c>
      <x:c r="C99" s="46" t="str">
        <x:v>LME</x:v>
      </x:c>
      <x:c r="D99" s="58" t="n">
        <x:v>2019</x:v>
      </x:c>
      <x:c r="E99" s="46" t="str">
        <x:v>Rajiformes</x:v>
      </x:c>
      <x:c r="F99" s="46" t="str">
        <x:v>Skates and rays</x:v>
      </x:c>
      <x:c r="G99" s="46" t="str">
        <x:v>Large rays (&gt;=90 cm)</x:v>
      </x:c>
      <x:c r="H99" s="46" t="str">
        <x:v>Sharks &amp; rays</x:v>
      </x:c>
      <x:c r="I99" s="60" t="n">
        <x:v>200.80726164459998</x:v>
      </x:c>
      <x:c r="J99" s="60" t="n">
        <x:v>200.80726164459998</x:v>
      </x:c>
      <x:c r="K99" s="60" t="n">
        <x:v>0</x:v>
      </x:c>
      <x:c r="L99" s="60" t="n">
        <x:v>200.80726164459998</x:v>
      </x:c>
      <x:c r="M99" s="60" t="n">
        <x:v>0</x:v>
      </x:c>
      <x:c r="N99" s="46" t="str">
        <x:v>rajiformes</x:v>
      </x:c>
      <x:c r="O99" s="62" t="n">
        <x:v>3.61</x:v>
      </x:c>
      <x:c r="P99" s="46" t="str">
        <x:v>exact_sea_around_us</x:v>
      </x:c>
      <x:c r="Q99" s="62" t="str">
        <x:v>Sea Around Us exploited organisms</x:v>
      </x:c>
      <x:c r="R99" s="46" t="str">
        <x:v>high</x:v>
      </x:c>
      <x:c r="S99" s="46" t="str">
        <x:v>Rajiformes</x:v>
      </x:c>
      <x:c r="T99" s="62" t="n">
        <x:f>IF(O99="","",(1/'Metadata'!$B$5)^(O99-1))</x:f>
        <x:v>407.3802778041126</x:v>
      </x:c>
      <x:c r="U99" s="60" t="n">
        <x:f>IF(T99="","",I99*T99)</x:f>
        <x:v>81804.91803386026</x:v>
      </x:c>
    </x:row>
    <x:row r="100" ht="18" customHeight="1">
      <x:c r="A100" s="46" t="str">
        <x:v>LME_013</x:v>
      </x:c>
      <x:c r="B100" s="46" t="str">
        <x:v>Humboldt Current</x:v>
      </x:c>
      <x:c r="C100" s="46" t="str">
        <x:v>LME</x:v>
      </x:c>
      <x:c r="D100" s="58" t="n">
        <x:v>2019</x:v>
      </x:c>
      <x:c r="E100" s="46" t="str">
        <x:v>Holothuriidae</x:v>
      </x:c>
      <x:c r="F100" s="46" t="str">
        <x:v>Fleshy sea cucumbers</x:v>
      </x:c>
      <x:c r="G100" s="46" t="str">
        <x:v>Other demersal invertebrates</x:v>
      </x:c>
      <x:c r="H100" s="46" t="str">
        <x:v>Other fishes &amp; inverts</x:v>
      </x:c>
      <x:c r="I100" s="60" t="n">
        <x:v>198.4409043338</x:v>
      </x:c>
      <x:c r="J100" s="60" t="n">
        <x:v>198.4409043338</x:v>
      </x:c>
      <x:c r="K100" s="60" t="n">
        <x:v>0</x:v>
      </x:c>
      <x:c r="L100" s="60" t="n">
        <x:v>198.4409043338</x:v>
      </x:c>
      <x:c r="M100" s="60" t="n">
        <x:v>0</x:v>
      </x:c>
      <x:c r="N100" s="46" t="str">
        <x:v>holothuriidae</x:v>
      </x:c>
      <x:c r="O100" s="62" t="n">
        <x:v>2</x:v>
      </x:c>
      <x:c r="P100" s="46" t="str">
        <x:v>exact_sea_around_us</x:v>
      </x:c>
      <x:c r="Q100" s="62" t="str">
        <x:v>Sea Around Us exploited organisms</x:v>
      </x:c>
      <x:c r="R100" s="46" t="str">
        <x:v>high</x:v>
      </x:c>
      <x:c r="S100" s="46" t="str">
        <x:v>Holothuriidae</x:v>
      </x:c>
      <x:c r="T100" s="62" t="n">
        <x:f>IF(O100="","",(1/'Metadata'!$B$5)^(O100-1))</x:f>
        <x:v>10</x:v>
      </x:c>
      <x:c r="U100" s="60" t="n">
        <x:f>IF(T100="","",I100*T100)</x:f>
        <x:v>1984.4090433380002</x:v>
      </x:c>
    </x:row>
    <x:row r="101" ht="18" customHeight="1">
      <x:c r="A101" s="46" t="str">
        <x:v>LME_013</x:v>
      </x:c>
      <x:c r="B101" s="46" t="str">
        <x:v>Humboldt Current</x:v>
      </x:c>
      <x:c r="C101" s="46" t="str">
        <x:v>LME</x:v>
      </x:c>
      <x:c r="D101" s="58" t="n">
        <x:v>2019</x:v>
      </x:c>
      <x:c r="E101" s="46" t="str">
        <x:v>Genypterus maculatus</x:v>
      </x:c>
      <x:c r="F101" s="46" t="str">
        <x:v>Black cusk-eel</x:v>
      </x:c>
      <x:c r="G101" s="46" t="str">
        <x:v>Medium demersals (30 - 89 cm)</x:v>
      </x:c>
      <x:c r="H101" s="46" t="str">
        <x:v>Other fishes &amp; inverts</x:v>
      </x:c>
      <x:c r="I101" s="60" t="n">
        <x:v>194.8054356468</x:v>
      </x:c>
      <x:c r="J101" s="60" t="n">
        <x:v>194.8054356468</x:v>
      </x:c>
      <x:c r="K101" s="60" t="n">
        <x:v>0</x:v>
      </x:c>
      <x:c r="L101" s="60" t="n">
        <x:v>183.0284832412</x:v>
      </x:c>
      <x:c r="M101" s="60" t="n">
        <x:v>11.7769524056</x:v>
      </x:c>
      <x:c r="N101" s="46" t="str">
        <x:v>genypterus maculatus</x:v>
      </x:c>
      <x:c r="O101" s="62" t="n">
        <x:v>3.48</x:v>
      </x:c>
      <x:c r="P101" s="46" t="str">
        <x:v>exact_sea_around_us</x:v>
      </x:c>
      <x:c r="Q101" s="62" t="str">
        <x:v>Sea Around Us exploited organisms</x:v>
      </x:c>
      <x:c r="R101" s="46" t="str">
        <x:v>high</x:v>
      </x:c>
      <x:c r="S101" s="46" t="str">
        <x:v>Genypterus maculatus</x:v>
      </x:c>
      <x:c r="T101" s="62" t="n">
        <x:f>IF(O101="","",(1/'Metadata'!$B$5)^(O101-1))</x:f>
        <x:v>301.9951720402016</x:v>
      </x:c>
      <x:c r="U101" s="60" t="n">
        <x:f>IF(T101="","",I101*T101)</x:f>
        <x:v>58830.30105252179</x:v>
      </x:c>
    </x:row>
    <x:row r="102" ht="18" customHeight="1">
      <x:c r="A102" s="46" t="str">
        <x:v>LME_013</x:v>
      </x:c>
      <x:c r="B102" s="46" t="str">
        <x:v>Humboldt Current</x:v>
      </x:c>
      <x:c r="C102" s="46" t="str">
        <x:v>LME</x:v>
      </x:c>
      <x:c r="D102" s="58" t="n">
        <x:v>2019</x:v>
      </x:c>
      <x:c r="E102" s="46" t="str">
        <x:v>Lamna nasus</x:v>
      </x:c>
      <x:c r="F102" s="46" t="str">
        <x:v>Porbeagle</x:v>
      </x:c>
      <x:c r="G102" s="46" t="str">
        <x:v>Large sharks (&gt;=90 cm)</x:v>
      </x:c>
      <x:c r="H102" s="46" t="str">
        <x:v>Sharks &amp; rays</x:v>
      </x:c>
      <x:c r="I102" s="60" t="n">
        <x:v>189.0174744139</x:v>
      </x:c>
      <x:c r="J102" s="60" t="n">
        <x:v>189.0174744139</x:v>
      </x:c>
      <x:c r="K102" s="60" t="n">
        <x:v>0</x:v>
      </x:c>
      <x:c r="L102" s="60" t="n">
        <x:v>189.0174744139</x:v>
      </x:c>
      <x:c r="M102" s="60" t="n">
        <x:v>0</x:v>
      </x:c>
      <x:c r="N102" s="46" t="str">
        <x:v>lamna nasus</x:v>
      </x:c>
      <x:c r="O102" s="62" t="n">
        <x:v>4.57</x:v>
      </x:c>
      <x:c r="P102" s="46" t="str">
        <x:v>exact_2020_supplement</x:v>
      </x:c>
      <x:c r="Q102" s="62" t="str">
        <x:v>2020 supplement MeanTL</x:v>
      </x:c>
      <x:c r="R102" s="46" t="str">
        <x:v>high</x:v>
      </x:c>
      <x:c r="S102" s="46" t="str">
        <x:v>Lamna nasus</x:v>
      </x:c>
      <x:c r="T102" s="62" t="n">
        <x:f>IF(O102="","",(1/'Metadata'!$B$5)^(O102-1))</x:f>
        <x:v>3715.3522909717276</x:v>
      </x:c>
      <x:c r="U102" s="60" t="n">
        <x:f>IF(T102="","",I102*T102)</x:f>
        <x:v>702266.5065973733</x:v>
      </x:c>
    </x:row>
    <x:row r="103" ht="18" customHeight="1">
      <x:c r="A103" s="46" t="str">
        <x:v>LME_013</x:v>
      </x:c>
      <x:c r="B103" s="46" t="str">
        <x:v>Humboldt Current</x:v>
      </x:c>
      <x:c r="C103" s="46" t="str">
        <x:v>LME</x:v>
      </x:c>
      <x:c r="D103" s="58" t="n">
        <x:v>2019</x:v>
      </x:c>
      <x:c r="E103" s="46" t="str">
        <x:v>Pseudobatos planiceps</x:v>
      </x:c>
      <x:c r="F103" s="46" t="str">
        <x:v>Pacific guitarfish</x:v>
      </x:c>
      <x:c r="G103" s="46" t="str">
        <x:v>Small to medium rays (&lt;90 cm)</x:v>
      </x:c>
      <x:c r="H103" s="46" t="str">
        <x:v>Sharks &amp; rays</x:v>
      </x:c>
      <x:c r="I103" s="60" t="n">
        <x:v>179.2697197962</x:v>
      </x:c>
      <x:c r="J103" s="60" t="n">
        <x:v>145.9989058934</x:v>
      </x:c>
      <x:c r="K103" s="60" t="n">
        <x:v>33.2708139028</x:v>
      </x:c>
      <x:c r="L103" s="60" t="n">
        <x:v>108.5027677541</x:v>
      </x:c>
      <x:c r="M103" s="60" t="n">
        <x:v>70.7669520421</x:v>
      </x:c>
      <x:c r="N103" s="46" t="str">
        <x:v>pseudobatos planiceps</x:v>
      </x:c>
      <x:c r="O103" s="62" t="n">
        <x:v>3.56</x:v>
      </x:c>
      <x:c r="P103" s="46" t="str">
        <x:v>exact_sea_around_us</x:v>
      </x:c>
      <x:c r="Q103" s="62" t="str">
        <x:v>Sea Around Us exploited organisms</x:v>
      </x:c>
      <x:c r="R103" s="46" t="str">
        <x:v>high</x:v>
      </x:c>
      <x:c r="S103" s="46" t="str">
        <x:v>Pseudobatos planiceps</x:v>
      </x:c>
      <x:c r="T103" s="62" t="n">
        <x:f>IF(O103="","",(1/'Metadata'!$B$5)^(O103-1))</x:f>
        <x:v>363.0780547701014</x:v>
      </x:c>
      <x:c r="U103" s="60" t="n">
        <x:f>IF(T103="","",I103*T103)</x:f>
        <x:v>65088.901142785435</x:v>
      </x:c>
    </x:row>
    <x:row r="104" ht="18" customHeight="1">
      <x:c r="A104" s="46" t="str">
        <x:v>LME_013</x:v>
      </x:c>
      <x:c r="B104" s="46" t="str">
        <x:v>Humboldt Current</x:v>
      </x:c>
      <x:c r="C104" s="46" t="str">
        <x:v>LME</x:v>
      </x:c>
      <x:c r="D104" s="58" t="n">
        <x:v>2019</x:v>
      </x:c>
      <x:c r="E104" s="46" t="str">
        <x:v>Mobula birostris</x:v>
      </x:c>
      <x:c r="F104" s="46" t="str">
        <x:v>Giant manta</x:v>
      </x:c>
      <x:c r="G104" s="46" t="str">
        <x:v>Large rays (&gt;=90 cm)</x:v>
      </x:c>
      <x:c r="H104" s="46" t="str">
        <x:v>Sharks &amp; rays</x:v>
      </x:c>
      <x:c r="I104" s="60" t="n">
        <x:v>166.2720262518</x:v>
      </x:c>
      <x:c r="J104" s="60" t="n">
        <x:v>166.2720262518</x:v>
      </x:c>
      <x:c r="K104" s="60" t="n">
        <x:v>0</x:v>
      </x:c>
      <x:c r="L104" s="60" t="n">
        <x:v>166.2720262518</x:v>
      </x:c>
      <x:c r="M104" s="60" t="n">
        <x:v>0</x:v>
      </x:c>
      <x:c r="N104" s="46" t="str">
        <x:v>mobula birostris</x:v>
      </x:c>
      <x:c r="O104" s="62" t="n">
        <x:v>3.46</x:v>
      </x:c>
      <x:c r="P104" s="46" t="str">
        <x:v>exact_sea_around_us</x:v>
      </x:c>
      <x:c r="Q104" s="62" t="str">
        <x:v>Sea Around Us exploited organisms</x:v>
      </x:c>
      <x:c r="R104" s="46" t="str">
        <x:v>high</x:v>
      </x:c>
      <x:c r="S104" s="46" t="str">
        <x:v>Mobula birostris</x:v>
      </x:c>
      <x:c r="T104" s="62" t="n">
        <x:f>IF(O104="","",(1/'Metadata'!$B$5)^(O104-1))</x:f>
        <x:v>288.40315031266056</x:v>
      </x:c>
      <x:c r="U104" s="60" t="n">
        <x:f>IF(T104="","",I104*T104)</x:f>
        <x:v>47953.376179888524</x:v>
      </x:c>
    </x:row>
    <x:row r="105" ht="18" customHeight="1">
      <x:c r="A105" s="46" t="str">
        <x:v>LME_013</x:v>
      </x:c>
      <x:c r="B105" s="46" t="str">
        <x:v>Humboldt Current</x:v>
      </x:c>
      <x:c r="C105" s="46" t="str">
        <x:v>LME</x:v>
      </x:c>
      <x:c r="D105" s="58" t="n">
        <x:v>2019</x:v>
      </x:c>
      <x:c r="E105" s="46" t="str">
        <x:v>Ovalipes trimaculatus</x:v>
      </x:c>
      <x:c r="F105" s="46" t="str">
        <x:v>Rowing crab</x:v>
      </x:c>
      <x:c r="G105" s="46" t="str">
        <x:v>Lobsters, crabs</x:v>
      </x:c>
      <x:c r="H105" s="46" t="str">
        <x:v>Crustaceans</x:v>
      </x:c>
      <x:c r="I105" s="60" t="n">
        <x:v>165.7055134625</x:v>
      </x:c>
      <x:c r="J105" s="60" t="n">
        <x:v>165.7055134625</x:v>
      </x:c>
      <x:c r="K105" s="60" t="n">
        <x:v>0</x:v>
      </x:c>
      <x:c r="L105" s="60" t="n">
        <x:v>151.14539662509998</x:v>
      </x:c>
      <x:c r="M105" s="60" t="n">
        <x:v>14.5601168374</x:v>
      </x:c>
      <x:c r="N105" s="46" t="str">
        <x:v>ovalipes trimaculatus</x:v>
      </x:c>
      <x:c r="O105" s="62" t="n">
        <x:v>4.41</x:v>
      </x:c>
      <x:c r="P105" s="46" t="str">
        <x:v>exact_sea_around_us</x:v>
      </x:c>
      <x:c r="Q105" s="62" t="str">
        <x:v>Sea Around Us exploited organisms</x:v>
      </x:c>
      <x:c r="R105" s="46" t="str">
        <x:v>high</x:v>
      </x:c>
      <x:c r="S105" s="46" t="str">
        <x:v>Ovalipes trimaculatus</x:v>
      </x:c>
      <x:c r="T105" s="62" t="n">
        <x:f>IF(O105="","",(1/'Metadata'!$B$5)^(O105-1))</x:f>
        <x:v>2570.3957827688646</x:v>
      </x:c>
      <x:c r="U105" s="60" t="n">
        <x:f>IF(T105="","",I105*T105)</x:f>
        <x:v>425928.7529855593</x:v>
      </x:c>
    </x:row>
    <x:row r="106" ht="18" customHeight="1">
      <x:c r="A106" s="46" t="str">
        <x:v>LME_013</x:v>
      </x:c>
      <x:c r="B106" s="46" t="str">
        <x:v>Humboldt Current</x:v>
      </x:c>
      <x:c r="C106" s="46" t="str">
        <x:v>LME</x:v>
      </x:c>
      <x:c r="D106" s="58" t="n">
        <x:v>2019</x:v>
      </x:c>
      <x:c r="E106" s="46" t="str">
        <x:v>Caulolatilus</x:v>
      </x:c>
      <x:c r="F106" s="46" t="str">
        <x:v>Pacific and Atlantic tilefishes</x:v>
      </x:c>
      <x:c r="G106" s="46" t="str">
        <x:v>Medium demersals (30 - 89 cm)</x:v>
      </x:c>
      <x:c r="H106" s="46" t="str">
        <x:v>Perch-likes</x:v>
      </x:c>
      <x:c r="I106" s="60" t="n">
        <x:v>164.5665088189</x:v>
      </x:c>
      <x:c r="J106" s="60" t="n">
        <x:v>164.5665088189</x:v>
      </x:c>
      <x:c r="K106" s="60" t="n">
        <x:v>0</x:v>
      </x:c>
      <x:c r="L106" s="60" t="n">
        <x:v>0</x:v>
      </x:c>
      <x:c r="M106" s="60" t="n">
        <x:v>164.5665088189</x:v>
      </x:c>
      <x:c r="N106" s="46" t="str">
        <x:v>caulolatilus</x:v>
      </x:c>
      <x:c r="O106" s="62" t="n">
        <x:v>4.28</x:v>
      </x:c>
      <x:c r="P106" s="46" t="str">
        <x:v>exact_sea_around_us</x:v>
      </x:c>
      <x:c r="Q106" s="62" t="str">
        <x:v>Sea Around Us exploited organisms</x:v>
      </x:c>
      <x:c r="R106" s="46" t="str">
        <x:v>high</x:v>
      </x:c>
      <x:c r="S106" s="46" t="str">
        <x:v>Caulolatilus</x:v>
      </x:c>
      <x:c r="T106" s="62" t="n">
        <x:f>IF(O106="","",(1/'Metadata'!$B$5)^(O106-1))</x:f>
        <x:v>1905.4607179632483</x:v>
      </x:c>
      <x:c r="U106" s="60" t="n">
        <x:f>IF(T106="","",I106*T106)</x:f>
        <x:v>313575.0180467664</x:v>
      </x:c>
    </x:row>
    <x:row r="107" ht="18" customHeight="1">
      <x:c r="A107" s="46" t="str">
        <x:v>LME_013</x:v>
      </x:c>
      <x:c r="B107" s="46" t="str">
        <x:v>Humboldt Current</x:v>
      </x:c>
      <x:c r="C107" s="46" t="str">
        <x:v>LME</x:v>
      </x:c>
      <x:c r="D107" s="58" t="n">
        <x:v>2019</x:v>
      </x:c>
      <x:c r="E107" s="46" t="str">
        <x:v>Ostrea chilensis</x:v>
      </x:c>
      <x:c r="F107" s="46" t="str">
        <x:v>Chilean flat oyster</x:v>
      </x:c>
      <x:c r="G107" s="46" t="str">
        <x:v>Other demersal invertebrates</x:v>
      </x:c>
      <x:c r="H107" s="46" t="str">
        <x:v>Molluscs</x:v>
      </x:c>
      <x:c r="I107" s="60" t="n">
        <x:v>160.4306429949</x:v>
      </x:c>
      <x:c r="J107" s="60" t="n">
        <x:v>160.4306429949</x:v>
      </x:c>
      <x:c r="K107" s="60" t="n">
        <x:v>0</x:v>
      </x:c>
      <x:c r="L107" s="60" t="n">
        <x:v>151.7329009762</x:v>
      </x:c>
      <x:c r="M107" s="60" t="n">
        <x:v>8.697742018700001</x:v>
      </x:c>
      <x:c r="N107" s="46" t="str">
        <x:v>ostrea chilensis</x:v>
      </x:c>
      <x:c r="O107" s="62" t="n">
        <x:v>2</x:v>
      </x:c>
      <x:c r="P107" s="46" t="str">
        <x:v>exact_sea_around_us</x:v>
      </x:c>
      <x:c r="Q107" s="62" t="str">
        <x:v>Sea Around Us exploited organisms</x:v>
      </x:c>
      <x:c r="R107" s="46" t="str">
        <x:v>high</x:v>
      </x:c>
      <x:c r="S107" s="46" t="str">
        <x:v>Ostrea chilensis</x:v>
      </x:c>
      <x:c r="T107" s="62" t="n">
        <x:f>IF(O107="","",(1/'Metadata'!$B$5)^(O107-1))</x:f>
        <x:v>10</x:v>
      </x:c>
      <x:c r="U107" s="60" t="n">
        <x:f>IF(T107="","",I107*T107)</x:f>
        <x:v>1604.3064299490002</x:v>
      </x:c>
    </x:row>
    <x:row r="108" ht="18" customHeight="1">
      <x:c r="A108" s="46" t="str">
        <x:v>LME_013</x:v>
      </x:c>
      <x:c r="B108" s="46" t="str">
        <x:v>Humboldt Current</x:v>
      </x:c>
      <x:c r="C108" s="46" t="str">
        <x:v>LME</x:v>
      </x:c>
      <x:c r="D108" s="58" t="n">
        <x:v>2019</x:v>
      </x:c>
      <x:c r="E108" s="46" t="str">
        <x:v>Chorus giganteus</x:v>
      </x:c>
      <x:c r="F108" s="46" t="str">
        <x:v>Top shell whelk</x:v>
      </x:c>
      <x:c r="G108" s="46" t="str">
        <x:v>Other demersal invertebrates</x:v>
      </x:c>
      <x:c r="H108" s="46" t="str">
        <x:v>Molluscs</x:v>
      </x:c>
      <x:c r="I108" s="60" t="n">
        <x:v>149.55751330540002</x:v>
      </x:c>
      <x:c r="J108" s="60" t="n">
        <x:v>149.55751330540002</x:v>
      </x:c>
      <x:c r="K108" s="60" t="n">
        <x:v>0</x:v>
      </x:c>
      <x:c r="L108" s="60" t="n">
        <x:v>130.050211229</x:v>
      </x:c>
      <x:c r="M108" s="60" t="n">
        <x:v>19.5073020764</x:v>
      </x:c>
      <x:c r="N108" s="46" t="str">
        <x:v>chorus giganteus</x:v>
      </x:c>
      <x:c r="O108" s="62" t="n">
        <x:v>3.23</x:v>
      </x:c>
      <x:c r="P108" s="46" t="str">
        <x:v>exact_sea_around_us</x:v>
      </x:c>
      <x:c r="Q108" s="62" t="str">
        <x:v>Sea Around Us exploited organisms</x:v>
      </x:c>
      <x:c r="R108" s="46" t="str">
        <x:v>high</x:v>
      </x:c>
      <x:c r="S108" s="46" t="str">
        <x:v>Chorus giganteus</x:v>
      </x:c>
      <x:c r="T108" s="62" t="n">
        <x:f>IF(O108="","",(1/'Metadata'!$B$5)^(O108-1))</x:f>
        <x:v>169.82436524617444</x:v>
      </x:c>
      <x:c r="U108" s="60" t="n">
        <x:f>IF(T108="","",I108*T108)</x:f>
        <x:v>25398.509764885846</x:v>
      </x:c>
    </x:row>
    <x:row r="109" ht="18" customHeight="1">
      <x:c r="A109" s="46" t="str">
        <x:v>LME_013</x:v>
      </x:c>
      <x:c r="B109" s="46" t="str">
        <x:v>Humboldt Current</x:v>
      </x:c>
      <x:c r="C109" s="46" t="str">
        <x:v>LME</x:v>
      </x:c>
      <x:c r="D109" s="58" t="n">
        <x:v>2019</x:v>
      </x:c>
      <x:c r="E109" s="46" t="str">
        <x:v>Malacanthidae</x:v>
      </x:c>
      <x:c r="F109" s="46" t="str">
        <x:v>Tilefishes</x:v>
      </x:c>
      <x:c r="G109" s="46" t="str">
        <x:v>Medium demersals (30 - 89 cm)</x:v>
      </x:c>
      <x:c r="H109" s="46" t="str">
        <x:v>Perch-likes</x:v>
      </x:c>
      <x:c r="I109" s="60" t="n">
        <x:v>144.0822928091</x:v>
      </x:c>
      <x:c r="J109" s="60" t="n">
        <x:v>144.0822928091</x:v>
      </x:c>
      <x:c r="K109" s="60" t="n">
        <x:v>0</x:v>
      </x:c>
      <x:c r="L109" s="60" t="n">
        <x:v>144.0822928091</x:v>
      </x:c>
      <x:c r="M109" s="60" t="n">
        <x:v>0</x:v>
      </x:c>
      <x:c r="N109" s="46" t="str">
        <x:v>malacanthidae</x:v>
      </x:c>
      <x:c r="O109" s="62" t="n">
        <x:v>3.62</x:v>
      </x:c>
      <x:c r="P109" s="46" t="str">
        <x:v>exact_sea_around_us</x:v>
      </x:c>
      <x:c r="Q109" s="62" t="str">
        <x:v>Sea Around Us exploited organisms</x:v>
      </x:c>
      <x:c r="R109" s="46" t="str">
        <x:v>high</x:v>
      </x:c>
      <x:c r="S109" s="46" t="str">
        <x:v>Malacanthidae</x:v>
      </x:c>
      <x:c r="T109" s="62" t="n">
        <x:f>IF(O109="","",(1/'Metadata'!$B$5)^(O109-1))</x:f>
        <x:v>416.8693834703355</x:v>
      </x:c>
      <x:c r="U109" s="60" t="n">
        <x:f>IF(T109="","",I109*T109)</x:f>
        <x:v>60063.49657232188</x:v>
      </x:c>
    </x:row>
    <x:row r="110" ht="18" customHeight="1">
      <x:c r="A110" s="46" t="str">
        <x:v>LME_013</x:v>
      </x:c>
      <x:c r="B110" s="46" t="str">
        <x:v>Humboldt Current</x:v>
      </x:c>
      <x:c r="C110" s="46" t="str">
        <x:v>LME</x:v>
      </x:c>
      <x:c r="D110" s="58" t="n">
        <x:v>2019</x:v>
      </x:c>
      <x:c r="E110" s="46" t="str">
        <x:v>Carangidae</x:v>
      </x:c>
      <x:c r="F110" s="46" t="str">
        <x:v>Jacks, pompanos</x:v>
      </x:c>
      <x:c r="G110" s="46" t="str">
        <x:v>Medium pelagics (30 - 89 cm)</x:v>
      </x:c>
      <x:c r="H110" s="46" t="str">
        <x:v>Perch-likes</x:v>
      </x:c>
      <x:c r="I110" s="60" t="n">
        <x:v>139.91213221569998</x:v>
      </x:c>
      <x:c r="J110" s="60" t="n">
        <x:v>5.4174838243000005</x:v>
      </x:c>
      <x:c r="K110" s="60" t="n">
        <x:v>134.4946483914</x:v>
      </x:c>
      <x:c r="L110" s="60" t="n">
        <x:v>5.4174838243000005</x:v>
      </x:c>
      <x:c r="M110" s="60" t="n">
        <x:v>134.4946483914</x:v>
      </x:c>
      <x:c r="N110" s="46" t="str">
        <x:v>carangidae</x:v>
      </x:c>
      <x:c r="O110" s="62" t="n">
        <x:v>4.05</x:v>
      </x:c>
      <x:c r="P110" s="46" t="str">
        <x:v>exact_sea_around_us</x:v>
      </x:c>
      <x:c r="Q110" s="62" t="str">
        <x:v>Sea Around Us exploited organisms</x:v>
      </x:c>
      <x:c r="R110" s="46" t="str">
        <x:v>high</x:v>
      </x:c>
      <x:c r="S110" s="46" t="str">
        <x:v>Carangidae</x:v>
      </x:c>
      <x:c r="T110" s="62" t="n">
        <x:f>IF(O110="","",(1/'Metadata'!$B$5)^(O110-1))</x:f>
        <x:v>1122.018454301963</x:v>
      </x:c>
      <x:c r="U110" s="60" t="n">
        <x:f>IF(T110="","",I110*T110)</x:f>
        <x:v>156983.99432675156</x:v>
      </x:c>
    </x:row>
    <x:row r="111" ht="18" customHeight="1">
      <x:c r="A111" s="46" t="str">
        <x:v>LME_013</x:v>
      </x:c>
      <x:c r="B111" s="46" t="str">
        <x:v>Humboldt Current</x:v>
      </x:c>
      <x:c r="C111" s="46" t="str">
        <x:v>LME</x:v>
      </x:c>
      <x:c r="D111" s="58" t="n">
        <x:v>2019</x:v>
      </x:c>
      <x:c r="E111" s="46" t="str">
        <x:v>Homalaspis plana</x:v>
      </x:c>
      <x:c r="F111" s="46" t="str">
        <x:v>Blackberry crab</x:v>
      </x:c>
      <x:c r="G111" s="46" t="str">
        <x:v>Lobsters, crabs</x:v>
      </x:c>
      <x:c r="H111" s="46" t="str">
        <x:v>Crustaceans</x:v>
      </x:c>
      <x:c r="I111" s="60" t="n">
        <x:v>135.482921257</x:v>
      </x:c>
      <x:c r="J111" s="60" t="n">
        <x:v>135.482921257</x:v>
      </x:c>
      <x:c r="K111" s="60" t="n">
        <x:v>0</x:v>
      </x:c>
      <x:c r="L111" s="60" t="n">
        <x:v>125.2848689402</x:v>
      </x:c>
      <x:c r="M111" s="60" t="n">
        <x:v>10.1980523168</x:v>
      </x:c>
      <x:c r="N111" s="46" t="str">
        <x:v>homalaspis plana</x:v>
      </x:c>
      <x:c r="O111" s="62" t="n">
        <x:v>3.59</x:v>
      </x:c>
      <x:c r="P111" s="46" t="str">
        <x:v>exact_sea_around_us</x:v>
      </x:c>
      <x:c r="Q111" s="62" t="str">
        <x:v>Sea Around Us exploited organisms</x:v>
      </x:c>
      <x:c r="R111" s="46" t="str">
        <x:v>high</x:v>
      </x:c>
      <x:c r="S111" s="46" t="str">
        <x:v>Homalaspis plana</x:v>
      </x:c>
      <x:c r="T111" s="62" t="n">
        <x:f>IF(O111="","",(1/'Metadata'!$B$5)^(O111-1))</x:f>
        <x:v>389.04514499428046</x:v>
      </x:c>
      <x:c r="U111" s="60" t="n">
        <x:f>IF(T111="","",I111*T111)</x:f>
        <x:v>52708.97274467824</x:v>
      </x:c>
    </x:row>
    <x:row r="112" ht="18" customHeight="1">
      <x:c r="A112" s="46" t="str">
        <x:v>LME_013</x:v>
      </x:c>
      <x:c r="B112" s="46" t="str">
        <x:v>Humboldt Current</x:v>
      </x:c>
      <x:c r="C112" s="46" t="str">
        <x:v>LME</x:v>
      </x:c>
      <x:c r="D112" s="58" t="n">
        <x:v>2019</x:v>
      </x:c>
      <x:c r="E112" s="46" t="str">
        <x:v>Mustelus whitneyi</x:v>
      </x:c>
      <x:c r="F112" s="46" t="str">
        <x:v>Humpback smooth-hound</x:v>
      </x:c>
      <x:c r="G112" s="46" t="str">
        <x:v>Small to medium sharks (&lt;90 cm)</x:v>
      </x:c>
      <x:c r="H112" s="46" t="str">
        <x:v>Sharks &amp; rays</x:v>
      </x:c>
      <x:c r="I112" s="60" t="n">
        <x:v>134.6438070681</x:v>
      </x:c>
      <x:c r="J112" s="60" t="n">
        <x:v>134.6438070681</x:v>
      </x:c>
      <x:c r="K112" s="60" t="n">
        <x:v>0</x:v>
      </x:c>
      <x:c r="L112" s="60" t="n">
        <x:v>0</x:v>
      </x:c>
      <x:c r="M112" s="60" t="n">
        <x:v>134.6438070681</x:v>
      </x:c>
      <x:c r="N112" s="46" t="str">
        <x:v>mustelus whitneyi</x:v>
      </x:c>
      <x:c r="O112" s="62" t="n">
        <x:v>3.66</x:v>
      </x:c>
      <x:c r="P112" s="46" t="str">
        <x:v>exact_2020_supplement</x:v>
      </x:c>
      <x:c r="Q112" s="62" t="str">
        <x:v>2020 supplement MeanTL</x:v>
      </x:c>
      <x:c r="R112" s="46" t="str">
        <x:v>high</x:v>
      </x:c>
      <x:c r="S112" s="46" t="str">
        <x:v>Mustelus whitneyi</x:v>
      </x:c>
      <x:c r="T112" s="62" t="n">
        <x:f>IF(O112="","",(1/'Metadata'!$B$5)^(O112-1))</x:f>
        <x:v>457.0881896148752</x:v>
      </x:c>
      <x:c r="U112" s="60" t="n">
        <x:f>IF(T112="","",I112*T112)</x:f>
        <x:v>61544.09401561236</x:v>
      </x:c>
    </x:row>
    <x:row r="113" ht="18" customHeight="1">
      <x:c r="A113" s="46" t="str">
        <x:v>LME_013</x:v>
      </x:c>
      <x:c r="B113" s="46" t="str">
        <x:v>Humboldt Current</x:v>
      </x:c>
      <x:c r="C113" s="46" t="str">
        <x:v>LME</x:v>
      </x:c>
      <x:c r="D113" s="58" t="n">
        <x:v>2019</x:v>
      </x:c>
      <x:c r="E113" s="46" t="str">
        <x:v>Trichiurus lepturus</x:v>
      </x:c>
      <x:c r="F113" s="46" t="str">
        <x:v>Largehead hairtail</x:v>
      </x:c>
      <x:c r="G113" s="46" t="str">
        <x:v>Large benthopelagics (&gt;=90 cm)</x:v>
      </x:c>
      <x:c r="H113" s="46" t="str">
        <x:v>Perch-likes</x:v>
      </x:c>
      <x:c r="I113" s="60" t="n">
        <x:v>124.18656715920001</x:v>
      </x:c>
      <x:c r="J113" s="60" t="n">
        <x:v>124.18656715920001</x:v>
      </x:c>
      <x:c r="K113" s="60" t="n">
        <x:v>0</x:v>
      </x:c>
      <x:c r="L113" s="60" t="n">
        <x:v>124.18656715920001</x:v>
      </x:c>
      <x:c r="M113" s="60" t="n">
        <x:v>0</x:v>
      </x:c>
      <x:c r="N113" s="46" t="str">
        <x:v>trichiurus lepturus</x:v>
      </x:c>
      <x:c r="O113" s="62" t="n">
        <x:v>4.42</x:v>
      </x:c>
      <x:c r="P113" s="46" t="str">
        <x:v>exact_2020_supplement</x:v>
      </x:c>
      <x:c r="Q113" s="62" t="str">
        <x:v>2020 supplement MeanTL</x:v>
      </x:c>
      <x:c r="R113" s="46" t="str">
        <x:v>high</x:v>
      </x:c>
      <x:c r="S113" s="46" t="str">
        <x:v>Trichiurus lepturus</x:v>
      </x:c>
      <x:c r="T113" s="62" t="n">
        <x:f>IF(O113="","",(1/'Metadata'!$B$5)^(O113-1))</x:f>
        <x:v>2630.2679918953813</x:v>
      </x:c>
      <x:c r="U113" s="60" t="n">
        <x:f>IF(T113="","",I113*T113)</x:f>
        <x:v>326643.9526222099</x:v>
      </x:c>
    </x:row>
    <x:row r="114" ht="18" customHeight="1">
      <x:c r="A114" s="46" t="str">
        <x:v>LME_013</x:v>
      </x:c>
      <x:c r="B114" s="46" t="str">
        <x:v>Humboldt Current</x:v>
      </x:c>
      <x:c r="C114" s="46" t="str">
        <x:v>LME</x:v>
      </x:c>
      <x:c r="D114" s="58" t="n">
        <x:v>2019</x:v>
      </x:c>
      <x:c r="E114" s="46" t="str">
        <x:v>Scorpaena histrio</x:v>
      </x:c>
      <x:c r="F114" s="46" t="str">
        <x:v>Player scorpionfish</x:v>
      </x:c>
      <x:c r="G114" s="46" t="str">
        <x:v>Small demersals (&lt;30 cm)</x:v>
      </x:c>
      <x:c r="H114" s="46" t="str">
        <x:v>Scorpionfishes</x:v>
      </x:c>
      <x:c r="I114" s="60" t="n">
        <x:v>115.0367275674</x:v>
      </x:c>
      <x:c r="J114" s="60" t="n">
        <x:v>115.0367275674</x:v>
      </x:c>
      <x:c r="K114" s="60" t="n">
        <x:v>0</x:v>
      </x:c>
      <x:c r="L114" s="60" t="n">
        <x:v>115.0367275674</x:v>
      </x:c>
      <x:c r="M114" s="60" t="n">
        <x:v>0</x:v>
      </x:c>
      <x:c r="N114" s="46" t="str">
        <x:v>scorpaena histrio</x:v>
      </x:c>
      <x:c r="O114" s="62" t="n">
        <x:v>3.7</x:v>
      </x:c>
      <x:c r="P114" s="46" t="str">
        <x:v>exact_sea_around_us</x:v>
      </x:c>
      <x:c r="Q114" s="62" t="str">
        <x:v>Sea Around Us exploited organisms</x:v>
      </x:c>
      <x:c r="R114" s="46" t="str">
        <x:v>high</x:v>
      </x:c>
      <x:c r="S114" s="46" t="str">
        <x:v>Scorpaena histrio</x:v>
      </x:c>
      <x:c r="T114" s="62" t="n">
        <x:f>IF(O114="","",(1/'Metadata'!$B$5)^(O114-1))</x:f>
        <x:v>501.18723362727246</x:v>
      </x:c>
      <x:c r="U114" s="60" t="n">
        <x:f>IF(T114="","",I114*T114)</x:f>
        <x:v>57654.939255039404</x:v>
      </x:c>
    </x:row>
    <x:row r="115" ht="18" customHeight="1">
      <x:c r="A115" s="46" t="str">
        <x:v>LME_013</x:v>
      </x:c>
      <x:c r="B115" s="46" t="str">
        <x:v>Humboldt Current</x:v>
      </x:c>
      <x:c r="C115" s="46" t="str">
        <x:v>LME</x:v>
      </x:c>
      <x:c r="D115" s="58" t="n">
        <x:v>2019</x:v>
      </x:c>
      <x:c r="E115" s="46" t="str">
        <x:v>Seriolella punctata</x:v>
      </x:c>
      <x:c r="F115" s="46" t="str">
        <x:v>Silver warehou</x:v>
      </x:c>
      <x:c r="G115" s="46" t="str">
        <x:v>Medium benthopelagics (30 - 89 cm)</x:v>
      </x:c>
      <x:c r="H115" s="46" t="str">
        <x:v>Perch-likes</x:v>
      </x:c>
      <x:c r="I115" s="60" t="n">
        <x:v>112.0025335538</x:v>
      </x:c>
      <x:c r="J115" s="60" t="n">
        <x:v>112.0025335538</x:v>
      </x:c>
      <x:c r="K115" s="60" t="n">
        <x:v>0</x:v>
      </x:c>
      <x:c r="L115" s="60" t="n">
        <x:v>112.0025335538</x:v>
      </x:c>
      <x:c r="M115" s="60" t="n">
        <x:v>0</x:v>
      </x:c>
      <x:c r="N115" s="46" t="str">
        <x:v>seriolella punctata</x:v>
      </x:c>
      <x:c r="O115" s="62" t="n">
        <x:v>3.4</x:v>
      </x:c>
      <x:c r="P115" s="46" t="str">
        <x:v>exact_2020_supplement</x:v>
      </x:c>
      <x:c r="Q115" s="62" t="str">
        <x:v>2020 supplement MeanTL</x:v>
      </x:c>
      <x:c r="R115" s="46" t="str">
        <x:v>high</x:v>
      </x:c>
      <x:c r="S115" s="46" t="str">
        <x:v>Seriolella punctata</x:v>
      </x:c>
      <x:c r="T115" s="62" t="n">
        <x:f>IF(O115="","",(1/'Metadata'!$B$5)^(O115-1))</x:f>
        <x:v>251.18864315095797</x:v>
      </x:c>
      <x:c r="U115" s="60" t="n">
        <x:f>IF(T115="","",I115*T115)</x:f>
        <x:v>28133.764432848668</x:v>
      </x:c>
    </x:row>
    <x:row r="116" ht="18" customHeight="1">
      <x:c r="A116" s="46" t="str">
        <x:v>LME_013</x:v>
      </x:c>
      <x:c r="B116" s="46" t="str">
        <x:v>Humboldt Current</x:v>
      </x:c>
      <x:c r="C116" s="46" t="str">
        <x:v>LME</x:v>
      </x:c>
      <x:c r="D116" s="58" t="n">
        <x:v>2019</x:v>
      </x:c>
      <x:c r="E116" s="46" t="str">
        <x:v>Istiophoridae</x:v>
      </x:c>
      <x:c r="F116" s="46" t="str">
        <x:v>Billfishes</x:v>
      </x:c>
      <x:c r="G116" s="46" t="str">
        <x:v>Large pelagics (&gt;=90 cm)</x:v>
      </x:c>
      <x:c r="H116" s="46" t="str">
        <x:v>Tuna &amp; billfishes</x:v>
      </x:c>
      <x:c r="I116" s="60" t="n">
        <x:v>110.54912898949999</x:v>
      </x:c>
      <x:c r="J116" s="60" t="n">
        <x:v>50.247390797200005</x:v>
      </x:c>
      <x:c r="K116" s="60" t="n">
        <x:v>60.3017381923</x:v>
      </x:c>
      <x:c r="L116" s="60" t="n">
        <x:v>50.247390797200005</x:v>
      </x:c>
      <x:c r="M116" s="60" t="n">
        <x:v>60.3017381923</x:v>
      </x:c>
      <x:c r="N116" s="46" t="str">
        <x:v>istiophoridae</x:v>
      </x:c>
      <x:c r="O116" s="62" t="n">
        <x:v>4.48</x:v>
      </x:c>
      <x:c r="P116" s="46" t="str">
        <x:v>exact_sea_around_us</x:v>
      </x:c>
      <x:c r="Q116" s="62" t="str">
        <x:v>Sea Around Us exploited organisms</x:v>
      </x:c>
      <x:c r="R116" s="46" t="str">
        <x:v>high</x:v>
      </x:c>
      <x:c r="S116" s="46" t="str">
        <x:v>Istiophoridae</x:v>
      </x:c>
      <x:c r="T116" s="62" t="n">
        <x:f>IF(O116="","",(1/'Metadata'!$B$5)^(O116-1))</x:f>
        <x:v>3019.951720402019</x:v>
      </x:c>
      <x:c r="U116" s="60" t="n">
        <x:f>IF(T116="","",I116*T116)</x:f>
        <x:v>333853.0322807852</x:v>
      </x:c>
    </x:row>
    <x:row r="117" ht="18" customHeight="1">
      <x:c r="A117" s="46" t="str">
        <x:v>LME_013</x:v>
      </x:c>
      <x:c r="B117" s="46" t="str">
        <x:v>Humboldt Current</x:v>
      </x:c>
      <x:c r="C117" s="46" t="str">
        <x:v>LME</x:v>
      </x:c>
      <x:c r="D117" s="58" t="n">
        <x:v>2019</x:v>
      </x:c>
      <x:c r="E117" s="46" t="str">
        <x:v>Cancer plebejus</x:v>
      </x:c>
      <x:c r="F117" s="46" t="str">
        <x:v>Chilean crab</x:v>
      </x:c>
      <x:c r="G117" s="46" t="str">
        <x:v>Lobsters, crabs</x:v>
      </x:c>
      <x:c r="H117" s="46" t="str">
        <x:v>Crustaceans</x:v>
      </x:c>
      <x:c r="I117" s="60" t="n">
        <x:v>106.99326213169999</x:v>
      </x:c>
      <x:c r="J117" s="60" t="n">
        <x:v>106.99326213169999</x:v>
      </x:c>
      <x:c r="K117" s="60" t="n">
        <x:v>0</x:v>
      </x:c>
      <x:c r="L117" s="60" t="n">
        <x:v>96.9695039624</x:v>
      </x:c>
      <x:c r="M117" s="60" t="n">
        <x:v>10.023758169299999</x:v>
      </x:c>
      <x:c r="N117" s="46" t="str">
        <x:v>cancer plebejus</x:v>
      </x:c>
      <x:c r="O117" s="62" t="n">
        <x:v>2.97</x:v>
      </x:c>
      <x:c r="P117" s="46" t="str">
        <x:v>exact_sea_around_us</x:v>
      </x:c>
      <x:c r="Q117" s="62" t="str">
        <x:v>Sea Around Us exploited organisms</x:v>
      </x:c>
      <x:c r="R117" s="46" t="str">
        <x:v>high</x:v>
      </x:c>
      <x:c r="S117" s="46" t="str">
        <x:v>Cancer plebejus</x:v>
      </x:c>
      <x:c r="T117" s="62" t="n">
        <x:f>IF(O117="","",(1/'Metadata'!$B$5)^(O117-1))</x:f>
        <x:v>93.32543007969915</x:v>
      </x:c>
      <x:c r="U117" s="60" t="n">
        <x:f>IF(T117="","",I117*T117)</x:f>
        <x:v>9985.19220407089</x:v>
      </x:c>
    </x:row>
    <x:row r="118" ht="18" customHeight="1">
      <x:c r="A118" s="46" t="str">
        <x:v>LME_013</x:v>
      </x:c>
      <x:c r="B118" s="46" t="str">
        <x:v>Humboldt Current</x:v>
      </x:c>
      <x:c r="C118" s="46" t="str">
        <x:v>LME</x:v>
      </x:c>
      <x:c r="D118" s="58" t="n">
        <x:v>2019</x:v>
      </x:c>
      <x:c r="E118" s="46" t="str">
        <x:v>Mulinia</x:v>
      </x:c>
      <x:c r="F118" s="46" t="str">
        <x:v>Taquilla clams</x:v>
      </x:c>
      <x:c r="G118" s="46" t="str">
        <x:v>Other demersal invertebrates</x:v>
      </x:c>
      <x:c r="H118" s="46" t="str">
        <x:v>Molluscs</x:v>
      </x:c>
      <x:c r="I118" s="60" t="n">
        <x:v>97.8493705257</x:v>
      </x:c>
      <x:c r="J118" s="60" t="n">
        <x:v>97.8493705257</x:v>
      </x:c>
      <x:c r="K118" s="60" t="n">
        <x:v>0</x:v>
      </x:c>
      <x:c r="L118" s="60" t="n">
        <x:v>0</x:v>
      </x:c>
      <x:c r="M118" s="60" t="n">
        <x:v>97.8493705257</x:v>
      </x:c>
      <x:c r="N118" s="46" t="str">
        <x:v>mulinia</x:v>
      </x:c>
      <x:c r="O118" s="62" t="n">
        <x:v>2</x:v>
      </x:c>
      <x:c r="P118" s="46" t="str">
        <x:v>exact_sea_around_us</x:v>
      </x:c>
      <x:c r="Q118" s="62" t="str">
        <x:v>Sea Around Us exploited organisms</x:v>
      </x:c>
      <x:c r="R118" s="46" t="str">
        <x:v>high</x:v>
      </x:c>
      <x:c r="S118" s="46" t="str">
        <x:v>Mulinia</x:v>
      </x:c>
      <x:c r="T118" s="62" t="n">
        <x:f>IF(O118="","",(1/'Metadata'!$B$5)^(O118-1))</x:f>
        <x:v>10</x:v>
      </x:c>
      <x:c r="U118" s="60" t="n">
        <x:f>IF(T118="","",I118*T118)</x:f>
        <x:v>978.493705257</x:v>
      </x:c>
    </x:row>
    <x:row r="119" ht="18" customHeight="1">
      <x:c r="A119" s="46" t="str">
        <x:v>LME_013</x:v>
      </x:c>
      <x:c r="B119" s="46" t="str">
        <x:v>Humboldt Current</x:v>
      </x:c>
      <x:c r="C119" s="46" t="str">
        <x:v>LME</x:v>
      </x:c>
      <x:c r="D119" s="58" t="n">
        <x:v>2019</x:v>
      </x:c>
      <x:c r="E119" s="46" t="str">
        <x:v>Labrisomus philippii</x:v>
      </x:c>
      <x:c r="F119" s="46" t="str">
        <x:v>Chalapo clinid</x:v>
      </x:c>
      <x:c r="G119" s="46" t="str">
        <x:v>Medium demersals (30 - 89 cm)</x:v>
      </x:c>
      <x:c r="H119" s="46" t="str">
        <x:v>Perch-likes</x:v>
      </x:c>
      <x:c r="I119" s="60" t="n">
        <x:v>97.63147715779999</x:v>
      </x:c>
      <x:c r="J119" s="60" t="n">
        <x:v>97.63147715779999</x:v>
      </x:c>
      <x:c r="K119" s="60" t="n">
        <x:v>0</x:v>
      </x:c>
      <x:c r="L119" s="60" t="n">
        <x:v>0</x:v>
      </x:c>
      <x:c r="M119" s="60" t="n">
        <x:v>97.63147715779999</x:v>
      </x:c>
      <x:c r="N119" s="46" t="str">
        <x:v>labrisomus philippii</x:v>
      </x:c>
      <x:c r="O119" s="62" t="n">
        <x:v>3.7</x:v>
      </x:c>
      <x:c r="P119" s="46" t="str">
        <x:v>exact_sea_around_us</x:v>
      </x:c>
      <x:c r="Q119" s="62" t="str">
        <x:v>Sea Around Us exploited organisms</x:v>
      </x:c>
      <x:c r="R119" s="46" t="str">
        <x:v>high</x:v>
      </x:c>
      <x:c r="S119" s="46" t="str">
        <x:v>Labrisomus philippii</x:v>
      </x:c>
      <x:c r="T119" s="62" t="n">
        <x:f>IF(O119="","",(1/'Metadata'!$B$5)^(O119-1))</x:f>
        <x:v>501.18723362727246</x:v>
      </x:c>
      <x:c r="U119" s="60" t="n">
        <x:f>IF(T119="","",I119*T119)</x:f>
        <x:v>48931.64995166202</x:v>
      </x:c>
    </x:row>
    <x:row r="120" ht="18" customHeight="1">
      <x:c r="A120" s="46" t="str">
        <x:v>LME_013</x:v>
      </x:c>
      <x:c r="B120" s="46" t="str">
        <x:v>Humboldt Current</x:v>
      </x:c>
      <x:c r="C120" s="46" t="str">
        <x:v>LME</x:v>
      </x:c>
      <x:c r="D120" s="58" t="n">
        <x:v>2019</x:v>
      </x:c>
      <x:c r="E120" s="46" t="str">
        <x:v>Brama brama</x:v>
      </x:c>
      <x:c r="F120" s="46" t="str">
        <x:v>Atlantic pomfret</x:v>
      </x:c>
      <x:c r="G120" s="46" t="str">
        <x:v>Medium bathypelagics (30 - 89 cm)</x:v>
      </x:c>
      <x:c r="H120" s="46" t="str">
        <x:v>Perch-likes</x:v>
      </x:c>
      <x:c r="I120" s="60" t="n">
        <x:v>97.1938745475</x:v>
      </x:c>
      <x:c r="J120" s="60" t="n">
        <x:v>97.1938745475</x:v>
      </x:c>
      <x:c r="K120" s="60" t="n">
        <x:v>0</x:v>
      </x:c>
      <x:c r="L120" s="60" t="n">
        <x:v>97.1938745475</x:v>
      </x:c>
      <x:c r="M120" s="60" t="n">
        <x:v>0</x:v>
      </x:c>
      <x:c r="N120" s="46" t="str">
        <x:v>brama brama</x:v>
      </x:c>
      <x:c r="O120" s="62" t="n">
        <x:v>4.08</x:v>
      </x:c>
      <x:c r="P120" s="46" t="str">
        <x:v>exact_2020_supplement</x:v>
      </x:c>
      <x:c r="Q120" s="62" t="str">
        <x:v>2020 supplement MeanTL</x:v>
      </x:c>
      <x:c r="R120" s="46" t="str">
        <x:v>high</x:v>
      </x:c>
      <x:c r="S120" s="46" t="str">
        <x:v>Brama brama</x:v>
      </x:c>
      <x:c r="T120" s="62" t="n">
        <x:f>IF(O120="","",(1/'Metadata'!$B$5)^(O120-1))</x:f>
        <x:v>1202.2644346174131</x:v>
      </x:c>
      <x:c r="U120" s="60" t="n">
        <x:f>IF(T120="","",I120*T120)</x:f>
        <x:v>116852.73863112587</x:v>
      </x:c>
    </x:row>
    <x:row r="121" ht="18" customHeight="1">
      <x:c r="A121" s="46" t="str">
        <x:v>LME_013</x:v>
      </x:c>
      <x:c r="B121" s="46" t="str">
        <x:v>Humboldt Current</x:v>
      </x:c>
      <x:c r="C121" s="46" t="str">
        <x:v>LME</x:v>
      </x:c>
      <x:c r="D121" s="58" t="n">
        <x:v>2019</x:v>
      </x:c>
      <x:c r="E121" s="46" t="str">
        <x:v>Penaeidae</x:v>
      </x:c>
      <x:c r="F121" s="46" t="str">
        <x:v>Commercial shrimps and prawns</x:v>
      </x:c>
      <x:c r="G121" s="46" t="str">
        <x:v>Shrimps</x:v>
      </x:c>
      <x:c r="H121" s="46" t="str">
        <x:v>Crustaceans</x:v>
      </x:c>
      <x:c r="I121" s="60" t="n">
        <x:v>92.8851148942</x:v>
      </x:c>
      <x:c r="J121" s="60" t="n">
        <x:v>92.8851148942</x:v>
      </x:c>
      <x:c r="K121" s="60" t="n">
        <x:v>0</x:v>
      </x:c>
      <x:c r="L121" s="60" t="n">
        <x:v>0</x:v>
      </x:c>
      <x:c r="M121" s="60" t="n">
        <x:v>92.8851148942</x:v>
      </x:c>
      <x:c r="N121" s="46" t="str">
        <x:v>penaeidae</x:v>
      </x:c>
      <x:c r="O121" s="62" t="n">
        <x:v>3.31</x:v>
      </x:c>
      <x:c r="P121" s="46" t="str">
        <x:v>exact_sea_around_us</x:v>
      </x:c>
      <x:c r="Q121" s="62" t="str">
        <x:v>Sea Around Us exploited organisms</x:v>
      </x:c>
      <x:c r="R121" s="46" t="str">
        <x:v>high</x:v>
      </x:c>
      <x:c r="S121" s="46" t="str">
        <x:v>Penaeidae</x:v>
      </x:c>
      <x:c r="T121" s="62" t="n">
        <x:f>IF(O121="","",(1/'Metadata'!$B$5)^(O121-1))</x:f>
        <x:v>204.17379446695296</x:v>
      </x:c>
      <x:c r="U121" s="60" t="n">
        <x:f>IF(T121="","",I121*T121)</x:f>
        <x:v>18964.706357447703</x:v>
      </x:c>
    </x:row>
    <x:row r="122" ht="18" customHeight="1">
      <x:c r="A122" s="46" t="str">
        <x:v>LME_013</x:v>
      </x:c>
      <x:c r="B122" s="46" t="str">
        <x:v>Humboldt Current</x:v>
      </x:c>
      <x:c r="C122" s="46" t="str">
        <x:v>LME</x:v>
      </x:c>
      <x:c r="D122" s="58" t="n">
        <x:v>2019</x:v>
      </x:c>
      <x:c r="E122" s="46" t="str">
        <x:v>Lampris guttatus</x:v>
      </x:c>
      <x:c r="F122" s="46" t="str">
        <x:v>Opah</x:v>
      </x:c>
      <x:c r="G122" s="46" t="str">
        <x:v>Large bathypelagics (&gt;=90 cm)</x:v>
      </x:c>
      <x:c r="H122" s="46" t="str">
        <x:v>Other fishes &amp; inverts</x:v>
      </x:c>
      <x:c r="I122" s="60" t="n">
        <x:v>88.26685605089999</x:v>
      </x:c>
      <x:c r="J122" s="60" t="n">
        <x:v>88.26685605089999</x:v>
      </x:c>
      <x:c r="K122" s="60" t="n">
        <x:v>0</x:v>
      </x:c>
      <x:c r="L122" s="60" t="n">
        <x:v>86.6328445665</x:v>
      </x:c>
      <x:c r="M122" s="60" t="n">
        <x:v>1.6340114844</x:v>
      </x:c>
      <x:c r="N122" s="46" t="str">
        <x:v>lampris guttatus</x:v>
      </x:c>
      <x:c r="O122" s="62" t="n">
        <x:v>4.22</x:v>
      </x:c>
      <x:c r="P122" s="46" t="str">
        <x:v>exact_2020_supplement</x:v>
      </x:c>
      <x:c r="Q122" s="62" t="str">
        <x:v>2020 supplement MeanTL</x:v>
      </x:c>
      <x:c r="R122" s="46" t="str">
        <x:v>high</x:v>
      </x:c>
      <x:c r="S122" s="46" t="str">
        <x:v>Lampris guttatus</x:v>
      </x:c>
      <x:c r="T122" s="62" t="n">
        <x:f>IF(O122="","",(1/'Metadata'!$B$5)^(O122-1))</x:f>
        <x:v>1659.5869074375596</x:v>
      </x:c>
      <x:c r="U122" s="60" t="n">
        <x:f>IF(T122="","",I122*T122)</x:f>
        <x:v>146486.51866274935</x:v>
      </x:c>
    </x:row>
    <x:row r="123" ht="18" customHeight="1">
      <x:c r="A123" s="46" t="str">
        <x:v>LME_013</x:v>
      </x:c>
      <x:c r="B123" s="46" t="str">
        <x:v>Humboldt Current</x:v>
      </x:c>
      <x:c r="C123" s="46" t="str">
        <x:v>LME</x:v>
      </x:c>
      <x:c r="D123" s="58" t="n">
        <x:v>2019</x:v>
      </x:c>
      <x:c r="E123" s="46" t="str">
        <x:v>Paralabrax</x:v>
      </x:c>
      <x:c r="F123" s="46" t="str">
        <x:v>Sand basses</x:v>
      </x:c>
      <x:c r="G123" s="46" t="str">
        <x:v>Medium reef assoc. fish (30 - 89 cm)</x:v>
      </x:c>
      <x:c r="H123" s="46" t="str">
        <x:v>Perch-likes</x:v>
      </x:c>
      <x:c r="I123" s="60" t="n">
        <x:v>85.27024756750001</x:v>
      </x:c>
      <x:c r="J123" s="60" t="n">
        <x:v>85.27024756750001</x:v>
      </x:c>
      <x:c r="K123" s="60" t="n">
        <x:v>0</x:v>
      </x:c>
      <x:c r="L123" s="60" t="n">
        <x:v>85.27024756750001</x:v>
      </x:c>
      <x:c r="M123" s="60" t="n">
        <x:v>0</x:v>
      </x:c>
      <x:c r="N123" s="46" t="str">
        <x:v>paralabrax</x:v>
      </x:c>
      <x:c r="O123" s="62" t="n">
        <x:v>4.14</x:v>
      </x:c>
      <x:c r="P123" s="46" t="str">
        <x:v>exact_sea_around_us</x:v>
      </x:c>
      <x:c r="Q123" s="62" t="str">
        <x:v>Sea Around Us exploited organisms</x:v>
      </x:c>
      <x:c r="R123" s="46" t="str">
        <x:v>high</x:v>
      </x:c>
      <x:c r="S123" s="46" t="str">
        <x:v>Paralabrax</x:v>
      </x:c>
      <x:c r="T123" s="62" t="n">
        <x:f>IF(O123="","",(1/'Metadata'!$B$5)^(O123-1))</x:f>
        <x:v>1380.3842646028838</x:v>
      </x:c>
      <x:c r="U123" s="60" t="n">
        <x:f>IF(T123="","",I123*T123)</x:f>
        <x:v>117705.70798096934</x:v>
      </x:c>
    </x:row>
    <x:row r="124" ht="18" customHeight="1">
      <x:c r="A124" s="46" t="str">
        <x:v>LME_013</x:v>
      </x:c>
      <x:c r="B124" s="46" t="str">
        <x:v>Humboldt Current</x:v>
      </x:c>
      <x:c r="C124" s="46" t="str">
        <x:v>LME</x:v>
      </x:c>
      <x:c r="D124" s="58" t="n">
        <x:v>2019</x:v>
      </x:c>
      <x:c r="E124" s="46" t="str">
        <x:v>Micromesistius australis</x:v>
      </x:c>
      <x:c r="F124" s="46" t="str">
        <x:v>Southern blue whiting</x:v>
      </x:c>
      <x:c r="G124" s="46" t="str">
        <x:v>Medium benthopelagics (30 - 89 cm)</x:v>
      </x:c>
      <x:c r="H124" s="46" t="str">
        <x:v>Cod-likes</x:v>
      </x:c>
      <x:c r="I124" s="60" t="n">
        <x:v>80.7941955035</x:v>
      </x:c>
      <x:c r="J124" s="60" t="n">
        <x:v>80.7941955035</x:v>
      </x:c>
      <x:c r="K124" s="60" t="n">
        <x:v>0</x:v>
      </x:c>
      <x:c r="L124" s="60" t="n">
        <x:v>80.7941955035</x:v>
      </x:c>
      <x:c r="M124" s="60" t="n">
        <x:v>0</x:v>
      </x:c>
      <x:c r="N124" s="46" t="str">
        <x:v>micromesistius australis</x:v>
      </x:c>
      <x:c r="O124" s="62" t="n">
        <x:v>3.76</x:v>
      </x:c>
      <x:c r="P124" s="46" t="str">
        <x:v>exact_2020_supplement</x:v>
      </x:c>
      <x:c r="Q124" s="62" t="str">
        <x:v>2020 supplement MeanTL</x:v>
      </x:c>
      <x:c r="R124" s="46" t="str">
        <x:v>high</x:v>
      </x:c>
      <x:c r="S124" s="46" t="str">
        <x:v>Micromesistius australis</x:v>
      </x:c>
      <x:c r="T124" s="62" t="n">
        <x:f>IF(O124="","",(1/'Metadata'!$B$5)^(O124-1))</x:f>
        <x:v>575.4399373371566</x:v>
      </x:c>
      <x:c r="U124" s="60" t="n">
        <x:f>IF(T124="","",I124*T124)</x:f>
        <x:v>46492.20679774002</x:v>
      </x:c>
    </x:row>
    <x:row r="125" ht="18" customHeight="1">
      <x:c r="A125" s="46" t="str">
        <x:v>LME_013</x:v>
      </x:c>
      <x:c r="B125" s="46" t="str">
        <x:v>Humboldt Current</x:v>
      </x:c>
      <x:c r="C125" s="46" t="str">
        <x:v>LME</x:v>
      </x:c>
      <x:c r="D125" s="58" t="n">
        <x:v>2019</x:v>
      </x:c>
      <x:c r="E125" s="46" t="str">
        <x:v>Dipturus trachyderma</x:v>
      </x:c>
      <x:c r="F125" s="46" t="str">
        <x:v>Ray</x:v>
      </x:c>
      <x:c r="G125" s="46" t="str">
        <x:v>Large rays (&gt;=90 cm)</x:v>
      </x:c>
      <x:c r="H125" s="46" t="str">
        <x:v>Sharks &amp; rays</x:v>
      </x:c>
      <x:c r="I125" s="60" t="n">
        <x:v>60.7750191163</x:v>
      </x:c>
      <x:c r="J125" s="60" t="n">
        <x:v>60.7750191163</x:v>
      </x:c>
      <x:c r="K125" s="60" t="n">
        <x:v>0</x:v>
      </x:c>
      <x:c r="L125" s="60" t="n">
        <x:v>58.3036858476</x:v>
      </x:c>
      <x:c r="M125" s="60" t="n">
        <x:v>2.4713332687</x:v>
      </x:c>
      <x:c r="N125" s="46" t="str">
        <x:v>dipturus trachyderma</x:v>
      </x:c>
      <x:c r="O125" s="62" t="n">
        <x:v>4.14</x:v>
      </x:c>
      <x:c r="P125" s="46" t="str">
        <x:v>exact_sea_around_us</x:v>
      </x:c>
      <x:c r="Q125" s="62" t="str">
        <x:v>Sea Around Us exploited organisms</x:v>
      </x:c>
      <x:c r="R125" s="46" t="str">
        <x:v>high</x:v>
      </x:c>
      <x:c r="S125" s="46" t="str">
        <x:v>Dipturus trachyderma</x:v>
      </x:c>
      <x:c r="T125" s="62" t="n">
        <x:f>IF(O125="","",(1/'Metadata'!$B$5)^(O125-1))</x:f>
        <x:v>1380.3842646028838</x:v>
      </x:c>
      <x:c r="U125" s="60" t="n">
        <x:f>IF(T125="","",I125*T125)</x:f>
        <x:v>83892.88006907998</x:v>
      </x:c>
    </x:row>
    <x:row r="126" ht="18" customHeight="1">
      <x:c r="A126" s="46" t="str">
        <x:v>LME_013</x:v>
      </x:c>
      <x:c r="B126" s="46" t="str">
        <x:v>Humboldt Current</x:v>
      </x:c>
      <x:c r="C126" s="46" t="str">
        <x:v>LME</x:v>
      </x:c>
      <x:c r="D126" s="58" t="n">
        <x:v>2019</x:v>
      </x:c>
      <x:c r="E126" s="46" t="str">
        <x:v>Diplectrum pacificum</x:v>
      </x:c>
      <x:c r="F126" s="46" t="str">
        <x:v>Inshore sand perch</x:v>
      </x:c>
      <x:c r="G126" s="46" t="str">
        <x:v>Small demersals (&lt;30 cm)</x:v>
      </x:c>
      <x:c r="H126" s="46" t="str">
        <x:v>Perch-likes</x:v>
      </x:c>
      <x:c r="I126" s="60" t="n">
        <x:v>60.6145398039</x:v>
      </x:c>
      <x:c r="J126" s="60" t="n">
        <x:v>60.6145398039</x:v>
      </x:c>
      <x:c r="K126" s="60" t="n">
        <x:v>0</x:v>
      </x:c>
      <x:c r="L126" s="60" t="n">
        <x:v>60.6145398039</x:v>
      </x:c>
      <x:c r="M126" s="60" t="n">
        <x:v>0</x:v>
      </x:c>
      <x:c r="N126" s="46" t="str">
        <x:v>diplectrum pacificum</x:v>
      </x:c>
      <x:c r="O126" s="62" t="n">
        <x:v>3.99</x:v>
      </x:c>
      <x:c r="P126" s="46" t="str">
        <x:v>exact_2020_supplement</x:v>
      </x:c>
      <x:c r="Q126" s="62" t="str">
        <x:v>2020 supplement MeanTL</x:v>
      </x:c>
      <x:c r="R126" s="46" t="str">
        <x:v>high</x:v>
      </x:c>
      <x:c r="S126" s="46" t="str">
        <x:v>Diplectrum pacificum</x:v>
      </x:c>
      <x:c r="T126" s="62" t="n">
        <x:f>IF(O126="","",(1/'Metadata'!$B$5)^(O126-1))</x:f>
        <x:v>977.2372209558112</x:v>
      </x:c>
      <x:c r="U126" s="60" t="n">
        <x:f>IF(T126="","",I126*T126)</x:f>
        <x:v>59234.78442747863</x:v>
      </x:c>
    </x:row>
    <x:row r="127" ht="18" customHeight="1">
      <x:c r="A127" s="46" t="str">
        <x:v>LME_013</x:v>
      </x:c>
      <x:c r="B127" s="46" t="str">
        <x:v>Humboldt Current</x:v>
      </x:c>
      <x:c r="C127" s="46" t="str">
        <x:v>LME</x:v>
      </x:c>
      <x:c r="D127" s="58" t="n">
        <x:v>2019</x:v>
      </x:c>
      <x:c r="E127" s="46" t="str">
        <x:v>Taliepus marginatus</x:v>
      </x:c>
      <x:c r="F127" s="46" t="str">
        <x:v>Spider crabs</x:v>
      </x:c>
      <x:c r="G127" s="46" t="str">
        <x:v>Lobsters, crabs</x:v>
      </x:c>
      <x:c r="H127" s="46" t="str">
        <x:v>Crustaceans</x:v>
      </x:c>
      <x:c r="I127" s="60" t="n">
        <x:v>59.2002478747</x:v>
      </x:c>
      <x:c r="J127" s="60" t="n">
        <x:v>59.2002478747</x:v>
      </x:c>
      <x:c r="K127" s="60" t="n">
        <x:v>0</x:v>
      </x:c>
      <x:c r="L127" s="60" t="n">
        <x:v>59.2002478747</x:v>
      </x:c>
      <x:c r="M127" s="60" t="n">
        <x:v>0</x:v>
      </x:c>
      <x:c r="N127" s="46" t="str">
        <x:v>taliepus marginatus</x:v>
      </x:c>
      <x:c r="O127" s="62" t="n">
        <x:v>2.86</x:v>
      </x:c>
      <x:c r="P127" s="46" t="str">
        <x:v>exact_sea_around_us</x:v>
      </x:c>
      <x:c r="Q127" s="62" t="str">
        <x:v>Sea Around Us exploited organisms</x:v>
      </x:c>
      <x:c r="R127" s="46" t="str">
        <x:v>high</x:v>
      </x:c>
      <x:c r="S127" s="46" t="str">
        <x:v>Taliepus marginatus</x:v>
      </x:c>
      <x:c r="T127" s="62" t="n">
        <x:f>IF(O127="","",(1/'Metadata'!$B$5)^(O127-1))</x:f>
        <x:v>72.44359600749898</x:v>
      </x:c>
      <x:c r="U127" s="60" t="n">
        <x:f>IF(T127="","",I127*T127)</x:f>
        <x:v>4288.678840578566</x:v>
      </x:c>
    </x:row>
    <x:row r="128" ht="18" customHeight="1">
      <x:c r="A128" s="46" t="str">
        <x:v>LME_013</x:v>
      </x:c>
      <x:c r="B128" s="46" t="str">
        <x:v>Humboldt Current</x:v>
      </x:c>
      <x:c r="C128" s="46" t="str">
        <x:v>LME</x:v>
      </x:c>
      <x:c r="D128" s="58" t="n">
        <x:v>2019</x:v>
      </x:c>
      <x:c r="E128" s="46" t="str">
        <x:v>Decapterus macrosoma</x:v>
      </x:c>
      <x:c r="F128" s="46" t="str">
        <x:v>Shortfin scad</x:v>
      </x:c>
      <x:c r="G128" s="46" t="str">
        <x:v>Medium pelagics (30 - 89 cm)</x:v>
      </x:c>
      <x:c r="H128" s="46" t="str">
        <x:v>Perch-likes</x:v>
      </x:c>
      <x:c r="I128" s="60" t="n">
        <x:v>52.5125895666</x:v>
      </x:c>
      <x:c r="J128" s="60" t="n">
        <x:v>52.5125895666</x:v>
      </x:c>
      <x:c r="K128" s="60" t="n">
        <x:v>0</x:v>
      </x:c>
      <x:c r="L128" s="60" t="n">
        <x:v>52.5125895666</x:v>
      </x:c>
      <x:c r="M128" s="60" t="n">
        <x:v>0</x:v>
      </x:c>
      <x:c r="N128" s="46" t="str">
        <x:v>decapterus macrosoma</x:v>
      </x:c>
      <x:c r="O128" s="62" t="n">
        <x:v>3.4</x:v>
      </x:c>
      <x:c r="P128" s="46" t="str">
        <x:v>exact_2020_supplement</x:v>
      </x:c>
      <x:c r="Q128" s="62" t="str">
        <x:v>2020 supplement MeanTL</x:v>
      </x:c>
      <x:c r="R128" s="46" t="str">
        <x:v>high</x:v>
      </x:c>
      <x:c r="S128" s="46" t="str">
        <x:v>Decapterus macrosoma</x:v>
      </x:c>
      <x:c r="T128" s="62" t="n">
        <x:f>IF(O128="","",(1/'Metadata'!$B$5)^(O128-1))</x:f>
        <x:v>251.18864315095797</x:v>
      </x:c>
      <x:c r="U128" s="60" t="n">
        <x:f>IF(T128="","",I128*T128)</x:f>
        <x:v>13190.566121577405</x:v>
      </x:c>
    </x:row>
    <x:row r="129" ht="18" customHeight="1">
      <x:c r="A129" s="46" t="str">
        <x:v>LME_013</x:v>
      </x:c>
      <x:c r="B129" s="46" t="str">
        <x:v>Humboldt Current</x:v>
      </x:c>
      <x:c r="C129" s="46" t="str">
        <x:v>LME</x:v>
      </x:c>
      <x:c r="D129" s="58" t="n">
        <x:v>2019</x:v>
      </x:c>
      <x:c r="E129" s="46" t="str">
        <x:v>Kajikia audax</x:v>
      </x:c>
      <x:c r="F129" s="46" t="str">
        <x:v>Striped marlin</x:v>
      </x:c>
      <x:c r="G129" s="46" t="str">
        <x:v>Large pelagics (&gt;=90 cm)</x:v>
      </x:c>
      <x:c r="H129" s="46" t="str">
        <x:v>Tuna &amp; billfishes</x:v>
      </x:c>
      <x:c r="I129" s="60" t="n">
        <x:v>51.0220273359</x:v>
      </x:c>
      <x:c r="J129" s="60" t="n">
        <x:v>51.0220273359</x:v>
      </x:c>
      <x:c r="K129" s="60" t="n">
        <x:v>0</x:v>
      </x:c>
      <x:c r="L129" s="60" t="n">
        <x:v>51.0220273359</x:v>
      </x:c>
      <x:c r="M129" s="60" t="n">
        <x:v>0</x:v>
      </x:c>
      <x:c r="N129" s="46" t="str">
        <x:v>kajikia audax</x:v>
      </x:c>
      <x:c r="O129" s="62" t="n">
        <x:v>4.58</x:v>
      </x:c>
      <x:c r="P129" s="46" t="str">
        <x:v>exact_2020_supplement</x:v>
      </x:c>
      <x:c r="Q129" s="62" t="str">
        <x:v>2020 supplement MeanTL</x:v>
      </x:c>
      <x:c r="R129" s="46" t="str">
        <x:v>high</x:v>
      </x:c>
      <x:c r="S129" s="46" t="str">
        <x:v>Kajikia audax</x:v>
      </x:c>
      <x:c r="T129" s="62" t="n">
        <x:f>IF(O129="","",(1/'Metadata'!$B$5)^(O129-1))</x:f>
        <x:v>3801.8939632056126</x:v>
      </x:c>
      <x:c r="U129" s="60" t="n">
        <x:f>IF(T129="","",I129*T129)</x:f>
        <x:v>193980.33771886997</x:v>
      </x:c>
    </x:row>
    <x:row r="130" ht="18" customHeight="1">
      <x:c r="A130" s="46" t="str">
        <x:v>LME_013</x:v>
      </x:c>
      <x:c r="B130" s="46" t="str">
        <x:v>Humboldt Current</x:v>
      </x:c>
      <x:c r="C130" s="46" t="str">
        <x:v>LME</x:v>
      </x:c>
      <x:c r="D130" s="58" t="n">
        <x:v>2019</x:v>
      </x:c>
      <x:c r="E130" s="46" t="str">
        <x:v>Seriola</x:v>
      </x:c>
      <x:c r="F130" s="46" t="str">
        <x:v>Amberjacks</x:v>
      </x:c>
      <x:c r="G130" s="46" t="str">
        <x:v>Large benthopelagics (&gt;=90 cm)</x:v>
      </x:c>
      <x:c r="H130" s="46" t="str">
        <x:v>Perch-likes</x:v>
      </x:c>
      <x:c r="I130" s="60" t="n">
        <x:v>46.4685768938</x:v>
      </x:c>
      <x:c r="J130" s="60" t="n">
        <x:v>46.4685768938</x:v>
      </x:c>
      <x:c r="K130" s="60" t="n">
        <x:v>0</x:v>
      </x:c>
      <x:c r="L130" s="60" t="n">
        <x:v>8.9955667119</x:v>
      </x:c>
      <x:c r="M130" s="60" t="n">
        <x:v>37.4730101819</x:v>
      </x:c>
      <x:c r="N130" s="46" t="str">
        <x:v>seriola</x:v>
      </x:c>
      <x:c r="O130" s="62" t="n">
        <x:v>4.39</x:v>
      </x:c>
      <x:c r="P130" s="46" t="str">
        <x:v>exact_sea_around_us</x:v>
      </x:c>
      <x:c r="Q130" s="62" t="str">
        <x:v>Sea Around Us exploited organisms</x:v>
      </x:c>
      <x:c r="R130" s="46" t="str">
        <x:v>high</x:v>
      </x:c>
      <x:c r="S130" s="46" t="str">
        <x:v>Seriola</x:v>
      </x:c>
      <x:c r="T130" s="62" t="n">
        <x:f>IF(O130="","",(1/'Metadata'!$B$5)^(O130-1))</x:f>
        <x:v>2454.7089156850284</x:v>
      </x:c>
      <x:c r="U130" s="60" t="n">
        <x:f>IF(T130="","",I130*T130)</x:f>
        <x:v>114066.83000040616</x:v>
      </x:c>
    </x:row>
    <x:row r="131" ht="18" customHeight="1">
      <x:c r="A131" s="46" t="str">
        <x:v>LME_013</x:v>
      </x:c>
      <x:c r="B131" s="46" t="str">
        <x:v>Humboldt Current</x:v>
      </x:c>
      <x:c r="C131" s="46" t="str">
        <x:v>LME</x:v>
      </x:c>
      <x:c r="D131" s="58" t="n">
        <x:v>2019</x:v>
      </x:c>
      <x:c r="E131" s="46" t="str">
        <x:v>Diapterus peruvianus</x:v>
      </x:c>
      <x:c r="F131" s="46" t="str">
        <x:v>Peruvian mojarra</x:v>
      </x:c>
      <x:c r="G131" s="46" t="str">
        <x:v>Small demersals (&lt;30 cm)</x:v>
      </x:c>
      <x:c r="H131" s="46" t="str">
        <x:v>Perch-likes</x:v>
      </x:c>
      <x:c r="I131" s="60" t="n">
        <x:v>41.922554352</x:v>
      </x:c>
      <x:c r="J131" s="60" t="n">
        <x:v>41.922554352</x:v>
      </x:c>
      <x:c r="K131" s="60" t="n">
        <x:v>0</x:v>
      </x:c>
      <x:c r="L131" s="60" t="n">
        <x:v>41.922554352</x:v>
      </x:c>
      <x:c r="M131" s="60" t="n">
        <x:v>0</x:v>
      </x:c>
      <x:c r="N131" s="46" t="str">
        <x:v>diapterus peruvianus</x:v>
      </x:c>
      <x:c r="O131" s="62" t="n">
        <x:v>3.66</x:v>
      </x:c>
      <x:c r="P131" s="46" t="str">
        <x:v>exact_2020_supplement</x:v>
      </x:c>
      <x:c r="Q131" s="62" t="str">
        <x:v>2020 supplement MeanTL</x:v>
      </x:c>
      <x:c r="R131" s="46" t="str">
        <x:v>high</x:v>
      </x:c>
      <x:c r="S131" s="46" t="str">
        <x:v>Diapterus peruvianus</x:v>
      </x:c>
      <x:c r="T131" s="62" t="n">
        <x:f>IF(O131="","",(1/'Metadata'!$B$5)^(O131-1))</x:f>
        <x:v>457.0881896148752</x:v>
      </x:c>
      <x:c r="U131" s="60" t="n">
        <x:f>IF(T131="","",I131*T131)</x:f>
        <x:v>19162.304472786887</x:v>
      </x:c>
    </x:row>
    <x:row r="132" ht="18" customHeight="1">
      <x:c r="A132" s="46" t="str">
        <x:v>LME_013</x:v>
      </x:c>
      <x:c r="B132" s="46" t="str">
        <x:v>Humboldt Current</x:v>
      </x:c>
      <x:c r="C132" s="46" t="str">
        <x:v>LME</x:v>
      </x:c>
      <x:c r="D132" s="58" t="n">
        <x:v>2019</x:v>
      </x:c>
      <x:c r="E132" s="46" t="str">
        <x:v>Thunnus alalunga</x:v>
      </x:c>
      <x:c r="F132" s="46" t="str">
        <x:v>Albacore</x:v>
      </x:c>
      <x:c r="G132" s="46" t="str">
        <x:v>Large pelagics (&gt;=90 cm)</x:v>
      </x:c>
      <x:c r="H132" s="46" t="str">
        <x:v>Tuna &amp; billfishes</x:v>
      </x:c>
      <x:c r="I132" s="60" t="n">
        <x:v>40.3961467006</x:v>
      </x:c>
      <x:c r="J132" s="60" t="n">
        <x:v>40.0870411645</x:v>
      </x:c>
      <x:c r="K132" s="60" t="n">
        <x:v>0.30910553609999997</x:v>
      </x:c>
      <x:c r="L132" s="60" t="n">
        <x:v>39.7590895725</x:v>
      </x:c>
      <x:c r="M132" s="60" t="n">
        <x:v>0.6370571280999999</x:v>
      </x:c>
      <x:c r="N132" s="46" t="str">
        <x:v>thunnus alalunga</x:v>
      </x:c>
      <x:c r="O132" s="62" t="n">
        <x:v>4.3</x:v>
      </x:c>
      <x:c r="P132" s="46" t="str">
        <x:v>exact_2020_supplement</x:v>
      </x:c>
      <x:c r="Q132" s="62" t="str">
        <x:v>2020 supplement MeanTL</x:v>
      </x:c>
      <x:c r="R132" s="46" t="str">
        <x:v>high</x:v>
      </x:c>
      <x:c r="S132" s="46" t="str">
        <x:v>Thunnus alalunga</x:v>
      </x:c>
      <x:c r="T132" s="62" t="n">
        <x:f>IF(O132="","",(1/'Metadata'!$B$5)^(O132-1))</x:f>
        <x:v>1995.2623149688789</x:v>
      </x:c>
      <x:c r="U132" s="60" t="n">
        <x:f>IF(T132="","",I132*T132)</x:f>
        <x:v>80600.9091816616</x:v>
      </x:c>
    </x:row>
    <x:row r="133" ht="18" customHeight="1">
      <x:c r="A133" s="46" t="str">
        <x:v>LME_013</x:v>
      </x:c>
      <x:c r="B133" s="46" t="str">
        <x:v>Humboldt Current</x:v>
      </x:c>
      <x:c r="C133" s="46" t="str">
        <x:v>LME</x:v>
      </x:c>
      <x:c r="D133" s="58" t="n">
        <x:v>2019</x:v>
      </x:c>
      <x:c r="E133" s="46" t="str">
        <x:v>Serranidae</x:v>
      </x:c>
      <x:c r="F133" s="46" t="str">
        <x:v>Basses, groupers, hinds</x:v>
      </x:c>
      <x:c r="G133" s="46" t="str">
        <x:v>Medium reef assoc. fish (30 - 89 cm)</x:v>
      </x:c>
      <x:c r="H133" s="46" t="str">
        <x:v>Perch-likes</x:v>
      </x:c>
      <x:c r="I133" s="60" t="n">
        <x:v>39.9206025064</x:v>
      </x:c>
      <x:c r="J133" s="60" t="n">
        <x:v>39.9206025064</x:v>
      </x:c>
      <x:c r="K133" s="60" t="n">
        <x:v>0</x:v>
      </x:c>
      <x:c r="L133" s="60" t="n">
        <x:v>21.827087490500002</x:v>
      </x:c>
      <x:c r="M133" s="60" t="n">
        <x:v>18.0935150159</x:v>
      </x:c>
      <x:c r="N133" s="46" t="str">
        <x:v>serranidae</x:v>
      </x:c>
      <x:c r="O133" s="62" t="n">
        <x:v>3.98</x:v>
      </x:c>
      <x:c r="P133" s="46" t="str">
        <x:v>exact_sea_around_us</x:v>
      </x:c>
      <x:c r="Q133" s="62" t="str">
        <x:v>Sea Around Us exploited organisms</x:v>
      </x:c>
      <x:c r="R133" s="46" t="str">
        <x:v>high</x:v>
      </x:c>
      <x:c r="S133" s="46" t="str">
        <x:v>Serranidae</x:v>
      </x:c>
      <x:c r="T133" s="62" t="n">
        <x:f>IF(O133="","",(1/'Metadata'!$B$5)^(O133-1))</x:f>
        <x:v>954.992586021436</x:v>
      </x:c>
      <x:c r="U133" s="60" t="n">
        <x:f>IF(T133="","",I133*T133)</x:f>
        <x:v>38123.87942312076</x:v>
      </x:c>
    </x:row>
    <x:row r="134" ht="18" customHeight="1">
      <x:c r="A134" s="46" t="str">
        <x:v>LME_013</x:v>
      </x:c>
      <x:c r="B134" s="46" t="str">
        <x:v>Humboldt Current</x:v>
      </x:c>
      <x:c r="C134" s="46" t="str">
        <x:v>LME</x:v>
      </x:c>
      <x:c r="D134" s="58" t="n">
        <x:v>2019</x:v>
      </x:c>
      <x:c r="E134" s="46" t="str">
        <x:v>Malacostraca</x:v>
      </x:c>
      <x:c r="F134" s="46" t="str">
        <x:v>Lobsters, crabs, shrimps, krill</x:v>
      </x:c>
      <x:c r="G134" s="46" t="str">
        <x:v>Shrimps</x:v>
      </x:c>
      <x:c r="H134" s="46" t="str">
        <x:v>Crustaceans</x:v>
      </x:c>
      <x:c r="I134" s="60" t="n">
        <x:v>38.1009296322</x:v>
      </x:c>
      <x:c r="J134" s="60" t="n">
        <x:v>38.1009296322</x:v>
      </x:c>
      <x:c r="K134" s="60" t="n">
        <x:v>0</x:v>
      </x:c>
      <x:c r="L134" s="60" t="n">
        <x:v>1.9303164803</x:v>
      </x:c>
      <x:c r="M134" s="60" t="n">
        <x:v>36.1706131519</x:v>
      </x:c>
      <x:c r="N134" s="46" t="str">
        <x:v>malacostraca</x:v>
      </x:c>
      <x:c r="O134" s="62" t="n">
        <x:v>3</x:v>
      </x:c>
      <x:c r="P134" s="46" t="str">
        <x:v>exact_sea_around_us</x:v>
      </x:c>
      <x:c r="Q134" s="62" t="str">
        <x:v>Sea Around Us exploited organisms</x:v>
      </x:c>
      <x:c r="R134" s="46" t="str">
        <x:v>high</x:v>
      </x:c>
      <x:c r="S134" s="46" t="str">
        <x:v>Malacostraca</x:v>
      </x:c>
      <x:c r="T134" s="62" t="n">
        <x:f>IF(O134="","",(1/'Metadata'!$B$5)^(O134-1))</x:f>
        <x:v>100</x:v>
      </x:c>
      <x:c r="U134" s="60" t="n">
        <x:f>IF(T134="","",I134*T134)</x:f>
        <x:v>3810.09296322</x:v>
      </x:c>
    </x:row>
    <x:row r="135" ht="18" customHeight="1">
      <x:c r="A135" s="46" t="str">
        <x:v>LME_013</x:v>
      </x:c>
      <x:c r="B135" s="46" t="str">
        <x:v>Humboldt Current</x:v>
      </x:c>
      <x:c r="C135" s="46" t="str">
        <x:v>LME</x:v>
      </x:c>
      <x:c r="D135" s="58" t="n">
        <x:v>2019</x:v>
      </x:c>
      <x:c r="E135" s="46" t="str">
        <x:v>Mustelus mento</x:v>
      </x:c>
      <x:c r="F135" s="46" t="str">
        <x:v>Speckled smooth-hound</x:v>
      </x:c>
      <x:c r="G135" s="46" t="str">
        <x:v>Large sharks (&gt;=90 cm)</x:v>
      </x:c>
      <x:c r="H135" s="46" t="str">
        <x:v>Sharks &amp; rays</x:v>
      </x:c>
      <x:c r="I135" s="60" t="n">
        <x:v>36.679386396400005</x:v>
      </x:c>
      <x:c r="J135" s="60" t="n">
        <x:v>36.679386396400005</x:v>
      </x:c>
      <x:c r="K135" s="60" t="n">
        <x:v>0</x:v>
      </x:c>
      <x:c r="L135" s="60" t="n">
        <x:v>34.9282427297</x:v>
      </x:c>
      <x:c r="M135" s="60" t="n">
        <x:v>1.7511436667</x:v>
      </x:c>
      <x:c r="N135" s="46" t="str">
        <x:v>mustelus mento</x:v>
      </x:c>
      <x:c r="O135" s="62" t="n">
        <x:v>3.66</x:v>
      </x:c>
      <x:c r="P135" s="46" t="str">
        <x:v>exact_sea_around_us</x:v>
      </x:c>
      <x:c r="Q135" s="62" t="str">
        <x:v>Sea Around Us exploited organisms</x:v>
      </x:c>
      <x:c r="R135" s="46" t="str">
        <x:v>high</x:v>
      </x:c>
      <x:c r="S135" s="46" t="str">
        <x:v>Mustelus mento</x:v>
      </x:c>
      <x:c r="T135" s="62" t="n">
        <x:f>IF(O135="","",(1/'Metadata'!$B$5)^(O135-1))</x:f>
        <x:v>457.0881896148752</x:v>
      </x:c>
      <x:c r="U135" s="60" t="n">
        <x:f>IF(T135="","",I135*T135)</x:f>
        <x:v>16765.71432411496</x:v>
      </x:c>
    </x:row>
    <x:row r="136" ht="18" customHeight="1">
      <x:c r="A136" s="46" t="str">
        <x:v>LME_013</x:v>
      </x:c>
      <x:c r="B136" s="46" t="str">
        <x:v>Humboldt Current</x:v>
      </x:c>
      <x:c r="C136" s="46" t="str">
        <x:v>LME</x:v>
      </x:c>
      <x:c r="D136" s="58" t="n">
        <x:v>2019</x:v>
      </x:c>
      <x:c r="E136" s="46" t="str">
        <x:v>Anchoa nasus</x:v>
      </x:c>
      <x:c r="F136" s="46" t="str">
        <x:v>Longnose anchovy</x:v>
      </x:c>
      <x:c r="G136" s="46" t="str">
        <x:v>Small pelagics (&lt;30 cm)</x:v>
      </x:c>
      <x:c r="H136" s="46" t="str">
        <x:v>Anchovies</x:v>
      </x:c>
      <x:c r="I136" s="60" t="n">
        <x:v>35.1328097752</x:v>
      </x:c>
      <x:c r="J136" s="60" t="n">
        <x:v>35.1328097752</x:v>
      </x:c>
      <x:c r="K136" s="60" t="n">
        <x:v>0</x:v>
      </x:c>
      <x:c r="L136" s="60" t="n">
        <x:v>35.1328097752</x:v>
      </x:c>
      <x:c r="M136" s="60" t="n">
        <x:v>0</x:v>
      </x:c>
      <x:c r="N136" s="46" t="str">
        <x:v>anchoa nasus</x:v>
      </x:c>
      <x:c r="O136" s="62" t="n">
        <x:v>3.4</x:v>
      </x:c>
      <x:c r="P136" s="46" t="str">
        <x:v>exact_sea_around_us</x:v>
      </x:c>
      <x:c r="Q136" s="62" t="str">
        <x:v>Sea Around Us exploited organisms</x:v>
      </x:c>
      <x:c r="R136" s="46" t="str">
        <x:v>high</x:v>
      </x:c>
      <x:c r="S136" s="46" t="str">
        <x:v>Anchoa nasus</x:v>
      </x:c>
      <x:c r="T136" s="62" t="n">
        <x:f>IF(O136="","",(1/'Metadata'!$B$5)^(O136-1))</x:f>
        <x:v>251.18864315095797</x:v>
      </x:c>
      <x:c r="U136" s="60" t="n">
        <x:f>IF(T136="","",I136*T136)</x:f>
        <x:v>8824.962817513202</x:v>
      </x:c>
    </x:row>
    <x:row r="137" ht="18" customHeight="1">
      <x:c r="A137" s="46" t="str">
        <x:v>LME_013</x:v>
      </x:c>
      <x:c r="B137" s="46" t="str">
        <x:v>Humboldt Current</x:v>
      </x:c>
      <x:c r="C137" s="46" t="str">
        <x:v>LME</x:v>
      </x:c>
      <x:c r="D137" s="58" t="n">
        <x:v>2019</x:v>
      </x:c>
      <x:c r="E137" s="46" t="str">
        <x:v>Prolatilus jugularis</x:v>
      </x:c>
      <x:c r="F137" s="46" t="str">
        <x:v>Pacific sandperch</x:v>
      </x:c>
      <x:c r="G137" s="46" t="str">
        <x:v>Medium demersals (30 - 89 cm)</x:v>
      </x:c>
      <x:c r="H137" s="46" t="str">
        <x:v>Perch-likes</x:v>
      </x:c>
      <x:c r="I137" s="60" t="n">
        <x:v>30.182883202499998</x:v>
      </x:c>
      <x:c r="J137" s="60" t="n">
        <x:v>30.182883202499998</x:v>
      </x:c>
      <x:c r="K137" s="60" t="n">
        <x:v>0</x:v>
      </x:c>
      <x:c r="L137" s="60" t="n">
        <x:v>28.3389768288</x:v>
      </x:c>
      <x:c r="M137" s="60" t="n">
        <x:v>1.8439063736999999</x:v>
      </x:c>
      <x:c r="N137" s="46" t="str">
        <x:v>prolatilus jugularis</x:v>
      </x:c>
      <x:c r="O137" s="62" t="n">
        <x:v>3.7</x:v>
      </x:c>
      <x:c r="P137" s="46" t="str">
        <x:v>exact_2020_supplement</x:v>
      </x:c>
      <x:c r="Q137" s="62" t="str">
        <x:v>2020 supplement MeanTL</x:v>
      </x:c>
      <x:c r="R137" s="46" t="str">
        <x:v>high</x:v>
      </x:c>
      <x:c r="S137" s="46" t="str">
        <x:v>Prolatilus jugularis</x:v>
      </x:c>
      <x:c r="T137" s="62" t="n">
        <x:f>IF(O137="","",(1/'Metadata'!$B$5)^(O137-1))</x:f>
        <x:v>501.18723362727246</x:v>
      </x:c>
      <x:c r="U137" s="60" t="n">
        <x:f>IF(T137="","",I137*T137)</x:f>
        <x:v>15127.275735156043</x:v>
      </x:c>
    </x:row>
    <x:row r="138" ht="18" customHeight="1">
      <x:c r="A138" s="46" t="str">
        <x:v>LME_013</x:v>
      </x:c>
      <x:c r="B138" s="46" t="str">
        <x:v>Humboldt Current</x:v>
      </x:c>
      <x:c r="C138" s="46" t="str">
        <x:v>LME</x:v>
      </x:c>
      <x:c r="D138" s="58" t="n">
        <x:v>2019</x:v>
      </x:c>
      <x:c r="E138" s="46" t="str">
        <x:v>Seriola rivoliana</x:v>
      </x:c>
      <x:c r="F138" s="46" t="str">
        <x:v>Longfin yellowtail</x:v>
      </x:c>
      <x:c r="G138" s="46" t="str">
        <x:v>Large benthopelagics (&gt;=90 cm)</x:v>
      </x:c>
      <x:c r="H138" s="46" t="str">
        <x:v>Perch-likes</x:v>
      </x:c>
      <x:c r="I138" s="60" t="n">
        <x:v>27.8365280303</x:v>
      </x:c>
      <x:c r="J138" s="60" t="n">
        <x:v>27.8365280303</x:v>
      </x:c>
      <x:c r="K138" s="60" t="n">
        <x:v>0</x:v>
      </x:c>
      <x:c r="L138" s="60" t="n">
        <x:v>27.8365280303</x:v>
      </x:c>
      <x:c r="M138" s="60" t="n">
        <x:v>0</x:v>
      </x:c>
      <x:c r="N138" s="46" t="str">
        <x:v>seriola rivoliana</x:v>
      </x:c>
      <x:c r="O138" s="62" t="n">
        <x:v>4.45</x:v>
      </x:c>
      <x:c r="P138" s="46" t="str">
        <x:v>exact_2020_supplement</x:v>
      </x:c>
      <x:c r="Q138" s="62" t="str">
        <x:v>2020 supplement MeanTL</x:v>
      </x:c>
      <x:c r="R138" s="46" t="str">
        <x:v>high</x:v>
      </x:c>
      <x:c r="S138" s="46" t="str">
        <x:v>Seriola rivoliana</x:v>
      </x:c>
      <x:c r="T138" s="62" t="n">
        <x:f>IF(O138="","",(1/'Metadata'!$B$5)^(O138-1))</x:f>
        <x:v>2818.382931264455</x:v>
      </x:c>
      <x:c r="U138" s="60" t="n">
        <x:f>IF(T138="","",I138*T138)</x:f>
        <x:v>78453.99546626207</x:v>
      </x:c>
    </x:row>
    <x:row r="139" ht="18" customHeight="1">
      <x:c r="A139" s="46" t="str">
        <x:v>LME_013</x:v>
      </x:c>
      <x:c r="B139" s="46" t="str">
        <x:v>Humboldt Current</x:v>
      </x:c>
      <x:c r="C139" s="46" t="str">
        <x:v>LME</x:v>
      </x:c>
      <x:c r="D139" s="58" t="n">
        <x:v>2019</x:v>
      </x:c>
      <x:c r="E139" s="46" t="str">
        <x:v>Pinguipes chilensis</x:v>
      </x:c>
      <x:c r="F139" s="46" t="str">
        <x:v>Chilean sandperch</x:v>
      </x:c>
      <x:c r="G139" s="46" t="str">
        <x:v>Medium demersals (30 - 89 cm)</x:v>
      </x:c>
      <x:c r="H139" s="46" t="str">
        <x:v>Perch-likes</x:v>
      </x:c>
      <x:c r="I139" s="60" t="n">
        <x:v>26.276107482199997</x:v>
      </x:c>
      <x:c r="J139" s="60" t="n">
        <x:v>26.276107482199997</x:v>
      </x:c>
      <x:c r="K139" s="60" t="n">
        <x:v>0</x:v>
      </x:c>
      <x:c r="L139" s="60" t="n">
        <x:v>24.2838629886</x:v>
      </x:c>
      <x:c r="M139" s="60" t="n">
        <x:v>1.9922444936</x:v>
      </x:c>
      <x:c r="N139" s="46" t="str">
        <x:v>pinguipes chilensis</x:v>
      </x:c>
      <x:c r="O139" s="62" t="n">
        <x:v>3.53</x:v>
      </x:c>
      <x:c r="P139" s="46" t="str">
        <x:v>exact_2020_supplement</x:v>
      </x:c>
      <x:c r="Q139" s="62" t="str">
        <x:v>2020 supplement MeanTL</x:v>
      </x:c>
      <x:c r="R139" s="46" t="str">
        <x:v>high</x:v>
      </x:c>
      <x:c r="S139" s="46" t="str">
        <x:v>Pinguipes chilensis</x:v>
      </x:c>
      <x:c r="T139" s="62" t="n">
        <x:f>IF(O139="","",(1/'Metadata'!$B$5)^(O139-1))</x:f>
        <x:v>338.84415613920237</x:v>
      </x:c>
      <x:c r="U139" s="60" t="n">
        <x:f>IF(T139="","",I139*T139)</x:f>
        <x:v>8903.50546642904</x:v>
      </x:c>
    </x:row>
    <x:row r="140" ht="18" customHeight="1">
      <x:c r="A140" s="46" t="str">
        <x:v>LME_013</x:v>
      </x:c>
      <x:c r="B140" s="46" t="str">
        <x:v>Humboldt Current</x:v>
      </x:c>
      <x:c r="C140" s="46" t="str">
        <x:v>LME</x:v>
      </x:c>
      <x:c r="D140" s="58" t="n">
        <x:v>2019</x:v>
      </x:c>
      <x:c r="E140" s="46" t="str">
        <x:v>Euthynnus lineatus</x:v>
      </x:c>
      <x:c r="F140" s="46" t="str">
        <x:v>Black skipjack</x:v>
      </x:c>
      <x:c r="G140" s="46" t="str">
        <x:v>Medium pelagics (30 - 89 cm)</x:v>
      </x:c>
      <x:c r="H140" s="46" t="str">
        <x:v>Tuna &amp; billfishes</x:v>
      </x:c>
      <x:c r="I140" s="60" t="n">
        <x:v>25.924999885</x:v>
      </x:c>
      <x:c r="J140" s="60" t="n">
        <x:v>25.924999885</x:v>
      </x:c>
      <x:c r="K140" s="60" t="n">
        <x:v>0</x:v>
      </x:c>
      <x:c r="L140" s="60" t="n">
        <x:v>25.924999885</x:v>
      </x:c>
      <x:c r="M140" s="60" t="n">
        <x:v>0</x:v>
      </x:c>
      <x:c r="N140" s="46" t="str">
        <x:v>euthynnus lineatus</x:v>
      </x:c>
      <x:c r="O140" s="62" t="n">
        <x:v>3.83</x:v>
      </x:c>
      <x:c r="P140" s="46" t="str">
        <x:v>exact_2020_supplement</x:v>
      </x:c>
      <x:c r="Q140" s="62" t="str">
        <x:v>2020 supplement MeanTL</x:v>
      </x:c>
      <x:c r="R140" s="46" t="str">
        <x:v>high</x:v>
      </x:c>
      <x:c r="S140" s="46" t="str">
        <x:v>Euthynnus lineatus</x:v>
      </x:c>
      <x:c r="T140" s="62" t="n">
        <x:f>IF(O140="","",(1/'Metadata'!$B$5)^(O140-1))</x:f>
        <x:v>676.0829753919819</x:v>
      </x:c>
      <x:c r="U140" s="60" t="n">
        <x:f>IF(T140="","",I140*T140)</x:f>
        <x:v>17527.45105928759</x:v>
      </x:c>
    </x:row>
    <x:row r="141" ht="18" customHeight="1">
      <x:c r="A141" s="46" t="str">
        <x:v>LME_013</x:v>
      </x:c>
      <x:c r="B141" s="46" t="str">
        <x:v>Humboldt Current</x:v>
      </x:c>
      <x:c r="C141" s="46" t="str">
        <x:v>LME</x:v>
      </x:c>
      <x:c r="D141" s="58" t="n">
        <x:v>2019</x:v>
      </x:c>
      <x:c r="E141" s="46" t="str">
        <x:v>Tegula atra</x:v>
      </x:c>
      <x:c r="F141" s="46" t="str">
        <x:v>Smooth black trochid</x:v>
      </x:c>
      <x:c r="G141" s="46" t="str">
        <x:v>Other demersal invertebrates</x:v>
      </x:c>
      <x:c r="H141" s="46" t="str">
        <x:v>Molluscs</x:v>
      </x:c>
      <x:c r="I141" s="60" t="n">
        <x:v>24.210572586</x:v>
      </x:c>
      <x:c r="J141" s="60" t="n">
        <x:v>24.210572586</x:v>
      </x:c>
      <x:c r="K141" s="60" t="n">
        <x:v>0</x:v>
      </x:c>
      <x:c r="L141" s="60" t="n">
        <x:v>19.4287719392</x:v>
      </x:c>
      <x:c r="M141" s="60" t="n">
        <x:v>4.7818006468</x:v>
      </x:c>
      <x:c r="N141" s="46" t="str">
        <x:v>tegula atra</x:v>
      </x:c>
      <x:c r="O141" s="62" t="n">
        <x:v>2</x:v>
      </x:c>
      <x:c r="P141" s="46" t="str">
        <x:v>exact_sea_around_us</x:v>
      </x:c>
      <x:c r="Q141" s="62" t="str">
        <x:v>Sea Around Us exploited organisms</x:v>
      </x:c>
      <x:c r="R141" s="46" t="str">
        <x:v>high</x:v>
      </x:c>
      <x:c r="S141" s="46" t="str">
        <x:v>Tegula atra</x:v>
      </x:c>
      <x:c r="T141" s="62" t="n">
        <x:f>IF(O141="","",(1/'Metadata'!$B$5)^(O141-1))</x:f>
        <x:v>10</x:v>
      </x:c>
      <x:c r="U141" s="60" t="n">
        <x:f>IF(T141="","",I141*T141)</x:f>
        <x:v>242.10572586</x:v>
      </x:c>
    </x:row>
    <x:row r="142" ht="18" customHeight="1">
      <x:c r="A142" s="46" t="str">
        <x:v>LME_013</x:v>
      </x:c>
      <x:c r="B142" s="46" t="str">
        <x:v>Humboldt Current</x:v>
      </x:c>
      <x:c r="C142" s="46" t="str">
        <x:v>LME</x:v>
      </x:c>
      <x:c r="D142" s="58" t="n">
        <x:v>2019</x:v>
      </x:c>
      <x:c r="E142" s="46" t="str">
        <x:v>Galeorhinus galeus</x:v>
      </x:c>
      <x:c r="F142" s="46" t="str">
        <x:v>Tope shark</x:v>
      </x:c>
      <x:c r="G142" s="46" t="str">
        <x:v>Large sharks (&gt;=90 cm)</x:v>
      </x:c>
      <x:c r="H142" s="46" t="str">
        <x:v>Sharks &amp; rays</x:v>
      </x:c>
      <x:c r="I142" s="60" t="n">
        <x:v>24.0107147652</x:v>
      </x:c>
      <x:c r="J142" s="60" t="n">
        <x:v>24.0107147652</x:v>
      </x:c>
      <x:c r="K142" s="60" t="n">
        <x:v>0</x:v>
      </x:c>
      <x:c r="L142" s="60" t="n">
        <x:v>13.7616425708</x:v>
      </x:c>
      <x:c r="M142" s="60" t="n">
        <x:v>10.2490721944</x:v>
      </x:c>
      <x:c r="N142" s="46" t="str">
        <x:v>galeorhinus galeus</x:v>
      </x:c>
      <x:c r="O142" s="62" t="n">
        <x:v>4.34</x:v>
      </x:c>
      <x:c r="P142" s="46" t="str">
        <x:v>exact_2020_supplement</x:v>
      </x:c>
      <x:c r="Q142" s="62" t="str">
        <x:v>2020 supplement MeanTL</x:v>
      </x:c>
      <x:c r="R142" s="46" t="str">
        <x:v>high</x:v>
      </x:c>
      <x:c r="S142" s="46" t="str">
        <x:v>Galeorhinus galeus</x:v>
      </x:c>
      <x:c r="T142" s="62" t="n">
        <x:f>IF(O142="","",(1/'Metadata'!$B$5)^(O142-1))</x:f>
        <x:v>2187.761623949552</x:v>
      </x:c>
      <x:c r="U142" s="60" t="n">
        <x:f>IF(T142="","",I142*T142)</x:f>
        <x:v>52529.720326903436</x:v>
      </x:c>
    </x:row>
    <x:row r="143" ht="18" customHeight="1">
      <x:c r="A143" s="46" t="str">
        <x:v>LME_013</x:v>
      </x:c>
      <x:c r="B143" s="46" t="str">
        <x:v>Humboldt Current</x:v>
      </x:c>
      <x:c r="C143" s="46" t="str">
        <x:v>LME</x:v>
      </x:c>
      <x:c r="D143" s="58" t="n">
        <x:v>2019</x:v>
      </x:c>
      <x:c r="E143" s="46" t="str">
        <x:v>Miscellaneous marine crustaceans</x:v>
      </x:c>
      <x:c r="F143" s="46" t="str">
        <x:v>Marine crabs, shrimps, lobsters nei</x:v>
      </x:c>
      <x:c r="G143" s="46" t="str">
        <x:v>Shrimps</x:v>
      </x:c>
      <x:c r="H143" s="46" t="str">
        <x:v>Crustaceans</x:v>
      </x:c>
      <x:c r="I143" s="60" t="n">
        <x:v>23.850729955600002</x:v>
      </x:c>
      <x:c r="J143" s="60" t="n">
        <x:v>23.850729955600002</x:v>
      </x:c>
      <x:c r="K143" s="60" t="n">
        <x:v>0</x:v>
      </x:c>
      <x:c r="L143" s="60" t="n">
        <x:v>23.850729955600002</x:v>
      </x:c>
      <x:c r="M143" s="60" t="n">
        <x:v>0</x:v>
      </x:c>
      <x:c r="N143" s="46" t="str">
        <x:v>miscellaneous marine crustaceans</x:v>
      </x:c>
      <x:c r="O143" s="62" t="n">
        <x:v>2.7</x:v>
      </x:c>
      <x:c r="P143" s="46" t="str">
        <x:v>exact_sea_around_us</x:v>
      </x:c>
      <x:c r="Q143" s="62" t="str">
        <x:v>Sea Around Us exploited organisms</x:v>
      </x:c>
      <x:c r="R143" s="46" t="str">
        <x:v>high</x:v>
      </x:c>
      <x:c r="S143" s="46" t="str">
        <x:v>Miscellaneous marine crustaceans</x:v>
      </x:c>
      <x:c r="T143" s="62" t="n">
        <x:f>IF(O143="","",(1/'Metadata'!$B$5)^(O143-1))</x:f>
        <x:v>50.11872336272725</x:v>
      </x:c>
      <x:c r="U143" s="60" t="n">
        <x:f>IF(T143="","",I143*T143)</x:f>
        <x:v>1195.3681366438286</x:v>
      </x:c>
    </x:row>
    <x:row r="144" ht="18" customHeight="1">
      <x:c r="A144" s="46" t="str">
        <x:v>LME_013</x:v>
      </x:c>
      <x:c r="B144" s="46" t="str">
        <x:v>Humboldt Current</x:v>
      </x:c>
      <x:c r="C144" s="46" t="str">
        <x:v>LME</x:v>
      </x:c>
      <x:c r="D144" s="58" t="n">
        <x:v>2019</x:v>
      </x:c>
      <x:c r="E144" s="46" t="str">
        <x:v>Tetrapturus angustirostris</x:v>
      </x:c>
      <x:c r="F144" s="46" t="str">
        <x:v>Shortbill spearfish</x:v>
      </x:c>
      <x:c r="G144" s="46" t="str">
        <x:v>Large pelagics (&gt;=90 cm)</x:v>
      </x:c>
      <x:c r="H144" s="46" t="str">
        <x:v>Tuna &amp; billfishes</x:v>
      </x:c>
      <x:c r="I144" s="60" t="n">
        <x:v>23.193758035000002</x:v>
      </x:c>
      <x:c r="J144" s="60" t="n">
        <x:v>23.193758035000002</x:v>
      </x:c>
      <x:c r="K144" s="60" t="n">
        <x:v>0</x:v>
      </x:c>
      <x:c r="L144" s="60" t="n">
        <x:v>23.193758035000002</x:v>
      </x:c>
      <x:c r="M144" s="60" t="n">
        <x:v>0</x:v>
      </x:c>
      <x:c r="N144" s="46" t="str">
        <x:v>tetrapturus angustirostris</x:v>
      </x:c>
      <x:c r="O144" s="62" t="n">
        <x:v>4.5</x:v>
      </x:c>
      <x:c r="P144" s="46" t="str">
        <x:v>exact_2020_supplement</x:v>
      </x:c>
      <x:c r="Q144" s="62" t="str">
        <x:v>2020 supplement MeanTL</x:v>
      </x:c>
      <x:c r="R144" s="46" t="str">
        <x:v>high</x:v>
      </x:c>
      <x:c r="S144" s="46" t="str">
        <x:v>Tetrapturus angustirostris</x:v>
      </x:c>
      <x:c r="T144" s="62" t="n">
        <x:f>IF(O144="","",(1/'Metadata'!$B$5)^(O144-1))</x:f>
        <x:v>3162.2776601683795</x:v>
      </x:c>
      <x:c r="U144" s="60" t="n">
        <x:f>IF(T144="","",I144*T144)</x:f>
        <x:v>73345.10288943136</x:v>
      </x:c>
    </x:row>
    <x:row r="145" ht="18" customHeight="1">
      <x:c r="A145" s="46" t="str">
        <x:v>LME_013</x:v>
      </x:c>
      <x:c r="B145" s="46" t="str">
        <x:v>Humboldt Current</x:v>
      </x:c>
      <x:c r="C145" s="46" t="str">
        <x:v>LME</x:v>
      </x:c>
      <x:c r="D145" s="58" t="n">
        <x:v>2019</x:v>
      </x:c>
      <x:c r="E145" s="46" t="str">
        <x:v>Auxis rochei</x:v>
      </x:c>
      <x:c r="F145" s="46" t="str">
        <x:v>Bullet tuna</x:v>
      </x:c>
      <x:c r="G145" s="46" t="str">
        <x:v>Medium pelagics (30 - 89 cm)</x:v>
      </x:c>
      <x:c r="H145" s="46" t="str">
        <x:v>Tuna &amp; billfishes</x:v>
      </x:c>
      <x:c r="I145" s="60" t="n">
        <x:v>22.3455358993</x:v>
      </x:c>
      <x:c r="J145" s="60" t="n">
        <x:v>22.3455358993</x:v>
      </x:c>
      <x:c r="K145" s="60" t="n">
        <x:v>0</x:v>
      </x:c>
      <x:c r="L145" s="60" t="n">
        <x:v>22.3455358993</x:v>
      </x:c>
      <x:c r="M145" s="60" t="n">
        <x:v>0</x:v>
      </x:c>
      <x:c r="N145" s="46" t="str">
        <x:v>auxis rochei</x:v>
      </x:c>
      <x:c r="O145" s="62" t="n">
        <x:v>4.13</x:v>
      </x:c>
      <x:c r="P145" s="46" t="str">
        <x:v>exact_2020_supplement</x:v>
      </x:c>
      <x:c r="Q145" s="62" t="str">
        <x:v>2020 supplement MeanTL</x:v>
      </x:c>
      <x:c r="R145" s="46" t="str">
        <x:v>high</x:v>
      </x:c>
      <x:c r="S145" s="46" t="str">
        <x:v>Auxis rochei</x:v>
      </x:c>
      <x:c r="T145" s="62" t="n">
        <x:f>IF(O145="","",(1/'Metadata'!$B$5)^(O145-1))</x:f>
        <x:v>1348.9628825916532</x:v>
      </x:c>
      <x:c r="U145" s="60" t="n">
        <x:f>IF(T145="","",I145*T145)</x:f>
        <x:v>30143.298519774995</x:v>
      </x:c>
    </x:row>
    <x:row r="146" ht="18" customHeight="1">
      <x:c r="A146" s="46" t="str">
        <x:v>LME_013</x:v>
      </x:c>
      <x:c r="B146" s="46" t="str">
        <x:v>Humboldt Current</x:v>
      </x:c>
      <x:c r="C146" s="46" t="str">
        <x:v>LME</x:v>
      </x:c>
      <x:c r="D146" s="58" t="n">
        <x:v>2019</x:v>
      </x:c>
      <x:c r="E146" s="46" t="str">
        <x:v>Taliepus dentatus</x:v>
      </x:c>
      <x:c r="F146" s="46" t="str">
        <x:v>Spider crabs</x:v>
      </x:c>
      <x:c r="G146" s="46" t="str">
        <x:v>Lobsters, crabs</x:v>
      </x:c>
      <x:c r="H146" s="46" t="str">
        <x:v>Crustaceans</x:v>
      </x:c>
      <x:c r="I146" s="60" t="n">
        <x:v>20.845088007799998</x:v>
      </x:c>
      <x:c r="J146" s="60" t="n">
        <x:v>20.845088007799998</x:v>
      </x:c>
      <x:c r="K146" s="60" t="n">
        <x:v>0</x:v>
      </x:c>
      <x:c r="L146" s="60" t="n">
        <x:v>19.486237214899997</x:v>
      </x:c>
      <x:c r="M146" s="60" t="n">
        <x:v>1.3588507929</x:v>
      </x:c>
      <x:c r="N146" s="46" t="str">
        <x:v>taliepus dentatus</x:v>
      </x:c>
      <x:c r="O146" s="62" t="n">
        <x:v>2</x:v>
      </x:c>
      <x:c r="P146" s="46" t="str">
        <x:v>exact_sea_around_us</x:v>
      </x:c>
      <x:c r="Q146" s="62" t="str">
        <x:v>Sea Around Us exploited organisms</x:v>
      </x:c>
      <x:c r="R146" s="46" t="str">
        <x:v>high</x:v>
      </x:c>
      <x:c r="S146" s="46" t="str">
        <x:v>Taliepus dentatus</x:v>
      </x:c>
      <x:c r="T146" s="62" t="n">
        <x:f>IF(O146="","",(1/'Metadata'!$B$5)^(O146-1))</x:f>
        <x:v>10</x:v>
      </x:c>
      <x:c r="U146" s="60" t="n">
        <x:f>IF(T146="","",I146*T146)</x:f>
        <x:v>208.45088007799998</x:v>
      </x:c>
    </x:row>
    <x:row r="147" ht="18" customHeight="1">
      <x:c r="A147" s="46" t="str">
        <x:v>LME_013</x:v>
      </x:c>
      <x:c r="B147" s="46" t="str">
        <x:v>Humboldt Current</x:v>
      </x:c>
      <x:c r="C147" s="46" t="str">
        <x:v>LME</x:v>
      </x:c>
      <x:c r="D147" s="58" t="n">
        <x:v>2019</x:v>
      </x:c>
      <x:c r="E147" s="46" t="str">
        <x:v>Ruvettus pretiosus</x:v>
      </x:c>
      <x:c r="F147" s="46" t="str">
        <x:v>Oilfish</x:v>
      </x:c>
      <x:c r="G147" s="46" t="str">
        <x:v>Large benthopelagics (&gt;=90 cm)</x:v>
      </x:c>
      <x:c r="H147" s="46" t="str">
        <x:v>Perch-likes</x:v>
      </x:c>
      <x:c r="I147" s="60" t="n">
        <x:v>17.9896138399</x:v>
      </x:c>
      <x:c r="J147" s="60" t="n">
        <x:v>17.9896138399</x:v>
      </x:c>
      <x:c r="K147" s="60" t="n">
        <x:v>0</x:v>
      </x:c>
      <x:c r="L147" s="60" t="n">
        <x:v>17.9896138399</x:v>
      </x:c>
      <x:c r="M147" s="60" t="n">
        <x:v>0</x:v>
      </x:c>
      <x:c r="N147" s="46" t="str">
        <x:v>ruvettus pretiosus</x:v>
      </x:c>
      <x:c r="O147" s="62" t="n">
        <x:v>4.18</x:v>
      </x:c>
      <x:c r="P147" s="46" t="str">
        <x:v>exact_2020_supplement</x:v>
      </x:c>
      <x:c r="Q147" s="62" t="str">
        <x:v>2020 supplement MeanTL</x:v>
      </x:c>
      <x:c r="R147" s="46" t="str">
        <x:v>high</x:v>
      </x:c>
      <x:c r="S147" s="46" t="str">
        <x:v>Ruvettus pretiosus</x:v>
      </x:c>
      <x:c r="T147" s="62" t="n">
        <x:f>IF(O147="","",(1/'Metadata'!$B$5)^(O147-1))</x:f>
        <x:v>1513.5612484362073</x:v>
      </x:c>
      <x:c r="U147" s="60" t="n">
        <x:f>IF(T147="","",I147*T147)</x:f>
        <x:v>27228.382382404314</x:v>
      </x:c>
    </x:row>
    <x:row r="148" ht="18" customHeight="1">
      <x:c r="A148" s="46" t="str">
        <x:v>LME_013</x:v>
      </x:c>
      <x:c r="B148" s="46" t="str">
        <x:v>Humboldt Current</x:v>
      </x:c>
      <x:c r="C148" s="46" t="str">
        <x:v>LME</x:v>
      </x:c>
      <x:c r="D148" s="58" t="n">
        <x:v>2019</x:v>
      </x:c>
      <x:c r="E148" s="46" t="str">
        <x:v>Istiophorus platypterus</x:v>
      </x:c>
      <x:c r="F148" s="46" t="str">
        <x:v>Indo-Pacific sailfish</x:v>
      </x:c>
      <x:c r="G148" s="46" t="str">
        <x:v>Large pelagics (&gt;=90 cm)</x:v>
      </x:c>
      <x:c r="H148" s="46" t="str">
        <x:v>Tuna &amp; billfishes</x:v>
      </x:c>
      <x:c r="I148" s="60" t="n">
        <x:v>16.6501192588</x:v>
      </x:c>
      <x:c r="J148" s="60" t="n">
        <x:v>16.6501192588</x:v>
      </x:c>
      <x:c r="K148" s="60" t="n">
        <x:v>0</x:v>
      </x:c>
      <x:c r="L148" s="60" t="n">
        <x:v>16.6501192588</x:v>
      </x:c>
      <x:c r="M148" s="60" t="n">
        <x:v>0</x:v>
      </x:c>
      <x:c r="N148" s="46" t="str">
        <x:v>istiophorus platypterus</x:v>
      </x:c>
      <x:c r="O148" s="62" t="n">
        <x:v>4.5</x:v>
      </x:c>
      <x:c r="P148" s="46" t="str">
        <x:v>exact_2020_supplement</x:v>
      </x:c>
      <x:c r="Q148" s="62" t="str">
        <x:v>2020 supplement MeanTL</x:v>
      </x:c>
      <x:c r="R148" s="46" t="str">
        <x:v>high</x:v>
      </x:c>
      <x:c r="S148" s="46" t="str">
        <x:v>Istiophorus platypterus</x:v>
      </x:c>
      <x:c r="T148" s="62" t="n">
        <x:f>IF(O148="","",(1/'Metadata'!$B$5)^(O148-1))</x:f>
        <x:v>3162.2776601683795</x:v>
      </x:c>
      <x:c r="U148" s="60" t="n">
        <x:f>IF(T148="","",I148*T148)</x:f>
        <x:v>52652.30017124254</x:v>
      </x:c>
    </x:row>
    <x:row r="149" ht="18" customHeight="1">
      <x:c r="A149" s="46" t="str">
        <x:v>LME_013</x:v>
      </x:c>
      <x:c r="B149" s="46" t="str">
        <x:v>Humboldt Current</x:v>
      </x:c>
      <x:c r="C149" s="46" t="str">
        <x:v>LME</x:v>
      </x:c>
      <x:c r="D149" s="58" t="n">
        <x:v>2019</x:v>
      </x:c>
      <x:c r="E149" s="46" t="str">
        <x:v>Fissurella cumingi</x:v>
      </x:c>
      <x:c r="F149" s="46" t="str">
        <x:v>keyhole limpet</x:v>
      </x:c>
      <x:c r="G149" s="46" t="str">
        <x:v>Other demersal invertebrates</x:v>
      </x:c>
      <x:c r="H149" s="46" t="str">
        <x:v>Molluscs</x:v>
      </x:c>
      <x:c r="I149" s="60" t="n">
        <x:v>15.9384312604</x:v>
      </x:c>
      <x:c r="J149" s="60" t="n">
        <x:v>15.9384312604</x:v>
      </x:c>
      <x:c r="K149" s="60" t="n">
        <x:v>0</x:v>
      </x:c>
      <x:c r="L149" s="60" t="n">
        <x:v>14.729985453200001</x:v>
      </x:c>
      <x:c r="M149" s="60" t="n">
        <x:v>1.2084458072</x:v>
      </x:c>
      <x:c r="N149" s="46" t="str">
        <x:v>fissurella cumingi</x:v>
      </x:c>
      <x:c r="O149" s="62" t="n">
        <x:v>2</x:v>
      </x:c>
      <x:c r="P149" s="46" t="str">
        <x:v>exact_sea_around_us</x:v>
      </x:c>
      <x:c r="Q149" s="62" t="str">
        <x:v>Sea Around Us exploited organisms</x:v>
      </x:c>
      <x:c r="R149" s="46" t="str">
        <x:v>high</x:v>
      </x:c>
      <x:c r="S149" s="46" t="str">
        <x:v>Fissurella cumingi</x:v>
      </x:c>
      <x:c r="T149" s="62" t="n">
        <x:f>IF(O149="","",(1/'Metadata'!$B$5)^(O149-1))</x:f>
        <x:v>10</x:v>
      </x:c>
      <x:c r="U149" s="60" t="n">
        <x:f>IF(T149="","",I149*T149)</x:f>
        <x:v>159.384312604</x:v>
      </x:c>
    </x:row>
    <x:row r="150" ht="18" customHeight="1">
      <x:c r="A150" s="46" t="str">
        <x:v>LME_013</x:v>
      </x:c>
      <x:c r="B150" s="46" t="str">
        <x:v>Humboldt Current</x:v>
      </x:c>
      <x:c r="C150" s="46" t="str">
        <x:v>LME</x:v>
      </x:c>
      <x:c r="D150" s="58" t="n">
        <x:v>2019</x:v>
      </x:c>
      <x:c r="E150" s="46" t="str">
        <x:v>Polydactylus approximans</x:v>
      </x:c>
      <x:c r="F150" s="46" t="str">
        <x:v>Blue bobo</x:v>
      </x:c>
      <x:c r="G150" s="46" t="str">
        <x:v>Medium demersals (30 - 89 cm)</x:v>
      </x:c>
      <x:c r="H150" s="46" t="str">
        <x:v>Perch-likes</x:v>
      </x:c>
      <x:c r="I150" s="60" t="n">
        <x:v>14.669312478</x:v>
      </x:c>
      <x:c r="J150" s="60" t="n">
        <x:v>14.669312478</x:v>
      </x:c>
      <x:c r="K150" s="60" t="n">
        <x:v>0</x:v>
      </x:c>
      <x:c r="L150" s="60" t="n">
        <x:v>14.669312478</x:v>
      </x:c>
      <x:c r="M150" s="60" t="n">
        <x:v>0</x:v>
      </x:c>
      <x:c r="N150" s="46" t="str">
        <x:v>polydactylus approximans</x:v>
      </x:c>
      <x:c r="O150" s="62" t="n">
        <x:v>3.59</x:v>
      </x:c>
      <x:c r="P150" s="46" t="str">
        <x:v>exact_2020_supplement</x:v>
      </x:c>
      <x:c r="Q150" s="62" t="str">
        <x:v>2020 supplement MeanTL</x:v>
      </x:c>
      <x:c r="R150" s="46" t="str">
        <x:v>high</x:v>
      </x:c>
      <x:c r="S150" s="46" t="str">
        <x:v>Polydactylus approximans</x:v>
      </x:c>
      <x:c r="T150" s="62" t="n">
        <x:f>IF(O150="","",(1/'Metadata'!$B$5)^(O150-1))</x:f>
        <x:v>389.04514499428046</x:v>
      </x:c>
      <x:c r="U150" s="60" t="n">
        <x:f>IF(T150="","",I150*T150)</x:f>
        <x:v>5707.024799969918</x:v>
      </x:c>
    </x:row>
    <x:row r="151" ht="18" customHeight="1">
      <x:c r="A151" s="46" t="str">
        <x:v>LME_013</x:v>
      </x:c>
      <x:c r="B151" s="46" t="str">
        <x:v>Humboldt Current</x:v>
      </x:c>
      <x:c r="C151" s="46" t="str">
        <x:v>LME</x:v>
      </x:c>
      <x:c r="D151" s="58" t="n">
        <x:v>2019</x:v>
      </x:c>
      <x:c r="E151" s="46" t="str">
        <x:v>Seriolella caerulea</x:v>
      </x:c>
      <x:c r="F151" s="46" t="str">
        <x:v>White warehou</x:v>
      </x:c>
      <x:c r="G151" s="46" t="str">
        <x:v>Medium bathypelagics (30 - 89 cm)</x:v>
      </x:c>
      <x:c r="H151" s="46" t="str">
        <x:v>Perch-likes</x:v>
      </x:c>
      <x:c r="I151" s="60" t="n">
        <x:v>14.5920677491</x:v>
      </x:c>
      <x:c r="J151" s="60" t="n">
        <x:v>14.5920677491</x:v>
      </x:c>
      <x:c r="K151" s="60" t="n">
        <x:v>0</x:v>
      </x:c>
      <x:c r="L151" s="60" t="n">
        <x:v>13.4857027122</x:v>
      </x:c>
      <x:c r="M151" s="60" t="n">
        <x:v>1.1063650369</x:v>
      </x:c>
      <x:c r="N151" s="46" t="str">
        <x:v>seriolella caerulea</x:v>
      </x:c>
      <x:c r="O151" s="62" t="n">
        <x:v>3.42</x:v>
      </x:c>
      <x:c r="P151" s="46" t="str">
        <x:v>exact_sea_around_us</x:v>
      </x:c>
      <x:c r="Q151" s="62" t="str">
        <x:v>Sea Around Us exploited organisms</x:v>
      </x:c>
      <x:c r="R151" s="46" t="str">
        <x:v>high</x:v>
      </x:c>
      <x:c r="S151" s="46" t="str">
        <x:v>Seriolella caerulea</x:v>
      </x:c>
      <x:c r="T151" s="62" t="n">
        <x:f>IF(O151="","",(1/'Metadata'!$B$5)^(O151-1))</x:f>
        <x:v>263.02679918953817</x:v>
      </x:c>
      <x:c r="U151" s="60" t="n">
        <x:f>IF(T151="","",I151*T151)</x:f>
        <x:v>3838.104873602662</x:v>
      </x:c>
    </x:row>
    <x:row r="152" ht="18" customHeight="1">
      <x:c r="A152" s="46" t="str">
        <x:v>LME_013</x:v>
      </x:c>
      <x:c r="B152" s="46" t="str">
        <x:v>Humboldt Current</x:v>
      </x:c>
      <x:c r="C152" s="46" t="str">
        <x:v>LME</x:v>
      </x:c>
      <x:c r="D152" s="58" t="n">
        <x:v>2019</x:v>
      </x:c>
      <x:c r="E152" s="46" t="str">
        <x:v>Fissurella maxima</x:v>
      </x:c>
      <x:c r="F152" s="46" t="str">
        <x:v>giant keyhole limpet</x:v>
      </x:c>
      <x:c r="G152" s="46" t="str">
        <x:v>Other demersal invertebrates</x:v>
      </x:c>
      <x:c r="H152" s="46" t="str">
        <x:v>Molluscs</x:v>
      </x:c>
      <x:c r="I152" s="60" t="n">
        <x:v>12.9570090451</x:v>
      </x:c>
      <x:c r="J152" s="60" t="n">
        <x:v>12.9570090451</x:v>
      </x:c>
      <x:c r="K152" s="60" t="n">
        <x:v>0</x:v>
      </x:c>
      <x:c r="L152" s="60" t="n">
        <x:v>10.7186476701</x:v>
      </x:c>
      <x:c r="M152" s="60" t="n">
        <x:v>2.2383613749999998</x:v>
      </x:c>
      <x:c r="N152" s="46" t="str">
        <x:v>fissurella maxima</x:v>
      </x:c>
      <x:c r="O152" s="62" t="n">
        <x:v>2</x:v>
      </x:c>
      <x:c r="P152" s="46" t="str">
        <x:v>exact_sea_around_us</x:v>
      </x:c>
      <x:c r="Q152" s="62" t="str">
        <x:v>Sea Around Us exploited organisms</x:v>
      </x:c>
      <x:c r="R152" s="46" t="str">
        <x:v>high</x:v>
      </x:c>
      <x:c r="S152" s="46" t="str">
        <x:v>Fissurella maxima</x:v>
      </x:c>
      <x:c r="T152" s="62" t="n">
        <x:f>IF(O152="","",(1/'Metadata'!$B$5)^(O152-1))</x:f>
        <x:v>10</x:v>
      </x:c>
      <x:c r="U152" s="60" t="n">
        <x:f>IF(T152="","",I152*T152)</x:f>
        <x:v>129.570090451</x:v>
      </x:c>
    </x:row>
    <x:row r="153" ht="18" customHeight="1">
      <x:c r="A153" s="46" t="str">
        <x:v>LME_013</x:v>
      </x:c>
      <x:c r="B153" s="46" t="str">
        <x:v>Humboldt Current</x:v>
      </x:c>
      <x:c r="C153" s="46" t="str">
        <x:v>LME</x:v>
      </x:c>
      <x:c r="D153" s="58" t="n">
        <x:v>2019</x:v>
      </x:c>
      <x:c r="E153" s="46" t="str">
        <x:v>Haliporoides diomedeae</x:v>
      </x:c>
      <x:c r="F153" s="46" t="str">
        <x:v>Chilean knife shrimp</x:v>
      </x:c>
      <x:c r="G153" s="46" t="str">
        <x:v>Shrimps</x:v>
      </x:c>
      <x:c r="H153" s="46" t="str">
        <x:v>Crustaceans</x:v>
      </x:c>
      <x:c r="I153" s="60" t="n">
        <x:v>12.8426303495</x:v>
      </x:c>
      <x:c r="J153" s="60" t="n">
        <x:v>12.8426303495</x:v>
      </x:c>
      <x:c r="K153" s="60" t="n">
        <x:v>0</x:v>
      </x:c>
      <x:c r="L153" s="60" t="n">
        <x:v>12.8426303495</x:v>
      </x:c>
      <x:c r="M153" s="60" t="n">
        <x:v>0</x:v>
      </x:c>
      <x:c r="N153" s="46" t="str">
        <x:v>haliporoides diomedeae</x:v>
      </x:c>
      <x:c r="O153" s="62" t="n">
        <x:v>2.6</x:v>
      </x:c>
      <x:c r="P153" s="46" t="str">
        <x:v>exact_sea_around_us</x:v>
      </x:c>
      <x:c r="Q153" s="62" t="str">
        <x:v>Sea Around Us exploited organisms</x:v>
      </x:c>
      <x:c r="R153" s="46" t="str">
        <x:v>high</x:v>
      </x:c>
      <x:c r="S153" s="46" t="str">
        <x:v>Haliporoides diomedeae</x:v>
      </x:c>
      <x:c r="T153" s="62" t="n">
        <x:f>IF(O153="","",(1/'Metadata'!$B$5)^(O153-1))</x:f>
        <x:v>39.810717055349734</x:v>
      </x:c>
      <x:c r="U153" s="60" t="n">
        <x:f>IF(T153="","",I153*T153)</x:f>
        <x:v>511.27432309039176</x:v>
      </x:c>
    </x:row>
    <x:row r="154" ht="18" customHeight="1">
      <x:c r="A154" s="46" t="str">
        <x:v>LME_013</x:v>
      </x:c>
      <x:c r="B154" s="46" t="str">
        <x:v>Humboldt Current</x:v>
      </x:c>
      <x:c r="C154" s="46" t="str">
        <x:v>LME</x:v>
      </x:c>
      <x:c r="D154" s="58" t="n">
        <x:v>2019</x:v>
      </x:c>
      <x:c r="E154" s="46" t="str">
        <x:v>Perciformes</x:v>
      </x:c>
      <x:c r="F154" s="46" t="str">
        <x:v>Perch-likes</x:v>
      </x:c>
      <x:c r="G154" s="46" t="str">
        <x:v>Medium demersals (30 - 89 cm)</x:v>
      </x:c>
      <x:c r="H154" s="46" t="str">
        <x:v>Perch-likes</x:v>
      </x:c>
      <x:c r="I154" s="60" t="n">
        <x:v>12.171086139</x:v>
      </x:c>
      <x:c r="J154" s="60" t="n">
        <x:v>12.171086139</x:v>
      </x:c>
      <x:c r="K154" s="60" t="n">
        <x:v>0</x:v>
      </x:c>
      <x:c r="L154" s="60" t="n">
        <x:v>9.8842075764</x:v>
      </x:c>
      <x:c r="M154" s="60" t="n">
        <x:v>2.2868785626</x:v>
      </x:c>
      <x:c r="N154" s="46" t="str">
        <x:v>perciformes</x:v>
      </x:c>
      <x:c r="O154" s="62" t="n">
        <x:v>3.53</x:v>
      </x:c>
      <x:c r="P154" s="46" t="str">
        <x:v>exact_sea_around_us</x:v>
      </x:c>
      <x:c r="Q154" s="62" t="str">
        <x:v>Sea Around Us exploited organisms</x:v>
      </x:c>
      <x:c r="R154" s="46" t="str">
        <x:v>high</x:v>
      </x:c>
      <x:c r="S154" s="46" t="str">
        <x:v>Perciformes</x:v>
      </x:c>
      <x:c r="T154" s="62" t="n">
        <x:f>IF(O154="","",(1/'Metadata'!$B$5)^(O154-1))</x:f>
        <x:v>338.84415613920237</x:v>
      </x:c>
      <x:c r="U154" s="60" t="n">
        <x:f>IF(T154="","",I154*T154)</x:f>
        <x:v>4124.101412066998</x:v>
      </x:c>
    </x:row>
    <x:row r="155" ht="18" customHeight="1">
      <x:c r="A155" s="46" t="str">
        <x:v>LME_013</x:v>
      </x:c>
      <x:c r="B155" s="46" t="str">
        <x:v>Humboldt Current</x:v>
      </x:c>
      <x:c r="C155" s="46" t="str">
        <x:v>LME</x:v>
      </x:c>
      <x:c r="D155" s="58" t="n">
        <x:v>2019</x:v>
      </x:c>
      <x:c r="E155" s="46" t="str">
        <x:v>Panulirus gracilis</x:v>
      </x:c>
      <x:c r="F155" s="46" t="str">
        <x:v>Blue spiny lobster</x:v>
      </x:c>
      <x:c r="G155" s="46" t="str">
        <x:v>Lobsters, crabs</x:v>
      </x:c>
      <x:c r="H155" s="46" t="str">
        <x:v>Crustaceans</x:v>
      </x:c>
      <x:c r="I155" s="60" t="n">
        <x:v>12.1342050289</x:v>
      </x:c>
      <x:c r="J155" s="60" t="n">
        <x:v>12.1342050289</x:v>
      </x:c>
      <x:c r="K155" s="60" t="n">
        <x:v>0</x:v>
      </x:c>
      <x:c r="L155" s="60" t="n">
        <x:v>11.4097820239</x:v>
      </x:c>
      <x:c r="M155" s="60" t="n">
        <x:v>0.724423005</x:v>
      </x:c>
      <x:c r="N155" s="46" t="str">
        <x:v>panulirus gracilis</x:v>
      </x:c>
      <x:c r="O155" s="62" t="n">
        <x:v>2.6</x:v>
      </x:c>
      <x:c r="P155" s="46" t="str">
        <x:v>exact_sea_around_us</x:v>
      </x:c>
      <x:c r="Q155" s="62" t="str">
        <x:v>Sea Around Us exploited organisms</x:v>
      </x:c>
      <x:c r="R155" s="46" t="str">
        <x:v>high</x:v>
      </x:c>
      <x:c r="S155" s="46" t="str">
        <x:v>Panulirus gracilis</x:v>
      </x:c>
      <x:c r="T155" s="62" t="n">
        <x:f>IF(O155="","",(1/'Metadata'!$B$5)^(O155-1))</x:f>
        <x:v>39.810717055349734</x:v>
      </x:c>
      <x:c r="U155" s="60" t="n">
        <x:f>IF(T155="","",I155*T155)</x:f>
        <x:v>483.07140309713975</x:v>
      </x:c>
    </x:row>
    <x:row r="156" ht="18" customHeight="1">
      <x:c r="A156" s="46" t="str">
        <x:v>LME_013</x:v>
      </x:c>
      <x:c r="B156" s="46" t="str">
        <x:v>Humboldt Current</x:v>
      </x:c>
      <x:c r="C156" s="46" t="str">
        <x:v>LME</x:v>
      </x:c>
      <x:c r="D156" s="58" t="n">
        <x:v>2019</x:v>
      </x:c>
      <x:c r="E156" s="46" t="str">
        <x:v>Argobuccinum pustulosum</x:v>
      </x:c>
      <x:c r="F156" s="46" t="str">
        <x:v>Swollen trumpet</x:v>
      </x:c>
      <x:c r="G156" s="46" t="str">
        <x:v>Other demersal invertebrates</x:v>
      </x:c>
      <x:c r="H156" s="46" t="str">
        <x:v>Molluscs</x:v>
      </x:c>
      <x:c r="I156" s="60" t="n">
        <x:v>11.0160502042</x:v>
      </x:c>
      <x:c r="J156" s="60" t="n">
        <x:v>11.0160502042</x:v>
      </x:c>
      <x:c r="K156" s="60" t="n">
        <x:v>0</x:v>
      </x:c>
      <x:c r="L156" s="60" t="n">
        <x:v>0</x:v>
      </x:c>
      <x:c r="M156" s="60" t="n">
        <x:v>11.0160502042</x:v>
      </x:c>
      <x:c r="N156" s="46" t="str">
        <x:v>argobuccinum pustulosum</x:v>
      </x:c>
      <x:c r="O156" s="62" t="n">
        <x:v>3</x:v>
      </x:c>
      <x:c r="P156" s="46" t="str">
        <x:v>exact_sea_around_us</x:v>
      </x:c>
      <x:c r="Q156" s="62" t="str">
        <x:v>Sea Around Us exploited organisms</x:v>
      </x:c>
      <x:c r="R156" s="46" t="str">
        <x:v>high</x:v>
      </x:c>
      <x:c r="S156" s="46" t="str">
        <x:v>Argobuccinum pustulosum</x:v>
      </x:c>
      <x:c r="T156" s="62" t="n">
        <x:f>IF(O156="","",(1/'Metadata'!$B$5)^(O156-1))</x:f>
        <x:v>100</x:v>
      </x:c>
      <x:c r="U156" s="60" t="n">
        <x:f>IF(T156="","",I156*T156)</x:f>
        <x:v>1101.60502042</x:v>
      </x:c>
    </x:row>
    <x:row r="157" ht="18" customHeight="1">
      <x:c r="A157" s="46" t="str">
        <x:v>LME_013</x:v>
      </x:c>
      <x:c r="B157" s="46" t="str">
        <x:v>Humboldt Current</x:v>
      </x:c>
      <x:c r="C157" s="46" t="str">
        <x:v>LME</x:v>
      </x:c>
      <x:c r="D157" s="58" t="n">
        <x:v>2019</x:v>
      </x:c>
      <x:c r="E157" s="46" t="str">
        <x:v>Caranx</x:v>
      </x:c>
      <x:c r="F157" s="46" t="str">
        <x:v>Jacks</x:v>
      </x:c>
      <x:c r="G157" s="46" t="str">
        <x:v>Medium reef assoc. fish (30 - 89 cm)</x:v>
      </x:c>
      <x:c r="H157" s="46" t="str">
        <x:v>Perch-likes</x:v>
      </x:c>
      <x:c r="I157" s="60" t="n">
        <x:v>10.7760455228</x:v>
      </x:c>
      <x:c r="J157" s="60" t="n">
        <x:v>10.7760455228</x:v>
      </x:c>
      <x:c r="K157" s="60" t="n">
        <x:v>0</x:v>
      </x:c>
      <x:c r="L157" s="60" t="n">
        <x:v>10.7760455228</x:v>
      </x:c>
      <x:c r="M157" s="60" t="n">
        <x:v>0</x:v>
      </x:c>
      <x:c r="N157" s="46" t="str">
        <x:v>caranx</x:v>
      </x:c>
      <x:c r="O157" s="62" t="n">
        <x:v>4.12</x:v>
      </x:c>
      <x:c r="P157" s="46" t="str">
        <x:v>exact_sea_around_us</x:v>
      </x:c>
      <x:c r="Q157" s="62" t="str">
        <x:v>Sea Around Us exploited organisms</x:v>
      </x:c>
      <x:c r="R157" s="46" t="str">
        <x:v>high</x:v>
      </x:c>
      <x:c r="S157" s="46" t="str">
        <x:v>Caranx</x:v>
      </x:c>
      <x:c r="T157" s="62" t="n">
        <x:f>IF(O157="","",(1/'Metadata'!$B$5)^(O157-1))</x:f>
        <x:v>1318.2567385564075</x:v>
      </x:c>
      <x:c r="U157" s="60" t="n">
        <x:f>IF(T157="","",I157*T157)</x:f>
        <x:v>14205.594625421707</x:v>
      </x:c>
    </x:row>
    <x:row r="158" ht="18" customHeight="1">
      <x:c r="A158" s="46" t="str">
        <x:v>LME_013</x:v>
      </x:c>
      <x:c r="B158" s="46" t="str">
        <x:v>Humboldt Current</x:v>
      </x:c>
      <x:c r="C158" s="46" t="str">
        <x:v>LME</x:v>
      </x:c>
      <x:c r="D158" s="58" t="n">
        <x:v>2019</x:v>
      </x:c>
      <x:c r="E158" s="46" t="str">
        <x:v>Xanthochorus cassidiformis</x:v>
      </x:c>
      <x:c r="F158" s="46" t="str">
        <x:v>Orange whelk</x:v>
      </x:c>
      <x:c r="G158" s="46" t="str">
        <x:v>Other demersal invertebrates</x:v>
      </x:c>
      <x:c r="H158" s="46" t="str">
        <x:v>Molluscs</x:v>
      </x:c>
      <x:c r="I158" s="60" t="n">
        <x:v>10.6883277198</x:v>
      </x:c>
      <x:c r="J158" s="60" t="n">
        <x:v>10.6883277198</x:v>
      </x:c>
      <x:c r="K158" s="60" t="n">
        <x:v>0</x:v>
      </x:c>
      <x:c r="L158" s="60" t="n">
        <x:v>10.6883277198</x:v>
      </x:c>
      <x:c r="M158" s="60" t="n">
        <x:v>0</x:v>
      </x:c>
      <x:c r="N158" s="46" t="str">
        <x:v>xanthochorus cassidiformis</x:v>
      </x:c>
      <x:c r="O158" s="62" t="n">
        <x:v>3.1</x:v>
      </x:c>
      <x:c r="P158" s="46" t="str">
        <x:v>exact_2020_supplement</x:v>
      </x:c>
      <x:c r="Q158" s="62" t="str">
        <x:v>2020 supplement MeanTL</x:v>
      </x:c>
      <x:c r="R158" s="46" t="str">
        <x:v>high</x:v>
      </x:c>
      <x:c r="S158" s="46" t="str">
        <x:v>Xanthochorus cassidiformis</x:v>
      </x:c>
      <x:c r="T158" s="62" t="n">
        <x:f>IF(O158="","",(1/'Metadata'!$B$5)^(O158-1))</x:f>
        <x:v>125.89254117941675</x:v>
      </x:c>
      <x:c r="U158" s="60" t="n">
        <x:f>IF(T158="","",I158*T158)</x:f>
        <x:v>1345.5807376040232</x:v>
      </x:c>
    </x:row>
    <x:row r="159" ht="18" customHeight="1">
      <x:c r="A159" s="46" t="str">
        <x:v>LME_013</x:v>
      </x:c>
      <x:c r="B159" s="46" t="str">
        <x:v>Humboldt Current</x:v>
      </x:c>
      <x:c r="C159" s="46" t="str">
        <x:v>LME</x:v>
      </x:c>
      <x:c r="D159" s="58" t="n">
        <x:v>2019</x:v>
      </x:c>
      <x:c r="E159" s="46" t="str">
        <x:v>Aplodactylus punctatus</x:v>
      </x:c>
      <x:c r="F159" s="46" t="str">
        <x:v>Aplodactylus punctatus</x:v>
      </x:c>
      <x:c r="G159" s="46" t="str">
        <x:v>Medium demersals (30 - 89 cm)</x:v>
      </x:c>
      <x:c r="H159" s="46" t="str">
        <x:v>Perch-likes</x:v>
      </x:c>
      <x:c r="I159" s="60" t="n">
        <x:v>7.1853982184000005</x:v>
      </x:c>
      <x:c r="J159" s="60" t="n">
        <x:v>7.1853982184000005</x:v>
      </x:c>
      <x:c r="K159" s="60" t="n">
        <x:v>0</x:v>
      </x:c>
      <x:c r="L159" s="60" t="n">
        <x:v>6.9443109318000005</x:v>
      </x:c>
      <x:c r="M159" s="60" t="n">
        <x:v>0.2410872866</x:v>
      </x:c>
      <x:c r="N159" s="46" t="str">
        <x:v>aplodactylus punctatus</x:v>
      </x:c>
      <x:c r="O159" s="62" t="n">
        <x:v>2.04</x:v>
      </x:c>
      <x:c r="P159" s="46" t="str">
        <x:v>exact_2020_supplement</x:v>
      </x:c>
      <x:c r="Q159" s="62" t="str">
        <x:v>2020 supplement MeanTL</x:v>
      </x:c>
      <x:c r="R159" s="46" t="str">
        <x:v>high</x:v>
      </x:c>
      <x:c r="S159" s="46" t="str">
        <x:v>Aplodactylus punctatus</x:v>
      </x:c>
      <x:c r="T159" s="62" t="n">
        <x:f>IF(O159="","",(1/'Metadata'!$B$5)^(O159-1))</x:f>
        <x:v>10.964781961431852</x:v>
      </x:c>
      <x:c r="U159" s="60" t="n">
        <x:f>IF(T159="","",I159*T159)</x:f>
        <x:v>78.78632477081689</x:v>
      </x:c>
    </x:row>
    <x:row r="160" ht="18" customHeight="1">
      <x:c r="A160" s="46" t="str">
        <x:v>LME_013</x:v>
      </x:c>
      <x:c r="B160" s="46" t="str">
        <x:v>Humboldt Current</x:v>
      </x:c>
      <x:c r="C160" s="46" t="str">
        <x:v>LME</x:v>
      </x:c>
      <x:c r="D160" s="58" t="n">
        <x:v>2019</x:v>
      </x:c>
      <x:c r="E160" s="46" t="str">
        <x:v>Hexanchus griseus</x:v>
      </x:c>
      <x:c r="F160" s="46" t="str">
        <x:v>Bluntnose sixgill shark</x:v>
      </x:c>
      <x:c r="G160" s="46" t="str">
        <x:v>Large sharks (&gt;=90 cm)</x:v>
      </x:c>
      <x:c r="H160" s="46" t="str">
        <x:v>Sharks &amp; rays</x:v>
      </x:c>
      <x:c r="I160" s="60" t="n">
        <x:v>3.9305458683</x:v>
      </x:c>
      <x:c r="J160" s="60" t="n">
        <x:v>3.9305458683</x:v>
      </x:c>
      <x:c r="K160" s="60" t="n">
        <x:v>0</x:v>
      </x:c>
      <x:c r="L160" s="60" t="n">
        <x:v>3.9305458683</x:v>
      </x:c>
      <x:c r="M160" s="60" t="n">
        <x:v>0</x:v>
      </x:c>
      <x:c r="N160" s="46" t="str">
        <x:v>hexanchus griseus</x:v>
      </x:c>
      <x:c r="O160" s="62" t="n">
        <x:v>4.48</x:v>
      </x:c>
      <x:c r="P160" s="46" t="str">
        <x:v>exact_2020_supplement</x:v>
      </x:c>
      <x:c r="Q160" s="62" t="str">
        <x:v>2020 supplement MeanTL</x:v>
      </x:c>
      <x:c r="R160" s="46" t="str">
        <x:v>high</x:v>
      </x:c>
      <x:c r="S160" s="46" t="str">
        <x:v>Hexanchus griseus</x:v>
      </x:c>
      <x:c r="T160" s="62" t="n">
        <x:f>IF(O160="","",(1/'Metadata'!$B$5)^(O160-1))</x:f>
        <x:v>3019.951720402019</x:v>
      </x:c>
      <x:c r="U160" s="60" t="n">
        <x:f>IF(T160="","",I160*T160)</x:f>
        <x:v>11870.058757091632</x:v>
      </x:c>
    </x:row>
    <x:row r="161" ht="18" customHeight="1">
      <x:c r="A161" s="46" t="str">
        <x:v>LME_013</x:v>
      </x:c>
      <x:c r="B161" s="46" t="str">
        <x:v>Humboldt Current</x:v>
      </x:c>
      <x:c r="C161" s="46" t="str">
        <x:v>LME</x:v>
      </x:c>
      <x:c r="D161" s="58" t="n">
        <x:v>2019</x:v>
      </x:c>
      <x:c r="E161" s="46" t="str">
        <x:v>Auxis</x:v>
      </x:c>
      <x:c r="F161" s="46" t="str">
        <x:v>Bullet and frigate tunas</x:v>
      </x:c>
      <x:c r="G161" s="46" t="str">
        <x:v>Medium pelagics (30 - 89 cm)</x:v>
      </x:c>
      <x:c r="H161" s="46" t="str">
        <x:v>Tuna &amp; billfishes</x:v>
      </x:c>
      <x:c r="I161" s="60" t="n">
        <x:v>3.3405532811</x:v>
      </x:c>
      <x:c r="J161" s="60" t="n">
        <x:v>3.3405532811</x:v>
      </x:c>
      <x:c r="K161" s="60" t="n">
        <x:v>0</x:v>
      </x:c>
      <x:c r="L161" s="60" t="n">
        <x:v>3.3405532811</x:v>
      </x:c>
      <x:c r="M161" s="60" t="n">
        <x:v>0</x:v>
      </x:c>
      <x:c r="N161" s="46" t="str">
        <x:v>auxis</x:v>
      </x:c>
      <x:c r="O161" s="62" t="n">
        <x:v>4.24</x:v>
      </x:c>
      <x:c r="P161" s="46" t="str">
        <x:v>exact_sea_around_us</x:v>
      </x:c>
      <x:c r="Q161" s="62" t="str">
        <x:v>Sea Around Us exploited organisms</x:v>
      </x:c>
      <x:c r="R161" s="46" t="str">
        <x:v>high</x:v>
      </x:c>
      <x:c r="S161" s="46" t="str">
        <x:v>Auxis</x:v>
      </x:c>
      <x:c r="T161" s="62" t="n">
        <x:f>IF(O161="","",(1/'Metadata'!$B$5)^(O161-1))</x:f>
        <x:v>1737.8008287493763</x:v>
      </x:c>
      <x:c r="U161" s="60" t="n">
        <x:f>IF(T161="","",I161*T161)</x:f>
        <x:v>5805.216260377028</x:v>
      </x:c>
    </x:row>
    <x:row r="162" ht="18" customHeight="1">
      <x:c r="A162" s="46" t="str">
        <x:v>LME_013</x:v>
      </x:c>
      <x:c r="B162" s="46" t="str">
        <x:v>Humboldt Current</x:v>
      </x:c>
      <x:c r="C162" s="46" t="str">
        <x:v>LME</x:v>
      </x:c>
      <x:c r="D162" s="58" t="n">
        <x:v>2019</x:v>
      </x:c>
      <x:c r="E162" s="46" t="str">
        <x:v>Graus nigra</x:v>
      </x:c>
      <x:c r="F162" s="46" t="str">
        <x:v>Mulata</x:v>
      </x:c>
      <x:c r="G162" s="46" t="str">
        <x:v>Medium demersals (30 - 89 cm)</x:v>
      </x:c>
      <x:c r="H162" s="46" t="str">
        <x:v>Other fishes &amp; inverts</x:v>
      </x:c>
      <x:c r="I162" s="60" t="n">
        <x:v>3.2853929683</x:v>
      </x:c>
      <x:c r="J162" s="60" t="n">
        <x:v>3.2853929683</x:v>
      </x:c>
      <x:c r="K162" s="60" t="n">
        <x:v>0</x:v>
      </x:c>
      <x:c r="L162" s="60" t="n">
        <x:v>2.9614503733</x:v>
      </x:c>
      <x:c r="M162" s="60" t="n">
        <x:v>0.323942595</x:v>
      </x:c>
      <x:c r="N162" s="46" t="str">
        <x:v>graus nigra</x:v>
      </x:c>
      <x:c r="O162" s="62" t="n">
        <x:v>3.35</x:v>
      </x:c>
      <x:c r="P162" s="46" t="str">
        <x:v>exact_2020_supplement</x:v>
      </x:c>
      <x:c r="Q162" s="62" t="str">
        <x:v>2020 supplement MeanTL</x:v>
      </x:c>
      <x:c r="R162" s="46" t="str">
        <x:v>high</x:v>
      </x:c>
      <x:c r="S162" s="46" t="str">
        <x:v>Graus nigra</x:v>
      </x:c>
      <x:c r="T162" s="62" t="n">
        <x:f>IF(O162="","",(1/'Metadata'!$B$5)^(O162-1))</x:f>
        <x:v>223.872113856834</x:v>
      </x:c>
      <x:c r="U162" s="60" t="n">
        <x:f>IF(T162="","",I162*T162)</x:f>
        <x:v>735.5078686636995</x:v>
      </x:c>
    </x:row>
    <x:row r="163" ht="18" customHeight="1">
      <x:c r="A163" s="46" t="str">
        <x:v>LME_013</x:v>
      </x:c>
      <x:c r="B163" s="46" t="str">
        <x:v>Humboldt Current</x:v>
      </x:c>
      <x:c r="C163" s="46" t="str">
        <x:v>LME</x:v>
      </x:c>
      <x:c r="D163" s="58" t="n">
        <x:v>2019</x:v>
      </x:c>
      <x:c r="E163" s="46" t="str">
        <x:v>Sebastidae</x:v>
      </x:c>
      <x:c r="F163" s="46" t="str">
        <x:v>Rockfishes, rockcods, thornyheads</x:v>
      </x:c>
      <x:c r="G163" s="46" t="str">
        <x:v>Medium demersals (30 - 89 cm)</x:v>
      </x:c>
      <x:c r="H163" s="46" t="str">
        <x:v>Scorpionfishes</x:v>
      </x:c>
      <x:c r="I163" s="60" t="n">
        <x:v>2.9221897176000002</x:v>
      </x:c>
      <x:c r="J163" s="60" t="n">
        <x:v>2.9221897176000002</x:v>
      </x:c>
      <x:c r="K163" s="60" t="n">
        <x:v>0</x:v>
      </x:c>
      <x:c r="L163" s="60" t="n">
        <x:v>2.9221897176000002</x:v>
      </x:c>
      <x:c r="M163" s="60" t="n">
        <x:v>0</x:v>
      </x:c>
      <x:c r="N163" s="46" t="str">
        <x:v>sebastidae</x:v>
      </x:c>
      <x:c r="O163" s="62" t="n">
        <x:v>3.74</x:v>
      </x:c>
      <x:c r="P163" s="46" t="str">
        <x:v>exact_sea_around_us</x:v>
      </x:c>
      <x:c r="Q163" s="62" t="str">
        <x:v>Sea Around Us exploited organisms</x:v>
      </x:c>
      <x:c r="R163" s="46" t="str">
        <x:v>high</x:v>
      </x:c>
      <x:c r="S163" s="46" t="str">
        <x:v>Sebastidae</x:v>
      </x:c>
      <x:c r="T163" s="62" t="n">
        <x:f>IF(O163="","",(1/'Metadata'!$B$5)^(O163-1))</x:f>
        <x:v>549.5408738576248</x:v>
      </x:c>
      <x:c r="U163" s="60" t="n">
        <x:f>IF(T163="","",I163*T163)</x:f>
        <x:v>1605.8626909876698</x:v>
      </x:c>
    </x:row>
    <x:row r="164" ht="18" customHeight="1">
      <x:c r="A164" s="46" t="str">
        <x:v>LME_013</x:v>
      </x:c>
      <x:c r="B164" s="46" t="str">
        <x:v>Humboldt Current</x:v>
      </x:c>
      <x:c r="C164" s="46" t="str">
        <x:v>LME</x:v>
      </x:c>
      <x:c r="D164" s="58" t="n">
        <x:v>2019</x:v>
      </x:c>
      <x:c r="E164" s="46" t="str">
        <x:v>Paralichthys</x:v>
      </x:c>
      <x:c r="F164" s="46" t="str">
        <x:v>Paralichthyid flounders</x:v>
      </x:c>
      <x:c r="G164" s="46" t="str">
        <x:v>Small to medium flatfishes (&lt;90 cm)</x:v>
      </x:c>
      <x:c r="H164" s="46" t="str">
        <x:v>Flatfishes</x:v>
      </x:c>
      <x:c r="I164" s="60" t="n">
        <x:v>2.8644009597</x:v>
      </x:c>
      <x:c r="J164" s="60" t="n">
        <x:v>2.8644009597</x:v>
      </x:c>
      <x:c r="K164" s="60" t="n">
        <x:v>0</x:v>
      </x:c>
      <x:c r="L164" s="60" t="n">
        <x:v>2.8644009597</x:v>
      </x:c>
      <x:c r="M164" s="60" t="n">
        <x:v>0</x:v>
      </x:c>
      <x:c r="N164" s="46" t="str">
        <x:v>paralichthys</x:v>
      </x:c>
      <x:c r="O164" s="62" t="n">
        <x:v>4.14</x:v>
      </x:c>
      <x:c r="P164" s="46" t="str">
        <x:v>exact_sea_around_us</x:v>
      </x:c>
      <x:c r="Q164" s="62" t="str">
        <x:v>Sea Around Us exploited organisms</x:v>
      </x:c>
      <x:c r="R164" s="46" t="str">
        <x:v>high</x:v>
      </x:c>
      <x:c r="S164" s="46" t="str">
        <x:v>Paralichthys</x:v>
      </x:c>
      <x:c r="T164" s="62" t="n">
        <x:f>IF(O164="","",(1/'Metadata'!$B$5)^(O164-1))</x:f>
        <x:v>1380.3842646028838</x:v>
      </x:c>
      <x:c r="U164" s="60" t="n">
        <x:f>IF(T164="","",I164*T164)</x:f>
        <x:v>3953.9740122832795</x:v>
      </x:c>
    </x:row>
    <x:row r="165" ht="18" customHeight="1">
      <x:c r="A165" s="46" t="str">
        <x:v>LME_013</x:v>
      </x:c>
      <x:c r="B165" s="46" t="str">
        <x:v>Humboldt Current</x:v>
      </x:c>
      <x:c r="C165" s="46" t="str">
        <x:v>LME</x:v>
      </x:c>
      <x:c r="D165" s="58" t="n">
        <x:v>2019</x:v>
      </x:c>
      <x:c r="E165" s="46" t="str">
        <x:v>Parapsettus panamensis</x:v>
      </x:c>
      <x:c r="F165" s="46" t="str">
        <x:v>Panama spadefish</x:v>
      </x:c>
      <x:c r="G165" s="46" t="str">
        <x:v>Small reef assoc. fish (&lt;30 cm)</x:v>
      </x:c>
      <x:c r="H165" s="46" t="str">
        <x:v>Perch-likes</x:v>
      </x:c>
      <x:c r="I165" s="60" t="n">
        <x:v>2.1400148357</x:v>
      </x:c>
      <x:c r="J165" s="60" t="n">
        <x:v>2.1400148357</x:v>
      </x:c>
      <x:c r="K165" s="60" t="n">
        <x:v>0</x:v>
      </x:c>
      <x:c r="L165" s="60" t="n">
        <x:v>2.1400148357</x:v>
      </x:c>
      <x:c r="M165" s="60" t="n">
        <x:v>0</x:v>
      </x:c>
      <x:c r="N165" s="46" t="str">
        <x:v>parapsettus panamensis</x:v>
      </x:c>
      <x:c r="O165" s="62" t="n">
        <x:v>3.5</x:v>
      </x:c>
      <x:c r="P165" s="46" t="str">
        <x:v>exact_2020_supplement</x:v>
      </x:c>
      <x:c r="Q165" s="62" t="str">
        <x:v>2020 supplement MeanTL</x:v>
      </x:c>
      <x:c r="R165" s="46" t="str">
        <x:v>high</x:v>
      </x:c>
      <x:c r="S165" s="46" t="str">
        <x:v>Parapsettus panamensis</x:v>
      </x:c>
      <x:c r="T165" s="62" t="n">
        <x:f>IF(O165="","",(1/'Metadata'!$B$5)^(O165-1))</x:f>
        <x:v>316.22776601683796</x:v>
      </x:c>
      <x:c r="U165" s="60" t="n">
        <x:f>IF(T165="","",I165*T165)</x:f>
        <x:v>676.7321107363016</x:v>
      </x:c>
    </x:row>
    <x:row r="166" ht="18" customHeight="1">
      <x:c r="A166" s="46" t="str">
        <x:v>LME_013</x:v>
      </x:c>
      <x:c r="B166" s="46" t="str">
        <x:v>Humboldt Current</x:v>
      </x:c>
      <x:c r="C166" s="46" t="str">
        <x:v>LME</x:v>
      </x:c>
      <x:c r="D166" s="58" t="n">
        <x:v>2019</x:v>
      </x:c>
      <x:c r="E166" s="46" t="str">
        <x:v>Paralichthys microps</x:v>
      </x:c>
      <x:c r="F166" s="46" t="str">
        <x:v>Paralichthys microps</x:v>
      </x:c>
      <x:c r="G166" s="46" t="str">
        <x:v>Small to medium flatfishes (&lt;90 cm)</x:v>
      </x:c>
      <x:c r="H166" s="46" t="str">
        <x:v>Flatfishes</x:v>
      </x:c>
      <x:c r="I166" s="60" t="n">
        <x:v>1.9092842119</x:v>
      </x:c>
      <x:c r="J166" s="60" t="n">
        <x:v>1.9092842119</x:v>
      </x:c>
      <x:c r="K166" s="60" t="n">
        <x:v>0</x:v>
      </x:c>
      <x:c r="L166" s="60" t="n">
        <x:v>0.9621089333</x:v>
      </x:c>
      <x:c r="M166" s="60" t="n">
        <x:v>0.9471752786</x:v>
      </x:c>
      <x:c r="N166" s="46" t="str">
        <x:v>paralichthys microps</x:v>
      </x:c>
      <x:c r="O166" s="62" t="n">
        <x:v>4.04</x:v>
      </x:c>
      <x:c r="P166" s="46" t="str">
        <x:v>exact_sea_around_us</x:v>
      </x:c>
      <x:c r="Q166" s="62" t="str">
        <x:v>Sea Around Us exploited organisms</x:v>
      </x:c>
      <x:c r="R166" s="46" t="str">
        <x:v>high</x:v>
      </x:c>
      <x:c r="S166" s="46" t="str">
        <x:v>Paralichthys microps</x:v>
      </x:c>
      <x:c r="T166" s="62" t="n">
        <x:f>IF(O166="","",(1/'Metadata'!$B$5)^(O166-1))</x:f>
        <x:v>1096.4781961431852</x:v>
      </x:c>
      <x:c r="U166" s="60" t="n">
        <x:f>IF(T166="","",I166*T166)</x:f>
        <x:v>2093.488508588775</x:v>
      </x:c>
    </x:row>
    <x:row r="167" ht="18" customHeight="1">
      <x:c r="A167" s="46" t="str">
        <x:v>LME_013</x:v>
      </x:c>
      <x:c r="B167" s="46" t="str">
        <x:v>Humboldt Current</x:v>
      </x:c>
      <x:c r="C167" s="46" t="str">
        <x:v>LME</x:v>
      </x:c>
      <x:c r="D167" s="58" t="n">
        <x:v>2019</x:v>
      </x:c>
      <x:c r="E167" s="46" t="str">
        <x:v>Isurus</x:v>
      </x:c>
      <x:c r="F167" s="46" t="str">
        <x:v>Mako sharks</x:v>
      </x:c>
      <x:c r="G167" s="46" t="str">
        <x:v>Large sharks (&gt;=90 cm)</x:v>
      </x:c>
      <x:c r="H167" s="46" t="str">
        <x:v>Sharks &amp; rays</x:v>
      </x:c>
      <x:c r="I167" s="60" t="n">
        <x:v>1.7921760393</x:v>
      </x:c>
      <x:c r="J167" s="60" t="n">
        <x:v>0</x:v>
      </x:c>
      <x:c r="K167" s="60" t="n">
        <x:v>1.7921760393</x:v>
      </x:c>
      <x:c r="L167" s="60" t="n">
        <x:v>0</x:v>
      </x:c>
      <x:c r="M167" s="60" t="n">
        <x:v>1.7921760393</x:v>
      </x:c>
      <x:c r="N167" s="46" t="str">
        <x:v>isurus</x:v>
      </x:c>
      <x:c r="O167" s="62" t="n">
        <x:v>4.5</x:v>
      </x:c>
      <x:c r="P167" s="46" t="str">
        <x:v>exact_sea_around_us</x:v>
      </x:c>
      <x:c r="Q167" s="62" t="str">
        <x:v>Sea Around Us exploited organisms</x:v>
      </x:c>
      <x:c r="R167" s="46" t="str">
        <x:v>high</x:v>
      </x:c>
      <x:c r="S167" s="46" t="str">
        <x:v>Isurus</x:v>
      </x:c>
      <x:c r="T167" s="62" t="n">
        <x:f>IF(O167="","",(1/'Metadata'!$B$5)^(O167-1))</x:f>
        <x:v>3162.2776601683795</x:v>
      </x:c>
      <x:c r="U167" s="60" t="n">
        <x:f>IF(T167="","",I167*T167)</x:f>
        <x:v>5667.358252167437</x:v>
      </x:c>
    </x:row>
    <x:row r="168" ht="18" customHeight="1">
      <x:c r="A168" s="46" t="str">
        <x:v>LME_013</x:v>
      </x:c>
      <x:c r="B168" s="46" t="str">
        <x:v>Humboldt Current</x:v>
      </x:c>
      <x:c r="C168" s="46" t="str">
        <x:v>LME</x:v>
      </x:c>
      <x:c r="D168" s="58" t="n">
        <x:v>2019</x:v>
      </x:c>
      <x:c r="E168" s="46" t="str">
        <x:v>Odontocymbiola magellanica</x:v>
      </x:c>
      <x:c r="F168" s="46" t="str">
        <x:v>Magellanic volute</x:v>
      </x:c>
      <x:c r="G168" s="46" t="str">
        <x:v>Other demersal invertebrates</x:v>
      </x:c>
      <x:c r="H168" s="46" t="str">
        <x:v>Molluscs</x:v>
      </x:c>
      <x:c r="I168" s="60" t="n">
        <x:v>1.513268813</x:v>
      </x:c>
      <x:c r="J168" s="60" t="n">
        <x:v>1.513268813</x:v>
      </x:c>
      <x:c r="K168" s="60" t="n">
        <x:v>0</x:v>
      </x:c>
      <x:c r="L168" s="60" t="n">
        <x:v>0.96124566</x:v>
      </x:c>
      <x:c r="M168" s="60" t="n">
        <x:v>0.552023153</x:v>
      </x:c>
      <x:c r="N168" s="46" t="str">
        <x:v>odontocymbiola magellanica</x:v>
      </x:c>
      <x:c r="O168" s="62" t="n">
        <x:v>3.22</x:v>
      </x:c>
      <x:c r="P168" s="46" t="str">
        <x:v>exact_sea_around_us</x:v>
      </x:c>
      <x:c r="Q168" s="62" t="str">
        <x:v>Sea Around Us exploited organisms</x:v>
      </x:c>
      <x:c r="R168" s="46" t="str">
        <x:v>high</x:v>
      </x:c>
      <x:c r="S168" s="46" t="str">
        <x:v>Odontocymbiola magellanica</x:v>
      </x:c>
      <x:c r="T168" s="62" t="n">
        <x:f>IF(O168="","",(1/'Metadata'!$B$5)^(O168-1))</x:f>
        <x:v>165.95869074375614</x:v>
      </x:c>
      <x:c r="U168" s="60" t="n">
        <x:f>IF(T168="","",I168*T168)</x:f>
        <x:v>251.14011094883796</x:v>
      </x:c>
    </x:row>
    <x:row r="169" ht="18" customHeight="1">
      <x:c r="A169" s="46" t="str">
        <x:v>LME_013</x:v>
      </x:c>
      <x:c r="B169" s="46" t="str">
        <x:v>Humboldt Current</x:v>
      </x:c>
      <x:c r="C169" s="46" t="str">
        <x:v>LME</x:v>
      </x:c>
      <x:c r="D169" s="58" t="n">
        <x:v>2019</x:v>
      </x:c>
      <x:c r="E169" s="46" t="str">
        <x:v>Allothunnus fallai</x:v>
      </x:c>
      <x:c r="F169" s="46" t="str">
        <x:v>Slender tuna</x:v>
      </x:c>
      <x:c r="G169" s="46" t="str">
        <x:v>Large pelagics (&gt;=90 cm)</x:v>
      </x:c>
      <x:c r="H169" s="46" t="str">
        <x:v>Tuna &amp; billfishes</x:v>
      </x:c>
      <x:c r="I169" s="60" t="n">
        <x:v>0.9931956295</x:v>
      </x:c>
      <x:c r="J169" s="60" t="n">
        <x:v>0.9931956295</x:v>
      </x:c>
      <x:c r="K169" s="60" t="n">
        <x:v>0</x:v>
      </x:c>
      <x:c r="L169" s="60" t="n">
        <x:v>0.9931956295</x:v>
      </x:c>
      <x:c r="M169" s="60" t="n">
        <x:v>0</x:v>
      </x:c>
      <x:c r="N169" s="46" t="str">
        <x:v>allothunnus fallai</x:v>
      </x:c>
      <x:c r="O169" s="62" t="n">
        <x:v>3.7</x:v>
      </x:c>
      <x:c r="P169" s="46" t="str">
        <x:v>exact_2020_supplement</x:v>
      </x:c>
      <x:c r="Q169" s="62" t="str">
        <x:v>2020 supplement MeanTL</x:v>
      </x:c>
      <x:c r="R169" s="46" t="str">
        <x:v>high</x:v>
      </x:c>
      <x:c r="S169" s="46" t="str">
        <x:v>Allothunnus fallai</x:v>
      </x:c>
      <x:c r="T169" s="62" t="n">
        <x:f>IF(O169="","",(1/'Metadata'!$B$5)^(O169-1))</x:f>
        <x:v>501.18723362727246</x:v>
      </x:c>
      <x:c r="U169" s="60" t="n">
        <x:f>IF(T169="","",I169*T169)</x:f>
        <x:v>497.7769699998024</x:v>
      </x:c>
    </x:row>
    <x:row r="170" ht="18" customHeight="1">
      <x:c r="A170" s="46" t="str">
        <x:v>LME_013</x:v>
      </x:c>
      <x:c r="B170" s="46" t="str">
        <x:v>Humboldt Current</x:v>
      </x:c>
      <x:c r="C170" s="46" t="str">
        <x:v>LME</x:v>
      </x:c>
      <x:c r="D170" s="58" t="n">
        <x:v>2019</x:v>
      </x:c>
      <x:c r="E170" s="46" t="str">
        <x:v>Rhynchocinetes typus</x:v>
      </x:c>
      <x:c r="F170" s="46" t="str">
        <x:v>Rabbitnose shrimp</x:v>
      </x:c>
      <x:c r="G170" s="46" t="str">
        <x:v>Shrimps</x:v>
      </x:c>
      <x:c r="H170" s="46" t="str">
        <x:v>Crustaceans</x:v>
      </x:c>
      <x:c r="I170" s="60" t="n">
        <x:v>0.9844828681</x:v>
      </x:c>
      <x:c r="J170" s="60" t="n">
        <x:v>0.9844828681</x:v>
      </x:c>
      <x:c r="K170" s="60" t="n">
        <x:v>0</x:v>
      </x:c>
      <x:c r="L170" s="60" t="n">
        <x:v>0.9844828681</x:v>
      </x:c>
      <x:c r="M170" s="60" t="n">
        <x:v>0</x:v>
      </x:c>
      <x:c r="N170" s="46" t="str">
        <x:v>rhynchocinetes typus</x:v>
      </x:c>
      <x:c r="O170" s="62" t="n">
        <x:v>2.88</x:v>
      </x:c>
      <x:c r="P170" s="46" t="str">
        <x:v>exact_sea_around_us</x:v>
      </x:c>
      <x:c r="Q170" s="62" t="str">
        <x:v>Sea Around Us exploited organisms</x:v>
      </x:c>
      <x:c r="R170" s="46" t="str">
        <x:v>high</x:v>
      </x:c>
      <x:c r="S170" s="46" t="str">
        <x:v>Rhynchocinetes typus</x:v>
      </x:c>
      <x:c r="T170" s="62" t="n">
        <x:f>IF(O170="","",(1/'Metadata'!$B$5)^(O170-1))</x:f>
        <x:v>75.85775750291836</x:v>
      </x:c>
      <x:c r="U170" s="60" t="n">
        <x:f>IF(T170="","",I170*T170)</x:f>
        <x:v>74.68066267410735</x:v>
      </x:c>
    </x:row>
    <x:row r="171" ht="18" customHeight="1">
      <x:c r="A171" s="46" t="str">
        <x:v>LME_013</x:v>
      </x:c>
      <x:c r="B171" s="46" t="str">
        <x:v>Humboldt Current</x:v>
      </x:c>
      <x:c r="C171" s="46" t="str">
        <x:v>LME</x:v>
      </x:c>
      <x:c r="D171" s="58" t="n">
        <x:v>2019</x:v>
      </x:c>
      <x:c r="E171" s="46" t="str">
        <x:v>Fissurella picta</x:v>
      </x:c>
      <x:c r="F171" s="46" t="str">
        <x:v>Large banded keyhole limpet</x:v>
      </x:c>
      <x:c r="G171" s="46" t="str">
        <x:v>Other demersal invertebrates</x:v>
      </x:c>
      <x:c r="H171" s="46" t="str">
        <x:v>Molluscs</x:v>
      </x:c>
      <x:c r="I171" s="60" t="n">
        <x:v>0.9713816518</x:v>
      </x:c>
      <x:c r="J171" s="60" t="n">
        <x:v>0.9713816518</x:v>
      </x:c>
      <x:c r="K171" s="60" t="n">
        <x:v>0</x:v>
      </x:c>
      <x:c r="L171" s="60" t="n">
        <x:v>0.9713816518</x:v>
      </x:c>
      <x:c r="M171" s="60" t="n">
        <x:v>0</x:v>
      </x:c>
      <x:c r="N171" s="46" t="str">
        <x:v>fissurella picta</x:v>
      </x:c>
      <x:c r="O171" s="62" t="n">
        <x:v>2</x:v>
      </x:c>
      <x:c r="P171" s="46" t="str">
        <x:v>exact_2020_supplement</x:v>
      </x:c>
      <x:c r="Q171" s="62" t="str">
        <x:v>2020 supplement MeanTL</x:v>
      </x:c>
      <x:c r="R171" s="46" t="str">
        <x:v>high</x:v>
      </x:c>
      <x:c r="S171" s="46" t="str">
        <x:v>Fissurella picta</x:v>
      </x:c>
      <x:c r="T171" s="62" t="n">
        <x:f>IF(O171="","",(1/'Metadata'!$B$5)^(O171-1))</x:f>
        <x:v>10</x:v>
      </x:c>
      <x:c r="U171" s="60" t="n">
        <x:f>IF(T171="","",I171*T171)</x:f>
        <x:v>9.713816518</x:v>
      </x:c>
    </x:row>
    <x:row r="172" ht="18" customHeight="1">
      <x:c r="A172" s="46" t="str">
        <x:v>LME_013</x:v>
      </x:c>
      <x:c r="B172" s="46" t="str">
        <x:v>Humboldt Current</x:v>
      </x:c>
      <x:c r="C172" s="46" t="str">
        <x:v>LME</x:v>
      </x:c>
      <x:c r="D172" s="58" t="n">
        <x:v>2019</x:v>
      </x:c>
      <x:c r="E172" s="46" t="str">
        <x:v>Galaxias maculatus</x:v>
      </x:c>
      <x:c r="F172" s="46" t="str">
        <x:v>Inanga</x:v>
      </x:c>
      <x:c r="G172" s="46" t="str">
        <x:v>Large reef assoc. fish (&gt;=90 cm)</x:v>
      </x:c>
      <x:c r="H172" s="46" t="str">
        <x:v>Salmon, smelts, etc</x:v>
      </x:c>
      <x:c r="I172" s="60" t="n">
        <x:v>0.9583645265</x:v>
      </x:c>
      <x:c r="J172" s="60" t="n">
        <x:v>0.9583645265</x:v>
      </x:c>
      <x:c r="K172" s="60" t="n">
        <x:v>0</x:v>
      </x:c>
      <x:c r="L172" s="60" t="n">
        <x:v>0.9583645265</x:v>
      </x:c>
      <x:c r="M172" s="60" t="n">
        <x:v>0</x:v>
      </x:c>
      <x:c r="N172" s="46" t="str">
        <x:v>galaxias maculatus</x:v>
      </x:c>
      <x:c r="O172" s="62" t="n">
        <x:v>3.16</x:v>
      </x:c>
      <x:c r="P172" s="46" t="str">
        <x:v>exact_2020_supplement</x:v>
      </x:c>
      <x:c r="Q172" s="62" t="str">
        <x:v>2020 supplement MeanTL</x:v>
      </x:c>
      <x:c r="R172" s="46" t="str">
        <x:v>high</x:v>
      </x:c>
      <x:c r="S172" s="46" t="str">
        <x:v>Galaxias maculatus</x:v>
      </x:c>
      <x:c r="T172" s="62" t="n">
        <x:f>IF(O172="","",(1/'Metadata'!$B$5)^(O172-1))</x:f>
        <x:v>144.5439770745928</x:v>
      </x:c>
      <x:c r="U172" s="60" t="n">
        <x:f>IF(T172="","",I172*T172)</x:f>
        <x:v>138.52582014751897</x:v>
      </x:c>
    </x:row>
    <x:row r="173" ht="18" customHeight="1">
      <x:c r="A173" s="46" t="str">
        <x:v>LME_013</x:v>
      </x:c>
      <x:c r="B173" s="46" t="str">
        <x:v>Humboldt Current</x:v>
      </x:c>
      <x:c r="C173" s="46" t="str">
        <x:v>LME</x:v>
      </x:c>
      <x:c r="D173" s="58" t="n">
        <x:v>2019</x:v>
      </x:c>
      <x:c r="E173" s="46" t="str">
        <x:v>Cetengraulis mysticetus</x:v>
      </x:c>
      <x:c r="F173" s="46" t="str">
        <x:v>Pacific anchoveta</x:v>
      </x:c>
      <x:c r="G173" s="46" t="str">
        <x:v>Small pelagics (&lt;30 cm)</x:v>
      </x:c>
      <x:c r="H173" s="46" t="str">
        <x:v>Anchovies</x:v>
      </x:c>
      <x:c r="I173" s="60" t="n">
        <x:v>0.7948082113</x:v>
      </x:c>
      <x:c r="J173" s="60" t="n">
        <x:v>0.7948082113</x:v>
      </x:c>
      <x:c r="K173" s="60" t="n">
        <x:v>0</x:v>
      </x:c>
      <x:c r="L173" s="60" t="n">
        <x:v>0.7948082113</x:v>
      </x:c>
      <x:c r="M173" s="60" t="n">
        <x:v>0</x:v>
      </x:c>
      <x:c r="N173" s="46" t="str">
        <x:v>cetengraulis mysticetus</x:v>
      </x:c>
      <x:c r="O173" s="62" t="n">
        <x:v>2.47</x:v>
      </x:c>
      <x:c r="P173" s="46" t="str">
        <x:v>exact_2020_supplement</x:v>
      </x:c>
      <x:c r="Q173" s="62" t="str">
        <x:v>2020 supplement MeanTL</x:v>
      </x:c>
      <x:c r="R173" s="46" t="str">
        <x:v>high</x:v>
      </x:c>
      <x:c r="S173" s="46" t="str">
        <x:v>Cetengraulis mysticetus</x:v>
      </x:c>
      <x:c r="T173" s="62" t="n">
        <x:f>IF(O173="","",(1/'Metadata'!$B$5)^(O173-1))</x:f>
        <x:v>29.51209226666387</x:v>
      </x:c>
      <x:c r="U173" s="60" t="n">
        <x:f>IF(T173="","",I173*T173)</x:f>
        <x:v>23.456453266187673</x:v>
      </x:c>
    </x:row>
    <x:row r="174" ht="18" customHeight="1">
      <x:c r="A174" s="46" t="str">
        <x:v>LME_013</x:v>
      </x:c>
      <x:c r="B174" s="46" t="str">
        <x:v>Humboldt Current</x:v>
      </x:c>
      <x:c r="C174" s="46" t="str">
        <x:v>LME</x:v>
      </x:c>
      <x:c r="D174" s="58" t="n">
        <x:v>2019</x:v>
      </x:c>
      <x:c r="E174" s="46" t="str">
        <x:v>Istiompax indica</x:v>
      </x:c>
      <x:c r="F174" s="46" t="str">
        <x:v>Black marlin</x:v>
      </x:c>
      <x:c r="G174" s="46" t="str">
        <x:v>Large pelagics (&gt;=90 cm)</x:v>
      </x:c>
      <x:c r="H174" s="46" t="str">
        <x:v>Tuna &amp; billfishes</x:v>
      </x:c>
      <x:c r="I174" s="60" t="n">
        <x:v>0.6826991084</x:v>
      </x:c>
      <x:c r="J174" s="60" t="n">
        <x:v>0.6826991084</x:v>
      </x:c>
      <x:c r="K174" s="60" t="n">
        <x:v>0</x:v>
      </x:c>
      <x:c r="L174" s="60" t="n">
        <x:v>0.6826991084</x:v>
      </x:c>
      <x:c r="M174" s="60" t="n">
        <x:v>0</x:v>
      </x:c>
      <x:c r="N174" s="46" t="str">
        <x:v>istiompax indica</x:v>
      </x:c>
      <x:c r="O174" s="62" t="n">
        <x:v>4.5</x:v>
      </x:c>
      <x:c r="P174" s="46" t="str">
        <x:v>exact_2020_supplement</x:v>
      </x:c>
      <x:c r="Q174" s="62" t="str">
        <x:v>2020 supplement MeanTL</x:v>
      </x:c>
      <x:c r="R174" s="46" t="str">
        <x:v>high</x:v>
      </x:c>
      <x:c r="S174" s="46" t="str">
        <x:v>Istiompax indica</x:v>
      </x:c>
      <x:c r="T174" s="62" t="n">
        <x:f>IF(O174="","",(1/'Metadata'!$B$5)^(O174-1))</x:f>
        <x:v>3162.2776601683795</x:v>
      </x:c>
      <x:c r="U174" s="60" t="n">
        <x:f>IF(T174="","",I174*T174)</x:f>
        <x:v>2158.884139110191</x:v>
      </x:c>
    </x:row>
    <x:row r="175" ht="18" customHeight="1">
      <x:c r="A175" s="46" t="str">
        <x:v>LME_013</x:v>
      </x:c>
      <x:c r="B175" s="46" t="str">
        <x:v>Humboldt Current</x:v>
      </x:c>
      <x:c r="C175" s="46" t="str">
        <x:v>LME</x:v>
      </x:c>
      <x:c r="D175" s="58" t="n">
        <x:v>2019</x:v>
      </x:c>
      <x:c r="E175" s="46" t="str">
        <x:v>Rhinoptera steindachneri</x:v>
      </x:c>
      <x:c r="F175" s="46" t="str">
        <x:v>Pacific cownose ray</x:v>
      </x:c>
      <x:c r="G175" s="46" t="str">
        <x:v>Large rays (&gt;=90 cm)</x:v>
      </x:c>
      <x:c r="H175" s="46" t="str">
        <x:v>Sharks &amp; rays</x:v>
      </x:c>
      <x:c r="I175" s="60" t="n">
        <x:v>0.3992258273</x:v>
      </x:c>
      <x:c r="J175" s="60" t="n">
        <x:v>0.3992258273</x:v>
      </x:c>
      <x:c r="K175" s="60" t="n">
        <x:v>0</x:v>
      </x:c>
      <x:c r="L175" s="60" t="n">
        <x:v>0.3992258273</x:v>
      </x:c>
      <x:c r="M175" s="60" t="n">
        <x:v>0</x:v>
      </x:c>
      <x:c r="N175" s="46" t="str">
        <x:v>rhinoptera steindachneri</x:v>
      </x:c>
      <x:c r="O175" s="62" t="n">
        <x:v>3.55</x:v>
      </x:c>
      <x:c r="P175" s="46" t="str">
        <x:v>exact_2020_supplement</x:v>
      </x:c>
      <x:c r="Q175" s="62" t="str">
        <x:v>2020 supplement MeanTL</x:v>
      </x:c>
      <x:c r="R175" s="46" t="str">
        <x:v>high</x:v>
      </x:c>
      <x:c r="S175" s="46" t="str">
        <x:v>Rhinoptera steindachneri</x:v>
      </x:c>
      <x:c r="T175" s="62" t="n">
        <x:f>IF(O175="","",(1/'Metadata'!$B$5)^(O175-1))</x:f>
        <x:v>354.8133892335753</x:v>
      </x:c>
      <x:c r="U175" s="60" t="n">
        <x:f>IF(T175="","",I175*T175)</x:f>
        <x:v>141.65066885389103</x:v>
      </x:c>
    </x:row>
    <x:row r="176" ht="18" customHeight="1">
      <x:c r="A176" s="46" t="str">
        <x:v>LME_013</x:v>
      </x:c>
      <x:c r="B176" s="46" t="str">
        <x:v>Humboldt Current</x:v>
      </x:c>
      <x:c r="C176" s="46" t="str">
        <x:v>LME</x:v>
      </x:c>
      <x:c r="D176" s="58" t="n">
        <x:v>2019</x:v>
      </x:c>
      <x:c r="E176" s="46" t="str">
        <x:v>Lepidocybium flavobrunneum</x:v>
      </x:c>
      <x:c r="F176" s="46" t="str">
        <x:v>Escolar</x:v>
      </x:c>
      <x:c r="G176" s="46" t="str">
        <x:v>Large bathypelagics (&gt;=90 cm)</x:v>
      </x:c>
      <x:c r="H176" s="46" t="str">
        <x:v>Perch-likes</x:v>
      </x:c>
      <x:c r="I176" s="60" t="n">
        <x:v>0.3667495025</x:v>
      </x:c>
      <x:c r="J176" s="60" t="n">
        <x:v>0.3667495025</x:v>
      </x:c>
      <x:c r="K176" s="60" t="n">
        <x:v>0</x:v>
      </x:c>
      <x:c r="L176" s="60" t="n">
        <x:v>0.3667495025</x:v>
      </x:c>
      <x:c r="M176" s="60" t="n">
        <x:v>0</x:v>
      </x:c>
      <x:c r="N176" s="46" t="str">
        <x:v>lepidocybium flavobrunneum</x:v>
      </x:c>
      <x:c r="O176" s="62" t="n">
        <x:v>4.34</x:v>
      </x:c>
      <x:c r="P176" s="46" t="str">
        <x:v>exact_2020_supplement</x:v>
      </x:c>
      <x:c r="Q176" s="62" t="str">
        <x:v>2020 supplement MeanTL</x:v>
      </x:c>
      <x:c r="R176" s="46" t="str">
        <x:v>high</x:v>
      </x:c>
      <x:c r="S176" s="46" t="str">
        <x:v>Lepidocybium flavobrunneum</x:v>
      </x:c>
      <x:c r="T176" s="62" t="n">
        <x:f>IF(O176="","",(1/'Metadata'!$B$5)^(O176-1))</x:f>
        <x:v>2187.761623949552</x:v>
      </x:c>
      <x:c r="U176" s="60" t="n">
        <x:f>IF(T176="","",I176*T176)</x:f>
        <x:v>802.3604871720902</x:v>
      </x:c>
    </x:row>
    <x:row r="177" ht="18" customHeight="1">
      <x:c r="A177" s="46" t="str">
        <x:v>LME_013</x:v>
      </x:c>
      <x:c r="B177" s="46" t="str">
        <x:v>Humboldt Current</x:v>
      </x:c>
      <x:c r="C177" s="46" t="str">
        <x:v>LME</x:v>
      </x:c>
      <x:c r="D177" s="58" t="n">
        <x:v>2019</x:v>
      </x:c>
      <x:c r="E177" s="46" t="str">
        <x:v>Chondrichthyes</x:v>
      </x:c>
      <x:c r="F177" s="46" t="str">
        <x:v>Sharks, rays, chimaeras</x:v>
      </x:c>
      <x:c r="G177" s="46" t="str">
        <x:v>Large sharks (&gt;=90 cm)</x:v>
      </x:c>
      <x:c r="H177" s="46" t="str">
        <x:v>Sharks &amp; rays</x:v>
      </x:c>
      <x:c r="I177" s="60" t="n">
        <x:v>0.3623936032</x:v>
      </x:c>
      <x:c r="J177" s="60" t="n">
        <x:v>0.3623936032</x:v>
      </x:c>
      <x:c r="K177" s="60" t="n">
        <x:v>0</x:v>
      </x:c>
      <x:c r="L177" s="60" t="n">
        <x:v>0.3623936032</x:v>
      </x:c>
      <x:c r="M177" s="60" t="n">
        <x:v>0</x:v>
      </x:c>
      <x:c r="N177" s="46" t="str">
        <x:v>chondrichthyes</x:v>
      </x:c>
      <x:c r="O177" s="62" t="n">
        <x:v>4</x:v>
      </x:c>
      <x:c r="P177" s="46" t="str">
        <x:v>exact_sea_around_us</x:v>
      </x:c>
      <x:c r="Q177" s="62" t="str">
        <x:v>Sea Around Us exploited organisms</x:v>
      </x:c>
      <x:c r="R177" s="46" t="str">
        <x:v>high</x:v>
      </x:c>
      <x:c r="S177" s="46" t="str">
        <x:v>Chondrichthyes</x:v>
      </x:c>
      <x:c r="T177" s="62" t="n">
        <x:f>IF(O177="","",(1/'Metadata'!$B$5)^(O177-1))</x:f>
        <x:v>1000</x:v>
      </x:c>
      <x:c r="U177" s="60" t="n">
        <x:f>IF(T177="","",I177*T177)</x:f>
        <x:v>362.39360320000003</x:v>
      </x:c>
    </x:row>
    <x:row r="178" ht="18" customHeight="1">
      <x:c r="A178" s="46" t="str">
        <x:v>LME_013</x:v>
      </x:c>
      <x:c r="B178" s="46" t="str">
        <x:v>Humboldt Current</x:v>
      </x:c>
      <x:c r="C178" s="46" t="str">
        <x:v>LME</x:v>
      </x:c>
      <x:c r="D178" s="58" t="n">
        <x:v>2019</x:v>
      </x:c>
      <x:c r="E178" s="46" t="str">
        <x:v>Hippocampus</x:v>
      </x:c>
      <x:c r="F178" s="46" t="str">
        <x:v>Seahorses</x:v>
      </x:c>
      <x:c r="G178" s="46" t="str">
        <x:v>Small reef assoc. fish (&lt;30 cm)</x:v>
      </x:c>
      <x:c r="H178" s="46" t="str">
        <x:v>Other fishes &amp; inverts</x:v>
      </x:c>
      <x:c r="I178" s="60" t="n">
        <x:v>0.19185815180000002</x:v>
      </x:c>
      <x:c r="J178" s="60" t="n">
        <x:v>0.19185815180000002</x:v>
      </x:c>
      <x:c r="K178" s="60" t="n">
        <x:v>0</x:v>
      </x:c>
      <x:c r="L178" s="60" t="n">
        <x:v>0.19185815180000002</x:v>
      </x:c>
      <x:c r="M178" s="60" t="n">
        <x:v>0</x:v>
      </x:c>
      <x:c r="N178" s="46" t="str">
        <x:v>hippocampus</x:v>
      </x:c>
      <x:c r="O178" s="62" t="n">
        <x:v>3.33</x:v>
      </x:c>
      <x:c r="P178" s="46" t="str">
        <x:v>exact_sea_around_us</x:v>
      </x:c>
      <x:c r="Q178" s="62" t="str">
        <x:v>Sea Around Us exploited organisms</x:v>
      </x:c>
      <x:c r="R178" s="46" t="str">
        <x:v>high</x:v>
      </x:c>
      <x:c r="S178" s="46" t="str">
        <x:v>Hippocampus</x:v>
      </x:c>
      <x:c r="T178" s="62" t="n">
        <x:f>IF(O178="","",(1/'Metadata'!$B$5)^(O178-1))</x:f>
        <x:v>213.79620895022325</x:v>
      </x:c>
      <x:c r="U178" s="60" t="n">
        <x:f>IF(T178="","",I178*T178)</x:f>
        <x:v>41.01854551103645</x:v>
      </x:c>
    </x:row>
    <x:row r="179" ht="18" customHeight="1">
      <x:c r="A179" s="46" t="str">
        <x:v>LME_013</x:v>
      </x:c>
      <x:c r="B179" s="46" t="str">
        <x:v>Humboldt Current</x:v>
      </x:c>
      <x:c r="C179" s="46" t="str">
        <x:v>LME</x:v>
      </x:c>
      <x:c r="D179" s="58" t="n">
        <x:v>2019</x:v>
      </x:c>
      <x:c r="E179" s="46" t="str">
        <x:v>Carcharhinus falciformis</x:v>
      </x:c>
      <x:c r="F179" s="46" t="str">
        <x:v>Silky shark</x:v>
      </x:c>
      <x:c r="G179" s="46" t="str">
        <x:v>Large sharks (&gt;=90 cm)</x:v>
      </x:c>
      <x:c r="H179" s="46" t="str">
        <x:v>Sharks &amp; rays</x:v>
      </x:c>
      <x:c r="I179" s="60" t="n">
        <x:v>0.16209981229999998</x:v>
      </x:c>
      <x:c r="J179" s="60" t="n">
        <x:v>0</x:v>
      </x:c>
      <x:c r="K179" s="60" t="n">
        <x:v>0.16209981229999998</x:v>
      </x:c>
      <x:c r="L179" s="60" t="n">
        <x:v>0</x:v>
      </x:c>
      <x:c r="M179" s="60" t="n">
        <x:v>0.16209981229999998</x:v>
      </x:c>
      <x:c r="N179" s="46" t="str">
        <x:v>carcharhinus falciformis</x:v>
      </x:c>
      <x:c r="O179" s="62" t="n">
        <x:v>4.51</x:v>
      </x:c>
      <x:c r="P179" s="46" t="str">
        <x:v>exact_2020_supplement</x:v>
      </x:c>
      <x:c r="Q179" s="62" t="str">
        <x:v>2020 supplement MeanTL</x:v>
      </x:c>
      <x:c r="R179" s="46" t="str">
        <x:v>high</x:v>
      </x:c>
      <x:c r="S179" s="46" t="str">
        <x:v>Carcharhinus falciformis</x:v>
      </x:c>
      <x:c r="T179" s="62" t="n">
        <x:f>IF(O179="","",(1/'Metadata'!$B$5)^(O179-1))</x:f>
        <x:v>3235.936569296281</x:v>
      </x:c>
      <x:c r="U179" s="60" t="n">
        <x:f>IF(T179="","",I179*T179)</x:f>
        <x:v>524.544710497633</x:v>
      </x:c>
    </x:row>
    <x:row r="180" ht="18" customHeight="1">
      <x:c r="A180" s="46" t="str">
        <x:v>LME_013</x:v>
      </x:c>
      <x:c r="B180" s="46" t="str">
        <x:v>Humboldt Current</x:v>
      </x:c>
      <x:c r="C180" s="46" t="str">
        <x:v>LME</x:v>
      </x:c>
      <x:c r="D180" s="58" t="n">
        <x:v>2019</x:v>
      </x:c>
      <x:c r="E180" s="46" t="str">
        <x:v>Carcharhinus longimanus</x:v>
      </x:c>
      <x:c r="F180" s="46" t="str">
        <x:v>Oceanic whitetip shark</x:v>
      </x:c>
      <x:c r="G180" s="46" t="str">
        <x:v>Large sharks (&gt;=90 cm)</x:v>
      </x:c>
      <x:c r="H180" s="46" t="str">
        <x:v>Sharks &amp; rays</x:v>
      </x:c>
      <x:c r="I180" s="60" t="n">
        <x:v>0.0906152784</x:v>
      </x:c>
      <x:c r="J180" s="60" t="n">
        <x:v>0</x:v>
      </x:c>
      <x:c r="K180" s="60" t="n">
        <x:v>0.0906152784</x:v>
      </x:c>
      <x:c r="L180" s="60" t="n">
        <x:v>0</x:v>
      </x:c>
      <x:c r="M180" s="60" t="n">
        <x:v>0.0906152784</x:v>
      </x:c>
      <x:c r="N180" s="46" t="str">
        <x:v>carcharhinus longimanus</x:v>
      </x:c>
      <x:c r="O180" s="62" t="n">
        <x:v>4.16</x:v>
      </x:c>
      <x:c r="P180" s="46" t="str">
        <x:v>exact_2020_supplement</x:v>
      </x:c>
      <x:c r="Q180" s="62" t="str">
        <x:v>2020 supplement MeanTL</x:v>
      </x:c>
      <x:c r="R180" s="46" t="str">
        <x:v>high</x:v>
      </x:c>
      <x:c r="S180" s="46" t="str">
        <x:v>Carcharhinus longimanus</x:v>
      </x:c>
      <x:c r="T180" s="62" t="n">
        <x:f>IF(O180="","",(1/'Metadata'!$B$5)^(O180-1))</x:f>
        <x:v>1445.439770745928</x:v>
      </x:c>
      <x:c r="U180" s="60" t="n">
        <x:f>IF(T180="","",I180*T180)</x:f>
        <x:v>130.97892723657444</x:v>
      </x:c>
    </x:row>
    <x:row r="181" ht="18" customHeight="1">
      <x:c r="A181" s="46" t="str">
        <x:v>LME_013</x:v>
      </x:c>
      <x:c r="B181" s="46" t="str">
        <x:v>Humboldt Current</x:v>
      </x:c>
      <x:c r="C181" s="46" t="str">
        <x:v>LME</x:v>
      </x:c>
      <x:c r="D181" s="58" t="n">
        <x:v>2019</x:v>
      </x:c>
      <x:c r="E181" s="46" t="str">
        <x:v>Caulolatilus princeps</x:v>
      </x:c>
      <x:c r="F181" s="46" t="str">
        <x:v>Ocean whitefish</x:v>
      </x:c>
      <x:c r="G181" s="46" t="str">
        <x:v>Medium reef assoc. fish (30 - 89 cm)</x:v>
      </x:c>
      <x:c r="H181" s="46" t="str">
        <x:v>Perch-likes</x:v>
      </x:c>
      <x:c r="I181" s="60" t="n">
        <x:v>0.0809535371</x:v>
      </x:c>
      <x:c r="J181" s="60" t="n">
        <x:v>0.0809535371</x:v>
      </x:c>
      <x:c r="K181" s="60" t="n">
        <x:v>0</x:v>
      </x:c>
      <x:c r="L181" s="60" t="n">
        <x:v>0.0809535371</x:v>
      </x:c>
      <x:c r="M181" s="60" t="n">
        <x:v>0</x:v>
      </x:c>
      <x:c r="N181" s="46" t="str">
        <x:v>caulolatilus princeps</x:v>
      </x:c>
      <x:c r="O181" s="62" t="n">
        <x:v>3.7</x:v>
      </x:c>
      <x:c r="P181" s="46" t="str">
        <x:v>exact_sea_around_us</x:v>
      </x:c>
      <x:c r="Q181" s="62" t="str">
        <x:v>Sea Around Us exploited organisms</x:v>
      </x:c>
      <x:c r="R181" s="46" t="str">
        <x:v>high</x:v>
      </x:c>
      <x:c r="S181" s="46" t="str">
        <x:v>Caulolatilus princeps</x:v>
      </x:c>
      <x:c r="T181" s="62" t="n">
        <x:f>IF(O181="","",(1/'Metadata'!$B$5)^(O181-1))</x:f>
        <x:v>501.18723362727246</x:v>
      </x:c>
      <x:c r="U181" s="60" t="n">
        <x:f>IF(T181="","",I181*T181)</x:f>
        <x:v>40.57287931149177</x:v>
      </x:c>
    </x:row>
    <x:row r="182" ht="18" customHeight="1">
      <x:c r="A182" s="46" t="str">
        <x:v>LME_013</x:v>
      </x:c>
      <x:c r="B182" s="46" t="str">
        <x:v>Humboldt Current</x:v>
      </x:c>
      <x:c r="C182" s="46" t="str">
        <x:v>LME</x:v>
      </x:c>
      <x:c r="D182" s="58" t="n">
        <x:v>2019</x:v>
      </x:c>
      <x:c r="E182" s="46" t="str">
        <x:v>Monacanthidae</x:v>
      </x:c>
      <x:c r="F182" s="46" t="str">
        <x:v>Filefishes</x:v>
      </x:c>
      <x:c r="G182" s="46" t="str">
        <x:v>Medium reef assoc. fish (30 - 89 cm)</x:v>
      </x:c>
      <x:c r="H182" s="46" t="str">
        <x:v>Other fishes &amp; inverts</x:v>
      </x:c>
      <x:c r="I182" s="60" t="n">
        <x:v>0.0799854471</x:v>
      </x:c>
      <x:c r="J182" s="60" t="n">
        <x:v>0.0799854471</x:v>
      </x:c>
      <x:c r="K182" s="60" t="n">
        <x:v>0</x:v>
      </x:c>
      <x:c r="L182" s="60" t="n">
        <x:v>0</x:v>
      </x:c>
      <x:c r="M182" s="60" t="n">
        <x:v>0.0799854471</x:v>
      </x:c>
      <x:c r="N182" s="46" t="str">
        <x:v>monacanthidae</x:v>
      </x:c>
      <x:c r="O182" s="62" t="n">
        <x:v>3</x:v>
      </x:c>
      <x:c r="P182" s="46" t="str">
        <x:v>exact_sea_around_us</x:v>
      </x:c>
      <x:c r="Q182" s="62" t="str">
        <x:v>Sea Around Us exploited organisms</x:v>
      </x:c>
      <x:c r="R182" s="46" t="str">
        <x:v>high</x:v>
      </x:c>
      <x:c r="S182" s="46" t="str">
        <x:v>Monacanthidae</x:v>
      </x:c>
      <x:c r="T182" s="62" t="n">
        <x:f>IF(O182="","",(1/'Metadata'!$B$5)^(O182-1))</x:f>
        <x:v>100</x:v>
      </x:c>
      <x:c r="U182" s="60" t="n">
        <x:f>IF(T182="","",I182*T182)</x:f>
        <x:v>7.998544709999999</x:v>
      </x:c>
    </x:row>
    <x:row r="183" ht="18" customHeight="1">
      <x:c r="A183" s="46" t="str">
        <x:v>LME_013</x:v>
      </x:c>
      <x:c r="B183" s="46" t="str">
        <x:v>Humboldt Current</x:v>
      </x:c>
      <x:c r="C183" s="46" t="str">
        <x:v>LME</x:v>
      </x:c>
      <x:c r="D183" s="58" t="n">
        <x:v>2019</x:v>
      </x:c>
      <x:c r="E183" s="46" t="str">
        <x:v>Alopias</x:v>
      </x:c>
      <x:c r="F183" s="46" t="str">
        <x:v>Thresher sharks</x:v>
      </x:c>
      <x:c r="G183" s="46" t="str">
        <x:v>Large sharks (&gt;=90 cm)</x:v>
      </x:c>
      <x:c r="H183" s="46" t="str">
        <x:v>Sharks &amp; rays</x:v>
      </x:c>
      <x:c r="I183" s="60" t="n">
        <x:v>0.0000055938</x:v>
      </x:c>
      <x:c r="J183" s="60" t="n">
        <x:v>0</x:v>
      </x:c>
      <x:c r="K183" s="60" t="n">
        <x:v>0.0000055938</x:v>
      </x:c>
      <x:c r="L183" s="60" t="n">
        <x:v>0</x:v>
      </x:c>
      <x:c r="M183" s="60" t="n">
        <x:v>0.0000055938</x:v>
      </x:c>
      <x:c r="N183" s="46" t="str">
        <x:v>alopias</x:v>
      </x:c>
      <x:c r="O183" s="62" t="n">
        <x:v>4.5</x:v>
      </x:c>
      <x:c r="P183" s="46" t="str">
        <x:v>exact_sea_around_us</x:v>
      </x:c>
      <x:c r="Q183" s="62" t="str">
        <x:v>Sea Around Us exploited organisms</x:v>
      </x:c>
      <x:c r="R183" s="46" t="str">
        <x:v>high</x:v>
      </x:c>
      <x:c r="S183" s="46" t="str">
        <x:v>Alopias</x:v>
      </x:c>
      <x:c r="T183" s="62" t="n">
        <x:f>IF(O183="","",(1/'Metadata'!$B$5)^(O183-1))</x:f>
        <x:v>3162.2776601683795</x:v>
      </x:c>
      <x:c r="U183" s="60" t="n">
        <x:f>IF(T183="","",I183*T183)</x:f>
        <x:v>0.01768914877544988</x:v>
      </x:c>
    </x:row>
    <x:row r="184" ht="18" customHeight="1">
      <x:c r="A184" s="46" t="str">
        <x:v>LME_013</x:v>
      </x:c>
      <x:c r="B184" s="46" t="str">
        <x:v>Humboldt Current</x:v>
      </x:c>
      <x:c r="C184" s="46" t="str">
        <x:v>LME</x:v>
      </x:c>
      <x:c r="D184" s="58" t="n">
        <x:v>2019</x:v>
      </x:c>
      <x:c r="E184" s="46" t="str">
        <x:v>Thunnus orientalis</x:v>
      </x:c>
      <x:c r="F184" s="46" t="str">
        <x:v>Pacific bluefin tuna</x:v>
      </x:c>
      <x:c r="G184" s="46" t="str">
        <x:v>Large pelagics (&gt;=90 cm)</x:v>
      </x:c>
      <x:c r="H184" s="46" t="str">
        <x:v>Tuna &amp; billfishes</x:v>
      </x:c>
      <x:c r="I184" s="60" t="n">
        <x:v>0.0000010738</x:v>
      </x:c>
      <x:c r="J184" s="60" t="n">
        <x:v>0</x:v>
      </x:c>
      <x:c r="K184" s="60" t="n">
        <x:v>0.0000010738</x:v>
      </x:c>
      <x:c r="L184" s="60" t="n">
        <x:v>0</x:v>
      </x:c>
      <x:c r="M184" s="60" t="n">
        <x:v>0.0000010738</x:v>
      </x:c>
      <x:c r="N184" s="46" t="str">
        <x:v>thunnus orientalis</x:v>
      </x:c>
      <x:c r="O184" s="62" t="n">
        <x:v>4.05</x:v>
      </x:c>
      <x:c r="P184" s="46" t="str">
        <x:v>exact_2020_supplement</x:v>
      </x:c>
      <x:c r="Q184" s="62" t="str">
        <x:v>2020 supplement MeanTL</x:v>
      </x:c>
      <x:c r="R184" s="46" t="str">
        <x:v>high</x:v>
      </x:c>
      <x:c r="S184" s="46" t="str">
        <x:v>Thunnus orientalis</x:v>
      </x:c>
      <x:c r="T184" s="62" t="n">
        <x:f>IF(O184="","",(1/'Metadata'!$B$5)^(O184-1))</x:f>
        <x:v>1122.018454301963</x:v>
      </x:c>
      <x:c r="U184" s="60" t="n">
        <x:f>IF(T184="","",I184*T184)</x:f>
        <x:v>0.0012048234162294479</x:v>
      </x:c>
    </x:row>
    <x:row r="185" ht="18" customHeight="1">
      <x:c r="A185" s="46" t="str">
        <x:v>LME_013</x:v>
      </x:c>
      <x:c r="B185" s="46" t="str">
        <x:v>Humboldt Current</x:v>
      </x:c>
      <x:c r="C185" s="46" t="str">
        <x:v>LME</x:v>
      </x:c>
      <x:c r="D185" s="58" t="n">
        <x:v>2019</x:v>
      </x:c>
      <x:c r="E185" s="46" t="str">
        <x:v>Thunnus maccoyii</x:v>
      </x:c>
      <x:c r="F185" s="46" t="str">
        <x:v>Southern bluefin tuna</x:v>
      </x:c>
      <x:c r="G185" s="46" t="str">
        <x:v>Large pelagics (&gt;=90 cm)</x:v>
      </x:c>
      <x:c r="H185" s="46" t="str">
        <x:v>Tuna &amp; billfishes</x:v>
      </x:c>
      <x:c r="I185" s="60" t="n">
        <x:v>9.366e-7</x:v>
      </x:c>
      <x:c r="J185" s="60" t="n">
        <x:v>0</x:v>
      </x:c>
      <x:c r="K185" s="60" t="n">
        <x:v>9.366e-7</x:v>
      </x:c>
      <x:c r="L185" s="60" t="n">
        <x:v>0</x:v>
      </x:c>
      <x:c r="M185" s="60" t="n">
        <x:v>9.366e-7</x:v>
      </x:c>
      <x:c r="N185" s="46" t="str">
        <x:v>thunnus maccoyii</x:v>
      </x:c>
      <x:c r="O185" s="62" t="n">
        <x:v>3.93</x:v>
      </x:c>
      <x:c r="P185" s="46" t="str">
        <x:v>exact_2020_supplement</x:v>
      </x:c>
      <x:c r="Q185" s="62" t="str">
        <x:v>2020 supplement MeanTL</x:v>
      </x:c>
      <x:c r="R185" s="46" t="str">
        <x:v>high</x:v>
      </x:c>
      <x:c r="S185" s="46" t="str">
        <x:v>Thunnus maccoyii</x:v>
      </x:c>
      <x:c r="T185" s="62" t="n">
        <x:f>IF(O185="","",(1/'Metadata'!$B$5)^(O185-1))</x:f>
        <x:v>851.1380382023768</x:v>
      </x:c>
      <x:c r="U185" s="60" t="n">
        <x:f>IF(T185="","",I185*T185)</x:f>
        <x:v>0.0007971758865803461</x:v>
      </x:c>
    </x:row>
  </x:sheetData>
  <x:conditionalFormatting sqref="R2:R185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c96a985e4ff3492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3</x:v>
      </x:c>
      <x:c r="C2" s="64" t="n">
        <x:v>3</x:v>
      </x:c>
      <x:c r="D2" s="60" t="n">
        <x:v>4598547.799117034</x:v>
      </x:c>
      <x:c r="E2" s="60" t="n">
        <x:v>4598547.799117034</x:v>
      </x:c>
      <x:c r="F2" s="62" t="n">
        <x:v>0</x:v>
      </x:c>
      <x:c r="G2" s="66" t="n">
        <x:v>1</x:v>
      </x:c>
      <x:c r="H2" s="62" t="n">
        <x:f>IF(E2=0,"",I2/E2)</x:f>
        <x:v>50.120255971114005</x:v>
      </x:c>
      <x:c r="I2" s="60" t="n">
        <x:f>SUMIF('Species'!$H$2:$H$185,A2,'Species'!$U$2:$U$185)</x:f>
        <x:v>230480392.7871487</x:v>
      </x:c>
      <x:c r="J2" s="62" t="n">
        <x:v>2.700005308232516</x:v>
      </x:c>
      <x:c r="K2" s="62" t="n">
        <x:f>IF(J2="","",(1/'Metadata'!$B$5)^(J2-1))</x:f>
        <x:v>50.11933595043896</x:v>
      </x:c>
      <x:c r="L2" s="60" t="n">
        <x:f>IF(E2=0,"",E2*K2)</x:f>
        <x:v>230476162.02809832</x:v>
      </x:c>
      <x:c r="M2" s="60" t="n">
        <x:f>I2-L2</x:f>
        <x:v>4230.759050399065</x:v>
      </x:c>
      <x:c r="N2" s="62" t="n">
        <x:f>IF(L2=0,"",I2/L2)</x:f>
        <x:v>1.0000183566014513</x:v>
      </x:c>
      <x:c r="O2" s="66" t="n">
        <x:f>IF(L2=0,"",M2/L2)</x:f>
        <x:v>0.000018356601451404226</x:v>
      </x:c>
    </x:row>
    <x:row r="3" ht="18" customHeight="1">
      <x:c r="A3" s="46" t="str">
        <x:v>Cod-likes</x:v>
      </x:c>
      <x:c r="B3" s="64" t="n">
        <x:v>5</x:v>
      </x:c>
      <x:c r="C3" s="64" t="n">
        <x:v>5</x:v>
      </x:c>
      <x:c r="D3" s="60" t="n">
        <x:v>103175.9252273117</x:v>
      </x:c>
      <x:c r="E3" s="60" t="n">
        <x:v>103175.9252273117</x:v>
      </x:c>
      <x:c r="F3" s="62" t="n">
        <x:v>0</x:v>
      </x:c>
      <x:c r="G3" s="66" t="n">
        <x:v>1</x:v>
      </x:c>
      <x:c r="H3" s="62" t="n">
        <x:f>IF(E3=0,"",I3/E3)</x:f>
        <x:v>2309.274016675505</x:v>
      </x:c>
      <x:c r="I3" s="60" t="n">
        <x:f>SUMIF('Species'!$H$2:$H$185,A3,'Species'!$U$2:$U$185)</x:f>
        <x:v>238261483.27388567</x:v>
      </x:c>
      <x:c r="J3" s="62" t="n">
        <x:v>4.354987129979293</x:v>
      </x:c>
      <x:c r="K3" s="62" t="n">
        <x:f>IF(J3="","",(1/'Metadata'!$B$5)^(J3-1))</x:f>
        <x:v>2264.5771973982696</x:v>
      </x:c>
      <x:c r="L3" s="60" t="n">
        <x:f>IF(E3=0,"",E3*K3)</x:f>
        <x:v>233649847.59023896</x:v>
      </x:c>
      <x:c r="M3" s="60" t="n">
        <x:f>I3-L3</x:f>
        <x:v>4611635.683646709</x:v>
      </x:c>
      <x:c r="N3" s="62" t="n">
        <x:f>IF(L3=0,"",I3/L3)</x:f>
        <x:v>1.0197373793786262</x:v>
      </x:c>
      <x:c r="O3" s="66" t="n">
        <x:f>IF(L3=0,"",M3/L3)</x:f>
        <x:v>0.019737379378626078</x:v>
      </x:c>
    </x:row>
    <x:row r="4" ht="18" customHeight="1">
      <x:c r="A4" s="46" t="str">
        <x:v>Crustaceans</x:v>
      </x:c>
      <x:c r="B4" s="64" t="n">
        <x:v>22</x:v>
      </x:c>
      <x:c r="C4" s="64" t="n">
        <x:v>22</x:v>
      </x:c>
      <x:c r="D4" s="60" t="n">
        <x:v>27172.084580324004</x:v>
      </x:c>
      <x:c r="E4" s="60" t="n">
        <x:v>27172.084580324004</x:v>
      </x:c>
      <x:c r="F4" s="62" t="n">
        <x:v>0</x:v>
      </x:c>
      <x:c r="G4" s="66" t="n">
        <x:v>1</x:v>
      </x:c>
      <x:c r="H4" s="62" t="n">
        <x:f>IF(E4=0,"",I4/E4)</x:f>
        <x:v>94.24094082108883</x:v>
      </x:c>
      <x:c r="I4" s="60" t="n">
        <x:f>SUMIF('Species'!$H$2:$H$185,A4,'Species'!$U$2:$U$185)</x:f>
        <x:v>2560722.8149199346</x:v>
      </x:c>
      <x:c r="J4" s="62" t="n">
        <x:v>2.717708213752778</x:v>
      </x:c>
      <x:c r="K4" s="62" t="n">
        <x:f>IF(J4="","",(1/'Metadata'!$B$5)^(J4-1))</x:f>
        <x:v>52.20453283826089</x:v>
      </x:c>
      <x:c r="L4" s="60" t="n">
        <x:f>IF(E4=0,"",E4*K4)</x:f>
        <x:v>1418505.9817575268</x:v>
      </x:c>
      <x:c r="M4" s="60" t="n">
        <x:f>I4-L4</x:f>
        <x:v>1142216.8331624079</x:v>
      </x:c>
      <x:c r="N4" s="62" t="n">
        <x:f>IF(L4=0,"",I4/L4)</x:f>
        <x:v>1.8052252495595422</x:v>
      </x:c>
      <x:c r="O4" s="66" t="n">
        <x:f>IF(L4=0,"",M4/L4)</x:f>
        <x:v>0.8052252495595422</x:v>
      </x:c>
    </x:row>
    <x:row r="5" ht="18" customHeight="1">
      <x:c r="A5" s="46" t="str">
        <x:v>Flatfishes</x:v>
      </x:c>
      <x:c r="B5" s="64" t="n">
        <x:v>6</x:v>
      </x:c>
      <x:c r="C5" s="64" t="n">
        <x:v>6</x:v>
      </x:c>
      <x:c r="D5" s="60" t="n">
        <x:v>2102.1049634653</x:v>
      </x:c>
      <x:c r="E5" s="60" t="n">
        <x:v>2102.1049634653</x:v>
      </x:c>
      <x:c r="F5" s="62" t="n">
        <x:v>0</x:v>
      </x:c>
      <x:c r="G5" s="66" t="n">
        <x:v>1</x:v>
      </x:c>
      <x:c r="H5" s="62" t="n">
        <x:f>IF(E5=0,"",I5/E5)</x:f>
        <x:v>516.5369614030293</x:v>
      </x:c>
      <x:c r="I5" s="60" t="n">
        <x:f>SUMIF('Species'!$H$2:$H$185,A5,'Species'!$U$2:$U$185)</x:f>
        <x:v>1085814.9103785919</x:v>
      </x:c>
      <x:c r="J5" s="62" t="n">
        <x:v>3.639823474641467</x:v>
      </x:c>
      <x:c r="K5" s="62" t="n">
        <x:f>IF(J5="","",(1/'Metadata'!$B$5)^(J5-1))</x:f>
        <x:v>436.33844003549865</x:v>
      </x:c>
      <x:c r="L5" s="60" t="n">
        <x:f>IF(E5=0,"",E5*K5)</x:f>
        <x:v>917229.2005493279</x:v>
      </x:c>
      <x:c r="M5" s="60" t="n">
        <x:f>I5-L5</x:f>
        <x:v>168585.70982926397</x:v>
      </x:c>
      <x:c r="N5" s="62" t="n">
        <x:f>IF(L5=0,"",I5/L5)</x:f>
        <x:v>1.1837988909732684</x:v>
      </x:c>
      <x:c r="O5" s="66" t="n">
        <x:f>IF(L5=0,"",M5/L5)</x:f>
        <x:v>0.18379889097326832</x:v>
      </x:c>
    </x:row>
    <x:row r="6" ht="18" customHeight="1">
      <x:c r="A6" s="46" t="str">
        <x:v>Herring-likes</x:v>
      </x:c>
      <x:c r="B6" s="64" t="n">
        <x:v>5</x:v>
      </x:c>
      <x:c r="C6" s="64" t="n">
        <x:v>5</x:v>
      </x:c>
      <x:c r="D6" s="60" t="n">
        <x:v>364665.91995222075</x:v>
      </x:c>
      <x:c r="E6" s="60" t="n">
        <x:v>364665.91995222075</x:v>
      </x:c>
      <x:c r="F6" s="62" t="n">
        <x:v>0</x:v>
      </x:c>
      <x:c r="G6" s="66" t="n">
        <x:v>1</x:v>
      </x:c>
      <x:c r="H6" s="62" t="n">
        <x:f>IF(E6=0,"",I6/E6)</x:f>
        <x:v>26.565062463694456</x:v>
      </x:c>
      <x:c r="I6" s="60" t="n">
        <x:f>SUMIF('Species'!$H$2:$H$185,A6,'Species'!$U$2:$U$185)</x:f>
        <x:v>9687372.941911347</x:v>
      </x:c>
      <x:c r="J6" s="62" t="n">
        <x:v>2.1235344375932526</x:v>
      </x:c>
      <x:c r="K6" s="62" t="n">
        <x:f>IF(J6="","",(1/'Metadata'!$B$5)^(J6-1))</x:f>
        <x:v>13.290289389478747</x:v>
      </x:c>
      <x:c r="L6" s="60" t="n">
        <x:f>IF(E6=0,"",E6*K6)</x:f>
        <x:v>4846515.606645506</x:v>
      </x:c>
      <x:c r="M6" s="60" t="n">
        <x:f>I6-L6</x:f>
        <x:v>4840857.335265841</x:v>
      </x:c>
      <x:c r="N6" s="62" t="n">
        <x:f>IF(L6=0,"",I6/L6)</x:f>
        <x:v>1.998832507343646</x:v>
      </x:c>
      <x:c r="O6" s="66" t="n">
        <x:f>IF(L6=0,"",M6/L6)</x:f>
        <x:v>0.9988325073436458</x:v>
      </x:c>
    </x:row>
    <x:row r="7" ht="18" customHeight="1">
      <x:c r="A7" s="46" t="str">
        <x:v>Molluscs</x:v>
      </x:c>
      <x:c r="B7" s="64" t="n">
        <x:v>28</x:v>
      </x:c>
      <x:c r="C7" s="64" t="n">
        <x:v>28</x:v>
      </x:c>
      <x:c r="D7" s="60" t="n">
        <x:v>143346.93019208778</x:v>
      </x:c>
      <x:c r="E7" s="60" t="n">
        <x:v>143346.93019208778</x:v>
      </x:c>
      <x:c r="F7" s="62" t="n">
        <x:v>0</x:v>
      </x:c>
      <x:c r="G7" s="66" t="n">
        <x:v>1</x:v>
      </x:c>
      <x:c r="H7" s="62" t="n">
        <x:f>IF(E7=0,"",I7/E7)</x:f>
        <x:v>15.478034510515274</x:v>
      </x:c>
      <x:c r="I7" s="60" t="n">
        <x:f>SUMIF('Species'!$H$2:$H$185,A7,'Species'!$U$2:$U$185)</x:f>
        <x:v>2218728.7324895584</x:v>
      </x:c>
      <x:c r="J7" s="62" t="n">
        <x:v>2.073365107373941</x:v>
      </x:c>
      <x:c r="K7" s="62" t="n">
        <x:f>IF(J7="","",(1/'Metadata'!$B$5)^(J7-1))</x:f>
        <x:v>11.840365460540381</x:v>
      </x:c>
      <x:c r="L7" s="60" t="n">
        <x:f>IF(E7=0,"",E7*K7)</x:f>
        <x:v>1697280.0411208894</x:v>
      </x:c>
      <x:c r="M7" s="60" t="n">
        <x:f>I7-L7</x:f>
        <x:v>521448.69136866904</x:v>
      </x:c>
      <x:c r="N7" s="62" t="n">
        <x:f>IF(L7=0,"",I7/L7)</x:f>
        <x:v>1.3072260786289</x:v>
      </x:c>
      <x:c r="O7" s="66" t="n">
        <x:f>IF(L7=0,"",M7/L7)</x:f>
        <x:v>0.30722607862890006</x:v>
      </x:c>
    </x:row>
    <x:row r="8" ht="18" customHeight="1">
      <x:c r="A8" s="46" t="str">
        <x:v>Other fishes &amp; inverts</x:v>
      </x:c>
      <x:c r="B8" s="64" t="n">
        <x:v>19</x:v>
      </x:c>
      <x:c r="C8" s="64" t="n">
        <x:v>19</x:v>
      </x:c>
      <x:c r="D8" s="60" t="n">
        <x:v>1004132.0481028467</x:v>
      </x:c>
      <x:c r="E8" s="60" t="n">
        <x:v>1004132.0481028467</x:v>
      </x:c>
      <x:c r="F8" s="62" t="n">
        <x:v>0</x:v>
      </x:c>
      <x:c r="G8" s="66" t="n">
        <x:v>1</x:v>
      </x:c>
      <x:c r="H8" s="62" t="n">
        <x:f>IF(E8=0,"",I8/E8)</x:f>
        <x:v>1099.2732552812815</x:v>
      </x:c>
      <x:c r="I8" s="60" t="n">
        <x:f>SUMIF('Species'!$H$2:$H$185,A8,'Species'!$U$2:$U$185)</x:f>
        <x:v>1103815505.2502768</x:v>
      </x:c>
      <x:c r="J8" s="62" t="n">
        <x:v>3.89177283772931</x:v>
      </x:c>
      <x:c r="K8" s="62" t="n">
        <x:f>IF(J8="","",(1/'Metadata'!$B$5)^(J8-1))</x:f>
        <x:v>779.4223188874819</x:v>
      </x:c>
      <x:c r="L8" s="60" t="n">
        <x:f>IF(E8=0,"",E8*K8)</x:f>
        <x:v>782642929.4015573</x:v>
      </x:c>
      <x:c r="M8" s="60" t="n">
        <x:f>I8-L8</x:f>
        <x:v>321172575.8487195</x:v>
      </x:c>
      <x:c r="N8" s="62" t="n">
        <x:f>IF(L8=0,"",I8/L8)</x:f>
        <x:v>1.4103692294189663</x:v>
      </x:c>
      <x:c r="O8" s="66" t="n">
        <x:f>IF(L8=0,"",M8/L8)</x:f>
        <x:v>0.41036922941896625</x:v>
      </x:c>
    </x:row>
    <x:row r="9" ht="18" customHeight="1">
      <x:c r="A9" s="46" t="str">
        <x:v>Perch-likes</x:v>
      </x:c>
      <x:c r="B9" s="64" t="n">
        <x:v>50</x:v>
      </x:c>
      <x:c r="C9" s="64" t="n">
        <x:v>50</x:v>
      </x:c>
      <x:c r="D9" s="60" t="n">
        <x:v>943495.2939962571</x:v>
      </x:c>
      <x:c r="E9" s="60" t="n">
        <x:v>943495.2939962571</x:v>
      </x:c>
      <x:c r="F9" s="62" t="n">
        <x:v>0</x:v>
      </x:c>
      <x:c r="G9" s="66" t="n">
        <x:v>1</x:v>
      </x:c>
      <x:c r="H9" s="62" t="n">
        <x:f>IF(E9=0,"",I9/E9)</x:f>
        <x:v>507.1148191751241</x:v>
      </x:c>
      <x:c r="I9" s="60" t="n">
        <x:f>SUMIF('Species'!$H$2:$H$185,A9,'Species'!$U$2:$U$185)</x:f>
        <x:v>478460445.4074925</x:v>
      </x:c>
      <x:c r="J9" s="62" t="n">
        <x:v>3.460375633497943</x:v>
      </x:c>
      <x:c r="K9" s="62" t="n">
        <x:f>IF(J9="","",(1/'Metadata'!$B$5)^(J9-1))</x:f>
        <x:v>288.6527062078104</x:v>
      </x:c>
      <x:c r="L9" s="60" t="n">
        <x:f>IF(E9=0,"",E9*K9)</x:f>
        <x:v>272342469.9063533</x:v>
      </x:c>
      <x:c r="M9" s="60" t="n">
        <x:f>I9-L9</x:f>
        <x:v>206117975.50113922</x:v>
      </x:c>
      <x:c r="N9" s="62" t="n">
        <x:f>IF(L9=0,"",I9/L9)</x:f>
        <x:v>1.7568337599788024</x:v>
      </x:c>
      <x:c r="O9" s="66" t="n">
        <x:f>IF(L9=0,"",M9/L9)</x:f>
        <x:v>0.7568337599788024</x:v>
      </x:c>
    </x:row>
    <x:row r="10" ht="18" customHeight="1">
      <x:c r="A10" s="46" t="str">
        <x:v>Salmon, smelts, etc</x:v>
      </x:c>
      <x:c r="B10" s="64" t="n">
        <x:v>1</x:v>
      </x:c>
      <x:c r="C10" s="64" t="n">
        <x:v>1</x:v>
      </x:c>
      <x:c r="D10" s="60" t="n">
        <x:v>0.9583645265</x:v>
      </x:c>
      <x:c r="E10" s="60" t="n">
        <x:v>0.9583645265</x:v>
      </x:c>
      <x:c r="F10" s="62" t="n">
        <x:v>0</x:v>
      </x:c>
      <x:c r="G10" s="66" t="n">
        <x:v>1</x:v>
      </x:c>
      <x:c r="H10" s="62" t="n">
        <x:f>IF(E10=0,"",I10/E10)</x:f>
        <x:v>144.5439770745928</x:v>
      </x:c>
      <x:c r="I10" s="60" t="n">
        <x:f>SUMIF('Species'!$H$2:$H$185,A10,'Species'!$U$2:$U$185)</x:f>
        <x:v>138.52582014751897</x:v>
      </x:c>
      <x:c r="J10" s="62" t="n">
        <x:v>3.16</x:v>
      </x:c>
      <x:c r="K10" s="62" t="n">
        <x:f>IF(J10="","",(1/'Metadata'!$B$5)^(J10-1))</x:f>
        <x:v>144.5439770745928</x:v>
      </x:c>
      <x:c r="L10" s="60" t="n">
        <x:f>IF(E10=0,"",E10*K10)</x:f>
        <x:v>138.52582014751897</x:v>
      </x:c>
      <x:c r="M10" s="60" t="n">
        <x:f>I10-L10</x:f>
        <x:v>0</x:v>
      </x:c>
      <x:c r="N10" s="62" t="n">
        <x:f>IF(L10=0,"",I10/L10)</x:f>
        <x:v>1</x:v>
      </x:c>
      <x:c r="O10" s="66" t="n">
        <x:f>IF(L10=0,"",M10/L10)</x:f>
        <x:v>0</x:v>
      </x:c>
    </x:row>
    <x:row r="11" ht="18" customHeight="1">
      <x:c r="A11" s="46" t="str">
        <x:v>Scorpionfishes</x:v>
      </x:c>
      <x:c r="B11" s="64" t="n">
        <x:v>4</x:v>
      </x:c>
      <x:c r="C11" s="64" t="n">
        <x:v>4</x:v>
      </x:c>
      <x:c r="D11" s="60" t="n">
        <x:v>12464.655147225</x:v>
      </x:c>
      <x:c r="E11" s="60" t="n">
        <x:v>12464.655147225</x:v>
      </x:c>
      <x:c r="F11" s="62" t="n">
        <x:v>0</x:v>
      </x:c>
      <x:c r="G11" s="66" t="n">
        <x:v>1</x:v>
      </x:c>
      <x:c r="H11" s="62" t="n">
        <x:f>IF(E11=0,"",I11/E11)</x:f>
        <x:v>70.95349915533234</x:v>
      </x:c>
      <x:c r="I11" s="60" t="n">
        <x:f>SUMIF('Species'!$H$2:$H$185,A11,'Species'!$U$2:$U$185)</x:f>
        <x:v>884410.8984601379</x:v>
      </x:c>
      <x:c r="J11" s="62" t="n">
        <x:v>2.7892808870216403</x:v>
      </x:c>
      <x:c r="K11" s="62" t="n">
        <x:f>IF(J11="","",(1/'Metadata'!$B$5)^(J11-1))</x:f>
        <x:v>61.557487705452864</x:v>
      </x:c>
      <x:c r="L11" s="60" t="n">
        <x:f>IF(E11=0,"",E11*K11)</x:f>
        <x:v>767292.8559780127</x:v>
      </x:c>
      <x:c r="M11" s="60" t="n">
        <x:f>I11-L11</x:f>
        <x:v>117118.04248212522</x:v>
      </x:c>
      <x:c r="N11" s="62" t="n">
        <x:f>IF(L11=0,"",I11/L11)</x:f>
        <x:v>1.1526379941760871</x:v>
      </x:c>
      <x:c r="O11" s="66" t="n">
        <x:f>IF(L11=0,"",M11/L11)</x:f>
        <x:v>0.15263799417608723</x:v>
      </x:c>
    </x:row>
    <x:row r="12" ht="18" customHeight="1">
      <x:c r="A12" s="46" t="str">
        <x:v>Sharks &amp; rays</x:v>
      </x:c>
      <x:c r="B12" s="64" t="n">
        <x:v>24</x:v>
      </x:c>
      <x:c r="C12" s="64" t="n">
        <x:v>24</x:v>
      </x:c>
      <x:c r="D12" s="60" t="n">
        <x:v>25393.6704067327</x:v>
      </x:c>
      <x:c r="E12" s="60" t="n">
        <x:v>25393.6704067327</x:v>
      </x:c>
      <x:c r="F12" s="62" t="n">
        <x:v>0</x:v>
      </x:c>
      <x:c r="G12" s="66" t="n">
        <x:v>1</x:v>
      </x:c>
      <x:c r="H12" s="62" t="n">
        <x:f>IF(E12=0,"",I12/E12)</x:f>
        <x:v>2134.3621298675776</x:v>
      </x:c>
      <x:c r="I12" s="60" t="n">
        <x:f>SUMIF('Species'!$H$2:$H$185,A12,'Species'!$U$2:$U$185)</x:f>
        <x:v>54199288.454469286</x:v>
      </x:c>
      <x:c r="J12" s="62" t="n">
        <x:v>4.209222660668503</x:v>
      </x:c>
      <x:c r="K12" s="62" t="n">
        <x:f>IF(J12="","",(1/'Metadata'!$B$5)^(J12-1))</x:f>
        <x:v>1618.909832105786</x:v>
      </x:c>
      <x:c r="L12" s="60" t="n">
        <x:f>IF(E12=0,"",E12*K12)</x:f>
        <x:v>41110062.69471331</x:v>
      </x:c>
      <x:c r="M12" s="60" t="n">
        <x:f>I12-L12</x:f>
        <x:v>13089225.759755976</x:v>
      </x:c>
      <x:c r="N12" s="62" t="n">
        <x:f>IF(L12=0,"",I12/L12)</x:f>
        <x:v>1.3183946922425693</x:v>
      </x:c>
      <x:c r="O12" s="66" t="n">
        <x:f>IF(L12=0,"",M12/L12)</x:f>
        <x:v>0.3183946922425694</x:v>
      </x:c>
    </x:row>
    <x:row r="13" ht="18" customHeight="1">
      <x:c r="A13" s="46" t="str">
        <x:v>Tuna &amp; billfishes</x:v>
      </x:c>
      <x:c r="B13" s="64" t="n">
        <x:v>17</x:v>
      </x:c>
      <x:c r="C13" s="64" t="n">
        <x:v>17</x:v>
      </x:c>
      <x:c r="D13" s="60" t="n">
        <x:v>165883.2905515809</x:v>
      </x:c>
      <x:c r="E13" s="60" t="n">
        <x:v>165883.2905515809</x:v>
      </x:c>
      <x:c r="F13" s="62" t="n">
        <x:v>0</x:v>
      </x:c>
      <x:c r="G13" s="66" t="n">
        <x:v>1</x:v>
      </x:c>
      <x:c r="H13" s="62" t="n">
        <x:f>IF(E13=0,"",I13/E13)</x:f>
        <x:v>2956.284593316185</x:v>
      </x:c>
      <x:c r="I13" s="60" t="n">
        <x:f>SUMIF('Species'!$H$2:$H$185,A13,'Species'!$U$2:$U$185)</x:f>
        <x:v>490398216.1462309</x:v>
      </x:c>
      <x:c r="J13" s="62" t="n">
        <x:v>4.469331134457172</x:v>
      </x:c>
      <x:c r="K13" s="62" t="n">
        <x:f>IF(J13="","",(1/'Metadata'!$B$5)^(J13-1))</x:f>
        <x:v>2946.667509111792</x:v>
      </x:c>
      <x:c r="L13" s="60" t="n">
        <x:f>IF(E13=0,"",E13*K13)</x:f>
        <x:v>488802902.5728945</x:v>
      </x:c>
      <x:c r="M13" s="60" t="n">
        <x:f>I13-L13</x:f>
        <x:v>1595313.5733363628</x:v>
      </x:c>
      <x:c r="N13" s="62" t="n">
        <x:f>IF(L13=0,"",I13/L13)</x:f>
        <x:v>1.0032637154258683</x:v>
      </x:c>
      <x:c r="O13" s="66" t="n">
        <x:f>IF(L13=0,"",M13/L13)</x:f>
        <x:v>0.003263715425868315</x:v>
      </x:c>
    </x:row>
  </x:sheetData>
  <x:conditionalFormatting sqref="G2:G13">
    <x:cfRule type="cellIs" dxfId="1" priority="1" operator="lessThan">
      <x:formula>0.9</x:formula>
    </x:cfRule>
  </x:conditionalFormatting>
  <x:conditionalFormatting sqref="O2:O1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d648f2dac6a34fe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3</x:v>
      </x:c>
      <x:c r="C2" s="64" t="n">
        <x:v>3</x:v>
      </x:c>
      <x:c r="D2" s="60" t="n">
        <x:v>772235.6888825401</x:v>
      </x:c>
      <x:c r="E2" s="60" t="n">
        <x:v>772235.6888825401</x:v>
      </x:c>
      <x:c r="F2" s="62" t="n">
        <x:v>0</x:v>
      </x:c>
      <x:c r="G2" s="66" t="n">
        <x:v>1</x:v>
      </x:c>
      <x:c r="H2" s="62" t="n">
        <x:f>IF(E2=0,"",I2/E2)</x:f>
        <x:v>1361.2191217032794</x:v>
      </x:c>
      <x:c r="I2" s="60" t="n">
        <x:f>SUMIF('Species'!$G$2:$G$185,A2,'Species'!$U$2:$U$185)</x:f>
        <x:v>1051181986.1686181</x:v>
      </x:c>
      <x:c r="J2" s="62" t="n">
        <x:v>4.125498863940818</x:v>
      </x:c>
      <x:c r="K2" s="62" t="n">
        <x:f>IF(J2="","",(1/'Metadata'!$B$5)^(J2-1))</x:f>
        <x:v>1335.0540972259207</x:v>
      </x:c>
      <x:c r="L2" s="60" t="n">
        <x:f>IF(E2=0,"",E2*K2)</x:f>
        <x:v>1030976420.4667165</x:v>
      </x:c>
      <x:c r="M2" s="60" t="n">
        <x:f>I2-L2</x:f>
        <x:v>20205565.701901555</x:v>
      </x:c>
      <x:c r="N2" s="62" t="n">
        <x:f>IF(L2=0,"",I2/L2)</x:f>
        <x:v>1.0195984750967968</x:v>
      </x:c>
      <x:c r="O2" s="66" t="n">
        <x:f>IF(L2=0,"",M2/L2)</x:f>
        <x:v>0.019598475096796707</x:v>
      </x:c>
    </x:row>
    <x:row r="3" ht="18" customHeight="1">
      <x:c r="A3" s="46" t="str">
        <x:v>Large bathydemersals (&gt;=90 cm)</x:v>
      </x:c>
      <x:c r="B3" s="64" t="n">
        <x:v>3</x:v>
      </x:c>
      <x:c r="C3" s="64" t="n">
        <x:v>3</x:v>
      </x:c>
      <x:c r="D3" s="60" t="n">
        <x:v>3430.7812618647004</x:v>
      </x:c>
      <x:c r="E3" s="60" t="n">
        <x:v>3430.7812618647004</x:v>
      </x:c>
      <x:c r="F3" s="62" t="n">
        <x:v>0</x:v>
      </x:c>
      <x:c r="G3" s="66" t="n">
        <x:v>1</x:v>
      </x:c>
      <x:c r="H3" s="62" t="n">
        <x:f>IF(E3=0,"",I3/E3)</x:f>
        <x:v>1266.10478139547</x:v>
      </x:c>
      <x:c r="I3" s="60" t="n">
        <x:f>SUMIF('Species'!$G$2:$G$185,A3,'Species'!$U$2:$U$185)</x:f>
        <x:v>4343728.559568881</x:v>
      </x:c>
      <x:c r="J3" s="62" t="n">
        <x:v>4.084900556308515</x:v>
      </x:c>
      <x:c r="K3" s="62" t="n">
        <x:f>IF(J3="","",(1/'Metadata'!$B$5)^(J3-1))</x:f>
        <x:v>1215.907553221804</x:v>
      </x:c>
      <x:c r="L3" s="60" t="n">
        <x:f>IF(E3=0,"",E3*K3)</x:f>
        <x:v>4171512.849753121</x:v>
      </x:c>
      <x:c r="M3" s="60" t="n">
        <x:f>I3-L3</x:f>
        <x:v>172215.70981576014</x:v>
      </x:c>
      <x:c r="N3" s="62" t="n">
        <x:f>IF(L3=0,"",I3/L3)</x:f>
        <x:v>1.0412837538846254</x:v>
      </x:c>
      <x:c r="O3" s="66" t="n">
        <x:f>IF(L3=0,"",M3/L3)</x:f>
        <x:v>0.04128375388462539</x:v>
      </x:c>
    </x:row>
    <x:row r="4" ht="18" customHeight="1">
      <x:c r="A4" s="46" t="str">
        <x:v>Large bathypelagics (&gt;=90 cm)</x:v>
      </x:c>
      <x:c r="B4" s="64" t="n">
        <x:v>2</x:v>
      </x:c>
      <x:c r="C4" s="64" t="n">
        <x:v>2</x:v>
      </x:c>
      <x:c r="D4" s="60" t="n">
        <x:v>88.63360555339999</x:v>
      </x:c>
      <x:c r="E4" s="60" t="n">
        <x:v>88.63360555339999</x:v>
      </x:c>
      <x:c r="F4" s="62" t="n">
        <x:v>0</x:v>
      </x:c>
      <x:c r="G4" s="66" t="n">
        <x:v>1</x:v>
      </x:c>
      <x:c r="H4" s="62" t="n">
        <x:f>IF(E4=0,"",I4/E4)</x:f>
        <x:v>1661.7723969401518</x:v>
      </x:c>
      <x:c r="I4" s="60" t="n">
        <x:f>SUMIF('Species'!$G$2:$G$185,A4,'Species'!$U$2:$U$185)</x:f>
        <x:v>147288.87914992144</x:v>
      </x:c>
      <x:c r="J4" s="62" t="n">
        <x:v>4.22049653785407</x:v>
      </x:c>
      <x:c r="K4" s="62" t="n">
        <x:f>IF(J4="","",(1/'Metadata'!$B$5)^(J4-1))</x:f>
        <x:v>1661.485432542055</x:v>
      </x:c>
      <x:c r="L4" s="60" t="n">
        <x:f>IF(E4=0,"",E4*K4)</x:f>
        <x:v>147263.44446065265</x:v>
      </x:c>
      <x:c r="M4" s="60" t="n">
        <x:f>I4-L4</x:f>
        <x:v>25.434689268789953</x:v>
      </x:c>
      <x:c r="N4" s="62" t="n">
        <x:f>IF(L4=0,"",I4/L4)</x:f>
        <x:v>1.000172715566731</x:v>
      </x:c>
      <x:c r="O4" s="66" t="n">
        <x:f>IF(L4=0,"",M4/L4)</x:f>
        <x:v>0.00017271556673106238</x:v>
      </x:c>
    </x:row>
    <x:row r="5" ht="18" customHeight="1">
      <x:c r="A5" s="46" t="str">
        <x:v>Large benthopelagics (&gt;=90 cm)</x:v>
      </x:c>
      <x:c r="B5" s="64" t="n">
        <x:v>9</x:v>
      </x:c>
      <x:c r="C5" s="64" t="n">
        <x:v>9</x:v>
      </x:c>
      <x:c r="D5" s="60" t="n">
        <x:v>47013.6653487684</x:v>
      </x:c>
      <x:c r="E5" s="60" t="n">
        <x:v>47013.6653487684</x:v>
      </x:c>
      <x:c r="F5" s="62" t="n">
        <x:v>0</x:v>
      </x:c>
      <x:c r="G5" s="66" t="n">
        <x:v>1</x:v>
      </x:c>
      <x:c r="H5" s="62" t="n">
        <x:f>IF(E5=0,"",I5/E5)</x:f>
        <x:v>620.6153856614063</x:v>
      </x:c>
      <x:c r="I5" s="60" t="n">
        <x:f>SUMIF('Species'!$G$2:$G$185,A5,'Species'!$U$2:$U$185)</x:f>
        <x:v>29177404.051782195</x:v>
      </x:c>
      <x:c r="J5" s="62" t="n">
        <x:v>2.779723186894632</x:v>
      </x:c>
      <x:c r="K5" s="62" t="n">
        <x:f>IF(J5="","",(1/'Metadata'!$B$5)^(J5-1))</x:f>
        <x:v>60.21756455648391</x:v>
      </x:c>
      <x:c r="L5" s="60" t="n">
        <x:f>IF(E5=0,"",E5*K5)</x:f>
        <x:v>2831048.428176392</x:v>
      </x:c>
      <x:c r="M5" s="60" t="n">
        <x:f>I5-L5</x:f>
        <x:v>26346355.623605803</x:v>
      </x:c>
      <x:c r="N5" s="62" t="n">
        <x:f>IF(L5=0,"",I5/L5)</x:f>
        <x:v>10.306218629603839</x:v>
      </x:c>
      <x:c r="O5" s="66" t="n">
        <x:f>IF(L5=0,"",M5/L5)</x:f>
        <x:v>9.306218629603839</x:v>
      </x:c>
    </x:row>
    <x:row r="6" ht="18" customHeight="1">
      <x:c r="A6" s="46" t="str">
        <x:v>Large pelagics (&gt;=90 cm)</x:v>
      </x:c>
      <x:c r="B6" s="64" t="n">
        <x:v>17</x:v>
      </x:c>
      <x:c r="C6" s="64" t="n">
        <x:v>17</x:v>
      </x:c>
      <x:c r="D6" s="60" t="n">
        <x:v>134005.7971244533</x:v>
      </x:c>
      <x:c r="E6" s="60" t="n">
        <x:v>134005.7971244533</x:v>
      </x:c>
      <x:c r="F6" s="62" t="n">
        <x:v>0</x:v>
      </x:c>
      <x:c r="G6" s="66" t="n">
        <x:v>1</x:v>
      </x:c>
      <x:c r="H6" s="62" t="n">
        <x:f>IF(E6=0,"",I6/E6)</x:f>
        <x:v>2661.5221973315984</x:v>
      </x:c>
      <x:c r="I6" s="60" t="n">
        <x:f>SUMIF('Species'!$G$2:$G$185,A6,'Species'!$U$2:$U$185)</x:f>
        <x:v>356659403.6178473</x:v>
      </x:c>
      <x:c r="J6" s="62" t="n">
        <x:v>4.422191197710235</x:v>
      </x:c>
      <x:c r="K6" s="62" t="n">
        <x:f>IF(J6="","",(1/'Metadata'!$B$5)^(J6-1))</x:f>
        <x:v>2643.5723312404125</x:v>
      </x:c>
      <x:c r="L6" s="60" t="n">
        <x:f>IF(E6=0,"",E6*K6)</x:f>
        <x:v>354254017.50402075</x:v>
      </x:c>
      <x:c r="M6" s="60" t="n">
        <x:f>I6-L6</x:f>
        <x:v>2405386.113826573</x:v>
      </x:c>
      <x:c r="N6" s="62" t="n">
        <x:f>IF(L6=0,"",I6/L6)</x:f>
        <x:v>1.0067900037684097</x:v>
      </x:c>
      <x:c r="O6" s="66" t="n">
        <x:f>IF(L6=0,"",M6/L6)</x:f>
        <x:v>0.006790003768409689</x:v>
      </x:c>
    </x:row>
    <x:row r="7" ht="18" customHeight="1">
      <x:c r="A7" s="46" t="str">
        <x:v>Large rays (&gt;=90 cm)</x:v>
      </x:c>
      <x:c r="B7" s="64" t="n">
        <x:v>5</x:v>
      </x:c>
      <x:c r="C7" s="64" t="n">
        <x:v>5</x:v>
      </x:c>
      <x:c r="D7" s="60" t="n">
        <x:v>2407.6701515243003</x:v>
      </x:c>
      <x:c r="E7" s="60" t="n">
        <x:v>2407.6701515243003</x:v>
      </x:c>
      <x:c r="F7" s="62" t="n">
        <x:v>0</x:v>
      </x:c>
      <x:c r="G7" s="66" t="n">
        <x:v>1</x:v>
      </x:c>
      <x:c r="H7" s="62" t="n">
        <x:f>IF(E7=0,"",I7/E7)</x:f>
        <x:v>520.2562454772122</x:v>
      </x:c>
      <x:c r="I7" s="60" t="n">
        <x:f>SUMIF('Species'!$G$2:$G$185,A7,'Species'!$U$2:$U$185)</x:f>
        <x:v>1252605.4333795833</x:v>
      </x:c>
      <x:c r="J7" s="62" t="n">
        <x:v>3.703443792770811</x:v>
      </x:c>
      <x:c r="K7" s="62" t="n">
        <x:f>IF(J7="","",(1/'Metadata'!$B$5)^(J7-1))</x:f>
        <x:v>505.17725969414874</x:v>
      </x:c>
      <x:c r="L7" s="60" t="n">
        <x:f>IF(E7=0,"",E7*K7)</x:f>
        <x:v>1216300.209394442</x:v>
      </x:c>
      <x:c r="M7" s="60" t="n">
        <x:f>I7-L7</x:f>
        <x:v>36305.223985141376</x:v>
      </x:c>
      <x:c r="N7" s="62" t="n">
        <x:f>IF(L7=0,"",I7/L7)</x:f>
        <x:v>1.0298489005466969</x:v>
      </x:c>
      <x:c r="O7" s="66" t="n">
        <x:f>IF(L7=0,"",M7/L7)</x:f>
        <x:v>0.029848900546696953</x:v>
      </x:c>
    </x:row>
    <x:row r="8" ht="18" customHeight="1">
      <x:c r="A8" s="46" t="str">
        <x:v>Large reef assoc. fish (&gt;=90 cm)</x:v>
      </x:c>
      <x:c r="B8" s="64" t="n">
        <x:v>1</x:v>
      </x:c>
      <x:c r="C8" s="64" t="n">
        <x:v>1</x:v>
      </x:c>
      <x:c r="D8" s="60" t="n">
        <x:v>0.9583645265</x:v>
      </x:c>
      <x:c r="E8" s="60" t="n">
        <x:v>0.9583645265</x:v>
      </x:c>
      <x:c r="F8" s="62" t="n">
        <x:v>0</x:v>
      </x:c>
      <x:c r="G8" s="66" t="n">
        <x:v>1</x:v>
      </x:c>
      <x:c r="H8" s="62" t="n">
        <x:f>IF(E8=0,"",I8/E8)</x:f>
        <x:v>144.5439770745928</x:v>
      </x:c>
      <x:c r="I8" s="60" t="n">
        <x:f>SUMIF('Species'!$G$2:$G$185,A8,'Species'!$U$2:$U$185)</x:f>
        <x:v>138.52582014751897</x:v>
      </x:c>
      <x:c r="J8" s="62" t="n">
        <x:v>3.16</x:v>
      </x:c>
      <x:c r="K8" s="62" t="n">
        <x:f>IF(J8="","",(1/'Metadata'!$B$5)^(J8-1))</x:f>
        <x:v>144.5439770745928</x:v>
      </x:c>
      <x:c r="L8" s="60" t="n">
        <x:f>IF(E8=0,"",E8*K8)</x:f>
        <x:v>138.52582014751897</x:v>
      </x:c>
      <x:c r="M8" s="60" t="n">
        <x:f>I8-L8</x:f>
        <x:v>0</x:v>
      </x:c>
      <x:c r="N8" s="62" t="n">
        <x:f>IF(L8=0,"",I8/L8)</x:f>
        <x:v>1</x:v>
      </x:c>
      <x:c r="O8" s="66" t="n">
        <x:f>IF(L8=0,"",M8/L8)</x:f>
        <x:v>0</x:v>
      </x:c>
    </x:row>
    <x:row r="9" ht="18" customHeight="1">
      <x:c r="A9" s="46" t="str">
        <x:v>Large sharks (&gt;=90 cm)</x:v>
      </x:c>
      <x:c r="B9" s="64" t="n">
        <x:v>15</x:v>
      </x:c>
      <x:c r="C9" s="64" t="n">
        <x:v>15</x:v>
      </x:c>
      <x:c r="D9" s="60" t="n">
        <x:v>21410.421413411106</x:v>
      </x:c>
      <x:c r="E9" s="60" t="n">
        <x:v>21410.421413411106</x:v>
      </x:c>
      <x:c r="F9" s="62" t="n">
        <x:v>0</x:v>
      </x:c>
      <x:c r="G9" s="66" t="n">
        <x:v>1</x:v>
      </x:c>
      <x:c r="H9" s="62" t="n">
        <x:f>IF(E9=0,"",I9/E9)</x:f>
        <x:v>2386.204896502481</x:v>
      </x:c>
      <x:c r="I9" s="60" t="n">
        <x:f>SUMIF('Species'!$G$2:$G$185,A9,'Species'!$U$2:$U$185)</x:f>
        <x:v>51089652.41286315</x:v>
      </x:c>
      <x:c r="J9" s="62" t="n">
        <x:v>4.2974018531274805</x:v>
      </x:c>
      <x:c r="K9" s="62" t="n">
        <x:f>IF(J9="","",(1/'Metadata'!$B$5)^(J9-1))</x:f>
        <x:v>1983.3613833205977</x:v>
      </x:c>
      <x:c r="L9" s="60" t="n">
        <x:f>IF(E9=0,"",E9*K9)</x:f>
        <x:v>42464603.03198</x:v>
      </x:c>
      <x:c r="M9" s="60" t="n">
        <x:f>I9-L9</x:f>
        <x:v>8625049.38088315</x:v>
      </x:c>
      <x:c r="N9" s="62" t="n">
        <x:f>IF(L9=0,"",I9/L9)</x:f>
        <x:v>1.2031115038185485</x:v>
      </x:c>
      <x:c r="O9" s="66" t="n">
        <x:f>IF(L9=0,"",M9/L9)</x:f>
        <x:v>0.20311150381854845</x:v>
      </x:c>
    </x:row>
    <x:row r="10" ht="18" customHeight="1">
      <x:c r="A10" s="46" t="str">
        <x:v>Lobsters, crabs</x:v>
      </x:c>
      <x:c r="B10" s="64" t="n">
        <x:v>14</x:v>
      </x:c>
      <x:c r="C10" s="64" t="n">
        <x:v>14</x:v>
      </x:c>
      <x:c r="D10" s="60" t="n">
        <x:v>22642.5299963914</x:v>
      </x:c>
      <x:c r="E10" s="60" t="n">
        <x:v>22642.5299963914</x:v>
      </x:c>
      <x:c r="F10" s="62" t="n">
        <x:v>0</x:v>
      </x:c>
      <x:c r="G10" s="66" t="n">
        <x:v>1</x:v>
      </x:c>
      <x:c r="H10" s="62" t="n">
        <x:f>IF(E10=0,"",I10/E10)</x:f>
        <x:v>104.42760986742631</x:v>
      </x:c>
      <x:c r="I10" s="60" t="n">
        <x:f>SUMIF('Species'!$G$2:$G$185,A10,'Species'!$U$2:$U$185)</x:f>
        <x:v>2364505.2888746588</x:v>
      </x:c>
      <x:c r="J10" s="62" t="n">
        <x:v>2.7479539982273633</x:v>
      </x:c>
      <x:c r="K10" s="62" t="n">
        <x:f>IF(J10="","",(1/'Metadata'!$B$5)^(J10-1))</x:f>
        <x:v>55.969831343300825</x:v>
      </x:c>
      <x:c r="L10" s="60" t="n">
        <x:f>IF(E10=0,"",E10*K10)</x:f>
        <x:v>1267298.5850836565</x:v>
      </x:c>
      <x:c r="M10" s="60" t="n">
        <x:f>I10-L10</x:f>
        <x:v>1097206.7037910023</x:v>
      </x:c>
      <x:c r="N10" s="62" t="n">
        <x:f>IF(L10=0,"",I10/L10)</x:f>
        <x:v>1.8657838939499596</x:v>
      </x:c>
      <x:c r="O10" s="66" t="n">
        <x:f>IF(L10=0,"",M10/L10)</x:f>
        <x:v>0.8657838939499596</x:v>
      </x:c>
    </x:row>
    <x:row r="11" ht="18" customHeight="1">
      <x:c r="A11" s="46" t="str">
        <x:v>Medium bathydemersals (30 - 89 cm)</x:v>
      </x:c>
      <x:c r="B11" s="64" t="n">
        <x:v>2</x:v>
      </x:c>
      <x:c r="C11" s="64" t="n">
        <x:v>2</x:v>
      </x:c>
      <x:c r="D11" s="60" t="n">
        <x:v>92289.99909944879</x:v>
      </x:c>
      <x:c r="E11" s="60" t="n">
        <x:v>92289.99909944879</x:v>
      </x:c>
      <x:c r="F11" s="62" t="n">
        <x:v>0</x:v>
      </x:c>
      <x:c r="G11" s="66" t="n">
        <x:v>1</x:v>
      </x:c>
      <x:c r="H11" s="62" t="n">
        <x:f>IF(E11=0,"",I11/E11)</x:f>
        <x:v>2297.7020004748683</x:v>
      </x:c>
      <x:c r="I11" s="60" t="n">
        <x:f>SUMIF('Species'!$G$2:$G$185,A11,'Species'!$U$2:$U$185)</x:f>
        <x:v>212054915.5546273</x:v>
      </x:c>
      <x:c r="J11" s="62" t="n">
        <x:v>4.356679506885347</x:v>
      </x:c>
      <x:c r="K11" s="62" t="n">
        <x:f>IF(J11="","",(1/'Metadata'!$B$5)^(J11-1))</x:f>
        <x:v>2273.4191131456682</x:v>
      </x:c>
      <x:c r="L11" s="60" t="n">
        <x:f>IF(E11=0,"",E11*K11)</x:f>
        <x:v>209813847.90488338</x:v>
      </x:c>
      <x:c r="M11" s="60" t="n">
        <x:f>I11-L11</x:f>
        <x:v>2241067.6497439146</x:v>
      </x:c>
      <x:c r="N11" s="62" t="n">
        <x:f>IF(L11=0,"",I11/L11)</x:f>
        <x:v>1.0106812189572916</x:v>
      </x:c>
      <x:c r="O11" s="66" t="n">
        <x:f>IF(L11=0,"",M11/L11)</x:f>
        <x:v>0.010681218957291494</x:v>
      </x:c>
    </x:row>
    <x:row r="12" ht="18" customHeight="1">
      <x:c r="A12" s="46" t="str">
        <x:v>Medium bathypelagics (30 - 89 cm)</x:v>
      </x:c>
      <x:c r="B12" s="64" t="n">
        <x:v>2</x:v>
      </x:c>
      <x:c r="C12" s="64" t="n">
        <x:v>2</x:v>
      </x:c>
      <x:c r="D12" s="60" t="n">
        <x:v>111.7859422966</x:v>
      </x:c>
      <x:c r="E12" s="60" t="n">
        <x:v>111.7859422966</x:v>
      </x:c>
      <x:c r="F12" s="62" t="n">
        <x:v>0</x:v>
      </x:c>
      <x:c r="G12" s="66" t="n">
        <x:v>1</x:v>
      </x:c>
      <x:c r="H12" s="62" t="n">
        <x:f>IF(E12=0,"",I12/E12)</x:f>
        <x:v>1079.660295607665</x:v>
      </x:c>
      <x:c r="I12" s="60" t="n">
        <x:f>SUMIF('Species'!$G$2:$G$185,A12,'Species'!$U$2:$U$185)</x:f>
        <x:v>120690.84350472853</x:v>
      </x:c>
      <x:c r="J12" s="62" t="n">
        <x:v>3.99384636997689</x:v>
      </x:c>
      <x:c r="K12" s="62" t="n">
        <x:f>IF(J12="","",(1/'Metadata'!$B$5)^(J12-1))</x:f>
        <x:v>985.9306547124393</x:v>
      </x:c>
      <x:c r="L12" s="60" t="n">
        <x:f>IF(E12=0,"",E12*K12)</x:f>
        <x:v>110213.18727613379</x:v>
      </x:c>
      <x:c r="M12" s="60" t="n">
        <x:f>I12-L12</x:f>
        <x:v>10477.656228594744</x:v>
      </x:c>
      <x:c r="N12" s="62" t="n">
        <x:f>IF(L12=0,"",I12/L12)</x:f>
        <x:v>1.0950671737887725</x:v>
      </x:c>
      <x:c r="O12" s="66" t="n">
        <x:f>IF(L12=0,"",M12/L12)</x:f>
        <x:v>0.09506717378877252</x:v>
      </x:c>
    </x:row>
    <x:row r="13" ht="18" customHeight="1">
      <x:c r="A13" s="46" t="str">
        <x:v>Medium benthopelagics (30 - 89 cm)</x:v>
      </x:c>
      <x:c r="B13" s="64" t="n">
        <x:v>5</x:v>
      </x:c>
      <x:c r="C13" s="64" t="n">
        <x:v>5</x:v>
      </x:c>
      <x:c r="D13" s="60" t="n">
        <x:v>5947.935259250001</x:v>
      </x:c>
      <x:c r="E13" s="60" t="n">
        <x:v>5947.935259250001</x:v>
      </x:c>
      <x:c r="F13" s="62" t="n">
        <x:v>0</x:v>
      </x:c>
      <x:c r="G13" s="66" t="n">
        <x:v>1</x:v>
      </x:c>
      <x:c r="H13" s="62" t="n">
        <x:f>IF(E13=0,"",I13/E13)</x:f>
        <x:v>741.1211863483297</x:v>
      </x:c>
      <x:c r="I13" s="60" t="n">
        <x:f>SUMIF('Species'!$G$2:$G$185,A13,'Species'!$U$2:$U$185)</x:f>
        <x:v>4408140.835658421</x:v>
      </x:c>
      <x:c r="J13" s="62" t="n">
        <x:v>3.58936558357239</x:v>
      </x:c>
      <x:c r="K13" s="62" t="n">
        <x:f>IF(J13="","",(1/'Metadata'!$B$5)^(J13-1))</x:f>
        <x:v>388.47724359443305</x:v>
      </x:c>
      <x:c r="L13" s="60" t="n">
        <x:f>IF(E13=0,"",E13*K13)</x:f>
        <x:v>2310637.49459158</x:v>
      </x:c>
      <x:c r="M13" s="60" t="n">
        <x:f>I13-L13</x:f>
        <x:v>2097503.341066841</x:v>
      </x:c>
      <x:c r="N13" s="62" t="n">
        <x:f>IF(L13=0,"",I13/L13)</x:f>
        <x:v>1.9077595884150527</x:v>
      </x:c>
      <x:c r="O13" s="66" t="n">
        <x:f>IF(L13=0,"",M13/L13)</x:f>
        <x:v>0.9077595884150527</x:v>
      </x:c>
    </x:row>
    <x:row r="14" ht="18" customHeight="1">
      <x:c r="A14" s="46" t="str">
        <x:v>Medium demersals (30 - 89 cm)</x:v>
      </x:c>
      <x:c r="B14" s="64" t="n">
        <x:v>20</x:v>
      </x:c>
      <x:c r="C14" s="64" t="n">
        <x:v>20</x:v>
      </x:c>
      <x:c r="D14" s="60" t="n">
        <x:v>205016.99627990994</x:v>
      </x:c>
      <x:c r="E14" s="60" t="n">
        <x:v>205016.99627990994</x:v>
      </x:c>
      <x:c r="F14" s="62" t="n">
        <x:v>0</x:v>
      </x:c>
      <x:c r="G14" s="66" t="n">
        <x:v>1</x:v>
      </x:c>
      <x:c r="H14" s="62" t="n">
        <x:f>IF(E14=0,"",I14/E14)</x:f>
        <x:v>286.50462090501196</x:v>
      </x:c>
      <x:c r="I14" s="60" t="n">
        <x:f>SUMIF('Species'!$G$2:$G$185,A14,'Species'!$U$2:$U$185)</x:f>
        <x:v>58738316.79825985</x:v>
      </x:c>
      <x:c r="J14" s="62" t="n">
        <x:v>3.3641767219502223</x:v>
      </x:c>
      <x:c r="K14" s="62" t="n">
        <x:f>IF(J14="","",(1/'Metadata'!$B$5)^(J14-1))</x:f>
        <x:v>231.3005800846397</x:v>
      </x:c>
      <x:c r="L14" s="60" t="n">
        <x:f>IF(E14=0,"",E14*K14)</x:f>
        <x:v>47420550.16675359</x:v>
      </x:c>
      <x:c r="M14" s="60" t="n">
        <x:f>I14-L14</x:f>
        <x:v>11317766.631506257</x:v>
      </x:c>
      <x:c r="N14" s="62" t="n">
        <x:f>IF(L14=0,"",I14/L14)</x:f>
        <x:v>1.2386679739418356</x:v>
      </x:c>
      <x:c r="O14" s="66" t="n">
        <x:f>IF(L14=0,"",M14/L14)</x:f>
        <x:v>0.23866797394183567</x:v>
      </x:c>
    </x:row>
    <x:row r="15" ht="18" customHeight="1">
      <x:c r="A15" s="46" t="str">
        <x:v>Medium pelagics (30 - 89 cm)</x:v>
      </x:c>
      <x:c r="B15" s="64" t="n">
        <x:v>13</x:v>
      </x:c>
      <x:c r="C15" s="64" t="n">
        <x:v>13</x:v>
      </x:c>
      <x:c r="D15" s="60" t="n">
        <x:v>906308.6454068447</x:v>
      </x:c>
      <x:c r="E15" s="60" t="n">
        <x:v>906308.6454068447</x:v>
      </x:c>
      <x:c r="F15" s="62" t="n">
        <x:v>0</x:v>
      </x:c>
      <x:c r="G15" s="66" t="n">
        <x:v>1</x:v>
      </x:c>
      <x:c r="H15" s="62" t="n">
        <x:f>IF(E15=0,"",I15/E15)</x:f>
        <x:v>639.7861271731927</x:v>
      </x:c>
      <x:c r="I15" s="60" t="n">
        <x:f>SUMIF('Species'!$G$2:$G$185,A15,'Species'!$U$2:$U$185)</x:f>
        <x:v>579843698.2684275</x:v>
      </x:c>
      <x:c r="J15" s="62" t="n">
        <x:v>3.532918474957145</x:v>
      </x:c>
      <x:c r="K15" s="62" t="n">
        <x:f>IF(J15="","",(1/'Metadata'!$B$5)^(J15-1))</x:f>
        <x:v>341.128869463211</x:v>
      </x:c>
      <x:c r="L15" s="60" t="n">
        <x:f>IF(E15=0,"",E15*K15)</x:f>
        <x:v>309168043.5923711</x:v>
      </x:c>
      <x:c r="M15" s="60" t="n">
        <x:f>I15-L15</x:f>
        <x:v>270675654.6760564</x:v>
      </x:c>
      <x:c r="N15" s="62" t="n">
        <x:f>IF(L15=0,"",I15/L15)</x:f>
        <x:v>1.8754968706692539</x:v>
      </x:c>
      <x:c r="O15" s="66" t="n">
        <x:f>IF(L15=0,"",M15/L15)</x:f>
        <x:v>0.875496870669254</x:v>
      </x:c>
    </x:row>
    <x:row r="16" ht="18" customHeight="1">
      <x:c r="A16" s="46" t="str">
        <x:v>Medium reef assoc. fish (30 - 89 cm)</x:v>
      </x:c>
      <x:c r="B16" s="64" t="n">
        <x:v>6</x:v>
      </x:c>
      <x:c r="C16" s="64" t="n">
        <x:v>6</x:v>
      </x:c>
      <x:c r="D16" s="60" t="n">
        <x:v>578.6945306206</x:v>
      </x:c>
      <x:c r="E16" s="60" t="n">
        <x:v>578.6945306206</x:v>
      </x:c>
      <x:c r="F16" s="62" t="n">
        <x:v>0</x:v>
      </x:c>
      <x:c r="G16" s="66" t="n">
        <x:v>1</x:v>
      </x:c>
      <x:c r="H16" s="62" t="n">
        <x:f>IF(E16=0,"",I16/E16)</x:f>
        <x:v>822.9991390454502</x:v>
      </x:c>
      <x:c r="I16" s="60" t="n">
        <x:f>SUMIF('Species'!$G$2:$G$185,A16,'Species'!$U$2:$U$185)</x:f>
        <x:v>476265.1004710647</x:v>
      </x:c>
      <x:c r="J16" s="62" t="n">
        <x:v>3.8989408198833226</x:v>
      </x:c>
      <x:c r="K16" s="62" t="n">
        <x:f>IF(J16="","",(1/'Metadata'!$B$5)^(J16-1))</x:f>
        <x:v>792.3933458575601</x:v>
      </x:c>
      <x:c r="L16" s="60" t="n">
        <x:f>IF(E16=0,"",E16*K16)</x:f>
        <x:v>458553.69534792745</x:v>
      </x:c>
      <x:c r="M16" s="60" t="n">
        <x:f>I16-L16</x:f>
        <x:v>17711.40512313723</x:v>
      </x:c>
      <x:c r="N16" s="62" t="n">
        <x:f>IF(L16=0,"",I16/L16)</x:f>
        <x:v>1.03862449545783</x:v>
      </x:c>
      <x:c r="O16" s="66" t="n">
        <x:f>IF(L16=0,"",M16/L16)</x:f>
        <x:v>0.038624495457830095</x:v>
      </x:c>
    </x:row>
    <x:row r="17" ht="18" customHeight="1">
      <x:c r="A17" s="46" t="str">
        <x:v>Other demersal invertebrates</x:v>
      </x:c>
      <x:c r="B17" s="64" t="n">
        <x:v>33</x:v>
      </x:c>
      <x:c r="C17" s="64" t="n">
        <x:v>33</x:v>
      </x:c>
      <x:c r="D17" s="60" t="n">
        <x:v>185617.4712506701</x:v>
      </x:c>
      <x:c r="E17" s="60" t="n">
        <x:v>185617.4712506701</x:v>
      </x:c>
      <x:c r="F17" s="62" t="n">
        <x:v>0</x:v>
      </x:c>
      <x:c r="G17" s="66" t="n">
        <x:v>1</x:v>
      </x:c>
      <x:c r="H17" s="62" t="n">
        <x:f>IF(E17=0,"",I17/E17)</x:f>
        <x:v>15.595525798668291</x:v>
      </x:c>
      <x:c r="I17" s="60" t="n">
        <x:f>SUMIF('Species'!$G$2:$G$185,A17,'Species'!$U$2:$U$185)</x:f>
        <x:v>2894802.061573395</x:v>
      </x:c>
      <x:c r="J17" s="62" t="n">
        <x:v>2.072045160328389</x:v>
      </x:c>
      <x:c r="K17" s="62" t="n">
        <x:f>IF(J17="","",(1/'Metadata'!$B$5)^(J17-1))</x:f>
        <x:v>11.80443378263556</x:v>
      </x:c>
      <x:c r="L17" s="60" t="n">
        <x:f>IF(E17=0,"",E17*K17)</x:f>
        <x:v>2191109.1482787947</x:v>
      </x:c>
      <x:c r="M17" s="60" t="n">
        <x:f>I17-L17</x:f>
        <x:v>703692.9132946003</x:v>
      </x:c>
      <x:c r="N17" s="62" t="n">
        <x:f>IF(L17=0,"",I17/L17)</x:f>
        <x:v>1.3211583110076373</x:v>
      </x:c>
      <x:c r="O17" s="66" t="n">
        <x:f>IF(L17=0,"",M17/L17)</x:f>
        <x:v>0.32115831100763725</x:v>
      </x:c>
    </x:row>
    <x:row r="18" ht="18" customHeight="1">
      <x:c r="A18" s="46" t="str">
        <x:v>Shrimps</x:v>
      </x:c>
      <x:c r="B18" s="64" t="n">
        <x:v>7</x:v>
      </x:c>
      <x:c r="C18" s="64" t="n">
        <x:v>7</x:v>
      </x:c>
      <x:c r="D18" s="60" t="n">
        <x:v>4233.6996095533</x:v>
      </x:c>
      <x:c r="E18" s="60" t="n">
        <x:v>4233.6996095533</x:v>
      </x:c>
      <x:c r="F18" s="62" t="n">
        <x:v>0</x:v>
      </x:c>
      <x:c r="G18" s="66" t="n">
        <x:v>1</x:v>
      </x:c>
      <x:c r="H18" s="62" t="n">
        <x:f>IF(E18=0,"",I18/E18)</x:f>
        <x:v>45.64777715107516</x:v>
      </x:c>
      <x:c r="I18" s="60" t="n">
        <x:f>SUMIF('Species'!$G$2:$G$185,A18,'Species'!$U$2:$U$185)</x:f>
        <x:v>193258.97630148297</x:v>
      </x:c>
      <x:c r="J18" s="62" t="n">
        <x:v>2.606102861315313</x:v>
      </x:c>
      <x:c r="K18" s="62" t="n">
        <x:f>IF(J18="","",(1/'Metadata'!$B$5)^(J18-1))</x:f>
        <x:v>40.374100646269156</x:v>
      </x:c>
      <x:c r="L18" s="60" t="n">
        <x:f>IF(E18=0,"",E18*K18)</x:f>
        <x:v>170931.81414217537</x:v>
      </x:c>
      <x:c r="M18" s="60" t="n">
        <x:f>I18-L18</x:f>
        <x:v>22327.162159307598</x:v>
      </x:c>
      <x:c r="N18" s="62" t="n">
        <x:f>IF(L18=0,"",I18/L18)</x:f>
        <x:v>1.1306202843008302</x:v>
      </x:c>
      <x:c r="O18" s="66" t="n">
        <x:f>IF(L18=0,"",M18/L18)</x:f>
        <x:v>0.13062028430083011</x:v>
      </x:c>
    </x:row>
    <x:row r="19" ht="18" customHeight="1">
      <x:c r="A19" s="46" t="str">
        <x:v>Small benthopelagics (&lt;30 cm)</x:v>
      </x:c>
      <x:c r="B19" s="64" t="n">
        <x:v>1</x:v>
      </x:c>
      <x:c r="C19" s="64" t="n">
        <x:v>1</x:v>
      </x:c>
      <x:c r="D19" s="60" t="n">
        <x:v>3079.5185024602</x:v>
      </x:c>
      <x:c r="E19" s="60" t="n">
        <x:v>3079.5185024602</x:v>
      </x:c>
      <x:c r="F19" s="62" t="n">
        <x:v>0</x:v>
      </x:c>
      <x:c r="G19" s="66" t="n">
        <x:v>1</x:v>
      </x:c>
      <x:c r="H19" s="62" t="n">
        <x:f>IF(E19=0,"",I19/E19)</x:f>
        <x:v>389.04514499428046</x:v>
      </x:c>
      <x:c r="I19" s="60" t="n">
        <x:f>SUMIF('Species'!$G$2:$G$185,A19,'Species'!$U$2:$U$185)</x:f>
        <x:v>1198071.722302198</x:v>
      </x:c>
      <x:c r="J19" s="62" t="n">
        <x:v>3.59</x:v>
      </x:c>
      <x:c r="K19" s="62" t="n">
        <x:f>IF(J19="","",(1/'Metadata'!$B$5)^(J19-1))</x:f>
        <x:v>389.04514499428046</x:v>
      </x:c>
      <x:c r="L19" s="60" t="n">
        <x:f>IF(E19=0,"",E19*K19)</x:f>
        <x:v>1198071.722302198</x:v>
      </x:c>
      <x:c r="M19" s="60" t="n">
        <x:f>I19-L19</x:f>
        <x:v>0</x:v>
      </x:c>
      <x:c r="N19" s="62" t="n">
        <x:f>IF(L19=0,"",I19/L19)</x:f>
        <x:v>1</x:v>
      </x:c>
      <x:c r="O19" s="66" t="n">
        <x:f>IF(L19=0,"",M19/L19)</x:f>
        <x:v>0</x:v>
      </x:c>
    </x:row>
    <x:row r="20" ht="18" customHeight="1">
      <x:c r="A20" s="46" t="str">
        <x:v>Small demersals (&lt;30 cm)</x:v>
      </x:c>
      <x:c r="B20" s="64" t="n">
        <x:v>4</x:v>
      </x:c>
      <x:c r="C20" s="64" t="n">
        <x:v>4</x:v>
      </x:c>
      <x:c r="D20" s="60" t="n">
        <x:v>12061.0102495401</x:v>
      </x:c>
      <x:c r="E20" s="60" t="n">
        <x:v>12061.0102495401</x:v>
      </x:c>
      <x:c r="F20" s="62" t="n">
        <x:v>0</x:v>
      </x:c>
      <x:c r="G20" s="66" t="n">
        <x:v>1</x:v>
      </x:c>
      <x:c r="H20" s="62" t="n">
        <x:f>IF(E20=0,"",I20/E20)</x:f>
        <x:v>66.50001825083464</x:v>
      </x:c>
      <x:c r="I20" s="60" t="n">
        <x:f>SUMIF('Species'!$G$2:$G$185,A20,'Species'!$U$2:$U$185)</x:f>
        <x:v>802057.4017179203</x:v>
      </x:c>
      <x:c r="J20" s="62" t="n">
        <x:v>2.7684558706443907</x:v>
      </x:c>
      <x:c r="K20" s="62" t="n">
        <x:f>IF(J20="","",(1/'Metadata'!$B$5)^(J20-1))</x:f>
        <x:v>58.67537456048001</x:v>
      </x:c>
      <x:c r="L20" s="60" t="n">
        <x:f>IF(E20=0,"",E20*K20)</x:f>
        <x:v>707684.2939695539</x:v>
      </x:c>
      <x:c r="M20" s="60" t="n">
        <x:f>I20-L20</x:f>
        <x:v>94373.10774836643</x:v>
      </x:c>
      <x:c r="N20" s="62" t="n">
        <x:f>IF(L20=0,"",I20/L20)</x:f>
        <x:v>1.1333548145021097</x:v>
      </x:c>
      <x:c r="O20" s="66" t="n">
        <x:f>IF(L20=0,"",M20/L20)</x:f>
        <x:v>0.13335481450210984</x:v>
      </x:c>
    </x:row>
    <x:row r="21" ht="18" customHeight="1">
      <x:c r="A21" s="46" t="str">
        <x:v>Small pelagics (&lt;30 cm)</x:v>
      </x:c>
      <x:c r="B21" s="64" t="n">
        <x:v>10</x:v>
      </x:c>
      <x:c r="C21" s="64" t="n">
        <x:v>10</x:v>
      </x:c>
      <x:c r="D21" s="60" t="n">
        <x:v>4968218.762643736</x:v>
      </x:c>
      <x:c r="E21" s="60" t="n">
        <x:v>4968218.762643736</x:v>
      </x:c>
      <x:c r="F21" s="62" t="n">
        <x:v>0</x:v>
      </x:c>
      <x:c r="G21" s="66" t="n">
        <x:v>1</x:v>
      </x:c>
      <x:c r="H21" s="62" t="n">
        <x:f>IF(E21=0,"",I21/E21)</x:f>
        <x:v>50.75501672138355</x:v>
      </x:c>
      <x:c r="I21" s="60" t="n">
        <x:f>SUMIF('Species'!$G$2:$G$185,A21,'Species'!$U$2:$U$185)</x:f>
        <x:v>252162026.3734743</x:v>
      </x:c>
      <x:c r="J21" s="62" t="n">
        <x:v>2.6601330639551874</x:v>
      </x:c>
      <x:c r="K21" s="62" t="n">
        <x:f>IF(J21="","",(1/'Metadata'!$B$5)^(J21-1))</x:f>
        <x:v>45.722825881565804</x:v>
      </x:c>
      <x:c r="L21" s="60" t="n">
        <x:f>IF(E21=0,"",E21*K21)</x:f>
        <x:v>227161001.42588785</x:v>
      </x:c>
      <x:c r="M21" s="60" t="n">
        <x:f>I21-L21</x:f>
        <x:v>25001024.947586447</x:v>
      </x:c>
      <x:c r="N21" s="62" t="n">
        <x:f>IF(L21=0,"",I21/L21)</x:f>
        <x:v>1.110058613893473</x:v>
      </x:c>
      <x:c r="O21" s="66" t="n">
        <x:f>IF(L21=0,"",M21/L21)</x:f>
        <x:v>0.11005861389347293</x:v>
      </x:c>
    </x:row>
    <x:row r="22" ht="18" customHeight="1">
      <x:c r="A22" s="46" t="str">
        <x:v>Small reef assoc. fish (&lt;30 cm)</x:v>
      </x:c>
      <x:c r="B22" s="64" t="n">
        <x:v>2</x:v>
      </x:c>
      <x:c r="C22" s="64" t="n">
        <x:v>2</x:v>
      </x:c>
      <x:c r="D22" s="60" t="n">
        <x:v>2.3318729875</x:v>
      </x:c>
      <x:c r="E22" s="60" t="n">
        <x:v>2.3318729875</x:v>
      </x:c>
      <x:c r="F22" s="62" t="n">
        <x:v>0</x:v>
      </x:c>
      <x:c r="G22" s="66" t="n">
        <x:v>1</x:v>
      </x:c>
      <x:c r="H22" s="62" t="n">
        <x:f>IF(E22=0,"",I22/E22)</x:f>
        <x:v>307.8000646239477</x:v>
      </x:c>
      <x:c r="I22" s="60" t="n">
        <x:f>SUMIF('Species'!$G$2:$G$185,A22,'Species'!$U$2:$U$185)</x:f>
        <x:v>717.750656247338</x:v>
      </x:c>
      <x:c r="J22" s="62" t="n">
        <x:v>3.4860130092930284</x:v>
      </x:c>
      <x:c r="K22" s="62" t="n">
        <x:f>IF(J22="","",(1/'Metadata'!$B$5)^(J22-1))</x:f>
        <x:v>306.2055156191953</x:v>
      </x:c>
      <x:c r="L22" s="60" t="n">
        <x:f>IF(E22=0,"",E22*K22)</x:f>
        <x:v>714.0323704959109</x:v>
      </x:c>
      <x:c r="M22" s="60" t="n">
        <x:f>I22-L22</x:f>
        <x:v>3.7182857514271745</x:v>
      </x:c>
      <x:c r="N22" s="62" t="n">
        <x:f>IF(L22=0,"",I22/L22)</x:f>
        <x:v>1.0052074470361123</x:v>
      </x:c>
      <x:c r="O22" s="66" t="n">
        <x:f>IF(L22=0,"",M22/L22)</x:f>
        <x:v>0.0052074470361123055</x:v>
      </x:c>
    </x:row>
    <x:row r="23" ht="18" customHeight="1">
      <x:c r="A23" s="46" t="str">
        <x:v>Small to medium flatfishes (&lt;90 cm)</x:v>
      </x:c>
      <x:c r="B23" s="64" t="n">
        <x:v>6</x:v>
      </x:c>
      <x:c r="C23" s="64" t="n">
        <x:v>6</x:v>
      </x:c>
      <x:c r="D23" s="60" t="n">
        <x:v>2102.1049634653</x:v>
      </x:c>
      <x:c r="E23" s="60" t="n">
        <x:v>2102.1049634653</x:v>
      </x:c>
      <x:c r="F23" s="62" t="n">
        <x:v>0</x:v>
      </x:c>
      <x:c r="G23" s="66" t="n">
        <x:v>1</x:v>
      </x:c>
      <x:c r="H23" s="62" t="n">
        <x:f>IF(E23=0,"",I23/E23)</x:f>
        <x:v>516.5369614030293</x:v>
      </x:c>
      <x:c r="I23" s="60" t="n">
        <x:f>SUMIF('Species'!$G$2:$G$185,A23,'Species'!$U$2:$U$185)</x:f>
        <x:v>1085814.9103785919</x:v>
      </x:c>
      <x:c r="J23" s="62" t="n">
        <x:v>3.639823474641467</x:v>
      </x:c>
      <x:c r="K23" s="62" t="n">
        <x:f>IF(J23="","",(1/'Metadata'!$B$5)^(J23-1))</x:f>
        <x:v>436.33844003549865</x:v>
      </x:c>
      <x:c r="L23" s="60" t="n">
        <x:f>IF(E23=0,"",E23*K23)</x:f>
        <x:v>917229.2005493279</x:v>
      </x:c>
      <x:c r="M23" s="60" t="n">
        <x:f>I23-L23</x:f>
        <x:v>168585.70982926397</x:v>
      </x:c>
      <x:c r="N23" s="62" t="n">
        <x:f>IF(L23=0,"",I23/L23)</x:f>
        <x:v>1.1837988909732684</x:v>
      </x:c>
      <x:c r="O23" s="66" t="n">
        <x:f>IF(L23=0,"",M23/L23)</x:f>
        <x:v>0.18379889097326832</x:v>
      </x:c>
    </x:row>
    <x:row r="24" ht="18" customHeight="1">
      <x:c r="A24" s="46" t="str">
        <x:v>Small to medium rays (&lt;90 cm)</x:v>
      </x:c>
      <x:c r="B24" s="64" t="n">
        <x:v>3</x:v>
      </x:c>
      <x:c r="C24" s="64" t="n">
        <x:v>3</x:v>
      </x:c>
      <x:c r="D24" s="60" t="n">
        <x:v>1440.9350347292</x:v>
      </x:c>
      <x:c r="E24" s="60" t="n">
        <x:v>1440.9350347292</x:v>
      </x:c>
      <x:c r="F24" s="62" t="n">
        <x:v>0</x:v>
      </x:c>
      <x:c r="G24" s="66" t="n">
        <x:v>1</x:v>
      </x:c>
      <x:c r="H24" s="62" t="n">
        <x:f>IF(E24=0,"",I24/E24)</x:f>
        <x:v>1246.05653338728</x:v>
      </x:c>
      <x:c r="I24" s="60" t="n">
        <x:f>SUMIF('Species'!$G$2:$G$185,A24,'Species'!$U$2:$U$185)</x:f>
        <x:v>1795486.5142109469</x:v>
      </x:c>
      <x:c r="J24" s="62" t="n">
        <x:v>3.7954249927649277</x:v>
      </x:c>
      <x:c r="K24" s="62" t="n">
        <x:f>IF(J24="","",(1/'Metadata'!$B$5)^(J24-1))</x:f>
        <x:v>624.3455099171828</x:v>
      </x:c>
      <x:c r="L24" s="60" t="n">
        <x:f>IF(E24=0,"",E24*K24)</x:f>
        <x:v>899641.3190155358</x:v>
      </x:c>
      <x:c r="M24" s="60" t="n">
        <x:f>I24-L24</x:f>
        <x:v>895845.1951954111</x:v>
      </x:c>
      <x:c r="N24" s="62" t="n">
        <x:f>IF(L24=0,"",I24/L24)</x:f>
        <x:v>1.9957804029896284</x:v>
      </x:c>
      <x:c r="O24" s="66" t="n">
        <x:f>IF(L24=0,"",M24/L24)</x:f>
        <x:v>0.9957804029896284</x:v>
      </x:c>
    </x:row>
    <x:row r="25" ht="18" customHeight="1">
      <x:c r="A25" s="46" t="str">
        <x:v>Small to medium sharks (&lt;90 cm)</x:v>
      </x:c>
      <x:c r="B25" s="64" t="n">
        <x:v>1</x:v>
      </x:c>
      <x:c r="C25" s="64" t="n">
        <x:v>1</x:v>
      </x:c>
      <x:c r="D25" s="60" t="n">
        <x:v>134.6438070681</x:v>
      </x:c>
      <x:c r="E25" s="60" t="n">
        <x:v>134.6438070681</x:v>
      </x:c>
      <x:c r="F25" s="62" t="n">
        <x:v>0</x:v>
      </x:c>
      <x:c r="G25" s="66" t="n">
        <x:v>1</x:v>
      </x:c>
      <x:c r="H25" s="62" t="n">
        <x:f>IF(E25=0,"",I25/E25)</x:f>
        <x:v>457.0881896148752</x:v>
      </x:c>
      <x:c r="I25" s="60" t="n">
        <x:f>SUMIF('Species'!$G$2:$G$185,A25,'Species'!$U$2:$U$185)</x:f>
        <x:v>61544.09401561236</x:v>
      </x:c>
      <x:c r="J25" s="62" t="n">
        <x:v>3.66</x:v>
      </x:c>
      <x:c r="K25" s="62" t="n">
        <x:f>IF(J25="","",(1/'Metadata'!$B$5)^(J25-1))</x:f>
        <x:v>457.0881896148752</x:v>
      </x:c>
      <x:c r="L25" s="60" t="n">
        <x:f>IF(E25=0,"",E25*K25)</x:f>
        <x:v>61544.09401561236</x:v>
      </x:c>
      <x:c r="M25" s="60" t="n">
        <x:f>I25-L25</x:f>
        <x:v>0</x:v>
      </x:c>
      <x:c r="N25" s="62" t="n">
        <x:f>IF(L25=0,"",I25/L25)</x:f>
        <x:v>1</x:v>
      </x:c>
      <x:c r="O25" s="66" t="n">
        <x:f>IF(L25=0,"",M25/L25)</x:f>
        <x:v>0</x:v>
      </x:c>
    </x:row>
  </x:sheetData>
  <x:conditionalFormatting sqref="G2:G25">
    <x:cfRule type="cellIs" dxfId="2" priority="1" operator="lessThan">
      <x:formula>0.9</x:formula>
    </x:cfRule>
  </x:conditionalFormatting>
  <x:conditionalFormatting sqref="O2:O2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85d82161bbc34e7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LME_013</x:v>
      </x:c>
      <x:c r="B2" s="46" t="str">
        <x:v>raw_filtered_tonnes</x:v>
      </x:c>
      <x:c r="C2" s="46" t="n">
        <x:v>7390380.680601614</x:v>
      </x:c>
      <x:c r="D2" s="46" t="str">
        <x:v>tonnes</x:v>
      </x:c>
    </x:row>
    <x:row r="3" ht="18" customHeight="1">
      <x:c r="A3" s="46" t="str">
        <x:v>LME_013</x:v>
      </x:c>
      <x:c r="B3" s="46" t="str">
        <x:v>species_catch_tonnes</x:v>
      </x:c>
      <x:c r="C3" s="46" t="n">
        <x:v>7390380.680601614</x:v>
      </x:c>
      <x:c r="D3" s="46" t="str">
        <x:v>tonnes</x:v>
      </x:c>
    </x:row>
    <x:row r="4" ht="18" customHeight="1">
      <x:c r="A4" s="46" t="str">
        <x:v>LME_013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LME_013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LME_013</x:v>
      </x:c>
      <x:c r="B6" s="46" t="str">
        <x:v>matched_catch_tonnes</x:v>
      </x:c>
      <x:c r="C6" s="46" t="n">
        <x:v>7390380.680601614</x:v>
      </x:c>
      <x:c r="D6" s="46" t="str">
        <x:v>tonnes</x:v>
      </x:c>
    </x:row>
    <x:row r="7" ht="18" customHeight="1">
      <x:c r="A7" s="46" t="str">
        <x:v>LME_013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LME_013</x:v>
      </x:c>
      <x:c r="B8" s="46" t="str">
        <x:v>taxa_count</x:v>
      </x:c>
      <x:c r="C8" s="46" t="n">
        <x:v>184</x:v>
      </x:c>
      <x:c r="D8" s="46" t="str">
        <x:v>count</x:v>
      </x:c>
    </x:row>
    <x:row r="9" ht="18" customHeight="1">
      <x:c r="A9" s="46" t="str">
        <x:v>LME_013</x:v>
      </x:c>
      <x:c r="B9" s="46" t="str">
        <x:v>matched_taxa_count</x:v>
      </x:c>
      <x:c r="C9" s="46" t="n">
        <x:v>184</x:v>
      </x:c>
      <x:c r="D9" s="46" t="str">
        <x:v>count</x:v>
      </x:c>
    </x:row>
    <x:row r="10" ht="18" customHeight="1">
      <x:c r="A10" s="46" t="str">
        <x:v>LME_013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LME_013</x:v>
      </x:c>
      <x:c r="B11" s="46" t="str">
        <x:v>species_ppr</x:v>
      </x:c>
      <x:c r="C11" s="46" t="n">
        <x:v>2612052520.1434836</x:v>
      </x:c>
      <x:c r="D11" s="46" t="str">
        <x:v>tonnes_primary_production_equivalent</x:v>
      </x:c>
    </x:row>
    <x:row r="12" ht="18" customHeight="1">
      <x:c r="A12" s="46" t="str">
        <x:v>LME_013</x:v>
      </x:c>
      <x:c r="B12" s="46" t="str">
        <x:v>commercial_ppr</x:v>
      </x:c>
      <x:c r="C12" s="46" t="n">
        <x:v>2612052520.143483</x:v>
      </x:c>
      <x:c r="D12" s="46" t="str">
        <x:v>tonnes_primary_production_equivalent</x:v>
      </x:c>
    </x:row>
    <x:row r="13" ht="18" customHeight="1">
      <x:c r="A13" s="46" t="str">
        <x:v>LME_013</x:v>
      </x:c>
      <x:c r="B13" s="46" t="str">
        <x:v>functional_ppr</x:v>
      </x:c>
      <x:c r="C13" s="46" t="n">
        <x:v>2612052520.143483</x:v>
      </x:c>
      <x:c r="D13" s="46" t="str">
        <x:v>tonnes_primary_production_equivalent</x:v>
      </x:c>
    </x:row>
    <x:row r="14" ht="18" customHeight="1">
      <x:c r="A14" s="46" t="str">
        <x:v>LME_013</x:v>
      </x:c>
      <x:c r="B14" s="46" t="str">
        <x:v>commercial_ppr_difference</x:v>
      </x:c>
      <x:c r="C14" s="46" t="n">
        <x:v>-4.76837158203125e-7</x:v>
      </x:c>
      <x:c r="D14" s="46" t="str">
        <x:v>tonnes_primary_production_equivalent</x:v>
      </x:c>
    </x:row>
    <x:row r="15" ht="18" customHeight="1">
      <x:c r="A15" s="46" t="str">
        <x:v>LME_013</x:v>
      </x:c>
      <x:c r="B15" s="46" t="str">
        <x:v>functional_ppr_difference</x:v>
      </x:c>
      <x:c r="C15" s="46" t="n">
        <x:v>-4.76837158203125e-7</x:v>
      </x:c>
      <x:c r="D15" s="46" t="str">
        <x:v>tonnes_primary_production_equivalent</x:v>
      </x:c>
    </x:row>
    <x:row r="16" ht="18" customHeight="1">
      <x:c r="A16" s="46" t="str">
        <x:v>LME_013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LME_013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LME_013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LME_013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095aa1dca7274b8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LME_013 - Humboldt Current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LME_013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0.1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raw_data/SAU_downloads/LME_013-catch.zip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