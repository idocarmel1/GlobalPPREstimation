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e8a66bb44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2060db2e83b4926"/>
    <x:sheet xmlns:r="http://schemas.openxmlformats.org/officeDocument/2006/relationships" name="Commercial" sheetId="2" r:id="R1fb69b2667a14370"/>
    <x:sheet xmlns:r="http://schemas.openxmlformats.org/officeDocument/2006/relationships" name="Functional" sheetId="3" r:id="R6570965c3df74e59"/>
    <x:sheet xmlns:r="http://schemas.openxmlformats.org/officeDocument/2006/relationships" name="Missing TL" sheetId="4" r:id="R2431b941e5734b37"/>
    <x:sheet xmlns:r="http://schemas.openxmlformats.org/officeDocument/2006/relationships" name="Validation" sheetId="5" r:id="R2780e0585d40486a"/>
    <x:sheet xmlns:r="http://schemas.openxmlformats.org/officeDocument/2006/relationships" name="Metadata" sheetId="6" r:id="R881003300c774d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8cca0b1134013" /><Relationship Type="http://schemas.openxmlformats.org/officeDocument/2006/relationships/theme" Target="/xl/theme/theme1.xml" Id="Rd427025ae9844769" /><Relationship Type="http://schemas.openxmlformats.org/officeDocument/2006/relationships/sharedStrings" Target="/xl/sharedStrings.xml" Id="R6d7c865c0c0d416c" /><Relationship Type="http://schemas.openxmlformats.org/officeDocument/2006/relationships/worksheet" Target="/xl/worksheets/sheet1.xml" Id="R12060db2e83b4926" /><Relationship Type="http://schemas.openxmlformats.org/officeDocument/2006/relationships/worksheet" Target="/xl/worksheets/sheet2.xml" Id="R1fb69b2667a14370" /><Relationship Type="http://schemas.openxmlformats.org/officeDocument/2006/relationships/worksheet" Target="/xl/worksheets/sheet3.xml" Id="R6570965c3df74e59" /><Relationship Type="http://schemas.openxmlformats.org/officeDocument/2006/relationships/worksheet" Target="/xl/worksheets/sheet4.xml" Id="R2431b941e5734b37" /><Relationship Type="http://schemas.openxmlformats.org/officeDocument/2006/relationships/worksheet" Target="/xl/worksheets/sheet5.xml" Id="R2780e0585d40486a" /><Relationship Type="http://schemas.openxmlformats.org/officeDocument/2006/relationships/worksheet" Target="/xl/worksheets/sheet6.xml" Id="R881003300c774d5c" /></Relationships>
</file>

<file path=xl/tables/table1.xml><?xml version="1.0" encoding="utf-8"?>
<x:table xmlns:x="http://schemas.openxmlformats.org/spreadsheetml/2006/main" id="1" name="LME027SpeciesTable" displayName="LME027SpeciesTable" ref="A1:U413" headerRowCount="1" totalsRowCount="0" totalsRowShown="0">
  <x:autoFilter ref="A1:U4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7CommercialTable" displayName="LME02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7FunctionalTable" displayName="LME027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7ValidationTable" displayName="LME02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8c912d090640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cf9c83c28145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f7cf4c116443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56b82b16cf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LME_027</x:v>
      </x:c>
      <x:c r="B2" s="46" t="str">
        <x:v>Canary Current</x:v>
      </x:c>
      <x:c r="C2" s="46" t="str">
        <x:v>LME</x:v>
      </x:c>
      <x:c r="D2" s="58" t="n">
        <x:v>2019</x:v>
      </x:c>
      <x:c r="E2" s="46" t="str">
        <x:v>Sardina pilchardus</x:v>
      </x:c>
      <x:c r="F2" s="46" t="str">
        <x:v>European pilchard</x:v>
      </x:c>
      <x:c r="G2" s="46" t="str">
        <x:v>Small pelagics (&lt;30 cm)</x:v>
      </x:c>
      <x:c r="H2" s="46" t="str">
        <x:v>Herring-likes</x:v>
      </x:c>
      <x:c r="I2" s="60" t="n">
        <x:v>1552358.1177125764</x:v>
      </x:c>
      <x:c r="J2" s="60" t="n">
        <x:v>1489902.948130629</x:v>
      </x:c>
      <x:c r="K2" s="60" t="n">
        <x:v>62455.1695819476</x:v>
      </x:c>
      <x:c r="L2" s="60" t="n">
        <x:v>1330704.8387039609</x:v>
      </x:c>
      <x:c r="M2" s="60" t="n">
        <x:v>221653.2790086155</x:v>
      </x:c>
      <x:c r="N2" s="46" t="str">
        <x:v>sardina pilchardus</x:v>
      </x:c>
      <x:c r="O2" s="62" t="n">
        <x:v>3.06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Sardina pilchardus</x:v>
      </x:c>
      <x:c r="T2" s="62" t="n">
        <x:f>IF(O2="","",(1/'Metadata'!$B$5)^(O2-1))</x:f>
        <x:v>114.81536214968828</x:v>
      </x:c>
      <x:c r="U2" s="60" t="n">
        <x:f>IF(T2="","",I2*T2)</x:f>
        <x:v>178234559.4711779</x:v>
      </x:c>
    </x:row>
    <x:row r="3" ht="18" customHeight="1">
      <x:c r="A3" s="46" t="str">
        <x:v>LME_027</x:v>
      </x:c>
      <x:c r="B3" s="46" t="str">
        <x:v>Canary Current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1275540.7414150008</x:v>
      </x:c>
      <x:c r="J3" s="60" t="n">
        <x:v>1190215.0511946504</x:v>
      </x:c>
      <x:c r="K3" s="60" t="n">
        <x:v>85325.6902203503</x:v>
      </x:c>
      <x:c r="L3" s="60" t="n">
        <x:v>284229.1475077129</x:v>
      </x:c>
      <x:c r="M3" s="60" t="n">
        <x:v>991311.5939072878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243049277.6927999</x:v>
      </x:c>
    </x:row>
    <x:row r="4" ht="18" customHeight="1">
      <x:c r="A4" s="46" t="str">
        <x:v>LME_027</x:v>
      </x:c>
      <x:c r="B4" s="46" t="str">
        <x:v>Canary Current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391739.0166848947</x:v>
      </x:c>
      <x:c r="J4" s="60" t="n">
        <x:v>373801.5182774169</x:v>
      </x:c>
      <x:c r="K4" s="60" t="n">
        <x:v>17937.4984074778</x:v>
      </x:c>
      <x:c r="L4" s="60" t="n">
        <x:v>298837.6024288003</x:v>
      </x:c>
      <x:c r="M4" s="60" t="n">
        <x:v>92901.4142560944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58.8843655355589</x:v>
      </x:c>
      <x:c r="U4" s="60" t="n">
        <x:f>IF(T4="","",I4*T4)</x:f>
        <x:v>23067303.453013744</x:v>
      </x:c>
    </x:row>
    <x:row r="5" ht="18" customHeight="1">
      <x:c r="A5" s="46" t="str">
        <x:v>LME_027</x:v>
      </x:c>
      <x:c r="B5" s="46" t="str">
        <x:v>Canary Current</x:v>
      </x:c>
      <x:c r="C5" s="46" t="str">
        <x:v>LME</x:v>
      </x:c>
      <x:c r="D5" s="58" t="n">
        <x:v>2019</x:v>
      </x:c>
      <x:c r="E5" s="46" t="str">
        <x:v>Trachurus trachurus</x:v>
      </x:c>
      <x:c r="F5" s="46" t="str">
        <x:v>Atlantic horse mackerel</x:v>
      </x:c>
      <x:c r="G5" s="46" t="str">
        <x:v>Medium pelagics (30 - 89 cm)</x:v>
      </x:c>
      <x:c r="H5" s="46" t="str">
        <x:v>Perch-likes</x:v>
      </x:c>
      <x:c r="I5" s="60" t="n">
        <x:v>369327.7636924914</x:v>
      </x:c>
      <x:c r="J5" s="60" t="n">
        <x:v>359796.8961115909</x:v>
      </x:c>
      <x:c r="K5" s="60" t="n">
        <x:v>9530.8675809005</x:v>
      </x:c>
      <x:c r="L5" s="60" t="n">
        <x:v>277926.8888451719</x:v>
      </x:c>
      <x:c r="M5" s="60" t="n">
        <x:v>91400.8748473195</x:v>
      </x:c>
      <x:c r="N5" s="46" t="str">
        <x:v>trachurus trachurus</x:v>
      </x:c>
      <x:c r="O5" s="62" t="n">
        <x:v>3.71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Trachurus trachurus</x:v>
      </x:c>
      <x:c r="T5" s="62" t="n">
        <x:f>IF(O5="","",(1/'Metadata'!$B$5)^(O5-1))</x:f>
        <x:v>512.8613839913648</x:v>
      </x:c>
      <x:c r="U5" s="60" t="n">
        <x:f>IF(T5="","",I5*T5)</x:f>
        <x:v>189413948.0337669</x:v>
      </x:c>
    </x:row>
    <x:row r="6" ht="18" customHeight="1">
      <x:c r="A6" s="46" t="str">
        <x:v>LME_027</x:v>
      </x:c>
      <x:c r="B6" s="46" t="str">
        <x:v>Canary Current</x:v>
      </x:c>
      <x:c r="C6" s="46" t="str">
        <x:v>LME</x:v>
      </x:c>
      <x:c r="D6" s="58" t="n">
        <x:v>2019</x:v>
      </x:c>
      <x:c r="E6" s="46" t="str">
        <x:v>Trachurus</x:v>
      </x:c>
      <x:c r="F6" s="46" t="str">
        <x:v>Jacks, horse mackerels</x:v>
      </x:c>
      <x:c r="G6" s="46" t="str">
        <x:v>Medium pelagics (30 - 89 cm)</x:v>
      </x:c>
      <x:c r="H6" s="46" t="str">
        <x:v>Perch-likes</x:v>
      </x:c>
      <x:c r="I6" s="60" t="n">
        <x:v>331071.4413885814</x:v>
      </x:c>
      <x:c r="J6" s="60" t="n">
        <x:v>321085.06724308187</x:v>
      </x:c>
      <x:c r="K6" s="60" t="n">
        <x:v>9986.3741454995</x:v>
      </x:c>
      <x:c r="L6" s="60" t="n">
        <x:v>257864.8995426491</x:v>
      </x:c>
      <x:c r="M6" s="60" t="n">
        <x:v>73206.5418459323</x:v>
      </x:c>
      <x:c r="N6" s="46" t="str">
        <x:v>trachurus</x:v>
      </x:c>
      <x:c r="O6" s="62" t="n">
        <x:v>3.69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Trachurus</x:v>
      </x:c>
      <x:c r="T6" s="62" t="n">
        <x:f>IF(O6="","",(1/'Metadata'!$B$5)^(O6-1))</x:f>
        <x:v>489.77881936844614</x:v>
      </x:c>
      <x:c r="U6" s="60" t="n">
        <x:f>IF(T6="","",I6*T6)</x:f>
        <x:v>162151779.68990913</x:v>
      </x:c>
    </x:row>
    <x:row r="7" ht="18" customHeight="1">
      <x:c r="A7" s="46" t="str">
        <x:v>LME_027</x:v>
      </x:c>
      <x:c r="B7" s="46" t="str">
        <x:v>Canary Current</x:v>
      </x:c>
      <x:c r="C7" s="46" t="str">
        <x:v>LME</x:v>
      </x:c>
      <x:c r="D7" s="58" t="n">
        <x:v>2019</x:v>
      </x:c>
      <x:c r="E7" s="46" t="str">
        <x:v>Sardinella aurita</x:v>
      </x:c>
      <x:c r="F7" s="46" t="str">
        <x:v>Round sardinella</x:v>
      </x:c>
      <x:c r="G7" s="46" t="str">
        <x:v>Small pelagics (&lt;30 cm)</x:v>
      </x:c>
      <x:c r="H7" s="46" t="str">
        <x:v>Herring-likes</x:v>
      </x:c>
      <x:c r="I7" s="60" t="n">
        <x:v>241430.74051056628</x:v>
      </x:c>
      <x:c r="J7" s="60" t="n">
        <x:v>240364.72340856778</x:v>
      </x:c>
      <x:c r="K7" s="60" t="n">
        <x:v>1066.0171019985</x:v>
      </x:c>
      <x:c r="L7" s="60" t="n">
        <x:v>139277.9143092818</x:v>
      </x:c>
      <x:c r="M7" s="60" t="n">
        <x:v>102152.8262012845</x:v>
      </x:c>
      <x:c r="N7" s="46" t="str">
        <x:v>sardinella aurita</x:v>
      </x:c>
      <x:c r="O7" s="62" t="n">
        <x:v>3.4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Sardinella aurita</x:v>
      </x:c>
      <x:c r="T7" s="62" t="n">
        <x:f>IF(O7="","",(1/'Metadata'!$B$5)^(O7-1))</x:f>
        <x:v>251.18864315095797</x:v>
      </x:c>
      <x:c r="U7" s="60" t="n">
        <x:f>IF(T7="","",I7*T7)</x:f>
        <x:v>60644660.12378017</x:v>
      </x:c>
    </x:row>
    <x:row r="8" ht="18" customHeight="1">
      <x:c r="A8" s="46" t="str">
        <x:v>LME_027</x:v>
      </x:c>
      <x:c r="B8" s="46" t="str">
        <x:v>Canary Current</x:v>
      </x:c>
      <x:c r="C8" s="46" t="str">
        <x:v>LME</x:v>
      </x:c>
      <x:c r="D8" s="58" t="n">
        <x:v>2019</x:v>
      </x:c>
      <x:c r="E8" s="46" t="str">
        <x:v>Scomber colias</x:v>
      </x:c>
      <x:c r="F8" s="46" t="str">
        <x:v>Atlantic chub mackerel</x:v>
      </x:c>
      <x:c r="G8" s="46" t="str">
        <x:v>Medium pelagics (30 - 89 cm)</x:v>
      </x:c>
      <x:c r="H8" s="46" t="str">
        <x:v>Perch-likes</x:v>
      </x:c>
      <x:c r="I8" s="60" t="n">
        <x:v>209117.9931734848</x:v>
      </x:c>
      <x:c r="J8" s="60" t="n">
        <x:v>209117.9931734848</x:v>
      </x:c>
      <x:c r="K8" s="60" t="n">
        <x:v>0</x:v>
      </x:c>
      <x:c r="L8" s="60" t="n">
        <x:v>206262.7807517892</x:v>
      </x:c>
      <x:c r="M8" s="60" t="n">
        <x:v>2855.2124216956</x:v>
      </x:c>
      <x:c r="N8" s="46" t="str">
        <x:v>scomber colias</x:v>
      </x:c>
      <x:c r="O8" s="62" t="n">
        <x:v>3.91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Scomber colias</x:v>
      </x:c>
      <x:c r="T8" s="62" t="n">
        <x:f>IF(O8="","",(1/'Metadata'!$B$5)^(O8-1))</x:f>
        <x:v>812.8305161640995</x:v>
      </x:c>
      <x:c r="U8" s="60" t="n">
        <x:f>IF(T8="","",I8*T8)</x:f>
        <x:v>169977486.3304043</x:v>
      </x:c>
    </x:row>
    <x:row r="9" ht="18" customHeight="1">
      <x:c r="A9" s="46" t="str">
        <x:v>LME_027</x:v>
      </x:c>
      <x:c r="B9" s="46" t="str">
        <x:v>Canary Current</x:v>
      </x:c>
      <x:c r="C9" s="46" t="str">
        <x:v>LME</x:v>
      </x:c>
      <x:c r="D9" s="58" t="n">
        <x:v>2019</x:v>
      </x:c>
      <x:c r="E9" s="46" t="str">
        <x:v>Sardinella maderensis</x:v>
      </x:c>
      <x:c r="F9" s="46" t="str">
        <x:v>Madeiran sardinella</x:v>
      </x:c>
      <x:c r="G9" s="46" t="str">
        <x:v>Medium pelagics (30 - 89 cm)</x:v>
      </x:c>
      <x:c r="H9" s="46" t="str">
        <x:v>Herring-likes</x:v>
      </x:c>
      <x:c r="I9" s="60" t="n">
        <x:v>131780.7507459921</x:v>
      </x:c>
      <x:c r="J9" s="60" t="n">
        <x:v>131704.8216213678</x:v>
      </x:c>
      <x:c r="K9" s="60" t="n">
        <x:v>75.9291246243</x:v>
      </x:c>
      <x:c r="L9" s="60" t="n">
        <x:v>99188.120029088</x:v>
      </x:c>
      <x:c r="M9" s="60" t="n">
        <x:v>32592.6307169041</x:v>
      </x:c>
      <x:c r="N9" s="46" t="str">
        <x:v>sardinella maderensis</x:v>
      </x:c>
      <x:c r="O9" s="62" t="n">
        <x:v>3.2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Sardinella maderensis</x:v>
      </x:c>
      <x:c r="T9" s="62" t="n">
        <x:f>IF(O9="","",(1/'Metadata'!$B$5)^(O9-1))</x:f>
        <x:v>158.48931924611142</x:v>
      </x:c>
      <x:c r="U9" s="60" t="n">
        <x:f>IF(T9="","",I9*T9)</x:f>
        <x:v>20885841.475473776</x:v>
      </x:c>
    </x:row>
    <x:row r="10" ht="18" customHeight="1">
      <x:c r="A10" s="46" t="str">
        <x:v>LME_027</x:v>
      </x:c>
      <x:c r="B10" s="46" t="str">
        <x:v>Canary Current</x:v>
      </x:c>
      <x:c r="C10" s="46" t="str">
        <x:v>LME</x:v>
      </x:c>
      <x:c r="D10" s="58" t="n">
        <x:v>2019</x:v>
      </x:c>
      <x:c r="E10" s="46" t="str">
        <x:v>Merluccius merluccius</x:v>
      </x:c>
      <x:c r="F10" s="46" t="str">
        <x:v>European hake</x:v>
      </x:c>
      <x:c r="G10" s="46" t="str">
        <x:v>Large demersals (&gt;=90 cm)</x:v>
      </x:c>
      <x:c r="H10" s="46" t="str">
        <x:v>Cod-likes</x:v>
      </x:c>
      <x:c r="I10" s="60" t="n">
        <x:v>76791.549065923</x:v>
      </x:c>
      <x:c r="J10" s="60" t="n">
        <x:v>60695.806937414505</x:v>
      </x:c>
      <x:c r="K10" s="60" t="n">
        <x:v>16095.7421285085</x:v>
      </x:c>
      <x:c r="L10" s="60" t="n">
        <x:v>44948.125113774404</x:v>
      </x:c>
      <x:c r="M10" s="60" t="n">
        <x:v>31843.4239521486</x:v>
      </x:c>
      <x:c r="N10" s="46" t="str">
        <x:v>merluccius merluccius</x:v>
      </x:c>
      <x:c r="O10" s="62" t="n">
        <x:v>4.42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Merluccius merluccius</x:v>
      </x:c>
      <x:c r="T10" s="62" t="n">
        <x:f>IF(O10="","",(1/'Metadata'!$B$5)^(O10-1))</x:f>
        <x:v>2630.2679918953813</x:v>
      </x:c>
      <x:c r="U10" s="60" t="n">
        <x:f>IF(T10="","",I10*T10)</x:f>
        <x:v>201982353.55616093</x:v>
      </x:c>
    </x:row>
    <x:row r="11" ht="18" customHeight="1">
      <x:c r="A11" s="46" t="str">
        <x:v>LME_027</x:v>
      </x:c>
      <x:c r="B11" s="46" t="str">
        <x:v>Canary Current</x:v>
      </x:c>
      <x:c r="C11" s="46" t="str">
        <x:v>LME</x:v>
      </x:c>
      <x:c r="D11" s="58" t="n">
        <x:v>2019</x:v>
      </x:c>
      <x:c r="E11" s="46" t="str">
        <x:v>Ethmalosa fimbriata</x:v>
      </x:c>
      <x:c r="F11" s="46" t="str">
        <x:v>Bonga shad</x:v>
      </x:c>
      <x:c r="G11" s="46" t="str">
        <x:v>Medium pelagics (30 - 89 cm)</x:v>
      </x:c>
      <x:c r="H11" s="46" t="str">
        <x:v>Herring-likes</x:v>
      </x:c>
      <x:c r="I11" s="60" t="n">
        <x:v>72759.6247583962</x:v>
      </x:c>
      <x:c r="J11" s="60" t="n">
        <x:v>71320.3670563661</x:v>
      </x:c>
      <x:c r="K11" s="60" t="n">
        <x:v>1439.2577020301</x:v>
      </x:c>
      <x:c r="L11" s="60" t="n">
        <x:v>62194.8844844477</x:v>
      </x:c>
      <x:c r="M11" s="60" t="n">
        <x:v>10564.7402739485</x:v>
      </x:c>
      <x:c r="N11" s="46" t="str">
        <x:v>ethmalosa fimbriata</x:v>
      </x:c>
      <x:c r="O11" s="62" t="n">
        <x:v>2.5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Ethmalosa fimbriata</x:v>
      </x:c>
      <x:c r="T11" s="62" t="n">
        <x:f>IF(O11="","",(1/'Metadata'!$B$5)^(O11-1))</x:f>
        <x:v>31.622776601683793</x:v>
      </x:c>
      <x:c r="U11" s="60" t="n">
        <x:f>IF(T11="","",I11*T11)</x:f>
        <x:v>2300861.359357104</x:v>
      </x:c>
    </x:row>
    <x:row r="12" ht="18" customHeight="1">
      <x:c r="A12" s="46" t="str">
        <x:v>LME_027</x:v>
      </x:c>
      <x:c r="B12" s="46" t="str">
        <x:v>Canary Current</x:v>
      </x:c>
      <x:c r="C12" s="46" t="str">
        <x:v>LME</x:v>
      </x:c>
      <x:c r="D12" s="58" t="n">
        <x:v>2019</x:v>
      </x:c>
      <x:c r="E12" s="46" t="str">
        <x:v>Katsuwonus pelamis</x:v>
      </x:c>
      <x:c r="F12" s="46" t="str">
        <x:v>Skipjack tuna</x:v>
      </x:c>
      <x:c r="G12" s="46" t="str">
        <x:v>Large pelagics (&gt;=90 cm)</x:v>
      </x:c>
      <x:c r="H12" s="46" t="str">
        <x:v>Tuna &amp; billfishes</x:v>
      </x:c>
      <x:c r="I12" s="60" t="n">
        <x:v>65034.5615598905</x:v>
      </x:c>
      <x:c r="J12" s="60" t="n">
        <x:v>65034.5615598905</x:v>
      </x:c>
      <x:c r="K12" s="60" t="n">
        <x:v>0</x:v>
      </x:c>
      <x:c r="L12" s="60" t="n">
        <x:v>64338.4302545186</x:v>
      </x:c>
      <x:c r="M12" s="60" t="n">
        <x:v>696.1313053719</x:v>
      </x:c>
      <x:c r="N12" s="46" t="str">
        <x:v>katsuwonus pelamis</x:v>
      </x:c>
      <x:c r="O12" s="62" t="n">
        <x:v>4.43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Katsuwonus pelamis</x:v>
      </x:c>
      <x:c r="T12" s="62" t="n">
        <x:f>IF(O12="","",(1/'Metadata'!$B$5)^(O12-1))</x:f>
        <x:v>2691.534803926914</x:v>
      </x:c>
      <x:c r="U12" s="60" t="n">
        <x:f>IF(T12="","",I12*T12)</x:f>
        <x:v>175042785.89657268</x:v>
      </x:c>
    </x:row>
    <x:row r="13" ht="18" customHeight="1">
      <x:c r="A13" s="46" t="str">
        <x:v>LME_027</x:v>
      </x:c>
      <x:c r="B13" s="46" t="str">
        <x:v>Canary Current</x:v>
      </x:c>
      <x:c r="C13" s="46" t="str">
        <x:v>LME</x:v>
      </x:c>
      <x:c r="D13" s="58" t="n">
        <x:v>2019</x:v>
      </x:c>
      <x:c r="E13" s="46" t="str">
        <x:v>Octopoda</x:v>
      </x:c>
      <x:c r="F13" s="46" t="str">
        <x:v>Octopuses, argonauts</x:v>
      </x:c>
      <x:c r="G13" s="46" t="str">
        <x:v>Cephalopods</x:v>
      </x:c>
      <x:c r="H13" s="46" t="str">
        <x:v>Other fishes &amp; inverts</x:v>
      </x:c>
      <x:c r="I13" s="60" t="n">
        <x:v>53797.1104485683</x:v>
      </x:c>
      <x:c r="J13" s="60" t="n">
        <x:v>53797.1104485683</x:v>
      </x:c>
      <x:c r="K13" s="60" t="n">
        <x:v>0</x:v>
      </x:c>
      <x:c r="L13" s="60" t="n">
        <x:v>38568.1397295455</x:v>
      </x:c>
      <x:c r="M13" s="60" t="n">
        <x:v>15228.9707190228</x:v>
      </x:c>
      <x:c r="N13" s="46" t="str">
        <x:v>octopoda</x:v>
      </x:c>
      <x:c r="O13" s="62" t="n">
        <x:v>3.58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Octopoda</x:v>
      </x:c>
      <x:c r="T13" s="62" t="n">
        <x:f>IF(O13="","",(1/'Metadata'!$B$5)^(O13-1))</x:f>
        <x:v>380.1893963205613</x:v>
      </x:c>
      <x:c r="U13" s="60" t="n">
        <x:f>IF(T13="","",I13*T13)</x:f>
        <x:v>20453090.945231743</x:v>
      </x:c>
    </x:row>
    <x:row r="14" ht="18" customHeight="1">
      <x:c r="A14" s="46" t="str">
        <x:v>LME_027</x:v>
      </x:c>
      <x:c r="B14" s="46" t="str">
        <x:v>Canary Current</x:v>
      </x:c>
      <x:c r="C14" s="46" t="str">
        <x:v>LME</x:v>
      </x:c>
      <x:c r="D14" s="58" t="n">
        <x:v>2019</x:v>
      </x:c>
      <x:c r="E14" s="46" t="str">
        <x:v>Sepiidae</x:v>
      </x:c>
      <x:c r="F14" s="46" t="str">
        <x:v>Cuttlefishes</x:v>
      </x:c>
      <x:c r="G14" s="46" t="str">
        <x:v>Cephalopods</x:v>
      </x:c>
      <x:c r="H14" s="46" t="str">
        <x:v>Other fishes &amp; inverts</x:v>
      </x:c>
      <x:c r="I14" s="60" t="n">
        <x:v>31100.014978517098</x:v>
      </x:c>
      <x:c r="J14" s="60" t="n">
        <x:v>30500.6556553173</x:v>
      </x:c>
      <x:c r="K14" s="60" t="n">
        <x:v>599.3593231998</x:v>
      </x:c>
      <x:c r="L14" s="60" t="n">
        <x:v>29957.3774947165</x:v>
      </x:c>
      <x:c r="M14" s="60" t="n">
        <x:v>1142.6374838006</x:v>
      </x:c>
      <x:c r="N14" s="46" t="str">
        <x:v>sepiidae</x:v>
      </x:c>
      <x:c r="O14" s="62" t="n">
        <x:v>3.6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Sepiidae</x:v>
      </x:c>
      <x:c r="T14" s="62" t="n">
        <x:f>IF(O14="","",(1/'Metadata'!$B$5)^(O14-1))</x:f>
        <x:v>398.1071705534973</x:v>
      </x:c>
      <x:c r="U14" s="60" t="n">
        <x:f>IF(T14="","",I14*T14)</x:f>
        <x:v>12381138.967268828</x:v>
      </x:c>
    </x:row>
    <x:row r="15" ht="18" customHeight="1">
      <x:c r="A15" s="46" t="str">
        <x:v>LME_027</x:v>
      </x:c>
      <x:c r="B15" s="46" t="str">
        <x:v>Canary Current</x:v>
      </x:c>
      <x:c r="C15" s="46" t="str">
        <x:v>LME</x:v>
      </x:c>
      <x:c r="D15" s="58" t="n">
        <x:v>2019</x:v>
      </x:c>
      <x:c r="E15" s="46" t="str">
        <x:v>Chloroscombrus chrysurus</x:v>
      </x:c>
      <x:c r="F15" s="46" t="str">
        <x:v>Atlantic bumper</x:v>
      </x:c>
      <x:c r="G15" s="46" t="str">
        <x:v>Medium pelagics (30 - 89 cm)</x:v>
      </x:c>
      <x:c r="H15" s="46" t="str">
        <x:v>Perch-likes</x:v>
      </x:c>
      <x:c r="I15" s="60" t="n">
        <x:v>31006.4429752259</x:v>
      </x:c>
      <x:c r="J15" s="60" t="n">
        <x:v>16522.8723349273</x:v>
      </x:c>
      <x:c r="K15" s="60" t="n">
        <x:v>14483.5706402986</x:v>
      </x:c>
      <x:c r="L15" s="60" t="n">
        <x:v>9192.6852207981</x:v>
      </x:c>
      <x:c r="M15" s="60" t="n">
        <x:v>21813.7577544278</x:v>
      </x:c>
      <x:c r="N15" s="46" t="str">
        <x:v>chloroscombrus chrysurus</x:v>
      </x:c>
      <x:c r="O15" s="62" t="n">
        <x:v>3.54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Chloroscombrus chrysurus</x:v>
      </x:c>
      <x:c r="T15" s="62" t="n">
        <x:f>IF(O15="","",(1/'Metadata'!$B$5)^(O15-1))</x:f>
        <x:v>346.73685045253166</x:v>
      </x:c>
      <x:c r="U15" s="60" t="n">
        <x:f>IF(T15="","",I15*T15)</x:f>
        <x:v>10751076.380965853</x:v>
      </x:c>
    </x:row>
    <x:row r="16" ht="18" customHeight="1">
      <x:c r="A16" s="46" t="str">
        <x:v>LME_027</x:v>
      </x:c>
      <x:c r="B16" s="46" t="str">
        <x:v>Canary Current</x:v>
      </x:c>
      <x:c r="C16" s="46" t="str">
        <x:v>LME</x:v>
      </x:c>
      <x:c r="D16" s="58" t="n">
        <x:v>2019</x:v>
      </x:c>
      <x:c r="E16" s="46" t="str">
        <x:v>Mugil capurrii</x:v>
      </x:c>
      <x:c r="F16" s="46" t="str">
        <x:v>Leaping African mullet</x:v>
      </x:c>
      <x:c r="G16" s="46" t="str">
        <x:v>Medium benthopelagics (30 - 89 cm)</x:v>
      </x:c>
      <x:c r="H16" s="46" t="str">
        <x:v>Other fishes &amp; inverts</x:v>
      </x:c>
      <x:c r="I16" s="60" t="n">
        <x:v>28479.7511165702</x:v>
      </x:c>
      <x:c r="J16" s="60" t="n">
        <x:v>27026.775470897002</x:v>
      </x:c>
      <x:c r="K16" s="60" t="n">
        <x:v>1452.9756456732</x:v>
      </x:c>
      <x:c r="L16" s="60" t="n">
        <x:v>22353.4821801534</x:v>
      </x:c>
      <x:c r="M16" s="60" t="n">
        <x:v>6126.2689364168</x:v>
      </x:c>
      <x:c r="N16" s="46" t="str">
        <x:v>mugil capurrii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Mugil capurrii</x:v>
      </x:c>
      <x:c r="T16" s="62" t="n">
        <x:f>IF(O16="","",(1/'Metadata'!$B$5)^(O16-1))</x:f>
        <x:v>10</x:v>
      </x:c>
      <x:c r="U16" s="60" t="n">
        <x:f>IF(T16="","",I16*T16)</x:f>
        <x:v>284797.511165702</x:v>
      </x:c>
    </x:row>
    <x:row r="17" ht="18" customHeight="1">
      <x:c r="A17" s="46" t="str">
        <x:v>LME_027</x:v>
      </x:c>
      <x:c r="B17" s="46" t="str">
        <x:v>Canary Current</x:v>
      </x:c>
      <x:c r="C17" s="46" t="str">
        <x:v>LME</x:v>
      </x:c>
      <x:c r="D17" s="58" t="n">
        <x:v>2019</x:v>
      </x:c>
      <x:c r="E17" s="46" t="str">
        <x:v>Rachycentron canadum</x:v>
      </x:c>
      <x:c r="F17" s="46" t="str">
        <x:v>Cobia</x:v>
      </x:c>
      <x:c r="G17" s="46" t="str">
        <x:v>Large pelagics (&gt;=90 cm)</x:v>
      </x:c>
      <x:c r="H17" s="46" t="str">
        <x:v>Perch-likes</x:v>
      </x:c>
      <x:c r="I17" s="60" t="n">
        <x:v>28012.2451240118</x:v>
      </x:c>
      <x:c r="J17" s="60" t="n">
        <x:v>28006.4717314757</x:v>
      </x:c>
      <x:c r="K17" s="60" t="n">
        <x:v>5.7733925361</x:v>
      </x:c>
      <x:c r="L17" s="60" t="n">
        <x:v>88.82602115579999</x:v>
      </x:c>
      <x:c r="M17" s="60" t="n">
        <x:v>27923.419102855998</x:v>
      </x:c>
      <x:c r="N17" s="46" t="str">
        <x:v>rachycentron canadum</x:v>
      </x:c>
      <x:c r="O17" s="62" t="n">
        <x:v>3.96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Rachycentron canadum</x:v>
      </x:c>
      <x:c r="T17" s="62" t="n">
        <x:f>IF(O17="","",(1/'Metadata'!$B$5)^(O17-1))</x:f>
        <x:v>912.0108393559096</x:v>
      </x:c>
      <x:c r="U17" s="60" t="n">
        <x:f>IF(T17="","",I17*T17)</x:f>
        <x:v>25547471.18779349</x:v>
      </x:c>
    </x:row>
    <x:row r="18" ht="18" customHeight="1">
      <x:c r="A18" s="46" t="str">
        <x:v>LME_027</x:v>
      </x:c>
      <x:c r="B18" s="46" t="str">
        <x:v>Canary Current</x:v>
      </x:c>
      <x:c r="C18" s="46" t="str">
        <x:v>LME</x:v>
      </x:c>
      <x:c r="D18" s="58" t="n">
        <x:v>2019</x:v>
      </x:c>
      <x:c r="E18" s="46" t="str">
        <x:v>Octopus vulgaris</x:v>
      </x:c>
      <x:c r="F18" s="46" t="str">
        <x:v>Common octopus</x:v>
      </x:c>
      <x:c r="G18" s="46" t="str">
        <x:v>Cephalopods</x:v>
      </x:c>
      <x:c r="H18" s="46" t="str">
        <x:v>Other fishes &amp; inverts</x:v>
      </x:c>
      <x:c r="I18" s="60" t="n">
        <x:v>26770.6576843068</x:v>
      </x:c>
      <x:c r="J18" s="60" t="n">
        <x:v>25889.9944311364</x:v>
      </x:c>
      <x:c r="K18" s="60" t="n">
        <x:v>880.6632531704</x:v>
      </x:c>
      <x:c r="L18" s="60" t="n">
        <x:v>17922.8807612091</x:v>
      </x:c>
      <x:c r="M18" s="60" t="n">
        <x:v>8847.7769230977</x:v>
      </x:c>
      <x:c r="N18" s="46" t="str">
        <x:v>octopus vulgaris</x:v>
      </x:c>
      <x:c r="O18" s="62" t="n">
        <x:v>3.6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Octopus vulgaris</x:v>
      </x:c>
      <x:c r="T18" s="62" t="n">
        <x:f>IF(O18="","",(1/'Metadata'!$B$5)^(O18-1))</x:f>
        <x:v>398.1071705534973</x:v>
      </x:c>
      <x:c r="U18" s="60" t="n">
        <x:f>IF(T18="","",I18*T18)</x:f>
        <x:v>10657590.784555621</x:v>
      </x:c>
    </x:row>
    <x:row r="19" ht="18" customHeight="1">
      <x:c r="A19" s="46" t="str">
        <x:v>LME_027</x:v>
      </x:c>
      <x:c r="B19" s="46" t="str">
        <x:v>Canary Current</x:v>
      </x:c>
      <x:c r="C19" s="46" t="str">
        <x:v>LME</x:v>
      </x:c>
      <x:c r="D19" s="58" t="n">
        <x:v>2019</x:v>
      </x:c>
      <x:c r="E19" s="46" t="str">
        <x:v>Engraulis encrasicolus</x:v>
      </x:c>
      <x:c r="F19" s="46" t="str">
        <x:v>European anchovy</x:v>
      </x:c>
      <x:c r="G19" s="46" t="str">
        <x:v>Small pelagics (&lt;30 cm)</x:v>
      </x:c>
      <x:c r="H19" s="46" t="str">
        <x:v>Anchovies</x:v>
      </x:c>
      <x:c r="I19" s="60" t="n">
        <x:v>26587.6085569725</x:v>
      </x:c>
      <x:c r="J19" s="60" t="n">
        <x:v>26516.345528927</x:v>
      </x:c>
      <x:c r="K19" s="60" t="n">
        <x:v>71.2630280455</x:v>
      </x:c>
      <x:c r="L19" s="60" t="n">
        <x:v>22656.8421873709</x:v>
      </x:c>
      <x:c r="M19" s="60" t="n">
        <x:v>3930.7663696016</x:v>
      </x:c>
      <x:c r="N19" s="46" t="str">
        <x:v>engraulis encrasicolus</x:v>
      </x:c>
      <x:c r="O19" s="62" t="n">
        <x:v>3.11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Engraulis encrasicolus</x:v>
      </x:c>
      <x:c r="T19" s="62" t="n">
        <x:f>IF(O19="","",(1/'Metadata'!$B$5)^(O19-1))</x:f>
        <x:v>128.82495516931337</x:v>
      </x:c>
      <x:c r="U19" s="60" t="n">
        <x:f>IF(T19="","",I19*T19)</x:f>
        <x:v>3425147.480411235</x:v>
      </x:c>
    </x:row>
    <x:row r="20" ht="18" customHeight="1">
      <x:c r="A20" s="46" t="str">
        <x:v>LME_027</x:v>
      </x:c>
      <x:c r="B20" s="46" t="str">
        <x:v>Canary Current</x:v>
      </x:c>
      <x:c r="C20" s="46" t="str">
        <x:v>LME</x:v>
      </x:c>
      <x:c r="D20" s="58" t="n">
        <x:v>2019</x:v>
      </x:c>
      <x:c r="E20" s="46" t="str">
        <x:v>Brachydeuterus auritus</x:v>
      </x:c>
      <x:c r="F20" s="46" t="str">
        <x:v>Bigeye grunt</x:v>
      </x:c>
      <x:c r="G20" s="46" t="str">
        <x:v>Small demersals (&lt;30 cm)</x:v>
      </x:c>
      <x:c r="H20" s="46" t="str">
        <x:v>Perch-likes</x:v>
      </x:c>
      <x:c r="I20" s="60" t="n">
        <x:v>24132.466036645503</x:v>
      </x:c>
      <x:c r="J20" s="60" t="n">
        <x:v>11544.8826629547</x:v>
      </x:c>
      <x:c r="K20" s="60" t="n">
        <x:v>12587.5833736908</x:v>
      </x:c>
      <x:c r="L20" s="60" t="n">
        <x:v>9415.4197430651</x:v>
      </x:c>
      <x:c r="M20" s="60" t="n">
        <x:v>14717.0462935804</x:v>
      </x:c>
      <x:c r="N20" s="46" t="str">
        <x:v>brachydeuterus auritus</x:v>
      </x:c>
      <x:c r="O20" s="62" t="n">
        <x:v>3.03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Brachydeuterus auritus</x:v>
      </x:c>
      <x:c r="T20" s="62" t="n">
        <x:f>IF(O20="","",(1/'Metadata'!$B$5)^(O20-1))</x:f>
        <x:v>107.1519305237606</x:v>
      </x:c>
      <x:c r="U20" s="60" t="n">
        <x:f>IF(T20="","",I20*T20)</x:f>
        <x:v>2585840.3241256513</x:v>
      </x:c>
    </x:row>
    <x:row r="21" ht="18" customHeight="1">
      <x:c r="A21" s="46" t="str">
        <x:v>LME_027</x:v>
      </x:c>
      <x:c r="B21" s="46" t="str">
        <x:v>Canary Current</x:v>
      </x:c>
      <x:c r="C21" s="46" t="str">
        <x:v>LME</x:v>
      </x:c>
      <x:c r="D21" s="58" t="n">
        <x:v>2019</x:v>
      </x:c>
      <x:c r="E21" s="46" t="str">
        <x:v>Mugil cephalus</x:v>
      </x:c>
      <x:c r="F21" s="46" t="str">
        <x:v>Flathead grey mullet</x:v>
      </x:c>
      <x:c r="G21" s="46" t="str">
        <x:v>Large benthopelagics (&gt;=90 cm)</x:v>
      </x:c>
      <x:c r="H21" s="46" t="str">
        <x:v>Perch-likes</x:v>
      </x:c>
      <x:c r="I21" s="60" t="n">
        <x:v>24056.9372793361</x:v>
      </x:c>
      <x:c r="J21" s="60" t="n">
        <x:v>23783.614110830298</x:v>
      </x:c>
      <x:c r="K21" s="60" t="n">
        <x:v>273.3231685058</x:v>
      </x:c>
      <x:c r="L21" s="60" t="n">
        <x:v>4238.2636901048</x:v>
      </x:c>
      <x:c r="M21" s="60" t="n">
        <x:v>19818.6735892313</x:v>
      </x:c>
      <x:c r="N21" s="46" t="str">
        <x:v>mugil cephalus</x:v>
      </x:c>
      <x:c r="O21" s="62" t="n">
        <x:v>2.14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Mugil cephalus</x:v>
      </x:c>
      <x:c r="T21" s="62" t="n">
        <x:f>IF(O21="","",(1/'Metadata'!$B$5)^(O21-1))</x:f>
        <x:v>13.803842646028853</x:v>
      </x:c>
      <x:c r="U21" s="60" t="n">
        <x:f>IF(T21="","",I21*T21)</x:f>
        <x:v>332078.17674934096</x:v>
      </x:c>
    </x:row>
    <x:row r="22" ht="18" customHeight="1">
      <x:c r="A22" s="46" t="str">
        <x:v>LME_027</x:v>
      </x:c>
      <x:c r="B22" s="46" t="str">
        <x:v>Canary Current</x:v>
      </x:c>
      <x:c r="C22" s="46" t="str">
        <x:v>LME</x:v>
      </x:c>
      <x:c r="D22" s="58" t="n">
        <x:v>2019</x:v>
      </x:c>
      <x:c r="E22" s="46" t="str">
        <x:v>Sarda sarda</x:v>
      </x:c>
      <x:c r="F22" s="46" t="str">
        <x:v>Atlantic bonito</x:v>
      </x:c>
      <x:c r="G22" s="46" t="str">
        <x:v>Medium pelagics (30 - 89 cm)</x:v>
      </x:c>
      <x:c r="H22" s="46" t="str">
        <x:v>Tuna &amp; billfishes</x:v>
      </x:c>
      <x:c r="I22" s="60" t="n">
        <x:v>22614.733349777198</x:v>
      </x:c>
      <x:c r="J22" s="60" t="n">
        <x:v>22607.8557851548</x:v>
      </x:c>
      <x:c r="K22" s="60" t="n">
        <x:v>6.8775646224</x:v>
      </x:c>
      <x:c r="L22" s="60" t="n">
        <x:v>21551.8819954422</x:v>
      </x:c>
      <x:c r="M22" s="60" t="n">
        <x:v>1062.851354335</x:v>
      </x:c>
      <x:c r="N22" s="46" t="str">
        <x:v>sarda sarda</x:v>
      </x:c>
      <x:c r="O22" s="62" t="n">
        <x:v>4.5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Sarda sarda</x:v>
      </x:c>
      <x:c r="T22" s="62" t="n">
        <x:f>IF(O22="","",(1/'Metadata'!$B$5)^(O22-1))</x:f>
        <x:v>3162.2776601683795</x:v>
      </x:c>
      <x:c r="U22" s="60" t="n">
        <x:f>IF(T22="","",I22*T22)</x:f>
        <x:v>71514066.06266525</x:v>
      </x:c>
    </x:row>
    <x:row r="23" ht="18" customHeight="1">
      <x:c r="A23" s="46" t="str">
        <x:v>LME_027</x:v>
      </x:c>
      <x:c r="B23" s="46" t="str">
        <x:v>Canary Current</x:v>
      </x:c>
      <x:c r="C23" s="46" t="str">
        <x:v>LME</x:v>
      </x:c>
      <x:c r="D23" s="58" t="n">
        <x:v>2019</x:v>
      </x:c>
      <x:c r="E23" s="46" t="str">
        <x:v>Sepia</x:v>
      </x:c>
      <x:c r="F23" s="46" t="str">
        <x:v>Sepia cuttlefishes</x:v>
      </x:c>
      <x:c r="G23" s="46" t="str">
        <x:v>Cephalopods</x:v>
      </x:c>
      <x:c r="H23" s="46" t="str">
        <x:v>Other fishes &amp; inverts</x:v>
      </x:c>
      <x:c r="I23" s="60" t="n">
        <x:v>22074.6687210987</x:v>
      </x:c>
      <x:c r="J23" s="60" t="n">
        <x:v>9730.6878155124</x:v>
      </x:c>
      <x:c r="K23" s="60" t="n">
        <x:v>12343.9809055863</x:v>
      </x:c>
      <x:c r="L23" s="60" t="n">
        <x:v>0.1172000519</x:v>
      </x:c>
      <x:c r="M23" s="60" t="n">
        <x:v>22074.5515210468</x:v>
      </x:c>
      <x:c r="N23" s="46" t="str">
        <x:v>sepia</x:v>
      </x:c>
      <x:c r="O23" s="62" t="n">
        <x:v>3.69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Sepia</x:v>
      </x:c>
      <x:c r="T23" s="62" t="n">
        <x:f>IF(O23="","",(1/'Metadata'!$B$5)^(O23-1))</x:f>
        <x:v>489.77881936844614</x:v>
      </x:c>
      <x:c r="U23" s="60" t="n">
        <x:f>IF(T23="","",I23*T23)</x:f>
        <x:v>10811705.184169289</x:v>
      </x:c>
    </x:row>
    <x:row r="24" ht="18" customHeight="1">
      <x:c r="A24" s="46" t="str">
        <x:v>LME_027</x:v>
      </x:c>
      <x:c r="B24" s="46" t="str">
        <x:v>Canary Current</x:v>
      </x:c>
      <x:c r="C24" s="46" t="str">
        <x:v>LME</x:v>
      </x:c>
      <x:c r="D24" s="58" t="n">
        <x:v>2019</x:v>
      </x:c>
      <x:c r="E24" s="46" t="str">
        <x:v>Trichiurus lepturus</x:v>
      </x:c>
      <x:c r="F24" s="46" t="str">
        <x:v>Largehead hairtail</x:v>
      </x:c>
      <x:c r="G24" s="46" t="str">
        <x:v>Large benthopelagics (&gt;=90 cm)</x:v>
      </x:c>
      <x:c r="H24" s="46" t="str">
        <x:v>Perch-likes</x:v>
      </x:c>
      <x:c r="I24" s="60" t="n">
        <x:v>20858.5215529429</x:v>
      </x:c>
      <x:c r="J24" s="60" t="n">
        <x:v>13438.7140002831</x:v>
      </x:c>
      <x:c r="K24" s="60" t="n">
        <x:v>7419.8075526598</x:v>
      </x:c>
      <x:c r="L24" s="60" t="n">
        <x:v>12875.9757078986</x:v>
      </x:c>
      <x:c r="M24" s="60" t="n">
        <x:v>7982.5458450443</x:v>
      </x:c>
      <x:c r="N24" s="46" t="str">
        <x:v>trichiurus lepturus</x:v>
      </x:c>
      <x:c r="O24" s="62" t="n">
        <x:v>4.42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Trichiurus lepturus</x:v>
      </x:c>
      <x:c r="T24" s="62" t="n">
        <x:f>IF(O24="","",(1/'Metadata'!$B$5)^(O24-1))</x:f>
        <x:v>2630.2679918953813</x:v>
      </x:c>
      <x:c r="U24" s="60" t="n">
        <x:f>IF(T24="","",I24*T24)</x:f>
        <x:v>54863501.59896565</x:v>
      </x:c>
    </x:row>
    <x:row r="25" ht="18" customHeight="1">
      <x:c r="A25" s="46" t="str">
        <x:v>LME_027</x:v>
      </x:c>
      <x:c r="B25" s="46" t="str">
        <x:v>Canary Current</x:v>
      </x:c>
      <x:c r="C25" s="46" t="str">
        <x:v>LME</x:v>
      </x:c>
      <x:c r="D25" s="58" t="n">
        <x:v>2019</x:v>
      </x:c>
      <x:c r="E25" s="46" t="str">
        <x:v>Cymbium</x:v>
      </x:c>
      <x:c r="F25" s="46" t="str">
        <x:v>Volutes</x:v>
      </x:c>
      <x:c r="G25" s="46" t="str">
        <x:v>Other demersal invertebrates</x:v>
      </x:c>
      <x:c r="H25" s="46" t="str">
        <x:v>Molluscs</x:v>
      </x:c>
      <x:c r="I25" s="60" t="n">
        <x:v>18965.9634647379</x:v>
      </x:c>
      <x:c r="J25" s="60" t="n">
        <x:v>18684.9001667173</x:v>
      </x:c>
      <x:c r="K25" s="60" t="n">
        <x:v>281.0632980206</x:v>
      </x:c>
      <x:c r="L25" s="60" t="n">
        <x:v>8523.1706368569</x:v>
      </x:c>
      <x:c r="M25" s="60" t="n">
        <x:v>10442.792827881</x:v>
      </x:c>
      <x:c r="N25" s="46" t="str">
        <x:v>cymbium</x:v>
      </x:c>
      <x:c r="O25" s="62" t="n">
        <x:v>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Cymbium</x:v>
      </x:c>
      <x:c r="T25" s="62" t="n">
        <x:f>IF(O25="","",(1/'Metadata'!$B$5)^(O25-1))</x:f>
        <x:v>10</x:v>
      </x:c>
      <x:c r="U25" s="60" t="n">
        <x:f>IF(T25="","",I25*T25)</x:f>
        <x:v>189659.634647379</x:v>
      </x:c>
    </x:row>
    <x:row r="26" ht="18" customHeight="1">
      <x:c r="A26" s="46" t="str">
        <x:v>LME_027</x:v>
      </x:c>
      <x:c r="B26" s="46" t="str">
        <x:v>Canary Current</x:v>
      </x:c>
      <x:c r="C26" s="46" t="str">
        <x:v>LME</x:v>
      </x:c>
      <x:c r="D26" s="58" t="n">
        <x:v>2019</x:v>
      </x:c>
      <x:c r="E26" s="46" t="str">
        <x:v>Teuthida</x:v>
      </x:c>
      <x:c r="F26" s="46" t="str">
        <x:v>Squids</x:v>
      </x:c>
      <x:c r="G26" s="46" t="str">
        <x:v>Cephalopods</x:v>
      </x:c>
      <x:c r="H26" s="46" t="str">
        <x:v>Other fishes &amp; inverts</x:v>
      </x:c>
      <x:c r="I26" s="60" t="n">
        <x:v>18889.721360063402</x:v>
      </x:c>
      <x:c r="J26" s="60" t="n">
        <x:v>18889.6455177188</x:v>
      </x:c>
      <x:c r="K26" s="60" t="n">
        <x:v>0.0758423446</x:v>
      </x:c>
      <x:c r="L26" s="60" t="n">
        <x:v>17556.1860866752</x:v>
      </x:c>
      <x:c r="M26" s="60" t="n">
        <x:v>1333.5352733882</x:v>
      </x:c>
      <x:c r="N26" s="46" t="str">
        <x:v>teuthida</x:v>
      </x:c>
      <x:c r="O26" s="62" t="n">
        <x:v>4.13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Teuthida</x:v>
      </x:c>
      <x:c r="T26" s="62" t="n">
        <x:f>IF(O26="","",(1/'Metadata'!$B$5)^(O26-1))</x:f>
        <x:v>1348.9628825916532</x:v>
      </x:c>
      <x:c r="U26" s="60" t="n">
        <x:f>IF(T26="","",I26*T26)</x:f>
        <x:v>25481532.97722425</x:v>
      </x:c>
    </x:row>
    <x:row r="27" ht="18" customHeight="1">
      <x:c r="A27" s="46" t="str">
        <x:v>LME_027</x:v>
      </x:c>
      <x:c r="B27" s="46" t="str">
        <x:v>Canary Current</x:v>
      </x:c>
      <x:c r="C27" s="46" t="str">
        <x:v>LME</x:v>
      </x:c>
      <x:c r="D27" s="58" t="n">
        <x:v>2019</x:v>
      </x:c>
      <x:c r="E27" s="46" t="str">
        <x:v>Caranx rhonchus</x:v>
      </x:c>
      <x:c r="F27" s="46" t="str">
        <x:v>False scad</x:v>
      </x:c>
      <x:c r="G27" s="46" t="str">
        <x:v>Medium benthopelagics (30 - 89 cm)</x:v>
      </x:c>
      <x:c r="H27" s="46" t="str">
        <x:v>Perch-likes</x:v>
      </x:c>
      <x:c r="I27" s="60" t="n">
        <x:v>17884.5282774738</x:v>
      </x:c>
      <x:c r="J27" s="60" t="n">
        <x:v>17789.6973980973</x:v>
      </x:c>
      <x:c r="K27" s="60" t="n">
        <x:v>94.8308793765</x:v>
      </x:c>
      <x:c r="L27" s="60" t="n">
        <x:v>1712.0316813519</x:v>
      </x:c>
      <x:c r="M27" s="60" t="n">
        <x:v>16172.4965961219</x:v>
      </x:c>
      <x:c r="N27" s="46" t="str">
        <x:v>caranx rhonchus</x:v>
      </x:c>
      <x:c r="O27" s="62" t="n">
        <x:v>3.6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Caranx rhonchus</x:v>
      </x:c>
      <x:c r="T27" s="62" t="n">
        <x:f>IF(O27="","",(1/'Metadata'!$B$5)^(O27-1))</x:f>
        <x:v>398.1071705534973</x:v>
      </x:c>
      <x:c r="U27" s="60" t="n">
        <x:f>IF(T27="","",I27*T27)</x:f>
        <x:v>7119958.949229108</x:v>
      </x:c>
    </x:row>
    <x:row r="28" ht="18" customHeight="1">
      <x:c r="A28" s="46" t="str">
        <x:v>LME_027</x:v>
      </x:c>
      <x:c r="B28" s="46" t="str">
        <x:v>Canary Current</x:v>
      </x:c>
      <x:c r="C28" s="46" t="str">
        <x:v>LME</x:v>
      </x:c>
      <x:c r="D28" s="58" t="n">
        <x:v>2019</x:v>
      </x:c>
      <x:c r="E28" s="46" t="str">
        <x:v>Galeoides decadactylus</x:v>
      </x:c>
      <x:c r="F28" s="46" t="str">
        <x:v>Lesser African threadfin</x:v>
      </x:c>
      <x:c r="G28" s="46" t="str">
        <x:v>Medium demersals (30 - 89 cm)</x:v>
      </x:c>
      <x:c r="H28" s="46" t="str">
        <x:v>Perch-likes</x:v>
      </x:c>
      <x:c r="I28" s="60" t="n">
        <x:v>17661.6060843626</x:v>
      </x:c>
      <x:c r="J28" s="60" t="n">
        <x:v>4431.0301660154</x:v>
      </x:c>
      <x:c r="K28" s="60" t="n">
        <x:v>13230.5759183472</x:v>
      </x:c>
      <x:c r="L28" s="60" t="n">
        <x:v>1125.3071418809</x:v>
      </x:c>
      <x:c r="M28" s="60" t="n">
        <x:v>16536.2989424817</x:v>
      </x:c>
      <x:c r="N28" s="46" t="str">
        <x:v>galeoides decadactylus</x:v>
      </x:c>
      <x:c r="O28" s="62" t="n">
        <x:v>3.57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Galeoides decadactylus</x:v>
      </x:c>
      <x:c r="T28" s="62" t="n">
        <x:f>IF(O28="","",(1/'Metadata'!$B$5)^(O28-1))</x:f>
        <x:v>371.5352290971724</x:v>
      </x:c>
      <x:c r="U28" s="60" t="n">
        <x:f>IF(T28="","",I28*T28)</x:f>
        <x:v>6561908.862777673</x:v>
      </x:c>
    </x:row>
    <x:row r="29" ht="18" customHeight="1">
      <x:c r="A29" s="46" t="str">
        <x:v>LME_027</x:v>
      </x:c>
      <x:c r="B29" s="46" t="str">
        <x:v>Canary Current</x:v>
      </x:c>
      <x:c r="C29" s="46" t="str">
        <x:v>LME</x:v>
      </x:c>
      <x:c r="D29" s="58" t="n">
        <x:v>2019</x:v>
      </x:c>
      <x:c r="E29" s="46" t="str">
        <x:v>Pomatomus saltatrix</x:v>
      </x:c>
      <x:c r="F29" s="46" t="str">
        <x:v>Bluefish</x:v>
      </x:c>
      <x:c r="G29" s="46" t="str">
        <x:v>Large pelagics (&gt;=90 cm)</x:v>
      </x:c>
      <x:c r="H29" s="46" t="str">
        <x:v>Perch-likes</x:v>
      </x:c>
      <x:c r="I29" s="60" t="n">
        <x:v>16428.9656942472</x:v>
      </x:c>
      <x:c r="J29" s="60" t="n">
        <x:v>16364.711402424002</x:v>
      </x:c>
      <x:c r="K29" s="60" t="n">
        <x:v>64.2542918232</x:v>
      </x:c>
      <x:c r="L29" s="60" t="n">
        <x:v>1872.2314091457</x:v>
      </x:c>
      <x:c r="M29" s="60" t="n">
        <x:v>14556.7342851015</x:v>
      </x:c>
      <x:c r="N29" s="46" t="str">
        <x:v>pomatomus saltatrix</x:v>
      </x:c>
      <x:c r="O29" s="62" t="n">
        <x:v>4.53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Pomatomus saltatrix</x:v>
      </x:c>
      <x:c r="T29" s="62" t="n">
        <x:f>IF(O29="","",(1/'Metadata'!$B$5)^(O29-1))</x:f>
        <x:v>3388.4415613920273</x:v>
      </x:c>
      <x:c r="U29" s="60" t="n">
        <x:f>IF(T29="","",I29*T29)</x:f>
        <x:v>55668590.16907103</x:v>
      </x:c>
    </x:row>
    <x:row r="30" ht="18" customHeight="1">
      <x:c r="A30" s="46" t="str">
        <x:v>LME_027</x:v>
      </x:c>
      <x:c r="B30" s="46" t="str">
        <x:v>Canary Current</x:v>
      </x:c>
      <x:c r="C30" s="46" t="str">
        <x:v>LME</x:v>
      </x:c>
      <x:c r="D30" s="58" t="n">
        <x:v>2019</x:v>
      </x:c>
      <x:c r="E30" s="46" t="str">
        <x:v>Cephalopoda</x:v>
      </x:c>
      <x:c r="F30" s="46" t="str">
        <x:v>Squids, cuttlefishes, octopuses</x:v>
      </x:c>
      <x:c r="G30" s="46" t="str">
        <x:v>Cephalopods</x:v>
      </x:c>
      <x:c r="H30" s="46" t="str">
        <x:v>Other fishes &amp; inverts</x:v>
      </x:c>
      <x:c r="I30" s="60" t="n">
        <x:v>15506.6684573933</x:v>
      </x:c>
      <x:c r="J30" s="60" t="n">
        <x:v>10153.724947833</x:v>
      </x:c>
      <x:c r="K30" s="60" t="n">
        <x:v>5352.9435095603</x:v>
      </x:c>
      <x:c r="L30" s="60" t="n">
        <x:v>6847.1916785108</x:v>
      </x:c>
      <x:c r="M30" s="60" t="n">
        <x:v>8659.4767788825</x:v>
      </x:c>
      <x:c r="N30" s="46" t="str">
        <x:v>cephalopoda</x:v>
      </x:c>
      <x:c r="O30" s="62" t="n">
        <x:v>3.81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Cephalopoda</x:v>
      </x:c>
      <x:c r="T30" s="62" t="n">
        <x:f>IF(O30="","",(1/'Metadata'!$B$5)^(O30-1))</x:f>
        <x:v>645.6542290346556</x:v>
      </x:c>
      <x:c r="U30" s="60" t="n">
        <x:f>IF(T30="","",I30*T30)</x:f>
        <x:v>10011946.067754284</x:v>
      </x:c>
    </x:row>
    <x:row r="31" ht="18" customHeight="1">
      <x:c r="A31" s="46" t="str">
        <x:v>LME_027</x:v>
      </x:c>
      <x:c r="B31" s="46" t="str">
        <x:v>Canary Current</x:v>
      </x:c>
      <x:c r="C31" s="46" t="str">
        <x:v>LME</x:v>
      </x:c>
      <x:c r="D31" s="58" t="n">
        <x:v>2019</x:v>
      </x:c>
      <x:c r="E31" s="46" t="str">
        <x:v>Pseudotolithus</x:v>
      </x:c>
      <x:c r="F31" s="46" t="str">
        <x:v>African croakers</x:v>
      </x:c>
      <x:c r="G31" s="46" t="str">
        <x:v>Large demersals (&gt;=90 cm)</x:v>
      </x:c>
      <x:c r="H31" s="46" t="str">
        <x:v>Perch-likes</x:v>
      </x:c>
      <x:c r="I31" s="60" t="n">
        <x:v>14459.0162572059</x:v>
      </x:c>
      <x:c r="J31" s="60" t="n">
        <x:v>1896.0328833828999</x:v>
      </x:c>
      <x:c r="K31" s="60" t="n">
        <x:v>12562.983373822999</x:v>
      </x:c>
      <x:c r="L31" s="60" t="n">
        <x:v>1431.0216763967999</x:v>
      </x:c>
      <x:c r="M31" s="60" t="n">
        <x:v>13027.9945808091</x:v>
      </x:c>
      <x:c r="N31" s="46" t="str">
        <x:v>pseudotolithus</x:v>
      </x:c>
      <x:c r="O31" s="62" t="n">
        <x:v>3.79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Pseudotolithus</x:v>
      </x:c>
      <x:c r="T31" s="62" t="n">
        <x:f>IF(O31="","",(1/'Metadata'!$B$5)^(O31-1))</x:f>
        <x:v>616.5950018614822</x:v>
      </x:c>
      <x:c r="U31" s="60" t="n">
        <x:f>IF(T31="","",I31*T31)</x:f>
        <x:v>8915357.156027073</x:v>
      </x:c>
    </x:row>
    <x:row r="32" ht="18" customHeight="1">
      <x:c r="A32" s="46" t="str">
        <x:v>LME_027</x:v>
      </x:c>
      <x:c r="B32" s="46" t="str">
        <x:v>Canary Current</x:v>
      </x:c>
      <x:c r="C32" s="46" t="str">
        <x:v>LME</x:v>
      </x:c>
      <x:c r="D32" s="58" t="n">
        <x:v>2019</x:v>
      </x:c>
      <x:c r="E32" s="46" t="str">
        <x:v>Octopus</x:v>
      </x:c>
      <x:c r="F32" s="46" t="str">
        <x:v>Octopuses, pikas</x:v>
      </x:c>
      <x:c r="G32" s="46" t="str">
        <x:v>Cephalopods</x:v>
      </x:c>
      <x:c r="H32" s="46" t="str">
        <x:v>Other fishes &amp; inverts</x:v>
      </x:c>
      <x:c r="I32" s="60" t="n">
        <x:v>13697.9005314806</x:v>
      </x:c>
      <x:c r="J32" s="60" t="n">
        <x:v>9882.9530286671</x:v>
      </x:c>
      <x:c r="K32" s="60" t="n">
        <x:v>3814.9475028135</x:v>
      </x:c>
      <x:c r="L32" s="60" t="n">
        <x:v>6596.2353038465</x:v>
      </x:c>
      <x:c r="M32" s="60" t="n">
        <x:v>7101.6652276341</x:v>
      </x:c>
      <x:c r="N32" s="46" t="str">
        <x:v>octopus</x:v>
      </x:c>
      <x:c r="O32" s="62" t="n">
        <x:v>3.8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Octopus</x:v>
      </x:c>
      <x:c r="T32" s="62" t="n">
        <x:f>IF(O32="","",(1/'Metadata'!$B$5)^(O32-1))</x:f>
        <x:v>630.957344480193</x:v>
      </x:c>
      <x:c r="U32" s="60" t="n">
        <x:f>IF(T32="","",I32*T32)</x:f>
        <x:v>8642790.944296824</x:v>
      </x:c>
    </x:row>
    <x:row r="33" ht="18" customHeight="1">
      <x:c r="A33" s="46" t="str">
        <x:v>LME_027</x:v>
      </x:c>
      <x:c r="B33" s="46" t="str">
        <x:v>Canary Current</x:v>
      </x:c>
      <x:c r="C33" s="46" t="str">
        <x:v>LME</x:v>
      </x:c>
      <x:c r="D33" s="58" t="n">
        <x:v>2019</x:v>
      </x:c>
      <x:c r="E33" s="46" t="str">
        <x:v>Trachurus trecae</x:v>
      </x:c>
      <x:c r="F33" s="46" t="str">
        <x:v>Cunene horse mackerel</x:v>
      </x:c>
      <x:c r="G33" s="46" t="str">
        <x:v>Medium benthopelagics (30 - 89 cm)</x:v>
      </x:c>
      <x:c r="H33" s="46" t="str">
        <x:v>Perch-likes</x:v>
      </x:c>
      <x:c r="I33" s="60" t="n">
        <x:v>12687.7955874398</x:v>
      </x:c>
      <x:c r="J33" s="60" t="n">
        <x:v>12687.7955874398</x:v>
      </x:c>
      <x:c r="K33" s="60" t="n">
        <x:v>0</x:v>
      </x:c>
      <x:c r="L33" s="60" t="n">
        <x:v>4485.3703297828</x:v>
      </x:c>
      <x:c r="M33" s="60" t="n">
        <x:v>8202.425257657</x:v>
      </x:c>
      <x:c r="N33" s="46" t="str">
        <x:v>trachurus trecae</x:v>
      </x:c>
      <x:c r="O33" s="62" t="n">
        <x:v>3.49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Trachurus trecae</x:v>
      </x:c>
      <x:c r="T33" s="62" t="n">
        <x:f>IF(O33="","",(1/'Metadata'!$B$5)^(O33-1))</x:f>
        <x:v>309.0295432513592</x:v>
      </x:c>
      <x:c r="U33" s="60" t="n">
        <x:f>IF(T33="","",I33*T33)</x:f>
        <x:v>3920903.675253132</x:v>
      </x:c>
    </x:row>
    <x:row r="34" ht="18" customHeight="1">
      <x:c r="A34" s="46" t="str">
        <x:v>LME_027</x:v>
      </x:c>
      <x:c r="B34" s="46" t="str">
        <x:v>Canary Current</x:v>
      </x:c>
      <x:c r="C34" s="46" t="str">
        <x:v>LME</x:v>
      </x:c>
      <x:c r="D34" s="58" t="n">
        <x:v>2019</x:v>
      </x:c>
      <x:c r="E34" s="46" t="str">
        <x:v>Scomber scombrus</x:v>
      </x:c>
      <x:c r="F34" s="46" t="str">
        <x:v>Atlantic mackerel</x:v>
      </x:c>
      <x:c r="G34" s="46" t="str">
        <x:v>Medium pelagics (30 - 89 cm)</x:v>
      </x:c>
      <x:c r="H34" s="46" t="str">
        <x:v>Perch-likes</x:v>
      </x:c>
      <x:c r="I34" s="60" t="n">
        <x:v>12572.862879688899</x:v>
      </x:c>
      <x:c r="J34" s="60" t="n">
        <x:v>12572.862879688899</x:v>
      </x:c>
      <x:c r="K34" s="60" t="n">
        <x:v>0</x:v>
      </x:c>
      <x:c r="L34" s="60" t="n">
        <x:v>12572.763145526498</x:v>
      </x:c>
      <x:c r="M34" s="60" t="n">
        <x:v>0.0997341624</x:v>
      </x:c>
      <x:c r="N34" s="46" t="str">
        <x:v>scomber scombrus</x:v>
      </x:c>
      <x:c r="O34" s="62" t="n">
        <x:v>3.63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Scomber scombrus</x:v>
      </x:c>
      <x:c r="T34" s="62" t="n">
        <x:f>IF(O34="","",(1/'Metadata'!$B$5)^(O34-1))</x:f>
        <x:v>426.57951880159254</x:v>
      </x:c>
      <x:c r="U34" s="60" t="n">
        <x:f>IF(T34="","",I34*T34)</x:f>
        <x:v>5363325.797176096</x:v>
      </x:c>
    </x:row>
    <x:row r="35" ht="18" customHeight="1">
      <x:c r="A35" s="46" t="str">
        <x:v>LME_027</x:v>
      </x:c>
      <x:c r="B35" s="46" t="str">
        <x:v>Canary Current</x:v>
      </x:c>
      <x:c r="C35" s="46" t="str">
        <x:v>LME</x:v>
      </x:c>
      <x:c r="D35" s="58" t="n">
        <x:v>2019</x:v>
      </x:c>
      <x:c r="E35" s="46" t="str">
        <x:v>Cynoglossus monodi</x:v>
      </x:c>
      <x:c r="F35" s="46" t="str">
        <x:v>Guinean tonguesole</x:v>
      </x:c>
      <x:c r="G35" s="46" t="str">
        <x:v>Small to medium flatfishes (&lt;90 cm)</x:v>
      </x:c>
      <x:c r="H35" s="46" t="str">
        <x:v>Flatfishes</x:v>
      </x:c>
      <x:c r="I35" s="60" t="n">
        <x:v>12408.9802459237</x:v>
      </x:c>
      <x:c r="J35" s="60" t="n">
        <x:v>0</x:v>
      </x:c>
      <x:c r="K35" s="60" t="n">
        <x:v>12408.9802459237</x:v>
      </x:c>
      <x:c r="L35" s="60" t="n">
        <x:v>0</x:v>
      </x:c>
      <x:c r="M35" s="60" t="n">
        <x:v>12408.9802459237</x:v>
      </x:c>
      <x:c r="N35" s="46" t="str">
        <x:v>cynoglossus monodi</x:v>
      </x:c>
      <x:c r="O35" s="62" t="n">
        <x:v>3.6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Cynoglossus monodi</x:v>
      </x:c>
      <x:c r="T35" s="62" t="n">
        <x:f>IF(O35="","",(1/'Metadata'!$B$5)^(O35-1))</x:f>
        <x:v>398.1071705534973</x:v>
      </x:c>
      <x:c r="U35" s="60" t="n">
        <x:f>IF(T35="","",I35*T35)</x:f>
        <x:v>4940104.015158925</x:v>
      </x:c>
    </x:row>
    <x:row r="36" ht="18" customHeight="1">
      <x:c r="A36" s="46" t="str">
        <x:v>LME_027</x:v>
      </x:c>
      <x:c r="B36" s="46" t="str">
        <x:v>Canary Current</x:v>
      </x:c>
      <x:c r="C36" s="46" t="str">
        <x:v>LME</x:v>
      </x:c>
      <x:c r="D36" s="58" t="n">
        <x:v>2019</x:v>
      </x:c>
      <x:c r="E36" s="46" t="str">
        <x:v>Loligo</x:v>
      </x:c>
      <x:c r="F36" s="46" t="str">
        <x:v>Common squids</x:v>
      </x:c>
      <x:c r="G36" s="46" t="str">
        <x:v>Cephalopods</x:v>
      </x:c>
      <x:c r="H36" s="46" t="str">
        <x:v>Other fishes &amp; inverts</x:v>
      </x:c>
      <x:c r="I36" s="60" t="n">
        <x:v>12105.1209102842</x:v>
      </x:c>
      <x:c r="J36" s="60" t="n">
        <x:v>11320.237255912501</x:v>
      </x:c>
      <x:c r="K36" s="60" t="n">
        <x:v>784.8836543717</x:v>
      </x:c>
      <x:c r="L36" s="60" t="n">
        <x:v>7080.9413014921</x:v>
      </x:c>
      <x:c r="M36" s="60" t="n">
        <x:v>5024.1796087921</x:v>
      </x:c>
      <x:c r="N36" s="46" t="str">
        <x:v>loligo</x:v>
      </x:c>
      <x:c r="O36" s="62" t="n">
        <x:v>3.99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Loligo</x:v>
      </x:c>
      <x:c r="T36" s="62" t="n">
        <x:f>IF(O36="","",(1/'Metadata'!$B$5)^(O36-1))</x:f>
        <x:v>977.2372209558112</x:v>
      </x:c>
      <x:c r="U36" s="60" t="n">
        <x:f>IF(T36="","",I36*T36)</x:f>
        <x:v>11829574.717700211</x:v>
      </x:c>
    </x:row>
    <x:row r="37" ht="18" customHeight="1">
      <x:c r="A37" s="46" t="str">
        <x:v>LME_027</x:v>
      </x:c>
      <x:c r="B37" s="46" t="str">
        <x:v>Canary Current</x:v>
      </x:c>
      <x:c r="C37" s="46" t="str">
        <x:v>LME</x:v>
      </x:c>
      <x:c r="D37" s="58" t="n">
        <x:v>2019</x:v>
      </x:c>
      <x:c r="E37" s="46" t="str">
        <x:v>Thunnus albacares</x:v>
      </x:c>
      <x:c r="F37" s="46" t="str">
        <x:v>Yellowfin tuna</x:v>
      </x:c>
      <x:c r="G37" s="46" t="str">
        <x:v>Large pelagics (&gt;=90 cm)</x:v>
      </x:c>
      <x:c r="H37" s="46" t="str">
        <x:v>Tuna &amp; billfishes</x:v>
      </x:c>
      <x:c r="I37" s="60" t="n">
        <x:v>11720.9584801528</x:v>
      </x:c>
      <x:c r="J37" s="60" t="n">
        <x:v>11720.9584801528</x:v>
      </x:c>
      <x:c r="K37" s="60" t="n">
        <x:v>0</x:v>
      </x:c>
      <x:c r="L37" s="60" t="n">
        <x:v>11329.6526665653</x:v>
      </x:c>
      <x:c r="M37" s="60" t="n">
        <x:v>391.3058135875</x:v>
      </x:c>
      <x:c r="N37" s="46" t="str">
        <x:v>thunnus albacares</x:v>
      </x:c>
      <x:c r="O37" s="62" t="n">
        <x:v>4.41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Thunnus albacares</x:v>
      </x:c>
      <x:c r="T37" s="62" t="n">
        <x:f>IF(O37="","",(1/'Metadata'!$B$5)^(O37-1))</x:f>
        <x:v>2570.3957827688646</x:v>
      </x:c>
      <x:c r="U37" s="60" t="n">
        <x:f>IF(T37="","",I37*T37)</x:f>
        <x:v>30127502.247393716</x:v>
      </x:c>
    </x:row>
    <x:row r="38" ht="18" customHeight="1">
      <x:c r="A38" s="46" t="str">
        <x:v>LME_027</x:v>
      </x:c>
      <x:c r="B38" s="46" t="str">
        <x:v>Canary Current</x:v>
      </x:c>
      <x:c r="C38" s="46" t="str">
        <x:v>LME</x:v>
      </x:c>
      <x:c r="D38" s="58" t="n">
        <x:v>2019</x:v>
      </x:c>
      <x:c r="E38" s="46" t="str">
        <x:v>Conger conger</x:v>
      </x:c>
      <x:c r="F38" s="46" t="str">
        <x:v>European conger</x:v>
      </x:c>
      <x:c r="G38" s="46" t="str">
        <x:v>Large demersals (&gt;=90 cm)</x:v>
      </x:c>
      <x:c r="H38" s="46" t="str">
        <x:v>Other fishes &amp; inverts</x:v>
      </x:c>
      <x:c r="I38" s="60" t="n">
        <x:v>11545.0277031516</x:v>
      </x:c>
      <x:c r="J38" s="60" t="n">
        <x:v>9078.8321068275</x:v>
      </x:c>
      <x:c r="K38" s="60" t="n">
        <x:v>2466.1955963241</x:v>
      </x:c>
      <x:c r="L38" s="60" t="n">
        <x:v>2061.3369079006998</x:v>
      </x:c>
      <x:c r="M38" s="60" t="n">
        <x:v>9483.6907952509</x:v>
      </x:c>
      <x:c r="N38" s="46" t="str">
        <x:v>conger conger</x:v>
      </x:c>
      <x:c r="O38" s="62" t="n">
        <x:v>4.31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Conger conger</x:v>
      </x:c>
      <x:c r="T38" s="62" t="n">
        <x:f>IF(O38="","",(1/'Metadata'!$B$5)^(O38-1))</x:f>
        <x:v>2041.7379446695275</x:v>
      </x:c>
      <x:c r="U38" s="60" t="n">
        <x:f>IF(T38="","",I38*T38)</x:f>
        <x:v>23571921.1337855</x:v>
      </x:c>
    </x:row>
    <x:row r="39" ht="18" customHeight="1">
      <x:c r="A39" s="46" t="str">
        <x:v>LME_027</x:v>
      </x:c>
      <x:c r="B39" s="46" t="str">
        <x:v>Canary Current</x:v>
      </x:c>
      <x:c r="C39" s="46" t="str">
        <x:v>LME</x:v>
      </x:c>
      <x:c r="D39" s="58" t="n">
        <x:v>2019</x:v>
      </x:c>
      <x:c r="E39" s="46" t="str">
        <x:v>Miscellaneous aquatic invertebrates</x:v>
      </x:c>
      <x:c r="F39" s="46" t="str">
        <x:v>Aquatic invertebrates</x:v>
      </x:c>
      <x:c r="G39" s="46" t="str">
        <x:v>Other demersal invertebrates</x:v>
      </x:c>
      <x:c r="H39" s="46" t="str">
        <x:v>Other fishes &amp; inverts</x:v>
      </x:c>
      <x:c r="I39" s="60" t="n">
        <x:v>10526.097433190698</x:v>
      </x:c>
      <x:c r="J39" s="60" t="n">
        <x:v>535.2855749229</x:v>
      </x:c>
      <x:c r="K39" s="60" t="n">
        <x:v>9990.8118582678</x:v>
      </x:c>
      <x:c r="L39" s="60" t="n">
        <x:v>0.193011046</x:v>
      </x:c>
      <x:c r="M39" s="60" t="n">
        <x:v>10525.904422144698</x:v>
      </x:c>
      <x:c r="N39" s="46" t="str">
        <x:v>miscellaneous aquatic invertebrates</x:v>
      </x:c>
      <x:c r="O39" s="62" t="n">
        <x:v>2.43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Miscellaneous aquatic invertebrates</x:v>
      </x:c>
      <x:c r="T39" s="62" t="n">
        <x:f>IF(O39="","",(1/'Metadata'!$B$5)^(O39-1))</x:f>
        <x:v>26.915348039269166</x:v>
      </x:c>
      <x:c r="U39" s="60" t="n">
        <x:f>IF(T39="","",I39*T39)</x:f>
        <x:v>283313.57590958546</x:v>
      </x:c>
    </x:row>
    <x:row r="40" ht="18" customHeight="1">
      <x:c r="A40" s="46" t="str">
        <x:v>LME_027</x:v>
      </x:c>
      <x:c r="B40" s="46" t="str">
        <x:v>Canary Current</x:v>
      </x:c>
      <x:c r="C40" s="46" t="str">
        <x:v>LME</x:v>
      </x:c>
      <x:c r="D40" s="58" t="n">
        <x:v>2019</x:v>
      </x:c>
      <x:c r="E40" s="46" t="str">
        <x:v>Argyrosomus regius</x:v>
      </x:c>
      <x:c r="F40" s="46" t="str">
        <x:v>Meagre</x:v>
      </x:c>
      <x:c r="G40" s="46" t="str">
        <x:v>Large benthopelagics (&gt;=90 cm)</x:v>
      </x:c>
      <x:c r="H40" s="46" t="str">
        <x:v>Perch-likes</x:v>
      </x:c>
      <x:c r="I40" s="60" t="n">
        <x:v>10480.74563119</x:v>
      </x:c>
      <x:c r="J40" s="60" t="n">
        <x:v>10171.5969447628</x:v>
      </x:c>
      <x:c r="K40" s="60" t="n">
        <x:v>309.1486864272</x:v>
      </x:c>
      <x:c r="L40" s="60" t="n">
        <x:v>4772.4934201299</x:v>
      </x:c>
      <x:c r="M40" s="60" t="n">
        <x:v>5708.252211060099</x:v>
      </x:c>
      <x:c r="N40" s="46" t="str">
        <x:v>argyrosomus regius</x:v>
      </x:c>
      <x:c r="O40" s="62" t="n">
        <x:v>4.29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Argyrosomus regius</x:v>
      </x:c>
      <x:c r="T40" s="62" t="n">
        <x:f>IF(O40="","",(1/'Metadata'!$B$5)^(O40-1))</x:f>
        <x:v>1949.8445997580454</x:v>
      </x:c>
      <x:c r="U40" s="60" t="n">
        <x:f>IF(T40="","",I40*T40)</x:f>
        <x:v>20435825.27041355</x:v>
      </x:c>
    </x:row>
    <x:row r="41" ht="18" customHeight="1">
      <x:c r="A41" s="46" t="str">
        <x:v>LME_027</x:v>
      </x:c>
      <x:c r="B41" s="46" t="str">
        <x:v>Canary Current</x:v>
      </x:c>
      <x:c r="C41" s="46" t="str">
        <x:v>LME</x:v>
      </x:c>
      <x:c r="D41" s="58" t="n">
        <x:v>2019</x:v>
      </x:c>
      <x:c r="E41" s="46" t="str">
        <x:v>Lepas</x:v>
      </x:c>
      <x:c r="F41" s="46" t="str">
        <x:v>Goose barnacles</x:v>
      </x:c>
      <x:c r="G41" s="46" t="str">
        <x:v>Other demersal invertebrates</x:v>
      </x:c>
      <x:c r="H41" s="46" t="str">
        <x:v>Crustaceans</x:v>
      </x:c>
      <x:c r="I41" s="60" t="n">
        <x:v>10371.543798988101</x:v>
      </x:c>
      <x:c r="J41" s="60" t="n">
        <x:v>10371.543798988101</x:v>
      </x:c>
      <x:c r="K41" s="60" t="n">
        <x:v>0</x:v>
      </x:c>
      <x:c r="L41" s="60" t="n">
        <x:v>0</x:v>
      </x:c>
      <x:c r="M41" s="60" t="n">
        <x:v>10371.543798988101</x:v>
      </x:c>
      <x:c r="N41" s="46" t="str">
        <x:v>lepas</x:v>
      </x:c>
      <x:c r="O41" s="62" t="n">
        <x:v>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Lepas</x:v>
      </x:c>
      <x:c r="T41" s="62" t="n">
        <x:f>IF(O41="","",(1/'Metadata'!$B$5)^(O41-1))</x:f>
        <x:v>100</x:v>
      </x:c>
      <x:c r="U41" s="60" t="n">
        <x:f>IF(T41="","",I41*T41)</x:f>
        <x:v>1037154.3798988101</x:v>
      </x:c>
    </x:row>
    <x:row r="42" ht="18" customHeight="1">
      <x:c r="A42" s="46" t="str">
        <x:v>LME_027</x:v>
      </x:c>
      <x:c r="B42" s="46" t="str">
        <x:v>Canary Current</x:v>
      </x:c>
      <x:c r="C42" s="46" t="str">
        <x:v>LME</x:v>
      </x:c>
      <x:c r="D42" s="58" t="n">
        <x:v>2019</x:v>
      </x:c>
      <x:c r="E42" s="46" t="str">
        <x:v>Prionace glauca</x:v>
      </x:c>
      <x:c r="F42" s="46" t="str">
        <x:v>Blue shark</x:v>
      </x:c>
      <x:c r="G42" s="46" t="str">
        <x:v>Large sharks (&gt;=90 cm)</x:v>
      </x:c>
      <x:c r="H42" s="46" t="str">
        <x:v>Sharks &amp; rays</x:v>
      </x:c>
      <x:c r="I42" s="60" t="n">
        <x:v>10263.6412344382</x:v>
      </x:c>
      <x:c r="J42" s="60" t="n">
        <x:v>10263.6412344382</x:v>
      </x:c>
      <x:c r="K42" s="60" t="n">
        <x:v>0</x:v>
      </x:c>
      <x:c r="L42" s="60" t="n">
        <x:v>9201.2431614252</x:v>
      </x:c>
      <x:c r="M42" s="60" t="n">
        <x:v>1062.398073013</x:v>
      </x:c>
      <x:c r="N42" s="46" t="str">
        <x:v>prionace glauca</x:v>
      </x:c>
      <x:c r="O42" s="62" t="n">
        <x:v>4.35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Prionace glauca</x:v>
      </x:c>
      <x:c r="T42" s="62" t="n">
        <x:f>IF(O42="","",(1/'Metadata'!$B$5)^(O42-1))</x:f>
        <x:v>2238.7211385683377</x:v>
      </x:c>
      <x:c r="U42" s="60" t="n">
        <x:f>IF(T42="","",I42*T42)</x:f>
        <x:v>22977430.59021843</x:v>
      </x:c>
    </x:row>
    <x:row r="43" ht="18" customHeight="1">
      <x:c r="A43" s="46" t="str">
        <x:v>LME_027</x:v>
      </x:c>
      <x:c r="B43" s="46" t="str">
        <x:v>Canary Current</x:v>
      </x:c>
      <x:c r="C43" s="46" t="str">
        <x:v>LME</x:v>
      </x:c>
      <x:c r="D43" s="58" t="n">
        <x:v>2019</x:v>
      </x:c>
      <x:c r="E43" s="46" t="str">
        <x:v>Scomberomorus</x:v>
      </x:c>
      <x:c r="F43" s="46" t="str">
        <x:v>Spanish mackerels</x:v>
      </x:c>
      <x:c r="G43" s="46" t="str">
        <x:v>Large pelagics (&gt;=90 cm)</x:v>
      </x:c>
      <x:c r="H43" s="46" t="str">
        <x:v>Perch-likes</x:v>
      </x:c>
      <x:c r="I43" s="60" t="n">
        <x:v>9905.7463560886</x:v>
      </x:c>
      <x:c r="J43" s="60" t="n">
        <x:v>9905.7463560886</x:v>
      </x:c>
      <x:c r="K43" s="60" t="n">
        <x:v>0</x:v>
      </x:c>
      <x:c r="L43" s="60" t="n">
        <x:v>0</x:v>
      </x:c>
      <x:c r="M43" s="60" t="n">
        <x:v>9905.7463560886</x:v>
      </x:c>
      <x:c r="N43" s="46" t="str">
        <x:v>scomberomorus</x:v>
      </x:c>
      <x:c r="O43" s="62" t="n">
        <x:v>4.35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Scomberomorus</x:v>
      </x:c>
      <x:c r="T43" s="62" t="n">
        <x:f>IF(O43="","",(1/'Metadata'!$B$5)^(O43-1))</x:f>
        <x:v>2238.7211385683377</x:v>
      </x:c>
      <x:c r="U43" s="60" t="n">
        <x:f>IF(T43="","",I43*T43)</x:f>
        <x:v>22176203.760671835</x:v>
      </x:c>
    </x:row>
    <x:row r="44" ht="18" customHeight="1">
      <x:c r="A44" s="46" t="str">
        <x:v>LME_027</x:v>
      </x:c>
      <x:c r="B44" s="46" t="str">
        <x:v>Canary Current</x:v>
      </x:c>
      <x:c r="C44" s="46" t="str">
        <x:v>LME</x:v>
      </x:c>
      <x:c r="D44" s="58" t="n">
        <x:v>2019</x:v>
      </x:c>
      <x:c r="E44" s="46" t="str">
        <x:v>Epinephelus aeneus</x:v>
      </x:c>
      <x:c r="F44" s="46" t="str">
        <x:v>White grouper</x:v>
      </x:c>
      <x:c r="G44" s="46" t="str">
        <x:v>Large demersals (&gt;=90 cm)</x:v>
      </x:c>
      <x:c r="H44" s="46" t="str">
        <x:v>Perch-likes</x:v>
      </x:c>
      <x:c r="I44" s="60" t="n">
        <x:v>9714.1834183099</x:v>
      </x:c>
      <x:c r="J44" s="60" t="n">
        <x:v>9465.0862342119</x:v>
      </x:c>
      <x:c r="K44" s="60" t="n">
        <x:v>249.097184098</x:v>
      </x:c>
      <x:c r="L44" s="60" t="n">
        <x:v>7797.874941540599</x:v>
      </x:c>
      <x:c r="M44" s="60" t="n">
        <x:v>1916.3084767693001</x:v>
      </x:c>
      <x:c r="N44" s="46" t="str">
        <x:v>epinephelus aeneus</x:v>
      </x:c>
      <x:c r="O44" s="62" t="n">
        <x:v>4.02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Epinephelus aeneus</x:v>
      </x:c>
      <x:c r="T44" s="62" t="n">
        <x:f>IF(O44="","",(1/'Metadata'!$B$5)^(O44-1))</x:f>
        <x:v>1047.1285480508984</x:v>
      </x:c>
      <x:c r="U44" s="60" t="n">
        <x:f>IF(T44="","",I44*T44)</x:f>
        <x:v>10171998.77831496</x:v>
      </x:c>
    </x:row>
    <x:row r="45" ht="18" customHeight="1">
      <x:c r="A45" s="46" t="str">
        <x:v>LME_027</x:v>
      </x:c>
      <x:c r="B45" s="46" t="str">
        <x:v>Canary Current</x:v>
      </x:c>
      <x:c r="C45" s="46" t="str">
        <x:v>LME</x:v>
      </x:c>
      <x:c r="D45" s="58" t="n">
        <x:v>2019</x:v>
      </x:c>
      <x:c r="E45" s="46" t="str">
        <x:v>Diplodus</x:v>
      </x:c>
      <x:c r="F45" s="46" t="str">
        <x:v>Two-toothed seabreams</x:v>
      </x:c>
      <x:c r="G45" s="46" t="str">
        <x:v>Medium benthopelagics (30 - 89 cm)</x:v>
      </x:c>
      <x:c r="H45" s="46" t="str">
        <x:v>Perch-likes</x:v>
      </x:c>
      <x:c r="I45" s="60" t="n">
        <x:v>9694.7102699077</x:v>
      </x:c>
      <x:c r="J45" s="60" t="n">
        <x:v>6748.8525136251</x:v>
      </x:c>
      <x:c r="K45" s="60" t="n">
        <x:v>2945.8577562826003</x:v>
      </x:c>
      <x:c r="L45" s="60" t="n">
        <x:v>1082.4147838669</x:v>
      </x:c>
      <x:c r="M45" s="60" t="n">
        <x:v>8612.2954860408</x:v>
      </x:c>
      <x:c r="N45" s="46" t="str">
        <x:v>diplodus</x:v>
      </x:c>
      <x:c r="O45" s="62" t="n">
        <x:v>2.97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Diplodus</x:v>
      </x:c>
      <x:c r="T45" s="62" t="n">
        <x:f>IF(O45="","",(1/'Metadata'!$B$5)^(O45-1))</x:f>
        <x:v>93.32543007969915</x:v>
      </x:c>
      <x:c r="U45" s="60" t="n">
        <x:f>IF(T45="","",I45*T45)</x:f>
        <x:v>904763.0054372123</x:v>
      </x:c>
    </x:row>
    <x:row r="46" ht="18" customHeight="1">
      <x:c r="A46" s="46" t="str">
        <x:v>LME_027</x:v>
      </x:c>
      <x:c r="B46" s="46" t="str">
        <x:v>Canary Current</x:v>
      </x:c>
      <x:c r="C46" s="46" t="str">
        <x:v>LME</x:v>
      </x:c>
      <x:c r="D46" s="58" t="n">
        <x:v>2019</x:v>
      </x:c>
      <x:c r="E46" s="46" t="str">
        <x:v>Palinuridae</x:v>
      </x:c>
      <x:c r="F46" s="46" t="str">
        <x:v>Spiny lobsters</x:v>
      </x:c>
      <x:c r="G46" s="46" t="str">
        <x:v>Lobsters, crabs</x:v>
      </x:c>
      <x:c r="H46" s="46" t="str">
        <x:v>Crustaceans</x:v>
      </x:c>
      <x:c r="I46" s="60" t="n">
        <x:v>8411.4807044986</x:v>
      </x:c>
      <x:c r="J46" s="60" t="n">
        <x:v>8411.2421682832</x:v>
      </x:c>
      <x:c r="K46" s="60" t="n">
        <x:v>0.2385362154</x:v>
      </x:c>
      <x:c r="L46" s="60" t="n">
        <x:v>363.1510473002</x:v>
      </x:c>
      <x:c r="M46" s="60" t="n">
        <x:v>8048.329657198399</x:v>
      </x:c>
      <x:c r="N46" s="46" t="str">
        <x:v>palinuridae</x:v>
      </x:c>
      <x:c r="O46" s="62" t="n">
        <x:v>3.14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Palinuridae</x:v>
      </x:c>
      <x:c r="T46" s="62" t="n">
        <x:f>IF(O46="","",(1/'Metadata'!$B$5)^(O46-1))</x:f>
        <x:v>138.03842646028852</x:v>
      </x:c>
      <x:c r="U46" s="60" t="n">
        <x:f>IF(T46="","",I46*T46)</x:f>
        <x:v>1161107.5606500658</x:v>
      </x:c>
    </x:row>
    <x:row r="47" ht="18" customHeight="1">
      <x:c r="A47" s="46" t="str">
        <x:v>LME_027</x:v>
      </x:c>
      <x:c r="B47" s="46" t="str">
        <x:v>Canary Current</x:v>
      </x:c>
      <x:c r="C47" s="46" t="str">
        <x:v>LME</x:v>
      </x:c>
      <x:c r="D47" s="58" t="n">
        <x:v>2019</x:v>
      </x:c>
      <x:c r="E47" s="46" t="str">
        <x:v>Plectorhinchus mediterraneus</x:v>
      </x:c>
      <x:c r="F47" s="46" t="str">
        <x:v>Rubberlip grunt</x:v>
      </x:c>
      <x:c r="G47" s="46" t="str">
        <x:v>Medium demersals (30 - 89 cm)</x:v>
      </x:c>
      <x:c r="H47" s="46" t="str">
        <x:v>Perch-likes</x:v>
      </x:c>
      <x:c r="I47" s="60" t="n">
        <x:v>8130.0474747707</x:v>
      </x:c>
      <x:c r="J47" s="60" t="n">
        <x:v>7949.729619655301</x:v>
      </x:c>
      <x:c r="K47" s="60" t="n">
        <x:v>180.3178551154</x:v>
      </x:c>
      <x:c r="L47" s="60" t="n">
        <x:v>6514.5171056643</x:v>
      </x:c>
      <x:c r="M47" s="60" t="n">
        <x:v>1615.5303691064</x:v>
      </x:c>
      <x:c r="N47" s="46" t="str">
        <x:v>plectorhinchus mediterraneus</x:v>
      </x:c>
      <x:c r="O47" s="62" t="n">
        <x:v>3.49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Plectorhinchus mediterraneus</x:v>
      </x:c>
      <x:c r="T47" s="62" t="n">
        <x:f>IF(O47="","",(1/'Metadata'!$B$5)^(O47-1))</x:f>
        <x:v>309.0295432513592</x:v>
      </x:c>
      <x:c r="U47" s="60" t="n">
        <x:f>IF(T47="","",I47*T47)</x:f>
        <x:v>2512424.857740256</x:v>
      </x:c>
    </x:row>
    <x:row r="48" ht="18" customHeight="1">
      <x:c r="A48" s="46" t="str">
        <x:v>LME_027</x:v>
      </x:c>
      <x:c r="B48" s="46" t="str">
        <x:v>Canary Current</x:v>
      </x:c>
      <x:c r="C48" s="46" t="str">
        <x:v>LME</x:v>
      </x:c>
      <x:c r="D48" s="58" t="n">
        <x:v>2019</x:v>
      </x:c>
      <x:c r="E48" s="46" t="str">
        <x:v>Scombroidei</x:v>
      </x:c>
      <x:c r="F48" s="46" t="str">
        <x:v>Tunas, bonitos, billfishes</x:v>
      </x:c>
      <x:c r="G48" s="46" t="str">
        <x:v>Large pelagics (&gt;=90 cm)</x:v>
      </x:c>
      <x:c r="H48" s="46" t="str">
        <x:v>Tuna &amp; billfishes</x:v>
      </x:c>
      <x:c r="I48" s="60" t="n">
        <x:v>8089.768358755599</x:v>
      </x:c>
      <x:c r="J48" s="60" t="n">
        <x:v>8089.768358755599</x:v>
      </x:c>
      <x:c r="K48" s="60" t="n">
        <x:v>0</x:v>
      </x:c>
      <x:c r="L48" s="60" t="n">
        <x:v>35.5153285816</x:v>
      </x:c>
      <x:c r="M48" s="60" t="n">
        <x:v>8054.253030173999</x:v>
      </x:c>
      <x:c r="N48" s="46" t="str">
        <x:v>scombroidei</x:v>
      </x:c>
      <x:c r="O48" s="62" t="n">
        <x:v>4.2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Scombroidei</x:v>
      </x:c>
      <x:c r="T48" s="62" t="n">
        <x:f>IF(O48="","",(1/'Metadata'!$B$5)^(O48-1))</x:f>
        <x:v>1584.893192461114</x:v>
      </x:c>
      <x:c r="U48" s="60" t="n">
        <x:f>IF(T48="","",I48*T48)</x:f>
        <x:v>12821418.80037907</x:v>
      </x:c>
    </x:row>
    <x:row r="49" ht="18" customHeight="1">
      <x:c r="A49" s="46" t="str">
        <x:v>LME_027</x:v>
      </x:c>
      <x:c r="B49" s="46" t="str">
        <x:v>Canary Current</x:v>
      </x:c>
      <x:c r="C49" s="46" t="str">
        <x:v>LME</x:v>
      </x:c>
      <x:c r="D49" s="58" t="n">
        <x:v>2019</x:v>
      </x:c>
      <x:c r="E49" s="46" t="str">
        <x:v>Mugilidae</x:v>
      </x:c>
      <x:c r="F49" s="46" t="str">
        <x:v>Mullets, grey mullets</x:v>
      </x:c>
      <x:c r="G49" s="46" t="str">
        <x:v>Medium reef assoc. fish (30 - 89 cm)</x:v>
      </x:c>
      <x:c r="H49" s="46" t="str">
        <x:v>Perch-likes</x:v>
      </x:c>
      <x:c r="I49" s="60" t="n">
        <x:v>7985.8337371324</x:v>
      </x:c>
      <x:c r="J49" s="60" t="n">
        <x:v>7689.4474009201</x:v>
      </x:c>
      <x:c r="K49" s="60" t="n">
        <x:v>296.38633621229997</x:v>
      </x:c>
      <x:c r="L49" s="60" t="n">
        <x:v>6600.146231806099</x:v>
      </x:c>
      <x:c r="M49" s="60" t="n">
        <x:v>1385.6875053263</x:v>
      </x:c>
      <x:c r="N49" s="46" t="str">
        <x:v>mugilidae</x:v>
      </x:c>
      <x:c r="O49" s="62" t="n">
        <x:v>2.53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Mugilidae</x:v>
      </x:c>
      <x:c r="T49" s="62" t="n">
        <x:f>IF(O49="","",(1/'Metadata'!$B$5)^(O49-1))</x:f>
        <x:v>33.88441561392024</x:v>
      </x:c>
      <x:c r="U49" s="60" t="n">
        <x:f>IF(T49="","",I49*T49)</x:f>
        <x:v>270595.3093726601</x:v>
      </x:c>
    </x:row>
    <x:row r="50" ht="18" customHeight="1">
      <x:c r="A50" s="46" t="str">
        <x:v>LME_027</x:v>
      </x:c>
      <x:c r="B50" s="46" t="str">
        <x:v>Canary Current</x:v>
      </x:c>
      <x:c r="C50" s="46" t="str">
        <x:v>LME</x:v>
      </x:c>
      <x:c r="D50" s="58" t="n">
        <x:v>2019</x:v>
      </x:c>
      <x:c r="E50" s="46" t="str">
        <x:v>Thunnus obesus</x:v>
      </x:c>
      <x:c r="F50" s="46" t="str">
        <x:v>Bigeye tuna</x:v>
      </x:c>
      <x:c r="G50" s="46" t="str">
        <x:v>Large pelagics (&gt;=90 cm)</x:v>
      </x:c>
      <x:c r="H50" s="46" t="str">
        <x:v>Tuna &amp; billfishes</x:v>
      </x:c>
      <x:c r="I50" s="60" t="n">
        <x:v>7966.7740961325</x:v>
      </x:c>
      <x:c r="J50" s="60" t="n">
        <x:v>7966.7740961325</x:v>
      </x:c>
      <x:c r="K50" s="60" t="n">
        <x:v>0</x:v>
      </x:c>
      <x:c r="L50" s="60" t="n">
        <x:v>7150.8807020572995</x:v>
      </x:c>
      <x:c r="M50" s="60" t="n">
        <x:v>815.8933940752</x:v>
      </x:c>
      <x:c r="N50" s="46" t="str">
        <x:v>thunnus obesus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obesus</x:v>
      </x:c>
      <x:c r="T50" s="62" t="n">
        <x:f>IF(O50="","",(1/'Metadata'!$B$5)^(O50-1))</x:f>
        <x:v>3090.295432513592</x:v>
      </x:c>
      <x:c r="U50" s="60" t="n">
        <x:f>IF(T50="","",I50*T50)</x:f>
        <x:v>24619685.601145864</x:v>
      </x:c>
    </x:row>
    <x:row r="51" ht="18" customHeight="1">
      <x:c r="A51" s="46" t="str">
        <x:v>LME_027</x:v>
      </x:c>
      <x:c r="B51" s="46" t="str">
        <x:v>Canary Current</x:v>
      </x:c>
      <x:c r="C51" s="46" t="str">
        <x:v>LME</x:v>
      </x:c>
      <x:c r="D51" s="58" t="n">
        <x:v>2019</x:v>
      </x:c>
      <x:c r="E51" s="46" t="str">
        <x:v>Mullus surmuletus</x:v>
      </x:c>
      <x:c r="F51" s="46" t="str">
        <x:v>Surmullet</x:v>
      </x:c>
      <x:c r="G51" s="46" t="str">
        <x:v>Medium demersals (30 - 89 cm)</x:v>
      </x:c>
      <x:c r="H51" s="46" t="str">
        <x:v>Perch-likes</x:v>
      </x:c>
      <x:c r="I51" s="60" t="n">
        <x:v>7948.2305874840995</x:v>
      </x:c>
      <x:c r="J51" s="60" t="n">
        <x:v>7946.6083544056</x:v>
      </x:c>
      <x:c r="K51" s="60" t="n">
        <x:v>1.6222330785</x:v>
      </x:c>
      <x:c r="L51" s="60" t="n">
        <x:v>371.6882903881</x:v>
      </x:c>
      <x:c r="M51" s="60" t="n">
        <x:v>7576.542297096</x:v>
      </x:c>
      <x:c r="N51" s="46" t="str">
        <x:v>mullus surmuletus</x:v>
      </x:c>
      <x:c r="O51" s="62" t="n">
        <x:v>3.45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Mullus surmuletus</x:v>
      </x:c>
      <x:c r="T51" s="62" t="n">
        <x:f>IF(O51="","",(1/'Metadata'!$B$5)^(O51-1))</x:f>
        <x:v>281.8382931264455</x:v>
      </x:c>
      <x:c r="U51" s="60" t="n">
        <x:f>IF(T51="","",I51*T51)</x:f>
        <x:v>2240115.7421519235</x:v>
      </x:c>
    </x:row>
    <x:row r="52" ht="18" customHeight="1">
      <x:c r="A52" s="46" t="str">
        <x:v>LME_027</x:v>
      </x:c>
      <x:c r="B52" s="46" t="str">
        <x:v>Canary Current</x:v>
      </x:c>
      <x:c r="C52" s="46" t="str">
        <x:v>LME</x:v>
      </x:c>
      <x:c r="D52" s="58" t="n">
        <x:v>2019</x:v>
      </x:c>
      <x:c r="E52" s="46" t="str">
        <x:v>Pseudotolithus senegalensis</x:v>
      </x:c>
      <x:c r="F52" s="46" t="str">
        <x:v>Cassava croaker</x:v>
      </x:c>
      <x:c r="G52" s="46" t="str">
        <x:v>Large demersals (&gt;=90 cm)</x:v>
      </x:c>
      <x:c r="H52" s="46" t="str">
        <x:v>Perch-likes</x:v>
      </x:c>
      <x:c r="I52" s="60" t="n">
        <x:v>7845.1337496538</x:v>
      </x:c>
      <x:c r="J52" s="60" t="n">
        <x:v>7836.4825752317</x:v>
      </x:c>
      <x:c r="K52" s="60" t="n">
        <x:v>8.6511744221</x:v>
      </x:c>
      <x:c r="L52" s="60" t="n">
        <x:v>3126.9724130742</x:v>
      </x:c>
      <x:c r="M52" s="60" t="n">
        <x:v>4718.1613365796</x:v>
      </x:c>
      <x:c r="N52" s="46" t="str">
        <x:v>pseudotolithus senegalensis</x:v>
      </x:c>
      <x:c r="O52" s="62" t="n">
        <x:v>3.79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Pseudotolithus senegalensis</x:v>
      </x:c>
      <x:c r="T52" s="62" t="n">
        <x:f>IF(O52="","",(1/'Metadata'!$B$5)^(O52-1))</x:f>
        <x:v>616.5950018614822</x:v>
      </x:c>
      <x:c r="U52" s="60" t="n">
        <x:f>IF(T52="","",I52*T52)</x:f>
        <x:v>4837270.258971361</x:v>
      </x:c>
    </x:row>
    <x:row r="53" ht="18" customHeight="1">
      <x:c r="A53" s="46" t="str">
        <x:v>LME_027</x:v>
      </x:c>
      <x:c r="B53" s="46" t="str">
        <x:v>Canary Current</x:v>
      </x:c>
      <x:c r="C53" s="46" t="str">
        <x:v>LME</x:v>
      </x:c>
      <x:c r="D53" s="58" t="n">
        <x:v>2019</x:v>
      </x:c>
      <x:c r="E53" s="46" t="str">
        <x:v>Diplodus vulgaris</x:v>
      </x:c>
      <x:c r="F53" s="46" t="str">
        <x:v>Common two-banded seabream</x:v>
      </x:c>
      <x:c r="G53" s="46" t="str">
        <x:v>Medium benthopelagics (30 - 89 cm)</x:v>
      </x:c>
      <x:c r="H53" s="46" t="str">
        <x:v>Perch-likes</x:v>
      </x:c>
      <x:c r="I53" s="60" t="n">
        <x:v>7423.005123831201</x:v>
      </x:c>
      <x:c r="J53" s="60" t="n">
        <x:v>7408.7439364786005</x:v>
      </x:c>
      <x:c r="K53" s="60" t="n">
        <x:v>14.2611873526</x:v>
      </x:c>
      <x:c r="L53" s="60" t="n">
        <x:v>250.7472088711</x:v>
      </x:c>
      <x:c r="M53" s="60" t="n">
        <x:v>7172.2579149601</x:v>
      </x:c>
      <x:c r="N53" s="46" t="str">
        <x:v>diplodus vulgaris</x:v>
      </x:c>
      <x:c r="O53" s="62" t="n">
        <x:v>3.52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Diplodus vulgaris</x:v>
      </x:c>
      <x:c r="T53" s="62" t="n">
        <x:f>IF(O53="","",(1/'Metadata'!$B$5)^(O53-1))</x:f>
        <x:v>331.1311214825911</x:v>
      </x:c>
      <x:c r="U53" s="60" t="n">
        <x:f>IF(T53="","",I53*T53)</x:f>
        <x:v>2457988.0114252456</x:v>
      </x:c>
    </x:row>
    <x:row r="54" ht="18" customHeight="1">
      <x:c r="A54" s="46" t="str">
        <x:v>LME_027</x:v>
      </x:c>
      <x:c r="B54" s="46" t="str">
        <x:v>Canary Current</x:v>
      </x:c>
      <x:c r="C54" s="46" t="str">
        <x:v>LME</x:v>
      </x:c>
      <x:c r="D54" s="58" t="n">
        <x:v>2019</x:v>
      </x:c>
      <x:c r="E54" s="46" t="str">
        <x:v>Boops boops</x:v>
      </x:c>
      <x:c r="F54" s="46" t="str">
        <x:v>Bogue</x:v>
      </x:c>
      <x:c r="G54" s="46" t="str">
        <x:v>Medium demersals (30 - 89 cm)</x:v>
      </x:c>
      <x:c r="H54" s="46" t="str">
        <x:v>Perch-likes</x:v>
      </x:c>
      <x:c r="I54" s="60" t="n">
        <x:v>7144.057994057201</x:v>
      </x:c>
      <x:c r="J54" s="60" t="n">
        <x:v>6465.0794441117005</x:v>
      </x:c>
      <x:c r="K54" s="60" t="n">
        <x:v>678.9785499455</x:v>
      </x:c>
      <x:c r="L54" s="60" t="n">
        <x:v>2251.8258543535003</x:v>
      </x:c>
      <x:c r="M54" s="60" t="n">
        <x:v>4892.2321397037</x:v>
      </x:c>
      <x:c r="N54" s="46" t="str">
        <x:v>boops boops</x:v>
      </x:c>
      <x:c r="O54" s="62" t="n">
        <x:v>2.79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Boops boops</x:v>
      </x:c>
      <x:c r="T54" s="62" t="n">
        <x:f>IF(O54="","",(1/'Metadata'!$B$5)^(O54-1))</x:f>
        <x:v>61.65950018614822</x:v>
      </x:c>
      <x:c r="U54" s="60" t="n">
        <x:f>IF(T54="","",I54*T54)</x:f>
        <x:v>440499.0452144237</x:v>
      </x:c>
    </x:row>
    <x:row r="55" ht="18" customHeight="1">
      <x:c r="A55" s="46" t="str">
        <x:v>LME_027</x:v>
      </x:c>
      <x:c r="B55" s="46" t="str">
        <x:v>Canary Current</x:v>
      </x:c>
      <x:c r="C55" s="46" t="str">
        <x:v>LME</x:v>
      </x:c>
      <x:c r="D55" s="58" t="n">
        <x:v>2019</x:v>
      </x:c>
      <x:c r="E55" s="46" t="str">
        <x:v>Merluccius senegalensis</x:v>
      </x:c>
      <x:c r="F55" s="46" t="str">
        <x:v>Senegalese hake</x:v>
      </x:c>
      <x:c r="G55" s="46" t="str">
        <x:v>Medium demersals (30 - 89 cm)</x:v>
      </x:c>
      <x:c r="H55" s="46" t="str">
        <x:v>Cod-likes</x:v>
      </x:c>
      <x:c r="I55" s="60" t="n">
        <x:v>7142.2536300229</x:v>
      </x:c>
      <x:c r="J55" s="60" t="n">
        <x:v>7142.2536300229</x:v>
      </x:c>
      <x:c r="K55" s="60" t="n">
        <x:v>0</x:v>
      </x:c>
      <x:c r="L55" s="60" t="n">
        <x:v>5731.495241279799</x:v>
      </x:c>
      <x:c r="M55" s="60" t="n">
        <x:v>1410.7583887431</x:v>
      </x:c>
      <x:c r="N55" s="46" t="str">
        <x:v>merluccius senegalensis</x:v>
      </x:c>
      <x:c r="O55" s="62" t="n">
        <x:v>4.5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Merluccius senegalensis</x:v>
      </x:c>
      <x:c r="T55" s="62" t="n">
        <x:f>IF(O55="","",(1/'Metadata'!$B$5)^(O55-1))</x:f>
        <x:v>3162.2776601683795</x:v>
      </x:c>
      <x:c r="U55" s="60" t="n">
        <x:f>IF(T55="","",I55*T55)</x:f>
        <x:v>22585789.09747793</x:v>
      </x:c>
    </x:row>
    <x:row r="56" ht="18" customHeight="1">
      <x:c r="A56" s="46" t="str">
        <x:v>LME_027</x:v>
      </x:c>
      <x:c r="B56" s="46" t="str">
        <x:v>Canary Current</x:v>
      </x:c>
      <x:c r="C56" s="46" t="str">
        <x:v>LME</x:v>
      </x:c>
      <x:c r="D56" s="58" t="n">
        <x:v>2019</x:v>
      </x:c>
      <x:c r="E56" s="46" t="str">
        <x:v>Thunnus alalunga</x:v>
      </x:c>
      <x:c r="F56" s="46" t="str">
        <x:v>Albacore</x:v>
      </x:c>
      <x:c r="G56" s="46" t="str">
        <x:v>Large pelagics (&gt;=90 cm)</x:v>
      </x:c>
      <x:c r="H56" s="46" t="str">
        <x:v>Tuna &amp; billfishes</x:v>
      </x:c>
      <x:c r="I56" s="60" t="n">
        <x:v>7131.8903420521</x:v>
      </x:c>
      <x:c r="J56" s="60" t="n">
        <x:v>7131.8903420521</x:v>
      </x:c>
      <x:c r="K56" s="60" t="n">
        <x:v>0</x:v>
      </x:c>
      <x:c r="L56" s="60" t="n">
        <x:v>6426.0718913392</x:v>
      </x:c>
      <x:c r="M56" s="60" t="n">
        <x:v>705.8184507129</x:v>
      </x:c>
      <x:c r="N56" s="46" t="str">
        <x:v>thunnus alalunga</x:v>
      </x:c>
      <x:c r="O56" s="62" t="n">
        <x:v>4.3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Thunnus alalunga</x:v>
      </x:c>
      <x:c r="T56" s="62" t="n">
        <x:f>IF(O56="","",(1/'Metadata'!$B$5)^(O56-1))</x:f>
        <x:v>1995.2623149688789</x:v>
      </x:c>
      <x:c r="U56" s="60" t="n">
        <x:f>IF(T56="","",I56*T56)</x:f>
        <x:v>14229992.033987062</x:v>
      </x:c>
    </x:row>
    <x:row r="57" ht="18" customHeight="1">
      <x:c r="A57" s="46" t="str">
        <x:v>LME_027</x:v>
      </x:c>
      <x:c r="B57" s="46" t="str">
        <x:v>Canary Current</x:v>
      </x:c>
      <x:c r="C57" s="46" t="str">
        <x:v>LME</x:v>
      </x:c>
      <x:c r="D57" s="58" t="n">
        <x:v>2019</x:v>
      </x:c>
      <x:c r="E57" s="46" t="str">
        <x:v>Epinephelus</x:v>
      </x:c>
      <x:c r="F57" s="46" t="str">
        <x:v>Seabasses, hinds</x:v>
      </x:c>
      <x:c r="G57" s="46" t="str">
        <x:v>Medium reef assoc. fish (30 - 89 cm)</x:v>
      </x:c>
      <x:c r="H57" s="46" t="str">
        <x:v>Perch-likes</x:v>
      </x:c>
      <x:c r="I57" s="60" t="n">
        <x:v>6670.3888373038</x:v>
      </x:c>
      <x:c r="J57" s="60" t="n">
        <x:v>6629.6379555464</x:v>
      </x:c>
      <x:c r="K57" s="60" t="n">
        <x:v>40.7508817574</x:v>
      </x:c>
      <x:c r="L57" s="60" t="n">
        <x:v>1762.714285341</x:v>
      </x:c>
      <x:c r="M57" s="60" t="n">
        <x:v>4907.6745519628</x:v>
      </x:c>
      <x:c r="N57" s="46" t="str">
        <x:v>epinephelus</x:v>
      </x:c>
      <x:c r="O57" s="62" t="n">
        <x:v>3.84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Epinephelus</x:v>
      </x:c>
      <x:c r="T57" s="62" t="n">
        <x:f>IF(O57="","",(1/'Metadata'!$B$5)^(O57-1))</x:f>
        <x:v>691.8309709189363</x:v>
      </x:c>
      <x:c r="U57" s="60" t="n">
        <x:f>IF(T57="","",I57*T57)</x:f>
        <x:v>4614781.585718722</x:v>
      </x:c>
    </x:row>
    <x:row r="58" ht="18" customHeight="1">
      <x:c r="A58" s="46" t="str">
        <x:v>LME_027</x:v>
      </x:c>
      <x:c r="B58" s="46" t="str">
        <x:v>Canary Current</x:v>
      </x:c>
      <x:c r="C58" s="46" t="str">
        <x:v>LME</x:v>
      </x:c>
      <x:c r="D58" s="58" t="n">
        <x:v>2019</x:v>
      </x:c>
      <x:c r="E58" s="46" t="str">
        <x:v>Gerres nigri</x:v>
      </x:c>
      <x:c r="F58" s="46" t="str">
        <x:v>Guinean striped mojarra</x:v>
      </x:c>
      <x:c r="G58" s="46" t="str">
        <x:v>Small benthopelagics (&lt;30 cm)</x:v>
      </x:c>
      <x:c r="H58" s="46" t="str">
        <x:v>Perch-likes</x:v>
      </x:c>
      <x:c r="I58" s="60" t="n">
        <x:v>6627.8887483228</x:v>
      </x:c>
      <x:c r="J58" s="60" t="n">
        <x:v>6627.8887483228</x:v>
      </x:c>
      <x:c r="K58" s="60" t="n">
        <x:v>0</x:v>
      </x:c>
      <x:c r="L58" s="60" t="n">
        <x:v>6583.0802676719995</x:v>
      </x:c>
      <x:c r="M58" s="60" t="n">
        <x:v>44.8084806508</x:v>
      </x:c>
      <x:c r="N58" s="46" t="str">
        <x:v>gerres nigri</x:v>
      </x:c>
      <x:c r="O58" s="62" t="n">
        <x:v>3.19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Gerres nigri</x:v>
      </x:c>
      <x:c r="T58" s="62" t="n">
        <x:f>IF(O58="","",(1/'Metadata'!$B$5)^(O58-1))</x:f>
        <x:v>154.88166189124811</x:v>
      </x:c>
      <x:c r="U58" s="60" t="n">
        <x:f>IF(T58="","",I58*T58)</x:f>
        <x:v>1026538.4241705396</x:v>
      </x:c>
    </x:row>
    <x:row r="59" ht="18" customHeight="1">
      <x:c r="A59" s="46" t="str">
        <x:v>LME_027</x:v>
      </x:c>
      <x:c r="B59" s="46" t="str">
        <x:v>Canary Current</x:v>
      </x:c>
      <x:c r="C59" s="46" t="str">
        <x:v>LME</x:v>
      </x:c>
      <x:c r="D59" s="58" t="n">
        <x:v>2019</x:v>
      </x:c>
      <x:c r="E59" s="46" t="str">
        <x:v>Pomadasys rogerii</x:v>
      </x:c>
      <x:c r="F59" s="46" t="str">
        <x:v>Pigsnout grunt</x:v>
      </x:c>
      <x:c r="G59" s="46" t="str">
        <x:v>Medium benthopelagics (30 - 89 cm)</x:v>
      </x:c>
      <x:c r="H59" s="46" t="str">
        <x:v>Perch-likes</x:v>
      </x:c>
      <x:c r="I59" s="60" t="n">
        <x:v>6605.9204290553</x:v>
      </x:c>
      <x:c r="J59" s="60" t="n">
        <x:v>6566.6134664285</x:v>
      </x:c>
      <x:c r="K59" s="60" t="n">
        <x:v>39.3069626268</x:v>
      </x:c>
      <x:c r="L59" s="60" t="n">
        <x:v>604.7227916375999</x:v>
      </x:c>
      <x:c r="M59" s="60" t="n">
        <x:v>6001.1976374177</x:v>
      </x:c>
      <x:c r="N59" s="46" t="str">
        <x:v>pomadasys rogerii</x:v>
      </x:c>
      <x:c r="O59" s="62" t="n">
        <x:v>3.55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Pomadasys rogerii</x:v>
      </x:c>
      <x:c r="T59" s="62" t="n">
        <x:f>IF(O59="","",(1/'Metadata'!$B$5)^(O59-1))</x:f>
        <x:v>354.8133892335753</x:v>
      </x:c>
      <x:c r="U59" s="60" t="n">
        <x:f>IF(T59="","",I59*T59)</x:f>
        <x:v>2343869.016440425</x:v>
      </x:c>
    </x:row>
    <x:row r="60" ht="18" customHeight="1">
      <x:c r="A60" s="46" t="str">
        <x:v>LME_027</x:v>
      </x:c>
      <x:c r="B60" s="46" t="str">
        <x:v>Canary Current</x:v>
      </x:c>
      <x:c r="C60" s="46" t="str">
        <x:v>LME</x:v>
      </x:c>
      <x:c r="D60" s="58" t="n">
        <x:v>2019</x:v>
      </x:c>
      <x:c r="E60" s="46" t="str">
        <x:v>Brama brama</x:v>
      </x:c>
      <x:c r="F60" s="46" t="str">
        <x:v>Atlantic pomfret</x:v>
      </x:c>
      <x:c r="G60" s="46" t="str">
        <x:v>Medium bathypelagics (30 - 89 cm)</x:v>
      </x:c>
      <x:c r="H60" s="46" t="str">
        <x:v>Perch-likes</x:v>
      </x:c>
      <x:c r="I60" s="60" t="n">
        <x:v>6493.9398493847</x:v>
      </x:c>
      <x:c r="J60" s="60" t="n">
        <x:v>6493.9398493847</x:v>
      </x:c>
      <x:c r="K60" s="60" t="n">
        <x:v>0</x:v>
      </x:c>
      <x:c r="L60" s="60" t="n">
        <x:v>6450.3524119827</x:v>
      </x:c>
      <x:c r="M60" s="60" t="n">
        <x:v>43.587437402</x:v>
      </x:c>
      <x:c r="N60" s="46" t="str">
        <x:v>brama brama</x:v>
      </x:c>
      <x:c r="O60" s="62" t="n">
        <x:v>4.08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Brama brama</x:v>
      </x:c>
      <x:c r="T60" s="62" t="n">
        <x:f>IF(O60="","",(1/'Metadata'!$B$5)^(O60-1))</x:f>
        <x:v>1202.2644346174131</x:v>
      </x:c>
      <x:c r="U60" s="60" t="n">
        <x:f>IF(T60="","",I60*T60)</x:f>
        <x:v>7807432.921459986</x:v>
      </x:c>
    </x:row>
    <x:row r="61" ht="18" customHeight="1">
      <x:c r="A61" s="46" t="str">
        <x:v>LME_027</x:v>
      </x:c>
      <x:c r="B61" s="46" t="str">
        <x:v>Canary Current</x:v>
      </x:c>
      <x:c r="C61" s="46" t="str">
        <x:v>LME</x:v>
      </x:c>
      <x:c r="D61" s="58" t="n">
        <x:v>2019</x:v>
      </x:c>
      <x:c r="E61" s="46" t="str">
        <x:v>Merluccius polli</x:v>
      </x:c>
      <x:c r="F61" s="46" t="str">
        <x:v>Benguela hake</x:v>
      </x:c>
      <x:c r="G61" s="46" t="str">
        <x:v>Medium bathydemersals (30 - 89 cm)</x:v>
      </x:c>
      <x:c r="H61" s="46" t="str">
        <x:v>Cod-likes</x:v>
      </x:c>
      <x:c r="I61" s="60" t="n">
        <x:v>6319.0681165938995</x:v>
      </x:c>
      <x:c r="J61" s="60" t="n">
        <x:v>6319.0681165938995</x:v>
      </x:c>
      <x:c r="K61" s="60" t="n">
        <x:v>0</x:v>
      </x:c>
      <x:c r="L61" s="60" t="n">
        <x:v>6319.0681165938995</x:v>
      </x:c>
      <x:c r="M61" s="60" t="n">
        <x:v>0</x:v>
      </x:c>
      <x:c r="N61" s="46" t="str">
        <x:v>merluccius polli</x:v>
      </x:c>
      <x:c r="O61" s="62" t="n">
        <x:v>4.5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Merluccius polli</x:v>
      </x:c>
      <x:c r="T61" s="62" t="n">
        <x:f>IF(O61="","",(1/'Metadata'!$B$5)^(O61-1))</x:f>
        <x:v>3162.2776601683795</x:v>
      </x:c>
      <x:c r="U61" s="60" t="n">
        <x:f>IF(T61="","",I61*T61)</x:f>
        <x:v>19982647.938187167</x:v>
      </x:c>
    </x:row>
    <x:row r="62" ht="18" customHeight="1">
      <x:c r="A62" s="46" t="str">
        <x:v>LME_027</x:v>
      </x:c>
      <x:c r="B62" s="46" t="str">
        <x:v>Canary Current</x:v>
      </x:c>
      <x:c r="C62" s="46" t="str">
        <x:v>LME</x:v>
      </x:c>
      <x:c r="D62" s="58" t="n">
        <x:v>2019</x:v>
      </x:c>
      <x:c r="E62" s="46" t="str">
        <x:v>Dendrobranchiata</x:v>
      </x:c>
      <x:c r="F62" s="46" t="str">
        <x:v>Shrimps and prawns</x:v>
      </x:c>
      <x:c r="G62" s="46" t="str">
        <x:v>Shrimps</x:v>
      </x:c>
      <x:c r="H62" s="46" t="str">
        <x:v>Crustaceans</x:v>
      </x:c>
      <x:c r="I62" s="60" t="n">
        <x:v>6066.984189752399</x:v>
      </x:c>
      <x:c r="J62" s="60" t="n">
        <x:v>6066.984189752399</x:v>
      </x:c>
      <x:c r="K62" s="60" t="n">
        <x:v>0</x:v>
      </x:c>
      <x:c r="L62" s="60" t="n">
        <x:v>6023.957014128499</x:v>
      </x:c>
      <x:c r="M62" s="60" t="n">
        <x:v>43.0271756239</x:v>
      </x:c>
      <x:c r="N62" s="46" t="str">
        <x:v>dendrobranchiata</x:v>
      </x:c>
      <x:c r="O62" s="62" t="n">
        <x:v>3.24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Dendrobranchiata</x:v>
      </x:c>
      <x:c r="T62" s="62" t="n">
        <x:f>IF(O62="","",(1/'Metadata'!$B$5)^(O62-1))</x:f>
        <x:v>173.78008287493762</x:v>
      </x:c>
      <x:c r="U62" s="60" t="n">
        <x:f>IF(T62="","",I62*T62)</x:f>
        <x:v>1054321.0152961083</x:v>
      </x:c>
    </x:row>
    <x:row r="63" ht="18" customHeight="1">
      <x:c r="A63" s="46" t="str">
        <x:v>LME_027</x:v>
      </x:c>
      <x:c r="B63" s="46" t="str">
        <x:v>Canary Current</x:v>
      </x:c>
      <x:c r="C63" s="46" t="str">
        <x:v>LME</x:v>
      </x:c>
      <x:c r="D63" s="58" t="n">
        <x:v>2019</x:v>
      </x:c>
      <x:c r="E63" s="46" t="str">
        <x:v>Auxis thazard</x:v>
      </x:c>
      <x:c r="F63" s="46" t="str">
        <x:v>Frigate tuna</x:v>
      </x:c>
      <x:c r="G63" s="46" t="str">
        <x:v>Medium pelagics (30 - 89 cm)</x:v>
      </x:c>
      <x:c r="H63" s="46" t="str">
        <x:v>Tuna &amp; billfishes</x:v>
      </x:c>
      <x:c r="I63" s="60" t="n">
        <x:v>5817.5210423638</x:v>
      </x:c>
      <x:c r="J63" s="60" t="n">
        <x:v>5816.5893450387</x:v>
      </x:c>
      <x:c r="K63" s="60" t="n">
        <x:v>0.9316973251</x:v>
      </x:c>
      <x:c r="L63" s="60" t="n">
        <x:v>5815.8024198927</x:v>
      </x:c>
      <x:c r="M63" s="60" t="n">
        <x:v>1.7186224711</x:v>
      </x:c>
      <x:c r="N63" s="46" t="str">
        <x:v>auxis thazard</x:v>
      </x:c>
      <x:c r="O63" s="62" t="n">
        <x:v>4.37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Auxis thazard</x:v>
      </x:c>
      <x:c r="T63" s="62" t="n">
        <x:f>IF(O63="","",(1/'Metadata'!$B$5)^(O63-1))</x:f>
        <x:v>2344.228815319923</x:v>
      </x:c>
      <x:c r="U63" s="60" t="n">
        <x:f>IF(T63="","",I63*T63)</x:f>
        <x:v>13637600.461239213</x:v>
      </x:c>
    </x:row>
    <x:row r="64" ht="18" customHeight="1">
      <x:c r="A64" s="46" t="str">
        <x:v>LME_027</x:v>
      </x:c>
      <x:c r="B64" s="46" t="str">
        <x:v>Canary Current</x:v>
      </x:c>
      <x:c r="C64" s="46" t="str">
        <x:v>LME</x:v>
      </x:c>
      <x:c r="D64" s="58" t="n">
        <x:v>2019</x:v>
      </x:c>
      <x:c r="E64" s="46" t="str">
        <x:v>Soleidae</x:v>
      </x:c>
      <x:c r="F64" s="46" t="str">
        <x:v>Soles</x:v>
      </x:c>
      <x:c r="G64" s="46" t="str">
        <x:v>Small to medium flatfishes (&lt;90 cm)</x:v>
      </x:c>
      <x:c r="H64" s="46" t="str">
        <x:v>Flatfishes</x:v>
      </x:c>
      <x:c r="I64" s="60" t="n">
        <x:v>5572.7066572574995</x:v>
      </x:c>
      <x:c r="J64" s="60" t="n">
        <x:v>5499.3500166954</x:v>
      </x:c>
      <x:c r="K64" s="60" t="n">
        <x:v>73.3566405621</x:v>
      </x:c>
      <x:c r="L64" s="60" t="n">
        <x:v>3536.4295667911997</x:v>
      </x:c>
      <x:c r="M64" s="60" t="n">
        <x:v>2036.2770904662998</x:v>
      </x:c>
      <x:c r="N64" s="46" t="str">
        <x:v>soleidae</x:v>
      </x:c>
      <x:c r="O64" s="62" t="n">
        <x:v>3.15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Soleidae</x:v>
      </x:c>
      <x:c r="T64" s="62" t="n">
        <x:f>IF(O64="","",(1/'Metadata'!$B$5)^(O64-1))</x:f>
        <x:v>141.2537544622754</x:v>
      </x:c>
      <x:c r="U64" s="60" t="n">
        <x:f>IF(T64="","",I64*T64)</x:f>
        <x:v>787165.7378545384</x:v>
      </x:c>
    </x:row>
    <x:row r="65" ht="18" customHeight="1">
      <x:c r="A65" s="46" t="str">
        <x:v>LME_027</x:v>
      </x:c>
      <x:c r="B65" s="46" t="str">
        <x:v>Canary Current</x:v>
      </x:c>
      <x:c r="C65" s="46" t="str">
        <x:v>LME</x:v>
      </x:c>
      <x:c r="D65" s="58" t="n">
        <x:v>2019</x:v>
      </x:c>
      <x:c r="E65" s="46" t="str">
        <x:v>Pleuronectiformes</x:v>
      </x:c>
      <x:c r="F65" s="46" t="str">
        <x:v>Flatfishes</x:v>
      </x:c>
      <x:c r="G65" s="46" t="str">
        <x:v>Small to medium flatfishes (&lt;90 cm)</x:v>
      </x:c>
      <x:c r="H65" s="46" t="str">
        <x:v>Flatfishes</x:v>
      </x:c>
      <x:c r="I65" s="60" t="n">
        <x:v>5558.9334119634</x:v>
      </x:c>
      <x:c r="J65" s="60" t="n">
        <x:v>5558.9334119634</x:v>
      </x:c>
      <x:c r="K65" s="60" t="n">
        <x:v>0</x:v>
      </x:c>
      <x:c r="L65" s="60" t="n">
        <x:v>4944.5324444291</x:v>
      </x:c>
      <x:c r="M65" s="60" t="n">
        <x:v>614.4009675343</x:v>
      </x:c>
      <x:c r="N65" s="46" t="str">
        <x:v>pleuronectiformes</x:v>
      </x:c>
      <x:c r="O65" s="62" t="n">
        <x:v>3.57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Pleuronectiformes</x:v>
      </x:c>
      <x:c r="T65" s="62" t="n">
        <x:f>IF(O65="","",(1/'Metadata'!$B$5)^(O65-1))</x:f>
        <x:v>371.5352290971724</x:v>
      </x:c>
      <x:c r="U65" s="60" t="n">
        <x:f>IF(T65="","",I65*T65)</x:f>
        <x:v>2065339.5987497484</x:v>
      </x:c>
    </x:row>
    <x:row r="66" ht="18" customHeight="1">
      <x:c r="A66" s="46" t="str">
        <x:v>LME_027</x:v>
      </x:c>
      <x:c r="B66" s="46" t="str">
        <x:v>Canary Current</x:v>
      </x:c>
      <x:c r="C66" s="46" t="str">
        <x:v>LME</x:v>
      </x:c>
      <x:c r="D66" s="58" t="n">
        <x:v>2019</x:v>
      </x:c>
      <x:c r="E66" s="46" t="str">
        <x:v>Elasmobranchii</x:v>
      </x:c>
      <x:c r="F66" s="46" t="str">
        <x:v>Sharks, rays, skates</x:v>
      </x:c>
      <x:c r="G66" s="46" t="str">
        <x:v>Large sharks (&gt;=90 cm)</x:v>
      </x:c>
      <x:c r="H66" s="46" t="str">
        <x:v>Sharks &amp; rays</x:v>
      </x:c>
      <x:c r="I66" s="60" t="n">
        <x:v>5555.3589270752</x:v>
      </x:c>
      <x:c r="J66" s="60" t="n">
        <x:v>3677.2384101830003</x:v>
      </x:c>
      <x:c r="K66" s="60" t="n">
        <x:v>1878.1205168922</x:v>
      </x:c>
      <x:c r="L66" s="60" t="n">
        <x:v>911.4385109735</x:v>
      </x:c>
      <x:c r="M66" s="60" t="n">
        <x:v>4643.9204161017</x:v>
      </x:c>
      <x:c r="N66" s="46" t="str">
        <x:v>elasmobranchii</x:v>
      </x:c>
      <x:c r="O66" s="62" t="n">
        <x:v>4.05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Elasmobranchii</x:v>
      </x:c>
      <x:c r="T66" s="62" t="n">
        <x:f>IF(O66="","",(1/'Metadata'!$B$5)^(O66-1))</x:f>
        <x:v>1122.018454301963</x:v>
      </x:c>
      <x:c r="U66" s="60" t="n">
        <x:f>IF(T66="","",I66*T66)</x:f>
        <x:v>6233215.236449528</x:v>
      </x:c>
    </x:row>
    <x:row r="67" ht="18" customHeight="1">
      <x:c r="A67" s="46" t="str">
        <x:v>LME_027</x:v>
      </x:c>
      <x:c r="B67" s="46" t="str">
        <x:v>Canary Current</x:v>
      </x:c>
      <x:c r="C67" s="46" t="str">
        <x:v>LME</x:v>
      </x:c>
      <x:c r="D67" s="58" t="n">
        <x:v>2019</x:v>
      </x:c>
      <x:c r="E67" s="46" t="str">
        <x:v>Pagellus bellottii</x:v>
      </x:c>
      <x:c r="F67" s="46" t="str">
        <x:v>Red pandora</x:v>
      </x:c>
      <x:c r="G67" s="46" t="str">
        <x:v>Medium demersals (30 - 89 cm)</x:v>
      </x:c>
      <x:c r="H67" s="46" t="str">
        <x:v>Perch-likes</x:v>
      </x:c>
      <x:c r="I67" s="60" t="n">
        <x:v>5487.8310437152995</x:v>
      </x:c>
      <x:c r="J67" s="60" t="n">
        <x:v>5413.5190155036</x:v>
      </x:c>
      <x:c r="K67" s="60" t="n">
        <x:v>74.3120282117</x:v>
      </x:c>
      <x:c r="L67" s="60" t="n">
        <x:v>4528.7203863364</x:v>
      </x:c>
      <x:c r="M67" s="60" t="n">
        <x:v>959.1106573789</x:v>
      </x:c>
      <x:c r="N67" s="46" t="str">
        <x:v>pagellus bellottii</x:v>
      </x:c>
      <x:c r="O67" s="62" t="n">
        <x:v>3.6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Pagellus bellottii</x:v>
      </x:c>
      <x:c r="T67" s="62" t="n">
        <x:f>IF(O67="","",(1/'Metadata'!$B$5)^(O67-1))</x:f>
        <x:v>398.1071705534973</x:v>
      </x:c>
      <x:c r="U67" s="60" t="n">
        <x:f>IF(T67="","",I67*T67)</x:f>
        <x:v>2184744.889289144</x:v>
      </x:c>
    </x:row>
    <x:row r="68" ht="18" customHeight="1">
      <x:c r="A68" s="46" t="str">
        <x:v>LME_027</x:v>
      </x:c>
      <x:c r="B68" s="46" t="str">
        <x:v>Canary Current</x:v>
      </x:c>
      <x:c r="C68" s="46" t="str">
        <x:v>LME</x:v>
      </x:c>
      <x:c r="D68" s="58" t="n">
        <x:v>2019</x:v>
      </x:c>
      <x:c r="E68" s="46" t="str">
        <x:v>Macroramphosus scolopax</x:v>
      </x:c>
      <x:c r="F68" s="46" t="str">
        <x:v>Longspine snipefish</x:v>
      </x:c>
      <x:c r="G68" s="46" t="str">
        <x:v>Small demersals (&lt;30 cm)</x:v>
      </x:c>
      <x:c r="H68" s="46" t="str">
        <x:v>Other fishes &amp; inverts</x:v>
      </x:c>
      <x:c r="I68" s="60" t="n">
        <x:v>5485.0316256561</x:v>
      </x:c>
      <x:c r="J68" s="60" t="n">
        <x:v>97.0332468302</x:v>
      </x:c>
      <x:c r="K68" s="60" t="n">
        <x:v>5387.9983788259</x:v>
      </x:c>
      <x:c r="L68" s="60" t="n">
        <x:v>0</x:v>
      </x:c>
      <x:c r="M68" s="60" t="n">
        <x:v>5485.0316256561</x:v>
      </x:c>
      <x:c r="N68" s="46" t="str">
        <x:v>macroramphosus scolopax</x:v>
      </x:c>
      <x:c r="O68" s="62" t="n">
        <x:v>3.47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Macroramphosus scolopax</x:v>
      </x:c>
      <x:c r="T68" s="62" t="n">
        <x:f>IF(O68="","",(1/'Metadata'!$B$5)^(O68-1))</x:f>
        <x:v>295.1209226666387</x:v>
      </x:c>
      <x:c r="U68" s="60" t="n">
        <x:f>IF(T68="","",I68*T68)</x:f>
        <x:v>1618747.5942193214</x:v>
      </x:c>
    </x:row>
    <x:row r="69" ht="18" customHeight="1">
      <x:c r="A69" s="46" t="str">
        <x:v>LME_027</x:v>
      </x:c>
      <x:c r="B69" s="46" t="str">
        <x:v>Canary Current</x:v>
      </x:c>
      <x:c r="C69" s="46" t="str">
        <x:v>LME</x:v>
      </x:c>
      <x:c r="D69" s="58" t="n">
        <x:v>2019</x:v>
      </x:c>
      <x:c r="E69" s="46" t="str">
        <x:v>Sparisoma cretense</x:v>
      </x:c>
      <x:c r="F69" s="46" t="str">
        <x:v>Old parrotfish</x:v>
      </x:c>
      <x:c r="G69" s="46" t="str">
        <x:v>Medium reef assoc. fish (30 - 89 cm)</x:v>
      </x:c>
      <x:c r="H69" s="46" t="str">
        <x:v>Perch-likes</x:v>
      </x:c>
      <x:c r="I69" s="60" t="n">
        <x:v>5306.5745422707</x:v>
      </x:c>
      <x:c r="J69" s="60" t="n">
        <x:v>5306.5745422707</x:v>
      </x:c>
      <x:c r="K69" s="60" t="n">
        <x:v>0</x:v>
      </x:c>
      <x:c r="L69" s="60" t="n">
        <x:v>218.90039779100002</x:v>
      </x:c>
      <x:c r="M69" s="60" t="n">
        <x:v>5087.6741444797</x:v>
      </x:c>
      <x:c r="N69" s="46" t="str">
        <x:v>sparisoma cretense</x:v>
      </x:c>
      <x:c r="O69" s="62" t="n">
        <x:v>2.86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Sparisoma cretense</x:v>
      </x:c>
      <x:c r="T69" s="62" t="n">
        <x:f>IF(O69="","",(1/'Metadata'!$B$5)^(O69-1))</x:f>
        <x:v>72.44359600749898</x:v>
      </x:c>
      <x:c r="U69" s="60" t="n">
        <x:f>IF(T69="","",I69*T69)</x:f>
        <x:v>384427.3423239374</x:v>
      </x:c>
    </x:row>
    <x:row r="70" ht="18" customHeight="1">
      <x:c r="A70" s="46" t="str">
        <x:v>LME_027</x:v>
      </x:c>
      <x:c r="B70" s="46" t="str">
        <x:v>Canary Current</x:v>
      </x:c>
      <x:c r="C70" s="46" t="str">
        <x:v>LME</x:v>
      </x:c>
      <x:c r="D70" s="58" t="n">
        <x:v>2019</x:v>
      </x:c>
      <x:c r="E70" s="46" t="str">
        <x:v>Euthynnus alletteratus</x:v>
      </x:c>
      <x:c r="F70" s="46" t="str">
        <x:v>Little tunny </x:v>
      </x:c>
      <x:c r="G70" s="46" t="str">
        <x:v>Large pelagics (&gt;=90 cm)</x:v>
      </x:c>
      <x:c r="H70" s="46" t="str">
        <x:v>Tuna &amp; billfishes</x:v>
      </x:c>
      <x:c r="I70" s="60" t="n">
        <x:v>5208.8136210508</x:v>
      </x:c>
      <x:c r="J70" s="60" t="n">
        <x:v>5208.8136210508</x:v>
      </x:c>
      <x:c r="K70" s="60" t="n">
        <x:v>0</x:v>
      </x:c>
      <x:c r="L70" s="60" t="n">
        <x:v>4622.8821251468</x:v>
      </x:c>
      <x:c r="M70" s="60" t="n">
        <x:v>585.931495904</x:v>
      </x:c>
      <x:c r="N70" s="46" t="str">
        <x:v>euthynnus alletteratus</x:v>
      </x:c>
      <x:c r="O70" s="62" t="n">
        <x:v>4.49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Euthynnus alletteratus</x:v>
      </x:c>
      <x:c r="T70" s="62" t="n">
        <x:f>IF(O70="","",(1/'Metadata'!$B$5)^(O70-1))</x:f>
        <x:v>3090.295432513592</x:v>
      </x:c>
      <x:c r="U70" s="60" t="n">
        <x:f>IF(T70="","",I70*T70)</x:f>
        <x:v>16096772.941947872</x:v>
      </x:c>
    </x:row>
    <x:row r="71" ht="18" customHeight="1">
      <x:c r="A71" s="46" t="str">
        <x:v>LME_027</x:v>
      </x:c>
      <x:c r="B71" s="46" t="str">
        <x:v>Canary Current</x:v>
      </x:c>
      <x:c r="C71" s="46" t="str">
        <x:v>LME</x:v>
      </x:c>
      <x:c r="D71" s="58" t="n">
        <x:v>2019</x:v>
      </x:c>
      <x:c r="E71" s="46" t="str">
        <x:v>Drepane africana</x:v>
      </x:c>
      <x:c r="F71" s="46" t="str">
        <x:v>African sicklefish</x:v>
      </x:c>
      <x:c r="G71" s="46" t="str">
        <x:v>Medium benthopelagics (30 - 89 cm)</x:v>
      </x:c>
      <x:c r="H71" s="46" t="str">
        <x:v>Perch-likes</x:v>
      </x:c>
      <x:c r="I71" s="60" t="n">
        <x:v>5095.5944422041</x:v>
      </x:c>
      <x:c r="J71" s="60" t="n">
        <x:v>5066.0963491802</x:v>
      </x:c>
      <x:c r="K71" s="60" t="n">
        <x:v>29.4980930239</x:v>
      </x:c>
      <x:c r="L71" s="60" t="n">
        <x:v>2206.6297300498</x:v>
      </x:c>
      <x:c r="M71" s="60" t="n">
        <x:v>2888.9647121543003</x:v>
      </x:c>
      <x:c r="N71" s="46" t="str">
        <x:v>drepane africana</x:v>
      </x:c>
      <x:c r="O71" s="62" t="n">
        <x:v>3.1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Drepane africana</x:v>
      </x:c>
      <x:c r="T71" s="62" t="n">
        <x:f>IF(O71="","",(1/'Metadata'!$B$5)^(O71-1))</x:f>
        <x:v>125.89254117941675</x:v>
      </x:c>
      <x:c r="U71" s="60" t="n">
        <x:f>IF(T71="","",I71*T71)</x:f>
        <x:v>641497.3331487868</x:v>
      </x:c>
    </x:row>
    <x:row r="72" ht="18" customHeight="1">
      <x:c r="A72" s="46" t="str">
        <x:v>LME_027</x:v>
      </x:c>
      <x:c r="B72" s="46" t="str">
        <x:v>Canary Current</x:v>
      </x:c>
      <x:c r="C72" s="46" t="str">
        <x:v>LME</x:v>
      </x:c>
      <x:c r="D72" s="58" t="n">
        <x:v>2019</x:v>
      </x:c>
      <x:c r="E72" s="46" t="str">
        <x:v>Mugil</x:v>
      </x:c>
      <x:c r="F72" s="46" t="str">
        <x:v>Grey mullets</x:v>
      </x:c>
      <x:c r="G72" s="46" t="str">
        <x:v>Medium demersals (30 - 89 cm)</x:v>
      </x:c>
      <x:c r="H72" s="46" t="str">
        <x:v>Perch-likes</x:v>
      </x:c>
      <x:c r="I72" s="60" t="n">
        <x:v>4966.3235425163</x:v>
      </x:c>
      <x:c r="J72" s="60" t="n">
        <x:v>4966.3235425163</x:v>
      </x:c>
      <x:c r="K72" s="60" t="n">
        <x:v>0</x:v>
      </x:c>
      <x:c r="L72" s="60" t="n">
        <x:v>4422.8787302201</x:v>
      </x:c>
      <x:c r="M72" s="60" t="n">
        <x:v>543.4448122962</x:v>
      </x:c>
      <x:c r="N72" s="46" t="str">
        <x:v>mugil</x:v>
      </x:c>
      <x:c r="O72" s="62" t="n">
        <x:v>2.26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Mugil</x:v>
      </x:c>
      <x:c r="T72" s="62" t="n">
        <x:f>IF(O72="","",(1/'Metadata'!$B$5)^(O72-1))</x:f>
        <x:v>18.197008586099827</x:v>
      </x:c>
      <x:c r="U72" s="60" t="n">
        <x:f>IF(T72="","",I72*T72)</x:f>
        <x:v>90372.23214451883</x:v>
      </x:c>
    </x:row>
    <x:row r="73" ht="18" customHeight="1">
      <x:c r="A73" s="46" t="str">
        <x:v>LME_027</x:v>
      </x:c>
      <x:c r="B73" s="46" t="str">
        <x:v>Canary Current</x:v>
      </x:c>
      <x:c r="C73" s="46" t="str">
        <x:v>LME</x:v>
      </x:c>
      <x:c r="D73" s="58" t="n">
        <x:v>2019</x:v>
      </x:c>
      <x:c r="E73" s="46" t="str">
        <x:v>Lagocephalus laevigatus</x:v>
      </x:c>
      <x:c r="F73" s="46" t="str">
        <x:v>Smooth puffer</x:v>
      </x:c>
      <x:c r="G73" s="46" t="str">
        <x:v>Medium pelagics (30 - 89 cm)</x:v>
      </x:c>
      <x:c r="H73" s="46" t="str">
        <x:v>Other fishes &amp; inverts</x:v>
      </x:c>
      <x:c r="I73" s="60" t="n">
        <x:v>4874.866021082399</x:v>
      </x:c>
      <x:c r="J73" s="60" t="n">
        <x:v>4864.787860556699</x:v>
      </x:c>
      <x:c r="K73" s="60" t="n">
        <x:v>10.0781605257</x:v>
      </x:c>
      <x:c r="L73" s="60" t="n">
        <x:v>167.94056902789998</x:v>
      </x:c>
      <x:c r="M73" s="60" t="n">
        <x:v>4706.925452054499</x:v>
      </x:c>
      <x:c r="N73" s="46" t="str">
        <x:v>lagocephalus laevigatus</x:v>
      </x:c>
      <x:c r="O73" s="62" t="n">
        <x:v>4.02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Lagocephalus laevigatus</x:v>
      </x:c>
      <x:c r="T73" s="62" t="n">
        <x:f>IF(O73="","",(1/'Metadata'!$B$5)^(O73-1))</x:f>
        <x:v>1047.1285480508984</x:v>
      </x:c>
      <x:c r="U73" s="60" t="n">
        <x:f>IF(T73="","",I73*T73)</x:f>
        <x:v>5104611.378598673</x:v>
      </x:c>
    </x:row>
    <x:row r="74" ht="18" customHeight="1">
      <x:c r="A74" s="46" t="str">
        <x:v>LME_027</x:v>
      </x:c>
      <x:c r="B74" s="46" t="str">
        <x:v>Canary Current</x:v>
      </x:c>
      <x:c r="C74" s="46" t="str">
        <x:v>LME</x:v>
      </x:c>
      <x:c r="D74" s="58" t="n">
        <x:v>2019</x:v>
      </x:c>
      <x:c r="E74" s="46" t="str">
        <x:v>Dentex</x:v>
      </x:c>
      <x:c r="F74" s="46" t="str">
        <x:v>Toothed seabreams</x:v>
      </x:c>
      <x:c r="G74" s="46" t="str">
        <x:v>Large benthopelagics (&gt;=90 cm)</x:v>
      </x:c>
      <x:c r="H74" s="46" t="str">
        <x:v>Perch-likes</x:v>
      </x:c>
      <x:c r="I74" s="60" t="n">
        <x:v>4843.3210053147</x:v>
      </x:c>
      <x:c r="J74" s="60" t="n">
        <x:v>4824.5306556385</x:v>
      </x:c>
      <x:c r="K74" s="60" t="n">
        <x:v>18.7903496762</x:v>
      </x:c>
      <x:c r="L74" s="60" t="n">
        <x:v>791.8235661236</x:v>
      </x:c>
      <x:c r="M74" s="60" t="n">
        <x:v>4051.4974391911</x:v>
      </x:c>
      <x:c r="N74" s="46" t="str">
        <x:v>dentex</x:v>
      </x:c>
      <x:c r="O74" s="62" t="n">
        <x:v>3.96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Dentex</x:v>
      </x:c>
      <x:c r="T74" s="62" t="n">
        <x:f>IF(O74="","",(1/'Metadata'!$B$5)^(O74-1))</x:f>
        <x:v>912.0108393559096</x:v>
      </x:c>
      <x:c r="U74" s="60" t="n">
        <x:f>IF(T74="","",I74*T74)</x:f>
        <x:v>4417161.255327168</x:v>
      </x:c>
    </x:row>
    <x:row r="75" ht="18" customHeight="1">
      <x:c r="A75" s="46" t="str">
        <x:v>LME_027</x:v>
      </x:c>
      <x:c r="B75" s="46" t="str">
        <x:v>Canary Current</x:v>
      </x:c>
      <x:c r="C75" s="46" t="str">
        <x:v>LME</x:v>
      </x:c>
      <x:c r="D75" s="58" t="n">
        <x:v>2019</x:v>
      </x:c>
      <x:c r="E75" s="46" t="str">
        <x:v>Pagellus</x:v>
      </x:c>
      <x:c r="F75" s="46" t="str">
        <x:v>Pandoras</x:v>
      </x:c>
      <x:c r="G75" s="46" t="str">
        <x:v>Medium benthopelagics (30 - 89 cm)</x:v>
      </x:c>
      <x:c r="H75" s="46" t="str">
        <x:v>Perch-likes</x:v>
      </x:c>
      <x:c r="I75" s="60" t="n">
        <x:v>4786.8423149468</x:v>
      </x:c>
      <x:c r="J75" s="60" t="n">
        <x:v>4651.3860672599</x:v>
      </x:c>
      <x:c r="K75" s="60" t="n">
        <x:v>135.4562476869</x:v>
      </x:c>
      <x:c r="L75" s="60" t="n">
        <x:v>3295.5987701208996</x:v>
      </x:c>
      <x:c r="M75" s="60" t="n">
        <x:v>1491.2435448259</x:v>
      </x:c>
      <x:c r="N75" s="46" t="str">
        <x:v>pagellus</x:v>
      </x:c>
      <x:c r="O75" s="62" t="n">
        <x:v>3.44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Pagellus</x:v>
      </x:c>
      <x:c r="T75" s="62" t="n">
        <x:f>IF(O75="","",(1/'Metadata'!$B$5)^(O75-1))</x:f>
        <x:v>275.4228703338166</x:v>
      </x:c>
      <x:c r="U75" s="60" t="n">
        <x:f>IF(T75="","",I75*T75)</x:f>
        <x:v>1318405.850218019</x:v>
      </x:c>
    </x:row>
    <x:row r="76" ht="18" customHeight="1">
      <x:c r="A76" s="46" t="str">
        <x:v>LME_027</x:v>
      </x:c>
      <x:c r="B76" s="46" t="str">
        <x:v>Canary Current</x:v>
      </x:c>
      <x:c r="C76" s="46" t="str">
        <x:v>LME</x:v>
      </x:c>
      <x:c r="D76" s="58" t="n">
        <x:v>2019</x:v>
      </x:c>
      <x:c r="E76" s="46" t="str">
        <x:v>Penaeus notialis</x:v>
      </x:c>
      <x:c r="F76" s="46" t="str">
        <x:v>Southern pink shrimp</x:v>
      </x:c>
      <x:c r="G76" s="46" t="str">
        <x:v>Shrimps</x:v>
      </x:c>
      <x:c r="H76" s="46" t="str">
        <x:v>Crustaceans</x:v>
      </x:c>
      <x:c r="I76" s="60" t="n">
        <x:v>4545.2217254552</x:v>
      </x:c>
      <x:c r="J76" s="60" t="n">
        <x:v>4545.2217254552</x:v>
      </x:c>
      <x:c r="K76" s="60" t="n">
        <x:v>0</x:v>
      </x:c>
      <x:c r="L76" s="60" t="n">
        <x:v>4194.8193666359</x:v>
      </x:c>
      <x:c r="M76" s="60" t="n">
        <x:v>350.40235881930005</x:v>
      </x:c>
      <x:c r="N76" s="46" t="str">
        <x:v>penaeus notialis</x:v>
      </x:c>
      <x:c r="O76" s="62" t="n">
        <x:v>2.7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Penaeus notialis</x:v>
      </x:c>
      <x:c r="T76" s="62" t="n">
        <x:f>IF(O76="","",(1/'Metadata'!$B$5)^(O76-1))</x:f>
        <x:v>50.11872336272725</x:v>
      </x:c>
      <x:c r="U76" s="60" t="n">
        <x:f>IF(T76="","",I76*T76)</x:f>
        <x:v>227800.71028034698</x:v>
      </x:c>
    </x:row>
    <x:row r="77" ht="18" customHeight="1">
      <x:c r="A77" s="46" t="str">
        <x:v>LME_027</x:v>
      </x:c>
      <x:c r="B77" s="46" t="str">
        <x:v>Canary Current</x:v>
      </x:c>
      <x:c r="C77" s="46" t="str">
        <x:v>LME</x:v>
      </x:c>
      <x:c r="D77" s="58" t="n">
        <x:v>2019</x:v>
      </x:c>
      <x:c r="E77" s="46" t="str">
        <x:v>Triglidae</x:v>
      </x:c>
      <x:c r="F77" s="46" t="str">
        <x:v>Searobins, gurnards</x:v>
      </x:c>
      <x:c r="G77" s="46" t="str">
        <x:v>Medium demersals (30 - 89 cm)</x:v>
      </x:c>
      <x:c r="H77" s="46" t="str">
        <x:v>Scorpionfishes</x:v>
      </x:c>
      <x:c r="I77" s="60" t="n">
        <x:v>4519.4501148995</x:v>
      </x:c>
      <x:c r="J77" s="60" t="n">
        <x:v>150.9851994364</x:v>
      </x:c>
      <x:c r="K77" s="60" t="n">
        <x:v>4368.4649154631</x:v>
      </x:c>
      <x:c r="L77" s="60" t="n">
        <x:v>56.9155583916</x:v>
      </x:c>
      <x:c r="M77" s="60" t="n">
        <x:v>4462.5345565079</x:v>
      </x:c>
      <x:c r="N77" s="46" t="str">
        <x:v>triglidae</x:v>
      </x:c>
      <x:c r="O77" s="62" t="n">
        <x:v>3.74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Triglidae</x:v>
      </x:c>
      <x:c r="T77" s="62" t="n">
        <x:f>IF(O77="","",(1/'Metadata'!$B$5)^(O77-1))</x:f>
        <x:v>549.5408738576248</x:v>
      </x:c>
      <x:c r="U77" s="60" t="n">
        <x:f>IF(T77="","",I77*T77)</x:f>
        <x:v>2483622.5654978137</x:v>
      </x:c>
    </x:row>
    <x:row r="78" ht="18" customHeight="1">
      <x:c r="A78" s="46" t="str">
        <x:v>LME_027</x:v>
      </x:c>
      <x:c r="B78" s="46" t="str">
        <x:v>Canary Current</x:v>
      </x:c>
      <x:c r="C78" s="46" t="str">
        <x:v>LME</x:v>
      </x:c>
      <x:c r="D78" s="58" t="n">
        <x:v>2019</x:v>
      </x:c>
      <x:c r="E78" s="46" t="str">
        <x:v>Pomadasys jubelini</x:v>
      </x:c>
      <x:c r="F78" s="46" t="str">
        <x:v>Sompat grunt</x:v>
      </x:c>
      <x:c r="G78" s="46" t="str">
        <x:v>Medium demersals (30 - 89 cm)</x:v>
      </x:c>
      <x:c r="H78" s="46" t="str">
        <x:v>Perch-likes</x:v>
      </x:c>
      <x:c r="I78" s="60" t="n">
        <x:v>4450.5016119698</x:v>
      </x:c>
      <x:c r="J78" s="60" t="n">
        <x:v>4421.3598480266</x:v>
      </x:c>
      <x:c r="K78" s="60" t="n">
        <x:v>29.1417639432</x:v>
      </x:c>
      <x:c r="L78" s="60" t="n">
        <x:v>2524.1800566198</x:v>
      </x:c>
      <x:c r="M78" s="60" t="n">
        <x:v>1926.32155535</x:v>
      </x:c>
      <x:c r="N78" s="46" t="str">
        <x:v>pomadasys jubelini</x:v>
      </x:c>
      <x:c r="O78" s="62" t="n">
        <x:v>3.33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Pomadasys jubelini</x:v>
      </x:c>
      <x:c r="T78" s="62" t="n">
        <x:f>IF(O78="","",(1/'Metadata'!$B$5)^(O78-1))</x:f>
        <x:v>213.79620895022325</x:v>
      </x:c>
      <x:c r="U78" s="60" t="n">
        <x:f>IF(T78="","",I78*T78)</x:f>
        <x:v>951500.3725660008</x:v>
      </x:c>
    </x:row>
    <x:row r="79" ht="18" customHeight="1">
      <x:c r="A79" s="46" t="str">
        <x:v>LME_027</x:v>
      </x:c>
      <x:c r="B79" s="46" t="str">
        <x:v>Canary Current</x:v>
      </x:c>
      <x:c r="C79" s="46" t="str">
        <x:v>LME</x:v>
      </x:c>
      <x:c r="D79" s="58" t="n">
        <x:v>2019</x:v>
      </x:c>
      <x:c r="E79" s="46" t="str">
        <x:v>Spondyliosoma cantharus</x:v>
      </x:c>
      <x:c r="F79" s="46" t="str">
        <x:v>Black seabream</x:v>
      </x:c>
      <x:c r="G79" s="46" t="str">
        <x:v>Medium benthopelagics (30 - 89 cm)</x:v>
      </x:c>
      <x:c r="H79" s="46" t="str">
        <x:v>Perch-likes</x:v>
      </x:c>
      <x:c r="I79" s="60" t="n">
        <x:v>4448.0635689686</x:v>
      </x:c>
      <x:c r="J79" s="60" t="n">
        <x:v>4406.4972031055995</x:v>
      </x:c>
      <x:c r="K79" s="60" t="n">
        <x:v>41.566365863</x:v>
      </x:c>
      <x:c r="L79" s="60" t="n">
        <x:v>3510.0861252127</x:v>
      </x:c>
      <x:c r="M79" s="60" t="n">
        <x:v>937.9774437559</x:v>
      </x:c>
      <x:c r="N79" s="46" t="str">
        <x:v>spondyliosoma cantharus</x:v>
      </x:c>
      <x:c r="O79" s="62" t="n">
        <x:v>3.34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Spondyliosoma cantharus</x:v>
      </x:c>
      <x:c r="T79" s="62" t="n">
        <x:f>IF(O79="","",(1/'Metadata'!$B$5)^(O79-1))</x:f>
        <x:v>218.77616239495518</x:v>
      </x:c>
      <x:c r="U79" s="60" t="n">
        <x:f>IF(T79="","",I79*T79)</x:f>
        <x:v>973130.2777077582</x:v>
      </x:c>
    </x:row>
    <x:row r="80" ht="18" customHeight="1">
      <x:c r="A80" s="46" t="str">
        <x:v>LME_027</x:v>
      </x:c>
      <x:c r="B80" s="46" t="str">
        <x:v>Canary Current</x:v>
      </x:c>
      <x:c r="C80" s="46" t="str">
        <x:v>LME</x:v>
      </x:c>
      <x:c r="D80" s="58" t="n">
        <x:v>2019</x:v>
      </x:c>
      <x:c r="E80" s="46" t="str">
        <x:v>Solea solea</x:v>
      </x:c>
      <x:c r="F80" s="46" t="str">
        <x:v>Common sole</x:v>
      </x:c>
      <x:c r="G80" s="46" t="str">
        <x:v>Small to medium flatfishes (&lt;90 cm)</x:v>
      </x:c>
      <x:c r="H80" s="46" t="str">
        <x:v>Flatfishes</x:v>
      </x:c>
      <x:c r="I80" s="60" t="n">
        <x:v>4279.9213801811</x:v>
      </x:c>
      <x:c r="J80" s="60" t="n">
        <x:v>4273.9949796921</x:v>
      </x:c>
      <x:c r="K80" s="60" t="n">
        <x:v>5.926400489</x:v>
      </x:c>
      <x:c r="L80" s="60" t="n">
        <x:v>4254.9335400005</x:v>
      </x:c>
      <x:c r="M80" s="60" t="n">
        <x:v>24.987840180600003</x:v>
      </x:c>
      <x:c r="N80" s="46" t="str">
        <x:v>solea solea</x:v>
      </x:c>
      <x:c r="O80" s="62" t="n">
        <x:v>3.21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Solea solea</x:v>
      </x:c>
      <x:c r="T80" s="62" t="n">
        <x:f>IF(O80="","",(1/'Metadata'!$B$5)^(O80-1))</x:f>
        <x:v>162.18100973589299</x:v>
      </x:c>
      <x:c r="U80" s="60" t="n">
        <x:f>IF(T80="","",I80*T80)</x:f>
        <x:v>694121.9710280076</x:v>
      </x:c>
    </x:row>
    <x:row r="81" ht="18" customHeight="1">
      <x:c r="A81" s="46" t="str">
        <x:v>LME_027</x:v>
      </x:c>
      <x:c r="B81" s="46" t="str">
        <x:v>Canary Current</x:v>
      </x:c>
      <x:c r="C81" s="46" t="str">
        <x:v>LME</x:v>
      </x:c>
      <x:c r="D81" s="58" t="n">
        <x:v>2019</x:v>
      </x:c>
      <x:c r="E81" s="46" t="str">
        <x:v>Serranus</x:v>
      </x:c>
      <x:c r="F81" s="46" t="str">
        <x:v>Groupers</x:v>
      </x:c>
      <x:c r="G81" s="46" t="str">
        <x:v>Small reef assoc. fish (&lt;30 cm)</x:v>
      </x:c>
      <x:c r="H81" s="46" t="str">
        <x:v>Perch-likes</x:v>
      </x:c>
      <x:c r="I81" s="60" t="n">
        <x:v>4251.0241735927</x:v>
      </x:c>
      <x:c r="J81" s="60" t="n">
        <x:v>4251.0241735927</x:v>
      </x:c>
      <x:c r="K81" s="60" t="n">
        <x:v>0</x:v>
      </x:c>
      <x:c r="L81" s="60" t="n">
        <x:v>18.946514833400002</x:v>
      </x:c>
      <x:c r="M81" s="60" t="n">
        <x:v>4232.0776587593</x:v>
      </x:c>
      <x:c r="N81" s="46" t="str">
        <x:v>serranus</x:v>
      </x:c>
      <x:c r="O81" s="62" t="n">
        <x:v>3.73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Serranus</x:v>
      </x:c>
      <x:c r="T81" s="62" t="n">
        <x:f>IF(O81="","",(1/'Metadata'!$B$5)^(O81-1))</x:f>
        <x:v>537.0317963702527</x:v>
      </x:c>
      <x:c r="U81" s="60" t="n">
        <x:f>IF(T81="","",I81*T81)</x:f>
        <x:v>2282935.1483578566</x:v>
      </x:c>
    </x:row>
    <x:row r="82" ht="18" customHeight="1">
      <x:c r="A82" s="46" t="str">
        <x:v>LME_027</x:v>
      </x:c>
      <x:c r="B82" s="46" t="str">
        <x:v>Canary Current</x:v>
      </x:c>
      <x:c r="C82" s="46" t="str">
        <x:v>LME</x:v>
      </x:c>
      <x:c r="D82" s="58" t="n">
        <x:v>2019</x:v>
      </x:c>
      <x:c r="E82" s="46" t="str">
        <x:v>Thunnus thynnus</x:v>
      </x:c>
      <x:c r="F82" s="46" t="str">
        <x:v>Atlantic bluefin tuna</x:v>
      </x:c>
      <x:c r="G82" s="46" t="str">
        <x:v>Large pelagics (&gt;=90 cm)</x:v>
      </x:c>
      <x:c r="H82" s="46" t="str">
        <x:v>Tuna &amp; billfishes</x:v>
      </x:c>
      <x:c r="I82" s="60" t="n">
        <x:v>4205.345264652299</x:v>
      </x:c>
      <x:c r="J82" s="60" t="n">
        <x:v>4205.345264652299</x:v>
      </x:c>
      <x:c r="K82" s="60" t="n">
        <x:v>0</x:v>
      </x:c>
      <x:c r="L82" s="60" t="n">
        <x:v>4154.272000193099</x:v>
      </x:c>
      <x:c r="M82" s="60" t="n">
        <x:v>51.073264459200004</x:v>
      </x:c>
      <x:c r="N82" s="46" t="str">
        <x:v>thunnus thynnus</x:v>
      </x:c>
      <x:c r="O82" s="62" t="n">
        <x:v>4.45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Thunnus thynnus</x:v>
      </x:c>
      <x:c r="T82" s="62" t="n">
        <x:f>IF(O82="","",(1/'Metadata'!$B$5)^(O82-1))</x:f>
        <x:v>2818.382931264455</x:v>
      </x:c>
      <x:c r="U82" s="60" t="n">
        <x:f>IF(T82="","",I82*T82)</x:f>
        <x:v>11852273.313969841</x:v>
      </x:c>
    </x:row>
    <x:row r="83" ht="18" customHeight="1">
      <x:c r="A83" s="46" t="str">
        <x:v>LME_027</x:v>
      </x:c>
      <x:c r="B83" s="46" t="str">
        <x:v>Canary Current</x:v>
      </x:c>
      <x:c r="C83" s="46" t="str">
        <x:v>LME</x:v>
      </x:c>
      <x:c r="D83" s="58" t="n">
        <x:v>2019</x:v>
      </x:c>
      <x:c r="E83" s="46" t="str">
        <x:v>Raja</x:v>
      </x:c>
      <x:c r="F83" s="46" t="str">
        <x:v>Stingrays, skates</x:v>
      </x:c>
      <x:c r="G83" s="46" t="str">
        <x:v>Small to medium rays (&lt;90 cm)</x:v>
      </x:c>
      <x:c r="H83" s="46" t="str">
        <x:v>Sharks &amp; rays</x:v>
      </x:c>
      <x:c r="I83" s="60" t="n">
        <x:v>4099.5626562168</x:v>
      </x:c>
      <x:c r="J83" s="60" t="n">
        <x:v>1974.764550878</x:v>
      </x:c>
      <x:c r="K83" s="60" t="n">
        <x:v>2124.7981053388</x:v>
      </x:c>
      <x:c r="L83" s="60" t="n">
        <x:v>817.5147391099</x:v>
      </x:c>
      <x:c r="M83" s="60" t="n">
        <x:v>3282.0479171069</x:v>
      </x:c>
      <x:c r="N83" s="46" t="str">
        <x:v>raja</x:v>
      </x:c>
      <x:c r="O83" s="62" t="n">
        <x:v>3.8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Raja</x:v>
      </x:c>
      <x:c r="T83" s="62" t="n">
        <x:f>IF(O83="","",(1/'Metadata'!$B$5)^(O83-1))</x:f>
        <x:v>630.957344480193</x:v>
      </x:c>
      <x:c r="U83" s="60" t="n">
        <x:f>IF(T83="","",I83*T83)</x:f>
        <x:v>2586649.1670967187</x:v>
      </x:c>
    </x:row>
    <x:row r="84" ht="18" customHeight="1">
      <x:c r="A84" s="46" t="str">
        <x:v>LME_027</x:v>
      </x:c>
      <x:c r="B84" s="46" t="str">
        <x:v>Canary Current</x:v>
      </x:c>
      <x:c r="C84" s="46" t="str">
        <x:v>LME</x:v>
      </x:c>
      <x:c r="D84" s="58" t="n">
        <x:v>2019</x:v>
      </x:c>
      <x:c r="E84" s="46" t="str">
        <x:v>Parapenaeus longirostris</x:v>
      </x:c>
      <x:c r="F84" s="46" t="str">
        <x:v>Deepwater rose shrimp</x:v>
      </x:c>
      <x:c r="G84" s="46" t="str">
        <x:v>Shrimps</x:v>
      </x:c>
      <x:c r="H84" s="46" t="str">
        <x:v>Crustaceans</x:v>
      </x:c>
      <x:c r="I84" s="60" t="n">
        <x:v>3945.3158845581</x:v>
      </x:c>
      <x:c r="J84" s="60" t="n">
        <x:v>2778.8846865924</x:v>
      </x:c>
      <x:c r="K84" s="60" t="n">
        <x:v>1166.4311979657</x:v>
      </x:c>
      <x:c r="L84" s="60" t="n">
        <x:v>2216.1884612387</x:v>
      </x:c>
      <x:c r="M84" s="60" t="n">
        <x:v>1729.1274233194001</x:v>
      </x:c>
      <x:c r="N84" s="46" t="str">
        <x:v>parapenaeus longirostris</x:v>
      </x:c>
      <x:c r="O84" s="62" t="n">
        <x:v>3.3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Parapenaeus longirostris</x:v>
      </x:c>
      <x:c r="T84" s="62" t="n">
        <x:f>IF(O84="","",(1/'Metadata'!$B$5)^(O84-1))</x:f>
        <x:v>199.52623149688787</x:v>
      </x:c>
      <x:c r="U84" s="60" t="n">
        <x:f>IF(T84="","",I84*T84)</x:f>
        <x:v>787194.0105106884</x:v>
      </x:c>
    </x:row>
    <x:row r="85" ht="18" customHeight="1">
      <x:c r="A85" s="46" t="str">
        <x:v>LME_027</x:v>
      </x:c>
      <x:c r="B85" s="46" t="str">
        <x:v>Canary Current</x:v>
      </x:c>
      <x:c r="C85" s="46" t="str">
        <x:v>LME</x:v>
      </x:c>
      <x:c r="D85" s="58" t="n">
        <x:v>2019</x:v>
      </x:c>
      <x:c r="E85" s="46" t="str">
        <x:v>Peristediidae</x:v>
      </x:c>
      <x:c r="F85" s="46" t="str">
        <x:v>Armored searobins, gurnards</x:v>
      </x:c>
      <x:c r="G85" s="46" t="str">
        <x:v>Medium bathydemersals (30 - 89 cm)</x:v>
      </x:c>
      <x:c r="H85" s="46" t="str">
        <x:v>Scorpionfishes</x:v>
      </x:c>
      <x:c r="I85" s="60" t="n">
        <x:v>3873.262788267</x:v>
      </x:c>
      <x:c r="J85" s="60" t="n">
        <x:v>3873.262788267</x:v>
      </x:c>
      <x:c r="K85" s="60" t="n">
        <x:v>0</x:v>
      </x:c>
      <x:c r="L85" s="60" t="n">
        <x:v>3873.262788267</x:v>
      </x:c>
      <x:c r="M85" s="60" t="n">
        <x:v>0</x:v>
      </x:c>
      <x:c r="N85" s="46" t="str">
        <x:v>peristediidae</x:v>
      </x:c>
      <x:c r="O85" s="62" t="n">
        <x:v>3.47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Peristediidae</x:v>
      </x:c>
      <x:c r="T85" s="62" t="n">
        <x:f>IF(O85="","",(1/'Metadata'!$B$5)^(O85-1))</x:f>
        <x:v>295.1209226666387</x:v>
      </x:c>
      <x:c r="U85" s="60" t="n">
        <x:f>IF(T85="","",I85*T85)</x:f>
        <x:v>1143080.8878037147</x:v>
      </x:c>
    </x:row>
    <x:row r="86" ht="18" customHeight="1">
      <x:c r="A86" s="46" t="str">
        <x:v>LME_027</x:v>
      </x:c>
      <x:c r="B86" s="46" t="str">
        <x:v>Canary Current</x:v>
      </x:c>
      <x:c r="C86" s="46" t="str">
        <x:v>LME</x:v>
      </x:c>
      <x:c r="D86" s="58" t="n">
        <x:v>2019</x:v>
      </x:c>
      <x:c r="E86" s="46" t="str">
        <x:v>Scorpaenidae</x:v>
      </x:c>
      <x:c r="F86" s="46" t="str">
        <x:v>Scorpionfishes, rockfishes</x:v>
      </x:c>
      <x:c r="G86" s="46" t="str">
        <x:v>Large reef assoc. fish (&gt;=90 cm)</x:v>
      </x:c>
      <x:c r="H86" s="46" t="str">
        <x:v>Scorpionfishes</x:v>
      </x:c>
      <x:c r="I86" s="60" t="n">
        <x:v>3731.3816660832</x:v>
      </x:c>
      <x:c r="J86" s="60" t="n">
        <x:v>780.1785724341</x:v>
      </x:c>
      <x:c r="K86" s="60" t="n">
        <x:v>2951.2030936491</x:v>
      </x:c>
      <x:c r="L86" s="60" t="n">
        <x:v>780.1785724341</x:v>
      </x:c>
      <x:c r="M86" s="60" t="n">
        <x:v>2951.2030936491</x:v>
      </x:c>
      <x:c r="N86" s="46" t="str">
        <x:v>scorpaenidae</x:v>
      </x:c>
      <x:c r="O86" s="62" t="n">
        <x:v>3.92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Scorpaenidae</x:v>
      </x:c>
      <x:c r="T86" s="62" t="n">
        <x:f>IF(O86="","",(1/'Metadata'!$B$5)^(O86-1))</x:f>
        <x:v>831.7637711026708</x:v>
      </x:c>
      <x:c r="U86" s="60" t="n">
        <x:f>IF(T86="","",I86*T86)</x:f>
        <x:v>3103628.0860047294</x:v>
      </x:c>
    </x:row>
    <x:row r="87" ht="18" customHeight="1">
      <x:c r="A87" s="46" t="str">
        <x:v>LME_027</x:v>
      </x:c>
      <x:c r="B87" s="46" t="str">
        <x:v>Canary Current</x:v>
      </x:c>
      <x:c r="C87" s="46" t="str">
        <x:v>LME</x:v>
      </x:c>
      <x:c r="D87" s="58" t="n">
        <x:v>2019</x:v>
      </x:c>
      <x:c r="E87" s="46" t="str">
        <x:v>Caranx</x:v>
      </x:c>
      <x:c r="F87" s="46" t="str">
        <x:v>Jacks</x:v>
      </x:c>
      <x:c r="G87" s="46" t="str">
        <x:v>Medium reef assoc. fish (30 - 89 cm)</x:v>
      </x:c>
      <x:c r="H87" s="46" t="str">
        <x:v>Perch-likes</x:v>
      </x:c>
      <x:c r="I87" s="60" t="n">
        <x:v>3644.9776354872</x:v>
      </x:c>
      <x:c r="J87" s="60" t="n">
        <x:v>3644.3048028757003</x:v>
      </x:c>
      <x:c r="K87" s="60" t="n">
        <x:v>0.6728326115</x:v>
      </x:c>
      <x:c r="L87" s="60" t="n">
        <x:v>1503.3858637495</x:v>
      </x:c>
      <x:c r="M87" s="60" t="n">
        <x:v>2141.5917717377</x:v>
      </x:c>
      <x:c r="N87" s="46" t="str">
        <x:v>caranx</x:v>
      </x:c>
      <x:c r="O87" s="62" t="n">
        <x:v>4.12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Caranx</x:v>
      </x:c>
      <x:c r="T87" s="62" t="n">
        <x:f>IF(O87="","",(1/'Metadata'!$B$5)^(O87-1))</x:f>
        <x:v>1318.2567385564075</x:v>
      </x:c>
      <x:c r="U87" s="60" t="n">
        <x:f>IF(T87="","",I87*T87)</x:f>
        <x:v>4805016.329868402</x:v>
      </x:c>
    </x:row>
    <x:row r="88" ht="18" customHeight="1">
      <x:c r="A88" s="46" t="str">
        <x:v>LME_027</x:v>
      </x:c>
      <x:c r="B88" s="46" t="str">
        <x:v>Canary Current</x:v>
      </x:c>
      <x:c r="C88" s="46" t="str">
        <x:v>LME</x:v>
      </x:c>
      <x:c r="D88" s="58" t="n">
        <x:v>2019</x:v>
      </x:c>
      <x:c r="E88" s="46" t="str">
        <x:v>Marine pelagic fishes not identified</x:v>
      </x:c>
      <x:c r="F88" s="46" t="str">
        <x:v>Pelagic fishes</x:v>
      </x:c>
      <x:c r="G88" s="46" t="str">
        <x:v>Medium pelagics (30 - 89 cm)</x:v>
      </x:c>
      <x:c r="H88" s="46" t="str">
        <x:v>Other fishes &amp; inverts</x:v>
      </x:c>
      <x:c r="I88" s="60" t="n">
        <x:v>3579.8604818792</x:v>
      </x:c>
      <x:c r="J88" s="60" t="n">
        <x:v>3579.8604818792</x:v>
      </x:c>
      <x:c r="K88" s="60" t="n">
        <x:v>0</x:v>
      </x:c>
      <x:c r="L88" s="60" t="n">
        <x:v>2276.0958821642002</x:v>
      </x:c>
      <x:c r="M88" s="60" t="n">
        <x:v>1303.764599715</x:v>
      </x:c>
      <x:c r="N88" s="46" t="str">
        <x:v>marine pelagic fishes not identified</x:v>
      </x:c>
      <x:c r="O88" s="62" t="n">
        <x:v>3.35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Marine pelagic fishes not identified</x:v>
      </x:c>
      <x:c r="T88" s="62" t="n">
        <x:f>IF(O88="","",(1/'Metadata'!$B$5)^(O88-1))</x:f>
        <x:v>223.872113856834</x:v>
      </x:c>
      <x:c r="U88" s="60" t="n">
        <x:f>IF(T88="","",I88*T88)</x:f>
        <x:v>801430.9333908409</x:v>
      </x:c>
    </x:row>
    <x:row r="89" ht="18" customHeight="1">
      <x:c r="A89" s="46" t="str">
        <x:v>LME_027</x:v>
      </x:c>
      <x:c r="B89" s="46" t="str">
        <x:v>Canary Current</x:v>
      </x:c>
      <x:c r="C89" s="46" t="str">
        <x:v>LME</x:v>
      </x:c>
      <x:c r="D89" s="58" t="n">
        <x:v>2019</x:v>
      </x:c>
      <x:c r="E89" s="46" t="str">
        <x:v>Ablennes hians</x:v>
      </x:c>
      <x:c r="F89" s="46" t="str">
        <x:v>Flat needlefish</x:v>
      </x:c>
      <x:c r="G89" s="46" t="str">
        <x:v>Large pelagics (&gt;=90 cm)</x:v>
      </x:c>
      <x:c r="H89" s="46" t="str">
        <x:v>Other fishes &amp; inverts</x:v>
      </x:c>
      <x:c r="I89" s="60" t="n">
        <x:v>3379.0983074911996</x:v>
      </x:c>
      <x:c r="J89" s="60" t="n">
        <x:v>3379.0983074911996</x:v>
      </x:c>
      <x:c r="K89" s="60" t="n">
        <x:v>0</x:v>
      </x:c>
      <x:c r="L89" s="60" t="n">
        <x:v>0</x:v>
      </x:c>
      <x:c r="M89" s="60" t="n">
        <x:v>3379.0983074911996</x:v>
      </x:c>
      <x:c r="N89" s="46" t="str">
        <x:v>ablennes hians</x:v>
      </x:c>
      <x:c r="O89" s="62" t="n">
        <x:v>4.5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Ablennes hians</x:v>
      </x:c>
      <x:c r="T89" s="62" t="n">
        <x:f>IF(O89="","",(1/'Metadata'!$B$5)^(O89-1))</x:f>
        <x:v>3162.2776601683795</x:v>
      </x:c>
      <x:c r="U89" s="60" t="n">
        <x:f>IF(T89="","",I89*T89)</x:f>
        <x:v>10685647.089292202</x:v>
      </x:c>
    </x:row>
    <x:row r="90" ht="18" customHeight="1">
      <x:c r="A90" s="46" t="str">
        <x:v>LME_027</x:v>
      </x:c>
      <x:c r="B90" s="46" t="str">
        <x:v>Canary Current</x:v>
      </x:c>
      <x:c r="C90" s="46" t="str">
        <x:v>LME</x:v>
      </x:c>
      <x:c r="D90" s="58" t="n">
        <x:v>2019</x:v>
      </x:c>
      <x:c r="E90" s="46" t="str">
        <x:v>Isurus oxyrinchus</x:v>
      </x:c>
      <x:c r="F90" s="46" t="str">
        <x:v>Shortfin mako</x:v>
      </x:c>
      <x:c r="G90" s="46" t="str">
        <x:v>Large sharks (&gt;=90 cm)</x:v>
      </x:c>
      <x:c r="H90" s="46" t="str">
        <x:v>Sharks &amp; rays</x:v>
      </x:c>
      <x:c r="I90" s="60" t="n">
        <x:v>3317.1384603904</x:v>
      </x:c>
      <x:c r="J90" s="60" t="n">
        <x:v>3317.1384603904</x:v>
      </x:c>
      <x:c r="K90" s="60" t="n">
        <x:v>0</x:v>
      </x:c>
      <x:c r="L90" s="60" t="n">
        <x:v>868.7035018211</x:v>
      </x:c>
      <x:c r="M90" s="60" t="n">
        <x:v>2448.4349585693</x:v>
      </x:c>
      <x:c r="N90" s="46" t="str">
        <x:v>isurus oxyrinchus</x:v>
      </x:c>
      <x:c r="O90" s="62" t="n">
        <x:v>4.5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Isurus oxyrinchus</x:v>
      </x:c>
      <x:c r="T90" s="62" t="n">
        <x:f>IF(O90="","",(1/'Metadata'!$B$5)^(O90-1))</x:f>
        <x:v>3162.2776601683795</x:v>
      </x:c>
      <x:c r="U90" s="60" t="n">
        <x:f>IF(T90="","",I90*T90)</x:f>
        <x:v>10489712.848977894</x:v>
      </x:c>
    </x:row>
    <x:row r="91" ht="18" customHeight="1">
      <x:c r="A91" s="46" t="str">
        <x:v>LME_027</x:v>
      </x:c>
      <x:c r="B91" s="46" t="str">
        <x:v>Canary Current</x:v>
      </x:c>
      <x:c r="C91" s="46" t="str">
        <x:v>LME</x:v>
      </x:c>
      <x:c r="D91" s="58" t="n">
        <x:v>2019</x:v>
      </x:c>
      <x:c r="E91" s="46" t="str">
        <x:v>Diplodus sargus</x:v>
      </x:c>
      <x:c r="F91" s="46" t="str">
        <x:v>White seabream</x:v>
      </x:c>
      <x:c r="G91" s="46" t="str">
        <x:v>Medium demersals (30 - 89 cm)</x:v>
      </x:c>
      <x:c r="H91" s="46" t="str">
        <x:v>Perch-likes</x:v>
      </x:c>
      <x:c r="I91" s="60" t="n">
        <x:v>3262.9514181171</x:v>
      </x:c>
      <x:c r="J91" s="60" t="n">
        <x:v>3187.4409424051996</x:v>
      </x:c>
      <x:c r="K91" s="60" t="n">
        <x:v>75.5104757119</x:v>
      </x:c>
      <x:c r="L91" s="60" t="n">
        <x:v>2944.5720405234997</x:v>
      </x:c>
      <x:c r="M91" s="60" t="n">
        <x:v>318.37937759359994</x:v>
      </x:c>
      <x:c r="N91" s="46" t="str">
        <x:v>diplodus sargus</x:v>
      </x:c>
      <x:c r="O91" s="62" t="n">
        <x:v>3.38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Diplodus sargus</x:v>
      </x:c>
      <x:c r="T91" s="62" t="n">
        <x:f>IF(O91="","",(1/'Metadata'!$B$5)^(O91-1))</x:f>
        <x:v>239.88329190194898</x:v>
      </x:c>
      <x:c r="U91" s="60" t="n">
        <x:f>IF(T91="","",I91*T91)</x:f>
        <x:v>782727.5274940627</x:v>
      </x:c>
    </x:row>
    <x:row r="92" ht="18" customHeight="1">
      <x:c r="A92" s="46" t="str">
        <x:v>LME_027</x:v>
      </x:c>
      <x:c r="B92" s="46" t="str">
        <x:v>Canary Current</x:v>
      </x:c>
      <x:c r="C92" s="46" t="str">
        <x:v>LME</x:v>
      </x:c>
      <x:c r="D92" s="58" t="n">
        <x:v>2019</x:v>
      </x:c>
      <x:c r="E92" s="46" t="str">
        <x:v>Cynoglossus</x:v>
      </x:c>
      <x:c r="F92" s="46" t="str">
        <x:v>Tonguesoles</x:v>
      </x:c>
      <x:c r="G92" s="46" t="str">
        <x:v>Small to medium flatfishes (&lt;90 cm)</x:v>
      </x:c>
      <x:c r="H92" s="46" t="str">
        <x:v>Flatfishes</x:v>
      </x:c>
      <x:c r="I92" s="60" t="n">
        <x:v>3127.4376654552</x:v>
      </x:c>
      <x:c r="J92" s="60" t="n">
        <x:v>1707.3192552656</x:v>
      </x:c>
      <x:c r="K92" s="60" t="n">
        <x:v>1420.1184101896001</x:v>
      </x:c>
      <x:c r="L92" s="60" t="n">
        <x:v>346.1023145576</x:v>
      </x:c>
      <x:c r="M92" s="60" t="n">
        <x:v>2781.3353508976</x:v>
      </x:c>
      <x:c r="N92" s="46" t="str">
        <x:v>cynoglossus</x:v>
      </x:c>
      <x:c r="O92" s="62" t="n">
        <x:v>3.36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Cynoglossus</x:v>
      </x:c>
      <x:c r="T92" s="62" t="n">
        <x:f>IF(O92="","",(1/'Metadata'!$B$5)^(O92-1))</x:f>
        <x:v>229.08676527677724</x:v>
      </x:c>
      <x:c r="U92" s="60" t="n">
        <x:f>IF(T92="","",I92*T92)</x:f>
        <x:v>716454.5783838877</x:v>
      </x:c>
    </x:row>
    <x:row r="93" ht="18" customHeight="1">
      <x:c r="A93" s="46" t="str">
        <x:v>LME_027</x:v>
      </x:c>
      <x:c r="B93" s="46" t="str">
        <x:v>Canary Current</x:v>
      </x:c>
      <x:c r="C93" s="46" t="str">
        <x:v>LME</x:v>
      </x:c>
      <x:c r="D93" s="58" t="n">
        <x:v>2019</x:v>
      </x:c>
      <x:c r="E93" s="46" t="str">
        <x:v>Scomberomorus tritor</x:v>
      </x:c>
      <x:c r="F93" s="46" t="str">
        <x:v>West African Spanish mackerel</x:v>
      </x:c>
      <x:c r="G93" s="46" t="str">
        <x:v>Medium pelagics (30 - 89 cm)</x:v>
      </x:c>
      <x:c r="H93" s="46" t="str">
        <x:v>Perch-likes</x:v>
      </x:c>
      <x:c r="I93" s="60" t="n">
        <x:v>3124.2303001484</x:v>
      </x:c>
      <x:c r="J93" s="60" t="n">
        <x:v>3064.3541785715</x:v>
      </x:c>
      <x:c r="K93" s="60" t="n">
        <x:v>59.876121576900005</x:v>
      </x:c>
      <x:c r="L93" s="60" t="n">
        <x:v>2827.6709123708997</x:v>
      </x:c>
      <x:c r="M93" s="60" t="n">
        <x:v>296.55938777750004</x:v>
      </x:c>
      <x:c r="N93" s="46" t="str">
        <x:v>scomberomorus tritor</x:v>
      </x:c>
      <x:c r="O93" s="62" t="n">
        <x:v>4.26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Scomberomorus tritor</x:v>
      </x:c>
      <x:c r="T93" s="62" t="n">
        <x:f>IF(O93="","",(1/'Metadata'!$B$5)^(O93-1))</x:f>
        <x:v>1819.7008586099826</x:v>
      </x:c>
      <x:c r="U93" s="60" t="n">
        <x:f>IF(T93="","",I93*T93)</x:f>
        <x:v>5685164.559675368</x:v>
      </x:c>
    </x:row>
    <x:row r="94" ht="18" customHeight="1">
      <x:c r="A94" s="46" t="str">
        <x:v>LME_027</x:v>
      </x:c>
      <x:c r="B94" s="46" t="str">
        <x:v>Canary Current</x:v>
      </x:c>
      <x:c r="C94" s="46" t="str">
        <x:v>LME</x:v>
      </x:c>
      <x:c r="D94" s="58" t="n">
        <x:v>2019</x:v>
      </x:c>
      <x:c r="E94" s="46" t="str">
        <x:v>Sphyrna zygaena</x:v>
      </x:c>
      <x:c r="F94" s="46" t="str">
        <x:v>Smooth hammerhead</x:v>
      </x:c>
      <x:c r="G94" s="46" t="str">
        <x:v>Large sharks (&gt;=90 cm)</x:v>
      </x:c>
      <x:c r="H94" s="46" t="str">
        <x:v>Sharks &amp; rays</x:v>
      </x:c>
      <x:c r="I94" s="60" t="n">
        <x:v>3112.953580512</x:v>
      </x:c>
      <x:c r="J94" s="60" t="n">
        <x:v>3109.204362858</x:v>
      </x:c>
      <x:c r="K94" s="60" t="n">
        <x:v>3.749217654</x:v>
      </x:c>
      <x:c r="L94" s="60" t="n">
        <x:v>552.3687950046999</x:v>
      </x:c>
      <x:c r="M94" s="60" t="n">
        <x:v>2560.5847855073</x:v>
      </x:c>
      <x:c r="N94" s="46" t="str">
        <x:v>sphyrna zygaena</x:v>
      </x:c>
      <x:c r="O94" s="62" t="n">
        <x:v>4.94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Sphyrna zygaena</x:v>
      </x:c>
      <x:c r="T94" s="62" t="n">
        <x:f>IF(O94="","",(1/'Metadata'!$B$5)^(O94-1))</x:f>
        <x:v>8709.635899560813</x:v>
      </x:c>
      <x:c r="U94" s="60" t="n">
        <x:f>IF(T94="","",I94*T94)</x:f>
        <x:v>27112692.258493688</x:v>
      </x:c>
    </x:row>
    <x:row r="95" ht="18" customHeight="1">
      <x:c r="A95" s="46" t="str">
        <x:v>LME_027</x:v>
      </x:c>
      <x:c r="B95" s="46" t="str">
        <x:v>Canary Current</x:v>
      </x:c>
      <x:c r="C95" s="46" t="str">
        <x:v>LME</x:v>
      </x:c>
      <x:c r="D95" s="58" t="n">
        <x:v>2019</x:v>
      </x:c>
      <x:c r="E95" s="46" t="str">
        <x:v>Cynoglossus canariensis</x:v>
      </x:c>
      <x:c r="F95" s="46" t="str">
        <x:v>Canary tonguesole</x:v>
      </x:c>
      <x:c r="G95" s="46" t="str">
        <x:v>Small to medium flatfishes (&lt;90 cm)</x:v>
      </x:c>
      <x:c r="H95" s="46" t="str">
        <x:v>Flatfishes</x:v>
      </x:c>
      <x:c r="I95" s="60" t="n">
        <x:v>3071.5154539909</x:v>
      </x:c>
      <x:c r="J95" s="60" t="n">
        <x:v>3071.5154539909</x:v>
      </x:c>
      <x:c r="K95" s="60" t="n">
        <x:v>0</x:v>
      </x:c>
      <x:c r="L95" s="60" t="n">
        <x:v>0</x:v>
      </x:c>
      <x:c r="M95" s="60" t="n">
        <x:v>3071.5154539909</x:v>
      </x:c>
      <x:c r="N95" s="46" t="str">
        <x:v>cynoglossus canariensis</x:v>
      </x:c>
      <x:c r="O95" s="62" t="n">
        <x:v>3.6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Cynoglossus canariensis</x:v>
      </x:c>
      <x:c r="T95" s="62" t="n">
        <x:f>IF(O95="","",(1/'Metadata'!$B$5)^(O95-1))</x:f>
        <x:v>398.1071705534973</x:v>
      </x:c>
      <x:c r="U95" s="60" t="n">
        <x:f>IF(T95="","",I95*T95)</x:f>
        <x:v>1222792.326699658</x:v>
      </x:c>
    </x:row>
    <x:row r="96" ht="18" customHeight="1">
      <x:c r="A96" s="46" t="str">
        <x:v>LME_027</x:v>
      </x:c>
      <x:c r="B96" s="46" t="str">
        <x:v>Canary Current</x:v>
      </x:c>
      <x:c r="C96" s="46" t="str">
        <x:v>LME</x:v>
      </x:c>
      <x:c r="D96" s="58" t="n">
        <x:v>2019</x:v>
      </x:c>
      <x:c r="E96" s="46" t="str">
        <x:v>Sarpa salpa</x:v>
      </x:c>
      <x:c r="F96" s="46" t="str">
        <x:v>Salema</x:v>
      </x:c>
      <x:c r="G96" s="46" t="str">
        <x:v>Medium benthopelagics (30 - 89 cm)</x:v>
      </x:c>
      <x:c r="H96" s="46" t="str">
        <x:v>Perch-likes</x:v>
      </x:c>
      <x:c r="I96" s="60" t="n">
        <x:v>3069.2350233253</x:v>
      </x:c>
      <x:c r="J96" s="60" t="n">
        <x:v>3066.8543188792</x:v>
      </x:c>
      <x:c r="K96" s="60" t="n">
        <x:v>2.3807044461</x:v>
      </x:c>
      <x:c r="L96" s="60" t="n">
        <x:v>177.8340547505</x:v>
      </x:c>
      <x:c r="M96" s="60" t="n">
        <x:v>2891.4009685748</x:v>
      </x:c>
      <x:c r="N96" s="46" t="str">
        <x:v>sarpa salpa</x:v>
      </x:c>
      <x:c r="O96" s="62" t="n">
        <x:v>2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Sarpa salpa</x:v>
      </x:c>
      <x:c r="T96" s="62" t="n">
        <x:f>IF(O96="","",(1/'Metadata'!$B$5)^(O96-1))</x:f>
        <x:v>10</x:v>
      </x:c>
      <x:c r="U96" s="60" t="n">
        <x:f>IF(T96="","",I96*T96)</x:f>
        <x:v>30692.350233253</x:v>
      </x:c>
    </x:row>
    <x:row r="97" ht="18" customHeight="1">
      <x:c r="A97" s="46" t="str">
        <x:v>LME_027</x:v>
      </x:c>
      <x:c r="B97" s="46" t="str">
        <x:v>Canary Current</x:v>
      </x:c>
      <x:c r="C97" s="46" t="str">
        <x:v>LME</x:v>
      </x:c>
      <x:c r="D97" s="58" t="n">
        <x:v>2019</x:v>
      </x:c>
      <x:c r="E97" s="46" t="str">
        <x:v>Pagellus erythrinus</x:v>
      </x:c>
      <x:c r="F97" s="46" t="str">
        <x:v>Common pandora</x:v>
      </x:c>
      <x:c r="G97" s="46" t="str">
        <x:v>Medium benthopelagics (30 - 89 cm)</x:v>
      </x:c>
      <x:c r="H97" s="46" t="str">
        <x:v>Perch-likes</x:v>
      </x:c>
      <x:c r="I97" s="60" t="n">
        <x:v>2996.200404832</x:v>
      </x:c>
      <x:c r="J97" s="60" t="n">
        <x:v>2996.200404832</x:v>
      </x:c>
      <x:c r="K97" s="60" t="n">
        <x:v>0</x:v>
      </x:c>
      <x:c r="L97" s="60" t="n">
        <x:v>1355.0211314869</x:v>
      </x:c>
      <x:c r="M97" s="60" t="n">
        <x:v>1641.1792733451</x:v>
      </x:c>
      <x:c r="N97" s="46" t="str">
        <x:v>pagellus erythrinus</x:v>
      </x:c>
      <x:c r="O97" s="62" t="n">
        <x:v>3.48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Pagellus erythrinus</x:v>
      </x:c>
      <x:c r="T97" s="62" t="n">
        <x:f>IF(O97="","",(1/'Metadata'!$B$5)^(O97-1))</x:f>
        <x:v>301.9951720402016</x:v>
      </x:c>
      <x:c r="U97" s="60" t="n">
        <x:f>IF(T97="","",I97*T97)</x:f>
        <x:v>904838.0567241616</x:v>
      </x:c>
    </x:row>
    <x:row r="98" ht="18" customHeight="1">
      <x:c r="A98" s="46" t="str">
        <x:v>LME_027</x:v>
      </x:c>
      <x:c r="B98" s="46" t="str">
        <x:v>Canary Current</x:v>
      </x:c>
      <x:c r="C98" s="46" t="str">
        <x:v>LME</x:v>
      </x:c>
      <x:c r="D98" s="58" t="n">
        <x:v>2019</x:v>
      </x:c>
      <x:c r="E98" s="46" t="str">
        <x:v>Scyris alexandrina</x:v>
      </x:c>
      <x:c r="F98" s="46" t="str">
        <x:v>Alexandria pompano</x:v>
      </x:c>
      <x:c r="G98" s="46" t="str">
        <x:v>Medium pelagics (30 - 89 cm)</x:v>
      </x:c>
      <x:c r="H98" s="46" t="str">
        <x:v>Perch-likes</x:v>
      </x:c>
      <x:c r="I98" s="60" t="n">
        <x:v>2915.1285651815997</x:v>
      </x:c>
      <x:c r="J98" s="60" t="n">
        <x:v>2915.1285651815997</x:v>
      </x:c>
      <x:c r="K98" s="60" t="n">
        <x:v>0</x:v>
      </x:c>
      <x:c r="L98" s="60" t="n">
        <x:v>922.5577245708</x:v>
      </x:c>
      <x:c r="M98" s="60" t="n">
        <x:v>1992.5708406108</x:v>
      </x:c>
      <x:c r="N98" s="46" t="str">
        <x:v>scyris alexandrina</x:v>
      </x:c>
      <x:c r="O98" s="62" t="n">
        <x:v>3.6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Scyris alexandrina</x:v>
      </x:c>
      <x:c r="T98" s="62" t="n">
        <x:f>IF(O98="","",(1/'Metadata'!$B$5)^(O98-1))</x:f>
        <x:v>398.1071705534973</x:v>
      </x:c>
      <x:c r="U98" s="60" t="n">
        <x:f>IF(T98="","",I98*T98)</x:f>
        <x:v>1160533.584884123</x:v>
      </x:c>
    </x:row>
    <x:row r="99" ht="18" customHeight="1">
      <x:c r="A99" s="46" t="str">
        <x:v>LME_027</x:v>
      </x:c>
      <x:c r="B99" s="46" t="str">
        <x:v>Canary Current</x:v>
      </x:c>
      <x:c r="C99" s="46" t="str">
        <x:v>LME</x:v>
      </x:c>
      <x:c r="D99" s="58" t="n">
        <x:v>2019</x:v>
      </x:c>
      <x:c r="E99" s="46" t="str">
        <x:v>Scyliorhinus canicula</x:v>
      </x:c>
      <x:c r="F99" s="46" t="str">
        <x:v>Small-spotted catshark</x:v>
      </x:c>
      <x:c r="G99" s="46" t="str">
        <x:v>Small to medium sharks (&lt;90 cm)</x:v>
      </x:c>
      <x:c r="H99" s="46" t="str">
        <x:v>Sharks &amp; rays</x:v>
      </x:c>
      <x:c r="I99" s="60" t="n">
        <x:v>2814.9011637454</x:v>
      </x:c>
      <x:c r="J99" s="60" t="n">
        <x:v>0.727196163</x:v>
      </x:c>
      <x:c r="K99" s="60" t="n">
        <x:v>2814.1739675824</x:v>
      </x:c>
      <x:c r="L99" s="60" t="n">
        <x:v>0.727196163</x:v>
      </x:c>
      <x:c r="M99" s="60" t="n">
        <x:v>2814.1739675824</x:v>
      </x:c>
      <x:c r="N99" s="46" t="str">
        <x:v>scyliorhinus canicula</x:v>
      </x:c>
      <x:c r="O99" s="62" t="n">
        <x:v>3.82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Scyliorhinus canicula</x:v>
      </x:c>
      <x:c r="T99" s="62" t="n">
        <x:f>IF(O99="","",(1/'Metadata'!$B$5)^(O99-1))</x:f>
        <x:v>660.6934480075957</x:v>
      </x:c>
      <x:c r="U99" s="60" t="n">
        <x:f>IF(T99="","",I99*T99)</x:f>
        <x:v>1859786.7556755422</x:v>
      </x:c>
    </x:row>
    <x:row r="100" ht="18" customHeight="1">
      <x:c r="A100" s="46" t="str">
        <x:v>LME_027</x:v>
      </x:c>
      <x:c r="B100" s="46" t="str">
        <x:v>Canary Current</x:v>
      </x:c>
      <x:c r="C100" s="46" t="str">
        <x:v>LME</x:v>
      </x:c>
      <x:c r="D100" s="58" t="n">
        <x:v>2019</x:v>
      </x:c>
      <x:c r="E100" s="46" t="str">
        <x:v>Mustelus mustelus</x:v>
      </x:c>
      <x:c r="F100" s="46" t="str">
        <x:v>Smooth-hound</x:v>
      </x:c>
      <x:c r="G100" s="46" t="str">
        <x:v>Large sharks (&gt;=90 cm)</x:v>
      </x:c>
      <x:c r="H100" s="46" t="str">
        <x:v>Sharks &amp; rays</x:v>
      </x:c>
      <x:c r="I100" s="60" t="n">
        <x:v>2748.834873532</x:v>
      </x:c>
      <x:c r="J100" s="60" t="n">
        <x:v>2624.3495871221</x:v>
      </x:c>
      <x:c r="K100" s="60" t="n">
        <x:v>124.4852864099</x:v>
      </x:c>
      <x:c r="L100" s="60" t="n">
        <x:v>2170.6934404144</x:v>
      </x:c>
      <x:c r="M100" s="60" t="n">
        <x:v>578.1414331176001</x:v>
      </x:c>
      <x:c r="N100" s="46" t="str">
        <x:v>mustelus mustelus</x:v>
      </x:c>
      <x:c r="O100" s="62" t="n">
        <x:v>3.75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Mustelus mustelus</x:v>
      </x:c>
      <x:c r="T100" s="62" t="n">
        <x:f>IF(O100="","",(1/'Metadata'!$B$5)^(O100-1))</x:f>
        <x:v>562.341325190349</x:v>
      </x:c>
      <x:c r="U100" s="60" t="n">
        <x:f>IF(T100="","",I100*T100)</x:f>
        <x:v>1545783.4455114305</x:v>
      </x:c>
    </x:row>
    <x:row r="101" ht="18" customHeight="1">
      <x:c r="A101" s="46" t="str">
        <x:v>LME_027</x:v>
      </x:c>
      <x:c r="B101" s="46" t="str">
        <x:v>Canary Current</x:v>
      </x:c>
      <x:c r="C101" s="46" t="str">
        <x:v>LME</x:v>
      </x:c>
      <x:c r="D101" s="58" t="n">
        <x:v>2019</x:v>
      </x:c>
      <x:c r="E101" s="46" t="str">
        <x:v>Chondrichthyes</x:v>
      </x:c>
      <x:c r="F101" s="46" t="str">
        <x:v>Sharks, rays, chimaeras</x:v>
      </x:c>
      <x:c r="G101" s="46" t="str">
        <x:v>Large sharks (&gt;=90 cm)</x:v>
      </x:c>
      <x:c r="H101" s="46" t="str">
        <x:v>Sharks &amp; rays</x:v>
      </x:c>
      <x:c r="I101" s="60" t="n">
        <x:v>2629.5445575704002</x:v>
      </x:c>
      <x:c r="J101" s="60" t="n">
        <x:v>2629.5445575704002</x:v>
      </x:c>
      <x:c r="K101" s="60" t="n">
        <x:v>0</x:v>
      </x:c>
      <x:c r="L101" s="60" t="n">
        <x:v>2244.6703889339</x:v>
      </x:c>
      <x:c r="M101" s="60" t="n">
        <x:v>384.87416863650003</x:v>
      </x:c>
      <x:c r="N101" s="46" t="str">
        <x:v>chondrichthyes</x:v>
      </x:c>
      <x:c r="O101" s="62" t="n">
        <x:v>4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Chondrichthyes</x:v>
      </x:c>
      <x:c r="T101" s="62" t="n">
        <x:f>IF(O101="","",(1/'Metadata'!$B$5)^(O101-1))</x:f>
        <x:v>1000</x:v>
      </x:c>
      <x:c r="U101" s="60" t="n">
        <x:f>IF(T101="","",I101*T101)</x:f>
        <x:v>2629544.5575704</x:v>
      </x:c>
    </x:row>
    <x:row r="102" ht="18" customHeight="1">
      <x:c r="A102" s="46" t="str">
        <x:v>LME_027</x:v>
      </x:c>
      <x:c r="B102" s="46" t="str">
        <x:v>Canary Current</x:v>
      </x:c>
      <x:c r="C102" s="46" t="str">
        <x:v>LME</x:v>
      </x:c>
      <x:c r="D102" s="58" t="n">
        <x:v>2019</x:v>
      </x:c>
      <x:c r="E102" s="46" t="str">
        <x:v>Labridae</x:v>
      </x:c>
      <x:c r="F102" s="46" t="str">
        <x:v>Wrasses, gropers, tuskfishes</x:v>
      </x:c>
      <x:c r="G102" s="46" t="str">
        <x:v>Medium reef assoc. fish (30 - 89 cm)</x:v>
      </x:c>
      <x:c r="H102" s="46" t="str">
        <x:v>Perch-likes</x:v>
      </x:c>
      <x:c r="I102" s="60" t="n">
        <x:v>2615.3778513209</x:v>
      </x:c>
      <x:c r="J102" s="60" t="n">
        <x:v>2613.9468581691</x:v>
      </x:c>
      <x:c r="K102" s="60" t="n">
        <x:v>1.4309931518</x:v>
      </x:c>
      <x:c r="L102" s="60" t="n">
        <x:v>25.9752245236</x:v>
      </x:c>
      <x:c r="M102" s="60" t="n">
        <x:v>2589.4026267973</x:v>
      </x:c>
      <x:c r="N102" s="46" t="str">
        <x:v>labridae</x:v>
      </x:c>
      <x:c r="O102" s="62" t="n">
        <x:v>3.46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Labridae</x:v>
      </x:c>
      <x:c r="T102" s="62" t="n">
        <x:f>IF(O102="","",(1/'Metadata'!$B$5)^(O102-1))</x:f>
        <x:v>288.40315031266056</x:v>
      </x:c>
      <x:c r="U102" s="60" t="n">
        <x:f>IF(T102="","",I102*T102)</x:f>
        <x:v>754283.2115789047</x:v>
      </x:c>
    </x:row>
    <x:row r="103" ht="18" customHeight="1">
      <x:c r="A103" s="46" t="str">
        <x:v>LME_027</x:v>
      </x:c>
      <x:c r="B103" s="46" t="str">
        <x:v>Canary Current</x:v>
      </x:c>
      <x:c r="C103" s="46" t="str">
        <x:v>LME</x:v>
      </x:c>
      <x:c r="D103" s="58" t="n">
        <x:v>2019</x:v>
      </x:c>
      <x:c r="E103" s="46" t="str">
        <x:v>Murex</x:v>
      </x:c>
      <x:c r="F103" s="46" t="str">
        <x:v>Murex shells</x:v>
      </x:c>
      <x:c r="G103" s="46" t="str">
        <x:v>Other demersal invertebrates</x:v>
      </x:c>
      <x:c r="H103" s="46" t="str">
        <x:v>Molluscs</x:v>
      </x:c>
      <x:c r="I103" s="60" t="n">
        <x:v>2591.0686394248</x:v>
      </x:c>
      <x:c r="J103" s="60" t="n">
        <x:v>2591.0686394248</x:v>
      </x:c>
      <x:c r="K103" s="60" t="n">
        <x:v>0</x:v>
      </x:c>
      <x:c r="L103" s="60" t="n">
        <x:v>1298.8171442098</x:v>
      </x:c>
      <x:c r="M103" s="60" t="n">
        <x:v>1292.251495215</x:v>
      </x:c>
      <x:c r="N103" s="46" t="str">
        <x:v>murex</x:v>
      </x:c>
      <x:c r="O103" s="62" t="n">
        <x:v>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Murex</x:v>
      </x:c>
      <x:c r="T103" s="62" t="n">
        <x:f>IF(O103="","",(1/'Metadata'!$B$5)^(O103-1))</x:f>
        <x:v>10</x:v>
      </x:c>
      <x:c r="U103" s="60" t="n">
        <x:f>IF(T103="","",I103*T103)</x:f>
        <x:v>25910.686394248</x:v>
      </x:c>
    </x:row>
    <x:row r="104" ht="18" customHeight="1">
      <x:c r="A104" s="46" t="str">
        <x:v>LME_027</x:v>
      </x:c>
      <x:c r="B104" s="46" t="str">
        <x:v>Canary Current</x:v>
      </x:c>
      <x:c r="C104" s="46" t="str">
        <x:v>LME</x:v>
      </x:c>
      <x:c r="D104" s="58" t="n">
        <x:v>2019</x:v>
      </x:c>
      <x:c r="E104" s="46" t="str">
        <x:v>Lepidopus caudatus</x:v>
      </x:c>
      <x:c r="F104" s="46" t="str">
        <x:v>Silver scabbardfish</x:v>
      </x:c>
      <x:c r="G104" s="46" t="str">
        <x:v>Large bathydemersals (&gt;=90 cm)</x:v>
      </x:c>
      <x:c r="H104" s="46" t="str">
        <x:v>Perch-likes</x:v>
      </x:c>
      <x:c r="I104" s="60" t="n">
        <x:v>2579.9535427722</x:v>
      </x:c>
      <x:c r="J104" s="60" t="n">
        <x:v>8.3174701194</x:v>
      </x:c>
      <x:c r="K104" s="60" t="n">
        <x:v>2571.6360726528</x:v>
      </x:c>
      <x:c r="L104" s="60" t="n">
        <x:v>8.3174701194</x:v>
      </x:c>
      <x:c r="M104" s="60" t="n">
        <x:v>2571.6360726528</x:v>
      </x:c>
      <x:c r="N104" s="46" t="str">
        <x:v>lepidopus caudatus</x:v>
      </x:c>
      <x:c r="O104" s="62" t="n">
        <x:v>3.82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Lepidopus caudatus</x:v>
      </x:c>
      <x:c r="T104" s="62" t="n">
        <x:f>IF(O104="","",(1/'Metadata'!$B$5)^(O104-1))</x:f>
        <x:v>660.6934480075957</x:v>
      </x:c>
      <x:c r="U104" s="60" t="n">
        <x:f>IF(T104="","",I104*T104)</x:f>
        <x:v>1704558.401873577</x:v>
      </x:c>
    </x:row>
    <x:row r="105" ht="18" customHeight="1">
      <x:c r="A105" s="46" t="str">
        <x:v>LME_027</x:v>
      </x:c>
      <x:c r="B105" s="46" t="str">
        <x:v>Canary Current</x:v>
      </x:c>
      <x:c r="C105" s="46" t="str">
        <x:v>LME</x:v>
      </x:c>
      <x:c r="D105" s="58" t="n">
        <x:v>2019</x:v>
      </x:c>
      <x:c r="E105" s="46" t="str">
        <x:v>Auxis</x:v>
      </x:c>
      <x:c r="F105" s="46" t="str">
        <x:v>Bullet and frigate tunas</x:v>
      </x:c>
      <x:c r="G105" s="46" t="str">
        <x:v>Medium pelagics (30 - 89 cm)</x:v>
      </x:c>
      <x:c r="H105" s="46" t="str">
        <x:v>Tuna &amp; billfishes</x:v>
      </x:c>
      <x:c r="I105" s="60" t="n">
        <x:v>2574.1521295245</x:v>
      </x:c>
      <x:c r="J105" s="60" t="n">
        <x:v>2574.1521295245</x:v>
      </x:c>
      <x:c r="K105" s="60" t="n">
        <x:v>0</x:v>
      </x:c>
      <x:c r="L105" s="60" t="n">
        <x:v>1906.7706167394</x:v>
      </x:c>
      <x:c r="M105" s="60" t="n">
        <x:v>667.3815127851</x:v>
      </x:c>
      <x:c r="N105" s="46" t="str">
        <x:v>auxis</x:v>
      </x:c>
      <x:c r="O105" s="62" t="n">
        <x:v>4.24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Auxis</x:v>
      </x:c>
      <x:c r="T105" s="62" t="n">
        <x:f>IF(O105="","",(1/'Metadata'!$B$5)^(O105-1))</x:f>
        <x:v>1737.8008287493763</x:v>
      </x:c>
      <x:c r="U105" s="60" t="n">
        <x:f>IF(T105="","",I105*T105)</x:f>
        <x:v>4473363.704014648</x:v>
      </x:c>
    </x:row>
    <x:row r="106" ht="18" customHeight="1">
      <x:c r="A106" s="46" t="str">
        <x:v>LME_027</x:v>
      </x:c>
      <x:c r="B106" s="46" t="str">
        <x:v>Canary Current</x:v>
      </x:c>
      <x:c r="C106" s="46" t="str">
        <x:v>LME</x:v>
      </x:c>
      <x:c r="D106" s="58" t="n">
        <x:v>2019</x:v>
      </x:c>
      <x:c r="E106" s="46" t="str">
        <x:v>Perciformes</x:v>
      </x:c>
      <x:c r="F106" s="46" t="str">
        <x:v>Perch-likes</x:v>
      </x:c>
      <x:c r="G106" s="46" t="str">
        <x:v>Medium demersals (30 - 89 cm)</x:v>
      </x:c>
      <x:c r="H106" s="46" t="str">
        <x:v>Perch-likes</x:v>
      </x:c>
      <x:c r="I106" s="60" t="n">
        <x:v>2506.4915189089998</x:v>
      </x:c>
      <x:c r="J106" s="60" t="n">
        <x:v>2506.3473213146</x:v>
      </x:c>
      <x:c r="K106" s="60" t="n">
        <x:v>0.1441975944</x:v>
      </x:c>
      <x:c r="L106" s="60" t="n">
        <x:v>2295.7735003174</x:v>
      </x:c>
      <x:c r="M106" s="60" t="n">
        <x:v>210.7180185916</x:v>
      </x:c>
      <x:c r="N106" s="46" t="str">
        <x:v>perciformes</x:v>
      </x:c>
      <x:c r="O106" s="62" t="n">
        <x:v>3.53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Perciformes</x:v>
      </x:c>
      <x:c r="T106" s="62" t="n">
        <x:f>IF(O106="","",(1/'Metadata'!$B$5)^(O106-1))</x:f>
        <x:v>338.84415613920237</x:v>
      </x:c>
      <x:c r="U106" s="60" t="n">
        <x:f>IF(T106="","",I106*T106)</x:f>
        <x:v>849310.0035947877</x:v>
      </x:c>
    </x:row>
    <x:row r="107" ht="18" customHeight="1">
      <x:c r="A107" s="46" t="str">
        <x:v>LME_027</x:v>
      </x:c>
      <x:c r="B107" s="46" t="str">
        <x:v>Canary Current</x:v>
      </x:c>
      <x:c r="C107" s="46" t="str">
        <x:v>LME</x:v>
      </x:c>
      <x:c r="D107" s="58" t="n">
        <x:v>2019</x:v>
      </x:c>
      <x:c r="E107" s="46" t="str">
        <x:v>Polydactylus quadrifilis</x:v>
      </x:c>
      <x:c r="F107" s="46" t="str">
        <x:v>Giant African threadfin</x:v>
      </x:c>
      <x:c r="G107" s="46" t="str">
        <x:v>Large demersals (&gt;=90 cm)</x:v>
      </x:c>
      <x:c r="H107" s="46" t="str">
        <x:v>Perch-likes</x:v>
      </x:c>
      <x:c r="I107" s="60" t="n">
        <x:v>2421.5665474894</x:v>
      </x:c>
      <x:c r="J107" s="60" t="n">
        <x:v>2421.5665474894</x:v>
      </x:c>
      <x:c r="K107" s="60" t="n">
        <x:v>0</x:v>
      </x:c>
      <x:c r="L107" s="60" t="n">
        <x:v>1994.2020186259</x:v>
      </x:c>
      <x:c r="M107" s="60" t="n">
        <x:v>427.3645288635</x:v>
      </x:c>
      <x:c r="N107" s="46" t="str">
        <x:v>polydactylus quadrifilis</x:v>
      </x:c>
      <x:c r="O107" s="62" t="n">
        <x:v>4.01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Polydactylus quadrifilis</x:v>
      </x:c>
      <x:c r="T107" s="62" t="n">
        <x:f>IF(O107="","",(1/'Metadata'!$B$5)^(O107-1))</x:f>
        <x:v>1023.2929922807537</x:v>
      </x:c>
      <x:c r="U107" s="60" t="n">
        <x:f>IF(T107="","",I107*T107)</x:f>
        <x:v>2477972.078387402</x:v>
      </x:c>
    </x:row>
    <x:row r="108" ht="18" customHeight="1">
      <x:c r="A108" s="46" t="str">
        <x:v>LME_027</x:v>
      </x:c>
      <x:c r="B108" s="46" t="str">
        <x:v>Canary Current</x:v>
      </x:c>
      <x:c r="C108" s="46" t="str">
        <x:v>LME</x:v>
      </x:c>
      <x:c r="D108" s="58" t="n">
        <x:v>2019</x:v>
      </x:c>
      <x:c r="E108" s="46" t="str">
        <x:v>Elops lacerta</x:v>
      </x:c>
      <x:c r="F108" s="46" t="str">
        <x:v>West African ladyfish</x:v>
      </x:c>
      <x:c r="G108" s="46" t="str">
        <x:v>Medium benthopelagics (30 - 89 cm)</x:v>
      </x:c>
      <x:c r="H108" s="46" t="str">
        <x:v>Other fishes &amp; inverts</x:v>
      </x:c>
      <x:c r="I108" s="60" t="n">
        <x:v>2380.366868142</x:v>
      </x:c>
      <x:c r="J108" s="60" t="n">
        <x:v>2380.3195976810002</x:v>
      </x:c>
      <x:c r="K108" s="60" t="n">
        <x:v>0.047270461</x:v>
      </x:c>
      <x:c r="L108" s="60" t="n">
        <x:v>1464.4850080214</x:v>
      </x:c>
      <x:c r="M108" s="60" t="n">
        <x:v>915.8818601206</x:v>
      </x:c>
      <x:c r="N108" s="46" t="str">
        <x:v>elops lacerta</x:v>
      </x:c>
      <x:c r="O108" s="62" t="n">
        <x:v>4.24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Elops lacerta</x:v>
      </x:c>
      <x:c r="T108" s="62" t="n">
        <x:f>IF(O108="","",(1/'Metadata'!$B$5)^(O108-1))</x:f>
        <x:v>1737.8008287493763</x:v>
      </x:c>
      <x:c r="U108" s="60" t="n">
        <x:f>IF(T108="","",I108*T108)</x:f>
        <x:v>4136603.516184725</x:v>
      </x:c>
    </x:row>
    <x:row r="109" ht="18" customHeight="1">
      <x:c r="A109" s="46" t="str">
        <x:v>LME_027</x:v>
      </x:c>
      <x:c r="B109" s="46" t="str">
        <x:v>Canary Current</x:v>
      </x:c>
      <x:c r="C109" s="46" t="str">
        <x:v>LME</x:v>
      </x:c>
      <x:c r="D109" s="58" t="n">
        <x:v>2019</x:v>
      </x:c>
      <x:c r="E109" s="46" t="str">
        <x:v>Zeus faber</x:v>
      </x:c>
      <x:c r="F109" s="46" t="str">
        <x:v>John dory</x:v>
      </x:c>
      <x:c r="G109" s="46" t="str">
        <x:v>Medium benthopelagics (30 - 89 cm)</x:v>
      </x:c>
      <x:c r="H109" s="46" t="str">
        <x:v>Other fishes &amp; inverts</x:v>
      </x:c>
      <x:c r="I109" s="60" t="n">
        <x:v>2356.0687770191003</x:v>
      </x:c>
      <x:c r="J109" s="60" t="n">
        <x:v>2355.0694412410003</x:v>
      </x:c>
      <x:c r="K109" s="60" t="n">
        <x:v>0.9993357781</x:v>
      </x:c>
      <x:c r="L109" s="60" t="n">
        <x:v>1449.6928488409</x:v>
      </x:c>
      <x:c r="M109" s="60" t="n">
        <x:v>906.3759281782</x:v>
      </x:c>
      <x:c r="N109" s="46" t="str">
        <x:v>zeus faber</x:v>
      </x:c>
      <x:c r="O109" s="62" t="n">
        <x:v>4.5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Zeus faber</x:v>
      </x:c>
      <x:c r="T109" s="62" t="n">
        <x:f>IF(O109="","",(1/'Metadata'!$B$5)^(O109-1))</x:f>
        <x:v>3162.2776601683795</x:v>
      </x:c>
      <x:c r="U109" s="60" t="n">
        <x:f>IF(T109="","",I109*T109)</x:f>
        <x:v>7450543.659387736</x:v>
      </x:c>
    </x:row>
    <x:row r="110" ht="18" customHeight="1">
      <x:c r="A110" s="46" t="str">
        <x:v>LME_027</x:v>
      </x:c>
      <x:c r="B110" s="46" t="str">
        <x:v>Canary Current</x:v>
      </x:c>
      <x:c r="C110" s="46" t="str">
        <x:v>LME</x:v>
      </x:c>
      <x:c r="D110" s="58" t="n">
        <x:v>2019</x:v>
      </x:c>
      <x:c r="E110" s="46" t="str">
        <x:v>Liza</x:v>
      </x:c>
      <x:c r="F110" s="46" t="str">
        <x:v>Mullets</x:v>
      </x:c>
      <x:c r="G110" s="46" t="str">
        <x:v>Medium pelagics (30 - 89 cm)</x:v>
      </x:c>
      <x:c r="H110" s="46" t="str">
        <x:v>Perch-likes</x:v>
      </x:c>
      <x:c r="I110" s="60" t="n">
        <x:v>2332.3014606234</x:v>
      </x:c>
      <x:c r="J110" s="60" t="n">
        <x:v>2332.3014606234</x:v>
      </x:c>
      <x:c r="K110" s="60" t="n">
        <x:v>0</x:v>
      </x:c>
      <x:c r="L110" s="60" t="n">
        <x:v>2327.6661799866</x:v>
      </x:c>
      <x:c r="M110" s="60" t="n">
        <x:v>4.6352806368</x:v>
      </x:c>
      <x:c r="N110" s="46" t="str">
        <x:v>liza</x:v>
      </x:c>
      <x:c r="O110" s="62" t="n">
        <x:v>2.57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Liza</x:v>
      </x:c>
      <x:c r="T110" s="62" t="n">
        <x:f>IF(O110="","",(1/'Metadata'!$B$5)^(O110-1))</x:f>
        <x:v>37.15352290971724</x:v>
      </x:c>
      <x:c r="U110" s="60" t="n">
        <x:f>IF(T110="","",I110*T110)</x:f>
        <x:v>86653.21574963848</x:v>
      </x:c>
    </x:row>
    <x:row r="111" ht="18" customHeight="1">
      <x:c r="A111" s="46" t="str">
        <x:v>LME_027</x:v>
      </x:c>
      <x:c r="B111" s="46" t="str">
        <x:v>Canary Current</x:v>
      </x:c>
      <x:c r="C111" s="46" t="str">
        <x:v>LME</x:v>
      </x:c>
      <x:c r="D111" s="58" t="n">
        <x:v>2019</x:v>
      </x:c>
      <x:c r="E111" s="46" t="str">
        <x:v>Mollusca</x:v>
      </x:c>
      <x:c r="F111" s="46" t="str">
        <x:v>Clams, seasnails, squids, octopuses</x:v>
      </x:c>
      <x:c r="G111" s="46" t="str">
        <x:v>Other demersal invertebrates</x:v>
      </x:c>
      <x:c r="H111" s="46" t="str">
        <x:v>Molluscs</x:v>
      </x:c>
      <x:c r="I111" s="60" t="n">
        <x:v>2263.9967400379</x:v>
      </x:c>
      <x:c r="J111" s="60" t="n">
        <x:v>2263.9967400379</x:v>
      </x:c>
      <x:c r="K111" s="60" t="n">
        <x:v>0</x:v>
      </x:c>
      <x:c r="L111" s="60" t="n">
        <x:v>245.42899105400002</x:v>
      </x:c>
      <x:c r="M111" s="60" t="n">
        <x:v>2018.5677489839</x:v>
      </x:c>
      <x:c r="N111" s="46" t="str">
        <x:v>mollusca</x:v>
      </x:c>
      <x:c r="O111" s="62" t="n">
        <x:v>2.1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Mollusca</x:v>
      </x:c>
      <x:c r="T111" s="62" t="n">
        <x:f>IF(O111="","",(1/'Metadata'!$B$5)^(O111-1))</x:f>
        <x:v>12.589254117941675</x:v>
      </x:c>
      <x:c r="U111" s="60" t="n">
        <x:f>IF(T111="","",I111*T111)</x:f>
        <x:v>28502.03028252866</x:v>
      </x:c>
    </x:row>
    <x:row r="112" ht="18" customHeight="1">
      <x:c r="A112" s="46" t="str">
        <x:v>LME_027</x:v>
      </x:c>
      <x:c r="B112" s="46" t="str">
        <x:v>Canary Current</x:v>
      </x:c>
      <x:c r="C112" s="46" t="str">
        <x:v>LME</x:v>
      </x:c>
      <x:c r="D112" s="58" t="n">
        <x:v>2019</x:v>
      </x:c>
      <x:c r="E112" s="46" t="str">
        <x:v>Myliobatidae</x:v>
      </x:c>
      <x:c r="F112" s="46" t="str">
        <x:v>Eagle/manta rays</x:v>
      </x:c>
      <x:c r="G112" s="46" t="str">
        <x:v>Large rays (&gt;=90 cm)</x:v>
      </x:c>
      <x:c r="H112" s="46" t="str">
        <x:v>Sharks &amp; rays</x:v>
      </x:c>
      <x:c r="I112" s="60" t="n">
        <x:v>2259.7593103462</x:v>
      </x:c>
      <x:c r="J112" s="60" t="n">
        <x:v>2259.7593103462</x:v>
      </x:c>
      <x:c r="K112" s="60" t="n">
        <x:v>0</x:v>
      </x:c>
      <x:c r="L112" s="60" t="n">
        <x:v>2257.2596436032</x:v>
      </x:c>
      <x:c r="M112" s="60" t="n">
        <x:v>2.499666743</x:v>
      </x:c>
      <x:c r="N112" s="46" t="str">
        <x:v>myliobatidae</x:v>
      </x:c>
      <x:c r="O112" s="62" t="n">
        <x:v>3.36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Myliobatidae</x:v>
      </x:c>
      <x:c r="T112" s="62" t="n">
        <x:f>IF(O112="","",(1/'Metadata'!$B$5)^(O112-1))</x:f>
        <x:v>229.08676527677724</x:v>
      </x:c>
      <x:c r="U112" s="60" t="n">
        <x:f>IF(T112="","",I112*T112)</x:f>
        <x:v>517680.9507112919</x:v>
      </x:c>
    </x:row>
    <x:row r="113" ht="18" customHeight="1">
      <x:c r="A113" s="46" t="str">
        <x:v>LME_027</x:v>
      </x:c>
      <x:c r="B113" s="46" t="str">
        <x:v>Canary Current</x:v>
      </x:c>
      <x:c r="C113" s="46" t="str">
        <x:v>LME</x:v>
      </x:c>
      <x:c r="D113" s="58" t="n">
        <x:v>2019</x:v>
      </x:c>
      <x:c r="E113" s="46" t="str">
        <x:v>Decapoda</x:v>
      </x:c>
      <x:c r="F113" s="46" t="str">
        <x:v>Crabs, lobsters, shrimps</x:v>
      </x:c>
      <x:c r="G113" s="46" t="str">
        <x:v>Lobsters, crabs</x:v>
      </x:c>
      <x:c r="H113" s="46" t="str">
        <x:v>Crustaceans</x:v>
      </x:c>
      <x:c r="I113" s="60" t="n">
        <x:v>2207.1581643351</x:v>
      </x:c>
      <x:c r="J113" s="60" t="n">
        <x:v>2206.2029866516</x:v>
      </x:c>
      <x:c r="K113" s="60" t="n">
        <x:v>0.9551776835</x:v>
      </x:c>
      <x:c r="L113" s="60" t="n">
        <x:v>568.1053271671</x:v>
      </x:c>
      <x:c r="M113" s="60" t="n">
        <x:v>1639.052837168</x:v>
      </x:c>
      <x:c r="N113" s="46" t="str">
        <x:v>decapoda</x:v>
      </x:c>
      <x:c r="O113" s="62" t="n">
        <x:v>3.43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Decapoda</x:v>
      </x:c>
      <x:c r="T113" s="62" t="n">
        <x:f>IF(O113="","",(1/'Metadata'!$B$5)^(O113-1))</x:f>
        <x:v>269.1534803926917</x:v>
      </x:c>
      <x:c r="U113" s="60" t="n">
        <x:f>IF(T113="","",I113*T113)</x:f>
        <x:v>594064.3017079367</x:v>
      </x:c>
    </x:row>
    <x:row r="114" ht="18" customHeight="1">
      <x:c r="A114" s="46" t="str">
        <x:v>LME_027</x:v>
      </x:c>
      <x:c r="B114" s="46" t="str">
        <x:v>Canary Current</x:v>
      </x:c>
      <x:c r="C114" s="46" t="str">
        <x:v>LME</x:v>
      </x:c>
      <x:c r="D114" s="58" t="n">
        <x:v>2019</x:v>
      </x:c>
      <x:c r="E114" s="46" t="str">
        <x:v>Sciaenidae</x:v>
      </x:c>
      <x:c r="F114" s="46" t="str">
        <x:v>Drums, croakers</x:v>
      </x:c>
      <x:c r="G114" s="46" t="str">
        <x:v>Medium demersals (30 - 89 cm)</x:v>
      </x:c>
      <x:c r="H114" s="46" t="str">
        <x:v>Perch-likes</x:v>
      </x:c>
      <x:c r="I114" s="60" t="n">
        <x:v>2169.8129914805</x:v>
      </x:c>
      <x:c r="J114" s="60" t="n">
        <x:v>2169.8129914805</x:v>
      </x:c>
      <x:c r="K114" s="60" t="n">
        <x:v>0</x:v>
      </x:c>
      <x:c r="L114" s="60" t="n">
        <x:v>1748.6780554134998</x:v>
      </x:c>
      <x:c r="M114" s="60" t="n">
        <x:v>421.134936067</x:v>
      </x:c>
      <x:c r="N114" s="46" t="str">
        <x:v>sciaenidae</x:v>
      </x:c>
      <x:c r="O114" s="62" t="n">
        <x:v>3.76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Sciaenidae</x:v>
      </x:c>
      <x:c r="T114" s="62" t="n">
        <x:f>IF(O114="","",(1/'Metadata'!$B$5)^(O114-1))</x:f>
        <x:v>575.4399373371566</x:v>
      </x:c>
      <x:c r="U114" s="60" t="n">
        <x:f>IF(T114="","",I114*T114)</x:f>
        <x:v>1248597.0518508872</x:v>
      </x:c>
    </x:row>
    <x:row r="115" ht="18" customHeight="1">
      <x:c r="A115" s="46" t="str">
        <x:v>LME_027</x:v>
      </x:c>
      <x:c r="B115" s="46" t="str">
        <x:v>Canary Current</x:v>
      </x:c>
      <x:c r="C115" s="46" t="str">
        <x:v>LME</x:v>
      </x:c>
      <x:c r="D115" s="58" t="n">
        <x:v>2019</x:v>
      </x:c>
      <x:c r="E115" s="46" t="str">
        <x:v>Bivalvia</x:v>
      </x:c>
      <x:c r="F115" s="46" t="str">
        <x:v>Clams</x:v>
      </x:c>
      <x:c r="G115" s="46" t="str">
        <x:v>Other demersal invertebrates</x:v>
      </x:c>
      <x:c r="H115" s="46" t="str">
        <x:v>Molluscs</x:v>
      </x:c>
      <x:c r="I115" s="60" t="n">
        <x:v>2141.9898302967</x:v>
      </x:c>
      <x:c r="J115" s="60" t="n">
        <x:v>2141.9898302967</x:v>
      </x:c>
      <x:c r="K115" s="60" t="n">
        <x:v>0</x:v>
      </x:c>
      <x:c r="L115" s="60" t="n">
        <x:v>0.7720286167</x:v>
      </x:c>
      <x:c r="M115" s="60" t="n">
        <x:v>2141.21780168</x:v>
      </x:c>
      <x:c r="N115" s="46" t="str">
        <x:v>bivalvia</x:v>
      </x:c>
      <x:c r="O115" s="62" t="n">
        <x:v>2.23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Bivalvia</x:v>
      </x:c>
      <x:c r="T115" s="62" t="n">
        <x:f>IF(O115="","",(1/'Metadata'!$B$5)^(O115-1))</x:f>
        <x:v>16.982436524617444</x:v>
      </x:c>
      <x:c r="U115" s="60" t="n">
        <x:f>IF(T115="","",I115*T115)</x:f>
        <x:v>36376.206329389795</x:v>
      </x:c>
    </x:row>
    <x:row r="116" ht="18" customHeight="1">
      <x:c r="A116" s="46" t="str">
        <x:v>LME_027</x:v>
      </x:c>
      <x:c r="B116" s="46" t="str">
        <x:v>Canary Current</x:v>
      </x:c>
      <x:c r="C116" s="46" t="str">
        <x:v>LME</x:v>
      </x:c>
      <x:c r="D116" s="58" t="n">
        <x:v>2019</x:v>
      </x:c>
      <x:c r="E116" s="46" t="str">
        <x:v>Mycteroperca fusca</x:v>
      </x:c>
      <x:c r="F116" s="46" t="str">
        <x:v>Island grouper</x:v>
      </x:c>
      <x:c r="G116" s="46" t="str">
        <x:v>Large reef assoc. fish (&gt;=90 cm)</x:v>
      </x:c>
      <x:c r="H116" s="46" t="str">
        <x:v>Perch-likes</x:v>
      </x:c>
      <x:c r="I116" s="60" t="n">
        <x:v>2095.6750832386</x:v>
      </x:c>
      <x:c r="J116" s="60" t="n">
        <x:v>2095.6750832386</x:v>
      </x:c>
      <x:c r="K116" s="60" t="n">
        <x:v>0</x:v>
      </x:c>
      <x:c r="L116" s="60" t="n">
        <x:v>18.449407645999997</x:v>
      </x:c>
      <x:c r="M116" s="60" t="n">
        <x:v>2077.2256755926</x:v>
      </x:c>
      <x:c r="N116" s="46" t="str">
        <x:v>mycteroperca fusca</x:v>
      </x:c>
      <x:c r="O116" s="62" t="n">
        <x:v>4.3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Mycteroperca fusca</x:v>
      </x:c>
      <x:c r="T116" s="62" t="n">
        <x:f>IF(O116="","",(1/'Metadata'!$B$5)^(O116-1))</x:f>
        <x:v>1995.2623149688789</x:v>
      </x:c>
      <x:c r="U116" s="60" t="n">
        <x:f>IF(T116="","",I116*T116)</x:f>
        <x:v>4181421.518005247</x:v>
      </x:c>
    </x:row>
    <x:row r="117" ht="18" customHeight="1">
      <x:c r="A117" s="46" t="str">
        <x:v>LME_027</x:v>
      </x:c>
      <x:c r="B117" s="46" t="str">
        <x:v>Canary Current</x:v>
      </x:c>
      <x:c r="C117" s="46" t="str">
        <x:v>LME</x:v>
      </x:c>
      <x:c r="D117" s="58" t="n">
        <x:v>2019</x:v>
      </x:c>
      <x:c r="E117" s="46" t="str">
        <x:v>Dicentrarchus labrax</x:v>
      </x:c>
      <x:c r="F117" s="46" t="str">
        <x:v>European seabass</x:v>
      </x:c>
      <x:c r="G117" s="46" t="str">
        <x:v>Large demersals (&gt;=90 cm)</x:v>
      </x:c>
      <x:c r="H117" s="46" t="str">
        <x:v>Perch-likes</x:v>
      </x:c>
      <x:c r="I117" s="60" t="n">
        <x:v>2045.3576715114998</x:v>
      </x:c>
      <x:c r="J117" s="60" t="n">
        <x:v>2045.3576715114998</x:v>
      </x:c>
      <x:c r="K117" s="60" t="n">
        <x:v>0</x:v>
      </x:c>
      <x:c r="L117" s="60" t="n">
        <x:v>2.0003906844</x:v>
      </x:c>
      <x:c r="M117" s="60" t="n">
        <x:v>2043.3572808270999</x:v>
      </x:c>
      <x:c r="N117" s="46" t="str">
        <x:v>dicentrarchus labrax</x:v>
      </x:c>
      <x:c r="O117" s="62" t="n">
        <x:v>3.79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Dicentrarchus labrax</x:v>
      </x:c>
      <x:c r="T117" s="62" t="n">
        <x:f>IF(O117="","",(1/'Metadata'!$B$5)^(O117-1))</x:f>
        <x:v>616.5950018614822</x:v>
      </x:c>
      <x:c r="U117" s="60" t="n">
        <x:f>IF(T117="","",I117*T117)</x:f>
        <x:v>1261157.31727303</x:v>
      </x:c>
    </x:row>
    <x:row r="118" ht="18" customHeight="1">
      <x:c r="A118" s="46" t="str">
        <x:v>LME_027</x:v>
      </x:c>
      <x:c r="B118" s="46" t="str">
        <x:v>Canary Current</x:v>
      </x:c>
      <x:c r="C118" s="46" t="str">
        <x:v>LME</x:v>
      </x:c>
      <x:c r="D118" s="58" t="n">
        <x:v>2019</x:v>
      </x:c>
      <x:c r="E118" s="46" t="str">
        <x:v>Rhizoprionodon acutus</x:v>
      </x:c>
      <x:c r="F118" s="46" t="str">
        <x:v>Milk shark</x:v>
      </x:c>
      <x:c r="G118" s="46" t="str">
        <x:v>Large sharks (&gt;=90 cm)</x:v>
      </x:c>
      <x:c r="H118" s="46" t="str">
        <x:v>Sharks &amp; rays</x:v>
      </x:c>
      <x:c r="I118" s="60" t="n">
        <x:v>2041.2257079948</x:v>
      </x:c>
      <x:c r="J118" s="60" t="n">
        <x:v>1937.0836800862999</x:v>
      </x:c>
      <x:c r="K118" s="60" t="n">
        <x:v>104.1420279085</x:v>
      </x:c>
      <x:c r="L118" s="60" t="n">
        <x:v>1602.1858122598</x:v>
      </x:c>
      <x:c r="M118" s="60" t="n">
        <x:v>439.039895735</x:v>
      </x:c>
      <x:c r="N118" s="46" t="str">
        <x:v>rhizoprionodon acutus</x:v>
      </x:c>
      <x:c r="O118" s="62" t="n">
        <x:v>4.25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Rhizoprionodon acutus</x:v>
      </x:c>
      <x:c r="T118" s="62" t="n">
        <x:f>IF(O118="","",(1/'Metadata'!$B$5)^(O118-1))</x:f>
        <x:v>1778.2794100389228</x:v>
      </x:c>
      <x:c r="U118" s="60" t="n">
        <x:f>IF(T118="","",I118*T118)</x:f>
        <x:v>3629869.647769275</x:v>
      </x:c>
    </x:row>
    <x:row r="119" ht="18" customHeight="1">
      <x:c r="A119" s="46" t="str">
        <x:v>LME_027</x:v>
      </x:c>
      <x:c r="B119" s="46" t="str">
        <x:v>Canary Current</x:v>
      </x:c>
      <x:c r="C119" s="46" t="str">
        <x:v>LME</x:v>
      </x:c>
      <x:c r="D119" s="58" t="n">
        <x:v>2019</x:v>
      </x:c>
      <x:c r="E119" s="46" t="str">
        <x:v>Dentex macrophthalmus</x:v>
      </x:c>
      <x:c r="F119" s="46" t="str">
        <x:v>Large-eye dentex</x:v>
      </x:c>
      <x:c r="G119" s="46" t="str">
        <x:v>Medium benthopelagics (30 - 89 cm)</x:v>
      </x:c>
      <x:c r="H119" s="46" t="str">
        <x:v>Perch-likes</x:v>
      </x:c>
      <x:c r="I119" s="60" t="n">
        <x:v>1995.2329897129</x:v>
      </x:c>
      <x:c r="J119" s="60" t="n">
        <x:v>1995.2329897129</x:v>
      </x:c>
      <x:c r="K119" s="60" t="n">
        <x:v>0</x:v>
      </x:c>
      <x:c r="L119" s="60" t="n">
        <x:v>1844.8586716991001</x:v>
      </x:c>
      <x:c r="M119" s="60" t="n">
        <x:v>150.3743180138</x:v>
      </x:c>
      <x:c r="N119" s="46" t="str">
        <x:v>dentex macrophthalmus</x:v>
      </x:c>
      <x:c r="O119" s="62" t="n">
        <x:v>3.52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Dentex macrophthalmus</x:v>
      </x:c>
      <x:c r="T119" s="62" t="n">
        <x:f>IF(O119="","",(1/'Metadata'!$B$5)^(O119-1))</x:f>
        <x:v>331.1311214825911</x:v>
      </x:c>
      <x:c r="U119" s="60" t="n">
        <x:f>IF(T119="","",I119*T119)</x:f>
        <x:v>660683.7375026956</x:v>
      </x:c>
    </x:row>
    <x:row r="120" ht="18" customHeight="1">
      <x:c r="A120" s="46" t="str">
        <x:v>LME_027</x:v>
      </x:c>
      <x:c r="B120" s="46" t="str">
        <x:v>Canary Current</x:v>
      </x:c>
      <x:c r="C120" s="46" t="str">
        <x:v>LME</x:v>
      </x:c>
      <x:c r="D120" s="58" t="n">
        <x:v>2019</x:v>
      </x:c>
      <x:c r="E120" s="46" t="str">
        <x:v>Merluccius</x:v>
      </x:c>
      <x:c r="F120" s="46" t="str">
        <x:v>Hakes</x:v>
      </x:c>
      <x:c r="G120" s="46" t="str">
        <x:v>Medium bathydemersals (30 - 89 cm)</x:v>
      </x:c>
      <x:c r="H120" s="46" t="str">
        <x:v>Cod-likes</x:v>
      </x:c>
      <x:c r="I120" s="60" t="n">
        <x:v>1976.6249318033001</x:v>
      </x:c>
      <x:c r="J120" s="60" t="n">
        <x:v>1976.6249318033001</x:v>
      </x:c>
      <x:c r="K120" s="60" t="n">
        <x:v>0</x:v>
      </x:c>
      <x:c r="L120" s="60" t="n">
        <x:v>1600.716557311</x:v>
      </x:c>
      <x:c r="M120" s="60" t="n">
        <x:v>375.9083744923</x:v>
      </x:c>
      <x:c r="N120" s="46" t="str">
        <x:v>merluccius</x:v>
      </x:c>
      <x:c r="O120" s="62" t="n">
        <x:v>4.27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Merluccius</x:v>
      </x:c>
      <x:c r="T120" s="62" t="n">
        <x:f>IF(O120="","",(1/'Metadata'!$B$5)^(O120-1))</x:f>
        <x:v>1862.0871366628655</x:v>
      </x:c>
      <x:c r="U120" s="60" t="n">
        <x:f>IF(T120="","",I120*T120)</x:f>
        <x:v>3680647.859518039</x:v>
      </x:c>
    </x:row>
    <x:row r="121" ht="18" customHeight="1">
      <x:c r="A121" s="46" t="str">
        <x:v>LME_027</x:v>
      </x:c>
      <x:c r="B121" s="46" t="str">
        <x:v>Canary Current</x:v>
      </x:c>
      <x:c r="C121" s="46" t="str">
        <x:v>LME</x:v>
      </x:c>
      <x:c r="D121" s="58" t="n">
        <x:v>2019</x:v>
      </x:c>
      <x:c r="E121" s="46" t="str">
        <x:v>Sparus aurata</x:v>
      </x:c>
      <x:c r="F121" s="46" t="str">
        <x:v>Gilthead seabream</x:v>
      </x:c>
      <x:c r="G121" s="46" t="str">
        <x:v>Medium demersals (30 - 89 cm)</x:v>
      </x:c>
      <x:c r="H121" s="46" t="str">
        <x:v>Perch-likes</x:v>
      </x:c>
      <x:c r="I121" s="60" t="n">
        <x:v>1953.1254355546998</x:v>
      </x:c>
      <x:c r="J121" s="60" t="n">
        <x:v>1948.3490683336</x:v>
      </x:c>
      <x:c r="K121" s="60" t="n">
        <x:v>4.7763672211</x:v>
      </x:c>
      <x:c r="L121" s="60" t="n">
        <x:v>257.20000772500003</x:v>
      </x:c>
      <x:c r="M121" s="60" t="n">
        <x:v>1695.9254278296999</x:v>
      </x:c>
      <x:c r="N121" s="46" t="str">
        <x:v>sparus aurata</x:v>
      </x:c>
      <x:c r="O121" s="62" t="n">
        <x:v>3.7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Sparus aurata</x:v>
      </x:c>
      <x:c r="T121" s="62" t="n">
        <x:f>IF(O121="","",(1/'Metadata'!$B$5)^(O121-1))</x:f>
        <x:v>501.18723362727246</x:v>
      </x:c>
      <x:c r="U121" s="60" t="n">
        <x:f>IF(T121="","",I121*T121)</x:f>
        <x:v>978881.5339727217</x:v>
      </x:c>
    </x:row>
    <x:row r="122" ht="18" customHeight="1">
      <x:c r="A122" s="46" t="str">
        <x:v>LME_027</x:v>
      </x:c>
      <x:c r="B122" s="46" t="str">
        <x:v>Canary Current</x:v>
      </x:c>
      <x:c r="C122" s="46" t="str">
        <x:v>LME</x:v>
      </x:c>
      <x:c r="D122" s="58" t="n">
        <x:v>2019</x:v>
      </x:c>
      <x:c r="E122" s="46" t="str">
        <x:v>Brotula barbata</x:v>
      </x:c>
      <x:c r="F122" s="46" t="str">
        <x:v>Bearded brotula</x:v>
      </x:c>
      <x:c r="G122" s="46" t="str">
        <x:v>Medium benthopelagics (30 - 89 cm)</x:v>
      </x:c>
      <x:c r="H122" s="46" t="str">
        <x:v>Other fishes &amp; inverts</x:v>
      </x:c>
      <x:c r="I122" s="60" t="n">
        <x:v>1901.6623603149</x:v>
      </x:c>
      <x:c r="J122" s="60" t="n">
        <x:v>1901.2334812281001</x:v>
      </x:c>
      <x:c r="K122" s="60" t="n">
        <x:v>0.4288790868</x:v>
      </x:c>
      <x:c r="L122" s="60" t="n">
        <x:v>797.3048106193</x:v>
      </x:c>
      <x:c r="M122" s="60" t="n">
        <x:v>1104.3575496956</x:v>
      </x:c>
      <x:c r="N122" s="46" t="str">
        <x:v>brotula barbata</x:v>
      </x:c>
      <x:c r="O122" s="62" t="n">
        <x:v>3.8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Brotula barbata</x:v>
      </x:c>
      <x:c r="T122" s="62" t="n">
        <x:f>IF(O122="","",(1/'Metadata'!$B$5)^(O122-1))</x:f>
        <x:v>630.957344480193</x:v>
      </x:c>
      <x:c r="U122" s="60" t="n">
        <x:f>IF(T122="","",I122*T122)</x:f>
        <x:v>1199867.8329622252</x:v>
      </x:c>
    </x:row>
    <x:row r="123" ht="18" customHeight="1">
      <x:c r="A123" s="46" t="str">
        <x:v>LME_027</x:v>
      </x:c>
      <x:c r="B123" s="46" t="str">
        <x:v>Canary Current</x:v>
      </x:c>
      <x:c r="C123" s="46" t="str">
        <x:v>LME</x:v>
      </x:c>
      <x:c r="D123" s="58" t="n">
        <x:v>2019</x:v>
      </x:c>
      <x:c r="E123" s="46" t="str">
        <x:v>Miscellaneous marine crustaceans</x:v>
      </x:c>
      <x:c r="F123" s="46" t="str">
        <x:v>Marine crabs, shrimps, lobsters nei</x:v>
      </x:c>
      <x:c r="G123" s="46" t="str">
        <x:v>Shrimps</x:v>
      </x:c>
      <x:c r="H123" s="46" t="str">
        <x:v>Crustaceans</x:v>
      </x:c>
      <x:c r="I123" s="60" t="n">
        <x:v>1868.4253612107</x:v>
      </x:c>
      <x:c r="J123" s="60" t="n">
        <x:v>1378.4386267337</x:v>
      </x:c>
      <x:c r="K123" s="60" t="n">
        <x:v>489.98673447699997</x:v>
      </x:c>
      <x:c r="L123" s="60" t="n">
        <x:v>432.58490191889996</x:v>
      </x:c>
      <x:c r="M123" s="60" t="n">
        <x:v>1435.8404592918</x:v>
      </x:c>
      <x:c r="N123" s="46" t="str">
        <x:v>miscellaneous marine crustaceans</x:v>
      </x:c>
      <x:c r="O123" s="62" t="n">
        <x:v>2.7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Miscellaneous marine crustaceans</x:v>
      </x:c>
      <x:c r="T123" s="62" t="n">
        <x:f>IF(O123="","",(1/'Metadata'!$B$5)^(O123-1))</x:f>
        <x:v>50.11872336272725</x:v>
      </x:c>
      <x:c r="U123" s="60" t="n">
        <x:f>IF(T123="","",I123*T123)</x:f>
        <x:v>93643.09380242281</x:v>
      </x:c>
    </x:row>
    <x:row r="124" ht="18" customHeight="1">
      <x:c r="A124" s="46" t="str">
        <x:v>LME_027</x:v>
      </x:c>
      <x:c r="B124" s="46" t="str">
        <x:v>Canary Current</x:v>
      </x:c>
      <x:c r="C124" s="46" t="str">
        <x:v>LME</x:v>
      </x:c>
      <x:c r="D124" s="58" t="n">
        <x:v>2019</x:v>
      </x:c>
      <x:c r="E124" s="46" t="str">
        <x:v>Pagrus</x:v>
      </x:c>
      <x:c r="F124" s="46" t="str">
        <x:v>Subtropical seabreams</x:v>
      </x:c>
      <x:c r="G124" s="46" t="str">
        <x:v>Medium benthopelagics (30 - 89 cm)</x:v>
      </x:c>
      <x:c r="H124" s="46" t="str">
        <x:v>Perch-likes</x:v>
      </x:c>
      <x:c r="I124" s="60" t="n">
        <x:v>1827.0105382739</x:v>
      </x:c>
      <x:c r="J124" s="60" t="n">
        <x:v>1827.0105382739</x:v>
      </x:c>
      <x:c r="K124" s="60" t="n">
        <x:v>0</x:v>
      </x:c>
      <x:c r="L124" s="60" t="n">
        <x:v>1024.3543586923</x:v>
      </x:c>
      <x:c r="M124" s="60" t="n">
        <x:v>802.6561795816</x:v>
      </x:c>
      <x:c r="N124" s="46" t="str">
        <x:v>pagrus</x:v>
      </x:c>
      <x:c r="O124" s="62" t="n">
        <x:v>3.55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Pagrus</x:v>
      </x:c>
      <x:c r="T124" s="62" t="n">
        <x:f>IF(O124="","",(1/'Metadata'!$B$5)^(O124-1))</x:f>
        <x:v>354.8133892335753</x:v>
      </x:c>
      <x:c r="U124" s="60" t="n">
        <x:f>IF(T124="","",I124*T124)</x:f>
        <x:v>648247.8012504212</x:v>
      </x:c>
    </x:row>
    <x:row r="125" ht="18" customHeight="1">
      <x:c r="A125" s="46" t="str">
        <x:v>LME_027</x:v>
      </x:c>
      <x:c r="B125" s="46" t="str">
        <x:v>Canary Current</x:v>
      </x:c>
      <x:c r="C125" s="46" t="str">
        <x:v>LME</x:v>
      </x:c>
      <x:c r="D125" s="58" t="n">
        <x:v>2019</x:v>
      </x:c>
      <x:c r="E125" s="46" t="str">
        <x:v>Berycidae</x:v>
      </x:c>
      <x:c r="F125" s="46" t="str">
        <x:v>Alfonsinos, redfishes</x:v>
      </x:c>
      <x:c r="G125" s="46" t="str">
        <x:v>Medium benthopelagics (30 - 89 cm)</x:v>
      </x:c>
      <x:c r="H125" s="46" t="str">
        <x:v>Other fishes &amp; inverts</x:v>
      </x:c>
      <x:c r="I125" s="60" t="n">
        <x:v>1805.8094835935</x:v>
      </x:c>
      <x:c r="J125" s="60" t="n">
        <x:v>1805.8094835935</x:v>
      </x:c>
      <x:c r="K125" s="60" t="n">
        <x:v>0</x:v>
      </x:c>
      <x:c r="L125" s="60" t="n">
        <x:v>1805.8094835935</x:v>
      </x:c>
      <x:c r="M125" s="60" t="n">
        <x:v>0</x:v>
      </x:c>
      <x:c r="N125" s="46" t="str">
        <x:v>berycidae</x:v>
      </x:c>
      <x:c r="O125" s="62" t="n">
        <x:v>3.99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Berycidae</x:v>
      </x:c>
      <x:c r="T125" s="62" t="n">
        <x:f>IF(O125="","",(1/'Metadata'!$B$5)^(O125-1))</x:f>
        <x:v>977.2372209558112</x:v>
      </x:c>
      <x:c r="U125" s="60" t="n">
        <x:f>IF(T125="","",I125*T125)</x:f>
        <x:v>1764704.2413225605</x:v>
      </x:c>
    </x:row>
    <x:row r="126" ht="18" customHeight="1">
      <x:c r="A126" s="46" t="str">
        <x:v>LME_027</x:v>
      </x:c>
      <x:c r="B126" s="46" t="str">
        <x:v>Canary Current</x:v>
      </x:c>
      <x:c r="C126" s="46" t="str">
        <x:v>LME</x:v>
      </x:c>
      <x:c r="D126" s="58" t="n">
        <x:v>2019</x:v>
      </x:c>
      <x:c r="E126" s="46" t="str">
        <x:v>Xiphias gladius</x:v>
      </x:c>
      <x:c r="F126" s="46" t="str">
        <x:v>Swordfish</x:v>
      </x:c>
      <x:c r="G126" s="46" t="str">
        <x:v>Large pelagics (&gt;=90 cm)</x:v>
      </x:c>
      <x:c r="H126" s="46" t="str">
        <x:v>Tuna &amp; billfishes</x:v>
      </x:c>
      <x:c r="I126" s="60" t="n">
        <x:v>1725.9000225435</x:v>
      </x:c>
      <x:c r="J126" s="60" t="n">
        <x:v>1725.9000225435</x:v>
      </x:c>
      <x:c r="K126" s="60" t="n">
        <x:v>0</x:v>
      </x:c>
      <x:c r="L126" s="60" t="n">
        <x:v>1521.9379867031</x:v>
      </x:c>
      <x:c r="M126" s="60" t="n">
        <x:v>203.9620358404</x:v>
      </x:c>
      <x:c r="N126" s="46" t="str">
        <x:v>xiphias gladius</x:v>
      </x:c>
      <x:c r="O126" s="62" t="n">
        <x:v>4.53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Xiphias gladius</x:v>
      </x:c>
      <x:c r="T126" s="62" t="n">
        <x:f>IF(O126="","",(1/'Metadata'!$B$5)^(O126-1))</x:f>
        <x:v>3388.4415613920273</x:v>
      </x:c>
      <x:c r="U126" s="60" t="n">
        <x:f>IF(T126="","",I126*T126)</x:f>
        <x:v>5848111.367193832</x:v>
      </x:c>
    </x:row>
    <x:row r="127" ht="18" customHeight="1">
      <x:c r="A127" s="46" t="str">
        <x:v>LME_027</x:v>
      </x:c>
      <x:c r="B127" s="46" t="str">
        <x:v>Canary Current</x:v>
      </x:c>
      <x:c r="C127" s="46" t="str">
        <x:v>LME</x:v>
      </x:c>
      <x:c r="D127" s="58" t="n">
        <x:v>2019</x:v>
      </x:c>
      <x:c r="E127" s="46" t="str">
        <x:v>Rajiformes</x:v>
      </x:c>
      <x:c r="F127" s="46" t="str">
        <x:v>Skates and rays</x:v>
      </x:c>
      <x:c r="G127" s="46" t="str">
        <x:v>Large rays (&gt;=90 cm)</x:v>
      </x:c>
      <x:c r="H127" s="46" t="str">
        <x:v>Sharks &amp; rays</x:v>
      </x:c>
      <x:c r="I127" s="60" t="n">
        <x:v>1723.6426856213</x:v>
      </x:c>
      <x:c r="J127" s="60" t="n">
        <x:v>37.1087711502</x:v>
      </x:c>
      <x:c r="K127" s="60" t="n">
        <x:v>1686.5339144711</x:v>
      </x:c>
      <x:c r="L127" s="60" t="n">
        <x:v>37.1087711502</x:v>
      </x:c>
      <x:c r="M127" s="60" t="n">
        <x:v>1686.5339144711</x:v>
      </x:c>
      <x:c r="N127" s="46" t="str">
        <x:v>rajiformes</x:v>
      </x:c>
      <x:c r="O127" s="62" t="n">
        <x:v>3.61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Rajiformes</x:v>
      </x:c>
      <x:c r="T127" s="62" t="n">
        <x:f>IF(O127="","",(1/'Metadata'!$B$5)^(O127-1))</x:f>
        <x:v>407.3802778041126</x:v>
      </x:c>
      <x:c r="U127" s="60" t="n">
        <x:f>IF(T127="","",I127*T127)</x:f>
        <x:v>702178.036103432</x:v>
      </x:c>
    </x:row>
    <x:row r="128" ht="18" customHeight="1">
      <x:c r="A128" s="46" t="str">
        <x:v>LME_027</x:v>
      </x:c>
      <x:c r="B128" s="46" t="str">
        <x:v>Canary Current</x:v>
      </x:c>
      <x:c r="C128" s="46" t="str">
        <x:v>LME</x:v>
      </x:c>
      <x:c r="D128" s="58" t="n">
        <x:v>2019</x:v>
      </x:c>
      <x:c r="E128" s="46" t="str">
        <x:v>Pagrus caeruleostictus</x:v>
      </x:c>
      <x:c r="F128" s="46" t="str">
        <x:v>Bluespotted seabream</x:v>
      </x:c>
      <x:c r="G128" s="46" t="str">
        <x:v>Large benthopelagics (&gt;=90 cm)</x:v>
      </x:c>
      <x:c r="H128" s="46" t="str">
        <x:v>Perch-likes</x:v>
      </x:c>
      <x:c r="I128" s="60" t="n">
        <x:v>1709.8857085917</x:v>
      </x:c>
      <x:c r="J128" s="60" t="n">
        <x:v>1655.8675331809</x:v>
      </x:c>
      <x:c r="K128" s="60" t="n">
        <x:v>54.0181754108</x:v>
      </x:c>
      <x:c r="L128" s="60" t="n">
        <x:v>831.049250581</x:v>
      </x:c>
      <x:c r="M128" s="60" t="n">
        <x:v>878.8364580107001</x:v>
      </x:c>
      <x:c r="N128" s="46" t="str">
        <x:v>pagrus caeruleostictus</x:v>
      </x:c>
      <x:c r="O128" s="62" t="n">
        <x:v>3.81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Pagrus caeruleostictus</x:v>
      </x:c>
      <x:c r="T128" s="62" t="n">
        <x:f>IF(O128="","",(1/'Metadata'!$B$5)^(O128-1))</x:f>
        <x:v>645.6542290346556</x:v>
      </x:c>
      <x:c r="U128" s="60" t="n">
        <x:f>IF(T128="","",I128*T128)</x:f>
        <x:v>1103994.9389181498</x:v>
      </x:c>
    </x:row>
    <x:row r="129" ht="18" customHeight="1">
      <x:c r="A129" s="46" t="str">
        <x:v>LME_027</x:v>
      </x:c>
      <x:c r="B129" s="46" t="str">
        <x:v>Canary Current</x:v>
      </x:c>
      <x:c r="C129" s="46" t="str">
        <x:v>LME</x:v>
      </x:c>
      <x:c r="D129" s="58" t="n">
        <x:v>2019</x:v>
      </x:c>
      <x:c r="E129" s="46" t="str">
        <x:v>Epinephelus marginatus</x:v>
      </x:c>
      <x:c r="F129" s="46" t="str">
        <x:v>Dusky grouper</x:v>
      </x:c>
      <x:c r="G129" s="46" t="str">
        <x:v>Large reef assoc. fish (&gt;=90 cm)</x:v>
      </x:c>
      <x:c r="H129" s="46" t="str">
        <x:v>Perch-likes</x:v>
      </x:c>
      <x:c r="I129" s="60" t="n">
        <x:v>1661.238643184</x:v>
      </x:c>
      <x:c r="J129" s="60" t="n">
        <x:v>1610.676409151</x:v>
      </x:c>
      <x:c r="K129" s="60" t="n">
        <x:v>50.562234033</x:v>
      </x:c>
      <x:c r="L129" s="60" t="n">
        <x:v>1145.6086377781999</x:v>
      </x:c>
      <x:c r="M129" s="60" t="n">
        <x:v>515.6300054058</x:v>
      </x:c>
      <x:c r="N129" s="46" t="str">
        <x:v>epinephelus marginatus</x:v>
      </x:c>
      <x:c r="O129" s="62" t="n">
        <x:v>4.43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Epinephelus marginatus</x:v>
      </x:c>
      <x:c r="T129" s="62" t="n">
        <x:f>IF(O129="","",(1/'Metadata'!$B$5)^(O129-1))</x:f>
        <x:v>2691.534803926914</x:v>
      </x:c>
      <x:c r="U129" s="60" t="n">
        <x:f>IF(T129="","",I129*T129)</x:f>
        <x:v>4471281.62575806</x:v>
      </x:c>
    </x:row>
    <x:row r="130" ht="18" customHeight="1">
      <x:c r="A130" s="46" t="str">
        <x:v>LME_027</x:v>
      </x:c>
      <x:c r="B130" s="46" t="str">
        <x:v>Canary Current</x:v>
      </x:c>
      <x:c r="C130" s="46" t="str">
        <x:v>LME</x:v>
      </x:c>
      <x:c r="D130" s="58" t="n">
        <x:v>2019</x:v>
      </x:c>
      <x:c r="E130" s="46" t="str">
        <x:v>Rhinobatos</x:v>
      </x:c>
      <x:c r="F130" s="46" t="str">
        <x:v>Guitarfishes</x:v>
      </x:c>
      <x:c r="G130" s="46" t="str">
        <x:v>Large rays (&gt;=90 cm)</x:v>
      </x:c>
      <x:c r="H130" s="46" t="str">
        <x:v>Sharks &amp; rays</x:v>
      </x:c>
      <x:c r="I130" s="60" t="n">
        <x:v>1652.7841639566</x:v>
      </x:c>
      <x:c r="J130" s="60" t="n">
        <x:v>1569.9825396477</x:v>
      </x:c>
      <x:c r="K130" s="60" t="n">
        <x:v>82.80162430889999</x:v>
      </x:c>
      <x:c r="L130" s="60" t="n">
        <x:v>1273.8717534503999</x:v>
      </x:c>
      <x:c r="M130" s="60" t="n">
        <x:v>378.9124105062</x:v>
      </x:c>
      <x:c r="N130" s="46" t="str">
        <x:v>rhinobatos</x:v>
      </x:c>
      <x:c r="O130" s="62" t="n">
        <x:v>3.73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Rhinobatos</x:v>
      </x:c>
      <x:c r="T130" s="62" t="n">
        <x:f>IF(O130="","",(1/'Metadata'!$B$5)^(O130-1))</x:f>
        <x:v>537.0317963702527</x:v>
      </x:c>
      <x:c r="U130" s="60" t="n">
        <x:f>IF(T130="","",I130*T130)</x:f>
        <x:v>887597.6485819191</x:v>
      </x:c>
    </x:row>
    <x:row r="131" ht="18" customHeight="1">
      <x:c r="A131" s="46" t="str">
        <x:v>LME_027</x:v>
      </x:c>
      <x:c r="B131" s="46" t="str">
        <x:v>Canary Current</x:v>
      </x:c>
      <x:c r="C131" s="46" t="str">
        <x:v>LME</x:v>
      </x:c>
      <x:c r="D131" s="58" t="n">
        <x:v>2019</x:v>
      </x:c>
      <x:c r="E131" s="46" t="str">
        <x:v>Carlarius heudelotii</x:v>
      </x:c>
      <x:c r="F131" s="46" t="str">
        <x:v>Smoothmouth sea catfish</x:v>
      </x:c>
      <x:c r="G131" s="46" t="str">
        <x:v>Medium demersals (30 - 89 cm)</x:v>
      </x:c>
      <x:c r="H131" s="46" t="str">
        <x:v>Other fishes &amp; inverts</x:v>
      </x:c>
      <x:c r="I131" s="60" t="n">
        <x:v>1640.1922916439003</x:v>
      </x:c>
      <x:c r="J131" s="60" t="n">
        <x:v>1640.1922916439003</x:v>
      </x:c>
      <x:c r="K131" s="60" t="n">
        <x:v>0</x:v>
      </x:c>
      <x:c r="L131" s="60" t="n">
        <x:v>29.0373809523</x:v>
      </x:c>
      <x:c r="M131" s="60" t="n">
        <x:v>1611.1549106916002</x:v>
      </x:c>
      <x:c r="N131" s="46" t="str">
        <x:v>carlarius heudelotii</x:v>
      </x:c>
      <x:c r="O131" s="62" t="n">
        <x:v>3.77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Carlarius heudelotii</x:v>
      </x:c>
      <x:c r="T131" s="62" t="n">
        <x:f>IF(O131="","",(1/'Metadata'!$B$5)^(O131-1))</x:f>
        <x:v>588.843655355589</x:v>
      </x:c>
      <x:c r="U131" s="60" t="n">
        <x:f>IF(T131="","",I131*T131)</x:f>
        <x:v>965816.8244976546</x:v>
      </x:c>
    </x:row>
    <x:row r="132" ht="18" customHeight="1">
      <x:c r="A132" s="46" t="str">
        <x:v>LME_027</x:v>
      </x:c>
      <x:c r="B132" s="46" t="str">
        <x:v>Canary Current</x:v>
      </x:c>
      <x:c r="C132" s="46" t="str">
        <x:v>LME</x:v>
      </x:c>
      <x:c r="D132" s="58" t="n">
        <x:v>2019</x:v>
      </x:c>
      <x:c r="E132" s="46" t="str">
        <x:v>Pagellus acarne</x:v>
      </x:c>
      <x:c r="F132" s="46" t="str">
        <x:v>Axillary seabream</x:v>
      </x:c>
      <x:c r="G132" s="46" t="str">
        <x:v>Medium benthopelagics (30 - 89 cm)</x:v>
      </x:c>
      <x:c r="H132" s="46" t="str">
        <x:v>Perch-likes</x:v>
      </x:c>
      <x:c r="I132" s="60" t="n">
        <x:v>1590.9812446925</x:v>
      </x:c>
      <x:c r="J132" s="60" t="n">
        <x:v>1585.3889379054</x:v>
      </x:c>
      <x:c r="K132" s="60" t="n">
        <x:v>5.5923067871</x:v>
      </x:c>
      <x:c r="L132" s="60" t="n">
        <x:v>822.0574154153</x:v>
      </x:c>
      <x:c r="M132" s="60" t="n">
        <x:v>768.9238292772001</x:v>
      </x:c>
      <x:c r="N132" s="46" t="str">
        <x:v>pagellus acarne</x:v>
      </x:c>
      <x:c r="O132" s="62" t="n">
        <x:v>3.81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Pagellus acarne</x:v>
      </x:c>
      <x:c r="T132" s="62" t="n">
        <x:f>IF(O132="","",(1/'Metadata'!$B$5)^(O132-1))</x:f>
        <x:v>645.6542290346556</x:v>
      </x:c>
      <x:c r="U132" s="60" t="n">
        <x:f>IF(T132="","",I132*T132)</x:f>
        <x:v>1027223.7689505329</x:v>
      </x:c>
    </x:row>
    <x:row r="133" ht="18" customHeight="1">
      <x:c r="A133" s="46" t="str">
        <x:v>LME_027</x:v>
      </x:c>
      <x:c r="B133" s="46" t="str">
        <x:v>Canary Current</x:v>
      </x:c>
      <x:c r="C133" s="46" t="str">
        <x:v>LME</x:v>
      </x:c>
      <x:c r="D133" s="58" t="n">
        <x:v>2019</x:v>
      </x:c>
      <x:c r="E133" s="46" t="str">
        <x:v>Scombridae</x:v>
      </x:c>
      <x:c r="F133" s="46" t="str">
        <x:v>Mackerels, tunas, bonitos</x:v>
      </x:c>
      <x:c r="G133" s="46" t="str">
        <x:v>Medium pelagics (30 - 89 cm)</x:v>
      </x:c>
      <x:c r="H133" s="46" t="str">
        <x:v>Perch-likes</x:v>
      </x:c>
      <x:c r="I133" s="60" t="n">
        <x:v>1585.8486301438</x:v>
      </x:c>
      <x:c r="J133" s="60" t="n">
        <x:v>1585.8486301438</x:v>
      </x:c>
      <x:c r="K133" s="60" t="n">
        <x:v>0</x:v>
      </x:c>
      <x:c r="L133" s="60" t="n">
        <x:v>41.7065596155</x:v>
      </x:c>
      <x:c r="M133" s="60" t="n">
        <x:v>1544.1420705282999</x:v>
      </x:c>
      <x:c r="N133" s="46" t="str">
        <x:v>scombridae</x:v>
      </x:c>
      <x:c r="O133" s="62" t="n">
        <x:v>4.26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Scombridae</x:v>
      </x:c>
      <x:c r="T133" s="62" t="n">
        <x:f>IF(O133="","",(1/'Metadata'!$B$5)^(O133-1))</x:f>
        <x:v>1819.7008586099826</x:v>
      </x:c>
      <x:c r="U133" s="60" t="n">
        <x:f>IF(T133="","",I133*T133)</x:f>
        <x:v>2885770.1138981376</x:v>
      </x:c>
    </x:row>
    <x:row r="134" ht="18" customHeight="1">
      <x:c r="A134" s="46" t="str">
        <x:v>LME_027</x:v>
      </x:c>
      <x:c r="B134" s="46" t="str">
        <x:v>Canary Current</x:v>
      </x:c>
      <x:c r="C134" s="46" t="str">
        <x:v>LME</x:v>
      </x:c>
      <x:c r="D134" s="58" t="n">
        <x:v>2019</x:v>
      </x:c>
      <x:c r="E134" s="46" t="str">
        <x:v>Clupeiformes</x:v>
      </x:c>
      <x:c r="F134" s="46" t="str">
        <x:v>Herrings, shads, anchovies</x:v>
      </x:c>
      <x:c r="G134" s="46" t="str">
        <x:v>Small pelagics (&lt;30 cm)</x:v>
      </x:c>
      <x:c r="H134" s="46" t="str">
        <x:v>Other fishes &amp; inverts</x:v>
      </x:c>
      <x:c r="I134" s="60" t="n">
        <x:v>1576.7695126934</x:v>
      </x:c>
      <x:c r="J134" s="60" t="n">
        <x:v>1576.7695126934</x:v>
      </x:c>
      <x:c r="K134" s="60" t="n">
        <x:v>0</x:v>
      </x:c>
      <x:c r="L134" s="60" t="n">
        <x:v>1576.7695126934</x:v>
      </x:c>
      <x:c r="M134" s="60" t="n">
        <x:v>0</x:v>
      </x:c>
      <x:c r="N134" s="46" t="str">
        <x:v>clupeiformes</x:v>
      </x:c>
      <x:c r="O134" s="62" t="n">
        <x:v>3.24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Clupeiformes</x:v>
      </x:c>
      <x:c r="T134" s="62" t="n">
        <x:f>IF(O134="","",(1/'Metadata'!$B$5)^(O134-1))</x:f>
        <x:v>173.78008287493762</x:v>
      </x:c>
      <x:c r="U134" s="60" t="n">
        <x:f>IF(T134="","",I134*T134)</x:f>
        <x:v>274011.13659053406</x:v>
      </x:c>
    </x:row>
    <x:row r="135" ht="18" customHeight="1">
      <x:c r="A135" s="46" t="str">
        <x:v>LME_027</x:v>
      </x:c>
      <x:c r="B135" s="46" t="str">
        <x:v>Canary Current</x:v>
      </x:c>
      <x:c r="C135" s="46" t="str">
        <x:v>LME</x:v>
      </x:c>
      <x:c r="D135" s="58" t="n">
        <x:v>2019</x:v>
      </x:c>
      <x:c r="E135" s="46" t="str">
        <x:v>Plectorhinchus</x:v>
      </x:c>
      <x:c r="F135" s="46" t="str">
        <x:v>Sweetlips</x:v>
      </x:c>
      <x:c r="G135" s="46" t="str">
        <x:v>Medium reef assoc. fish (30 - 89 cm)</x:v>
      </x:c>
      <x:c r="H135" s="46" t="str">
        <x:v>Perch-likes</x:v>
      </x:c>
      <x:c r="I135" s="60" t="n">
        <x:v>1562.0672335468</x:v>
      </x:c>
      <x:c r="J135" s="60" t="n">
        <x:v>1561.6378688708</x:v>
      </x:c>
      <x:c r="K135" s="60" t="n">
        <x:v>0.429364676</x:v>
      </x:c>
      <x:c r="L135" s="60" t="n">
        <x:v>1560.256877341</x:v>
      </x:c>
      <x:c r="M135" s="60" t="n">
        <x:v>1.8103562058</x:v>
      </x:c>
      <x:c r="N135" s="46" t="str">
        <x:v>plectorhinchus</x:v>
      </x:c>
      <x:c r="O135" s="62" t="n">
        <x:v>3.43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Plectorhinchus</x:v>
      </x:c>
      <x:c r="T135" s="62" t="n">
        <x:f>IF(O135="","",(1/'Metadata'!$B$5)^(O135-1))</x:f>
        <x:v>269.1534803926917</x:v>
      </x:c>
      <x:c r="U135" s="60" t="n">
        <x:f>IF(T135="","",I135*T135)</x:f>
        <x:v>420435.83251650474</x:v>
      </x:c>
    </x:row>
    <x:row r="136" ht="18" customHeight="1">
      <x:c r="A136" s="46" t="str">
        <x:v>LME_027</x:v>
      </x:c>
      <x:c r="B136" s="46" t="str">
        <x:v>Canary Current</x:v>
      </x:c>
      <x:c r="C136" s="46" t="str">
        <x:v>LME</x:v>
      </x:c>
      <x:c r="D136" s="58" t="n">
        <x:v>2019</x:v>
      </x:c>
      <x:c r="E136" s="46" t="str">
        <x:v>Citharus linguatula</x:v>
      </x:c>
      <x:c r="F136" s="46" t="str">
        <x:v>Spotted flounder</x:v>
      </x:c>
      <x:c r="G136" s="46" t="str">
        <x:v>Small to medium flatfishes (&lt;90 cm)</x:v>
      </x:c>
      <x:c r="H136" s="46" t="str">
        <x:v>Flatfishes</x:v>
      </x:c>
      <x:c r="I136" s="60" t="n">
        <x:v>1554.7521476229</x:v>
      </x:c>
      <x:c r="J136" s="60" t="n">
        <x:v>1554.7521476229</x:v>
      </x:c>
      <x:c r="K136" s="60" t="n">
        <x:v>0</x:v>
      </x:c>
      <x:c r="L136" s="60" t="n">
        <x:v>0</x:v>
      </x:c>
      <x:c r="M136" s="60" t="n">
        <x:v>1554.7521476229</x:v>
      </x:c>
      <x:c r="N136" s="46" t="str">
        <x:v>citharus linguatula</x:v>
      </x:c>
      <x:c r="O136" s="62" t="n">
        <x:v>3.97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Citharus linguatula</x:v>
      </x:c>
      <x:c r="T136" s="62" t="n">
        <x:f>IF(O136="","",(1/'Metadata'!$B$5)^(O136-1))</x:f>
        <x:v>933.2543007969915</x:v>
      </x:c>
      <x:c r="U136" s="60" t="n">
        <x:f>IF(T136="","",I136*T136)</x:f>
        <x:v>1450979.1284424306</x:v>
      </x:c>
    </x:row>
    <x:row r="137" ht="18" customHeight="1">
      <x:c r="A137" s="46" t="str">
        <x:v>LME_027</x:v>
      </x:c>
      <x:c r="B137" s="46" t="str">
        <x:v>Canary Current</x:v>
      </x:c>
      <x:c r="C137" s="46" t="str">
        <x:v>LME</x:v>
      </x:c>
      <x:c r="D137" s="58" t="n">
        <x:v>2019</x:v>
      </x:c>
      <x:c r="E137" s="46" t="str">
        <x:v>Sepia officinalis</x:v>
      </x:c>
      <x:c r="F137" s="46" t="str">
        <x:v>Common cuttlefish</x:v>
      </x:c>
      <x:c r="G137" s="46" t="str">
        <x:v>Cephalopods</x:v>
      </x:c>
      <x:c r="H137" s="46" t="str">
        <x:v>Other fishes &amp; inverts</x:v>
      </x:c>
      <x:c r="I137" s="60" t="n">
        <x:v>1521.2006933236999</x:v>
      </x:c>
      <x:c r="J137" s="60" t="n">
        <x:v>1457.4236619365</x:v>
      </x:c>
      <x:c r="K137" s="60" t="n">
        <x:v>63.7770313872</x:v>
      </x:c>
      <x:c r="L137" s="60" t="n">
        <x:v>1196.9848937112</x:v>
      </x:c>
      <x:c r="M137" s="60" t="n">
        <x:v>324.2157996125</x:v>
      </x:c>
      <x:c r="N137" s="46" t="str">
        <x:v>sepia officinalis</x:v>
      </x:c>
      <x:c r="O137" s="62" t="n">
        <x:v>4.27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Sepia officinalis</x:v>
      </x:c>
      <x:c r="T137" s="62" t="n">
        <x:f>IF(O137="","",(1/'Metadata'!$B$5)^(O137-1))</x:f>
        <x:v>1862.0871366628655</x:v>
      </x:c>
      <x:c r="U137" s="60" t="n">
        <x:f>IF(T137="","",I137*T137)</x:f>
        <x:v>2832608.243320694</x:v>
      </x:c>
    </x:row>
    <x:row r="138" ht="18" customHeight="1">
      <x:c r="A138" s="46" t="str">
        <x:v>LME_027</x:v>
      </x:c>
      <x:c r="B138" s="46" t="str">
        <x:v>Canary Current</x:v>
      </x:c>
      <x:c r="C138" s="46" t="str">
        <x:v>LME</x:v>
      </x:c>
      <x:c r="D138" s="58" t="n">
        <x:v>2019</x:v>
      </x:c>
      <x:c r="E138" s="46" t="str">
        <x:v>Lutjanus</x:v>
      </x:c>
      <x:c r="F138" s="46" t="str">
        <x:v>Snappers</x:v>
      </x:c>
      <x:c r="G138" s="46" t="str">
        <x:v>Medium reef assoc. fish (30 - 89 cm)</x:v>
      </x:c>
      <x:c r="H138" s="46" t="str">
        <x:v>Perch-likes</x:v>
      </x:c>
      <x:c r="I138" s="60" t="n">
        <x:v>1510.409151263</x:v>
      </x:c>
      <x:c r="J138" s="60" t="n">
        <x:v>1510.409151263</x:v>
      </x:c>
      <x:c r="K138" s="60" t="n">
        <x:v>0</x:v>
      </x:c>
      <x:c r="L138" s="60" t="n">
        <x:v>553.5005431846</x:v>
      </x:c>
      <x:c r="M138" s="60" t="n">
        <x:v>956.9086080784</x:v>
      </x:c>
      <x:c r="N138" s="46" t="str">
        <x:v>lutjanus</x:v>
      </x:c>
      <x:c r="O138" s="62" t="n">
        <x:v>4.02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Lutjanus</x:v>
      </x:c>
      <x:c r="T138" s="62" t="n">
        <x:f>IF(O138="","",(1/'Metadata'!$B$5)^(O138-1))</x:f>
        <x:v>1047.1285480508984</x:v>
      </x:c>
      <x:c r="U138" s="60" t="n">
        <x:f>IF(T138="","",I138*T138)</x:f>
        <x:v>1581592.541524815</x:v>
      </x:c>
    </x:row>
    <x:row r="139" ht="18" customHeight="1">
      <x:c r="A139" s="46" t="str">
        <x:v>LME_027</x:v>
      </x:c>
      <x:c r="B139" s="46" t="str">
        <x:v>Canary Current</x:v>
      </x:c>
      <x:c r="C139" s="46" t="str">
        <x:v>LME</x:v>
      </x:c>
      <x:c r="D139" s="58" t="n">
        <x:v>2019</x:v>
      </x:c>
      <x:c r="E139" s="46" t="str">
        <x:v>Campogramma glaycos</x:v>
      </x:c>
      <x:c r="F139" s="46" t="str">
        <x:v>Vadigo</x:v>
      </x:c>
      <x:c r="G139" s="46" t="str">
        <x:v>Medium benthopelagics (30 - 89 cm)</x:v>
      </x:c>
      <x:c r="H139" s="46" t="str">
        <x:v>Perch-likes</x:v>
      </x:c>
      <x:c r="I139" s="60" t="n">
        <x:v>1493.9079452098997</x:v>
      </x:c>
      <x:c r="J139" s="60" t="n">
        <x:v>1481.9885412233998</x:v>
      </x:c>
      <x:c r="K139" s="60" t="n">
        <x:v>11.919403986499999</x:v>
      </x:c>
      <x:c r="L139" s="60" t="n">
        <x:v>1434.5793304514</x:v>
      </x:c>
      <x:c r="M139" s="60" t="n">
        <x:v>59.328614758499995</x:v>
      </x:c>
      <x:c r="N139" s="46" t="str">
        <x:v>campogramma glaycos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Campogramma glaycos</x:v>
      </x:c>
      <x:c r="T139" s="62" t="n">
        <x:f>IF(O139="","",(1/'Metadata'!$B$5)^(O139-1))</x:f>
        <x:v>3162.2776601683795</x:v>
      </x:c>
      <x:c r="U139" s="60" t="n">
        <x:f>IF(T139="","",I139*T139)</x:f>
        <x:v>4724151.721485313</x:v>
      </x:c>
    </x:row>
    <x:row r="140" ht="18" customHeight="1">
      <x:c r="A140" s="46" t="str">
        <x:v>LME_027</x:v>
      </x:c>
      <x:c r="B140" s="46" t="str">
        <x:v>Canary Current</x:v>
      </x:c>
      <x:c r="C140" s="46" t="str">
        <x:v>LME</x:v>
      </x:c>
      <x:c r="D140" s="58" t="n">
        <x:v>2019</x:v>
      </x:c>
      <x:c r="E140" s="46" t="str">
        <x:v>Sparidae</x:v>
      </x:c>
      <x:c r="F140" s="46" t="str">
        <x:v>Porgies, seabreams</x:v>
      </x:c>
      <x:c r="G140" s="46" t="str">
        <x:v>Medium benthopelagics (30 - 89 cm)</x:v>
      </x:c>
      <x:c r="H140" s="46" t="str">
        <x:v>Perch-likes</x:v>
      </x:c>
      <x:c r="I140" s="60" t="n">
        <x:v>1455.9075204486</x:v>
      </x:c>
      <x:c r="J140" s="60" t="n">
        <x:v>1432.8571798148</x:v>
      </x:c>
      <x:c r="K140" s="60" t="n">
        <x:v>23.0503406338</x:v>
      </x:c>
      <x:c r="L140" s="60" t="n">
        <x:v>476.4753790601</x:v>
      </x:c>
      <x:c r="M140" s="60" t="n">
        <x:v>979.4321413885</x:v>
      </x:c>
      <x:c r="N140" s="46" t="str">
        <x:v>sparidae</x:v>
      </x:c>
      <x:c r="O140" s="62" t="n">
        <x:v>3.31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Sparidae</x:v>
      </x:c>
      <x:c r="T140" s="62" t="n">
        <x:f>IF(O140="","",(1/'Metadata'!$B$5)^(O140-1))</x:f>
        <x:v>204.17379446695296</x:v>
      </x:c>
      <x:c r="U140" s="60" t="n">
        <x:f>IF(T140="","",I140*T140)</x:f>
        <x:v>297258.1628429636</x:v>
      </x:c>
    </x:row>
    <x:row r="141" ht="18" customHeight="1">
      <x:c r="A141" s="46" t="str">
        <x:v>LME_027</x:v>
      </x:c>
      <x:c r="B141" s="46" t="str">
        <x:v>Canary Current</x:v>
      </x:c>
      <x:c r="C141" s="46" t="str">
        <x:v>LME</x:v>
      </x:c>
      <x:c r="D141" s="58" t="n">
        <x:v>2019</x:v>
      </x:c>
      <x:c r="E141" s="46" t="str">
        <x:v>Stromateus fiatola</x:v>
      </x:c>
      <x:c r="F141" s="46" t="str">
        <x:v>Blue butterfish</x:v>
      </x:c>
      <x:c r="G141" s="46" t="str">
        <x:v>Medium benthopelagics (30 - 89 cm)</x:v>
      </x:c>
      <x:c r="H141" s="46" t="str">
        <x:v>Perch-likes</x:v>
      </x:c>
      <x:c r="I141" s="60" t="n">
        <x:v>1452.2640693648</x:v>
      </x:c>
      <x:c r="J141" s="60" t="n">
        <x:v>1409.0547108086998</x:v>
      </x:c>
      <x:c r="K141" s="60" t="n">
        <x:v>43.2093585561</x:v>
      </x:c>
      <x:c r="L141" s="60" t="n">
        <x:v>972.8308978039</x:v>
      </x:c>
      <x:c r="M141" s="60" t="n">
        <x:v>479.43317156090006</x:v>
      </x:c>
      <x:c r="N141" s="46" t="str">
        <x:v>stromateus fiatola</x:v>
      </x:c>
      <x:c r="O141" s="62" t="n">
        <x:v>4.03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Stromateus fiatola</x:v>
      </x:c>
      <x:c r="T141" s="62" t="n">
        <x:f>IF(O141="","",(1/'Metadata'!$B$5)^(O141-1))</x:f>
        <x:v>1071.519305237607</x:v>
      </x:c>
      <x:c r="U141" s="60" t="n">
        <x:f>IF(T141="","",I141*T141)</x:f>
        <x:v>1556128.9866273105</x:v>
      </x:c>
    </x:row>
    <x:row r="142" ht="18" customHeight="1">
      <x:c r="A142" s="46" t="str">
        <x:v>LME_027</x:v>
      </x:c>
      <x:c r="B142" s="46" t="str">
        <x:v>Canary Current</x:v>
      </x:c>
      <x:c r="C142" s="46" t="str">
        <x:v>LME</x:v>
      </x:c>
      <x:c r="D142" s="58" t="n">
        <x:v>2019</x:v>
      </x:c>
      <x:c r="E142" s="46" t="str">
        <x:v>Umbrina canariensis</x:v>
      </x:c>
      <x:c r="F142" s="46" t="str">
        <x:v>Canary drum</x:v>
      </x:c>
      <x:c r="G142" s="46" t="str">
        <x:v>Medium demersals (30 - 89 cm)</x:v>
      </x:c>
      <x:c r="H142" s="46" t="str">
        <x:v>Perch-likes</x:v>
      </x:c>
      <x:c r="I142" s="60" t="n">
        <x:v>1451.2364663998999</x:v>
      </x:c>
      <x:c r="J142" s="60" t="n">
        <x:v>1434.8838500834</x:v>
      </x:c>
      <x:c r="K142" s="60" t="n">
        <x:v>16.3526163165</x:v>
      </x:c>
      <x:c r="L142" s="60" t="n">
        <x:v>1382.2879429562</x:v>
      </x:c>
      <x:c r="M142" s="60" t="n">
        <x:v>68.9485234437</x:v>
      </x:c>
      <x:c r="N142" s="46" t="str">
        <x:v>umbrina canariensis</x:v>
      </x:c>
      <x:c r="O142" s="62" t="n">
        <x:v>3.37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Umbrina canariensis</x:v>
      </x:c>
      <x:c r="T142" s="62" t="n">
        <x:f>IF(O142="","",(1/'Metadata'!$B$5)^(O142-1))</x:f>
        <x:v>234.42288153199226</x:v>
      </x:c>
      <x:c r="U142" s="60" t="n">
        <x:f>IF(T142="","",I142*T142)</x:f>
        <x:v>340203.0342377708</x:v>
      </x:c>
    </x:row>
    <x:row r="143" ht="18" customHeight="1">
      <x:c r="A143" s="46" t="str">
        <x:v>LME_027</x:v>
      </x:c>
      <x:c r="B143" s="46" t="str">
        <x:v>Canary Current</x:v>
      </x:c>
      <x:c r="C143" s="46" t="str">
        <x:v>LME</x:v>
      </x:c>
      <x:c r="D143" s="58" t="n">
        <x:v>2019</x:v>
      </x:c>
      <x:c r="E143" s="46" t="str">
        <x:v>Trachurus picturatus</x:v>
      </x:c>
      <x:c r="F143" s="46" t="str">
        <x:v>Blue jack mackerel</x:v>
      </x:c>
      <x:c r="G143" s="46" t="str">
        <x:v>Medium benthopelagics (30 - 89 cm)</x:v>
      </x:c>
      <x:c r="H143" s="46" t="str">
        <x:v>Perch-likes</x:v>
      </x:c>
      <x:c r="I143" s="60" t="n">
        <x:v>1447.2967431338</x:v>
      </x:c>
      <x:c r="J143" s="60" t="n">
        <x:v>1447.2967431338</x:v>
      </x:c>
      <x:c r="K143" s="60" t="n">
        <x:v>0</x:v>
      </x:c>
      <x:c r="L143" s="60" t="n">
        <x:v>582.6284633595</x:v>
      </x:c>
      <x:c r="M143" s="60" t="n">
        <x:v>864.6682797743</x:v>
      </x:c>
      <x:c r="N143" s="46" t="str">
        <x:v>trachurus picturatus</x:v>
      </x:c>
      <x:c r="O143" s="62" t="n">
        <x:v>3.32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Trachurus picturatus</x:v>
      </x:c>
      <x:c r="T143" s="62" t="n">
        <x:f>IF(O143="","",(1/'Metadata'!$B$5)^(O143-1))</x:f>
        <x:v>208.92961308540387</x:v>
      </x:c>
      <x:c r="U143" s="60" t="n">
        <x:f>IF(T143="","",I143*T143)</x:f>
        <x:v>302383.14856271</x:v>
      </x:c>
    </x:row>
    <x:row r="144" ht="18" customHeight="1">
      <x:c r="A144" s="46" t="str">
        <x:v>LME_027</x:v>
      </x:c>
      <x:c r="B144" s="46" t="str">
        <x:v>Canary Current</x:v>
      </x:c>
      <x:c r="C144" s="46" t="str">
        <x:v>LME</x:v>
      </x:c>
      <x:c r="D144" s="58" t="n">
        <x:v>2019</x:v>
      </x:c>
      <x:c r="E144" s="46" t="str">
        <x:v>Pagrus pagrus</x:v>
      </x:c>
      <x:c r="F144" s="46" t="str">
        <x:v>Red porgy</x:v>
      </x:c>
      <x:c r="G144" s="46" t="str">
        <x:v>Medium benthopelagics (30 - 89 cm)</x:v>
      </x:c>
      <x:c r="H144" s="46" t="str">
        <x:v>Perch-likes</x:v>
      </x:c>
      <x:c r="I144" s="60" t="n">
        <x:v>1437.7128499853</x:v>
      </x:c>
      <x:c r="J144" s="60" t="n">
        <x:v>1437.7128499853</x:v>
      </x:c>
      <x:c r="K144" s="60" t="n">
        <x:v>0</x:v>
      </x:c>
      <x:c r="L144" s="60" t="n">
        <x:v>210.6150968056</x:v>
      </x:c>
      <x:c r="M144" s="60" t="n">
        <x:v>1227.0977531797</x:v>
      </x:c>
      <x:c r="N144" s="46" t="str">
        <x:v>pagrus pagrus</x:v>
      </x:c>
      <x:c r="O144" s="62" t="n">
        <x:v>3.86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Pagrus pagrus</x:v>
      </x:c>
      <x:c r="T144" s="62" t="n">
        <x:f>IF(O144="","",(1/'Metadata'!$B$5)^(O144-1))</x:f>
        <x:v>724.4359600749899</x:v>
      </x:c>
      <x:c r="U144" s="60" t="n">
        <x:f>IF(T144="","",I144*T144)</x:f>
        <x:v>1041530.8887912508</x:v>
      </x:c>
    </x:row>
    <x:row r="145" ht="18" customHeight="1">
      <x:c r="A145" s="46" t="str">
        <x:v>LME_027</x:v>
      </x:c>
      <x:c r="B145" s="46" t="str">
        <x:v>Canary Current</x:v>
      </x:c>
      <x:c r="C145" s="46" t="str">
        <x:v>LME</x:v>
      </x:c>
      <x:c r="D145" s="58" t="n">
        <x:v>2019</x:v>
      </x:c>
      <x:c r="E145" s="46" t="str">
        <x:v>Pseudotolithus typus</x:v>
      </x:c>
      <x:c r="F145" s="46" t="str">
        <x:v>Longneck croaker</x:v>
      </x:c>
      <x:c r="G145" s="46" t="str">
        <x:v>Large demersals (&gt;=90 cm)</x:v>
      </x:c>
      <x:c r="H145" s="46" t="str">
        <x:v>Perch-likes</x:v>
      </x:c>
      <x:c r="I145" s="60" t="n">
        <x:v>1435.8711282555</x:v>
      </x:c>
      <x:c r="J145" s="60" t="n">
        <x:v>1416.8528515053</x:v>
      </x:c>
      <x:c r="K145" s="60" t="n">
        <x:v>19.0182767502</x:v>
      </x:c>
      <x:c r="L145" s="60" t="n">
        <x:v>292.5890132422</x:v>
      </x:c>
      <x:c r="M145" s="60" t="n">
        <x:v>1143.2821150133</x:v>
      </x:c>
      <x:c r="N145" s="46" t="str">
        <x:v>pseudotolithus typus</x:v>
      </x:c>
      <x:c r="O145" s="62" t="n">
        <x:v>3.7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Pseudotolithus typus</x:v>
      </x:c>
      <x:c r="T145" s="62" t="n">
        <x:f>IF(O145="","",(1/'Metadata'!$B$5)^(O145-1))</x:f>
        <x:v>501.18723362727246</x:v>
      </x:c>
      <x:c r="U145" s="60" t="n">
        <x:f>IF(T145="","",I145*T145)</x:f>
        <x:v>719640.2786156446</x:v>
      </x:c>
    </x:row>
    <x:row r="146" ht="18" customHeight="1">
      <x:c r="A146" s="46" t="str">
        <x:v>LME_027</x:v>
      </x:c>
      <x:c r="B146" s="46" t="str">
        <x:v>Canary Current</x:v>
      </x:c>
      <x:c r="C146" s="46" t="str">
        <x:v>LME</x:v>
      </x:c>
      <x:c r="D146" s="58" t="n">
        <x:v>2019</x:v>
      </x:c>
      <x:c r="E146" s="46" t="str">
        <x:v>Trachinotus ovatus</x:v>
      </x:c>
      <x:c r="F146" s="46" t="str">
        <x:v>Pompano</x:v>
      </x:c>
      <x:c r="G146" s="46" t="str">
        <x:v>Medium pelagics (30 - 89 cm)</x:v>
      </x:c>
      <x:c r="H146" s="46" t="str">
        <x:v>Perch-likes</x:v>
      </x:c>
      <x:c r="I146" s="60" t="n">
        <x:v>1430.5925834264</x:v>
      </x:c>
      <x:c r="J146" s="60" t="n">
        <x:v>1425.7197050948</x:v>
      </x:c>
      <x:c r="K146" s="60" t="n">
        <x:v>4.8728783316</x:v>
      </x:c>
      <x:c r="L146" s="60" t="n">
        <x:v>84.3550253695</x:v>
      </x:c>
      <x:c r="M146" s="60" t="n">
        <x:v>1346.2375580569</x:v>
      </x:c>
      <x:c r="N146" s="46" t="str">
        <x:v>trachinotus ovatus</x:v>
      </x:c>
      <x:c r="O146" s="62" t="n">
        <x:v>3.73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Trachinotus ovatus</x:v>
      </x:c>
      <x:c r="T146" s="62" t="n">
        <x:f>IF(O146="","",(1/'Metadata'!$B$5)^(O146-1))</x:f>
        <x:v>537.0317963702527</x:v>
      </x:c>
      <x:c r="U146" s="60" t="n">
        <x:f>IF(T146="","",I146*T146)</x:f>
        <x:v>768273.7049514402</x:v>
      </x:c>
    </x:row>
    <x:row r="147" ht="18" customHeight="1">
      <x:c r="A147" s="46" t="str">
        <x:v>LME_027</x:v>
      </x:c>
      <x:c r="B147" s="46" t="str">
        <x:v>Canary Current</x:v>
      </x:c>
      <x:c r="C147" s="46" t="str">
        <x:v>LME</x:v>
      </x:c>
      <x:c r="D147" s="58" t="n">
        <x:v>2019</x:v>
      </x:c>
      <x:c r="E147" s="46" t="str">
        <x:v>Lithognathus mormyrus</x:v>
      </x:c>
      <x:c r="F147" s="46" t="str">
        <x:v>Sand steenbras</x:v>
      </x:c>
      <x:c r="G147" s="46" t="str">
        <x:v>Medium benthopelagics (30 - 89 cm)</x:v>
      </x:c>
      <x:c r="H147" s="46" t="str">
        <x:v>Perch-likes</x:v>
      </x:c>
      <x:c r="I147" s="60" t="n">
        <x:v>1416.8339718852</x:v>
      </x:c>
      <x:c r="J147" s="60" t="n">
        <x:v>1409.2502635606</x:v>
      </x:c>
      <x:c r="K147" s="60" t="n">
        <x:v>7.5837083246</x:v>
      </x:c>
      <x:c r="L147" s="60" t="n">
        <x:v>200.6235455448</x:v>
      </x:c>
      <x:c r="M147" s="60" t="n">
        <x:v>1216.2104263404</x:v>
      </x:c>
      <x:c r="N147" s="46" t="str">
        <x:v>lithognathus mormyrus</x:v>
      </x:c>
      <x:c r="O147" s="62" t="n">
        <x:v>3.42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Lithognathus mormyrus</x:v>
      </x:c>
      <x:c r="T147" s="62" t="n">
        <x:f>IF(O147="","",(1/'Metadata'!$B$5)^(O147-1))</x:f>
        <x:v>263.02679918953817</x:v>
      </x:c>
      <x:c r="U147" s="60" t="n">
        <x:f>IF(T147="","",I147*T147)</x:f>
        <x:v>372665.3046079643</x:v>
      </x:c>
    </x:row>
    <x:row r="148" ht="18" customHeight="1">
      <x:c r="A148" s="46" t="str">
        <x:v>LME_027</x:v>
      </x:c>
      <x:c r="B148" s="46" t="str">
        <x:v>Canary Current</x:v>
      </x:c>
      <x:c r="C148" s="46" t="str">
        <x:v>LME</x:v>
      </x:c>
      <x:c r="D148" s="58" t="n">
        <x:v>2019</x:v>
      </x:c>
      <x:c r="E148" s="46" t="str">
        <x:v>Pseudotolithus elongatus</x:v>
      </x:c>
      <x:c r="F148" s="46" t="str">
        <x:v>Bobo croaker</x:v>
      </x:c>
      <x:c r="G148" s="46" t="str">
        <x:v>Medium demersals (30 - 89 cm)</x:v>
      </x:c>
      <x:c r="H148" s="46" t="str">
        <x:v>Perch-likes</x:v>
      </x:c>
      <x:c r="I148" s="60" t="n">
        <x:v>1397.9439051321</x:v>
      </x:c>
      <x:c r="J148" s="60" t="n">
        <x:v>1397.9439051321</x:v>
      </x:c>
      <x:c r="K148" s="60" t="n">
        <x:v>0</x:v>
      </x:c>
      <x:c r="L148" s="60" t="n">
        <x:v>1088.5545422512</x:v>
      </x:c>
      <x:c r="M148" s="60" t="n">
        <x:v>309.38936288089997</x:v>
      </x:c>
      <x:c r="N148" s="46" t="str">
        <x:v>pseudotolithus elongatus</x:v>
      </x:c>
      <x:c r="O148" s="62" t="n">
        <x:v>4.06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Pseudotolithus elongatus</x:v>
      </x:c>
      <x:c r="T148" s="62" t="n">
        <x:f>IF(O148="","",(1/'Metadata'!$B$5)^(O148-1))</x:f>
        <x:v>1148.1536214968817</x:v>
      </x:c>
      <x:c r="U148" s="60" t="n">
        <x:f>IF(T148="","",I148*T148)</x:f>
        <x:v>1605054.3573269139</x:v>
      </x:c>
    </x:row>
    <x:row r="149" ht="18" customHeight="1">
      <x:c r="A149" s="46" t="str">
        <x:v>LME_027</x:v>
      </x:c>
      <x:c r="B149" s="46" t="str">
        <x:v>Canary Current</x:v>
      </x:c>
      <x:c r="C149" s="46" t="str">
        <x:v>LME</x:v>
      </x:c>
      <x:c r="D149" s="58" t="n">
        <x:v>2019</x:v>
      </x:c>
      <x:c r="E149" s="46" t="str">
        <x:v>Sphyraena barracuda</x:v>
      </x:c>
      <x:c r="F149" s="46" t="str">
        <x:v>Great barracuda</x:v>
      </x:c>
      <x:c r="G149" s="46" t="str">
        <x:v>Large pelagics (&gt;=90 cm)</x:v>
      </x:c>
      <x:c r="H149" s="46" t="str">
        <x:v>Perch-likes</x:v>
      </x:c>
      <x:c r="I149" s="60" t="n">
        <x:v>1334.7746674600999</x:v>
      </x:c>
      <x:c r="J149" s="60" t="n">
        <x:v>1334.7746674600999</x:v>
      </x:c>
      <x:c r="K149" s="60" t="n">
        <x:v>0</x:v>
      </x:c>
      <x:c r="L149" s="60" t="n">
        <x:v>966.950822464</x:v>
      </x:c>
      <x:c r="M149" s="60" t="n">
        <x:v>367.8238449961</x:v>
      </x:c>
      <x:c r="N149" s="46" t="str">
        <x:v>sphyraena barracuda</x:v>
      </x:c>
      <x:c r="O149" s="62" t="n">
        <x:v>4.49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Sphyraena barracuda</x:v>
      </x:c>
      <x:c r="T149" s="62" t="n">
        <x:f>IF(O149="","",(1/'Metadata'!$B$5)^(O149-1))</x:f>
        <x:v>3090.295432513592</x:v>
      </x:c>
      <x:c r="U149" s="60" t="n">
        <x:f>IF(T149="","",I149*T149)</x:f>
        <x:v>4124848.0582867954</x:v>
      </x:c>
    </x:row>
    <x:row r="150" ht="18" customHeight="1">
      <x:c r="A150" s="46" t="str">
        <x:v>LME_027</x:v>
      </x:c>
      <x:c r="B150" s="46" t="str">
        <x:v>Canary Current</x:v>
      </x:c>
      <x:c r="C150" s="46" t="str">
        <x:v>LME</x:v>
      </x:c>
      <x:c r="D150" s="58" t="n">
        <x:v>2019</x:v>
      </x:c>
      <x:c r="E150" s="46" t="str">
        <x:v>Lichia amia</x:v>
      </x:c>
      <x:c r="F150" s="46" t="str">
        <x:v>Leerfish</x:v>
      </x:c>
      <x:c r="G150" s="46" t="str">
        <x:v>Large pelagics (&gt;=90 cm)</x:v>
      </x:c>
      <x:c r="H150" s="46" t="str">
        <x:v>Perch-likes</x:v>
      </x:c>
      <x:c r="I150" s="60" t="n">
        <x:v>1286.4744605165</x:v>
      </x:c>
      <x:c r="J150" s="60" t="n">
        <x:v>1265.5546532399999</x:v>
      </x:c>
      <x:c r="K150" s="60" t="n">
        <x:v>20.919807276500002</x:v>
      </x:c>
      <x:c r="L150" s="60" t="n">
        <x:v>753.8750018377</x:v>
      </x:c>
      <x:c r="M150" s="60" t="n">
        <x:v>532.5994586788</x:v>
      </x:c>
      <x:c r="N150" s="46" t="str">
        <x:v>lichia amia</x:v>
      </x:c>
      <x:c r="O150" s="62" t="n">
        <x:v>4.5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Lichia amia</x:v>
      </x:c>
      <x:c r="T150" s="62" t="n">
        <x:f>IF(O150="","",(1/'Metadata'!$B$5)^(O150-1))</x:f>
        <x:v>3162.2776601683795</x:v>
      </x:c>
      <x:c r="U150" s="60" t="n">
        <x:f>IF(T150="","",I150*T150)</x:f>
        <x:v>4068189.4468684956</x:v>
      </x:c>
    </x:row>
    <x:row r="151" ht="18" customHeight="1">
      <x:c r="A151" s="46" t="str">
        <x:v>LME_027</x:v>
      </x:c>
      <x:c r="B151" s="46" t="str">
        <x:v>Canary Current</x:v>
      </x:c>
      <x:c r="C151" s="46" t="str">
        <x:v>LME</x:v>
      </x:c>
      <x:c r="D151" s="58" t="n">
        <x:v>2019</x:v>
      </x:c>
      <x:c r="E151" s="46" t="str">
        <x:v>Batoidea</x:v>
      </x:c>
      <x:c r="F151" s="46" t="str">
        <x:v>Batoids, skates, rays, sawfishes</x:v>
      </x:c>
      <x:c r="G151" s="46" t="str">
        <x:v>Large rays (&gt;=90 cm)</x:v>
      </x:c>
      <x:c r="H151" s="46" t="str">
        <x:v>Sharks &amp; rays</x:v>
      </x:c>
      <x:c r="I151" s="60" t="n">
        <x:v>1271.6212993878</x:v>
      </x:c>
      <x:c r="J151" s="60" t="n">
        <x:v>1206.7439953586</x:v>
      </x:c>
      <x:c r="K151" s="60" t="n">
        <x:v>64.8773040292</x:v>
      </x:c>
      <x:c r="L151" s="60" t="n">
        <x:v>998.1128478182001</x:v>
      </x:c>
      <x:c r="M151" s="60" t="n">
        <x:v>273.50845156959997</x:v>
      </x:c>
      <x:c r="N151" s="46" t="str">
        <x:v>batoidea</x:v>
      </x:c>
      <x:c r="O151" s="62" t="n">
        <x:v>3.72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Batoidea</x:v>
      </x:c>
      <x:c r="T151" s="62" t="n">
        <x:f>IF(O151="","",(1/'Metadata'!$B$5)^(O151-1))</x:f>
        <x:v>524.8074602497728</x:v>
      </x:c>
      <x:c r="U151" s="60" t="n">
        <x:f>IF(T151="","",I151*T151)</x:f>
        <x:v>667356.3445312274</x:v>
      </x:c>
    </x:row>
    <x:row r="152" ht="18" customHeight="1">
      <x:c r="A152" s="46" t="str">
        <x:v>LME_027</x:v>
      </x:c>
      <x:c r="B152" s="46" t="str">
        <x:v>Canary Current</x:v>
      </x:c>
      <x:c r="C152" s="46" t="str">
        <x:v>LME</x:v>
      </x:c>
      <x:c r="D152" s="58" t="n">
        <x:v>2019</x:v>
      </x:c>
      <x:c r="E152" s="46" t="str">
        <x:v>Makaira nigricans</x:v>
      </x:c>
      <x:c r="F152" s="46" t="str">
        <x:v>Blue marlin</x:v>
      </x:c>
      <x:c r="G152" s="46" t="str">
        <x:v>Large pelagics (&gt;=90 cm)</x:v>
      </x:c>
      <x:c r="H152" s="46" t="str">
        <x:v>Tuna &amp; billfishes</x:v>
      </x:c>
      <x:c r="I152" s="60" t="n">
        <x:v>1242.692903476</x:v>
      </x:c>
      <x:c r="J152" s="60" t="n">
        <x:v>1242.692903476</x:v>
      </x:c>
      <x:c r="K152" s="60" t="n">
        <x:v>0</x:v>
      </x:c>
      <x:c r="L152" s="60" t="n">
        <x:v>17.103674599100003</x:v>
      </x:c>
      <x:c r="M152" s="60" t="n">
        <x:v>1225.5892288769</x:v>
      </x:c>
      <x:c r="N152" s="46" t="str">
        <x:v>makaira nigricans</x:v>
      </x:c>
      <x:c r="O152" s="62" t="n">
        <x:v>4.49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Makaira nigricans</x:v>
      </x:c>
      <x:c r="T152" s="62" t="n">
        <x:f>IF(O152="","",(1/'Metadata'!$B$5)^(O152-1))</x:f>
        <x:v>3090.295432513592</x:v>
      </x:c>
      <x:c r="U152" s="60" t="n">
        <x:f>IF(T152="","",I152*T152)</x:f>
        <x:v>3840288.2036289372</x:v>
      </x:c>
    </x:row>
    <x:row r="153" ht="18" customHeight="1">
      <x:c r="A153" s="46" t="str">
        <x:v>LME_027</x:v>
      </x:c>
      <x:c r="B153" s="46" t="str">
        <x:v>Canary Current</x:v>
      </x:c>
      <x:c r="C153" s="46" t="str">
        <x:v>LME</x:v>
      </x:c>
      <x:c r="D153" s="58" t="n">
        <x:v>2019</x:v>
      </x:c>
      <x:c r="E153" s="46" t="str">
        <x:v>Dicentrarchus punctatus</x:v>
      </x:c>
      <x:c r="F153" s="46" t="str">
        <x:v>Spotted seabass</x:v>
      </x:c>
      <x:c r="G153" s="46" t="str">
        <x:v>Medium pelagics (30 - 89 cm)</x:v>
      </x:c>
      <x:c r="H153" s="46" t="str">
        <x:v>Perch-likes</x:v>
      </x:c>
      <x:c r="I153" s="60" t="n">
        <x:v>1222.4047870092</x:v>
      </x:c>
      <x:c r="J153" s="60" t="n">
        <x:v>1184.4439723858</x:v>
      </x:c>
      <x:c r="K153" s="60" t="n">
        <x:v>37.9608146234</x:v>
      </x:c>
      <x:c r="L153" s="60" t="n">
        <x:v>592.5727567982</x:v>
      </x:c>
      <x:c r="M153" s="60" t="n">
        <x:v>629.832030211</x:v>
      </x:c>
      <x:c r="N153" s="46" t="str">
        <x:v>dicentrarchus punctatus</x:v>
      </x:c>
      <x:c r="O153" s="62" t="n">
        <x:v>3.94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Dicentrarchus punctatus</x:v>
      </x:c>
      <x:c r="T153" s="62" t="n">
        <x:f>IF(O153="","",(1/'Metadata'!$B$5)^(O153-1))</x:f>
        <x:v>870.9635899560806</x:v>
      </x:c>
      <x:c r="U153" s="60" t="n">
        <x:f>IF(T153="","",I153*T153)</x:f>
        <x:v>1064670.0616730307</x:v>
      </x:c>
    </x:row>
    <x:row r="154" ht="18" customHeight="1">
      <x:c r="A154" s="46" t="str">
        <x:v>LME_027</x:v>
      </x:c>
      <x:c r="B154" s="46" t="str">
        <x:v>Canary Current</x:v>
      </x:c>
      <x:c r="C154" s="46" t="str">
        <x:v>LME</x:v>
      </x:c>
      <x:c r="D154" s="58" t="n">
        <x:v>2019</x:v>
      </x:c>
      <x:c r="E154" s="46" t="str">
        <x:v>Muraena augusti</x:v>
      </x:c>
      <x:c r="F154" s="46" t="str">
        <x:v>Black moray</x:v>
      </x:c>
      <x:c r="G154" s="46" t="str">
        <x:v>Large demersals (&gt;=90 cm)</x:v>
      </x:c>
      <x:c r="H154" s="46" t="str">
        <x:v>Other fishes &amp; inverts</x:v>
      </x:c>
      <x:c r="I154" s="60" t="n">
        <x:v>1159.6782697316999</x:v>
      </x:c>
      <x:c r="J154" s="60" t="n">
        <x:v>1159.6782697316999</x:v>
      </x:c>
      <x:c r="K154" s="60" t="n">
        <x:v>0</x:v>
      </x:c>
      <x:c r="L154" s="60" t="n">
        <x:v>17.648193093499998</x:v>
      </x:c>
      <x:c r="M154" s="60" t="n">
        <x:v>1142.0300766382</x:v>
      </x:c>
      <x:c r="N154" s="46" t="str">
        <x:v>muraena augusti</x:v>
      </x:c>
      <x:c r="O154" s="62" t="n">
        <x:v>4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Muraena augusti</x:v>
      </x:c>
      <x:c r="T154" s="62" t="n">
        <x:f>IF(O154="","",(1/'Metadata'!$B$5)^(O154-1))</x:f>
        <x:v>1000</x:v>
      </x:c>
      <x:c r="U154" s="60" t="n">
        <x:f>IF(T154="","",I154*T154)</x:f>
        <x:v>1159678.2697317</x:v>
      </x:c>
    </x:row>
    <x:row r="155" ht="18" customHeight="1">
      <x:c r="A155" s="46" t="str">
        <x:v>LME_027</x:v>
      </x:c>
      <x:c r="B155" s="46" t="str">
        <x:v>Canary Current</x:v>
      </x:c>
      <x:c r="C155" s="46" t="str">
        <x:v>LME</x:v>
      </x:c>
      <x:c r="D155" s="58" t="n">
        <x:v>2019</x:v>
      </x:c>
      <x:c r="E155" s="46" t="str">
        <x:v>Scorpaena</x:v>
      </x:c>
      <x:c r="F155" s="46" t="str">
        <x:v>Scorpionfishes</x:v>
      </x:c>
      <x:c r="G155" s="46" t="str">
        <x:v>Large reef assoc. fish (&gt;=90 cm)</x:v>
      </x:c>
      <x:c r="H155" s="46" t="str">
        <x:v>Scorpionfishes</x:v>
      </x:c>
      <x:c r="I155" s="60" t="n">
        <x:v>1146.5539331658</x:v>
      </x:c>
      <x:c r="J155" s="60" t="n">
        <x:v>1146.5539331658</x:v>
      </x:c>
      <x:c r="K155" s="60" t="n">
        <x:v>0</x:v>
      </x:c>
      <x:c r="L155" s="60" t="n">
        <x:v>28.1724466777</x:v>
      </x:c>
      <x:c r="M155" s="60" t="n">
        <x:v>1118.3814864881</x:v>
      </x:c>
      <x:c r="N155" s="46" t="str">
        <x:v>scorpaena</x:v>
      </x:c>
      <x:c r="O155" s="62" t="n">
        <x:v>3.87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Scorpaena</x:v>
      </x:c>
      <x:c r="T155" s="62" t="n">
        <x:f>IF(O155="","",(1/'Metadata'!$B$5)^(O155-1))</x:f>
        <x:v>741.3102413009177</x:v>
      </x:c>
      <x:c r="U155" s="60" t="n">
        <x:f>IF(T155="","",I155*T155)</x:f>
        <x:v>849952.1728596553</x:v>
      </x:c>
    </x:row>
    <x:row r="156" ht="18" customHeight="1">
      <x:c r="A156" s="46" t="str">
        <x:v>LME_027</x:v>
      </x:c>
      <x:c r="B156" s="46" t="str">
        <x:v>Canary Current</x:v>
      </x:c>
      <x:c r="C156" s="46" t="str">
        <x:v>LME</x:v>
      </x:c>
      <x:c r="D156" s="58" t="n">
        <x:v>2019</x:v>
      </x:c>
      <x:c r="E156" s="46" t="str">
        <x:v>Aristeus antennatus</x:v>
      </x:c>
      <x:c r="F156" s="46" t="str">
        <x:v>Blue and red shrimp</x:v>
      </x:c>
      <x:c r="G156" s="46" t="str">
        <x:v>Shrimps</x:v>
      </x:c>
      <x:c r="H156" s="46" t="str">
        <x:v>Crustaceans</x:v>
      </x:c>
      <x:c r="I156" s="60" t="n">
        <x:v>1142.2655751805</x:v>
      </x:c>
      <x:c r="J156" s="60" t="n">
        <x:v>617.4742945941</x:v>
      </x:c>
      <x:c r="K156" s="60" t="n">
        <x:v>524.7912805864</x:v>
      </x:c>
      <x:c r="L156" s="60" t="n">
        <x:v>441.07386414489997</x:v>
      </x:c>
      <x:c r="M156" s="60" t="n">
        <x:v>701.1917110356</x:v>
      </x:c>
      <x:c r="N156" s="46" t="str">
        <x:v>aristeus antennatus</x:v>
      </x:c>
      <x:c r="O156" s="62" t="n">
        <x:v>3.3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Aristeus antennatus</x:v>
      </x:c>
      <x:c r="T156" s="62" t="n">
        <x:f>IF(O156="","",(1/'Metadata'!$B$5)^(O156-1))</x:f>
        <x:v>199.52623149688787</x:v>
      </x:c>
      <x:c r="U156" s="60" t="n">
        <x:f>IF(T156="","",I156*T156)</x:f>
        <x:v>227911.94558439023</x:v>
      </x:c>
    </x:row>
    <x:row r="157" ht="18" customHeight="1">
      <x:c r="A157" s="46" t="str">
        <x:v>LME_027</x:v>
      </x:c>
      <x:c r="B157" s="46" t="str">
        <x:v>Canary Current</x:v>
      </x:c>
      <x:c r="C157" s="46" t="str">
        <x:v>LME</x:v>
      </x:c>
      <x:c r="D157" s="58" t="n">
        <x:v>2019</x:v>
      </x:c>
      <x:c r="E157" s="46" t="str">
        <x:v>Diplodus puntazzo</x:v>
      </x:c>
      <x:c r="F157" s="46" t="str">
        <x:v>Sharpsnout seabream</x:v>
      </x:c>
      <x:c r="G157" s="46" t="str">
        <x:v>Medium benthopelagics (30 - 89 cm)</x:v>
      </x:c>
      <x:c r="H157" s="46" t="str">
        <x:v>Perch-likes</x:v>
      </x:c>
      <x:c r="I157" s="60" t="n">
        <x:v>1134.5518857236</x:v>
      </x:c>
      <x:c r="J157" s="60" t="n">
        <x:v>1077.3704240359</x:v>
      </x:c>
      <x:c r="K157" s="60" t="n">
        <x:v>57.1814616877</x:v>
      </x:c>
      <x:c r="L157" s="60" t="n">
        <x:v>883.3519631336</x:v>
      </x:c>
      <x:c r="M157" s="60" t="n">
        <x:v>251.19992259</x:v>
      </x:c>
      <x:c r="N157" s="46" t="str">
        <x:v>diplodus puntazzo</x:v>
      </x:c>
      <x:c r="O157" s="62" t="n">
        <x:v>3.22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Diplodus puntazzo</x:v>
      </x:c>
      <x:c r="T157" s="62" t="n">
        <x:f>IF(O157="","",(1/'Metadata'!$B$5)^(O157-1))</x:f>
        <x:v>165.95869074375614</x:v>
      </x:c>
      <x:c r="U157" s="60" t="n">
        <x:f>IF(T157="","",I157*T157)</x:f>
        <x:v>188288.74553554828</x:v>
      </x:c>
    </x:row>
    <x:row r="158" ht="18" customHeight="1">
      <x:c r="A158" s="46" t="str">
        <x:v>LME_027</x:v>
      </x:c>
      <x:c r="B158" s="46" t="str">
        <x:v>Canary Current</x:v>
      </x:c>
      <x:c r="C158" s="46" t="str">
        <x:v>LME</x:v>
      </x:c>
      <x:c r="D158" s="58" t="n">
        <x:v>2019</x:v>
      </x:c>
      <x:c r="E158" s="46" t="str">
        <x:v>Sphyraenidae</x:v>
      </x:c>
      <x:c r="F158" s="46" t="str">
        <x:v>Barracudas</x:v>
      </x:c>
      <x:c r="G158" s="46" t="str">
        <x:v>Medium reef assoc. fish (30 - 89 cm)</x:v>
      </x:c>
      <x:c r="H158" s="46" t="str">
        <x:v>Perch-likes</x:v>
      </x:c>
      <x:c r="I158" s="60" t="n">
        <x:v>1120.5095099881</x:v>
      </x:c>
      <x:c r="J158" s="60" t="n">
        <x:v>1120.5095099881</x:v>
      </x:c>
      <x:c r="K158" s="60" t="n">
        <x:v>0</x:v>
      </x:c>
      <x:c r="L158" s="60" t="n">
        <x:v>665.5469797301</x:v>
      </x:c>
      <x:c r="M158" s="60" t="n">
        <x:v>454.962530258</x:v>
      </x:c>
      <x:c r="N158" s="46" t="str">
        <x:v>sphyraenidae</x:v>
      </x:c>
      <x:c r="O158" s="62" t="n">
        <x:v>4.4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Sphyraenidae</x:v>
      </x:c>
      <x:c r="T158" s="62" t="n">
        <x:f>IF(O158="","",(1/'Metadata'!$B$5)^(O158-1))</x:f>
        <x:v>2511.886431509582</x:v>
      </x:c>
      <x:c r="U158" s="60" t="n">
        <x:f>IF(T158="","",I158*T158)</x:f>
        <x:v>2814592.634516559</x:v>
      </x:c>
    </x:row>
    <x:row r="159" ht="18" customHeight="1">
      <x:c r="A159" s="46" t="str">
        <x:v>LME_027</x:v>
      </x:c>
      <x:c r="B159" s="46" t="str">
        <x:v>Canary Current</x:v>
      </x:c>
      <x:c r="C159" s="46" t="str">
        <x:v>LME</x:v>
      </x:c>
      <x:c r="D159" s="58" t="n">
        <x:v>2019</x:v>
      </x:c>
      <x:c r="E159" s="46" t="str">
        <x:v>Balistes capriscus</x:v>
      </x:c>
      <x:c r="F159" s="46" t="str">
        <x:v>Grey triggerfish</x:v>
      </x:c>
      <x:c r="G159" s="46" t="str">
        <x:v>Medium benthopelagics (30 - 89 cm)</x:v>
      </x:c>
      <x:c r="H159" s="46" t="str">
        <x:v>Other fishes &amp; inverts</x:v>
      </x:c>
      <x:c r="I159" s="60" t="n">
        <x:v>1111.5243606743</x:v>
      </x:c>
      <x:c r="J159" s="60" t="n">
        <x:v>1111.5243606743</x:v>
      </x:c>
      <x:c r="K159" s="60" t="n">
        <x:v>0</x:v>
      </x:c>
      <x:c r="L159" s="60" t="n">
        <x:v>63.6054263738</x:v>
      </x:c>
      <x:c r="M159" s="60" t="n">
        <x:v>1047.9189343005</x:v>
      </x:c>
      <x:c r="N159" s="46" t="str">
        <x:v>balistes capriscus</x:v>
      </x:c>
      <x:c r="O159" s="62" t="n">
        <x:v>4.06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Balistes capriscus</x:v>
      </x:c>
      <x:c r="T159" s="62" t="n">
        <x:f>IF(O159="","",(1/'Metadata'!$B$5)^(O159-1))</x:f>
        <x:v>1148.1536214968817</x:v>
      </x:c>
      <x:c r="U159" s="60" t="n">
        <x:f>IF(T159="","",I159*T159)</x:f>
        <x:v>1276200.7200902035</x:v>
      </x:c>
    </x:row>
    <x:row r="160" ht="18" customHeight="1">
      <x:c r="A160" s="46" t="str">
        <x:v>LME_027</x:v>
      </x:c>
      <x:c r="B160" s="46" t="str">
        <x:v>Canary Current</x:v>
      </x:c>
      <x:c r="C160" s="46" t="str">
        <x:v>LME</x:v>
      </x:c>
      <x:c r="D160" s="58" t="n">
        <x:v>2019</x:v>
      </x:c>
      <x:c r="E160" s="46" t="str">
        <x:v>Coryphaena hippurus</x:v>
      </x:c>
      <x:c r="F160" s="46" t="str">
        <x:v>Common dolphinfish</x:v>
      </x:c>
      <x:c r="G160" s="46" t="str">
        <x:v>Large pelagics (&gt;=90 cm)</x:v>
      </x:c>
      <x:c r="H160" s="46" t="str">
        <x:v>Perch-likes</x:v>
      </x:c>
      <x:c r="I160" s="60" t="n">
        <x:v>1081.3304114916</x:v>
      </x:c>
      <x:c r="J160" s="60" t="n">
        <x:v>1075.885236001</x:v>
      </x:c>
      <x:c r="K160" s="60" t="n">
        <x:v>5.4451754906</x:v>
      </x:c>
      <x:c r="L160" s="60" t="n">
        <x:v>181.93699567870001</x:v>
      </x:c>
      <x:c r="M160" s="60" t="n">
        <x:v>899.3934158129</x:v>
      </x:c>
      <x:c r="N160" s="46" t="str">
        <x:v>coryphaena hippurus</x:v>
      </x:c>
      <x:c r="O160" s="62" t="n">
        <x:v>4.37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Coryphaena hippurus</x:v>
      </x:c>
      <x:c r="T160" s="62" t="n">
        <x:f>IF(O160="","",(1/'Metadata'!$B$5)^(O160-1))</x:f>
        <x:v>2344.228815319923</x:v>
      </x:c>
      <x:c r="U160" s="60" t="n">
        <x:f>IF(T160="","",I160*T160)</x:f>
        <x:v>2534885.909500358</x:v>
      </x:c>
    </x:row>
    <x:row r="161" ht="18" customHeight="1">
      <x:c r="A161" s="46" t="str">
        <x:v>LME_027</x:v>
      </x:c>
      <x:c r="B161" s="46" t="str">
        <x:v>Canary Current</x:v>
      </x:c>
      <x:c r="C161" s="46" t="str">
        <x:v>LME</x:v>
      </x:c>
      <x:c r="D161" s="58" t="n">
        <x:v>2019</x:v>
      </x:c>
      <x:c r="E161" s="46" t="str">
        <x:v>Eucinostomus melanopterus</x:v>
      </x:c>
      <x:c r="F161" s="46" t="str">
        <x:v>Flagfin mojarra</x:v>
      </x:c>
      <x:c r="G161" s="46" t="str">
        <x:v>Large reef assoc. fish (&gt;=90 cm)</x:v>
      </x:c>
      <x:c r="H161" s="46" t="str">
        <x:v>Perch-likes</x:v>
      </x:c>
      <x:c r="I161" s="60" t="n">
        <x:v>1065.4463080773</x:v>
      </x:c>
      <x:c r="J161" s="60" t="n">
        <x:v>1065.4463080773</x:v>
      </x:c>
      <x:c r="K161" s="60" t="n">
        <x:v>0</x:v>
      </x:c>
      <x:c r="L161" s="60" t="n">
        <x:v>43.2406225772</x:v>
      </x:c>
      <x:c r="M161" s="60" t="n">
        <x:v>1022.2056855001</x:v>
      </x:c>
      <x:c r="N161" s="46" t="str">
        <x:v>eucinostomus melanopterus</x:v>
      </x:c>
      <x:c r="O161" s="62" t="n">
        <x:v>3.39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Eucinostomus melanopterus</x:v>
      </x:c>
      <x:c r="T161" s="62" t="n">
        <x:f>IF(O161="","",(1/'Metadata'!$B$5)^(O161-1))</x:f>
        <x:v>245.4708915685031</x:v>
      </x:c>
      <x:c r="U161" s="60" t="n">
        <x:f>IF(T161="","",I161*T161)</x:f>
        <x:v>261536.05516210487</x:v>
      </x:c>
    </x:row>
    <x:row r="162" ht="18" customHeight="1">
      <x:c r="A162" s="46" t="str">
        <x:v>LME_027</x:v>
      </x:c>
      <x:c r="B162" s="46" t="str">
        <x:v>Canary Current</x:v>
      </x:c>
      <x:c r="C162" s="46" t="str">
        <x:v>LME</x:v>
      </x:c>
      <x:c r="D162" s="58" t="n">
        <x:v>2019</x:v>
      </x:c>
      <x:c r="E162" s="46" t="str">
        <x:v>Aetomylaeus bovinus</x:v>
      </x:c>
      <x:c r="F162" s="46" t="str">
        <x:v>Bull ray</x:v>
      </x:c>
      <x:c r="G162" s="46" t="str">
        <x:v>Large rays (&gt;=90 cm)</x:v>
      </x:c>
      <x:c r="H162" s="46" t="str">
        <x:v>Sharks &amp; rays</x:v>
      </x:c>
      <x:c r="I162" s="60" t="n">
        <x:v>1019.6153803311</x:v>
      </x:c>
      <x:c r="J162" s="60" t="n">
        <x:v>967.5952568443</x:v>
      </x:c>
      <x:c r="K162" s="60" t="n">
        <x:v>52.0201234868</x:v>
      </x:c>
      <x:c r="L162" s="60" t="n">
        <x:v>800.3099754868</x:v>
      </x:c>
      <x:c r="M162" s="60" t="n">
        <x:v>219.30540484430003</x:v>
      </x:c>
      <x:c r="N162" s="46" t="str">
        <x:v>aetomylaeus bovinus</x:v>
      </x:c>
      <x:c r="O162" s="62" t="n">
        <x:v>3.8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Aetomylaeus bovinus</x:v>
      </x:c>
      <x:c r="T162" s="62" t="n">
        <x:f>IF(O162="","",(1/'Metadata'!$B$5)^(O162-1))</x:f>
        <x:v>630.957344480193</x:v>
      </x:c>
      <x:c r="U162" s="60" t="n">
        <x:f>IF(T162="","",I162*T162)</x:f>
        <x:v>643333.8127648729</x:v>
      </x:c>
    </x:row>
    <x:row r="163" ht="18" customHeight="1">
      <x:c r="A163" s="46" t="str">
        <x:v>LME_027</x:v>
      </x:c>
      <x:c r="B163" s="46" t="str">
        <x:v>Canary Current</x:v>
      </x:c>
      <x:c r="C163" s="46" t="str">
        <x:v>LME</x:v>
      </x:c>
      <x:c r="D163" s="58" t="n">
        <x:v>2019</x:v>
      </x:c>
      <x:c r="E163" s="46" t="str">
        <x:v>Muraenidae</x:v>
      </x:c>
      <x:c r="F163" s="46" t="str">
        <x:v>Moray eels</x:v>
      </x:c>
      <x:c r="G163" s="46" t="str">
        <x:v>Large reef assoc. fish (&gt;=90 cm)</x:v>
      </x:c>
      <x:c r="H163" s="46" t="str">
        <x:v>Other fishes &amp; inverts</x:v>
      </x:c>
      <x:c r="I163" s="60" t="n">
        <x:v>982.327101701</x:v>
      </x:c>
      <x:c r="J163" s="60" t="n">
        <x:v>966.6771949189999</x:v>
      </x:c>
      <x:c r="K163" s="60" t="n">
        <x:v>15.649906782</x:v>
      </x:c>
      <x:c r="L163" s="60" t="n">
        <x:v>280.1536942351</x:v>
      </x:c>
      <x:c r="M163" s="60" t="n">
        <x:v>702.1734074659</x:v>
      </x:c>
      <x:c r="N163" s="46" t="str">
        <x:v>muraenidae</x:v>
      </x:c>
      <x:c r="O163" s="62" t="n">
        <x:v>4.07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Muraenidae</x:v>
      </x:c>
      <x:c r="T163" s="62" t="n">
        <x:f>IF(O163="","",(1/'Metadata'!$B$5)^(O163-1))</x:f>
        <x:v>1174.8975549395302</x:v>
      </x:c>
      <x:c r="U163" s="60" t="n">
        <x:f>IF(T163="","",I163*T163)</x:f>
        <x:v>1154133.7099393401</x:v>
      </x:c>
    </x:row>
    <x:row r="164" ht="18" customHeight="1">
      <x:c r="A164" s="46" t="str">
        <x:v>LME_027</x:v>
      </x:c>
      <x:c r="B164" s="46" t="str">
        <x:v>Canary Current</x:v>
      </x:c>
      <x:c r="C164" s="46" t="str">
        <x:v>LME</x:v>
      </x:c>
      <x:c r="D164" s="58" t="n">
        <x:v>2019</x:v>
      </x:c>
      <x:c r="E164" s="46" t="str">
        <x:v>Penaeidae</x:v>
      </x:c>
      <x:c r="F164" s="46" t="str">
        <x:v>Commercial shrimps and prawns</x:v>
      </x:c>
      <x:c r="G164" s="46" t="str">
        <x:v>Shrimps</x:v>
      </x:c>
      <x:c r="H164" s="46" t="str">
        <x:v>Crustaceans</x:v>
      </x:c>
      <x:c r="I164" s="60" t="n">
        <x:v>982.3191428278</x:v>
      </x:c>
      <x:c r="J164" s="60" t="n">
        <x:v>633.1500227544</x:v>
      </x:c>
      <x:c r="K164" s="60" t="n">
        <x:v>349.1691200734</x:v>
      </x:c>
      <x:c r="L164" s="60" t="n">
        <x:v>378.1591797302</x:v>
      </x:c>
      <x:c r="M164" s="60" t="n">
        <x:v>604.1599630976</x:v>
      </x:c>
      <x:c r="N164" s="46" t="str">
        <x:v>penaeidae</x:v>
      </x:c>
      <x:c r="O164" s="62" t="n">
        <x:v>3.31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Penaeidae</x:v>
      </x:c>
      <x:c r="T164" s="62" t="n">
        <x:f>IF(O164="","",(1/'Metadata'!$B$5)^(O164-1))</x:f>
        <x:v>204.17379446695296</x:v>
      </x:c>
      <x:c r="U164" s="60" t="n">
        <x:f>IF(T164="","",I164*T164)</x:f>
        <x:v>200563.82676867663</x:v>
      </x:c>
    </x:row>
    <x:row r="165" ht="18" customHeight="1">
      <x:c r="A165" s="46" t="str">
        <x:v>LME_027</x:v>
      </x:c>
      <x:c r="B165" s="46" t="str">
        <x:v>Canary Current</x:v>
      </x:c>
      <x:c r="C165" s="46" t="str">
        <x:v>LME</x:v>
      </x:c>
      <x:c r="D165" s="58" t="n">
        <x:v>2019</x:v>
      </x:c>
      <x:c r="E165" s="46" t="str">
        <x:v>Selene dorsalis</x:v>
      </x:c>
      <x:c r="F165" s="46" t="str">
        <x:v>African moonfish</x:v>
      </x:c>
      <x:c r="G165" s="46" t="str">
        <x:v>Small demersals (&lt;30 cm)</x:v>
      </x:c>
      <x:c r="H165" s="46" t="str">
        <x:v>Perch-likes</x:v>
      </x:c>
      <x:c r="I165" s="60" t="n">
        <x:v>933.6714718697001</x:v>
      </x:c>
      <x:c r="J165" s="60" t="n">
        <x:v>933.4816520172001</x:v>
      </x:c>
      <x:c r="K165" s="60" t="n">
        <x:v>0.1898198525</x:v>
      </x:c>
      <x:c r="L165" s="60" t="n">
        <x:v>210.43005532889998</x:v>
      </x:c>
      <x:c r="M165" s="60" t="n">
        <x:v>723.2414165408</x:v>
      </x:c>
      <x:c r="N165" s="46" t="str">
        <x:v>selene dorsalis</x:v>
      </x:c>
      <x:c r="O165" s="62" t="n">
        <x:v>4.08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Selene dorsalis</x:v>
      </x:c>
      <x:c r="T165" s="62" t="n">
        <x:f>IF(O165="","",(1/'Metadata'!$B$5)^(O165-1))</x:f>
        <x:v>1202.2644346174131</x:v>
      </x:c>
      <x:c r="U165" s="60" t="n">
        <x:f>IF(T165="","",I165*T165)</x:f>
        <x:v>1122520.004245833</x:v>
      </x:c>
    </x:row>
    <x:row r="166" ht="18" customHeight="1">
      <x:c r="A166" s="46" t="str">
        <x:v>LME_027</x:v>
      </x:c>
      <x:c r="B166" s="46" t="str">
        <x:v>Canary Current</x:v>
      </x:c>
      <x:c r="C166" s="46" t="str">
        <x:v>LME</x:v>
      </x:c>
      <x:c r="D166" s="58" t="n">
        <x:v>2019</x:v>
      </x:c>
      <x:c r="E166" s="46" t="str">
        <x:v>Seriola dumerili</x:v>
      </x:c>
      <x:c r="F166" s="46" t="str">
        <x:v>Greater amberjack</x:v>
      </x:c>
      <x:c r="G166" s="46" t="str">
        <x:v>Large reef assoc. fish (&gt;=90 cm)</x:v>
      </x:c>
      <x:c r="H166" s="46" t="str">
        <x:v>Perch-likes</x:v>
      </x:c>
      <x:c r="I166" s="60" t="n">
        <x:v>928.2190533840001</x:v>
      </x:c>
      <x:c r="J166" s="60" t="n">
        <x:v>928.2190533840001</x:v>
      </x:c>
      <x:c r="K166" s="60" t="n">
        <x:v>0</x:v>
      </x:c>
      <x:c r="L166" s="60" t="n">
        <x:v>24.1371377971</x:v>
      </x:c>
      <x:c r="M166" s="60" t="n">
        <x:v>904.0819155869001</x:v>
      </x:c>
      <x:c r="N166" s="46" t="str">
        <x:v>seriola dumerili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Seriola dumerili</x:v>
      </x:c>
      <x:c r="T166" s="62" t="n">
        <x:f>IF(O166="","",(1/'Metadata'!$B$5)^(O166-1))</x:f>
        <x:v>3162.2776601683795</x:v>
      </x:c>
      <x:c r="U166" s="60" t="n">
        <x:f>IF(T166="","",I166*T166)</x:f>
        <x:v>2935286.376258864</x:v>
      </x:c>
    </x:row>
    <x:row r="167" ht="18" customHeight="1">
      <x:c r="A167" s="46" t="str">
        <x:v>LME_027</x:v>
      </x:c>
      <x:c r="B167" s="46" t="str">
        <x:v>Canary Current</x:v>
      </x:c>
      <x:c r="C167" s="46" t="str">
        <x:v>LME</x:v>
      </x:c>
      <x:c r="D167" s="58" t="n">
        <x:v>2019</x:v>
      </x:c>
      <x:c r="E167" s="46" t="str">
        <x:v>Sphyraena</x:v>
      </x:c>
      <x:c r="F167" s="46" t="str">
        <x:v>Barracudas, sennets</x:v>
      </x:c>
      <x:c r="G167" s="46" t="str">
        <x:v>Large pelagics (&gt;=90 cm)</x:v>
      </x:c>
      <x:c r="H167" s="46" t="str">
        <x:v>Perch-likes</x:v>
      </x:c>
      <x:c r="I167" s="60" t="n">
        <x:v>919.8137814449</x:v>
      </x:c>
      <x:c r="J167" s="60" t="n">
        <x:v>919.8137814449</x:v>
      </x:c>
      <x:c r="K167" s="60" t="n">
        <x:v>0</x:v>
      </x:c>
      <x:c r="L167" s="60" t="n">
        <x:v>0</x:v>
      </x:c>
      <x:c r="M167" s="60" t="n">
        <x:v>919.8137814449</x:v>
      </x:c>
      <x:c r="N167" s="46" t="str">
        <x:v>sphyraena</x:v>
      </x:c>
      <x:c r="O167" s="62" t="n">
        <x:v>4.4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Sphyraena</x:v>
      </x:c>
      <x:c r="T167" s="62" t="n">
        <x:f>IF(O167="","",(1/'Metadata'!$B$5)^(O167-1))</x:f>
        <x:v>2511.886431509582</x:v>
      </x:c>
      <x:c r="U167" s="60" t="n">
        <x:f>IF(T167="","",I167*T167)</x:f>
        <x:v>2310467.7571269646</x:v>
      </x:c>
    </x:row>
    <x:row r="168" ht="18" customHeight="1">
      <x:c r="A168" s="46" t="str">
        <x:v>LME_027</x:v>
      </x:c>
      <x:c r="B168" s="46" t="str">
        <x:v>Canary Current</x:v>
      </x:c>
      <x:c r="C168" s="46" t="str">
        <x:v>LME</x:v>
      </x:c>
      <x:c r="D168" s="58" t="n">
        <x:v>2019</x:v>
      </x:c>
      <x:c r="E168" s="46" t="str">
        <x:v>Pomadasys</x:v>
      </x:c>
      <x:c r="F168" s="46" t="str">
        <x:v>Grunters</x:v>
      </x:c>
      <x:c r="G168" s="46" t="str">
        <x:v>Medium demersals (30 - 89 cm)</x:v>
      </x:c>
      <x:c r="H168" s="46" t="str">
        <x:v>Perch-likes</x:v>
      </x:c>
      <x:c r="I168" s="60" t="n">
        <x:v>877.3624252284</x:v>
      </x:c>
      <x:c r="J168" s="60" t="n">
        <x:v>877.3624252284</x:v>
      </x:c>
      <x:c r="K168" s="60" t="n">
        <x:v>0</x:v>
      </x:c>
      <x:c r="L168" s="60" t="n">
        <x:v>592.6786459744</x:v>
      </x:c>
      <x:c r="M168" s="60" t="n">
        <x:v>284.683779254</x:v>
      </x:c>
      <x:c r="N168" s="46" t="str">
        <x:v>pomadasys</x:v>
      </x:c>
      <x:c r="O168" s="62" t="n">
        <x:v>3.59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Pomadasys</x:v>
      </x:c>
      <x:c r="T168" s="62" t="n">
        <x:f>IF(O168="","",(1/'Metadata'!$B$5)^(O168-1))</x:f>
        <x:v>389.04514499428046</x:v>
      </x:c>
      <x:c r="U168" s="60" t="n">
        <x:f>IF(T168="","",I168*T168)</x:f>
        <x:v>341333.5919355164</x:v>
      </x:c>
    </x:row>
    <x:row r="169" ht="18" customHeight="1">
      <x:c r="A169" s="46" t="str">
        <x:v>LME_027</x:v>
      </x:c>
      <x:c r="B169" s="46" t="str">
        <x:v>Canary Current</x:v>
      </x:c>
      <x:c r="C169" s="46" t="str">
        <x:v>LME</x:v>
      </x:c>
      <x:c r="D169" s="58" t="n">
        <x:v>2019</x:v>
      </x:c>
      <x:c r="E169" s="46" t="str">
        <x:v>Dentex gibbosus</x:v>
      </x:c>
      <x:c r="F169" s="46" t="str">
        <x:v>Pink dentex</x:v>
      </x:c>
      <x:c r="G169" s="46" t="str">
        <x:v>Large benthopelagics (&gt;=90 cm)</x:v>
      </x:c>
      <x:c r="H169" s="46" t="str">
        <x:v>Perch-likes</x:v>
      </x:c>
      <x:c r="I169" s="60" t="n">
        <x:v>867.0736840778001</x:v>
      </x:c>
      <x:c r="J169" s="60" t="n">
        <x:v>866.8833214636</x:v>
      </x:c>
      <x:c r="K169" s="60" t="n">
        <x:v>0.1903626142</x:v>
      </x:c>
      <x:c r="L169" s="60" t="n">
        <x:v>202.89399962979996</x:v>
      </x:c>
      <x:c r="M169" s="60" t="n">
        <x:v>664.179684448</x:v>
      </x:c>
      <x:c r="N169" s="46" t="str">
        <x:v>dentex gibbosus</x:v>
      </x:c>
      <x:c r="O169" s="62" t="n">
        <x:v>4.14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Dentex gibbosus</x:v>
      </x:c>
      <x:c r="T169" s="62" t="n">
        <x:f>IF(O169="","",(1/'Metadata'!$B$5)^(O169-1))</x:f>
        <x:v>1380.3842646028838</x:v>
      </x:c>
      <x:c r="U169" s="60" t="n">
        <x:f>IF(T169="","",I169*T169)</x:f>
        <x:v>1196894.8697522474</x:v>
      </x:c>
    </x:row>
    <x:row r="170" ht="18" customHeight="1">
      <x:c r="A170" s="46" t="str">
        <x:v>LME_027</x:v>
      </x:c>
      <x:c r="B170" s="46" t="str">
        <x:v>Canary Current</x:v>
      </x:c>
      <x:c r="C170" s="46" t="str">
        <x:v>LME</x:v>
      </x:c>
      <x:c r="D170" s="58" t="n">
        <x:v>2019</x:v>
      </x:c>
      <x:c r="E170" s="46" t="str">
        <x:v>Haemulidae</x:v>
      </x:c>
      <x:c r="F170" s="46" t="str">
        <x:v>Grunts, sweetlips, bonnetmouths</x:v>
      </x:c>
      <x:c r="G170" s="46" t="str">
        <x:v>Medium demersals (30 - 89 cm)</x:v>
      </x:c>
      <x:c r="H170" s="46" t="str">
        <x:v>Perch-likes</x:v>
      </x:c>
      <x:c r="I170" s="60" t="n">
        <x:v>849.7231701123</x:v>
      </x:c>
      <x:c r="J170" s="60" t="n">
        <x:v>832.8338538416</x:v>
      </x:c>
      <x:c r="K170" s="60" t="n">
        <x:v>16.8893162707</x:v>
      </x:c>
      <x:c r="L170" s="60" t="n">
        <x:v>450.25976845210005</x:v>
      </x:c>
      <x:c r="M170" s="60" t="n">
        <x:v>399.46340166019996</x:v>
      </x:c>
      <x:c r="N170" s="46" t="str">
        <x:v>haemulidae</x:v>
      </x:c>
      <x:c r="O170" s="62" t="n">
        <x:v>3.36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Haemulidae</x:v>
      </x:c>
      <x:c r="T170" s="62" t="n">
        <x:f>IF(O170="","",(1/'Metadata'!$B$5)^(O170-1))</x:f>
        <x:v>229.08676527677724</x:v>
      </x:c>
      <x:c r="U170" s="60" t="n">
        <x:f>IF(T170="","",I170*T170)</x:f>
        <x:v>194660.3324217555</x:v>
      </x:c>
    </x:row>
    <x:row r="171" ht="18" customHeight="1">
      <x:c r="A171" s="46" t="str">
        <x:v>LME_027</x:v>
      </x:c>
      <x:c r="B171" s="46" t="str">
        <x:v>Canary Current</x:v>
      </x:c>
      <x:c r="C171" s="46" t="str">
        <x:v>LME</x:v>
      </x:c>
      <x:c r="D171" s="58" t="n">
        <x:v>2019</x:v>
      </x:c>
      <x:c r="E171" s="46" t="str">
        <x:v>Serranidae</x:v>
      </x:c>
      <x:c r="F171" s="46" t="str">
        <x:v>Basses, groupers, hinds</x:v>
      </x:c>
      <x:c r="G171" s="46" t="str">
        <x:v>Medium reef assoc. fish (30 - 89 cm)</x:v>
      </x:c>
      <x:c r="H171" s="46" t="str">
        <x:v>Perch-likes</x:v>
      </x:c>
      <x:c r="I171" s="60" t="n">
        <x:v>805.6254776377</x:v>
      </x:c>
      <x:c r="J171" s="60" t="n">
        <x:v>805.5777612282001</x:v>
      </x:c>
      <x:c r="K171" s="60" t="n">
        <x:v>0.0477164095</x:v>
      </x:c>
      <x:c r="L171" s="60" t="n">
        <x:v>805.4242880597001</x:v>
      </x:c>
      <x:c r="M171" s="60" t="n">
        <x:v>0.201189578</x:v>
      </x:c>
      <x:c r="N171" s="46" t="str">
        <x:v>serranidae</x:v>
      </x:c>
      <x:c r="O171" s="62" t="n">
        <x:v>3.98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Serranidae</x:v>
      </x:c>
      <x:c r="T171" s="62" t="n">
        <x:f>IF(O171="","",(1/'Metadata'!$B$5)^(O171-1))</x:f>
        <x:v>954.992586021436</x:v>
      </x:c>
      <x:c r="U171" s="60" t="n">
        <x:f>IF(T171="","",I171*T171)</x:f>
        <x:v>769366.3582539817</x:v>
      </x:c>
    </x:row>
    <x:row r="172" ht="18" customHeight="1">
      <x:c r="A172" s="46" t="str">
        <x:v>LME_027</x:v>
      </x:c>
      <x:c r="B172" s="46" t="str">
        <x:v>Canary Current</x:v>
      </x:c>
      <x:c r="C172" s="46" t="str">
        <x:v>LME</x:v>
      </x:c>
      <x:c r="D172" s="58" t="n">
        <x:v>2019</x:v>
      </x:c>
      <x:c r="E172" s="46" t="str">
        <x:v>Gastropoda</x:v>
      </x:c>
      <x:c r="F172" s="46" t="str">
        <x:v>Sea snails</x:v>
      </x:c>
      <x:c r="G172" s="46" t="str">
        <x:v>Other demersal invertebrates</x:v>
      </x:c>
      <x:c r="H172" s="46" t="str">
        <x:v>Molluscs</x:v>
      </x:c>
      <x:c r="I172" s="60" t="n">
        <x:v>802.2525140109001</x:v>
      </x:c>
      <x:c r="J172" s="60" t="n">
        <x:v>802.2525140109001</x:v>
      </x:c>
      <x:c r="K172" s="60" t="n">
        <x:v>0</x:v>
      </x:c>
      <x:c r="L172" s="60" t="n">
        <x:v>185.2362977932</x:v>
      </x:c>
      <x:c r="M172" s="60" t="n">
        <x:v>617.0162162177</x:v>
      </x:c>
      <x:c r="N172" s="46" t="str">
        <x:v>gastropoda</x:v>
      </x:c>
      <x:c r="O172" s="62" t="n">
        <x:v>3.06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Gastropoda</x:v>
      </x:c>
      <x:c r="T172" s="62" t="n">
        <x:f>IF(O172="","",(1/'Metadata'!$B$5)^(O172-1))</x:f>
        <x:v>114.81536214968828</x:v>
      </x:c>
      <x:c r="U172" s="60" t="n">
        <x:f>IF(T172="","",I172*T172)</x:f>
        <x:v>92110.91293165936</x:v>
      </x:c>
    </x:row>
    <x:row r="173" ht="18" customHeight="1">
      <x:c r="A173" s="46" t="str">
        <x:v>LME_027</x:v>
      </x:c>
      <x:c r="B173" s="46" t="str">
        <x:v>Canary Current</x:v>
      </x:c>
      <x:c r="C173" s="46" t="str">
        <x:v>LME</x:v>
      </x:c>
      <x:c r="D173" s="58" t="n">
        <x:v>2019</x:v>
      </x:c>
      <x:c r="E173" s="46" t="str">
        <x:v>Epinephelus goreensis</x:v>
      </x:c>
      <x:c r="F173" s="46" t="str">
        <x:v>Dungat grouper</x:v>
      </x:c>
      <x:c r="G173" s="46" t="str">
        <x:v>Large demersals (&gt;=90 cm)</x:v>
      </x:c>
      <x:c r="H173" s="46" t="str">
        <x:v>Perch-likes</x:v>
      </x:c>
      <x:c r="I173" s="60" t="n">
        <x:v>797.338740822</x:v>
      </x:c>
      <x:c r="J173" s="60" t="n">
        <x:v>797.338740822</x:v>
      </x:c>
      <x:c r="K173" s="60" t="n">
        <x:v>0</x:v>
      </x:c>
      <x:c r="L173" s="60" t="n">
        <x:v>128.0996815121</x:v>
      </x:c>
      <x:c r="M173" s="60" t="n">
        <x:v>669.2390593099</x:v>
      </x:c>
      <x:c r="N173" s="46" t="str">
        <x:v>epinephelus goreensis</x:v>
      </x:c>
      <x:c r="O173" s="62" t="n">
        <x:v>3.94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Epinephelus goreensis</x:v>
      </x:c>
      <x:c r="T173" s="62" t="n">
        <x:f>IF(O173="","",(1/'Metadata'!$B$5)^(O173-1))</x:f>
        <x:v>870.9635899560806</x:v>
      </x:c>
      <x:c r="U173" s="60" t="n">
        <x:f>IF(T173="","",I173*T173)</x:f>
        <x:v>694453.0121173899</x:v>
      </x:c>
    </x:row>
    <x:row r="174" ht="18" customHeight="1">
      <x:c r="A174" s="46" t="str">
        <x:v>LME_027</x:v>
      </x:c>
      <x:c r="B174" s="46" t="str">
        <x:v>Canary Current</x:v>
      </x:c>
      <x:c r="C174" s="46" t="str">
        <x:v>LME</x:v>
      </x:c>
      <x:c r="D174" s="58" t="n">
        <x:v>2019</x:v>
      </x:c>
      <x:c r="E174" s="46" t="str">
        <x:v>Balistidae</x:v>
      </x:c>
      <x:c r="F174" s="46" t="str">
        <x:v>Triggerfishes</x:v>
      </x:c>
      <x:c r="G174" s="46" t="str">
        <x:v>Medium reef assoc. fish (30 - 89 cm)</x:v>
      </x:c>
      <x:c r="H174" s="46" t="str">
        <x:v>Other fishes &amp; inverts</x:v>
      </x:c>
      <x:c r="I174" s="60" t="n">
        <x:v>764.3880699952</x:v>
      </x:c>
      <x:c r="J174" s="60" t="n">
        <x:v>764.3880699952</x:v>
      </x:c>
      <x:c r="K174" s="60" t="n">
        <x:v>0</x:v>
      </x:c>
      <x:c r="L174" s="60" t="n">
        <x:v>137.2555616825</x:v>
      </x:c>
      <x:c r="M174" s="60" t="n">
        <x:v>627.1325083127</x:v>
      </x:c>
      <x:c r="N174" s="46" t="str">
        <x:v>balistidae</x:v>
      </x:c>
      <x:c r="O174" s="62" t="n">
        <x:v>3.25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Balistidae</x:v>
      </x:c>
      <x:c r="T174" s="62" t="n">
        <x:f>IF(O174="","",(1/'Metadata'!$B$5)^(O174-1))</x:f>
        <x:v>177.82794100389228</x:v>
      </x:c>
      <x:c r="U174" s="60" t="n">
        <x:f>IF(T174="","",I174*T174)</x:f>
        <x:v>135929.55661518552</x:v>
      </x:c>
    </x:row>
    <x:row r="175" ht="18" customHeight="1">
      <x:c r="A175" s="46" t="str">
        <x:v>LME_027</x:v>
      </x:c>
      <x:c r="B175" s="46" t="str">
        <x:v>Canary Current</x:v>
      </x:c>
      <x:c r="C175" s="46" t="str">
        <x:v>LME</x:v>
      </x:c>
      <x:c r="D175" s="58" t="n">
        <x:v>2019</x:v>
      </x:c>
      <x:c r="E175" s="46" t="str">
        <x:v>Sphyrna lewini</x:v>
      </x:c>
      <x:c r="F175" s="46" t="str">
        <x:v>Scalloped hammerhead</x:v>
      </x:c>
      <x:c r="G175" s="46" t="str">
        <x:v>Large sharks (&gt;=90 cm)</x:v>
      </x:c>
      <x:c r="H175" s="46" t="str">
        <x:v>Sharks &amp; rays</x:v>
      </x:c>
      <x:c r="I175" s="60" t="n">
        <x:v>752.7186802776</x:v>
      </x:c>
      <x:c r="J175" s="60" t="n">
        <x:v>715.0352971831</x:v>
      </x:c>
      <x:c r="K175" s="60" t="n">
        <x:v>37.6833830945</x:v>
      </x:c>
      <x:c r="L175" s="60" t="n">
        <x:v>583.9162464184</x:v>
      </x:c>
      <x:c r="M175" s="60" t="n">
        <x:v>168.8024338592</x:v>
      </x:c>
      <x:c r="N175" s="46" t="str">
        <x:v>sphyrna lewini</x:v>
      </x:c>
      <x:c r="O175" s="62" t="n">
        <x:v>4.08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Sphyrna lewini</x:v>
      </x:c>
      <x:c r="T175" s="62" t="n">
        <x:f>IF(O175="","",(1/'Metadata'!$B$5)^(O175-1))</x:f>
        <x:v>1202.2644346174131</x:v>
      </x:c>
      <x:c r="U175" s="60" t="n">
        <x:f>IF(T175="","",I175*T175)</x:f>
        <x:v>904966.8985699142</x:v>
      </x:c>
    </x:row>
    <x:row r="176" ht="18" customHeight="1">
      <x:c r="A176" s="46" t="str">
        <x:v>LME_027</x:v>
      </x:c>
      <x:c r="B176" s="46" t="str">
        <x:v>Canary Current</x:v>
      </x:c>
      <x:c r="C176" s="46" t="str">
        <x:v>LME</x:v>
      </x:c>
      <x:c r="D176" s="58" t="n">
        <x:v>2019</x:v>
      </x:c>
      <x:c r="E176" s="46" t="str">
        <x:v>Oblada melanurus</x:v>
      </x:c>
      <x:c r="F176" s="46" t="str">
        <x:v>Saddled seabream</x:v>
      </x:c>
      <x:c r="G176" s="46" t="str">
        <x:v>Small benthopelagics (&lt;30 cm)</x:v>
      </x:c>
      <x:c r="H176" s="46" t="str">
        <x:v>Perch-likes</x:v>
      </x:c>
      <x:c r="I176" s="60" t="n">
        <x:v>751.2748931546</x:v>
      </x:c>
      <x:c r="J176" s="60" t="n">
        <x:v>751.2748931546</x:v>
      </x:c>
      <x:c r="K176" s="60" t="n">
        <x:v>0</x:v>
      </x:c>
      <x:c r="L176" s="60" t="n">
        <x:v>5.0720656535</x:v>
      </x:c>
      <x:c r="M176" s="60" t="n">
        <x:v>746.2028275011</x:v>
      </x:c>
      <x:c r="N176" s="46" t="str">
        <x:v>oblada melanurus</x:v>
      </x:c>
      <x:c r="O176" s="62" t="n">
        <x:v>3.38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Oblada melanurus</x:v>
      </x:c>
      <x:c r="T176" s="62" t="n">
        <x:f>IF(O176="","",(1/'Metadata'!$B$5)^(O176-1))</x:f>
        <x:v>239.88329190194898</x:v>
      </x:c>
      <x:c r="U176" s="60" t="n">
        <x:f>IF(T176="","",I176*T176)</x:f>
        <x:v>180218.29449321044</x:v>
      </x:c>
    </x:row>
    <x:row r="177" ht="18" customHeight="1">
      <x:c r="A177" s="46" t="str">
        <x:v>LME_027</x:v>
      </x:c>
      <x:c r="B177" s="46" t="str">
        <x:v>Canary Current</x:v>
      </x:c>
      <x:c r="C177" s="46" t="str">
        <x:v>LME</x:v>
      </x:c>
      <x:c r="D177" s="58" t="n">
        <x:v>2019</x:v>
      </x:c>
      <x:c r="E177" s="46" t="str">
        <x:v>Psettodes belcheri</x:v>
      </x:c>
      <x:c r="F177" s="46" t="str">
        <x:v>Spottail spiny turbot</x:v>
      </x:c>
      <x:c r="G177" s="46" t="str">
        <x:v>Small to medium flatfishes (&lt;90 cm)</x:v>
      </x:c>
      <x:c r="H177" s="46" t="str">
        <x:v>Flatfishes</x:v>
      </x:c>
      <x:c r="I177" s="60" t="n">
        <x:v>731.6963057617</x:v>
      </x:c>
      <x:c r="J177" s="60" t="n">
        <x:v>704.3948925631</x:v>
      </x:c>
      <x:c r="K177" s="60" t="n">
        <x:v>27.301413198600002</x:v>
      </x:c>
      <x:c r="L177" s="60" t="n">
        <x:v>420.0219427266</x:v>
      </x:c>
      <x:c r="M177" s="60" t="n">
        <x:v>311.6743630351</x:v>
      </x:c>
      <x:c r="N177" s="46" t="str">
        <x:v>psettodes belcheri</x:v>
      </x:c>
      <x:c r="O177" s="62" t="n">
        <x:v>4.07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Psettodes belcheri</x:v>
      </x:c>
      <x:c r="T177" s="62" t="n">
        <x:f>IF(O177="","",(1/'Metadata'!$B$5)^(O177-1))</x:f>
        <x:v>1174.8975549395302</x:v>
      </x:c>
      <x:c r="U177" s="60" t="n">
        <x:f>IF(T177="","",I177*T177)</x:f>
        <x:v>859668.2005977082</x:v>
      </x:c>
    </x:row>
    <x:row r="178" ht="18" customHeight="1">
      <x:c r="A178" s="46" t="str">
        <x:v>LME_027</x:v>
      </x:c>
      <x:c r="B178" s="46" t="str">
        <x:v>Canary Current</x:v>
      </x:c>
      <x:c r="C178" s="46" t="str">
        <x:v>LME</x:v>
      </x:c>
      <x:c r="D178" s="58" t="n">
        <x:v>2019</x:v>
      </x:c>
      <x:c r="E178" s="46" t="str">
        <x:v>Pomadasys incisus</x:v>
      </x:c>
      <x:c r="F178" s="46" t="str">
        <x:v>Bastard grunt</x:v>
      </x:c>
      <x:c r="G178" s="46" t="str">
        <x:v>Medium demersals (30 - 89 cm)</x:v>
      </x:c>
      <x:c r="H178" s="46" t="str">
        <x:v>Perch-likes</x:v>
      </x:c>
      <x:c r="I178" s="60" t="n">
        <x:v>708.8543574800001</x:v>
      </x:c>
      <x:c r="J178" s="60" t="n">
        <x:v>692.9021961728</x:v>
      </x:c>
      <x:c r="K178" s="60" t="n">
        <x:v>15.9521613072</x:v>
      </x:c>
      <x:c r="L178" s="60" t="n">
        <x:v>263.4308142298</x:v>
      </x:c>
      <x:c r="M178" s="60" t="n">
        <x:v>445.42354325020005</x:v>
      </x:c>
      <x:c r="N178" s="46" t="str">
        <x:v>pomadasys incisus</x:v>
      </x:c>
      <x:c r="O178" s="62" t="n">
        <x:v>3.8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Pomadasys incisus</x:v>
      </x:c>
      <x:c r="T178" s="62" t="n">
        <x:f>IF(O178="","",(1/'Metadata'!$B$5)^(O178-1))</x:f>
        <x:v>630.957344480193</x:v>
      </x:c>
      <x:c r="U178" s="60" t="n">
        <x:f>IF(T178="","",I178*T178)</x:f>
        <x:v>447256.8630187943</x:v>
      </x:c>
    </x:row>
    <x:row r="179" ht="18" customHeight="1">
      <x:c r="A179" s="46" t="str">
        <x:v>LME_027</x:v>
      </x:c>
      <x:c r="B179" s="46" t="str">
        <x:v>Canary Current</x:v>
      </x:c>
      <x:c r="C179" s="46" t="str">
        <x:v>LME</x:v>
      </x:c>
      <x:c r="D179" s="58" t="n">
        <x:v>2019</x:v>
      </x:c>
      <x:c r="E179" s="46" t="str">
        <x:v>Sepiida</x:v>
      </x:c>
      <x:c r="F179" s="46" t="str">
        <x:v>Cuttlefishes, bobtail squids</x:v>
      </x:c>
      <x:c r="G179" s="46" t="str">
        <x:v>Cephalopods</x:v>
      </x:c>
      <x:c r="H179" s="46" t="str">
        <x:v>Other fishes &amp; inverts</x:v>
      </x:c>
      <x:c r="I179" s="60" t="n">
        <x:v>707.6963152688</x:v>
      </x:c>
      <x:c r="J179" s="60" t="n">
        <x:v>707.6963152688</x:v>
      </x:c>
      <x:c r="K179" s="60" t="n">
        <x:v>0</x:v>
      </x:c>
      <x:c r="L179" s="60" t="n">
        <x:v>126.6308946122</x:v>
      </x:c>
      <x:c r="M179" s="60" t="n">
        <x:v>581.0654206566</x:v>
      </x:c>
      <x:c r="N179" s="46" t="str">
        <x:v>sepiida</x:v>
      </x:c>
      <x:c r="O179" s="62" t="n">
        <x:v>3.7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Sepiida</x:v>
      </x:c>
      <x:c r="T179" s="62" t="n">
        <x:f>IF(O179="","",(1/'Metadata'!$B$5)^(O179-1))</x:f>
        <x:v>501.18723362727246</x:v>
      </x:c>
      <x:c r="U179" s="60" t="n">
        <x:f>IF(T179="","",I179*T179)</x:f>
        <x:v>354688.35849778395</x:v>
      </x:c>
    </x:row>
    <x:row r="180" ht="18" customHeight="1">
      <x:c r="A180" s="46" t="str">
        <x:v>LME_027</x:v>
      </x:c>
      <x:c r="B180" s="46" t="str">
        <x:v>Canary Current</x:v>
      </x:c>
      <x:c r="C180" s="46" t="str">
        <x:v>LME</x:v>
      </x:c>
      <x:c r="D180" s="58" t="n">
        <x:v>2019</x:v>
      </x:c>
      <x:c r="E180" s="46" t="str">
        <x:v>Sphyraena viridensis</x:v>
      </x:c>
      <x:c r="F180" s="46" t="str">
        <x:v>Yellowmouth barracuda</x:v>
      </x:c>
      <x:c r="G180" s="46" t="str">
        <x:v>Large pelagics (&gt;=90 cm)</x:v>
      </x:c>
      <x:c r="H180" s="46" t="str">
        <x:v>Perch-likes</x:v>
      </x:c>
      <x:c r="I180" s="60" t="n">
        <x:v>705.9662025637</x:v>
      </x:c>
      <x:c r="J180" s="60" t="n">
        <x:v>705.9662025637</x:v>
      </x:c>
      <x:c r="K180" s="60" t="n">
        <x:v>0</x:v>
      </x:c>
      <x:c r="L180" s="60" t="n">
        <x:v>25.910686997</x:v>
      </x:c>
      <x:c r="M180" s="60" t="n">
        <x:v>680.0555155667</x:v>
      </x:c>
      <x:c r="N180" s="46" t="str">
        <x:v>sphyraena viridensis</x:v>
      </x:c>
      <x:c r="O180" s="62" t="n">
        <x:v>4.31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Sphyraena viridensis</x:v>
      </x:c>
      <x:c r="T180" s="62" t="n">
        <x:f>IF(O180="","",(1/'Metadata'!$B$5)^(O180-1))</x:f>
        <x:v>2041.7379446695275</x:v>
      </x:c>
      <x:c r="U180" s="60" t="n">
        <x:f>IF(T180="","",I180*T180)</x:f>
        <x:v>1441397.9834285602</x:v>
      </x:c>
    </x:row>
    <x:row r="181" ht="18" customHeight="1">
      <x:c r="A181" s="46" t="str">
        <x:v>LME_027</x:v>
      </x:c>
      <x:c r="B181" s="46" t="str">
        <x:v>Canary Current</x:v>
      </x:c>
      <x:c r="C181" s="46" t="str">
        <x:v>LME</x:v>
      </x:c>
      <x:c r="D181" s="58" t="n">
        <x:v>2019</x:v>
      </x:c>
      <x:c r="E181" s="46" t="str">
        <x:v>Carcharhinus signatus</x:v>
      </x:c>
      <x:c r="F181" s="46" t="str">
        <x:v>Night shark</x:v>
      </x:c>
      <x:c r="G181" s="46" t="str">
        <x:v>Large sharks (&gt;=90 cm)</x:v>
      </x:c>
      <x:c r="H181" s="46" t="str">
        <x:v>Sharks &amp; rays</x:v>
      </x:c>
      <x:c r="I181" s="60" t="n">
        <x:v>694.6656565346</x:v>
      </x:c>
      <x:c r="J181" s="60" t="n">
        <x:v>694.6656565346</x:v>
      </x:c>
      <x:c r="K181" s="60" t="n">
        <x:v>0</x:v>
      </x:c>
      <x:c r="L181" s="60" t="n">
        <x:v>694.6656565346</x:v>
      </x:c>
      <x:c r="M181" s="60" t="n">
        <x:v>0</x:v>
      </x:c>
      <x:c r="N181" s="46" t="str">
        <x:v>carcharhinus signatus</x:v>
      </x:c>
      <x:c r="O181" s="62" t="n">
        <x:v>4.63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Carcharhinus signatus</x:v>
      </x:c>
      <x:c r="T181" s="62" t="n">
        <x:f>IF(O181="","",(1/'Metadata'!$B$5)^(O181-1))</x:f>
        <x:v>4265.795188015925</x:v>
      </x:c>
      <x:c r="U181" s="60" t="n">
        <x:f>IF(T181="","",I181*T181)</x:f>
        <x:v>2963301.41492522</x:v>
      </x:c>
    </x:row>
    <x:row r="182" ht="18" customHeight="1">
      <x:c r="A182" s="46" t="str">
        <x:v>LME_027</x:v>
      </x:c>
      <x:c r="B182" s="46" t="str">
        <x:v>Canary Current</x:v>
      </x:c>
      <x:c r="C182" s="46" t="str">
        <x:v>LME</x:v>
      </x:c>
      <x:c r="D182" s="58" t="n">
        <x:v>2019</x:v>
      </x:c>
      <x:c r="E182" s="46" t="str">
        <x:v>Sarotherodon melanotheron</x:v>
      </x:c>
      <x:c r="F182" s="46" t="str">
        <x:v>Blackchin tilapia</x:v>
      </x:c>
      <x:c r="G182" s="46" t="str">
        <x:v>Small demersals (&lt;30 cm)</x:v>
      </x:c>
      <x:c r="H182" s="46" t="str">
        <x:v>Perch-likes</x:v>
      </x:c>
      <x:c r="I182" s="60" t="n">
        <x:v>673.0447073153</x:v>
      </x:c>
      <x:c r="J182" s="60" t="n">
        <x:v>638.707413981</x:v>
      </x:c>
      <x:c r="K182" s="60" t="n">
        <x:v>34.3372933343</x:v>
      </x:c>
      <x:c r="L182" s="60" t="n">
        <x:v>528.2663043591999</x:v>
      </x:c>
      <x:c r="M182" s="60" t="n">
        <x:v>144.7784029561</x:v>
      </x:c>
      <x:c r="N182" s="46" t="str">
        <x:v>sarotherodon melanotheron</x:v>
      </x:c>
      <x:c r="O182" s="62" t="n">
        <x:v>2.23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Sarotherodon melanotheron</x:v>
      </x:c>
      <x:c r="T182" s="62" t="n">
        <x:f>IF(O182="","",(1/'Metadata'!$B$5)^(O182-1))</x:f>
        <x:v>16.982436524617444</x:v>
      </x:c>
      <x:c r="U182" s="60" t="n">
        <x:f>IF(T182="","",I182*T182)</x:f>
        <x:v>11429.939020211808</x:v>
      </x:c>
    </x:row>
    <x:row r="183" ht="18" customHeight="1">
      <x:c r="A183" s="46" t="str">
        <x:v>LME_027</x:v>
      </x:c>
      <x:c r="B183" s="46" t="str">
        <x:v>Canary Current</x:v>
      </x:c>
      <x:c r="C183" s="46" t="str">
        <x:v>LME</x:v>
      </x:c>
      <x:c r="D183" s="58" t="n">
        <x:v>2019</x:v>
      </x:c>
      <x:c r="E183" s="46" t="str">
        <x:v>Bodianus scrofa</x:v>
      </x:c>
      <x:c r="F183" s="46" t="str">
        <x:v>Barred hogfish</x:v>
      </x:c>
      <x:c r="G183" s="46" t="str">
        <x:v>Medium reef assoc. fish (30 - 89 cm)</x:v>
      </x:c>
      <x:c r="H183" s="46" t="str">
        <x:v>Perch-likes</x:v>
      </x:c>
      <x:c r="I183" s="60" t="n">
        <x:v>661.1119114742</x:v>
      </x:c>
      <x:c r="J183" s="60" t="n">
        <x:v>661.1119114742</x:v>
      </x:c>
      <x:c r="K183" s="60" t="n">
        <x:v>0</x:v>
      </x:c>
      <x:c r="L183" s="60" t="n">
        <x:v>7.740610754</x:v>
      </x:c>
      <x:c r="M183" s="60" t="n">
        <x:v>653.3713007202</x:v>
      </x:c>
      <x:c r="N183" s="46" t="str">
        <x:v>bodianus scrofa</x:v>
      </x:c>
      <x:c r="O183" s="62" t="n">
        <x:v>3.5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Bodianus scrofa</x:v>
      </x:c>
      <x:c r="T183" s="62" t="n">
        <x:f>IF(O183="","",(1/'Metadata'!$B$5)^(O183-1))</x:f>
        <x:v>316.22776601683796</x:v>
      </x:c>
      <x:c r="U183" s="60" t="n">
        <x:f>IF(T183="","",I183*T183)</x:f>
        <x:v>209061.9428526078</x:v>
      </x:c>
    </x:row>
    <x:row r="184" ht="18" customHeight="1">
      <x:c r="A184" s="46" t="str">
        <x:v>LME_027</x:v>
      </x:c>
      <x:c r="B184" s="46" t="str">
        <x:v>Canary Current</x:v>
      </x:c>
      <x:c r="C184" s="46" t="str">
        <x:v>LME</x:v>
      </x:c>
      <x:c r="D184" s="58" t="n">
        <x:v>2019</x:v>
      </x:c>
      <x:c r="E184" s="46" t="str">
        <x:v>Acanthocybium solandri</x:v>
      </x:c>
      <x:c r="F184" s="46" t="str">
        <x:v>Wahoo</x:v>
      </x:c>
      <x:c r="G184" s="46" t="str">
        <x:v>Large pelagics (&gt;=90 cm)</x:v>
      </x:c>
      <x:c r="H184" s="46" t="str">
        <x:v>Perch-likes</x:v>
      </x:c>
      <x:c r="I184" s="60" t="n">
        <x:v>660.9944769245001</x:v>
      </x:c>
      <x:c r="J184" s="60" t="n">
        <x:v>660.9944769245001</x:v>
      </x:c>
      <x:c r="K184" s="60" t="n">
        <x:v>0</x:v>
      </x:c>
      <x:c r="L184" s="60" t="n">
        <x:v>660.9944769245001</x:v>
      </x:c>
      <x:c r="M184" s="60" t="n">
        <x:v>0</x:v>
      </x:c>
      <x:c r="N184" s="46" t="str">
        <x:v>acanthocybium solandri</x:v>
      </x:c>
      <x:c r="O184" s="62" t="n">
        <x:v>4.26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Acanthocybium solandri</x:v>
      </x:c>
      <x:c r="T184" s="62" t="n">
        <x:f>IF(O184="","",(1/'Metadata'!$B$5)^(O184-1))</x:f>
        <x:v>1819.7008586099826</x:v>
      </x:c>
      <x:c r="U184" s="60" t="n">
        <x:f>IF(T184="","",I184*T184)</x:f>
        <x:v>1202812.217195969</x:v>
      </x:c>
    </x:row>
    <x:row r="185" ht="18" customHeight="1">
      <x:c r="A185" s="46" t="str">
        <x:v>LME_027</x:v>
      </x:c>
      <x:c r="B185" s="46" t="str">
        <x:v>Canary Current</x:v>
      </x:c>
      <x:c r="C185" s="46" t="str">
        <x:v>LME</x:v>
      </x:c>
      <x:c r="D185" s="58" t="n">
        <x:v>2019</x:v>
      </x:c>
      <x:c r="E185" s="46" t="str">
        <x:v>Dentex dentex</x:v>
      </x:c>
      <x:c r="F185" s="46" t="str">
        <x:v>Common dentex</x:v>
      </x:c>
      <x:c r="G185" s="46" t="str">
        <x:v>Large benthopelagics (&gt;=90 cm)</x:v>
      </x:c>
      <x:c r="H185" s="46" t="str">
        <x:v>Perch-likes</x:v>
      </x:c>
      <x:c r="I185" s="60" t="n">
        <x:v>650.4262347209</x:v>
      </x:c>
      <x:c r="J185" s="60" t="n">
        <x:v>650.4262347209</x:v>
      </x:c>
      <x:c r="K185" s="60" t="n">
        <x:v>0</x:v>
      </x:c>
      <x:c r="L185" s="60" t="n">
        <x:v>585.7541699092</x:v>
      </x:c>
      <x:c r="M185" s="60" t="n">
        <x:v>64.6720648117</x:v>
      </x:c>
      <x:c r="N185" s="46" t="str">
        <x:v>dentex dentex</x:v>
      </x:c>
      <x:c r="O185" s="62" t="n">
        <x:v>4.53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Dentex dentex</x:v>
      </x:c>
      <x:c r="T185" s="62" t="n">
        <x:f>IF(O185="","",(1/'Metadata'!$B$5)^(O185-1))</x:f>
        <x:v>3388.4415613920273</x:v>
      </x:c>
      <x:c r="U185" s="60" t="n">
        <x:f>IF(T185="","",I185*T185)</x:f>
        <x:v>2203931.2863480235</x:v>
      </x:c>
    </x:row>
    <x:row r="186" ht="18" customHeight="1">
      <x:c r="A186" s="46" t="str">
        <x:v>LME_027</x:v>
      </x:c>
      <x:c r="B186" s="46" t="str">
        <x:v>Canary Current</x:v>
      </x:c>
      <x:c r="C186" s="46" t="str">
        <x:v>LME</x:v>
      </x:c>
      <x:c r="D186" s="58" t="n">
        <x:v>2019</x:v>
      </x:c>
      <x:c r="E186" s="46" t="str">
        <x:v>Mullus barbatus</x:v>
      </x:c>
      <x:c r="F186" s="46" t="str">
        <x:v>Red mullet</x:v>
      </x:c>
      <x:c r="G186" s="46" t="str">
        <x:v>Medium demersals (30 - 89 cm)</x:v>
      </x:c>
      <x:c r="H186" s="46" t="str">
        <x:v>Perch-likes</x:v>
      </x:c>
      <x:c r="I186" s="60" t="n">
        <x:v>644.5608742016</x:v>
      </x:c>
      <x:c r="J186" s="60" t="n">
        <x:v>644.5608742016</x:v>
      </x:c>
      <x:c r="K186" s="60" t="n">
        <x:v>0</x:v>
      </x:c>
      <x:c r="L186" s="60" t="n">
        <x:v>644.5608742016</x:v>
      </x:c>
      <x:c r="M186" s="60" t="n">
        <x:v>0</x:v>
      </x:c>
      <x:c r="N186" s="46" t="str">
        <x:v>mullus barbatus</x:v>
      </x:c>
      <x:c r="O186" s="62" t="n">
        <x:v>3.14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Mullus barbatus</x:v>
      </x:c>
      <x:c r="T186" s="62" t="n">
        <x:f>IF(O186="","",(1/'Metadata'!$B$5)^(O186-1))</x:f>
        <x:v>138.03842646028852</x:v>
      </x:c>
      <x:c r="U186" s="60" t="n">
        <x:f>IF(T186="","",I186*T186)</x:f>
        <x:v>88974.16883265684</x:v>
      </x:c>
    </x:row>
    <x:row r="187" ht="18" customHeight="1">
      <x:c r="A187" s="46" t="str">
        <x:v>LME_027</x:v>
      </x:c>
      <x:c r="B187" s="46" t="str">
        <x:v>Canary Current</x:v>
      </x:c>
      <x:c r="C187" s="46" t="str">
        <x:v>LME</x:v>
      </x:c>
      <x:c r="D187" s="58" t="n">
        <x:v>2019</x:v>
      </x:c>
      <x:c r="E187" s="46" t="str">
        <x:v>Scomber</x:v>
      </x:c>
      <x:c r="F187" s="46" t="str">
        <x:v>Chub mackerels</x:v>
      </x:c>
      <x:c r="G187" s="46" t="str">
        <x:v>Medium pelagics (30 - 89 cm)</x:v>
      </x:c>
      <x:c r="H187" s="46" t="str">
        <x:v>Perch-likes</x:v>
      </x:c>
      <x:c r="I187" s="60" t="n">
        <x:v>634.9270549806</x:v>
      </x:c>
      <x:c r="J187" s="60" t="n">
        <x:v>634.9270549806</x:v>
      </x:c>
      <x:c r="K187" s="60" t="n">
        <x:v>0</x:v>
      </x:c>
      <x:c r="L187" s="60" t="n">
        <x:v>634.9270549806</x:v>
      </x:c>
      <x:c r="M187" s="60" t="n">
        <x:v>0</x:v>
      </x:c>
      <x:c r="N187" s="46" t="str">
        <x:v>scomber</x:v>
      </x:c>
      <x:c r="O187" s="62" t="n">
        <x:v>3.65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Scomber</x:v>
      </x:c>
      <x:c r="T187" s="62" t="n">
        <x:f>IF(O187="","",(1/'Metadata'!$B$5)^(O187-1))</x:f>
        <x:v>446.683592150963</x:v>
      </x:c>
      <x:c r="U187" s="60" t="n">
        <x:f>IF(T187="","",I187*T187)</x:f>
        <x:v>283611.4976725664</x:v>
      </x:c>
    </x:row>
    <x:row r="188" ht="18" customHeight="1">
      <x:c r="A188" s="46" t="str">
        <x:v>LME_027</x:v>
      </x:c>
      <x:c r="B188" s="46" t="str">
        <x:v>Canary Current</x:v>
      </x:c>
      <x:c r="C188" s="46" t="str">
        <x:v>LME</x:v>
      </x:c>
      <x:c r="D188" s="58" t="n">
        <x:v>2019</x:v>
      </x:c>
      <x:c r="E188" s="46" t="str">
        <x:v>Rhinobatos rhinobatos</x:v>
      </x:c>
      <x:c r="F188" s="46" t="str">
        <x:v>Common guitarfish</x:v>
      </x:c>
      <x:c r="G188" s="46" t="str">
        <x:v>Large rays (&gt;=90 cm)</x:v>
      </x:c>
      <x:c r="H188" s="46" t="str">
        <x:v>Sharks &amp; rays</x:v>
      </x:c>
      <x:c r="I188" s="60" t="n">
        <x:v>613.6183152327001</x:v>
      </x:c>
      <x:c r="J188" s="60" t="n">
        <x:v>583.0136924286</x:v>
      </x:c>
      <x:c r="K188" s="60" t="n">
        <x:v>30.604622804100003</x:v>
      </x:c>
      <x:c r="L188" s="60" t="n">
        <x:v>484.5959534175</x:v>
      </x:c>
      <x:c r="M188" s="60" t="n">
        <x:v>129.02236181520001</x:v>
      </x:c>
      <x:c r="N188" s="46" t="str">
        <x:v>rhinobatos rhinobatos</x:v>
      </x:c>
      <x:c r="O188" s="62" t="n">
        <x:v>4.08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Rhinobatos rhinobatos</x:v>
      </x:c>
      <x:c r="T188" s="62" t="n">
        <x:f>IF(O188="","",(1/'Metadata'!$B$5)^(O188-1))</x:f>
        <x:v>1202.2644346174131</x:v>
      </x:c>
      <x:c r="U188" s="60" t="n">
        <x:f>IF(T188="","",I188*T188)</x:f>
        <x:v>737731.4768341318</x:v>
      </x:c>
    </x:row>
    <x:row r="189" ht="18" customHeight="1">
      <x:c r="A189" s="46" t="str">
        <x:v>LME_027</x:v>
      </x:c>
      <x:c r="B189" s="46" t="str">
        <x:v>Canary Current</x:v>
      </x:c>
      <x:c r="C189" s="46" t="str">
        <x:v>LME</x:v>
      </x:c>
      <x:c r="D189" s="58" t="n">
        <x:v>2019</x:v>
      </x:c>
      <x:c r="E189" s="46" t="str">
        <x:v>Helicolenus dactylopterus</x:v>
      </x:c>
      <x:c r="F189" s="46" t="str">
        <x:v>Blackbelly rosefish</x:v>
      </x:c>
      <x:c r="G189" s="46" t="str">
        <x:v>Medium bathydemersals (30 - 89 cm)</x:v>
      </x:c>
      <x:c r="H189" s="46" t="str">
        <x:v>Scorpionfishes</x:v>
      </x:c>
      <x:c r="I189" s="60" t="n">
        <x:v>611.2727364967</x:v>
      </x:c>
      <x:c r="J189" s="60" t="n">
        <x:v>611.2727364967</x:v>
      </x:c>
      <x:c r="K189" s="60" t="n">
        <x:v>0</x:v>
      </x:c>
      <x:c r="L189" s="60" t="n">
        <x:v>62.9558250846</x:v>
      </x:c>
      <x:c r="M189" s="60" t="n">
        <x:v>548.3169114121</x:v>
      </x:c>
      <x:c r="N189" s="46" t="str">
        <x:v>helicolenus dactylopterus</x:v>
      </x:c>
      <x:c r="O189" s="62" t="n">
        <x:v>3.54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Helicolenus dactylopterus</x:v>
      </x:c>
      <x:c r="T189" s="62" t="n">
        <x:f>IF(O189="","",(1/'Metadata'!$B$5)^(O189-1))</x:f>
        <x:v>346.73685045253166</x:v>
      </x:c>
      <x:c r="U189" s="60" t="n">
        <x:f>IF(T189="","",I189*T189)</x:f>
        <x:v>211950.78342036603</x:v>
      </x:c>
    </x:row>
    <x:row r="190" ht="18" customHeight="1">
      <x:c r="A190" s="46" t="str">
        <x:v>LME_027</x:v>
      </x:c>
      <x:c r="B190" s="46" t="str">
        <x:v>Canary Current</x:v>
      </x:c>
      <x:c r="C190" s="46" t="str">
        <x:v>LME</x:v>
      </x:c>
      <x:c r="D190" s="58" t="n">
        <x:v>2019</x:v>
      </x:c>
      <x:c r="E190" s="46" t="str">
        <x:v>Trichiuridae</x:v>
      </x:c>
      <x:c r="F190" s="46" t="str">
        <x:v>Cutlassfishes</x:v>
      </x:c>
      <x:c r="G190" s="46" t="str">
        <x:v>Large benthopelagics (&gt;=90 cm)</x:v>
      </x:c>
      <x:c r="H190" s="46" t="str">
        <x:v>Perch-likes</x:v>
      </x:c>
      <x:c r="I190" s="60" t="n">
        <x:v>607.1106755605</x:v>
      </x:c>
      <x:c r="J190" s="60" t="n">
        <x:v>607.1106755605</x:v>
      </x:c>
      <x:c r="K190" s="60" t="n">
        <x:v>0</x:v>
      </x:c>
      <x:c r="L190" s="60" t="n">
        <x:v>277.8909692034</x:v>
      </x:c>
      <x:c r="M190" s="60" t="n">
        <x:v>329.21970635710005</x:v>
      </x:c>
      <x:c r="N190" s="46" t="str">
        <x:v>trichiuridae</x:v>
      </x:c>
      <x:c r="O190" s="62" t="n">
        <x:v>4.15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Trichiuridae</x:v>
      </x:c>
      <x:c r="T190" s="62" t="n">
        <x:f>IF(O190="","",(1/'Metadata'!$B$5)^(O190-1))</x:f>
        <x:v>1412.5375446227554</x:v>
      </x:c>
      <x:c r="U190" s="60" t="n">
        <x:f>IF(T190="","",I190*T190)</x:f>
        <x:v>857566.622970491</x:v>
      </x:c>
    </x:row>
    <x:row r="191" ht="18" customHeight="1">
      <x:c r="A191" s="46" t="str">
        <x:v>LME_027</x:v>
      </x:c>
      <x:c r="B191" s="46" t="str">
        <x:v>Canary Current</x:v>
      </x:c>
      <x:c r="C191" s="46" t="str">
        <x:v>LME</x:v>
      </x:c>
      <x:c r="D191" s="58" t="n">
        <x:v>2019</x:v>
      </x:c>
      <x:c r="E191" s="46" t="str">
        <x:v>Atherina presbyter</x:v>
      </x:c>
      <x:c r="F191" s="46" t="str">
        <x:v>Sand smelt</x:v>
      </x:c>
      <x:c r="G191" s="46" t="str">
        <x:v>Small pelagics (&lt;30 cm)</x:v>
      </x:c>
      <x:c r="H191" s="46" t="str">
        <x:v>Other fishes &amp; inverts</x:v>
      </x:c>
      <x:c r="I191" s="60" t="n">
        <x:v>603.3816191802999</x:v>
      </x:c>
      <x:c r="J191" s="60" t="n">
        <x:v>603.3816191802999</x:v>
      </x:c>
      <x:c r="K191" s="60" t="n">
        <x:v>0</x:v>
      </x:c>
      <x:c r="L191" s="60" t="n">
        <x:v>0</x:v>
      </x:c>
      <x:c r="M191" s="60" t="n">
        <x:v>603.3816191802999</x:v>
      </x:c>
      <x:c r="N191" s="46" t="str">
        <x:v>atherina presbyter</x:v>
      </x:c>
      <x:c r="O191" s="62" t="n">
        <x:v>3.67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Atherina presbyter</x:v>
      </x:c>
      <x:c r="T191" s="62" t="n">
        <x:f>IF(O191="","",(1/'Metadata'!$B$5)^(O191-1))</x:f>
        <x:v>467.73514128719813</x:v>
      </x:c>
      <x:c r="U191" s="60" t="n">
        <x:f>IF(T191="","",I191*T191)</x:f>
        <x:v>282222.78689739597</x:v>
      </x:c>
    </x:row>
    <x:row r="192" ht="18" customHeight="1">
      <x:c r="A192" s="46" t="str">
        <x:v>LME_027</x:v>
      </x:c>
      <x:c r="B192" s="46" t="str">
        <x:v>Canary Current</x:v>
      </x:c>
      <x:c r="C192" s="46" t="str">
        <x:v>LME</x:v>
      </x:c>
      <x:c r="D192" s="58" t="n">
        <x:v>2019</x:v>
      </x:c>
      <x:c r="E192" s="46" t="str">
        <x:v>Stephanolepis hispida</x:v>
      </x:c>
      <x:c r="F192" s="46" t="str">
        <x:v>Planehead filefish</x:v>
      </x:c>
      <x:c r="G192" s="46" t="str">
        <x:v>Small reef assoc. fish (&lt;30 cm)</x:v>
      </x:c>
      <x:c r="H192" s="46" t="str">
        <x:v>Other fishes &amp; inverts</x:v>
      </x:c>
      <x:c r="I192" s="60" t="n">
        <x:v>594.5412930089</x:v>
      </x:c>
      <x:c r="J192" s="60" t="n">
        <x:v>594.5412930089</x:v>
      </x:c>
      <x:c r="K192" s="60" t="n">
        <x:v>0</x:v>
      </x:c>
      <x:c r="L192" s="60" t="n">
        <x:v>17.4103112188</x:v>
      </x:c>
      <x:c r="M192" s="60" t="n">
        <x:v>577.1309817901</x:v>
      </x:c>
      <x:c r="N192" s="46" t="str">
        <x:v>stephanolepis hispida</x:v>
      </x:c>
      <x:c r="O192" s="62" t="n">
        <x:v>2.6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Stephanolepis hispida</x:v>
      </x:c>
      <x:c r="T192" s="62" t="n">
        <x:f>IF(O192="","",(1/'Metadata'!$B$5)^(O192-1))</x:f>
        <x:v>39.810717055349734</x:v>
      </x:c>
      <x:c r="U192" s="60" t="n">
        <x:f>IF(T192="","",I192*T192)</x:f>
        <x:v>23669.115193699097</x:v>
      </x:c>
    </x:row>
    <x:row r="193" ht="18" customHeight="1">
      <x:c r="A193" s="46" t="str">
        <x:v>LME_027</x:v>
      </x:c>
      <x:c r="B193" s="46" t="str">
        <x:v>Canary Current</x:v>
      </x:c>
      <x:c r="C193" s="46" t="str">
        <x:v>LME</x:v>
      </x:c>
      <x:c r="D193" s="58" t="n">
        <x:v>2019</x:v>
      </x:c>
      <x:c r="E193" s="46" t="str">
        <x:v>Caranx hippos</x:v>
      </x:c>
      <x:c r="F193" s="46" t="str">
        <x:v>Crevalle jack</x:v>
      </x:c>
      <x:c r="G193" s="46" t="str">
        <x:v>Large reef assoc. fish (&gt;=90 cm)</x:v>
      </x:c>
      <x:c r="H193" s="46" t="str">
        <x:v>Perch-likes</x:v>
      </x:c>
      <x:c r="I193" s="60" t="n">
        <x:v>593.1789728438999</x:v>
      </x:c>
      <x:c r="J193" s="60" t="n">
        <x:v>580.1581671657</x:v>
      </x:c>
      <x:c r="K193" s="60" t="n">
        <x:v>13.0208056782</x:v>
      </x:c>
      <x:c r="L193" s="60" t="n">
        <x:v>222.5788065379</x:v>
      </x:c>
      <x:c r="M193" s="60" t="n">
        <x:v>370.600166306</x:v>
      </x:c>
      <x:c r="N193" s="46" t="str">
        <x:v>caranx hippos</x:v>
      </x:c>
      <x:c r="O193" s="62" t="n">
        <x:v>3.56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Caranx hippos</x:v>
      </x:c>
      <x:c r="T193" s="62" t="n">
        <x:f>IF(O193="","",(1/'Metadata'!$B$5)^(O193-1))</x:f>
        <x:v>363.0780547701014</x:v>
      </x:c>
      <x:c r="U193" s="60" t="n">
        <x:f>IF(T193="","",I193*T193)</x:f>
        <x:v>215370.26759069</x:v>
      </x:c>
    </x:row>
    <x:row r="194" ht="18" customHeight="1">
      <x:c r="A194" s="46" t="str">
        <x:v>LME_027</x:v>
      </x:c>
      <x:c r="B194" s="46" t="str">
        <x:v>Canary Current</x:v>
      </x:c>
      <x:c r="C194" s="46" t="str">
        <x:v>LME</x:v>
      </x:c>
      <x:c r="D194" s="58" t="n">
        <x:v>2019</x:v>
      </x:c>
      <x:c r="E194" s="46" t="str">
        <x:v>Beryx splendens</x:v>
      </x:c>
      <x:c r="F194" s="46" t="str">
        <x:v>Splendid alfonsino</x:v>
      </x:c>
      <x:c r="G194" s="46" t="str">
        <x:v>Medium benthopelagics (30 - 89 cm)</x:v>
      </x:c>
      <x:c r="H194" s="46" t="str">
        <x:v>Other fishes &amp; inverts</x:v>
      </x:c>
      <x:c r="I194" s="60" t="n">
        <x:v>590.1405366421</x:v>
      </x:c>
      <x:c r="J194" s="60" t="n">
        <x:v>590.1405366421</x:v>
      </x:c>
      <x:c r="K194" s="60" t="n">
        <x:v>0</x:v>
      </x:c>
      <x:c r="L194" s="60" t="n">
        <x:v>282.09538687919996</x:v>
      </x:c>
      <x:c r="M194" s="60" t="n">
        <x:v>308.0451497629</x:v>
      </x:c>
      <x:c r="N194" s="46" t="str">
        <x:v>beryx splendens</x:v>
      </x:c>
      <x:c r="O194" s="62" t="n">
        <x:v>4.27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Beryx splendens</x:v>
      </x:c>
      <x:c r="T194" s="62" t="n">
        <x:f>IF(O194="","",(1/'Metadata'!$B$5)^(O194-1))</x:f>
        <x:v>1862.0871366628655</x:v>
      </x:c>
      <x:c r="U194" s="60" t="n">
        <x:f>IF(T194="","",I194*T194)</x:f>
        <x:v>1098893.102104575</x:v>
      </x:c>
    </x:row>
    <x:row r="195" ht="18" customHeight="1">
      <x:c r="A195" s="46" t="str">
        <x:v>LME_027</x:v>
      </x:c>
      <x:c r="B195" s="46" t="str">
        <x:v>Canary Current</x:v>
      </x:c>
      <x:c r="C195" s="46" t="str">
        <x:v>LME</x:v>
      </x:c>
      <x:c r="D195" s="58" t="n">
        <x:v>2019</x:v>
      </x:c>
      <x:c r="E195" s="46" t="str">
        <x:v>Solea senegalensis</x:v>
      </x:c>
      <x:c r="F195" s="46" t="str">
        <x:v>Senegalese sole</x:v>
      </x:c>
      <x:c r="G195" s="46" t="str">
        <x:v>Small to medium flatfishes (&lt;90 cm)</x:v>
      </x:c>
      <x:c r="H195" s="46" t="str">
        <x:v>Flatfishes</x:v>
      </x:c>
      <x:c r="I195" s="60" t="n">
        <x:v>563.3831590782</x:v>
      </x:c>
      <x:c r="J195" s="60" t="n">
        <x:v>534.640562067</x:v>
      </x:c>
      <x:c r="K195" s="60" t="n">
        <x:v>28.7425970112</x:v>
      </x:c>
      <x:c r="L195" s="60" t="n">
        <x:v>442.19401200190003</x:v>
      </x:c>
      <x:c r="M195" s="60" t="n">
        <x:v>121.18914707629999</x:v>
      </x:c>
      <x:c r="N195" s="46" t="str">
        <x:v>solea senegalensis</x:v>
      </x:c>
      <x:c r="O195" s="62" t="n">
        <x:v>3.13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Solea senegalensis</x:v>
      </x:c>
      <x:c r="T195" s="62" t="n">
        <x:f>IF(O195="","",(1/'Metadata'!$B$5)^(O195-1))</x:f>
        <x:v>134.89628825916532</x:v>
      </x:c>
      <x:c r="U195" s="60" t="n">
        <x:f>IF(T195="","",I195*T195)</x:f>
        <x:v>75998.29702737206</x:v>
      </x:c>
    </x:row>
    <x:row r="196" ht="18" customHeight="1">
      <x:c r="A196" s="46" t="str">
        <x:v>LME_027</x:v>
      </x:c>
      <x:c r="B196" s="46" t="str">
        <x:v>Canary Current</x:v>
      </x:c>
      <x:c r="C196" s="46" t="str">
        <x:v>LME</x:v>
      </x:c>
      <x:c r="D196" s="58" t="n">
        <x:v>2019</x:v>
      </x:c>
      <x:c r="E196" s="46" t="str">
        <x:v>Plectorhinchus macrolepis</x:v>
      </x:c>
      <x:c r="F196" s="46" t="str">
        <x:v>Biglip grunt</x:v>
      </x:c>
      <x:c r="G196" s="46" t="str">
        <x:v>Medium benthopelagics (30 - 89 cm)</x:v>
      </x:c>
      <x:c r="H196" s="46" t="str">
        <x:v>Perch-likes</x:v>
      </x:c>
      <x:c r="I196" s="60" t="n">
        <x:v>543.1535300632</x:v>
      </x:c>
      <x:c r="J196" s="60" t="n">
        <x:v>543.1535300632</x:v>
      </x:c>
      <x:c r="K196" s="60" t="n">
        <x:v>0</x:v>
      </x:c>
      <x:c r="L196" s="60" t="n">
        <x:v>0</x:v>
      </x:c>
      <x:c r="M196" s="60" t="n">
        <x:v>543.1535300632</x:v>
      </x:c>
      <x:c r="N196" s="46" t="str">
        <x:v>plectorhinchus macrolepis</x:v>
      </x:c>
      <x:c r="O196" s="62" t="n">
        <x:v>3.69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Plectorhinchus macrolepis</x:v>
      </x:c>
      <x:c r="T196" s="62" t="n">
        <x:f>IF(O196="","",(1/'Metadata'!$B$5)^(O196-1))</x:f>
        <x:v>489.77881936844614</x:v>
      </x:c>
      <x:c r="U196" s="60" t="n">
        <x:f>IF(T196="","",I196*T196)</x:f>
        <x:v>266025.0946901579</x:v>
      </x:c>
    </x:row>
    <x:row r="197" ht="18" customHeight="1">
      <x:c r="A197" s="46" t="str">
        <x:v>LME_027</x:v>
      </x:c>
      <x:c r="B197" s="46" t="str">
        <x:v>Canary Current</x:v>
      </x:c>
      <x:c r="C197" s="46" t="str">
        <x:v>LME</x:v>
      </x:c>
      <x:c r="D197" s="58" t="n">
        <x:v>2019</x:v>
      </x:c>
      <x:c r="E197" s="46" t="str">
        <x:v>Panulirus regius</x:v>
      </x:c>
      <x:c r="F197" s="46" t="str">
        <x:v>Royal spiny lobster</x:v>
      </x:c>
      <x:c r="G197" s="46" t="str">
        <x:v>Lobsters, crabs</x:v>
      </x:c>
      <x:c r="H197" s="46" t="str">
        <x:v>Crustaceans</x:v>
      </x:c>
      <x:c r="I197" s="60" t="n">
        <x:v>538.1835995952999</x:v>
      </x:c>
      <x:c r="J197" s="60" t="n">
        <x:v>510.7258171318</x:v>
      </x:c>
      <x:c r="K197" s="60" t="n">
        <x:v>27.4577824635</x:v>
      </x:c>
      <x:c r="L197" s="60" t="n">
        <x:v>422.42762487519997</x:v>
      </x:c>
      <x:c r="M197" s="60" t="n">
        <x:v>115.7559747201</x:v>
      </x:c>
      <x:c r="N197" s="46" t="str">
        <x:v>panulirus regius</x:v>
      </x:c>
      <x:c r="O197" s="62" t="n">
        <x:v>2.6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Panulirus regius</x:v>
      </x:c>
      <x:c r="T197" s="62" t="n">
        <x:f>IF(O197="","",(1/'Metadata'!$B$5)^(O197-1))</x:f>
        <x:v>39.810717055349734</x:v>
      </x:c>
      <x:c r="U197" s="60" t="n">
        <x:f>IF(T197="","",I197*T197)</x:f>
        <x:v>21425.47500731812</x:v>
      </x:c>
    </x:row>
    <x:row r="198" ht="18" customHeight="1">
      <x:c r="A198" s="46" t="str">
        <x:v>LME_027</x:v>
      </x:c>
      <x:c r="B198" s="46" t="str">
        <x:v>Canary Current</x:v>
      </x:c>
      <x:c r="C198" s="46" t="str">
        <x:v>LME</x:v>
      </x:c>
      <x:c r="D198" s="58" t="n">
        <x:v>2019</x:v>
      </x:c>
      <x:c r="E198" s="46" t="str">
        <x:v>Chelon auratus</x:v>
      </x:c>
      <x:c r="F198" s="46" t="str">
        <x:v>Golden grey mullet</x:v>
      </x:c>
      <x:c r="G198" s="46" t="str">
        <x:v>Medium pelagics (30 - 89 cm)</x:v>
      </x:c>
      <x:c r="H198" s="46" t="str">
        <x:v>Other fishes &amp; inverts</x:v>
      </x:c>
      <x:c r="I198" s="60" t="n">
        <x:v>518.8311609971</x:v>
      </x:c>
      <x:c r="J198" s="60" t="n">
        <x:v>518.5434125817001</x:v>
      </x:c>
      <x:c r="K198" s="60" t="n">
        <x:v>0.2877484154</x:v>
      </x:c>
      <x:c r="L198" s="60" t="n">
        <x:v>4.6227163209</x:v>
      </x:c>
      <x:c r="M198" s="60" t="n">
        <x:v>514.2084446762</x:v>
      </x:c>
      <x:c r="N198" s="46" t="str">
        <x:v>chelon auratus</x:v>
      </x:c>
      <x:c r="O198" s="62" t="n">
        <x:v>2.8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Chelon auratus</x:v>
      </x:c>
      <x:c r="T198" s="62" t="n">
        <x:f>IF(O198="","",(1/'Metadata'!$B$5)^(O198-1))</x:f>
        <x:v>63.0957344480193</x:v>
      </x:c>
      <x:c r="U198" s="60" t="n">
        <x:f>IF(T198="","",I198*T198)</x:f>
        <x:v>32736.033157630573</x:v>
      </x:c>
    </x:row>
    <x:row r="199" ht="18" customHeight="1">
      <x:c r="A199" s="46" t="str">
        <x:v>LME_027</x:v>
      </x:c>
      <x:c r="B199" s="46" t="str">
        <x:v>Canary Current</x:v>
      </x:c>
      <x:c r="C199" s="46" t="str">
        <x:v>LME</x:v>
      </x:c>
      <x:c r="D199" s="58" t="n">
        <x:v>2019</x:v>
      </x:c>
      <x:c r="E199" s="46" t="str">
        <x:v>Acanthurus</x:v>
      </x:c>
      <x:c r="F199" s="46" t="str">
        <x:v>Surgeonfishes</x:v>
      </x:c>
      <x:c r="G199" s="46" t="str">
        <x:v>Small reef assoc. fish (&lt;30 cm)</x:v>
      </x:c>
      <x:c r="H199" s="46" t="str">
        <x:v>Perch-likes</x:v>
      </x:c>
      <x:c r="I199" s="60" t="n">
        <x:v>512.8990314988</x:v>
      </x:c>
      <x:c r="J199" s="60" t="n">
        <x:v>486.7320260918</x:v>
      </x:c>
      <x:c r="K199" s="60" t="n">
        <x:v>26.167005407</x:v>
      </x:c>
      <x:c r="L199" s="60" t="n">
        <x:v>402.5695068015</x:v>
      </x:c>
      <x:c r="M199" s="60" t="n">
        <x:v>110.32952469730002</x:v>
      </x:c>
      <x:c r="N199" s="46" t="str">
        <x:v>acanthurus</x:v>
      </x:c>
      <x:c r="O199" s="62" t="n">
        <x:v>2.03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Acanthurus</x:v>
      </x:c>
      <x:c r="T199" s="62" t="n">
        <x:f>IF(O199="","",(1/'Metadata'!$B$5)^(O199-1))</x:f>
        <x:v>10.71519305237606</x:v>
      </x:c>
      <x:c r="U199" s="60" t="n">
        <x:f>IF(T199="","",I199*T199)</x:f>
        <x:v>5495.812138886352</x:v>
      </x:c>
    </x:row>
    <x:row r="200" ht="18" customHeight="1">
      <x:c r="A200" s="46" t="str">
        <x:v>LME_027</x:v>
      </x:c>
      <x:c r="B200" s="46" t="str">
        <x:v>Canary Current</x:v>
      </x:c>
      <x:c r="C200" s="46" t="str">
        <x:v>LME</x:v>
      </x:c>
      <x:c r="D200" s="58" t="n">
        <x:v>2019</x:v>
      </x:c>
      <x:c r="E200" s="46" t="str">
        <x:v>Lophius</x:v>
      </x:c>
      <x:c r="F200" s="46" t="str">
        <x:v>Frogfishes</x:v>
      </x:c>
      <x:c r="G200" s="46" t="str">
        <x:v>Medium bathydemersals (30 - 89 cm)</x:v>
      </x:c>
      <x:c r="H200" s="46" t="str">
        <x:v>Other fishes &amp; inverts</x:v>
      </x:c>
      <x:c r="I200" s="60" t="n">
        <x:v>503.2171860029</x:v>
      </x:c>
      <x:c r="J200" s="60" t="n">
        <x:v>503.2171860029</x:v>
      </x:c>
      <x:c r="K200" s="60" t="n">
        <x:v>0</x:v>
      </x:c>
      <x:c r="L200" s="60" t="n">
        <x:v>503.2171860029</x:v>
      </x:c>
      <x:c r="M200" s="60" t="n">
        <x:v>0</x:v>
      </x:c>
      <x:c r="N200" s="46" t="str">
        <x:v>lophius</x:v>
      </x:c>
      <x:c r="O200" s="62" t="n">
        <x:v>4.46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Lophius</x:v>
      </x:c>
      <x:c r="T200" s="62" t="n">
        <x:f>IF(O200="","",(1/'Metadata'!$B$5)^(O200-1))</x:f>
        <x:v>2884.031503126606</x:v>
      </x:c>
      <x:c r="U200" s="60" t="n">
        <x:f>IF(T200="","",I200*T200)</x:f>
        <x:v>1451294.2173470845</x:v>
      </x:c>
    </x:row>
    <x:row r="201" ht="18" customHeight="1">
      <x:c r="A201" s="46" t="str">
        <x:v>LME_027</x:v>
      </x:c>
      <x:c r="B201" s="46" t="str">
        <x:v>Canary Current</x:v>
      </x:c>
      <x:c r="C201" s="46" t="str">
        <x:v>LME</x:v>
      </x:c>
      <x:c r="D201" s="58" t="n">
        <x:v>2019</x:v>
      </x:c>
      <x:c r="E201" s="46" t="str">
        <x:v>Cerastoderma edule</x:v>
      </x:c>
      <x:c r="F201" s="46" t="str">
        <x:v>Common cockle</x:v>
      </x:c>
      <x:c r="G201" s="46" t="str">
        <x:v>Other demersal invertebrates</x:v>
      </x:c>
      <x:c r="H201" s="46" t="str">
        <x:v>Molluscs</x:v>
      </x:c>
      <x:c r="I201" s="60" t="n">
        <x:v>500.5675386358</x:v>
      </x:c>
      <x:c r="J201" s="60" t="n">
        <x:v>500.5675386358</x:v>
      </x:c>
      <x:c r="K201" s="60" t="n">
        <x:v>0</x:v>
      </x:c>
      <x:c r="L201" s="60" t="n">
        <x:v>140.7030415645</x:v>
      </x:c>
      <x:c r="M201" s="60" t="n">
        <x:v>359.8644970713</x:v>
      </x:c>
      <x:c r="N201" s="46" t="str">
        <x:v>cerastoderma edule</x:v>
      </x:c>
      <x:c r="O201" s="62" t="n">
        <x:v>2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Cerastoderma edule</x:v>
      </x:c>
      <x:c r="T201" s="62" t="n">
        <x:f>IF(O201="","",(1/'Metadata'!$B$5)^(O201-1))</x:f>
        <x:v>10</x:v>
      </x:c>
      <x:c r="U201" s="60" t="n">
        <x:f>IF(T201="","",I201*T201)</x:f>
        <x:v>5005.675386358</x:v>
      </x:c>
    </x:row>
    <x:row r="202" ht="18" customHeight="1">
      <x:c r="A202" s="46" t="str">
        <x:v>LME_027</x:v>
      </x:c>
      <x:c r="B202" s="46" t="str">
        <x:v>Canary Current</x:v>
      </x:c>
      <x:c r="C202" s="46" t="str">
        <x:v>LME</x:v>
      </x:c>
      <x:c r="D202" s="58" t="n">
        <x:v>2019</x:v>
      </x:c>
      <x:c r="E202" s="46" t="str">
        <x:v>Phycis</x:v>
      </x:c>
      <x:c r="F202" s="46" t="str">
        <x:v>Gunnels, forkbeards</x:v>
      </x:c>
      <x:c r="G202" s="46" t="str">
        <x:v>Medium benthopelagics (30 - 89 cm)</x:v>
      </x:c>
      <x:c r="H202" s="46" t="str">
        <x:v>Cod-likes</x:v>
      </x:c>
      <x:c r="I202" s="60" t="n">
        <x:v>480.6055426007</x:v>
      </x:c>
      <x:c r="J202" s="60" t="n">
        <x:v>480.6055426007</x:v>
      </x:c>
      <x:c r="K202" s="60" t="n">
        <x:v>0</x:v>
      </x:c>
      <x:c r="L202" s="60" t="n">
        <x:v>480.6055426007</x:v>
      </x:c>
      <x:c r="M202" s="60" t="n">
        <x:v>0</x:v>
      </x:c>
      <x:c r="N202" s="46" t="str">
        <x:v>phycis</x:v>
      </x:c>
      <x:c r="O202" s="62" t="n">
        <x:v>3.99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Phycis</x:v>
      </x:c>
      <x:c r="T202" s="62" t="n">
        <x:f>IF(O202="","",(1/'Metadata'!$B$5)^(O202-1))</x:f>
        <x:v>977.2372209558112</x:v>
      </x:c>
      <x:c r="U202" s="60" t="n">
        <x:f>IF(T202="","",I202*T202)</x:f>
        <x:v>469665.6248270678</x:v>
      </x:c>
    </x:row>
    <x:row r="203" ht="18" customHeight="1">
      <x:c r="A203" s="46" t="str">
        <x:v>LME_027</x:v>
      </x:c>
      <x:c r="B203" s="46" t="str">
        <x:v>Canary Current</x:v>
      </x:c>
      <x:c r="C203" s="46" t="str">
        <x:v>LME</x:v>
      </x:c>
      <x:c r="D203" s="58" t="n">
        <x:v>2019</x:v>
      </x:c>
      <x:c r="E203" s="46" t="str">
        <x:v>Trachinus</x:v>
      </x:c>
      <x:c r="F203" s="46" t="str">
        <x:v>Weevers</x:v>
      </x:c>
      <x:c r="G203" s="46" t="str">
        <x:v>Medium demersals (30 - 89 cm)</x:v>
      </x:c>
      <x:c r="H203" s="46" t="str">
        <x:v>Perch-likes</x:v>
      </x:c>
      <x:c r="I203" s="60" t="n">
        <x:v>468.4745929481</x:v>
      </x:c>
      <x:c r="J203" s="60" t="n">
        <x:v>468.4745929481</x:v>
      </x:c>
      <x:c r="K203" s="60" t="n">
        <x:v>0</x:v>
      </x:c>
      <x:c r="L203" s="60" t="n">
        <x:v>468.4745929481</x:v>
      </x:c>
      <x:c r="M203" s="60" t="n">
        <x:v>0</x:v>
      </x:c>
      <x:c r="N203" s="46" t="str">
        <x:v>trachinus</x:v>
      </x:c>
      <x:c r="O203" s="62" t="n">
        <x:v>3.95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Trachinus</x:v>
      </x:c>
      <x:c r="T203" s="62" t="n">
        <x:f>IF(O203="","",(1/'Metadata'!$B$5)^(O203-1))</x:f>
        <x:v>891.2509381337459</x:v>
      </x:c>
      <x:c r="U203" s="60" t="n">
        <x:f>IF(T203="","",I203*T203)</x:f>
        <x:v>417528.4204568188</x:v>
      </x:c>
    </x:row>
    <x:row r="204" ht="18" customHeight="1">
      <x:c r="A204" s="46" t="str">
        <x:v>LME_027</x:v>
      </x:c>
      <x:c r="B204" s="46" t="str">
        <x:v>Canary Current</x:v>
      </x:c>
      <x:c r="C204" s="46" t="str">
        <x:v>LME</x:v>
      </x:c>
      <x:c r="D204" s="58" t="n">
        <x:v>2019</x:v>
      </x:c>
      <x:c r="E204" s="46" t="str">
        <x:v>Aphanopus carbo</x:v>
      </x:c>
      <x:c r="F204" s="46" t="str">
        <x:v>Black scabbardfish</x:v>
      </x:c>
      <x:c r="G204" s="46" t="str">
        <x:v>Large benthopelagics (&gt;=90 cm)</x:v>
      </x:c>
      <x:c r="H204" s="46" t="str">
        <x:v>Perch-likes</x:v>
      </x:c>
      <x:c r="I204" s="60" t="n">
        <x:v>442.3485421074</x:v>
      </x:c>
      <x:c r="J204" s="60" t="n">
        <x:v>442.3485421074</x:v>
      </x:c>
      <x:c r="K204" s="60" t="n">
        <x:v>0</x:v>
      </x:c>
      <x:c r="L204" s="60" t="n">
        <x:v>442.3485421074</x:v>
      </x:c>
      <x:c r="M204" s="60" t="n">
        <x:v>0</x:v>
      </x:c>
      <x:c r="N204" s="46" t="str">
        <x:v>aphanopus carbo</x:v>
      </x:c>
      <x:c r="O204" s="62" t="n">
        <x:v>4.48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Aphanopus carbo</x:v>
      </x:c>
      <x:c r="T204" s="62" t="n">
        <x:f>IF(O204="","",(1/'Metadata'!$B$5)^(O204-1))</x:f>
        <x:v>3019.951720402019</x:v>
      </x:c>
      <x:c r="U204" s="60" t="n">
        <x:f>IF(T204="","",I204*T204)</x:f>
        <x:v>1335871.2407545676</x:v>
      </x:c>
    </x:row>
    <x:row r="205" ht="18" customHeight="1">
      <x:c r="A205" s="46" t="str">
        <x:v>LME_027</x:v>
      </x:c>
      <x:c r="B205" s="46" t="str">
        <x:v>Canary Current</x:v>
      </x:c>
      <x:c r="C205" s="46" t="str">
        <x:v>LME</x:v>
      </x:c>
      <x:c r="D205" s="58" t="n">
        <x:v>2019</x:v>
      </x:c>
      <x:c r="E205" s="46" t="str">
        <x:v>Sphyraena afra</x:v>
      </x:c>
      <x:c r="F205" s="46" t="str">
        <x:v>Guinean barracuda</x:v>
      </x:c>
      <x:c r="G205" s="46" t="str">
        <x:v>Large pelagics (&gt;=90 cm)</x:v>
      </x:c>
      <x:c r="H205" s="46" t="str">
        <x:v>Perch-likes</x:v>
      </x:c>
      <x:c r="I205" s="60" t="n">
        <x:v>440.7274278304</x:v>
      </x:c>
      <x:c r="J205" s="60" t="n">
        <x:v>440.7274278304</x:v>
      </x:c>
      <x:c r="K205" s="60" t="n">
        <x:v>0</x:v>
      </x:c>
      <x:c r="L205" s="60" t="n">
        <x:v>0</x:v>
      </x:c>
      <x:c r="M205" s="60" t="n">
        <x:v>440.7274278304</x:v>
      </x:c>
      <x:c r="N205" s="46" t="str">
        <x:v>sphyraena afra</x:v>
      </x:c>
      <x:c r="O205" s="62" t="n">
        <x:v>4.07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Sphyraena afra</x:v>
      </x:c>
      <x:c r="T205" s="62" t="n">
        <x:f>IF(O205="","",(1/'Metadata'!$B$5)^(O205-1))</x:f>
        <x:v>1174.8975549395302</x:v>
      </x:c>
      <x:c r="U205" s="60" t="n">
        <x:f>IF(T205="","",I205*T205)</x:f>
        <x:v>517809.57735272526</x:v>
      </x:c>
    </x:row>
    <x:row r="206" ht="18" customHeight="1">
      <x:c r="A206" s="46" t="str">
        <x:v>LME_027</x:v>
      </x:c>
      <x:c r="B206" s="46" t="str">
        <x:v>Canary Current</x:v>
      </x:c>
      <x:c r="C206" s="46" t="str">
        <x:v>LME</x:v>
      </x:c>
      <x:c r="D206" s="58" t="n">
        <x:v>2019</x:v>
      </x:c>
      <x:c r="E206" s="46" t="str">
        <x:v>Lophiidae</x:v>
      </x:c>
      <x:c r="F206" s="46" t="str">
        <x:v>Goosefishes</x:v>
      </x:c>
      <x:c r="G206" s="46" t="str">
        <x:v>Medium bathydemersals (30 - 89 cm)</x:v>
      </x:c>
      <x:c r="H206" s="46" t="str">
        <x:v>Other fishes &amp; inverts</x:v>
      </x:c>
      <x:c r="I206" s="60" t="n">
        <x:v>428.3688012287</x:v>
      </x:c>
      <x:c r="J206" s="60" t="n">
        <x:v>417.77911342370004</x:v>
      </x:c>
      <x:c r="K206" s="60" t="n">
        <x:v>10.589687804999999</x:v>
      </x:c>
      <x:c r="L206" s="60" t="n">
        <x:v>407.6936964665</x:v>
      </x:c>
      <x:c r="M206" s="60" t="n">
        <x:v>20.6751047622</x:v>
      </x:c>
      <x:c r="N206" s="46" t="str">
        <x:v>lophiidae</x:v>
      </x:c>
      <x:c r="O206" s="62" t="n">
        <x:v>4.46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Lophiidae</x:v>
      </x:c>
      <x:c r="T206" s="62" t="n">
        <x:f>IF(O206="","",(1/'Metadata'!$B$5)^(O206-1))</x:f>
        <x:v>2884.031503126606</x:v>
      </x:c>
      <x:c r="U206" s="60" t="n">
        <x:f>IF(T206="","",I206*T206)</x:f>
        <x:v>1235429.11770015</x:v>
      </x:c>
    </x:row>
    <x:row r="207" ht="18" customHeight="1">
      <x:c r="A207" s="46" t="str">
        <x:v>LME_027</x:v>
      </x:c>
      <x:c r="B207" s="46" t="str">
        <x:v>Canary Current</x:v>
      </x:c>
      <x:c r="C207" s="46" t="str">
        <x:v>LME</x:v>
      </x:c>
      <x:c r="D207" s="58" t="n">
        <x:v>2019</x:v>
      </x:c>
      <x:c r="E207" s="46" t="str">
        <x:v>Mycteroperca rubra</x:v>
      </x:c>
      <x:c r="F207" s="46" t="str">
        <x:v>Mottled grouper</x:v>
      </x:c>
      <x:c r="G207" s="46" t="str">
        <x:v>Large demersals (&gt;=90 cm)</x:v>
      </x:c>
      <x:c r="H207" s="46" t="str">
        <x:v>Perch-likes</x:v>
      </x:c>
      <x:c r="I207" s="60" t="n">
        <x:v>426.0786236022001</x:v>
      </x:c>
      <x:c r="J207" s="60" t="n">
        <x:v>404.34100866650004</x:v>
      </x:c>
      <x:c r="K207" s="60" t="n">
        <x:v>21.7376149357</x:v>
      </x:c>
      <x:c r="L207" s="60" t="n">
        <x:v>334.42500536790004</x:v>
      </x:c>
      <x:c r="M207" s="60" t="n">
        <x:v>91.6536182343</x:v>
      </x:c>
      <x:c r="N207" s="46" t="str">
        <x:v>mycteroperca rubra</x:v>
      </x:c>
      <x:c r="O207" s="62" t="n">
        <x:v>4.13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Mycteroperca rubra</x:v>
      </x:c>
      <x:c r="T207" s="62" t="n">
        <x:f>IF(O207="","",(1/'Metadata'!$B$5)^(O207-1))</x:f>
        <x:v>1348.9628825916532</x:v>
      </x:c>
      <x:c r="U207" s="60" t="n">
        <x:f>IF(T207="","",I207*T207)</x:f>
        <x:v>574764.2483051078</x:v>
      </x:c>
    </x:row>
    <x:row r="208" ht="18" customHeight="1">
      <x:c r="A208" s="46" t="str">
        <x:v>LME_027</x:v>
      </x:c>
      <x:c r="B208" s="46" t="str">
        <x:v>Canary Current</x:v>
      </x:c>
      <x:c r="C208" s="46" t="str">
        <x:v>LME</x:v>
      </x:c>
      <x:c r="D208" s="58" t="n">
        <x:v>2019</x:v>
      </x:c>
      <x:c r="E208" s="46" t="str">
        <x:v>Istiophorus albicans</x:v>
      </x:c>
      <x:c r="F208" s="46" t="str">
        <x:v>Atlantic sailfish</x:v>
      </x:c>
      <x:c r="G208" s="46" t="str">
        <x:v>Large pelagics (&gt;=90 cm)</x:v>
      </x:c>
      <x:c r="H208" s="46" t="str">
        <x:v>Tuna &amp; billfishes</x:v>
      </x:c>
      <x:c r="I208" s="60" t="n">
        <x:v>420.6965125504</x:v>
      </x:c>
      <x:c r="J208" s="60" t="n">
        <x:v>420.6965125504</x:v>
      </x:c>
      <x:c r="K208" s="60" t="n">
        <x:v>0</x:v>
      </x:c>
      <x:c r="L208" s="60" t="n">
        <x:v>418.9615238968</x:v>
      </x:c>
      <x:c r="M208" s="60" t="n">
        <x:v>1.7349886536</x:v>
      </x:c>
      <x:c r="N208" s="46" t="str">
        <x:v>istiophorus albicans</x:v>
      </x:c>
      <x:c r="O208" s="62" t="n">
        <x:v>4.5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Istiophorus albicans</x:v>
      </x:c>
      <x:c r="T208" s="62" t="n">
        <x:f>IF(O208="","",(1/'Metadata'!$B$5)^(O208-1))</x:f>
        <x:v>3162.2776601683795</x:v>
      </x:c>
      <x:c r="U208" s="60" t="n">
        <x:f>IF(T208="","",I208*T208)</x:f>
        <x:v>1330359.1833488762</x:v>
      </x:c>
    </x:row>
    <x:row r="209" ht="18" customHeight="1">
      <x:c r="A209" s="46" t="str">
        <x:v>LME_027</x:v>
      </x:c>
      <x:c r="B209" s="46" t="str">
        <x:v>Canary Current</x:v>
      </x:c>
      <x:c r="C209" s="46" t="str">
        <x:v>LME</x:v>
      </x:c>
      <x:c r="D209" s="58" t="n">
        <x:v>2019</x:v>
      </x:c>
      <x:c r="E209" s="46" t="str">
        <x:v>Hemiramphus brasiliensis</x:v>
      </x:c>
      <x:c r="F209" s="46" t="str">
        <x:v>Ballyhoo halfbeak</x:v>
      </x:c>
      <x:c r="G209" s="46" t="str">
        <x:v>Medium pelagics (30 - 89 cm)</x:v>
      </x:c>
      <x:c r="H209" s="46" t="str">
        <x:v>Other fishes &amp; inverts</x:v>
      </x:c>
      <x:c r="I209" s="60" t="n">
        <x:v>412.5397262474</x:v>
      </x:c>
      <x:c r="J209" s="60" t="n">
        <x:v>412.5397262474</x:v>
      </x:c>
      <x:c r="K209" s="60" t="n">
        <x:v>0</x:v>
      </x:c>
      <x:c r="L209" s="60" t="n">
        <x:v>291.54835119589995</x:v>
      </x:c>
      <x:c r="M209" s="60" t="n">
        <x:v>120.9913750515</x:v>
      </x:c>
      <x:c r="N209" s="46" t="str">
        <x:v>hemiramphus brasiliensis</x:v>
      </x:c>
      <x:c r="O209" s="62" t="n">
        <x:v>2.28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Hemiramphus brasiliensis</x:v>
      </x:c>
      <x:c r="T209" s="62" t="n">
        <x:f>IF(O209="","",(1/'Metadata'!$B$5)^(O209-1))</x:f>
        <x:v>19.054607179632463</x:v>
      </x:c>
      <x:c r="U209" s="60" t="n">
        <x:f>IF(T209="","",I209*T209)</x:f>
        <x:v>7860.782429637318</x:v>
      </x:c>
    </x:row>
    <x:row r="210" ht="18" customHeight="1">
      <x:c r="A210" s="46" t="str">
        <x:v>LME_027</x:v>
      </x:c>
      <x:c r="B210" s="46" t="str">
        <x:v>Canary Current</x:v>
      </x:c>
      <x:c r="C210" s="46" t="str">
        <x:v>LME</x:v>
      </x:c>
      <x:c r="D210" s="58" t="n">
        <x:v>2019</x:v>
      </x:c>
      <x:c r="E210" s="46" t="str">
        <x:v>Apsilus fuscus</x:v>
      </x:c>
      <x:c r="F210" s="46" t="str">
        <x:v>African forktail snapper</x:v>
      </x:c>
      <x:c r="G210" s="46" t="str">
        <x:v>Medium demersals (30 - 89 cm)</x:v>
      </x:c>
      <x:c r="H210" s="46" t="str">
        <x:v>Perch-likes</x:v>
      </x:c>
      <x:c r="I210" s="60" t="n">
        <x:v>408.7488760201</x:v>
      </x:c>
      <x:c r="J210" s="60" t="n">
        <x:v>408.7488760201</x:v>
      </x:c>
      <x:c r="K210" s="60" t="n">
        <x:v>0</x:v>
      </x:c>
      <x:c r="L210" s="60" t="n">
        <x:v>0</x:v>
      </x:c>
      <x:c r="M210" s="60" t="n">
        <x:v>408.7488760201</x:v>
      </x:c>
      <x:c r="N210" s="46" t="str">
        <x:v>apsilus fuscus</x:v>
      </x:c>
      <x:c r="O210" s="62" t="n">
        <x:v>3.99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Apsilus fuscus</x:v>
      </x:c>
      <x:c r="T210" s="62" t="n">
        <x:f>IF(O210="","",(1/'Metadata'!$B$5)^(O210-1))</x:f>
        <x:v>977.2372209558112</x:v>
      </x:c>
      <x:c r="U210" s="60" t="n">
        <x:f>IF(T210="","",I210*T210)</x:f>
        <x:v>399444.6156706939</x:v>
      </x:c>
    </x:row>
    <x:row r="211" ht="18" customHeight="1">
      <x:c r="A211" s="46" t="str">
        <x:v>LME_027</x:v>
      </x:c>
      <x:c r="B211" s="46" t="str">
        <x:v>Canary Current</x:v>
      </x:c>
      <x:c r="C211" s="46" t="str">
        <x:v>LME</x:v>
      </x:c>
      <x:c r="D211" s="58" t="n">
        <x:v>2019</x:v>
      </x:c>
      <x:c r="E211" s="46" t="str">
        <x:v>Hexanchus griseus</x:v>
      </x:c>
      <x:c r="F211" s="46" t="str">
        <x:v>Bluntnose sixgill shark</x:v>
      </x:c>
      <x:c r="G211" s="46" t="str">
        <x:v>Large sharks (&gt;=90 cm)</x:v>
      </x:c>
      <x:c r="H211" s="46" t="str">
        <x:v>Sharks &amp; rays</x:v>
      </x:c>
      <x:c r="I211" s="60" t="n">
        <x:v>402.69829013670005</x:v>
      </x:c>
      <x:c r="J211" s="60" t="n">
        <x:v>402.69829013670005</x:v>
      </x:c>
      <x:c r="K211" s="60" t="n">
        <x:v>0</x:v>
      </x:c>
      <x:c r="L211" s="60" t="n">
        <x:v>44.0546892678</x:v>
      </x:c>
      <x:c r="M211" s="60" t="n">
        <x:v>358.6436008689</x:v>
      </x:c>
      <x:c r="N211" s="46" t="str">
        <x:v>hexanchus griseus</x:v>
      </x:c>
      <x:c r="O211" s="62" t="n">
        <x:v>4.48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Hexanchus griseus</x:v>
      </x:c>
      <x:c r="T211" s="62" t="n">
        <x:f>IF(O211="","",(1/'Metadata'!$B$5)^(O211-1))</x:f>
        <x:v>3019.951720402019</x:v>
      </x:c>
      <x:c r="U211" s="60" t="n">
        <x:f>IF(T211="","",I211*T211)</x:f>
        <x:v>1216129.3941012786</x:v>
      </x:c>
    </x:row>
    <x:row r="212" ht="18" customHeight="1">
      <x:c r="A212" s="46" t="str">
        <x:v>LME_027</x:v>
      </x:c>
      <x:c r="B212" s="46" t="str">
        <x:v>Canary Current</x:v>
      </x:c>
      <x:c r="C212" s="46" t="str">
        <x:v>LME</x:v>
      </x:c>
      <x:c r="D212" s="58" t="n">
        <x:v>2019</x:v>
      </x:c>
      <x:c r="E212" s="46" t="str">
        <x:v>Pseudotolithus senegallus</x:v>
      </x:c>
      <x:c r="F212" s="46" t="str">
        <x:v>Law croaker</x:v>
      </x:c>
      <x:c r="G212" s="46" t="str">
        <x:v>Large demersals (&gt;=90 cm)</x:v>
      </x:c>
      <x:c r="H212" s="46" t="str">
        <x:v>Perch-likes</x:v>
      </x:c>
      <x:c r="I212" s="60" t="n">
        <x:v>398.1626844986</x:v>
      </x:c>
      <x:c r="J212" s="60" t="n">
        <x:v>398.1626844986</x:v>
      </x:c>
      <x:c r="K212" s="60" t="n">
        <x:v>0</x:v>
      </x:c>
      <x:c r="L212" s="60" t="n">
        <x:v>317.0367936857</x:v>
      </x:c>
      <x:c r="M212" s="60" t="n">
        <x:v>81.1258908129</x:v>
      </x:c>
      <x:c r="N212" s="46" t="str">
        <x:v>pseudotolithus senegallus</x:v>
      </x:c>
      <x:c r="O212" s="62" t="n">
        <x:v>3.89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Pseudotolithus senegallus</x:v>
      </x:c>
      <x:c r="T212" s="62" t="n">
        <x:f>IF(O212="","",(1/'Metadata'!$B$5)^(O212-1))</x:f>
        <x:v>776.247116628692</x:v>
      </x:c>
      <x:c r="U212" s="60" t="n">
        <x:f>IF(T212="","",I212*T212)</x:f>
        <x:v>309072.63579117786</x:v>
      </x:c>
    </x:row>
    <x:row r="213" ht="18" customHeight="1">
      <x:c r="A213" s="46" t="str">
        <x:v>LME_027</x:v>
      </x:c>
      <x:c r="B213" s="46" t="str">
        <x:v>Canary Current</x:v>
      </x:c>
      <x:c r="C213" s="46" t="str">
        <x:v>LME</x:v>
      </x:c>
      <x:c r="D213" s="58" t="n">
        <x:v>2019</x:v>
      </x:c>
      <x:c r="E213" s="46" t="str">
        <x:v>Dasyatis</x:v>
      </x:c>
      <x:c r="F213" s="46" t="str">
        <x:v>Rough whip stingrays</x:v>
      </x:c>
      <x:c r="G213" s="46" t="str">
        <x:v>Large rays (&gt;=90 cm)</x:v>
      </x:c>
      <x:c r="H213" s="46" t="str">
        <x:v>Sharks &amp; rays</x:v>
      </x:c>
      <x:c r="I213" s="60" t="n">
        <x:v>390.5134736013</x:v>
      </x:c>
      <x:c r="J213" s="60" t="n">
        <x:v>377.7371203296</x:v>
      </x:c>
      <x:c r="K213" s="60" t="n">
        <x:v>12.776353271700001</x:v>
      </x:c>
      <x:c r="L213" s="60" t="n">
        <x:v>187.1953056253</x:v>
      </x:c>
      <x:c r="M213" s="60" t="n">
        <x:v>203.31816797599998</x:v>
      </x:c>
      <x:c r="N213" s="46" t="str">
        <x:v>dasyatis</x:v>
      </x:c>
      <x:c r="O213" s="62" t="n">
        <x:v>3.28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Dasyatis</x:v>
      </x:c>
      <x:c r="T213" s="62" t="n">
        <x:f>IF(O213="","",(1/'Metadata'!$B$5)^(O213-1))</x:f>
        <x:v>190.54607179632464</x:v>
      </x:c>
      <x:c r="U213" s="60" t="n">
        <x:f>IF(T213="","",I213*T213)</x:f>
        <x:v>74410.80837826544</x:v>
      </x:c>
    </x:row>
    <x:row r="214" ht="18" customHeight="1">
      <x:c r="A214" s="46" t="str">
        <x:v>LME_027</x:v>
      </x:c>
      <x:c r="B214" s="46" t="str">
        <x:v>Canary Current</x:v>
      </x:c>
      <x:c r="C214" s="46" t="str">
        <x:v>LME</x:v>
      </x:c>
      <x:c r="D214" s="58" t="n">
        <x:v>2019</x:v>
      </x:c>
      <x:c r="E214" s="46" t="str">
        <x:v>Dasyatis marmorata</x:v>
      </x:c>
      <x:c r="F214" s="46" t="str">
        <x:v>Marbled stingray</x:v>
      </x:c>
      <x:c r="G214" s="46" t="str">
        <x:v>Small to medium rays (&lt;90 cm)</x:v>
      </x:c>
      <x:c r="H214" s="46" t="str">
        <x:v>Sharks &amp; rays</x:v>
      </x:c>
      <x:c r="I214" s="60" t="n">
        <x:v>390.3812200722</x:v>
      </x:c>
      <x:c r="J214" s="60" t="n">
        <x:v>370.4642203223</x:v>
      </x:c>
      <x:c r="K214" s="60" t="n">
        <x:v>19.9169997499</x:v>
      </x:c>
      <x:c r="L214" s="60" t="n">
        <x:v>306.41552755419997</x:v>
      </x:c>
      <x:c r="M214" s="60" t="n">
        <x:v>83.965692518</x:v>
      </x:c>
      <x:c r="N214" s="46" t="str">
        <x:v>dasyatis marmorata</x:v>
      </x:c>
      <x:c r="O214" s="62" t="n">
        <x:v>3.56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Dasyatis marmorata</x:v>
      </x:c>
      <x:c r="T214" s="62" t="n">
        <x:f>IF(O214="","",(1/'Metadata'!$B$5)^(O214-1))</x:f>
        <x:v>363.0780547701014</x:v>
      </x:c>
      <x:c r="U214" s="60" t="n">
        <x:f>IF(T214="","",I214*T214)</x:f>
        <x:v>141738.85400259323</x:v>
      </x:c>
    </x:row>
    <x:row r="215" ht="18" customHeight="1">
      <x:c r="A215" s="46" t="str">
        <x:v>LME_027</x:v>
      </x:c>
      <x:c r="B215" s="46" t="str">
        <x:v>Canary Current</x:v>
      </x:c>
      <x:c r="C215" s="46" t="str">
        <x:v>LME</x:v>
      </x:c>
      <x:c r="D215" s="58" t="n">
        <x:v>2019</x:v>
      </x:c>
      <x:c r="E215" s="46" t="str">
        <x:v>Pentanemus quinquarius</x:v>
      </x:c>
      <x:c r="F215" s="46" t="str">
        <x:v>Royal threadfin</x:v>
      </x:c>
      <x:c r="G215" s="46" t="str">
        <x:v>Small demersals (&lt;30 cm)</x:v>
      </x:c>
      <x:c r="H215" s="46" t="str">
        <x:v>Perch-likes</x:v>
      </x:c>
      <x:c r="I215" s="60" t="n">
        <x:v>376.2809442392</x:v>
      </x:c>
      <x:c r="J215" s="60" t="n">
        <x:v>376.2809442392</x:v>
      </x:c>
      <x:c r="K215" s="60" t="n">
        <x:v>0</x:v>
      </x:c>
      <x:c r="L215" s="60" t="n">
        <x:v>248.8449154061</x:v>
      </x:c>
      <x:c r="M215" s="60" t="n">
        <x:v>127.4360288331</x:v>
      </x:c>
      <x:c r="N215" s="46" t="str">
        <x:v>pentanemus quinquarius</x:v>
      </x:c>
      <x:c r="O215" s="62" t="n">
        <x:v>3.56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Pentanemus quinquarius</x:v>
      </x:c>
      <x:c r="T215" s="62" t="n">
        <x:f>IF(O215="","",(1/'Metadata'!$B$5)^(O215-1))</x:f>
        <x:v>363.0780547701014</x:v>
      </x:c>
      <x:c r="U215" s="60" t="n">
        <x:f>IF(T215="","",I215*T215)</x:f>
        <x:v>136619.35328142572</x:v>
      </x:c>
    </x:row>
    <x:row r="216" ht="18" customHeight="1">
      <x:c r="A216" s="46" t="str">
        <x:v>LME_027</x:v>
      </x:c>
      <x:c r="B216" s="46" t="str">
        <x:v>Canary Current</x:v>
      </x:c>
      <x:c r="C216" s="46" t="str">
        <x:v>LME</x:v>
      </x:c>
      <x:c r="D216" s="58" t="n">
        <x:v>2019</x:v>
      </x:c>
      <x:c r="E216" s="46" t="str">
        <x:v>Trisopterus luscus</x:v>
      </x:c>
      <x:c r="F216" s="46" t="str">
        <x:v>Pouting</x:v>
      </x:c>
      <x:c r="G216" s="46" t="str">
        <x:v>Medium benthopelagics (30 - 89 cm)</x:v>
      </x:c>
      <x:c r="H216" s="46" t="str">
        <x:v>Cod-likes</x:v>
      </x:c>
      <x:c r="I216" s="60" t="n">
        <x:v>367.7545264481</x:v>
      </x:c>
      <x:c r="J216" s="60" t="n">
        <x:v>367.7545264481</x:v>
      </x:c>
      <x:c r="K216" s="60" t="n">
        <x:v>0</x:v>
      </x:c>
      <x:c r="L216" s="60" t="n">
        <x:v>367.7545264481</x:v>
      </x:c>
      <x:c r="M216" s="60" t="n">
        <x:v>0</x:v>
      </x:c>
      <x:c r="N216" s="46" t="str">
        <x:v>trisopterus luscus</x:v>
      </x:c>
      <x:c r="O216" s="62" t="n">
        <x:v>3.73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Trisopterus luscus</x:v>
      </x:c>
      <x:c r="T216" s="62" t="n">
        <x:f>IF(O216="","",(1/'Metadata'!$B$5)^(O216-1))</x:f>
        <x:v>537.0317963702527</x:v>
      </x:c>
      <x:c r="U216" s="60" t="n">
        <x:f>IF(T216="","",I216*T216)</x:f>
        <x:v>197495.87396171474</x:v>
      </x:c>
    </x:row>
    <x:row r="217" ht="18" customHeight="1">
      <x:c r="A217" s="46" t="str">
        <x:v>LME_027</x:v>
      </x:c>
      <x:c r="B217" s="46" t="str">
        <x:v>Canary Current</x:v>
      </x:c>
      <x:c r="C217" s="46" t="str">
        <x:v>LME</x:v>
      </x:c>
      <x:c r="D217" s="58" t="n">
        <x:v>2019</x:v>
      </x:c>
      <x:c r="E217" s="46" t="str">
        <x:v>Galeorhinus galeus</x:v>
      </x:c>
      <x:c r="F217" s="46" t="str">
        <x:v>Tope shark</x:v>
      </x:c>
      <x:c r="G217" s="46" t="str">
        <x:v>Large sharks (&gt;=90 cm)</x:v>
      </x:c>
      <x:c r="H217" s="46" t="str">
        <x:v>Sharks &amp; rays</x:v>
      </x:c>
      <x:c r="I217" s="60" t="n">
        <x:v>333.7120958444</x:v>
      </x:c>
      <x:c r="J217" s="60" t="n">
        <x:v>333.7120958444</x:v>
      </x:c>
      <x:c r="K217" s="60" t="n">
        <x:v>0</x:v>
      </x:c>
      <x:c r="L217" s="60" t="n">
        <x:v>32.567571092799994</x:v>
      </x:c>
      <x:c r="M217" s="60" t="n">
        <x:v>301.1445247516</x:v>
      </x:c>
      <x:c r="N217" s="46" t="str">
        <x:v>galeorhinus galeus</x:v>
      </x:c>
      <x:c r="O217" s="62" t="n">
        <x:v>4.34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Galeorhinus galeus</x:v>
      </x:c>
      <x:c r="T217" s="62" t="n">
        <x:f>IF(O217="","",(1/'Metadata'!$B$5)^(O217-1))</x:f>
        <x:v>2187.761623949552</x:v>
      </x:c>
      <x:c r="U217" s="60" t="n">
        <x:f>IF(T217="","",I217*T217)</x:f>
        <x:v>730082.516736153</x:v>
      </x:c>
    </x:row>
    <x:row r="218" ht="18" customHeight="1">
      <x:c r="A218" s="46" t="str">
        <x:v>LME_027</x:v>
      </x:c>
      <x:c r="B218" s="46" t="str">
        <x:v>Canary Current</x:v>
      </x:c>
      <x:c r="C218" s="46" t="str">
        <x:v>LME</x:v>
      </x:c>
      <x:c r="D218" s="58" t="n">
        <x:v>2019</x:v>
      </x:c>
      <x:c r="E218" s="46" t="str">
        <x:v>Gymnura altavela</x:v>
      </x:c>
      <x:c r="F218" s="46" t="str">
        <x:v>Spiny butterfly ray</x:v>
      </x:c>
      <x:c r="G218" s="46" t="str">
        <x:v>Large rays (&gt;=90 cm)</x:v>
      </x:c>
      <x:c r="H218" s="46" t="str">
        <x:v>Sharks &amp; rays</x:v>
      </x:c>
      <x:c r="I218" s="60" t="n">
        <x:v>333.2149721572</x:v>
      </x:c>
      <x:c r="J218" s="60" t="n">
        <x:v>316.2145577522</x:v>
      </x:c>
      <x:c r="K218" s="60" t="n">
        <x:v>17.000414405</x:v>
      </x:c>
      <x:c r="L218" s="60" t="n">
        <x:v>261.5449622898</x:v>
      </x:c>
      <x:c r="M218" s="60" t="n">
        <x:v>71.6700098674</x:v>
      </x:c>
      <x:c r="N218" s="46" t="str">
        <x:v>gymnura altavela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Gymnura altavela</x:v>
      </x:c>
      <x:c r="T218" s="62" t="n">
        <x:f>IF(O218="","",(1/'Metadata'!$B$5)^(O218-1))</x:f>
        <x:v>3162.2776601683795</x:v>
      </x:c>
      <x:c r="U218" s="60" t="n">
        <x:f>IF(T218="","",I218*T218)</x:f>
        <x:v>1053718.262486342</x:v>
      </x:c>
    </x:row>
    <x:row r="219" ht="18" customHeight="1">
      <x:c r="A219" s="46" t="str">
        <x:v>LME_027</x:v>
      </x:c>
      <x:c r="B219" s="46" t="str">
        <x:v>Canary Current</x:v>
      </x:c>
      <x:c r="C219" s="46" t="str">
        <x:v>LME</x:v>
      </x:c>
      <x:c r="D219" s="58" t="n">
        <x:v>2019</x:v>
      </x:c>
      <x:c r="E219" s="46" t="str">
        <x:v>Muraena helena</x:v>
      </x:c>
      <x:c r="F219" s="46" t="str">
        <x:v>Mediterranean moray</x:v>
      </x:c>
      <x:c r="G219" s="46" t="str">
        <x:v>Large reef assoc. fish (&gt;=90 cm)</x:v>
      </x:c>
      <x:c r="H219" s="46" t="str">
        <x:v>Other fishes &amp; inverts</x:v>
      </x:c>
      <x:c r="I219" s="60" t="n">
        <x:v>328.7437662466</x:v>
      </x:c>
      <x:c r="J219" s="60" t="n">
        <x:v>314.62630209869997</x:v>
      </x:c>
      <x:c r="K219" s="60" t="n">
        <x:v>14.1174641479</x:v>
      </x:c>
      <x:c r="L219" s="60" t="n">
        <x:v>254.1719296778</x:v>
      </x:c>
      <x:c r="M219" s="60" t="n">
        <x:v>74.5718365688</x:v>
      </x:c>
      <x:c r="N219" s="46" t="str">
        <x:v>muraena helena</x:v>
      </x:c>
      <x:c r="O219" s="62" t="n">
        <x:v>4.18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Muraena helena</x:v>
      </x:c>
      <x:c r="T219" s="62" t="n">
        <x:f>IF(O219="","",(1/'Metadata'!$B$5)^(O219-1))</x:f>
        <x:v>1513.5612484362073</x:v>
      </x:c>
      <x:c r="U219" s="60" t="n">
        <x:f>IF(T219="","",I219*T219)</x:f>
        <x:v>497573.8252558246</x:v>
      </x:c>
    </x:row>
    <x:row r="220" ht="18" customHeight="1">
      <x:c r="A220" s="46" t="str">
        <x:v>LME_027</x:v>
      </x:c>
      <x:c r="B220" s="46" t="str">
        <x:v>Canary Current</x:v>
      </x:c>
      <x:c r="C220" s="46" t="str">
        <x:v>LME</x:v>
      </x:c>
      <x:c r="D220" s="58" t="n">
        <x:v>2019</x:v>
      </x:c>
      <x:c r="E220" s="46" t="str">
        <x:v>Pseudupeneus prayensis</x:v>
      </x:c>
      <x:c r="F220" s="46" t="str">
        <x:v>West African goatfish</x:v>
      </x:c>
      <x:c r="G220" s="46" t="str">
        <x:v>Medium demersals (30 - 89 cm)</x:v>
      </x:c>
      <x:c r="H220" s="46" t="str">
        <x:v>Perch-likes</x:v>
      </x:c>
      <x:c r="I220" s="60" t="n">
        <x:v>326.9121186576</x:v>
      </x:c>
      <x:c r="J220" s="60" t="n">
        <x:v>325.86384906980004</x:v>
      </x:c>
      <x:c r="K220" s="60" t="n">
        <x:v>1.0482695878</x:v>
      </x:c>
      <x:c r="L220" s="60" t="n">
        <x:v>226.4481374085</x:v>
      </x:c>
      <x:c r="M220" s="60" t="n">
        <x:v>100.4639812491</x:v>
      </x:c>
      <x:c r="N220" s="46" t="str">
        <x:v>pseudupeneus prayensis</x:v>
      </x:c>
      <x:c r="O220" s="62" t="n">
        <x:v>3.24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Pseudupeneus prayensis</x:v>
      </x:c>
      <x:c r="T220" s="62" t="n">
        <x:f>IF(O220="","",(1/'Metadata'!$B$5)^(O220-1))</x:f>
        <x:v>173.78008287493762</x:v>
      </x:c>
      <x:c r="U220" s="60" t="n">
        <x:f>IF(T220="","",I220*T220)</x:f>
        <x:v>56810.815073139165</x:v>
      </x:c>
    </x:row>
    <x:row r="221" ht="18" customHeight="1">
      <x:c r="A221" s="46" t="str">
        <x:v>LME_027</x:v>
      </x:c>
      <x:c r="B221" s="46" t="str">
        <x:v>Canary Current</x:v>
      </x:c>
      <x:c r="C221" s="46" t="str">
        <x:v>LME</x:v>
      </x:c>
      <x:c r="D221" s="58" t="n">
        <x:v>2019</x:v>
      </x:c>
      <x:c r="E221" s="46" t="str">
        <x:v>Gadiformes</x:v>
      </x:c>
      <x:c r="F221" s="46" t="str">
        <x:v>Cods</x:v>
      </x:c>
      <x:c r="G221" s="46" t="str">
        <x:v>Medium benthopelagics (30 - 89 cm)</x:v>
      </x:c>
      <x:c r="H221" s="46" t="str">
        <x:v>Cod-likes</x:v>
      </x:c>
      <x:c r="I221" s="60" t="n">
        <x:v>315.1310299191</x:v>
      </x:c>
      <x:c r="J221" s="60" t="n">
        <x:v>296.56023315929997</x:v>
      </x:c>
      <x:c r="K221" s="60" t="n">
        <x:v>18.5707967598</x:v>
      </x:c>
      <x:c r="L221" s="60" t="n">
        <x:v>296.56023315929997</x:v>
      </x:c>
      <x:c r="M221" s="60" t="n">
        <x:v>18.5707967598</x:v>
      </x:c>
      <x:c r="N221" s="46" t="str">
        <x:v>gadiformes</x:v>
      </x:c>
      <x:c r="O221" s="62" t="n">
        <x:v>3.91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Gadiformes</x:v>
      </x:c>
      <x:c r="T221" s="62" t="n">
        <x:f>IF(O221="","",(1/'Metadata'!$B$5)^(O221-1))</x:f>
        <x:v>812.8305161640995</x:v>
      </x:c>
      <x:c r="U221" s="60" t="n">
        <x:f>IF(T221="","",I221*T221)</x:f>
        <x:v>256148.11770846637</x:v>
      </x:c>
    </x:row>
    <x:row r="222" ht="18" customHeight="1">
      <x:c r="A222" s="46" t="str">
        <x:v>LME_027</x:v>
      </x:c>
      <x:c r="B222" s="46" t="str">
        <x:v>Canary Current</x:v>
      </x:c>
      <x:c r="C222" s="46" t="str">
        <x:v>LME</x:v>
      </x:c>
      <x:c r="D222" s="58" t="n">
        <x:v>2019</x:v>
      </x:c>
      <x:c r="E222" s="46" t="str">
        <x:v>Polyprion americanus</x:v>
      </x:c>
      <x:c r="F222" s="46" t="str">
        <x:v>Wreckfish</x:v>
      </x:c>
      <x:c r="G222" s="46" t="str">
        <x:v>Large bathydemersals (&gt;=90 cm)</x:v>
      </x:c>
      <x:c r="H222" s="46" t="str">
        <x:v>Perch-likes</x:v>
      </x:c>
      <x:c r="I222" s="60" t="n">
        <x:v>314.12218483770005</x:v>
      </x:c>
      <x:c r="J222" s="60" t="n">
        <x:v>314.12218483770005</x:v>
      </x:c>
      <x:c r="K222" s="60" t="n">
        <x:v>0</x:v>
      </x:c>
      <x:c r="L222" s="60" t="n">
        <x:v>15.0650356711</x:v>
      </x:c>
      <x:c r="M222" s="60" t="n">
        <x:v>299.0571491666</x:v>
      </x:c>
      <x:c r="N222" s="46" t="str">
        <x:v>polyprion americanus</x:v>
      </x:c>
      <x:c r="O222" s="62" t="n">
        <x:v>4.14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Polyprion americanus</x:v>
      </x:c>
      <x:c r="T222" s="62" t="n">
        <x:f>IF(O222="","",(1/'Metadata'!$B$5)^(O222-1))</x:f>
        <x:v>1380.3842646028838</x:v>
      </x:c>
      <x:c r="U222" s="60" t="n">
        <x:f>IF(T222="","",I222*T222)</x:f>
        <x:v>433609.32111263974</x:v>
      </x:c>
    </x:row>
    <x:row r="223" ht="18" customHeight="1">
      <x:c r="A223" s="46" t="str">
        <x:v>LME_027</x:v>
      </x:c>
      <x:c r="B223" s="46" t="str">
        <x:v>Canary Current</x:v>
      </x:c>
      <x:c r="C223" s="46" t="str">
        <x:v>LME</x:v>
      </x:c>
      <x:c r="D223" s="58" t="n">
        <x:v>2019</x:v>
      </x:c>
      <x:c r="E223" s="46" t="str">
        <x:v>Gadidae</x:v>
      </x:c>
      <x:c r="F223" s="46" t="str">
        <x:v>Cods, haddocks</x:v>
      </x:c>
      <x:c r="G223" s="46" t="str">
        <x:v>Medium demersals (30 - 89 cm)</x:v>
      </x:c>
      <x:c r="H223" s="46" t="str">
        <x:v>Cod-likes</x:v>
      </x:c>
      <x:c r="I223" s="60" t="n">
        <x:v>311.7454601591</x:v>
      </x:c>
      <x:c r="J223" s="60" t="n">
        <x:v>311.7454601591</x:v>
      </x:c>
      <x:c r="K223" s="60" t="n">
        <x:v>0</x:v>
      </x:c>
      <x:c r="L223" s="60" t="n">
        <x:v>0</x:v>
      </x:c>
      <x:c r="M223" s="60" t="n">
        <x:v>311.7454601591</x:v>
      </x:c>
      <x:c r="N223" s="46" t="str">
        <x:v>gadidae</x:v>
      </x:c>
      <x:c r="O223" s="62" t="n">
        <x:v>3.84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Gadidae</x:v>
      </x:c>
      <x:c r="T223" s="62" t="n">
        <x:f>IF(O223="","",(1/'Metadata'!$B$5)^(O223-1))</x:f>
        <x:v>691.8309709189363</x:v>
      </x:c>
      <x:c r="U223" s="60" t="n">
        <x:f>IF(T223="","",I223*T223)</x:f>
        <x:v>215675.1643814407</x:v>
      </x:c>
    </x:row>
    <x:row r="224" ht="18" customHeight="1">
      <x:c r="A224" s="46" t="str">
        <x:v>LME_027</x:v>
      </x:c>
      <x:c r="B224" s="46" t="str">
        <x:v>Canary Current</x:v>
      </x:c>
      <x:c r="C224" s="46" t="str">
        <x:v>LME</x:v>
      </x:c>
      <x:c r="D224" s="58" t="n">
        <x:v>2019</x:v>
      </x:c>
      <x:c r="E224" s="46" t="str">
        <x:v>Scaridae</x:v>
      </x:c>
      <x:c r="F224" s="46" t="str">
        <x:v>Parrotfishes</x:v>
      </x:c>
      <x:c r="G224" s="46" t="str">
        <x:v>Medium reef assoc. fish (30 - 89 cm)</x:v>
      </x:c>
      <x:c r="H224" s="46" t="str">
        <x:v>Perch-likes</x:v>
      </x:c>
      <x:c r="I224" s="60" t="n">
        <x:v>307.1771933389</x:v>
      </x:c>
      <x:c r="J224" s="60" t="n">
        <x:v>307.1771933389</x:v>
      </x:c>
      <x:c r="K224" s="60" t="n">
        <x:v>0</x:v>
      </x:c>
      <x:c r="L224" s="60" t="n">
        <x:v>297.9069417403</x:v>
      </x:c>
      <x:c r="M224" s="60" t="n">
        <x:v>9.2702515986</x:v>
      </x:c>
      <x:c r="N224" s="46" t="str">
        <x:v>scaridae</x:v>
      </x:c>
      <x:c r="O224" s="62" t="n">
        <x:v>2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Scaridae</x:v>
      </x:c>
      <x:c r="T224" s="62" t="n">
        <x:f>IF(O224="","",(1/'Metadata'!$B$5)^(O224-1))</x:f>
        <x:v>10</x:v>
      </x:c>
      <x:c r="U224" s="60" t="n">
        <x:f>IF(T224="","",I224*T224)</x:f>
        <x:v>3071.771933389</x:v>
      </x:c>
    </x:row>
    <x:row r="225" ht="18" customHeight="1">
      <x:c r="A225" s="46" t="str">
        <x:v>LME_027</x:v>
      </x:c>
      <x:c r="B225" s="46" t="str">
        <x:v>Canary Current</x:v>
      </x:c>
      <x:c r="C225" s="46" t="str">
        <x:v>LME</x:v>
      </x:c>
      <x:c r="D225" s="58" t="n">
        <x:v>2019</x:v>
      </x:c>
      <x:c r="E225" s="46" t="str">
        <x:v>Thalassoma pavo</x:v>
      </x:c>
      <x:c r="F225" s="46" t="str">
        <x:v>Ornate wrasse</x:v>
      </x:c>
      <x:c r="G225" s="46" t="str">
        <x:v>Small reef assoc. fish (&lt;30 cm)</x:v>
      </x:c>
      <x:c r="H225" s="46" t="str">
        <x:v>Perch-likes</x:v>
      </x:c>
      <x:c r="I225" s="60" t="n">
        <x:v>296.5974563939</x:v>
      </x:c>
      <x:c r="J225" s="60" t="n">
        <x:v>296.5974563939</x:v>
      </x:c>
      <x:c r="K225" s="60" t="n">
        <x:v>0</x:v>
      </x:c>
      <x:c r="L225" s="60" t="n">
        <x:v>0</x:v>
      </x:c>
      <x:c r="M225" s="60" t="n">
        <x:v>296.5974563939</x:v>
      </x:c>
      <x:c r="N225" s="46" t="str">
        <x:v>thalassoma pavo</x:v>
      </x:c>
      <x:c r="O225" s="62" t="n">
        <x:v>3.5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Thalassoma pavo</x:v>
      </x:c>
      <x:c r="T225" s="62" t="n">
        <x:f>IF(O225="","",(1/'Metadata'!$B$5)^(O225-1))</x:f>
        <x:v>316.22776601683796</x:v>
      </x:c>
      <x:c r="U225" s="60" t="n">
        <x:f>IF(T225="","",I225*T225)</x:f>
        <x:v>93792.35104171952</x:v>
      </x:c>
    </x:row>
    <x:row r="226" ht="18" customHeight="1">
      <x:c r="A226" s="46" t="str">
        <x:v>LME_027</x:v>
      </x:c>
      <x:c r="B226" s="46" t="str">
        <x:v>Canary Current</x:v>
      </x:c>
      <x:c r="C226" s="46" t="str">
        <x:v>LME</x:v>
      </x:c>
      <x:c r="D226" s="58" t="n">
        <x:v>2019</x:v>
      </x:c>
      <x:c r="E226" s="46" t="str">
        <x:v>Carcharhinus</x:v>
      </x:c>
      <x:c r="F226" s="46" t="str">
        <x:v>Sharp-nosed sharks</x:v>
      </x:c>
      <x:c r="G226" s="46" t="str">
        <x:v>Large sharks (&gt;=90 cm)</x:v>
      </x:c>
      <x:c r="H226" s="46" t="str">
        <x:v>Sharks &amp; rays</x:v>
      </x:c>
      <x:c r="I226" s="60" t="n">
        <x:v>295.15783952460004</x:v>
      </x:c>
      <x:c r="J226" s="60" t="n">
        <x:v>280.1626694766</x:v>
      </x:c>
      <x:c r="K226" s="60" t="n">
        <x:v>14.995170048</x:v>
      </x:c>
      <x:c r="L226" s="60" t="n">
        <x:v>230.7163383186</x:v>
      </x:c>
      <x:c r="M226" s="60" t="n">
        <x:v>64.441501206</x:v>
      </x:c>
      <x:c r="N226" s="46" t="str">
        <x:v>carcharhinus</x:v>
      </x:c>
      <x:c r="O226" s="62" t="n">
        <x:v>4.26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Carcharhinus</x:v>
      </x:c>
      <x:c r="T226" s="62" t="n">
        <x:f>IF(O226="","",(1/'Metadata'!$B$5)^(O226-1))</x:f>
        <x:v>1819.7008586099826</x:v>
      </x:c>
      <x:c r="U226" s="60" t="n">
        <x:f>IF(T226="","",I226*T226)</x:f>
        <x:v>537098.9740083822</x:v>
      </x:c>
    </x:row>
    <x:row r="227" ht="18" customHeight="1">
      <x:c r="A227" s="46" t="str">
        <x:v>LME_027</x:v>
      </x:c>
      <x:c r="B227" s="46" t="str">
        <x:v>Canary Current</x:v>
      </x:c>
      <x:c r="C227" s="46" t="str">
        <x:v>LME</x:v>
      </x:c>
      <x:c r="D227" s="58" t="n">
        <x:v>2019</x:v>
      </x:c>
      <x:c r="E227" s="46" t="str">
        <x:v>Argentina sphyraena</x:v>
      </x:c>
      <x:c r="F227" s="46" t="str">
        <x:v>European argentine</x:v>
      </x:c>
      <x:c r="G227" s="46" t="str">
        <x:v>Medium pelagics (30 - 89 cm)</x:v>
      </x:c>
      <x:c r="H227" s="46" t="str">
        <x:v>Salmon, smelts, etc</x:v>
      </x:c>
      <x:c r="I227" s="60" t="n">
        <x:v>288.3642016095</x:v>
      </x:c>
      <x:c r="J227" s="60" t="n">
        <x:v>288.3642016095</x:v>
      </x:c>
      <x:c r="K227" s="60" t="n">
        <x:v>0</x:v>
      </x:c>
      <x:c r="L227" s="60" t="n">
        <x:v>288.3642016095</x:v>
      </x:c>
      <x:c r="M227" s="60" t="n">
        <x:v>0</x:v>
      </x:c>
      <x:c r="N227" s="46" t="str">
        <x:v>argentina sphyraena</x:v>
      </x:c>
      <x:c r="O227" s="62" t="n">
        <x:v>3.62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Argentina sphyraena</x:v>
      </x:c>
      <x:c r="T227" s="62" t="n">
        <x:f>IF(O227="","",(1/'Metadata'!$B$5)^(O227-1))</x:f>
        <x:v>416.8693834703355</x:v>
      </x:c>
      <x:c r="U227" s="60" t="n">
        <x:f>IF(T227="","",I227*T227)</x:f>
        <x:v>120210.2069398678</x:v>
      </x:c>
    </x:row>
    <x:row r="228" ht="18" customHeight="1">
      <x:c r="A228" s="46" t="str">
        <x:v>LME_027</x:v>
      </x:c>
      <x:c r="B228" s="46" t="str">
        <x:v>Canary Current</x:v>
      </x:c>
      <x:c r="C228" s="46" t="str">
        <x:v>LME</x:v>
      </x:c>
      <x:c r="D228" s="58" t="n">
        <x:v>2019</x:v>
      </x:c>
      <x:c r="E228" s="46" t="str">
        <x:v>Phycis phycis</x:v>
      </x:c>
      <x:c r="F228" s="46" t="str">
        <x:v>Forkbeard</x:v>
      </x:c>
      <x:c r="G228" s="46" t="str">
        <x:v>Medium benthopelagics (30 - 89 cm)</x:v>
      </x:c>
      <x:c r="H228" s="46" t="str">
        <x:v>Cod-likes</x:v>
      </x:c>
      <x:c r="I228" s="60" t="n">
        <x:v>277.389013872</x:v>
      </x:c>
      <x:c r="J228" s="60" t="n">
        <x:v>277.389013872</x:v>
      </x:c>
      <x:c r="K228" s="60" t="n">
        <x:v>0</x:v>
      </x:c>
      <x:c r="L228" s="60" t="n">
        <x:v>277.389013872</x:v>
      </x:c>
      <x:c r="M228" s="60" t="n">
        <x:v>0</x:v>
      </x:c>
      <x:c r="N228" s="46" t="str">
        <x:v>phycis phycis</x:v>
      </x:c>
      <x:c r="O228" s="62" t="n">
        <x:v>4.25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Phycis phycis</x:v>
      </x:c>
      <x:c r="T228" s="62" t="n">
        <x:f>IF(O228="","",(1/'Metadata'!$B$5)^(O228-1))</x:f>
        <x:v>1778.2794100389228</x:v>
      </x:c>
      <x:c r="U228" s="60" t="n">
        <x:f>IF(T228="","",I228*T228)</x:f>
        <x:v>493275.1719395788</x:v>
      </x:c>
    </x:row>
    <x:row r="229" ht="18" customHeight="1">
      <x:c r="A229" s="46" t="str">
        <x:v>LME_027</x:v>
      </x:c>
      <x:c r="B229" s="46" t="str">
        <x:v>Canary Current</x:v>
      </x:c>
      <x:c r="C229" s="46" t="str">
        <x:v>LME</x:v>
      </x:c>
      <x:c r="D229" s="58" t="n">
        <x:v>2019</x:v>
      </x:c>
      <x:c r="E229" s="46" t="str">
        <x:v>Pagrus auriga</x:v>
      </x:c>
      <x:c r="F229" s="46" t="str">
        <x:v>Redbanded seabream</x:v>
      </x:c>
      <x:c r="G229" s="46" t="str">
        <x:v>Medium benthopelagics (30 - 89 cm)</x:v>
      </x:c>
      <x:c r="H229" s="46" t="str">
        <x:v>Perch-likes</x:v>
      </x:c>
      <x:c r="I229" s="60" t="n">
        <x:v>268.8619996144</x:v>
      </x:c>
      <x:c r="J229" s="60" t="n">
        <x:v>268.8619996144</x:v>
      </x:c>
      <x:c r="K229" s="60" t="n">
        <x:v>0</x:v>
      </x:c>
      <x:c r="L229" s="60" t="n">
        <x:v>33.3932864286</x:v>
      </x:c>
      <x:c r="M229" s="60" t="n">
        <x:v>235.4687131858</x:v>
      </x:c>
      <x:c r="N229" s="46" t="str">
        <x:v>pagrus auriga</x:v>
      </x:c>
      <x:c r="O229" s="62" t="n">
        <x:v>3.84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Pagrus auriga</x:v>
      </x:c>
      <x:c r="T229" s="62" t="n">
        <x:f>IF(O229="","",(1/'Metadata'!$B$5)^(O229-1))</x:f>
        <x:v>691.8309709189363</x:v>
      </x:c>
      <x:c r="U229" s="60" t="n">
        <x:f>IF(T229="","",I229*T229)</x:f>
        <x:v>186007.05823643703</x:v>
      </x:c>
    </x:row>
    <x:row r="230" ht="18" customHeight="1">
      <x:c r="A230" s="46" t="str">
        <x:v>LME_027</x:v>
      </x:c>
      <x:c r="B230" s="46" t="str">
        <x:v>Canary Current</x:v>
      </x:c>
      <x:c r="C230" s="46" t="str">
        <x:v>LME</x:v>
      </x:c>
      <x:c r="D230" s="58" t="n">
        <x:v>2019</x:v>
      </x:c>
      <x:c r="E230" s="46" t="str">
        <x:v>Pteroscion peli</x:v>
      </x:c>
      <x:c r="F230" s="46" t="str">
        <x:v>Boe drum</x:v>
      </x:c>
      <x:c r="G230" s="46" t="str">
        <x:v>Medium benthopelagics (30 - 89 cm)</x:v>
      </x:c>
      <x:c r="H230" s="46" t="str">
        <x:v>Perch-likes</x:v>
      </x:c>
      <x:c r="I230" s="60" t="n">
        <x:v>266.8433587364</x:v>
      </x:c>
      <x:c r="J230" s="60" t="n">
        <x:v>266.8433587364</x:v>
      </x:c>
      <x:c r="K230" s="60" t="n">
        <x:v>0</x:v>
      </x:c>
      <x:c r="L230" s="60" t="n">
        <x:v>189.8871435337</x:v>
      </x:c>
      <x:c r="M230" s="60" t="n">
        <x:v>76.95621520270001</x:v>
      </x:c>
      <x:c r="N230" s="46" t="str">
        <x:v>pteroscion peli</x:v>
      </x:c>
      <x:c r="O230" s="62" t="n">
        <x:v>3.56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Pteroscion peli</x:v>
      </x:c>
      <x:c r="T230" s="62" t="n">
        <x:f>IF(O230="","",(1/'Metadata'!$B$5)^(O230-1))</x:f>
        <x:v>363.0780547701014</x:v>
      </x:c>
      <x:c r="U230" s="60" t="n">
        <x:f>IF(T230="","",I230*T230)</x:f>
        <x:v>96884.96761833245</x:v>
      </x:c>
    </x:row>
    <x:row r="231" ht="18" customHeight="1">
      <x:c r="A231" s="46" t="str">
        <x:v>LME_027</x:v>
      </x:c>
      <x:c r="B231" s="46" t="str">
        <x:v>Canary Current</x:v>
      </x:c>
      <x:c r="C231" s="46" t="str">
        <x:v>LME</x:v>
      </x:c>
      <x:c r="D231" s="58" t="n">
        <x:v>2019</x:v>
      </x:c>
      <x:c r="E231" s="46" t="str">
        <x:v>Glaucostegus cemiculus</x:v>
      </x:c>
      <x:c r="F231" s="46" t="str">
        <x:v>Blackchin guitarfish</x:v>
      </x:c>
      <x:c r="G231" s="46" t="str">
        <x:v>Large rays (&gt;=90 cm)</x:v>
      </x:c>
      <x:c r="H231" s="46" t="str">
        <x:v>Sharks &amp; rays</x:v>
      </x:c>
      <x:c r="I231" s="60" t="n">
        <x:v>263.1093641553</x:v>
      </x:c>
      <x:c r="J231" s="60" t="n">
        <x:v>263.1093641553</x:v>
      </x:c>
      <x:c r="K231" s="60" t="n">
        <x:v>0</x:v>
      </x:c>
      <x:c r="L231" s="60" t="n">
        <x:v>0</x:v>
      </x:c>
      <x:c r="M231" s="60" t="n">
        <x:v>263.1093641553</x:v>
      </x:c>
      <x:c r="N231" s="46" t="str">
        <x:v>glaucostegus cemiculus</x:v>
      </x:c>
      <x:c r="O231" s="62" t="n">
        <x:v>4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Glaucostegus cemiculus</x:v>
      </x:c>
      <x:c r="T231" s="62" t="n">
        <x:f>IF(O231="","",(1/'Metadata'!$B$5)^(O231-1))</x:f>
        <x:v>1000</x:v>
      </x:c>
      <x:c r="U231" s="60" t="n">
        <x:f>IF(T231="","",I231*T231)</x:f>
        <x:v>263109.3641553</x:v>
      </x:c>
    </x:row>
    <x:row r="232" ht="18" customHeight="1">
      <x:c r="A232" s="46" t="str">
        <x:v>LME_027</x:v>
      </x:c>
      <x:c r="B232" s="46" t="str">
        <x:v>Canary Current</x:v>
      </x:c>
      <x:c r="C232" s="46" t="str">
        <x:v>LME</x:v>
      </x:c>
      <x:c r="D232" s="58" t="n">
        <x:v>2019</x:v>
      </x:c>
      <x:c r="E232" s="46" t="str">
        <x:v>Kajikia albida</x:v>
      </x:c>
      <x:c r="F232" s="46" t="str">
        <x:v>Atlantic white marlin</x:v>
      </x:c>
      <x:c r="G232" s="46" t="str">
        <x:v>Large pelagics (&gt;=90 cm)</x:v>
      </x:c>
      <x:c r="H232" s="46" t="str">
        <x:v>Tuna &amp; billfishes</x:v>
      </x:c>
      <x:c r="I232" s="60" t="n">
        <x:v>250.1825010146</x:v>
      </x:c>
      <x:c r="J232" s="60" t="n">
        <x:v>250.1825010146</x:v>
      </x:c>
      <x:c r="K232" s="60" t="n">
        <x:v>0</x:v>
      </x:c>
      <x:c r="L232" s="60" t="n">
        <x:v>1.0113469496</x:v>
      </x:c>
      <x:c r="M232" s="60" t="n">
        <x:v>249.171154065</x:v>
      </x:c>
      <x:c r="N232" s="46" t="str">
        <x:v>kajikia albida</x:v>
      </x:c>
      <x:c r="O232" s="62" t="n">
        <x:v>4.49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Kajikia albida</x:v>
      </x:c>
      <x:c r="T232" s="62" t="n">
        <x:f>IF(O232="","",(1/'Metadata'!$B$5)^(O232-1))</x:f>
        <x:v>3090.295432513592</x:v>
      </x:c>
      <x:c r="U232" s="60" t="n">
        <x:f>IF(T232="","",I232*T232)</x:f>
        <x:v>773137.8401802455</x:v>
      </x:c>
    </x:row>
    <x:row r="233" ht="18" customHeight="1">
      <x:c r="A233" s="46" t="str">
        <x:v>LME_027</x:v>
      </x:c>
      <x:c r="B233" s="46" t="str">
        <x:v>Canary Current</x:v>
      </x:c>
      <x:c r="C233" s="46" t="str">
        <x:v>LME</x:v>
      </x:c>
      <x:c r="D233" s="58" t="n">
        <x:v>2019</x:v>
      </x:c>
      <x:c r="E233" s="46" t="str">
        <x:v>Tetraodontidae</x:v>
      </x:c>
      <x:c r="F233" s="46" t="str">
        <x:v>Puffers, tobies</x:v>
      </x:c>
      <x:c r="G233" s="46" t="str">
        <x:v>Large reef assoc. fish (&gt;=90 cm)</x:v>
      </x:c>
      <x:c r="H233" s="46" t="str">
        <x:v>Other fishes &amp; inverts</x:v>
      </x:c>
      <x:c r="I233" s="60" t="n">
        <x:v>245.93889304729998</x:v>
      </x:c>
      <x:c r="J233" s="60" t="n">
        <x:v>236.4678781919</x:v>
      </x:c>
      <x:c r="K233" s="60" t="n">
        <x:v>9.4710148554</x:v>
      </x:c>
      <x:c r="L233" s="60" t="n">
        <x:v>205.0634643314</x:v>
      </x:c>
      <x:c r="M233" s="60" t="n">
        <x:v>40.8754287159</x:v>
      </x:c>
      <x:c r="N233" s="46" t="str">
        <x:v>tetraodontidae</x:v>
      </x:c>
      <x:c r="O233" s="62" t="n">
        <x:v>3.5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Tetraodontidae</x:v>
      </x:c>
      <x:c r="T233" s="62" t="n">
        <x:f>IF(O233="","",(1/'Metadata'!$B$5)^(O233-1))</x:f>
        <x:v>316.22776601683796</x:v>
      </x:c>
      <x:c r="U233" s="60" t="n">
        <x:f>IF(T233="","",I233*T233)</x:f>
        <x:v>77772.70672500171</x:v>
      </x:c>
    </x:row>
    <x:row r="234" ht="18" customHeight="1">
      <x:c r="A234" s="46" t="str">
        <x:v>LME_027</x:v>
      </x:c>
      <x:c r="B234" s="46" t="str">
        <x:v>Canary Current</x:v>
      </x:c>
      <x:c r="C234" s="46" t="str">
        <x:v>LME</x:v>
      </x:c>
      <x:c r="D234" s="58" t="n">
        <x:v>2019</x:v>
      </x:c>
      <x:c r="E234" s="46" t="str">
        <x:v>Sphyrnidae</x:v>
      </x:c>
      <x:c r="F234" s="46" t="str">
        <x:v>Hammer, bonnet, scoophead sharks</x:v>
      </x:c>
      <x:c r="G234" s="46" t="str">
        <x:v>Large sharks (&gt;=90 cm)</x:v>
      </x:c>
      <x:c r="H234" s="46" t="str">
        <x:v>Sharks &amp; rays</x:v>
      </x:c>
      <x:c r="I234" s="60" t="n">
        <x:v>228.8481038834</x:v>
      </x:c>
      <x:c r="J234" s="60" t="n">
        <x:v>228.8481038834</x:v>
      </x:c>
      <x:c r="K234" s="60" t="n">
        <x:v>0</x:v>
      </x:c>
      <x:c r="L234" s="60" t="n">
        <x:v>228.8481038834</x:v>
      </x:c>
      <x:c r="M234" s="60" t="n">
        <x:v>0</x:v>
      </x:c>
      <x:c r="N234" s="46" t="str">
        <x:v>sphyrnidae</x:v>
      </x:c>
      <x:c r="O234" s="62" t="n">
        <x:v>4.19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Sphyrnidae</x:v>
      </x:c>
      <x:c r="T234" s="62" t="n">
        <x:f>IF(O234="","",(1/'Metadata'!$B$5)^(O234-1))</x:f>
        <x:v>1548.8166189124827</x:v>
      </x:c>
      <x:c r="U234" s="60" t="n">
        <x:f>IF(T234="","",I234*T234)</x:f>
        <x:v>354443.74650122016</x:v>
      </x:c>
    </x:row>
    <x:row r="235" ht="18" customHeight="1">
      <x:c r="A235" s="46" t="str">
        <x:v>LME_027</x:v>
      </x:c>
      <x:c r="B235" s="46" t="str">
        <x:v>Canary Current</x:v>
      </x:c>
      <x:c r="C235" s="46" t="str">
        <x:v>LME</x:v>
      </x:c>
      <x:c r="D235" s="58" t="n">
        <x:v>2019</x:v>
      </x:c>
      <x:c r="E235" s="46" t="str">
        <x:v>Lethrinus atlanticus</x:v>
      </x:c>
      <x:c r="F235" s="46" t="str">
        <x:v>Atlantic emperor</x:v>
      </x:c>
      <x:c r="G235" s="46" t="str">
        <x:v>Medium reef assoc. fish (30 - 89 cm)</x:v>
      </x:c>
      <x:c r="H235" s="46" t="str">
        <x:v>Perch-likes</x:v>
      </x:c>
      <x:c r="I235" s="60" t="n">
        <x:v>221.37624978219998</x:v>
      </x:c>
      <x:c r="J235" s="60" t="n">
        <x:v>221.37624978219998</x:v>
      </x:c>
      <x:c r="K235" s="60" t="n">
        <x:v>0</x:v>
      </x:c>
      <x:c r="L235" s="60" t="n">
        <x:v>53.2887902691</x:v>
      </x:c>
      <x:c r="M235" s="60" t="n">
        <x:v>168.08745951310001</x:v>
      </x:c>
      <x:c r="N235" s="46" t="str">
        <x:v>lethrinus atlanticus</x:v>
      </x:c>
      <x:c r="O235" s="62" t="n">
        <x:v>3.54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Lethrinus atlanticus</x:v>
      </x:c>
      <x:c r="T235" s="62" t="n">
        <x:f>IF(O235="","",(1/'Metadata'!$B$5)^(O235-1))</x:f>
        <x:v>346.73685045253166</x:v>
      </x:c>
      <x:c r="U235" s="60" t="n">
        <x:f>IF(T235="","",I235*T235)</x:f>
        <x:v>76759.30361447297</x:v>
      </x:c>
    </x:row>
    <x:row r="236" ht="18" customHeight="1">
      <x:c r="A236" s="46" t="str">
        <x:v>LME_027</x:v>
      </x:c>
      <x:c r="B236" s="46" t="str">
        <x:v>Canary Current</x:v>
      </x:c>
      <x:c r="C236" s="46" t="str">
        <x:v>LME</x:v>
      </x:c>
      <x:c r="D236" s="58" t="n">
        <x:v>2019</x:v>
      </x:c>
      <x:c r="E236" s="46" t="str">
        <x:v>Decapterus</x:v>
      </x:c>
      <x:c r="F236" s="46" t="str">
        <x:v>Scads</x:v>
      </x:c>
      <x:c r="G236" s="46" t="str">
        <x:v>Medium pelagics (30 - 89 cm)</x:v>
      </x:c>
      <x:c r="H236" s="46" t="str">
        <x:v>Perch-likes</x:v>
      </x:c>
      <x:c r="I236" s="60" t="n">
        <x:v>215.5240975754</x:v>
      </x:c>
      <x:c r="J236" s="60" t="n">
        <x:v>215.5240975754</x:v>
      </x:c>
      <x:c r="K236" s="60" t="n">
        <x:v>0</x:v>
      </x:c>
      <x:c r="L236" s="60" t="n">
        <x:v>0</x:v>
      </x:c>
      <x:c r="M236" s="60" t="n">
        <x:v>215.5240975754</x:v>
      </x:c>
      <x:c r="N236" s="46" t="str">
        <x:v>decapterus</x:v>
      </x:c>
      <x:c r="O236" s="62" t="n">
        <x:v>3.63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Decapterus</x:v>
      </x:c>
      <x:c r="T236" s="62" t="n">
        <x:f>IF(O236="","",(1/'Metadata'!$B$5)^(O236-1))</x:f>
        <x:v>426.57951880159254</x:v>
      </x:c>
      <x:c r="U236" s="60" t="n">
        <x:f>IF(T236="","",I236*T236)</x:f>
        <x:v>91938.16583386161</x:v>
      </x:c>
    </x:row>
    <x:row r="237" ht="18" customHeight="1">
      <x:c r="A237" s="46" t="str">
        <x:v>LME_027</x:v>
      </x:c>
      <x:c r="B237" s="46" t="str">
        <x:v>Canary Current</x:v>
      </x:c>
      <x:c r="C237" s="46" t="str">
        <x:v>LME</x:v>
      </x:c>
      <x:c r="D237" s="58" t="n">
        <x:v>2019</x:v>
      </x:c>
      <x:c r="E237" s="46" t="str">
        <x:v>Bothus podas</x:v>
      </x:c>
      <x:c r="F237" s="46" t="str">
        <x:v>Wide-eyed flounder</x:v>
      </x:c>
      <x:c r="G237" s="46" t="str">
        <x:v>Small to medium flatfishes (&lt;90 cm)</x:v>
      </x:c>
      <x:c r="H237" s="46" t="str">
        <x:v>Flatfishes</x:v>
      </x:c>
      <x:c r="I237" s="60" t="n">
        <x:v>212.2420690461</x:v>
      </x:c>
      <x:c r="J237" s="60" t="n">
        <x:v>212.2420690461</x:v>
      </x:c>
      <x:c r="K237" s="60" t="n">
        <x:v>0</x:v>
      </x:c>
      <x:c r="L237" s="60" t="n">
        <x:v>102.8095533603</x:v>
      </x:c>
      <x:c r="M237" s="60" t="n">
        <x:v>109.43251568580001</x:v>
      </x:c>
      <x:c r="N237" s="46" t="str">
        <x:v>bothus podas</x:v>
      </x:c>
      <x:c r="O237" s="62" t="n">
        <x:v>3.37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Bothus podas</x:v>
      </x:c>
      <x:c r="T237" s="62" t="n">
        <x:f>IF(O237="","",(1/'Metadata'!$B$5)^(O237-1))</x:f>
        <x:v>234.42288153199226</x:v>
      </x:c>
      <x:c r="U237" s="60" t="n">
        <x:f>IF(T237="","",I237*T237)</x:f>
        <x:v>49754.39740809882</x:v>
      </x:c>
    </x:row>
    <x:row r="238" ht="18" customHeight="1">
      <x:c r="A238" s="46" t="str">
        <x:v>LME_027</x:v>
      </x:c>
      <x:c r="B238" s="46" t="str">
        <x:v>Canary Current</x:v>
      </x:c>
      <x:c r="C238" s="46" t="str">
        <x:v>LME</x:v>
      </x:c>
      <x:c r="D238" s="58" t="n">
        <x:v>2019</x:v>
      </x:c>
      <x:c r="E238" s="46" t="str">
        <x:v>Aristeus varidens</x:v>
      </x:c>
      <x:c r="F238" s="46" t="str">
        <x:v>Striped red shrimp</x:v>
      </x:c>
      <x:c r="G238" s="46" t="str">
        <x:v>Shrimps</x:v>
      </x:c>
      <x:c r="H238" s="46" t="str">
        <x:v>Crustaceans</x:v>
      </x:c>
      <x:c r="I238" s="60" t="n">
        <x:v>210.4580127361</x:v>
      </x:c>
      <x:c r="J238" s="60" t="n">
        <x:v>210.4580127361</x:v>
      </x:c>
      <x:c r="K238" s="60" t="n">
        <x:v>0</x:v>
      </x:c>
      <x:c r="L238" s="60" t="n">
        <x:v>210.4580127361</x:v>
      </x:c>
      <x:c r="M238" s="60" t="n">
        <x:v>0</x:v>
      </x:c>
      <x:c r="N238" s="46" t="str">
        <x:v>aristeus varidens</x:v>
      </x:c>
      <x:c r="O238" s="62" t="n">
        <x:v>3.77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Aristeus varidens</x:v>
      </x:c>
      <x:c r="T238" s="62" t="n">
        <x:f>IF(O238="","",(1/'Metadata'!$B$5)^(O238-1))</x:f>
        <x:v>588.843655355589</x:v>
      </x:c>
      <x:c r="U238" s="60" t="n">
        <x:f>IF(T238="","",I238*T238)</x:f>
        <x:v>123926.86551839822</x:v>
      </x:c>
    </x:row>
    <x:row r="239" ht="18" customHeight="1">
      <x:c r="A239" s="46" t="str">
        <x:v>LME_027</x:v>
      </x:c>
      <x:c r="B239" s="46" t="str">
        <x:v>Canary Current</x:v>
      </x:c>
      <x:c r="C239" s="46" t="str">
        <x:v>LME</x:v>
      </x:c>
      <x:c r="D239" s="58" t="n">
        <x:v>2019</x:v>
      </x:c>
      <x:c r="E239" s="46" t="str">
        <x:v>Orcynopsis unicolor</x:v>
      </x:c>
      <x:c r="F239" s="46" t="str">
        <x:v>Plain bonito</x:v>
      </x:c>
      <x:c r="G239" s="46" t="str">
        <x:v>Large pelagics (&gt;=90 cm)</x:v>
      </x:c>
      <x:c r="H239" s="46" t="str">
        <x:v>Tuna &amp; billfishes</x:v>
      </x:c>
      <x:c r="I239" s="60" t="n">
        <x:v>202.82253995189998</x:v>
      </x:c>
      <x:c r="J239" s="60" t="n">
        <x:v>202.3440569897</x:v>
      </x:c>
      <x:c r="K239" s="60" t="n">
        <x:v>0.4784829622</x:v>
      </x:c>
      <x:c r="L239" s="60" t="n">
        <x:v>200.80508335049998</x:v>
      </x:c>
      <x:c r="M239" s="60" t="n">
        <x:v>2.0174566014</x:v>
      </x:c>
      <x:c r="N239" s="46" t="str">
        <x:v>orcynopsis unicolor</x:v>
      </x:c>
      <x:c r="O239" s="62" t="n">
        <x:v>4.5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Orcynopsis unicolor</x:v>
      </x:c>
      <x:c r="T239" s="62" t="n">
        <x:f>IF(O239="","",(1/'Metadata'!$B$5)^(O239-1))</x:f>
        <x:v>3162.2776601683795</x:v>
      </x:c>
      <x:c r="U239" s="60" t="n">
        <x:f>IF(T239="","",I239*T239)</x:f>
        <x:v>641381.187068502</x:v>
      </x:c>
    </x:row>
    <x:row r="240" ht="18" customHeight="1">
      <x:c r="A240" s="46" t="str">
        <x:v>LME_027</x:v>
      </x:c>
      <x:c r="B240" s="46" t="str">
        <x:v>Canary Current</x:v>
      </x:c>
      <x:c r="C240" s="46" t="str">
        <x:v>LME</x:v>
      </x:c>
      <x:c r="D240" s="58" t="n">
        <x:v>2019</x:v>
      </x:c>
      <x:c r="E240" s="46" t="str">
        <x:v>Similiparma lurida</x:v>
      </x:c>
      <x:c r="F240" s="46" t="str">
        <x:v>Canary damsel</x:v>
      </x:c>
      <x:c r="G240" s="46" t="str">
        <x:v>Small reef assoc. fish (&lt;30 cm)</x:v>
      </x:c>
      <x:c r="H240" s="46" t="str">
        <x:v>Perch-likes</x:v>
      </x:c>
      <x:c r="I240" s="60" t="n">
        <x:v>200.95757611789998</x:v>
      </x:c>
      <x:c r="J240" s="60" t="n">
        <x:v>198.8625912924</x:v>
      </x:c>
      <x:c r="K240" s="60" t="n">
        <x:v>2.0949848255</x:v>
      </x:c>
      <x:c r="L240" s="60" t="n">
        <x:v>0.003471611</x:v>
      </x:c>
      <x:c r="M240" s="60" t="n">
        <x:v>200.9541045069</x:v>
      </x:c>
      <x:c r="N240" s="46" t="str">
        <x:v>similiparma lurida</x:v>
      </x:c>
      <x:c r="O240" s="62" t="n">
        <x:v>3.5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Similiparma lurida</x:v>
      </x:c>
      <x:c r="T240" s="62" t="n">
        <x:f>IF(O240="","",(1/'Metadata'!$B$5)^(O240-1))</x:f>
        <x:v>316.22776601683796</x:v>
      </x:c>
      <x:c r="U240" s="60" t="n">
        <x:f>IF(T240="","",I240*T240)</x:f>
        <x:v>63548.36535992218</x:v>
      </x:c>
    </x:row>
    <x:row r="241" ht="18" customHeight="1">
      <x:c r="A241" s="46" t="str">
        <x:v>LME_027</x:v>
      </x:c>
      <x:c r="B241" s="46" t="str">
        <x:v>Canary Current</x:v>
      </x:c>
      <x:c r="C241" s="46" t="str">
        <x:v>LME</x:v>
      </x:c>
      <x:c r="D241" s="58" t="n">
        <x:v>2019</x:v>
      </x:c>
      <x:c r="E241" s="46" t="str">
        <x:v>Belone belone</x:v>
      </x:c>
      <x:c r="F241" s="46" t="str">
        <x:v>Garfish</x:v>
      </x:c>
      <x:c r="G241" s="46" t="str">
        <x:v>Medium pelagics (30 - 89 cm)</x:v>
      </x:c>
      <x:c r="H241" s="46" t="str">
        <x:v>Other fishes &amp; inverts</x:v>
      </x:c>
      <x:c r="I241" s="60" t="n">
        <x:v>200.2801858395</x:v>
      </x:c>
      <x:c r="J241" s="60" t="n">
        <x:v>200.2801858395</x:v>
      </x:c>
      <x:c r="K241" s="60" t="n">
        <x:v>0</x:v>
      </x:c>
      <x:c r="L241" s="60" t="n">
        <x:v>0.2056839614</x:v>
      </x:c>
      <x:c r="M241" s="60" t="n">
        <x:v>200.0745018781</x:v>
      </x:c>
      <x:c r="N241" s="46" t="str">
        <x:v>belone belone</x:v>
      </x:c>
      <x:c r="O241" s="62" t="n">
        <x:v>4.16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Belone belone</x:v>
      </x:c>
      <x:c r="T241" s="62" t="n">
        <x:f>IF(O241="","",(1/'Metadata'!$B$5)^(O241-1))</x:f>
        <x:v>1445.439770745928</x:v>
      </x:c>
      <x:c r="U241" s="60" t="n">
        <x:f>IF(T241="","",I241*T241)</x:f>
        <x:v>289492.94590479875</x:v>
      </x:c>
    </x:row>
    <x:row r="242" ht="18" customHeight="1">
      <x:c r="A242" s="46" t="str">
        <x:v>LME_027</x:v>
      </x:c>
      <x:c r="B242" s="46" t="str">
        <x:v>Canary Current</x:v>
      </x:c>
      <x:c r="C242" s="46" t="str">
        <x:v>LME</x:v>
      </x:c>
      <x:c r="D242" s="58" t="n">
        <x:v>2019</x:v>
      </x:c>
      <x:c r="E242" s="46" t="str">
        <x:v>Sphoeroides marmoratus</x:v>
      </x:c>
      <x:c r="F242" s="46" t="str">
        <x:v>Guinean puffer</x:v>
      </x:c>
      <x:c r="G242" s="46" t="str">
        <x:v>Large reef assoc. fish (&gt;=90 cm)</x:v>
      </x:c>
      <x:c r="H242" s="46" t="str">
        <x:v>Other fishes &amp; inverts</x:v>
      </x:c>
      <x:c r="I242" s="60" t="n">
        <x:v>199.5024766912</x:v>
      </x:c>
      <x:c r="J242" s="60" t="n">
        <x:v>197.4226253623</x:v>
      </x:c>
      <x:c r="K242" s="60" t="n">
        <x:v>2.0798513289</x:v>
      </x:c>
      <x:c r="L242" s="60" t="n">
        <x:v>0</x:v>
      </x:c>
      <x:c r="M242" s="60" t="n">
        <x:v>199.5024766912</x:v>
      </x:c>
      <x:c r="N242" s="46" t="str">
        <x:v>sphoeroides marmoratus</x:v>
      </x:c>
      <x:c r="O242" s="62" t="n">
        <x:v>3.4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Sphoeroides marmoratus</x:v>
      </x:c>
      <x:c r="T242" s="62" t="n">
        <x:f>IF(O242="","",(1/'Metadata'!$B$5)^(O242-1))</x:f>
        <x:v>251.18864315095797</x:v>
      </x:c>
      <x:c r="U242" s="60" t="n">
        <x:f>IF(T242="","",I242*T242)</x:f>
        <x:v>50112.75642531815</x:v>
      </x:c>
    </x:row>
    <x:row r="243" ht="18" customHeight="1">
      <x:c r="A243" s="46" t="str">
        <x:v>LME_027</x:v>
      </x:c>
      <x:c r="B243" s="46" t="str">
        <x:v>Canary Current</x:v>
      </x:c>
      <x:c r="C243" s="46" t="str">
        <x:v>LME</x:v>
      </x:c>
      <x:c r="D243" s="58" t="n">
        <x:v>2019</x:v>
      </x:c>
      <x:c r="E243" s="46" t="str">
        <x:v>Crassostrea</x:v>
      </x:c>
      <x:c r="F243" s="46" t="str">
        <x:v>Cupped oysters</x:v>
      </x:c>
      <x:c r="G243" s="46" t="str">
        <x:v>Other demersal invertebrates</x:v>
      </x:c>
      <x:c r="H243" s="46" t="str">
        <x:v>Molluscs</x:v>
      </x:c>
      <x:c r="I243" s="60" t="n">
        <x:v>182.620890859</x:v>
      </x:c>
      <x:c r="J243" s="60" t="n">
        <x:v>182.620890859</x:v>
      </x:c>
      <x:c r="K243" s="60" t="n">
        <x:v>0</x:v>
      </x:c>
      <x:c r="L243" s="60" t="n">
        <x:v>182.620890859</x:v>
      </x:c>
      <x:c r="M243" s="60" t="n">
        <x:v>0</x:v>
      </x:c>
      <x:c r="N243" s="46" t="str">
        <x:v>crassostrea</x:v>
      </x:c>
      <x:c r="O243" s="62" t="n">
        <x:v>2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Crassostrea</x:v>
      </x:c>
      <x:c r="T243" s="62" t="n">
        <x:f>IF(O243="","",(1/'Metadata'!$B$5)^(O243-1))</x:f>
        <x:v>10</x:v>
      </x:c>
      <x:c r="U243" s="60" t="n">
        <x:f>IF(T243="","",I243*T243)</x:f>
        <x:v>1826.2089085900002</x:v>
      </x:c>
    </x:row>
    <x:row r="244" ht="18" customHeight="1">
      <x:c r="A244" s="46" t="str">
        <x:v>LME_027</x:v>
      </x:c>
      <x:c r="B244" s="46" t="str">
        <x:v>Canary Current</x:v>
      </x:c>
      <x:c r="C244" s="46" t="str">
        <x:v>LME</x:v>
      </x:c>
      <x:c r="D244" s="58" t="n">
        <x:v>2019</x:v>
      </x:c>
      <x:c r="E244" s="46" t="str">
        <x:v>Uranoscopus</x:v>
      </x:c>
      <x:c r="F244" s="46" t="str">
        <x:v>Stargazers</x:v>
      </x:c>
      <x:c r="G244" s="46" t="str">
        <x:v>Medium demersals (30 - 89 cm)</x:v>
      </x:c>
      <x:c r="H244" s="46" t="str">
        <x:v>Perch-likes</x:v>
      </x:c>
      <x:c r="I244" s="60" t="n">
        <x:v>181.39690492789998</x:v>
      </x:c>
      <x:c r="J244" s="60" t="n">
        <x:v>172.142425</x:v>
      </x:c>
      <x:c r="K244" s="60" t="n">
        <x:v>9.2544799279</x:v>
      </x:c>
      <x:c r="L244" s="60" t="n">
        <x:v>142.3766824803</x:v>
      </x:c>
      <x:c r="M244" s="60" t="n">
        <x:v>39.020222447600005</x:v>
      </x:c>
      <x:c r="N244" s="46" t="str">
        <x:v>uranoscopus</x:v>
      </x:c>
      <x:c r="O244" s="62" t="n">
        <x:v>4.2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Uranoscopus</x:v>
      </x:c>
      <x:c r="T244" s="62" t="n">
        <x:f>IF(O244="","",(1/'Metadata'!$B$5)^(O244-1))</x:f>
        <x:v>1584.893192461114</x:v>
      </x:c>
      <x:c r="U244" s="60" t="n">
        <x:f>IF(T244="","",I244*T244)</x:f>
        <x:v>287494.7197537446</x:v>
      </x:c>
    </x:row>
    <x:row r="245" ht="18" customHeight="1">
      <x:c r="A245" s="46" t="str">
        <x:v>LME_027</x:v>
      </x:c>
      <x:c r="B245" s="46" t="str">
        <x:v>Canary Current</x:v>
      </x:c>
      <x:c r="C245" s="46" t="str">
        <x:v>LME</x:v>
      </x:c>
      <x:c r="D245" s="58" t="n">
        <x:v>2019</x:v>
      </x:c>
      <x:c r="E245" s="46" t="str">
        <x:v>Dasyatis pastinaca</x:v>
      </x:c>
      <x:c r="F245" s="46" t="str">
        <x:v>Common stingray</x:v>
      </x:c>
      <x:c r="G245" s="46" t="str">
        <x:v>Large rays (&gt;=90 cm)</x:v>
      </x:c>
      <x:c r="H245" s="46" t="str">
        <x:v>Sharks &amp; rays</x:v>
      </x:c>
      <x:c r="I245" s="60" t="n">
        <x:v>179.5505642857</x:v>
      </x:c>
      <x:c r="J245" s="60" t="n">
        <x:v>172.97942734949999</x:v>
      </x:c>
      <x:c r="K245" s="60" t="n">
        <x:v>6.5711369362</x:v>
      </x:c>
      <x:c r="L245" s="60" t="n">
        <x:v>101.0944628321</x:v>
      </x:c>
      <x:c r="M245" s="60" t="n">
        <x:v>78.4561014536</x:v>
      </x:c>
      <x:c r="N245" s="46" t="str">
        <x:v>dasyatis pastinaca</x:v>
      </x:c>
      <x:c r="O245" s="62" t="n">
        <x:v>4.05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Dasyatis pastinaca</x:v>
      </x:c>
      <x:c r="T245" s="62" t="n">
        <x:f>IF(O245="","",(1/'Metadata'!$B$5)^(O245-1))</x:f>
        <x:v>1122.018454301963</x:v>
      </x:c>
      <x:c r="U245" s="60" t="n">
        <x:f>IF(T245="","",I245*T245)</x:f>
        <x:v>201459.04660888636</x:v>
      </x:c>
    </x:row>
    <x:row r="246" ht="18" customHeight="1">
      <x:c r="A246" s="46" t="str">
        <x:v>LME_027</x:v>
      </x:c>
      <x:c r="B246" s="46" t="str">
        <x:v>Canary Current</x:v>
      </x:c>
      <x:c r="C246" s="46" t="str">
        <x:v>LME</x:v>
      </x:c>
      <x:c r="D246" s="58" t="n">
        <x:v>2019</x:v>
      </x:c>
      <x:c r="E246" s="46" t="str">
        <x:v>Acanthurus monroviae</x:v>
      </x:c>
      <x:c r="F246" s="46" t="str">
        <x:v>Monrovia doctorfish</x:v>
      </x:c>
      <x:c r="G246" s="46" t="str">
        <x:v>Medium demersals (30 - 89 cm)</x:v>
      </x:c>
      <x:c r="H246" s="46" t="str">
        <x:v>Perch-likes</x:v>
      </x:c>
      <x:c r="I246" s="60" t="n">
        <x:v>179.1543462063</x:v>
      </x:c>
      <x:c r="J246" s="60" t="n">
        <x:v>179.1543462063</x:v>
      </x:c>
      <x:c r="K246" s="60" t="n">
        <x:v>0</x:v>
      </x:c>
      <x:c r="L246" s="60" t="n">
        <x:v>81.6004593671</x:v>
      </x:c>
      <x:c r="M246" s="60" t="n">
        <x:v>97.5538868392</x:v>
      </x:c>
      <x:c r="N246" s="46" t="str">
        <x:v>acanthurus monroviae</x:v>
      </x:c>
      <x:c r="O246" s="62" t="n">
        <x:v>2.5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Acanthurus monroviae</x:v>
      </x:c>
      <x:c r="T246" s="62" t="n">
        <x:f>IF(O246="","",(1/'Metadata'!$B$5)^(O246-1))</x:f>
        <x:v>31.622776601683793</x:v>
      </x:c>
      <x:c r="U246" s="60" t="n">
        <x:f>IF(T246="","",I246*T246)</x:f>
        <x:v>5665.357867302541</x:v>
      </x:c>
    </x:row>
    <x:row r="247" ht="18" customHeight="1">
      <x:c r="A247" s="46" t="str">
        <x:v>LME_027</x:v>
      </x:c>
      <x:c r="B247" s="46" t="str">
        <x:v>Canary Current</x:v>
      </x:c>
      <x:c r="C247" s="46" t="str">
        <x:v>LME</x:v>
      </x:c>
      <x:c r="D247" s="58" t="n">
        <x:v>2019</x:v>
      </x:c>
      <x:c r="E247" s="46" t="str">
        <x:v>Auxis rochei</x:v>
      </x:c>
      <x:c r="F247" s="46" t="str">
        <x:v>Bullet tuna</x:v>
      </x:c>
      <x:c r="G247" s="46" t="str">
        <x:v>Medium pelagics (30 - 89 cm)</x:v>
      </x:c>
      <x:c r="H247" s="46" t="str">
        <x:v>Tuna &amp; billfishes</x:v>
      </x:c>
      <x:c r="I247" s="60" t="n">
        <x:v>177.4382827594</x:v>
      </x:c>
      <x:c r="J247" s="60" t="n">
        <x:v>177.4382827594</x:v>
      </x:c>
      <x:c r="K247" s="60" t="n">
        <x:v>0</x:v>
      </x:c>
      <x:c r="L247" s="60" t="n">
        <x:v>177.4382827594</x:v>
      </x:c>
      <x:c r="M247" s="60" t="n">
        <x:v>0</x:v>
      </x:c>
      <x:c r="N247" s="46" t="str">
        <x:v>auxis rochei</x:v>
      </x:c>
      <x:c r="O247" s="62" t="n">
        <x:v>4.13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Auxis rochei</x:v>
      </x:c>
      <x:c r="T247" s="62" t="n">
        <x:f>IF(O247="","",(1/'Metadata'!$B$5)^(O247-1))</x:f>
        <x:v>1348.9628825916532</x:v>
      </x:c>
      <x:c r="U247" s="60" t="n">
        <x:f>IF(T247="","",I247*T247)</x:f>
        <x:v>239357.65739323306</x:v>
      </x:c>
    </x:row>
    <x:row r="248" ht="18" customHeight="1">
      <x:c r="A248" s="46" t="str">
        <x:v>LME_027</x:v>
      </x:c>
      <x:c r="B248" s="46" t="str">
        <x:v>Canary Current</x:v>
      </x:c>
      <x:c r="C248" s="46" t="str">
        <x:v>LME</x:v>
      </x:c>
      <x:c r="D248" s="58" t="n">
        <x:v>2019</x:v>
      </x:c>
      <x:c r="E248" s="46" t="str">
        <x:v>Caranx senegallus</x:v>
      </x:c>
      <x:c r="F248" s="46" t="str">
        <x:v>Senegal jack</x:v>
      </x:c>
      <x:c r="G248" s="46" t="str">
        <x:v>Medium benthopelagics (30 - 89 cm)</x:v>
      </x:c>
      <x:c r="H248" s="46" t="str">
        <x:v>Perch-likes</x:v>
      </x:c>
      <x:c r="I248" s="60" t="n">
        <x:v>168.2836218372</x:v>
      </x:c>
      <x:c r="J248" s="60" t="n">
        <x:v>168.2836218372</x:v>
      </x:c>
      <x:c r="K248" s="60" t="n">
        <x:v>0</x:v>
      </x:c>
      <x:c r="L248" s="60" t="n">
        <x:v>140.1736062332</x:v>
      </x:c>
      <x:c r="M248" s="60" t="n">
        <x:v>28.110015603999997</x:v>
      </x:c>
      <x:c r="N248" s="46" t="str">
        <x:v>caranx senegallus</x:v>
      </x:c>
      <x:c r="O248" s="62" t="n">
        <x:v>3.86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Caranx senegallus</x:v>
      </x:c>
      <x:c r="T248" s="62" t="n">
        <x:f>IF(O248="","",(1/'Metadata'!$B$5)^(O248-1))</x:f>
        <x:v>724.4359600749899</x:v>
      </x:c>
      <x:c r="U248" s="60" t="n">
        <x:f>IF(T248="","",I248*T248)</x:f>
        <x:v>121910.70715052851</x:v>
      </x:c>
    </x:row>
    <x:row r="249" ht="18" customHeight="1">
      <x:c r="A249" s="46" t="str">
        <x:v>LME_027</x:v>
      </x:c>
      <x:c r="B249" s="46" t="str">
        <x:v>Canary Current</x:v>
      </x:c>
      <x:c r="C249" s="46" t="str">
        <x:v>LME</x:v>
      </x:c>
      <x:c r="D249" s="58" t="n">
        <x:v>2019</x:v>
      </x:c>
      <x:c r="E249" s="46" t="str">
        <x:v>Dentex angolensis</x:v>
      </x:c>
      <x:c r="F249" s="46" t="str">
        <x:v>Angolan dentex</x:v>
      </x:c>
      <x:c r="G249" s="46" t="str">
        <x:v>Small demersals (&lt;30 cm)</x:v>
      </x:c>
      <x:c r="H249" s="46" t="str">
        <x:v>Perch-likes</x:v>
      </x:c>
      <x:c r="I249" s="60" t="n">
        <x:v>155.1921865255</x:v>
      </x:c>
      <x:c r="J249" s="60" t="n">
        <x:v>150.7680767149</x:v>
      </x:c>
      <x:c r="K249" s="60" t="n">
        <x:v>4.4241098106</x:v>
      </x:c>
      <x:c r="L249" s="60" t="n">
        <x:v>136.5385452311</x:v>
      </x:c>
      <x:c r="M249" s="60" t="n">
        <x:v>18.6536412944</x:v>
      </x:c>
      <x:c r="N249" s="46" t="str">
        <x:v>dentex angolensis</x:v>
      </x:c>
      <x:c r="O249" s="62" t="n">
        <x:v>3.52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Dentex angolensis</x:v>
      </x:c>
      <x:c r="T249" s="62" t="n">
        <x:f>IF(O249="","",(1/'Metadata'!$B$5)^(O249-1))</x:f>
        <x:v>331.1311214825911</x:v>
      </x:c>
      <x:c r="U249" s="60" t="n">
        <x:f>IF(T249="","",I249*T249)</x:f>
        <x:v>51388.962769524274</x:v>
      </x:c>
    </x:row>
    <x:row r="250" ht="18" customHeight="1">
      <x:c r="A250" s="46" t="str">
        <x:v>LME_027</x:v>
      </x:c>
      <x:c r="B250" s="46" t="str">
        <x:v>Canary Current</x:v>
      </x:c>
      <x:c r="C250" s="46" t="str">
        <x:v>LME</x:v>
      </x:c>
      <x:c r="D250" s="58" t="n">
        <x:v>2019</x:v>
      </x:c>
      <x:c r="E250" s="46" t="str">
        <x:v>Scorpaeniformes</x:v>
      </x:c>
      <x:c r="F250" s="46" t="str">
        <x:v>Scorpionfishes, flatheads</x:v>
      </x:c>
      <x:c r="G250" s="46" t="str">
        <x:v>Medium demersals (30 - 89 cm)</x:v>
      </x:c>
      <x:c r="H250" s="46" t="str">
        <x:v>Scorpionfishes</x:v>
      </x:c>
      <x:c r="I250" s="60" t="n">
        <x:v>146.0268249689</x:v>
      </x:c>
      <x:c r="J250" s="60" t="n">
        <x:v>138.576850444</x:v>
      </x:c>
      <x:c r="K250" s="60" t="n">
        <x:v>7.4499745249</x:v>
      </x:c>
      <x:c r="L250" s="60" t="n">
        <x:v>114.6150475966</x:v>
      </x:c>
      <x:c r="M250" s="60" t="n">
        <x:v>31.4117773723</x:v>
      </x:c>
      <x:c r="N250" s="46" t="str">
        <x:v>scorpaeniformes</x:v>
      </x:c>
      <x:c r="O250" s="62" t="n">
        <x:v>3.78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Scorpaeniformes</x:v>
      </x:c>
      <x:c r="T250" s="62" t="n">
        <x:f>IF(O250="","",(1/'Metadata'!$B$5)^(O250-1))</x:f>
        <x:v>602.5595860743575</x:v>
      </x:c>
      <x:c r="U250" s="60" t="n">
        <x:f>IF(T250="","",I250*T250)</x:f>
        <x:v>87989.86320901304</x:v>
      </x:c>
    </x:row>
    <x:row r="251" ht="18" customHeight="1">
      <x:c r="A251" s="46" t="str">
        <x:v>LME_027</x:v>
      </x:c>
      <x:c r="B251" s="46" t="str">
        <x:v>Canary Current</x:v>
      </x:c>
      <x:c r="C251" s="46" t="str">
        <x:v>LME</x:v>
      </x:c>
      <x:c r="D251" s="58" t="n">
        <x:v>2019</x:v>
      </x:c>
      <x:c r="E251" s="46" t="str">
        <x:v>Cynoglossus senegalensis</x:v>
      </x:c>
      <x:c r="F251" s="46" t="str">
        <x:v>Senegalese tonguesole</x:v>
      </x:c>
      <x:c r="G251" s="46" t="str">
        <x:v>Small to medium flatfishes (&lt;90 cm)</x:v>
      </x:c>
      <x:c r="H251" s="46" t="str">
        <x:v>Flatfishes</x:v>
      </x:c>
      <x:c r="I251" s="60" t="n">
        <x:v>139.5025835639</x:v>
      </x:c>
      <x:c r="J251" s="60" t="n">
        <x:v>135.3759977971</x:v>
      </x:c>
      <x:c r="K251" s="60" t="n">
        <x:v>4.1265857668</x:v>
      </x:c>
      <x:c r="L251" s="60" t="n">
        <x:v>122.1034108579</x:v>
      </x:c>
      <x:c r="M251" s="60" t="n">
        <x:v>17.399172705999998</x:v>
      </x:c>
      <x:c r="N251" s="46" t="str">
        <x:v>cynoglossus senegalensis</x:v>
      </x:c>
      <x:c r="O251" s="62" t="n">
        <x:v>3.62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Cynoglossus senegalensis</x:v>
      </x:c>
      <x:c r="T251" s="62" t="n">
        <x:f>IF(O251="","",(1/'Metadata'!$B$5)^(O251-1))</x:f>
        <x:v>416.8693834703355</x:v>
      </x:c>
      <x:c r="U251" s="60" t="n">
        <x:f>IF(T251="","",I251*T251)</x:f>
        <x:v>58154.35600280195</x:v>
      </x:c>
    </x:row>
    <x:row r="252" ht="18" customHeight="1">
      <x:c r="A252" s="46" t="str">
        <x:v>LME_027</x:v>
      </x:c>
      <x:c r="B252" s="46" t="str">
        <x:v>Canary Current</x:v>
      </x:c>
      <x:c r="C252" s="46" t="str">
        <x:v>LME</x:v>
      </x:c>
      <x:c r="D252" s="58" t="n">
        <x:v>2019</x:v>
      </x:c>
      <x:c r="E252" s="46" t="str">
        <x:v>Todarodes sagittatus</x:v>
      </x:c>
      <x:c r="F252" s="46" t="str">
        <x:v>European flying squid</x:v>
      </x:c>
      <x:c r="G252" s="46" t="str">
        <x:v>Cephalopods</x:v>
      </x:c>
      <x:c r="H252" s="46" t="str">
        <x:v>Other fishes &amp; inverts</x:v>
      </x:c>
      <x:c r="I252" s="60" t="n">
        <x:v>137.56722735879998</x:v>
      </x:c>
      <x:c r="J252" s="60" t="n">
        <x:v>137.56722735879998</x:v>
      </x:c>
      <x:c r="K252" s="60" t="n">
        <x:v>0</x:v>
      </x:c>
      <x:c r="L252" s="60" t="n">
        <x:v>137.56722735879998</x:v>
      </x:c>
      <x:c r="M252" s="60" t="n">
        <x:v>0</x:v>
      </x:c>
      <x:c r="N252" s="46" t="str">
        <x:v>todarodes sagittatus</x:v>
      </x:c>
      <x:c r="O252" s="62" t="n">
        <x:v>4.01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Todarodes sagittatus</x:v>
      </x:c>
      <x:c r="T252" s="62" t="n">
        <x:f>IF(O252="","",(1/'Metadata'!$B$5)^(O252-1))</x:f>
        <x:v>1023.2929922807537</x:v>
      </x:c>
      <x:c r="U252" s="60" t="n">
        <x:f>IF(T252="","",I252*T252)</x:f>
        <x:v>140771.57972375318</x:v>
      </x:c>
    </x:row>
    <x:row r="253" ht="18" customHeight="1">
      <x:c r="A253" s="46" t="str">
        <x:v>LME_027</x:v>
      </x:c>
      <x:c r="B253" s="46" t="str">
        <x:v>Canary Current</x:v>
      </x:c>
      <x:c r="C253" s="46" t="str">
        <x:v>LME</x:v>
      </x:c>
      <x:c r="D253" s="58" t="n">
        <x:v>2019</x:v>
      </x:c>
      <x:c r="E253" s="46" t="str">
        <x:v>Beryx decadactylus</x:v>
      </x:c>
      <x:c r="F253" s="46" t="str">
        <x:v>Alfonsino</x:v>
      </x:c>
      <x:c r="G253" s="46" t="str">
        <x:v>Medium bathydemersals (30 - 89 cm)</x:v>
      </x:c>
      <x:c r="H253" s="46" t="str">
        <x:v>Other fishes &amp; inverts</x:v>
      </x:c>
      <x:c r="I253" s="60" t="n">
        <x:v>136.23376872210002</x:v>
      </x:c>
      <x:c r="J253" s="60" t="n">
        <x:v>136.23376872210002</x:v>
      </x:c>
      <x:c r="K253" s="60" t="n">
        <x:v>0</x:v>
      </x:c>
      <x:c r="L253" s="60" t="n">
        <x:v>19.2071770347</x:v>
      </x:c>
      <x:c r="M253" s="60" t="n">
        <x:v>117.02659168740001</x:v>
      </x:c>
      <x:c r="N253" s="46" t="str">
        <x:v>beryx decadactylus</x:v>
      </x:c>
      <x:c r="O253" s="62" t="n">
        <x:v>4.13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Beryx decadactylus</x:v>
      </x:c>
      <x:c r="T253" s="62" t="n">
        <x:f>IF(O253="","",(1/'Metadata'!$B$5)^(O253-1))</x:f>
        <x:v>1348.9628825916532</x:v>
      </x:c>
      <x:c r="U253" s="60" t="n">
        <x:f>IF(T253="","",I253*T253)</x:f>
        <x:v>183774.29736168866</x:v>
      </x:c>
    </x:row>
    <x:row r="254" ht="18" customHeight="1">
      <x:c r="A254" s="46" t="str">
        <x:v>LME_027</x:v>
      </x:c>
      <x:c r="B254" s="46" t="str">
        <x:v>Canary Current</x:v>
      </x:c>
      <x:c r="C254" s="46" t="str">
        <x:v>LME</x:v>
      </x:c>
      <x:c r="D254" s="58" t="n">
        <x:v>2019</x:v>
      </x:c>
      <x:c r="E254" s="46" t="str">
        <x:v>Zenopsis conchifer</x:v>
      </x:c>
      <x:c r="F254" s="46" t="str">
        <x:v>Silvery John dory</x:v>
      </x:c>
      <x:c r="G254" s="46" t="str">
        <x:v>Medium benthopelagics (30 - 89 cm)</x:v>
      </x:c>
      <x:c r="H254" s="46" t="str">
        <x:v>Other fishes &amp; inverts</x:v>
      </x:c>
      <x:c r="I254" s="60" t="n">
        <x:v>135.35904240320002</x:v>
      </x:c>
      <x:c r="J254" s="60" t="n">
        <x:v>135.35904240320002</x:v>
      </x:c>
      <x:c r="K254" s="60" t="n">
        <x:v>0</x:v>
      </x:c>
      <x:c r="L254" s="60" t="n">
        <x:v>135.35904240320002</x:v>
      </x:c>
      <x:c r="M254" s="60" t="n">
        <x:v>0</x:v>
      </x:c>
      <x:c r="N254" s="46" t="str">
        <x:v>zenopsis conchifer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Zenopsis conchifer</x:v>
      </x:c>
      <x:c r="T254" s="62" t="n">
        <x:f>IF(O254="","",(1/'Metadata'!$B$5)^(O254-1))</x:f>
        <x:v>3162.2776601683795</x:v>
      </x:c>
      <x:c r="U254" s="60" t="n">
        <x:f>IF(T254="","",I254*T254)</x:f>
        <x:v>428042.8758934238</x:v>
      </x:c>
    </x:row>
    <x:row r="255" ht="18" customHeight="1">
      <x:c r="A255" s="46" t="str">
        <x:v>LME_027</x:v>
      </x:c>
      <x:c r="B255" s="46" t="str">
        <x:v>Canary Current</x:v>
      </x:c>
      <x:c r="C255" s="46" t="str">
        <x:v>LME</x:v>
      </x:c>
      <x:c r="D255" s="58" t="n">
        <x:v>2019</x:v>
      </x:c>
      <x:c r="E255" s="46" t="str">
        <x:v>Pseudocaranx dentex</x:v>
      </x:c>
      <x:c r="F255" s="46" t="str">
        <x:v>White trevally</x:v>
      </x:c>
      <x:c r="G255" s="46" t="str">
        <x:v>Large reef assoc. fish (&gt;=90 cm)</x:v>
      </x:c>
      <x:c r="H255" s="46" t="str">
        <x:v>Perch-likes</x:v>
      </x:c>
      <x:c r="I255" s="60" t="n">
        <x:v>126.5339102762</x:v>
      </x:c>
      <x:c r="J255" s="60" t="n">
        <x:v>126.5339102762</x:v>
      </x:c>
      <x:c r="K255" s="60" t="n">
        <x:v>0</x:v>
      </x:c>
      <x:c r="L255" s="60" t="n">
        <x:v>92.846704987</x:v>
      </x:c>
      <x:c r="M255" s="60" t="n">
        <x:v>33.6872052892</x:v>
      </x:c>
      <x:c r="N255" s="46" t="str">
        <x:v>pseudocaranx dentex</x:v>
      </x:c>
      <x:c r="O255" s="62" t="n">
        <x:v>3.92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Pseudocaranx dentex</x:v>
      </x:c>
      <x:c r="T255" s="62" t="n">
        <x:f>IF(O255="","",(1/'Metadata'!$B$5)^(O255-1))</x:f>
        <x:v>831.7637711026708</x:v>
      </x:c>
      <x:c r="U255" s="60" t="n">
        <x:f>IF(T255="","",I255*T255)</x:f>
        <x:v>105246.32238369911</x:v>
      </x:c>
    </x:row>
    <x:row r="256" ht="18" customHeight="1">
      <x:c r="A256" s="46" t="str">
        <x:v>LME_027</x:v>
      </x:c>
      <x:c r="B256" s="46" t="str">
        <x:v>Canary Current</x:v>
      </x:c>
      <x:c r="C256" s="46" t="str">
        <x:v>LME</x:v>
      </x:c>
      <x:c r="D256" s="58" t="n">
        <x:v>2019</x:v>
      </x:c>
      <x:c r="E256" s="46" t="str">
        <x:v>Caranx crysos</x:v>
      </x:c>
      <x:c r="F256" s="46" t="str">
        <x:v>Blue runner</x:v>
      </x:c>
      <x:c r="G256" s="46" t="str">
        <x:v>Medium reef assoc. fish (30 - 89 cm)</x:v>
      </x:c>
      <x:c r="H256" s="46" t="str">
        <x:v>Perch-likes</x:v>
      </x:c>
      <x:c r="I256" s="60" t="n">
        <x:v>113.3686400014</x:v>
      </x:c>
      <x:c r="J256" s="60" t="n">
        <x:v>113.3686400014</x:v>
      </x:c>
      <x:c r="K256" s="60" t="n">
        <x:v>0</x:v>
      </x:c>
      <x:c r="L256" s="60" t="n">
        <x:v>73.3608998175</x:v>
      </x:c>
      <x:c r="M256" s="60" t="n">
        <x:v>40.0077401839</x:v>
      </x:c>
      <x:c r="N256" s="46" t="str">
        <x:v>caranx crysos</x:v>
      </x:c>
      <x:c r="O256" s="62" t="n">
        <x:v>4.13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Caranx crysos</x:v>
      </x:c>
      <x:c r="T256" s="62" t="n">
        <x:f>IF(O256="","",(1/'Metadata'!$B$5)^(O256-1))</x:f>
        <x:v>1348.9628825916532</x:v>
      </x:c>
      <x:c r="U256" s="60" t="n">
        <x:f>IF(T256="","",I256*T256)</x:f>
        <x:v>152930.08741178393</x:v>
      </x:c>
    </x:row>
    <x:row r="257" ht="18" customHeight="1">
      <x:c r="A257" s="46" t="str">
        <x:v>LME_027</x:v>
      </x:c>
      <x:c r="B257" s="46" t="str">
        <x:v>Canary Current</x:v>
      </x:c>
      <x:c r="C257" s="46" t="str">
        <x:v>LME</x:v>
      </x:c>
      <x:c r="D257" s="58" t="n">
        <x:v>2019</x:v>
      </x:c>
      <x:c r="E257" s="46" t="str">
        <x:v>Trachinotus</x:v>
      </x:c>
      <x:c r="F257" s="46" t="str">
        <x:v>Pompanos</x:v>
      </x:c>
      <x:c r="G257" s="46" t="str">
        <x:v>Medium pelagics (30 - 89 cm)</x:v>
      </x:c>
      <x:c r="H257" s="46" t="str">
        <x:v>Perch-likes</x:v>
      </x:c>
      <x:c r="I257" s="60" t="n">
        <x:v>110.58844381629999</x:v>
      </x:c>
      <x:c r="J257" s="60" t="n">
        <x:v>110.58844381629999</x:v>
      </x:c>
      <x:c r="K257" s="60" t="n">
        <x:v>0</x:v>
      </x:c>
      <x:c r="L257" s="60" t="n">
        <x:v>17.439199727600002</x:v>
      </x:c>
      <x:c r="M257" s="60" t="n">
        <x:v>93.1492440887</x:v>
      </x:c>
      <x:c r="N257" s="46" t="str">
        <x:v>trachinotus</x:v>
      </x:c>
      <x:c r="O257" s="62" t="n">
        <x:v>3.69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Trachinotus</x:v>
      </x:c>
      <x:c r="T257" s="62" t="n">
        <x:f>IF(O257="","",(1/'Metadata'!$B$5)^(O257-1))</x:f>
        <x:v>489.77881936844614</x:v>
      </x:c>
      <x:c r="U257" s="60" t="n">
        <x:f>IF(T257="","",I257*T257)</x:f>
        <x:v>54163.877448141146</x:v>
      </x:c>
    </x:row>
    <x:row r="258" ht="18" customHeight="1">
      <x:c r="A258" s="46" t="str">
        <x:v>LME_027</x:v>
      </x:c>
      <x:c r="B258" s="46" t="str">
        <x:v>Canary Current</x:v>
      </x:c>
      <x:c r="C258" s="46" t="str">
        <x:v>LME</x:v>
      </x:c>
      <x:c r="D258" s="58" t="n">
        <x:v>2019</x:v>
      </x:c>
      <x:c r="E258" s="46" t="str">
        <x:v>Psettodidae</x:v>
      </x:c>
      <x:c r="F258" s="46" t="str">
        <x:v>Turbots, Indian halibuts</x:v>
      </x:c>
      <x:c r="G258" s="46" t="str">
        <x:v>Small to medium flatfishes (&lt;90 cm)</x:v>
      </x:c>
      <x:c r="H258" s="46" t="str">
        <x:v>Flatfishes</x:v>
      </x:c>
      <x:c r="I258" s="60" t="n">
        <x:v>105.52963801979999</x:v>
      </x:c>
      <x:c r="J258" s="60" t="n">
        <x:v>100.1457428688</x:v>
      </x:c>
      <x:c r="K258" s="60" t="n">
        <x:v>5.383895151</x:v>
      </x:c>
      <x:c r="L258" s="60" t="n">
        <x:v>82.8291958488</x:v>
      </x:c>
      <x:c r="M258" s="60" t="n">
        <x:v>22.700442171000002</x:v>
      </x:c>
      <x:c r="N258" s="46" t="str">
        <x:v>psettodidae</x:v>
      </x:c>
      <x:c r="O258" s="62" t="n">
        <x:v>3.83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Psettodidae</x:v>
      </x:c>
      <x:c r="T258" s="62" t="n">
        <x:f>IF(O258="","",(1/'Metadata'!$B$5)^(O258-1))</x:f>
        <x:v>676.0829753919819</x:v>
      </x:c>
      <x:c r="U258" s="60" t="n">
        <x:f>IF(T258="","",I258*T258)</x:f>
        <x:v>71346.7916644652</x:v>
      </x:c>
    </x:row>
    <x:row r="259" ht="18" customHeight="1">
      <x:c r="A259" s="46" t="str">
        <x:v>LME_027</x:v>
      </x:c>
      <x:c r="B259" s="46" t="str">
        <x:v>Canary Current</x:v>
      </x:c>
      <x:c r="C259" s="46" t="str">
        <x:v>LME</x:v>
      </x:c>
      <x:c r="D259" s="58" t="n">
        <x:v>2019</x:v>
      </x:c>
      <x:c r="E259" s="46" t="str">
        <x:v>Sciaena umbra</x:v>
      </x:c>
      <x:c r="F259" s="46" t="str">
        <x:v>Brown meagre</x:v>
      </x:c>
      <x:c r="G259" s="46" t="str">
        <x:v>Medium demersals (30 - 89 cm)</x:v>
      </x:c>
      <x:c r="H259" s="46" t="str">
        <x:v>Perch-likes</x:v>
      </x:c>
      <x:c r="I259" s="60" t="n">
        <x:v>104.4795641148</x:v>
      </x:c>
      <x:c r="J259" s="60" t="n">
        <x:v>99.186563154</x:v>
      </x:c>
      <x:c r="K259" s="60" t="n">
        <x:v>5.2930009608</x:v>
      </x:c>
      <x:c r="L259" s="60" t="n">
        <x:v>81.43082302170001</x:v>
      </x:c>
      <x:c r="M259" s="60" t="n">
        <x:v>23.0487410931</x:v>
      </x:c>
      <x:c r="N259" s="46" t="str">
        <x:v>sciaena umbra</x:v>
      </x:c>
      <x:c r="O259" s="62" t="n">
        <x:v>3.75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Sciaena umbra</x:v>
      </x:c>
      <x:c r="T259" s="62" t="n">
        <x:f>IF(O259="","",(1/'Metadata'!$B$5)^(O259-1))</x:f>
        <x:v>562.341325190349</x:v>
      </x:c>
      <x:c r="U259" s="60" t="n">
        <x:f>IF(T259="","",I259*T259)</x:f>
        <x:v>58753.17653962667</x:v>
      </x:c>
    </x:row>
    <x:row r="260" ht="18" customHeight="1">
      <x:c r="A260" s="46" t="str">
        <x:v>LME_027</x:v>
      </x:c>
      <x:c r="B260" s="46" t="str">
        <x:v>Canary Current</x:v>
      </x:c>
      <x:c r="C260" s="46" t="str">
        <x:v>LME</x:v>
      </x:c>
      <x:c r="D260" s="58" t="n">
        <x:v>2019</x:v>
      </x:c>
      <x:c r="E260" s="46" t="str">
        <x:v>Mora moro</x:v>
      </x:c>
      <x:c r="F260" s="46" t="str">
        <x:v>Common mora</x:v>
      </x:c>
      <x:c r="G260" s="46" t="str">
        <x:v>Medium bathypelagics (30 - 89 cm)</x:v>
      </x:c>
      <x:c r="H260" s="46" t="str">
        <x:v>Cod-likes</x:v>
      </x:c>
      <x:c r="I260" s="60" t="n">
        <x:v>103.12467539320001</x:v>
      </x:c>
      <x:c r="J260" s="60" t="n">
        <x:v>103.12467539320001</x:v>
      </x:c>
      <x:c r="K260" s="60" t="n">
        <x:v>0</x:v>
      </x:c>
      <x:c r="L260" s="60" t="n">
        <x:v>3.6721045056</x:v>
      </x:c>
      <x:c r="M260" s="60" t="n">
        <x:v>99.4525708876</x:v>
      </x:c>
      <x:c r="N260" s="46" t="str">
        <x:v>mora moro</x:v>
      </x:c>
      <x:c r="O260" s="62" t="n">
        <x:v>3.75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Mora moro</x:v>
      </x:c>
      <x:c r="T260" s="62" t="n">
        <x:f>IF(O260="","",(1/'Metadata'!$B$5)^(O260-1))</x:f>
        <x:v>562.341325190349</x:v>
      </x:c>
      <x:c r="U260" s="60" t="n">
        <x:f>IF(T260="","",I260*T260)</x:f>
        <x:v>57991.26662043667</x:v>
      </x:c>
    </x:row>
    <x:row r="261" ht="18" customHeight="1">
      <x:c r="A261" s="46" t="str">
        <x:v>LME_027</x:v>
      </x:c>
      <x:c r="B261" s="46" t="str">
        <x:v>Canary Current</x:v>
      </x:c>
      <x:c r="C261" s="46" t="str">
        <x:v>LME</x:v>
      </x:c>
      <x:c r="D261" s="58" t="n">
        <x:v>2019</x:v>
      </x:c>
      <x:c r="E261" s="46" t="str">
        <x:v>Schedophilus ovalis</x:v>
      </x:c>
      <x:c r="F261" s="46" t="str">
        <x:v>Imperial blackfish</x:v>
      </x:c>
      <x:c r="G261" s="46" t="str">
        <x:v>Medium demersals (30 - 89 cm)</x:v>
      </x:c>
      <x:c r="H261" s="46" t="str">
        <x:v>Perch-likes</x:v>
      </x:c>
      <x:c r="I261" s="60" t="n">
        <x:v>102.5682854435</x:v>
      </x:c>
      <x:c r="J261" s="60" t="n">
        <x:v>102.5682854435</x:v>
      </x:c>
      <x:c r="K261" s="60" t="n">
        <x:v>0</x:v>
      </x:c>
      <x:c r="L261" s="60" t="n">
        <x:v>45.6513348512</x:v>
      </x:c>
      <x:c r="M261" s="60" t="n">
        <x:v>56.9169505923</x:v>
      </x:c>
      <x:c r="N261" s="46" t="str">
        <x:v>schedophilus ovalis</x:v>
      </x:c>
      <x:c r="O261" s="62" t="n">
        <x:v>3.54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Schedophilus ovalis</x:v>
      </x:c>
      <x:c r="T261" s="62" t="n">
        <x:f>IF(O261="","",(1/'Metadata'!$B$5)^(O261-1))</x:f>
        <x:v>346.73685045253166</x:v>
      </x:c>
      <x:c r="U261" s="60" t="n">
        <x:f>IF(T261="","",I261*T261)</x:f>
        <x:v>35564.20425099544</x:v>
      </x:c>
    </x:row>
    <x:row r="262" ht="18" customHeight="1">
      <x:c r="A262" s="46" t="str">
        <x:v>LME_027</x:v>
      </x:c>
      <x:c r="B262" s="46" t="str">
        <x:v>Canary Current</x:v>
      </x:c>
      <x:c r="C262" s="46" t="str">
        <x:v>LME</x:v>
      </x:c>
      <x:c r="D262" s="58" t="n">
        <x:v>2019</x:v>
      </x:c>
      <x:c r="E262" s="46" t="str">
        <x:v>Penaeus kerathurus</x:v>
      </x:c>
      <x:c r="F262" s="46" t="str">
        <x:v>Caramote prawn</x:v>
      </x:c>
      <x:c r="G262" s="46" t="str">
        <x:v>Shrimps</x:v>
      </x:c>
      <x:c r="H262" s="46" t="str">
        <x:v>Crustaceans</x:v>
      </x:c>
      <x:c r="I262" s="60" t="n">
        <x:v>100.9897951076</x:v>
      </x:c>
      <x:c r="J262" s="60" t="n">
        <x:v>100.9897951076</x:v>
      </x:c>
      <x:c r="K262" s="60" t="n">
        <x:v>0</x:v>
      </x:c>
      <x:c r="L262" s="60" t="n">
        <x:v>55.7667112132</x:v>
      </x:c>
      <x:c r="M262" s="60" t="n">
        <x:v>45.2230838944</x:v>
      </x:c>
      <x:c r="N262" s="46" t="str">
        <x:v>penaeus kerathurus</x:v>
      </x:c>
      <x:c r="O262" s="62" t="n">
        <x:v>2.7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Penaeus kerathurus</x:v>
      </x:c>
      <x:c r="T262" s="62" t="n">
        <x:f>IF(O262="","",(1/'Metadata'!$B$5)^(O262-1))</x:f>
        <x:v>50.11872336272725</x:v>
      </x:c>
      <x:c r="U262" s="60" t="n">
        <x:f>IF(T262="","",I262*T262)</x:f>
        <x:v>5061.4796034563105</x:v>
      </x:c>
    </x:row>
    <x:row r="263" ht="18" customHeight="1">
      <x:c r="A263" s="46" t="str">
        <x:v>LME_027</x:v>
      </x:c>
      <x:c r="B263" s="46" t="str">
        <x:v>Canary Current</x:v>
      </x:c>
      <x:c r="C263" s="46" t="str">
        <x:v>LME</x:v>
      </x:c>
      <x:c r="D263" s="58" t="n">
        <x:v>2019</x:v>
      </x:c>
      <x:c r="E263" s="46" t="str">
        <x:v>Engraulidae</x:v>
      </x:c>
      <x:c r="F263" s="46" t="str">
        <x:v>Anchovies, round herrings</x:v>
      </x:c>
      <x:c r="G263" s="46" t="str">
        <x:v>Small pelagics (&lt;30 cm)</x:v>
      </x:c>
      <x:c r="H263" s="46" t="str">
        <x:v>Anchovies</x:v>
      </x:c>
      <x:c r="I263" s="60" t="n">
        <x:v>99.57228995220001</x:v>
      </x:c>
      <x:c r="J263" s="60" t="n">
        <x:v>99.57228995220001</x:v>
      </x:c>
      <x:c r="K263" s="60" t="n">
        <x:v>0</x:v>
      </x:c>
      <x:c r="L263" s="60" t="n">
        <x:v>0</x:v>
      </x:c>
      <x:c r="M263" s="60" t="n">
        <x:v>99.57228995220001</x:v>
      </x:c>
      <x:c r="N263" s="46" t="str">
        <x:v>engraulidae</x:v>
      </x:c>
      <x:c r="O263" s="62" t="n">
        <x:v>3.2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Engraulidae</x:v>
      </x:c>
      <x:c r="T263" s="62" t="n">
        <x:f>IF(O263="","",(1/'Metadata'!$B$5)^(O263-1))</x:f>
        <x:v>158.48931924611142</x:v>
      </x:c>
      <x:c r="U263" s="60" t="n">
        <x:f>IF(T263="","",I263*T263)</x:f>
        <x:v>15781.1444503006</x:v>
      </x:c>
    </x:row>
    <x:row r="264" ht="18" customHeight="1">
      <x:c r="A264" s="46" t="str">
        <x:v>LME_027</x:v>
      </x:c>
      <x:c r="B264" s="46" t="str">
        <x:v>Canary Current</x:v>
      </x:c>
      <x:c r="C264" s="46" t="str">
        <x:v>LME</x:v>
      </x:c>
      <x:c r="D264" s="58" t="n">
        <x:v>2019</x:v>
      </x:c>
      <x:c r="E264" s="46" t="str">
        <x:v>Gymnothorax</x:v>
      </x:c>
      <x:c r="F264" s="46" t="str">
        <x:v>Morays</x:v>
      </x:c>
      <x:c r="G264" s="46" t="str">
        <x:v>Large reef assoc. fish (&gt;=90 cm)</x:v>
      </x:c>
      <x:c r="H264" s="46" t="str">
        <x:v>Other fishes &amp; inverts</x:v>
      </x:c>
      <x:c r="I264" s="60" t="n">
        <x:v>96.7881827783</x:v>
      </x:c>
      <x:c r="J264" s="60" t="n">
        <x:v>96.7881827783</x:v>
      </x:c>
      <x:c r="K264" s="60" t="n">
        <x:v>0</x:v>
      </x:c>
      <x:c r="L264" s="60" t="n">
        <x:v>96.7881827783</x:v>
      </x:c>
      <x:c r="M264" s="60" t="n">
        <x:v>0</x:v>
      </x:c>
      <x:c r="N264" s="46" t="str">
        <x:v>gymnothorax</x:v>
      </x:c>
      <x:c r="O264" s="62" t="n">
        <x:v>4.22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Gymnothorax</x:v>
      </x:c>
      <x:c r="T264" s="62" t="n">
        <x:f>IF(O264="","",(1/'Metadata'!$B$5)^(O264-1))</x:f>
        <x:v>1659.5869074375596</x:v>
      </x:c>
      <x:c r="U264" s="60" t="n">
        <x:f>IF(T264="","",I264*T264)</x:f>
        <x:v>160628.40093354016</x:v>
      </x:c>
    </x:row>
    <x:row r="265" ht="18" customHeight="1">
      <x:c r="A265" s="46" t="str">
        <x:v>LME_027</x:v>
      </x:c>
      <x:c r="B265" s="46" t="str">
        <x:v>Canary Current</x:v>
      </x:c>
      <x:c r="C265" s="46" t="str">
        <x:v>LME</x:v>
      </x:c>
      <x:c r="D265" s="58" t="n">
        <x:v>2019</x:v>
      </x:c>
      <x:c r="E265" s="46" t="str">
        <x:v>Fistularia tabacaria</x:v>
      </x:c>
      <x:c r="F265" s="46" t="str">
        <x:v>Cornetfish</x:v>
      </x:c>
      <x:c r="G265" s="46" t="str">
        <x:v>Large reef assoc. fish (&gt;=90 cm)</x:v>
      </x:c>
      <x:c r="H265" s="46" t="str">
        <x:v>Other fishes &amp; inverts</x:v>
      </x:c>
      <x:c r="I265" s="60" t="n">
        <x:v>96.72041089230001</x:v>
      </x:c>
      <x:c r="J265" s="60" t="n">
        <x:v>95.5276615659</x:v>
      </x:c>
      <x:c r="K265" s="60" t="n">
        <x:v>1.1927493264</x:v>
      </x:c>
      <x:c r="L265" s="60" t="n">
        <x:v>18.349998427000003</x:v>
      </x:c>
      <x:c r="M265" s="60" t="n">
        <x:v>78.3704124653</x:v>
      </x:c>
      <x:c r="N265" s="46" t="str">
        <x:v>fistularia tabacaria</x:v>
      </x:c>
      <x:c r="O265" s="62" t="n">
        <x:v>3.69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Fistularia tabacaria</x:v>
      </x:c>
      <x:c r="T265" s="62" t="n">
        <x:f>IF(O265="","",(1/'Metadata'!$B$5)^(O265-1))</x:f>
        <x:v>489.77881936844614</x:v>
      </x:c>
      <x:c r="U265" s="60" t="n">
        <x:f>IF(T265="","",I265*T265)</x:f>
        <x:v>47371.608655661694</x:v>
      </x:c>
    </x:row>
    <x:row r="266" ht="18" customHeight="1">
      <x:c r="A266" s="46" t="str">
        <x:v>LME_027</x:v>
      </x:c>
      <x:c r="B266" s="46" t="str">
        <x:v>Canary Current</x:v>
      </x:c>
      <x:c r="C266" s="46" t="str">
        <x:v>LME</x:v>
      </x:c>
      <x:c r="D266" s="58" t="n">
        <x:v>2019</x:v>
      </x:c>
      <x:c r="E266" s="46" t="str">
        <x:v>Phycis blennoides</x:v>
      </x:c>
      <x:c r="F266" s="46" t="str">
        <x:v>Greater forkbeard</x:v>
      </x:c>
      <x:c r="G266" s="46" t="str">
        <x:v>Large benthopelagics (&gt;=90 cm)</x:v>
      </x:c>
      <x:c r="H266" s="46" t="str">
        <x:v>Cod-likes</x:v>
      </x:c>
      <x:c r="I266" s="60" t="n">
        <x:v>91.921476393</x:v>
      </x:c>
      <x:c r="J266" s="60" t="n">
        <x:v>91.921476393</x:v>
      </x:c>
      <x:c r="K266" s="60" t="n">
        <x:v>0</x:v>
      </x:c>
      <x:c r="L266" s="60" t="n">
        <x:v>91.921476393</x:v>
      </x:c>
      <x:c r="M266" s="60" t="n">
        <x:v>0</x:v>
      </x:c>
      <x:c r="N266" s="46" t="str">
        <x:v>phycis blennoides</x:v>
      </x:c>
      <x:c r="O266" s="62" t="n">
        <x:v>3.87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Phycis blennoides</x:v>
      </x:c>
      <x:c r="T266" s="62" t="n">
        <x:f>IF(O266="","",(1/'Metadata'!$B$5)^(O266-1))</x:f>
        <x:v>741.3102413009177</x:v>
      </x:c>
      <x:c r="U266" s="60" t="n">
        <x:f>IF(T266="","",I266*T266)</x:f>
        <x:v>68142.33184563144</x:v>
      </x:c>
    </x:row>
    <x:row r="267" ht="18" customHeight="1">
      <x:c r="A267" s="46" t="str">
        <x:v>LME_027</x:v>
      </x:c>
      <x:c r="B267" s="46" t="str">
        <x:v>Canary Current</x:v>
      </x:c>
      <x:c r="C267" s="46" t="str">
        <x:v>LME</x:v>
      </x:c>
      <x:c r="D267" s="58" t="n">
        <x:v>2019</x:v>
      </x:c>
      <x:c r="E267" s="46" t="str">
        <x:v>Epinephelus caninus</x:v>
      </x:c>
      <x:c r="F267" s="46" t="str">
        <x:v>Dogtooth grouper</x:v>
      </x:c>
      <x:c r="G267" s="46" t="str">
        <x:v>Large demersals (&gt;=90 cm)</x:v>
      </x:c>
      <x:c r="H267" s="46" t="str">
        <x:v>Perch-likes</x:v>
      </x:c>
      <x:c r="I267" s="60" t="n">
        <x:v>88.18332399159999</x:v>
      </x:c>
      <x:c r="J267" s="60" t="n">
        <x:v>88.18332399159999</x:v>
      </x:c>
      <x:c r="K267" s="60" t="n">
        <x:v>0</x:v>
      </x:c>
      <x:c r="L267" s="60" t="n">
        <x:v>0.0631171055</x:v>
      </x:c>
      <x:c r="M267" s="60" t="n">
        <x:v>88.1202068861</x:v>
      </x:c>
      <x:c r="N267" s="46" t="str">
        <x:v>epinephelus caninus</x:v>
      </x:c>
      <x:c r="O267" s="62" t="n">
        <x:v>3.77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Epinephelus caninus</x:v>
      </x:c>
      <x:c r="T267" s="62" t="n">
        <x:f>IF(O267="","",(1/'Metadata'!$B$5)^(O267-1))</x:f>
        <x:v>588.843655355589</x:v>
      </x:c>
      <x:c r="U267" s="60" t="n">
        <x:f>IF(T267="","",I267*T267)</x:f>
        <x:v>51926.19084061995</x:v>
      </x:c>
    </x:row>
    <x:row r="268" ht="18" customHeight="1">
      <x:c r="A268" s="46" t="str">
        <x:v>LME_027</x:v>
      </x:c>
      <x:c r="B268" s="46" t="str">
        <x:v>Canary Current</x:v>
      </x:c>
      <x:c r="C268" s="46" t="str">
        <x:v>LME</x:v>
      </x:c>
      <x:c r="D268" s="58" t="n">
        <x:v>2019</x:v>
      </x:c>
      <x:c r="E268" s="46" t="str">
        <x:v>Scorpaena scrofa</x:v>
      </x:c>
      <x:c r="F268" s="46" t="str">
        <x:v>Red scorpionfish</x:v>
      </x:c>
      <x:c r="G268" s="46" t="str">
        <x:v>Medium demersals (30 - 89 cm)</x:v>
      </x:c>
      <x:c r="H268" s="46" t="str">
        <x:v>Scorpionfishes</x:v>
      </x:c>
      <x:c r="I268" s="60" t="n">
        <x:v>86.3207795345</x:v>
      </x:c>
      <x:c r="J268" s="60" t="n">
        <x:v>83.03727253400001</x:v>
      </x:c>
      <x:c r="K268" s="60" t="n">
        <x:v>3.2835070005</x:v>
      </x:c>
      <x:c r="L268" s="60" t="n">
        <x:v>72.4763307308</x:v>
      </x:c>
      <x:c r="M268" s="60" t="n">
        <x:v>13.8444488037</x:v>
      </x:c>
      <x:c r="N268" s="46" t="str">
        <x:v>scorpaena scrofa</x:v>
      </x:c>
      <x:c r="O268" s="62" t="n">
        <x:v>4.25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Scorpaena scrofa</x:v>
      </x:c>
      <x:c r="T268" s="62" t="n">
        <x:f>IF(O268="","",(1/'Metadata'!$B$5)^(O268-1))</x:f>
        <x:v>1778.2794100389228</x:v>
      </x:c>
      <x:c r="U268" s="60" t="n">
        <x:f>IF(T268="","",I268*T268)</x:f>
        <x:v>153502.4649047106</x:v>
      </x:c>
    </x:row>
    <x:row r="269" ht="18" customHeight="1">
      <x:c r="A269" s="46" t="str">
        <x:v>LME_027</x:v>
      </x:c>
      <x:c r="B269" s="46" t="str">
        <x:v>Canary Current</x:v>
      </x:c>
      <x:c r="C269" s="46" t="str">
        <x:v>LME</x:v>
      </x:c>
      <x:c r="D269" s="58" t="n">
        <x:v>2019</x:v>
      </x:c>
      <x:c r="E269" s="46" t="str">
        <x:v>Branchiostegus</x:v>
      </x:c>
      <x:c r="F269" s="46" t="str">
        <x:v>Indian and Pacific tilefishes</x:v>
      </x:c>
      <x:c r="G269" s="46" t="str">
        <x:v>Medium demersals (30 - 89 cm)</x:v>
      </x:c>
      <x:c r="H269" s="46" t="str">
        <x:v>Perch-likes</x:v>
      </x:c>
      <x:c r="I269" s="60" t="n">
        <x:v>85.4556214081</x:v>
      </x:c>
      <x:c r="J269" s="60" t="n">
        <x:v>85.4556214081</x:v>
      </x:c>
      <x:c r="K269" s="60" t="n">
        <x:v>0</x:v>
      </x:c>
      <x:c r="L269" s="60" t="n">
        <x:v>85.4556214081</x:v>
      </x:c>
      <x:c r="M269" s="60" t="n">
        <x:v>0</x:v>
      </x:c>
      <x:c r="N269" s="46" t="str">
        <x:v>branchiostegus</x:v>
      </x:c>
      <x:c r="O269" s="62" t="n">
        <x:v>3.4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Branchiostegus</x:v>
      </x:c>
      <x:c r="T269" s="62" t="n">
        <x:f>IF(O269="","",(1/'Metadata'!$B$5)^(O269-1))</x:f>
        <x:v>251.18864315095797</x:v>
      </x:c>
      <x:c r="U269" s="60" t="n">
        <x:f>IF(T269="","",I269*T269)</x:f>
        <x:v>21465.481591122596</x:v>
      </x:c>
    </x:row>
    <x:row r="270" ht="18" customHeight="1">
      <x:c r="A270" s="46" t="str">
        <x:v>LME_027</x:v>
      </x:c>
      <x:c r="B270" s="46" t="str">
        <x:v>Canary Current</x:v>
      </x:c>
      <x:c r="C270" s="46" t="str">
        <x:v>LME</x:v>
      </x:c>
      <x:c r="D270" s="58" t="n">
        <x:v>2019</x:v>
      </x:c>
      <x:c r="E270" s="46" t="str">
        <x:v>Marine groundfishes not identified</x:v>
      </x:c>
      <x:c r="F270" s="46" t="str">
        <x:v>Groundfishes</x:v>
      </x:c>
      <x:c r="G270" s="46" t="str">
        <x:v>Medium demersals (30 - 89 cm)</x:v>
      </x:c>
      <x:c r="H270" s="46" t="str">
        <x:v>Other fishes &amp; inverts</x:v>
      </x:c>
      <x:c r="I270" s="60" t="n">
        <x:v>79.7158334894</x:v>
      </x:c>
      <x:c r="J270" s="60" t="n">
        <x:v>79.7158334894</x:v>
      </x:c>
      <x:c r="K270" s="60" t="n">
        <x:v>0</x:v>
      </x:c>
      <x:c r="L270" s="60" t="n">
        <x:v>0</x:v>
      </x:c>
      <x:c r="M270" s="60" t="n">
        <x:v>79.7158334894</x:v>
      </x:c>
      <x:c r="N270" s="46" t="str">
        <x:v>marine groundfishes not identified</x:v>
      </x:c>
      <x:c r="O270" s="62" t="n">
        <x:v>3.22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Marine groundfishes not identified</x:v>
      </x:c>
      <x:c r="T270" s="62" t="n">
        <x:f>IF(O270="","",(1/'Metadata'!$B$5)^(O270-1))</x:f>
        <x:v>165.95869074375614</x:v>
      </x:c>
      <x:c r="U270" s="60" t="n">
        <x:f>IF(T270="","",I270*T270)</x:f>
        <x:v>13229.535357448092</x:v>
      </x:c>
    </x:row>
    <x:row r="271" ht="18" customHeight="1">
      <x:c r="A271" s="46" t="str">
        <x:v>LME_027</x:v>
      </x:c>
      <x:c r="B271" s="46" t="str">
        <x:v>Canary Current</x:v>
      </x:c>
      <x:c r="C271" s="46" t="str">
        <x:v>LME</x:v>
      </x:c>
      <x:c r="D271" s="58" t="n">
        <x:v>2019</x:v>
      </x:c>
      <x:c r="E271" s="46" t="str">
        <x:v>Mobula birostris</x:v>
      </x:c>
      <x:c r="F271" s="46" t="str">
        <x:v>Giant manta</x:v>
      </x:c>
      <x:c r="G271" s="46" t="str">
        <x:v>Large rays (&gt;=90 cm)</x:v>
      </x:c>
      <x:c r="H271" s="46" t="str">
        <x:v>Sharks &amp; rays</x:v>
      </x:c>
      <x:c r="I271" s="60" t="n">
        <x:v>73.9423813948</x:v>
      </x:c>
      <x:c r="J271" s="60" t="n">
        <x:v>73.9423813948</x:v>
      </x:c>
      <x:c r="K271" s="60" t="n">
        <x:v>0</x:v>
      </x:c>
      <x:c r="L271" s="60" t="n">
        <x:v>0</x:v>
      </x:c>
      <x:c r="M271" s="60" t="n">
        <x:v>73.9423813948</x:v>
      </x:c>
      <x:c r="N271" s="46" t="str">
        <x:v>mobula birostris</x:v>
      </x:c>
      <x:c r="O271" s="62" t="n">
        <x:v>3.46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Mobula birostris</x:v>
      </x:c>
      <x:c r="T271" s="62" t="n">
        <x:f>IF(O271="","",(1/'Metadata'!$B$5)^(O271-1))</x:f>
        <x:v>288.40315031266056</x:v>
      </x:c>
      <x:c r="U271" s="60" t="n">
        <x:f>IF(T271="","",I271*T271)</x:f>
        <x:v>21325.215735880578</x:v>
      </x:c>
    </x:row>
    <x:row r="272" ht="18" customHeight="1">
      <x:c r="A272" s="46" t="str">
        <x:v>LME_027</x:v>
      </x:c>
      <x:c r="B272" s="46" t="str">
        <x:v>Canary Current</x:v>
      </x:c>
      <x:c r="C272" s="46" t="str">
        <x:v>LME</x:v>
      </x:c>
      <x:c r="D272" s="58" t="n">
        <x:v>2019</x:v>
      </x:c>
      <x:c r="E272" s="46" t="str">
        <x:v>Tetrapturus pfluegeri</x:v>
      </x:c>
      <x:c r="F272" s="46" t="str">
        <x:v>Longbill spearfish</x:v>
      </x:c>
      <x:c r="G272" s="46" t="str">
        <x:v>Large pelagics (&gt;=90 cm)</x:v>
      </x:c>
      <x:c r="H272" s="46" t="str">
        <x:v>Tuna &amp; billfishes</x:v>
      </x:c>
      <x:c r="I272" s="60" t="n">
        <x:v>68.4155716303</x:v>
      </x:c>
      <x:c r="J272" s="60" t="n">
        <x:v>68.4155716303</x:v>
      </x:c>
      <x:c r="K272" s="60" t="n">
        <x:v>0</x:v>
      </x:c>
      <x:c r="L272" s="60" t="n">
        <x:v>1.6723801373</x:v>
      </x:c>
      <x:c r="M272" s="60" t="n">
        <x:v>66.743191493</x:v>
      </x:c>
      <x:c r="N272" s="46" t="str">
        <x:v>tetrapturus pfluegeri</x:v>
      </x:c>
      <x:c r="O272" s="62" t="n">
        <x:v>4.4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Tetrapturus pfluegeri</x:v>
      </x:c>
      <x:c r="T272" s="62" t="n">
        <x:f>IF(O272="","",(1/'Metadata'!$B$5)^(O272-1))</x:f>
        <x:v>2511.886431509582</x:v>
      </x:c>
      <x:c r="U272" s="60" t="n">
        <x:f>IF(T272="","",I272*T272)</x:f>
        <x:v>171852.14608212246</x:v>
      </x:c>
    </x:row>
    <x:row r="273" ht="18" customHeight="1">
      <x:c r="A273" s="46" t="str">
        <x:v>LME_027</x:v>
      </x:c>
      <x:c r="B273" s="46" t="str">
        <x:v>Canary Current</x:v>
      </x:c>
      <x:c r="C273" s="46" t="str">
        <x:v>LME</x:v>
      </x:c>
      <x:c r="D273" s="58" t="n">
        <x:v>2019</x:v>
      </x:c>
      <x:c r="E273" s="46" t="str">
        <x:v>Lophius budegassa</x:v>
      </x:c>
      <x:c r="F273" s="46" t="str">
        <x:v>Blackbellied angler</x:v>
      </x:c>
      <x:c r="G273" s="46" t="str">
        <x:v>Large bathydemersals (&gt;=90 cm)</x:v>
      </x:c>
      <x:c r="H273" s="46" t="str">
        <x:v>Other fishes &amp; inverts</x:v>
      </x:c>
      <x:c r="I273" s="60" t="n">
        <x:v>67.878400597</x:v>
      </x:c>
      <x:c r="J273" s="60" t="n">
        <x:v>67.878400597</x:v>
      </x:c>
      <x:c r="K273" s="60" t="n">
        <x:v>0</x:v>
      </x:c>
      <x:c r="L273" s="60" t="n">
        <x:v>67.878400597</x:v>
      </x:c>
      <x:c r="M273" s="60" t="n">
        <x:v>0</x:v>
      </x:c>
      <x:c r="N273" s="46" t="str">
        <x:v>lophius budegassa</x:v>
      </x:c>
      <x:c r="O273" s="62" t="n">
        <x:v>4.41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Lophius budegassa</x:v>
      </x:c>
      <x:c r="T273" s="62" t="n">
        <x:f>IF(O273="","",(1/'Metadata'!$B$5)^(O273-1))</x:f>
        <x:v>2570.3957827688646</x:v>
      </x:c>
      <x:c r="U273" s="60" t="n">
        <x:f>IF(T273="","",I273*T273)</x:f>
        <x:v>174474.35463562436</x:v>
      </x:c>
    </x:row>
    <x:row r="274" ht="18" customHeight="1">
      <x:c r="A274" s="46" t="str">
        <x:v>LME_027</x:v>
      </x:c>
      <x:c r="B274" s="46" t="str">
        <x:v>Canary Current</x:v>
      </x:c>
      <x:c r="C274" s="46" t="str">
        <x:v>LME</x:v>
      </x:c>
      <x:c r="D274" s="58" t="n">
        <x:v>2019</x:v>
      </x:c>
      <x:c r="E274" s="46" t="str">
        <x:v>Serranus scriba</x:v>
      </x:c>
      <x:c r="F274" s="46" t="str">
        <x:v>Painted comber</x:v>
      </x:c>
      <x:c r="G274" s="46" t="str">
        <x:v>Medium demersals (30 - 89 cm)</x:v>
      </x:c>
      <x:c r="H274" s="46" t="str">
        <x:v>Perch-likes</x:v>
      </x:c>
      <x:c r="I274" s="60" t="n">
        <x:v>67.0180961231</x:v>
      </x:c>
      <x:c r="J274" s="60" t="n">
        <x:v>63.704122401599996</x:v>
      </x:c>
      <x:c r="K274" s="60" t="n">
        <x:v>3.3139737215</x:v>
      </x:c>
      <x:c r="L274" s="60" t="n">
        <x:v>53.045188644199996</x:v>
      </x:c>
      <x:c r="M274" s="60" t="n">
        <x:v>13.9729074789</x:v>
      </x:c>
      <x:c r="N274" s="46" t="str">
        <x:v>serranus scriba</x:v>
      </x:c>
      <x:c r="O274" s="62" t="n">
        <x:v>3.82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Serranus scriba</x:v>
      </x:c>
      <x:c r="T274" s="62" t="n">
        <x:f>IF(O274="","",(1/'Metadata'!$B$5)^(O274-1))</x:f>
        <x:v>660.6934480075957</x:v>
      </x:c>
      <x:c r="U274" s="60" t="n">
        <x:f>IF(T274="","",I274*T274)</x:f>
        <x:v>44278.41700647542</x:v>
      </x:c>
    </x:row>
    <x:row r="275" ht="18" customHeight="1">
      <x:c r="A275" s="46" t="str">
        <x:v>LME_027</x:v>
      </x:c>
      <x:c r="B275" s="46" t="str">
        <x:v>Canary Current</x:v>
      </x:c>
      <x:c r="C275" s="46" t="str">
        <x:v>LME</x:v>
      </x:c>
      <x:c r="D275" s="58" t="n">
        <x:v>2019</x:v>
      </x:c>
      <x:c r="E275" s="46" t="str">
        <x:v>Lutjanidae</x:v>
      </x:c>
      <x:c r="F275" s="46" t="str">
        <x:v>Snappers</x:v>
      </x:c>
      <x:c r="G275" s="46" t="str">
        <x:v>Medium reef assoc. fish (30 - 89 cm)</x:v>
      </x:c>
      <x:c r="H275" s="46" t="str">
        <x:v>Perch-likes</x:v>
      </x:c>
      <x:c r="I275" s="60" t="n">
        <x:v>66.7978137863</x:v>
      </x:c>
      <x:c r="J275" s="60" t="n">
        <x:v>66.7978137863</x:v>
      </x:c>
      <x:c r="K275" s="60" t="n">
        <x:v>0</x:v>
      </x:c>
      <x:c r="L275" s="60" t="n">
        <x:v>5.2773432303</x:v>
      </x:c>
      <x:c r="M275" s="60" t="n">
        <x:v>61.520470556</x:v>
      </x:c>
      <x:c r="N275" s="46" t="str">
        <x:v>lutjanidae</x:v>
      </x:c>
      <x:c r="O275" s="62" t="n">
        <x:v>4.02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Lutjanidae</x:v>
      </x:c>
      <x:c r="T275" s="62" t="n">
        <x:f>IF(O275="","",(1/'Metadata'!$B$5)^(O275-1))</x:f>
        <x:v>1047.1285480508984</x:v>
      </x:c>
      <x:c r="U275" s="60" t="n">
        <x:f>IF(T275="","",I275*T275)</x:f>
        <x:v>69945.8977630226</x:v>
      </x:c>
    </x:row>
    <x:row r="276" ht="18" customHeight="1">
      <x:c r="A276" s="46" t="str">
        <x:v>LME_027</x:v>
      </x:c>
      <x:c r="B276" s="46" t="str">
        <x:v>Canary Current</x:v>
      </x:c>
      <x:c r="C276" s="46" t="str">
        <x:v>LME</x:v>
      </x:c>
      <x:c r="D276" s="58" t="n">
        <x:v>2019</x:v>
      </x:c>
      <x:c r="E276" s="46" t="str">
        <x:v>Aristaeopsis edwardsiana</x:v>
      </x:c>
      <x:c r="F276" s="46" t="str">
        <x:v>Scarlet shrimp</x:v>
      </x:c>
      <x:c r="G276" s="46" t="str">
        <x:v>Shrimps</x:v>
      </x:c>
      <x:c r="H276" s="46" t="str">
        <x:v>Crustaceans</x:v>
      </x:c>
      <x:c r="I276" s="60" t="n">
        <x:v>66.6508665543</x:v>
      </x:c>
      <x:c r="J276" s="60" t="n">
        <x:v>66.6508665543</x:v>
      </x:c>
      <x:c r="K276" s="60" t="n">
        <x:v>0</x:v>
      </x:c>
      <x:c r="L276" s="60" t="n">
        <x:v>66.6508665543</x:v>
      </x:c>
      <x:c r="M276" s="60" t="n">
        <x:v>0</x:v>
      </x:c>
      <x:c r="N276" s="46" t="str">
        <x:v>aristaeopsis edwardsiana</x:v>
      </x:c>
      <x:c r="O276" s="62" t="n">
        <x:v>2.3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Aristaeopsis edwardsiana</x:v>
      </x:c>
      <x:c r="T276" s="62" t="n">
        <x:f>IF(O276="","",(1/'Metadata'!$B$5)^(O276-1))</x:f>
        <x:v>19.952623149688787</x:v>
      </x:c>
      <x:c r="U276" s="60" t="n">
        <x:f>IF(T276="","",I276*T276)</x:f>
        <x:v>1329.8596229581442</x:v>
      </x:c>
    </x:row>
    <x:row r="277" ht="18" customHeight="1">
      <x:c r="A277" s="46" t="str">
        <x:v>LME_027</x:v>
      </x:c>
      <x:c r="B277" s="46" t="str">
        <x:v>Canary Current</x:v>
      </x:c>
      <x:c r="C277" s="46" t="str">
        <x:v>LME</x:v>
      </x:c>
      <x:c r="D277" s="58" t="n">
        <x:v>2019</x:v>
      </x:c>
      <x:c r="E277" s="46" t="str">
        <x:v>Raja miraletus</x:v>
      </x:c>
      <x:c r="F277" s="46" t="str">
        <x:v>Brown ray</x:v>
      </x:c>
      <x:c r="G277" s="46" t="str">
        <x:v>Small to medium rays (&lt;90 cm)</x:v>
      </x:c>
      <x:c r="H277" s="46" t="str">
        <x:v>Sharks &amp; rays</x:v>
      </x:c>
      <x:c r="I277" s="60" t="n">
        <x:v>66.1519588923</x:v>
      </x:c>
      <x:c r="J277" s="60" t="n">
        <x:v>65.43805034969999</x:v>
      </x:c>
      <x:c r="K277" s="60" t="n">
        <x:v>0.7139085426</x:v>
      </x:c>
      <x:c r="L277" s="60" t="n">
        <x:v>63.14227741770001</x:v>
      </x:c>
      <x:c r="M277" s="60" t="n">
        <x:v>3.0096814746000002</x:v>
      </x:c>
      <x:c r="N277" s="46" t="str">
        <x:v>raja miraletus</x:v>
      </x:c>
      <x:c r="O277" s="62" t="n">
        <x:v>3.8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Raja miraletus</x:v>
      </x:c>
      <x:c r="T277" s="62" t="n">
        <x:f>IF(O277="","",(1/'Metadata'!$B$5)^(O277-1))</x:f>
        <x:v>630.957344480193</x:v>
      </x:c>
      <x:c r="U277" s="60" t="n">
        <x:f>IF(T277="","",I277*T277)</x:f>
        <x:v>41739.064314848496</x:v>
      </x:c>
    </x:row>
    <x:row r="278" ht="18" customHeight="1">
      <x:c r="A278" s="46" t="str">
        <x:v>LME_027</x:v>
      </x:c>
      <x:c r="B278" s="46" t="str">
        <x:v>Canary Current</x:v>
      </x:c>
      <x:c r="C278" s="46" t="str">
        <x:v>LME</x:v>
      </x:c>
      <x:c r="D278" s="58" t="n">
        <x:v>2019</x:v>
      </x:c>
      <x:c r="E278" s="46" t="str">
        <x:v>Dentex maroccanus</x:v>
      </x:c>
      <x:c r="F278" s="46" t="str">
        <x:v>Morocco dentex</x:v>
      </x:c>
      <x:c r="G278" s="46" t="str">
        <x:v>Medium demersals (30 - 89 cm)</x:v>
      </x:c>
      <x:c r="H278" s="46" t="str">
        <x:v>Perch-likes</x:v>
      </x:c>
      <x:c r="I278" s="60" t="n">
        <x:v>65.7347536851</x:v>
      </x:c>
      <x:c r="J278" s="60" t="n">
        <x:v>62.509648586</x:v>
      </x:c>
      <x:c r="K278" s="60" t="n">
        <x:v>3.2251050991</x:v>
      </x:c>
      <x:c r="L278" s="60" t="n">
        <x:v>52.1365483443</x:v>
      </x:c>
      <x:c r="M278" s="60" t="n">
        <x:v>13.5982053408</x:v>
      </x:c>
      <x:c r="N278" s="46" t="str">
        <x:v>dentex maroccanus</x:v>
      </x:c>
      <x:c r="O278" s="62" t="n">
        <x:v>3.85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Dentex maroccanus</x:v>
      </x:c>
      <x:c r="T278" s="62" t="n">
        <x:f>IF(O278="","",(1/'Metadata'!$B$5)^(O278-1))</x:f>
        <x:v>707.945784384138</x:v>
      </x:c>
      <x:c r="U278" s="60" t="n">
        <x:f>IF(T278="","",I278*T278)</x:f>
        <x:v>46536.64175889623</x:v>
      </x:c>
    </x:row>
    <x:row r="279" ht="18" customHeight="1">
      <x:c r="A279" s="46" t="str">
        <x:v>LME_027</x:v>
      </x:c>
      <x:c r="B279" s="46" t="str">
        <x:v>Canary Current</x:v>
      </x:c>
      <x:c r="C279" s="46" t="str">
        <x:v>LME</x:v>
      </x:c>
      <x:c r="D279" s="58" t="n">
        <x:v>2019</x:v>
      </x:c>
      <x:c r="E279" s="46" t="str">
        <x:v>Arnoglossus laterna</x:v>
      </x:c>
      <x:c r="F279" s="46" t="str">
        <x:v>Mediterranean scaldfish</x:v>
      </x:c>
      <x:c r="G279" s="46" t="str">
        <x:v>Small to medium flatfishes (&lt;90 cm)</x:v>
      </x:c>
      <x:c r="H279" s="46" t="str">
        <x:v>Flatfishes</x:v>
      </x:c>
      <x:c r="I279" s="60" t="n">
        <x:v>63.325944962</x:v>
      </x:c>
      <x:c r="J279" s="60" t="n">
        <x:v>63.325944962</x:v>
      </x:c>
      <x:c r="K279" s="60" t="n">
        <x:v>0</x:v>
      </x:c>
      <x:c r="L279" s="60" t="n">
        <x:v>63.325944962</x:v>
      </x:c>
      <x:c r="M279" s="60" t="n">
        <x:v>0</x:v>
      </x:c>
      <x:c r="N279" s="46" t="str">
        <x:v>arnoglossus laterna</x:v>
      </x:c>
      <x:c r="O279" s="62" t="n">
        <x:v>3.59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Arnoglossus laterna</x:v>
      </x:c>
      <x:c r="T279" s="62" t="n">
        <x:f>IF(O279="","",(1/'Metadata'!$B$5)^(O279-1))</x:f>
        <x:v>389.04514499428046</x:v>
      </x:c>
      <x:c r="U279" s="60" t="n">
        <x:f>IF(T279="","",I279*T279)</x:f>
        <x:v>24636.651439641115</x:v>
      </x:c>
    </x:row>
    <x:row r="280" ht="18" customHeight="1">
      <x:c r="A280" s="46" t="str">
        <x:v>LME_027</x:v>
      </x:c>
      <x:c r="B280" s="46" t="str">
        <x:v>Canary Current</x:v>
      </x:c>
      <x:c r="C280" s="46" t="str">
        <x:v>LME</x:v>
      </x:c>
      <x:c r="D280" s="58" t="n">
        <x:v>2019</x:v>
      </x:c>
      <x:c r="E280" s="46" t="str">
        <x:v>Acanthuridae</x:v>
      </x:c>
      <x:c r="F280" s="46" t="str">
        <x:v>Surgeons, tangs, unicornfishes</x:v>
      </x:c>
      <x:c r="G280" s="46" t="str">
        <x:v>Small reef assoc. fish (&lt;30 cm)</x:v>
      </x:c>
      <x:c r="H280" s="46" t="str">
        <x:v>Perch-likes</x:v>
      </x:c>
      <x:c r="I280" s="60" t="n">
        <x:v>58.6548051997</x:v>
      </x:c>
      <x:c r="J280" s="60" t="n">
        <x:v>58.6548051997</x:v>
      </x:c>
      <x:c r="K280" s="60" t="n">
        <x:v>0</x:v>
      </x:c>
      <x:c r="L280" s="60" t="n">
        <x:v>0</x:v>
      </x:c>
      <x:c r="M280" s="60" t="n">
        <x:v>58.6548051997</x:v>
      </x:c>
      <x:c r="N280" s="46" t="str">
        <x:v>acanthuridae</x:v>
      </x:c>
      <x:c r="O280" s="62" t="n">
        <x:v>2.28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Acanthuridae</x:v>
      </x:c>
      <x:c r="T280" s="62" t="n">
        <x:f>IF(O280="","",(1/'Metadata'!$B$5)^(O280-1))</x:f>
        <x:v>19.054607179632463</x:v>
      </x:c>
      <x:c r="U280" s="60" t="n">
        <x:f>IF(T280="","",I280*T280)</x:f>
        <x:v>1117.6442722781471</x:v>
      </x:c>
    </x:row>
    <x:row r="281" ht="18" customHeight="1">
      <x:c r="A281" s="46" t="str">
        <x:v>LME_027</x:v>
      </x:c>
      <x:c r="B281" s="46" t="str">
        <x:v>Canary Current</x:v>
      </x:c>
      <x:c r="C281" s="46" t="str">
        <x:v>LME</x:v>
      </x:c>
      <x:c r="D281" s="58" t="n">
        <x:v>2019</x:v>
      </x:c>
      <x:c r="E281" s="46" t="str">
        <x:v>Carcharhiniformes</x:v>
      </x:c>
      <x:c r="F281" s="46" t="str">
        <x:v>Ground sharks</x:v>
      </x:c>
      <x:c r="G281" s="46" t="str">
        <x:v>Large sharks (&gt;=90 cm)</x:v>
      </x:c>
      <x:c r="H281" s="46" t="str">
        <x:v>Sharks &amp; rays</x:v>
      </x:c>
      <x:c r="I281" s="60" t="n">
        <x:v>58.4107327755</x:v>
      </x:c>
      <x:c r="J281" s="60" t="n">
        <x:v>55.430654610299996</x:v>
      </x:c>
      <x:c r="K281" s="60" t="n">
        <x:v>2.9800781652</x:v>
      </x:c>
      <x:c r="L281" s="60" t="n">
        <x:v>45.8473783524</x:v>
      </x:c>
      <x:c r="M281" s="60" t="n">
        <x:v>12.5633544231</x:v>
      </x:c>
      <x:c r="N281" s="46" t="str">
        <x:v>carcharhiniformes</x:v>
      </x:c>
      <x:c r="O281" s="62" t="n">
        <x:v>4.08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Carcharhiniformes</x:v>
      </x:c>
      <x:c r="T281" s="62" t="n">
        <x:f>IF(O281="","",(1/'Metadata'!$B$5)^(O281-1))</x:f>
        <x:v>1202.2644346174131</x:v>
      </x:c>
      <x:c r="U281" s="60" t="n">
        <x:f>IF(T281="","",I281*T281)</x:f>
        <x:v>70225.14661592532</x:v>
      </x:c>
    </x:row>
    <x:row r="282" ht="18" customHeight="1">
      <x:c r="A282" s="46" t="str">
        <x:v>LME_027</x:v>
      </x:c>
      <x:c r="B282" s="46" t="str">
        <x:v>Canary Current</x:v>
      </x:c>
      <x:c r="C282" s="46" t="str">
        <x:v>LME</x:v>
      </x:c>
      <x:c r="D282" s="58" t="n">
        <x:v>2019</x:v>
      </x:c>
      <x:c r="E282" s="46" t="str">
        <x:v>Dicentrarchus</x:v>
      </x:c>
      <x:c r="F282" s="46" t="str">
        <x:v>Seabasses</x:v>
      </x:c>
      <x:c r="G282" s="46" t="str">
        <x:v>Large demersals (&gt;=90 cm)</x:v>
      </x:c>
      <x:c r="H282" s="46" t="str">
        <x:v>Perch-likes</x:v>
      </x:c>
      <x:c r="I282" s="60" t="n">
        <x:v>57.6512720565</x:v>
      </x:c>
      <x:c r="J282" s="60" t="n">
        <x:v>57.6512720565</x:v>
      </x:c>
      <x:c r="K282" s="60" t="n">
        <x:v>0</x:v>
      </x:c>
      <x:c r="L282" s="60" t="n">
        <x:v>57.6512720565</x:v>
      </x:c>
      <x:c r="M282" s="60" t="n">
        <x:v>0</x:v>
      </x:c>
      <x:c r="N282" s="46" t="str">
        <x:v>dicentrarchus</x:v>
      </x:c>
      <x:c r="O282" s="62" t="n">
        <x:v>3.94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Dicentrarchus</x:v>
      </x:c>
      <x:c r="T282" s="62" t="n">
        <x:f>IF(O282="","",(1/'Metadata'!$B$5)^(O282-1))</x:f>
        <x:v>870.9635899560806</x:v>
      </x:c>
      <x:c r="U282" s="60" t="n">
        <x:f>IF(T282="","",I282*T282)</x:f>
        <x:v>50212.15887586391</x:v>
      </x:c>
    </x:row>
    <x:row r="283" ht="18" customHeight="1">
      <x:c r="A283" s="46" t="str">
        <x:v>LME_027</x:v>
      </x:c>
      <x:c r="B283" s="46" t="str">
        <x:v>Canary Current</x:v>
      </x:c>
      <x:c r="C283" s="46" t="str">
        <x:v>LME</x:v>
      </x:c>
      <x:c r="D283" s="58" t="n">
        <x:v>2019</x:v>
      </x:c>
      <x:c r="E283" s="46" t="str">
        <x:v>Merlucciidae</x:v>
      </x:c>
      <x:c r="F283" s="46" t="str">
        <x:v>Merluccid hakes</x:v>
      </x:c>
      <x:c r="G283" s="46" t="str">
        <x:v>Large bathydemersals (&gt;=90 cm)</x:v>
      </x:c>
      <x:c r="H283" s="46" t="str">
        <x:v>Cod-likes</x:v>
      </x:c>
      <x:c r="I283" s="60" t="n">
        <x:v>54.07517097339999</x:v>
      </x:c>
      <x:c r="J283" s="60" t="n">
        <x:v>51.3163720591</x:v>
      </x:c>
      <x:c r="K283" s="60" t="n">
        <x:v>2.7587989143</x:v>
      </x:c>
      <x:c r="L283" s="60" t="n">
        <x:v>42.4430805521</x:v>
      </x:c>
      <x:c r="M283" s="60" t="n">
        <x:v>11.6320904213</x:v>
      </x:c>
      <x:c r="N283" s="46" t="str">
        <x:v>merlucciidae</x:v>
      </x:c>
      <x:c r="O283" s="62" t="n">
        <x:v>4.35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Merlucciidae</x:v>
      </x:c>
      <x:c r="T283" s="62" t="n">
        <x:f>IF(O283="","",(1/'Metadata'!$B$5)^(O283-1))</x:f>
        <x:v>2238.7211385683377</x:v>
      </x:c>
      <x:c r="U283" s="60" t="n">
        <x:f>IF(T283="","",I283*T283)</x:f>
        <x:v>121059.22832984755</x:v>
      </x:c>
    </x:row>
    <x:row r="284" ht="18" customHeight="1">
      <x:c r="A284" s="46" t="str">
        <x:v>LME_027</x:v>
      </x:c>
      <x:c r="B284" s="46" t="str">
        <x:v>Canary Current</x:v>
      </x:c>
      <x:c r="C284" s="46" t="str">
        <x:v>LME</x:v>
      </x:c>
      <x:c r="D284" s="58" t="n">
        <x:v>2019</x:v>
      </x:c>
      <x:c r="E284" s="46" t="str">
        <x:v>Promethichthys prometheus</x:v>
      </x:c>
      <x:c r="F284" s="46" t="str">
        <x:v>Roudi escolar</x:v>
      </x:c>
      <x:c r="G284" s="46" t="str">
        <x:v>Large benthopelagics (&gt;=90 cm)</x:v>
      </x:c>
      <x:c r="H284" s="46" t="str">
        <x:v>Perch-likes</x:v>
      </x:c>
      <x:c r="I284" s="60" t="n">
        <x:v>53.2957416723</x:v>
      </x:c>
      <x:c r="J284" s="60" t="n">
        <x:v>53.2957416723</x:v>
      </x:c>
      <x:c r="K284" s="60" t="n">
        <x:v>0</x:v>
      </x:c>
      <x:c r="L284" s="60" t="n">
        <x:v>3.9202295698</x:v>
      </x:c>
      <x:c r="M284" s="60" t="n">
        <x:v>49.3755121025</x:v>
      </x:c>
      <x:c r="N284" s="46" t="str">
        <x:v>promethichthys prometheus</x:v>
      </x:c>
      <x:c r="O284" s="62" t="n">
        <x:v>4.18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Promethichthys prometheus</x:v>
      </x:c>
      <x:c r="T284" s="62" t="n">
        <x:f>IF(O284="","",(1/'Metadata'!$B$5)^(O284-1))</x:f>
        <x:v>1513.5612484362073</x:v>
      </x:c>
      <x:c r="U284" s="60" t="n">
        <x:f>IF(T284="","",I284*T284)</x:f>
        <x:v>80666.36930185997</x:v>
      </x:c>
    </x:row>
    <x:row r="285" ht="18" customHeight="1">
      <x:c r="A285" s="46" t="str">
        <x:v>LME_027</x:v>
      </x:c>
      <x:c r="B285" s="46" t="str">
        <x:v>Canary Current</x:v>
      </x:c>
      <x:c r="C285" s="46" t="str">
        <x:v>LME</x:v>
      </x:c>
      <x:c r="D285" s="58" t="n">
        <x:v>2019</x:v>
      </x:c>
      <x:c r="E285" s="46" t="str">
        <x:v>Pontinus kuhlii</x:v>
      </x:c>
      <x:c r="F285" s="46" t="str">
        <x:v>Offshore rockfish</x:v>
      </x:c>
      <x:c r="G285" s="46" t="str">
        <x:v>Medium bathydemersals (30 - 89 cm)</x:v>
      </x:c>
      <x:c r="H285" s="46" t="str">
        <x:v>Scorpionfishes</x:v>
      </x:c>
      <x:c r="I285" s="60" t="n">
        <x:v>52.8858650669</x:v>
      </x:c>
      <x:c r="J285" s="60" t="n">
        <x:v>52.8858650669</x:v>
      </x:c>
      <x:c r="K285" s="60" t="n">
        <x:v>0</x:v>
      </x:c>
      <x:c r="L285" s="60" t="n">
        <x:v>3.11955986</x:v>
      </x:c>
      <x:c r="M285" s="60" t="n">
        <x:v>49.7663052069</x:v>
      </x:c>
      <x:c r="N285" s="46" t="str">
        <x:v>pontinus kuhlii</x:v>
      </x:c>
      <x:c r="O285" s="62" t="n">
        <x:v>4.05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Pontinus kuhlii</x:v>
      </x:c>
      <x:c r="T285" s="62" t="n">
        <x:f>IF(O285="","",(1/'Metadata'!$B$5)^(O285-1))</x:f>
        <x:v>1122.018454301963</x:v>
      </x:c>
      <x:c r="U285" s="60" t="n">
        <x:f>IF(T285="","",I285*T285)</x:f>
        <x:v>59338.91657678532</x:v>
      </x:c>
    </x:row>
    <x:row r="286" ht="18" customHeight="1">
      <x:c r="A286" s="46" t="str">
        <x:v>LME_027</x:v>
      </x:c>
      <x:c r="B286" s="46" t="str">
        <x:v>Canary Current</x:v>
      </x:c>
      <x:c r="C286" s="46" t="str">
        <x:v>LME</x:v>
      </x:c>
      <x:c r="D286" s="58" t="n">
        <x:v>2019</x:v>
      </x:c>
      <x:c r="E286" s="46" t="str">
        <x:v>Heteropriacanthus cruentatus</x:v>
      </x:c>
      <x:c r="F286" s="46" t="str">
        <x:v>Glasseye</x:v>
      </x:c>
      <x:c r="G286" s="46" t="str">
        <x:v>Medium reef assoc. fish (30 - 89 cm)</x:v>
      </x:c>
      <x:c r="H286" s="46" t="str">
        <x:v>Perch-likes</x:v>
      </x:c>
      <x:c r="I286" s="60" t="n">
        <x:v>52.116967383</x:v>
      </x:c>
      <x:c r="J286" s="60" t="n">
        <x:v>52.116967383</x:v>
      </x:c>
      <x:c r="K286" s="60" t="n">
        <x:v>0</x:v>
      </x:c>
      <x:c r="L286" s="60" t="n">
        <x:v>2.7636607724</x:v>
      </x:c>
      <x:c r="M286" s="60" t="n">
        <x:v>49.3533066106</x:v>
      </x:c>
      <x:c r="N286" s="46" t="str">
        <x:v>heteropriacanthus cruentatus</x:v>
      </x:c>
      <x:c r="O286" s="62" t="n">
        <x:v>3.61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Heteropriacanthus cruentatus</x:v>
      </x:c>
      <x:c r="T286" s="62" t="n">
        <x:f>IF(O286="","",(1/'Metadata'!$B$5)^(O286-1))</x:f>
        <x:v>407.3802778041126</x:v>
      </x:c>
      <x:c r="U286" s="60" t="n">
        <x:f>IF(T286="","",I286*T286)</x:f>
        <x:v>21231.424650794415</x:v>
      </x:c>
    </x:row>
    <x:row r="287" ht="18" customHeight="1">
      <x:c r="A287" s="46" t="str">
        <x:v>LME_027</x:v>
      </x:c>
      <x:c r="B287" s="46" t="str">
        <x:v>Canary Current</x:v>
      </x:c>
      <x:c r="C287" s="46" t="str">
        <x:v>LME</x:v>
      </x:c>
      <x:c r="D287" s="58" t="n">
        <x:v>2019</x:v>
      </x:c>
      <x:c r="E287" s="46" t="str">
        <x:v>Elagatis bipinnulata</x:v>
      </x:c>
      <x:c r="F287" s="46" t="str">
        <x:v>Rainbow runner</x:v>
      </x:c>
      <x:c r="G287" s="46" t="str">
        <x:v>Large pelagics (&gt;=90 cm)</x:v>
      </x:c>
      <x:c r="H287" s="46" t="str">
        <x:v>Perch-likes</x:v>
      </x:c>
      <x:c r="I287" s="60" t="n">
        <x:v>51.6640295584</x:v>
      </x:c>
      <x:c r="J287" s="60" t="n">
        <x:v>51.6640295584</x:v>
      </x:c>
      <x:c r="K287" s="60" t="n">
        <x:v>0</x:v>
      </x:c>
      <x:c r="L287" s="60" t="n">
        <x:v>51.6640295584</x:v>
      </x:c>
      <x:c r="M287" s="60" t="n">
        <x:v>0</x:v>
      </x:c>
      <x:c r="N287" s="46" t="str">
        <x:v>elagatis bipinnulata</x:v>
      </x:c>
      <x:c r="O287" s="62" t="n">
        <x:v>4.27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Elagatis bipinnulata</x:v>
      </x:c>
      <x:c r="T287" s="62" t="n">
        <x:f>IF(O287="","",(1/'Metadata'!$B$5)^(O287-1))</x:f>
        <x:v>1862.0871366628655</x:v>
      </x:c>
      <x:c r="U287" s="60" t="n">
        <x:f>IF(T287="","",I287*T287)</x:f>
        <x:v>96202.92486886671</x:v>
      </x:c>
    </x:row>
    <x:row r="288" ht="18" customHeight="1">
      <x:c r="A288" s="46" t="str">
        <x:v>LME_027</x:v>
      </x:c>
      <x:c r="B288" s="46" t="str">
        <x:v>Canary Current</x:v>
      </x:c>
      <x:c r="C288" s="46" t="str">
        <x:v>LME</x:v>
      </x:c>
      <x:c r="D288" s="58" t="n">
        <x:v>2019</x:v>
      </x:c>
      <x:c r="E288" s="46" t="str">
        <x:v>Diplodus annularis</x:v>
      </x:c>
      <x:c r="F288" s="46" t="str">
        <x:v>Annular seabream</x:v>
      </x:c>
      <x:c r="G288" s="46" t="str">
        <x:v>Small benthopelagics (&lt;30 cm)</x:v>
      </x:c>
      <x:c r="H288" s="46" t="str">
        <x:v>Perch-likes</x:v>
      </x:c>
      <x:c r="I288" s="60" t="n">
        <x:v>51.0812905411</x:v>
      </x:c>
      <x:c r="J288" s="60" t="n">
        <x:v>51.0812905411</x:v>
      </x:c>
      <x:c r="K288" s="60" t="n">
        <x:v>0</x:v>
      </x:c>
      <x:c r="L288" s="60" t="n">
        <x:v>0.0845768219</x:v>
      </x:c>
      <x:c r="M288" s="60" t="n">
        <x:v>50.9967137192</x:v>
      </x:c>
      <x:c r="N288" s="46" t="str">
        <x:v>diplodus annularis</x:v>
      </x:c>
      <x:c r="O288" s="62" t="n">
        <x:v>3.64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Diplodus annularis</x:v>
      </x:c>
      <x:c r="T288" s="62" t="n">
        <x:f>IF(O288="","",(1/'Metadata'!$B$5)^(O288-1))</x:f>
        <x:v>436.5158322401661</x:v>
      </x:c>
      <x:c r="U288" s="60" t="n">
        <x:f>IF(T288="","",I288*T288)</x:f>
        <x:v>22297.792052449993</x:v>
      </x:c>
    </x:row>
    <x:row r="289" ht="18" customHeight="1">
      <x:c r="A289" s="46" t="str">
        <x:v>LME_027</x:v>
      </x:c>
      <x:c r="B289" s="46" t="str">
        <x:v>Canary Current</x:v>
      </x:c>
      <x:c r="C289" s="46" t="str">
        <x:v>LME</x:v>
      </x:c>
      <x:c r="D289" s="58" t="n">
        <x:v>2019</x:v>
      </x:c>
      <x:c r="E289" s="46" t="str">
        <x:v>Diplodus cervinus</x:v>
      </x:c>
      <x:c r="F289" s="46" t="str">
        <x:v>Zebra seabream</x:v>
      </x:c>
      <x:c r="G289" s="46" t="str">
        <x:v>Medium benthopelagics (30 - 89 cm)</x:v>
      </x:c>
      <x:c r="H289" s="46" t="str">
        <x:v>Perch-likes</x:v>
      </x:c>
      <x:c r="I289" s="60" t="n">
        <x:v>50.368481168200006</x:v>
      </x:c>
      <x:c r="J289" s="60" t="n">
        <x:v>47.798789595100004</x:v>
      </x:c>
      <x:c r="K289" s="60" t="n">
        <x:v>2.5696915731</x:v>
      </x:c>
      <x:c r="L289" s="60" t="n">
        <x:v>39.5337354468</x:v>
      </x:c>
      <x:c r="M289" s="60" t="n">
        <x:v>10.8347457214</x:v>
      </x:c>
      <x:c r="N289" s="46" t="str">
        <x:v>diplodus cervinus</x:v>
      </x:c>
      <x:c r="O289" s="62" t="n">
        <x:v>2.99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Diplodus cervinus</x:v>
      </x:c>
      <x:c r="T289" s="62" t="n">
        <x:f>IF(O289="","",(1/'Metadata'!$B$5)^(O289-1))</x:f>
        <x:v>97.72372209558111</x:v>
      </x:c>
      <x:c r="U289" s="60" t="n">
        <x:f>IF(T289="","",I289*T289)</x:f>
        <x:v>4922.195456057688</x:v>
      </x:c>
    </x:row>
    <x:row r="290" ht="18" customHeight="1">
      <x:c r="A290" s="46" t="str">
        <x:v>LME_027</x:v>
      </x:c>
      <x:c r="B290" s="46" t="str">
        <x:v>Canary Current</x:v>
      </x:c>
      <x:c r="C290" s="46" t="str">
        <x:v>LME</x:v>
      </x:c>
      <x:c r="D290" s="58" t="n">
        <x:v>2019</x:v>
      </x:c>
      <x:c r="E290" s="46" t="str">
        <x:v>Solenocera africana</x:v>
      </x:c>
      <x:c r="F290" s="46" t="str">
        <x:v>African mud shrimp</x:v>
      </x:c>
      <x:c r="G290" s="46" t="str">
        <x:v>Shrimps</x:v>
      </x:c>
      <x:c r="H290" s="46" t="str">
        <x:v>Crustaceans</x:v>
      </x:c>
      <x:c r="I290" s="60" t="n">
        <x:v>49.4255723769</x:v>
      </x:c>
      <x:c r="J290" s="60" t="n">
        <x:v>49.4255723769</x:v>
      </x:c>
      <x:c r="K290" s="60" t="n">
        <x:v>0</x:v>
      </x:c>
      <x:c r="L290" s="60" t="n">
        <x:v>0</x:v>
      </x:c>
      <x:c r="M290" s="60" t="n">
        <x:v>49.4255723769</x:v>
      </x:c>
      <x:c r="N290" s="46" t="str">
        <x:v>solenocera africana</x:v>
      </x:c>
      <x:c r="O290" s="62" t="n">
        <x:v>3.41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Solenocera africana</x:v>
      </x:c>
      <x:c r="T290" s="62" t="n">
        <x:f>IF(O290="","",(1/'Metadata'!$B$5)^(O290-1))</x:f>
        <x:v>257.03957827688646</x:v>
      </x:c>
      <x:c r="U290" s="60" t="n">
        <x:f>IF(T290="","",I290*T290)</x:f>
        <x:v>12704.328279852105</x:v>
      </x:c>
    </x:row>
    <x:row r="291" ht="18" customHeight="1">
      <x:c r="A291" s="46" t="str">
        <x:v>LME_027</x:v>
      </x:c>
      <x:c r="B291" s="46" t="str">
        <x:v>Canary Current</x:v>
      </x:c>
      <x:c r="C291" s="46" t="str">
        <x:v>LME</x:v>
      </x:c>
      <x:c r="D291" s="58" t="n">
        <x:v>2019</x:v>
      </x:c>
      <x:c r="E291" s="46" t="str">
        <x:v>Lepidocybium flavobrunneum</x:v>
      </x:c>
      <x:c r="F291" s="46" t="str">
        <x:v>Escolar</x:v>
      </x:c>
      <x:c r="G291" s="46" t="str">
        <x:v>Large bathypelagics (&gt;=90 cm)</x:v>
      </x:c>
      <x:c r="H291" s="46" t="str">
        <x:v>Perch-likes</x:v>
      </x:c>
      <x:c r="I291" s="60" t="n">
        <x:v>47.292612522899994</x:v>
      </x:c>
      <x:c r="J291" s="60" t="n">
        <x:v>47.292612522899994</x:v>
      </x:c>
      <x:c r="K291" s="60" t="n">
        <x:v>0</x:v>
      </x:c>
      <x:c r="L291" s="60" t="n">
        <x:v>47.292612522899994</x:v>
      </x:c>
      <x:c r="M291" s="60" t="n">
        <x:v>0</x:v>
      </x:c>
      <x:c r="N291" s="46" t="str">
        <x:v>lepidocybium flavobrunneum</x:v>
      </x:c>
      <x:c r="O291" s="62" t="n">
        <x:v>4.34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Lepidocybium flavobrunneum</x:v>
      </x:c>
      <x:c r="T291" s="62" t="n">
        <x:f>IF(O291="","",(1/'Metadata'!$B$5)^(O291-1))</x:f>
        <x:v>2187.761623949552</x:v>
      </x:c>
      <x:c r="U291" s="60" t="n">
        <x:f>IF(T291="","",I291*T291)</x:f>
        <x:v>103464.9627739166</x:v>
      </x:c>
    </x:row>
    <x:row r="292" ht="18" customHeight="1">
      <x:c r="A292" s="46" t="str">
        <x:v>LME_027</x:v>
      </x:c>
      <x:c r="B292" s="46" t="str">
        <x:v>Canary Current</x:v>
      </x:c>
      <x:c r="C292" s="46" t="str">
        <x:v>LME</x:v>
      </x:c>
      <x:c r="D292" s="58" t="n">
        <x:v>2019</x:v>
      </x:c>
      <x:c r="E292" s="46" t="str">
        <x:v>Parapristipoma octolineatum</x:v>
      </x:c>
      <x:c r="F292" s="46" t="str">
        <x:v>African striped grunt</x:v>
      </x:c>
      <x:c r="G292" s="46" t="str">
        <x:v>Medium demersals (30 - 89 cm)</x:v>
      </x:c>
      <x:c r="H292" s="46" t="str">
        <x:v>Perch-likes</x:v>
      </x:c>
      <x:c r="I292" s="60" t="n">
        <x:v>45.8485646739</x:v>
      </x:c>
      <x:c r="J292" s="60" t="n">
        <x:v>44.4685952604</x:v>
      </x:c>
      <x:c r="K292" s="60" t="n">
        <x:v>1.3799694135</x:v>
      </x:c>
      <x:c r="L292" s="60" t="n">
        <x:v>40.0301163218</x:v>
      </x:c>
      <x:c r="M292" s="60" t="n">
        <x:v>5.8184483521</x:v>
      </x:c>
      <x:c r="N292" s="46" t="str">
        <x:v>parapristipoma octolineatum</x:v>
      </x:c>
      <x:c r="O292" s="62" t="n">
        <x:v>3.55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Parapristipoma octolineatum</x:v>
      </x:c>
      <x:c r="T292" s="62" t="n">
        <x:f>IF(O292="","",(1/'Metadata'!$B$5)^(O292-1))</x:f>
        <x:v>354.8133892335753</x:v>
      </x:c>
      <x:c r="U292" s="60" t="n">
        <x:f>IF(T292="","",I292*T292)</x:f>
        <x:v>16267.684623441231</x:v>
      </x:c>
    </x:row>
    <x:row r="293" ht="18" customHeight="1">
      <x:c r="A293" s="46" t="str">
        <x:v>LME_027</x:v>
      </x:c>
      <x:c r="B293" s="46" t="str">
        <x:v>Canary Current</x:v>
      </x:c>
      <x:c r="C293" s="46" t="str">
        <x:v>LME</x:v>
      </x:c>
      <x:c r="D293" s="58" t="n">
        <x:v>2019</x:v>
      </x:c>
      <x:c r="E293" s="46" t="str">
        <x:v>Isurus paucus</x:v>
      </x:c>
      <x:c r="F293" s="46" t="str">
        <x:v>Longfin mako</x:v>
      </x:c>
      <x:c r="G293" s="46" t="str">
        <x:v>Large sharks (&gt;=90 cm)</x:v>
      </x:c>
      <x:c r="H293" s="46" t="str">
        <x:v>Sharks &amp; rays</x:v>
      </x:c>
      <x:c r="I293" s="60" t="n">
        <x:v>44.3909401023</x:v>
      </x:c>
      <x:c r="J293" s="60" t="n">
        <x:v>44.3909401023</x:v>
      </x:c>
      <x:c r="K293" s="60" t="n">
        <x:v>0</x:v>
      </x:c>
      <x:c r="L293" s="60" t="n">
        <x:v>44.3909401023</x:v>
      </x:c>
      <x:c r="M293" s="60" t="n">
        <x:v>0</x:v>
      </x:c>
      <x:c r="N293" s="46" t="str">
        <x:v>isurus paucus</x:v>
      </x:c>
      <x:c r="O293" s="62" t="n">
        <x:v>4.51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Isurus paucus</x:v>
      </x:c>
      <x:c r="T293" s="62" t="n">
        <x:f>IF(O293="","",(1/'Metadata'!$B$5)^(O293-1))</x:f>
        <x:v>3235.936569296281</x:v>
      </x:c>
      <x:c r="U293" s="60" t="n">
        <x:f>IF(T293="","",I293*T293)</x:f>
        <x:v>143646.26642247336</x:v>
      </x:c>
    </x:row>
    <x:row r="294" ht="18" customHeight="1">
      <x:c r="A294" s="46" t="str">
        <x:v>LME_027</x:v>
      </x:c>
      <x:c r="B294" s="46" t="str">
        <x:v>Canary Current</x:v>
      </x:c>
      <x:c r="C294" s="46" t="str">
        <x:v>LME</x:v>
      </x:c>
      <x:c r="D294" s="58" t="n">
        <x:v>2019</x:v>
      </x:c>
      <x:c r="E294" s="46" t="str">
        <x:v>Echelus myrus</x:v>
      </x:c>
      <x:c r="F294" s="46" t="str">
        <x:v>Painted eel</x:v>
      </x:c>
      <x:c r="G294" s="46" t="str">
        <x:v>Large demersals (&gt;=90 cm)</x:v>
      </x:c>
      <x:c r="H294" s="46" t="str">
        <x:v>Other fishes &amp; inverts</x:v>
      </x:c>
      <x:c r="I294" s="60" t="n">
        <x:v>43.025688838</x:v>
      </x:c>
      <x:c r="J294" s="60" t="n">
        <x:v>40.8306107362</x:v>
      </x:c>
      <x:c r="K294" s="60" t="n">
        <x:v>2.1950781018</x:v>
      </x:c>
      <x:c r="L294" s="60" t="n">
        <x:v>33.7704485125</x:v>
      </x:c>
      <x:c r="M294" s="60" t="n">
        <x:v>9.255240325499999</x:v>
      </x:c>
      <x:c r="N294" s="46" t="str">
        <x:v>echelus myrus</x:v>
      </x:c>
      <x:c r="O294" s="62" t="n">
        <x:v>4.3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Echelus myrus</x:v>
      </x:c>
      <x:c r="T294" s="62" t="n">
        <x:f>IF(O294="","",(1/'Metadata'!$B$5)^(O294-1))</x:f>
        <x:v>1995.2623149688789</x:v>
      </x:c>
      <x:c r="U294" s="60" t="n">
        <x:f>IF(T294="","",I294*T294)</x:f>
        <x:v>85847.53551403854</x:v>
      </x:c>
    </x:row>
    <x:row r="295" ht="18" customHeight="1">
      <x:c r="A295" s="46" t="str">
        <x:v>LME_027</x:v>
      </x:c>
      <x:c r="B295" s="46" t="str">
        <x:v>Canary Current</x:v>
      </x:c>
      <x:c r="C295" s="46" t="str">
        <x:v>LME</x:v>
      </x:c>
      <x:c r="D295" s="58" t="n">
        <x:v>2019</x:v>
      </x:c>
      <x:c r="E295" s="46" t="str">
        <x:v>Ommastrephes bartramii</x:v>
      </x:c>
      <x:c r="F295" s="46" t="str">
        <x:v>Neon flying squid</x:v>
      </x:c>
      <x:c r="G295" s="46" t="str">
        <x:v>Cephalopods</x:v>
      </x:c>
      <x:c r="H295" s="46" t="str">
        <x:v>Other fishes &amp; inverts</x:v>
      </x:c>
      <x:c r="I295" s="60" t="n">
        <x:v>42.1649434783</x:v>
      </x:c>
      <x:c r="J295" s="60" t="n">
        <x:v>42.1649434783</x:v>
      </x:c>
      <x:c r="K295" s="60" t="n">
        <x:v>0</x:v>
      </x:c>
      <x:c r="L295" s="60" t="n">
        <x:v>0.7440807706</x:v>
      </x:c>
      <x:c r="M295" s="60" t="n">
        <x:v>41.4208627077</x:v>
      </x:c>
      <x:c r="N295" s="46" t="str">
        <x:v>ommastrephes bartramii</x:v>
      </x:c>
      <x:c r="O295" s="62" t="n">
        <x:v>4.37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Ommastrephes bartramii</x:v>
      </x:c>
      <x:c r="T295" s="62" t="n">
        <x:f>IF(O295="","",(1/'Metadata'!$B$5)^(O295-1))</x:f>
        <x:v>2344.228815319923</x:v>
      </x:c>
      <x:c r="U295" s="60" t="n">
        <x:f>IF(T295="","",I295*T295)</x:f>
        <x:v>98844.27549816672</x:v>
      </x:c>
    </x:row>
    <x:row r="296" ht="18" customHeight="1">
      <x:c r="A296" s="46" t="str">
        <x:v>LME_027</x:v>
      </x:c>
      <x:c r="B296" s="46" t="str">
        <x:v>Canary Current</x:v>
      </x:c>
      <x:c r="C296" s="46" t="str">
        <x:v>LME</x:v>
      </x:c>
      <x:c r="D296" s="58" t="n">
        <x:v>2019</x:v>
      </x:c>
      <x:c r="E296" s="46" t="str">
        <x:v>Carcharodon carcharias</x:v>
      </x:c>
      <x:c r="F296" s="46" t="str">
        <x:v>Great white shark</x:v>
      </x:c>
      <x:c r="G296" s="46" t="str">
        <x:v>Large sharks (&gt;=90 cm)</x:v>
      </x:c>
      <x:c r="H296" s="46" t="str">
        <x:v>Sharks &amp; rays</x:v>
      </x:c>
      <x:c r="I296" s="60" t="n">
        <x:v>40.7443565039</x:v>
      </x:c>
      <x:c r="J296" s="60" t="n">
        <x:v>40.7443565039</x:v>
      </x:c>
      <x:c r="K296" s="60" t="n">
        <x:v>0</x:v>
      </x:c>
      <x:c r="L296" s="60" t="n">
        <x:v>0</x:v>
      </x:c>
      <x:c r="M296" s="60" t="n">
        <x:v>40.7443565039</x:v>
      </x:c>
      <x:c r="N296" s="46" t="str">
        <x:v>carcharodon carcharias</x:v>
      </x:c>
      <x:c r="O296" s="62" t="n">
        <x:v>4.53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Carcharodon carcharias</x:v>
      </x:c>
      <x:c r="T296" s="62" t="n">
        <x:f>IF(O296="","",(1/'Metadata'!$B$5)^(O296-1))</x:f>
        <x:v>3388.4415613920273</x:v>
      </x:c>
      <x:c r="U296" s="60" t="n">
        <x:f>IF(T296="","",I296*T296)</x:f>
        <x:v>138059.87096998832</x:v>
      </x:c>
    </x:row>
    <x:row r="297" ht="18" customHeight="1">
      <x:c r="A297" s="46" t="str">
        <x:v>LME_027</x:v>
      </x:c>
      <x:c r="B297" s="46" t="str">
        <x:v>Canary Current</x:v>
      </x:c>
      <x:c r="C297" s="46" t="str">
        <x:v>LME</x:v>
      </x:c>
      <x:c r="D297" s="58" t="n">
        <x:v>2019</x:v>
      </x:c>
      <x:c r="E297" s="46" t="str">
        <x:v>Beryx</x:v>
      </x:c>
      <x:c r="F297" s="46" t="str">
        <x:v>Alfonsinos</x:v>
      </x:c>
      <x:c r="G297" s="46" t="str">
        <x:v>Medium benthopelagics (30 - 89 cm)</x:v>
      </x:c>
      <x:c r="H297" s="46" t="str">
        <x:v>Other fishes &amp; inverts</x:v>
      </x:c>
      <x:c r="I297" s="60" t="n">
        <x:v>40.6936110518</x:v>
      </x:c>
      <x:c r="J297" s="60" t="n">
        <x:v>40.6936110518</x:v>
      </x:c>
      <x:c r="K297" s="60" t="n">
        <x:v>0</x:v>
      </x:c>
      <x:c r="L297" s="60" t="n">
        <x:v>40.6936110518</x:v>
      </x:c>
      <x:c r="M297" s="60" t="n">
        <x:v>0</x:v>
      </x:c>
      <x:c r="N297" s="46" t="str">
        <x:v>beryx</x:v>
      </x:c>
      <x:c r="O297" s="62" t="n">
        <x:v>3.97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Beryx</x:v>
      </x:c>
      <x:c r="T297" s="62" t="n">
        <x:f>IF(O297="","",(1/'Metadata'!$B$5)^(O297-1))</x:f>
        <x:v>933.2543007969915</x:v>
      </x:c>
      <x:c r="U297" s="60" t="n">
        <x:f>IF(T297="","",I297*T297)</x:f>
        <x:v>37977.487529052334</x:v>
      </x:c>
    </x:row>
    <x:row r="298" ht="18" customHeight="1">
      <x:c r="A298" s="46" t="str">
        <x:v>LME_027</x:v>
      </x:c>
      <x:c r="B298" s="46" t="str">
        <x:v>Canary Current</x:v>
      </x:c>
      <x:c r="C298" s="46" t="str">
        <x:v>LME</x:v>
      </x:c>
      <x:c r="D298" s="58" t="n">
        <x:v>2019</x:v>
      </x:c>
      <x:c r="E298" s="46" t="str">
        <x:v>Ginglymostoma cirratum</x:v>
      </x:c>
      <x:c r="F298" s="46" t="str">
        <x:v>Nurse shark</x:v>
      </x:c>
      <x:c r="G298" s="46" t="str">
        <x:v>Large sharks (&gt;=90 cm)</x:v>
      </x:c>
      <x:c r="H298" s="46" t="str">
        <x:v>Sharks &amp; rays</x:v>
      </x:c>
      <x:c r="I298" s="60" t="n">
        <x:v>38.0492455257</x:v>
      </x:c>
      <x:c r="J298" s="60" t="n">
        <x:v>36.2343002914</x:v>
      </x:c>
      <x:c r="K298" s="60" t="n">
        <x:v>1.8149452343</x:v>
      </x:c>
      <x:c r="L298" s="60" t="n">
        <x:v>27.9222477491</x:v>
      </x:c>
      <x:c r="M298" s="60" t="n">
        <x:v>10.126997776600001</x:v>
      </x:c>
      <x:c r="N298" s="46" t="str">
        <x:v>ginglymostoma cirratum</x:v>
      </x:c>
      <x:c r="O298" s="62" t="n">
        <x:v>4.15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Ginglymostoma cirratum</x:v>
      </x:c>
      <x:c r="T298" s="62" t="n">
        <x:f>IF(O298="","",(1/'Metadata'!$B$5)^(O298-1))</x:f>
        <x:v>1412.5375446227554</x:v>
      </x:c>
      <x:c r="U298" s="60" t="n">
        <x:f>IF(T298="","",I298*T298)</x:f>
        <x:v>53745.987849620644</x:v>
      </x:c>
    </x:row>
    <x:row r="299" ht="18" customHeight="1">
      <x:c r="A299" s="46" t="str">
        <x:v>LME_027</x:v>
      </x:c>
      <x:c r="B299" s="46" t="str">
        <x:v>Canary Current</x:v>
      </x:c>
      <x:c r="C299" s="46" t="str">
        <x:v>LME</x:v>
      </x:c>
      <x:c r="D299" s="58" t="n">
        <x:v>2019</x:v>
      </x:c>
      <x:c r="E299" s="46" t="str">
        <x:v>Chamelea gallina</x:v>
      </x:c>
      <x:c r="F299" s="46" t="str">
        <x:v>Striped venus</x:v>
      </x:c>
      <x:c r="G299" s="46" t="str">
        <x:v>Other demersal invertebrates</x:v>
      </x:c>
      <x:c r="H299" s="46" t="str">
        <x:v>Molluscs</x:v>
      </x:c>
      <x:c r="I299" s="60" t="n">
        <x:v>35.0150988383</x:v>
      </x:c>
      <x:c r="J299" s="60" t="n">
        <x:v>35.0150988383</x:v>
      </x:c>
      <x:c r="K299" s="60" t="n">
        <x:v>0</x:v>
      </x:c>
      <x:c r="L299" s="60" t="n">
        <x:v>0</x:v>
      </x:c>
      <x:c r="M299" s="60" t="n">
        <x:v>35.0150988383</x:v>
      </x:c>
      <x:c r="N299" s="46" t="str">
        <x:v>chamelea gallina</x:v>
      </x:c>
      <x:c r="O299" s="62" t="n">
        <x:v>2.1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Chamelea gallina</x:v>
      </x:c>
      <x:c r="T299" s="62" t="n">
        <x:f>IF(O299="","",(1/'Metadata'!$B$5)^(O299-1))</x:f>
        <x:v>12.589254117941675</x:v>
      </x:c>
      <x:c r="U299" s="60" t="n">
        <x:f>IF(T299="","",I299*T299)</x:f>
        <x:v>440.813977240203</x:v>
      </x:c>
    </x:row>
    <x:row r="300" ht="18" customHeight="1">
      <x:c r="A300" s="46" t="str">
        <x:v>LME_027</x:v>
      </x:c>
      <x:c r="B300" s="46" t="str">
        <x:v>Canary Current</x:v>
      </x:c>
      <x:c r="C300" s="46" t="str">
        <x:v>LME</x:v>
      </x:c>
      <x:c r="D300" s="58" t="n">
        <x:v>2019</x:v>
      </x:c>
      <x:c r="E300" s="46" t="str">
        <x:v>Haliotis</x:v>
      </x:c>
      <x:c r="F300" s="46" t="str">
        <x:v>Abalones</x:v>
      </x:c>
      <x:c r="G300" s="46" t="str">
        <x:v>Other demersal invertebrates</x:v>
      </x:c>
      <x:c r="H300" s="46" t="str">
        <x:v>Molluscs</x:v>
      </x:c>
      <x:c r="I300" s="60" t="n">
        <x:v>34.7608541364</x:v>
      </x:c>
      <x:c r="J300" s="60" t="n">
        <x:v>34.7608541364</x:v>
      </x:c>
      <x:c r="K300" s="60" t="n">
        <x:v>0</x:v>
      </x:c>
      <x:c r="L300" s="60" t="n">
        <x:v>0</x:v>
      </x:c>
      <x:c r="M300" s="60" t="n">
        <x:v>34.7608541364</x:v>
      </x:c>
      <x:c r="N300" s="46" t="str">
        <x:v>haliotis</x:v>
      </x:c>
      <x:c r="O300" s="62" t="n">
        <x:v>2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Haliotis</x:v>
      </x:c>
      <x:c r="T300" s="62" t="n">
        <x:f>IF(O300="","",(1/'Metadata'!$B$5)^(O300-1))</x:f>
        <x:v>10</x:v>
      </x:c>
      <x:c r="U300" s="60" t="n">
        <x:f>IF(T300="","",I300*T300)</x:f>
        <x:v>347.60854136399996</x:v>
      </x:c>
    </x:row>
    <x:row r="301" ht="18" customHeight="1">
      <x:c r="A301" s="46" t="str">
        <x:v>LME_027</x:v>
      </x:c>
      <x:c r="B301" s="46" t="str">
        <x:v>Canary Current</x:v>
      </x:c>
      <x:c r="C301" s="46" t="str">
        <x:v>LME</x:v>
      </x:c>
      <x:c r="D301" s="58" t="n">
        <x:v>2019</x:v>
      </x:c>
      <x:c r="E301" s="46" t="str">
        <x:v>Serranus cabrilla</x:v>
      </x:c>
      <x:c r="F301" s="46" t="str">
        <x:v>Comber</x:v>
      </x:c>
      <x:c r="G301" s="46" t="str">
        <x:v>Medium bathydemersals (30 - 89 cm)</x:v>
      </x:c>
      <x:c r="H301" s="46" t="str">
        <x:v>Perch-likes</x:v>
      </x:c>
      <x:c r="I301" s="60" t="n">
        <x:v>34.46543503</x:v>
      </x:c>
      <x:c r="J301" s="60" t="n">
        <x:v>34.46543503</x:v>
      </x:c>
      <x:c r="K301" s="60" t="n">
        <x:v>0</x:v>
      </x:c>
      <x:c r="L301" s="60" t="n">
        <x:v>34.46543503</x:v>
      </x:c>
      <x:c r="M301" s="60" t="n">
        <x:v>0</x:v>
      </x:c>
      <x:c r="N301" s="46" t="str">
        <x:v>serranus cabrilla</x:v>
      </x:c>
      <x:c r="O301" s="62" t="n">
        <x:v>3.35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Serranus cabrilla</x:v>
      </x:c>
      <x:c r="T301" s="62" t="n">
        <x:f>IF(O301="","",(1/'Metadata'!$B$5)^(O301-1))</x:f>
        <x:v>223.872113856834</x:v>
      </x:c>
      <x:c r="U301" s="60" t="n">
        <x:f>IF(T301="","",I301*T301)</x:f>
        <x:v>7715.849795161475</x:v>
      </x:c>
    </x:row>
    <x:row r="302" ht="18" customHeight="1">
      <x:c r="A302" s="46" t="str">
        <x:v>LME_027</x:v>
      </x:c>
      <x:c r="B302" s="46" t="str">
        <x:v>Canary Current</x:v>
      </x:c>
      <x:c r="C302" s="46" t="str">
        <x:v>LME</x:v>
      </x:c>
      <x:c r="D302" s="58" t="n">
        <x:v>2019</x:v>
      </x:c>
      <x:c r="E302" s="46" t="str">
        <x:v>Rostroraja alba</x:v>
      </x:c>
      <x:c r="F302" s="46" t="str">
        <x:v>White skate</x:v>
      </x:c>
      <x:c r="G302" s="46" t="str">
        <x:v>Large rays (&gt;=90 cm)</x:v>
      </x:c>
      <x:c r="H302" s="46" t="str">
        <x:v>Sharks &amp; rays</x:v>
      </x:c>
      <x:c r="I302" s="60" t="n">
        <x:v>34.4041824236</x:v>
      </x:c>
      <x:c r="J302" s="60" t="n">
        <x:v>34.4041824236</x:v>
      </x:c>
      <x:c r="K302" s="60" t="n">
        <x:v>0</x:v>
      </x:c>
      <x:c r="L302" s="60" t="n">
        <x:v>0</x:v>
      </x:c>
      <x:c r="M302" s="60" t="n">
        <x:v>34.4041824236</x:v>
      </x:c>
      <x:c r="N302" s="46" t="str">
        <x:v>rostroraja alba</x:v>
      </x:c>
      <x:c r="O302" s="62" t="n">
        <x:v>4.41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Rostroraja alba</x:v>
      </x:c>
      <x:c r="T302" s="62" t="n">
        <x:f>IF(O302="","",(1/'Metadata'!$B$5)^(O302-1))</x:f>
        <x:v>2570.3957827688646</x:v>
      </x:c>
      <x:c r="U302" s="60" t="n">
        <x:f>IF(T302="","",I302*T302)</x:f>
        <x:v>88432.36541123212</x:v>
      </x:c>
    </x:row>
    <x:row r="303" ht="18" customHeight="1">
      <x:c r="A303" s="46" t="str">
        <x:v>LME_027</x:v>
      </x:c>
      <x:c r="B303" s="46" t="str">
        <x:v>Canary Current</x:v>
      </x:c>
      <x:c r="C303" s="46" t="str">
        <x:v>LME</x:v>
      </x:c>
      <x:c r="D303" s="58" t="n">
        <x:v>2019</x:v>
      </x:c>
      <x:c r="E303" s="46" t="str">
        <x:v>Patella</x:v>
      </x:c>
      <x:c r="F303" s="46" t="str">
        <x:v>Limpets</x:v>
      </x:c>
      <x:c r="G303" s="46" t="str">
        <x:v>Other demersal invertebrates</x:v>
      </x:c>
      <x:c r="H303" s="46" t="str">
        <x:v>Molluscs</x:v>
      </x:c>
      <x:c r="I303" s="60" t="n">
        <x:v>33.3971637703</x:v>
      </x:c>
      <x:c r="J303" s="60" t="n">
        <x:v>33.3971637703</x:v>
      </x:c>
      <x:c r="K303" s="60" t="n">
        <x:v>0</x:v>
      </x:c>
      <x:c r="L303" s="60" t="n">
        <x:v>32.9634920469</x:v>
      </x:c>
      <x:c r="M303" s="60" t="n">
        <x:v>0.4336717234</x:v>
      </x:c>
      <x:c r="N303" s="46" t="str">
        <x:v>patella</x:v>
      </x:c>
      <x:c r="O303" s="62" t="n">
        <x:v>2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Patella</x:v>
      </x:c>
      <x:c r="T303" s="62" t="n">
        <x:f>IF(O303="","",(1/'Metadata'!$B$5)^(O303-1))</x:f>
        <x:v>10</x:v>
      </x:c>
      <x:c r="U303" s="60" t="n">
        <x:f>IF(T303="","",I303*T303)</x:f>
        <x:v>333.97163770299994</x:v>
      </x:c>
    </x:row>
    <x:row r="304" ht="18" customHeight="1">
      <x:c r="A304" s="46" t="str">
        <x:v>LME_027</x:v>
      </x:c>
      <x:c r="B304" s="46" t="str">
        <x:v>Canary Current</x:v>
      </x:c>
      <x:c r="C304" s="46" t="str">
        <x:v>LME</x:v>
      </x:c>
      <x:c r="D304" s="58" t="n">
        <x:v>2019</x:v>
      </x:c>
      <x:c r="E304" s="46" t="str">
        <x:v>Dasyatidae</x:v>
      </x:c>
      <x:c r="F304" s="46" t="str">
        <x:v>Whiptail stingrays</x:v>
      </x:c>
      <x:c r="G304" s="46" t="str">
        <x:v>Large rays (&gt;=90 cm)</x:v>
      </x:c>
      <x:c r="H304" s="46" t="str">
        <x:v>Sharks &amp; rays</x:v>
      </x:c>
      <x:c r="I304" s="60" t="n">
        <x:v>33.3438217232</x:v>
      </x:c>
      <x:c r="J304" s="60" t="n">
        <x:v>31.0664472718</x:v>
      </x:c>
      <x:c r="K304" s="60" t="n">
        <x:v>2.2773744514</x:v>
      </x:c>
      <x:c r="L304" s="60" t="n">
        <x:v>25.6954418479</x:v>
      </x:c>
      <x:c r="M304" s="60" t="n">
        <x:v>7.6483798753</x:v>
      </x:c>
      <x:c r="N304" s="46" t="str">
        <x:v>dasyatidae</x:v>
      </x:c>
      <x:c r="O304" s="62" t="n">
        <x:v>3.38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Dasyatidae</x:v>
      </x:c>
      <x:c r="T304" s="62" t="n">
        <x:f>IF(O304="","",(1/'Metadata'!$B$5)^(O304-1))</x:f>
        <x:v>239.88329190194898</x:v>
      </x:c>
      <x:c r="U304" s="60" t="n">
        <x:f>IF(T304="","",I304*T304)</x:f>
        <x:v>7998.625719552933</x:v>
      </x:c>
    </x:row>
    <x:row r="305" ht="18" customHeight="1">
      <x:c r="A305" s="46" t="str">
        <x:v>LME_027</x:v>
      </x:c>
      <x:c r="B305" s="46" t="str">
        <x:v>Canary Current</x:v>
      </x:c>
      <x:c r="C305" s="46" t="str">
        <x:v>LME</x:v>
      </x:c>
      <x:c r="D305" s="58" t="n">
        <x:v>2019</x:v>
      </x:c>
      <x:c r="E305" s="46" t="str">
        <x:v>Callista chione</x:v>
      </x:c>
      <x:c r="F305" s="46" t="str">
        <x:v>Smooth callista</x:v>
      </x:c>
      <x:c r="G305" s="46" t="str">
        <x:v>Other demersal invertebrates</x:v>
      </x:c>
      <x:c r="H305" s="46" t="str">
        <x:v>Molluscs</x:v>
      </x:c>
      <x:c r="I305" s="60" t="n">
        <x:v>32.5256426783</x:v>
      </x:c>
      <x:c r="J305" s="60" t="n">
        <x:v>32.5256426783</x:v>
      </x:c>
      <x:c r="K305" s="60" t="n">
        <x:v>0</x:v>
      </x:c>
      <x:c r="L305" s="60" t="n">
        <x:v>0</x:v>
      </x:c>
      <x:c r="M305" s="60" t="n">
        <x:v>32.5256426783</x:v>
      </x:c>
      <x:c r="N305" s="46" t="str">
        <x:v>callista chione</x:v>
      </x:c>
      <x:c r="O305" s="62" t="n">
        <x:v>2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Callista chione</x:v>
      </x:c>
      <x:c r="T305" s="62" t="n">
        <x:f>IF(O305="","",(1/'Metadata'!$B$5)^(O305-1))</x:f>
        <x:v>10</x:v>
      </x:c>
      <x:c r="U305" s="60" t="n">
        <x:f>IF(T305="","",I305*T305)</x:f>
        <x:v>325.25642678300005</x:v>
      </x:c>
    </x:row>
    <x:row r="306" ht="18" customHeight="1">
      <x:c r="A306" s="46" t="str">
        <x:v>LME_027</x:v>
      </x:c>
      <x:c r="B306" s="46" t="str">
        <x:v>Canary Current</x:v>
      </x:c>
      <x:c r="C306" s="46" t="str">
        <x:v>LME</x:v>
      </x:c>
      <x:c r="D306" s="58" t="n">
        <x:v>2019</x:v>
      </x:c>
      <x:c r="E306" s="46" t="str">
        <x:v>Squalus blainville</x:v>
      </x:c>
      <x:c r="F306" s="46" t="str">
        <x:v>Longnose spurdog</x:v>
      </x:c>
      <x:c r="G306" s="46" t="str">
        <x:v>Small to medium sharks (&lt;90 cm)</x:v>
      </x:c>
      <x:c r="H306" s="46" t="str">
        <x:v>Sharks &amp; rays</x:v>
      </x:c>
      <x:c r="I306" s="60" t="n">
        <x:v>32.3751804382</x:v>
      </x:c>
      <x:c r="J306" s="60" t="n">
        <x:v>32.3751804382</x:v>
      </x:c>
      <x:c r="K306" s="60" t="n">
        <x:v>0</x:v>
      </x:c>
      <x:c r="L306" s="60" t="n">
        <x:v>16.2073080565</x:v>
      </x:c>
      <x:c r="M306" s="60" t="n">
        <x:v>16.1678723817</x:v>
      </x:c>
      <x:c r="N306" s="46" t="str">
        <x:v>squalus blainville</x:v>
      </x:c>
      <x:c r="O306" s="62" t="n">
        <x:v>3.97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Squalus blainville</x:v>
      </x:c>
      <x:c r="T306" s="62" t="n">
        <x:f>IF(O306="","",(1/'Metadata'!$B$5)^(O306-1))</x:f>
        <x:v>933.2543007969915</x:v>
      </x:c>
      <x:c r="U306" s="60" t="n">
        <x:f>IF(T306="","",I306*T306)</x:f>
        <x:v>30214.276383028777</x:v>
      </x:c>
    </x:row>
    <x:row r="307" ht="18" customHeight="1">
      <x:c r="A307" s="46" t="str">
        <x:v>LME_027</x:v>
      </x:c>
      <x:c r="B307" s="46" t="str">
        <x:v>Canary Current</x:v>
      </x:c>
      <x:c r="C307" s="46" t="str">
        <x:v>LME</x:v>
      </x:c>
      <x:c r="D307" s="58" t="n">
        <x:v>2019</x:v>
      </x:c>
      <x:c r="E307" s="46" t="str">
        <x:v>Panulirus</x:v>
      </x:c>
      <x:c r="F307" s="46" t="str">
        <x:v>Spiny lobsters</x:v>
      </x:c>
      <x:c r="G307" s="46" t="str">
        <x:v>Lobsters, crabs</x:v>
      </x:c>
      <x:c r="H307" s="46" t="str">
        <x:v>Crustaceans</x:v>
      </x:c>
      <x:c r="I307" s="60" t="n">
        <x:v>31.6809653483</x:v>
      </x:c>
      <x:c r="J307" s="60" t="n">
        <x:v>31.6809653483</x:v>
      </x:c>
      <x:c r="K307" s="60" t="n">
        <x:v>0</x:v>
      </x:c>
      <x:c r="L307" s="60" t="n">
        <x:v>31.6809653483</x:v>
      </x:c>
      <x:c r="M307" s="60" t="n">
        <x:v>0</x:v>
      </x:c>
      <x:c r="N307" s="46" t="str">
        <x:v>panulirus</x:v>
      </x:c>
      <x:c r="O307" s="62" t="n">
        <x:v>2.6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Panulirus</x:v>
      </x:c>
      <x:c r="T307" s="62" t="n">
        <x:f>IF(O307="","",(1/'Metadata'!$B$5)^(O307-1))</x:f>
        <x:v>39.810717055349734</x:v>
      </x:c>
      <x:c r="U307" s="60" t="n">
        <x:f>IF(T307="","",I307*T307)</x:f>
        <x:v>1261.2419475215106</x:v>
      </x:c>
    </x:row>
    <x:row r="308" ht="18" customHeight="1">
      <x:c r="A308" s="46" t="str">
        <x:v>LME_027</x:v>
      </x:c>
      <x:c r="B308" s="46" t="str">
        <x:v>Canary Current</x:v>
      </x:c>
      <x:c r="C308" s="46" t="str">
        <x:v>LME</x:v>
      </x:c>
      <x:c r="D308" s="58" t="n">
        <x:v>2019</x:v>
      </x:c>
      <x:c r="E308" s="46" t="str">
        <x:v>Decapterus macarellus</x:v>
      </x:c>
      <x:c r="F308" s="46" t="str">
        <x:v>Mackerel scad</x:v>
      </x:c>
      <x:c r="G308" s="46" t="str">
        <x:v>Medium pelagics (30 - 89 cm)</x:v>
      </x:c>
      <x:c r="H308" s="46" t="str">
        <x:v>Perch-likes</x:v>
      </x:c>
      <x:c r="I308" s="60" t="n">
        <x:v>30.776920003399997</x:v>
      </x:c>
      <x:c r="J308" s="60" t="n">
        <x:v>28.041652201199998</x:v>
      </x:c>
      <x:c r="K308" s="60" t="n">
        <x:v>2.7352678022</x:v>
      </x:c>
      <x:c r="L308" s="60" t="n">
        <x:v>18.2769454036</x:v>
      </x:c>
      <x:c r="M308" s="60" t="n">
        <x:v>12.4999745998</x:v>
      </x:c>
      <x:c r="N308" s="46" t="str">
        <x:v>decapterus macarellus</x:v>
      </x:c>
      <x:c r="O308" s="62" t="n">
        <x:v>3.96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Decapterus macarellus</x:v>
      </x:c>
      <x:c r="T308" s="62" t="n">
        <x:f>IF(O308="","",(1/'Metadata'!$B$5)^(O308-1))</x:f>
        <x:v>912.0108393559096</x:v>
      </x:c>
      <x:c r="U308" s="60" t="n">
        <x:f>IF(T308="","",I308*T308)</x:f>
        <x:v>28068.88464509052</x:v>
      </x:c>
    </x:row>
    <x:row r="309" ht="18" customHeight="1">
      <x:c r="A309" s="46" t="str">
        <x:v>LME_027</x:v>
      </x:c>
      <x:c r="B309" s="46" t="str">
        <x:v>Canary Current</x:v>
      </x:c>
      <x:c r="C309" s="46" t="str">
        <x:v>LME</x:v>
      </x:c>
      <x:c r="D309" s="58" t="n">
        <x:v>2019</x:v>
      </x:c>
      <x:c r="E309" s="46" t="str">
        <x:v>Acanthocardia aculeata</x:v>
      </x:c>
      <x:c r="F309" s="46" t="str">
        <x:v>Spiny cockle</x:v>
      </x:c>
      <x:c r="G309" s="46" t="str">
        <x:v>Other demersal invertebrates</x:v>
      </x:c>
      <x:c r="H309" s="46" t="str">
        <x:v>Molluscs</x:v>
      </x:c>
      <x:c r="I309" s="60" t="n">
        <x:v>29.9450360659</x:v>
      </x:c>
      <x:c r="J309" s="60" t="n">
        <x:v>29.9450360659</x:v>
      </x:c>
      <x:c r="K309" s="60" t="n">
        <x:v>0</x:v>
      </x:c>
      <x:c r="L309" s="60" t="n">
        <x:v>0</x:v>
      </x:c>
      <x:c r="M309" s="60" t="n">
        <x:v>29.9450360659</x:v>
      </x:c>
      <x:c r="N309" s="46" t="str">
        <x:v>acanthocardia aculeata</x:v>
      </x:c>
      <x:c r="O309" s="62" t="n">
        <x:v>2.2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Acanthocardia aculeata</x:v>
      </x:c>
      <x:c r="T309" s="62" t="n">
        <x:f>IF(O309="","",(1/'Metadata'!$B$5)^(O309-1))</x:f>
        <x:v>15.848931924611142</x:v>
      </x:c>
      <x:c r="U309" s="60" t="n">
        <x:f>IF(T309="","",I309*T309)</x:f>
        <x:v>474.5968380884745</x:v>
      </x:c>
    </x:row>
    <x:row r="310" ht="18" customHeight="1">
      <x:c r="A310" s="46" t="str">
        <x:v>LME_027</x:v>
      </x:c>
      <x:c r="B310" s="46" t="str">
        <x:v>Canary Current</x:v>
      </x:c>
      <x:c r="C310" s="46" t="str">
        <x:v>LME</x:v>
      </x:c>
      <x:c r="D310" s="58" t="n">
        <x:v>2019</x:v>
      </x:c>
      <x:c r="E310" s="46" t="str">
        <x:v>Squaliformes</x:v>
      </x:c>
      <x:c r="F310" s="46" t="str">
        <x:v>Bramble, sleeper, dogfish sharks</x:v>
      </x:c>
      <x:c r="G310" s="46" t="str">
        <x:v>Large sharks (&gt;=90 cm)</x:v>
      </x:c>
      <x:c r="H310" s="46" t="str">
        <x:v>Sharks &amp; rays</x:v>
      </x:c>
      <x:c r="I310" s="60" t="n">
        <x:v>29.751440758100003</x:v>
      </x:c>
      <x:c r="J310" s="60" t="n">
        <x:v>29.751440758100003</x:v>
      </x:c>
      <x:c r="K310" s="60" t="n">
        <x:v>0</x:v>
      </x:c>
      <x:c r="L310" s="60" t="n">
        <x:v>29.751440758100003</x:v>
      </x:c>
      <x:c r="M310" s="60" t="n">
        <x:v>0</x:v>
      </x:c>
      <x:c r="N310" s="46" t="str">
        <x:v>squaliformes</x:v>
      </x:c>
      <x:c r="O310" s="62" t="n">
        <x:v>4.19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Squaliformes</x:v>
      </x:c>
      <x:c r="T310" s="62" t="n">
        <x:f>IF(O310="","",(1/'Metadata'!$B$5)^(O310-1))</x:f>
        <x:v>1548.8166189124827</x:v>
      </x:c>
      <x:c r="U310" s="60" t="n">
        <x:f>IF(T310="","",I310*T310)</x:f>
        <x:v>46079.52588273548</x:v>
      </x:c>
    </x:row>
    <x:row r="311" ht="18" customHeight="1">
      <x:c r="A311" s="46" t="str">
        <x:v>LME_027</x:v>
      </x:c>
      <x:c r="B311" s="46" t="str">
        <x:v>Canary Current</x:v>
      </x:c>
      <x:c r="C311" s="46" t="str">
        <x:v>LME</x:v>
      </x:c>
      <x:c r="D311" s="58" t="n">
        <x:v>2019</x:v>
      </x:c>
      <x:c r="E311" s="46" t="str">
        <x:v>Carcharhinidae</x:v>
      </x:c>
      <x:c r="F311" s="46" t="str">
        <x:v>Requiem sharks</x:v>
      </x:c>
      <x:c r="G311" s="46" t="str">
        <x:v>Large sharks (&gt;=90 cm)</x:v>
      </x:c>
      <x:c r="H311" s="46" t="str">
        <x:v>Sharks &amp; rays</x:v>
      </x:c>
      <x:c r="I311" s="60" t="n">
        <x:v>27.896536421700002</x:v>
      </x:c>
      <x:c r="J311" s="60" t="n">
        <x:v>27.896536421700002</x:v>
      </x:c>
      <x:c r="K311" s="60" t="n">
        <x:v>0</x:v>
      </x:c>
      <x:c r="L311" s="60" t="n">
        <x:v>27.896536421700002</x:v>
      </x:c>
      <x:c r="M311" s="60" t="n">
        <x:v>0</x:v>
      </x:c>
      <x:c r="N311" s="46" t="str">
        <x:v>carcharhinidae</x:v>
      </x:c>
      <x:c r="O311" s="62" t="n">
        <x:v>4.24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Carcharhinidae</x:v>
      </x:c>
      <x:c r="T311" s="62" t="n">
        <x:f>IF(O311="","",(1/'Metadata'!$B$5)^(O311-1))</x:f>
        <x:v>1737.8008287493763</x:v>
      </x:c>
      <x:c r="U311" s="60" t="n">
        <x:f>IF(T311="","",I311*T311)</x:f>
        <x:v>48478.62411286742</x:v>
      </x:c>
    </x:row>
    <x:row r="312" ht="18" customHeight="1">
      <x:c r="A312" s="46" t="str">
        <x:v>LME_027</x:v>
      </x:c>
      <x:c r="B312" s="46" t="str">
        <x:v>Canary Current</x:v>
      </x:c>
      <x:c r="C312" s="46" t="str">
        <x:v>LME</x:v>
      </x:c>
      <x:c r="D312" s="58" t="n">
        <x:v>2019</x:v>
      </x:c>
      <x:c r="E312" s="46" t="str">
        <x:v>Carangidae</x:v>
      </x:c>
      <x:c r="F312" s="46" t="str">
        <x:v>Jacks, pompanos</x:v>
      </x:c>
      <x:c r="G312" s="46" t="str">
        <x:v>Medium pelagics (30 - 89 cm)</x:v>
      </x:c>
      <x:c r="H312" s="46" t="str">
        <x:v>Perch-likes</x:v>
      </x:c>
      <x:c r="I312" s="60" t="n">
        <x:v>27.2326076351</x:v>
      </x:c>
      <x:c r="J312" s="60" t="n">
        <x:v>27.2326076351</x:v>
      </x:c>
      <x:c r="K312" s="60" t="n">
        <x:v>0</x:v>
      </x:c>
      <x:c r="L312" s="60" t="n">
        <x:v>9.161524301</x:v>
      </x:c>
      <x:c r="M312" s="60" t="n">
        <x:v>18.071083334100003</x:v>
      </x:c>
      <x:c r="N312" s="46" t="str">
        <x:v>carangidae</x:v>
      </x:c>
      <x:c r="O312" s="62" t="n">
        <x:v>4.05</x:v>
      </x:c>
      <x:c r="P312" s="46" t="str">
        <x:v>exact_sea_around_us</x:v>
      </x:c>
      <x:c r="Q312" s="62" t="str">
        <x:v>Sea Around Us exploited organisms</x:v>
      </x:c>
      <x:c r="R312" s="46" t="str">
        <x:v>high</x:v>
      </x:c>
      <x:c r="S312" s="46" t="str">
        <x:v>Carangidae</x:v>
      </x:c>
      <x:c r="T312" s="62" t="n">
        <x:f>IF(O312="","",(1/'Metadata'!$B$5)^(O312-1))</x:f>
        <x:v>1122.018454301963</x:v>
      </x:c>
      <x:c r="U312" s="60" t="n">
        <x:f>IF(T312="","",I312*T312)</x:f>
        <x:v>30555.488325346734</x:v>
      </x:c>
    </x:row>
    <x:row r="313" ht="18" customHeight="1">
      <x:c r="A313" s="46" t="str">
        <x:v>LME_027</x:v>
      </x:c>
      <x:c r="B313" s="46" t="str">
        <x:v>Canary Current</x:v>
      </x:c>
      <x:c r="C313" s="46" t="str">
        <x:v>LME</x:v>
      </x:c>
      <x:c r="D313" s="58" t="n">
        <x:v>2019</x:v>
      </x:c>
      <x:c r="E313" s="46" t="str">
        <x:v>Centrophorus granulosus</x:v>
      </x:c>
      <x:c r="F313" s="46" t="str">
        <x:v>Gulper shark</x:v>
      </x:c>
      <x:c r="G313" s="46" t="str">
        <x:v>Large sharks (&gt;=90 cm)</x:v>
      </x:c>
      <x:c r="H313" s="46" t="str">
        <x:v>Sharks &amp; rays</x:v>
      </x:c>
      <x:c r="I313" s="60" t="n">
        <x:v>26.915938851299998</x:v>
      </x:c>
      <x:c r="J313" s="60" t="n">
        <x:v>26.915938851299998</x:v>
      </x:c>
      <x:c r="K313" s="60" t="n">
        <x:v>0</x:v>
      </x:c>
      <x:c r="L313" s="60" t="n">
        <x:v>19.5402394285</x:v>
      </x:c>
      <x:c r="M313" s="60" t="n">
        <x:v>7.3756994228</x:v>
      </x:c>
      <x:c r="N313" s="46" t="str">
        <x:v>centrophorus granulosus</x:v>
      </x:c>
      <x:c r="O313" s="62" t="n">
        <x:v>4.11</x:v>
      </x:c>
      <x:c r="P313" s="46" t="str">
        <x:v>exact_2020_supplement</x:v>
      </x:c>
      <x:c r="Q313" s="62" t="str">
        <x:v>2020 supplement MeanTL</x:v>
      </x:c>
      <x:c r="R313" s="46" t="str">
        <x:v>high</x:v>
      </x:c>
      <x:c r="S313" s="46" t="str">
        <x:v>Centrophorus granulosus</x:v>
      </x:c>
      <x:c r="T313" s="62" t="n">
        <x:f>IF(O313="","",(1/'Metadata'!$B$5)^(O313-1))</x:f>
        <x:v>1288.249551693135</x:v>
      </x:c>
      <x:c r="U313" s="60" t="n">
        <x:f>IF(T313="","",I313*T313)</x:f>
        <x:v>34674.44615858705</x:v>
      </x:c>
    </x:row>
    <x:row r="314" ht="18" customHeight="1">
      <x:c r="A314" s="46" t="str">
        <x:v>LME_027</x:v>
      </x:c>
      <x:c r="B314" s="46" t="str">
        <x:v>Canary Current</x:v>
      </x:c>
      <x:c r="C314" s="46" t="str">
        <x:v>LME</x:v>
      </x:c>
      <x:c r="D314" s="58" t="n">
        <x:v>2019</x:v>
      </x:c>
      <x:c r="E314" s="46" t="str">
        <x:v>Fistulariidae</x:v>
      </x:c>
      <x:c r="F314" s="46" t="str">
        <x:v>Cornetfishes</x:v>
      </x:c>
      <x:c r="G314" s="46" t="str">
        <x:v>Large reef assoc. fish (&gt;=90 cm)</x:v>
      </x:c>
      <x:c r="H314" s="46" t="str">
        <x:v>Other fishes &amp; inverts</x:v>
      </x:c>
      <x:c r="I314" s="60" t="n">
        <x:v>26.7738808836</x:v>
      </x:c>
      <x:c r="J314" s="60" t="n">
        <x:v>26.7738808836</x:v>
      </x:c>
      <x:c r="K314" s="60" t="n">
        <x:v>0</x:v>
      </x:c>
      <x:c r="L314" s="60" t="n">
        <x:v>0</x:v>
      </x:c>
      <x:c r="M314" s="60" t="n">
        <x:v>26.7738808836</x:v>
      </x:c>
      <x:c r="N314" s="46" t="str">
        <x:v>fistulariidae</x:v>
      </x:c>
      <x:c r="O314" s="62" t="n">
        <x:v>3.86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Fistulariidae</x:v>
      </x:c>
      <x:c r="T314" s="62" t="n">
        <x:f>IF(O314="","",(1/'Metadata'!$B$5)^(O314-1))</x:f>
        <x:v>724.4359600749899</x:v>
      </x:c>
      <x:c r="U314" s="60" t="n">
        <x:f>IF(T314="","",I314*T314)</x:f>
        <x:v>19395.962102844187</x:v>
      </x:c>
    </x:row>
    <x:row r="315" ht="18" customHeight="1">
      <x:c r="A315" s="46" t="str">
        <x:v>LME_027</x:v>
      </x:c>
      <x:c r="B315" s="46" t="str">
        <x:v>Canary Current</x:v>
      </x:c>
      <x:c r="C315" s="46" t="str">
        <x:v>LME</x:v>
      </x:c>
      <x:c r="D315" s="58" t="n">
        <x:v>2019</x:v>
      </x:c>
      <x:c r="E315" s="46" t="str">
        <x:v>Aristaeomorpha foliacea</x:v>
      </x:c>
      <x:c r="F315" s="46" t="str">
        <x:v>Giant red shrimp</x:v>
      </x:c>
      <x:c r="G315" s="46" t="str">
        <x:v>Shrimps</x:v>
      </x:c>
      <x:c r="H315" s="46" t="str">
        <x:v>Crustaceans</x:v>
      </x:c>
      <x:c r="I315" s="60" t="n">
        <x:v>24.9766085548</x:v>
      </x:c>
      <x:c r="J315" s="60" t="n">
        <x:v>24.9766085548</x:v>
      </x:c>
      <x:c r="K315" s="60" t="n">
        <x:v>0</x:v>
      </x:c>
      <x:c r="L315" s="60" t="n">
        <x:v>24.9766085548</x:v>
      </x:c>
      <x:c r="M315" s="60" t="n">
        <x:v>0</x:v>
      </x:c>
      <x:c r="N315" s="46" t="str">
        <x:v>aristaeomorpha foliacea</x:v>
      </x:c>
      <x:c r="O315" s="62" t="n">
        <x:v>3.71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Aristaeomorpha foliacea</x:v>
      </x:c>
      <x:c r="T315" s="62" t="n">
        <x:f>IF(O315="","",(1/'Metadata'!$B$5)^(O315-1))</x:f>
        <x:v>512.8613839913648</x:v>
      </x:c>
      <x:c r="U315" s="60" t="n">
        <x:f>IF(T315="","",I315*T315)</x:f>
        <x:v>12809.53803082529</x:v>
      </x:c>
    </x:row>
    <x:row r="316" ht="18" customHeight="1">
      <x:c r="A316" s="46" t="str">
        <x:v>LME_027</x:v>
      </x:c>
      <x:c r="B316" s="46" t="str">
        <x:v>Canary Current</x:v>
      </x:c>
      <x:c r="C316" s="46" t="str">
        <x:v>LME</x:v>
      </x:c>
      <x:c r="D316" s="58" t="n">
        <x:v>2019</x:v>
      </x:c>
      <x:c r="E316" s="46" t="str">
        <x:v>Scorpaena porcus</x:v>
      </x:c>
      <x:c r="F316" s="46" t="str">
        <x:v>Black scorpionfish</x:v>
      </x:c>
      <x:c r="G316" s="46" t="str">
        <x:v>Small demersals (&lt;30 cm)</x:v>
      </x:c>
      <x:c r="H316" s="46" t="str">
        <x:v>Scorpionfishes</x:v>
      </x:c>
      <x:c r="I316" s="60" t="n">
        <x:v>24.4119021815</x:v>
      </x:c>
      <x:c r="J316" s="60" t="n">
        <x:v>24.4119021815</x:v>
      </x:c>
      <x:c r="K316" s="60" t="n">
        <x:v>0</x:v>
      </x:c>
      <x:c r="L316" s="60" t="n">
        <x:v>24.4119021815</x:v>
      </x:c>
      <x:c r="M316" s="60" t="n">
        <x:v>0</x:v>
      </x:c>
      <x:c r="N316" s="46" t="str">
        <x:v>scorpaena porcus</x:v>
      </x:c>
      <x:c r="O316" s="62" t="n">
        <x:v>3.92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Scorpaena porcus</x:v>
      </x:c>
      <x:c r="T316" s="62" t="n">
        <x:f>IF(O316="","",(1/'Metadata'!$B$5)^(O316-1))</x:f>
        <x:v>831.7637711026708</x:v>
      </x:c>
      <x:c r="U316" s="60" t="n">
        <x:f>IF(T316="","",I316*T316)</x:f>
        <x:v>20304.935818273956</x:v>
      </x:c>
    </x:row>
    <x:row r="317" ht="18" customHeight="1">
      <x:c r="A317" s="46" t="str">
        <x:v>LME_027</x:v>
      </x:c>
      <x:c r="B317" s="46" t="str">
        <x:v>Canary Current</x:v>
      </x:c>
      <x:c r="C317" s="46" t="str">
        <x:v>LME</x:v>
      </x:c>
      <x:c r="D317" s="58" t="n">
        <x:v>2019</x:v>
      </x:c>
      <x:c r="E317" s="46" t="str">
        <x:v>Scyllaridae</x:v>
      </x:c>
      <x:c r="F317" s="46" t="str">
        <x:v>Slipper lobsters</x:v>
      </x:c>
      <x:c r="G317" s="46" t="str">
        <x:v>Lobsters, crabs</x:v>
      </x:c>
      <x:c r="H317" s="46" t="str">
        <x:v>Crustaceans</x:v>
      </x:c>
      <x:c r="I317" s="60" t="n">
        <x:v>24.134849755999998</x:v>
      </x:c>
      <x:c r="J317" s="60" t="n">
        <x:v>24.134849755999998</x:v>
      </x:c>
      <x:c r="K317" s="60" t="n">
        <x:v>0</x:v>
      </x:c>
      <x:c r="L317" s="60" t="n">
        <x:v>24.134849755999998</x:v>
      </x:c>
      <x:c r="M317" s="60" t="n">
        <x:v>0</x:v>
      </x:c>
      <x:c r="N317" s="46" t="str">
        <x:v>scyllaridae</x:v>
      </x:c>
      <x:c r="O317" s="62" t="n">
        <x:v>2.87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Scyllaridae</x:v>
      </x:c>
      <x:c r="T317" s="62" t="n">
        <x:f>IF(O317="","",(1/'Metadata'!$B$5)^(O317-1))</x:f>
        <x:v>74.13102413009177</x:v>
      </x:c>
      <x:c r="U317" s="60" t="n">
        <x:f>IF(T317="","",I317*T317)</x:f>
        <x:v>1789.1411296381755</x:v>
      </x:c>
    </x:row>
    <x:row r="318" ht="18" customHeight="1">
      <x:c r="A318" s="46" t="str">
        <x:v>LME_027</x:v>
      </x:c>
      <x:c r="B318" s="46" t="str">
        <x:v>Canary Current</x:v>
      </x:c>
      <x:c r="C318" s="46" t="str">
        <x:v>LME</x:v>
      </x:c>
      <x:c r="D318" s="58" t="n">
        <x:v>2019</x:v>
      </x:c>
      <x:c r="E318" s="46" t="str">
        <x:v>Centroscymnus coelolepis</x:v>
      </x:c>
      <x:c r="F318" s="46" t="str">
        <x:v>Portuguese dogfish</x:v>
      </x:c>
      <x:c r="G318" s="46" t="str">
        <x:v>Large sharks (&gt;=90 cm)</x:v>
      </x:c>
      <x:c r="H318" s="46" t="str">
        <x:v>Sharks &amp; rays</x:v>
      </x:c>
      <x:c r="I318" s="60" t="n">
        <x:v>21.139324186899998</x:v>
      </x:c>
      <x:c r="J318" s="60" t="n">
        <x:v>21.139324186899998</x:v>
      </x:c>
      <x:c r="K318" s="60" t="n">
        <x:v>0</x:v>
      </x:c>
      <x:c r="L318" s="60" t="n">
        <x:v>21.139324186899998</x:v>
      </x:c>
      <x:c r="M318" s="60" t="n">
        <x:v>0</x:v>
      </x:c>
      <x:c r="N318" s="46" t="str">
        <x:v>centroscymnus coelolepis</x:v>
      </x:c>
      <x:c r="O318" s="62" t="n">
        <x:v>4.48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Centroscymnus coelolepis</x:v>
      </x:c>
      <x:c r="T318" s="62" t="n">
        <x:f>IF(O318="","",(1/'Metadata'!$B$5)^(O318-1))</x:f>
        <x:v>3019.951720402019</x:v>
      </x:c>
      <x:c r="U318" s="60" t="n">
        <x:f>IF(T318="","",I318*T318)</x:f>
        <x:v>63839.73844636466</x:v>
      </x:c>
    </x:row>
    <x:row r="319" ht="18" customHeight="1">
      <x:c r="A319" s="46" t="str">
        <x:v>LME_027</x:v>
      </x:c>
      <x:c r="B319" s="46" t="str">
        <x:v>Canary Current</x:v>
      </x:c>
      <x:c r="C319" s="46" t="str">
        <x:v>LME</x:v>
      </x:c>
      <x:c r="D319" s="58" t="n">
        <x:v>2019</x:v>
      </x:c>
      <x:c r="E319" s="46" t="str">
        <x:v>Diplodus bellottii</x:v>
      </x:c>
      <x:c r="F319" s="46" t="str">
        <x:v>Senegal seabream</x:v>
      </x:c>
      <x:c r="G319" s="46" t="str">
        <x:v>Small pelagics (&lt;30 cm)</x:v>
      </x:c>
      <x:c r="H319" s="46" t="str">
        <x:v>Perch-likes</x:v>
      </x:c>
      <x:c r="I319" s="60" t="n">
        <x:v>20.584444052</x:v>
      </x:c>
      <x:c r="J319" s="60" t="n">
        <x:v>19.534269991</x:v>
      </x:c>
      <x:c r="K319" s="60" t="n">
        <x:v>1.050174061</x:v>
      </x:c>
      <x:c r="L319" s="60" t="n">
        <x:v>16.1565317555</x:v>
      </x:c>
      <x:c r="M319" s="60" t="n">
        <x:v>4.427912296500001</x:v>
      </x:c>
      <x:c r="N319" s="46" t="str">
        <x:v>diplodus bellottii</x:v>
      </x:c>
      <x:c r="O319" s="62" t="n">
        <x:v>3.55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Diplodus bellottii</x:v>
      </x:c>
      <x:c r="T319" s="62" t="n">
        <x:f>IF(O319="","",(1/'Metadata'!$B$5)^(O319-1))</x:f>
        <x:v>354.8133892335753</x:v>
      </x:c>
      <x:c r="U319" s="60" t="n">
        <x:f>IF(T319="","",I319*T319)</x:f>
        <x:v>7303.63635957903</x:v>
      </x:c>
    </x:row>
    <x:row r="320" ht="18" customHeight="1">
      <x:c r="A320" s="46" t="str">
        <x:v>LME_027</x:v>
      </x:c>
      <x:c r="B320" s="46" t="str">
        <x:v>Canary Current</x:v>
      </x:c>
      <x:c r="C320" s="46" t="str">
        <x:v>LME</x:v>
      </x:c>
      <x:c r="D320" s="58" t="n">
        <x:v>2019</x:v>
      </x:c>
      <x:c r="E320" s="46" t="str">
        <x:v>Carcharhinus limbatus</x:v>
      </x:c>
      <x:c r="F320" s="46" t="str">
        <x:v>Blacktip shark</x:v>
      </x:c>
      <x:c r="G320" s="46" t="str">
        <x:v>Large sharks (&gt;=90 cm)</x:v>
      </x:c>
      <x:c r="H320" s="46" t="str">
        <x:v>Sharks &amp; rays</x:v>
      </x:c>
      <x:c r="I320" s="60" t="n">
        <x:v>20.0466321405</x:v>
      </x:c>
      <x:c r="J320" s="60" t="n">
        <x:v>19.8561729657</x:v>
      </x:c>
      <x:c r="K320" s="60" t="n">
        <x:v>0.1904591748</x:v>
      </x:c>
      <x:c r="L320" s="60" t="n">
        <x:v>2.9301425547</x:v>
      </x:c>
      <x:c r="M320" s="60" t="n">
        <x:v>17.1164895858</x:v>
      </x:c>
      <x:c r="N320" s="46" t="str">
        <x:v>carcharhinus limbatus</x:v>
      </x:c>
      <x:c r="O320" s="62" t="n">
        <x:v>4.37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Carcharhinus limbatus</x:v>
      </x:c>
      <x:c r="T320" s="62" t="n">
        <x:f>IF(O320="","",(1/'Metadata'!$B$5)^(O320-1))</x:f>
        <x:v>2344.228815319923</x:v>
      </x:c>
      <x:c r="U320" s="60" t="n">
        <x:f>IF(T320="","",I320*T320)</x:f>
        <x:v>46993.89271387861</x:v>
      </x:c>
    </x:row>
    <x:row r="321" ht="18" customHeight="1">
      <x:c r="A321" s="46" t="str">
        <x:v>LME_027</x:v>
      </x:c>
      <x:c r="B321" s="46" t="str">
        <x:v>Canary Current</x:v>
      </x:c>
      <x:c r="C321" s="46" t="str">
        <x:v>LME</x:v>
      </x:c>
      <x:c r="D321" s="58" t="n">
        <x:v>2019</x:v>
      </x:c>
      <x:c r="E321" s="46" t="str">
        <x:v>Gymnothorax polygonius</x:v>
      </x:c>
      <x:c r="F321" s="46" t="str">
        <x:v>Polygon moray</x:v>
      </x:c>
      <x:c r="G321" s="46" t="str">
        <x:v>Large demersals (&gt;=90 cm)</x:v>
      </x:c>
      <x:c r="H321" s="46" t="str">
        <x:v>Other fishes &amp; inverts</x:v>
      </x:c>
      <x:c r="I321" s="60" t="n">
        <x:v>18.6007561542</x:v>
      </x:c>
      <x:c r="J321" s="60" t="n">
        <x:v>18.6007561542</x:v>
      </x:c>
      <x:c r="K321" s="60" t="n">
        <x:v>0</x:v>
      </x:c>
      <x:c r="L321" s="60" t="n">
        <x:v>18.6007561542</x:v>
      </x:c>
      <x:c r="M321" s="60" t="n">
        <x:v>0</x:v>
      </x:c>
      <x:c r="N321" s="46" t="str">
        <x:v>gymnothorax polygonius</x:v>
      </x:c>
      <x:c r="O321" s="62" t="n">
        <x:v>4.5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Gymnothorax polygonius</x:v>
      </x:c>
      <x:c r="T321" s="62" t="n">
        <x:f>IF(O321="","",(1/'Metadata'!$B$5)^(O321-1))</x:f>
        <x:v>3162.2776601683795</x:v>
      </x:c>
      <x:c r="U321" s="60" t="n">
        <x:f>IF(T321="","",I321*T321)</x:f>
        <x:v>58820.755648666156</x:v>
      </x:c>
    </x:row>
    <x:row r="322" ht="18" customHeight="1">
      <x:c r="A322" s="46" t="str">
        <x:v>LME_027</x:v>
      </x:c>
      <x:c r="B322" s="46" t="str">
        <x:v>Canary Current</x:v>
      </x:c>
      <x:c r="C322" s="46" t="str">
        <x:v>LME</x:v>
      </x:c>
      <x:c r="D322" s="58" t="n">
        <x:v>2019</x:v>
      </x:c>
      <x:c r="E322" s="46" t="str">
        <x:v>Homarus gammarus</x:v>
      </x:c>
      <x:c r="F322" s="46" t="str">
        <x:v>European lobster</x:v>
      </x:c>
      <x:c r="G322" s="46" t="str">
        <x:v>Lobsters, crabs</x:v>
      </x:c>
      <x:c r="H322" s="46" t="str">
        <x:v>Crustaceans</x:v>
      </x:c>
      <x:c r="I322" s="60" t="n">
        <x:v>18.3323689146</x:v>
      </x:c>
      <x:c r="J322" s="60" t="n">
        <x:v>18.3323689146</x:v>
      </x:c>
      <x:c r="K322" s="60" t="n">
        <x:v>0</x:v>
      </x:c>
      <x:c r="L322" s="60" t="n">
        <x:v>18.3323689146</x:v>
      </x:c>
      <x:c r="M322" s="60" t="n">
        <x:v>0</x:v>
      </x:c>
      <x:c r="N322" s="46" t="str">
        <x:v>homarus gammarus</x:v>
      </x:c>
      <x:c r="O322" s="62" t="n">
        <x:v>3.7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Homarus gammarus</x:v>
      </x:c>
      <x:c r="T322" s="62" t="n">
        <x:f>IF(O322="","",(1/'Metadata'!$B$5)^(O322-1))</x:f>
        <x:v>501.18723362727246</x:v>
      </x:c>
      <x:c r="U322" s="60" t="n">
        <x:f>IF(T322="","",I322*T322)</x:f>
        <x:v>9187.949262142978</x:v>
      </x:c>
    </x:row>
    <x:row r="323" ht="18" customHeight="1">
      <x:c r="A323" s="46" t="str">
        <x:v>LME_027</x:v>
      </x:c>
      <x:c r="B323" s="46" t="str">
        <x:v>Canary Current</x:v>
      </x:c>
      <x:c r="C323" s="46" t="str">
        <x:v>LME</x:v>
      </x:c>
      <x:c r="D323" s="58" t="n">
        <x:v>2019</x:v>
      </x:c>
      <x:c r="E323" s="46" t="str">
        <x:v>Chaceon maritae</x:v>
      </x:c>
      <x:c r="F323" s="46" t="str">
        <x:v>West African geryon</x:v>
      </x:c>
      <x:c r="G323" s="46" t="str">
        <x:v>Lobsters, crabs</x:v>
      </x:c>
      <x:c r="H323" s="46" t="str">
        <x:v>Crustaceans</x:v>
      </x:c>
      <x:c r="I323" s="60" t="n">
        <x:v>17.830236363999997</x:v>
      </x:c>
      <x:c r="J323" s="60" t="n">
        <x:v>17.830236363999997</x:v>
      </x:c>
      <x:c r="K323" s="60" t="n">
        <x:v>0</x:v>
      </x:c>
      <x:c r="L323" s="60" t="n">
        <x:v>17.830236363999997</x:v>
      </x:c>
      <x:c r="M323" s="60" t="n">
        <x:v>0</x:v>
      </x:c>
      <x:c r="N323" s="46" t="str">
        <x:v>chaceon maritae</x:v>
      </x:c>
      <x:c r="O323" s="62" t="n">
        <x:v>2.85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Chaceon maritae</x:v>
      </x:c>
      <x:c r="T323" s="62" t="n">
        <x:f>IF(O323="","",(1/'Metadata'!$B$5)^(O323-1))</x:f>
        <x:v>70.79457843841381</x:v>
      </x:c>
      <x:c r="U323" s="60" t="n">
        <x:f>IF(T323="","",I323*T323)</x:f>
        <x:v>1262.284066846656</x:v>
      </x:c>
    </x:row>
    <x:row r="324" ht="18" customHeight="1">
      <x:c r="A324" s="46" t="str">
        <x:v>LME_027</x:v>
      </x:c>
      <x:c r="B324" s="46" t="str">
        <x:v>Canary Current</x:v>
      </x:c>
      <x:c r="C324" s="46" t="str">
        <x:v>LME</x:v>
      </x:c>
      <x:c r="D324" s="58" t="n">
        <x:v>2019</x:v>
      </x:c>
      <x:c r="E324" s="46" t="str">
        <x:v>Seriola rivoliana</x:v>
      </x:c>
      <x:c r="F324" s="46" t="str">
        <x:v>Longfin yellowtail</x:v>
      </x:c>
      <x:c r="G324" s="46" t="str">
        <x:v>Large benthopelagics (&gt;=90 cm)</x:v>
      </x:c>
      <x:c r="H324" s="46" t="str">
        <x:v>Perch-likes</x:v>
      </x:c>
      <x:c r="I324" s="60" t="n">
        <x:v>17.0041149842</x:v>
      </x:c>
      <x:c r="J324" s="60" t="n">
        <x:v>17.0041149842</x:v>
      </x:c>
      <x:c r="K324" s="60" t="n">
        <x:v>0</x:v>
      </x:c>
      <x:c r="L324" s="60" t="n">
        <x:v>17.0041149842</x:v>
      </x:c>
      <x:c r="M324" s="60" t="n">
        <x:v>0</x:v>
      </x:c>
      <x:c r="N324" s="46" t="str">
        <x:v>seriola rivoliana</x:v>
      </x:c>
      <x:c r="O324" s="62" t="n">
        <x:v>4.45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Seriola rivoliana</x:v>
      </x:c>
      <x:c r="T324" s="62" t="n">
        <x:f>IF(O324="","",(1/'Metadata'!$B$5)^(O324-1))</x:f>
        <x:v>2818.382931264455</x:v>
      </x:c>
      <x:c r="U324" s="60" t="n">
        <x:f>IF(T324="","",I324*T324)</x:f>
        <x:v>47924.10743272744</x:v>
      </x:c>
    </x:row>
    <x:row r="325" ht="18" customHeight="1">
      <x:c r="A325" s="46" t="str">
        <x:v>LME_027</x:v>
      </x:c>
      <x:c r="B325" s="46" t="str">
        <x:v>Canary Current</x:v>
      </x:c>
      <x:c r="C325" s="46" t="str">
        <x:v>LME</x:v>
      </x:c>
      <x:c r="D325" s="58" t="n">
        <x:v>2019</x:v>
      </x:c>
      <x:c r="E325" s="46" t="str">
        <x:v>Leptocharias smithii</x:v>
      </x:c>
      <x:c r="F325" s="46" t="str">
        <x:v>Barbeled houndshark</x:v>
      </x:c>
      <x:c r="G325" s="46" t="str">
        <x:v>Small to medium sharks (&lt;90 cm)</x:v>
      </x:c>
      <x:c r="H325" s="46" t="str">
        <x:v>Sharks &amp; rays</x:v>
      </x:c>
      <x:c r="I325" s="60" t="n">
        <x:v>15.8782792473</x:v>
      </x:c>
      <x:c r="J325" s="60" t="n">
        <x:v>15.0681796125</x:v>
      </x:c>
      <x:c r="K325" s="60" t="n">
        <x:v>0.8100996348</x:v>
      </x:c>
      <x:c r="L325" s="60" t="n">
        <x:v>12.4630772745</x:v>
      </x:c>
      <x:c r="M325" s="60" t="n">
        <x:v>3.4152019728</x:v>
      </x:c>
      <x:c r="N325" s="46" t="str">
        <x:v>leptocharias smithii</x:v>
      </x:c>
      <x:c r="O325" s="62" t="n">
        <x:v>3.79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Leptocharias smithii</x:v>
      </x:c>
      <x:c r="T325" s="62" t="n">
        <x:f>IF(O325="","",(1/'Metadata'!$B$5)^(O325-1))</x:f>
        <x:v>616.5950018614822</x:v>
      </x:c>
      <x:c r="U325" s="60" t="n">
        <x:f>IF(T325="","",I325*T325)</x:f>
        <x:v>9790.467622046077</x:v>
      </x:c>
    </x:row>
    <x:row r="326" ht="18" customHeight="1">
      <x:c r="A326" s="46" t="str">
        <x:v>LME_027</x:v>
      </x:c>
      <x:c r="B326" s="46" t="str">
        <x:v>Canary Current</x:v>
      </x:c>
      <x:c r="C326" s="46" t="str">
        <x:v>LME</x:v>
      </x:c>
      <x:c r="D326" s="58" t="n">
        <x:v>2019</x:v>
      </x:c>
      <x:c r="E326" s="46" t="str">
        <x:v>Illex coindetii</x:v>
      </x:c>
      <x:c r="F326" s="46" t="str">
        <x:v>Broadtail shortfin squid</x:v>
      </x:c>
      <x:c r="G326" s="46" t="str">
        <x:v>Cephalopods</x:v>
      </x:c>
      <x:c r="H326" s="46" t="str">
        <x:v>Other fishes &amp; inverts</x:v>
      </x:c>
      <x:c r="I326" s="60" t="n">
        <x:v>15.470456045</x:v>
      </x:c>
      <x:c r="J326" s="60" t="n">
        <x:v>15.470456045</x:v>
      </x:c>
      <x:c r="K326" s="60" t="n">
        <x:v>0</x:v>
      </x:c>
      <x:c r="L326" s="60" t="n">
        <x:v>0.1068889559</x:v>
      </x:c>
      <x:c r="M326" s="60" t="n">
        <x:v>15.3635670891</x:v>
      </x:c>
      <x:c r="N326" s="46" t="str">
        <x:v>illex coindetii</x:v>
      </x:c>
      <x:c r="O326" s="62" t="n">
        <x:v>4.11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Illex coindetii</x:v>
      </x:c>
      <x:c r="T326" s="62" t="n">
        <x:f>IF(O326="","",(1/'Metadata'!$B$5)^(O326-1))</x:f>
        <x:v>1288.249551693135</x:v>
      </x:c>
      <x:c r="U326" s="60" t="n">
        <x:f>IF(T326="","",I326*T326)</x:f>
        <x:v>19929.8080644596</x:v>
      </x:c>
    </x:row>
    <x:row r="327" ht="18" customHeight="1">
      <x:c r="A327" s="46" t="str">
        <x:v>LME_027</x:v>
      </x:c>
      <x:c r="B327" s="46" t="str">
        <x:v>Canary Current</x:v>
      </x:c>
      <x:c r="C327" s="46" t="str">
        <x:v>LME</x:v>
      </x:c>
      <x:c r="D327" s="58" t="n">
        <x:v>2019</x:v>
      </x:c>
      <x:c r="E327" s="46" t="str">
        <x:v>Centrophorus squamosus</x:v>
      </x:c>
      <x:c r="F327" s="46" t="str">
        <x:v>Leafscale gulper shark</x:v>
      </x:c>
      <x:c r="G327" s="46" t="str">
        <x:v>Large sharks (&gt;=90 cm)</x:v>
      </x:c>
      <x:c r="H327" s="46" t="str">
        <x:v>Sharks &amp; rays</x:v>
      </x:c>
      <x:c r="I327" s="60" t="n">
        <x:v>15.4131757854</x:v>
      </x:c>
      <x:c r="J327" s="60" t="n">
        <x:v>15.4131757854</x:v>
      </x:c>
      <x:c r="K327" s="60" t="n">
        <x:v>0</x:v>
      </x:c>
      <x:c r="L327" s="60" t="n">
        <x:v>15.4131757854</x:v>
      </x:c>
      <x:c r="M327" s="60" t="n">
        <x:v>0</x:v>
      </x:c>
      <x:c r="N327" s="46" t="str">
        <x:v>centrophorus squamosus</x:v>
      </x:c>
      <x:c r="O327" s="62" t="n">
        <x:v>4.47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Centrophorus squamosus</x:v>
      </x:c>
      <x:c r="T327" s="62" t="n">
        <x:f>IF(O327="","",(1/'Metadata'!$B$5)^(O327-1))</x:f>
        <x:v>2951.209226666384</x:v>
      </x:c>
      <x:c r="U327" s="60" t="n">
        <x:f>IF(T327="","",I327*T327)</x:f>
        <x:v>45487.50659010337</x:v>
      </x:c>
    </x:row>
    <x:row r="328" ht="18" customHeight="1">
      <x:c r="A328" s="46" t="str">
        <x:v>LME_027</x:v>
      </x:c>
      <x:c r="B328" s="46" t="str">
        <x:v>Canary Current</x:v>
      </x:c>
      <x:c r="C328" s="46" t="str">
        <x:v>LME</x:v>
      </x:c>
      <x:c r="D328" s="58" t="n">
        <x:v>2019</x:v>
      </x:c>
      <x:c r="E328" s="46" t="str">
        <x:v>Sarda</x:v>
      </x:c>
      <x:c r="F328" s="46" t="str">
        <x:v>Bonitos</x:v>
      </x:c>
      <x:c r="G328" s="46" t="str">
        <x:v>Large pelagics (&gt;=90 cm)</x:v>
      </x:c>
      <x:c r="H328" s="46" t="str">
        <x:v>Tuna &amp; billfishes</x:v>
      </x:c>
      <x:c r="I328" s="60" t="n">
        <x:v>15.2394873087</x:v>
      </x:c>
      <x:c r="J328" s="60" t="n">
        <x:v>15.2394873087</x:v>
      </x:c>
      <x:c r="K328" s="60" t="n">
        <x:v>0</x:v>
      </x:c>
      <x:c r="L328" s="60" t="n">
        <x:v>15.2394873087</x:v>
      </x:c>
      <x:c r="M328" s="60" t="n">
        <x:v>0</x:v>
      </x:c>
      <x:c r="N328" s="46" t="str">
        <x:v>sarda</x:v>
      </x:c>
      <x:c r="O328" s="62" t="n">
        <x:v>4.37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Sarda</x:v>
      </x:c>
      <x:c r="T328" s="62" t="n">
        <x:f>IF(O328="","",(1/'Metadata'!$B$5)^(O328-1))</x:f>
        <x:v>2344.228815319923</x:v>
      </x:c>
      <x:c r="U328" s="60" t="n">
        <x:f>IF(T328="","",I328*T328)</x:f>
        <x:v>35724.8452797568</x:v>
      </x:c>
    </x:row>
    <x:row r="329" ht="18" customHeight="1">
      <x:c r="A329" s="46" t="str">
        <x:v>LME_027</x:v>
      </x:c>
      <x:c r="B329" s="46" t="str">
        <x:v>Canary Current</x:v>
      </x:c>
      <x:c r="C329" s="46" t="str">
        <x:v>LME</x:v>
      </x:c>
      <x:c r="D329" s="58" t="n">
        <x:v>2019</x:v>
      </x:c>
      <x:c r="E329" s="46" t="str">
        <x:v>Acanthocardia tuberculata</x:v>
      </x:c>
      <x:c r="F329" s="46" t="str">
        <x:v>Tuberculate cockle</x:v>
      </x:c>
      <x:c r="G329" s="46" t="str">
        <x:v>Other demersal invertebrates</x:v>
      </x:c>
      <x:c r="H329" s="46" t="str">
        <x:v>Molluscs</x:v>
      </x:c>
      <x:c r="I329" s="60" t="n">
        <x:v>14.4179818746</x:v>
      </x:c>
      <x:c r="J329" s="60" t="n">
        <x:v>14.4179818746</x:v>
      </x:c>
      <x:c r="K329" s="60" t="n">
        <x:v>0</x:v>
      </x:c>
      <x:c r="L329" s="60" t="n">
        <x:v>0</x:v>
      </x:c>
      <x:c r="M329" s="60" t="n">
        <x:v>14.4179818746</x:v>
      </x:c>
      <x:c r="N329" s="46" t="str">
        <x:v>acanthocardia tuberculata</x:v>
      </x:c>
      <x:c r="O329" s="62" t="n">
        <x:v>2.5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Acanthocardia tuberculata</x:v>
      </x:c>
      <x:c r="T329" s="62" t="n">
        <x:f>IF(O329="","",(1/'Metadata'!$B$5)^(O329-1))</x:f>
        <x:v>31.622776601683793</x:v>
      </x:c>
      <x:c r="U329" s="60" t="n">
        <x:f>IF(T329="","",I329*T329)</x:f>
        <x:v>455.9366198676019</x:v>
      </x:c>
    </x:row>
    <x:row r="330" ht="18" customHeight="1">
      <x:c r="A330" s="46" t="str">
        <x:v>LME_027</x:v>
      </x:c>
      <x:c r="B330" s="46" t="str">
        <x:v>Canary Current</x:v>
      </x:c>
      <x:c r="C330" s="46" t="str">
        <x:v>LME</x:v>
      </x:c>
      <x:c r="D330" s="58" t="n">
        <x:v>2019</x:v>
      </x:c>
      <x:c r="E330" s="46" t="str">
        <x:v>Umbrina cirrosa</x:v>
      </x:c>
      <x:c r="F330" s="46" t="str">
        <x:v>Shi drum</x:v>
      </x:c>
      <x:c r="G330" s="46" t="str">
        <x:v>Medium demersals (30 - 89 cm)</x:v>
      </x:c>
      <x:c r="H330" s="46" t="str">
        <x:v>Perch-likes</x:v>
      </x:c>
      <x:c r="I330" s="60" t="n">
        <x:v>13.8054050777</x:v>
      </x:c>
      <x:c r="J330" s="60" t="n">
        <x:v>13.8054050777</x:v>
      </x:c>
      <x:c r="K330" s="60" t="n">
        <x:v>0</x:v>
      </x:c>
      <x:c r="L330" s="60" t="n">
        <x:v>13.8054050777</x:v>
      </x:c>
      <x:c r="M330" s="60" t="n">
        <x:v>0</x:v>
      </x:c>
      <x:c r="N330" s="46" t="str">
        <x:v>umbrina cirrosa</x:v>
      </x:c>
      <x:c r="O330" s="62" t="n">
        <x:v>3.46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Umbrina cirrosa</x:v>
      </x:c>
      <x:c r="T330" s="62" t="n">
        <x:f>IF(O330="","",(1/'Metadata'!$B$5)^(O330-1))</x:f>
        <x:v>288.40315031266056</x:v>
      </x:c>
      <x:c r="U330" s="60" t="n">
        <x:f>IF(T330="","",I330*T330)</x:f>
        <x:v>3981.5223157510804</x:v>
      </x:c>
    </x:row>
    <x:row r="331" ht="18" customHeight="1">
      <x:c r="A331" s="46" t="str">
        <x:v>LME_027</x:v>
      </x:c>
      <x:c r="B331" s="46" t="str">
        <x:v>Canary Current</x:v>
      </x:c>
      <x:c r="C331" s="46" t="str">
        <x:v>LME</x:v>
      </x:c>
      <x:c r="D331" s="58" t="n">
        <x:v>2019</x:v>
      </x:c>
      <x:c r="E331" s="46" t="str">
        <x:v>Loliginidae</x:v>
      </x:c>
      <x:c r="F331" s="46" t="str">
        <x:v>Common pencil squids</x:v>
      </x:c>
      <x:c r="G331" s="46" t="str">
        <x:v>Cephalopods</x:v>
      </x:c>
      <x:c r="H331" s="46" t="str">
        <x:v>Other fishes &amp; inverts</x:v>
      </x:c>
      <x:c r="I331" s="60" t="n">
        <x:v>13.7592786858</x:v>
      </x:c>
      <x:c r="J331" s="60" t="n">
        <x:v>13.7592786858</x:v>
      </x:c>
      <x:c r="K331" s="60" t="n">
        <x:v>0</x:v>
      </x:c>
      <x:c r="L331" s="60" t="n">
        <x:v>13.7592786858</x:v>
      </x:c>
      <x:c r="M331" s="60" t="n">
        <x:v>0</x:v>
      </x:c>
      <x:c r="N331" s="46" t="str">
        <x:v>loliginidae</x:v>
      </x:c>
      <x:c r="O331" s="62" t="n">
        <x:v>3.9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Loliginidae</x:v>
      </x:c>
      <x:c r="T331" s="62" t="n">
        <x:f>IF(O331="","",(1/'Metadata'!$B$5)^(O331-1))</x:f>
        <x:v>794.3282347242813</x:v>
      </x:c>
      <x:c r="U331" s="60" t="n">
        <x:f>IF(T331="","",I331*T331)</x:f>
        <x:v>10929.383549570943</x:v>
      </x:c>
    </x:row>
    <x:row r="332" ht="18" customHeight="1">
      <x:c r="A332" s="46" t="str">
        <x:v>LME_027</x:v>
      </x:c>
      <x:c r="B332" s="46" t="str">
        <x:v>Canary Current</x:v>
      </x:c>
      <x:c r="C332" s="46" t="str">
        <x:v>LME</x:v>
      </x:c>
      <x:c r="D332" s="58" t="n">
        <x:v>2019</x:v>
      </x:c>
      <x:c r="E332" s="46" t="str">
        <x:v>Ruvettus pretiosus</x:v>
      </x:c>
      <x:c r="F332" s="46" t="str">
        <x:v>Oilfish</x:v>
      </x:c>
      <x:c r="G332" s="46" t="str">
        <x:v>Large benthopelagics (&gt;=90 cm)</x:v>
      </x:c>
      <x:c r="H332" s="46" t="str">
        <x:v>Perch-likes</x:v>
      </x:c>
      <x:c r="I332" s="60" t="n">
        <x:v>13.575920971399999</x:v>
      </x:c>
      <x:c r="J332" s="60" t="n">
        <x:v>13.575920971399999</x:v>
      </x:c>
      <x:c r="K332" s="60" t="n">
        <x:v>0</x:v>
      </x:c>
      <x:c r="L332" s="60" t="n">
        <x:v>13.575920971399999</x:v>
      </x:c>
      <x:c r="M332" s="60" t="n">
        <x:v>0</x:v>
      </x:c>
      <x:c r="N332" s="46" t="str">
        <x:v>ruvettus pretiosus</x:v>
      </x:c>
      <x:c r="O332" s="62" t="n">
        <x:v>4.18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Ruvettus pretiosus</x:v>
      </x:c>
      <x:c r="T332" s="62" t="n">
        <x:f>IF(O332="","",(1/'Metadata'!$B$5)^(O332-1))</x:f>
        <x:v>1513.5612484362073</x:v>
      </x:c>
      <x:c r="U332" s="60" t="n">
        <x:f>IF(T332="","",I332*T332)</x:f>
        <x:v>20547.98789414347</x:v>
      </x:c>
    </x:row>
    <x:row r="333" ht="18" customHeight="1">
      <x:c r="A333" s="46" t="str">
        <x:v>LME_027</x:v>
      </x:c>
      <x:c r="B333" s="46" t="str">
        <x:v>Canary Current</x:v>
      </x:c>
      <x:c r="C333" s="46" t="str">
        <x:v>LME</x:v>
      </x:c>
      <x:c r="D333" s="58" t="n">
        <x:v>2019</x:v>
      </x:c>
      <x:c r="E333" s="46" t="str">
        <x:v>Balistes</x:v>
      </x:c>
      <x:c r="F333" s="46" t="str">
        <x:v>Triggerfish</x:v>
      </x:c>
      <x:c r="G333" s="46" t="str">
        <x:v>Medium reef assoc. fish (30 - 89 cm)</x:v>
      </x:c>
      <x:c r="H333" s="46" t="str">
        <x:v>Other fishes &amp; inverts</x:v>
      </x:c>
      <x:c r="I333" s="60" t="n">
        <x:v>13.072653047300001</x:v>
      </x:c>
      <x:c r="J333" s="60" t="n">
        <x:v>12.405714406400001</x:v>
      </x:c>
      <x:c r="K333" s="60" t="n">
        <x:v>0.6669386409</x:v>
      </x:c>
      <x:c r="L333" s="60" t="n">
        <x:v>10.260599390200001</x:v>
      </x:c>
      <x:c r="M333" s="60" t="n">
        <x:v>2.8120536571000003</x:v>
      </x:c>
      <x:c r="N333" s="46" t="str">
        <x:v>balistes</x:v>
      </x:c>
      <x:c r="O333" s="62" t="n">
        <x:v>3.94</x:v>
      </x:c>
      <x:c r="P333" s="46" t="str">
        <x:v>exact_sea_around_us</x:v>
      </x:c>
      <x:c r="Q333" s="62" t="str">
        <x:v>Sea Around Us exploited organisms</x:v>
      </x:c>
      <x:c r="R333" s="46" t="str">
        <x:v>high</x:v>
      </x:c>
      <x:c r="S333" s="46" t="str">
        <x:v>Balistes</x:v>
      </x:c>
      <x:c r="T333" s="62" t="n">
        <x:f>IF(O333="","",(1/'Metadata'!$B$5)^(O333-1))</x:f>
        <x:v>870.9635899560806</x:v>
      </x:c>
      <x:c r="U333" s="60" t="n">
        <x:f>IF(T333="","",I333*T333)</x:f>
        <x:v>11385.804828326705</x:v>
      </x:c>
    </x:row>
    <x:row r="334" ht="18" customHeight="1">
      <x:c r="A334" s="46" t="str">
        <x:v>LME_027</x:v>
      </x:c>
      <x:c r="B334" s="46" t="str">
        <x:v>Canary Current</x:v>
      </x:c>
      <x:c r="C334" s="46" t="str">
        <x:v>LME</x:v>
      </x:c>
      <x:c r="D334" s="58" t="n">
        <x:v>2019</x:v>
      </x:c>
      <x:c r="E334" s="46" t="str">
        <x:v>Maja squinado</x:v>
      </x:c>
      <x:c r="F334" s="46" t="str">
        <x:v>Spinous spider crab</x:v>
      </x:c>
      <x:c r="G334" s="46" t="str">
        <x:v>Lobsters, crabs</x:v>
      </x:c>
      <x:c r="H334" s="46" t="str">
        <x:v>Crustaceans</x:v>
      </x:c>
      <x:c r="I334" s="60" t="n">
        <x:v>12.9067875948</x:v>
      </x:c>
      <x:c r="J334" s="60" t="n">
        <x:v>12.9067875948</x:v>
      </x:c>
      <x:c r="K334" s="60" t="n">
        <x:v>0</x:v>
      </x:c>
      <x:c r="L334" s="60" t="n">
        <x:v>12.9067875948</x:v>
      </x:c>
      <x:c r="M334" s="60" t="n">
        <x:v>0</x:v>
      </x:c>
      <x:c r="N334" s="46" t="str">
        <x:v>maja squinado</x:v>
      </x:c>
      <x:c r="O334" s="62" t="n">
        <x:v>2.94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Maja squinado</x:v>
      </x:c>
      <x:c r="T334" s="62" t="n">
        <x:f>IF(O334="","",(1/'Metadata'!$B$5)^(O334-1))</x:f>
        <x:v>87.09635899560806</x:v>
      </x:c>
      <x:c r="U334" s="60" t="n">
        <x:f>IF(T334="","",I334*T334)</x:f>
        <x:v>1124.1342058367616</x:v>
      </x:c>
    </x:row>
    <x:row r="335" ht="18" customHeight="1">
      <x:c r="A335" s="46" t="str">
        <x:v>LME_027</x:v>
      </x:c>
      <x:c r="B335" s="46" t="str">
        <x:v>Canary Current</x:v>
      </x:c>
      <x:c r="C335" s="46" t="str">
        <x:v>LME</x:v>
      </x:c>
      <x:c r="D335" s="58" t="n">
        <x:v>2019</x:v>
      </x:c>
      <x:c r="E335" s="46" t="str">
        <x:v>Carcharhinus longimanus</x:v>
      </x:c>
      <x:c r="F335" s="46" t="str">
        <x:v>Oceanic whitetip shark</x:v>
      </x:c>
      <x:c r="G335" s="46" t="str">
        <x:v>Large sharks (&gt;=90 cm)</x:v>
      </x:c>
      <x:c r="H335" s="46" t="str">
        <x:v>Sharks &amp; rays</x:v>
      </x:c>
      <x:c r="I335" s="60" t="n">
        <x:v>12.2467401903</x:v>
      </x:c>
      <x:c r="J335" s="60" t="n">
        <x:v>11.6219193516</x:v>
      </x:c>
      <x:c r="K335" s="60" t="n">
        <x:v>0.6248208386999999</x:v>
      </x:c>
      <x:c r="L335" s="60" t="n">
        <x:v>9.6126328911</x:v>
      </x:c>
      <x:c r="M335" s="60" t="n">
        <x:v>2.6341072992</x:v>
      </x:c>
      <x:c r="N335" s="46" t="str">
        <x:v>carcharhinus longimanus</x:v>
      </x:c>
      <x:c r="O335" s="62" t="n">
        <x:v>4.16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Carcharhinus longimanus</x:v>
      </x:c>
      <x:c r="T335" s="62" t="n">
        <x:f>IF(O335="","",(1/'Metadata'!$B$5)^(O335-1))</x:f>
        <x:v>1445.439770745928</x:v>
      </x:c>
      <x:c r="U335" s="60" t="n">
        <x:f>IF(T335="","",I335*T335)</x:f>
        <x:v>17701.925333052175</x:v>
      </x:c>
    </x:row>
    <x:row r="336" ht="18" customHeight="1">
      <x:c r="A336" s="46" t="str">
        <x:v>LME_027</x:v>
      </x:c>
      <x:c r="B336" s="46" t="str">
        <x:v>Canary Current</x:v>
      </x:c>
      <x:c r="C336" s="46" t="str">
        <x:v>LME</x:v>
      </x:c>
      <x:c r="D336" s="58" t="n">
        <x:v>2019</x:v>
      </x:c>
      <x:c r="E336" s="46" t="str">
        <x:v>Raja undulata</x:v>
      </x:c>
      <x:c r="F336" s="46" t="str">
        <x:v>Undulate ray</x:v>
      </x:c>
      <x:c r="G336" s="46" t="str">
        <x:v>Small to medium rays (&lt;90 cm)</x:v>
      </x:c>
      <x:c r="H336" s="46" t="str">
        <x:v>Sharks &amp; rays</x:v>
      </x:c>
      <x:c r="I336" s="60" t="n">
        <x:v>12.1886527632</x:v>
      </x:c>
      <x:c r="J336" s="60" t="n">
        <x:v>11.5679405781</x:v>
      </x:c>
      <x:c r="K336" s="60" t="n">
        <x:v>0.6207121851</x:v>
      </x:c>
      <x:c r="L336" s="60" t="n">
        <x:v>9.5718666442</x:v>
      </x:c>
      <x:c r="M336" s="60" t="n">
        <x:v>2.616786119</x:v>
      </x:c>
      <x:c r="N336" s="46" t="str">
        <x:v>raja undulata</x:v>
      </x:c>
      <x:c r="O336" s="62" t="n">
        <x:v>3.5</x:v>
      </x:c>
      <x:c r="P336" s="46" t="str">
        <x:v>exact_2020_supplement</x:v>
      </x:c>
      <x:c r="Q336" s="62" t="str">
        <x:v>2020 supplement MeanTL</x:v>
      </x:c>
      <x:c r="R336" s="46" t="str">
        <x:v>high</x:v>
      </x:c>
      <x:c r="S336" s="46" t="str">
        <x:v>Raja undulata</x:v>
      </x:c>
      <x:c r="T336" s="62" t="n">
        <x:f>IF(O336="","",(1/'Metadata'!$B$5)^(O336-1))</x:f>
        <x:v>316.22776601683796</x:v>
      </x:c>
      <x:c r="U336" s="60" t="n">
        <x:f>IF(T336="","",I336*T336)</x:f>
        <x:v>3854.390434061695</x:v>
      </x:c>
    </x:row>
    <x:row r="337" ht="18" customHeight="1">
      <x:c r="A337" s="46" t="str">
        <x:v>LME_027</x:v>
      </x:c>
      <x:c r="B337" s="46" t="str">
        <x:v>Canary Current</x:v>
      </x:c>
      <x:c r="C337" s="46" t="str">
        <x:v>LME</x:v>
      </x:c>
      <x:c r="D337" s="58" t="n">
        <x:v>2019</x:v>
      </x:c>
      <x:c r="E337" s="46" t="str">
        <x:v>Centrolophidae</x:v>
      </x:c>
      <x:c r="F337" s="46" t="str">
        <x:v>Medusafishes</x:v>
      </x:c>
      <x:c r="G337" s="46" t="str">
        <x:v>Medium benthopelagics (30 - 89 cm)</x:v>
      </x:c>
      <x:c r="H337" s="46" t="str">
        <x:v>Perch-likes</x:v>
      </x:c>
      <x:c r="I337" s="60" t="n">
        <x:v>11.642536253800001</x:v>
      </x:c>
      <x:c r="J337" s="60" t="n">
        <x:v>11.0701208516</x:v>
      </x:c>
      <x:c r="K337" s="60" t="n">
        <x:v>0.5724154022</x:v>
      </x:c>
      <x:c r="L337" s="60" t="n">
        <x:v>9.2290266348</x:v>
      </x:c>
      <x:c r="M337" s="60" t="n">
        <x:v>2.413509619</x:v>
      </x:c>
      <x:c r="N337" s="46" t="str">
        <x:v>centrolophidae</x:v>
      </x:c>
      <x:c r="O337" s="62" t="n">
        <x:v>3.65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Centrolophidae</x:v>
      </x:c>
      <x:c r="T337" s="62" t="n">
        <x:f>IF(O337="","",(1/'Metadata'!$B$5)^(O337-1))</x:f>
        <x:v>446.683592150963</x:v>
      </x:c>
      <x:c r="U337" s="60" t="n">
        <x:f>IF(T337="","",I337*T337)</x:f>
        <x:v>5200.529915595201</x:v>
      </x:c>
    </x:row>
    <x:row r="338" ht="18" customHeight="1">
      <x:c r="A338" s="46" t="str">
        <x:v>LME_027</x:v>
      </x:c>
      <x:c r="B338" s="46" t="str">
        <x:v>Canary Current</x:v>
      </x:c>
      <x:c r="C338" s="46" t="str">
        <x:v>LME</x:v>
      </x:c>
      <x:c r="D338" s="58" t="n">
        <x:v>2019</x:v>
      </x:c>
      <x:c r="E338" s="46" t="str">
        <x:v>Trachurus mediterraneus</x:v>
      </x:c>
      <x:c r="F338" s="46" t="str">
        <x:v>Mediterranean horse mackerel</x:v>
      </x:c>
      <x:c r="G338" s="46" t="str">
        <x:v>Medium pelagics (30 - 89 cm)</x:v>
      </x:c>
      <x:c r="H338" s="46" t="str">
        <x:v>Perch-likes</x:v>
      </x:c>
      <x:c r="I338" s="60" t="n">
        <x:v>11.5900600528</x:v>
      </x:c>
      <x:c r="J338" s="60" t="n">
        <x:v>11.5900600528</x:v>
      </x:c>
      <x:c r="K338" s="60" t="n">
        <x:v>0</x:v>
      </x:c>
      <x:c r="L338" s="60" t="n">
        <x:v>11.5900600528</x:v>
      </x:c>
      <x:c r="M338" s="60" t="n">
        <x:v>0</x:v>
      </x:c>
      <x:c r="N338" s="46" t="str">
        <x:v>trachurus mediterraneus</x:v>
      </x:c>
      <x:c r="O338" s="62" t="n">
        <x:v>3.77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Trachurus mediterraneus</x:v>
      </x:c>
      <x:c r="T338" s="62" t="n">
        <x:f>IF(O338="","",(1/'Metadata'!$B$5)^(O338-1))</x:f>
        <x:v>588.843655355589</x:v>
      </x:c>
      <x:c r="U338" s="60" t="n">
        <x:f>IF(T338="","",I338*T338)</x:f>
        <x:v>6824.733327281543</x:v>
      </x:c>
    </x:row>
    <x:row r="339" ht="18" customHeight="1">
      <x:c r="A339" s="46" t="str">
        <x:v>LME_027</x:v>
      </x:c>
      <x:c r="B339" s="46" t="str">
        <x:v>Canary Current</x:v>
      </x:c>
      <x:c r="C339" s="46" t="str">
        <x:v>LME</x:v>
      </x:c>
      <x:c r="D339" s="58" t="n">
        <x:v>2019</x:v>
      </x:c>
      <x:c r="E339" s="46" t="str">
        <x:v>Torpedo</x:v>
      </x:c>
      <x:c r="F339" s="46" t="str">
        <x:v>Torpedoes</x:v>
      </x:c>
      <x:c r="G339" s="46" t="str">
        <x:v>Small to medium rays (&lt;90 cm)</x:v>
      </x:c>
      <x:c r="H339" s="46" t="str">
        <x:v>Sharks &amp; rays</x:v>
      </x:c>
      <x:c r="I339" s="60" t="n">
        <x:v>11.2790733492</x:v>
      </x:c>
      <x:c r="J339" s="60" t="n">
        <x:v>11.2790733492</x:v>
      </x:c>
      <x:c r="K339" s="60" t="n">
        <x:v>0</x:v>
      </x:c>
      <x:c r="L339" s="60" t="n">
        <x:v>0</x:v>
      </x:c>
      <x:c r="M339" s="60" t="n">
        <x:v>11.2790733492</x:v>
      </x:c>
      <x:c r="N339" s="46" t="str">
        <x:v>torpedo</x:v>
      </x:c>
      <x:c r="O339" s="62" t="n">
        <x:v>4.5</x:v>
      </x:c>
      <x:c r="P339" s="46" t="str">
        <x:v>exact_sea_around_us</x:v>
      </x:c>
      <x:c r="Q339" s="62" t="str">
        <x:v>Sea Around Us exploited organisms</x:v>
      </x:c>
      <x:c r="R339" s="46" t="str">
        <x:v>high</x:v>
      </x:c>
      <x:c r="S339" s="46" t="str">
        <x:v>Torpedo</x:v>
      </x:c>
      <x:c r="T339" s="62" t="n">
        <x:f>IF(O339="","",(1/'Metadata'!$B$5)^(O339-1))</x:f>
        <x:v>3162.2776601683795</x:v>
      </x:c>
      <x:c r="U339" s="60" t="n">
        <x:f>IF(T339="","",I339*T339)</x:f>
        <x:v>35667.56167957571</x:v>
      </x:c>
    </x:row>
    <x:row r="340" ht="18" customHeight="1">
      <x:c r="A340" s="46" t="str">
        <x:v>LME_027</x:v>
      </x:c>
      <x:c r="B340" s="46" t="str">
        <x:v>Canary Current</x:v>
      </x:c>
      <x:c r="C340" s="46" t="str">
        <x:v>LME</x:v>
      </x:c>
      <x:c r="D340" s="58" t="n">
        <x:v>2019</x:v>
      </x:c>
      <x:c r="E340" s="46" t="str">
        <x:v>Polymixia nobilis</x:v>
      </x:c>
      <x:c r="F340" s="46" t="str">
        <x:v>Stout beardfish</x:v>
      </x:c>
      <x:c r="G340" s="46" t="str">
        <x:v>Medium bathydemersals (30 - 89 cm)</x:v>
      </x:c>
      <x:c r="H340" s="46" t="str">
        <x:v>Other fishes &amp; inverts</x:v>
      </x:c>
      <x:c r="I340" s="60" t="n">
        <x:v>11.2306955698</x:v>
      </x:c>
      <x:c r="J340" s="60" t="n">
        <x:v>11.2306955698</x:v>
      </x:c>
      <x:c r="K340" s="60" t="n">
        <x:v>0</x:v>
      </x:c>
      <x:c r="L340" s="60" t="n">
        <x:v>11.2306955698</x:v>
      </x:c>
      <x:c r="M340" s="60" t="n">
        <x:v>0</x:v>
      </x:c>
      <x:c r="N340" s="46" t="str">
        <x:v>polymixia nobilis</x:v>
      </x:c>
      <x:c r="O340" s="62" t="n">
        <x:v>4.2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Polymixia nobilis</x:v>
      </x:c>
      <x:c r="T340" s="62" t="n">
        <x:f>IF(O340="","",(1/'Metadata'!$B$5)^(O340-1))</x:f>
        <x:v>1584.893192461114</x:v>
      </x:c>
      <x:c r="U340" s="60" t="n">
        <x:f>IF(T340="","",I340*T340)</x:f>
        <x:v>17799.45295517921</x:v>
      </x:c>
    </x:row>
    <x:row r="341" ht="18" customHeight="1">
      <x:c r="A341" s="46" t="str">
        <x:v>LME_027</x:v>
      </x:c>
      <x:c r="B341" s="46" t="str">
        <x:v>Canary Current</x:v>
      </x:c>
      <x:c r="C341" s="46" t="str">
        <x:v>LME</x:v>
      </x:c>
      <x:c r="D341" s="58" t="n">
        <x:v>2019</x:v>
      </x:c>
      <x:c r="E341" s="46" t="str">
        <x:v>Bothidae</x:v>
      </x:c>
      <x:c r="F341" s="46" t="str">
        <x:v>Lefteye flounders</x:v>
      </x:c>
      <x:c r="G341" s="46" t="str">
        <x:v>Small to medium flatfishes (&lt;90 cm)</x:v>
      </x:c>
      <x:c r="H341" s="46" t="str">
        <x:v>Flatfishes</x:v>
      </x:c>
      <x:c r="I341" s="60" t="n">
        <x:v>11.186059899799998</x:v>
      </x:c>
      <x:c r="J341" s="60" t="n">
        <x:v>11.186059899799998</x:v>
      </x:c>
      <x:c r="K341" s="60" t="n">
        <x:v>0</x:v>
      </x:c>
      <x:c r="L341" s="60" t="n">
        <x:v>11.186059899799998</x:v>
      </x:c>
      <x:c r="M341" s="60" t="n">
        <x:v>0</x:v>
      </x:c>
      <x:c r="N341" s="46" t="str">
        <x:v>bothidae</x:v>
      </x:c>
      <x:c r="O341" s="62" t="n">
        <x:v>3.77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Bothidae</x:v>
      </x:c>
      <x:c r="T341" s="62" t="n">
        <x:f>IF(O341="","",(1/'Metadata'!$B$5)^(O341-1))</x:f>
        <x:v>588.843655355589</x:v>
      </x:c>
      <x:c r="U341" s="60" t="n">
        <x:f>IF(T341="","",I341*T341)</x:f>
        <x:v>6586.840400424805</x:v>
      </x:c>
    </x:row>
    <x:row r="342" ht="18" customHeight="1">
      <x:c r="A342" s="46" t="str">
        <x:v>LME_027</x:v>
      </x:c>
      <x:c r="B342" s="46" t="str">
        <x:v>Canary Current</x:v>
      </x:c>
      <x:c r="C342" s="46" t="str">
        <x:v>LME</x:v>
      </x:c>
      <x:c r="D342" s="58" t="n">
        <x:v>2019</x:v>
      </x:c>
      <x:c r="E342" s="46" t="str">
        <x:v>Dicologlossa cuneata</x:v>
      </x:c>
      <x:c r="F342" s="46" t="str">
        <x:v>Wedge sole</x:v>
      </x:c>
      <x:c r="G342" s="46" t="str">
        <x:v>Small to medium flatfishes (&lt;90 cm)</x:v>
      </x:c>
      <x:c r="H342" s="46" t="str">
        <x:v>Flatfishes</x:v>
      </x:c>
      <x:c r="I342" s="60" t="n">
        <x:v>9.357360135</x:v>
      </x:c>
      <x:c r="J342" s="60" t="n">
        <x:v>9.357360135</x:v>
      </x:c>
      <x:c r="K342" s="60" t="n">
        <x:v>0</x:v>
      </x:c>
      <x:c r="L342" s="60" t="n">
        <x:v>9.357360135</x:v>
      </x:c>
      <x:c r="M342" s="60" t="n">
        <x:v>0</x:v>
      </x:c>
      <x:c r="N342" s="46" t="str">
        <x:v>dicologlossa cuneata</x:v>
      </x:c>
      <x:c r="O342" s="62" t="n">
        <x:v>3.32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Dicologlossa cuneata</x:v>
      </x:c>
      <x:c r="T342" s="62" t="n">
        <x:f>IF(O342="","",(1/'Metadata'!$B$5)^(O342-1))</x:f>
        <x:v>208.92961308540387</x:v>
      </x:c>
      <x:c r="U342" s="60" t="n">
        <x:f>IF(T342="","",I342*T342)</x:f>
        <x:v>1955.0296325063325</x:v>
      </x:c>
    </x:row>
    <x:row r="343" ht="18" customHeight="1">
      <x:c r="A343" s="46" t="str">
        <x:v>LME_027</x:v>
      </x:c>
      <x:c r="B343" s="46" t="str">
        <x:v>Canary Current</x:v>
      </x:c>
      <x:c r="C343" s="46" t="str">
        <x:v>LME</x:v>
      </x:c>
      <x:c r="D343" s="58" t="n">
        <x:v>2019</x:v>
      </x:c>
      <x:c r="E343" s="46" t="str">
        <x:v>Malacostraca</x:v>
      </x:c>
      <x:c r="F343" s="46" t="str">
        <x:v>Lobsters, crabs, shrimps, krill</x:v>
      </x:c>
      <x:c r="G343" s="46" t="str">
        <x:v>Shrimps</x:v>
      </x:c>
      <x:c r="H343" s="46" t="str">
        <x:v>Crustaceans</x:v>
      </x:c>
      <x:c r="I343" s="60" t="n">
        <x:v>8.6384301245</x:v>
      </x:c>
      <x:c r="J343" s="60" t="n">
        <x:v>8.6384301245</x:v>
      </x:c>
      <x:c r="K343" s="60" t="n">
        <x:v>0</x:v>
      </x:c>
      <x:c r="L343" s="60" t="n">
        <x:v>0</x:v>
      </x:c>
      <x:c r="M343" s="60" t="n">
        <x:v>8.6384301245</x:v>
      </x:c>
      <x:c r="N343" s="46" t="str">
        <x:v>malacostraca</x:v>
      </x:c>
      <x:c r="O343" s="62" t="n">
        <x:v>3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Malacostraca</x:v>
      </x:c>
      <x:c r="T343" s="62" t="n">
        <x:f>IF(O343="","",(1/'Metadata'!$B$5)^(O343-1))</x:f>
        <x:v>100</x:v>
      </x:c>
      <x:c r="U343" s="60" t="n">
        <x:f>IF(T343="","",I343*T343)</x:f>
        <x:v>863.84301245</x:v>
      </x:c>
    </x:row>
    <x:row r="344" ht="18" customHeight="1">
      <x:c r="A344" s="46" t="str">
        <x:v>LME_027</x:v>
      </x:c>
      <x:c r="B344" s="46" t="str">
        <x:v>Canary Current</x:v>
      </x:c>
      <x:c r="C344" s="46" t="str">
        <x:v>LME</x:v>
      </x:c>
      <x:c r="D344" s="58" t="n">
        <x:v>2019</x:v>
      </x:c>
      <x:c r="E344" s="46" t="str">
        <x:v>Echeneidae</x:v>
      </x:c>
      <x:c r="F344" s="46" t="str">
        <x:v>Remoras</x:v>
      </x:c>
      <x:c r="G344" s="46" t="str">
        <x:v>Large pelagics (&gt;=90 cm)</x:v>
      </x:c>
      <x:c r="H344" s="46" t="str">
        <x:v>Perch-likes</x:v>
      </x:c>
      <x:c r="I344" s="60" t="n">
        <x:v>8.4150416769</x:v>
      </x:c>
      <x:c r="J344" s="60" t="n">
        <x:v>7.985927954499999</x:v>
      </x:c>
      <x:c r="K344" s="60" t="n">
        <x:v>0.4291137224</x:v>
      </x:c>
      <x:c r="L344" s="60" t="n">
        <x:v>6.6050536142</x:v>
      </x:c>
      <x:c r="M344" s="60" t="n">
        <x:v>1.8099880627</x:v>
      </x:c>
      <x:c r="N344" s="46" t="str">
        <x:v>echeneidae</x:v>
      </x:c>
      <x:c r="O344" s="62" t="n">
        <x:v>3.22</x:v>
      </x:c>
      <x:c r="P344" s="46" t="str">
        <x:v>exact_sea_around_us</x:v>
      </x:c>
      <x:c r="Q344" s="62" t="str">
        <x:v>Sea Around Us exploited organisms</x:v>
      </x:c>
      <x:c r="R344" s="46" t="str">
        <x:v>high</x:v>
      </x:c>
      <x:c r="S344" s="46" t="str">
        <x:v>Echeneidae</x:v>
      </x:c>
      <x:c r="T344" s="62" t="n">
        <x:f>IF(O344="","",(1/'Metadata'!$B$5)^(O344-1))</x:f>
        <x:v>165.95869074375614</x:v>
      </x:c>
      <x:c r="U344" s="60" t="n">
        <x:f>IF(T344="","",I344*T344)</x:f>
        <x:v>1396.549299252466</x:v>
      </x:c>
    </x:row>
    <x:row r="345" ht="18" customHeight="1">
      <x:c r="A345" s="46" t="str">
        <x:v>LME_027</x:v>
      </x:c>
      <x:c r="B345" s="46" t="str">
        <x:v>Canary Current</x:v>
      </x:c>
      <x:c r="C345" s="46" t="str">
        <x:v>LME</x:v>
      </x:c>
      <x:c r="D345" s="58" t="n">
        <x:v>2019</x:v>
      </x:c>
      <x:c r="E345" s="46" t="str">
        <x:v>Gempylidae</x:v>
      </x:c>
      <x:c r="F345" s="46" t="str">
        <x:v>Snake mackerels</x:v>
      </x:c>
      <x:c r="G345" s="46" t="str">
        <x:v>Large benthopelagics (&gt;=90 cm)</x:v>
      </x:c>
      <x:c r="H345" s="46" t="str">
        <x:v>Perch-likes</x:v>
      </x:c>
      <x:c r="I345" s="60" t="n">
        <x:v>8.2438642077</x:v>
      </x:c>
      <x:c r="J345" s="60" t="n">
        <x:v>8.2438642077</x:v>
      </x:c>
      <x:c r="K345" s="60" t="n">
        <x:v>0</x:v>
      </x:c>
      <x:c r="L345" s="60" t="n">
        <x:v>8.2438642077</x:v>
      </x:c>
      <x:c r="M345" s="60" t="n">
        <x:v>0</x:v>
      </x:c>
      <x:c r="N345" s="46" t="str">
        <x:v>gempylidae</x:v>
      </x:c>
      <x:c r="O345" s="62" t="n">
        <x:v>4.21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Gempylidae</x:v>
      </x:c>
      <x:c r="T345" s="62" t="n">
        <x:f>IF(O345="","",(1/'Metadata'!$B$5)^(O345-1))</x:f>
        <x:v>1621.8100973589299</x:v>
      </x:c>
      <x:c r="U345" s="60" t="n">
        <x:f>IF(T345="","",I345*T345)</x:f>
        <x:v>13369.982213303734</x:v>
      </x:c>
    </x:row>
    <x:row r="346" ht="18" customHeight="1">
      <x:c r="A346" s="46" t="str">
        <x:v>LME_027</x:v>
      </x:c>
      <x:c r="B346" s="46" t="str">
        <x:v>Canary Current</x:v>
      </x:c>
      <x:c r="C346" s="46" t="str">
        <x:v>LME</x:v>
      </x:c>
      <x:c r="D346" s="58" t="n">
        <x:v>2019</x:v>
      </x:c>
      <x:c r="E346" s="46" t="str">
        <x:v>Gephyroberyx darwinii</x:v>
      </x:c>
      <x:c r="F346" s="46" t="str">
        <x:v>Darwin's slimehead</x:v>
      </x:c>
      <x:c r="G346" s="46" t="str">
        <x:v>Medium benthopelagics (30 - 89 cm)</x:v>
      </x:c>
      <x:c r="H346" s="46" t="str">
        <x:v>Other fishes &amp; inverts</x:v>
      </x:c>
      <x:c r="I346" s="60" t="n">
        <x:v>7.8972046586</x:v>
      </x:c>
      <x:c r="J346" s="60" t="n">
        <x:v>7.8972046586</x:v>
      </x:c>
      <x:c r="K346" s="60" t="n">
        <x:v>0</x:v>
      </x:c>
      <x:c r="L346" s="60" t="n">
        <x:v>7.8972046586</x:v>
      </x:c>
      <x:c r="M346" s="60" t="n">
        <x:v>0</x:v>
      </x:c>
      <x:c r="N346" s="46" t="str">
        <x:v>gephyroberyx darwinii</x:v>
      </x:c>
      <x:c r="O346" s="62" t="n">
        <x:v>3.94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Gephyroberyx darwinii</x:v>
      </x:c>
      <x:c r="T346" s="62" t="n">
        <x:f>IF(O346="","",(1/'Metadata'!$B$5)^(O346-1))</x:f>
        <x:v>870.9635899560806</x:v>
      </x:c>
      <x:c r="U346" s="60" t="n">
        <x:f>IF(T346="","",I346*T346)</x:f>
        <x:v>6878.177720072139</x:v>
      </x:c>
    </x:row>
    <x:row r="347" ht="18" customHeight="1">
      <x:c r="A347" s="46" t="str">
        <x:v>LME_027</x:v>
      </x:c>
      <x:c r="B347" s="46" t="str">
        <x:v>Canary Current</x:v>
      </x:c>
      <x:c r="C347" s="46" t="str">
        <x:v>LME</x:v>
      </x:c>
      <x:c r="D347" s="58" t="n">
        <x:v>2019</x:v>
      </x:c>
      <x:c r="E347" s="46" t="str">
        <x:v>Cephalopholis taeniops</x:v>
      </x:c>
      <x:c r="F347" s="46" t="str">
        <x:v>Bluespotted seabass</x:v>
      </x:c>
      <x:c r="G347" s="46" t="str">
        <x:v>Large reef assoc. fish (&gt;=90 cm)</x:v>
      </x:c>
      <x:c r="H347" s="46" t="str">
        <x:v>Perch-likes</x:v>
      </x:c>
      <x:c r="I347" s="60" t="n">
        <x:v>7.8718279094</x:v>
      </x:c>
      <x:c r="J347" s="60" t="n">
        <x:v>7.8718279094</x:v>
      </x:c>
      <x:c r="K347" s="60" t="n">
        <x:v>0</x:v>
      </x:c>
      <x:c r="L347" s="60" t="n">
        <x:v>0</x:v>
      </x:c>
      <x:c r="M347" s="60" t="n">
        <x:v>7.8718279094</x:v>
      </x:c>
      <x:c r="N347" s="46" t="str">
        <x:v>cephalopholis taeniops</x:v>
      </x:c>
      <x:c r="O347" s="62" t="n">
        <x:v>4.4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Cephalopholis taeniops</x:v>
      </x:c>
      <x:c r="T347" s="62" t="n">
        <x:f>IF(O347="","",(1/'Metadata'!$B$5)^(O347-1))</x:f>
        <x:v>2511.886431509582</x:v>
      </x:c>
      <x:c r="U347" s="60" t="n">
        <x:f>IF(T347="","",I347*T347)</x:f>
        <x:v>19773.137716800302</x:v>
      </x:c>
    </x:row>
    <x:row r="348" ht="18" customHeight="1">
      <x:c r="A348" s="46" t="str">
        <x:v>LME_027</x:v>
      </x:c>
      <x:c r="B348" s="46" t="str">
        <x:v>Canary Current</x:v>
      </x:c>
      <x:c r="C348" s="46" t="str">
        <x:v>LME</x:v>
      </x:c>
      <x:c r="D348" s="58" t="n">
        <x:v>2019</x:v>
      </x:c>
      <x:c r="E348" s="46" t="str">
        <x:v>Centrophorus lusitanicus</x:v>
      </x:c>
      <x:c r="F348" s="46" t="str">
        <x:v>Lowfin gulper shark</x:v>
      </x:c>
      <x:c r="G348" s="46" t="str">
        <x:v>Large sharks (&gt;=90 cm)</x:v>
      </x:c>
      <x:c r="H348" s="46" t="str">
        <x:v>Sharks &amp; rays</x:v>
      </x:c>
      <x:c r="I348" s="60" t="n">
        <x:v>7.8450594616</x:v>
      </x:c>
      <x:c r="J348" s="60" t="n">
        <x:v>7.8450594616</x:v>
      </x:c>
      <x:c r="K348" s="60" t="n">
        <x:v>0</x:v>
      </x:c>
      <x:c r="L348" s="60" t="n">
        <x:v>0</x:v>
      </x:c>
      <x:c r="M348" s="60" t="n">
        <x:v>7.8450594616</x:v>
      </x:c>
      <x:c r="N348" s="46" t="str">
        <x:v>centrophorus lusitanicus</x:v>
      </x:c>
      <x:c r="O348" s="62" t="n">
        <x:v>4.43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Centrophorus lusitanicus</x:v>
      </x:c>
      <x:c r="T348" s="62" t="n">
        <x:f>IF(O348="","",(1/'Metadata'!$B$5)^(O348-1))</x:f>
        <x:v>2691.534803926914</x:v>
      </x:c>
      <x:c r="U348" s="60" t="n">
        <x:f>IF(T348="","",I348*T348)</x:f>
        <x:v>21115.250579772535</x:v>
      </x:c>
    </x:row>
    <x:row r="349" ht="18" customHeight="1">
      <x:c r="A349" s="46" t="str">
        <x:v>LME_027</x:v>
      </x:c>
      <x:c r="B349" s="46" t="str">
        <x:v>Canary Current</x:v>
      </x:c>
      <x:c r="C349" s="46" t="str">
        <x:v>LME</x:v>
      </x:c>
      <x:c r="D349" s="58" t="n">
        <x:v>2019</x:v>
      </x:c>
      <x:c r="E349" s="46" t="str">
        <x:v>Priacanthidae</x:v>
      </x:c>
      <x:c r="F349" s="46" t="str">
        <x:v>Bigeyes, catalufas</x:v>
      </x:c>
      <x:c r="G349" s="46" t="str">
        <x:v>Medium reef assoc. fish (30 - 89 cm)</x:v>
      </x:c>
      <x:c r="H349" s="46" t="str">
        <x:v>Perch-likes</x:v>
      </x:c>
      <x:c r="I349" s="60" t="n">
        <x:v>7.1224105646</x:v>
      </x:c>
      <x:c r="J349" s="60" t="n">
        <x:v>7.1224105646</x:v>
      </x:c>
      <x:c r="K349" s="60" t="n">
        <x:v>0</x:v>
      </x:c>
      <x:c r="L349" s="60" t="n">
        <x:v>7.1224105646</x:v>
      </x:c>
      <x:c r="M349" s="60" t="n">
        <x:v>0</x:v>
      </x:c>
      <x:c r="N349" s="46" t="str">
        <x:v>priacanthidae</x:v>
      </x:c>
      <x:c r="O349" s="62" t="n">
        <x:v>3.79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Priacanthidae</x:v>
      </x:c>
      <x:c r="T349" s="62" t="n">
        <x:f>IF(O349="","",(1/'Metadata'!$B$5)^(O349-1))</x:f>
        <x:v>616.5950018614822</x:v>
      </x:c>
      <x:c r="U349" s="60" t="n">
        <x:f>IF(T349="","",I349*T349)</x:f>
        <x:v>4391.642755337777</x:v>
      </x:c>
    </x:row>
    <x:row r="350" ht="18" customHeight="1">
      <x:c r="A350" s="46" t="str">
        <x:v>LME_027</x:v>
      </x:c>
      <x:c r="B350" s="46" t="str">
        <x:v>Canary Current</x:v>
      </x:c>
      <x:c r="C350" s="46" t="str">
        <x:v>LME</x:v>
      </x:c>
      <x:c r="D350" s="58" t="n">
        <x:v>2019</x:v>
      </x:c>
      <x:c r="E350" s="46" t="str">
        <x:v>Lutjanus agennes</x:v>
      </x:c>
      <x:c r="F350" s="46" t="str">
        <x:v>African red snapper</x:v>
      </x:c>
      <x:c r="G350" s="46" t="str">
        <x:v>Large reef assoc. fish (&gt;=90 cm)</x:v>
      </x:c>
      <x:c r="H350" s="46" t="str">
        <x:v>Perch-likes</x:v>
      </x:c>
      <x:c r="I350" s="60" t="n">
        <x:v>6.6931550023</x:v>
      </x:c>
      <x:c r="J350" s="60" t="n">
        <x:v>6.6931550023</x:v>
      </x:c>
      <x:c r="K350" s="60" t="n">
        <x:v>0</x:v>
      </x:c>
      <x:c r="L350" s="60" t="n">
        <x:v>0</x:v>
      </x:c>
      <x:c r="M350" s="60" t="n">
        <x:v>6.6931550023</x:v>
      </x:c>
      <x:c r="N350" s="46" t="str">
        <x:v>lutjanus agennes</x:v>
      </x:c>
      <x:c r="O350" s="62" t="n">
        <x:v>4.01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Lutjanus agennes</x:v>
      </x:c>
      <x:c r="T350" s="62" t="n">
        <x:f>IF(O350="","",(1/'Metadata'!$B$5)^(O350-1))</x:f>
        <x:v>1023.2929922807537</x:v>
      </x:c>
      <x:c r="U350" s="60" t="n">
        <x:f>IF(T350="","",I350*T350)</x:f>
        <x:v>6849.058610102462</x:v>
      </x:c>
    </x:row>
    <x:row r="351" ht="18" customHeight="1">
      <x:c r="A351" s="46" t="str">
        <x:v>LME_027</x:v>
      </x:c>
      <x:c r="B351" s="46" t="str">
        <x:v>Canary Current</x:v>
      </x:c>
      <x:c r="C351" s="46" t="str">
        <x:v>LME</x:v>
      </x:c>
      <x:c r="D351" s="58" t="n">
        <x:v>2019</x:v>
      </x:c>
      <x:c r="E351" s="46" t="str">
        <x:v>Megalops atlanticus</x:v>
      </x:c>
      <x:c r="F351" s="46" t="str">
        <x:v>Tarpon</x:v>
      </x:c>
      <x:c r="G351" s="46" t="str">
        <x:v>Large pelagics (&gt;=90 cm)</x:v>
      </x:c>
      <x:c r="H351" s="46" t="str">
        <x:v>Other fishes &amp; inverts</x:v>
      </x:c>
      <x:c r="I351" s="60" t="n">
        <x:v>6.0906010426</x:v>
      </x:c>
      <x:c r="J351" s="60" t="n">
        <x:v>6.0906010426</x:v>
      </x:c>
      <x:c r="K351" s="60" t="n">
        <x:v>0</x:v>
      </x:c>
      <x:c r="L351" s="60" t="n">
        <x:v>0</x:v>
      </x:c>
      <x:c r="M351" s="60" t="n">
        <x:v>6.0906010426</x:v>
      </x:c>
      <x:c r="N351" s="46" t="str">
        <x:v>megalops atlanticus</x:v>
      </x:c>
      <x:c r="O351" s="62" t="n">
        <x:v>4.5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Megalops atlanticus</x:v>
      </x:c>
      <x:c r="T351" s="62" t="n">
        <x:f>IF(O351="","",(1/'Metadata'!$B$5)^(O351-1))</x:f>
        <x:v>3162.2776601683795</x:v>
      </x:c>
      <x:c r="U351" s="60" t="n">
        <x:f>IF(T351="","",I351*T351)</x:f>
        <x:v>19260.171614012223</x:v>
      </x:c>
    </x:row>
    <x:row r="352" ht="18" customHeight="1">
      <x:c r="A352" s="46" t="str">
        <x:v>LME_027</x:v>
      </x:c>
      <x:c r="B352" s="46" t="str">
        <x:v>Canary Current</x:v>
      </x:c>
      <x:c r="C352" s="46" t="str">
        <x:v>LME</x:v>
      </x:c>
      <x:c r="D352" s="58" t="n">
        <x:v>2019</x:v>
      </x:c>
      <x:c r="E352" s="46" t="str">
        <x:v>Gymnothorax unicolor</x:v>
      </x:c>
      <x:c r="F352" s="46" t="str">
        <x:v>Brown moray</x:v>
      </x:c>
      <x:c r="G352" s="46" t="str">
        <x:v>Medium demersals (30 - 89 cm)</x:v>
      </x:c>
      <x:c r="H352" s="46" t="str">
        <x:v>Other fishes &amp; inverts</x:v>
      </x:c>
      <x:c r="I352" s="60" t="n">
        <x:v>6.0404677498</x:v>
      </x:c>
      <x:c r="J352" s="60" t="n">
        <x:v>6.0404677498</x:v>
      </x:c>
      <x:c r="K352" s="60" t="n">
        <x:v>0</x:v>
      </x:c>
      <x:c r="L352" s="60" t="n">
        <x:v>6.0404677498</x:v>
      </x:c>
      <x:c r="M352" s="60" t="n">
        <x:v>0</x:v>
      </x:c>
      <x:c r="N352" s="46" t="str">
        <x:v>gymnothorax unicolor</x:v>
      </x:c>
      <x:c r="O352" s="62" t="n">
        <x:v>3.44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Gymnothorax unicolor</x:v>
      </x:c>
      <x:c r="T352" s="62" t="n">
        <x:f>IF(O352="","",(1/'Metadata'!$B$5)^(O352-1))</x:f>
        <x:v>275.4228703338166</x:v>
      </x:c>
      <x:c r="U352" s="60" t="n">
        <x:f>IF(T352="","",I352*T352)</x:f>
        <x:v>1663.6829658087665</x:v>
      </x:c>
    </x:row>
    <x:row r="353" ht="18" customHeight="1">
      <x:c r="A353" s="46" t="str">
        <x:v>LME_027</x:v>
      </x:c>
      <x:c r="B353" s="46" t="str">
        <x:v>Canary Current</x:v>
      </x:c>
      <x:c r="C353" s="46" t="str">
        <x:v>LME</x:v>
      </x:c>
      <x:c r="D353" s="58" t="n">
        <x:v>2019</x:v>
      </x:c>
      <x:c r="E353" s="46" t="str">
        <x:v>Psettodes bennettii</x:v>
      </x:c>
      <x:c r="F353" s="46" t="str">
        <x:v>Spiny turbot</x:v>
      </x:c>
      <x:c r="G353" s="46" t="str">
        <x:v>Small to medium flatfishes (&lt;90 cm)</x:v>
      </x:c>
      <x:c r="H353" s="46" t="str">
        <x:v>Flatfishes</x:v>
      </x:c>
      <x:c r="I353" s="60" t="n">
        <x:v>5.220850550200001</x:v>
      </x:c>
      <x:c r="J353" s="60" t="n">
        <x:v>5.220850550200001</x:v>
      </x:c>
      <x:c r="K353" s="60" t="n">
        <x:v>0</x:v>
      </x:c>
      <x:c r="L353" s="60" t="n">
        <x:v>5.220850550200001</x:v>
      </x:c>
      <x:c r="M353" s="60" t="n">
        <x:v>0</x:v>
      </x:c>
      <x:c r="N353" s="46" t="str">
        <x:v>psettodes bennettii</x:v>
      </x:c>
      <x:c r="O353" s="62" t="n">
        <x:v>3.02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Psettodes bennettii</x:v>
      </x:c>
      <x:c r="T353" s="62" t="n">
        <x:f>IF(O353="","",(1/'Metadata'!$B$5)^(O353-1))</x:f>
        <x:v>104.71285480508996</x:v>
      </x:c>
      <x:c r="U353" s="60" t="n">
        <x:f>IF(T353="","",I353*T353)</x:f>
        <x:v>546.6901656221667</x:v>
      </x:c>
    </x:row>
    <x:row r="354" ht="18" customHeight="1">
      <x:c r="A354" s="46" t="str">
        <x:v>LME_027</x:v>
      </x:c>
      <x:c r="B354" s="46" t="str">
        <x:v>Canary Current</x:v>
      </x:c>
      <x:c r="C354" s="46" t="str">
        <x:v>LME</x:v>
      </x:c>
      <x:c r="D354" s="58" t="n">
        <x:v>2019</x:v>
      </x:c>
      <x:c r="E354" s="46" t="str">
        <x:v>Pagellus bogaraveo</x:v>
      </x:c>
      <x:c r="F354" s="46" t="str">
        <x:v>Blackspot seabream</x:v>
      </x:c>
      <x:c r="G354" s="46" t="str">
        <x:v>Medium benthopelagics (30 - 89 cm)</x:v>
      </x:c>
      <x:c r="H354" s="46" t="str">
        <x:v>Perch-likes</x:v>
      </x:c>
      <x:c r="I354" s="60" t="n">
        <x:v>5.0705880988</x:v>
      </x:c>
      <x:c r="J354" s="60" t="n">
        <x:v>5.0705880988</x:v>
      </x:c>
      <x:c r="K354" s="60" t="n">
        <x:v>0</x:v>
      </x:c>
      <x:c r="L354" s="60" t="n">
        <x:v>5.0704163322</x:v>
      </x:c>
      <x:c r="M354" s="60" t="n">
        <x:v>0.0001717666</x:v>
      </x:c>
      <x:c r="N354" s="46" t="str">
        <x:v>pagellus bogaraveo</x:v>
      </x:c>
      <x:c r="O354" s="62" t="n">
        <x:v>4.21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Pagellus bogaraveo</x:v>
      </x:c>
      <x:c r="T354" s="62" t="n">
        <x:f>IF(O354="","",(1/'Metadata'!$B$5)^(O354-1))</x:f>
        <x:v>1621.8100973589299</x:v>
      </x:c>
      <x:c r="U354" s="60" t="n">
        <x:f>IF(T354="","",I354*T354)</x:f>
        <x:v>8223.53097818186</x:v>
      </x:c>
    </x:row>
    <x:row r="355" ht="18" customHeight="1">
      <x:c r="A355" s="46" t="str">
        <x:v>LME_027</x:v>
      </x:c>
      <x:c r="B355" s="46" t="str">
        <x:v>Canary Current</x:v>
      </x:c>
      <x:c r="C355" s="46" t="str">
        <x:v>LME</x:v>
      </x:c>
      <x:c r="D355" s="58" t="n">
        <x:v>2019</x:v>
      </x:c>
      <x:c r="E355" s="46" t="str">
        <x:v>Triakidae</x:v>
      </x:c>
      <x:c r="F355" s="46" t="str">
        <x:v>Houndsharks</x:v>
      </x:c>
      <x:c r="G355" s="46" t="str">
        <x:v>Large sharks (&gt;=90 cm)</x:v>
      </x:c>
      <x:c r="H355" s="46" t="str">
        <x:v>Sharks &amp; rays</x:v>
      </x:c>
      <x:c r="I355" s="60" t="n">
        <x:v>3.8465548582999998</x:v>
      </x:c>
      <x:c r="J355" s="60" t="n">
        <x:v>3.8465548582999998</x:v>
      </x:c>
      <x:c r="K355" s="60" t="n">
        <x:v>0</x:v>
      </x:c>
      <x:c r="L355" s="60" t="n">
        <x:v>3.8465548582999998</x:v>
      </x:c>
      <x:c r="M355" s="60" t="n">
        <x:v>0</x:v>
      </x:c>
      <x:c r="N355" s="46" t="str">
        <x:v>triakidae</x:v>
      </x:c>
      <x:c r="O355" s="62" t="n">
        <x:v>3.82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Triakidae</x:v>
      </x:c>
      <x:c r="T355" s="62" t="n">
        <x:f>IF(O355="","",(1/'Metadata'!$B$5)^(O355-1))</x:f>
        <x:v>660.6934480075957</x:v>
      </x:c>
      <x:c r="U355" s="60" t="n">
        <x:f>IF(T355="","",I355*T355)</x:f>
        <x:v>2541.393592280596</x:v>
      </x:c>
    </x:row>
    <x:row r="356" ht="18" customHeight="1">
      <x:c r="A356" s="46" t="str">
        <x:v>LME_027</x:v>
      </x:c>
      <x:c r="B356" s="46" t="str">
        <x:v>Canary Current</x:v>
      </x:c>
      <x:c r="C356" s="46" t="str">
        <x:v>LME</x:v>
      </x:c>
      <x:c r="D356" s="58" t="n">
        <x:v>2019</x:v>
      </x:c>
      <x:c r="E356" s="46" t="str">
        <x:v>Carcharhinus brevipinna</x:v>
      </x:c>
      <x:c r="F356" s="46" t="str">
        <x:v>Spinner shark</x:v>
      </x:c>
      <x:c r="G356" s="46" t="str">
        <x:v>Large sharks (&gt;=90 cm)</x:v>
      </x:c>
      <x:c r="H356" s="46" t="str">
        <x:v>Sharks &amp; rays</x:v>
      </x:c>
      <x:c r="I356" s="60" t="n">
        <x:v>3.7678723569</x:v>
      </x:c>
      <x:c r="J356" s="60" t="n">
        <x:v>3.5756379231</x:v>
      </x:c>
      <x:c r="K356" s="60" t="n">
        <x:v>0.1922344338</x:v>
      </x:c>
      <x:c r="L356" s="60" t="n">
        <x:v>2.9574542439</x:v>
      </x:c>
      <x:c r="M356" s="60" t="n">
        <x:v>0.810418113</x:v>
      </x:c>
      <x:c r="N356" s="46" t="str">
        <x:v>carcharhinus brevipinna</x:v>
      </x:c>
      <x:c r="O356" s="62" t="n">
        <x:v>4.2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Carcharhinus brevipinna</x:v>
      </x:c>
      <x:c r="T356" s="62" t="n">
        <x:f>IF(O356="","",(1/'Metadata'!$B$5)^(O356-1))</x:f>
        <x:v>1584.893192461114</x:v>
      </x:c>
      <x:c r="U356" s="60" t="n">
        <x:f>IF(T356="","",I356*T356)</x:f>
        <x:v>5971.675248513223</x:v>
      </x:c>
    </x:row>
    <x:row r="357" ht="18" customHeight="1">
      <x:c r="A357" s="46" t="str">
        <x:v>LME_027</x:v>
      </x:c>
      <x:c r="B357" s="46" t="str">
        <x:v>Canary Current</x:v>
      </x:c>
      <x:c r="C357" s="46" t="str">
        <x:v>LME</x:v>
      </x:c>
      <x:c r="D357" s="58" t="n">
        <x:v>2019</x:v>
      </x:c>
      <x:c r="E357" s="46" t="str">
        <x:v>Gymnura micrura</x:v>
      </x:c>
      <x:c r="F357" s="46" t="str">
        <x:v>Smooth butterfly ray</x:v>
      </x:c>
      <x:c r="G357" s="46" t="str">
        <x:v>Small to medium rays (&lt;90 cm)</x:v>
      </x:c>
      <x:c r="H357" s="46" t="str">
        <x:v>Sharks &amp; rays</x:v>
      </x:c>
      <x:c r="I357" s="60" t="n">
        <x:v>3.7307634182</x:v>
      </x:c>
      <x:c r="J357" s="60" t="n">
        <x:v>3.5404222588</x:v>
      </x:c>
      <x:c r="K357" s="60" t="n">
        <x:v>0.1903411594</x:v>
      </x:c>
      <x:c r="L357" s="60" t="n">
        <x:v>2.9283269334</x:v>
      </x:c>
      <x:c r="M357" s="60" t="n">
        <x:v>0.8024364848</x:v>
      </x:c>
      <x:c r="N357" s="46" t="str">
        <x:v>gymnura micrura</x:v>
      </x:c>
      <x:c r="O357" s="62" t="n">
        <x:v>3.56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Gymnura micrura</x:v>
      </x:c>
      <x:c r="T357" s="62" t="n">
        <x:f>IF(O357="","",(1/'Metadata'!$B$5)^(O357-1))</x:f>
        <x:v>363.0780547701014</x:v>
      </x:c>
      <x:c r="U357" s="60" t="n">
        <x:f>IF(T357="","",I357*T357)</x:f>
        <x:v>1354.5583246875103</x:v>
      </x:c>
    </x:row>
    <x:row r="358" ht="18" customHeight="1">
      <x:c r="A358" s="46" t="str">
        <x:v>LME_027</x:v>
      </x:c>
      <x:c r="B358" s="46" t="str">
        <x:v>Canary Current</x:v>
      </x:c>
      <x:c r="C358" s="46" t="str">
        <x:v>LME</x:v>
      </x:c>
      <x:c r="D358" s="58" t="n">
        <x:v>2019</x:v>
      </x:c>
      <x:c r="E358" s="46" t="str">
        <x:v>Schedophilus pemarco</x:v>
      </x:c>
      <x:c r="F358" s="46" t="str">
        <x:v>Pemarco blackfish</x:v>
      </x:c>
      <x:c r="G358" s="46" t="str">
        <x:v>Medium benthopelagics (30 - 89 cm)</x:v>
      </x:c>
      <x:c r="H358" s="46" t="str">
        <x:v>Perch-likes</x:v>
      </x:c>
      <x:c r="I358" s="60" t="n">
        <x:v>3.6964627199</x:v>
      </x:c>
      <x:c r="J358" s="60" t="n">
        <x:v>3.6964627199</x:v>
      </x:c>
      <x:c r="K358" s="60" t="n">
        <x:v>0</x:v>
      </x:c>
      <x:c r="L358" s="60" t="n">
        <x:v>0</x:v>
      </x:c>
      <x:c r="M358" s="60" t="n">
        <x:v>3.6964627199</x:v>
      </x:c>
      <x:c r="N358" s="46" t="str">
        <x:v>schedophilus pemarco</x:v>
      </x:c>
      <x:c r="O358" s="62" t="n">
        <x:v>3.96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Schedophilus pemarco</x:v>
      </x:c>
      <x:c r="T358" s="62" t="n">
        <x:f>IF(O358="","",(1/'Metadata'!$B$5)^(O358-1))</x:f>
        <x:v>912.0108393559096</x:v>
      </x:c>
      <x:c r="U358" s="60" t="n">
        <x:f>IF(T358="","",I358*T358)</x:f>
        <x:v>3371.2140678238275</x:v>
      </x:c>
    </x:row>
    <x:row r="359" ht="18" customHeight="1">
      <x:c r="A359" s="46" t="str">
        <x:v>LME_027</x:v>
      </x:c>
      <x:c r="B359" s="46" t="str">
        <x:v>Canary Current</x:v>
      </x:c>
      <x:c r="C359" s="46" t="str">
        <x:v>LME</x:v>
      </x:c>
      <x:c r="D359" s="58" t="n">
        <x:v>2019</x:v>
      </x:c>
      <x:c r="E359" s="46" t="str">
        <x:v>Chromis limbata</x:v>
      </x:c>
      <x:c r="F359" s="46" t="str">
        <x:v>Azores chromis</x:v>
      </x:c>
      <x:c r="G359" s="46" t="str">
        <x:v>Small reef assoc. fish (&lt;30 cm)</x:v>
      </x:c>
      <x:c r="H359" s="46" t="str">
        <x:v>Perch-likes</x:v>
      </x:c>
      <x:c r="I359" s="60" t="n">
        <x:v>3.6315065075</x:v>
      </x:c>
      <x:c r="J359" s="60" t="n">
        <x:v>1.518394301</x:v>
      </x:c>
      <x:c r="K359" s="60" t="n">
        <x:v>2.1131122065</x:v>
      </x:c>
      <x:c r="L359" s="60" t="n">
        <x:v>1.518394301</x:v>
      </x:c>
      <x:c r="M359" s="60" t="n">
        <x:v>2.1131122065</x:v>
      </x:c>
      <x:c r="N359" s="46" t="str">
        <x:v>chromis limbata</x:v>
      </x:c>
      <x:c r="O359" s="62" t="n">
        <x:v>3.4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Chromis limbata</x:v>
      </x:c>
      <x:c r="T359" s="62" t="n">
        <x:f>IF(O359="","",(1/'Metadata'!$B$5)^(O359-1))</x:f>
        <x:v>251.18864315095797</x:v>
      </x:c>
      <x:c r="U359" s="60" t="n">
        <x:f>IF(T359="","",I359*T359)</x:f>
        <x:v>912.1931922127992</x:v>
      </x:c>
    </x:row>
    <x:row r="360" ht="18" customHeight="1">
      <x:c r="A360" s="46" t="str">
        <x:v>LME_027</x:v>
      </x:c>
      <x:c r="B360" s="46" t="str">
        <x:v>Canary Current</x:v>
      </x:c>
      <x:c r="C360" s="46" t="str">
        <x:v>LME</x:v>
      </x:c>
      <x:c r="D360" s="58" t="n">
        <x:v>2019</x:v>
      </x:c>
      <x:c r="E360" s="46" t="str">
        <x:v>Epigonus telescopus</x:v>
      </x:c>
      <x:c r="F360" s="46" t="str">
        <x:v>Black cardinal fish</x:v>
      </x:c>
      <x:c r="G360" s="46" t="str">
        <x:v>Medium bathydemersals (30 - 89 cm)</x:v>
      </x:c>
      <x:c r="H360" s="46" t="str">
        <x:v>Perch-likes</x:v>
      </x:c>
      <x:c r="I360" s="60" t="n">
        <x:v>3.477686838</x:v>
      </x:c>
      <x:c r="J360" s="60" t="n">
        <x:v>3.477686838</x:v>
      </x:c>
      <x:c r="K360" s="60" t="n">
        <x:v>0</x:v>
      </x:c>
      <x:c r="L360" s="60" t="n">
        <x:v>3.477686838</x:v>
      </x:c>
      <x:c r="M360" s="60" t="n">
        <x:v>0</x:v>
      </x:c>
      <x:c r="N360" s="46" t="str">
        <x:v>epigonus telescopus</x:v>
      </x:c>
      <x:c r="O360" s="62" t="n">
        <x:v>3.59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Epigonus telescopus</x:v>
      </x:c>
      <x:c r="T360" s="62" t="n">
        <x:f>IF(O360="","",(1/'Metadata'!$B$5)^(O360-1))</x:f>
        <x:v>389.04514499428046</x:v>
      </x:c>
      <x:c r="U360" s="60" t="n">
        <x:f>IF(T360="","",I360*T360)</x:f>
        <x:v>1352.9771801344107</x:v>
      </x:c>
    </x:row>
    <x:row r="361" ht="18" customHeight="1">
      <x:c r="A361" s="46" t="str">
        <x:v>LME_027</x:v>
      </x:c>
      <x:c r="B361" s="46" t="str">
        <x:v>Canary Current</x:v>
      </x:c>
      <x:c r="C361" s="46" t="str">
        <x:v>LME</x:v>
      </x:c>
      <x:c r="D361" s="58" t="n">
        <x:v>2019</x:v>
      </x:c>
      <x:c r="E361" s="46" t="str">
        <x:v>Coryphaena</x:v>
      </x:c>
      <x:c r="F361" s="46" t="str">
        <x:v>Dolphinfishes</x:v>
      </x:c>
      <x:c r="G361" s="46" t="str">
        <x:v>Large pelagics (&gt;=90 cm)</x:v>
      </x:c>
      <x:c r="H361" s="46" t="str">
        <x:v>Perch-likes</x:v>
      </x:c>
      <x:c r="I361" s="60" t="n">
        <x:v>3.4627156671000003</x:v>
      </x:c>
      <x:c r="J361" s="60" t="n">
        <x:v>3.4627156671000003</x:v>
      </x:c>
      <x:c r="K361" s="60" t="n">
        <x:v>0</x:v>
      </x:c>
      <x:c r="L361" s="60" t="n">
        <x:v>3.4627156671000003</x:v>
      </x:c>
      <x:c r="M361" s="60" t="n">
        <x:v>0</x:v>
      </x:c>
      <x:c r="N361" s="46" t="str">
        <x:v>coryphaena</x:v>
      </x:c>
      <x:c r="O361" s="62" t="n">
        <x:v>4.49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Coryphaena</x:v>
      </x:c>
      <x:c r="T361" s="62" t="n">
        <x:f>IF(O361="","",(1/'Metadata'!$B$5)^(O361-1))</x:f>
        <x:v>3090.295432513592</x:v>
      </x:c>
      <x:c r="U361" s="60" t="n">
        <x:f>IF(T361="","",I361*T361)</x:f>
        <x:v>10700.814410132387</x:v>
      </x:c>
    </x:row>
    <x:row r="362" ht="18" customHeight="1">
      <x:c r="A362" s="46" t="str">
        <x:v>LME_027</x:v>
      </x:c>
      <x:c r="B362" s="46" t="str">
        <x:v>Canary Current</x:v>
      </x:c>
      <x:c r="C362" s="46" t="str">
        <x:v>LME</x:v>
      </x:c>
      <x:c r="D362" s="58" t="n">
        <x:v>2019</x:v>
      </x:c>
      <x:c r="E362" s="46" t="str">
        <x:v>Squalidae</x:v>
      </x:c>
      <x:c r="F362" s="46" t="str">
        <x:v>Dogfish sharks</x:v>
      </x:c>
      <x:c r="G362" s="46" t="str">
        <x:v>Large sharks (&gt;=90 cm)</x:v>
      </x:c>
      <x:c r="H362" s="46" t="str">
        <x:v>Sharks &amp; rays</x:v>
      </x:c>
      <x:c r="I362" s="60" t="n">
        <x:v>3.3246319961000004</x:v>
      </x:c>
      <x:c r="J362" s="60" t="n">
        <x:v>3.3246319961000004</x:v>
      </x:c>
      <x:c r="K362" s="60" t="n">
        <x:v>0</x:v>
      </x:c>
      <x:c r="L362" s="60" t="n">
        <x:v>3.3246319961000004</x:v>
      </x:c>
      <x:c r="M362" s="60" t="n">
        <x:v>0</x:v>
      </x:c>
      <x:c r="N362" s="46" t="str">
        <x:v>squalidae</x:v>
      </x:c>
      <x:c r="O362" s="62" t="n">
        <x:v>4.23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Squalidae</x:v>
      </x:c>
      <x:c r="T362" s="62" t="n">
        <x:f>IF(O362="","",(1/'Metadata'!$B$5)^(O362-1))</x:f>
        <x:v>1698.243652461746</x:v>
      </x:c>
      <x:c r="U362" s="60" t="n">
        <x:f>IF(T362="","",I362*T362)</x:f>
        <x:v>5646.03518414805</x:v>
      </x:c>
    </x:row>
    <x:row r="363" ht="18" customHeight="1">
      <x:c r="A363" s="46" t="str">
        <x:v>LME_027</x:v>
      </x:c>
      <x:c r="B363" s="46" t="str">
        <x:v>Canary Current</x:v>
      </x:c>
      <x:c r="C363" s="46" t="str">
        <x:v>LME</x:v>
      </x:c>
      <x:c r="D363" s="58" t="n">
        <x:v>2019</x:v>
      </x:c>
      <x:c r="E363" s="46" t="str">
        <x:v>Donax</x:v>
      </x:c>
      <x:c r="F363" s="46" t="str">
        <x:v>Bean clams</x:v>
      </x:c>
      <x:c r="G363" s="46" t="str">
        <x:v>Other demersal invertebrates</x:v>
      </x:c>
      <x:c r="H363" s="46" t="str">
        <x:v>Molluscs</x:v>
      </x:c>
      <x:c r="I363" s="60" t="n">
        <x:v>3.0754171494</x:v>
      </x:c>
      <x:c r="J363" s="60" t="n">
        <x:v>3.0754171494</x:v>
      </x:c>
      <x:c r="K363" s="60" t="n">
        <x:v>0</x:v>
      </x:c>
      <x:c r="L363" s="60" t="n">
        <x:v>0</x:v>
      </x:c>
      <x:c r="M363" s="60" t="n">
        <x:v>3.0754171494</x:v>
      </x:c>
      <x:c r="N363" s="46" t="str">
        <x:v>donax</x:v>
      </x:c>
      <x:c r="O363" s="62" t="n">
        <x:v>2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Donax</x:v>
      </x:c>
      <x:c r="T363" s="62" t="n">
        <x:f>IF(O363="","",(1/'Metadata'!$B$5)^(O363-1))</x:f>
        <x:v>10</x:v>
      </x:c>
      <x:c r="U363" s="60" t="n">
        <x:f>IF(T363="","",I363*T363)</x:f>
        <x:v>30.754171494</x:v>
      </x:c>
    </x:row>
    <x:row r="364" ht="18" customHeight="1">
      <x:c r="A364" s="46" t="str">
        <x:v>LME_027</x:v>
      </x:c>
      <x:c r="B364" s="46" t="str">
        <x:v>Canary Current</x:v>
      </x:c>
      <x:c r="C364" s="46" t="str">
        <x:v>LME</x:v>
      </x:c>
      <x:c r="D364" s="58" t="n">
        <x:v>2019</x:v>
      </x:c>
      <x:c r="E364" s="46" t="str">
        <x:v>Ilisha africana</x:v>
      </x:c>
      <x:c r="F364" s="46" t="str">
        <x:v>West African ilisha</x:v>
      </x:c>
      <x:c r="G364" s="46" t="str">
        <x:v>Medium pelagics (30 - 89 cm)</x:v>
      </x:c>
      <x:c r="H364" s="46" t="str">
        <x:v>Herring-likes</x:v>
      </x:c>
      <x:c r="I364" s="60" t="n">
        <x:v>2.8993911953000002</x:v>
      </x:c>
      <x:c r="J364" s="60" t="n">
        <x:v>2.8993911953000002</x:v>
      </x:c>
      <x:c r="K364" s="60" t="n">
        <x:v>0</x:v>
      </x:c>
      <x:c r="L364" s="60" t="n">
        <x:v>2.8993911953000002</x:v>
      </x:c>
      <x:c r="M364" s="60" t="n">
        <x:v>0</x:v>
      </x:c>
      <x:c r="N364" s="46" t="str">
        <x:v>ilisha africana</x:v>
      </x:c>
      <x:c r="O364" s="62" t="n">
        <x:v>3.59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Ilisha africana</x:v>
      </x:c>
      <x:c r="T364" s="62" t="n">
        <x:f>IF(O364="","",(1/'Metadata'!$B$5)^(O364-1))</x:f>
        <x:v>389.04514499428046</x:v>
      </x:c>
      <x:c r="U364" s="60" t="n">
        <x:f>IF(T364="","",I364*T364)</x:f>
        <x:v>1127.9940679706287</x:v>
      </x:c>
    </x:row>
    <x:row r="365" ht="18" customHeight="1">
      <x:c r="A365" s="46" t="str">
        <x:v>LME_027</x:v>
      </x:c>
      <x:c r="B365" s="46" t="str">
        <x:v>Canary Current</x:v>
      </x:c>
      <x:c r="C365" s="46" t="str">
        <x:v>LME</x:v>
      </x:c>
      <x:c r="D365" s="58" t="n">
        <x:v>2019</x:v>
      </x:c>
      <x:c r="E365" s="46" t="str">
        <x:v>Etmopterus</x:v>
      </x:c>
      <x:c r="F365" s="46" t="str">
        <x:v>Lanternsharks</x:v>
      </x:c>
      <x:c r="G365" s="46" t="str">
        <x:v>Small to medium sharks (&lt;90 cm)</x:v>
      </x:c>
      <x:c r="H365" s="46" t="str">
        <x:v>Sharks &amp; rays</x:v>
      </x:c>
      <x:c r="I365" s="60" t="n">
        <x:v>2.2002650814</x:v>
      </x:c>
      <x:c r="J365" s="60" t="n">
        <x:v>0</x:v>
      </x:c>
      <x:c r="K365" s="60" t="n">
        <x:v>2.2002650814</x:v>
      </x:c>
      <x:c r="L365" s="60" t="n">
        <x:v>0</x:v>
      </x:c>
      <x:c r="M365" s="60" t="n">
        <x:v>2.2002650814</x:v>
      </x:c>
      <x:c r="N365" s="46" t="str">
        <x:v>etmopterus</x:v>
      </x:c>
      <x:c r="O365" s="62" t="n">
        <x:v>4.02</x:v>
      </x:c>
      <x:c r="P365" s="46" t="str">
        <x:v>exact_sea_around_us</x:v>
      </x:c>
      <x:c r="Q365" s="62" t="str">
        <x:v>Sea Around Us exploited organisms</x:v>
      </x:c>
      <x:c r="R365" s="46" t="str">
        <x:v>high</x:v>
      </x:c>
      <x:c r="S365" s="46" t="str">
        <x:v>Etmopterus</x:v>
      </x:c>
      <x:c r="T365" s="62" t="n">
        <x:f>IF(O365="","",(1/'Metadata'!$B$5)^(O365-1))</x:f>
        <x:v>1047.1285480508984</x:v>
      </x:c>
      <x:c r="U365" s="60" t="n">
        <x:f>IF(T365="","",I365*T365)</x:f>
        <x:v>2303.9603800134737</x:v>
      </x:c>
    </x:row>
    <x:row r="366" ht="18" customHeight="1">
      <x:c r="A366" s="46" t="str">
        <x:v>LME_027</x:v>
      </x:c>
      <x:c r="B366" s="46" t="str">
        <x:v>Canary Current</x:v>
      </x:c>
      <x:c r="C366" s="46" t="str">
        <x:v>LME</x:v>
      </x:c>
      <x:c r="D366" s="58" t="n">
        <x:v>2019</x:v>
      </x:c>
      <x:c r="E366" s="46" t="str">
        <x:v>Rhinobatidae</x:v>
      </x:c>
      <x:c r="F366" s="46" t="str">
        <x:v>Guitarfishes, fanrays</x:v>
      </x:c>
      <x:c r="G366" s="46" t="str">
        <x:v>Large rays (&gt;=90 cm)</x:v>
      </x:c>
      <x:c r="H366" s="46" t="str">
        <x:v>Sharks &amp; rays</x:v>
      </x:c>
      <x:c r="I366" s="60" t="n">
        <x:v>2.1880987252</x:v>
      </x:c>
      <x:c r="J366" s="60" t="n">
        <x:v>2.1880987252</x:v>
      </x:c>
      <x:c r="K366" s="60" t="n">
        <x:v>0</x:v>
      </x:c>
      <x:c r="L366" s="60" t="n">
        <x:v>2.1880987252</x:v>
      </x:c>
      <x:c r="M366" s="60" t="n">
        <x:v>0</x:v>
      </x:c>
      <x:c r="N366" s="46" t="str">
        <x:v>rhinobatidae</x:v>
      </x:c>
      <x:c r="O366" s="62" t="n">
        <x:v>3.7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Rhinobatidae</x:v>
      </x:c>
      <x:c r="T366" s="62" t="n">
        <x:f>IF(O366="","",(1/'Metadata'!$B$5)^(O366-1))</x:f>
        <x:v>501.18723362727246</x:v>
      </x:c>
      <x:c r="U366" s="60" t="n">
        <x:f>IF(T366="","",I366*T366)</x:f>
        <x:v>1096.6471469863495</x:v>
      </x:c>
    </x:row>
    <x:row r="367" ht="18" customHeight="1">
      <x:c r="A367" s="46" t="str">
        <x:v>LME_027</x:v>
      </x:c>
      <x:c r="B367" s="46" t="str">
        <x:v>Canary Current</x:v>
      </x:c>
      <x:c r="C367" s="46" t="str">
        <x:v>LME</x:v>
      </x:c>
      <x:c r="D367" s="58" t="n">
        <x:v>2019</x:v>
      </x:c>
      <x:c r="E367" s="46" t="str">
        <x:v>Pomacentridae</x:v>
      </x:c>
      <x:c r="F367" s="46" t="str">
        <x:v>Damselfishes</x:v>
      </x:c>
      <x:c r="G367" s="46" t="str">
        <x:v>Small reef assoc. fish (&lt;30 cm)</x:v>
      </x:c>
      <x:c r="H367" s="46" t="str">
        <x:v>Perch-likes</x:v>
      </x:c>
      <x:c r="I367" s="60" t="n">
        <x:v>2.1095808573</x:v>
      </x:c>
      <x:c r="J367" s="60" t="n">
        <x:v>0</x:v>
      </x:c>
      <x:c r="K367" s="60" t="n">
        <x:v>2.1095808573</x:v>
      </x:c>
      <x:c r="L367" s="60" t="n">
        <x:v>0</x:v>
      </x:c>
      <x:c r="M367" s="60" t="n">
        <x:v>2.1095808573</x:v>
      </x:c>
      <x:c r="N367" s="46" t="str">
        <x:v>pomacentridae</x:v>
      </x:c>
      <x:c r="O367" s="62" t="n">
        <x:v>2.57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Pomacentridae</x:v>
      </x:c>
      <x:c r="T367" s="62" t="n">
        <x:f>IF(O367="","",(1/'Metadata'!$B$5)^(O367-1))</x:f>
        <x:v>37.15352290971724</x:v>
      </x:c>
      <x:c r="U367" s="60" t="n">
        <x:f>IF(T367="","",I367*T367)</x:f>
        <x:v>78.37836071159649</x:v>
      </x:c>
    </x:row>
    <x:row r="368" ht="18" customHeight="1">
      <x:c r="A368" s="46" t="str">
        <x:v>LME_027</x:v>
      </x:c>
      <x:c r="B368" s="46" t="str">
        <x:v>Canary Current</x:v>
      </x:c>
      <x:c r="C368" s="46" t="str">
        <x:v>LME</x:v>
      </x:c>
      <x:c r="D368" s="58" t="n">
        <x:v>2019</x:v>
      </x:c>
      <x:c r="E368" s="46" t="str">
        <x:v>Sphyrna mokarran</x:v>
      </x:c>
      <x:c r="F368" s="46" t="str">
        <x:v>Great hammerhead</x:v>
      </x:c>
      <x:c r="G368" s="46" t="str">
        <x:v>Large sharks (&gt;=90 cm)</x:v>
      </x:c>
      <x:c r="H368" s="46" t="str">
        <x:v>Sharks &amp; rays</x:v>
      </x:c>
      <x:c r="I368" s="60" t="n">
        <x:v>2.0425504067</x:v>
      </x:c>
      <x:c r="J368" s="60" t="n">
        <x:v>2.0425504067</x:v>
      </x:c>
      <x:c r="K368" s="60" t="n">
        <x:v>0</x:v>
      </x:c>
      <x:c r="L368" s="60" t="n">
        <x:v>0</x:v>
      </x:c>
      <x:c r="M368" s="60" t="n">
        <x:v>2.0425504067</x:v>
      </x:c>
      <x:c r="N368" s="46" t="str">
        <x:v>sphyrna mokarran</x:v>
      </x:c>
      <x:c r="O368" s="62" t="n">
        <x:v>4.32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Sphyrna mokarran</x:v>
      </x:c>
      <x:c r="T368" s="62" t="n">
        <x:f>IF(O368="","",(1/'Metadata'!$B$5)^(O368-1))</x:f>
        <x:v>2089.2961308540407</x:v>
      </x:c>
      <x:c r="U368" s="60" t="n">
        <x:f>IF(T368="","",I368*T368)</x:f>
        <x:v>4267.492661792658</x:v>
      </x:c>
    </x:row>
    <x:row r="369" ht="18" customHeight="1">
      <x:c r="A369" s="46" t="str">
        <x:v>LME_027</x:v>
      </x:c>
      <x:c r="B369" s="46" t="str">
        <x:v>Canary Current</x:v>
      </x:c>
      <x:c r="C369" s="46" t="str">
        <x:v>LME</x:v>
      </x:c>
      <x:c r="D369" s="58" t="n">
        <x:v>2019</x:v>
      </x:c>
      <x:c r="E369" s="46" t="str">
        <x:v>Gymnothorax maderensis</x:v>
      </x:c>
      <x:c r="F369" s="46" t="str">
        <x:v>Sharktooth moray</x:v>
      </x:c>
      <x:c r="G369" s="46" t="str">
        <x:v>Medium demersals (30 - 89 cm)</x:v>
      </x:c>
      <x:c r="H369" s="46" t="str">
        <x:v>Other fishes &amp; inverts</x:v>
      </x:c>
      <x:c r="I369" s="60" t="n">
        <x:v>2.013377954</x:v>
      </x:c>
      <x:c r="J369" s="60" t="n">
        <x:v>2.013377954</x:v>
      </x:c>
      <x:c r="K369" s="60" t="n">
        <x:v>0</x:v>
      </x:c>
      <x:c r="L369" s="60" t="n">
        <x:v>2.013377954</x:v>
      </x:c>
      <x:c r="M369" s="60" t="n">
        <x:v>0</x:v>
      </x:c>
      <x:c r="N369" s="46" t="str">
        <x:v>gymnothorax maderensis</x:v>
      </x:c>
      <x:c r="O369" s="62" t="n">
        <x:v>4.1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Gymnothorax maderensis</x:v>
      </x:c>
      <x:c r="T369" s="62" t="n">
        <x:f>IF(O369="","",(1/'Metadata'!$B$5)^(O369-1))</x:f>
        <x:v>1258.9254117941662</x:v>
      </x:c>
      <x:c r="U369" s="60" t="n">
        <x:f>IF(T369="","",I369*T369)</x:f>
        <x:v>2534.692669836746</x:v>
      </x:c>
    </x:row>
    <x:row r="370" ht="18" customHeight="1">
      <x:c r="A370" s="46" t="str">
        <x:v>LME_027</x:v>
      </x:c>
      <x:c r="B370" s="46" t="str">
        <x:v>Canary Current</x:v>
      </x:c>
      <x:c r="C370" s="46" t="str">
        <x:v>LME</x:v>
      </x:c>
      <x:c r="D370" s="58" t="n">
        <x:v>2019</x:v>
      </x:c>
      <x:c r="E370" s="46" t="str">
        <x:v>Hoplostethus atlanticus</x:v>
      </x:c>
      <x:c r="F370" s="46" t="str">
        <x:v>Orange roughy</x:v>
      </x:c>
      <x:c r="G370" s="46" t="str">
        <x:v>Medium bathypelagics (30 - 89 cm)</x:v>
      </x:c>
      <x:c r="H370" s="46" t="str">
        <x:v>Other fishes &amp; inverts</x:v>
      </x:c>
      <x:c r="I370" s="60" t="n">
        <x:v>1.8883049154</x:v>
      </x:c>
      <x:c r="J370" s="60" t="n">
        <x:v>1.8883049154</x:v>
      </x:c>
      <x:c r="K370" s="60" t="n">
        <x:v>0</x:v>
      </x:c>
      <x:c r="L370" s="60" t="n">
        <x:v>1.8883049154</x:v>
      </x:c>
      <x:c r="M370" s="60" t="n">
        <x:v>0</x:v>
      </x:c>
      <x:c r="N370" s="46" t="str">
        <x:v>hoplostethus atlanticus</x:v>
      </x:c>
      <x:c r="O370" s="62" t="n">
        <x:v>4.25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Hoplostethus atlanticus</x:v>
      </x:c>
      <x:c r="T370" s="62" t="n">
        <x:f>IF(O370="","",(1/'Metadata'!$B$5)^(O370-1))</x:f>
        <x:v>1778.2794100389228</x:v>
      </x:c>
      <x:c r="U370" s="60" t="n">
        <x:f>IF(T370="","",I370*T370)</x:f>
        <x:v>3357.93375093111</x:v>
      </x:c>
    </x:row>
    <x:row r="371" ht="18" customHeight="1">
      <x:c r="A371" s="46" t="str">
        <x:v>LME_027</x:v>
      </x:c>
      <x:c r="B371" s="46" t="str">
        <x:v>Canary Current</x:v>
      </x:c>
      <x:c r="C371" s="46" t="str">
        <x:v>LME</x:v>
      </x:c>
      <x:c r="D371" s="58" t="n">
        <x:v>2019</x:v>
      </x:c>
      <x:c r="E371" s="46" t="str">
        <x:v>Dicologlossa hexophthalma</x:v>
      </x:c>
      <x:c r="F371" s="46" t="str">
        <x:v>Ocellated wedge sole</x:v>
      </x:c>
      <x:c r="G371" s="46" t="str">
        <x:v>Small to medium flatfishes (&lt;90 cm)</x:v>
      </x:c>
      <x:c r="H371" s="46" t="str">
        <x:v>Flatfishes</x:v>
      </x:c>
      <x:c r="I371" s="60" t="n">
        <x:v>1.8042121189</x:v>
      </x:c>
      <x:c r="J371" s="60" t="n">
        <x:v>1.8042121189</x:v>
      </x:c>
      <x:c r="K371" s="60" t="n">
        <x:v>0</x:v>
      </x:c>
      <x:c r="L371" s="60" t="n">
        <x:v>1.8042121189</x:v>
      </x:c>
      <x:c r="M371" s="60" t="n">
        <x:v>0</x:v>
      </x:c>
      <x:c r="N371" s="46" t="str">
        <x:v>dicologlossa hexophthalma</x:v>
      </x:c>
      <x:c r="O371" s="62" t="n">
        <x:v>3.4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Dicologlossa hexophthalma</x:v>
      </x:c>
      <x:c r="T371" s="62" t="n">
        <x:f>IF(O371="","",(1/'Metadata'!$B$5)^(O371-1))</x:f>
        <x:v>251.18864315095797</x:v>
      </x:c>
      <x:c r="U371" s="60" t="n">
        <x:f>IF(T371="","",I371*T371)</x:f>
        <x:v>453.1975941030058</x:v>
      </x:c>
    </x:row>
    <x:row r="372" ht="18" customHeight="1">
      <x:c r="A372" s="46" t="str">
        <x:v>LME_027</x:v>
      </x:c>
      <x:c r="B372" s="46" t="str">
        <x:v>Canary Current</x:v>
      </x:c>
      <x:c r="C372" s="46" t="str">
        <x:v>LME</x:v>
      </x:c>
      <x:c r="D372" s="58" t="n">
        <x:v>2019</x:v>
      </x:c>
      <x:c r="E372" s="46" t="str">
        <x:v>Chelon labrosus</x:v>
      </x:c>
      <x:c r="F372" s="46" t="str">
        <x:v>Thicklip grey mullet</x:v>
      </x:c>
      <x:c r="G372" s="46" t="str">
        <x:v>Medium demersals (30 - 89 cm)</x:v>
      </x:c>
      <x:c r="H372" s="46" t="str">
        <x:v>Perch-likes</x:v>
      </x:c>
      <x:c r="I372" s="60" t="n">
        <x:v>1.0492719046</x:v>
      </x:c>
      <x:c r="J372" s="60" t="n">
        <x:v>1.0492719046</x:v>
      </x:c>
      <x:c r="K372" s="60" t="n">
        <x:v>0</x:v>
      </x:c>
      <x:c r="L372" s="60" t="n">
        <x:v>1.0492719046</x:v>
      </x:c>
      <x:c r="M372" s="60" t="n">
        <x:v>0</x:v>
      </x:c>
      <x:c r="N372" s="46" t="str">
        <x:v>chelon labrosus</x:v>
      </x:c>
      <x:c r="O372" s="62" t="n">
        <x:v>2.59</x:v>
      </x:c>
      <x:c r="P372" s="46" t="str">
        <x:v>exact_2020_supplement</x:v>
      </x:c>
      <x:c r="Q372" s="62" t="str">
        <x:v>2020 supplement MeanTL</x:v>
      </x:c>
      <x:c r="R372" s="46" t="str">
        <x:v>high</x:v>
      </x:c>
      <x:c r="S372" s="46" t="str">
        <x:v>Chelon labrosus</x:v>
      </x:c>
      <x:c r="T372" s="62" t="n">
        <x:f>IF(O372="","",(1/'Metadata'!$B$5)^(O372-1))</x:f>
        <x:v>38.904514499428046</x:v>
      </x:c>
      <x:c r="U372" s="60" t="n">
        <x:f>IF(T372="","",I372*T372)</x:f>
        <x:v>40.82141402635318</x:v>
      </x:c>
    </x:row>
    <x:row r="373" ht="18" customHeight="1">
      <x:c r="A373" s="46" t="str">
        <x:v>LME_027</x:v>
      </x:c>
      <x:c r="B373" s="46" t="str">
        <x:v>Canary Current</x:v>
      </x:c>
      <x:c r="C373" s="46" t="str">
        <x:v>LME</x:v>
      </x:c>
      <x:c r="D373" s="58" t="n">
        <x:v>2019</x:v>
      </x:c>
      <x:c r="E373" s="46" t="str">
        <x:v>Pagrus africanus</x:v>
      </x:c>
      <x:c r="F373" s="46" t="str">
        <x:v>Southern common seabream</x:v>
      </x:c>
      <x:c r="G373" s="46" t="str">
        <x:v>Medium benthopelagics (30 - 89 cm)</x:v>
      </x:c>
      <x:c r="H373" s="46" t="str">
        <x:v>Perch-likes</x:v>
      </x:c>
      <x:c r="I373" s="60" t="n">
        <x:v>1.0252057195</x:v>
      </x:c>
      <x:c r="J373" s="60" t="n">
        <x:v>1.0252057195</x:v>
      </x:c>
      <x:c r="K373" s="60" t="n">
        <x:v>0</x:v>
      </x:c>
      <x:c r="L373" s="60" t="n">
        <x:v>0</x:v>
      </x:c>
      <x:c r="M373" s="60" t="n">
        <x:v>1.0252057195</x:v>
      </x:c>
      <x:c r="N373" s="46" t="str">
        <x:v>pagrus africanus</x:v>
      </x:c>
      <x:c r="O373" s="62" t="n">
        <x:v>4.09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Pagrus africanus</x:v>
      </x:c>
      <x:c r="T373" s="62" t="n">
        <x:f>IF(O373="","",(1/'Metadata'!$B$5)^(O373-1))</x:f>
        <x:v>1230.268770812381</x:v>
      </x:c>
      <x:c r="U373" s="60" t="n">
        <x:f>IF(T373="","",I373*T373)</x:f>
        <x:v>1261.2785803590875</x:v>
      </x:c>
    </x:row>
    <x:row r="374" ht="18" customHeight="1">
      <x:c r="A374" s="46" t="str">
        <x:v>LME_027</x:v>
      </x:c>
      <x:c r="B374" s="46" t="str">
        <x:v>Canary Current</x:v>
      </x:c>
      <x:c r="C374" s="46" t="str">
        <x:v>LME</x:v>
      </x:c>
      <x:c r="D374" s="58" t="n">
        <x:v>2019</x:v>
      </x:c>
      <x:c r="E374" s="46" t="str">
        <x:v>Rachycentridae</x:v>
      </x:c>
      <x:c r="F374" s="46" t="str">
        <x:v>Cobias</x:v>
      </x:c>
      <x:c r="G374" s="46" t="str">
        <x:v>Large pelagics (&gt;=90 cm)</x:v>
      </x:c>
      <x:c r="H374" s="46" t="str">
        <x:v>Perch-likes</x:v>
      </x:c>
      <x:c r="I374" s="60" t="n">
        <x:v>0.9613039213</x:v>
      </x:c>
      <x:c r="J374" s="60" t="n">
        <x:v>0.9135899333999999</x:v>
      </x:c>
      <x:c r="K374" s="60" t="n">
        <x:v>0.0477139879</x:v>
      </x:c>
      <x:c r="L374" s="60" t="n">
        <x:v>0.7601245535000001</x:v>
      </x:c>
      <x:c r="M374" s="60" t="n">
        <x:v>0.2011793678</x:v>
      </x:c>
      <x:c r="N374" s="46" t="str">
        <x:v>rachycentridae</x:v>
      </x:c>
      <x:c r="O374" s="62" t="n">
        <x:v>3.96</x:v>
      </x:c>
      <x:c r="P374" s="46" t="str">
        <x:v>exact_sea_around_us</x:v>
      </x:c>
      <x:c r="Q374" s="62" t="str">
        <x:v>Sea Around Us exploited organisms</x:v>
      </x:c>
      <x:c r="R374" s="46" t="str">
        <x:v>high</x:v>
      </x:c>
      <x:c r="S374" s="46" t="str">
        <x:v>Rachycentridae</x:v>
      </x:c>
      <x:c r="T374" s="62" t="n">
        <x:f>IF(O374="","",(1/'Metadata'!$B$5)^(O374-1))</x:f>
        <x:v>912.0108393559096</x:v>
      </x:c>
      <x:c r="U374" s="60" t="n">
        <x:f>IF(T374="","",I374*T374)</x:f>
        <x:v>876.7195961409403</x:v>
      </x:c>
    </x:row>
    <x:row r="375" ht="18" customHeight="1">
      <x:c r="A375" s="46" t="str">
        <x:v>LME_027</x:v>
      </x:c>
      <x:c r="B375" s="46" t="str">
        <x:v>Canary Current</x:v>
      </x:c>
      <x:c r="C375" s="46" t="str">
        <x:v>LME</x:v>
      </x:c>
      <x:c r="D375" s="58" t="n">
        <x:v>2019</x:v>
      </x:c>
      <x:c r="E375" s="46" t="str">
        <x:v>Dalatias licha</x:v>
      </x:c>
      <x:c r="F375" s="46" t="str">
        <x:v>Kitefin shark</x:v>
      </x:c>
      <x:c r="G375" s="46" t="str">
        <x:v>Large sharks (&gt;=90 cm)</x:v>
      </x:c>
      <x:c r="H375" s="46" t="str">
        <x:v>Sharks &amp; rays</x:v>
      </x:c>
      <x:c r="I375" s="60" t="n">
        <x:v>0.9271854663</x:v>
      </x:c>
      <x:c r="J375" s="60" t="n">
        <x:v>0.9271854663</x:v>
      </x:c>
      <x:c r="K375" s="60" t="n">
        <x:v>0</x:v>
      </x:c>
      <x:c r="L375" s="60" t="n">
        <x:v>0.9271854663</x:v>
      </x:c>
      <x:c r="M375" s="60" t="n">
        <x:v>0</x:v>
      </x:c>
      <x:c r="N375" s="46" t="str">
        <x:v>dalatias licha</x:v>
      </x:c>
      <x:c r="O375" s="62" t="n">
        <x:v>4.23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Dalatias licha</x:v>
      </x:c>
      <x:c r="T375" s="62" t="n">
        <x:f>IF(O375="","",(1/'Metadata'!$B$5)^(O375-1))</x:f>
        <x:v>1698.243652461746</x:v>
      </x:c>
      <x:c r="U375" s="60" t="n">
        <x:f>IF(T375="","",I375*T375)</x:f>
        <x:v>1574.5868327987591</x:v>
      </x:c>
    </x:row>
    <x:row r="376" ht="18" customHeight="1">
      <x:c r="A376" s="46" t="str">
        <x:v>LME_027</x:v>
      </x:c>
      <x:c r="B376" s="46" t="str">
        <x:v>Canary Current</x:v>
      </x:c>
      <x:c r="C376" s="46" t="str">
        <x:v>LME</x:v>
      </x:c>
      <x:c r="D376" s="58" t="n">
        <x:v>2019</x:v>
      </x:c>
      <x:c r="E376" s="46" t="str">
        <x:v>Umbrina ronchus</x:v>
      </x:c>
      <x:c r="F376" s="46" t="str">
        <x:v>Fusca drum</x:v>
      </x:c>
      <x:c r="G376" s="46" t="str">
        <x:v>Large demersals (&gt;=90 cm)</x:v>
      </x:c>
      <x:c r="H376" s="46" t="str">
        <x:v>Perch-likes</x:v>
      </x:c>
      <x:c r="I376" s="60" t="n">
        <x:v>0.9225320257</x:v>
      </x:c>
      <x:c r="J376" s="60" t="n">
        <x:v>0.9225320257</x:v>
      </x:c>
      <x:c r="K376" s="60" t="n">
        <x:v>0</x:v>
      </x:c>
      <x:c r="L376" s="60" t="n">
        <x:v>0.9225320257</x:v>
      </x:c>
      <x:c r="M376" s="60" t="n">
        <x:v>0</x:v>
      </x:c>
      <x:c r="N376" s="46" t="str">
        <x:v>umbrina ronchus</x:v>
      </x:c>
      <x:c r="O376" s="62" t="n">
        <x:v>3.38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Umbrina ronchus</x:v>
      </x:c>
      <x:c r="T376" s="62" t="n">
        <x:f>IF(O376="","",(1/'Metadata'!$B$5)^(O376-1))</x:f>
        <x:v>239.88329190194898</x:v>
      </x:c>
      <x:c r="U376" s="60" t="n">
        <x:f>IF(T376="","",I376*T376)</x:f>
        <x:v>221.3000192098894</x:v>
      </x:c>
    </x:row>
    <x:row r="377" ht="18" customHeight="1">
      <x:c r="A377" s="46" t="str">
        <x:v>LME_027</x:v>
      </x:c>
      <x:c r="B377" s="46" t="str">
        <x:v>Canary Current</x:v>
      </x:c>
      <x:c r="C377" s="46" t="str">
        <x:v>LME</x:v>
      </x:c>
      <x:c r="D377" s="58" t="n">
        <x:v>2019</x:v>
      </x:c>
      <x:c r="E377" s="46" t="str">
        <x:v>Kyphosus sectatrix</x:v>
      </x:c>
      <x:c r="F377" s="46" t="str">
        <x:v>Bermuda sea chub</x:v>
      </x:c>
      <x:c r="G377" s="46" t="str">
        <x:v>Medium reef assoc. fish (30 - 89 cm)</x:v>
      </x:c>
      <x:c r="H377" s="46" t="str">
        <x:v>Perch-likes</x:v>
      </x:c>
      <x:c r="I377" s="60" t="n">
        <x:v>0.8727388131</x:v>
      </x:c>
      <x:c r="J377" s="60" t="n">
        <x:v>0.8727388131</x:v>
      </x:c>
      <x:c r="K377" s="60" t="n">
        <x:v>0</x:v>
      </x:c>
      <x:c r="L377" s="60" t="n">
        <x:v>0.8727388131</x:v>
      </x:c>
      <x:c r="M377" s="60" t="n">
        <x:v>0</x:v>
      </x:c>
      <x:c r="N377" s="46" t="str">
        <x:v>kyphosus sectatrix</x:v>
      </x:c>
      <x:c r="O377" s="62" t="n">
        <x:v>2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Kyphosus sectatrix</x:v>
      </x:c>
      <x:c r="T377" s="62" t="n">
        <x:f>IF(O377="","",(1/'Metadata'!$B$5)^(O377-1))</x:f>
        <x:v>10</x:v>
      </x:c>
      <x:c r="U377" s="60" t="n">
        <x:f>IF(T377="","",I377*T377)</x:f>
        <x:v>8.727388131</x:v>
      </x:c>
    </x:row>
    <x:row r="378" ht="18" customHeight="1">
      <x:c r="A378" s="46" t="str">
        <x:v>LME_027</x:v>
      </x:c>
      <x:c r="B378" s="46" t="str">
        <x:v>Canary Current</x:v>
      </x:c>
      <x:c r="C378" s="46" t="str">
        <x:v>LME</x:v>
      </x:c>
      <x:c r="D378" s="58" t="n">
        <x:v>2019</x:v>
      </x:c>
      <x:c r="E378" s="46" t="str">
        <x:v>Squalus acanthias</x:v>
      </x:c>
      <x:c r="F378" s="46" t="str">
        <x:v>Picked dogfish</x:v>
      </x:c>
      <x:c r="G378" s="46" t="str">
        <x:v>Large sharks (&gt;=90 cm)</x:v>
      </x:c>
      <x:c r="H378" s="46" t="str">
        <x:v>Sharks &amp; rays</x:v>
      </x:c>
      <x:c r="I378" s="60" t="n">
        <x:v>0.7299168806</x:v>
      </x:c>
      <x:c r="J378" s="60" t="n">
        <x:v>0.7299168806</x:v>
      </x:c>
      <x:c r="K378" s="60" t="n">
        <x:v>0</x:v>
      </x:c>
      <x:c r="L378" s="60" t="n">
        <x:v>0.7299168806</x:v>
      </x:c>
      <x:c r="M378" s="60" t="n">
        <x:v>0</x:v>
      </x:c>
      <x:c r="N378" s="46" t="str">
        <x:v>squalus acanthias</x:v>
      </x:c>
      <x:c r="O378" s="62" t="n">
        <x:v>4.37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Squalus acanthias</x:v>
      </x:c>
      <x:c r="T378" s="62" t="n">
        <x:f>IF(O378="","",(1/'Metadata'!$B$5)^(O378-1))</x:f>
        <x:v>2344.228815319923</x:v>
      </x:c>
      <x:c r="U378" s="60" t="n">
        <x:f>IF(T378="","",I378*T378)</x:f>
        <x:v>1711.0921842909518</x:v>
      </x:c>
    </x:row>
    <x:row r="379" ht="18" customHeight="1">
      <x:c r="A379" s="46" t="str">
        <x:v>LME_027</x:v>
      </x:c>
      <x:c r="B379" s="46" t="str">
        <x:v>Canary Current</x:v>
      </x:c>
      <x:c r="C379" s="46" t="str">
        <x:v>LME</x:v>
      </x:c>
      <x:c r="D379" s="58" t="n">
        <x:v>2019</x:v>
      </x:c>
      <x:c r="E379" s="46" t="str">
        <x:v>Ommastrephidae</x:v>
      </x:c>
      <x:c r="F379" s="46" t="str">
        <x:v>Arrow squids</x:v>
      </x:c>
      <x:c r="G379" s="46" t="str">
        <x:v>Cephalopods</x:v>
      </x:c>
      <x:c r="H379" s="46" t="str">
        <x:v>Other fishes &amp; inverts</x:v>
      </x:c>
      <x:c r="I379" s="60" t="n">
        <x:v>0.7009176775</x:v>
      </x:c>
      <x:c r="J379" s="60" t="n">
        <x:v>0.7009176775</x:v>
      </x:c>
      <x:c r="K379" s="60" t="n">
        <x:v>0</x:v>
      </x:c>
      <x:c r="L379" s="60" t="n">
        <x:v>0.7009176775</x:v>
      </x:c>
      <x:c r="M379" s="60" t="n">
        <x:v>0</x:v>
      </x:c>
      <x:c r="N379" s="46" t="str">
        <x:v>ommastrephidae</x:v>
      </x:c>
      <x:c r="O379" s="62" t="n">
        <x:v>4.09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Ommastrephidae</x:v>
      </x:c>
      <x:c r="T379" s="62" t="n">
        <x:f>IF(O379="","",(1/'Metadata'!$B$5)^(O379-1))</x:f>
        <x:v>1230.268770812381</x:v>
      </x:c>
      <x:c r="U379" s="60" t="n">
        <x:f>IF(T379="","",I379*T379)</x:f>
        <x:v>862.3171295385939</x:v>
      </x:c>
    </x:row>
    <x:row r="380" ht="18" customHeight="1">
      <x:c r="A380" s="46" t="str">
        <x:v>LME_027</x:v>
      </x:c>
      <x:c r="B380" s="46" t="str">
        <x:v>Canary Current</x:v>
      </x:c>
      <x:c r="C380" s="46" t="str">
        <x:v>LME</x:v>
      </x:c>
      <x:c r="D380" s="58" t="n">
        <x:v>2019</x:v>
      </x:c>
      <x:c r="E380" s="46" t="str">
        <x:v>Squatina squatina</x:v>
      </x:c>
      <x:c r="F380" s="46" t="str">
        <x:v>Angelshark</x:v>
      </x:c>
      <x:c r="G380" s="46" t="str">
        <x:v>Large sharks (&gt;=90 cm)</x:v>
      </x:c>
      <x:c r="H380" s="46" t="str">
        <x:v>Sharks &amp; rays</x:v>
      </x:c>
      <x:c r="I380" s="60" t="n">
        <x:v>0.6855939154</x:v>
      </x:c>
      <x:c r="J380" s="60" t="n">
        <x:v>0</x:v>
      </x:c>
      <x:c r="K380" s="60" t="n">
        <x:v>0.6855939154</x:v>
      </x:c>
      <x:c r="L380" s="60" t="n">
        <x:v>0</x:v>
      </x:c>
      <x:c r="M380" s="60" t="n">
        <x:v>0.6855939154</x:v>
      </x:c>
      <x:c r="N380" s="46" t="str">
        <x:v>squatina squatina</x:v>
      </x:c>
      <x:c r="O380" s="62" t="n">
        <x:v>4.05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Squatina squatina</x:v>
      </x:c>
      <x:c r="T380" s="62" t="n">
        <x:f>IF(O380="","",(1/'Metadata'!$B$5)^(O380-1))</x:f>
        <x:v>1122.018454301963</x:v>
      </x:c>
      <x:c r="U380" s="60" t="n">
        <x:f>IF(T380="","",I380*T380)</x:f>
        <x:v>769.2490252359388</x:v>
      </x:c>
    </x:row>
    <x:row r="381" ht="18" customHeight="1">
      <x:c r="A381" s="46" t="str">
        <x:v>LME_027</x:v>
      </x:c>
      <x:c r="B381" s="46" t="str">
        <x:v>Canary Current</x:v>
      </x:c>
      <x:c r="C381" s="46" t="str">
        <x:v>LME</x:v>
      </x:c>
      <x:c r="D381" s="58" t="n">
        <x:v>2019</x:v>
      </x:c>
      <x:c r="E381" s="46" t="str">
        <x:v>Echinoidea</x:v>
      </x:c>
      <x:c r="F381" s="46" t="str">
        <x:v>Sea urchins, sea hedgehogs</x:v>
      </x:c>
      <x:c r="G381" s="46" t="str">
        <x:v>Other demersal invertebrates</x:v>
      </x:c>
      <x:c r="H381" s="46" t="str">
        <x:v>Other fishes &amp; inverts</x:v>
      </x:c>
      <x:c r="I381" s="60" t="n">
        <x:v>0.6848294783</x:v>
      </x:c>
      <x:c r="J381" s="60" t="n">
        <x:v>0</x:v>
      </x:c>
      <x:c r="K381" s="60" t="n">
        <x:v>0.6848294783</x:v>
      </x:c>
      <x:c r="L381" s="60" t="n">
        <x:v>0</x:v>
      </x:c>
      <x:c r="M381" s="60" t="n">
        <x:v>0.6848294783</x:v>
      </x:c>
      <x:c r="N381" s="46" t="str">
        <x:v>echinoidea</x:v>
      </x:c>
      <x:c r="O381" s="62" t="n">
        <x:v>2.51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Echinoidea</x:v>
      </x:c>
      <x:c r="T381" s="62" t="n">
        <x:f>IF(O381="","",(1/'Metadata'!$B$5)^(O381-1))</x:f>
        <x:v>32.35936569296281</x:v>
      </x:c>
      <x:c r="U381" s="60" t="n">
        <x:f>IF(T381="","",I381*T381)</x:f>
        <x:v>22.16064752563064</x:v>
      </x:c>
    </x:row>
    <x:row r="382" ht="18" customHeight="1">
      <x:c r="A382" s="46" t="str">
        <x:v>LME_027</x:v>
      </x:c>
      <x:c r="B382" s="46" t="str">
        <x:v>Canary Current</x:v>
      </x:c>
      <x:c r="C382" s="46" t="str">
        <x:v>LME</x:v>
      </x:c>
      <x:c r="D382" s="58" t="n">
        <x:v>2019</x:v>
      </x:c>
      <x:c r="E382" s="46" t="str">
        <x:v>Holothuroidea</x:v>
      </x:c>
      <x:c r="F382" s="46" t="str">
        <x:v>Sea cucumbers</x:v>
      </x:c>
      <x:c r="G382" s="46" t="str">
        <x:v>Other demersal invertebrates</x:v>
      </x:c>
      <x:c r="H382" s="46" t="str">
        <x:v>Other fishes &amp; inverts</x:v>
      </x:c>
      <x:c r="I382" s="60" t="n">
        <x:v>0.6065043892</x:v>
      </x:c>
      <x:c r="J382" s="60" t="n">
        <x:v>0</x:v>
      </x:c>
      <x:c r="K382" s="60" t="n">
        <x:v>0.6065043892</x:v>
      </x:c>
      <x:c r="L382" s="60" t="n">
        <x:v>0</x:v>
      </x:c>
      <x:c r="M382" s="60" t="n">
        <x:v>0.6065043892</x:v>
      </x:c>
      <x:c r="N382" s="46" t="str">
        <x:v>holothuroidea</x:v>
      </x:c>
      <x:c r="O382" s="62" t="n">
        <x:v>2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Holothuroidea</x:v>
      </x:c>
      <x:c r="T382" s="62" t="n">
        <x:f>IF(O382="","",(1/'Metadata'!$B$5)^(O382-1))</x:f>
        <x:v>10</x:v>
      </x:c>
      <x:c r="U382" s="60" t="n">
        <x:f>IF(T382="","",I382*T382)</x:f>
        <x:v>6.065043892</x:v>
      </x:c>
    </x:row>
    <x:row r="383" ht="18" customHeight="1">
      <x:c r="A383" s="46" t="str">
        <x:v>LME_027</x:v>
      </x:c>
      <x:c r="B383" s="46" t="str">
        <x:v>Canary Current</x:v>
      </x:c>
      <x:c r="C383" s="46" t="str">
        <x:v>LME</x:v>
      </x:c>
      <x:c r="D383" s="58" t="n">
        <x:v>2019</x:v>
      </x:c>
      <x:c r="E383" s="46" t="str">
        <x:v>Myliobatis aquila</x:v>
      </x:c>
      <x:c r="F383" s="46" t="str">
        <x:v>Common eagle ray</x:v>
      </x:c>
      <x:c r="G383" s="46" t="str">
        <x:v>Large rays (&gt;=90 cm)</x:v>
      </x:c>
      <x:c r="H383" s="46" t="str">
        <x:v>Sharks &amp; rays</x:v>
      </x:c>
      <x:c r="I383" s="60" t="n">
        <x:v>0.6017266398</x:v>
      </x:c>
      <x:c r="J383" s="60" t="n">
        <x:v>0</x:v>
      </x:c>
      <x:c r="K383" s="60" t="n">
        <x:v>0.6017266398</x:v>
      </x:c>
      <x:c r="L383" s="60" t="n">
        <x:v>0</x:v>
      </x:c>
      <x:c r="M383" s="60" t="n">
        <x:v>0.6017266398</x:v>
      </x:c>
      <x:c r="N383" s="46" t="str">
        <x:v>myliobatis aquila</x:v>
      </x:c>
      <x:c r="O383" s="62" t="n">
        <x:v>3.61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Myliobatis aquila</x:v>
      </x:c>
      <x:c r="T383" s="62" t="n">
        <x:f>IF(O383="","",(1/'Metadata'!$B$5)^(O383-1))</x:f>
        <x:v>407.3802778041126</x:v>
      </x:c>
      <x:c r="U383" s="60" t="n">
        <x:f>IF(T383="","",I383*T383)</x:f>
        <x:v>245.13156568385918</x:v>
      </x:c>
    </x:row>
    <x:row r="384" ht="18" customHeight="1">
      <x:c r="A384" s="46" t="str">
        <x:v>LME_027</x:v>
      </x:c>
      <x:c r="B384" s="46" t="str">
        <x:v>Canary Current</x:v>
      </x:c>
      <x:c r="C384" s="46" t="str">
        <x:v>LME</x:v>
      </x:c>
      <x:c r="D384" s="58" t="n">
        <x:v>2019</x:v>
      </x:c>
      <x:c r="E384" s="46" t="str">
        <x:v>Istiophoridae</x:v>
      </x:c>
      <x:c r="F384" s="46" t="str">
        <x:v>Billfishes</x:v>
      </x:c>
      <x:c r="G384" s="46" t="str">
        <x:v>Large pelagics (&gt;=90 cm)</x:v>
      </x:c>
      <x:c r="H384" s="46" t="str">
        <x:v>Tuna &amp; billfishes</x:v>
      </x:c>
      <x:c r="I384" s="60" t="n">
        <x:v>0.5721994435</x:v>
      </x:c>
      <x:c r="J384" s="60" t="n">
        <x:v>0.5721994435</x:v>
      </x:c>
      <x:c r="K384" s="60" t="n">
        <x:v>0</x:v>
      </x:c>
      <x:c r="L384" s="60" t="n">
        <x:v>0.5721994435</x:v>
      </x:c>
      <x:c r="M384" s="60" t="n">
        <x:v>0</x:v>
      </x:c>
      <x:c r="N384" s="46" t="str">
        <x:v>istiophoridae</x:v>
      </x:c>
      <x:c r="O384" s="62" t="n">
        <x:v>4.48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Istiophoridae</x:v>
      </x:c>
      <x:c r="T384" s="62" t="n">
        <x:f>IF(O384="","",(1/'Metadata'!$B$5)^(O384-1))</x:f>
        <x:v>3019.951720402019</x:v>
      </x:c>
      <x:c r="U384" s="60" t="n">
        <x:f>IF(T384="","",I384*T384)</x:f>
        <x:v>1728.0146938109028</x:v>
      </x:c>
    </x:row>
    <x:row r="385" ht="18" customHeight="1">
      <x:c r="A385" s="46" t="str">
        <x:v>LME_027</x:v>
      </x:c>
      <x:c r="B385" s="46" t="str">
        <x:v>Canary Current</x:v>
      </x:c>
      <x:c r="C385" s="46" t="str">
        <x:v>LME</x:v>
      </x:c>
      <x:c r="D385" s="58" t="n">
        <x:v>2019</x:v>
      </x:c>
      <x:c r="E385" s="46" t="str">
        <x:v>Microchirus</x:v>
      </x:c>
      <x:c r="F385" s="46" t="str">
        <x:v>Soles</x:v>
      </x:c>
      <x:c r="G385" s="46" t="str">
        <x:v>Small to medium flatfishes (&lt;90 cm)</x:v>
      </x:c>
      <x:c r="H385" s="46" t="str">
        <x:v>Flatfishes</x:v>
      </x:c>
      <x:c r="I385" s="60" t="n">
        <x:v>0.5304465133</x:v>
      </x:c>
      <x:c r="J385" s="60" t="n">
        <x:v>0.5304465133</x:v>
      </x:c>
      <x:c r="K385" s="60" t="n">
        <x:v>0</x:v>
      </x:c>
      <x:c r="L385" s="60" t="n">
        <x:v>0.001290856</x:v>
      </x:c>
      <x:c r="M385" s="60" t="n">
        <x:v>0.5291556573</x:v>
      </x:c>
      <x:c r="N385" s="46" t="str">
        <x:v>microchirus</x:v>
      </x:c>
      <x:c r="O385" s="62" t="n">
        <x:v>3.28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Microchirus</x:v>
      </x:c>
      <x:c r="T385" s="62" t="n">
        <x:f>IF(O385="","",(1/'Metadata'!$B$5)^(O385-1))</x:f>
        <x:v>190.54607179632464</x:v>
      </x:c>
      <x:c r="U385" s="60" t="n">
        <x:f>IF(T385="","",I385*T385)</x:f>
        <x:v>101.07449940737187</x:v>
      </x:c>
    </x:row>
    <x:row r="386" ht="18" customHeight="1">
      <x:c r="A386" s="46" t="str">
        <x:v>LME_027</x:v>
      </x:c>
      <x:c r="B386" s="46" t="str">
        <x:v>Canary Current</x:v>
      </x:c>
      <x:c r="C386" s="46" t="str">
        <x:v>LME</x:v>
      </x:c>
      <x:c r="D386" s="58" t="n">
        <x:v>2019</x:v>
      </x:c>
      <x:c r="E386" s="46" t="str">
        <x:v>Chaceon affinis</x:v>
      </x:c>
      <x:c r="F386" s="46" t="str">
        <x:v>Deepsea red crab</x:v>
      </x:c>
      <x:c r="G386" s="46" t="str">
        <x:v>Lobsters, crabs</x:v>
      </x:c>
      <x:c r="H386" s="46" t="str">
        <x:v>Crustaceans</x:v>
      </x:c>
      <x:c r="I386" s="60" t="n">
        <x:v>0.4058977869</x:v>
      </x:c>
      <x:c r="J386" s="60" t="n">
        <x:v>0.4058977869</x:v>
      </x:c>
      <x:c r="K386" s="60" t="n">
        <x:v>0</x:v>
      </x:c>
      <x:c r="L386" s="60" t="n">
        <x:v>0.4058977869</x:v>
      </x:c>
      <x:c r="M386" s="60" t="n">
        <x:v>0</x:v>
      </x:c>
      <x:c r="N386" s="46" t="str">
        <x:v>chaceon affinis</x:v>
      </x:c>
      <x:c r="O386" s="62" t="n">
        <x:v>3.1</x:v>
      </x:c>
      <x:c r="P386" s="46" t="str">
        <x:v>exact_sea_around_us</x:v>
      </x:c>
      <x:c r="Q386" s="62" t="str">
        <x:v>Sea Around Us exploited organisms</x:v>
      </x:c>
      <x:c r="R386" s="46" t="str">
        <x:v>high</x:v>
      </x:c>
      <x:c r="S386" s="46" t="str">
        <x:v>Chaceon affinis</x:v>
      </x:c>
      <x:c r="T386" s="62" t="n">
        <x:f>IF(O386="","",(1/'Metadata'!$B$5)^(O386-1))</x:f>
        <x:v>125.89254117941675</x:v>
      </x:c>
      <x:c r="U386" s="60" t="n">
        <x:f>IF(T386="","",I386*T386)</x:f>
        <x:v>51.09950385194237</x:v>
      </x:c>
    </x:row>
    <x:row r="387" ht="18" customHeight="1">
      <x:c r="A387" s="46" t="str">
        <x:v>LME_027</x:v>
      </x:c>
      <x:c r="B387" s="46" t="str">
        <x:v>Canary Current</x:v>
      </x:c>
      <x:c r="C387" s="46" t="str">
        <x:v>LME</x:v>
      </x:c>
      <x:c r="D387" s="58" t="n">
        <x:v>2019</x:v>
      </x:c>
      <x:c r="E387" s="46" t="str">
        <x:v>Spicara</x:v>
      </x:c>
      <x:c r="F387" s="46" t="str">
        <x:v>Picarels</x:v>
      </x:c>
      <x:c r="G387" s="46" t="str">
        <x:v>Small demersals (&lt;30 cm)</x:v>
      </x:c>
      <x:c r="H387" s="46" t="str">
        <x:v>Perch-likes</x:v>
      </x:c>
      <x:c r="I387" s="60" t="n">
        <x:v>0.3460537053</x:v>
      </x:c>
      <x:c r="J387" s="60" t="n">
        <x:v>0.3460537053</x:v>
      </x:c>
      <x:c r="K387" s="60" t="n">
        <x:v>0</x:v>
      </x:c>
      <x:c r="L387" s="60" t="n">
        <x:v>0.3460537053</x:v>
      </x:c>
      <x:c r="M387" s="60" t="n">
        <x:v>0</x:v>
      </x:c>
      <x:c r="N387" s="46" t="str">
        <x:v>spicara</x:v>
      </x:c>
      <x:c r="O387" s="62" t="n">
        <x:v>3.58</x:v>
      </x:c>
      <x:c r="P387" s="46" t="str">
        <x:v>exact_sea_around_us</x:v>
      </x:c>
      <x:c r="Q387" s="62" t="str">
        <x:v>Sea Around Us exploited organisms</x:v>
      </x:c>
      <x:c r="R387" s="46" t="str">
        <x:v>high</x:v>
      </x:c>
      <x:c r="S387" s="46" t="str">
        <x:v>Spicara</x:v>
      </x:c>
      <x:c r="T387" s="62" t="n">
        <x:f>IF(O387="","",(1/'Metadata'!$B$5)^(O387-1))</x:f>
        <x:v>380.1893963205613</x:v>
      </x:c>
      <x:c r="U387" s="60" t="n">
        <x:f>IF(T387="","",I387*T387)</x:f>
        <x:v>131.56594931250044</x:v>
      </x:c>
    </x:row>
    <x:row r="388" ht="18" customHeight="1">
      <x:c r="A388" s="46" t="str">
        <x:v>LME_027</x:v>
      </x:c>
      <x:c r="B388" s="46" t="str">
        <x:v>Canary Current</x:v>
      </x:c>
      <x:c r="C388" s="46" t="str">
        <x:v>LME</x:v>
      </x:c>
      <x:c r="D388" s="58" t="n">
        <x:v>2019</x:v>
      </x:c>
      <x:c r="E388" s="46" t="str">
        <x:v>Scymnodon ringens</x:v>
      </x:c>
      <x:c r="F388" s="46" t="str">
        <x:v>Knifetooth dogfish</x:v>
      </x:c>
      <x:c r="G388" s="46" t="str">
        <x:v>Small to medium sharks (&lt;90 cm)</x:v>
      </x:c>
      <x:c r="H388" s="46" t="str">
        <x:v>Sharks &amp; rays</x:v>
      </x:c>
      <x:c r="I388" s="60" t="n">
        <x:v>0.3277183567</x:v>
      </x:c>
      <x:c r="J388" s="60" t="n">
        <x:v>0.3277183567</x:v>
      </x:c>
      <x:c r="K388" s="60" t="n">
        <x:v>0</x:v>
      </x:c>
      <x:c r="L388" s="60" t="n">
        <x:v>0.3277183567</x:v>
      </x:c>
      <x:c r="M388" s="60" t="n">
        <x:v>0</x:v>
      </x:c>
      <x:c r="N388" s="46" t="str">
        <x:v>scymnodon ringens</x:v>
      </x:c>
      <x:c r="O388" s="62" t="n">
        <x:v>3.88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Scymnodon ringens</x:v>
      </x:c>
      <x:c r="T388" s="62" t="n">
        <x:f>IF(O388="","",(1/'Metadata'!$B$5)^(O388-1))</x:f>
        <x:v>758.5775750291835</x:v>
      </x:c>
      <x:c r="U388" s="60" t="n">
        <x:f>IF(T388="","",I388*T388)</x:f>
        <x:v>248.59979631803498</x:v>
      </x:c>
    </x:row>
    <x:row r="389" ht="18" customHeight="1">
      <x:c r="A389" s="46" t="str">
        <x:v>LME_027</x:v>
      </x:c>
      <x:c r="B389" s="46" t="str">
        <x:v>Canary Current</x:v>
      </x:c>
      <x:c r="C389" s="46" t="str">
        <x:v>LME</x:v>
      </x:c>
      <x:c r="D389" s="58" t="n">
        <x:v>2019</x:v>
      </x:c>
      <x:c r="E389" s="46" t="str">
        <x:v>Nephrops norvegicus</x:v>
      </x:c>
      <x:c r="F389" s="46" t="str">
        <x:v>Norway lobster</x:v>
      </x:c>
      <x:c r="G389" s="46" t="str">
        <x:v>Lobsters, crabs</x:v>
      </x:c>
      <x:c r="H389" s="46" t="str">
        <x:v>Crustaceans</x:v>
      </x:c>
      <x:c r="I389" s="60" t="n">
        <x:v>0.25724575510000003</x:v>
      </x:c>
      <x:c r="J389" s="60" t="n">
        <x:v>0.25724575510000003</x:v>
      </x:c>
      <x:c r="K389" s="60" t="n">
        <x:v>0</x:v>
      </x:c>
      <x:c r="L389" s="60" t="n">
        <x:v>0.25724575510000003</x:v>
      </x:c>
      <x:c r="M389" s="60" t="n">
        <x:v>0</x:v>
      </x:c>
      <x:c r="N389" s="46" t="str">
        <x:v>nephrops norvegicus</x:v>
      </x:c>
      <x:c r="O389" s="62" t="n">
        <x:v>2.87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Nephrops norvegicus</x:v>
      </x:c>
      <x:c r="T389" s="62" t="n">
        <x:f>IF(O389="","",(1/'Metadata'!$B$5)^(O389-1))</x:f>
        <x:v>74.13102413009177</x:v>
      </x:c>
      <x:c r="U389" s="60" t="n">
        <x:f>IF(T389="","",I389*T389)</x:f>
        <x:v>19.06989127868178</x:v>
      </x:c>
    </x:row>
    <x:row r="390" ht="18" customHeight="1">
      <x:c r="A390" s="46" t="str">
        <x:v>LME_027</x:v>
      </x:c>
      <x:c r="B390" s="46" t="str">
        <x:v>Canary Current</x:v>
      </x:c>
      <x:c r="C390" s="46" t="str">
        <x:v>LME</x:v>
      </x:c>
      <x:c r="D390" s="58" t="n">
        <x:v>2019</x:v>
      </x:c>
      <x:c r="E390" s="46" t="str">
        <x:v>Pristidae</x:v>
      </x:c>
      <x:c r="F390" s="46" t="str">
        <x:v>Sawfishes</x:v>
      </x:c>
      <x:c r="G390" s="46" t="str">
        <x:v>Large rays (&gt;=90 cm)</x:v>
      </x:c>
      <x:c r="H390" s="46" t="str">
        <x:v>Sharks &amp; rays</x:v>
      </x:c>
      <x:c r="I390" s="60" t="n">
        <x:v>0.2546529654</x:v>
      </x:c>
      <x:c r="J390" s="60" t="n">
        <x:v>0.2546529654</x:v>
      </x:c>
      <x:c r="K390" s="60" t="n">
        <x:v>0</x:v>
      </x:c>
      <x:c r="L390" s="60" t="n">
        <x:v>0</x:v>
      </x:c>
      <x:c r="M390" s="60" t="n">
        <x:v>0.2546529654</x:v>
      </x:c>
      <x:c r="N390" s="46" t="str">
        <x:v>pristidae</x:v>
      </x:c>
      <x:c r="O390" s="62" t="n">
        <x:v>4.24</x:v>
      </x:c>
      <x:c r="P390" s="46" t="str">
        <x:v>exact_sea_around_us</x:v>
      </x:c>
      <x:c r="Q390" s="62" t="str">
        <x:v>Sea Around Us exploited organisms</x:v>
      </x:c>
      <x:c r="R390" s="46" t="str">
        <x:v>high</x:v>
      </x:c>
      <x:c r="S390" s="46" t="str">
        <x:v>Pristidae</x:v>
      </x:c>
      <x:c r="T390" s="62" t="n">
        <x:f>IF(O390="","",(1/'Metadata'!$B$5)^(O390-1))</x:f>
        <x:v>1737.8008287493763</x:v>
      </x:c>
      <x:c r="U390" s="60" t="n">
        <x:f>IF(T390="","",I390*T390)</x:f>
        <x:v>442.5361343156062</x:v>
      </x:c>
    </x:row>
    <x:row r="391" ht="18" customHeight="1">
      <x:c r="A391" s="46" t="str">
        <x:v>LME_027</x:v>
      </x:c>
      <x:c r="B391" s="46" t="str">
        <x:v>Canary Current</x:v>
      </x:c>
      <x:c r="C391" s="46" t="str">
        <x:v>LME</x:v>
      </x:c>
      <x:c r="D391" s="58" t="n">
        <x:v>2019</x:v>
      </x:c>
      <x:c r="E391" s="46" t="str">
        <x:v>Micromesistius poutassou</x:v>
      </x:c>
      <x:c r="F391" s="46" t="str">
        <x:v>Blue whiting</x:v>
      </x:c>
      <x:c r="G391" s="46" t="str">
        <x:v>Medium benthopelagics (30 - 89 cm)</x:v>
      </x:c>
      <x:c r="H391" s="46" t="str">
        <x:v>Cod-likes</x:v>
      </x:c>
      <x:c r="I391" s="60" t="n">
        <x:v>0.2096794811</x:v>
      </x:c>
      <x:c r="J391" s="60" t="n">
        <x:v>0.2096794811</x:v>
      </x:c>
      <x:c r="K391" s="60" t="n">
        <x:v>0</x:v>
      </x:c>
      <x:c r="L391" s="60" t="n">
        <x:v>0.2096794811</x:v>
      </x:c>
      <x:c r="M391" s="60" t="n">
        <x:v>0</x:v>
      </x:c>
      <x:c r="N391" s="46" t="str">
        <x:v>micromesistius poutassou</x:v>
      </x:c>
      <x:c r="O391" s="62" t="n">
        <x:v>4.13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Micromesistius poutassou</x:v>
      </x:c>
      <x:c r="T391" s="62" t="n">
        <x:f>IF(O391="","",(1/'Metadata'!$B$5)^(O391-1))</x:f>
        <x:v>1348.9628825916532</x:v>
      </x:c>
      <x:c r="U391" s="60" t="n">
        <x:f>IF(T391="","",I391*T391)</x:f>
        <x:v>282.84983724497806</x:v>
      </x:c>
    </x:row>
    <x:row r="392" ht="18" customHeight="1">
      <x:c r="A392" s="46" t="str">
        <x:v>LME_027</x:v>
      </x:c>
      <x:c r="B392" s="46" t="str">
        <x:v>Canary Current</x:v>
      </x:c>
      <x:c r="C392" s="46" t="str">
        <x:v>LME</x:v>
      </x:c>
      <x:c r="D392" s="58" t="n">
        <x:v>2019</x:v>
      </x:c>
      <x:c r="E392" s="46" t="str">
        <x:v>Antimora rostrata</x:v>
      </x:c>
      <x:c r="F392" s="46" t="str">
        <x:v>Blue antimora</x:v>
      </x:c>
      <x:c r="G392" s="46" t="str">
        <x:v>Medium bathypelagics (30 - 89 cm)</x:v>
      </x:c>
      <x:c r="H392" s="46" t="str">
        <x:v>Cod-likes</x:v>
      </x:c>
      <x:c r="I392" s="60" t="n">
        <x:v>0.1999586135</x:v>
      </x:c>
      <x:c r="J392" s="60" t="n">
        <x:v>0.1999586135</x:v>
      </x:c>
      <x:c r="K392" s="60" t="n">
        <x:v>0</x:v>
      </x:c>
      <x:c r="L392" s="60" t="n">
        <x:v>0.1999586135</x:v>
      </x:c>
      <x:c r="M392" s="60" t="n">
        <x:v>0</x:v>
      </x:c>
      <x:c r="N392" s="46" t="str">
        <x:v>antimora rostrata</x:v>
      </x:c>
      <x:c r="O392" s="62" t="n">
        <x:v>3.58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Antimora rostrata</x:v>
      </x:c>
      <x:c r="T392" s="62" t="n">
        <x:f>IF(O392="","",(1/'Metadata'!$B$5)^(O392-1))</x:f>
        <x:v>380.1893963205613</x:v>
      </x:c>
      <x:c r="U392" s="60" t="n">
        <x:f>IF(T392="","",I392*T392)</x:f>
        <x:v>76.02214455566143</x:v>
      </x:c>
    </x:row>
    <x:row r="393" ht="18" customHeight="1">
      <x:c r="A393" s="46" t="str">
        <x:v>LME_027</x:v>
      </x:c>
      <x:c r="B393" s="46" t="str">
        <x:v>Canary Current</x:v>
      </x:c>
      <x:c r="C393" s="46" t="str">
        <x:v>LME</x:v>
      </x:c>
      <x:c r="D393" s="58" t="n">
        <x:v>2019</x:v>
      </x:c>
      <x:c r="E393" s="46" t="str">
        <x:v>Paromola cuvieri</x:v>
      </x:c>
      <x:c r="F393" s="46" t="str">
        <x:v>Paromola</x:v>
      </x:c>
      <x:c r="G393" s="46" t="str">
        <x:v>Lobsters, crabs</x:v>
      </x:c>
      <x:c r="H393" s="46" t="str">
        <x:v>Crustaceans</x:v>
      </x:c>
      <x:c r="I393" s="60" t="n">
        <x:v>0.1815178079</x:v>
      </x:c>
      <x:c r="J393" s="60" t="n">
        <x:v>0.1815178079</x:v>
      </x:c>
      <x:c r="K393" s="60" t="n">
        <x:v>0</x:v>
      </x:c>
      <x:c r="L393" s="60" t="n">
        <x:v>0.1815178079</x:v>
      </x:c>
      <x:c r="M393" s="60" t="n">
        <x:v>0</x:v>
      </x:c>
      <x:c r="N393" s="46" t="str">
        <x:v>paromola cuvieri</x:v>
      </x:c>
      <x:c r="O393" s="62" t="n">
        <x:v>3.42</x:v>
      </x:c>
      <x:c r="P393" s="46" t="str">
        <x:v>exact_2020_supplement</x:v>
      </x:c>
      <x:c r="Q393" s="62" t="str">
        <x:v>2020 supplement MeanTL</x:v>
      </x:c>
      <x:c r="R393" s="46" t="str">
        <x:v>high</x:v>
      </x:c>
      <x:c r="S393" s="46" t="str">
        <x:v>Paromola cuvieri</x:v>
      </x:c>
      <x:c r="T393" s="62" t="n">
        <x:f>IF(O393="","",(1/'Metadata'!$B$5)^(O393-1))</x:f>
        <x:v>263.02679918953817</x:v>
      </x:c>
      <x:c r="U393" s="60" t="n">
        <x:f>IF(T393="","",I393*T393)</x:f>
        <x:v>47.744048007838465</x:v>
      </x:c>
    </x:row>
    <x:row r="394" ht="18" customHeight="1">
      <x:c r="A394" s="46" t="str">
        <x:v>LME_027</x:v>
      </x:c>
      <x:c r="B394" s="46" t="str">
        <x:v>Canary Current</x:v>
      </x:c>
      <x:c r="C394" s="46" t="str">
        <x:v>LME</x:v>
      </x:c>
      <x:c r="D394" s="58" t="n">
        <x:v>2019</x:v>
      </x:c>
      <x:c r="E394" s="46" t="str">
        <x:v>Centrophorus</x:v>
      </x:c>
      <x:c r="F394" s="46" t="str">
        <x:v>Gulper shark dogfishes</x:v>
      </x:c>
      <x:c r="G394" s="46" t="str">
        <x:v>Large sharks (&gt;=90 cm)</x:v>
      </x:c>
      <x:c r="H394" s="46" t="str">
        <x:v>Sharks &amp; rays</x:v>
      </x:c>
      <x:c r="I394" s="60" t="n">
        <x:v>0.1593759853</x:v>
      </x:c>
      <x:c r="J394" s="60" t="n">
        <x:v>0.1593759853</x:v>
      </x:c>
      <x:c r="K394" s="60" t="n">
        <x:v>0</x:v>
      </x:c>
      <x:c r="L394" s="60" t="n">
        <x:v>0.1593759853</x:v>
      </x:c>
      <x:c r="M394" s="60" t="n">
        <x:v>0</x:v>
      </x:c>
      <x:c r="N394" s="46" t="str">
        <x:v>centrophorus</x:v>
      </x:c>
      <x:c r="O394" s="62" t="n">
        <x:v>4.34</x:v>
      </x:c>
      <x:c r="P394" s="46" t="str">
        <x:v>exact_sea_around_us</x:v>
      </x:c>
      <x:c r="Q394" s="62" t="str">
        <x:v>Sea Around Us exploited organisms</x:v>
      </x:c>
      <x:c r="R394" s="46" t="str">
        <x:v>high</x:v>
      </x:c>
      <x:c r="S394" s="46" t="str">
        <x:v>Centrophorus</x:v>
      </x:c>
      <x:c r="T394" s="62" t="n">
        <x:f>IF(O394="","",(1/'Metadata'!$B$5)^(O394-1))</x:f>
        <x:v>2187.761623949552</x:v>
      </x:c>
      <x:c r="U394" s="60" t="n">
        <x:f>IF(T394="","",I394*T394)</x:f>
        <x:v>348.6766644184879</x:v>
      </x:c>
    </x:row>
    <x:row r="395" ht="18" customHeight="1">
      <x:c r="A395" s="46" t="str">
        <x:v>LME_027</x:v>
      </x:c>
      <x:c r="B395" s="46" t="str">
        <x:v>Canary Current</x:v>
      </x:c>
      <x:c r="C395" s="46" t="str">
        <x:v>LME</x:v>
      </x:c>
      <x:c r="D395" s="58" t="n">
        <x:v>2019</x:v>
      </x:c>
      <x:c r="E395" s="46" t="str">
        <x:v>Bramidae</x:v>
      </x:c>
      <x:c r="F395" s="46" t="str">
        <x:v>Pomfrets</x:v>
      </x:c>
      <x:c r="G395" s="46" t="str">
        <x:v>Medium pelagics (30 - 89 cm)</x:v>
      </x:c>
      <x:c r="H395" s="46" t="str">
        <x:v>Perch-likes</x:v>
      </x:c>
      <x:c r="I395" s="60" t="n">
        <x:v>0.132046825</x:v>
      </x:c>
      <x:c r="J395" s="60" t="n">
        <x:v>0.132046825</x:v>
      </x:c>
      <x:c r="K395" s="60" t="n">
        <x:v>0</x:v>
      </x:c>
      <x:c r="L395" s="60" t="n">
        <x:v>0.132046825</x:v>
      </x:c>
      <x:c r="M395" s="60" t="n">
        <x:v>0</x:v>
      </x:c>
      <x:c r="N395" s="46" t="str">
        <x:v>bramidae</x:v>
      </x:c>
      <x:c r="O395" s="62" t="n">
        <x:v>4.14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Bramidae</x:v>
      </x:c>
      <x:c r="T395" s="62" t="n">
        <x:f>IF(O395="","",(1/'Metadata'!$B$5)^(O395-1))</x:f>
        <x:v>1380.3842646028838</x:v>
      </x:c>
      <x:c r="U395" s="60" t="n">
        <x:f>IF(T395="","",I395*T395)</x:f>
        <x:v>182.2753594207707</x:v>
      </x:c>
    </x:row>
    <x:row r="396" ht="18" customHeight="1">
      <x:c r="A396" s="46" t="str">
        <x:v>LME_027</x:v>
      </x:c>
      <x:c r="B396" s="46" t="str">
        <x:v>Canary Current</x:v>
      </x:c>
      <x:c r="C396" s="46" t="str">
        <x:v>LME</x:v>
      </x:c>
      <x:c r="D396" s="58" t="n">
        <x:v>2019</x:v>
      </x:c>
      <x:c r="E396" s="46" t="str">
        <x:v>Scorpaena notata</x:v>
      </x:c>
      <x:c r="F396" s="46" t="str">
        <x:v>Small red scorpionfish</x:v>
      </x:c>
      <x:c r="G396" s="46" t="str">
        <x:v>Large reef assoc. fish (&gt;=90 cm)</x:v>
      </x:c>
      <x:c r="H396" s="46" t="str">
        <x:v>Scorpionfishes</x:v>
      </x:c>
      <x:c r="I396" s="60" t="n">
        <x:v>0.10042733870000001</x:v>
      </x:c>
      <x:c r="J396" s="60" t="n">
        <x:v>0.10042733870000001</x:v>
      </x:c>
      <x:c r="K396" s="60" t="n">
        <x:v>0</x:v>
      </x:c>
      <x:c r="L396" s="60" t="n">
        <x:v>0.10042733870000001</x:v>
      </x:c>
      <x:c r="M396" s="60" t="n">
        <x:v>0</x:v>
      </x:c>
      <x:c r="N396" s="46" t="str">
        <x:v>scorpaena notata</x:v>
      </x:c>
      <x:c r="O396" s="62" t="n">
        <x:v>3.7</x:v>
      </x:c>
      <x:c r="P396" s="46" t="str">
        <x:v>exact_2020_supplement</x:v>
      </x:c>
      <x:c r="Q396" s="62" t="str">
        <x:v>2020 supplement MeanTL</x:v>
      </x:c>
      <x:c r="R396" s="46" t="str">
        <x:v>high</x:v>
      </x:c>
      <x:c r="S396" s="46" t="str">
        <x:v>Scorpaena notata</x:v>
      </x:c>
      <x:c r="T396" s="62" t="n">
        <x:f>IF(O396="","",(1/'Metadata'!$B$5)^(O396-1))</x:f>
        <x:v>501.18723362727246</x:v>
      </x:c>
      <x:c r="U396" s="60" t="n">
        <x:f>IF(T396="","",I396*T396)</x:f>
        <x:v>50.332900063602125</x:v>
      </x:c>
    </x:row>
    <x:row r="397" ht="18" customHeight="1">
      <x:c r="A397" s="46" t="str">
        <x:v>LME_027</x:v>
      </x:c>
      <x:c r="B397" s="46" t="str">
        <x:v>Canary Current</x:v>
      </x:c>
      <x:c r="C397" s="46" t="str">
        <x:v>LME</x:v>
      </x:c>
      <x:c r="D397" s="58" t="n">
        <x:v>2019</x:v>
      </x:c>
      <x:c r="E397" s="46" t="str">
        <x:v>Paracentrotus lividus</x:v>
      </x:c>
      <x:c r="F397" s="46" t="str">
        <x:v>Stony sea urchin</x:v>
      </x:c>
      <x:c r="G397" s="46" t="str">
        <x:v>Other demersal invertebrates</x:v>
      </x:c>
      <x:c r="H397" s="46" t="str">
        <x:v>Other fishes &amp; inverts</x:v>
      </x:c>
      <x:c r="I397" s="60" t="n">
        <x:v>0.0612722362</x:v>
      </x:c>
      <x:c r="J397" s="60" t="n">
        <x:v>0.0612722362</x:v>
      </x:c>
      <x:c r="K397" s="60" t="n">
        <x:v>0</x:v>
      </x:c>
      <x:c r="L397" s="60" t="n">
        <x:v>0.0612722362</x:v>
      </x:c>
      <x:c r="M397" s="60" t="n">
        <x:v>0</x:v>
      </x:c>
      <x:c r="N397" s="46" t="str">
        <x:v>paracentrotus lividus</x:v>
      </x:c>
      <x:c r="O397" s="62" t="n">
        <x:v>2.3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Paracentrotus lividus</x:v>
      </x:c>
      <x:c r="T397" s="62" t="n">
        <x:f>IF(O397="","",(1/'Metadata'!$B$5)^(O397-1))</x:f>
        <x:v>19.952623149688787</x:v>
      </x:c>
      <x:c r="U397" s="60" t="n">
        <x:f>IF(T397="","",I397*T397)</x:f>
        <x:v>1.2225418384373195</x:v>
      </x:c>
    </x:row>
    <x:row r="398" ht="18" customHeight="1">
      <x:c r="A398" s="46" t="str">
        <x:v>LME_027</x:v>
      </x:c>
      <x:c r="B398" s="46" t="str">
        <x:v>Canary Current</x:v>
      </x:c>
      <x:c r="C398" s="46" t="str">
        <x:v>LME</x:v>
      </x:c>
      <x:c r="D398" s="58" t="n">
        <x:v>2019</x:v>
      </x:c>
      <x:c r="E398" s="46" t="str">
        <x:v>Ommastrephes</x:v>
      </x:c>
      <x:c r="F398" s="46" t="str">
        <x:v>Flying squids</x:v>
      </x:c>
      <x:c r="G398" s="46" t="str">
        <x:v>Cephalopods</x:v>
      </x:c>
      <x:c r="H398" s="46" t="str">
        <x:v>Other fishes &amp; inverts</x:v>
      </x:c>
      <x:c r="I398" s="60" t="n">
        <x:v>0.0522179421</x:v>
      </x:c>
      <x:c r="J398" s="60" t="n">
        <x:v>0.0522179421</x:v>
      </x:c>
      <x:c r="K398" s="60" t="n">
        <x:v>0</x:v>
      </x:c>
      <x:c r="L398" s="60" t="n">
        <x:v>0.0522179421</x:v>
      </x:c>
      <x:c r="M398" s="60" t="n">
        <x:v>0</x:v>
      </x:c>
      <x:c r="N398" s="46" t="str">
        <x:v>ommastrephes</x:v>
      </x:c>
      <x:c r="O398" s="62" t="n">
        <x:v>4.21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Ommastrephes</x:v>
      </x:c>
      <x:c r="T398" s="62" t="n">
        <x:f>IF(O398="","",(1/'Metadata'!$B$5)^(O398-1))</x:f>
        <x:v>1621.8100973589299</x:v>
      </x:c>
      <x:c r="U398" s="60" t="n">
        <x:f>IF(T398="","",I398*T398)</x:f>
        <x:v>84.68758576108395</x:v>
      </x:c>
    </x:row>
    <x:row r="399" ht="18" customHeight="1">
      <x:c r="A399" s="46" t="str">
        <x:v>LME_027</x:v>
      </x:c>
      <x:c r="B399" s="46" t="str">
        <x:v>Canary Current</x:v>
      </x:c>
      <x:c r="C399" s="46" t="str">
        <x:v>LME</x:v>
      </x:c>
      <x:c r="D399" s="58" t="n">
        <x:v>2019</x:v>
      </x:c>
      <x:c r="E399" s="46" t="str">
        <x:v>Alosa</x:v>
      </x:c>
      <x:c r="F399" s="46" t="str">
        <x:v>Shads</x:v>
      </x:c>
      <x:c r="G399" s="46" t="str">
        <x:v>Medium pelagics (30 - 89 cm)</x:v>
      </x:c>
      <x:c r="H399" s="46" t="str">
        <x:v>Herring-likes</x:v>
      </x:c>
      <x:c r="I399" s="60" t="n">
        <x:v>0.0420179738</x:v>
      </x:c>
      <x:c r="J399" s="60" t="n">
        <x:v>0.0420179738</x:v>
      </x:c>
      <x:c r="K399" s="60" t="n">
        <x:v>0</x:v>
      </x:c>
      <x:c r="L399" s="60" t="n">
        <x:v>0.0420179738</x:v>
      </x:c>
      <x:c r="M399" s="60" t="n">
        <x:v>0</x:v>
      </x:c>
      <x:c r="N399" s="46" t="str">
        <x:v>alosa</x:v>
      </x:c>
      <x:c r="O399" s="62" t="n">
        <x:v>3.89</x:v>
      </x:c>
      <x:c r="P399" s="46" t="str">
        <x:v>exact_sea_around_us</x:v>
      </x:c>
      <x:c r="Q399" s="62" t="str">
        <x:v>Sea Around Us exploited organisms</x:v>
      </x:c>
      <x:c r="R399" s="46" t="str">
        <x:v>high</x:v>
      </x:c>
      <x:c r="S399" s="46" t="str">
        <x:v>Alosa</x:v>
      </x:c>
      <x:c r="T399" s="62" t="n">
        <x:f>IF(O399="","",(1/'Metadata'!$B$5)^(O399-1))</x:f>
        <x:v>776.247116628692</x:v>
      </x:c>
      <x:c r="U399" s="60" t="n">
        <x:f>IF(T399="","",I399*T399)</x:f>
        <x:v>32.616331008829924</x:v>
      </x:c>
    </x:row>
    <x:row r="400" ht="18" customHeight="1">
      <x:c r="A400" s="46" t="str">
        <x:v>LME_027</x:v>
      </x:c>
      <x:c r="B400" s="46" t="str">
        <x:v>Canary Current</x:v>
      </x:c>
      <x:c r="C400" s="46" t="str">
        <x:v>LME</x:v>
      </x:c>
      <x:c r="D400" s="58" t="n">
        <x:v>2019</x:v>
      </x:c>
      <x:c r="E400" s="46" t="str">
        <x:v>Monacanthidae</x:v>
      </x:c>
      <x:c r="F400" s="46" t="str">
        <x:v>Filefishes</x:v>
      </x:c>
      <x:c r="G400" s="46" t="str">
        <x:v>Medium reef assoc. fish (30 - 89 cm)</x:v>
      </x:c>
      <x:c r="H400" s="46" t="str">
        <x:v>Other fishes &amp; inverts</x:v>
      </x:c>
      <x:c r="I400" s="60" t="n">
        <x:v>0.0279379929</x:v>
      </x:c>
      <x:c r="J400" s="60" t="n">
        <x:v>0.0279379929</x:v>
      </x:c>
      <x:c r="K400" s="60" t="n">
        <x:v>0</x:v>
      </x:c>
      <x:c r="L400" s="60" t="n">
        <x:v>0.0279379929</x:v>
      </x:c>
      <x:c r="M400" s="60" t="n">
        <x:v>0</x:v>
      </x:c>
      <x:c r="N400" s="46" t="str">
        <x:v>monacanthidae</x:v>
      </x:c>
      <x:c r="O400" s="62" t="n">
        <x:v>3</x:v>
      </x:c>
      <x:c r="P400" s="46" t="str">
        <x:v>exact_sea_around_us</x:v>
      </x:c>
      <x:c r="Q400" s="62" t="str">
        <x:v>Sea Around Us exploited organisms</x:v>
      </x:c>
      <x:c r="R400" s="46" t="str">
        <x:v>high</x:v>
      </x:c>
      <x:c r="S400" s="46" t="str">
        <x:v>Monacanthidae</x:v>
      </x:c>
      <x:c r="T400" s="62" t="n">
        <x:f>IF(O400="","",(1/'Metadata'!$B$5)^(O400-1))</x:f>
        <x:v>100</x:v>
      </x:c>
      <x:c r="U400" s="60" t="n">
        <x:f>IF(T400="","",I400*T400)</x:f>
        <x:v>2.79379929</x:v>
      </x:c>
    </x:row>
    <x:row r="401" ht="18" customHeight="1">
      <x:c r="A401" s="46" t="str">
        <x:v>LME_027</x:v>
      </x:c>
      <x:c r="B401" s="46" t="str">
        <x:v>Canary Current</x:v>
      </x:c>
      <x:c r="C401" s="46" t="str">
        <x:v>LME</x:v>
      </x:c>
      <x:c r="D401" s="58" t="n">
        <x:v>2019</x:v>
      </x:c>
      <x:c r="E401" s="46" t="str">
        <x:v>Loligo forbesii</x:v>
      </x:c>
      <x:c r="F401" s="46" t="str">
        <x:v>Veined squid</x:v>
      </x:c>
      <x:c r="G401" s="46" t="str">
        <x:v>Cephalopods</x:v>
      </x:c>
      <x:c r="H401" s="46" t="str">
        <x:v>Other fishes &amp; inverts</x:v>
      </x:c>
      <x:c r="I401" s="60" t="n">
        <x:v>0.0261222527</x:v>
      </x:c>
      <x:c r="J401" s="60" t="n">
        <x:v>0.0261222527</x:v>
      </x:c>
      <x:c r="K401" s="60" t="n">
        <x:v>0</x:v>
      </x:c>
      <x:c r="L401" s="60" t="n">
        <x:v>0.0261222527</x:v>
      </x:c>
      <x:c r="M401" s="60" t="n">
        <x:v>0</x:v>
      </x:c>
      <x:c r="N401" s="46" t="str">
        <x:v>loligo forbesii</x:v>
      </x:c>
      <x:c r="O401" s="62" t="n">
        <x:v>4.29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Loligo forbesii</x:v>
      </x:c>
      <x:c r="T401" s="62" t="n">
        <x:f>IF(O401="","",(1/'Metadata'!$B$5)^(O401-1))</x:f>
        <x:v>1949.8445997580454</x:v>
      </x:c>
      <x:c r="U401" s="60" t="n">
        <x:f>IF(T401="","",I401*T401)</x:f>
        <x:v>50.934333360610026</x:v>
      </x:c>
    </x:row>
    <x:row r="402" ht="18" customHeight="1">
      <x:c r="A402" s="46" t="str">
        <x:v>LME_027</x:v>
      </x:c>
      <x:c r="B402" s="46" t="str">
        <x:v>Canary Current</x:v>
      </x:c>
      <x:c r="C402" s="46" t="str">
        <x:v>LME</x:v>
      </x:c>
      <x:c r="D402" s="58" t="n">
        <x:v>2019</x:v>
      </x:c>
      <x:c r="E402" s="46" t="str">
        <x:v>Anthias anthias</x:v>
      </x:c>
      <x:c r="F402" s="46" t="str">
        <x:v>Swallowtail seaperch</x:v>
      </x:c>
      <x:c r="G402" s="46" t="str">
        <x:v>Small reef assoc. fish (&lt;30 cm)</x:v>
      </x:c>
      <x:c r="H402" s="46" t="str">
        <x:v>Perch-likes</x:v>
      </x:c>
      <x:c r="I402" s="60" t="n">
        <x:v>0.0131282534</x:v>
      </x:c>
      <x:c r="J402" s="60" t="n">
        <x:v>0.0131282534</x:v>
      </x:c>
      <x:c r="K402" s="60" t="n">
        <x:v>0</x:v>
      </x:c>
      <x:c r="L402" s="60" t="n">
        <x:v>0.0131282534</x:v>
      </x:c>
      <x:c r="M402" s="60" t="n">
        <x:v>0</x:v>
      </x:c>
      <x:c r="N402" s="46" t="str">
        <x:v>anthias anthias</x:v>
      </x:c>
      <x:c r="O402" s="62" t="n">
        <x:v>3.75</x:v>
      </x:c>
      <x:c r="P402" s="46" t="str">
        <x:v>exact_2020_supplement</x:v>
      </x:c>
      <x:c r="Q402" s="62" t="str">
        <x:v>2020 supplement MeanTL</x:v>
      </x:c>
      <x:c r="R402" s="46" t="str">
        <x:v>high</x:v>
      </x:c>
      <x:c r="S402" s="46" t="str">
        <x:v>Anthias anthias</x:v>
      </x:c>
      <x:c r="T402" s="62" t="n">
        <x:f>IF(O402="","",(1/'Metadata'!$B$5)^(O402-1))</x:f>
        <x:v>562.341325190349</x:v>
      </x:c>
      <x:c r="U402" s="60" t="n">
        <x:f>IF(T402="","",I402*T402)</x:f>
        <x:v>7.382559414390705</x:v>
      </x:c>
    </x:row>
    <x:row r="403" ht="18" customHeight="1">
      <x:c r="A403" s="46" t="str">
        <x:v>LME_027</x:v>
      </x:c>
      <x:c r="B403" s="46" t="str">
        <x:v>Canary Current</x:v>
      </x:c>
      <x:c r="C403" s="46" t="str">
        <x:v>LME</x:v>
      </x:c>
      <x:c r="D403" s="58" t="n">
        <x:v>2019</x:v>
      </x:c>
      <x:c r="E403" s="46" t="str">
        <x:v>Anguilliformes</x:v>
      </x:c>
      <x:c r="F403" s="46" t="str">
        <x:v>Eels, morays</x:v>
      </x:c>
      <x:c r="G403" s="46" t="str">
        <x:v>Large demersals (&gt;=90 cm)</x:v>
      </x:c>
      <x:c r="H403" s="46" t="str">
        <x:v>Other fishes &amp; inverts</x:v>
      </x:c>
      <x:c r="I403" s="60" t="n">
        <x:v>0.012216164</x:v>
      </x:c>
      <x:c r="J403" s="60" t="n">
        <x:v>0.012216164</x:v>
      </x:c>
      <x:c r="K403" s="60" t="n">
        <x:v>0</x:v>
      </x:c>
      <x:c r="L403" s="60" t="n">
        <x:v>0.012216164</x:v>
      </x:c>
      <x:c r="M403" s="60" t="n">
        <x:v>0</x:v>
      </x:c>
      <x:c r="N403" s="46" t="str">
        <x:v>anguilliformes</x:v>
      </x:c>
      <x:c r="O403" s="62" t="n">
        <x:v>3.89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Anguilliformes</x:v>
      </x:c>
      <x:c r="T403" s="62" t="n">
        <x:f>IF(O403="","",(1/'Metadata'!$B$5)^(O403-1))</x:f>
        <x:v>776.247116628692</x:v>
      </x:c>
      <x:c r="U403" s="60" t="n">
        <x:f>IF(T403="","",I403*T403)</x:f>
        <x:v>9.482762081263228</x:v>
      </x:c>
    </x:row>
    <x:row r="404" ht="18" customHeight="1">
      <x:c r="A404" s="46" t="str">
        <x:v>LME_027</x:v>
      </x:c>
      <x:c r="B404" s="46" t="str">
        <x:v>Canary Current</x:v>
      </x:c>
      <x:c r="C404" s="46" t="str">
        <x:v>LME</x:v>
      </x:c>
      <x:c r="D404" s="58" t="n">
        <x:v>2019</x:v>
      </x:c>
      <x:c r="E404" s="46" t="str">
        <x:v>Alopias superciliosus</x:v>
      </x:c>
      <x:c r="F404" s="46" t="str">
        <x:v>Bigeye thresher</x:v>
      </x:c>
      <x:c r="G404" s="46" t="str">
        <x:v>Large sharks (&gt;=90 cm)</x:v>
      </x:c>
      <x:c r="H404" s="46" t="str">
        <x:v>Sharks &amp; rays</x:v>
      </x:c>
      <x:c r="I404" s="60" t="n">
        <x:v>0.0119980791</x:v>
      </x:c>
      <x:c r="J404" s="60" t="n">
        <x:v>0.0119980791</x:v>
      </x:c>
      <x:c r="K404" s="60" t="n">
        <x:v>0</x:v>
      </x:c>
      <x:c r="L404" s="60" t="n">
        <x:v>0.0119980791</x:v>
      </x:c>
      <x:c r="M404" s="60" t="n">
        <x:v>0</x:v>
      </x:c>
      <x:c r="N404" s="46" t="str">
        <x:v>alopias superciliosus</x:v>
      </x:c>
      <x:c r="O404" s="62" t="n">
        <x:v>4.51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Alopias superciliosus</x:v>
      </x:c>
      <x:c r="T404" s="62" t="n">
        <x:f>IF(O404="","",(1/'Metadata'!$B$5)^(O404-1))</x:f>
        <x:v>3235.936569296281</x:v>
      </x:c>
      <x:c r="U404" s="60" t="n">
        <x:f>IF(T404="","",I404*T404)</x:f>
        <x:v>38.82502292099941</x:v>
      </x:c>
    </x:row>
    <x:row r="405" ht="18" customHeight="1">
      <x:c r="A405" s="46" t="str">
        <x:v>LME_027</x:v>
      </x:c>
      <x:c r="B405" s="46" t="str">
        <x:v>Canary Current</x:v>
      </x:c>
      <x:c r="C405" s="46" t="str">
        <x:v>LME</x:v>
      </x:c>
      <x:c r="D405" s="58" t="n">
        <x:v>2019</x:v>
      </x:c>
      <x:c r="E405" s="46" t="str">
        <x:v>Thunnus</x:v>
      </x:c>
      <x:c r="F405" s="46" t="str">
        <x:v>Tunas</x:v>
      </x:c>
      <x:c r="G405" s="46" t="str">
        <x:v>Large pelagics (&gt;=90 cm)</x:v>
      </x:c>
      <x:c r="H405" s="46" t="str">
        <x:v>Tuna &amp; billfishes</x:v>
      </x:c>
      <x:c r="I405" s="60" t="n">
        <x:v>0.0111031661</x:v>
      </x:c>
      <x:c r="J405" s="60" t="n">
        <x:v>0.0111031661</x:v>
      </x:c>
      <x:c r="K405" s="60" t="n">
        <x:v>0</x:v>
      </x:c>
      <x:c r="L405" s="60" t="n">
        <x:v>0.0111031661</x:v>
      </x:c>
      <x:c r="M405" s="60" t="n">
        <x:v>0</x:v>
      </x:c>
      <x:c r="N405" s="46" t="str">
        <x:v>thunnus</x:v>
      </x:c>
      <x:c r="O405" s="62" t="n">
        <x:v>4.34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Thunnus</x:v>
      </x:c>
      <x:c r="T405" s="62" t="n">
        <x:f>IF(O405="","",(1/'Metadata'!$B$5)^(O405-1))</x:f>
        <x:v>2187.761623949552</x:v>
      </x:c>
      <x:c r="U405" s="60" t="n">
        <x:f>IF(T405="","",I405*T405)</x:f>
        <x:v>24.291080697917614</x:v>
      </x:c>
    </x:row>
    <x:row r="406" ht="18" customHeight="1">
      <x:c r="A406" s="46" t="str">
        <x:v>LME_027</x:v>
      </x:c>
      <x:c r="B406" s="46" t="str">
        <x:v>Canary Current</x:v>
      </x:c>
      <x:c r="C406" s="46" t="str">
        <x:v>LME</x:v>
      </x:c>
      <x:c r="D406" s="58" t="n">
        <x:v>2019</x:v>
      </x:c>
      <x:c r="E406" s="46" t="str">
        <x:v>Clupeidae</x:v>
      </x:c>
      <x:c r="F406" s="46" t="str">
        <x:v>Herrings, sardines, menhadens</x:v>
      </x:c>
      <x:c r="G406" s="46" t="str">
        <x:v>Small pelagics (&lt;30 cm)</x:v>
      </x:c>
      <x:c r="H406" s="46" t="str">
        <x:v>Herring-likes</x:v>
      </x:c>
      <x:c r="I406" s="60" t="n">
        <x:v>0.0047492441</x:v>
      </x:c>
      <x:c r="J406" s="60" t="n">
        <x:v>0.0047492441</x:v>
      </x:c>
      <x:c r="K406" s="60" t="n">
        <x:v>0</x:v>
      </x:c>
      <x:c r="L406" s="60" t="n">
        <x:v>0</x:v>
      </x:c>
      <x:c r="M406" s="60" t="n">
        <x:v>0.0047492441</x:v>
      </x:c>
      <x:c r="N406" s="46" t="str">
        <x:v>clupeidae</x:v>
      </x:c>
      <x:c r="O406" s="62" t="n">
        <x:v>3.16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Clupeidae</x:v>
      </x:c>
      <x:c r="T406" s="62" t="n">
        <x:f>IF(O406="","",(1/'Metadata'!$B$5)^(O406-1))</x:f>
        <x:v>144.5439770745928</x:v>
      </x:c>
      <x:c r="U406" s="60" t="n">
        <x:f>IF(T406="","",I406*T406)</x:f>
        <x:v>0.686474630312045</x:v>
      </x:c>
    </x:row>
    <x:row r="407" ht="18" customHeight="1">
      <x:c r="A407" s="46" t="str">
        <x:v>LME_027</x:v>
      </x:c>
      <x:c r="B407" s="46" t="str">
        <x:v>Canary Current</x:v>
      </x:c>
      <x:c r="C407" s="46" t="str">
        <x:v>LME</x:v>
      </x:c>
      <x:c r="D407" s="58" t="n">
        <x:v>2019</x:v>
      </x:c>
      <x:c r="E407" s="46" t="str">
        <x:v>Trachinus radiatus</x:v>
      </x:c>
      <x:c r="F407" s="46" t="str">
        <x:v>Starry weever</x:v>
      </x:c>
      <x:c r="G407" s="46" t="str">
        <x:v>Medium demersals (30 - 89 cm)</x:v>
      </x:c>
      <x:c r="H407" s="46" t="str">
        <x:v>Perch-likes</x:v>
      </x:c>
      <x:c r="I407" s="60" t="n">
        <x:v>0.0025001379000000002</x:v>
      </x:c>
      <x:c r="J407" s="60" t="n">
        <x:v>0.0025001379000000002</x:v>
      </x:c>
      <x:c r="K407" s="60" t="n">
        <x:v>0</x:v>
      </x:c>
      <x:c r="L407" s="60" t="n">
        <x:v>0.0025001379000000002</x:v>
      </x:c>
      <x:c r="M407" s="60" t="n">
        <x:v>0</x:v>
      </x:c>
      <x:c r="N407" s="46" t="str">
        <x:v>trachinus radiatus</x:v>
      </x:c>
      <x:c r="O407" s="62" t="n">
        <x:v>4</x:v>
      </x:c>
      <x:c r="P407" s="46" t="str">
        <x:v>exact_sea_around_us</x:v>
      </x:c>
      <x:c r="Q407" s="62" t="str">
        <x:v>Sea Around Us exploited organisms</x:v>
      </x:c>
      <x:c r="R407" s="46" t="str">
        <x:v>high</x:v>
      </x:c>
      <x:c r="S407" s="46" t="str">
        <x:v>Trachinus radiatus</x:v>
      </x:c>
      <x:c r="T407" s="62" t="n">
        <x:f>IF(O407="","",(1/'Metadata'!$B$5)^(O407-1))</x:f>
        <x:v>1000</x:v>
      </x:c>
      <x:c r="U407" s="60" t="n">
        <x:f>IF(T407="","",I407*T407)</x:f>
        <x:v>2.5001379000000004</x:v>
      </x:c>
    </x:row>
    <x:row r="408" ht="18" customHeight="1">
      <x:c r="A408" s="46" t="str">
        <x:v>LME_027</x:v>
      </x:c>
      <x:c r="B408" s="46" t="str">
        <x:v>Canary Current</x:v>
      </x:c>
      <x:c r="C408" s="46" t="str">
        <x:v>LME</x:v>
      </x:c>
      <x:c r="D408" s="58" t="n">
        <x:v>2019</x:v>
      </x:c>
      <x:c r="E408" s="46" t="str">
        <x:v>Chelidonichthys lastoviza</x:v>
      </x:c>
      <x:c r="F408" s="46" t="str">
        <x:v>Streaked gurnard</x:v>
      </x:c>
      <x:c r="G408" s="46" t="str">
        <x:v>Medium demersals (30 - 89 cm)</x:v>
      </x:c>
      <x:c r="H408" s="46" t="str">
        <x:v>Scorpionfishes</x:v>
      </x:c>
      <x:c r="I408" s="60" t="n">
        <x:v>0.0013048608</x:v>
      </x:c>
      <x:c r="J408" s="60" t="n">
        <x:v>0.0013048608</x:v>
      </x:c>
      <x:c r="K408" s="60" t="n">
        <x:v>0</x:v>
      </x:c>
      <x:c r="L408" s="60" t="n">
        <x:v>0.0013048608</x:v>
      </x:c>
      <x:c r="M408" s="60" t="n">
        <x:v>0</x:v>
      </x:c>
      <x:c r="N408" s="46" t="str">
        <x:v>chelidonichthys lastoviza</x:v>
      </x:c>
      <x:c r="O408" s="62" t="n">
        <x:v>3.49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Chelidonichthys lastoviza</x:v>
      </x:c>
      <x:c r="T408" s="62" t="n">
        <x:f>IF(O408="","",(1/'Metadata'!$B$5)^(O408-1))</x:f>
        <x:v>309.0295432513592</x:v>
      </x:c>
      <x:c r="U408" s="60" t="n">
        <x:f>IF(T408="","",I408*T408)</x:f>
        <x:v>0.40324053703060314</x:v>
      </x:c>
    </x:row>
    <x:row r="409" ht="18" customHeight="1">
      <x:c r="A409" s="46" t="str">
        <x:v>LME_027</x:v>
      </x:c>
      <x:c r="B409" s="46" t="str">
        <x:v>Canary Current</x:v>
      </x:c>
      <x:c r="C409" s="46" t="str">
        <x:v>LME</x:v>
      </x:c>
      <x:c r="D409" s="58" t="n">
        <x:v>2019</x:v>
      </x:c>
      <x:c r="E409" s="46" t="str">
        <x:v>Mullus</x:v>
      </x:c>
      <x:c r="F409" s="46" t="str">
        <x:v>Atlantic goatfishes</x:v>
      </x:c>
      <x:c r="G409" s="46" t="str">
        <x:v>Medium demersals (30 - 89 cm)</x:v>
      </x:c>
      <x:c r="H409" s="46" t="str">
        <x:v>Perch-likes</x:v>
      </x:c>
      <x:c r="I409" s="60" t="n">
        <x:v>0.0008680037</x:v>
      </x:c>
      <x:c r="J409" s="60" t="n">
        <x:v>0.0008680037</x:v>
      </x:c>
      <x:c r="K409" s="60" t="n">
        <x:v>0</x:v>
      </x:c>
      <x:c r="L409" s="60" t="n">
        <x:v>0.0008680037</x:v>
      </x:c>
      <x:c r="M409" s="60" t="n">
        <x:v>0</x:v>
      </x:c>
      <x:c r="N409" s="46" t="str">
        <x:v>mullus</x:v>
      </x:c>
      <x:c r="O409" s="62" t="n">
        <x:v>3.29</x:v>
      </x:c>
      <x:c r="P409" s="46" t="str">
        <x:v>exact_sea_around_us</x:v>
      </x:c>
      <x:c r="Q409" s="62" t="str">
        <x:v>Sea Around Us exploited organisms</x:v>
      </x:c>
      <x:c r="R409" s="46" t="str">
        <x:v>high</x:v>
      </x:c>
      <x:c r="S409" s="46" t="str">
        <x:v>Mullus</x:v>
      </x:c>
      <x:c r="T409" s="62" t="n">
        <x:f>IF(O409="","",(1/'Metadata'!$B$5)^(O409-1))</x:f>
        <x:v>194.98445997580455</x:v>
      </x:c>
      <x:c r="U409" s="60" t="n">
        <x:f>IF(T409="","",I409*T409)</x:f>
        <x:v>0.16924723270150027</x:v>
      </x:c>
    </x:row>
    <x:row r="410" ht="18" customHeight="1">
      <x:c r="A410" s="46" t="str">
        <x:v>LME_027</x:v>
      </x:c>
      <x:c r="B410" s="46" t="str">
        <x:v>Canary Current</x:v>
      </x:c>
      <x:c r="C410" s="46" t="str">
        <x:v>LME</x:v>
      </x:c>
      <x:c r="D410" s="58" t="n">
        <x:v>2019</x:v>
      </x:c>
      <x:c r="E410" s="46" t="str">
        <x:v>Carcharias taurus</x:v>
      </x:c>
      <x:c r="F410" s="46" t="str">
        <x:v>Sand tiger shark</x:v>
      </x:c>
      <x:c r="G410" s="46" t="str">
        <x:v>Large sharks (&gt;=90 cm)</x:v>
      </x:c>
      <x:c r="H410" s="46" t="str">
        <x:v>Sharks &amp; rays</x:v>
      </x:c>
      <x:c r="I410" s="60" t="n">
        <x:v>0.0007766836</x:v>
      </x:c>
      <x:c r="J410" s="60" t="n">
        <x:v>0.0007766836</x:v>
      </x:c>
      <x:c r="K410" s="60" t="n">
        <x:v>0</x:v>
      </x:c>
      <x:c r="L410" s="60" t="n">
        <x:v>0.0007766836</x:v>
      </x:c>
      <x:c r="M410" s="60" t="n">
        <x:v>0</x:v>
      </x:c>
      <x:c r="N410" s="46" t="str">
        <x:v>carcharias taurus</x:v>
      </x:c>
      <x:c r="O410" s="62" t="n">
        <x:v>4.5</x:v>
      </x:c>
      <x:c r="P410" s="46" t="str">
        <x:v>exact_2020_supplement</x:v>
      </x:c>
      <x:c r="Q410" s="62" t="str">
        <x:v>2020 supplement MeanTL</x:v>
      </x:c>
      <x:c r="R410" s="46" t="str">
        <x:v>high</x:v>
      </x:c>
      <x:c r="S410" s="46" t="str">
        <x:v>Carcharias taurus</x:v>
      </x:c>
      <x:c r="T410" s="62" t="n">
        <x:f>IF(O410="","",(1/'Metadata'!$B$5)^(O410-1))</x:f>
        <x:v>3162.2776601683795</x:v>
      </x:c>
      <x:c r="U410" s="60" t="n">
        <x:f>IF(T410="","",I410*T410)</x:f>
        <x:v>2.4560891972991534</x:v>
      </x:c>
    </x:row>
    <x:row r="411" ht="18" customHeight="1">
      <x:c r="A411" s="46" t="str">
        <x:v>LME_027</x:v>
      </x:c>
      <x:c r="B411" s="46" t="str">
        <x:v>Canary Current</x:v>
      </x:c>
      <x:c r="C411" s="46" t="str">
        <x:v>LME</x:v>
      </x:c>
      <x:c r="D411" s="58" t="n">
        <x:v>2019</x:v>
      </x:c>
      <x:c r="E411" s="46" t="str">
        <x:v>Caranx lugubris</x:v>
      </x:c>
      <x:c r="F411" s="46" t="str">
        <x:v>Black jack</x:v>
      </x:c>
      <x:c r="G411" s="46" t="str">
        <x:v>Large benthopelagics (&gt;=90 cm)</x:v>
      </x:c>
      <x:c r="H411" s="46" t="str">
        <x:v>Perch-likes</x:v>
      </x:c>
      <x:c r="I411" s="60" t="n">
        <x:v>0.0007073957</x:v>
      </x:c>
      <x:c r="J411" s="60" t="n">
        <x:v>0.0007073957</x:v>
      </x:c>
      <x:c r="K411" s="60" t="n">
        <x:v>0</x:v>
      </x:c>
      <x:c r="L411" s="60" t="n">
        <x:v>0.0007073957</x:v>
      </x:c>
      <x:c r="M411" s="60" t="n">
        <x:v>0</x:v>
      </x:c>
      <x:c r="N411" s="46" t="str">
        <x:v>caranx lugubris</x:v>
      </x:c>
      <x:c r="O411" s="62" t="n">
        <x:v>4.5</x:v>
      </x:c>
      <x:c r="P411" s="46" t="str">
        <x:v>exact_2020_supplement</x:v>
      </x:c>
      <x:c r="Q411" s="62" t="str">
        <x:v>2020 supplement MeanTL</x:v>
      </x:c>
      <x:c r="R411" s="46" t="str">
        <x:v>high</x:v>
      </x:c>
      <x:c r="S411" s="46" t="str">
        <x:v>Caranx lugubris</x:v>
      </x:c>
      <x:c r="T411" s="62" t="n">
        <x:f>IF(O411="","",(1/'Metadata'!$B$5)^(O411-1))</x:f>
        <x:v>3162.2776601683795</x:v>
      </x:c>
      <x:c r="U411" s="60" t="n">
        <x:f>IF(T411="","",I411*T411)</x:f>
        <x:v>2.236981619009173</x:v>
      </x:c>
    </x:row>
    <x:row r="412" ht="18" customHeight="1">
      <x:c r="A412" s="46" t="str">
        <x:v>LME_027</x:v>
      </x:c>
      <x:c r="B412" s="46" t="str">
        <x:v>Canary Current</x:v>
      </x:c>
      <x:c r="C412" s="46" t="str">
        <x:v>LME</x:v>
      </x:c>
      <x:c r="D412" s="58" t="n">
        <x:v>2019</x:v>
      </x:c>
      <x:c r="E412" s="46" t="str">
        <x:v>Chelidonichthys lucerna</x:v>
      </x:c>
      <x:c r="F412" s="46" t="str">
        <x:v>Tub gurnard</x:v>
      </x:c>
      <x:c r="G412" s="46" t="str">
        <x:v>Medium demersals (30 - 89 cm)</x:v>
      </x:c>
      <x:c r="H412" s="46" t="str">
        <x:v>Scorpionfishes</x:v>
      </x:c>
      <x:c r="I412" s="60" t="n">
        <x:v>0.0003464771</x:v>
      </x:c>
      <x:c r="J412" s="60" t="n">
        <x:v>0.0003464771</x:v>
      </x:c>
      <x:c r="K412" s="60" t="n">
        <x:v>0</x:v>
      </x:c>
      <x:c r="L412" s="60" t="n">
        <x:v>0.0003464771</x:v>
      </x:c>
      <x:c r="M412" s="60" t="n">
        <x:v>0</x:v>
      </x:c>
      <x:c r="N412" s="46" t="str">
        <x:v>chelidonichthys lucerna</x:v>
      </x:c>
      <x:c r="O412" s="62" t="n">
        <x:v>3.98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Chelidonichthys lucerna</x:v>
      </x:c>
      <x:c r="T412" s="62" t="n">
        <x:f>IF(O412="","",(1/'Metadata'!$B$5)^(O412-1))</x:f>
        <x:v>954.992586021436</x:v>
      </x:c>
      <x:c r="U412" s="60" t="n">
        <x:f>IF(T412="","",I412*T412)</x:f>
        <x:v>0.3308830617262077</x:v>
      </x:c>
    </x:row>
    <x:row r="413" ht="18" customHeight="1">
      <x:c r="A413" s="46" t="str">
        <x:v>LME_027</x:v>
      </x:c>
      <x:c r="B413" s="46" t="str">
        <x:v>Canary Current</x:v>
      </x:c>
      <x:c r="C413" s="46" t="str">
        <x:v>LME</x:v>
      </x:c>
      <x:c r="D413" s="58" t="n">
        <x:v>2019</x:v>
      </x:c>
      <x:c r="E413" s="46" t="str">
        <x:v>Symphodus</x:v>
      </x:c>
      <x:c r="F413" s="46" t="str">
        <x:v>Eastern Atlantic wrasses</x:v>
      </x:c>
      <x:c r="G413" s="46" t="str">
        <x:v>Small reef assoc. fish (&lt;30 cm)</x:v>
      </x:c>
      <x:c r="H413" s="46" t="str">
        <x:v>Perch-likes</x:v>
      </x:c>
      <x:c r="I413" s="60" t="n">
        <x:v>0.0001781424</x:v>
      </x:c>
      <x:c r="J413" s="60" t="n">
        <x:v>0.0001781424</x:v>
      </x:c>
      <x:c r="K413" s="60" t="n">
        <x:v>0</x:v>
      </x:c>
      <x:c r="L413" s="60" t="n">
        <x:v>0.0001781424</x:v>
      </x:c>
      <x:c r="M413" s="60" t="n">
        <x:v>0</x:v>
      </x:c>
      <x:c r="N413" s="46" t="str">
        <x:v>symphodus</x:v>
      </x:c>
      <x:c r="O413" s="62" t="n">
        <x:v>3.39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Symphodus</x:v>
      </x:c>
      <x:c r="T413" s="62" t="n">
        <x:f>IF(O413="","",(1/'Metadata'!$B$5)^(O413-1))</x:f>
        <x:v>245.4708915685031</x:v>
      </x:c>
      <x:c r="U413" s="60" t="n">
        <x:f>IF(T413="","",I413*T413)</x:f>
        <x:v>0.043728773754152905</x:v>
      </x:c>
    </x:row>
  </x:sheetData>
  <x:conditionalFormatting sqref="R2:R4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8c912d090640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26687.1808469247</x:v>
      </x:c>
      <x:c r="E2" s="60" t="n">
        <x:v>26687.1808469247</x:v>
      </x:c>
      <x:c r="F2" s="62" t="n">
        <x:v>0</x:v>
      </x:c>
      <x:c r="G2" s="66" t="n">
        <x:v>1</x:v>
      </x:c>
      <x:c r="H2" s="62" t="n">
        <x:f>IF(E2=0,"",I2/E2)</x:f>
        <x:v>128.93563559966847</x:v>
      </x:c>
      <x:c r="I2" s="60" t="n">
        <x:f>SUMIF('Species'!$H$2:$H$413,A2,'Species'!$U$2:$U$413)</x:f>
        <x:v>3440928.624861535</x:v>
      </x:c>
      <x:c r="J2" s="62" t="n">
        <x:v>3.1103357981551927</x:v>
      </x:c>
      <x:c r="K2" s="62" t="n">
        <x:f>IF(J2="","",(1/'Metadata'!$B$5)^(J2-1))</x:f>
        <x:v>128.92460163613663</x:v>
      </x:c>
      <x:c r="L2" s="60" t="n">
        <x:f>IF(E2=0,"",E2*K2)</x:f>
        <x:v>3440634.1594813024</x:v>
      </x:c>
      <x:c r="M2" s="60" t="n">
        <x:f>I2-L2</x:f>
        <x:v>294.4653802327812</x:v>
      </x:c>
      <x:c r="N2" s="62" t="n">
        <x:f>IF(L2=0,"",I2/L2)</x:f>
        <x:v>1.0000855846238175</x:v>
      </x:c>
      <x:c r="O2" s="66" t="n">
        <x:f>IF(L2=0,"",M2/L2)</x:f>
        <x:v>0.0000855846238174807</x:v>
      </x:c>
    </x:row>
    <x:row r="3" ht="18" customHeight="1">
      <x:c r="A3" s="46" t="str">
        <x:v>Cod-likes</x:v>
      </x:c>
      <x:c r="B3" s="64" t="n">
        <x:v>14</x:v>
      </x:c>
      <x:c r="C3" s="64" t="n">
        <x:v>14</x:v>
      </x:c>
      <x:c r="D3" s="60" t="n">
        <x:v>94231.65227819631</x:v>
      </x:c>
      <x:c r="E3" s="60" t="n">
        <x:v>94231.65227819631</x:v>
      </x:c>
      <x:c r="F3" s="62" t="n">
        <x:v>0</x:v>
      </x:c>
      <x:c r="G3" s="66" t="n">
        <x:v>1</x:v>
      </x:c>
      <x:c r="H3" s="62" t="n">
        <x:f>IF(E3=0,"",I3/E3)</x:f>
        <x:v>2654.2169648532395</x:v>
      </x:c>
      <x:c r="I3" s="60" t="n">
        <x:f>SUMIF('Species'!$H$2:$H$413,A3,'Species'!$U$2:$U$413)</x:f>
        <x:v>250111250.10294005</x:v>
      </x:c>
      <x:c r="J3" s="62" t="n">
        <x:v>4.417958767513354</x:v>
      </x:c>
      <x:c r="K3" s="62" t="n">
        <x:f>IF(J3="","",(1/'Metadata'!$B$5)^(J3-1))</x:f>
        <x:v>2617.9344462963095</x:v>
      </x:c>
      <x:c r="L3" s="60" t="n">
        <x:f>IF(E3=0,"",E3*K3)</x:f>
        <x:v>246692288.43050623</x:v>
      </x:c>
      <x:c r="M3" s="60" t="n">
        <x:f>I3-L3</x:f>
        <x:v>3418961.6724338233</x:v>
      </x:c>
      <x:c r="N3" s="62" t="n">
        <x:f>IF(L3=0,"",I3/L3)</x:f>
        <x:v>1.013859215844102</x:v>
      </x:c>
      <x:c r="O3" s="66" t="n">
        <x:f>IF(L3=0,"",M3/L3)</x:f>
        <x:v>0.013859215844101882</x:v>
      </x:c>
    </x:row>
    <x:row r="4" ht="18" customHeight="1">
      <x:c r="A4" s="46" t="str">
        <x:v>Crustaceans</x:v>
      </x:c>
      <x:c r="B4" s="64" t="n">
        <x:v>24</x:v>
      </x:c>
      <x:c r="C4" s="64" t="n">
        <x:v>24</x:v>
      </x:c>
      <x:c r="D4" s="60" t="n">
        <x:v>40645.767301183594</x:v>
      </x:c>
      <x:c r="E4" s="60" t="n">
        <x:v>40645.767301183594</x:v>
      </x:c>
      <x:c r="F4" s="62" t="n">
        <x:v>0</x:v>
      </x:c>
      <x:c r="G4" s="66" t="n">
        <x:v>1</x:v>
      </x:c>
      <x:c r="H4" s="62" t="n">
        <x:f>IF(E4=0,"",I4/E4)</x:f>
        <x:v>137.20063042006933</x:v>
      </x:c>
      <x:c r="I4" s="60" t="n">
        <x:f>SUMIF('Species'!$H$2:$H$413,A4,'Species'!$U$2:$U$413)</x:f>
        <x:v>5576624.897629829</x:v>
      </x:c>
      <x:c r="J4" s="62" t="n">
        <x:v>3.0834267066908874</x:v>
      </x:c>
      <x:c r="K4" s="62" t="n">
        <x:f>IF(J4="","",(1/'Metadata'!$B$5)^(J4-1))</x:f>
        <x:v>121.17881652012504</x:v>
      </x:c>
      <x:c r="L4" s="60" t="n">
        <x:f>IF(E4=0,"",E4*K4)</x:f>
        <x:v>4925405.9781098245</x:v>
      </x:c>
      <x:c r="M4" s="60" t="n">
        <x:f>I4-L4</x:f>
        <x:v>651218.9195200047</x:v>
      </x:c>
      <x:c r="N4" s="62" t="n">
        <x:f>IF(L4=0,"",I4/L4)</x:f>
        <x:v>1.1322162929135675</x:v>
      </x:c>
      <x:c r="O4" s="66" t="n">
        <x:f>IF(L4=0,"",M4/L4)</x:f>
        <x:v>0.13221629291356743</x:v>
      </x:c>
    </x:row>
    <x:row r="5" ht="18" customHeight="1">
      <x:c r="A5" s="46" t="str">
        <x:v>Flatfishes</x:v>
      </x:c>
      <x:c r="B5" s="64" t="n">
        <x:v>18</x:v>
      </x:c>
      <x:c r="C5" s="64" t="n">
        <x:v>18</x:v>
      </x:c>
      <x:c r="D5" s="60" t="n">
        <x:v>37418.0255920436</x:v>
      </x:c>
      <x:c r="E5" s="60" t="n">
        <x:v>37418.0255920436</x:v>
      </x:c>
      <x:c r="F5" s="62" t="n">
        <x:v>0</x:v>
      </x:c>
      <x:c r="G5" s="66" t="n">
        <x:v>1</x:v>
      </x:c>
      <x:c r="H5" s="62" t="n">
        <x:f>IF(E5=0,"",I5/E5)</x:f>
        <x:v>348.1252331368111</x:v>
      </x:c>
      <x:c r="I5" s="60" t="n">
        <x:f>SUMIF('Species'!$H$2:$H$413,A5,'Species'!$U$2:$U$413)</x:f>
        <x:v>13026158.882749345</x:v>
      </x:c>
      <x:c r="J5" s="62" t="n">
        <x:v>3.4806313532564084</x:v>
      </x:c>
      <x:c r="K5" s="62" t="n">
        <x:f>IF(J5="","",(1/'Metadata'!$B$5)^(J5-1))</x:f>
        <x:v>302.4345151587278</x:v>
      </x:c>
      <x:c r="L5" s="60" t="n">
        <x:f>IF(E5=0,"",E5*K5)</x:f>
        <x:v>11316502.428126575</x:v>
      </x:c>
      <x:c r="M5" s="60" t="n">
        <x:f>I5-L5</x:f>
        <x:v>1709656.4546227697</x:v>
      </x:c>
      <x:c r="N5" s="62" t="n">
        <x:f>IF(L5=0,"",I5/L5)</x:f>
        <x:v>1.1510764006353684</x:v>
      </x:c>
      <x:c r="O5" s="66" t="n">
        <x:f>IF(L5=0,"",M5/L5)</x:f>
        <x:v>0.1510764006353684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2390071.1965708393</x:v>
      </x:c>
      <x:c r="E6" s="60" t="n">
        <x:v>2390071.1965708393</x:v>
      </x:c>
      <x:c r="F6" s="62" t="n">
        <x:v>0</x:v>
      </x:c>
      <x:c r="G6" s="66" t="n">
        <x:v>1</x:v>
      </x:c>
      <x:c r="H6" s="62" t="n">
        <x:f>IF(E6=0,"",I6/E6)</x:f>
        <x:v>119.29953701327959</x:v>
      </x:c>
      <x:c r="I6" s="60" t="n">
        <x:f>SUMIF('Species'!$H$2:$H$413,A6,'Species'!$U$2:$U$413)</x:f>
        <x:v>285134387.1796763</x:v>
      </x:c>
      <x:c r="J6" s="62" t="n">
        <x:v>3.037485032297229</x:v>
      </x:c>
      <x:c r="K6" s="62" t="n">
        <x:f>IF(J6="","",(1/'Metadata'!$B$5)^(J6-1))</x:f>
        <x:v>109.01469204680457</x:v>
      </x:c>
      <x:c r="L6" s="60" t="n">
        <x:f>IF(E6=0,"",E6*K6)</x:f>
        <x:v>260552875.46410775</x:v>
      </x:c>
      <x:c r="M6" s="60" t="n">
        <x:f>I6-L6</x:f>
        <x:v>24581511.715568542</x:v>
      </x:c>
      <x:c r="N6" s="62" t="n">
        <x:f>IF(L6=0,"",I6/L6)</x:f>
        <x:v>1.0943436593120799</x:v>
      </x:c>
      <x:c r="O6" s="66" t="n">
        <x:f>IF(L6=0,"",M6/L6)</x:f>
        <x:v>0.09434365931207982</x:v>
      </x:c>
    </x:row>
    <x:row r="7" ht="18" customHeight="1">
      <x:c r="A7" s="46" t="str">
        <x:v>Molluscs</x:v>
      </x:c>
      <x:c r="B7" s="64" t="n">
        <x:v>14</x:v>
      </x:c>
      <x:c r="C7" s="64" t="n">
        <x:v>14</x:v>
      </x:c>
      <x:c r="D7" s="60" t="n">
        <x:v>27631.596812516203</x:v>
      </x:c>
      <x:c r="E7" s="60" t="n">
        <x:v>27631.596812516203</x:v>
      </x:c>
      <x:c r="F7" s="62" t="n">
        <x:v>0</x:v>
      </x:c>
      <x:c r="G7" s="66" t="n">
        <x:v>1</x:v>
      </x:c>
      <x:c r="H7" s="62" t="n">
        <x:f>IF(E7=0,"",I7/E7)</x:f>
        <x:v>13.817525482991638</x:v>
      </x:c>
      <x:c r="I7" s="60" t="n">
        <x:f>SUMIF('Species'!$H$2:$H$413,A7,'Species'!$U$2:$U$413)</x:f>
        <x:v>381800.29309269314</x:v>
      </x:c>
      <x:c r="J7" s="62" t="n">
        <x:v>2.057403287932293</x:v>
      </x:c>
      <x:c r="K7" s="62" t="n">
        <x:f>IF(J7="","",(1/'Metadata'!$B$5)^(J7-1))</x:f>
        <x:v>11.413091207403308</x:v>
      </x:c>
      <x:c r="L7" s="60" t="n">
        <x:f>IF(E7=0,"",E7*K7)</x:f>
        <x:v>315361.934627442</x:v>
      </x:c>
      <x:c r="M7" s="60" t="n">
        <x:f>I7-L7</x:f>
        <x:v>66438.35846525116</x:v>
      </x:c>
      <x:c r="N7" s="62" t="n">
        <x:f>IF(L7=0,"",I7/L7)</x:f>
        <x:v>1.2106733602574427</x:v>
      </x:c>
      <x:c r="O7" s="66" t="n">
        <x:f>IF(L7=0,"",M7/L7)</x:f>
        <x:v>0.21067336025744265</x:v>
      </x:c>
    </x:row>
    <x:row r="8" ht="18" customHeight="1">
      <x:c r="A8" s="46" t="str">
        <x:v>Other fishes &amp; inverts</x:v>
      </x:c>
      <x:c r="B8" s="64" t="n">
        <x:v>68</x:v>
      </x:c>
      <x:c r="C8" s="64" t="n">
        <x:v>68</x:v>
      </x:c>
      <x:c r="D8" s="60" t="n">
        <x:v>1560886.6637494164</x:v>
      </x:c>
      <x:c r="E8" s="60" t="n">
        <x:v>1560886.6637494164</x:v>
      </x:c>
      <x:c r="F8" s="62" t="n">
        <x:v>0</x:v>
      </x:c>
      <x:c r="G8" s="66" t="n">
        <x:v>1</x:v>
      </x:c>
      <x:c r="H8" s="62" t="n">
        <x:f>IF(E8=0,"",I8/E8)</x:f>
        <x:v>272.2586644283632</x:v>
      </x:c>
      <x:c r="I8" s="60" t="n">
        <x:f>SUMIF('Species'!$H$2:$H$413,A8,'Species'!$U$2:$U$413)</x:f>
        <x:v>424964918.39645976</x:v>
      </x:c>
      <x:c r="J8" s="62" t="n">
        <x:v>3.3273082456953698</x:v>
      </x:c>
      <x:c r="K8" s="62" t="n">
        <x:f>IF(J8="","",(1/'Metadata'!$B$5)^(J8-1))</x:f>
        <x:v>212.47519950468316</x:v>
      </x:c>
      <x:c r="L8" s="60" t="n">
        <x:f>IF(E8=0,"",E8*K8)</x:f>
        <x:v>331649705.28435653</x:v>
      </x:c>
      <x:c r="M8" s="60" t="n">
        <x:f>I8-L8</x:f>
        <x:v>93315213.11210322</x:v>
      </x:c>
      <x:c r="N8" s="62" t="n">
        <x:f>IF(L8=0,"",I8/L8)</x:f>
        <x:v>1.2813667903974006</x:v>
      </x:c>
      <x:c r="O8" s="66" t="n">
        <x:f>IF(L8=0,"",M8/L8)</x:f>
        <x:v>0.2813667903974006</x:v>
      </x:c>
    </x:row>
    <x:row r="9" ht="18" customHeight="1">
      <x:c r="A9" s="46" t="str">
        <x:v>Perch-likes</x:v>
      </x:c>
      <x:c r="B9" s="64" t="n">
        <x:v>169</x:v>
      </x:c>
      <x:c r="C9" s="64" t="n">
        <x:v>169</x:v>
      </x:c>
      <x:c r="D9" s="60" t="n">
        <x:v>1384458.6660075733</x:v>
      </x:c>
      <x:c r="E9" s="60" t="n">
        <x:v>1384458.6660075733</x:v>
      </x:c>
      <x:c r="F9" s="62" t="n">
        <x:v>0</x:v>
      </x:c>
      <x:c r="G9" s="66" t="n">
        <x:v>1</x:v>
      </x:c>
      <x:c r="H9" s="62" t="n">
        <x:f>IF(E9=0,"",I9/E9)</x:f>
        <x:v>641.8823930146758</x:v>
      </x:c>
      <x:c r="I9" s="60" t="n">
        <x:f>SUMIF('Species'!$H$2:$H$413,A9,'Species'!$U$2:$U$413)</x:f>
        <x:v>888659641.566847</x:v>
      </x:c>
      <x:c r="J9" s="62" t="n">
        <x:v>3.690010722774576</x:v>
      </x:c>
      <x:c r="K9" s="62" t="n">
        <x:f>IF(J9="","",(1/'Metadata'!$B$5)^(J9-1))</x:f>
        <x:v>489.7909122061986</x:v>
      </x:c>
      <x:c r="L9" s="60" t="n">
        <x:f>IF(E9=0,"",E9*K9)</x:f>
        <x:v>678095272.9356261</x:v>
      </x:c>
      <x:c r="M9" s="60" t="n">
        <x:f>I9-L9</x:f>
        <x:v>210564368.63122082</x:v>
      </x:c>
      <x:c r="N9" s="62" t="n">
        <x:f>IF(L9=0,"",I9/L9)</x:f>
        <x:v>1.3105232804818718</x:v>
      </x:c>
      <x:c r="O9" s="66" t="n">
        <x:f>IF(L9=0,"",M9/L9)</x:f>
        <x:v>0.3105232804818718</x:v>
      </x:c>
    </x:row>
    <x:row r="10" ht="18" customHeight="1">
      <x:c r="A10" s="46" t="str">
        <x:v>Salmon, smelts, etc</x:v>
      </x:c>
      <x:c r="B10" s="64" t="n">
        <x:v>1</x:v>
      </x:c>
      <x:c r="C10" s="64" t="n">
        <x:v>1</x:v>
      </x:c>
      <x:c r="D10" s="60" t="n">
        <x:v>288.3642016095</x:v>
      </x:c>
      <x:c r="E10" s="60" t="n">
        <x:v>288.3642016095</x:v>
      </x:c>
      <x:c r="F10" s="62" t="n">
        <x:v>0</x:v>
      </x:c>
      <x:c r="G10" s="66" t="n">
        <x:v>1</x:v>
      </x:c>
      <x:c r="H10" s="62" t="n">
        <x:f>IF(E10=0,"",I10/E10)</x:f>
        <x:v>416.8693834703355</x:v>
      </x:c>
      <x:c r="I10" s="60" t="n">
        <x:f>SUMIF('Species'!$H$2:$H$413,A10,'Species'!$U$2:$U$413)</x:f>
        <x:v>120210.2069398678</x:v>
      </x:c>
      <x:c r="J10" s="62" t="n">
        <x:v>3.6199999999999997</x:v>
      </x:c>
      <x:c r="K10" s="62" t="n">
        <x:f>IF(J10="","",(1/'Metadata'!$B$5)^(J10-1))</x:f>
        <x:v>416.8693834703351</x:v>
      </x:c>
      <x:c r="L10" s="60" t="n">
        <x:f>IF(E10=0,"",E10*K10)</x:f>
        <x:v>120210.20693986768</x:v>
      </x:c>
      <x:c r="M10" s="60" t="n">
        <x:f>I10-L10</x:f>
        <x:v>1.1641532182693481e-10</x:v>
      </x:c>
      <x:c r="N10" s="62" t="n">
        <x:f>IF(L10=0,"",I10/L10)</x:f>
        <x:v>1.0000000000000009</x:v>
      </x:c>
      <x:c r="O10" s="66" t="n">
        <x:f>IF(L10=0,"",M10/L10)</x:f>
        <x:v>9.684312571325064e-16</x:v>
      </x:c>
    </x:row>
    <x:row r="11" ht="18" customHeight="1">
      <x:c r="A11" s="46" t="str">
        <x:v>Scorpionfishes</x:v>
      </x:c>
      <x:c r="B11" s="64" t="n">
        <x:v>12</x:v>
      </x:c>
      <x:c r="C11" s="64" t="n">
        <x:v>12</x:v>
      </x:c>
      <x:c r="D11" s="60" t="n">
        <x:v>14191.6686893406</x:v>
      </x:c>
      <x:c r="E11" s="60" t="n">
        <x:v>14191.6686893406</x:v>
      </x:c>
      <x:c r="F11" s="62" t="n">
        <x:v>0</x:v>
      </x:c>
      <x:c r="G11" s="66" t="n">
        <x:v>1</x:v>
      </x:c>
      <x:c r="H11" s="62" t="n">
        <x:f>IF(E11=0,"",I11/E11)</x:f>
        <x:v>571.7031534996823</x:v>
      </x:c>
      <x:c r="I11" s="60" t="n">
        <x:f>SUMIF('Species'!$H$2:$H$413,A11,'Species'!$U$2:$U$413)</x:f>
        <x:v>8113421.743118725</x:v>
      </x:c>
      <x:c r="J11" s="62" t="n">
        <x:v>3.7205036585893376</x:v>
      </x:c>
      <x:c r="K11" s="62" t="n">
        <x:f>IF(J11="","",(1/'Metadata'!$B$5)^(J11-1))</x:f>
        <x:v>525.4164413115933</x:v>
      </x:c>
      <x:c r="L11" s="60" t="n">
        <x:f>IF(E11=0,"",E11*K11)</x:f>
        <x:v>7456536.059026502</x:v>
      </x:c>
      <x:c r="M11" s="60" t="n">
        <x:f>I11-L11</x:f>
        <x:v>656885.6840922227</x:v>
      </x:c>
      <x:c r="N11" s="62" t="n">
        <x:f>IF(L11=0,"",I11/L11)</x:f>
        <x:v>1.0880952869928162</x:v>
      </x:c>
      <x:c r="O11" s="66" t="n">
        <x:f>IF(L11=0,"",M11/L11)</x:f>
        <x:v>0.08809528699281624</x:v>
      </x:c>
    </x:row>
    <x:row r="12" ht="18" customHeight="1">
      <x:c r="A12" s="46" t="str">
        <x:v>Sharks &amp; rays</x:v>
      </x:c>
      <x:c r="B12" s="64" t="n">
        <x:v>62</x:v>
      </x:c>
      <x:c r="C12" s="64" t="n">
        <x:v>62</x:v>
      </x:c>
      <x:c r="D12" s="60" t="n">
        <x:v>50035.98591157389</x:v>
      </x:c>
      <x:c r="E12" s="60" t="n">
        <x:v>50035.98591157389</x:v>
      </x:c>
      <x:c r="F12" s="62" t="n">
        <x:v>0</x:v>
      </x:c>
      <x:c r="G12" s="66" t="n">
        <x:v>1</x:v>
      </x:c>
      <x:c r="H12" s="62" t="n">
        <x:f>IF(E12=0,"",I12/E12)</x:f>
        <x:v>1851.8402992267115</x:v>
      </x:c>
      <x:c r="I12" s="60" t="n">
        <x:f>SUMIF('Species'!$H$2:$H$413,A12,'Species'!$U$2:$U$413)</x:f>
        <x:v>92658655.12259251</x:v>
      </x:c>
      <x:c r="J12" s="62" t="n">
        <x:v>4.091101166048676</x:v>
      </x:c>
      <x:c r="K12" s="62" t="n">
        <x:f>IF(J12="","",(1/'Metadata'!$B$5)^(J12-1))</x:f>
        <x:v>1233.3921103635776</x:v>
      </x:c>
      <x:c r="L12" s="60" t="n">
        <x:f>IF(E12=0,"",E12*K12)</x:f>
        <x:v>61713990.257598355</x:v>
      </x:c>
      <x:c r="M12" s="60" t="n">
        <x:f>I12-L12</x:f>
        <x:v>30944664.864994153</x:v>
      </x:c>
      <x:c r="N12" s="62" t="n">
        <x:f>IF(L12=0,"",I12/L12)</x:f>
        <x:v>1.5014205812301074</x:v>
      </x:c>
      <x:c r="O12" s="66" t="n">
        <x:f>IF(L12=0,"",M12/L12)</x:f>
        <x:v>0.5014205812301074</x:v>
      </x:c>
    </x:row>
    <x:row r="13" ht="18" customHeight="1">
      <x:c r="A13" s="46" t="str">
        <x:v>Tuna &amp; billfishes</x:v>
      </x:c>
      <x:c r="B13" s="64" t="n">
        <x:v>20</x:v>
      </x:c>
      <x:c r="C13" s="64" t="n">
        <x:v>20</x:v>
      </x:c>
      <x:c r="D13" s="60" t="n">
        <x:v>144468.48936819646</x:v>
      </x:c>
      <x:c r="E13" s="60" t="n">
        <x:v>144468.48936819646</x:v>
      </x:c>
      <x:c r="F13" s="62" t="n">
        <x:v>0</x:v>
      </x:c>
      <x:c r="G13" s="66" t="n">
        <x:v>1</x:v>
      </x:c>
      <x:c r="H13" s="62" t="n">
        <x:f>IF(E13=0,"",I13/E13)</x:f>
        <x:v>2680.8436046713837</x:v>
      </x:c>
      <x:c r="I13" s="60" t="n">
        <x:f>SUMIF('Species'!$H$2:$H$413,A13,'Species'!$U$2:$U$413)</x:f>
        <x:v>387297425.79926527</x:v>
      </x:c>
      <x:c r="J13" s="62" t="n">
        <x:v>4.422018742936276</x:v>
      </x:c>
      <x:c r="K13" s="62" t="n">
        <x:f>IF(J13="","",(1/'Metadata'!$B$5)^(J13-1))</x:f>
        <x:v>2642.52279876098</x:v>
      </x:c>
      <x:c r="L13" s="60" t="n">
        <x:f>IF(E13=0,"",E13*K13)</x:f>
        <x:v>381761276.8580174</x:v>
      </x:c>
      <x:c r="M13" s="60" t="n">
        <x:f>I13-L13</x:f>
        <x:v>5536148.94124788</x:v>
      </x:c>
      <x:c r="N13" s="62" t="n">
        <x:f>IF(L13=0,"",I13/L13)</x:f>
        <x:v>1.0145015989751807</x:v>
      </x:c>
      <x:c r="O13" s="66" t="n">
        <x:f>IF(L13=0,"",M13/L13)</x:f>
        <x:v>0.014501598975180647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0cf9c83c28145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17</x:v>
      </x:c>
      <x:c r="C2" s="64" t="n">
        <x:v>17</x:v>
      </x:c>
      <x:c r="D2" s="60" t="n">
        <x:v>196380.5012637451</x:v>
      </x:c>
      <x:c r="E2" s="60" t="n">
        <x:v>196380.5012637451</x:v>
      </x:c>
      <x:c r="F2" s="62" t="n">
        <x:v>0</x:v>
      </x:c>
      <x:c r="G2" s="66" t="n">
        <x:v>1</x:v>
      </x:c>
      <x:c r="H2" s="62" t="n">
        <x:f>IF(E2=0,"",I2/E2)</x:f>
        <x:v>579.1213457753818</x:v>
      </x:c>
      <x:c r="I2" s="60" t="n">
        <x:f>SUMIF('Species'!$G$2:$G$413,A2,'Species'!$U$2:$U$413)</x:f>
        <x:v>113728140.17590412</x:v>
      </x:c>
      <x:c r="J2" s="62" t="n">
        <x:v>3.71625676936407</x:v>
      </x:c>
      <x:c r="K2" s="62" t="n">
        <x:f>IF(J2="","",(1/'Metadata'!$B$5)^(J2-1))</x:f>
        <x:v>520.3035263897457</x:v>
      </x:c>
      <x:c r="L2" s="60" t="n">
        <x:f>IF(E2=0,"",E2*K2)</x:f>
        <x:v>102177467.32171248</x:v>
      </x:c>
      <x:c r="M2" s="60" t="n">
        <x:f>I2-L2</x:f>
        <x:v>11550672.854191646</x:v>
      </x:c>
      <x:c r="N2" s="62" t="n">
        <x:f>IF(L2=0,"",I2/L2)</x:f>
        <x:v>1.1130452061198932</x:v>
      </x:c>
      <x:c r="O2" s="66" t="n">
        <x:f>IF(L2=0,"",M2/L2)</x:f>
        <x:v>0.11304520611989327</x:v>
      </x:c>
    </x:row>
    <x:row r="3" ht="18" customHeight="1">
      <x:c r="A3" s="46" t="str">
        <x:v>Large bathydemersals (&gt;=90 cm)</x:v>
      </x:c>
      <x:c r="B3" s="64" t="n">
        <x:v>4</x:v>
      </x:c>
      <x:c r="C3" s="64" t="n">
        <x:v>4</x:v>
      </x:c>
      <x:c r="D3" s="60" t="n">
        <x:v>3016.0292991803</x:v>
      </x:c>
      <x:c r="E3" s="60" t="n">
        <x:v>3016.0292991803</x:v>
      </x:c>
      <x:c r="F3" s="62" t="n">
        <x:v>0</x:v>
      </x:c>
      <x:c r="G3" s="66" t="n">
        <x:v>1</x:v>
      </x:c>
      <x:c r="H3" s="62" t="n">
        <x:f>IF(E3=0,"",I3/E3)</x:f>
        <x:v>806.9223023175282</x:v>
      </x:c>
      <x:c r="I3" s="60" t="n">
        <x:f>SUMIF('Species'!$G$2:$G$413,A3,'Species'!$U$2:$U$413)</x:f>
        <x:v>2433701.3059516884</x:v>
      </x:c>
      <x:c r="J3" s="62" t="n">
        <x:v>3.876109267957771</x:v>
      </x:c>
      <x:c r="K3" s="62" t="n">
        <x:f>IF(J3="","",(1/'Metadata'!$B$5)^(J3-1))</x:f>
        <x:v>751.8120252059641</x:v>
      </x:c>
      <x:c r="L3" s="60" t="n">
        <x:f>IF(E3=0,"",E3*K3)</x:f>
        <x:v>2267487.095497266</x:v>
      </x:c>
      <x:c r="M3" s="60" t="n">
        <x:f>I3-L3</x:f>
        <x:v>166214.21045442251</x:v>
      </x:c>
      <x:c r="N3" s="62" t="n">
        <x:f>IF(L3=0,"",I3/L3)</x:f>
        <x:v>1.0733032663270665</x:v>
      </x:c>
      <x:c r="O3" s="66" t="n">
        <x:f>IF(L3=0,"",M3/L3)</x:f>
        <x:v>0.07330326632706648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47.292612522899994</x:v>
      </x:c>
      <x:c r="E4" s="60" t="n">
        <x:v>47.292612522899994</x:v>
      </x:c>
      <x:c r="F4" s="62" t="n">
        <x:v>0</x:v>
      </x:c>
      <x:c r="G4" s="66" t="n">
        <x:v>1</x:v>
      </x:c>
      <x:c r="H4" s="62" t="n">
        <x:f>IF(E4=0,"",I4/E4)</x:f>
        <x:v>2187.761623949552</x:v>
      </x:c>
      <x:c r="I4" s="60" t="n">
        <x:f>SUMIF('Species'!$G$2:$G$413,A4,'Species'!$U$2:$U$413)</x:f>
        <x:v>103464.9627739166</x:v>
      </x:c>
      <x:c r="J4" s="62" t="n">
        <x:v>4.34</x:v>
      </x:c>
      <x:c r="K4" s="62" t="n">
        <x:f>IF(J4="","",(1/'Metadata'!$B$5)^(J4-1))</x:f>
        <x:v>2187.761623949552</x:v>
      </x:c>
      <x:c r="L4" s="60" t="n">
        <x:f>IF(E4=0,"",E4*K4)</x:f>
        <x:v>103464.9627739166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15</x:v>
      </x:c>
      <x:c r="C5" s="64" t="n">
        <x:v>15</x:v>
      </x:c>
      <x:c r="D5" s="60" t="n">
        <x:v>64700.41213946631</x:v>
      </x:c>
      <x:c r="E5" s="60" t="n">
        <x:v>64700.41213946631</x:v>
      </x:c>
      <x:c r="F5" s="62" t="n">
        <x:v>0</x:v>
      </x:c>
      <x:c r="G5" s="66" t="n">
        <x:v>1</x:v>
      </x:c>
      <x:c r="H5" s="62" t="n">
        <x:f>IF(E5=0,"",I5/E5)</x:f>
        <x:v>1344.3110391380872</x:v>
      </x:c>
      <x:c r="I5" s="60" t="n">
        <x:f>SUMIF('Species'!$G$2:$G$413,A5,'Species'!$U$2:$U$413)</x:f>
        <x:v>86977478.27586846</x:v>
      </x:c>
      <x:c r="J5" s="62" t="n">
        <x:v>3.4948171510455706</x:v>
      </x:c>
      <x:c r="K5" s="62" t="n">
        <x:f>IF(J5="","",(1/'Metadata'!$B$5)^(J5-1))</x:f>
        <x:v>312.4763485722408</x:v>
      </x:c>
      <x:c r="L5" s="60" t="n">
        <x:f>IF(E5=0,"",E5*K5)</x:f>
        <x:v>20217348.536459513</x:v>
      </x:c>
      <x:c r="M5" s="60" t="n">
        <x:f>I5-L5</x:f>
        <x:v>66760129.73940895</x:v>
      </x:c>
      <x:c r="N5" s="62" t="n">
        <x:f>IF(L5=0,"",I5/L5)</x:f>
        <x:v>4.302120929409473</x:v>
      </x:c>
      <x:c r="O5" s="66" t="n">
        <x:f>IF(L5=0,"",M5/L5)</x:f>
        <x:v>3.3021209294094738</x:v>
      </x:c>
    </x:row>
    <x:row r="6" ht="18" customHeight="1">
      <x:c r="A6" s="46" t="str">
        <x:v>Large demersals (&gt;=90 cm)</x:v>
      </x:c>
      <x:c r="B6" s="64" t="n">
        <x:v>18</x:v>
      </x:c>
      <x:c r="C6" s="64" t="n">
        <x:v>18</x:v>
      </x:c>
      <x:c r="D6" s="60" t="n">
        <x:v>129247.3596493851</x:v>
      </x:c>
      <x:c r="E6" s="60" t="n">
        <x:v>129247.3596493851</x:v>
      </x:c>
      <x:c r="F6" s="62" t="n">
        <x:v>0</x:v>
      </x:c>
      <x:c r="G6" s="66" t="n">
        <x:v>1</x:v>
      </x:c>
      <x:c r="H6" s="62" t="n">
        <x:f>IF(E6=0,"",I6/E6)</x:f>
        <x:v>1987.8369418462937</x:v>
      </x:c>
      <x:c r="I6" s="60" t="n">
        <x:f>SUMIF('Species'!$G$2:$G$413,A6,'Species'!$U$2:$U$413)</x:f>
        <x:v>256922676.14714172</x:v>
      </x:c>
      <x:c r="J6" s="62" t="n">
        <x:v>4.2357293502381665</x:v>
      </x:c>
      <x:c r="K6" s="62" t="n">
        <x:f>IF(J6="","",(1/'Metadata'!$B$5)^(J6-1))</x:f>
        <x:v>1720.7958509293858</x:v>
      </x:c>
      <x:c r="L6" s="60" t="n">
        <x:f>IF(E6=0,"",E6*K6)</x:f>
        <x:v>222408320.22823998</x:v>
      </x:c>
      <x:c r="M6" s="60" t="n">
        <x:f>I6-L6</x:f>
        <x:v>34514355.91890174</x:v>
      </x:c>
      <x:c r="N6" s="62" t="n">
        <x:f>IF(L6=0,"",I6/L6)</x:f>
        <x:v>1.1551846436476945</x:v>
      </x:c>
      <x:c r="O6" s="66" t="n">
        <x:f>IF(L6=0,"",M6/L6)</x:f>
        <x:v>0.1551846436476945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177511.3751657084</x:v>
      </x:c>
      <x:c r="E7" s="60" t="n">
        <x:v>177511.3751657084</x:v>
      </x:c>
      <x:c r="F7" s="62" t="n">
        <x:v>0</x:v>
      </x:c>
      <x:c r="G7" s="66" t="n">
        <x:v>1</x:v>
      </x:c>
      <x:c r="H7" s="62" t="n">
        <x:f>IF(E7=0,"",I7/E7)</x:f>
        <x:v>2410.2106011568985</x:v>
      </x:c>
      <x:c r="I7" s="60" t="n">
        <x:f>SUMIF('Species'!$G$2:$G$413,A7,'Species'!$U$2:$U$413)</x:f>
        <x:v>427839798.2503298</x:v>
      </x:c>
      <x:c r="J7" s="62" t="n">
        <x:v>4.349893421677619</x:v>
      </x:c>
      <x:c r="K7" s="62" t="n">
        <x:f>IF(J7="","",(1/'Metadata'!$B$5)^(J7-1))</x:f>
        <x:v>2238.171811144727</x:v>
      </x:c>
      <x:c r="L7" s="60" t="n">
        <x:f>IF(E7=0,"",E7*K7)</x:f>
        <x:v>397300956.0534247</x:v>
      </x:c>
      <x:c r="M7" s="60" t="n">
        <x:f>I7-L7</x:f>
        <x:v>30538842.196905077</x:v>
      </x:c>
      <x:c r="N7" s="62" t="n">
        <x:f>IF(L7=0,"",I7/L7)</x:f>
        <x:v>1.0768657656912322</x:v>
      </x:c>
      <x:c r="O7" s="66" t="n">
        <x:f>IF(L7=0,"",M7/L7)</x:f>
        <x:v>0.07686576569123217</x:v>
      </x:c>
    </x:row>
    <x:row r="8" ht="18" customHeight="1">
      <x:c r="A8" s="46" t="str">
        <x:v>Large rays (&gt;=90 cm)</x:v>
      </x:c>
      <x:c r="B8" s="64" t="n">
        <x:v>16</x:v>
      </x:c>
      <x:c r="C8" s="64" t="n">
        <x:v>16</x:v>
      </x:c>
      <x:c r="D8" s="60" t="n">
        <x:v>9852.164392947201</x:v>
      </x:c>
      <x:c r="E8" s="60" t="n">
        <x:v>9852.164392947201</x:v>
      </x:c>
      <x:c r="F8" s="62" t="n">
        <x:v>0</x:v>
      </x:c>
      <x:c r="G8" s="66" t="n">
        <x:v>1</x:v>
      </x:c>
      <x:c r="H8" s="62" t="n">
        <x:f>IF(E8=0,"",I8/E8)</x:f>
        <x:v>595.6169668738057</x:v>
      </x:c>
      <x:c r="I8" s="60" t="n">
        <x:f>SUMIF('Species'!$G$2:$G$413,A8,'Species'!$U$2:$U$413)</x:f>
        <x:v>5868116.2728693215</x:v>
      </x:c>
      <x:c r="J8" s="62" t="n">
        <x:v>3.6723037913483396</x:v>
      </x:c>
      <x:c r="K8" s="62" t="n">
        <x:f>IF(J8="","",(1/'Metadata'!$B$5)^(J8-1))</x:f>
        <x:v>470.22291707398875</x:v>
      </x:c>
      <x:c r="L8" s="60" t="n">
        <x:f>IF(E8=0,"",E8*K8)</x:f>
        <x:v>4632713.480344117</x:v>
      </x:c>
      <x:c r="M8" s="60" t="n">
        <x:f>I8-L8</x:f>
        <x:v>1235402.7925252048</x:v>
      </x:c>
      <x:c r="N8" s="62" t="n">
        <x:f>IF(L8=0,"",I8/L8)</x:f>
        <x:v>1.2666693715825135</x:v>
      </x:c>
      <x:c r="O8" s="66" t="n">
        <x:f>IF(L8=0,"",M8/L8)</x:f>
        <x:v>0.2666693715825135</x:v>
      </x:c>
    </x:row>
    <x:row r="9" ht="18" customHeight="1">
      <x:c r="A9" s="46" t="str">
        <x:v>Large reef assoc. fish (&gt;=90 cm)</x:v>
      </x:c>
      <x:c r="B9" s="64" t="n">
        <x:v>18</x:v>
      </x:c>
      <x:c r="C9" s="64" t="n">
        <x:v>18</x:v>
      </x:c>
      <x:c r="D9" s="60" t="n">
        <x:v>13339.6876927437</x:v>
      </x:c>
      <x:c r="E9" s="60" t="n">
        <x:v>13339.6876927437</x:v>
      </x:c>
      <x:c r="F9" s="62" t="n">
        <x:v>0</x:v>
      </x:c>
      <x:c r="G9" s="66" t="n">
        <x:v>1</x:v>
      </x:c>
      <x:c r="H9" s="62" t="n">
        <x:f>IF(E9=0,"",I9/E9)</x:f>
        <x:v>1361.1550990930996</x:v>
      </x:c>
      <x:c r="I9" s="60" t="n">
        <x:f>SUMIF('Species'!$G$2:$G$413,A9,'Species'!$U$2:$U$413)</x:f>
        <x:v>18157383.92328755</x:v>
      </x:c>
      <x:c r="J9" s="62" t="n">
        <x:v>4.02358012635732</x:v>
      </x:c>
      <x:c r="K9" s="62" t="n">
        <x:f>IF(J9="","",(1/'Metadata'!$B$5)^(J9-1))</x:f>
        <x:v>1055.7962772915573</x:v>
      </x:c>
      <x:c r="L9" s="60" t="n">
        <x:f>IF(E9=0,"",E9*K9)</x:f>
        <x:v>14083992.606230803</x:v>
      </x:c>
      <x:c r="M9" s="60" t="n">
        <x:f>I9-L9</x:f>
        <x:v>4073391.317056749</x:v>
      </x:c>
      <x:c r="N9" s="62" t="n">
        <x:f>IF(L9=0,"",I9/L9)</x:f>
        <x:v>1.2892213473084804</x:v>
      </x:c>
      <x:c r="O9" s="66" t="n">
        <x:f>IF(L9=0,"",M9/L9)</x:f>
        <x:v>0.28922134730848037</x:v>
      </x:c>
    </x:row>
    <x:row r="10" ht="18" customHeight="1">
      <x:c r="A10" s="46" t="str">
        <x:v>Large sharks (&gt;=90 cm)</x:v>
      </x:c>
      <x:c r="B10" s="64" t="n">
        <x:v>35</x:v>
      </x:c>
      <x:c r="C10" s="64" t="n">
        <x:v>35</x:v>
      </x:c>
      <x:c r="D10" s="60" t="n">
        <x:v>32734.844587045794</x:v>
      </x:c>
      <x:c r="E10" s="60" t="n">
        <x:v>32734.844587045794</x:v>
      </x:c>
      <x:c r="F10" s="62" t="n">
        <x:v>0</x:v>
      </x:c>
      <x:c r="G10" s="66" t="n">
        <x:v>1</x:v>
      </x:c>
      <x:c r="H10" s="62" t="n">
        <x:f>IF(E10=0,"",I10/E10)</x:f>
        <x:v>2507.3340725892517</x:v>
      </x:c>
      <x:c r="I10" s="60" t="n">
        <x:f>SUMIF('Species'!$G$2:$G$413,A10,'Species'!$U$2:$U$413)</x:f>
        <x:v>82077191.19401376</x:v>
      </x:c>
      <x:c r="J10" s="62" t="n">
        <x:v>4.284248906839119</x:v>
      </x:c>
      <x:c r="K10" s="62" t="n">
        <x:f>IF(J10="","",(1/'Metadata'!$B$5)^(J10-1))</x:f>
        <x:v>1924.194224796723</x:v>
      </x:c>
      <x:c r="L10" s="60" t="n">
        <x:f>IF(E10=0,"",E10*K10)</x:f>
        <x:v>62988198.904011786</x:v>
      </x:c>
      <x:c r="M10" s="60" t="n">
        <x:f>I10-L10</x:f>
        <x:v>19088992.290001974</x:v>
      </x:c>
      <x:c r="N10" s="62" t="n">
        <x:f>IF(L10=0,"",I10/L10)</x:f>
        <x:v>1.3030566458820618</x:v>
      </x:c>
      <x:c r="O10" s="66" t="n">
        <x:f>IF(L10=0,"",M10/L10)</x:f>
        <x:v>0.3030566458820618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11262.552337756599</x:v>
      </x:c>
      <x:c r="E11" s="60" t="n">
        <x:v>11262.552337756599</x:v>
      </x:c>
      <x:c r="F11" s="62" t="n">
        <x:v>0</x:v>
      </x:c>
      <x:c r="G11" s="66" t="n">
        <x:v>1</x:v>
      </x:c>
      <x:c r="H11" s="62" t="n">
        <x:f>IF(E11=0,"",I11/E11)</x:f>
        <x:v>159.05275711040682</x:v>
      </x:c>
      <x:c r="I11" s="60" t="n">
        <x:f>SUMIF('Species'!$G$2:$G$413,A11,'Species'!$U$2:$U$413)</x:f>
        <x:v>1791340.0014204448</x:v>
      </x:c>
      <x:c r="J11" s="62" t="n">
        <x:v>3.1691507392424185</x:v>
      </x:c>
      <x:c r="K11" s="62" t="n">
        <x:f>IF(J11="","",(1/'Metadata'!$B$5)^(J11-1))</x:f>
        <x:v>147.62188250574687</x:v>
      </x:c>
      <x:c r="L11" s="60" t="n">
        <x:f>IF(E11=0,"",E11*K11)</x:f>
        <x:v>1662599.1779191294</x:v>
      </x:c>
      <x:c r="M11" s="60" t="n">
        <x:f>I11-L11</x:f>
        <x:v>128740.82350131543</x:v>
      </x:c>
      <x:c r="N11" s="62" t="n">
        <x:f>IF(L11=0,"",I11/L11)</x:f>
        <x:v>1.0774334699614398</x:v>
      </x:c>
      <x:c r="O11" s="66" t="n">
        <x:f>IF(L11=0,"",M11/L11)</x:f>
        <x:v>0.07743346996143981</x:v>
      </x:c>
    </x:row>
    <x:row r="12" ht="18" customHeight="1">
      <x:c r="A12" s="46" t="str">
        <x:v>Medium bathydemersals (30 - 89 cm)</x:v>
      </x:c>
      <x:c r="B12" s="64" t="n">
        <x:v>11</x:v>
      </x:c>
      <x:c r="C12" s="64" t="n">
        <x:v>11</x:v>
      </x:c>
      <x:c r="D12" s="60" t="n">
        <x:v>13950.1080116193</x:v>
      </x:c>
      <x:c r="E12" s="60" t="n">
        <x:v>13950.1080116193</x:v>
      </x:c>
      <x:c r="F12" s="62" t="n">
        <x:v>0</x:v>
      </x:c>
      <x:c r="G12" s="66" t="n">
        <x:v>1</x:v>
      </x:c>
      <x:c r="H12" s="62" t="n">
        <x:f>IF(E12=0,"",I12/E12)</x:f>
        <x:v>2005.3631322814526</x:v>
      </x:c>
      <x:c r="I12" s="60" t="n">
        <x:f>SUMIF('Species'!$G$2:$G$413,A12,'Species'!$U$2:$U$413)</x:f>
        <x:v>27975032.297845468</x:v>
      </x:c>
      <x:c r="J12" s="62" t="n">
        <x:v>4.128064244655343</x:v>
      </x:c>
      <x:c r="K12" s="62" t="n">
        <x:f>IF(J12="","",(1/'Metadata'!$B$5)^(J12-1))</x:f>
        <x:v>1342.96360942058</x:v>
      </x:c>
      <x:c r="L12" s="60" t="n">
        <x:f>IF(E12=0,"",E12*K12)</x:f>
        <x:v>18734487.407091208</x:v>
      </x:c>
      <x:c r="M12" s="60" t="n">
        <x:f>I12-L12</x:f>
        <x:v>9240544.89075426</x:v>
      </x:c>
      <x:c r="N12" s="62" t="n">
        <x:f>IF(L12=0,"",I12/L12)</x:f>
        <x:v>1.4932371348071478</x:v>
      </x:c>
      <x:c r="O12" s="66" t="n">
        <x:f>IF(L12=0,"",M12/L12)</x:f>
        <x:v>0.49323713480714787</x:v>
      </x:c>
    </x:row>
    <x:row r="13" ht="18" customHeight="1">
      <x:c r="A13" s="46" t="str">
        <x:v>Medium bathypelagics (30 - 89 cm)</x:v>
      </x:c>
      <x:c r="B13" s="64" t="n">
        <x:v>4</x:v>
      </x:c>
      <x:c r="C13" s="64" t="n">
        <x:v>4</x:v>
      </x:c>
      <x:c r="D13" s="60" t="n">
        <x:v>6599.1527883068</x:v>
      </x:c>
      <x:c r="E13" s="60" t="n">
        <x:v>6599.1527883068</x:v>
      </x:c>
      <x:c r="F13" s="62" t="n">
        <x:v>0</x:v>
      </x:c>
      <x:c r="G13" s="66" t="n">
        <x:v>1</x:v>
      </x:c>
      <x:c r="H13" s="62" t="n">
        <x:f>IF(E13=0,"",I13/E13)</x:f>
        <x:v>1192.4042973999528</x:v>
      </x:c>
      <x:c r="I13" s="60" t="n">
        <x:f>SUMIF('Species'!$G$2:$G$413,A13,'Species'!$U$2:$U$413)</x:f>
        <x:v>7868858.14397591</x:v>
      </x:c>
      <x:c r="J13" s="62" t="n">
        <x:v>4.074876598339896</x:v>
      </x:c>
      <x:c r="K13" s="62" t="n">
        <x:f>IF(J13="","",(1/'Metadata'!$B$5)^(J13-1))</x:f>
        <x:v>1188.164571032558</x:v>
      </x:c>
      <x:c r="L13" s="60" t="n">
        <x:f>IF(E13=0,"",E13*K13)</x:f>
        <x:v>7840879.541896857</x:v>
      </x:c>
      <x:c r="M13" s="60" t="n">
        <x:f>I13-L13</x:f>
        <x:v>27978.602079052478</x:v>
      </x:c>
      <x:c r="N13" s="62" t="n">
        <x:f>IF(L13=0,"",I13/L13)</x:f>
        <x:v>1.003568298929929</x:v>
      </x:c>
      <x:c r="O13" s="66" t="n">
        <x:f>IF(L13=0,"",M13/L13)</x:f>
        <x:v>0.003568298929928966</x:v>
      </x:c>
    </x:row>
    <x:row r="14" ht="18" customHeight="1">
      <x:c r="A14" s="46" t="str">
        <x:v>Medium benthopelagics (30 - 89 cm)</x:v>
      </x:c>
      <x:c r="B14" s="64" t="n">
        <x:v>44</x:v>
      </x:c>
      <x:c r="C14" s="64" t="n">
        <x:v>44</x:v>
      </x:c>
      <x:c r="D14" s="60" t="n">
        <x:v>131512.9041380172</x:v>
      </x:c>
      <x:c r="E14" s="60" t="n">
        <x:v>131512.9041380172</x:v>
      </x:c>
      <x:c r="F14" s="62" t="n">
        <x:v>0</x:v>
      </x:c>
      <x:c r="G14" s="66" t="n">
        <x:v>1</x:v>
      </x:c>
      <x:c r="H14" s="62" t="n">
        <x:f>IF(E14=0,"",I14/E14)</x:f>
        <x:v>389.54194242063215</x:v>
      </x:c>
      <x:c r="I14" s="60" t="n">
        <x:f>SUMIF('Species'!$G$2:$G$413,A14,'Species'!$U$2:$U$413)</x:f>
        <x:v>51229792.13130162</x:v>
      </x:c>
      <x:c r="J14" s="62" t="n">
        <x:v>3.171039228176064</x:v>
      </x:c>
      <x:c r="K14" s="62" t="n">
        <x:f>IF(J14="","",(1/'Metadata'!$B$5)^(J14-1))</x:f>
        <x:v>148.26520014389124</x:v>
      </x:c>
      <x:c r="L14" s="60" t="n">
        <x:f>IF(E14=0,"",E14*K14)</x:f>
        <x:v>19498787.053527504</x:v>
      </x:c>
      <x:c r="M14" s="60" t="n">
        <x:f>I14-L14</x:f>
        <x:v>31731005.077774115</x:v>
      </x:c>
      <x:c r="N14" s="62" t="n">
        <x:f>IF(L14=0,"",I14/L14)</x:f>
        <x:v>2.62733225357388</x:v>
      </x:c>
      <x:c r="O14" s="66" t="n">
        <x:f>IF(L14=0,"",M14/L14)</x:f>
        <x:v>1.6273322535738803</x:v>
      </x:c>
    </x:row>
    <x:row r="15" ht="18" customHeight="1">
      <x:c r="A15" s="46" t="str">
        <x:v>Medium demersals (30 - 89 cm)</x:v>
      </x:c>
      <x:c r="B15" s="64" t="n">
        <x:v>44</x:v>
      </x:c>
      <x:c r="C15" s="64" t="n">
        <x:v>44</x:v>
      </x:c>
      <x:c r="D15" s="60" t="n">
        <x:v>1363135.812517585</x:v>
      </x:c>
      <x:c r="E15" s="60" t="n">
        <x:v>1363135.812517585</x:v>
      </x:c>
      <x:c r="F15" s="62" t="n">
        <x:v>0</x:v>
      </x:c>
      <x:c r="G15" s="66" t="n">
        <x:v>1</x:v>
      </x:c>
      <x:c r="H15" s="62" t="n">
        <x:f>IF(E15=0,"",I15/E15)</x:f>
        <x:v>214.80728379615135</x:v>
      </x:c>
      <x:c r="I15" s="60" t="n">
        <x:f>SUMIF('Species'!$G$2:$G$413,A15,'Species'!$U$2:$U$413)</x:f>
        <x:v>292811501.33216226</x:v>
      </x:c>
      <x:c r="J15" s="62" t="n">
        <x:v>3.2939121691047184</x:v>
      </x:c>
      <x:c r="K15" s="62" t="n">
        <x:f>IF(J15="","",(1/'Metadata'!$B$5)^(J15-1))</x:f>
        <x:v>196.74883483433769</x:v>
      </x:c>
      <x:c r="L15" s="60" t="n">
        <x:f>IF(E15=0,"",E15*K15)</x:f>
        <x:v>268195382.83379304</x:v>
      </x:c>
      <x:c r="M15" s="60" t="n">
        <x:f>I15-L15</x:f>
        <x:v>24616118.498369217</x:v>
      </x:c>
      <x:c r="N15" s="62" t="n">
        <x:f>IF(L15=0,"",I15/L15)</x:f>
        <x:v>1.0917842739806762</x:v>
      </x:c>
      <x:c r="O15" s="66" t="n">
        <x:f>IF(L15=0,"",M15/L15)</x:f>
        <x:v>0.09178427398067625</x:v>
      </x:c>
    </x:row>
    <x:row r="16" ht="18" customHeight="1">
      <x:c r="A16" s="46" t="str">
        <x:v>Medium pelagics (30 - 89 cm)</x:v>
      </x:c>
      <x:c r="B16" s="64" t="n">
        <x:v>32</x:v>
      </x:c>
      <x:c r="C16" s="64" t="n">
        <x:v>32</x:v>
      </x:c>
      <x:c r="D16" s="60" t="n">
        <x:v>1212339.6851625312</x:v>
      </x:c>
      <x:c r="E16" s="60" t="n">
        <x:v>1212339.6851625312</x:v>
      </x:c>
      <x:c r="F16" s="62" t="n">
        <x:v>0</x:v>
      </x:c>
      <x:c r="G16" s="66" t="n">
        <x:v>1</x:v>
      </x:c>
      <x:c r="H16" s="62" t="n">
        <x:f>IF(E16=0,"",I16/E16)</x:f>
        <x:v>552.0009187168628</x:v>
      </x:c>
      <x:c r="I16" s="60" t="n">
        <x:f>SUMIF('Species'!$G$2:$G$413,A16,'Species'!$U$2:$U$413)</x:f>
        <x:v>669212620.0066293</x:v>
      </x:c>
      <x:c r="J16" s="62" t="n">
        <x:v>3.624155367103649</x:v>
      </x:c>
      <x:c r="K16" s="62" t="n">
        <x:f>IF(J16="","",(1/'Metadata'!$B$5)^(J16-1))</x:f>
        <x:v>420.87716856904984</x:v>
      </x:c>
      <x:c r="L16" s="60" t="n">
        <x:f>IF(E16=0,"",E16*K16)</x:f>
        <x:v>510246094.03509945</x:v>
      </x:c>
      <x:c r="M16" s="60" t="n">
        <x:f>I16-L16</x:f>
        <x:v>158966525.9715299</x:v>
      </x:c>
      <x:c r="N16" s="62" t="n">
        <x:f>IF(L16=0,"",I16/L16)</x:f>
        <x:v>1.311548736638824</x:v>
      </x:c>
      <x:c r="O16" s="66" t="n">
        <x:f>IF(L16=0,"",M16/L16)</x:f>
        <x:v>0.31154873663882415</x:v>
      </x:c>
    </x:row>
    <x:row r="17" ht="18" customHeight="1">
      <x:c r="A17" s="46" t="str">
        <x:v>Medium reef assoc. fish (30 - 89 cm)</x:v>
      </x:c>
      <x:c r="B17" s="64" t="n">
        <x:v>20</x:v>
      </x:c>
      <x:c r="C17" s="64" t="n">
        <x:v>20</x:v>
      </x:c>
      <x:c r="D17" s="60" t="n">
        <x:v>33429.1965621297</x:v>
      </x:c>
      <x:c r="E17" s="60" t="n">
        <x:v>33429.1965621297</x:v>
      </x:c>
      <x:c r="F17" s="62" t="n">
        <x:v>0</x:v>
      </x:c>
      <x:c r="G17" s="66" t="n">
        <x:v>1</x:v>
      </x:c>
      <x:c r="H17" s="62" t="n">
        <x:f>IF(E17=0,"",I17/E17)</x:f>
        <x:v>511.52321496886833</x:v>
      </x:c>
      <x:c r="I17" s="60" t="n">
        <x:f>SUMIF('Species'!$G$2:$G$413,A17,'Species'!$U$2:$U$413)</x:f>
        <x:v>17099810.099286824</x:v>
      </x:c>
      <x:c r="J17" s="62" t="n">
        <x:v>3.3452652084291885</x:v>
      </x:c>
      <x:c r="K17" s="62" t="n">
        <x:f>IF(J17="","",(1/'Metadata'!$B$5)^(J17-1))</x:f>
        <x:v>221.4446581760926</x:v>
      </x:c>
      <x:c r="L17" s="60" t="n">
        <x:f>IF(E17=0,"",E17*K17)</x:f>
        <x:v>7402717.005802221</x:v>
      </x:c>
      <x:c r="M17" s="60" t="n">
        <x:f>I17-L17</x:f>
        <x:v>9697093.093484603</x:v>
      </x:c>
      <x:c r="N17" s="62" t="n">
        <x:f>IF(L17=0,"",I17/L17)</x:f>
        <x:v>2.3099370252684333</x:v>
      </x:c>
      <x:c r="O17" s="66" t="n">
        <x:f>IF(L17=0,"",M17/L17)</x:f>
        <x:v>1.309937025268433</x:v>
      </x:c>
    </x:row>
    <x:row r="18" ht="18" customHeight="1">
      <x:c r="A18" s="46" t="str">
        <x:v>Other demersal invertebrates</x:v>
      </x:c>
      <x:c r="B18" s="64" t="n">
        <x:v>19</x:v>
      </x:c>
      <x:c r="C18" s="64" t="n">
        <x:v>19</x:v>
      </x:c>
      <x:c r="D18" s="60" t="n">
        <x:v>48530.590650798695</x:v>
      </x:c>
      <x:c r="E18" s="60" t="n">
        <x:v>48530.590650798695</x:v>
      </x:c>
      <x:c r="F18" s="62" t="n">
        <x:v>0</x:v>
      </x:c>
      <x:c r="G18" s="66" t="n">
        <x:v>1</x:v>
      </x:c>
      <x:c r="H18" s="62" t="n">
        <x:f>IF(E18=0,"",I18/E18)</x:f>
        <x:v>35.076797424189785</x:v>
      </x:c>
      <x:c r="I18" s="60" t="n">
        <x:f>SUMIF('Species'!$G$2:$G$413,A18,'Species'!$U$2:$U$413)</x:f>
        <x:v>1702297.6971343444</x:v>
      </x:c>
      <x:c r="J18" s="62" t="n">
        <x:v>2.339667777102389</x:v>
      </x:c>
      <x:c r="K18" s="62" t="n">
        <x:f>IF(J18="","",(1/'Metadata'!$B$5)^(J18-1))</x:f>
        <x:v>21.860886886323293</x:v>
      </x:c>
      <x:c r="L18" s="60" t="n">
        <x:f>IF(E18=0,"",E18*K18)</x:f>
        <x:v>1060921.752743569</x:v>
      </x:c>
      <x:c r="M18" s="60" t="n">
        <x:f>I18-L18</x:f>
        <x:v>641375.9443907754</x:v>
      </x:c>
      <x:c r="N18" s="62" t="n">
        <x:f>IF(L18=0,"",I18/L18)</x:f>
        <x:v>1.604545945760997</x:v>
      </x:c>
      <x:c r="O18" s="66" t="n">
        <x:f>IF(L18=0,"",M18/L18)</x:f>
        <x:v>0.6045459457609969</x:v>
      </x:c>
    </x:row>
    <x:row r="19" ht="18" customHeight="1">
      <x:c r="A19" s="46" t="str">
        <x:v>Shrimps</x:v>
      </x:c>
      <x:c r="B19" s="64" t="n">
        <x:v>12</x:v>
      </x:c>
      <x:c r="C19" s="64" t="n">
        <x:v>12</x:v>
      </x:c>
      <x:c r="D19" s="60" t="n">
        <x:v>19011.6711644389</x:v>
      </x:c>
      <x:c r="E19" s="60" t="n">
        <x:v>19011.6711644389</x:v>
      </x:c>
      <x:c r="F19" s="62" t="n">
        <x:v>0</x:v>
      </x:c>
      <x:c r="G19" s="66" t="n">
        <x:v>1</x:v>
      </x:c>
      <x:c r="H19" s="62" t="n">
        <x:f>IF(E19=0,"",I19/E19)</x:f>
        <x:v>144.5496554480133</x:v>
      </x:c>
      <x:c r="I19" s="60" t="n">
        <x:f>SUMIF('Species'!$G$2:$G$413,A19,'Species'!$U$2:$U$413)</x:f>
        <x:v>2748130.516310573</x:v>
      </x:c>
      <x:c r="J19" s="62" t="n">
        <x:v>3.0781558570165712</x:v>
      </x:c>
      <x:c r="K19" s="62" t="n">
        <x:f>IF(J19="","",(1/'Metadata'!$B$5)^(J19-1))</x:f>
        <x:v>119.71700874938027</x:v>
      </x:c>
      <x:c r="L19" s="60" t="n">
        <x:f>IF(E19=0,"",E19*K19)</x:f>
        <x:v>2276020.4031334724</x:v>
      </x:c>
      <x:c r="M19" s="60" t="n">
        <x:f>I19-L19</x:f>
        <x:v>472110.11317710066</x:v>
      </x:c>
      <x:c r="N19" s="62" t="n">
        <x:f>IF(L19=0,"",I19/L19)</x:f>
        <x:v>1.207427891475459</x:v>
      </x:c>
      <x:c r="O19" s="66" t="n">
        <x:f>IF(L19=0,"",M19/L19)</x:f>
        <x:v>0.20742789147545912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7430.244932018501</x:v>
      </x:c>
      <x:c r="E20" s="60" t="n">
        <x:v>7430.244932018501</x:v>
      </x:c>
      <x:c r="F20" s="62" t="n">
        <x:v>0</x:v>
      </x:c>
      <x:c r="G20" s="66" t="n">
        <x:v>1</x:v>
      </x:c>
      <x:c r="H20" s="62" t="n">
        <x:f>IF(E20=0,"",I20/E20)</x:f>
        <x:v>165.41238168609266</x:v>
      </x:c>
      <x:c r="I20" s="60" t="n">
        <x:f>SUMIF('Species'!$G$2:$G$413,A20,'Species'!$U$2:$U$413)</x:f>
        <x:v>1229054.5107161999</x:v>
      </x:c>
      <x:c r="J20" s="62" t="n">
        <x:v>3.212304622789581</x:v>
      </x:c>
      <x:c r="K20" s="62" t="n">
        <x:f>IF(J20="","",(1/'Metadata'!$B$5)^(J20-1))</x:f>
        <x:v>163.04392541829753</x:v>
      </x:c>
      <x:c r="L20" s="60" t="n">
        <x:f>IF(E20=0,"",E20*K20)</x:f>
        <x:v>1211456.3005357077</x:v>
      </x:c>
      <x:c r="M20" s="60" t="n">
        <x:f>I20-L20</x:f>
        <x:v>17598.21018049214</x:v>
      </x:c>
      <x:c r="N20" s="62" t="n">
        <x:f>IF(L20=0,"",I20/L20)</x:f>
        <x:v>1.0145264919359536</x:v>
      </x:c>
      <x:c r="O20" s="66" t="n">
        <x:f>IF(L20=0,"",M20/L20)</x:f>
        <x:v>0.0145264919359536</x:v>
      </x:c>
    </x:row>
    <x:row r="21" ht="18" customHeight="1">
      <x:c r="A21" s="46" t="str">
        <x:v>Small demersals (&lt;30 cm)</x:v>
      </x:c>
      <x:c r="B21" s="64" t="n">
        <x:v>8</x:v>
      </x:c>
      <x:c r="C21" s="64" t="n">
        <x:v>8</x:v>
      </x:c>
      <x:c r="D21" s="60" t="n">
        <x:v>31780.444928138106</x:v>
      </x:c>
      <x:c r="E21" s="60" t="n">
        <x:v>31780.444928138106</x:v>
      </x:c>
      <x:c r="F21" s="62" t="n">
        <x:v>0</x:v>
      </x:c>
      <x:c r="G21" s="66" t="n">
        <x:v>1</x:v>
      </x:c>
      <x:c r="H21" s="62" t="n">
        <x:f>IF(E21=0,"",I21/E21)</x:f>
        <x:v>174.54074957013287</x:v>
      </x:c>
      <x:c r="I21" s="60" t="n">
        <x:f>SUMIF('Species'!$G$2:$G$413,A21,'Species'!$U$2:$U$413)</x:f>
        <x:v>5546982.6794295525</x:v>
      </x:c>
      <x:c r="J21" s="62" t="n">
        <x:v>3.1292032426340244</x:v>
      </x:c>
      <x:c r="K21" s="62" t="n">
        <x:f>IF(J21="","",(1/'Metadata'!$B$5)^(J21-1))</x:f>
        <x:v>134.6490341840696</x:v>
      </x:c>
      <x:c r="L21" s="60" t="n">
        <x:f>IF(E21=0,"",E21*K21)</x:f>
        <x:v>4279206.215513809</x:v>
      </x:c>
      <x:c r="M21" s="60" t="n">
        <x:f>I21-L21</x:f>
        <x:v>1267776.4639157439</x:v>
      </x:c>
      <x:c r="N21" s="62" t="n">
        <x:f>IF(L21=0,"",I21/L21)</x:f>
        <x:v>1.2962644004674406</x:v>
      </x:c>
      <x:c r="O21" s="66" t="n">
        <x:f>IF(L21=0,"",M21/L21)</x:f>
        <x:v>0.29626440046744057</x:v>
      </x:c>
    </x:row>
    <x:row r="22" ht="18" customHeight="1">
      <x:c r="A22" s="46" t="str">
        <x:v>Small pelagics (&lt;30 cm)</x:v>
      </x:c>
      <x:c r="B22" s="64" t="n">
        <x:v>9</x:v>
      </x:c>
      <x:c r="C22" s="64" t="n">
        <x:v>9</x:v>
      </x:c>
      <x:c r="D22" s="60" t="n">
        <x:v>2214415.796080132</x:v>
      </x:c>
      <x:c r="E22" s="60" t="n">
        <x:v>2214415.796080132</x:v>
      </x:c>
      <x:c r="F22" s="62" t="n">
        <x:v>0</x:v>
      </x:c>
      <x:c r="G22" s="66" t="n">
        <x:v>1</x:v>
      </x:c>
      <x:c r="H22" s="62" t="n">
        <x:f>IF(E22=0,"",I22/E22)</x:f>
        <x:v>120.09984321369592</x:v>
      </x:c>
      <x:c r="I22" s="60" t="n">
        <x:f>SUMIF('Species'!$G$2:$G$413,A22,'Species'!$U$2:$U$413)</x:f>
        <x:v>265950989.91915548</x:v>
      </x:c>
      <x:c r="J22" s="62" t="n">
        <x:v>3.0466725235539176</x:v>
      </x:c>
      <x:c r="K22" s="62" t="n">
        <x:f>IF(J22="","",(1/'Metadata'!$B$5)^(J22-1))</x:f>
        <x:v>111.34546249893324</x:v>
      </x:c>
      <x:c r="L22" s="60" t="n">
        <x:f>IF(E22=0,"",E22*K22)</x:f>
        <x:v>246565150.97948575</x:v>
      </x:c>
      <x:c r="M22" s="60" t="n">
        <x:f>I22-L22</x:f>
        <x:v>19385838.93966973</x:v>
      </x:c>
      <x:c r="N22" s="62" t="n">
        <x:f>IF(L22=0,"",I22/L22)</x:f>
        <x:v>1.0786235964922821</x:v>
      </x:c>
      <x:c r="O22" s="66" t="n">
        <x:f>IF(L22=0,"",M22/L22)</x:f>
        <x:v>0.0786235964922822</x:v>
      </x:c>
    </x:row>
    <x:row r="23" ht="18" customHeight="1">
      <x:c r="A23" s="46" t="str">
        <x:v>Small reef assoc. fish (&lt;30 cm)</x:v>
      </x:c>
      <x:c r="B23" s="64" t="n">
        <x:v>10</x:v>
      </x:c>
      <x:c r="C23" s="64" t="n">
        <x:v>10</x:v>
      </x:c>
      <x:c r="D23" s="60" t="n">
        <x:v>5920.4287295725</x:v>
      </x:c>
      <x:c r="E23" s="60" t="n">
        <x:v>5920.4287295725</x:v>
      </x:c>
      <x:c r="F23" s="62" t="n">
        <x:v>0</x:v>
      </x:c>
      <x:c r="G23" s="66" t="n">
        <x:v>1</x:v>
      </x:c>
      <x:c r="H23" s="62" t="n">
        <x:f>IF(E23=0,"",I23/E23)</x:f>
        <x:v>417.46240806177894</x:v>
      </x:c>
      <x:c r="I23" s="60" t="n">
        <x:f>SUMIF('Species'!$G$2:$G$413,A23,'Species'!$U$2:$U$413)</x:f>
        <x:v>2471556.4342054743</x:v>
      </x:c>
      <x:c r="J23" s="62" t="n">
        <x:v>3.434938184647867</x:v>
      </x:c>
      <x:c r="K23" s="62" t="n">
        <x:f>IF(J23="","",(1/'Metadata'!$B$5)^(J23-1))</x:f>
        <x:v>272.23137996709306</x:v>
      </x:c>
      <x:c r="L23" s="60" t="n">
        <x:f>IF(E23=0,"",E23*K23)</x:f>
        <x:v>1611726.4830483452</x:v>
      </x:c>
      <x:c r="M23" s="60" t="n">
        <x:f>I23-L23</x:f>
        <x:v>859829.9511571291</x:v>
      </x:c>
      <x:c r="N23" s="62" t="n">
        <x:f>IF(L23=0,"",I23/L23)</x:f>
        <x:v>1.5334837890923567</x:v>
      </x:c>
      <x:c r="O23" s="66" t="n">
        <x:f>IF(L23=0,"",M23/L23)</x:f>
        <x:v>0.5334837890923566</x:v>
      </x:c>
    </x:row>
    <x:row r="24" ht="18" customHeight="1">
      <x:c r="A24" s="46" t="str">
        <x:v>Small to medium flatfishes (&lt;90 cm)</x:v>
      </x:c>
      <x:c r="B24" s="64" t="n">
        <x:v>18</x:v>
      </x:c>
      <x:c r="C24" s="64" t="n">
        <x:v>18</x:v>
      </x:c>
      <x:c r="D24" s="60" t="n">
        <x:v>37418.0255920436</x:v>
      </x:c>
      <x:c r="E24" s="60" t="n">
        <x:v>37418.0255920436</x:v>
      </x:c>
      <x:c r="F24" s="62" t="n">
        <x:v>0</x:v>
      </x:c>
      <x:c r="G24" s="66" t="n">
        <x:v>1</x:v>
      </x:c>
      <x:c r="H24" s="62" t="n">
        <x:f>IF(E24=0,"",I24/E24)</x:f>
        <x:v>348.1252331368111</x:v>
      </x:c>
      <x:c r="I24" s="60" t="n">
        <x:f>SUMIF('Species'!$G$2:$G$413,A24,'Species'!$U$2:$U$413)</x:f>
        <x:v>13026158.882749345</x:v>
      </x:c>
      <x:c r="J24" s="62" t="n">
        <x:v>3.4806313532564084</x:v>
      </x:c>
      <x:c r="K24" s="62" t="n">
        <x:f>IF(J24="","",(1/'Metadata'!$B$5)^(J24-1))</x:f>
        <x:v>302.4345151587278</x:v>
      </x:c>
      <x:c r="L24" s="60" t="n">
        <x:f>IF(E24=0,"",E24*K24)</x:f>
        <x:v>11316502.428126575</x:v>
      </x:c>
      <x:c r="M24" s="60" t="n">
        <x:f>I24-L24</x:f>
        <x:v>1709656.4546227697</x:v>
      </x:c>
      <x:c r="N24" s="62" t="n">
        <x:f>IF(L24=0,"",I24/L24)</x:f>
        <x:v>1.1510764006353684</x:v>
      </x:c>
      <x:c r="O24" s="66" t="n">
        <x:f>IF(L24=0,"",M24/L24)</x:f>
        <x:v>0.1510764006353684</x:v>
      </x:c>
    </x:row>
    <x:row r="25" ht="18" customHeight="1">
      <x:c r="A25" s="46" t="str">
        <x:v>Small to medium rays (&lt;90 cm)</x:v>
      </x:c>
      <x:c r="B25" s="64" t="n">
        <x:v>6</x:v>
      </x:c>
      <x:c r="C25" s="64" t="n">
        <x:v>6</x:v>
      </x:c>
      <x:c r="D25" s="60" t="n">
        <x:v>4583.2943247119</x:v>
      </x:c>
      <x:c r="E25" s="60" t="n">
        <x:v>4583.2943247119</x:v>
      </x:c>
      <x:c r="F25" s="62" t="n">
        <x:v>0</x:v>
      </x:c>
      <x:c r="G25" s="66" t="n">
        <x:v>1</x:v>
      </x:c>
      <x:c r="H25" s="62" t="n">
        <x:f>IF(E25=0,"",I25/E25)</x:f>
        <x:v>613.3150953662965</x:v>
      </x:c>
      <x:c r="I25" s="60" t="n">
        <x:f>SUMIF('Species'!$G$2:$G$413,A25,'Species'!$U$2:$U$413)</x:f>
        <x:v>2811003.595852485</x:v>
      </x:c>
      <x:c r="J25" s="62" t="n">
        <x:v>3.780287515022746</x:v>
      </x:c>
      <x:c r="K25" s="62" t="n">
        <x:f>IF(J25="","",(1/'Metadata'!$B$5)^(J25-1))</x:f>
        <x:v>602.9586293490388</x:v>
      </x:c>
      <x:c r="L25" s="60" t="n">
        <x:f>IF(E25=0,"",E25*K25)</x:f>
        <x:v>2763536.8639315157</x:v>
      </x:c>
      <x:c r="M25" s="60" t="n">
        <x:f>I25-L25</x:f>
        <x:v>47466.73192096921</x:v>
      </x:c>
      <x:c r="N25" s="62" t="n">
        <x:f>IF(L25=0,"",I25/L25)</x:f>
        <x:v>1.017176080601813</x:v>
      </x:c>
      <x:c r="O25" s="66" t="n">
        <x:f>IF(L25=0,"",M25/L25)</x:f>
        <x:v>0.017176080601812988</x:v>
      </x:c>
    </x:row>
    <x:row r="26" ht="18" customHeight="1">
      <x:c r="A26" s="46" t="str">
        <x:v>Small to medium sharks (&lt;90 cm)</x:v>
      </x:c>
      <x:c r="B26" s="64" t="n">
        <x:v>5</x:v>
      </x:c>
      <x:c r="C26" s="64" t="n">
        <x:v>5</x:v>
      </x:c>
      <x:c r="D26" s="60" t="n">
        <x:v>2865.682606869</x:v>
      </x:c>
      <x:c r="E26" s="60" t="n">
        <x:v>2865.682606869</x:v>
      </x:c>
      <x:c r="F26" s="62" t="n">
        <x:v>0</x:v>
      </x:c>
      <x:c r="G26" s="66" t="n">
        <x:v>1</x:v>
      </x:c>
      <x:c r="H26" s="62" t="n">
        <x:f>IF(E26=0,"",I26/E26)</x:f>
        <x:v>663.8362724807895</x:v>
      </x:c>
      <x:c r="I26" s="60" t="n">
        <x:f>SUMIF('Species'!$G$2:$G$413,A26,'Species'!$U$2:$U$413)</x:f>
        <x:v>1902344.0598569487</x:v>
      </x:c>
      <x:c r="J26" s="62" t="n">
        <x:v>3.821688827923369</x:v>
      </x:c>
      <x:c r="K26" s="62" t="n">
        <x:f>IF(J26="","",(1/'Metadata'!$B$5)^(J26-1))</x:f>
        <x:v>663.26766870221</x:v>
      </x:c>
      <x:c r="L26" s="60" t="n">
        <x:f>IF(E26=0,"",E26*K26)</x:f>
        <x:v>1900714.6218984735</x:v>
      </x:c>
      <x:c r="M26" s="60" t="n">
        <x:f>I26-L26</x:f>
        <x:v>1629.4379584752023</x:v>
      </x:c>
      <x:c r="N26" s="62" t="n">
        <x:f>IF(L26=0,"",I26/L26)</x:f>
        <x:v>1.000857276489433</x:v>
      </x:c>
      <x:c r="O26" s="66" t="n">
        <x:f>IF(L26=0,"",M26/L26)</x:f>
        <x:v>0.0008572764894330563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1f7cf4c116443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LME_027</x:v>
      </x:c>
      <x:c r="B2" s="46" t="str">
        <x:v>raw_filtered_tonnes</x:v>
      </x:c>
      <x:c r="C2" s="46" t="n">
        <x:v>5771015.257329413</x:v>
      </x:c>
      <x:c r="D2" s="46" t="str">
        <x:v>tonnes</x:v>
      </x:c>
    </x:row>
    <x:row r="3" ht="18" customHeight="1">
      <x:c r="A3" s="46" t="str">
        <x:v>LME_027</x:v>
      </x:c>
      <x:c r="B3" s="46" t="str">
        <x:v>species_catch_tonnes</x:v>
      </x:c>
      <x:c r="C3" s="46" t="n">
        <x:v>5771015.257329415</x:v>
      </x:c>
      <x:c r="D3" s="46" t="str">
        <x:v>tonnes</x:v>
      </x:c>
    </x:row>
    <x:row r="4" ht="18" customHeight="1">
      <x:c r="A4" s="46" t="str">
        <x:v>LME_027</x:v>
      </x:c>
      <x:c r="B4" s="46" t="str">
        <x:v>catch_difference_tonnes</x:v>
      </x:c>
      <x:c r="C4" s="46" t="n">
        <x:v>1.862645149230957e-9</x:v>
      </x:c>
      <x:c r="D4" s="46" t="str">
        <x:v>tonnes</x:v>
      </x:c>
    </x:row>
    <x:row r="5" ht="18" customHeight="1">
      <x:c r="A5" s="46" t="str">
        <x:v>LME_027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LME_027</x:v>
      </x:c>
      <x:c r="B6" s="46" t="str">
        <x:v>matched_catch_tonnes</x:v>
      </x:c>
      <x:c r="C6" s="46" t="n">
        <x:v>5771015.257329415</x:v>
      </x:c>
      <x:c r="D6" s="46" t="str">
        <x:v>tonnes</x:v>
      </x:c>
    </x:row>
    <x:row r="7" ht="18" customHeight="1">
      <x:c r="A7" s="46" t="str">
        <x:v>LME_027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LME_027</x:v>
      </x:c>
      <x:c r="B8" s="46" t="str">
        <x:v>taxa_count</x:v>
      </x:c>
      <x:c r="C8" s="46" t="n">
        <x:v>412</x:v>
      </x:c>
      <x:c r="D8" s="46" t="str">
        <x:v>count</x:v>
      </x:c>
    </x:row>
    <x:row r="9" ht="18" customHeight="1">
      <x:c r="A9" s="46" t="str">
        <x:v>LME_027</x:v>
      </x:c>
      <x:c r="B9" s="46" t="str">
        <x:v>matched_taxa_count</x:v>
      </x:c>
      <x:c r="C9" s="46" t="n">
        <x:v>412</x:v>
      </x:c>
      <x:c r="D9" s="46" t="str">
        <x:v>count</x:v>
      </x:c>
    </x:row>
    <x:row r="10" ht="18" customHeight="1">
      <x:c r="A10" s="46" t="str">
        <x:v>LME_027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LME_027</x:v>
      </x:c>
      <x:c r="B11" s="46" t="str">
        <x:v>species_ppr</x:v>
      </x:c>
      <x:c r="C11" s="46" t="n">
        <x:v>2359485422.816173</x:v>
      </x:c>
      <x:c r="D11" s="46" t="str">
        <x:v>tonnes_primary_production_equivalent</x:v>
      </x:c>
    </x:row>
    <x:row r="12" ht="18" customHeight="1">
      <x:c r="A12" s="46" t="str">
        <x:v>LME_027</x:v>
      </x:c>
      <x:c r="B12" s="46" t="str">
        <x:v>commercial_ppr</x:v>
      </x:c>
      <x:c r="C12" s="46" t="n">
        <x:v>2359485422.8161726</x:v>
      </x:c>
      <x:c r="D12" s="46" t="str">
        <x:v>tonnes_primary_production_equivalent</x:v>
      </x:c>
    </x:row>
    <x:row r="13" ht="18" customHeight="1">
      <x:c r="A13" s="46" t="str">
        <x:v>LME_027</x:v>
      </x:c>
      <x:c r="B13" s="46" t="str">
        <x:v>functional_ppr</x:v>
      </x:c>
      <x:c r="C13" s="46" t="n">
        <x:v>2359485422.8161726</x:v>
      </x:c>
      <x:c r="D13" s="46" t="str">
        <x:v>tonnes_primary_production_equivalent</x:v>
      </x:c>
    </x:row>
    <x:row r="14" ht="18" customHeight="1">
      <x:c r="A14" s="46" t="str">
        <x:v>LME_027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LME_027</x:v>
      </x:c>
      <x:c r="B15" s="46" t="str">
        <x:v>functional_ppr_difference</x:v>
      </x:c>
      <x:c r="C15" s="46" t="n">
        <x:v>-4.76837158203125e-7</x:v>
      </x:c>
      <x:c r="D15" s="46" t="str">
        <x:v>tonnes_primary_production_equivalent</x:v>
      </x:c>
    </x:row>
    <x:row r="16" ht="18" customHeight="1">
      <x:c r="A16" s="46" t="str">
        <x:v>LME_027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a56b82b16cf4b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LME_027 - Canary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