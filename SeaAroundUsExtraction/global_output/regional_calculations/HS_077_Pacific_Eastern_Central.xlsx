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6b53242d3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e4e65a88ac44478"/>
    <x:sheet xmlns:r="http://schemas.openxmlformats.org/officeDocument/2006/relationships" name="Commercial" sheetId="2" r:id="R7c3dd95bc08647fb"/>
    <x:sheet xmlns:r="http://schemas.openxmlformats.org/officeDocument/2006/relationships" name="Functional" sheetId="3" r:id="R5754d321d2734dc1"/>
    <x:sheet xmlns:r="http://schemas.openxmlformats.org/officeDocument/2006/relationships" name="Missing TL" sheetId="4" r:id="R3989bc9159014303"/>
    <x:sheet xmlns:r="http://schemas.openxmlformats.org/officeDocument/2006/relationships" name="Validation" sheetId="5" r:id="R323ea2ab492b4bbb"/>
    <x:sheet xmlns:r="http://schemas.openxmlformats.org/officeDocument/2006/relationships" name="Metadata" sheetId="6" r:id="R8523108e40b1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85bba0af34e22" /><Relationship Type="http://schemas.openxmlformats.org/officeDocument/2006/relationships/theme" Target="/xl/theme/theme1.xml" Id="R5d8a2814fe68428b" /><Relationship Type="http://schemas.openxmlformats.org/officeDocument/2006/relationships/sharedStrings" Target="/xl/sharedStrings.xml" Id="Rcbf93f66281b4c8b" /><Relationship Type="http://schemas.openxmlformats.org/officeDocument/2006/relationships/worksheet" Target="/xl/worksheets/sheet1.xml" Id="Ree4e65a88ac44478" /><Relationship Type="http://schemas.openxmlformats.org/officeDocument/2006/relationships/worksheet" Target="/xl/worksheets/sheet2.xml" Id="R7c3dd95bc08647fb" /><Relationship Type="http://schemas.openxmlformats.org/officeDocument/2006/relationships/worksheet" Target="/xl/worksheets/sheet3.xml" Id="R5754d321d2734dc1" /><Relationship Type="http://schemas.openxmlformats.org/officeDocument/2006/relationships/worksheet" Target="/xl/worksheets/sheet4.xml" Id="R3989bc9159014303" /><Relationship Type="http://schemas.openxmlformats.org/officeDocument/2006/relationships/worksheet" Target="/xl/worksheets/sheet5.xml" Id="R323ea2ab492b4bbb" /><Relationship Type="http://schemas.openxmlformats.org/officeDocument/2006/relationships/worksheet" Target="/xl/worksheets/sheet6.xml" Id="R8523108e40b14259" /></Relationships>
</file>

<file path=xl/tables/table1.xml><?xml version="1.0" encoding="utf-8"?>
<x:table xmlns:x="http://schemas.openxmlformats.org/spreadsheetml/2006/main" id="1" name="HS077SpeciesTable" displayName="HS077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77CommercialTable" displayName="HS07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77FunctionalTable" displayName="HS07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77ValidationTable" displayName="HS07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ade009e541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216ac6a71541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ed9496788345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d35d1f7f714a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HS_077</x:v>
      </x:c>
      <x:c r="B2" s="46" t="str">
        <x:v>Pacific, Eastern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374559.3736219447</x:v>
      </x:c>
      <x:c r="J2" s="60" t="n">
        <x:v>372652.4898740015</x:v>
      </x:c>
      <x:c r="K2" s="60" t="n">
        <x:v>1906.8837479432</x:v>
      </x:c>
      <x:c r="L2" s="60" t="n">
        <x:v>372652.4898740015</x:v>
      </x:c>
      <x:c r="M2" s="60" t="n">
        <x:v>1906.8837479432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1008139590.2405286</x:v>
      </x:c>
    </x:row>
    <x:row r="3" ht="18" customHeight="1">
      <x:c r="A3" s="46" t="str">
        <x:v>HS_077</x:v>
      </x:c>
      <x:c r="B3" s="46" t="str">
        <x:v>Pacific, Eastern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173477.0323484701</x:v>
      </x:c>
      <x:c r="J3" s="60" t="n">
        <x:v>171000.25685806051</x:v>
      </x:c>
      <x:c r="K3" s="60" t="n">
        <x:v>2476.7754904096</x:v>
      </x:c>
      <x:c r="L3" s="60" t="n">
        <x:v>171000.25685806051</x:v>
      </x:c>
      <x:c r="M3" s="60" t="n">
        <x:v>2476.7754904096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445904632.3557654</x:v>
      </x:c>
    </x:row>
    <x:row r="4" ht="18" customHeight="1">
      <x:c r="A4" s="46" t="str">
        <x:v>HS_077</x:v>
      </x:c>
      <x:c r="B4" s="46" t="str">
        <x:v>Pacific, Eastern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123830.43779722009</x:v>
      </x:c>
      <x:c r="J4" s="60" t="n">
        <x:v>123063.8552704997</x:v>
      </x:c>
      <x:c r="K4" s="60" t="n">
        <x:v>766.5825267204</x:v>
      </x:c>
      <x:c r="L4" s="60" t="n">
        <x:v>123063.8552704997</x:v>
      </x:c>
      <x:c r="M4" s="60" t="n">
        <x:v>766.5825267204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3090.295432513592</x:v>
      </x:c>
      <x:c r="U4" s="60" t="n">
        <x:f>IF(T4="","",I4*T4)</x:f>
        <x:v>382672636.3309077</x:v>
      </x:c>
    </x:row>
    <x:row r="5" ht="18" customHeight="1">
      <x:c r="A5" s="46" t="str">
        <x:v>HS_077</x:v>
      </x:c>
      <x:c r="B5" s="46" t="str">
        <x:v>Pacific, Eastern Central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50028.4037722392</x:v>
      </x:c>
      <x:c r="J5" s="60" t="n">
        <x:v>19348.1514317505</x:v>
      </x:c>
      <x:c r="K5" s="60" t="n">
        <x:v>30680.2523404887</x:v>
      </x:c>
      <x:c r="L5" s="60" t="n">
        <x:v>19348.1514317505</x:v>
      </x:c>
      <x:c r="M5" s="60" t="n">
        <x:v>30680.2523404887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2238.7211385683377</x:v>
      </x:c>
      <x:c r="U5" s="60" t="n">
        <x:f>IF(T5="","",I5*T5)</x:f>
        <x:v>111999645.05374387</x:v>
      </x:c>
    </x:row>
    <x:row r="6" ht="18" customHeight="1">
      <x:c r="A6" s="46" t="str">
        <x:v>HS_077</x:v>
      </x:c>
      <x:c r="B6" s="46" t="str">
        <x:v>Pacific, Eastern Central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37002.973571661896</x:v>
      </x:c>
      <x:c r="J6" s="60" t="n">
        <x:v>36985.9546012286</x:v>
      </x:c>
      <x:c r="K6" s="60" t="n">
        <x:v>17.018970433299998</x:v>
      </x:c>
      <x:c r="L6" s="60" t="n">
        <x:v>36985.9546012286</x:v>
      </x:c>
      <x:c r="M6" s="60" t="n">
        <x:v>17.018970433299998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1995.2623149688789</x:v>
      </x:c>
      <x:c r="U6" s="60" t="n">
        <x:f>IF(T6="","",I6*T6)</x:f>
        <x:v>73830638.70932636</x:v>
      </x:c>
    </x:row>
    <x:row r="7" ht="18" customHeight="1">
      <x:c r="A7" s="46" t="str">
        <x:v>HS_077</x:v>
      </x:c>
      <x:c r="B7" s="46" t="str">
        <x:v>Pacific, Eastern Central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21948.0216303017</x:v>
      </x:c>
      <x:c r="J7" s="60" t="n">
        <x:v>17731.6823605725</x:v>
      </x:c>
      <x:c r="K7" s="60" t="n">
        <x:v>4216.3392697292</x:v>
      </x:c>
      <x:c r="L7" s="60" t="n">
        <x:v>17731.6823605725</x:v>
      </x:c>
      <x:c r="M7" s="60" t="n">
        <x:v>4216.3392697292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3388.4415613920273</x:v>
      </x:c>
      <x:c r="U7" s="60" t="n">
        <x:f>IF(T7="","",I7*T7)</x:f>
        <x:v>74369588.68244548</x:v>
      </x:c>
    </x:row>
    <x:row r="8" ht="18" customHeight="1">
      <x:c r="A8" s="46" t="str">
        <x:v>HS_077</x:v>
      </x:c>
      <x:c r="B8" s="46" t="str">
        <x:v>Pacific, Eastern Central</x:v>
      </x:c>
      <x:c r="C8" s="46" t="str">
        <x:v>High Seas</x:v>
      </x:c>
      <x:c r="D8" s="58" t="n">
        <x:v>2019</x:v>
      </x:c>
      <x:c r="E8" s="46" t="str">
        <x:v>Marine fishes not identified</x:v>
      </x:c>
      <x:c r="F8" s="46" t="str">
        <x:v>Marine fishes nei</x:v>
      </x:c>
      <x:c r="G8" s="46" t="str">
        <x:v>Medium demersals (30 - 89 cm)</x:v>
      </x:c>
      <x:c r="H8" s="46" t="str">
        <x:v>Other fishes &amp; inverts</x:v>
      </x:c>
      <x:c r="I8" s="60" t="n">
        <x:v>21675.0954158329</x:v>
      </x:c>
      <x:c r="J8" s="60" t="n">
        <x:v>0</x:v>
      </x:c>
      <x:c r="K8" s="60" t="n">
        <x:v>21675.0954158329</x:v>
      </x:c>
      <x:c r="L8" s="60" t="n">
        <x:v>0</x:v>
      </x:c>
      <x:c r="M8" s="60" t="n">
        <x:v>21675.0954158329</x:v>
      </x:c>
      <x:c r="N8" s="46" t="str">
        <x:v>marine fishes not identified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fishes not identified</x:v>
      </x:c>
      <x:c r="T8" s="62" t="n">
        <x:f>IF(O8="","",(1/'Metadata'!$B$5)^(O8-1))</x:f>
        <x:v>190.54607179632464</x:v>
      </x:c>
      <x:c r="U8" s="60" t="n">
        <x:f>IF(T8="","",I8*T8)</x:f>
        <x:v>4130104.287297483</x:v>
      </x:c>
    </x:row>
    <x:row r="9" ht="18" customHeight="1">
      <x:c r="A9" s="46" t="str">
        <x:v>HS_077</x:v>
      </x:c>
      <x:c r="B9" s="46" t="str">
        <x:v>Pacific, Eastern Central</x:v>
      </x:c>
      <x:c r="C9" s="46" t="str">
        <x:v>High Seas</x:v>
      </x:c>
      <x:c r="D9" s="58" t="n">
        <x:v>2019</x:v>
      </x:c>
      <x:c r="E9" s="46" t="str">
        <x:v>Elasmobranchii</x:v>
      </x:c>
      <x:c r="F9" s="46" t="str">
        <x:v>Sharks, rays, skates</x:v>
      </x:c>
      <x:c r="G9" s="46" t="str">
        <x:v>Large sharks (&gt;=90 cm)</x:v>
      </x:c>
      <x:c r="H9" s="46" t="str">
        <x:v>Sharks &amp; rays</x:v>
      </x:c>
      <x:c r="I9" s="60" t="n">
        <x:v>13053.5970916551</x:v>
      </x:c>
      <x:c r="J9" s="60" t="n">
        <x:v>7799.89761427</x:v>
      </x:c>
      <x:c r="K9" s="60" t="n">
        <x:v>5253.6994773851</x:v>
      </x:c>
      <x:c r="L9" s="60" t="n">
        <x:v>7799.89761427</x:v>
      </x:c>
      <x:c r="M9" s="60" t="n">
        <x:v>5253.6994773851</x:v>
      </x:c>
      <x:c r="N9" s="46" t="str">
        <x:v>elasmobranchii</x:v>
      </x:c>
      <x:c r="O9" s="62" t="n">
        <x:v>4.05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Elasmobranchii</x:v>
      </x:c>
      <x:c r="T9" s="62" t="n">
        <x:f>IF(O9="","",(1/'Metadata'!$B$5)^(O9-1))</x:f>
        <x:v>1122.018454301963</x:v>
      </x:c>
      <x:c r="U9" s="60" t="n">
        <x:f>IF(T9="","",I9*T9)</x:f>
        <x:v>14646376.831859455</x:v>
      </x:c>
    </x:row>
    <x:row r="10" ht="18" customHeight="1">
      <x:c r="A10" s="46" t="str">
        <x:v>HS_077</x:v>
      </x:c>
      <x:c r="B10" s="46" t="str">
        <x:v>Pacific, Eastern Central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11937.5697873204</x:v>
      </x:c>
      <x:c r="J10" s="60" t="n">
        <x:v>8103.5377628274</x:v>
      </x:c>
      <x:c r="K10" s="60" t="n">
        <x:v>3834.032024493</x:v>
      </x:c>
      <x:c r="L10" s="60" t="n">
        <x:v>8103.5377628274</x:v>
      </x:c>
      <x:c r="M10" s="60" t="n">
        <x:v>3834.032024493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223.872113856834</x:v>
      </x:c>
      <x:c r="U10" s="60" t="n">
        <x:f>IF(T10="","",I10*T10)</x:f>
        <x:v>2672488.9826008943</x:v>
      </x:c>
    </x:row>
    <x:row r="11" ht="18" customHeight="1">
      <x:c r="A11" s="46" t="str">
        <x:v>HS_077</x:v>
      </x:c>
      <x:c r="B11" s="46" t="str">
        <x:v>Pacific, Eastern Central</x:v>
      </x:c>
      <x:c r="C11" s="46" t="str">
        <x:v>High Seas</x:v>
      </x:c>
      <x:c r="D11" s="58" t="n">
        <x:v>2019</x:v>
      </x:c>
      <x:c r="E11" s="46" t="str">
        <x:v>Scombridae</x:v>
      </x:c>
      <x:c r="F11" s="46" t="str">
        <x:v>Mackerels, tunas, bonitos</x:v>
      </x:c>
      <x:c r="G11" s="46" t="str">
        <x:v>Medium pelagics (30 - 89 cm)</x:v>
      </x:c>
      <x:c r="H11" s="46" t="str">
        <x:v>Perch-likes</x:v>
      </x:c>
      <x:c r="I11" s="60" t="n">
        <x:v>8279.631222562799</x:v>
      </x:c>
      <x:c r="J11" s="60" t="n">
        <x:v>9.7652875432</x:v>
      </x:c>
      <x:c r="K11" s="60" t="n">
        <x:v>8269.8659350196</x:v>
      </x:c>
      <x:c r="L11" s="60" t="n">
        <x:v>9.7652875432</x:v>
      </x:c>
      <x:c r="M11" s="60" t="n">
        <x:v>8269.8659350196</x:v>
      </x:c>
      <x:c r="N11" s="46" t="str">
        <x:v>scombridae</x:v>
      </x:c>
      <x:c r="O11" s="62" t="n">
        <x:v>4.26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Scombridae</x:v>
      </x:c>
      <x:c r="T11" s="62" t="n">
        <x:f>IF(O11="","",(1/'Metadata'!$B$5)^(O11-1))</x:f>
        <x:v>1819.7008586099826</x:v>
      </x:c>
      <x:c r="U11" s="60" t="n">
        <x:f>IF(T11="","",I11*T11)</x:f>
        <x:v>15066452.044671545</x:v>
      </x:c>
    </x:row>
    <x:row r="12" ht="18" customHeight="1">
      <x:c r="A12" s="46" t="str">
        <x:v>HS_077</x:v>
      </x:c>
      <x:c r="B12" s="46" t="str">
        <x:v>Pacific, Eastern Central</x:v>
      </x:c>
      <x:c r="C12" s="46" t="str">
        <x:v>High Seas</x:v>
      </x:c>
      <x:c r="D12" s="58" t="n">
        <x:v>2019</x:v>
      </x:c>
      <x:c r="E12" s="46" t="str">
        <x:v>Coryphaena hippurus</x:v>
      </x:c>
      <x:c r="F12" s="46" t="str">
        <x:v>Common dolphinfish</x:v>
      </x:c>
      <x:c r="G12" s="46" t="str">
        <x:v>Large pelagics (&gt;=90 cm)</x:v>
      </x:c>
      <x:c r="H12" s="46" t="str">
        <x:v>Perch-likes</x:v>
      </x:c>
      <x:c r="I12" s="60" t="n">
        <x:v>6566.4986748842</x:v>
      </x:c>
      <x:c r="J12" s="60" t="n">
        <x:v>0</x:v>
      </x:c>
      <x:c r="K12" s="60" t="n">
        <x:v>6566.4986748842</x:v>
      </x:c>
      <x:c r="L12" s="60" t="n">
        <x:v>0</x:v>
      </x:c>
      <x:c r="M12" s="60" t="n">
        <x:v>6566.4986748842</x:v>
      </x:c>
      <x:c r="N12" s="46" t="str">
        <x:v>coryphaena hippurus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Coryphaena hippurus</x:v>
      </x:c>
      <x:c r="T12" s="62" t="n">
        <x:f>IF(O12="","",(1/'Metadata'!$B$5)^(O12-1))</x:f>
        <x:v>2344.228815319923</x:v>
      </x:c>
      <x:c r="U12" s="60" t="n">
        <x:f>IF(T12="","",I12*T12)</x:f>
        <x:v>15393375.409423633</x:v>
      </x:c>
    </x:row>
    <x:row r="13" ht="18" customHeight="1">
      <x:c r="A13" s="46" t="str">
        <x:v>HS_077</x:v>
      </x:c>
      <x:c r="B13" s="46" t="str">
        <x:v>Pacific, Eastern Central</x:v>
      </x:c>
      <x:c r="C13" s="46" t="str">
        <x:v>High Seas</x:v>
      </x:c>
      <x:c r="D13" s="58" t="n">
        <x:v>2019</x:v>
      </x:c>
      <x:c r="E13" s="46" t="str">
        <x:v>Isurus</x:v>
      </x:c>
      <x:c r="F13" s="46" t="str">
        <x:v>Mako sharks</x:v>
      </x:c>
      <x:c r="G13" s="46" t="str">
        <x:v>Large sharks (&gt;=90 cm)</x:v>
      </x:c>
      <x:c r="H13" s="46" t="str">
        <x:v>Sharks &amp; rays</x:v>
      </x:c>
      <x:c r="I13" s="60" t="n">
        <x:v>4106.3235299491</x:v>
      </x:c>
      <x:c r="J13" s="60" t="n">
        <x:v>999.5896878868999</x:v>
      </x:c>
      <x:c r="K13" s="60" t="n">
        <x:v>3106.7338420622</x:v>
      </x:c>
      <x:c r="L13" s="60" t="n">
        <x:v>999.5896878868999</x:v>
      </x:c>
      <x:c r="M13" s="60" t="n">
        <x:v>3106.7338420622</x:v>
      </x:c>
      <x:c r="N13" s="46" t="str">
        <x:v>isurus</x:v>
      </x:c>
      <x:c r="O13" s="62" t="n">
        <x:v>4.5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Isurus</x:v>
      </x:c>
      <x:c r="T13" s="62" t="n">
        <x:f>IF(O13="","",(1/'Metadata'!$B$5)^(O13-1))</x:f>
        <x:v>3162.2776601683795</x:v>
      </x:c>
      <x:c r="U13" s="60" t="n">
        <x:f>IF(T13="","",I13*T13)</x:f>
        <x:v>12985335.1641818</x:v>
      </x:c>
    </x:row>
    <x:row r="14" ht="18" customHeight="1">
      <x:c r="A14" s="46" t="str">
        <x:v>HS_077</x:v>
      </x:c>
      <x:c r="B14" s="46" t="str">
        <x:v>Pacific, Eastern Central</x:v>
      </x:c>
      <x:c r="C14" s="46" t="str">
        <x:v>High Seas</x:v>
      </x:c>
      <x:c r="D14" s="58" t="n">
        <x:v>2019</x:v>
      </x:c>
      <x:c r="E14" s="46" t="str">
        <x:v>Istiophoridae</x:v>
      </x:c>
      <x:c r="F14" s="46" t="str">
        <x:v>Billfishes</x:v>
      </x:c>
      <x:c r="G14" s="46" t="str">
        <x:v>Large pelagics (&gt;=90 cm)</x:v>
      </x:c>
      <x:c r="H14" s="46" t="str">
        <x:v>Tuna &amp; billfishes</x:v>
      </x:c>
      <x:c r="I14" s="60" t="n">
        <x:v>2415.5412436014</x:v>
      </x:c>
      <x:c r="J14" s="60" t="n">
        <x:v>381.3799405072</x:v>
      </x:c>
      <x:c r="K14" s="60" t="n">
        <x:v>2034.1613030941999</x:v>
      </x:c>
      <x:c r="L14" s="60" t="n">
        <x:v>381.3799405072</x:v>
      </x:c>
      <x:c r="M14" s="60" t="n">
        <x:v>2034.1613030941999</x:v>
      </x:c>
      <x:c r="N14" s="46" t="str">
        <x:v>istiophoridae</x:v>
      </x:c>
      <x:c r="O14" s="62" t="n">
        <x:v>4.48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Istiophoridae</x:v>
      </x:c>
      <x:c r="T14" s="62" t="n">
        <x:f>IF(O14="","",(1/'Metadata'!$B$5)^(O14-1))</x:f>
        <x:v>3019.951720402019</x:v>
      </x:c>
      <x:c r="U14" s="60" t="n">
        <x:f>IF(T14="","",I14*T14)</x:f>
        <x:v>7294817.93431608</x:v>
      </x:c>
    </x:row>
    <x:row r="15" ht="18" customHeight="1">
      <x:c r="A15" s="46" t="str">
        <x:v>HS_077</x:v>
      </x:c>
      <x:c r="B15" s="46" t="str">
        <x:v>Pacific, Eastern Central</x:v>
      </x:c>
      <x:c r="C15" s="46" t="str">
        <x:v>High Seas</x:v>
      </x:c>
      <x:c r="D15" s="58" t="n">
        <x:v>2019</x:v>
      </x:c>
      <x:c r="E15" s="46" t="str">
        <x:v>Thunnus orientalis</x:v>
      </x:c>
      <x:c r="F15" s="46" t="str">
        <x:v>Pacific bluefin tuna</x:v>
      </x:c>
      <x:c r="G15" s="46" t="str">
        <x:v>Large pelagics (&gt;=90 cm)</x:v>
      </x:c>
      <x:c r="H15" s="46" t="str">
        <x:v>Tuna &amp; billfishes</x:v>
      </x:c>
      <x:c r="I15" s="60" t="n">
        <x:v>2391.3561153401</x:v>
      </x:c>
      <x:c r="J15" s="60" t="n">
        <x:v>2379.1705935893</x:v>
      </x:c>
      <x:c r="K15" s="60" t="n">
        <x:v>12.1855217508</x:v>
      </x:c>
      <x:c r="L15" s="60" t="n">
        <x:v>2379.1705935893</x:v>
      </x:c>
      <x:c r="M15" s="60" t="n">
        <x:v>12.1855217508</x:v>
      </x:c>
      <x:c r="N15" s="46" t="str">
        <x:v>thunnus orientalis</x:v>
      </x:c>
      <x:c r="O15" s="62" t="n">
        <x:v>4.05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orientalis</x:v>
      </x:c>
      <x:c r="T15" s="62" t="n">
        <x:f>IF(O15="","",(1/'Metadata'!$B$5)^(O15-1))</x:f>
        <x:v>1122.018454301963</x:v>
      </x:c>
      <x:c r="U15" s="60" t="n">
        <x:f>IF(T15="","",I15*T15)</x:f>
        <x:v>2683145.692219446</x:v>
      </x:c>
    </x:row>
    <x:row r="16" ht="18" customHeight="1">
      <x:c r="A16" s="46" t="str">
        <x:v>HS_077</x:v>
      </x:c>
      <x:c r="B16" s="46" t="str">
        <x:v>Pacific, Eastern Central</x:v>
      </x:c>
      <x:c r="C16" s="46" t="str">
        <x:v>High Seas</x:v>
      </x:c>
      <x:c r="D16" s="58" t="n">
        <x:v>2019</x:v>
      </x:c>
      <x:c r="E16" s="46" t="str">
        <x:v>Kajikia audax</x:v>
      </x:c>
      <x:c r="F16" s="46" t="str">
        <x:v>Striped marlin</x:v>
      </x:c>
      <x:c r="G16" s="46" t="str">
        <x:v>Large pelagics (&gt;=90 cm)</x:v>
      </x:c>
      <x:c r="H16" s="46" t="str">
        <x:v>Tuna &amp; billfishes</x:v>
      </x:c>
      <x:c r="I16" s="60" t="n">
        <x:v>2357.1082210618</x:v>
      </x:c>
      <x:c r="J16" s="60" t="n">
        <x:v>2357.1082210618</x:v>
      </x:c>
      <x:c r="K16" s="60" t="n">
        <x:v>0</x:v>
      </x:c>
      <x:c r="L16" s="60" t="n">
        <x:v>2357.1082210618</x:v>
      </x:c>
      <x:c r="M16" s="60" t="n">
        <x:v>0</x:v>
      </x:c>
      <x:c r="N16" s="46" t="str">
        <x:v>kajikia audax</x:v>
      </x:c>
      <x:c r="O16" s="62" t="n">
        <x:v>4.58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Kajikia audax</x:v>
      </x:c>
      <x:c r="T16" s="62" t="n">
        <x:f>IF(O16="","",(1/'Metadata'!$B$5)^(O16-1))</x:f>
        <x:v>3801.8939632056126</x:v>
      </x:c>
      <x:c r="U16" s="60" t="n">
        <x:f>IF(T16="","",I16*T16)</x:f>
        <x:v>8961475.51627718</x:v>
      </x:c>
    </x:row>
    <x:row r="17" ht="18" customHeight="1">
      <x:c r="A17" s="46" t="str">
        <x:v>HS_077</x:v>
      </x:c>
      <x:c r="B17" s="46" t="str">
        <x:v>Pacific, Eastern Central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1711.1888058922998</x:v>
      </x:c>
      <x:c r="J17" s="60" t="n">
        <x:v>11.918713613200001</x:v>
      </x:c>
      <x:c r="K17" s="60" t="n">
        <x:v>1699.2700922791</x:v>
      </x:c>
      <x:c r="L17" s="60" t="n">
        <x:v>11.918713613200001</x:v>
      </x:c>
      <x:c r="M17" s="60" t="n">
        <x:v>1699.2700922791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1122.018454301963</x:v>
      </x:c>
      <x:c r="U17" s="60" t="n">
        <x:f>IF(T17="","",I17*T17)</x:f>
        <x:v>1919985.4190061</x:v>
      </x:c>
    </x:row>
    <x:row r="18" ht="18" customHeight="1">
      <x:c r="A18" s="46" t="str">
        <x:v>HS_077</x:v>
      </x:c>
      <x:c r="B18" s="46" t="str">
        <x:v>Pacific, Eastern Central</x:v>
      </x:c>
      <x:c r="C18" s="46" t="str">
        <x:v>High Seas</x:v>
      </x:c>
      <x:c r="D18" s="58" t="n">
        <x:v>2019</x:v>
      </x:c>
      <x:c r="E18" s="46" t="str">
        <x:v>Carcharhinus longimanus</x:v>
      </x:c>
      <x:c r="F18" s="46" t="str">
        <x:v>Oceanic whitetip shark</x:v>
      </x:c>
      <x:c r="G18" s="46" t="str">
        <x:v>Large sharks (&gt;=90 cm)</x:v>
      </x:c>
      <x:c r="H18" s="46" t="str">
        <x:v>Sharks &amp; rays</x:v>
      </x:c>
      <x:c r="I18" s="60" t="n">
        <x:v>1377.6686171488</x:v>
      </x:c>
      <x:c r="J18" s="60" t="n">
        <x:v>101.7822826908</x:v>
      </x:c>
      <x:c r="K18" s="60" t="n">
        <x:v>1275.886334458</x:v>
      </x:c>
      <x:c r="L18" s="60" t="n">
        <x:v>101.7822826908</x:v>
      </x:c>
      <x:c r="M18" s="60" t="n">
        <x:v>1275.886334458</x:v>
      </x:c>
      <x:c r="N18" s="46" t="str">
        <x:v>carcharhinus longimanus</x:v>
      </x:c>
      <x:c r="O18" s="62" t="n">
        <x:v>4.16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Carcharhinus longimanus</x:v>
      </x:c>
      <x:c r="T18" s="62" t="n">
        <x:f>IF(O18="","",(1/'Metadata'!$B$5)^(O18-1))</x:f>
        <x:v>1445.439770745928</x:v>
      </x:c>
      <x:c r="U18" s="60" t="n">
        <x:f>IF(T18="","",I18*T18)</x:f>
        <x:v>1991337.010135421</x:v>
      </x:c>
    </x:row>
    <x:row r="19" ht="18" customHeight="1">
      <x:c r="A19" s="46" t="str">
        <x:v>HS_077</x:v>
      </x:c>
      <x:c r="B19" s="46" t="str">
        <x:v>Pacific, Eastern Central</x:v>
      </x:c>
      <x:c r="C19" s="46" t="str">
        <x:v>High Seas</x:v>
      </x:c>
      <x:c r="D19" s="58" t="n">
        <x:v>2019</x:v>
      </x:c>
      <x:c r="E19" s="46" t="str">
        <x:v>Coryphaena</x:v>
      </x:c>
      <x:c r="F19" s="46" t="str">
        <x:v>Dolphinfishes</x:v>
      </x:c>
      <x:c r="G19" s="46" t="str">
        <x:v>Large pelagics (&gt;=90 cm)</x:v>
      </x:c>
      <x:c r="H19" s="46" t="str">
        <x:v>Perch-likes</x:v>
      </x:c>
      <x:c r="I19" s="60" t="n">
        <x:v>952.4674930624001</x:v>
      </x:c>
      <x:c r="J19" s="60" t="n">
        <x:v>952.4674930624001</x:v>
      </x:c>
      <x:c r="K19" s="60" t="n">
        <x:v>0</x:v>
      </x:c>
      <x:c r="L19" s="60" t="n">
        <x:v>952.4674930624001</x:v>
      </x:c>
      <x:c r="M19" s="60" t="n">
        <x:v>0</x:v>
      </x:c>
      <x:c r="N19" s="46" t="str">
        <x:v>coryphaena</x:v>
      </x:c>
      <x:c r="O19" s="62" t="n">
        <x:v>4.49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Coryphaena</x:v>
      </x:c>
      <x:c r="T19" s="62" t="n">
        <x:f>IF(O19="","",(1/'Metadata'!$B$5)^(O19-1))</x:f>
        <x:v>3090.295432513592</x:v>
      </x:c>
      <x:c r="U19" s="60" t="n">
        <x:f>IF(T19="","",I19*T19)</x:f>
        <x:v>2943405.9434284065</x:v>
      </x:c>
    </x:row>
    <x:row r="20" ht="18" customHeight="1">
      <x:c r="A20" s="46" t="str">
        <x:v>HS_077</x:v>
      </x:c>
      <x:c r="B20" s="46" t="str">
        <x:v>Pacific, Eastern Central</x:v>
      </x:c>
      <x:c r="C20" s="46" t="str">
        <x:v>High Seas</x:v>
      </x:c>
      <x:c r="D20" s="58" t="n">
        <x:v>2019</x:v>
      </x:c>
      <x:c r="E20" s="46" t="str">
        <x:v>Acanthocybium solandri</x:v>
      </x:c>
      <x:c r="F20" s="46" t="str">
        <x:v>Wahoo</x:v>
      </x:c>
      <x:c r="G20" s="46" t="str">
        <x:v>Large pelagics (&gt;=90 cm)</x:v>
      </x:c>
      <x:c r="H20" s="46" t="str">
        <x:v>Perch-likes</x:v>
      </x:c>
      <x:c r="I20" s="60" t="n">
        <x:v>601.8459893707</x:v>
      </x:c>
      <x:c r="J20" s="60" t="n">
        <x:v>0</x:v>
      </x:c>
      <x:c r="K20" s="60" t="n">
        <x:v>601.8459893707</x:v>
      </x:c>
      <x:c r="L20" s="60" t="n">
        <x:v>0</x:v>
      </x:c>
      <x:c r="M20" s="60" t="n">
        <x:v>601.8459893707</x:v>
      </x:c>
      <x:c r="N20" s="46" t="str">
        <x:v>acanthocybium solandri</x:v>
      </x:c>
      <x:c r="O20" s="62" t="n">
        <x:v>4.26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Acanthocybium solandri</x:v>
      </x:c>
      <x:c r="T20" s="62" t="n">
        <x:f>IF(O20="","",(1/'Metadata'!$B$5)^(O20-1))</x:f>
        <x:v>1819.7008586099826</x:v>
      </x:c>
      <x:c r="U20" s="60" t="n">
        <x:f>IF(T20="","",I20*T20)</x:f>
        <x:v>1095179.6636088372</x:v>
      </x:c>
    </x:row>
    <x:row r="21" ht="18" customHeight="1">
      <x:c r="A21" s="46" t="str">
        <x:v>HS_077</x:v>
      </x:c>
      <x:c r="B21" s="46" t="str">
        <x:v>Pacific, Eastern Central</x:v>
      </x:c>
      <x:c r="C21" s="46" t="str">
        <x:v>High Seas</x:v>
      </x:c>
      <x:c r="D21" s="58" t="n">
        <x:v>2019</x:v>
      </x:c>
      <x:c r="E21" s="46" t="str">
        <x:v>Carcharhinus falciformis</x:v>
      </x:c>
      <x:c r="F21" s="46" t="str">
        <x:v>Silky shark</x:v>
      </x:c>
      <x:c r="G21" s="46" t="str">
        <x:v>Large sharks (&gt;=90 cm)</x:v>
      </x:c>
      <x:c r="H21" s="46" t="str">
        <x:v>Sharks &amp; rays</x:v>
      </x:c>
      <x:c r="I21" s="60" t="n">
        <x:v>582.4388685011</x:v>
      </x:c>
      <x:c r="J21" s="60" t="n">
        <x:v>5.1504548624</x:v>
      </x:c>
      <x:c r="K21" s="60" t="n">
        <x:v>577.2884136387</x:v>
      </x:c>
      <x:c r="L21" s="60" t="n">
        <x:v>5.1504548624</x:v>
      </x:c>
      <x:c r="M21" s="60" t="n">
        <x:v>577.2884136387</x:v>
      </x:c>
      <x:c r="N21" s="46" t="str">
        <x:v>carcharhinus falciformis</x:v>
      </x:c>
      <x:c r="O21" s="62" t="n">
        <x:v>4.51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Carcharhinus falciformis</x:v>
      </x:c>
      <x:c r="T21" s="62" t="n">
        <x:f>IF(O21="","",(1/'Metadata'!$B$5)^(O21-1))</x:f>
        <x:v>3235.936569296281</x:v>
      </x:c>
      <x:c r="U21" s="60" t="n">
        <x:f>IF(T21="","",I21*T21)</x:f>
        <x:v>1884735.2339622574</x:v>
      </x:c>
    </x:row>
    <x:row r="22" ht="18" customHeight="1">
      <x:c r="A22" s="46" t="str">
        <x:v>HS_077</x:v>
      </x:c>
      <x:c r="B22" s="46" t="str">
        <x:v>Pacific, Eastern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572.3344035754</x:v>
      </x:c>
      <x:c r="J22" s="60" t="n">
        <x:v>188.38888500540003</x:v>
      </x:c>
      <x:c r="K22" s="60" t="n">
        <x:v>383.94551857</x:v>
      </x:c>
      <x:c r="L22" s="60" t="n">
        <x:v>188.38888500540003</x:v>
      </x:c>
      <x:c r="M22" s="60" t="n">
        <x:v>383.94551857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3162.2776601683795</x:v>
      </x:c>
      <x:c r="U22" s="60" t="n">
        <x:f>IF(T22="","",I22*T22)</x:f>
        <x:v>1809880.298572281</x:v>
      </x:c>
    </x:row>
    <x:row r="23" ht="18" customHeight="1">
      <x:c r="A23" s="46" t="str">
        <x:v>HS_077</x:v>
      </x:c>
      <x:c r="B23" s="46" t="str">
        <x:v>Pacific, Eastern Central</x:v>
      </x:c>
      <x:c r="C23" s="46" t="str">
        <x:v>High Seas</x:v>
      </x:c>
      <x:c r="D23" s="58" t="n">
        <x:v>2019</x:v>
      </x:c>
      <x:c r="E23" s="46" t="str">
        <x:v>Istiophorus platypterus</x:v>
      </x:c>
      <x:c r="F23" s="46" t="str">
        <x:v>Indo-Pacific sailfish</x:v>
      </x:c>
      <x:c r="G23" s="46" t="str">
        <x:v>Large pelagics (&gt;=90 cm)</x:v>
      </x:c>
      <x:c r="H23" s="46" t="str">
        <x:v>Tuna &amp; billfishes</x:v>
      </x:c>
      <x:c r="I23" s="60" t="n">
        <x:v>484.0405475415</x:v>
      </x:c>
      <x:c r="J23" s="60" t="n">
        <x:v>484.0405475415</x:v>
      </x:c>
      <x:c r="K23" s="60" t="n">
        <x:v>0</x:v>
      </x:c>
      <x:c r="L23" s="60" t="n">
        <x:v>484.0405475415</x:v>
      </x:c>
      <x:c r="M23" s="60" t="n">
        <x:v>0</x:v>
      </x:c>
      <x:c r="N23" s="46" t="str">
        <x:v>istiophorus platypterus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Istiophorus platypterus</x:v>
      </x:c>
      <x:c r="T23" s="62" t="n">
        <x:f>IF(O23="","",(1/'Metadata'!$B$5)^(O23-1))</x:f>
        <x:v>3162.2776601683795</x:v>
      </x:c>
      <x:c r="U23" s="60" t="n">
        <x:f>IF(T23="","",I23*T23)</x:f>
        <x:v>1530670.610106156</x:v>
      </x:c>
    </x:row>
    <x:row r="24" ht="18" customHeight="1">
      <x:c r="A24" s="46" t="str">
        <x:v>HS_077</x:v>
      </x:c>
      <x:c r="B24" s="46" t="str">
        <x:v>Pacific, Eastern Central</x:v>
      </x:c>
      <x:c r="C24" s="46" t="str">
        <x:v>High Seas</x:v>
      </x:c>
      <x:c r="D24" s="58" t="n">
        <x:v>2019</x:v>
      </x:c>
      <x:c r="E24" s="46" t="str">
        <x:v>Tetrapturus angustirostris</x:v>
      </x:c>
      <x:c r="F24" s="46" t="str">
        <x:v>Shortbill spearfish</x:v>
      </x:c>
      <x:c r="G24" s="46" t="str">
        <x:v>Large pelagics (&gt;=90 cm)</x:v>
      </x:c>
      <x:c r="H24" s="46" t="str">
        <x:v>Tuna &amp; billfishes</x:v>
      </x:c>
      <x:c r="I24" s="60" t="n">
        <x:v>332.6035800699</x:v>
      </x:c>
      <x:c r="J24" s="60" t="n">
        <x:v>332.6035800699</x:v>
      </x:c>
      <x:c r="K24" s="60" t="n">
        <x:v>0</x:v>
      </x:c>
      <x:c r="L24" s="60" t="n">
        <x:v>332.6035800699</x:v>
      </x:c>
      <x:c r="M24" s="60" t="n">
        <x:v>0</x:v>
      </x:c>
      <x:c r="N24" s="46" t="str">
        <x:v>tetrapturus angustirostris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Tetrapturus angustirostris</x:v>
      </x:c>
      <x:c r="T24" s="62" t="n">
        <x:f>IF(O24="","",(1/'Metadata'!$B$5)^(O24-1))</x:f>
        <x:v>3162.2776601683795</x:v>
      </x:c>
      <x:c r="U24" s="60" t="n">
        <x:f>IF(T24="","",I24*T24)</x:f>
        <x:v>1051784.8709470695</x:v>
      </x:c>
    </x:row>
    <x:row r="25" ht="18" customHeight="1">
      <x:c r="A25" s="46" t="str">
        <x:v>HS_077</x:v>
      </x:c>
      <x:c r="B25" s="46" t="str">
        <x:v>Pacific, Eastern Central</x:v>
      </x:c>
      <x:c r="C25" s="46" t="str">
        <x:v>High Seas</x:v>
      </x:c>
      <x:c r="D25" s="58" t="n">
        <x:v>2019</x:v>
      </x:c>
      <x:c r="E25" s="46" t="str">
        <x:v>Istiompax indica</x:v>
      </x:c>
      <x:c r="F25" s="46" t="str">
        <x:v>Black marlin</x:v>
      </x:c>
      <x:c r="G25" s="46" t="str">
        <x:v>Large pelagics (&gt;=90 cm)</x:v>
      </x:c>
      <x:c r="H25" s="46" t="str">
        <x:v>Tuna &amp; billfishes</x:v>
      </x:c>
      <x:c r="I25" s="60" t="n">
        <x:v>332.3941847414</x:v>
      </x:c>
      <x:c r="J25" s="60" t="n">
        <x:v>332.3941847414</x:v>
      </x:c>
      <x:c r="K25" s="60" t="n">
        <x:v>0</x:v>
      </x:c>
      <x:c r="L25" s="60" t="n">
        <x:v>332.3941847414</x:v>
      </x:c>
      <x:c r="M25" s="60" t="n">
        <x:v>0</x:v>
      </x:c>
      <x:c r="N25" s="46" t="str">
        <x:v>istiompax indica</x:v>
      </x:c>
      <x:c r="O25" s="62" t="n">
        <x:v>4.5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Istiompax indica</x:v>
      </x:c>
      <x:c r="T25" s="62" t="n">
        <x:f>IF(O25="","",(1/'Metadata'!$B$5)^(O25-1))</x:f>
        <x:v>3162.2776601683795</x:v>
      </x:c>
      <x:c r="U25" s="60" t="n">
        <x:f>IF(T25="","",I25*T25)</x:f>
        <x:v>1051122.7047776105</x:v>
      </x:c>
    </x:row>
    <x:row r="26" ht="18" customHeight="1">
      <x:c r="A26" s="46" t="str">
        <x:v>HS_077</x:v>
      </x:c>
      <x:c r="B26" s="46" t="str">
        <x:v>Pacific, Eastern Central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95.20984360599999</x:v>
      </x:c>
      <x:c r="J26" s="60" t="n">
        <x:v>95.20984360599999</x:v>
      </x:c>
      <x:c r="K26" s="60" t="n">
        <x:v>0</x:v>
      </x:c>
      <x:c r="L26" s="60" t="n">
        <x:v>95.20984360599999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1584.893192461114</x:v>
      </x:c>
      <x:c r="U26" s="60" t="n">
        <x:f>IF(T26="","",I26*T26)</x:f>
        <x:v>150897.4329864367</x:v>
      </x:c>
    </x:row>
    <x:row r="27" ht="18" customHeight="1">
      <x:c r="A27" s="46" t="str">
        <x:v>HS_077</x:v>
      </x:c>
      <x:c r="B27" s="46" t="str">
        <x:v>Pacific, Eastern Central</x:v>
      </x:c>
      <x:c r="C27" s="46" t="str">
        <x:v>High Seas</x:v>
      </x:c>
      <x:c r="D27" s="58" t="n">
        <x:v>2019</x:v>
      </x:c>
      <x:c r="E27" s="46" t="str">
        <x:v>Thunnus maccoyii</x:v>
      </x:c>
      <x:c r="F27" s="46" t="str">
        <x:v>Southern bluefin tuna</x:v>
      </x:c>
      <x:c r="G27" s="46" t="str">
        <x:v>Large pelagics (&gt;=90 cm)</x:v>
      </x:c>
      <x:c r="H27" s="46" t="str">
        <x:v>Tuna &amp; billfishes</x:v>
      </x:c>
      <x:c r="I27" s="60" t="n">
        <x:v>0.0512309376</x:v>
      </x:c>
      <x:c r="J27" s="60" t="n">
        <x:v>0</x:v>
      </x:c>
      <x:c r="K27" s="60" t="n">
        <x:v>0.0512309376</x:v>
      </x:c>
      <x:c r="L27" s="60" t="n">
        <x:v>0</x:v>
      </x:c>
      <x:c r="M27" s="60" t="n">
        <x:v>0.0512309376</x:v>
      </x:c>
      <x:c r="N27" s="46" t="str">
        <x:v>thunnus maccoyii</x:v>
      </x:c>
      <x:c r="O27" s="62" t="n">
        <x:v>3.93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Thunnus maccoyii</x:v>
      </x:c>
      <x:c r="T27" s="62" t="n">
        <x:f>IF(O27="","",(1/'Metadata'!$B$5)^(O27-1))</x:f>
        <x:v>851.1380382023768</x:v>
      </x:c>
      <x:c r="U27" s="60" t="n">
        <x:f>IF(T27="","",I27*T27)</x:f>
        <x:v>43.604599724132385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0ade009e54144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33612.6652031533</x:v>
      </x:c>
      <x:c r="E2" s="60" t="n">
        <x:v>33612.6652031533</x:v>
      </x:c>
      <x:c r="F2" s="62" t="n">
        <x:v>0</x:v>
      </x:c>
      <x:c r="G2" s="66" t="n">
        <x:v>1</x:v>
      </x:c>
      <x:c r="H2" s="62" t="n">
        <x:f>IF(E2=0,"",I2/E2)</x:f>
        <x:v>202.38184710387696</x:v>
      </x:c>
      <x:c r="I2" s="60" t="n">
        <x:f>SUMIF('Species'!$H$2:$H$27,A2,'Species'!$U$2:$U$27)</x:f>
        <x:v>6802593.269898377</x:v>
      </x:c>
      <x:c r="J2" s="62" t="n">
        <x:v>3.30486056610096</x:v>
      </x:c>
      <x:c r="K2" s="62" t="n">
        <x:f>IF(J2="","",(1/'Metadata'!$B$5)^(J2-1))</x:f>
        <x:v>201.77184541850934</x:v>
      </x:c>
      <x:c r="L2" s="60" t="n">
        <x:f>IF(E2=0,"",E2*K2)</x:f>
        <x:v>6782089.487474756</x:v>
      </x:c>
      <x:c r="M2" s="60" t="n">
        <x:f>I2-L2</x:f>
        <x:v>20503.782423621044</x:v>
      </x:c>
      <x:c r="N2" s="62" t="n">
        <x:f>IF(L2=0,"",I2/L2)</x:f>
        <x:v>1.003023224990099</x:v>
      </x:c>
      <x:c r="O2" s="66" t="n">
        <x:f>IF(L2=0,"",M2/L2)</x:f>
        <x:v>0.003023224990098947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18111.6321857724</x:v>
      </x:c>
      <x:c r="E3" s="60" t="n">
        <x:v>18111.6321857724</x:v>
      </x:c>
      <x:c r="F3" s="62" t="n">
        <x:v>0</x:v>
      </x:c>
      <x:c r="G3" s="66" t="n">
        <x:v>1</x:v>
      </x:c>
      <x:c r="H3" s="62" t="n">
        <x:f>IF(E3=0,"",I3/E3)</x:f>
        <x:v>2010.7739659569172</x:v>
      </x:c>
      <x:c r="I3" s="60" t="n">
        <x:f>SUMIF('Species'!$H$2:$H$27,A3,'Species'!$U$2:$U$27)</x:f>
        <x:v>36418398.48013852</x:v>
      </x:c>
      <x:c r="J3" s="62" t="n">
        <x:v>4.292135851834571</x:v>
      </x:c>
      <x:c r="K3" s="62" t="n">
        <x:f>IF(J3="","",(1/'Metadata'!$B$5)^(J3-1))</x:f>
        <x:v>1959.4575163565628</x:v>
      </x:c>
      <x:c r="L3" s="60" t="n">
        <x:f>IF(E3=0,"",E3*K3)</x:f>
        <x:v>35488973.81989717</x:v>
      </x:c>
      <x:c r="M3" s="60" t="n">
        <x:f>I3-L3</x:f>
        <x:v>929424.6602413505</x:v>
      </x:c>
      <x:c r="N3" s="62" t="n">
        <x:f>IF(L3=0,"",I3/L3)</x:f>
        <x:v>1.0261891105941265</x:v>
      </x:c>
      <x:c r="O3" s="66" t="n">
        <x:f>IF(L3=0,"",M3/L3)</x:f>
        <x:v>0.026189110594126604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69815.97612667471</x:v>
      </x:c>
      <x:c r="E4" s="60" t="n">
        <x:v>69815.97612667471</x:v>
      </x:c>
      <x:c r="F4" s="62" t="n">
        <x:v>0</x:v>
      </x:c>
      <x:c r="G4" s="66" t="n">
        <x:v>1</x:v>
      </x:c>
      <x:c r="H4" s="62" t="n">
        <x:f>IF(E4=0,"",I4/E4)</x:f>
        <x:v>2083.5948316686536</x:v>
      </x:c>
      <x:c r="I4" s="60" t="n">
        <x:f>SUMIF('Species'!$H$2:$H$27,A4,'Species'!$U$2:$U$27)</x:f>
        <x:v>145468207.02544153</x:v>
      </x:c>
      <x:c r="J4" s="62" t="n">
        <x:v>4.301341671050433</x:v>
      </x:c>
      <x:c r="K4" s="62" t="n">
        <x:f>IF(J4="","",(1/'Metadata'!$B$5)^(J4-1))</x:f>
        <x:v>2001.435833355204</x:v>
      </x:c>
      <x:c r="L4" s="60" t="n">
        <x:f>IF(E4=0,"",E4*K4)</x:f>
        <x:v>139732196.36059824</x:v>
      </x:c>
      <x:c r="M4" s="60" t="n">
        <x:f>I4-L4</x:f>
        <x:v>5736010.664843291</x:v>
      </x:c>
      <x:c r="N4" s="62" t="n">
        <x:f>IF(L4=0,"",I4/L4)</x:f>
        <x:v>1.041050028656536</x:v>
      </x:c>
      <x:c r="O4" s="66" t="n">
        <x:f>IF(L4=0,"",M4/L4)</x:f>
        <x:v>0.041050028656536126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739130.934092892</x:v>
      </x:c>
      <x:c r="E5" s="60" t="n">
        <x:v>739130.934092892</x:v>
      </x:c>
      <x:c r="F5" s="62" t="n">
        <x:v>0</x:v>
      </x:c>
      <x:c r="G5" s="66" t="n">
        <x:v>1</x:v>
      </x:c>
      <x:c r="H5" s="62" t="n">
        <x:f>IF(E5=0,"",I5/E5)</x:f>
        <x:v>2716.0142468072117</x:v>
      </x:c>
      <x:c r="I5" s="60" t="n">
        <x:f>SUMIF('Species'!$H$2:$H$27,A5,'Species'!$U$2:$U$27)</x:f>
        <x:v>2007490147.252217</x:v>
      </x:c>
      <x:c r="J5" s="62" t="n">
        <x:v>4.431340406972279</x:v>
      </x:c>
      <x:c r="K5" s="62" t="n">
        <x:f>IF(J5="","",(1/'Metadata'!$B$5)^(J5-1))</x:f>
        <x:v>2699.8547927479863</x:v>
      </x:c>
      <x:c r="L5" s="60" t="n">
        <x:f>IF(E5=0,"",E5*K5)</x:f>
        <x:v>1995546194.8789904</x:v>
      </x:c>
      <x:c r="M5" s="60" t="n">
        <x:f>I5-L5</x:f>
        <x:v>11943952.373226643</x:v>
      </x:c>
      <x:c r="N5" s="62" t="n">
        <x:f>IF(L5=0,"",I5/L5)</x:f>
        <x:v>1.0059853048773701</x:v>
      </x:c>
      <x:c r="O5" s="66" t="n">
        <x:f>IF(L5=0,"",M5/L5)</x:f>
        <x:v>0.005985304877370139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0216ac6a71541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747251.7462502093</x:v>
      </x:c>
      <x:c r="E2" s="60" t="n">
        <x:v>747251.7462502093</x:v>
      </x:c>
      <x:c r="F2" s="62" t="n">
        <x:v>0</x:v>
      </x:c>
      <x:c r="G2" s="66" t="n">
        <x:v>1</x:v>
      </x:c>
      <x:c r="H2" s="62" t="n">
        <x:f>IF(E2=0,"",I2/E2)</x:f>
        <x:v>2712.502337318038</x:v>
      </x:c>
      <x:c r="I2" s="60" t="n">
        <x:f>SUMIF('Species'!$G$2:$G$27,A2,'Species'!$U$2:$U$27)</x:f>
        <x:v>2026922108.268678</x:v>
      </x:c>
      <x:c r="J2" s="62" t="n">
        <x:v>4.430738145572962</x:v>
      </x:c>
      <x:c r="K2" s="62" t="n">
        <x:f>IF(J2="","",(1/'Metadata'!$B$5)^(J2-1))</x:f>
        <x:v>2696.113342034091</x:v>
      </x:c>
      <x:c r="L2" s="60" t="n">
        <x:f>IF(E2=0,"",E2*K2)</x:f>
        <x:v>2014675402.9234624</x:v>
      </x:c>
      <x:c r="M2" s="60" t="n">
        <x:f>I2-L2</x:f>
        <x:v>12246705.345215559</x:v>
      </x:c>
      <x:c r="N2" s="62" t="n">
        <x:f>IF(L2=0,"",I2/L2)</x:f>
        <x:v>1.0060787486299008</x:v>
      </x:c>
      <x:c r="O2" s="66" t="n">
        <x:f>IF(L2=0,"",M2/L2)</x:f>
        <x:v>0.006078748629900661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69815.97612667471</x:v>
      </x:c>
      <x:c r="E3" s="60" t="n">
        <x:v>69815.97612667471</x:v>
      </x:c>
      <x:c r="F3" s="62" t="n">
        <x:v>0</x:v>
      </x:c>
      <x:c r="G3" s="66" t="n">
        <x:v>1</x:v>
      </x:c>
      <x:c r="H3" s="62" t="n">
        <x:f>IF(E3=0,"",I3/E3)</x:f>
        <x:v>2083.5948316686536</x:v>
      </x:c>
      <x:c r="I3" s="60" t="n">
        <x:f>SUMIF('Species'!$G$2:$G$27,A3,'Species'!$U$2:$U$27)</x:f>
        <x:v>145468207.02544153</x:v>
      </x:c>
      <x:c r="J3" s="62" t="n">
        <x:v>4.301341671050433</x:v>
      </x:c>
      <x:c r="K3" s="62" t="n">
        <x:f>IF(J3="","",(1/'Metadata'!$B$5)^(J3-1))</x:f>
        <x:v>2001.435833355204</x:v>
      </x:c>
      <x:c r="L3" s="60" t="n">
        <x:f>IF(E3=0,"",E3*K3)</x:f>
        <x:v>139732196.36059824</x:v>
      </x:c>
      <x:c r="M3" s="60" t="n">
        <x:f>I3-L3</x:f>
        <x:v>5736010.664843291</x:v>
      </x:c>
      <x:c r="N3" s="62" t="n">
        <x:f>IF(L3=0,"",I3/L3)</x:f>
        <x:v>1.041050028656536</x:v>
      </x:c>
      <x:c r="O3" s="66" t="n">
        <x:f>IF(L3=0,"",M3/L3)</x:f>
        <x:v>0.041050028656536126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21675.0954158329</x:v>
      </x:c>
      <x:c r="E4" s="60" t="n">
        <x:v>21675.0954158329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SUMIF('Species'!$G$2:$G$27,A4,'Species'!$U$2:$U$27)</x:f>
        <x:v>4130104.287297483</x:v>
      </x:c>
      <x:c r="J4" s="62" t="n">
        <x:v>3.28</x:v>
      </x:c>
      <x:c r="K4" s="62" t="n">
        <x:f>IF(J4="","",(1/'Metadata'!$B$5)^(J4-1))</x:f>
        <x:v>190.54607179632464</x:v>
      </x:c>
      <x:c r="L4" s="60" t="n">
        <x:f>IF(E4=0,"",E4*K4)</x:f>
        <x:v>4130104.287297483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21928.3898157755</x:v>
      </x:c>
      <x:c r="E5" s="60" t="n">
        <x:v>21928.3898157755</x:v>
      </x:c>
      <x:c r="F5" s="62" t="n">
        <x:v>0</x:v>
      </x:c>
      <x:c r="G5" s="66" t="n">
        <x:v>1</x:v>
      </x:c>
      <x:c r="H5" s="62" t="n">
        <x:f>IF(E5=0,"",I5/E5)</x:f>
        <x:v>896.505699298346</x:v>
      </x:c>
      <x:c r="I5" s="60" t="n">
        <x:f>SUMIF('Species'!$G$2:$G$27,A5,'Species'!$U$2:$U$27)</x:f>
        <x:v>19658926.446278542</x:v>
      </x:c>
      <x:c r="J5" s="62" t="n">
        <x:v>3.7482187771203637</x:v>
      </x:c>
      <x:c r="K5" s="62" t="n">
        <x:f>IF(J5="","",(1/'Metadata'!$B$5)^(J5-1))</x:f>
        <x:v>560.0396520662697</x:v>
      </x:c>
      <x:c r="L5" s="60" t="n">
        <x:f>IF(E5=0,"",E5*K5)</x:f>
        <x:v>12280767.802800443</x:v>
      </x:c>
      <x:c r="M5" s="60" t="n">
        <x:f>I5-L5</x:f>
        <x:v>7378158.643478099</x:v>
      </x:c>
      <x:c r="N5" s="62" t="n">
        <x:f>IF(L5=0,"",I5/L5)</x:f>
        <x:v>1.60078968692785</x:v>
      </x:c>
      <x:c r="O5" s="66" t="n">
        <x:f>IF(L5=0,"",M5/L5)</x:f>
        <x:v>0.6007896869278501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0ed9496788345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HS_077</x:v>
      </x:c>
      <x:c r="B2" s="46" t="str">
        <x:v>raw_filtered_tonnes</x:v>
      </x:c>
      <x:c r="C2" s="46" t="n">
        <x:v>860671.2076084926</x:v>
      </x:c>
      <x:c r="D2" s="46" t="str">
        <x:v>tonnes</x:v>
      </x:c>
    </x:row>
    <x:row r="3" ht="18" customHeight="1">
      <x:c r="A3" s="46" t="str">
        <x:v>HS_077</x:v>
      </x:c>
      <x:c r="B3" s="46" t="str">
        <x:v>species_catch_tonnes</x:v>
      </x:c>
      <x:c r="C3" s="46" t="n">
        <x:v>860671.2076084926</x:v>
      </x:c>
      <x:c r="D3" s="46" t="str">
        <x:v>tonnes</x:v>
      </x:c>
    </x:row>
    <x:row r="4" ht="18" customHeight="1">
      <x:c r="A4" s="46" t="str">
        <x:v>HS_077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HS_077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HS_077</x:v>
      </x:c>
      <x:c r="B6" s="46" t="str">
        <x:v>matched_catch_tonnes</x:v>
      </x:c>
      <x:c r="C6" s="46" t="n">
        <x:v>860671.2076084926</x:v>
      </x:c>
      <x:c r="D6" s="46" t="str">
        <x:v>tonnes</x:v>
      </x:c>
    </x:row>
    <x:row r="7" ht="18" customHeight="1">
      <x:c r="A7" s="46" t="str">
        <x:v>HS_077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HS_077</x:v>
      </x:c>
      <x:c r="B8" s="46" t="str">
        <x:v>taxa_count</x:v>
      </x:c>
      <x:c r="C8" s="46" t="n">
        <x:v>26</x:v>
      </x:c>
      <x:c r="D8" s="46" t="str">
        <x:v>count</x:v>
      </x:c>
    </x:row>
    <x:row r="9" ht="18" customHeight="1">
      <x:c r="A9" s="46" t="str">
        <x:v>HS_077</x:v>
      </x:c>
      <x:c r="B9" s="46" t="str">
        <x:v>matched_taxa_count</x:v>
      </x:c>
      <x:c r="C9" s="46" t="n">
        <x:v>26</x:v>
      </x:c>
      <x:c r="D9" s="46" t="str">
        <x:v>count</x:v>
      </x:c>
    </x:row>
    <x:row r="10" ht="18" customHeight="1">
      <x:c r="A10" s="46" t="str">
        <x:v>HS_077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HS_077</x:v>
      </x:c>
      <x:c r="B11" s="46" t="str">
        <x:v>species_ppr</x:v>
      </x:c>
      <x:c r="C11" s="46" t="n">
        <x:v>2196179346.027695</x:v>
      </x:c>
      <x:c r="D11" s="46" t="str">
        <x:v>tonnes_primary_production_equivalent</x:v>
      </x:c>
    </x:row>
    <x:row r="12" ht="18" customHeight="1">
      <x:c r="A12" s="46" t="str">
        <x:v>HS_077</x:v>
      </x:c>
      <x:c r="B12" s="46" t="str">
        <x:v>commercial_ppr</x:v>
      </x:c>
      <x:c r="C12" s="46" t="n">
        <x:v>2196179346.0276957</x:v>
      </x:c>
      <x:c r="D12" s="46" t="str">
        <x:v>tonnes_primary_production_equivalent</x:v>
      </x:c>
    </x:row>
    <x:row r="13" ht="18" customHeight="1">
      <x:c r="A13" s="46" t="str">
        <x:v>HS_077</x:v>
      </x:c>
      <x:c r="B13" s="46" t="str">
        <x:v>functional_ppr</x:v>
      </x:c>
      <x:c r="C13" s="46" t="n">
        <x:v>2196179346.027695</x:v>
      </x:c>
      <x:c r="D13" s="46" t="str">
        <x:v>tonnes_primary_production_equivalent</x:v>
      </x:c>
    </x:row>
    <x:row r="14" ht="18" customHeight="1">
      <x:c r="A14" s="46" t="str">
        <x:v>HS_077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HS_077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HS_077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HS_077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HS_077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HS_077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ad35d1f7f714a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HS_077 - Pacific, Eastern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HS_077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raw_data/SAU_downloads/HS_077-catch.zip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