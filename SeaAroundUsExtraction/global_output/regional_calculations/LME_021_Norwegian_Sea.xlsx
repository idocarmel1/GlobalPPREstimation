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d769bd3b1c46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53a661968bf4c7b"/>
    <x:sheet xmlns:r="http://schemas.openxmlformats.org/officeDocument/2006/relationships" name="Commercial" sheetId="2" r:id="Rcbec385e357b4891"/>
    <x:sheet xmlns:r="http://schemas.openxmlformats.org/officeDocument/2006/relationships" name="Functional" sheetId="3" r:id="Rf9cbc6b1072f4540"/>
    <x:sheet xmlns:r="http://schemas.openxmlformats.org/officeDocument/2006/relationships" name="Missing TL" sheetId="4" r:id="R819cb0ffc87a40c1"/>
    <x:sheet xmlns:r="http://schemas.openxmlformats.org/officeDocument/2006/relationships" name="Validation" sheetId="5" r:id="Rb6e6d50520b54eee"/>
    <x:sheet xmlns:r="http://schemas.openxmlformats.org/officeDocument/2006/relationships" name="Metadata" sheetId="6" r:id="R60fe7ccecb134c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e64310b0ca451a" /><Relationship Type="http://schemas.openxmlformats.org/officeDocument/2006/relationships/theme" Target="/xl/theme/theme1.xml" Id="Ra2e619de3d0b4882" /><Relationship Type="http://schemas.microsoft.com/office/2022/11/relationships/FeaturePropertyBag" Target="/xl/featurePropertyBag/featurePropertyBag.xml" Id="R8be7176821ce4a5d" /><Relationship Type="http://schemas.openxmlformats.org/officeDocument/2006/relationships/sharedStrings" Target="/xl/sharedStrings.xml" Id="Ra51c28fa1a824b01" /><Relationship Type="http://schemas.openxmlformats.org/officeDocument/2006/relationships/worksheet" Target="/xl/worksheets/sheet1.xml" Id="R753a661968bf4c7b" /><Relationship Type="http://schemas.openxmlformats.org/officeDocument/2006/relationships/worksheet" Target="/xl/worksheets/sheet2.xml" Id="Rcbec385e357b4891" /><Relationship Type="http://schemas.openxmlformats.org/officeDocument/2006/relationships/worksheet" Target="/xl/worksheets/sheet3.xml" Id="Rf9cbc6b1072f4540" /><Relationship Type="http://schemas.openxmlformats.org/officeDocument/2006/relationships/worksheet" Target="/xl/worksheets/sheet4.xml" Id="R819cb0ffc87a40c1" /><Relationship Type="http://schemas.openxmlformats.org/officeDocument/2006/relationships/worksheet" Target="/xl/worksheets/sheet5.xml" Id="Rb6e6d50520b54eee" /><Relationship Type="http://schemas.openxmlformats.org/officeDocument/2006/relationships/worksheet" Target="/xl/worksheets/sheet6.xml" Id="R60fe7ccecb134c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21SpeciesTable" displayName="LME021SpeciesTable" ref="A1:U163" headerRowCount="1" totalsRowCount="0" totalsRowShown="0">
  <x:autoFilter ref="A1:U16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21CommercialTable" displayName="LME021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21FunctionalTable" displayName="LME021FunctionalTable" ref="A1:E24" headerRowCount="1" totalsRowCount="0" totalsRowShown="0">
  <x:autoFilter ref="A1:E2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21ValidationTable" displayName="LME021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2f2fceae7b49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a606aec27834b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a44653a3b0a4f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21395e7838489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LME_021</x:v>
      </x:c>
      <x:c r="B2" s="24" t="str">
        <x:v>Norwegian Sea</x:v>
      </x:c>
      <x:c r="C2" s="24" t="str">
        <x:v>LME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404129.7062816745</x:v>
      </x:c>
      <x:c r="J2" s="31" t="n">
        <x:v>403436.420220582</x:v>
      </x:c>
      <x:c r="K2" s="31" t="n">
        <x:v>693.2860610925</x:v>
      </x:c>
      <x:c r="L2" s="31" t="n">
        <x:v>401438.8245764734</x:v>
      </x:c>
      <x:c r="M2" s="31" t="n">
        <x:v>2690.8817052011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77005328.02817553</x:v>
      </x:c>
    </x:row>
    <x:row r="3" ht="18" customHeight="1">
      <x:c r="A3" s="24" t="str">
        <x:v>LME_021</x:v>
      </x:c>
      <x:c r="B3" s="24" t="str">
        <x:v>Norwegian Sea</x:v>
      </x:c>
      <x:c r="C3" s="24" t="str">
        <x:v>LME</x:v>
      </x:c>
      <x:c r="D3" s="30" t="n">
        <x:v>2019</x:v>
      </x:c>
      <x:c r="E3" s="24" t="str">
        <x:v>Gadus morhua</x:v>
      </x:c>
      <x:c r="F3" s="24" t="str">
        <x:v>Atlantic cod</x:v>
      </x:c>
      <x:c r="G3" s="24" t="str">
        <x:v>Large benthopelagics (&gt;=90 cm)</x:v>
      </x:c>
      <x:c r="H3" s="24" t="str">
        <x:v>Cod-likes</x:v>
      </x:c>
      <x:c r="I3" s="31" t="n">
        <x:v>143630.4058150534</x:v>
      </x:c>
      <x:c r="J3" s="31" t="n">
        <x:v>142305.4718068949</x:v>
      </x:c>
      <x:c r="K3" s="31" t="n">
        <x:v>1324.9340081585</x:v>
      </x:c>
      <x:c r="L3" s="31" t="n">
        <x:v>142304.3658566126</x:v>
      </x:c>
      <x:c r="M3" s="31" t="n">
        <x:v>1326.0399584408</x:v>
      </x:c>
      <x:c r="N3" s="24" t="str">
        <x:v>gadus morhua</x:v>
      </x:c>
      <x:c r="O3" s="32" t="n">
        <x:v>4.09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Gadus morhua</x:v>
      </x:c>
      <x:c r="T3" s="32" t="n">
        <x:f>IF(O3="","",(1/'Metadata'!$B$5)^(O3-1))</x:f>
        <x:v>1230.268770812381</x:v>
      </x:c>
      <x:c r="U3" s="31" t="n">
        <x:f>IF(T3="","",I3*T3)</x:f>
        <x:v>176704002.8133692</x:v>
      </x:c>
    </x:row>
    <x:row r="4" ht="18" customHeight="1">
      <x:c r="A4" s="24" t="str">
        <x:v>LME_021</x:v>
      </x:c>
      <x:c r="B4" s="24" t="str">
        <x:v>Norwegian Sea</x:v>
      </x:c>
      <x:c r="C4" s="24" t="str">
        <x:v>LME</x:v>
      </x:c>
      <x:c r="D4" s="30" t="n">
        <x:v>2019</x:v>
      </x:c>
      <x:c r="E4" s="24" t="str">
        <x:v>Scomber scombrus</x:v>
      </x:c>
      <x:c r="F4" s="24" t="str">
        <x:v>Atlantic mackerel</x:v>
      </x:c>
      <x:c r="G4" s="24" t="str">
        <x:v>Medium pelagics (30 - 89 cm)</x:v>
      </x:c>
      <x:c r="H4" s="24" t="str">
        <x:v>Perch-likes</x:v>
      </x:c>
      <x:c r="I4" s="31" t="n">
        <x:v>68749.926349336</x:v>
      </x:c>
      <x:c r="J4" s="31" t="n">
        <x:v>68354.1463536418</x:v>
      </x:c>
      <x:c r="K4" s="31" t="n">
        <x:v>395.77999569419995</x:v>
      </x:c>
      <x:c r="L4" s="31" t="n">
        <x:v>65784.4931408747</x:v>
      </x:c>
      <x:c r="M4" s="31" t="n">
        <x:v>2965.4332084613</x:v>
      </x:c>
      <x:c r="N4" s="24" t="str">
        <x:v>scomber scombrus</x:v>
      </x:c>
      <x:c r="O4" s="32" t="n">
        <x:v>3.63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Scomber scombrus</x:v>
      </x:c>
      <x:c r="T4" s="32" t="n">
        <x:f>IF(O4="","",(1/'Metadata'!$B$5)^(O4-1))</x:f>
        <x:v>426.57951880159254</x:v>
      </x:c>
      <x:c r="U4" s="31" t="n">
        <x:f>IF(T4="","",I4*T4)</x:f>
        <x:v>29327310.49974468</x:v>
      </x:c>
    </x:row>
    <x:row r="5" ht="18" customHeight="1">
      <x:c r="A5" s="24" t="str">
        <x:v>LME_021</x:v>
      </x:c>
      <x:c r="B5" s="24" t="str">
        <x:v>Norwegian Sea</x:v>
      </x:c>
      <x:c r="C5" s="24" t="str">
        <x:v>LME</x:v>
      </x:c>
      <x:c r="D5" s="30" t="n">
        <x:v>2019</x:v>
      </x:c>
      <x:c r="E5" s="24" t="str">
        <x:v>Clupea harengus</x:v>
      </x:c>
      <x:c r="F5" s="24" t="str">
        <x:v>Atlantic herring</x:v>
      </x:c>
      <x:c r="G5" s="24" t="str">
        <x:v>Medium pelagics (30 - 89 cm)</x:v>
      </x:c>
      <x:c r="H5" s="24" t="str">
        <x:v>Herring-likes</x:v>
      </x:c>
      <x:c r="I5" s="31" t="n">
        <x:v>58674.5375642218</x:v>
      </x:c>
      <x:c r="J5" s="31" t="n">
        <x:v>58354.2334655665</x:v>
      </x:c>
      <x:c r="K5" s="31" t="n">
        <x:v>320.3040986553</x:v>
      </x:c>
      <x:c r="L5" s="31" t="n">
        <x:v>58330.4381669992</x:v>
      </x:c>
      <x:c r="M5" s="31" t="n">
        <x:v>344.0993972226</x:v>
      </x:c>
      <x:c r="N5" s="24" t="str">
        <x:v>clupea harengus</x:v>
      </x:c>
      <x:c r="O5" s="32" t="n">
        <x:v>3.38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Clupea harengus</x:v>
      </x:c>
      <x:c r="T5" s="32" t="n">
        <x:f>IF(O5="","",(1/'Metadata'!$B$5)^(O5-1))</x:f>
        <x:v>239.88329190194898</x:v>
      </x:c>
      <x:c r="U5" s="31" t="n">
        <x:f>IF(T5="","",I5*T5)</x:f>
        <x:v>14075041.221730089</x:v>
      </x:c>
    </x:row>
    <x:row r="6" ht="18" customHeight="1">
      <x:c r="A6" s="24" t="str">
        <x:v>LME_021</x:v>
      </x:c>
      <x:c r="B6" s="24" t="str">
        <x:v>Norwegian Sea</x:v>
      </x:c>
      <x:c r="C6" s="24" t="str">
        <x:v>LME</x:v>
      </x:c>
      <x:c r="D6" s="30" t="n">
        <x:v>2019</x:v>
      </x:c>
      <x:c r="E6" s="24" t="str">
        <x:v>Pollachius virens</x:v>
      </x:c>
      <x:c r="F6" s="24" t="str">
        <x:v>Saithe</x:v>
      </x:c>
      <x:c r="G6" s="24" t="str">
        <x:v>Large demersals (&gt;=90 cm)</x:v>
      </x:c>
      <x:c r="H6" s="24" t="str">
        <x:v>Cod-likes</x:v>
      </x:c>
      <x:c r="I6" s="31" t="n">
        <x:v>8264.2834955947</x:v>
      </x:c>
      <x:c r="J6" s="31" t="n">
        <x:v>8264.2700090414</x:v>
      </x:c>
      <x:c r="K6" s="31" t="n">
        <x:v>0.0134865533</x:v>
      </x:c>
      <x:c r="L6" s="31" t="n">
        <x:v>8264.2700090414</x:v>
      </x:c>
      <x:c r="M6" s="31" t="n">
        <x:v>0.0134865533</x:v>
      </x:c>
      <x:c r="N6" s="24" t="str">
        <x:v>pollachius virens</x:v>
      </x:c>
      <x:c r="O6" s="32" t="n">
        <x:v>4.31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Pollachius virens</x:v>
      </x:c>
      <x:c r="T6" s="32" t="n">
        <x:f>IF(O6="","",(1/'Metadata'!$B$5)^(O6-1))</x:f>
        <x:v>2041.7379446695275</x:v>
      </x:c>
      <x:c r="U6" s="31" t="n">
        <x:f>IF(T6="","",I6*T6)</x:f>
        <x:v>16873501.19846182</x:v>
      </x:c>
    </x:row>
    <x:row r="7" ht="18" customHeight="1">
      <x:c r="A7" s="24" t="str">
        <x:v>LME_021</x:v>
      </x:c>
      <x:c r="B7" s="24" t="str">
        <x:v>Norwegian Sea</x:v>
      </x:c>
      <x:c r="C7" s="24" t="str">
        <x:v>LME</x:v>
      </x:c>
      <x:c r="D7" s="30" t="n">
        <x:v>2019</x:v>
      </x:c>
      <x:c r="E7" s="24" t="str">
        <x:v>Melanogrammus aeglefinus</x:v>
      </x:c>
      <x:c r="F7" s="24" t="str">
        <x:v>Haddock</x:v>
      </x:c>
      <x:c r="G7" s="24" t="str">
        <x:v>Medium demersals (30 - 89 cm)</x:v>
      </x:c>
      <x:c r="H7" s="24" t="str">
        <x:v>Cod-likes</x:v>
      </x:c>
      <x:c r="I7" s="31" t="n">
        <x:v>7902.3896917797</x:v>
      </x:c>
      <x:c r="J7" s="31" t="n">
        <x:v>7902.3896917797</x:v>
      </x:c>
      <x:c r="K7" s="31" t="n">
        <x:v>0</x:v>
      </x:c>
      <x:c r="L7" s="31" t="n">
        <x:v>6981.3988001902</x:v>
      </x:c>
      <x:c r="M7" s="31" t="n">
        <x:v>920.9908915895</x:v>
      </x:c>
      <x:c r="N7" s="24" t="str">
        <x:v>melanogrammus aeglefinus</x:v>
      </x:c>
      <x:c r="O7" s="32" t="n">
        <x:v>4.03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Melanogrammus aeglefinus</x:v>
      </x:c>
      <x:c r="T7" s="32" t="n">
        <x:f>IF(O7="","",(1/'Metadata'!$B$5)^(O7-1))</x:f>
        <x:v>1071.519305237607</x:v>
      </x:c>
      <x:c r="U7" s="31" t="n">
        <x:f>IF(T7="","",I7*T7)</x:f>
        <x:v>8467563.112252612</x:v>
      </x:c>
    </x:row>
    <x:row r="8" ht="18" customHeight="1">
      <x:c r="A8" s="24" t="str">
        <x:v>LME_021</x:v>
      </x:c>
      <x:c r="B8" s="24" t="str">
        <x:v>Norwegian Sea</x:v>
      </x:c>
      <x:c r="C8" s="24" t="str">
        <x:v>LME</x:v>
      </x:c>
      <x:c r="D8" s="30" t="n">
        <x:v>2019</x:v>
      </x:c>
      <x:c r="E8" s="24" t="str">
        <x:v>Sebastes mentella</x:v>
      </x:c>
      <x:c r="F8" s="24" t="str">
        <x:v>Beaked redfish</x:v>
      </x:c>
      <x:c r="G8" s="24" t="str">
        <x:v>Medium bathypelagics (30 - 89 cm)</x:v>
      </x:c>
      <x:c r="H8" s="24" t="str">
        <x:v>Scorpionfishes</x:v>
      </x:c>
      <x:c r="I8" s="31" t="n">
        <x:v>3789.8172278718994</x:v>
      </x:c>
      <x:c r="J8" s="31" t="n">
        <x:v>3788.5548343492997</x:v>
      </x:c>
      <x:c r="K8" s="31" t="n">
        <x:v>1.2623935226</x:v>
      </x:c>
      <x:c r="L8" s="31" t="n">
        <x:v>3788.5548343492997</x:v>
      </x:c>
      <x:c r="M8" s="31" t="n">
        <x:v>1.2623935226</x:v>
      </x:c>
      <x:c r="N8" s="24" t="str">
        <x:v>sebastes mentella</x:v>
      </x:c>
      <x:c r="O8" s="32" t="n">
        <x:v>3.65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Sebastes mentella</x:v>
      </x:c>
      <x:c r="T8" s="32" t="n">
        <x:f>IF(O8="","",(1/'Metadata'!$B$5)^(O8-1))</x:f>
        <x:v>446.683592150963</x:v>
      </x:c>
      <x:c r="U8" s="31" t="n">
        <x:f>IF(T8="","",I8*T8)</x:f>
        <x:v>1692849.172941425</x:v>
      </x:c>
    </x:row>
    <x:row r="9" ht="18" customHeight="1">
      <x:c r="A9" s="24" t="str">
        <x:v>LME_021</x:v>
      </x:c>
      <x:c r="B9" s="24" t="str">
        <x:v>Norwegian Sea</x:v>
      </x:c>
      <x:c r="C9" s="24" t="str">
        <x:v>LME</x:v>
      </x:c>
      <x:c r="D9" s="30" t="n">
        <x:v>2019</x:v>
      </x:c>
      <x:c r="E9" s="24" t="str">
        <x:v>Micromesistius poutassou</x:v>
      </x:c>
      <x:c r="F9" s="24" t="str">
        <x:v>Blue whiting</x:v>
      </x:c>
      <x:c r="G9" s="24" t="str">
        <x:v>Medium benthopelagics (30 - 89 cm)</x:v>
      </x:c>
      <x:c r="H9" s="24" t="str">
        <x:v>Cod-likes</x:v>
      </x:c>
      <x:c r="I9" s="31" t="n">
        <x:v>2620.3581510799004</x:v>
      </x:c>
      <x:c r="J9" s="31" t="n">
        <x:v>2598.5527694777</x:v>
      </x:c>
      <x:c r="K9" s="31" t="n">
        <x:v>21.8053816022</x:v>
      </x:c>
      <x:c r="L9" s="31" t="n">
        <x:v>2598.5527694777</x:v>
      </x:c>
      <x:c r="M9" s="31" t="n">
        <x:v>21.8053816022</x:v>
      </x:c>
      <x:c r="N9" s="24" t="str">
        <x:v>micromesistius poutassou</x:v>
      </x:c>
      <x:c r="O9" s="32" t="n">
        <x:v>4.13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Micromesistius poutassou</x:v>
      </x:c>
      <x:c r="T9" s="32" t="n">
        <x:f>IF(O9="","",(1/'Metadata'!$B$5)^(O9-1))</x:f>
        <x:v>1348.9628825916532</x:v>
      </x:c>
      <x:c r="U9" s="31" t="n">
        <x:f>IF(T9="","",I9*T9)</x:f>
        <x:v>3534765.884903277</x:v>
      </x:c>
    </x:row>
    <x:row r="10" ht="18" customHeight="1">
      <x:c r="A10" s="24" t="str">
        <x:v>LME_021</x:v>
      </x:c>
      <x:c r="B10" s="24" t="str">
        <x:v>Norwegian Sea</x:v>
      </x:c>
      <x:c r="C10" s="24" t="str">
        <x:v>LME</x:v>
      </x:c>
      <x:c r="D10" s="30" t="n">
        <x:v>2019</x:v>
      </x:c>
      <x:c r="E10" s="24" t="str">
        <x:v>Trachurus trachurus</x:v>
      </x:c>
      <x:c r="F10" s="24" t="str">
        <x:v>Atlantic horse mackerel</x:v>
      </x:c>
      <x:c r="G10" s="24" t="str">
        <x:v>Medium pelagics (30 - 89 cm)</x:v>
      </x:c>
      <x:c r="H10" s="24" t="str">
        <x:v>Perch-likes</x:v>
      </x:c>
      <x:c r="I10" s="31" t="n">
        <x:v>2589.6568181629</x:v>
      </x:c>
      <x:c r="J10" s="31" t="n">
        <x:v>2398.8933840088002</x:v>
      </x:c>
      <x:c r="K10" s="31" t="n">
        <x:v>190.7634341541</x:v>
      </x:c>
      <x:c r="L10" s="31" t="n">
        <x:v>2398.8933840088002</x:v>
      </x:c>
      <x:c r="M10" s="31" t="n">
        <x:v>190.7634341541</x:v>
      </x:c>
      <x:c r="N10" s="24" t="str">
        <x:v>trachurus trachurus</x:v>
      </x:c>
      <x:c r="O10" s="32" t="n">
        <x:v>3.71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Trachurus trachurus</x:v>
      </x:c>
      <x:c r="T10" s="32" t="n">
        <x:f>IF(O10="","",(1/'Metadata'!$B$5)^(O10-1))</x:f>
        <x:v>512.8613839913648</x:v>
      </x:c>
      <x:c r="U10" s="31" t="n">
        <x:f>IF(T10="","",I10*T10)</x:f>
        <x:v>1328134.9798256992</x:v>
      </x:c>
    </x:row>
    <x:row r="11" ht="18" customHeight="1">
      <x:c r="A11" s="24" t="str">
        <x:v>LME_021</x:v>
      </x:c>
      <x:c r="B11" s="24" t="str">
        <x:v>Norwegian Sea</x:v>
      </x:c>
      <x:c r="C11" s="24" t="str">
        <x:v>LME</x:v>
      </x:c>
      <x:c r="D11" s="30" t="n">
        <x:v>2019</x:v>
      </x:c>
      <x:c r="E11" s="24" t="str">
        <x:v>Reinhardtius hippoglossoides</x:v>
      </x:c>
      <x:c r="F11" s="24" t="str">
        <x:v>Greenland halibut</x:v>
      </x:c>
      <x:c r="G11" s="24" t="str">
        <x:v>Small to medium flatfishes (&lt;90 cm)</x:v>
      </x:c>
      <x:c r="H11" s="24" t="str">
        <x:v>Flatfishes</x:v>
      </x:c>
      <x:c r="I11" s="31" t="n">
        <x:v>1123.1357939656</x:v>
      </x:c>
      <x:c r="J11" s="31" t="n">
        <x:v>1122.7898918044</x:v>
      </x:c>
      <x:c r="K11" s="31" t="n">
        <x:v>0.3459021612</x:v>
      </x:c>
      <x:c r="L11" s="31" t="n">
        <x:v>1122.7898918044</x:v>
      </x:c>
      <x:c r="M11" s="31" t="n">
        <x:v>0.3459021612</x:v>
      </x:c>
      <x:c r="N11" s="24" t="str">
        <x:v>reinhardtius hippoglossoides</x:v>
      </x:c>
      <x:c r="O11" s="32" t="n">
        <x:v>4.38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Reinhardtius hippoglossoides</x:v>
      </x:c>
      <x:c r="T11" s="32" t="n">
        <x:f>IF(O11="","",(1/'Metadata'!$B$5)^(O11-1))</x:f>
        <x:v>2398.83291901949</x:v>
      </x:c>
      <x:c r="U11" s="31" t="n">
        <x:f>IF(T11="","",I11*T11)</x:f>
        <x:v>2694215.1150937728</x:v>
      </x:c>
    </x:row>
    <x:row r="12" ht="18" customHeight="1">
      <x:c r="A12" s="24" t="str">
        <x:v>LME_021</x:v>
      </x:c>
      <x:c r="B12" s="24" t="str">
        <x:v>Norwegian Sea</x:v>
      </x:c>
      <x:c r="C12" s="24" t="str">
        <x:v>LME</x:v>
      </x:c>
      <x:c r="D12" s="30" t="n">
        <x:v>2019</x:v>
      </x:c>
      <x:c r="E12" s="24" t="str">
        <x:v>Anarhichas denticulatus</x:v>
      </x:c>
      <x:c r="F12" s="24" t="str">
        <x:v>Northern wolffish</x:v>
      </x:c>
      <x:c r="G12" s="24" t="str">
        <x:v>Large benthopelagics (&gt;=90 cm)</x:v>
      </x:c>
      <x:c r="H12" s="24" t="str">
        <x:v>Perch-likes</x:v>
      </x:c>
      <x:c r="I12" s="31" t="n">
        <x:v>982.108904602</x:v>
      </x:c>
      <x:c r="J12" s="31" t="n">
        <x:v>982.108904602</x:v>
      </x:c>
      <x:c r="K12" s="31" t="n">
        <x:v>0</x:v>
      </x:c>
      <x:c r="L12" s="31" t="n">
        <x:v>982.108904602</x:v>
      </x:c>
      <x:c r="M12" s="31" t="n">
        <x:v>0</x:v>
      </x:c>
      <x:c r="N12" s="24" t="str">
        <x:v>anarhichas denticulatus</x:v>
      </x:c>
      <x:c r="O12" s="32" t="n">
        <x:v>3.75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Anarhichas denticulatus</x:v>
      </x:c>
      <x:c r="T12" s="32" t="n">
        <x:f>IF(O12="","",(1/'Metadata'!$B$5)^(O12-1))</x:f>
        <x:v>562.341325190349</x:v>
      </x:c>
      <x:c r="U12" s="31" t="n">
        <x:f>IF(T12="","",I12*T12)</x:f>
        <x:v>552280.4228951308</x:v>
      </x:c>
    </x:row>
    <x:row r="13" ht="18" customHeight="1">
      <x:c r="A13" s="24" t="str">
        <x:v>LME_021</x:v>
      </x:c>
      <x:c r="B13" s="24" t="str">
        <x:v>Norwegian Sea</x:v>
      </x:c>
      <x:c r="C13" s="24" t="str">
        <x:v>LME</x:v>
      </x:c>
      <x:c r="D13" s="30" t="n">
        <x:v>2019</x:v>
      </x:c>
      <x:c r="E13" s="24" t="str">
        <x:v>Molva molva</x:v>
      </x:c>
      <x:c r="F13" s="24" t="str">
        <x:v>Ling</x:v>
      </x:c>
      <x:c r="G13" s="24" t="str">
        <x:v>Large demersals (&gt;=90 cm)</x:v>
      </x:c>
      <x:c r="H13" s="24" t="str">
        <x:v>Cod-likes</x:v>
      </x:c>
      <x:c r="I13" s="31" t="n">
        <x:v>973.8174332627999</x:v>
      </x:c>
      <x:c r="J13" s="31" t="n">
        <x:v>973.7076569141999</x:v>
      </x:c>
      <x:c r="K13" s="31" t="n">
        <x:v>0.1097763486</x:v>
      </x:c>
      <x:c r="L13" s="31" t="n">
        <x:v>86.8004061078</x:v>
      </x:c>
      <x:c r="M13" s="31" t="n">
        <x:v>887.017027155</x:v>
      </x:c>
      <x:c r="N13" s="24" t="str">
        <x:v>molva molva</x:v>
      </x:c>
      <x:c r="O13" s="32" t="n">
        <x:v>4.4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Molva molva</x:v>
      </x:c>
      <x:c r="T13" s="32" t="n">
        <x:f>IF(O13="","",(1/'Metadata'!$B$5)^(O13-1))</x:f>
        <x:v>2511.886431509582</x:v>
      </x:c>
      <x:c r="U13" s="31" t="n">
        <x:f>IF(T13="","",I13*T13)</x:f>
        <x:v>2446118.797380315</x:v>
      </x:c>
    </x:row>
    <x:row r="14" ht="18" customHeight="1">
      <x:c r="A14" s="24" t="str">
        <x:v>LME_021</x:v>
      </x:c>
      <x:c r="B14" s="24" t="str">
        <x:v>Norwegian Sea</x:v>
      </x:c>
      <x:c r="C14" s="24" t="str">
        <x:v>LME</x:v>
      </x:c>
      <x:c r="D14" s="30" t="n">
        <x:v>2019</x:v>
      </x:c>
      <x:c r="E14" s="24" t="str">
        <x:v>Brosme brosme</x:v>
      </x:c>
      <x:c r="F14" s="24" t="str">
        <x:v>Tusk</x:v>
      </x:c>
      <x:c r="G14" s="24" t="str">
        <x:v>Large demersals (&gt;=90 cm)</x:v>
      </x:c>
      <x:c r="H14" s="24" t="str">
        <x:v>Cod-likes</x:v>
      </x:c>
      <x:c r="I14" s="31" t="n">
        <x:v>683.9319815905</x:v>
      </x:c>
      <x:c r="J14" s="31" t="n">
        <x:v>683.927769315</x:v>
      </x:c>
      <x:c r="K14" s="31" t="n">
        <x:v>0.0042122755</x:v>
      </x:c>
      <x:c r="L14" s="31" t="n">
        <x:v>39.6601367629</x:v>
      </x:c>
      <x:c r="M14" s="31" t="n">
        <x:v>644.2718448276</x:v>
      </x:c>
      <x:c r="N14" s="24" t="str">
        <x:v>brosme brosme</x:v>
      </x:c>
      <x:c r="O14" s="32" t="n">
        <x:v>3.9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Brosme brosme</x:v>
      </x:c>
      <x:c r="T14" s="32" t="n">
        <x:f>IF(O14="","",(1/'Metadata'!$B$5)^(O14-1))</x:f>
        <x:v>794.3282347242813</x:v>
      </x:c>
      <x:c r="U14" s="31" t="n">
        <x:f>IF(T14="","",I14*T14)</x:f>
        <x:v>543266.4836082614</x:v>
      </x:c>
    </x:row>
    <x:row r="15" ht="18" customHeight="1">
      <x:c r="A15" s="24" t="str">
        <x:v>LME_021</x:v>
      </x:c>
      <x:c r="B15" s="24" t="str">
        <x:v>Norwegian Sea</x:v>
      </x:c>
      <x:c r="C15" s="24" t="str">
        <x:v>LME</x:v>
      </x:c>
      <x:c r="D15" s="30" t="n">
        <x:v>2019</x:v>
      </x:c>
      <x:c r="E15" s="24" t="str">
        <x:v>Anarhichas minor</x:v>
      </x:c>
      <x:c r="F15" s="24" t="str">
        <x:v>Spotted wolffish</x:v>
      </x:c>
      <x:c r="G15" s="24" t="str">
        <x:v>Large demersals (&gt;=90 cm)</x:v>
      </x:c>
      <x:c r="H15" s="24" t="str">
        <x:v>Perch-likes</x:v>
      </x:c>
      <x:c r="I15" s="31" t="n">
        <x:v>623.7198493732</x:v>
      </x:c>
      <x:c r="J15" s="31" t="n">
        <x:v>623.7198493732</x:v>
      </x:c>
      <x:c r="K15" s="31" t="n">
        <x:v>0</x:v>
      </x:c>
      <x:c r="L15" s="31" t="n">
        <x:v>623.7198493732</x:v>
      </x:c>
      <x:c r="M15" s="31" t="n">
        <x:v>0</x:v>
      </x:c>
      <x:c r="N15" s="24" t="str">
        <x:v>anarhichas minor</x:v>
      </x:c>
      <x:c r="O15" s="32" t="n">
        <x:v>3.45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Anarhichas minor</x:v>
      </x:c>
      <x:c r="T15" s="32" t="n">
        <x:f>IF(O15="","",(1/'Metadata'!$B$5)^(O15-1))</x:f>
        <x:v>281.8382931264455</x:v>
      </x:c>
      <x:c r="U15" s="31" t="n">
        <x:f>IF(T15="","",I15*T15)</x:f>
        <x:v>175788.13773642635</x:v>
      </x:c>
    </x:row>
    <x:row r="16" ht="18" customHeight="1">
      <x:c r="A16" s="24" t="str">
        <x:v>LME_021</x:v>
      </x:c>
      <x:c r="B16" s="24" t="str">
        <x:v>Norwegian Sea</x:v>
      </x:c>
      <x:c r="C16" s="24" t="str">
        <x:v>LME</x:v>
      </x:c>
      <x:c r="D16" s="30" t="n">
        <x:v>2019</x:v>
      </x:c>
      <x:c r="E16" s="24" t="str">
        <x:v>Merluccius merluccius</x:v>
      </x:c>
      <x:c r="F16" s="24" t="str">
        <x:v>European hake</x:v>
      </x:c>
      <x:c r="G16" s="24" t="str">
        <x:v>Large demersals (&gt;=90 cm)</x:v>
      </x:c>
      <x:c r="H16" s="24" t="str">
        <x:v>Cod-likes</x:v>
      </x:c>
      <x:c r="I16" s="31" t="n">
        <x:v>350.9086613058</x:v>
      </x:c>
      <x:c r="J16" s="31" t="n">
        <x:v>350.9086613058</x:v>
      </x:c>
      <x:c r="K16" s="31" t="n">
        <x:v>0</x:v>
      </x:c>
      <x:c r="L16" s="31" t="n">
        <x:v>350.9086613058</x:v>
      </x:c>
      <x:c r="M16" s="31" t="n">
        <x:v>0</x:v>
      </x:c>
      <x:c r="N16" s="24" t="str">
        <x:v>merluccius merluccius</x:v>
      </x:c>
      <x:c r="O16" s="32" t="n">
        <x:v>4.42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Merluccius merluccius</x:v>
      </x:c>
      <x:c r="T16" s="32" t="n">
        <x:f>IF(O16="","",(1/'Metadata'!$B$5)^(O16-1))</x:f>
        <x:v>2630.2679918953813</x:v>
      </x:c>
      <x:c r="U16" s="31" t="n">
        <x:f>IF(T16="","",I16*T16)</x:f>
        <x:v>922983.8199115031</x:v>
      </x:c>
    </x:row>
    <x:row r="17" ht="18" customHeight="1">
      <x:c r="A17" s="24" t="str">
        <x:v>LME_021</x:v>
      </x:c>
      <x:c r="B17" s="24" t="str">
        <x:v>Norwegian Sea</x:v>
      </x:c>
      <x:c r="C17" s="24" t="str">
        <x:v>LME</x:v>
      </x:c>
      <x:c r="D17" s="30" t="n">
        <x:v>2019</x:v>
      </x:c>
      <x:c r="E17" s="24" t="str">
        <x:v>Sebastes</x:v>
      </x:c>
      <x:c r="F17" s="24" t="str">
        <x:v>Redfishes</x:v>
      </x:c>
      <x:c r="G17" s="24" t="str">
        <x:v>Large reef assoc. fish (&gt;=90 cm)</x:v>
      </x:c>
      <x:c r="H17" s="24" t="str">
        <x:v>Scorpionfishes</x:v>
      </x:c>
      <x:c r="I17" s="31" t="n">
        <x:v>301.43137443989997</x:v>
      </x:c>
      <x:c r="J17" s="31" t="n">
        <x:v>301.43137443989997</x:v>
      </x:c>
      <x:c r="K17" s="31" t="n">
        <x:v>0</x:v>
      </x:c>
      <x:c r="L17" s="31" t="n">
        <x:v>301.43137443989997</x:v>
      </x:c>
      <x:c r="M17" s="31" t="n">
        <x:v>0</x:v>
      </x:c>
      <x:c r="N17" s="24" t="str">
        <x:v>sebastes</x:v>
      </x:c>
      <x:c r="O17" s="32" t="n">
        <x:v>3.79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Sebastes</x:v>
      </x:c>
      <x:c r="T17" s="32" t="n">
        <x:f>IF(O17="","",(1/'Metadata'!$B$5)^(O17-1))</x:f>
        <x:v>616.5950018614822</x:v>
      </x:c>
      <x:c r="U17" s="31" t="n">
        <x:f>IF(T17="","",I17*T17)</x:f>
        <x:v>185861.07888387924</x:v>
      </x:c>
    </x:row>
    <x:row r="18" ht="18" customHeight="1">
      <x:c r="A18" s="24" t="str">
        <x:v>LME_021</x:v>
      </x:c>
      <x:c r="B18" s="24" t="str">
        <x:v>Norwegian Sea</x:v>
      </x:c>
      <x:c r="C18" s="24" t="str">
        <x:v>LME</x:v>
      </x:c>
      <x:c r="D18" s="30" t="n">
        <x:v>2019</x:v>
      </x:c>
      <x:c r="E18" s="24" t="str">
        <x:v>Sebastes norvegicus</x:v>
      </x:c>
      <x:c r="F18" s="24" t="str">
        <x:v>Golden redfish</x:v>
      </x:c>
      <x:c r="G18" s="24" t="str">
        <x:v>Medium benthopelagics (30 - 89 cm)</x:v>
      </x:c>
      <x:c r="H18" s="24" t="str">
        <x:v>Scorpionfishes</x:v>
      </x:c>
      <x:c r="I18" s="31" t="n">
        <x:v>293.9153009688</x:v>
      </x:c>
      <x:c r="J18" s="31" t="n">
        <x:v>293.0041432321</x:v>
      </x:c>
      <x:c r="K18" s="31" t="n">
        <x:v>0.9111577366999999</x:v>
      </x:c>
      <x:c r="L18" s="31" t="n">
        <x:v>293.0041432321</x:v>
      </x:c>
      <x:c r="M18" s="31" t="n">
        <x:v>0.9111577366999999</x:v>
      </x:c>
      <x:c r="N18" s="24" t="str">
        <x:v>sebastes norvegicus</x:v>
      </x:c>
      <x:c r="O18" s="32" t="n">
        <x:v>4.04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Sebastes norvegicus</x:v>
      </x:c>
      <x:c r="T18" s="32" t="n">
        <x:f>IF(O18="","",(1/'Metadata'!$B$5)^(O18-1))</x:f>
        <x:v>1096.4781961431852</x:v>
      </x:c>
      <x:c r="U18" s="31" t="n">
        <x:f>IF(T18="","",I18*T18)</x:f>
        <x:v>322271.7190251512</x:v>
      </x:c>
    </x:row>
    <x:row r="19" ht="18" customHeight="1">
      <x:c r="A19" s="24" t="str">
        <x:v>LME_021</x:v>
      </x:c>
      <x:c r="B19" s="24" t="str">
        <x:v>Norwegian Sea</x:v>
      </x:c>
      <x:c r="C19" s="24" t="str">
        <x:v>LME</x:v>
      </x:c>
      <x:c r="D19" s="30" t="n">
        <x:v>2019</x:v>
      </x:c>
      <x:c r="E19" s="24" t="str">
        <x:v>Perciformes</x:v>
      </x:c>
      <x:c r="F19" s="24" t="str">
        <x:v>Perch-likes</x:v>
      </x:c>
      <x:c r="G19" s="24" t="str">
        <x:v>Medium demersals (30 - 89 cm)</x:v>
      </x:c>
      <x:c r="H19" s="24" t="str">
        <x:v>Perch-likes</x:v>
      </x:c>
      <x:c r="I19" s="31" t="n">
        <x:v>178.7937832698</x:v>
      </x:c>
      <x:c r="J19" s="31" t="n">
        <x:v>178.7937832698</x:v>
      </x:c>
      <x:c r="K19" s="31" t="n">
        <x:v>0</x:v>
      </x:c>
      <x:c r="L19" s="31" t="n">
        <x:v>178.7937832698</x:v>
      </x:c>
      <x:c r="M19" s="31" t="n">
        <x:v>0</x:v>
      </x:c>
      <x:c r="N19" s="24" t="str">
        <x:v>perciformes</x:v>
      </x:c>
      <x:c r="O19" s="32" t="n">
        <x:v>3.53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Perciformes</x:v>
      </x:c>
      <x:c r="T19" s="32" t="n">
        <x:f>IF(O19="","",(1/'Metadata'!$B$5)^(O19-1))</x:f>
        <x:v>338.84415613920237</x:v>
      </x:c>
      <x:c r="U19" s="31" t="n">
        <x:f>IF(T19="","",I19*T19)</x:f>
        <x:v>60583.22861499082</x:v>
      </x:c>
    </x:row>
    <x:row r="20" ht="18" customHeight="1">
      <x:c r="A20" s="24" t="str">
        <x:v>LME_021</x:v>
      </x:c>
      <x:c r="B20" s="24" t="str">
        <x:v>Norwegian Sea</x:v>
      </x:c>
      <x:c r="C20" s="24" t="str">
        <x:v>LME</x:v>
      </x:c>
      <x:c r="D20" s="30" t="n">
        <x:v>2019</x:v>
      </x:c>
      <x:c r="E20" s="24" t="str">
        <x:v>Trachurus</x:v>
      </x:c>
      <x:c r="F20" s="24" t="str">
        <x:v>Jacks, horse mackerels</x:v>
      </x:c>
      <x:c r="G20" s="24" t="str">
        <x:v>Medium pelagics (30 - 89 cm)</x:v>
      </x:c>
      <x:c r="H20" s="24" t="str">
        <x:v>Perch-likes</x:v>
      </x:c>
      <x:c r="I20" s="31" t="n">
        <x:v>137.2580453324</x:v>
      </x:c>
      <x:c r="J20" s="31" t="n">
        <x:v>137.2580453324</x:v>
      </x:c>
      <x:c r="K20" s="31" t="n">
        <x:v>0</x:v>
      </x:c>
      <x:c r="L20" s="31" t="n">
        <x:v>137.2580453324</x:v>
      </x:c>
      <x:c r="M20" s="31" t="n">
        <x:v>0</x:v>
      </x:c>
      <x:c r="N20" s="24" t="str">
        <x:v>trachurus</x:v>
      </x:c>
      <x:c r="O20" s="32" t="n">
        <x:v>3.69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Trachurus</x:v>
      </x:c>
      <x:c r="T20" s="32" t="n">
        <x:f>IF(O20="","",(1/'Metadata'!$B$5)^(O20-1))</x:f>
        <x:v>489.77881936844614</x:v>
      </x:c>
      <x:c r="U20" s="31" t="n">
        <x:f>IF(T20="","",I20*T20)</x:f>
        <x:v>67226.08339172353</x:v>
      </x:c>
    </x:row>
    <x:row r="21" ht="18" customHeight="1">
      <x:c r="A21" s="24" t="str">
        <x:v>LME_021</x:v>
      </x:c>
      <x:c r="B21" s="24" t="str">
        <x:v>Norwegian Sea</x:v>
      </x:c>
      <x:c r="C21" s="24" t="str">
        <x:v>LME</x:v>
      </x:c>
      <x:c r="D21" s="30" t="n">
        <x:v>2019</x:v>
      </x:c>
      <x:c r="E21" s="24" t="str">
        <x:v>Marine finfishes not identified</x:v>
      </x:c>
      <x:c r="F21" s="24" t="str">
        <x:v>Finfishes</x:v>
      </x:c>
      <x:c r="G21" s="24" t="str">
        <x:v>Medium demersals (30 - 89 cm)</x:v>
      </x:c>
      <x:c r="H21" s="24" t="str">
        <x:v>Other fishes &amp; inverts</x:v>
      </x:c>
      <x:c r="I21" s="31" t="n">
        <x:v>100.2600109812</x:v>
      </x:c>
      <x:c r="J21" s="31" t="n">
        <x:v>77.0860380066</x:v>
      </x:c>
      <x:c r="K21" s="31" t="n">
        <x:v>23.173972974599998</x:v>
      </x:c>
      <x:c r="L21" s="31" t="n">
        <x:v>77.0860380066</x:v>
      </x:c>
      <x:c r="M21" s="31" t="n">
        <x:v>23.173972974599998</x:v>
      </x:c>
      <x:c r="N21" s="24" t="str">
        <x:v>marine finfishes not identified</x:v>
      </x:c>
      <x:c r="O21" s="32" t="n">
        <x:v>3.23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Marine finfishes not identified</x:v>
      </x:c>
      <x:c r="T21" s="32" t="n">
        <x:f>IF(O21="","",(1/'Metadata'!$B$5)^(O21-1))</x:f>
        <x:v>169.82436524617444</x:v>
      </x:c>
      <x:c r="U21" s="31" t="n">
        <x:f>IF(T21="","",I21*T21)</x:f>
        <x:v>17026.59272445677</x:v>
      </x:c>
    </x:row>
    <x:row r="22" ht="18" customHeight="1">
      <x:c r="A22" s="24" t="str">
        <x:v>LME_021</x:v>
      </x:c>
      <x:c r="B22" s="24" t="str">
        <x:v>Norwegian Sea</x:v>
      </x:c>
      <x:c r="C22" s="24" t="str">
        <x:v>LME</x:v>
      </x:c>
      <x:c r="D22" s="30" t="n">
        <x:v>2019</x:v>
      </x:c>
      <x:c r="E22" s="24" t="str">
        <x:v>Lophiidae</x:v>
      </x:c>
      <x:c r="F22" s="24" t="str">
        <x:v>Goosefishes</x:v>
      </x:c>
      <x:c r="G22" s="24" t="str">
        <x:v>Medium bathydemersals (30 - 89 cm)</x:v>
      </x:c>
      <x:c r="H22" s="24" t="str">
        <x:v>Other fishes &amp; inverts</x:v>
      </x:c>
      <x:c r="I22" s="31" t="n">
        <x:v>97.7522074655</x:v>
      </x:c>
      <x:c r="J22" s="31" t="n">
        <x:v>97.7522074655</x:v>
      </x:c>
      <x:c r="K22" s="31" t="n">
        <x:v>0</x:v>
      </x:c>
      <x:c r="L22" s="31" t="n">
        <x:v>97.7522074655</x:v>
      </x:c>
      <x:c r="M22" s="31" t="n">
        <x:v>0</x:v>
      </x:c>
      <x:c r="N22" s="24" t="str">
        <x:v>lophiidae</x:v>
      </x:c>
      <x:c r="O22" s="32" t="n">
        <x:v>4.46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Lophiidae</x:v>
      </x:c>
      <x:c r="T22" s="32" t="n">
        <x:f>IF(O22="","",(1/'Metadata'!$B$5)^(O22-1))</x:f>
        <x:v>2884.031503126606</x:v>
      </x:c>
      <x:c r="U22" s="31" t="n">
        <x:f>IF(T22="","",I22*T22)</x:f>
        <x:v>281920.44583066984</x:v>
      </x:c>
    </x:row>
    <x:row r="23" ht="18" customHeight="1">
      <x:c r="A23" s="24" t="str">
        <x:v>LME_021</x:v>
      </x:c>
      <x:c r="B23" s="24" t="str">
        <x:v>Norwegian Sea</x:v>
      </x:c>
      <x:c r="C23" s="24" t="str">
        <x:v>LME</x:v>
      </x:c>
      <x:c r="D23" s="30" t="n">
        <x:v>2019</x:v>
      </x:c>
      <x:c r="E23" s="24" t="str">
        <x:v>Hippoglossoides platessoides</x:v>
      </x:c>
      <x:c r="F23" s="24" t="str">
        <x:v>American plaice</x:v>
      </x:c>
      <x:c r="G23" s="24" t="str">
        <x:v>Small to medium flatfishes (&lt;90 cm)</x:v>
      </x:c>
      <x:c r="H23" s="24" t="str">
        <x:v>Flatfishes</x:v>
      </x:c>
      <x:c r="I23" s="31" t="n">
        <x:v>87.30820630859999</x:v>
      </x:c>
      <x:c r="J23" s="31" t="n">
        <x:v>87.30820630859999</x:v>
      </x:c>
      <x:c r="K23" s="31" t="n">
        <x:v>0</x:v>
      </x:c>
      <x:c r="L23" s="31" t="n">
        <x:v>87.30820630859999</x:v>
      </x:c>
      <x:c r="M23" s="31" t="n">
        <x:v>0</x:v>
      </x:c>
      <x:c r="N23" s="24" t="str">
        <x:v>hippoglossoides platessoides</x:v>
      </x:c>
      <x:c r="O23" s="32" t="n">
        <x:v>4.08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Hippoglossoides platessoides</x:v>
      </x:c>
      <x:c r="T23" s="32" t="n">
        <x:f>IF(O23="","",(1/'Metadata'!$B$5)^(O23-1))</x:f>
        <x:v>1202.2644346174131</x:v>
      </x:c>
      <x:c r="U23" s="31" t="n">
        <x:f>IF(T23="","",I23*T23)</x:f>
        <x:v>104967.55129506944</x:v>
      </x:c>
    </x:row>
    <x:row r="24" ht="18" customHeight="1">
      <x:c r="A24" s="24" t="str">
        <x:v>LME_021</x:v>
      </x:c>
      <x:c r="B24" s="24" t="str">
        <x:v>Norwegian Sea</x:v>
      </x:c>
      <x:c r="C24" s="24" t="str">
        <x:v>LME</x:v>
      </x:c>
      <x:c r="D24" s="30" t="n">
        <x:v>2019</x:v>
      </x:c>
      <x:c r="E24" s="24" t="str">
        <x:v>Lepidorhombus</x:v>
      </x:c>
      <x:c r="F24" s="24" t="str">
        <x:v>Megrims</x:v>
      </x:c>
      <x:c r="G24" s="24" t="str">
        <x:v>Small to medium flatfishes (&lt;90 cm)</x:v>
      </x:c>
      <x:c r="H24" s="24" t="str">
        <x:v>Flatfishes</x:v>
      </x:c>
      <x:c r="I24" s="31" t="n">
        <x:v>79.91732092630001</x:v>
      </x:c>
      <x:c r="J24" s="31" t="n">
        <x:v>79.91732092630001</x:v>
      </x:c>
      <x:c r="K24" s="31" t="n">
        <x:v>0</x:v>
      </x:c>
      <x:c r="L24" s="31" t="n">
        <x:v>79.91732092630001</x:v>
      </x:c>
      <x:c r="M24" s="31" t="n">
        <x:v>0</x:v>
      </x:c>
      <x:c r="N24" s="24" t="str">
        <x:v>lepidorhombus</x:v>
      </x:c>
      <x:c r="O24" s="32" t="n">
        <x:v>3.96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Lepidorhombus</x:v>
      </x:c>
      <x:c r="T24" s="32" t="n">
        <x:f>IF(O24="","",(1/'Metadata'!$B$5)^(O24-1))</x:f>
        <x:v>912.0108393559096</x:v>
      </x:c>
      <x:c r="U24" s="31" t="n">
        <x:f>IF(T24="","",I24*T24)</x:f>
        <x:v>72885.46293707048</x:v>
      </x:c>
    </x:row>
    <x:row r="25" ht="18" customHeight="1">
      <x:c r="A25" s="24" t="str">
        <x:v>LME_021</x:v>
      </x:c>
      <x:c r="B25" s="24" t="str">
        <x:v>Norwegian Sea</x:v>
      </x:c>
      <x:c r="C25" s="24" t="str">
        <x:v>LME</x:v>
      </x:c>
      <x:c r="D25" s="30" t="n">
        <x:v>2019</x:v>
      </x:c>
      <x:c r="E25" s="24" t="str">
        <x:v>Raja</x:v>
      </x:c>
      <x:c r="F25" s="24" t="str">
        <x:v>Stingrays, skates</x:v>
      </x:c>
      <x:c r="G25" s="24" t="str">
        <x:v>Small to medium rays (&lt;90 cm)</x:v>
      </x:c>
      <x:c r="H25" s="24" t="str">
        <x:v>Sharks &amp; rays</x:v>
      </x:c>
      <x:c r="I25" s="31" t="n">
        <x:v>76.8673254586</x:v>
      </x:c>
      <x:c r="J25" s="31" t="n">
        <x:v>76.8673254586</x:v>
      </x:c>
      <x:c r="K25" s="31" t="n">
        <x:v>0</x:v>
      </x:c>
      <x:c r="L25" s="31" t="n">
        <x:v>76.8673254586</x:v>
      </x:c>
      <x:c r="M25" s="31" t="n">
        <x:v>0</x:v>
      </x:c>
      <x:c r="N25" s="24" t="str">
        <x:v>raja</x:v>
      </x:c>
      <x:c r="O25" s="32" t="n">
        <x:v>3.8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Raja</x:v>
      </x:c>
      <x:c r="T25" s="32" t="n">
        <x:f>IF(O25="","",(1/'Metadata'!$B$5)^(O25-1))</x:f>
        <x:v>630.957344480193</x:v>
      </x:c>
      <x:c r="U25" s="31" t="n">
        <x:f>IF(T25="","",I25*T25)</x:f>
        <x:v>48500.003548652996</x:v>
      </x:c>
    </x:row>
    <x:row r="26" ht="18" customHeight="1">
      <x:c r="A26" s="24" t="str">
        <x:v>LME_021</x:v>
      </x:c>
      <x:c r="B26" s="24" t="str">
        <x:v>Norwegian Sea</x:v>
      </x:c>
      <x:c r="C26" s="24" t="str">
        <x:v>LME</x:v>
      </x:c>
      <x:c r="D26" s="30" t="n">
        <x:v>2019</x:v>
      </x:c>
      <x:c r="E26" s="24" t="str">
        <x:v>Chelon labrosus</x:v>
      </x:c>
      <x:c r="F26" s="24" t="str">
        <x:v>Thicklip grey mullet</x:v>
      </x:c>
      <x:c r="G26" s="24" t="str">
        <x:v>Medium demersals (30 - 89 cm)</x:v>
      </x:c>
      <x:c r="H26" s="24" t="str">
        <x:v>Perch-likes</x:v>
      </x:c>
      <x:c r="I26" s="31" t="n">
        <x:v>46.2807783579</x:v>
      </x:c>
      <x:c r="J26" s="31" t="n">
        <x:v>46.2807783579</x:v>
      </x:c>
      <x:c r="K26" s="31" t="n">
        <x:v>0</x:v>
      </x:c>
      <x:c r="L26" s="31" t="n">
        <x:v>46.2807783579</x:v>
      </x:c>
      <x:c r="M26" s="31" t="n">
        <x:v>0</x:v>
      </x:c>
      <x:c r="N26" s="24" t="str">
        <x:v>chelon labrosus</x:v>
      </x:c>
      <x:c r="O26" s="32" t="n">
        <x:v>2.59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Chelon labrosus</x:v>
      </x:c>
      <x:c r="T26" s="32" t="n">
        <x:f>IF(O26="","",(1/'Metadata'!$B$5)^(O26-1))</x:f>
        <x:v>38.904514499428046</x:v>
      </x:c>
      <x:c r="U26" s="31" t="n">
        <x:f>IF(T26="","",I26*T26)</x:f>
        <x:v>1800.531212669736</x:v>
      </x:c>
    </x:row>
    <x:row r="27" ht="18" customHeight="1">
      <x:c r="A27" s="24" t="str">
        <x:v>LME_021</x:v>
      </x:c>
      <x:c r="B27" s="24" t="str">
        <x:v>Norwegian Sea</x:v>
      </x:c>
      <x:c r="C27" s="24" t="str">
        <x:v>LME</x:v>
      </x:c>
      <x:c r="D27" s="30" t="n">
        <x:v>2019</x:v>
      </x:c>
      <x:c r="E27" s="24" t="str">
        <x:v>Brachyura</x:v>
      </x:c>
      <x:c r="F27" s="24" t="str">
        <x:v>Marine crabs</x:v>
      </x:c>
      <x:c r="G27" s="24" t="str">
        <x:v>Lobsters, crabs</x:v>
      </x:c>
      <x:c r="H27" s="24" t="str">
        <x:v>Crustaceans</x:v>
      </x:c>
      <x:c r="I27" s="31" t="n">
        <x:v>41.6200165752</x:v>
      </x:c>
      <x:c r="J27" s="31" t="n">
        <x:v>41.6200165752</x:v>
      </x:c>
      <x:c r="K27" s="31" t="n">
        <x:v>0</x:v>
      </x:c>
      <x:c r="L27" s="31" t="n">
        <x:v>41.6200165752</x:v>
      </x:c>
      <x:c r="M27" s="31" t="n">
        <x:v>0</x:v>
      </x:c>
      <x:c r="N27" s="24" t="str">
        <x:v>brachyura</x:v>
      </x:c>
      <x:c r="O27" s="32" t="n">
        <x:v>2.6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Brachyura</x:v>
      </x:c>
      <x:c r="T27" s="32" t="n">
        <x:f>IF(O27="","",(1/'Metadata'!$B$5)^(O27-1))</x:f>
        <x:v>39.810717055349734</x:v>
      </x:c>
      <x:c r="U27" s="31" t="n">
        <x:f>IF(T27="","",I27*T27)</x:f>
        <x:v>1656.9227037142532</x:v>
      </x:c>
    </x:row>
    <x:row r="28" ht="18" customHeight="1">
      <x:c r="A28" s="24" t="str">
        <x:v>LME_021</x:v>
      </x:c>
      <x:c r="B28" s="24" t="str">
        <x:v>Norwegian Sea</x:v>
      </x:c>
      <x:c r="C28" s="24" t="str">
        <x:v>LME</x:v>
      </x:c>
      <x:c r="D28" s="30" t="n">
        <x:v>2019</x:v>
      </x:c>
      <x:c r="E28" s="24" t="str">
        <x:v>Anarhichas lupus</x:v>
      </x:c>
      <x:c r="F28" s="24" t="str">
        <x:v>Atlantic wolffish</x:v>
      </x:c>
      <x:c r="G28" s="24" t="str">
        <x:v>Large demersals (&gt;=90 cm)</x:v>
      </x:c>
      <x:c r="H28" s="24" t="str">
        <x:v>Perch-likes</x:v>
      </x:c>
      <x:c r="I28" s="31" t="n">
        <x:v>38.002803094899996</x:v>
      </x:c>
      <x:c r="J28" s="31" t="n">
        <x:v>38.002803094899996</x:v>
      </x:c>
      <x:c r="K28" s="31" t="n">
        <x:v>0</x:v>
      </x:c>
      <x:c r="L28" s="31" t="n">
        <x:v>38.002803094899996</x:v>
      </x:c>
      <x:c r="M28" s="31" t="n">
        <x:v>0</x:v>
      </x:c>
      <x:c r="N28" s="24" t="str">
        <x:v>anarhichas lupus</x:v>
      </x:c>
      <x:c r="O28" s="32" t="n">
        <x:v>3.55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Anarhichas lupus</x:v>
      </x:c>
      <x:c r="T28" s="32" t="n">
        <x:f>IF(O28="","",(1/'Metadata'!$B$5)^(O28-1))</x:f>
        <x:v>354.8133892335753</x:v>
      </x:c>
      <x:c r="U28" s="31" t="n">
        <x:f>IF(T28="","",I28*T28)</x:f>
        <x:v>13483.903366477673</x:v>
      </x:c>
    </x:row>
    <x:row r="29" ht="18" customHeight="1">
      <x:c r="A29" s="24" t="str">
        <x:v>LME_021</x:v>
      </x:c>
      <x:c r="B29" s="24" t="str">
        <x:v>Norwegian Sea</x:v>
      </x:c>
      <x:c r="C29" s="24" t="str">
        <x:v>LME</x:v>
      </x:c>
      <x:c r="D29" s="30" t="n">
        <x:v>2019</x:v>
      </x:c>
      <x:c r="E29" s="24" t="str">
        <x:v>Miscellaneous marine crustaceans</x:v>
      </x:c>
      <x:c r="F29" s="24" t="str">
        <x:v>Marine crabs, shrimps, lobsters nei</x:v>
      </x:c>
      <x:c r="G29" s="24" t="str">
        <x:v>Shrimps</x:v>
      </x:c>
      <x:c r="H29" s="24" t="str">
        <x:v>Crustaceans</x:v>
      </x:c>
      <x:c r="I29" s="31" t="n">
        <x:v>37.7686410886</x:v>
      </x:c>
      <x:c r="J29" s="31" t="n">
        <x:v>0.2377207906</x:v>
      </x:c>
      <x:c r="K29" s="31" t="n">
        <x:v>37.530920298</x:v>
      </x:c>
      <x:c r="L29" s="31" t="n">
        <x:v>0.2377207906</x:v>
      </x:c>
      <x:c r="M29" s="31" t="n">
        <x:v>37.530920298</x:v>
      </x:c>
      <x:c r="N29" s="24" t="str">
        <x:v>miscellaneous marine crustaceans</x:v>
      </x:c>
      <x:c r="O29" s="32" t="n">
        <x:v>2.7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Miscellaneous marine crustaceans</x:v>
      </x:c>
      <x:c r="T29" s="32" t="n">
        <x:f>IF(O29="","",(1/'Metadata'!$B$5)^(O29-1))</x:f>
        <x:v>50.11872336272725</x:v>
      </x:c>
      <x:c r="U29" s="31" t="n">
        <x:f>IF(T29="","",I29*T29)</x:f>
        <x:v>1892.9160745056772</x:v>
      </x:c>
    </x:row>
    <x:row r="30" ht="18" customHeight="1">
      <x:c r="A30" s="24" t="str">
        <x:v>LME_021</x:v>
      </x:c>
      <x:c r="B30" s="24" t="str">
        <x:v>Norwegian Sea</x:v>
      </x:c>
      <x:c r="C30" s="24" t="str">
        <x:v>LME</x:v>
      </x:c>
      <x:c r="D30" s="30" t="n">
        <x:v>2019</x:v>
      </x:c>
      <x:c r="E30" s="24" t="str">
        <x:v>Lophius</x:v>
      </x:c>
      <x:c r="F30" s="24" t="str">
        <x:v>Frogfishes</x:v>
      </x:c>
      <x:c r="G30" s="24" t="str">
        <x:v>Medium bathydemersals (30 - 89 cm)</x:v>
      </x:c>
      <x:c r="H30" s="24" t="str">
        <x:v>Other fishes &amp; inverts</x:v>
      </x:c>
      <x:c r="I30" s="31" t="n">
        <x:v>35.0785646889</x:v>
      </x:c>
      <x:c r="J30" s="31" t="n">
        <x:v>35.0785646889</x:v>
      </x:c>
      <x:c r="K30" s="31" t="n">
        <x:v>0</x:v>
      </x:c>
      <x:c r="L30" s="31" t="n">
        <x:v>35.0785646889</x:v>
      </x:c>
      <x:c r="M30" s="31" t="n">
        <x:v>0</x:v>
      </x:c>
      <x:c r="N30" s="24" t="str">
        <x:v>lophius</x:v>
      </x:c>
      <x:c r="O30" s="32" t="n">
        <x:v>4.46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Lophius</x:v>
      </x:c>
      <x:c r="T30" s="32" t="n">
        <x:f>IF(O30="","",(1/'Metadata'!$B$5)^(O30-1))</x:f>
        <x:v>2884.031503126606</x:v>
      </x:c>
      <x:c r="U30" s="31" t="n">
        <x:f>IF(T30="","",I30*T30)</x:f>
        <x:v>101167.68564725215</x:v>
      </x:c>
    </x:row>
    <x:row r="31" ht="18" customHeight="1">
      <x:c r="A31" s="24" t="str">
        <x:v>LME_021</x:v>
      </x:c>
      <x:c r="B31" s="24" t="str">
        <x:v>Norwegian Sea</x:v>
      </x:c>
      <x:c r="C31" s="24" t="str">
        <x:v>LME</x:v>
      </x:c>
      <x:c r="D31" s="30" t="n">
        <x:v>2019</x:v>
      </x:c>
      <x:c r="E31" s="24" t="str">
        <x:v>Carcinus maenas</x:v>
      </x:c>
      <x:c r="F31" s="24" t="str">
        <x:v>Green crab</x:v>
      </x:c>
      <x:c r="G31" s="24" t="str">
        <x:v>Lobsters, crabs</x:v>
      </x:c>
      <x:c r="H31" s="24" t="str">
        <x:v>Crustaceans</x:v>
      </x:c>
      <x:c r="I31" s="31" t="n">
        <x:v>34.1941465476</x:v>
      </x:c>
      <x:c r="J31" s="31" t="n">
        <x:v>34.1941465476</x:v>
      </x:c>
      <x:c r="K31" s="31" t="n">
        <x:v>0</x:v>
      </x:c>
      <x:c r="L31" s="31" t="n">
        <x:v>34.1941465476</x:v>
      </x:c>
      <x:c r="M31" s="31" t="n">
        <x:v>0</x:v>
      </x:c>
      <x:c r="N31" s="24" t="str">
        <x:v>carcinus maenas</x:v>
      </x:c>
      <x:c r="O31" s="32" t="n">
        <x:v>3.5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Carcinus maenas</x:v>
      </x:c>
      <x:c r="T31" s="32" t="n">
        <x:f>IF(O31="","",(1/'Metadata'!$B$5)^(O31-1))</x:f>
        <x:v>316.22776601683796</x:v>
      </x:c>
      <x:c r="U31" s="31" t="n">
        <x:f>IF(T31="","",I31*T31)</x:f>
        <x:v>10813.13857359992</x:v>
      </x:c>
    </x:row>
    <x:row r="32" ht="18" customHeight="1">
      <x:c r="A32" s="24" t="str">
        <x:v>LME_021</x:v>
      </x:c>
      <x:c r="B32" s="24" t="str">
        <x:v>Norwegian Sea</x:v>
      </x:c>
      <x:c r="C32" s="24" t="str">
        <x:v>LME</x:v>
      </x:c>
      <x:c r="D32" s="30" t="n">
        <x:v>2019</x:v>
      </x:c>
      <x:c r="E32" s="24" t="str">
        <x:v>Coryphaenoides rupestris</x:v>
      </x:c>
      <x:c r="F32" s="24" t="str">
        <x:v>Roundnose grenadier</x:v>
      </x:c>
      <x:c r="G32" s="24" t="str">
        <x:v>Large bathypelagics (&gt;=90 cm)</x:v>
      </x:c>
      <x:c r="H32" s="24" t="str">
        <x:v>Cod-likes</x:v>
      </x:c>
      <x:c r="I32" s="31" t="n">
        <x:v>33.4067811008</x:v>
      </x:c>
      <x:c r="J32" s="31" t="n">
        <x:v>33.4067811008</x:v>
      </x:c>
      <x:c r="K32" s="31" t="n">
        <x:v>0</x:v>
      </x:c>
      <x:c r="L32" s="31" t="n">
        <x:v>33.4067811008</x:v>
      </x:c>
      <x:c r="M32" s="31" t="n">
        <x:v>0</x:v>
      </x:c>
      <x:c r="N32" s="24" t="str">
        <x:v>coryphaenoides rupestris</x:v>
      </x:c>
      <x:c r="O32" s="32" t="n">
        <x:v>3.54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Coryphaenoides rupestris</x:v>
      </x:c>
      <x:c r="T32" s="32" t="n">
        <x:f>IF(O32="","",(1/'Metadata'!$B$5)^(O32-1))</x:f>
        <x:v>346.73685045253166</x:v>
      </x:c>
      <x:c r="U32" s="31" t="n">
        <x:f>IF(T32="","",I32*T32)</x:f>
        <x:v>11583.362062648552</x:v>
      </x:c>
    </x:row>
    <x:row r="33" ht="18" customHeight="1">
      <x:c r="A33" s="24" t="str">
        <x:v>LME_021</x:v>
      </x:c>
      <x:c r="B33" s="24" t="str">
        <x:v>Norwegian Sea</x:v>
      </x:c>
      <x:c r="C33" s="24" t="str">
        <x:v>LME</x:v>
      </x:c>
      <x:c r="D33" s="30" t="n">
        <x:v>2019</x:v>
      </x:c>
      <x:c r="E33" s="24" t="str">
        <x:v>Conger conger</x:v>
      </x:c>
      <x:c r="F33" s="24" t="str">
        <x:v>European conger</x:v>
      </x:c>
      <x:c r="G33" s="24" t="str">
        <x:v>Large demersals (&gt;=90 cm)</x:v>
      </x:c>
      <x:c r="H33" s="24" t="str">
        <x:v>Other fishes &amp; inverts</x:v>
      </x:c>
      <x:c r="I33" s="31" t="n">
        <x:v>29.5949606586</x:v>
      </x:c>
      <x:c r="J33" s="31" t="n">
        <x:v>29.5949606586</x:v>
      </x:c>
      <x:c r="K33" s="31" t="n">
        <x:v>0</x:v>
      </x:c>
      <x:c r="L33" s="31" t="n">
        <x:v>29.5949606586</x:v>
      </x:c>
      <x:c r="M33" s="31" t="n">
        <x:v>0</x:v>
      </x:c>
      <x:c r="N33" s="24" t="str">
        <x:v>conger conger</x:v>
      </x:c>
      <x:c r="O33" s="32" t="n">
        <x:v>4.31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Conger conger</x:v>
      </x:c>
      <x:c r="T33" s="32" t="n">
        <x:f>IF(O33="","",(1/'Metadata'!$B$5)^(O33-1))</x:f>
        <x:v>2041.7379446695275</x:v>
      </x:c>
      <x:c r="U33" s="31" t="n">
        <x:f>IF(T33="","",I33*T33)</x:f>
        <x:v>60425.15414766549</x:v>
      </x:c>
    </x:row>
    <x:row r="34" ht="18" customHeight="1">
      <x:c r="A34" s="24" t="str">
        <x:v>LME_021</x:v>
      </x:c>
      <x:c r="B34" s="24" t="str">
        <x:v>Norwegian Sea</x:v>
      </x:c>
      <x:c r="C34" s="24" t="str">
        <x:v>LME</x:v>
      </x:c>
      <x:c r="D34" s="30" t="n">
        <x:v>2019</x:v>
      </x:c>
      <x:c r="E34" s="24" t="str">
        <x:v>Carangidae</x:v>
      </x:c>
      <x:c r="F34" s="24" t="str">
        <x:v>Jacks, pompanos</x:v>
      </x:c>
      <x:c r="G34" s="24" t="str">
        <x:v>Medium pelagics (30 - 89 cm)</x:v>
      </x:c>
      <x:c r="H34" s="24" t="str">
        <x:v>Perch-likes</x:v>
      </x:c>
      <x:c r="I34" s="31" t="n">
        <x:v>23.4227495441</x:v>
      </x:c>
      <x:c r="J34" s="31" t="n">
        <x:v>2.141698857</x:v>
      </x:c>
      <x:c r="K34" s="31" t="n">
        <x:v>21.2810506871</x:v>
      </x:c>
      <x:c r="L34" s="31" t="n">
        <x:v>2.141698857</x:v>
      </x:c>
      <x:c r="M34" s="31" t="n">
        <x:v>21.2810506871</x:v>
      </x:c>
      <x:c r="N34" s="24" t="str">
        <x:v>carangidae</x:v>
      </x:c>
      <x:c r="O34" s="32" t="n">
        <x:v>4.05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Carangidae</x:v>
      </x:c>
      <x:c r="T34" s="32" t="n">
        <x:f>IF(O34="","",(1/'Metadata'!$B$5)^(O34-1))</x:f>
        <x:v>1122.018454301963</x:v>
      </x:c>
      <x:c r="U34" s="31" t="n">
        <x:f>IF(T34="","",I34*T34)</x:f>
        <x:v>26280.75723897309</x:v>
      </x:c>
    </x:row>
    <x:row r="35" ht="18" customHeight="1">
      <x:c r="A35" s="24" t="str">
        <x:v>LME_021</x:v>
      </x:c>
      <x:c r="B35" s="24" t="str">
        <x:v>Norwegian Sea</x:v>
      </x:c>
      <x:c r="C35" s="24" t="str">
        <x:v>LME</x:v>
      </x:c>
      <x:c r="D35" s="30" t="n">
        <x:v>2019</x:v>
      </x:c>
      <x:c r="E35" s="24" t="str">
        <x:v>Triglidae</x:v>
      </x:c>
      <x:c r="F35" s="24" t="str">
        <x:v>Searobins, gurnards</x:v>
      </x:c>
      <x:c r="G35" s="24" t="str">
        <x:v>Medium demersals (30 - 89 cm)</x:v>
      </x:c>
      <x:c r="H35" s="24" t="str">
        <x:v>Scorpionfishes</x:v>
      </x:c>
      <x:c r="I35" s="31" t="n">
        <x:v>22.8237287245</x:v>
      </x:c>
      <x:c r="J35" s="31" t="n">
        <x:v>12.3167248299</x:v>
      </x:c>
      <x:c r="K35" s="31" t="n">
        <x:v>10.5070038946</x:v>
      </x:c>
      <x:c r="L35" s="31" t="n">
        <x:v>12.3167248299</x:v>
      </x:c>
      <x:c r="M35" s="31" t="n">
        <x:v>10.5070038946</x:v>
      </x:c>
      <x:c r="N35" s="24" t="str">
        <x:v>triglidae</x:v>
      </x:c>
      <x:c r="O35" s="32" t="n">
        <x:v>3.74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Triglidae</x:v>
      </x:c>
      <x:c r="T35" s="32" t="n">
        <x:f>IF(O35="","",(1/'Metadata'!$B$5)^(O35-1))</x:f>
        <x:v>549.5408738576248</x:v>
      </x:c>
      <x:c r="U35" s="31" t="n">
        <x:f>IF(T35="","",I35*T35)</x:f>
        <x:v>12542.571827951102</x:v>
      </x:c>
    </x:row>
    <x:row r="36" ht="18" customHeight="1">
      <x:c r="A36" s="24" t="str">
        <x:v>LME_021</x:v>
      </x:c>
      <x:c r="B36" s="24" t="str">
        <x:v>Norwegian Sea</x:v>
      </x:c>
      <x:c r="C36" s="24" t="str">
        <x:v>LME</x:v>
      </x:c>
      <x:c r="D36" s="30" t="n">
        <x:v>2019</x:v>
      </x:c>
      <x:c r="E36" s="24" t="str">
        <x:v>Gadidae</x:v>
      </x:c>
      <x:c r="F36" s="24" t="str">
        <x:v>Cods, haddocks</x:v>
      </x:c>
      <x:c r="G36" s="24" t="str">
        <x:v>Medium demersals (30 - 89 cm)</x:v>
      </x:c>
      <x:c r="H36" s="24" t="str">
        <x:v>Cod-likes</x:v>
      </x:c>
      <x:c r="I36" s="31" t="n">
        <x:v>22.1956780275</x:v>
      </x:c>
      <x:c r="J36" s="31" t="n">
        <x:v>0</x:v>
      </x:c>
      <x:c r="K36" s="31" t="n">
        <x:v>22.1956780275</x:v>
      </x:c>
      <x:c r="L36" s="31" t="n">
        <x:v>0</x:v>
      </x:c>
      <x:c r="M36" s="31" t="n">
        <x:v>22.1956780275</x:v>
      </x:c>
      <x:c r="N36" s="24" t="str">
        <x:v>gadidae</x:v>
      </x:c>
      <x:c r="O36" s="32" t="n">
        <x:v>3.84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Gadidae</x:v>
      </x:c>
      <x:c r="T36" s="32" t="n">
        <x:f>IF(O36="","",(1/'Metadata'!$B$5)^(O36-1))</x:f>
        <x:v>691.8309709189363</x:v>
      </x:c>
      <x:c r="U36" s="31" t="n">
        <x:f>IF(T36="","",I36*T36)</x:f>
        <x:v>15355.657479969426</x:v>
      </x:c>
    </x:row>
    <x:row r="37" ht="18" customHeight="1">
      <x:c r="A37" s="24" t="str">
        <x:v>LME_021</x:v>
      </x:c>
      <x:c r="B37" s="24" t="str">
        <x:v>Norwegian Sea</x:v>
      </x:c>
      <x:c r="C37" s="24" t="str">
        <x:v>LME</x:v>
      </x:c>
      <x:c r="D37" s="30" t="n">
        <x:v>2019</x:v>
      </x:c>
      <x:c r="E37" s="24" t="str">
        <x:v>Scombridae</x:v>
      </x:c>
      <x:c r="F37" s="24" t="str">
        <x:v>Mackerels, tunas, bonitos</x:v>
      </x:c>
      <x:c r="G37" s="24" t="str">
        <x:v>Medium pelagics (30 - 89 cm)</x:v>
      </x:c>
      <x:c r="H37" s="24" t="str">
        <x:v>Perch-likes</x:v>
      </x:c>
      <x:c r="I37" s="31" t="n">
        <x:v>21.7110245862</x:v>
      </x:c>
      <x:c r="J37" s="31" t="n">
        <x:v>0.5698905844000001</x:v>
      </x:c>
      <x:c r="K37" s="31" t="n">
        <x:v>21.1411340018</x:v>
      </x:c>
      <x:c r="L37" s="31" t="n">
        <x:v>0.5698905844000001</x:v>
      </x:c>
      <x:c r="M37" s="31" t="n">
        <x:v>21.1411340018</x:v>
      </x:c>
      <x:c r="N37" s="24" t="str">
        <x:v>scombridae</x:v>
      </x:c>
      <x:c r="O37" s="32" t="n">
        <x:v>4.26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Scombridae</x:v>
      </x:c>
      <x:c r="T37" s="32" t="n">
        <x:f>IF(O37="","",(1/'Metadata'!$B$5)^(O37-1))</x:f>
        <x:v>1819.7008586099826</x:v>
      </x:c>
      <x:c r="U37" s="31" t="n">
        <x:f>IF(T37="","",I37*T37)</x:f>
        <x:v>39507.57008081058</x:v>
      </x:c>
    </x:row>
    <x:row r="38" ht="18" customHeight="1">
      <x:c r="A38" s="24" t="str">
        <x:v>LME_021</x:v>
      </x:c>
      <x:c r="B38" s="24" t="str">
        <x:v>Norwegian Sea</x:v>
      </x:c>
      <x:c r="C38" s="24" t="str">
        <x:v>LME</x:v>
      </x:c>
      <x:c r="D38" s="30" t="n">
        <x:v>2019</x:v>
      </x:c>
      <x:c r="E38" s="24" t="str">
        <x:v>Soleidae</x:v>
      </x:c>
      <x:c r="F38" s="24" t="str">
        <x:v>Soles</x:v>
      </x:c>
      <x:c r="G38" s="24" t="str">
        <x:v>Small to medium flatfishes (&lt;90 cm)</x:v>
      </x:c>
      <x:c r="H38" s="24" t="str">
        <x:v>Flatfishes</x:v>
      </x:c>
      <x:c r="I38" s="31" t="n">
        <x:v>21.0645582122</x:v>
      </x:c>
      <x:c r="J38" s="31" t="n">
        <x:v>0.2016297423</x:v>
      </x:c>
      <x:c r="K38" s="31" t="n">
        <x:v>20.8629284699</x:v>
      </x:c>
      <x:c r="L38" s="31" t="n">
        <x:v>0.2016297423</x:v>
      </x:c>
      <x:c r="M38" s="31" t="n">
        <x:v>20.8629284699</x:v>
      </x:c>
      <x:c r="N38" s="24" t="str">
        <x:v>soleidae</x:v>
      </x:c>
      <x:c r="O38" s="32" t="n">
        <x:v>3.15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Soleidae</x:v>
      </x:c>
      <x:c r="T38" s="32" t="n">
        <x:f>IF(O38="","",(1/'Metadata'!$B$5)^(O38-1))</x:f>
        <x:v>141.2537544622754</x:v>
      </x:c>
      <x:c r="U38" s="31" t="n">
        <x:f>IF(T38="","",I38*T38)</x:f>
        <x:v>2975.447933562406</x:v>
      </x:c>
    </x:row>
    <x:row r="39" ht="18" customHeight="1">
      <x:c r="A39" s="24" t="str">
        <x:v>LME_021</x:v>
      </x:c>
      <x:c r="B39" s="24" t="str">
        <x:v>Norwegian Sea</x:v>
      </x:c>
      <x:c r="C39" s="24" t="str">
        <x:v>LME</x:v>
      </x:c>
      <x:c r="D39" s="30" t="n">
        <x:v>2019</x:v>
      </x:c>
      <x:c r="E39" s="24" t="str">
        <x:v>Pleuronectidae</x:v>
      </x:c>
      <x:c r="F39" s="24" t="str">
        <x:v>Righteye flounders</x:v>
      </x:c>
      <x:c r="G39" s="24" t="str">
        <x:v>Small to medium flatfishes (&lt;90 cm)</x:v>
      </x:c>
      <x:c r="H39" s="24" t="str">
        <x:v>Flatfishes</x:v>
      </x:c>
      <x:c r="I39" s="31" t="n">
        <x:v>20.619666626</x:v>
      </x:c>
      <x:c r="J39" s="31" t="n">
        <x:v>0.0042062668</x:v>
      </x:c>
      <x:c r="K39" s="31" t="n">
        <x:v>20.6154603592</x:v>
      </x:c>
      <x:c r="L39" s="31" t="n">
        <x:v>0.0042062668</x:v>
      </x:c>
      <x:c r="M39" s="31" t="n">
        <x:v>20.6154603592</x:v>
      </x:c>
      <x:c r="N39" s="24" t="str">
        <x:v>pleuronectidae</x:v>
      </x:c>
      <x:c r="O39" s="32" t="n">
        <x:v>3.49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Pleuronectidae</x:v>
      </x:c>
      <x:c r="T39" s="32" t="n">
        <x:f>IF(O39="","",(1/'Metadata'!$B$5)^(O39-1))</x:f>
        <x:v>309.0295432513592</x:v>
      </x:c>
      <x:c r="U39" s="31" t="n">
        <x:f>IF(T39="","",I39*T39)</x:f>
        <x:v>6372.086159428075</x:v>
      </x:c>
    </x:row>
    <x:row r="40" ht="18" customHeight="1">
      <x:c r="A40" s="24" t="str">
        <x:v>LME_021</x:v>
      </x:c>
      <x:c r="B40" s="24" t="str">
        <x:v>Norwegian Sea</x:v>
      </x:c>
      <x:c r="C40" s="24" t="str">
        <x:v>LME</x:v>
      </x:c>
      <x:c r="D40" s="30" t="n">
        <x:v>2019</x:v>
      </x:c>
      <x:c r="E40" s="24" t="str">
        <x:v>Elasmobranchii</x:v>
      </x:c>
      <x:c r="F40" s="24" t="str">
        <x:v>Sharks, rays, skates</x:v>
      </x:c>
      <x:c r="G40" s="24" t="str">
        <x:v>Large sharks (&gt;=90 cm)</x:v>
      </x:c>
      <x:c r="H40" s="24" t="str">
        <x:v>Sharks &amp; rays</x:v>
      </x:c>
      <x:c r="I40" s="31" t="n">
        <x:v>20.0325110395</x:v>
      </x:c>
      <x:c r="J40" s="31" t="n">
        <x:v>0.0201031274</x:v>
      </x:c>
      <x:c r="K40" s="31" t="n">
        <x:v>20.012407912100002</x:v>
      </x:c>
      <x:c r="L40" s="31" t="n">
        <x:v>0.0201031274</x:v>
      </x:c>
      <x:c r="M40" s="31" t="n">
        <x:v>20.012407912100002</x:v>
      </x:c>
      <x:c r="N40" s="24" t="str">
        <x:v>elasmobranchii</x:v>
      </x:c>
      <x:c r="O40" s="32" t="n">
        <x:v>4.05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Elasmobranchii</x:v>
      </x:c>
      <x:c r="T40" s="32" t="n">
        <x:f>IF(O40="","",(1/'Metadata'!$B$5)^(O40-1))</x:f>
        <x:v>1122.018454301963</x:v>
      </x:c>
      <x:c r="U40" s="31" t="n">
        <x:f>IF(T40="","",I40*T40)</x:f>
        <x:v>22476.8470723268</x:v>
      </x:c>
    </x:row>
    <x:row r="41" ht="18" customHeight="1">
      <x:c r="A41" s="24" t="str">
        <x:v>LME_021</x:v>
      </x:c>
      <x:c r="B41" s="24" t="str">
        <x:v>Norwegian Sea</x:v>
      </x:c>
      <x:c r="C41" s="24" t="str">
        <x:v>LME</x:v>
      </x:c>
      <x:c r="D41" s="30" t="n">
        <x:v>2019</x:v>
      </x:c>
      <x:c r="E41" s="24" t="str">
        <x:v>Brama brama</x:v>
      </x:c>
      <x:c r="F41" s="24" t="str">
        <x:v>Atlantic pomfret</x:v>
      </x:c>
      <x:c r="G41" s="24" t="str">
        <x:v>Medium bathypelagics (30 - 89 cm)</x:v>
      </x:c>
      <x:c r="H41" s="24" t="str">
        <x:v>Perch-likes</x:v>
      </x:c>
      <x:c r="I41" s="31" t="n">
        <x:v>18.0172470811</x:v>
      </x:c>
      <x:c r="J41" s="31" t="n">
        <x:v>18.0172470811</x:v>
      </x:c>
      <x:c r="K41" s="31" t="n">
        <x:v>0</x:v>
      </x:c>
      <x:c r="L41" s="31" t="n">
        <x:v>18.0172470811</x:v>
      </x:c>
      <x:c r="M41" s="31" t="n">
        <x:v>0</x:v>
      </x:c>
      <x:c r="N41" s="24" t="str">
        <x:v>brama brama</x:v>
      </x:c>
      <x:c r="O41" s="32" t="n">
        <x:v>4.08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Brama brama</x:v>
      </x:c>
      <x:c r="T41" s="32" t="n">
        <x:f>IF(O41="","",(1/'Metadata'!$B$5)^(O41-1))</x:f>
        <x:v>1202.2644346174131</x:v>
      </x:c>
      <x:c r="U41" s="31" t="n">
        <x:f>IF(T41="","",I41*T41)</x:f>
        <x:v>21661.495375320927</x:v>
      </x:c>
    </x:row>
    <x:row r="42" ht="18" customHeight="1">
      <x:c r="A42" s="24" t="str">
        <x:v>LME_021</x:v>
      </x:c>
      <x:c r="B42" s="24" t="str">
        <x:v>Norwegian Sea</x:v>
      </x:c>
      <x:c r="C42" s="24" t="str">
        <x:v>LME</x:v>
      </x:c>
      <x:c r="D42" s="30" t="n">
        <x:v>2019</x:v>
      </x:c>
      <x:c r="E42" s="24" t="str">
        <x:v>Hippoglossus hippoglossus</x:v>
      </x:c>
      <x:c r="F42" s="24" t="str">
        <x:v>Atlantic halibut</x:v>
      </x:c>
      <x:c r="G42" s="24" t="str">
        <x:v>Large flatfishes (&gt;=90 cm)</x:v>
      </x:c>
      <x:c r="H42" s="24" t="str">
        <x:v>Flatfishes</x:v>
      </x:c>
      <x:c r="I42" s="31" t="n">
        <x:v>17.56785661</x:v>
      </x:c>
      <x:c r="J42" s="31" t="n">
        <x:v>17.56785661</x:v>
      </x:c>
      <x:c r="K42" s="31" t="n">
        <x:v>0</x:v>
      </x:c>
      <x:c r="L42" s="31" t="n">
        <x:v>17.56785661</x:v>
      </x:c>
      <x:c r="M42" s="31" t="n">
        <x:v>0</x:v>
      </x:c>
      <x:c r="N42" s="24" t="str">
        <x:v>hippoglossus hippoglossus</x:v>
      </x:c>
      <x:c r="O42" s="32" t="n">
        <x:v>4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Hippoglossus hippoglossus</x:v>
      </x:c>
      <x:c r="T42" s="32" t="n">
        <x:f>IF(O42="","",(1/'Metadata'!$B$5)^(O42-1))</x:f>
        <x:v>1000</x:v>
      </x:c>
      <x:c r="U42" s="31" t="n">
        <x:f>IF(T42="","",I42*T42)</x:f>
        <x:v>17567.85661</x:v>
      </x:c>
    </x:row>
    <x:row r="43" ht="18" customHeight="1">
      <x:c r="A43" s="24" t="str">
        <x:v>LME_021</x:v>
      </x:c>
      <x:c r="B43" s="24" t="str">
        <x:v>Norwegian Sea</x:v>
      </x:c>
      <x:c r="C43" s="24" t="str">
        <x:v>LME</x:v>
      </x:c>
      <x:c r="D43" s="30" t="n">
        <x:v>2019</x:v>
      </x:c>
      <x:c r="E43" s="24" t="str">
        <x:v>Squalidae</x:v>
      </x:c>
      <x:c r="F43" s="24" t="str">
        <x:v>Dogfish sharks</x:v>
      </x:c>
      <x:c r="G43" s="24" t="str">
        <x:v>Large sharks (&gt;=90 cm)</x:v>
      </x:c>
      <x:c r="H43" s="24" t="str">
        <x:v>Sharks &amp; rays</x:v>
      </x:c>
      <x:c r="I43" s="31" t="n">
        <x:v>17.3923761362</x:v>
      </x:c>
      <x:c r="J43" s="31" t="n">
        <x:v>0</x:v>
      </x:c>
      <x:c r="K43" s="31" t="n">
        <x:v>17.3923761362</x:v>
      </x:c>
      <x:c r="L43" s="31" t="n">
        <x:v>0</x:v>
      </x:c>
      <x:c r="M43" s="31" t="n">
        <x:v>17.3923761362</x:v>
      </x:c>
      <x:c r="N43" s="24" t="str">
        <x:v>squalidae</x:v>
      </x:c>
      <x:c r="O43" s="32" t="n">
        <x:v>4.23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Squalidae</x:v>
      </x:c>
      <x:c r="T43" s="32" t="n">
        <x:f>IF(O43="","",(1/'Metadata'!$B$5)^(O43-1))</x:f>
        <x:v>1698.243652461746</x:v>
      </x:c>
      <x:c r="U43" s="31" t="n">
        <x:f>IF(T43="","",I43*T43)</x:f>
        <x:v>29536.492374528796</x:v>
      </x:c>
    </x:row>
    <x:row r="44" ht="18" customHeight="1">
      <x:c r="A44" s="24" t="str">
        <x:v>LME_021</x:v>
      </x:c>
      <x:c r="B44" s="24" t="str">
        <x:v>Norwegian Sea</x:v>
      </x:c>
      <x:c r="C44" s="24" t="str">
        <x:v>LME</x:v>
      </x:c>
      <x:c r="D44" s="30" t="n">
        <x:v>2019</x:v>
      </x:c>
      <x:c r="E44" s="24" t="str">
        <x:v>Squaliformes</x:v>
      </x:c>
      <x:c r="F44" s="24" t="str">
        <x:v>Bramble, sleeper, dogfish sharks</x:v>
      </x:c>
      <x:c r="G44" s="24" t="str">
        <x:v>Large sharks (&gt;=90 cm)</x:v>
      </x:c>
      <x:c r="H44" s="24" t="str">
        <x:v>Sharks &amp; rays</x:v>
      </x:c>
      <x:c r="I44" s="31" t="n">
        <x:v>16.9957428363</x:v>
      </x:c>
      <x:c r="J44" s="31" t="n">
        <x:v>0</x:v>
      </x:c>
      <x:c r="K44" s="31" t="n">
        <x:v>16.9957428363</x:v>
      </x:c>
      <x:c r="L44" s="31" t="n">
        <x:v>0</x:v>
      </x:c>
      <x:c r="M44" s="31" t="n">
        <x:v>16.9957428363</x:v>
      </x:c>
      <x:c r="N44" s="24" t="str">
        <x:v>squaliformes</x:v>
      </x:c>
      <x:c r="O44" s="32" t="n">
        <x:v>4.19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Squaliformes</x:v>
      </x:c>
      <x:c r="T44" s="32" t="n">
        <x:f>IF(O44="","",(1/'Metadata'!$B$5)^(O44-1))</x:f>
        <x:v>1548.8166189124827</x:v>
      </x:c>
      <x:c r="U44" s="31" t="n">
        <x:f>IF(T44="","",I44*T44)</x:f>
        <x:v>26323.288955624215</x:v>
      </x:c>
    </x:row>
    <x:row r="45" ht="18" customHeight="1">
      <x:c r="A45" s="24" t="str">
        <x:v>LME_021</x:v>
      </x:c>
      <x:c r="B45" s="24" t="str">
        <x:v>Norwegian Sea</x:v>
      </x:c>
      <x:c r="C45" s="24" t="str">
        <x:v>LME</x:v>
      </x:c>
      <x:c r="D45" s="30" t="n">
        <x:v>2019</x:v>
      </x:c>
      <x:c r="E45" s="24" t="str">
        <x:v>Clupeidae</x:v>
      </x:c>
      <x:c r="F45" s="24" t="str">
        <x:v>Herrings, sardines, menhadens</x:v>
      </x:c>
      <x:c r="G45" s="24" t="str">
        <x:v>Small pelagics (&lt;30 cm)</x:v>
      </x:c>
      <x:c r="H45" s="24" t="str">
        <x:v>Herring-likes</x:v>
      </x:c>
      <x:c r="I45" s="31" t="n">
        <x:v>13.7306562852</x:v>
      </x:c>
      <x:c r="J45" s="31" t="n">
        <x:v>0.405678698</x:v>
      </x:c>
      <x:c r="K45" s="31" t="n">
        <x:v>13.3249775872</x:v>
      </x:c>
      <x:c r="L45" s="31" t="n">
        <x:v>0.405678698</x:v>
      </x:c>
      <x:c r="M45" s="31" t="n">
        <x:v>13.3249775872</x:v>
      </x:c>
      <x:c r="N45" s="24" t="str">
        <x:v>clupeidae</x:v>
      </x:c>
      <x:c r="O45" s="32" t="n">
        <x:v>3.16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Clupeidae</x:v>
      </x:c>
      <x:c r="T45" s="32" t="n">
        <x:f>IF(O45="","",(1/'Metadata'!$B$5)^(O45-1))</x:f>
        <x:v>144.5439770745928</x:v>
      </x:c>
      <x:c r="U45" s="31" t="n">
        <x:f>IF(T45="","",I45*T45)</x:f>
        <x:v>1984.6836673070623</x:v>
      </x:c>
    </x:row>
    <x:row r="46" ht="18" customHeight="1">
      <x:c r="A46" s="24" t="str">
        <x:v>LME_021</x:v>
      </x:c>
      <x:c r="B46" s="24" t="str">
        <x:v>Norwegian Sea</x:v>
      </x:c>
      <x:c r="C46" s="24" t="str">
        <x:v>LME</x:v>
      </x:c>
      <x:c r="D46" s="30" t="n">
        <x:v>2019</x:v>
      </x:c>
      <x:c r="E46" s="24" t="str">
        <x:v>Sarda sarda</x:v>
      </x:c>
      <x:c r="F46" s="24" t="str">
        <x:v>Atlantic bonito</x:v>
      </x:c>
      <x:c r="G46" s="24" t="str">
        <x:v>Medium pelagics (30 - 89 cm)</x:v>
      </x:c>
      <x:c r="H46" s="24" t="str">
        <x:v>Tuna &amp; billfishes</x:v>
      </x:c>
      <x:c r="I46" s="31" t="n">
        <x:v>13.6079130014</x:v>
      </x:c>
      <x:c r="J46" s="31" t="n">
        <x:v>13.6079130014</x:v>
      </x:c>
      <x:c r="K46" s="31" t="n">
        <x:v>0</x:v>
      </x:c>
      <x:c r="L46" s="31" t="n">
        <x:v>13.6079130014</x:v>
      </x:c>
      <x:c r="M46" s="31" t="n">
        <x:v>0</x:v>
      </x:c>
      <x:c r="N46" s="24" t="str">
        <x:v>sarda sarda</x:v>
      </x:c>
      <x:c r="O46" s="32" t="n">
        <x:v>4.5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Sarda sarda</x:v>
      </x:c>
      <x:c r="T46" s="32" t="n">
        <x:f>IF(O46="","",(1/'Metadata'!$B$5)^(O46-1))</x:f>
        <x:v>3162.2776601683795</x:v>
      </x:c>
      <x:c r="U46" s="31" t="n">
        <x:f>IF(T46="","",I46*T46)</x:f>
        <x:v>43031.99928584206</x:v>
      </x:c>
    </x:row>
    <x:row r="47" ht="18" customHeight="1">
      <x:c r="A47" s="24" t="str">
        <x:v>LME_021</x:v>
      </x:c>
      <x:c r="B47" s="24" t="str">
        <x:v>Norwegian Sea</x:v>
      </x:c>
      <x:c r="C47" s="24" t="str">
        <x:v>LME</x:v>
      </x:c>
      <x:c r="D47" s="30" t="n">
        <x:v>2019</x:v>
      </x:c>
      <x:c r="E47" s="24" t="str">
        <x:v>Macrouridae</x:v>
      </x:c>
      <x:c r="F47" s="24" t="str">
        <x:v>Grenadiers, rattails</x:v>
      </x:c>
      <x:c r="G47" s="24" t="str">
        <x:v>Medium benthopelagics (30 - 89 cm)</x:v>
      </x:c>
      <x:c r="H47" s="24" t="str">
        <x:v>Cod-likes</x:v>
      </x:c>
      <x:c r="I47" s="31" t="n">
        <x:v>12.6646960908</x:v>
      </x:c>
      <x:c r="J47" s="31" t="n">
        <x:v>0</x:v>
      </x:c>
      <x:c r="K47" s="31" t="n">
        <x:v>12.6646960908</x:v>
      </x:c>
      <x:c r="L47" s="31" t="n">
        <x:v>0</x:v>
      </x:c>
      <x:c r="M47" s="31" t="n">
        <x:v>12.6646960908</x:v>
      </x:c>
      <x:c r="N47" s="24" t="str">
        <x:v>macrouridae</x:v>
      </x:c>
      <x:c r="O47" s="32" t="n">
        <x:v>3.88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Macrouridae</x:v>
      </x:c>
      <x:c r="T47" s="32" t="n">
        <x:f>IF(O47="","",(1/'Metadata'!$B$5)^(O47-1))</x:f>
        <x:v>758.5775750291835</x:v>
      </x:c>
      <x:c r="U47" s="31" t="n">
        <x:f>IF(T47="","",I47*T47)</x:f>
        <x:v>9607.154449040645</x:v>
      </x:c>
    </x:row>
    <x:row r="48" ht="18" customHeight="1">
      <x:c r="A48" s="24" t="str">
        <x:v>LME_021</x:v>
      </x:c>
      <x:c r="B48" s="24" t="str">
        <x:v>Norwegian Sea</x:v>
      </x:c>
      <x:c r="C48" s="24" t="str">
        <x:v>LME</x:v>
      </x:c>
      <x:c r="D48" s="30" t="n">
        <x:v>2019</x:v>
      </x:c>
      <x:c r="E48" s="24" t="str">
        <x:v>Bivalvia</x:v>
      </x:c>
      <x:c r="F48" s="24" t="str">
        <x:v>Clams</x:v>
      </x:c>
      <x:c r="G48" s="24" t="str">
        <x:v>Other demersal invertebrates</x:v>
      </x:c>
      <x:c r="H48" s="24" t="str">
        <x:v>Molluscs</x:v>
      </x:c>
      <x:c r="I48" s="31" t="n">
        <x:v>12.4717478981</x:v>
      </x:c>
      <x:c r="J48" s="31" t="n">
        <x:v>0.031266387</x:v>
      </x:c>
      <x:c r="K48" s="31" t="n">
        <x:v>12.4404815111</x:v>
      </x:c>
      <x:c r="L48" s="31" t="n">
        <x:v>0.031266387</x:v>
      </x:c>
      <x:c r="M48" s="31" t="n">
        <x:v>12.4404815111</x:v>
      </x:c>
      <x:c r="N48" s="24" t="str">
        <x:v>bivalvia</x:v>
      </x:c>
      <x:c r="O48" s="32" t="n">
        <x:v>2.23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Bivalvia</x:v>
      </x:c>
      <x:c r="T48" s="32" t="n">
        <x:f>IF(O48="","",(1/'Metadata'!$B$5)^(O48-1))</x:f>
        <x:v>16.982436524617444</x:v>
      </x:c>
      <x:c r="U48" s="31" t="n">
        <x:f>IF(T48="","",I48*T48)</x:f>
        <x:v>211.8006670305143</x:v>
      </x:c>
    </x:row>
    <x:row r="49" ht="18" customHeight="1">
      <x:c r="A49" s="24" t="str">
        <x:v>LME_021</x:v>
      </x:c>
      <x:c r="B49" s="24" t="str">
        <x:v>Norwegian Sea</x:v>
      </x:c>
      <x:c r="C49" s="24" t="str">
        <x:v>LME</x:v>
      </x:c>
      <x:c r="D49" s="30" t="n">
        <x:v>2019</x:v>
      </x:c>
      <x:c r="E49" s="24" t="str">
        <x:v>Scophthalmidae</x:v>
      </x:c>
      <x:c r="F49" s="24" t="str">
        <x:v>Turbots</x:v>
      </x:c>
      <x:c r="G49" s="24" t="str">
        <x:v>Small to medium flatfishes (&lt;90 cm)</x:v>
      </x:c>
      <x:c r="H49" s="24" t="str">
        <x:v>Flatfishes</x:v>
      </x:c>
      <x:c r="I49" s="31" t="n">
        <x:v>12.1373063966</x:v>
      </x:c>
      <x:c r="J49" s="31" t="n">
        <x:v>0.016284328600000002</x:v>
      </x:c>
      <x:c r="K49" s="31" t="n">
        <x:v>12.121022067999998</x:v>
      </x:c>
      <x:c r="L49" s="31" t="n">
        <x:v>0.016284328600000002</x:v>
      </x:c>
      <x:c r="M49" s="31" t="n">
        <x:v>12.121022067999998</x:v>
      </x:c>
      <x:c r="N49" s="24" t="str">
        <x:v>scophthalmidae</x:v>
      </x:c>
      <x:c r="O49" s="32" t="n">
        <x:v>3.71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Scophthalmidae</x:v>
      </x:c>
      <x:c r="T49" s="32" t="n">
        <x:f>IF(O49="","",(1/'Metadata'!$B$5)^(O49-1))</x:f>
        <x:v>512.8613839913648</x:v>
      </x:c>
      <x:c r="U49" s="31" t="n">
        <x:f>IF(T49="","",I49*T49)</x:f>
        <x:v>6224.7557564875215</x:v>
      </x:c>
    </x:row>
    <x:row r="50" ht="18" customHeight="1">
      <x:c r="A50" s="24" t="str">
        <x:v>LME_021</x:v>
      </x:c>
      <x:c r="B50" s="24" t="str">
        <x:v>Norwegian Sea</x:v>
      </x:c>
      <x:c r="C50" s="24" t="str">
        <x:v>LME</x:v>
      </x:c>
      <x:c r="D50" s="30" t="n">
        <x:v>2019</x:v>
      </x:c>
      <x:c r="E50" s="24" t="str">
        <x:v>Molva dypterygia</x:v>
      </x:c>
      <x:c r="F50" s="24" t="str">
        <x:v>Blue ling</x:v>
      </x:c>
      <x:c r="G50" s="24" t="str">
        <x:v>Large demersals (&gt;=90 cm)</x:v>
      </x:c>
      <x:c r="H50" s="24" t="str">
        <x:v>Cod-likes</x:v>
      </x:c>
      <x:c r="I50" s="31" t="n">
        <x:v>11.7742087249</x:v>
      </x:c>
      <x:c r="J50" s="31" t="n">
        <x:v>11.7742087249</x:v>
      </x:c>
      <x:c r="K50" s="31" t="n">
        <x:v>0</x:v>
      </x:c>
      <x:c r="L50" s="31" t="n">
        <x:v>11.7742087249</x:v>
      </x:c>
      <x:c r="M50" s="31" t="n">
        <x:v>0</x:v>
      </x:c>
      <x:c r="N50" s="24" t="str">
        <x:v>molva dypterygia</x:v>
      </x:c>
      <x:c r="O50" s="32" t="n">
        <x:v>4.49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Molva dypterygia</x:v>
      </x:c>
      <x:c r="T50" s="32" t="n">
        <x:f>IF(O50="","",(1/'Metadata'!$B$5)^(O50-1))</x:f>
        <x:v>3090.295432513592</x:v>
      </x:c>
      <x:c r="U50" s="31" t="n">
        <x:f>IF(T50="","",I50*T50)</x:f>
        <x:v>36385.783444020155</x:v>
      </x:c>
    </x:row>
    <x:row r="51" ht="18" customHeight="1">
      <x:c r="A51" s="24" t="str">
        <x:v>LME_021</x:v>
      </x:c>
      <x:c r="B51" s="24" t="str">
        <x:v>Norwegian Sea</x:v>
      </x:c>
      <x:c r="C51" s="24" t="str">
        <x:v>LME</x:v>
      </x:c>
      <x:c r="D51" s="30" t="n">
        <x:v>2019</x:v>
      </x:c>
      <x:c r="E51" s="24" t="str">
        <x:v>Merlucciidae</x:v>
      </x:c>
      <x:c r="F51" s="24" t="str">
        <x:v>Merluccid hakes</x:v>
      </x:c>
      <x:c r="G51" s="24" t="str">
        <x:v>Large bathydemersals (&gt;=90 cm)</x:v>
      </x:c>
      <x:c r="H51" s="24" t="str">
        <x:v>Cod-likes</x:v>
      </x:c>
      <x:c r="I51" s="31" t="n">
        <x:v>11.7285182171</x:v>
      </x:c>
      <x:c r="J51" s="31" t="n">
        <x:v>0</x:v>
      </x:c>
      <x:c r="K51" s="31" t="n">
        <x:v>11.7285182171</x:v>
      </x:c>
      <x:c r="L51" s="31" t="n">
        <x:v>0</x:v>
      </x:c>
      <x:c r="M51" s="31" t="n">
        <x:v>11.7285182171</x:v>
      </x:c>
      <x:c r="N51" s="24" t="str">
        <x:v>merlucciidae</x:v>
      </x:c>
      <x:c r="O51" s="32" t="n">
        <x:v>4.35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Merlucciidae</x:v>
      </x:c>
      <x:c r="T51" s="32" t="n">
        <x:f>IF(O51="","",(1/'Metadata'!$B$5)^(O51-1))</x:f>
        <x:v>2238.7211385683377</x:v>
      </x:c>
      <x:c r="U51" s="31" t="n">
        <x:f>IF(T51="","",I51*T51)</x:f>
        <x:v>26256.881656705602</x:v>
      </x:c>
    </x:row>
    <x:row r="52" ht="18" customHeight="1">
      <x:c r="A52" s="24" t="str">
        <x:v>LME_021</x:v>
      </x:c>
      <x:c r="B52" s="24" t="str">
        <x:v>Norwegian Sea</x:v>
      </x:c>
      <x:c r="C52" s="24" t="str">
        <x:v>LME</x:v>
      </x:c>
      <x:c r="D52" s="30" t="n">
        <x:v>2019</x:v>
      </x:c>
      <x:c r="E52" s="24" t="str">
        <x:v>Phycis blennoides</x:v>
      </x:c>
      <x:c r="F52" s="24" t="str">
        <x:v>Greater forkbeard</x:v>
      </x:c>
      <x:c r="G52" s="24" t="str">
        <x:v>Large benthopelagics (&gt;=90 cm)</x:v>
      </x:c>
      <x:c r="H52" s="24" t="str">
        <x:v>Cod-likes</x:v>
      </x:c>
      <x:c r="I52" s="31" t="n">
        <x:v>11.630512583</x:v>
      </x:c>
      <x:c r="J52" s="31" t="n">
        <x:v>11.630512583</x:v>
      </x:c>
      <x:c r="K52" s="31" t="n">
        <x:v>0</x:v>
      </x:c>
      <x:c r="L52" s="31" t="n">
        <x:v>11.630512583</x:v>
      </x:c>
      <x:c r="M52" s="31" t="n">
        <x:v>0</x:v>
      </x:c>
      <x:c r="N52" s="24" t="str">
        <x:v>phycis blennoides</x:v>
      </x:c>
      <x:c r="O52" s="32" t="n">
        <x:v>3.87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Phycis blennoides</x:v>
      </x:c>
      <x:c r="T52" s="32" t="n">
        <x:f>IF(O52="","",(1/'Metadata'!$B$5)^(O52-1))</x:f>
        <x:v>741.3102413009177</x:v>
      </x:c>
      <x:c r="U52" s="31" t="n">
        <x:f>IF(T52="","",I52*T52)</x:f>
        <x:v>8621.81808935709</x:v>
      </x:c>
    </x:row>
    <x:row r="53" ht="18" customHeight="1">
      <x:c r="A53" s="24" t="str">
        <x:v>LME_021</x:v>
      </x:c>
      <x:c r="B53" s="24" t="str">
        <x:v>Norwegian Sea</x:v>
      </x:c>
      <x:c r="C53" s="24" t="str">
        <x:v>LME</x:v>
      </x:c>
      <x:c r="D53" s="30" t="n">
        <x:v>2019</x:v>
      </x:c>
      <x:c r="E53" s="24" t="str">
        <x:v>Chondrichthyes</x:v>
      </x:c>
      <x:c r="F53" s="24" t="str">
        <x:v>Sharks, rays, chimaeras</x:v>
      </x:c>
      <x:c r="G53" s="24" t="str">
        <x:v>Large sharks (&gt;=90 cm)</x:v>
      </x:c>
      <x:c r="H53" s="24" t="str">
        <x:v>Sharks &amp; rays</x:v>
      </x:c>
      <x:c r="I53" s="31" t="n">
        <x:v>11.1438940701</x:v>
      </x:c>
      <x:c r="J53" s="31" t="n">
        <x:v>11.1438940701</x:v>
      </x:c>
      <x:c r="K53" s="31" t="n">
        <x:v>0</x:v>
      </x:c>
      <x:c r="L53" s="31" t="n">
        <x:v>11.1438940701</x:v>
      </x:c>
      <x:c r="M53" s="31" t="n">
        <x:v>0</x:v>
      </x:c>
      <x:c r="N53" s="24" t="str">
        <x:v>chondrichthyes</x:v>
      </x:c>
      <x:c r="O53" s="32" t="n">
        <x:v>4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Chondrichthyes</x:v>
      </x:c>
      <x:c r="T53" s="32" t="n">
        <x:f>IF(O53="","",(1/'Metadata'!$B$5)^(O53-1))</x:f>
        <x:v>1000</x:v>
      </x:c>
      <x:c r="U53" s="31" t="n">
        <x:f>IF(T53="","",I53*T53)</x:f>
        <x:v>11143.8940701</x:v>
      </x:c>
    </x:row>
    <x:row r="54" ht="18" customHeight="1">
      <x:c r="A54" s="24" t="str">
        <x:v>LME_021</x:v>
      </x:c>
      <x:c r="B54" s="24" t="str">
        <x:v>Norwegian Sea</x:v>
      </x:c>
      <x:c r="C54" s="24" t="str">
        <x:v>LME</x:v>
      </x:c>
      <x:c r="D54" s="30" t="n">
        <x:v>2019</x:v>
      </x:c>
      <x:c r="E54" s="24" t="str">
        <x:v>Scomberesox saurus</x:v>
      </x:c>
      <x:c r="F54" s="24" t="str">
        <x:v>Atlantic saury</x:v>
      </x:c>
      <x:c r="G54" s="24" t="str">
        <x:v>Medium pelagics (30 - 89 cm)</x:v>
      </x:c>
      <x:c r="H54" s="24" t="str">
        <x:v>Other fishes &amp; inverts</x:v>
      </x:c>
      <x:c r="I54" s="31" t="n">
        <x:v>10.7117548727</x:v>
      </x:c>
      <x:c r="J54" s="31" t="n">
        <x:v>10.7117548727</x:v>
      </x:c>
      <x:c r="K54" s="31" t="n">
        <x:v>0</x:v>
      </x:c>
      <x:c r="L54" s="31" t="n">
        <x:v>10.7117548727</x:v>
      </x:c>
      <x:c r="M54" s="31" t="n">
        <x:v>0</x:v>
      </x:c>
      <x:c r="N54" s="24" t="str">
        <x:v>scomberesox saurus</x:v>
      </x:c>
      <x:c r="O54" s="32" t="n">
        <x:v>3.91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Scomberesox saurus</x:v>
      </x:c>
      <x:c r="T54" s="32" t="n">
        <x:f>IF(O54="","",(1/'Metadata'!$B$5)^(O54-1))</x:f>
        <x:v>812.8305161640995</x:v>
      </x:c>
      <x:c r="U54" s="31" t="n">
        <x:f>IF(T54="","",I54*T54)</x:f>
        <x:v>8706.84124220005</x:v>
      </x:c>
    </x:row>
    <x:row r="55" ht="18" customHeight="1">
      <x:c r="A55" s="24" t="str">
        <x:v>LME_021</x:v>
      </x:c>
      <x:c r="B55" s="24" t="str">
        <x:v>Norwegian Sea</x:v>
      </x:c>
      <x:c r="C55" s="24" t="str">
        <x:v>LME</x:v>
      </x:c>
      <x:c r="D55" s="30" t="n">
        <x:v>2019</x:v>
      </x:c>
      <x:c r="E55" s="24" t="str">
        <x:v>Congridae</x:v>
      </x:c>
      <x:c r="F55" s="24" t="str">
        <x:v>Conger, garden eels</x:v>
      </x:c>
      <x:c r="G55" s="24" t="str">
        <x:v>Large demersals (&gt;=90 cm)</x:v>
      </x:c>
      <x:c r="H55" s="24" t="str">
        <x:v>Other fishes &amp; inverts</x:v>
      </x:c>
      <x:c r="I55" s="31" t="n">
        <x:v>10.083258947000001</x:v>
      </x:c>
      <x:c r="J55" s="31" t="n">
        <x:v>0.0075755932</x:v>
      </x:c>
      <x:c r="K55" s="31" t="n">
        <x:v>10.0756833538</x:v>
      </x:c>
      <x:c r="L55" s="31" t="n">
        <x:v>0.0075755932</x:v>
      </x:c>
      <x:c r="M55" s="31" t="n">
        <x:v>10.0756833538</x:v>
      </x:c>
      <x:c r="N55" s="24" t="str">
        <x:v>congridae</x:v>
      </x:c>
      <x:c r="O55" s="32" t="n">
        <x:v>4.18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Congridae</x:v>
      </x:c>
      <x:c r="T55" s="32" t="n">
        <x:f>IF(O55="","",(1/'Metadata'!$B$5)^(O55-1))</x:f>
        <x:v>1513.5612484362073</x:v>
      </x:c>
      <x:c r="U55" s="31" t="n">
        <x:f>IF(T55="","",I55*T55)</x:f>
        <x:v>15261.630000126877</x:v>
      </x:c>
    </x:row>
    <x:row r="56" ht="18" customHeight="1">
      <x:c r="A56" s="24" t="str">
        <x:v>LME_021</x:v>
      </x:c>
      <x:c r="B56" s="24" t="str">
        <x:v>Norwegian Sea</x:v>
      </x:c>
      <x:c r="C56" s="24" t="str">
        <x:v>LME</x:v>
      </x:c>
      <x:c r="D56" s="30" t="n">
        <x:v>2019</x:v>
      </x:c>
      <x:c r="E56" s="24" t="str">
        <x:v>Crangonidae</x:v>
      </x:c>
      <x:c r="F56" s="24" t="str">
        <x:v>Brown shrimps</x:v>
      </x:c>
      <x:c r="G56" s="24" t="str">
        <x:v>Shrimps</x:v>
      </x:c>
      <x:c r="H56" s="24" t="str">
        <x:v>Crustaceans</x:v>
      </x:c>
      <x:c r="I56" s="31" t="n">
        <x:v>9.3497341148</x:v>
      </x:c>
      <x:c r="J56" s="31" t="n">
        <x:v>0</x:v>
      </x:c>
      <x:c r="K56" s="31" t="n">
        <x:v>9.3497341148</x:v>
      </x:c>
      <x:c r="L56" s="31" t="n">
        <x:v>0</x:v>
      </x:c>
      <x:c r="M56" s="31" t="n">
        <x:v>9.3497341148</x:v>
      </x:c>
      <x:c r="N56" s="24" t="str">
        <x:v>crangonidae</x:v>
      </x:c>
      <x:c r="O56" s="32" t="n">
        <x:v>3.19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Crangonidae</x:v>
      </x:c>
      <x:c r="T56" s="32" t="n">
        <x:f>IF(O56="","",(1/'Metadata'!$B$5)^(O56-1))</x:f>
        <x:v>154.88166189124811</x:v>
      </x:c>
      <x:c r="U56" s="31" t="n">
        <x:f>IF(T56="","",I56*T56)</x:f>
        <x:v>1448.1023579415216</x:v>
      </x:c>
    </x:row>
    <x:row r="57" ht="18" customHeight="1">
      <x:c r="A57" s="24" t="str">
        <x:v>LME_021</x:v>
      </x:c>
      <x:c r="B57" s="24" t="str">
        <x:v>Norwegian Sea</x:v>
      </x:c>
      <x:c r="C57" s="24" t="str">
        <x:v>LME</x:v>
      </x:c>
      <x:c r="D57" s="30" t="n">
        <x:v>2019</x:v>
      </x:c>
      <x:c r="E57" s="24" t="str">
        <x:v>Cephalopoda</x:v>
      </x:c>
      <x:c r="F57" s="24" t="str">
        <x:v>Squids, cuttlefishes, octopuses</x:v>
      </x:c>
      <x:c r="G57" s="24" t="str">
        <x:v>Cephalopods</x:v>
      </x:c>
      <x:c r="H57" s="24" t="str">
        <x:v>Other fishes &amp; inverts</x:v>
      </x:c>
      <x:c r="I57" s="31" t="n">
        <x:v>9.1327539557</x:v>
      </x:c>
      <x:c r="J57" s="31" t="n">
        <x:v>0</x:v>
      </x:c>
      <x:c r="K57" s="31" t="n">
        <x:v>9.1327539557</x:v>
      </x:c>
      <x:c r="L57" s="31" t="n">
        <x:v>0</x:v>
      </x:c>
      <x:c r="M57" s="31" t="n">
        <x:v>9.1327539557</x:v>
      </x:c>
      <x:c r="N57" s="24" t="str">
        <x:v>cephalopoda</x:v>
      </x:c>
      <x:c r="O57" s="32" t="n">
        <x:v>3.81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Cephalopoda</x:v>
      </x:c>
      <x:c r="T57" s="32" t="n">
        <x:f>IF(O57="","",(1/'Metadata'!$B$5)^(O57-1))</x:f>
        <x:v>645.6542290346556</x:v>
      </x:c>
      <x:c r="U57" s="31" t="n">
        <x:f>IF(T57="","",I57*T57)</x:f>
        <x:v>5896.6012142306845</x:v>
      </x:c>
    </x:row>
    <x:row r="58" ht="18" customHeight="1">
      <x:c r="A58" s="24" t="str">
        <x:v>LME_021</x:v>
      </x:c>
      <x:c r="B58" s="24" t="str">
        <x:v>Norwegian Sea</x:v>
      </x:c>
      <x:c r="C58" s="24" t="str">
        <x:v>LME</x:v>
      </x:c>
      <x:c r="D58" s="30" t="n">
        <x:v>2019</x:v>
      </x:c>
      <x:c r="E58" s="24" t="str">
        <x:v>Alepocephalus bairdii</x:v>
      </x:c>
      <x:c r="F58" s="24" t="str">
        <x:v>Baird's slickhead</x:v>
      </x:c>
      <x:c r="G58" s="24" t="str">
        <x:v>Large bathydemersals (&gt;=90 cm)</x:v>
      </x:c>
      <x:c r="H58" s="24" t="str">
        <x:v>Salmon, smelts, etc</x:v>
      </x:c>
      <x:c r="I58" s="31" t="n">
        <x:v>8.0771048334</x:v>
      </x:c>
      <x:c r="J58" s="31" t="n">
        <x:v>8.0771048334</x:v>
      </x:c>
      <x:c r="K58" s="31" t="n">
        <x:v>0</x:v>
      </x:c>
      <x:c r="L58" s="31" t="n">
        <x:v>8.0771048334</x:v>
      </x:c>
      <x:c r="M58" s="31" t="n">
        <x:v>0</x:v>
      </x:c>
      <x:c r="N58" s="24" t="str">
        <x:v>alepocephalus bairdii</x:v>
      </x:c>
      <x:c r="O58" s="32" t="n">
        <x:v>3.69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Alepocephalus bairdii</x:v>
      </x:c>
      <x:c r="T58" s="32" t="n">
        <x:f>IF(O58="","",(1/'Metadata'!$B$5)^(O58-1))</x:f>
        <x:v>489.77881936844614</x:v>
      </x:c>
      <x:c r="U58" s="31" t="n">
        <x:f>IF(T58="","",I58*T58)</x:f>
        <x:v>3955.994869217822</x:v>
      </x:c>
    </x:row>
    <x:row r="59" ht="18" customHeight="1">
      <x:c r="A59" s="24" t="str">
        <x:v>LME_021</x:v>
      </x:c>
      <x:c r="B59" s="24" t="str">
        <x:v>Norwegian Sea</x:v>
      </x:c>
      <x:c r="C59" s="24" t="str">
        <x:v>LME</x:v>
      </x:c>
      <x:c r="D59" s="30" t="n">
        <x:v>2019</x:v>
      </x:c>
      <x:c r="E59" s="24" t="str">
        <x:v>Zeus faber</x:v>
      </x:c>
      <x:c r="F59" s="24" t="str">
        <x:v>John dory</x:v>
      </x:c>
      <x:c r="G59" s="24" t="str">
        <x:v>Medium benthopelagics (30 - 89 cm)</x:v>
      </x:c>
      <x:c r="H59" s="24" t="str">
        <x:v>Other fishes &amp; inverts</x:v>
      </x:c>
      <x:c r="I59" s="31" t="n">
        <x:v>7.2071489251</x:v>
      </x:c>
      <x:c r="J59" s="31" t="n">
        <x:v>7.2071489251</x:v>
      </x:c>
      <x:c r="K59" s="31" t="n">
        <x:v>0</x:v>
      </x:c>
      <x:c r="L59" s="31" t="n">
        <x:v>7.2071489251</x:v>
      </x:c>
      <x:c r="M59" s="31" t="n">
        <x:v>0</x:v>
      </x:c>
      <x:c r="N59" s="24" t="str">
        <x:v>zeus faber</x:v>
      </x:c>
      <x:c r="O59" s="32" t="n">
        <x:v>4.5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Zeus faber</x:v>
      </x:c>
      <x:c r="T59" s="32" t="n">
        <x:f>IF(O59="","",(1/'Metadata'!$B$5)^(O59-1))</x:f>
        <x:v>3162.2776601683795</x:v>
      </x:c>
      <x:c r="U59" s="31" t="n">
        <x:f>IF(T59="","",I59*T59)</x:f>
        <x:v>22791.00603935028</x:v>
      </x:c>
    </x:row>
    <x:row r="60" ht="18" customHeight="1">
      <x:c r="A60" s="24" t="str">
        <x:v>LME_021</x:v>
      </x:c>
      <x:c r="B60" s="24" t="str">
        <x:v>Norwegian Sea</x:v>
      </x:c>
      <x:c r="C60" s="24" t="str">
        <x:v>LME</x:v>
      </x:c>
      <x:c r="D60" s="30" t="n">
        <x:v>2019</x:v>
      </x:c>
      <x:c r="E60" s="24" t="str">
        <x:v>Sciaenidae</x:v>
      </x:c>
      <x:c r="F60" s="24" t="str">
        <x:v>Drums, croakers</x:v>
      </x:c>
      <x:c r="G60" s="24" t="str">
        <x:v>Medium demersals (30 - 89 cm)</x:v>
      </x:c>
      <x:c r="H60" s="24" t="str">
        <x:v>Perch-likes</x:v>
      </x:c>
      <x:c r="I60" s="31" t="n">
        <x:v>6.5859874834</x:v>
      </x:c>
      <x:c r="J60" s="31" t="n">
        <x:v>0.0646417564</x:v>
      </x:c>
      <x:c r="K60" s="31" t="n">
        <x:v>6.521345727</x:v>
      </x:c>
      <x:c r="L60" s="31" t="n">
        <x:v>0.0646417564</x:v>
      </x:c>
      <x:c r="M60" s="31" t="n">
        <x:v>6.521345727</x:v>
      </x:c>
      <x:c r="N60" s="24" t="str">
        <x:v>sciaenidae</x:v>
      </x:c>
      <x:c r="O60" s="32" t="n">
        <x:v>3.76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Sciaenidae</x:v>
      </x:c>
      <x:c r="T60" s="32" t="n">
        <x:f>IF(O60="","",(1/'Metadata'!$B$5)^(O60-1))</x:f>
        <x:v>575.4399373371566</x:v>
      </x:c>
      <x:c r="U60" s="31" t="n">
        <x:f>IF(T60="","",I60*T60)</x:f>
        <x:v>3789.840224750994</x:v>
      </x:c>
    </x:row>
    <x:row r="61" ht="18" customHeight="1">
      <x:c r="A61" s="24" t="str">
        <x:v>LME_021</x:v>
      </x:c>
      <x:c r="B61" s="24" t="str">
        <x:v>Norwegian Sea</x:v>
      </x:c>
      <x:c r="C61" s="24" t="str">
        <x:v>LME</x:v>
      </x:c>
      <x:c r="D61" s="30" t="n">
        <x:v>2019</x:v>
      </x:c>
      <x:c r="E61" s="24" t="str">
        <x:v>Dicentrarchus labrax</x:v>
      </x:c>
      <x:c r="F61" s="24" t="str">
        <x:v>European seabass</x:v>
      </x:c>
      <x:c r="G61" s="24" t="str">
        <x:v>Large demersals (&gt;=90 cm)</x:v>
      </x:c>
      <x:c r="H61" s="24" t="str">
        <x:v>Perch-likes</x:v>
      </x:c>
      <x:c r="I61" s="31" t="n">
        <x:v>5.9883355767</x:v>
      </x:c>
      <x:c r="J61" s="31" t="n">
        <x:v>5.9883355767</x:v>
      </x:c>
      <x:c r="K61" s="31" t="n">
        <x:v>0</x:v>
      </x:c>
      <x:c r="L61" s="31" t="n">
        <x:v>5.9883355767</x:v>
      </x:c>
      <x:c r="M61" s="31" t="n">
        <x:v>0</x:v>
      </x:c>
      <x:c r="N61" s="24" t="str">
        <x:v>dicentrarchus labrax</x:v>
      </x:c>
      <x:c r="O61" s="32" t="n">
        <x:v>3.79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Dicentrarchus labrax</x:v>
      </x:c>
      <x:c r="T61" s="32" t="n">
        <x:f>IF(O61="","",(1/'Metadata'!$B$5)^(O61-1))</x:f>
        <x:v>616.5950018614822</x:v>
      </x:c>
      <x:c r="U61" s="31" t="n">
        <x:f>IF(T61="","",I61*T61)</x:f>
        <x:v>3692.3777860625164</x:v>
      </x:c>
    </x:row>
    <x:row r="62" ht="18" customHeight="1">
      <x:c r="A62" s="24" t="str">
        <x:v>LME_021</x:v>
      </x:c>
      <x:c r="B62" s="24" t="str">
        <x:v>Norwegian Sea</x:v>
      </x:c>
      <x:c r="C62" s="24" t="str">
        <x:v>LME</x:v>
      </x:c>
      <x:c r="D62" s="30" t="n">
        <x:v>2019</x:v>
      </x:c>
      <x:c r="E62" s="24" t="str">
        <x:v>Sebastidae</x:v>
      </x:c>
      <x:c r="F62" s="24" t="str">
        <x:v>Rockfishes, rockcods, thornyheads</x:v>
      </x:c>
      <x:c r="G62" s="24" t="str">
        <x:v>Medium demersals (30 - 89 cm)</x:v>
      </x:c>
      <x:c r="H62" s="24" t="str">
        <x:v>Scorpionfishes</x:v>
      </x:c>
      <x:c r="I62" s="31" t="n">
        <x:v>5.9282108482</x:v>
      </x:c>
      <x:c r="J62" s="31" t="n">
        <x:v>0</x:v>
      </x:c>
      <x:c r="K62" s="31" t="n">
        <x:v>5.9282108482</x:v>
      </x:c>
      <x:c r="L62" s="31" t="n">
        <x:v>0</x:v>
      </x:c>
      <x:c r="M62" s="31" t="n">
        <x:v>5.9282108482</x:v>
      </x:c>
      <x:c r="N62" s="24" t="str">
        <x:v>sebastidae</x:v>
      </x:c>
      <x:c r="O62" s="32" t="n">
        <x:v>3.74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Sebastidae</x:v>
      </x:c>
      <x:c r="T62" s="32" t="n">
        <x:f>IF(O62="","",(1/'Metadata'!$B$5)^(O62-1))</x:f>
        <x:v>549.5408738576248</x:v>
      </x:c>
      <x:c r="U62" s="31" t="n">
        <x:f>IF(T62="","",I62*T62)</x:f>
        <x:v>3257.794169932079</x:v>
      </x:c>
    </x:row>
    <x:row r="63" ht="18" customHeight="1">
      <x:c r="A63" s="24" t="str">
        <x:v>LME_021</x:v>
      </x:c>
      <x:c r="B63" s="24" t="str">
        <x:v>Norwegian Sea</x:v>
      </x:c>
      <x:c r="C63" s="24" t="str">
        <x:v>LME</x:v>
      </x:c>
      <x:c r="D63" s="30" t="n">
        <x:v>2019</x:v>
      </x:c>
      <x:c r="E63" s="24" t="str">
        <x:v>Platichthys flesus</x:v>
      </x:c>
      <x:c r="F63" s="24" t="str">
        <x:v>European flounder</x:v>
      </x:c>
      <x:c r="G63" s="24" t="str">
        <x:v>Small to medium flatfishes (&lt;90 cm)</x:v>
      </x:c>
      <x:c r="H63" s="24" t="str">
        <x:v>Flatfishes</x:v>
      </x:c>
      <x:c r="I63" s="31" t="n">
        <x:v>5.8004029787</x:v>
      </x:c>
      <x:c r="J63" s="31" t="n">
        <x:v>5.8004029787</x:v>
      </x:c>
      <x:c r="K63" s="31" t="n">
        <x:v>0</x:v>
      </x:c>
      <x:c r="L63" s="31" t="n">
        <x:v>5.8004029787</x:v>
      </x:c>
      <x:c r="M63" s="31" t="n">
        <x:v>0</x:v>
      </x:c>
      <x:c r="N63" s="24" t="str">
        <x:v>platichthys flesus</x:v>
      </x:c>
      <x:c r="O63" s="32" t="n">
        <x:v>3.32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Platichthys flesus</x:v>
      </x:c>
      <x:c r="T63" s="32" t="n">
        <x:f>IF(O63="","",(1/'Metadata'!$B$5)^(O63-1))</x:f>
        <x:v>208.92961308540387</x:v>
      </x:c>
      <x:c r="U63" s="31" t="n">
        <x:f>IF(T63="","",I63*T63)</x:f>
        <x:v>1211.8759500792153</x:v>
      </x:c>
    </x:row>
    <x:row r="64" ht="18" customHeight="1">
      <x:c r="A64" s="24" t="str">
        <x:v>LME_021</x:v>
      </x:c>
      <x:c r="B64" s="24" t="str">
        <x:v>Norwegian Sea</x:v>
      </x:c>
      <x:c r="C64" s="24" t="str">
        <x:v>LME</x:v>
      </x:c>
      <x:c r="D64" s="30" t="n">
        <x:v>2019</x:v>
      </x:c>
      <x:c r="E64" s="24" t="str">
        <x:v>Gastropoda</x:v>
      </x:c>
      <x:c r="F64" s="24" t="str">
        <x:v>Sea snails</x:v>
      </x:c>
      <x:c r="G64" s="24" t="str">
        <x:v>Other demersal invertebrates</x:v>
      </x:c>
      <x:c r="H64" s="24" t="str">
        <x:v>Molluscs</x:v>
      </x:c>
      <x:c r="I64" s="31" t="n">
        <x:v>5.4761576611</x:v>
      </x:c>
      <x:c r="J64" s="31" t="n">
        <x:v>0.07927557119999999</x:v>
      </x:c>
      <x:c r="K64" s="31" t="n">
        <x:v>5.3968820899</x:v>
      </x:c>
      <x:c r="L64" s="31" t="n">
        <x:v>0.07927557119999999</x:v>
      </x:c>
      <x:c r="M64" s="31" t="n">
        <x:v>5.3968820899</x:v>
      </x:c>
      <x:c r="N64" s="24" t="str">
        <x:v>gastropoda</x:v>
      </x:c>
      <x:c r="O64" s="32" t="n">
        <x:v>3.06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Gastropoda</x:v>
      </x:c>
      <x:c r="T64" s="32" t="n">
        <x:f>IF(O64="","",(1/'Metadata'!$B$5)^(O64-1))</x:f>
        <x:v>114.81536214968828</x:v>
      </x:c>
      <x:c r="U64" s="31" t="n">
        <x:f>IF(T64="","",I64*T64)</x:f>
        <x:v>628.7470250479865</x:v>
      </x:c>
    </x:row>
    <x:row r="65" ht="18" customHeight="1">
      <x:c r="A65" s="24" t="str">
        <x:v>LME_021</x:v>
      </x:c>
      <x:c r="B65" s="24" t="str">
        <x:v>Norwegian Sea</x:v>
      </x:c>
      <x:c r="C65" s="24" t="str">
        <x:v>LME</x:v>
      </x:c>
      <x:c r="D65" s="30" t="n">
        <x:v>2019</x:v>
      </x:c>
      <x:c r="E65" s="24" t="str">
        <x:v>Spondyliosoma cantharus</x:v>
      </x:c>
      <x:c r="F65" s="24" t="str">
        <x:v>Black seabream</x:v>
      </x:c>
      <x:c r="G65" s="24" t="str">
        <x:v>Medium benthopelagics (30 - 89 cm)</x:v>
      </x:c>
      <x:c r="H65" s="24" t="str">
        <x:v>Perch-likes</x:v>
      </x:c>
      <x:c r="I65" s="31" t="n">
        <x:v>5.2340806076</x:v>
      </x:c>
      <x:c r="J65" s="31" t="n">
        <x:v>5.2340806076</x:v>
      </x:c>
      <x:c r="K65" s="31" t="n">
        <x:v>0</x:v>
      </x:c>
      <x:c r="L65" s="31" t="n">
        <x:v>5.2340806076</x:v>
      </x:c>
      <x:c r="M65" s="31" t="n">
        <x:v>0</x:v>
      </x:c>
      <x:c r="N65" s="24" t="str">
        <x:v>spondyliosoma cantharus</x:v>
      </x:c>
      <x:c r="O65" s="32" t="n">
        <x:v>3.34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Spondyliosoma cantharus</x:v>
      </x:c>
      <x:c r="T65" s="32" t="n">
        <x:f>IF(O65="","",(1/'Metadata'!$B$5)^(O65-1))</x:f>
        <x:v>218.77616239495518</x:v>
      </x:c>
      <x:c r="U65" s="31" t="n">
        <x:f>IF(T65="","",I65*T65)</x:f>
        <x:v>1145.0920689965833</x:v>
      </x:c>
    </x:row>
    <x:row r="66" ht="18" customHeight="1">
      <x:c r="A66" s="24" t="str">
        <x:v>LME_021</x:v>
      </x:c>
      <x:c r="B66" s="24" t="str">
        <x:v>Norwegian Sea</x:v>
      </x:c>
      <x:c r="C66" s="24" t="str">
        <x:v>LME</x:v>
      </x:c>
      <x:c r="D66" s="30" t="n">
        <x:v>2019</x:v>
      </x:c>
      <x:c r="E66" s="24" t="str">
        <x:v>Argentina</x:v>
      </x:c>
      <x:c r="F66" s="24" t="str">
        <x:v>Argentines</x:v>
      </x:c>
      <x:c r="G66" s="24" t="str">
        <x:v>Medium bathydemersals (30 - 89 cm)</x:v>
      </x:c>
      <x:c r="H66" s="24" t="str">
        <x:v>Salmon, smelts, etc</x:v>
      </x:c>
      <x:c r="I66" s="31" t="n">
        <x:v>4.7840693391</x:v>
      </x:c>
      <x:c r="J66" s="31" t="n">
        <x:v>4.7840693391</x:v>
      </x:c>
      <x:c r="K66" s="31" t="n">
        <x:v>0</x:v>
      </x:c>
      <x:c r="L66" s="31" t="n">
        <x:v>4.7840693391</x:v>
      </x:c>
      <x:c r="M66" s="31" t="n">
        <x:v>0</x:v>
      </x:c>
      <x:c r="N66" s="24" t="str">
        <x:v>argentina</x:v>
      </x:c>
      <x:c r="O66" s="32" t="n">
        <x:v>3.35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Argentina</x:v>
      </x:c>
      <x:c r="T66" s="32" t="n">
        <x:f>IF(O66="","",(1/'Metadata'!$B$5)^(O66-1))</x:f>
        <x:v>223.872113856834</x:v>
      </x:c>
      <x:c r="U66" s="31" t="n">
        <x:f>IF(T66="","",I66*T66)</x:f>
        <x:v>1071.019715781984</x:v>
      </x:c>
    </x:row>
    <x:row r="67" ht="18" customHeight="1">
      <x:c r="A67" s="24" t="str">
        <x:v>LME_021</x:v>
      </x:c>
      <x:c r="B67" s="24" t="str">
        <x:v>Norwegian Sea</x:v>
      </x:c>
      <x:c r="C67" s="24" t="str">
        <x:v>LME</x:v>
      </x:c>
      <x:c r="D67" s="30" t="n">
        <x:v>2019</x:v>
      </x:c>
      <x:c r="E67" s="24" t="str">
        <x:v>Lophius piscatorius</x:v>
      </x:c>
      <x:c r="F67" s="24" t="str">
        <x:v>Angler</x:v>
      </x:c>
      <x:c r="G67" s="24" t="str">
        <x:v>Large bathydemersals (&gt;=90 cm)</x:v>
      </x:c>
      <x:c r="H67" s="24" t="str">
        <x:v>Other fishes &amp; inverts</x:v>
      </x:c>
      <x:c r="I67" s="31" t="n">
        <x:v>4.7736508156</x:v>
      </x:c>
      <x:c r="J67" s="31" t="n">
        <x:v>4.7736508156</x:v>
      </x:c>
      <x:c r="K67" s="31" t="n">
        <x:v>0</x:v>
      </x:c>
      <x:c r="L67" s="31" t="n">
        <x:v>4.7736508156</x:v>
      </x:c>
      <x:c r="M67" s="31" t="n">
        <x:v>0</x:v>
      </x:c>
      <x:c r="N67" s="24" t="str">
        <x:v>lophius piscatorius</x:v>
      </x:c>
      <x:c r="O67" s="32" t="n">
        <x:v>4.45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Lophius piscatorius</x:v>
      </x:c>
      <x:c r="T67" s="32" t="n">
        <x:f>IF(O67="","",(1/'Metadata'!$B$5)^(O67-1))</x:f>
        <x:v>2818.382931264455</x:v>
      </x:c>
      <x:c r="U67" s="31" t="n">
        <x:f>IF(T67="","",I67*T67)</x:f>
        <x:v>13453.975978503684</x:v>
      </x:c>
    </x:row>
    <x:row r="68" ht="18" customHeight="1">
      <x:c r="A68" s="24" t="str">
        <x:v>LME_021</x:v>
      </x:c>
      <x:c r="B68" s="24" t="str">
        <x:v>Norwegian Sea</x:v>
      </x:c>
      <x:c r="C68" s="24" t="str">
        <x:v>LME</x:v>
      </x:c>
      <x:c r="D68" s="30" t="n">
        <x:v>2019</x:v>
      </x:c>
      <x:c r="E68" s="24" t="str">
        <x:v>Raja clavata</x:v>
      </x:c>
      <x:c r="F68" s="24" t="str">
        <x:v>Thornback ray</x:v>
      </x:c>
      <x:c r="G68" s="24" t="str">
        <x:v>Large rays (&gt;=90 cm)</x:v>
      </x:c>
      <x:c r="H68" s="24" t="str">
        <x:v>Sharks &amp; rays</x:v>
      </x:c>
      <x:c r="I68" s="31" t="n">
        <x:v>4.4926800561</x:v>
      </x:c>
      <x:c r="J68" s="31" t="n">
        <x:v>4.4926800561</x:v>
      </x:c>
      <x:c r="K68" s="31" t="n">
        <x:v>0</x:v>
      </x:c>
      <x:c r="L68" s="31" t="n">
        <x:v>4.4926800561</x:v>
      </x:c>
      <x:c r="M68" s="31" t="n">
        <x:v>0</x:v>
      </x:c>
      <x:c r="N68" s="24" t="str">
        <x:v>raja clavata</x:v>
      </x:c>
      <x:c r="O68" s="32" t="n">
        <x:v>3.84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Raja clavata</x:v>
      </x:c>
      <x:c r="T68" s="32" t="n">
        <x:f>IF(O68="","",(1/'Metadata'!$B$5)^(O68-1))</x:f>
        <x:v>691.8309709189363</x:v>
      </x:c>
      <x:c r="U68" s="31" t="n">
        <x:f>IF(T68="","",I68*T68)</x:f>
        <x:v>3108.175205239804</x:v>
      </x:c>
    </x:row>
    <x:row r="69" ht="18" customHeight="1">
      <x:c r="A69" s="24" t="str">
        <x:v>LME_021</x:v>
      </x:c>
      <x:c r="B69" s="24" t="str">
        <x:v>Norwegian Sea</x:v>
      </x:c>
      <x:c r="C69" s="24" t="str">
        <x:v>LME</x:v>
      </x:c>
      <x:c r="D69" s="30" t="n">
        <x:v>2019</x:v>
      </x:c>
      <x:c r="E69" s="24" t="str">
        <x:v>Lepidopus caudatus</x:v>
      </x:c>
      <x:c r="F69" s="24" t="str">
        <x:v>Silver scabbardfish</x:v>
      </x:c>
      <x:c r="G69" s="24" t="str">
        <x:v>Large bathydemersals (&gt;=90 cm)</x:v>
      </x:c>
      <x:c r="H69" s="24" t="str">
        <x:v>Perch-likes</x:v>
      </x:c>
      <x:c r="I69" s="31" t="n">
        <x:v>4.4466919887000005</x:v>
      </x:c>
      <x:c r="J69" s="31" t="n">
        <x:v>4.4466919887000005</x:v>
      </x:c>
      <x:c r="K69" s="31" t="n">
        <x:v>0</x:v>
      </x:c>
      <x:c r="L69" s="31" t="n">
        <x:v>4.4466919887000005</x:v>
      </x:c>
      <x:c r="M69" s="31" t="n">
        <x:v>0</x:v>
      </x:c>
      <x:c r="N69" s="24" t="str">
        <x:v>lepidopus caudatus</x:v>
      </x:c>
      <x:c r="O69" s="32" t="n">
        <x:v>3.82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Lepidopus caudatus</x:v>
      </x:c>
      <x:c r="T69" s="32" t="n">
        <x:f>IF(O69="","",(1/'Metadata'!$B$5)^(O69-1))</x:f>
        <x:v>660.6934480075957</x:v>
      </x:c>
      <x:c r="U69" s="31" t="n">
        <x:f>IF(T69="","",I69*T69)</x:f>
        <x:v>2937.900262241956</x:v>
      </x:c>
    </x:row>
    <x:row r="70" ht="18" customHeight="1">
      <x:c r="A70" s="24" t="str">
        <x:v>LME_021</x:v>
      </x:c>
      <x:c r="B70" s="24" t="str">
        <x:v>Norwegian Sea</x:v>
      </x:c>
      <x:c r="C70" s="24" t="str">
        <x:v>LME</x:v>
      </x:c>
      <x:c r="D70" s="30" t="n">
        <x:v>2019</x:v>
      </x:c>
      <x:c r="E70" s="24" t="str">
        <x:v>Glyptocephalus cynoglossus</x:v>
      </x:c>
      <x:c r="F70" s="24" t="str">
        <x:v>Witch flounder</x:v>
      </x:c>
      <x:c r="G70" s="24" t="str">
        <x:v>Small to medium flatfishes (&lt;90 cm)</x:v>
      </x:c>
      <x:c r="H70" s="24" t="str">
        <x:v>Flatfishes</x:v>
      </x:c>
      <x:c r="I70" s="31" t="n">
        <x:v>4.3482466424</x:v>
      </x:c>
      <x:c r="J70" s="31" t="n">
        <x:v>4.3482466424</x:v>
      </x:c>
      <x:c r="K70" s="31" t="n">
        <x:v>0</x:v>
      </x:c>
      <x:c r="L70" s="31" t="n">
        <x:v>4.3482466424</x:v>
      </x:c>
      <x:c r="M70" s="31" t="n">
        <x:v>0</x:v>
      </x:c>
      <x:c r="N70" s="24" t="str">
        <x:v>glyptocephalus cynoglossus</x:v>
      </x:c>
      <x:c r="O70" s="32" t="n">
        <x:v>3.17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Glyptocephalus cynoglossus</x:v>
      </x:c>
      <x:c r="T70" s="32" t="n">
        <x:f>IF(O70="","",(1/'Metadata'!$B$5)^(O70-1))</x:f>
        <x:v>147.91083881682073</x:v>
      </x:c>
      <x:c r="U70" s="31" t="n">
        <x:f>IF(T70="","",I70*T70)</x:f>
        <x:v>643.1528082598084</x:v>
      </x:c>
    </x:row>
    <x:row r="71" ht="18" customHeight="1">
      <x:c r="A71" s="24" t="str">
        <x:v>LME_021</x:v>
      </x:c>
      <x:c r="B71" s="24" t="str">
        <x:v>Norwegian Sea</x:v>
      </x:c>
      <x:c r="C71" s="24" t="str">
        <x:v>LME</x:v>
      </x:c>
      <x:c r="D71" s="30" t="n">
        <x:v>2019</x:v>
      </x:c>
      <x:c r="E71" s="24" t="str">
        <x:v>Aphanopus carbo</x:v>
      </x:c>
      <x:c r="F71" s="24" t="str">
        <x:v>Black scabbardfish</x:v>
      </x:c>
      <x:c r="G71" s="24" t="str">
        <x:v>Large benthopelagics (&gt;=90 cm)</x:v>
      </x:c>
      <x:c r="H71" s="24" t="str">
        <x:v>Perch-likes</x:v>
      </x:c>
      <x:c r="I71" s="31" t="n">
        <x:v>3.9060131697</x:v>
      </x:c>
      <x:c r="J71" s="31" t="n">
        <x:v>3.9060131697</x:v>
      </x:c>
      <x:c r="K71" s="31" t="n">
        <x:v>0</x:v>
      </x:c>
      <x:c r="L71" s="31" t="n">
        <x:v>3.9060131697</x:v>
      </x:c>
      <x:c r="M71" s="31" t="n">
        <x:v>0</x:v>
      </x:c>
      <x:c r="N71" s="24" t="str">
        <x:v>aphanopus carbo</x:v>
      </x:c>
      <x:c r="O71" s="32" t="n">
        <x:v>4.48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Aphanopus carbo</x:v>
      </x:c>
      <x:c r="T71" s="32" t="n">
        <x:f>IF(O71="","",(1/'Metadata'!$B$5)^(O71-1))</x:f>
        <x:v>3019.951720402019</x:v>
      </x:c>
      <x:c r="U71" s="31" t="n">
        <x:f>IF(T71="","",I71*T71)</x:f>
        <x:v>11795.971191748458</x:v>
      </x:c>
    </x:row>
    <x:row r="72" ht="18" customHeight="1">
      <x:c r="A72" s="24" t="str">
        <x:v>LME_021</x:v>
      </x:c>
      <x:c r="B72" s="24" t="str">
        <x:v>Norwegian Sea</x:v>
      </x:c>
      <x:c r="C72" s="24" t="str">
        <x:v>LME</x:v>
      </x:c>
      <x:c r="D72" s="30" t="n">
        <x:v>2019</x:v>
      </x:c>
      <x:c r="E72" s="24" t="str">
        <x:v>Ommastrephidae</x:v>
      </x:c>
      <x:c r="F72" s="24" t="str">
        <x:v>Arrow squids</x:v>
      </x:c>
      <x:c r="G72" s="24" t="str">
        <x:v>Cephalopods</x:v>
      </x:c>
      <x:c r="H72" s="24" t="str">
        <x:v>Other fishes &amp; inverts</x:v>
      </x:c>
      <x:c r="I72" s="31" t="n">
        <x:v>3.6230848106</x:v>
      </x:c>
      <x:c r="J72" s="31" t="n">
        <x:v>3.6230848106</x:v>
      </x:c>
      <x:c r="K72" s="31" t="n">
        <x:v>0</x:v>
      </x:c>
      <x:c r="L72" s="31" t="n">
        <x:v>3.6230848106</x:v>
      </x:c>
      <x:c r="M72" s="31" t="n">
        <x:v>0</x:v>
      </x:c>
      <x:c r="N72" s="24" t="str">
        <x:v>ommastrephidae</x:v>
      </x:c>
      <x:c r="O72" s="32" t="n">
        <x:v>4.09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Ommastrephidae</x:v>
      </x:c>
      <x:c r="T72" s="32" t="n">
        <x:f>IF(O72="","",(1/'Metadata'!$B$5)^(O72-1))</x:f>
        <x:v>1230.268770812381</x:v>
      </x:c>
      <x:c r="U72" s="31" t="n">
        <x:f>IF(T72="","",I72*T72)</x:f>
        <x:v>4457.36809648587</x:v>
      </x:c>
    </x:row>
    <x:row r="73" ht="18" customHeight="1">
      <x:c r="A73" s="24" t="str">
        <x:v>LME_021</x:v>
      </x:c>
      <x:c r="B73" s="24" t="str">
        <x:v>Norwegian Sea</x:v>
      </x:c>
      <x:c r="C73" s="24" t="str">
        <x:v>LME</x:v>
      </x:c>
      <x:c r="D73" s="30" t="n">
        <x:v>2019</x:v>
      </x:c>
      <x:c r="E73" s="24" t="str">
        <x:v>Macrourus berglax</x:v>
      </x:c>
      <x:c r="F73" s="24" t="str">
        <x:v>Roughhead grenadier</x:v>
      </x:c>
      <x:c r="G73" s="24" t="str">
        <x:v>Large benthopelagics (&gt;=90 cm)</x:v>
      </x:c>
      <x:c r="H73" s="24" t="str">
        <x:v>Cod-likes</x:v>
      </x:c>
      <x:c r="I73" s="31" t="n">
        <x:v>3.589465005</x:v>
      </x:c>
      <x:c r="J73" s="31" t="n">
        <x:v>3.589465005</x:v>
      </x:c>
      <x:c r="K73" s="31" t="n">
        <x:v>0</x:v>
      </x:c>
      <x:c r="L73" s="31" t="n">
        <x:v>3.589465005</x:v>
      </x:c>
      <x:c r="M73" s="31" t="n">
        <x:v>0</x:v>
      </x:c>
      <x:c r="N73" s="24" t="str">
        <x:v>macrourus berglax</x:v>
      </x:c>
      <x:c r="O73" s="32" t="n">
        <x:v>4.48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Macrourus berglax</x:v>
      </x:c>
      <x:c r="T73" s="32" t="n">
        <x:f>IF(O73="","",(1/'Metadata'!$B$5)^(O73-1))</x:f>
        <x:v>3019.951720402019</x:v>
      </x:c>
      <x:c r="U73" s="31" t="n">
        <x:f>IF(T73="","",I73*T73)</x:f>
        <x:v>10840.011017172592</x:v>
      </x:c>
    </x:row>
    <x:row r="74" ht="18" customHeight="1">
      <x:c r="A74" s="24" t="str">
        <x:v>LME_021</x:v>
      </x:c>
      <x:c r="B74" s="24" t="str">
        <x:v>Norwegian Sea</x:v>
      </x:c>
      <x:c r="C74" s="24" t="str">
        <x:v>LME</x:v>
      </x:c>
      <x:c r="D74" s="30" t="n">
        <x:v>2019</x:v>
      </x:c>
      <x:c r="E74" s="24" t="str">
        <x:v>Pollachius pollachius</x:v>
      </x:c>
      <x:c r="F74" s="24" t="str">
        <x:v>Pollack</x:v>
      </x:c>
      <x:c r="G74" s="24" t="str">
        <x:v>Large benthopelagics (&gt;=90 cm)</x:v>
      </x:c>
      <x:c r="H74" s="24" t="str">
        <x:v>Cod-likes</x:v>
      </x:c>
      <x:c r="I74" s="31" t="n">
        <x:v>3.5144670404</x:v>
      </x:c>
      <x:c r="J74" s="31" t="n">
        <x:v>3.5144670404</x:v>
      </x:c>
      <x:c r="K74" s="31" t="n">
        <x:v>0</x:v>
      </x:c>
      <x:c r="L74" s="31" t="n">
        <x:v>3.5144670404</x:v>
      </x:c>
      <x:c r="M74" s="31" t="n">
        <x:v>0</x:v>
      </x:c>
      <x:c r="N74" s="24" t="str">
        <x:v>pollachius pollachius</x:v>
      </x:c>
      <x:c r="O74" s="32" t="n">
        <x:v>4.32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Pollachius pollachius</x:v>
      </x:c>
      <x:c r="T74" s="32" t="n">
        <x:f>IF(O74="","",(1/'Metadata'!$B$5)^(O74-1))</x:f>
        <x:v>2089.2961308540407</x:v>
      </x:c>
      <x:c r="U74" s="31" t="n">
        <x:f>IF(T74="","",I74*T74)</x:f>
        <x:v>7342.762389521771</x:v>
      </x:c>
    </x:row>
    <x:row r="75" ht="18" customHeight="1">
      <x:c r="A75" s="24" t="str">
        <x:v>LME_021</x:v>
      </x:c>
      <x:c r="B75" s="24" t="str">
        <x:v>Norwegian Sea</x:v>
      </x:c>
      <x:c r="C75" s="24" t="str">
        <x:v>LME</x:v>
      </x:c>
      <x:c r="D75" s="30" t="n">
        <x:v>2019</x:v>
      </x:c>
      <x:c r="E75" s="24" t="str">
        <x:v>Alosa fallax</x:v>
      </x:c>
      <x:c r="F75" s="24" t="str">
        <x:v>Twaite shad</x:v>
      </x:c>
      <x:c r="G75" s="24" t="str">
        <x:v>Medium pelagics (30 - 89 cm)</x:v>
      </x:c>
      <x:c r="H75" s="24" t="str">
        <x:v>Herring-likes</x:v>
      </x:c>
      <x:c r="I75" s="31" t="n">
        <x:v>3.4603454049</x:v>
      </x:c>
      <x:c r="J75" s="31" t="n">
        <x:v>3.4603454049</x:v>
      </x:c>
      <x:c r="K75" s="31" t="n">
        <x:v>0</x:v>
      </x:c>
      <x:c r="L75" s="31" t="n">
        <x:v>3.4603454049</x:v>
      </x:c>
      <x:c r="M75" s="31" t="n">
        <x:v>0</x:v>
      </x:c>
      <x:c r="N75" s="24" t="str">
        <x:v>alosa fallax</x:v>
      </x:c>
      <x:c r="O75" s="32" t="n">
        <x:v>4.03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Alosa fallax</x:v>
      </x:c>
      <x:c r="T75" s="32" t="n">
        <x:f>IF(O75="","",(1/'Metadata'!$B$5)^(O75-1))</x:f>
        <x:v>1071.519305237607</x:v>
      </x:c>
      <x:c r="U75" s="31" t="n">
        <x:f>IF(T75="","",I75*T75)</x:f>
        <x:v>3707.8269041405943</x:v>
      </x:c>
    </x:row>
    <x:row r="76" ht="18" customHeight="1">
      <x:c r="A76" s="24" t="str">
        <x:v>LME_021</x:v>
      </x:c>
      <x:c r="B76" s="24" t="str">
        <x:v>Norwegian Sea</x:v>
      </x:c>
      <x:c r="C76" s="24" t="str">
        <x:v>LME</x:v>
      </x:c>
      <x:c r="D76" s="30" t="n">
        <x:v>2019</x:v>
      </x:c>
      <x:c r="E76" s="24" t="str">
        <x:v>Clupeiformes</x:v>
      </x:c>
      <x:c r="F76" s="24" t="str">
        <x:v>Herrings, shads, anchovies</x:v>
      </x:c>
      <x:c r="G76" s="24" t="str">
        <x:v>Small pelagics (&lt;30 cm)</x:v>
      </x:c>
      <x:c r="H76" s="24" t="str">
        <x:v>Other fishes &amp; inverts</x:v>
      </x:c>
      <x:c r="I76" s="31" t="n">
        <x:v>3.0733763977</x:v>
      </x:c>
      <x:c r="J76" s="31" t="n">
        <x:v>3.0733763977</x:v>
      </x:c>
      <x:c r="K76" s="31" t="n">
        <x:v>0</x:v>
      </x:c>
      <x:c r="L76" s="31" t="n">
        <x:v>3.0733763977</x:v>
      </x:c>
      <x:c r="M76" s="31" t="n">
        <x:v>0</x:v>
      </x:c>
      <x:c r="N76" s="24" t="str">
        <x:v>clupeiformes</x:v>
      </x:c>
      <x:c r="O76" s="32" t="n">
        <x:v>3.24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Clupeiformes</x:v>
      </x:c>
      <x:c r="T76" s="32" t="n">
        <x:f>IF(O76="","",(1/'Metadata'!$B$5)^(O76-1))</x:f>
        <x:v>173.78008287493762</x:v>
      </x:c>
      <x:c r="U76" s="31" t="n">
        <x:f>IF(T76="","",I76*T76)</x:f>
        <x:v>534.0916050981833</x:v>
      </x:c>
    </x:row>
    <x:row r="77" ht="18" customHeight="1">
      <x:c r="A77" s="24" t="str">
        <x:v>LME_021</x:v>
      </x:c>
      <x:c r="B77" s="24" t="str">
        <x:v>Norwegian Sea</x:v>
      </x:c>
      <x:c r="C77" s="24" t="str">
        <x:v>LME</x:v>
      </x:c>
      <x:c r="D77" s="30" t="n">
        <x:v>2019</x:v>
      </x:c>
      <x:c r="E77" s="24" t="str">
        <x:v>Glycymeris glycymeris</x:v>
      </x:c>
      <x:c r="F77" s="24" t="str">
        <x:v>Dog cockle</x:v>
      </x:c>
      <x:c r="G77" s="24" t="str">
        <x:v>Other demersal invertebrates</x:v>
      </x:c>
      <x:c r="H77" s="24" t="str">
        <x:v>Molluscs</x:v>
      </x:c>
      <x:c r="I77" s="31" t="n">
        <x:v>2.865540087</x:v>
      </x:c>
      <x:c r="J77" s="31" t="n">
        <x:v>2.865540087</x:v>
      </x:c>
      <x:c r="K77" s="31" t="n">
        <x:v>0</x:v>
      </x:c>
      <x:c r="L77" s="31" t="n">
        <x:v>2.865540087</x:v>
      </x:c>
      <x:c r="M77" s="31" t="n">
        <x:v>0</x:v>
      </x:c>
      <x:c r="N77" s="24" t="str">
        <x:v>glycymeris glycymeris</x:v>
      </x:c>
      <x:c r="O77" s="32" t="n">
        <x:v>2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Glycymeris glycymeris</x:v>
      </x:c>
      <x:c r="T77" s="32" t="n">
        <x:f>IF(O77="","",(1/'Metadata'!$B$5)^(O77-1))</x:f>
        <x:v>10</x:v>
      </x:c>
      <x:c r="U77" s="31" t="n">
        <x:f>IF(T77="","",I77*T77)</x:f>
        <x:v>28.655400869999998</x:v>
      </x:c>
    </x:row>
    <x:row r="78" ht="18" customHeight="1">
      <x:c r="A78" s="24" t="str">
        <x:v>LME_021</x:v>
      </x:c>
      <x:c r="B78" s="24" t="str">
        <x:v>Norwegian Sea</x:v>
      </x:c>
      <x:c r="C78" s="24" t="str">
        <x:v>LME</x:v>
      </x:c>
      <x:c r="D78" s="30" t="n">
        <x:v>2019</x:v>
      </x:c>
      <x:c r="E78" s="24" t="str">
        <x:v>Pagellus bogaraveo</x:v>
      </x:c>
      <x:c r="F78" s="24" t="str">
        <x:v>Blackspot seabream</x:v>
      </x:c>
      <x:c r="G78" s="24" t="str">
        <x:v>Medium benthopelagics (30 - 89 cm)</x:v>
      </x:c>
      <x:c r="H78" s="24" t="str">
        <x:v>Perch-likes</x:v>
      </x:c>
      <x:c r="I78" s="31" t="n">
        <x:v>2.5610677853999997</x:v>
      </x:c>
      <x:c r="J78" s="31" t="n">
        <x:v>2.5610677853999997</x:v>
      </x:c>
      <x:c r="K78" s="31" t="n">
        <x:v>0</x:v>
      </x:c>
      <x:c r="L78" s="31" t="n">
        <x:v>2.5610677853999997</x:v>
      </x:c>
      <x:c r="M78" s="31" t="n">
        <x:v>0</x:v>
      </x:c>
      <x:c r="N78" s="24" t="str">
        <x:v>pagellus bogaraveo</x:v>
      </x:c>
      <x:c r="O78" s="32" t="n">
        <x:v>4.21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Pagellus bogaraveo</x:v>
      </x:c>
      <x:c r="T78" s="32" t="n">
        <x:f>IF(O78="","",(1/'Metadata'!$B$5)^(O78-1))</x:f>
        <x:v>1621.8100973589299</x:v>
      </x:c>
      <x:c r="U78" s="31" t="n">
        <x:f>IF(T78="","",I78*T78)</x:f>
        <x:v>4153.565594382392</x:v>
      </x:c>
    </x:row>
    <x:row r="79" ht="18" customHeight="1">
      <x:c r="A79" s="24" t="str">
        <x:v>LME_021</x:v>
      </x:c>
      <x:c r="B79" s="24" t="str">
        <x:v>Norwegian Sea</x:v>
      </x:c>
      <x:c r="C79" s="24" t="str">
        <x:v>LME</x:v>
      </x:c>
      <x:c r="D79" s="30" t="n">
        <x:v>2019</x:v>
      </x:c>
      <x:c r="E79" s="24" t="str">
        <x:v>Gadiformes</x:v>
      </x:c>
      <x:c r="F79" s="24" t="str">
        <x:v>Cods</x:v>
      </x:c>
      <x:c r="G79" s="24" t="str">
        <x:v>Medium benthopelagics (30 - 89 cm)</x:v>
      </x:c>
      <x:c r="H79" s="24" t="str">
        <x:v>Cod-likes</x:v>
      </x:c>
      <x:c r="I79" s="31" t="n">
        <x:v>2.5361982836</x:v>
      </x:c>
      <x:c r="J79" s="31" t="n">
        <x:v>1.4191141131</x:v>
      </x:c>
      <x:c r="K79" s="31" t="n">
        <x:v>1.1170841705</x:v>
      </x:c>
      <x:c r="L79" s="31" t="n">
        <x:v>1.4191141131</x:v>
      </x:c>
      <x:c r="M79" s="31" t="n">
        <x:v>1.1170841705</x:v>
      </x:c>
      <x:c r="N79" s="24" t="str">
        <x:v>gadiformes</x:v>
      </x:c>
      <x:c r="O79" s="32" t="n">
        <x:v>3.91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Gadiformes</x:v>
      </x:c>
      <x:c r="T79" s="32" t="n">
        <x:f>IF(O79="","",(1/'Metadata'!$B$5)^(O79-1))</x:f>
        <x:v>812.8305161640995</x:v>
      </x:c>
      <x:c r="U79" s="31" t="n">
        <x:f>IF(T79="","",I79*T79)</x:f>
        <x:v>2061.4993599530912</x:v>
      </x:c>
    </x:row>
    <x:row r="80" ht="18" customHeight="1">
      <x:c r="A80" s="24" t="str">
        <x:v>LME_021</x:v>
      </x:c>
      <x:c r="B80" s="24" t="str">
        <x:v>Norwegian Sea</x:v>
      </x:c>
      <x:c r="C80" s="24" t="str">
        <x:v>LME</x:v>
      </x:c>
      <x:c r="D80" s="30" t="n">
        <x:v>2019</x:v>
      </x:c>
      <x:c r="E80" s="24" t="str">
        <x:v>Veneridae</x:v>
      </x:c>
      <x:c r="F80" s="24" t="str">
        <x:v>Venus clams</x:v>
      </x:c>
      <x:c r="G80" s="24" t="str">
        <x:v>Other demersal invertebrates</x:v>
      </x:c>
      <x:c r="H80" s="24" t="str">
        <x:v>Molluscs</x:v>
      </x:c>
      <x:c r="I80" s="31" t="n">
        <x:v>2.4865062319</x:v>
      </x:c>
      <x:c r="J80" s="31" t="n">
        <x:v>2.4865062319</x:v>
      </x:c>
      <x:c r="K80" s="31" t="n">
        <x:v>0</x:v>
      </x:c>
      <x:c r="L80" s="31" t="n">
        <x:v>2.4865062319</x:v>
      </x:c>
      <x:c r="M80" s="31" t="n">
        <x:v>0</x:v>
      </x:c>
      <x:c r="N80" s="24" t="str">
        <x:v>veneridae</x:v>
      </x:c>
      <x:c r="O80" s="32" t="n">
        <x:v>2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Veneridae</x:v>
      </x:c>
      <x:c r="T80" s="32" t="n">
        <x:f>IF(O80="","",(1/'Metadata'!$B$5)^(O80-1))</x:f>
        <x:v>10</x:v>
      </x:c>
      <x:c r="U80" s="31" t="n">
        <x:f>IF(T80="","",I80*T80)</x:f>
        <x:v>24.865062319</x:v>
      </x:c>
    </x:row>
    <x:row r="81" ht="18" customHeight="1">
      <x:c r="A81" s="24" t="str">
        <x:v>LME_021</x:v>
      </x:c>
      <x:c r="B81" s="24" t="str">
        <x:v>Norwegian Sea</x:v>
      </x:c>
      <x:c r="C81" s="24" t="str">
        <x:v>LME</x:v>
      </x:c>
      <x:c r="D81" s="30" t="n">
        <x:v>2019</x:v>
      </x:c>
      <x:c r="E81" s="24" t="str">
        <x:v>Dipturus oxyrinchus</x:v>
      </x:c>
      <x:c r="F81" s="24" t="str">
        <x:v>Longnosed skate</x:v>
      </x:c>
      <x:c r="G81" s="24" t="str">
        <x:v>Large rays (&gt;=90 cm)</x:v>
      </x:c>
      <x:c r="H81" s="24" t="str">
        <x:v>Sharks &amp; rays</x:v>
      </x:c>
      <x:c r="I81" s="31" t="n">
        <x:v>1.9191215058000002</x:v>
      </x:c>
      <x:c r="J81" s="31" t="n">
        <x:v>1.9191215058000002</x:v>
      </x:c>
      <x:c r="K81" s="31" t="n">
        <x:v>0</x:v>
      </x:c>
      <x:c r="L81" s="31" t="n">
        <x:v>1.9191215058000002</x:v>
      </x:c>
      <x:c r="M81" s="31" t="n">
        <x:v>0</x:v>
      </x:c>
      <x:c r="N81" s="24" t="str">
        <x:v>dipturus oxyrinchus</x:v>
      </x:c>
      <x:c r="O81" s="32" t="n">
        <x:v>3.5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Dipturus oxyrinchus</x:v>
      </x:c>
      <x:c r="T81" s="32" t="n">
        <x:f>IF(O81="","",(1/'Metadata'!$B$5)^(O81-1))</x:f>
        <x:v>316.22776601683796</x:v>
      </x:c>
      <x:c r="U81" s="31" t="n">
        <x:f>IF(T81="","",I81*T81)</x:f>
        <x:v>606.8795064940042</x:v>
      </x:c>
    </x:row>
    <x:row r="82" ht="18" customHeight="1">
      <x:c r="A82" s="24" t="str">
        <x:v>LME_021</x:v>
      </x:c>
      <x:c r="B82" s="24" t="str">
        <x:v>Norwegian Sea</x:v>
      </x:c>
      <x:c r="C82" s="24" t="str">
        <x:v>LME</x:v>
      </x:c>
      <x:c r="D82" s="30" t="n">
        <x:v>2019</x:v>
      </x:c>
      <x:c r="E82" s="24" t="str">
        <x:v>Solea solea</x:v>
      </x:c>
      <x:c r="F82" s="24" t="str">
        <x:v>Common sole</x:v>
      </x:c>
      <x:c r="G82" s="24" t="str">
        <x:v>Small to medium flatfishes (&lt;90 cm)</x:v>
      </x:c>
      <x:c r="H82" s="24" t="str">
        <x:v>Flatfishes</x:v>
      </x:c>
      <x:c r="I82" s="31" t="n">
        <x:v>1.9023050117</x:v>
      </x:c>
      <x:c r="J82" s="31" t="n">
        <x:v>1.9023050117</x:v>
      </x:c>
      <x:c r="K82" s="31" t="n">
        <x:v>0</x:v>
      </x:c>
      <x:c r="L82" s="31" t="n">
        <x:v>1.9023050117</x:v>
      </x:c>
      <x:c r="M82" s="31" t="n">
        <x:v>0</x:v>
      </x:c>
      <x:c r="N82" s="24" t="str">
        <x:v>solea solea</x:v>
      </x:c>
      <x:c r="O82" s="32" t="n">
        <x:v>3.21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Solea solea</x:v>
      </x:c>
      <x:c r="T82" s="32" t="n">
        <x:f>IF(O82="","",(1/'Metadata'!$B$5)^(O82-1))</x:f>
        <x:v>162.18100973589299</x:v>
      </x:c>
      <x:c r="U82" s="31" t="n">
        <x:f>IF(T82="","",I82*T82)</x:f>
        <x:v>308.51774762315574</x:v>
      </x:c>
    </x:row>
    <x:row r="83" ht="18" customHeight="1">
      <x:c r="A83" s="24" t="str">
        <x:v>LME_021</x:v>
      </x:c>
      <x:c r="B83" s="24" t="str">
        <x:v>Norwegian Sea</x:v>
      </x:c>
      <x:c r="C83" s="24" t="str">
        <x:v>LME</x:v>
      </x:c>
      <x:c r="D83" s="30" t="n">
        <x:v>2019</x:v>
      </x:c>
      <x:c r="E83" s="24" t="str">
        <x:v>Scophthalmus rhombus</x:v>
      </x:c>
      <x:c r="F83" s="24" t="str">
        <x:v>Brill</x:v>
      </x:c>
      <x:c r="G83" s="24" t="str">
        <x:v>Small to medium flatfishes (&lt;90 cm)</x:v>
      </x:c>
      <x:c r="H83" s="24" t="str">
        <x:v>Flatfishes</x:v>
      </x:c>
      <x:c r="I83" s="31" t="n">
        <x:v>1.8384296023</x:v>
      </x:c>
      <x:c r="J83" s="31" t="n">
        <x:v>1.8384296023</x:v>
      </x:c>
      <x:c r="K83" s="31" t="n">
        <x:v>0</x:v>
      </x:c>
      <x:c r="L83" s="31" t="n">
        <x:v>1.8384296023</x:v>
      </x:c>
      <x:c r="M83" s="31" t="n">
        <x:v>0</x:v>
      </x:c>
      <x:c r="N83" s="24" t="str">
        <x:v>scophthalmus rhombus</x:v>
      </x:c>
      <x:c r="O83" s="32" t="n">
        <x:v>4.42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Scophthalmus rhombus</x:v>
      </x:c>
      <x:c r="T83" s="32" t="n">
        <x:f>IF(O83="","",(1/'Metadata'!$B$5)^(O83-1))</x:f>
        <x:v>2630.2679918953813</x:v>
      </x:c>
      <x:c r="U83" s="31" t="n">
        <x:f>IF(T83="","",I83*T83)</x:f>
        <x:v>4835.562538282646</x:v>
      </x:c>
    </x:row>
    <x:row r="84" ht="18" customHeight="1">
      <x:c r="A84" s="24" t="str">
        <x:v>LME_021</x:v>
      </x:c>
      <x:c r="B84" s="24" t="str">
        <x:v>Norwegian Sea</x:v>
      </x:c>
      <x:c r="C84" s="24" t="str">
        <x:v>LME</x:v>
      </x:c>
      <x:c r="D84" s="30" t="n">
        <x:v>2019</x:v>
      </x:c>
      <x:c r="E84" s="24" t="str">
        <x:v>Chimaera monstrosa</x:v>
      </x:c>
      <x:c r="F84" s="24" t="str">
        <x:v>Rabbit fish</x:v>
      </x:c>
      <x:c r="G84" s="24" t="str">
        <x:v>Large rays (&gt;=90 cm)</x:v>
      </x:c>
      <x:c r="H84" s="24" t="str">
        <x:v>Sharks &amp; rays</x:v>
      </x:c>
      <x:c r="I84" s="31" t="n">
        <x:v>1.8002249726000001</x:v>
      </x:c>
      <x:c r="J84" s="31" t="n">
        <x:v>1.8002249726000001</x:v>
      </x:c>
      <x:c r="K84" s="31" t="n">
        <x:v>0</x:v>
      </x:c>
      <x:c r="L84" s="31" t="n">
        <x:v>1.8002249726000001</x:v>
      </x:c>
      <x:c r="M84" s="31" t="n">
        <x:v>0</x:v>
      </x:c>
      <x:c r="N84" s="24" t="str">
        <x:v>chimaera monstrosa</x:v>
      </x:c>
      <x:c r="O84" s="32" t="n">
        <x:v>3.52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Chimaera monstrosa</x:v>
      </x:c>
      <x:c r="T84" s="32" t="n">
        <x:f>IF(O84="","",(1/'Metadata'!$B$5)^(O84-1))</x:f>
        <x:v>331.1311214825911</x:v>
      </x:c>
      <x:c r="U84" s="31" t="n">
        <x:f>IF(T84="","",I84*T84)</x:f>
        <x:v>596.1105140980048</x:v>
      </x:c>
    </x:row>
    <x:row r="85" ht="18" customHeight="1">
      <x:c r="A85" s="24" t="str">
        <x:v>LME_021</x:v>
      </x:c>
      <x:c r="B85" s="24" t="str">
        <x:v>Norwegian Sea</x:v>
      </x:c>
      <x:c r="C85" s="24" t="str">
        <x:v>LME</x:v>
      </x:c>
      <x:c r="D85" s="30" t="n">
        <x:v>2019</x:v>
      </x:c>
      <x:c r="E85" s="24" t="str">
        <x:v>Argentina sphyraena</x:v>
      </x:c>
      <x:c r="F85" s="24" t="str">
        <x:v>European argentine</x:v>
      </x:c>
      <x:c r="G85" s="24" t="str">
        <x:v>Medium pelagics (30 - 89 cm)</x:v>
      </x:c>
      <x:c r="H85" s="24" t="str">
        <x:v>Salmon, smelts, etc</x:v>
      </x:c>
      <x:c r="I85" s="31" t="n">
        <x:v>1.716524615</x:v>
      </x:c>
      <x:c r="J85" s="31" t="n">
        <x:v>1.716524615</x:v>
      </x:c>
      <x:c r="K85" s="31" t="n">
        <x:v>0</x:v>
      </x:c>
      <x:c r="L85" s="31" t="n">
        <x:v>1.716524615</x:v>
      </x:c>
      <x:c r="M85" s="31" t="n">
        <x:v>0</x:v>
      </x:c>
      <x:c r="N85" s="24" t="str">
        <x:v>argentina sphyraena</x:v>
      </x:c>
      <x:c r="O85" s="32" t="n">
        <x:v>3.62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Argentina sphyraena</x:v>
      </x:c>
      <x:c r="T85" s="32" t="n">
        <x:f>IF(O85="","",(1/'Metadata'!$B$5)^(O85-1))</x:f>
        <x:v>416.8693834703355</x:v>
      </x:c>
      <x:c r="U85" s="31" t="n">
        <x:f>IF(T85="","",I85*T85)</x:f>
        <x:v>715.566557966705</x:v>
      </x:c>
    </x:row>
    <x:row r="86" ht="18" customHeight="1">
      <x:c r="A86" s="24" t="str">
        <x:v>LME_021</x:v>
      </x:c>
      <x:c r="B86" s="24" t="str">
        <x:v>Norwegian Sea</x:v>
      </x:c>
      <x:c r="C86" s="24" t="str">
        <x:v>LME</x:v>
      </x:c>
      <x:c r="D86" s="30" t="n">
        <x:v>2019</x:v>
      </x:c>
      <x:c r="E86" s="24" t="str">
        <x:v>Nephrops norvegicus</x:v>
      </x:c>
      <x:c r="F86" s="24" t="str">
        <x:v>Norway lobster</x:v>
      </x:c>
      <x:c r="G86" s="24" t="str">
        <x:v>Lobsters, crabs</x:v>
      </x:c>
      <x:c r="H86" s="24" t="str">
        <x:v>Crustaceans</x:v>
      </x:c>
      <x:c r="I86" s="31" t="n">
        <x:v>1.6746629749</x:v>
      </x:c>
      <x:c r="J86" s="31" t="n">
        <x:v>1.6746629749</x:v>
      </x:c>
      <x:c r="K86" s="31" t="n">
        <x:v>0</x:v>
      </x:c>
      <x:c r="L86" s="31" t="n">
        <x:v>1.6746629749</x:v>
      </x:c>
      <x:c r="M86" s="31" t="n">
        <x:v>0</x:v>
      </x:c>
      <x:c r="N86" s="24" t="str">
        <x:v>nephrops norvegicus</x:v>
      </x:c>
      <x:c r="O86" s="32" t="n">
        <x:v>2.87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Nephrops norvegicus</x:v>
      </x:c>
      <x:c r="T86" s="32" t="n">
        <x:f>IF(O86="","",(1/'Metadata'!$B$5)^(O86-1))</x:f>
        <x:v>74.13102413009177</x:v>
      </x:c>
      <x:c r="U86" s="31" t="n">
        <x:f>IF(T86="","",I86*T86)</x:f>
        <x:v>124.14448140208317</x:v>
      </x:c>
    </x:row>
    <x:row r="87" ht="18" customHeight="1">
      <x:c r="A87" s="24" t="str">
        <x:v>LME_021</x:v>
      </x:c>
      <x:c r="B87" s="24" t="str">
        <x:v>Norwegian Sea</x:v>
      </x:c>
      <x:c r="C87" s="24" t="str">
        <x:v>LME</x:v>
      </x:c>
      <x:c r="D87" s="30" t="n">
        <x:v>2019</x:v>
      </x:c>
      <x:c r="E87" s="24" t="str">
        <x:v>Venerupis corrugata</x:v>
      </x:c>
      <x:c r="F87" s="24" t="str">
        <x:v>Corrugated venus</x:v>
      </x:c>
      <x:c r="G87" s="24" t="str">
        <x:v>Other demersal invertebrates</x:v>
      </x:c>
      <x:c r="H87" s="24" t="str">
        <x:v>Molluscs</x:v>
      </x:c>
      <x:c r="I87" s="31" t="n">
        <x:v>1.2843367101999998</x:v>
      </x:c>
      <x:c r="J87" s="31" t="n">
        <x:v>1.2843367101999998</x:v>
      </x:c>
      <x:c r="K87" s="31" t="n">
        <x:v>0</x:v>
      </x:c>
      <x:c r="L87" s="31" t="n">
        <x:v>1.2843367101999998</x:v>
      </x:c>
      <x:c r="M87" s="31" t="n">
        <x:v>0</x:v>
      </x:c>
      <x:c r="N87" s="24" t="str">
        <x:v>venerupis corrugata</x:v>
      </x:c>
      <x:c r="O87" s="32" t="n">
        <x:v>2.1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Venerupis corrugata</x:v>
      </x:c>
      <x:c r="T87" s="32" t="n">
        <x:f>IF(O87="","",(1/'Metadata'!$B$5)^(O87-1))</x:f>
        <x:v>12.589254117941675</x:v>
      </x:c>
      <x:c r="U87" s="31" t="n">
        <x:f>IF(T87="","",I87*T87)</x:f>
        <x:v>16.168841217709012</x:v>
      </x:c>
    </x:row>
    <x:row r="88" ht="18" customHeight="1">
      <x:c r="A88" s="24" t="str">
        <x:v>LME_021</x:v>
      </x:c>
      <x:c r="B88" s="24" t="str">
        <x:v>Norwegian Sea</x:v>
      </x:c>
      <x:c r="C88" s="24" t="str">
        <x:v>LME</x:v>
      </x:c>
      <x:c r="D88" s="30" t="n">
        <x:v>2019</x:v>
      </x:c>
      <x:c r="E88" s="24" t="str">
        <x:v>Teuthida</x:v>
      </x:c>
      <x:c r="F88" s="24" t="str">
        <x:v>Squids</x:v>
      </x:c>
      <x:c r="G88" s="24" t="str">
        <x:v>Cephalopods</x:v>
      </x:c>
      <x:c r="H88" s="24" t="str">
        <x:v>Other fishes &amp; inverts</x:v>
      </x:c>
      <x:c r="I88" s="31" t="n">
        <x:v>1.2465042572</x:v>
      </x:c>
      <x:c r="J88" s="31" t="n">
        <x:v>1.2465042572</x:v>
      </x:c>
      <x:c r="K88" s="31" t="n">
        <x:v>0</x:v>
      </x:c>
      <x:c r="L88" s="31" t="n">
        <x:v>1.2465042572</x:v>
      </x:c>
      <x:c r="M88" s="31" t="n">
        <x:v>0</x:v>
      </x:c>
      <x:c r="N88" s="24" t="str">
        <x:v>teuthida</x:v>
      </x:c>
      <x:c r="O88" s="32" t="n">
        <x:v>4.13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Teuthida</x:v>
      </x:c>
      <x:c r="T88" s="32" t="n">
        <x:f>IF(O88="","",(1/'Metadata'!$B$5)^(O88-1))</x:f>
        <x:v>1348.9628825916532</x:v>
      </x:c>
      <x:c r="U88" s="31" t="n">
        <x:f>IF(T88="","",I88*T88)</x:f>
        <x:v>1681.4879759552796</x:v>
      </x:c>
    </x:row>
    <x:row r="89" ht="18" customHeight="1">
      <x:c r="A89" s="24" t="str">
        <x:v>LME_021</x:v>
      </x:c>
      <x:c r="B89" s="24" t="str">
        <x:v>Norwegian Sea</x:v>
      </x:c>
      <x:c r="C89" s="24" t="str">
        <x:v>LME</x:v>
      </x:c>
      <x:c r="D89" s="30" t="n">
        <x:v>2019</x:v>
      </x:c>
      <x:c r="E89" s="24" t="str">
        <x:v>Anarhichas</x:v>
      </x:c>
      <x:c r="F89" s="24" t="str">
        <x:v>Wolffishes</x:v>
      </x:c>
      <x:c r="G89" s="24" t="str">
        <x:v>Large demersals (&gt;=90 cm)</x:v>
      </x:c>
      <x:c r="H89" s="24" t="str">
        <x:v>Perch-likes</x:v>
      </x:c>
      <x:c r="I89" s="31" t="n">
        <x:v>1.2130665579</x:v>
      </x:c>
      <x:c r="J89" s="31" t="n">
        <x:v>1.2130665579</x:v>
      </x:c>
      <x:c r="K89" s="31" t="n">
        <x:v>0</x:v>
      </x:c>
      <x:c r="L89" s="31" t="n">
        <x:v>1.2130665579</x:v>
      </x:c>
      <x:c r="M89" s="31" t="n">
        <x:v>0</x:v>
      </x:c>
      <x:c r="N89" s="24" t="str">
        <x:v>anarhichas</x:v>
      </x:c>
      <x:c r="O89" s="32" t="n">
        <x:v>3.35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Anarhichas</x:v>
      </x:c>
      <x:c r="T89" s="32" t="n">
        <x:f>IF(O89="","",(1/'Metadata'!$B$5)^(O89-1))</x:f>
        <x:v>223.872113856834</x:v>
      </x:c>
      <x:c r="U89" s="31" t="n">
        <x:f>IF(T89="","",I89*T89)</x:f>
        <x:v>271.5717745661065</x:v>
      </x:c>
    </x:row>
    <x:row r="90" ht="18" customHeight="1">
      <x:c r="A90" s="24" t="str">
        <x:v>LME_021</x:v>
      </x:c>
      <x:c r="B90" s="24" t="str">
        <x:v>Norwegian Sea</x:v>
      </x:c>
      <x:c r="C90" s="24" t="str">
        <x:v>LME</x:v>
      </x:c>
      <x:c r="D90" s="30" t="n">
        <x:v>2019</x:v>
      </x:c>
      <x:c r="E90" s="24" t="str">
        <x:v>Mugilidae</x:v>
      </x:c>
      <x:c r="F90" s="24" t="str">
        <x:v>Mullets, grey mullets</x:v>
      </x:c>
      <x:c r="G90" s="24" t="str">
        <x:v>Medium reef assoc. fish (30 - 89 cm)</x:v>
      </x:c>
      <x:c r="H90" s="24" t="str">
        <x:v>Perch-likes</x:v>
      </x:c>
      <x:c r="I90" s="31" t="n">
        <x:v>1.1997451609</x:v>
      </x:c>
      <x:c r="J90" s="31" t="n">
        <x:v>1.1997451609</x:v>
      </x:c>
      <x:c r="K90" s="31" t="n">
        <x:v>0</x:v>
      </x:c>
      <x:c r="L90" s="31" t="n">
        <x:v>1.1997451609</x:v>
      </x:c>
      <x:c r="M90" s="31" t="n">
        <x:v>0</x:v>
      </x:c>
      <x:c r="N90" s="24" t="str">
        <x:v>mugilidae</x:v>
      </x:c>
      <x:c r="O90" s="32" t="n">
        <x:v>2.53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Mugilidae</x:v>
      </x:c>
      <x:c r="T90" s="32" t="n">
        <x:f>IF(O90="","",(1/'Metadata'!$B$5)^(O90-1))</x:f>
        <x:v>33.88441561392024</x:v>
      </x:c>
      <x:c r="U90" s="31" t="n">
        <x:f>IF(T90="","",I90*T90)</x:f>
        <x:v>40.65266366272521</x:v>
      </x:c>
    </x:row>
    <x:row r="91" ht="18" customHeight="1">
      <x:c r="A91" s="24" t="str">
        <x:v>LME_021</x:v>
      </x:c>
      <x:c r="B91" s="24" t="str">
        <x:v>Norwegian Sea</x:v>
      </x:c>
      <x:c r="C91" s="24" t="str">
        <x:v>LME</x:v>
      </x:c>
      <x:c r="D91" s="30" t="n">
        <x:v>2019</x:v>
      </x:c>
      <x:c r="E91" s="24" t="str">
        <x:v>Pecten maximus</x:v>
      </x:c>
      <x:c r="F91" s="24" t="str">
        <x:v>Great Atlantic scallop</x:v>
      </x:c>
      <x:c r="G91" s="24" t="str">
        <x:v>Other demersal invertebrates</x:v>
      </x:c>
      <x:c r="H91" s="24" t="str">
        <x:v>Molluscs</x:v>
      </x:c>
      <x:c r="I91" s="31" t="n">
        <x:v>1.1397961183999998</x:v>
      </x:c>
      <x:c r="J91" s="31" t="n">
        <x:v>1.1397961183999998</x:v>
      </x:c>
      <x:c r="K91" s="31" t="n">
        <x:v>0</x:v>
      </x:c>
      <x:c r="L91" s="31" t="n">
        <x:v>1.1397961183999998</x:v>
      </x:c>
      <x:c r="M91" s="31" t="n">
        <x:v>0</x:v>
      </x:c>
      <x:c r="N91" s="24" t="str">
        <x:v>pecten maximus</x:v>
      </x:c>
      <x:c r="O91" s="32" t="n">
        <x:v>2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Pecten maximus</x:v>
      </x:c>
      <x:c r="T91" s="32" t="n">
        <x:f>IF(O91="","",(1/'Metadata'!$B$5)^(O91-1))</x:f>
        <x:v>10</x:v>
      </x:c>
      <x:c r="U91" s="31" t="n">
        <x:f>IF(T91="","",I91*T91)</x:f>
        <x:v>11.397961183999998</x:v>
      </x:c>
    </x:row>
    <x:row r="92" ht="18" customHeight="1">
      <x:c r="A92" s="24" t="str">
        <x:v>LME_021</x:v>
      </x:c>
      <x:c r="B92" s="24" t="str">
        <x:v>Norwegian Sea</x:v>
      </x:c>
      <x:c r="C92" s="24" t="str">
        <x:v>LME</x:v>
      </x:c>
      <x:c r="D92" s="30" t="n">
        <x:v>2019</x:v>
      </x:c>
      <x:c r="E92" s="24" t="str">
        <x:v>Rajiformes</x:v>
      </x:c>
      <x:c r="F92" s="24" t="str">
        <x:v>Skates and rays</x:v>
      </x:c>
      <x:c r="G92" s="24" t="str">
        <x:v>Large rays (&gt;=90 cm)</x:v>
      </x:c>
      <x:c r="H92" s="24" t="str">
        <x:v>Sharks &amp; rays</x:v>
      </x:c>
      <x:c r="I92" s="31" t="n">
        <x:v>1.0969705555</x:v>
      </x:c>
      <x:c r="J92" s="31" t="n">
        <x:v>1.0969705555</x:v>
      </x:c>
      <x:c r="K92" s="31" t="n">
        <x:v>0</x:v>
      </x:c>
      <x:c r="L92" s="31" t="n">
        <x:v>1.0969705555</x:v>
      </x:c>
      <x:c r="M92" s="31" t="n">
        <x:v>0</x:v>
      </x:c>
      <x:c r="N92" s="24" t="str">
        <x:v>rajiformes</x:v>
      </x:c>
      <x:c r="O92" s="32" t="n">
        <x:v>3.61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Rajiformes</x:v>
      </x:c>
      <x:c r="T92" s="32" t="n">
        <x:f>IF(O92="","",(1/'Metadata'!$B$5)^(O92-1))</x:f>
        <x:v>407.3802778041126</x:v>
      </x:c>
      <x:c r="U92" s="31" t="n">
        <x:f>IF(T92="","",I92*T92)</x:f>
        <x:v>446.8841696425217</x:v>
      </x:c>
    </x:row>
    <x:row r="93" ht="18" customHeight="1">
      <x:c r="A93" s="24" t="str">
        <x:v>LME_021</x:v>
      </x:c>
      <x:c r="B93" s="24" t="str">
        <x:v>Norwegian Sea</x:v>
      </x:c>
      <x:c r="C93" s="24" t="str">
        <x:v>LME</x:v>
      </x:c>
      <x:c r="D93" s="30" t="n">
        <x:v>2019</x:v>
      </x:c>
      <x:c r="E93" s="24" t="str">
        <x:v>Lepidorhombus whiffiagonis</x:v>
      </x:c>
      <x:c r="F93" s="24" t="str">
        <x:v>Megrim</x:v>
      </x:c>
      <x:c r="G93" s="24" t="str">
        <x:v>Small to medium flatfishes (&lt;90 cm)</x:v>
      </x:c>
      <x:c r="H93" s="24" t="str">
        <x:v>Flatfishes</x:v>
      </x:c>
      <x:c r="I93" s="31" t="n">
        <x:v>1.0459030211</x:v>
      </x:c>
      <x:c r="J93" s="31" t="n">
        <x:v>1.0459030211</x:v>
      </x:c>
      <x:c r="K93" s="31" t="n">
        <x:v>0</x:v>
      </x:c>
      <x:c r="L93" s="31" t="n">
        <x:v>1.0459030211</x:v>
      </x:c>
      <x:c r="M93" s="31" t="n">
        <x:v>0</x:v>
      </x:c>
      <x:c r="N93" s="24" t="str">
        <x:v>lepidorhombus whiffiagonis</x:v>
      </x:c>
      <x:c r="O93" s="32" t="n">
        <x:v>4.34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Lepidorhombus whiffiagonis</x:v>
      </x:c>
      <x:c r="T93" s="32" t="n">
        <x:f>IF(O93="","",(1/'Metadata'!$B$5)^(O93-1))</x:f>
        <x:v>2187.761623949552</x:v>
      </x:c>
      <x:c r="U93" s="31" t="n">
        <x:f>IF(T93="","",I93*T93)</x:f>
        <x:v>2288.1864919354784</x:v>
      </x:c>
    </x:row>
    <x:row r="94" ht="18" customHeight="1">
      <x:c r="A94" s="24" t="str">
        <x:v>LME_021</x:v>
      </x:c>
      <x:c r="B94" s="24" t="str">
        <x:v>Norwegian Sea</x:v>
      </x:c>
      <x:c r="C94" s="24" t="str">
        <x:v>LME</x:v>
      </x:c>
      <x:c r="D94" s="30" t="n">
        <x:v>2019</x:v>
      </x:c>
      <x:c r="E94" s="24" t="str">
        <x:v>Cancer pagurus</x:v>
      </x:c>
      <x:c r="F94" s="24" t="str">
        <x:v>Edible crab</x:v>
      </x:c>
      <x:c r="G94" s="24" t="str">
        <x:v>Lobsters, crabs</x:v>
      </x:c>
      <x:c r="H94" s="24" t="str">
        <x:v>Crustaceans</x:v>
      </x:c>
      <x:c r="I94" s="31" t="n">
        <x:v>0.9531962569</x:v>
      </x:c>
      <x:c r="J94" s="31" t="n">
        <x:v>0.9531962569</x:v>
      </x:c>
      <x:c r="K94" s="31" t="n">
        <x:v>0</x:v>
      </x:c>
      <x:c r="L94" s="31" t="n">
        <x:v>0.9531962569</x:v>
      </x:c>
      <x:c r="M94" s="31" t="n">
        <x:v>0</x:v>
      </x:c>
      <x:c r="N94" s="24" t="str">
        <x:v>cancer pagurus</x:v>
      </x:c>
      <x:c r="O94" s="32" t="n">
        <x:v>3.1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Cancer pagurus</x:v>
      </x:c>
      <x:c r="T94" s="32" t="n">
        <x:f>IF(O94="","",(1/'Metadata'!$B$5)^(O94-1))</x:f>
        <x:v>125.89254117941675</x:v>
      </x:c>
      <x:c r="U94" s="31" t="n">
        <x:f>IF(T94="","",I94*T94)</x:f>
        <x:v>120.00029902384915</x:v>
      </x:c>
    </x:row>
    <x:row r="95" ht="18" customHeight="1">
      <x:c r="A95" s="24" t="str">
        <x:v>LME_021</x:v>
      </x:c>
      <x:c r="B95" s="24" t="str">
        <x:v>Norwegian Sea</x:v>
      </x:c>
      <x:c r="C95" s="24" t="str">
        <x:v>LME</x:v>
      </x:c>
      <x:c r="D95" s="30" t="n">
        <x:v>2019</x:v>
      </x:c>
      <x:c r="E95" s="24" t="str">
        <x:v>Berycidae</x:v>
      </x:c>
      <x:c r="F95" s="24" t="str">
        <x:v>Alfonsinos, redfishes</x:v>
      </x:c>
      <x:c r="G95" s="24" t="str">
        <x:v>Medium benthopelagics (30 - 89 cm)</x:v>
      </x:c>
      <x:c r="H95" s="24" t="str">
        <x:v>Other fishes &amp; inverts</x:v>
      </x:c>
      <x:c r="I95" s="31" t="n">
        <x:v>0.9524271397</x:v>
      </x:c>
      <x:c r="J95" s="31" t="n">
        <x:v>0.9524271397</x:v>
      </x:c>
      <x:c r="K95" s="31" t="n">
        <x:v>0</x:v>
      </x:c>
      <x:c r="L95" s="31" t="n">
        <x:v>0.9524271397</x:v>
      </x:c>
      <x:c r="M95" s="31" t="n">
        <x:v>0</x:v>
      </x:c>
      <x:c r="N95" s="24" t="str">
        <x:v>berycidae</x:v>
      </x:c>
      <x:c r="O95" s="32" t="n">
        <x:v>3.99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Berycidae</x:v>
      </x:c>
      <x:c r="T95" s="32" t="n">
        <x:f>IF(O95="","",(1/'Metadata'!$B$5)^(O95-1))</x:f>
        <x:v>977.2372209558112</x:v>
      </x:c>
      <x:c r="U95" s="31" t="n">
        <x:f>IF(T95="","",I95*T95)</x:f>
        <x:v>930.7472511633201</x:v>
      </x:c>
    </x:row>
    <x:row r="96" ht="18" customHeight="1">
      <x:c r="A96" s="24" t="str">
        <x:v>LME_021</x:v>
      </x:c>
      <x:c r="B96" s="24" t="str">
        <x:v>Norwegian Sea</x:v>
      </x:c>
      <x:c r="C96" s="24" t="str">
        <x:v>LME</x:v>
      </x:c>
      <x:c r="D96" s="30" t="n">
        <x:v>2019</x:v>
      </x:c>
      <x:c r="E96" s="24" t="str">
        <x:v>Mallotus villosus</x:v>
      </x:c>
      <x:c r="F96" s="24" t="str">
        <x:v>Capelin</x:v>
      </x:c>
      <x:c r="G96" s="24" t="str">
        <x:v>Small pelagics (&lt;30 cm)</x:v>
      </x:c>
      <x:c r="H96" s="24" t="str">
        <x:v>Salmon, smelts, etc</x:v>
      </x:c>
      <x:c r="I96" s="31" t="n">
        <x:v>0.9423642992000001</x:v>
      </x:c>
      <x:c r="J96" s="31" t="n">
        <x:v>0.9423642992000001</x:v>
      </x:c>
      <x:c r="K96" s="31" t="n">
        <x:v>0</x:v>
      </x:c>
      <x:c r="L96" s="31" t="n">
        <x:v>0.9423642992000001</x:v>
      </x:c>
      <x:c r="M96" s="31" t="n">
        <x:v>0</x:v>
      </x:c>
      <x:c r="N96" s="24" t="str">
        <x:v>mallotus villosus</x:v>
      </x:c>
      <x:c r="O96" s="32" t="n">
        <x:v>3.15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Mallotus villosus</x:v>
      </x:c>
      <x:c r="T96" s="32" t="n">
        <x:f>IF(O96="","",(1/'Metadata'!$B$5)^(O96-1))</x:f>
        <x:v>141.2537544622754</x:v>
      </x:c>
      <x:c r="U96" s="31" t="n">
        <x:f>IF(T96="","",I96*T96)</x:f>
        <x:v>133.11249533321103</x:v>
      </x:c>
    </x:row>
    <x:row r="97" ht="18" customHeight="1">
      <x:c r="A97" s="24" t="str">
        <x:v>LME_021</x:v>
      </x:c>
      <x:c r="B97" s="24" t="str">
        <x:v>Norwegian Sea</x:v>
      </x:c>
      <x:c r="C97" s="24" t="str">
        <x:v>LME</x:v>
      </x:c>
      <x:c r="D97" s="30" t="n">
        <x:v>2019</x:v>
      </x:c>
      <x:c r="E97" s="24" t="str">
        <x:v>Magallana gigas</x:v>
      </x:c>
      <x:c r="F97" s="24" t="str">
        <x:v>Pacific cupped oyster</x:v>
      </x:c>
      <x:c r="G97" s="24" t="str">
        <x:v>Other demersal invertebrates</x:v>
      </x:c>
      <x:c r="H97" s="24" t="str">
        <x:v>Molluscs</x:v>
      </x:c>
      <x:c r="I97" s="31" t="n">
        <x:v>0.9299886499000001</x:v>
      </x:c>
      <x:c r="J97" s="31" t="n">
        <x:v>0.9299886499000001</x:v>
      </x:c>
      <x:c r="K97" s="31" t="n">
        <x:v>0</x:v>
      </x:c>
      <x:c r="L97" s="31" t="n">
        <x:v>0.9299886499000001</x:v>
      </x:c>
      <x:c r="M97" s="31" t="n">
        <x:v>0</x:v>
      </x:c>
      <x:c r="N97" s="24" t="str">
        <x:v>magallana gigas</x:v>
      </x:c>
      <x:c r="O97" s="32" t="n">
        <x:v>2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Magallana gigas</x:v>
      </x:c>
      <x:c r="T97" s="32" t="n">
        <x:f>IF(O97="","",(1/'Metadata'!$B$5)^(O97-1))</x:f>
        <x:v>10</x:v>
      </x:c>
      <x:c r="U97" s="31" t="n">
        <x:f>IF(T97="","",I97*T97)</x:f>
        <x:v>9.299886499000001</x:v>
      </x:c>
    </x:row>
    <x:row r="98" ht="18" customHeight="1">
      <x:c r="A98" s="24" t="str">
        <x:v>LME_021</x:v>
      </x:c>
      <x:c r="B98" s="24" t="str">
        <x:v>Norwegian Sea</x:v>
      </x:c>
      <x:c r="C98" s="24" t="str">
        <x:v>LME</x:v>
      </x:c>
      <x:c r="D98" s="30" t="n">
        <x:v>2019</x:v>
      </x:c>
      <x:c r="E98" s="24" t="str">
        <x:v>Microstomus kitt</x:v>
      </x:c>
      <x:c r="F98" s="24" t="str">
        <x:v>Lemon sole</x:v>
      </x:c>
      <x:c r="G98" s="24" t="str">
        <x:v>Small to medium flatfishes (&lt;90 cm)</x:v>
      </x:c>
      <x:c r="H98" s="24" t="str">
        <x:v>Flatfishes</x:v>
      </x:c>
      <x:c r="I98" s="31" t="n">
        <x:v>0.8642988285000001</x:v>
      </x:c>
      <x:c r="J98" s="31" t="n">
        <x:v>0.8642988285000001</x:v>
      </x:c>
      <x:c r="K98" s="31" t="n">
        <x:v>0</x:v>
      </x:c>
      <x:c r="L98" s="31" t="n">
        <x:v>0.8642988285000001</x:v>
      </x:c>
      <x:c r="M98" s="31" t="n">
        <x:v>0</x:v>
      </x:c>
      <x:c r="N98" s="24" t="str">
        <x:v>microstomus kitt</x:v>
      </x:c>
      <x:c r="O98" s="32" t="n">
        <x:v>3.22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Microstomus kitt</x:v>
      </x:c>
      <x:c r="T98" s="32" t="n">
        <x:f>IF(O98="","",(1/'Metadata'!$B$5)^(O98-1))</x:f>
        <x:v>165.95869074375614</x:v>
      </x:c>
      <x:c r="U98" s="31" t="n">
        <x:f>IF(T98="","",I98*T98)</x:f>
        <x:v>143.43790198922224</x:v>
      </x:c>
    </x:row>
    <x:row r="99" ht="18" customHeight="1">
      <x:c r="A99" s="24" t="str">
        <x:v>LME_021</x:v>
      </x:c>
      <x:c r="B99" s="24" t="str">
        <x:v>Norwegian Sea</x:v>
      </x:c>
      <x:c r="C99" s="24" t="str">
        <x:v>LME</x:v>
      </x:c>
      <x:c r="D99" s="30" t="n">
        <x:v>2019</x:v>
      </x:c>
      <x:c r="E99" s="24" t="str">
        <x:v>Rajidae</x:v>
      </x:c>
      <x:c r="F99" s="24" t="str">
        <x:v>Stingrays</x:v>
      </x:c>
      <x:c r="G99" s="24" t="str">
        <x:v>Large rays (&gt;=90 cm)</x:v>
      </x:c>
      <x:c r="H99" s="24" t="str">
        <x:v>Sharks &amp; rays</x:v>
      </x:c>
      <x:c r="I99" s="31" t="n">
        <x:v>0.8596587871000001</x:v>
      </x:c>
      <x:c r="J99" s="31" t="n">
        <x:v>0.8596587871000001</x:v>
      </x:c>
      <x:c r="K99" s="31" t="n">
        <x:v>0</x:v>
      </x:c>
      <x:c r="L99" s="31" t="n">
        <x:v>0.8596587871000001</x:v>
      </x:c>
      <x:c r="M99" s="31" t="n">
        <x:v>0</x:v>
      </x:c>
      <x:c r="N99" s="24" t="str">
        <x:v>rajidae</x:v>
      </x:c>
      <x:c r="O99" s="32" t="n">
        <x:v>3.82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Rajidae</x:v>
      </x:c>
      <x:c r="T99" s="32" t="n">
        <x:f>IF(O99="","",(1/'Metadata'!$B$5)^(O99-1))</x:f>
        <x:v>660.6934480075957</x:v>
      </x:c>
      <x:c r="U99" s="31" t="n">
        <x:f>IF(T99="","",I99*T99)</x:f>
        <x:v>567.9709281591267</x:v>
      </x:c>
    </x:row>
    <x:row r="100" ht="18" customHeight="1">
      <x:c r="A100" s="24" t="str">
        <x:v>LME_021</x:v>
      </x:c>
      <x:c r="B100" s="24" t="str">
        <x:v>Norwegian Sea</x:v>
      </x:c>
      <x:c r="C100" s="24" t="str">
        <x:v>LME</x:v>
      </x:c>
      <x:c r="D100" s="30" t="n">
        <x:v>2019</x:v>
      </x:c>
      <x:c r="E100" s="24" t="str">
        <x:v>Pleuronectes platessa</x:v>
      </x:c>
      <x:c r="F100" s="24" t="str">
        <x:v>European plaice</x:v>
      </x:c>
      <x:c r="G100" s="24" t="str">
        <x:v>Large flatfishes (&gt;=90 cm)</x:v>
      </x:c>
      <x:c r="H100" s="24" t="str">
        <x:v>Flatfishes</x:v>
      </x:c>
      <x:c r="I100" s="31" t="n">
        <x:v>0.8135251937000001</x:v>
      </x:c>
      <x:c r="J100" s="31" t="n">
        <x:v>0.8135251937000001</x:v>
      </x:c>
      <x:c r="K100" s="31" t="n">
        <x:v>0</x:v>
      </x:c>
      <x:c r="L100" s="31" t="n">
        <x:v>0.8135251937000001</x:v>
      </x:c>
      <x:c r="M100" s="31" t="n">
        <x:v>0</x:v>
      </x:c>
      <x:c r="N100" s="24" t="str">
        <x:v>pleuronectes platessa</x:v>
      </x:c>
      <x:c r="O100" s="32" t="n">
        <x:v>3.26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Pleuronectes platessa</x:v>
      </x:c>
      <x:c r="T100" s="32" t="n">
        <x:f>IF(O100="","",(1/'Metadata'!$B$5)^(O100-1))</x:f>
        <x:v>181.97008586099827</x:v>
      </x:c>
      <x:c r="U100" s="31" t="n">
        <x:f>IF(T100="","",I100*T100)</x:f>
        <x:v>148.03724934767428</x:v>
      </x:c>
    </x:row>
    <x:row r="101" ht="18" customHeight="1">
      <x:c r="A101" s="24" t="str">
        <x:v>LME_021</x:v>
      </x:c>
      <x:c r="B101" s="24" t="str">
        <x:v>Norwegian Sea</x:v>
      </x:c>
      <x:c r="C101" s="24" t="str">
        <x:v>LME</x:v>
      </x:c>
      <x:c r="D101" s="30" t="n">
        <x:v>2019</x:v>
      </x:c>
      <x:c r="E101" s="24" t="str">
        <x:v>Trachinus draco</x:v>
      </x:c>
      <x:c r="F101" s="24" t="str">
        <x:v>Greater weever</x:v>
      </x:c>
      <x:c r="G101" s="24" t="str">
        <x:v>Medium demersals (30 - 89 cm)</x:v>
      </x:c>
      <x:c r="H101" s="24" t="str">
        <x:v>Perch-likes</x:v>
      </x:c>
      <x:c r="I101" s="31" t="n">
        <x:v>0.7730249924</x:v>
      </x:c>
      <x:c r="J101" s="31" t="n">
        <x:v>0.7730249924</x:v>
      </x:c>
      <x:c r="K101" s="31" t="n">
        <x:v>0</x:v>
      </x:c>
      <x:c r="L101" s="31" t="n">
        <x:v>0.7730249924</x:v>
      </x:c>
      <x:c r="M101" s="31" t="n">
        <x:v>0</x:v>
      </x:c>
      <x:c r="N101" s="24" t="str">
        <x:v>trachinus draco</x:v>
      </x:c>
      <x:c r="O101" s="32" t="n">
        <x:v>4.18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Trachinus draco</x:v>
      </x:c>
      <x:c r="T101" s="32" t="n">
        <x:f>IF(O101="","",(1/'Metadata'!$B$5)^(O101-1))</x:f>
        <x:v>1513.5612484362073</x:v>
      </x:c>
      <x:c r="U101" s="31" t="n">
        <x:f>IF(T101="","",I101*T101)</x:f>
        <x:v>1170.0206725693336</x:v>
      </x:c>
    </x:row>
    <x:row r="102" ht="18" customHeight="1">
      <x:c r="A102" s="24" t="str">
        <x:v>LME_021</x:v>
      </x:c>
      <x:c r="B102" s="24" t="str">
        <x:v>Norwegian Sea</x:v>
      </x:c>
      <x:c r="C102" s="24" t="str">
        <x:v>LME</x:v>
      </x:c>
      <x:c r="D102" s="30" t="n">
        <x:v>2019</x:v>
      </x:c>
      <x:c r="E102" s="24" t="str">
        <x:v>Argyrosomus regius</x:v>
      </x:c>
      <x:c r="F102" s="24" t="str">
        <x:v>Meagre</x:v>
      </x:c>
      <x:c r="G102" s="24" t="str">
        <x:v>Large benthopelagics (&gt;=90 cm)</x:v>
      </x:c>
      <x:c r="H102" s="24" t="str">
        <x:v>Perch-likes</x:v>
      </x:c>
      <x:c r="I102" s="31" t="n">
        <x:v>0.7096699332999999</x:v>
      </x:c>
      <x:c r="J102" s="31" t="n">
        <x:v>0.7096699332999999</x:v>
      </x:c>
      <x:c r="K102" s="31" t="n">
        <x:v>0</x:v>
      </x:c>
      <x:c r="L102" s="31" t="n">
        <x:v>0.7096699332999999</x:v>
      </x:c>
      <x:c r="M102" s="31" t="n">
        <x:v>0</x:v>
      </x:c>
      <x:c r="N102" s="24" t="str">
        <x:v>argyrosomus regius</x:v>
      </x:c>
      <x:c r="O102" s="32" t="n">
        <x:v>4.29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Argyrosomus regius</x:v>
      </x:c>
      <x:c r="T102" s="32" t="n">
        <x:f>IF(O102="","",(1/'Metadata'!$B$5)^(O102-1))</x:f>
        <x:v>1949.8445997580454</x:v>
      </x:c>
      <x:c r="U102" s="31" t="n">
        <x:f>IF(T102="","",I102*T102)</x:f>
        <x:v>1383.7460870556572</x:v>
      </x:c>
    </x:row>
    <x:row r="103" ht="18" customHeight="1">
      <x:c r="A103" s="24" t="str">
        <x:v>LME_021</x:v>
      </x:c>
      <x:c r="B103" s="24" t="str">
        <x:v>Norwegian Sea</x:v>
      </x:c>
      <x:c r="C103" s="24" t="str">
        <x:v>LME</x:v>
      </x:c>
      <x:c r="D103" s="30" t="n">
        <x:v>2019</x:v>
      </x:c>
      <x:c r="E103" s="24" t="str">
        <x:v>Polyprion americanus</x:v>
      </x:c>
      <x:c r="F103" s="24" t="str">
        <x:v>Wreckfish</x:v>
      </x:c>
      <x:c r="G103" s="24" t="str">
        <x:v>Large bathydemersals (&gt;=90 cm)</x:v>
      </x:c>
      <x:c r="H103" s="24" t="str">
        <x:v>Perch-likes</x:v>
      </x:c>
      <x:c r="I103" s="31" t="n">
        <x:v>0.6605347688</x:v>
      </x:c>
      <x:c r="J103" s="31" t="n">
        <x:v>0.6605347688</x:v>
      </x:c>
      <x:c r="K103" s="31" t="n">
        <x:v>0</x:v>
      </x:c>
      <x:c r="L103" s="31" t="n">
        <x:v>0.6605347688</x:v>
      </x:c>
      <x:c r="M103" s="31" t="n">
        <x:v>0</x:v>
      </x:c>
      <x:c r="N103" s="24" t="str">
        <x:v>polyprion americanus</x:v>
      </x:c>
      <x:c r="O103" s="32" t="n">
        <x:v>4.14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Polyprion americanus</x:v>
      </x:c>
      <x:c r="T103" s="32" t="n">
        <x:f>IF(O103="","",(1/'Metadata'!$B$5)^(O103-1))</x:f>
        <x:v>1380.3842646028838</x:v>
      </x:c>
      <x:c r="U103" s="31" t="n">
        <x:f>IF(T103="","",I103*T103)</x:f>
        <x:v>911.7918010746238</x:v>
      </x:c>
    </x:row>
    <x:row r="104" ht="18" customHeight="1">
      <x:c r="A104" s="24" t="str">
        <x:v>LME_021</x:v>
      </x:c>
      <x:c r="B104" s="24" t="str">
        <x:v>Norwegian Sea</x:v>
      </x:c>
      <x:c r="C104" s="24" t="str">
        <x:v>LME</x:v>
      </x:c>
      <x:c r="D104" s="30" t="n">
        <x:v>2019</x:v>
      </x:c>
      <x:c r="E104" s="24" t="str">
        <x:v>Necora puber</x:v>
      </x:c>
      <x:c r="F104" s="24" t="str">
        <x:v>Velvet swimcrab</x:v>
      </x:c>
      <x:c r="G104" s="24" t="str">
        <x:v>Lobsters, crabs</x:v>
      </x:c>
      <x:c r="H104" s="24" t="str">
        <x:v>Crustaceans</x:v>
      </x:c>
      <x:c r="I104" s="31" t="n">
        <x:v>0.6205320401</x:v>
      </x:c>
      <x:c r="J104" s="31" t="n">
        <x:v>0.6205320401</x:v>
      </x:c>
      <x:c r="K104" s="31" t="n">
        <x:v>0</x:v>
      </x:c>
      <x:c r="L104" s="31" t="n">
        <x:v>0.6205320401</x:v>
      </x:c>
      <x:c r="M104" s="31" t="n">
        <x:v>0</x:v>
      </x:c>
      <x:c r="N104" s="24" t="str">
        <x:v>necora puber</x:v>
      </x:c>
      <x:c r="O104" s="32" t="n">
        <x:v>2.6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Necora puber</x:v>
      </x:c>
      <x:c r="T104" s="32" t="n">
        <x:f>IF(O104="","",(1/'Metadata'!$B$5)^(O104-1))</x:f>
        <x:v>39.810717055349734</x:v>
      </x:c>
      <x:c r="U104" s="31" t="n">
        <x:f>IF(T104="","",I104*T104)</x:f>
        <x:v>24.703825472200034</x:v>
      </x:c>
    </x:row>
    <x:row r="105" ht="18" customHeight="1">
      <x:c r="A105" s="24" t="str">
        <x:v>LME_021</x:v>
      </x:c>
      <x:c r="B105" s="24" t="str">
        <x:v>Norwegian Sea</x:v>
      </x:c>
      <x:c r="C105" s="24" t="str">
        <x:v>LME</x:v>
      </x:c>
      <x:c r="D105" s="30" t="n">
        <x:v>2019</x:v>
      </x:c>
      <x:c r="E105" s="24" t="str">
        <x:v>Merlangius merlangus</x:v>
      </x:c>
      <x:c r="F105" s="24" t="str">
        <x:v>Whiting</x:v>
      </x:c>
      <x:c r="G105" s="24" t="str">
        <x:v>Medium benthopelagics (30 - 89 cm)</x:v>
      </x:c>
      <x:c r="H105" s="24" t="str">
        <x:v>Cod-likes</x:v>
      </x:c>
      <x:c r="I105" s="31" t="n">
        <x:v>0.6150878637000001</x:v>
      </x:c>
      <x:c r="J105" s="31" t="n">
        <x:v>0.6150878637000001</x:v>
      </x:c>
      <x:c r="K105" s="31" t="n">
        <x:v>0</x:v>
      </x:c>
      <x:c r="L105" s="31" t="n">
        <x:v>0.6150878637000001</x:v>
      </x:c>
      <x:c r="M105" s="31" t="n">
        <x:v>0</x:v>
      </x:c>
      <x:c r="N105" s="24" t="str">
        <x:v>merlangius merlangus</x:v>
      </x:c>
      <x:c r="O105" s="32" t="n">
        <x:v>4.36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Merlangius merlangus</x:v>
      </x:c>
      <x:c r="T105" s="32" t="n">
        <x:f>IF(O105="","",(1/'Metadata'!$B$5)^(O105-1))</x:f>
        <x:v>2290.867652767775</x:v>
      </x:c>
      <x:c r="U105" s="31" t="n">
        <x:f>IF(T105="","",I105*T105)</x:f>
        <x:v>1409.0848905603643</x:v>
      </x:c>
    </x:row>
    <x:row r="106" ht="18" customHeight="1">
      <x:c r="A106" s="24" t="str">
        <x:v>LME_021</x:v>
      </x:c>
      <x:c r="B106" s="24" t="str">
        <x:v>Norwegian Sea</x:v>
      </x:c>
      <x:c r="C106" s="24" t="str">
        <x:v>LME</x:v>
      </x:c>
      <x:c r="D106" s="30" t="n">
        <x:v>2019</x:v>
      </x:c>
      <x:c r="E106" s="24" t="str">
        <x:v>Trachinidae</x:v>
      </x:c>
      <x:c r="F106" s="24" t="str">
        <x:v>Weeverfishes</x:v>
      </x:c>
      <x:c r="G106" s="24" t="str">
        <x:v>Medium demersals (30 - 89 cm)</x:v>
      </x:c>
      <x:c r="H106" s="24" t="str">
        <x:v>Perch-likes</x:v>
      </x:c>
      <x:c r="I106" s="31" t="n">
        <x:v>0.5645783341</x:v>
      </x:c>
      <x:c r="J106" s="31" t="n">
        <x:v>0.5645783341</x:v>
      </x:c>
      <x:c r="K106" s="31" t="n">
        <x:v>0</x:v>
      </x:c>
      <x:c r="L106" s="31" t="n">
        <x:v>0.5645783341</x:v>
      </x:c>
      <x:c r="M106" s="31" t="n">
        <x:v>0</x:v>
      </x:c>
      <x:c r="N106" s="24" t="str">
        <x:v>trachinidae</x:v>
      </x:c>
      <x:c r="O106" s="32" t="n">
        <x:v>3.95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Trachinidae</x:v>
      </x:c>
      <x:c r="T106" s="32" t="n">
        <x:f>IF(O106="","",(1/'Metadata'!$B$5)^(O106-1))</x:f>
        <x:v>891.2509381337459</x:v>
      </x:c>
      <x:c r="U106" s="31" t="n">
        <x:f>IF(T106="","",I106*T106)</x:f>
        <x:v>503.1809699166124</x:v>
      </x:c>
    </x:row>
    <x:row r="107" ht="18" customHeight="1">
      <x:c r="A107" s="24" t="str">
        <x:v>LME_021</x:v>
      </x:c>
      <x:c r="B107" s="24" t="str">
        <x:v>Norwegian Sea</x:v>
      </x:c>
      <x:c r="C107" s="24" t="str">
        <x:v>LME</x:v>
      </x:c>
      <x:c r="D107" s="30" t="n">
        <x:v>2019</x:v>
      </x:c>
      <x:c r="E107" s="24" t="str">
        <x:v>Merluccius</x:v>
      </x:c>
      <x:c r="F107" s="24" t="str">
        <x:v>Hakes</x:v>
      </x:c>
      <x:c r="G107" s="24" t="str">
        <x:v>Medium bathydemersals (30 - 89 cm)</x:v>
      </x:c>
      <x:c r="H107" s="24" t="str">
        <x:v>Cod-likes</x:v>
      </x:c>
      <x:c r="I107" s="31" t="n">
        <x:v>0.5117679635</x:v>
      </x:c>
      <x:c r="J107" s="31" t="n">
        <x:v>0.5117679635</x:v>
      </x:c>
      <x:c r="K107" s="31" t="n">
        <x:v>0</x:v>
      </x:c>
      <x:c r="L107" s="31" t="n">
        <x:v>0.5117679635</x:v>
      </x:c>
      <x:c r="M107" s="31" t="n">
        <x:v>0</x:v>
      </x:c>
      <x:c r="N107" s="24" t="str">
        <x:v>merluccius</x:v>
      </x:c>
      <x:c r="O107" s="32" t="n">
        <x:v>4.27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Merluccius</x:v>
      </x:c>
      <x:c r="T107" s="32" t="n">
        <x:f>IF(O107="","",(1/'Metadata'!$B$5)^(O107-1))</x:f>
        <x:v>1862.0871366628655</x:v>
      </x:c>
      <x:c r="U107" s="31" t="n">
        <x:f>IF(T107="","",I107*T107)</x:f>
        <x:v>952.9565417895009</x:v>
      </x:c>
    </x:row>
    <x:row r="108" ht="18" customHeight="1">
      <x:c r="A108" s="24" t="str">
        <x:v>LME_021</x:v>
      </x:c>
      <x:c r="B108" s="24" t="str">
        <x:v>Norwegian Sea</x:v>
      </x:c>
      <x:c r="C108" s="24" t="str">
        <x:v>LME</x:v>
      </x:c>
      <x:c r="D108" s="30" t="n">
        <x:v>2019</x:v>
      </x:c>
      <x:c r="E108" s="24" t="str">
        <x:v>Scophthalmus maximus</x:v>
      </x:c>
      <x:c r="F108" s="24" t="str">
        <x:v>Turbot</x:v>
      </x:c>
      <x:c r="G108" s="24" t="str">
        <x:v>Large flatfishes (&gt;=90 cm)</x:v>
      </x:c>
      <x:c r="H108" s="24" t="str">
        <x:v>Flatfishes</x:v>
      </x:c>
      <x:c r="I108" s="31" t="n">
        <x:v>0.47940268080000004</x:v>
      </x:c>
      <x:c r="J108" s="31" t="n">
        <x:v>0.47940268080000004</x:v>
      </x:c>
      <x:c r="K108" s="31" t="n">
        <x:v>0</x:v>
      </x:c>
      <x:c r="L108" s="31" t="n">
        <x:v>0.47940268080000004</x:v>
      </x:c>
      <x:c r="M108" s="31" t="n">
        <x:v>0</x:v>
      </x:c>
      <x:c r="N108" s="24" t="str">
        <x:v>scophthalmus maximus</x:v>
      </x:c>
      <x:c r="O108" s="32" t="n">
        <x:v>4.36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Scophthalmus maximus</x:v>
      </x:c>
      <x:c r="T108" s="32" t="n">
        <x:f>IF(O108="","",(1/'Metadata'!$B$5)^(O108-1))</x:f>
        <x:v>2290.867652767775</x:v>
      </x:c>
      <x:c r="U108" s="31" t="n">
        <x:f>IF(T108="","",I108*T108)</x:f>
        <x:v>1098.248094094875</x:v>
      </x:c>
    </x:row>
    <x:row r="109" ht="18" customHeight="1">
      <x:c r="A109" s="24" t="str">
        <x:v>LME_021</x:v>
      </x:c>
      <x:c r="B109" s="24" t="str">
        <x:v>Norwegian Sea</x:v>
      </x:c>
      <x:c r="C109" s="24" t="str">
        <x:v>LME</x:v>
      </x:c>
      <x:c r="D109" s="30" t="n">
        <x:v>2019</x:v>
      </x:c>
      <x:c r="E109" s="24" t="str">
        <x:v>Limanda limanda</x:v>
      </x:c>
      <x:c r="F109" s="24" t="str">
        <x:v>Common dab</x:v>
      </x:c>
      <x:c r="G109" s="24" t="str">
        <x:v>Small to medium flatfishes (&lt;90 cm)</x:v>
      </x:c>
      <x:c r="H109" s="24" t="str">
        <x:v>Flatfishes</x:v>
      </x:c>
      <x:c r="I109" s="31" t="n">
        <x:v>0.4209062203</x:v>
      </x:c>
      <x:c r="J109" s="31" t="n">
        <x:v>0.4209062203</x:v>
      </x:c>
      <x:c r="K109" s="31" t="n">
        <x:v>0</x:v>
      </x:c>
      <x:c r="L109" s="31" t="n">
        <x:v>0.4209062203</x:v>
      </x:c>
      <x:c r="M109" s="31" t="n">
        <x:v>0</x:v>
      </x:c>
      <x:c r="N109" s="24" t="str">
        <x:v>limanda limanda</x:v>
      </x:c>
      <x:c r="O109" s="32" t="n">
        <x:v>3.29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Limanda limanda</x:v>
      </x:c>
      <x:c r="T109" s="32" t="n">
        <x:f>IF(O109="","",(1/'Metadata'!$B$5)^(O109-1))</x:f>
        <x:v>194.98445997580455</x:v>
      </x:c>
      <x:c r="U109" s="31" t="n">
        <x:f>IF(T109="","",I109*T109)</x:f>
        <x:v>82.07017206565253</x:v>
      </x:c>
    </x:row>
    <x:row r="110" ht="18" customHeight="1">
      <x:c r="A110" s="24" t="str">
        <x:v>LME_021</x:v>
      </x:c>
      <x:c r="B110" s="24" t="str">
        <x:v>Norwegian Sea</x:v>
      </x:c>
      <x:c r="C110" s="24" t="str">
        <x:v>LME</x:v>
      </x:c>
      <x:c r="D110" s="30" t="n">
        <x:v>2019</x:v>
      </x:c>
      <x:c r="E110" s="24" t="str">
        <x:v>Cyclopterus lumpus</x:v>
      </x:c>
      <x:c r="F110" s="24" t="str">
        <x:v>Lumpfish</x:v>
      </x:c>
      <x:c r="G110" s="24" t="str">
        <x:v>Medium benthopelagics (30 - 89 cm)</x:v>
      </x:c>
      <x:c r="H110" s="24" t="str">
        <x:v>Scorpionfishes</x:v>
      </x:c>
      <x:c r="I110" s="31" t="n">
        <x:v>0.38385315439999995</x:v>
      </x:c>
      <x:c r="J110" s="31" t="n">
        <x:v>0.38385315439999995</x:v>
      </x:c>
      <x:c r="K110" s="31" t="n">
        <x:v>0</x:v>
      </x:c>
      <x:c r="L110" s="31" t="n">
        <x:v>0.38385315439999995</x:v>
      </x:c>
      <x:c r="M110" s="31" t="n">
        <x:v>0</x:v>
      </x:c>
      <x:c r="N110" s="24" t="str">
        <x:v>cyclopterus lumpus</x:v>
      </x:c>
      <x:c r="O110" s="32" t="n">
        <x:v>3.89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Cyclopterus lumpus</x:v>
      </x:c>
      <x:c r="T110" s="32" t="n">
        <x:f>IF(O110="","",(1/'Metadata'!$B$5)^(O110-1))</x:f>
        <x:v>776.247116628692</x:v>
      </x:c>
      <x:c r="U110" s="31" t="n">
        <x:f>IF(T110="","",I110*T110)</x:f>
        <x:v>297.9649043118281</x:v>
      </x:c>
    </x:row>
    <x:row r="111" ht="18" customHeight="1">
      <x:c r="A111" s="24" t="str">
        <x:v>LME_021</x:v>
      </x:c>
      <x:c r="B111" s="24" t="str">
        <x:v>Norwegian Sea</x:v>
      </x:c>
      <x:c r="C111" s="24" t="str">
        <x:v>LME</x:v>
      </x:c>
      <x:c r="D111" s="30" t="n">
        <x:v>2019</x:v>
      </x:c>
      <x:c r="E111" s="24" t="str">
        <x:v>Sparidae</x:v>
      </x:c>
      <x:c r="F111" s="24" t="str">
        <x:v>Porgies, seabreams</x:v>
      </x:c>
      <x:c r="G111" s="24" t="str">
        <x:v>Medium benthopelagics (30 - 89 cm)</x:v>
      </x:c>
      <x:c r="H111" s="24" t="str">
        <x:v>Perch-likes</x:v>
      </x:c>
      <x:c r="I111" s="31" t="n">
        <x:v>0.37406132740000003</x:v>
      </x:c>
      <x:c r="J111" s="31" t="n">
        <x:v>0.37406132740000003</x:v>
      </x:c>
      <x:c r="K111" s="31" t="n">
        <x:v>0</x:v>
      </x:c>
      <x:c r="L111" s="31" t="n">
        <x:v>0.37406132740000003</x:v>
      </x:c>
      <x:c r="M111" s="31" t="n">
        <x:v>0</x:v>
      </x:c>
      <x:c r="N111" s="24" t="str">
        <x:v>sparidae</x:v>
      </x:c>
      <x:c r="O111" s="32" t="n">
        <x:v>3.31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Sparidae</x:v>
      </x:c>
      <x:c r="T111" s="32" t="n">
        <x:f>IF(O111="","",(1/'Metadata'!$B$5)^(O111-1))</x:f>
        <x:v>204.17379446695296</x:v>
      </x:c>
      <x:c r="U111" s="31" t="n">
        <x:f>IF(T111="","",I111*T111)</x:f>
        <x:v>76.3735205786032</x:v>
      </x:c>
    </x:row>
    <x:row r="112" ht="18" customHeight="1">
      <x:c r="A112" s="24" t="str">
        <x:v>LME_021</x:v>
      </x:c>
      <x:c r="B112" s="24" t="str">
        <x:v>Norwegian Sea</x:v>
      </x:c>
      <x:c r="C112" s="24" t="str">
        <x:v>LME</x:v>
      </x:c>
      <x:c r="D112" s="30" t="n">
        <x:v>2019</x:v>
      </x:c>
      <x:c r="E112" s="24" t="str">
        <x:v>Sepiidae</x:v>
      </x:c>
      <x:c r="F112" s="24" t="str">
        <x:v>Cuttlefishes</x:v>
      </x:c>
      <x:c r="G112" s="24" t="str">
        <x:v>Cephalopods</x:v>
      </x:c>
      <x:c r="H112" s="24" t="str">
        <x:v>Other fishes &amp; inverts</x:v>
      </x:c>
      <x:c r="I112" s="31" t="n">
        <x:v>0.3691567343</x:v>
      </x:c>
      <x:c r="J112" s="31" t="n">
        <x:v>0.3691567343</x:v>
      </x:c>
      <x:c r="K112" s="31" t="n">
        <x:v>0</x:v>
      </x:c>
      <x:c r="L112" s="31" t="n">
        <x:v>0.3691567343</x:v>
      </x:c>
      <x:c r="M112" s="31" t="n">
        <x:v>0</x:v>
      </x:c>
      <x:c r="N112" s="24" t="str">
        <x:v>sepiidae</x:v>
      </x:c>
      <x:c r="O112" s="32" t="n">
        <x:v>3.6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Sepiidae</x:v>
      </x:c>
      <x:c r="T112" s="32" t="n">
        <x:f>IF(O112="","",(1/'Metadata'!$B$5)^(O112-1))</x:f>
        <x:v>398.1071705534973</x:v>
      </x:c>
      <x:c r="U112" s="31" t="n">
        <x:f>IF(T112="","",I112*T112)</x:f>
        <x:v>146.9639429829422</x:v>
      </x:c>
    </x:row>
    <x:row r="113" ht="18" customHeight="1">
      <x:c r="A113" s="24" t="str">
        <x:v>LME_021</x:v>
      </x:c>
      <x:c r="B113" s="24" t="str">
        <x:v>Norwegian Sea</x:v>
      </x:c>
      <x:c r="C113" s="24" t="str">
        <x:v>LME</x:v>
      </x:c>
      <x:c r="D113" s="30" t="n">
        <x:v>2019</x:v>
      </x:c>
      <x:c r="E113" s="24" t="str">
        <x:v>Mollusca</x:v>
      </x:c>
      <x:c r="F113" s="24" t="str">
        <x:v>Clams, seasnails, squids, octopuses</x:v>
      </x:c>
      <x:c r="G113" s="24" t="str">
        <x:v>Other demersal invertebrates</x:v>
      </x:c>
      <x:c r="H113" s="24" t="str">
        <x:v>Molluscs</x:v>
      </x:c>
      <x:c r="I113" s="31" t="n">
        <x:v>0.3430596197</x:v>
      </x:c>
      <x:c r="J113" s="31" t="n">
        <x:v>0.3430596197</x:v>
      </x:c>
      <x:c r="K113" s="31" t="n">
        <x:v>0</x:v>
      </x:c>
      <x:c r="L113" s="31" t="n">
        <x:v>0.3430596197</x:v>
      </x:c>
      <x:c r="M113" s="31" t="n">
        <x:v>0</x:v>
      </x:c>
      <x:c r="N113" s="24" t="str">
        <x:v>mollusca</x:v>
      </x:c>
      <x:c r="O113" s="32" t="n">
        <x:v>2.1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Mollusca</x:v>
      </x:c>
      <x:c r="T113" s="32" t="n">
        <x:f>IF(O113="","",(1/'Metadata'!$B$5)^(O113-1))</x:f>
        <x:v>12.589254117941675</x:v>
      </x:c>
      <x:c r="U113" s="31" t="n">
        <x:f>IF(T113="","",I113*T113)</x:f>
        <x:v>4.318864730007729</x:v>
      </x:c>
    </x:row>
    <x:row r="114" ht="18" customHeight="1">
      <x:c r="A114" s="24" t="str">
        <x:v>LME_021</x:v>
      </x:c>
      <x:c r="B114" s="24" t="str">
        <x:v>Norwegian Sea</x:v>
      </x:c>
      <x:c r="C114" s="24" t="str">
        <x:v>LME</x:v>
      </x:c>
      <x:c r="D114" s="30" t="n">
        <x:v>2019</x:v>
      </x:c>
      <x:c r="E114" s="24" t="str">
        <x:v>Scomberesocidae</x:v>
      </x:c>
      <x:c r="F114" s="24" t="str">
        <x:v>Sauries</x:v>
      </x:c>
      <x:c r="G114" s="24" t="str">
        <x:v>Medium pelagics (30 - 89 cm)</x:v>
      </x:c>
      <x:c r="H114" s="24" t="str">
        <x:v>Other fishes &amp; inverts</x:v>
      </x:c>
      <x:c r="I114" s="31" t="n">
        <x:v>0.3314509383</x:v>
      </x:c>
      <x:c r="J114" s="31" t="n">
        <x:v>0.3314509383</x:v>
      </x:c>
      <x:c r="K114" s="31" t="n">
        <x:v>0</x:v>
      </x:c>
      <x:c r="L114" s="31" t="n">
        <x:v>0.3314509383</x:v>
      </x:c>
      <x:c r="M114" s="31" t="n">
        <x:v>0</x:v>
      </x:c>
      <x:c r="N114" s="24" t="str">
        <x:v>scomberesocidae</x:v>
      </x:c>
      <x:c r="O114" s="32" t="n">
        <x:v>4.01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Scomberesocidae</x:v>
      </x:c>
      <x:c r="T114" s="32" t="n">
        <x:f>IF(O114="","",(1/'Metadata'!$B$5)^(O114-1))</x:f>
        <x:v>1023.2929922807537</x:v>
      </x:c>
      <x:c r="U114" s="31" t="n">
        <x:f>IF(T114="","",I114*T114)</x:f>
        <x:v>339.17142244727046</x:v>
      </x:c>
    </x:row>
    <x:row r="115" ht="18" customHeight="1">
      <x:c r="A115" s="24" t="str">
        <x:v>LME_021</x:v>
      </x:c>
      <x:c r="B115" s="24" t="str">
        <x:v>Norwegian Sea</x:v>
      </x:c>
      <x:c r="C115" s="24" t="str">
        <x:v>LME</x:v>
      </x:c>
      <x:c r="D115" s="30" t="n">
        <x:v>2019</x:v>
      </x:c>
      <x:c r="E115" s="24" t="str">
        <x:v>Eutrigla gurnardus</x:v>
      </x:c>
      <x:c r="F115" s="24" t="str">
        <x:v>Grey gurnard</x:v>
      </x:c>
      <x:c r="G115" s="24" t="str">
        <x:v>Medium demersals (30 - 89 cm)</x:v>
      </x:c>
      <x:c r="H115" s="24" t="str">
        <x:v>Scorpionfishes</x:v>
      </x:c>
      <x:c r="I115" s="31" t="n">
        <x:v>0.3152383418</x:v>
      </x:c>
      <x:c r="J115" s="31" t="n">
        <x:v>0.3152383418</x:v>
      </x:c>
      <x:c r="K115" s="31" t="n">
        <x:v>0</x:v>
      </x:c>
      <x:c r="L115" s="31" t="n">
        <x:v>0.3152383418</x:v>
      </x:c>
      <x:c r="M115" s="31" t="n">
        <x:v>0</x:v>
      </x:c>
      <x:c r="N115" s="24" t="str">
        <x:v>eutrigla gurnardus</x:v>
      </x:c>
      <x:c r="O115" s="32" t="n">
        <x:v>3.87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Eutrigla gurnardus</x:v>
      </x:c>
      <x:c r="T115" s="32" t="n">
        <x:f>IF(O115="","",(1/'Metadata'!$B$5)^(O115-1))</x:f>
        <x:v>741.3102413009177</x:v>
      </x:c>
      <x:c r="U115" s="31" t="n">
        <x:f>IF(T115="","",I115*T115)</x:f>
        <x:v>233.68941122705917</x:v>
      </x:c>
    </x:row>
    <x:row r="116" ht="18" customHeight="1">
      <x:c r="A116" s="24" t="str">
        <x:v>LME_021</x:v>
      </x:c>
      <x:c r="B116" s="24" t="str">
        <x:v>Norwegian Sea</x:v>
      </x:c>
      <x:c r="C116" s="24" t="str">
        <x:v>LME</x:v>
      </x:c>
      <x:c r="D116" s="30" t="n">
        <x:v>2019</x:v>
      </x:c>
      <x:c r="E116" s="24" t="str">
        <x:v>Sepia officinalis</x:v>
      </x:c>
      <x:c r="F116" s="24" t="str">
        <x:v>Common cuttlefish</x:v>
      </x:c>
      <x:c r="G116" s="24" t="str">
        <x:v>Cephalopods</x:v>
      </x:c>
      <x:c r="H116" s="24" t="str">
        <x:v>Other fishes &amp; inverts</x:v>
      </x:c>
      <x:c r="I116" s="31" t="n">
        <x:v>0.2803664054</x:v>
      </x:c>
      <x:c r="J116" s="31" t="n">
        <x:v>0.2803664054</x:v>
      </x:c>
      <x:c r="K116" s="31" t="n">
        <x:v>0</x:v>
      </x:c>
      <x:c r="L116" s="31" t="n">
        <x:v>0.2803664054</x:v>
      </x:c>
      <x:c r="M116" s="31" t="n">
        <x:v>0</x:v>
      </x:c>
      <x:c r="N116" s="24" t="str">
        <x:v>sepia officinalis</x:v>
      </x:c>
      <x:c r="O116" s="32" t="n">
        <x:v>4.27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Sepia officinalis</x:v>
      </x:c>
      <x:c r="T116" s="32" t="n">
        <x:f>IF(O116="","",(1/'Metadata'!$B$5)^(O116-1))</x:f>
        <x:v>1862.0871366628655</x:v>
      </x:c>
      <x:c r="U116" s="31" t="n">
        <x:f>IF(T116="","",I116*T116)</x:f>
        <x:v>522.0666770477462</x:v>
      </x:c>
    </x:row>
    <x:row r="117" ht="18" customHeight="1">
      <x:c r="A117" s="24" t="str">
        <x:v>LME_021</x:v>
      </x:c>
      <x:c r="B117" s="24" t="str">
        <x:v>Norwegian Sea</x:v>
      </x:c>
      <x:c r="C117" s="24" t="str">
        <x:v>LME</x:v>
      </x:c>
      <x:c r="D117" s="30" t="n">
        <x:v>2019</x:v>
      </x:c>
      <x:c r="E117" s="24" t="str">
        <x:v>Scomber</x:v>
      </x:c>
      <x:c r="F117" s="24" t="str">
        <x:v>Chub mackerels</x:v>
      </x:c>
      <x:c r="G117" s="24" t="str">
        <x:v>Medium pelagics (30 - 89 cm)</x:v>
      </x:c>
      <x:c r="H117" s="24" t="str">
        <x:v>Perch-likes</x:v>
      </x:c>
      <x:c r="I117" s="31" t="n">
        <x:v>0.2233047476</x:v>
      </x:c>
      <x:c r="J117" s="31" t="n">
        <x:v>0.2233047476</x:v>
      </x:c>
      <x:c r="K117" s="31" t="n">
        <x:v>0</x:v>
      </x:c>
      <x:c r="L117" s="31" t="n">
        <x:v>0.2233047476</x:v>
      </x:c>
      <x:c r="M117" s="31" t="n">
        <x:v>0</x:v>
      </x:c>
      <x:c r="N117" s="24" t="str">
        <x:v>scomber</x:v>
      </x:c>
      <x:c r="O117" s="32" t="n">
        <x:v>3.65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Scomber</x:v>
      </x:c>
      <x:c r="T117" s="32" t="n">
        <x:f>IF(O117="","",(1/'Metadata'!$B$5)^(O117-1))</x:f>
        <x:v>446.683592150963</x:v>
      </x:c>
      <x:c r="U117" s="31" t="n">
        <x:f>IF(T117="","",I117*T117)</x:f>
        <x:v>99.74656680233214</x:v>
      </x:c>
    </x:row>
    <x:row r="118" ht="18" customHeight="1">
      <x:c r="A118" s="24" t="str">
        <x:v>LME_021</x:v>
      </x:c>
      <x:c r="B118" s="24" t="str">
        <x:v>Norwegian Sea</x:v>
      </x:c>
      <x:c r="C118" s="24" t="str">
        <x:v>LME</x:v>
      </x:c>
      <x:c r="D118" s="30" t="n">
        <x:v>2019</x:v>
      </x:c>
      <x:c r="E118" s="24" t="str">
        <x:v>Trisopterus minutus</x:v>
      </x:c>
      <x:c r="F118" s="24" t="str">
        <x:v>Poor cod</x:v>
      </x:c>
      <x:c r="G118" s="24" t="str">
        <x:v>Medium benthopelagics (30 - 89 cm)</x:v>
      </x:c>
      <x:c r="H118" s="24" t="str">
        <x:v>Cod-likes</x:v>
      </x:c>
      <x:c r="I118" s="31" t="n">
        <x:v>0.2015388347</x:v>
      </x:c>
      <x:c r="J118" s="31" t="n">
        <x:v>0.2015388347</x:v>
      </x:c>
      <x:c r="K118" s="31" t="n">
        <x:v>0</x:v>
      </x:c>
      <x:c r="L118" s="31" t="n">
        <x:v>0.2015388347</x:v>
      </x:c>
      <x:c r="M118" s="31" t="n">
        <x:v>0</x:v>
      </x:c>
      <x:c r="N118" s="24" t="str">
        <x:v>trisopterus minutus</x:v>
      </x:c>
      <x:c r="O118" s="32" t="n">
        <x:v>3.73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Trisopterus minutus</x:v>
      </x:c>
      <x:c r="T118" s="32" t="n">
        <x:f>IF(O118="","",(1/'Metadata'!$B$5)^(O118-1))</x:f>
        <x:v>537.0317963702527</x:v>
      </x:c>
      <x:c r="U118" s="31" t="n">
        <x:f>IF(T118="","",I118*T118)</x:f>
        <x:v>108.23276243730841</x:v>
      </x:c>
    </x:row>
    <x:row r="119" ht="18" customHeight="1">
      <x:c r="A119" s="24" t="str">
        <x:v>LME_021</x:v>
      </x:c>
      <x:c r="B119" s="24" t="str">
        <x:v>Norwegian Sea</x:v>
      </x:c>
      <x:c r="C119" s="24" t="str">
        <x:v>LME</x:v>
      </x:c>
      <x:c r="D119" s="30" t="n">
        <x:v>2019</x:v>
      </x:c>
      <x:c r="E119" s="24" t="str">
        <x:v>Ensis ensis</x:v>
      </x:c>
      <x:c r="F119" s="24" t="str">
        <x:v>Pod razor</x:v>
      </x:c>
      <x:c r="G119" s="24" t="str">
        <x:v>Other demersal invertebrates</x:v>
      </x:c>
      <x:c r="H119" s="24" t="str">
        <x:v>Molluscs</x:v>
      </x:c>
      <x:c r="I119" s="31" t="n">
        <x:v>0.1991777147</x:v>
      </x:c>
      <x:c r="J119" s="31" t="n">
        <x:v>0.1991777147</x:v>
      </x:c>
      <x:c r="K119" s="31" t="n">
        <x:v>0</x:v>
      </x:c>
      <x:c r="L119" s="31" t="n">
        <x:v>0.1991777147</x:v>
      </x:c>
      <x:c r="M119" s="31" t="n">
        <x:v>0</x:v>
      </x:c>
      <x:c r="N119" s="24" t="str">
        <x:v>ensis ensis</x:v>
      </x:c>
      <x:c r="O119" s="32" t="n">
        <x:v>2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Ensis ensis</x:v>
      </x:c>
      <x:c r="T119" s="32" t="n">
        <x:f>IF(O119="","",(1/'Metadata'!$B$5)^(O119-1))</x:f>
        <x:v>10</x:v>
      </x:c>
      <x:c r="U119" s="31" t="n">
        <x:f>IF(T119="","",I119*T119)</x:f>
        <x:v>1.991777147</x:v>
      </x:c>
    </x:row>
    <x:row r="120" ht="18" customHeight="1">
      <x:c r="A120" s="24" t="str">
        <x:v>LME_021</x:v>
      </x:c>
      <x:c r="B120" s="24" t="str">
        <x:v>Norwegian Sea</x:v>
      </x:c>
      <x:c r="C120" s="24" t="str">
        <x:v>LME</x:v>
      </x:c>
      <x:c r="D120" s="30" t="n">
        <x:v>2019</x:v>
      </x:c>
      <x:c r="E120" s="24" t="str">
        <x:v>Beryx decadactylus</x:v>
      </x:c>
      <x:c r="F120" s="24" t="str">
        <x:v>Alfonsino</x:v>
      </x:c>
      <x:c r="G120" s="24" t="str">
        <x:v>Medium bathydemersals (30 - 89 cm)</x:v>
      </x:c>
      <x:c r="H120" s="24" t="str">
        <x:v>Other fishes &amp; inverts</x:v>
      </x:c>
      <x:c r="I120" s="31" t="n">
        <x:v>0.19562034690000002</x:v>
      </x:c>
      <x:c r="J120" s="31" t="n">
        <x:v>0.19562034690000002</x:v>
      </x:c>
      <x:c r="K120" s="31" t="n">
        <x:v>0</x:v>
      </x:c>
      <x:c r="L120" s="31" t="n">
        <x:v>0.19562034690000002</x:v>
      </x:c>
      <x:c r="M120" s="31" t="n">
        <x:v>0</x:v>
      </x:c>
      <x:c r="N120" s="24" t="str">
        <x:v>beryx decadactylus</x:v>
      </x:c>
      <x:c r="O120" s="32" t="n">
        <x:v>4.13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Beryx decadactylus</x:v>
      </x:c>
      <x:c r="T120" s="32" t="n">
        <x:f>IF(O120="","",(1/'Metadata'!$B$5)^(O120-1))</x:f>
        <x:v>1348.9628825916532</x:v>
      </x:c>
      <x:c r="U120" s="31" t="n">
        <x:f>IF(T120="","",I120*T120)</x:f>
        <x:v>263.88458704780317</x:v>
      </x:c>
    </x:row>
    <x:row r="121" ht="18" customHeight="1">
      <x:c r="A121" s="24" t="str">
        <x:v>LME_021</x:v>
      </x:c>
      <x:c r="B121" s="24" t="str">
        <x:v>Norwegian Sea</x:v>
      </x:c>
      <x:c r="C121" s="24" t="str">
        <x:v>LME</x:v>
      </x:c>
      <x:c r="D121" s="30" t="n">
        <x:v>2019</x:v>
      </x:c>
      <x:c r="E121" s="24" t="str">
        <x:v>Phycis</x:v>
      </x:c>
      <x:c r="F121" s="24" t="str">
        <x:v>Gunnels, forkbeards</x:v>
      </x:c>
      <x:c r="G121" s="24" t="str">
        <x:v>Medium benthopelagics (30 - 89 cm)</x:v>
      </x:c>
      <x:c r="H121" s="24" t="str">
        <x:v>Cod-likes</x:v>
      </x:c>
      <x:c r="I121" s="31" t="n">
        <x:v>0.184820032</x:v>
      </x:c>
      <x:c r="J121" s="31" t="n">
        <x:v>0.184820032</x:v>
      </x:c>
      <x:c r="K121" s="31" t="n">
        <x:v>0</x:v>
      </x:c>
      <x:c r="L121" s="31" t="n">
        <x:v>0.184820032</x:v>
      </x:c>
      <x:c r="M121" s="31" t="n">
        <x:v>0</x:v>
      </x:c>
      <x:c r="N121" s="24" t="str">
        <x:v>phycis</x:v>
      </x:c>
      <x:c r="O121" s="32" t="n">
        <x:v>3.99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Phycis</x:v>
      </x:c>
      <x:c r="T121" s="32" t="n">
        <x:f>IF(O121="","",(1/'Metadata'!$B$5)^(O121-1))</x:f>
        <x:v>977.2372209558112</x:v>
      </x:c>
      <x:c r="U121" s="31" t="n">
        <x:f>IF(T121="","",I121*T121)</x:f>
        <x:v>180.6130144486441</x:v>
      </x:c>
    </x:row>
    <x:row r="122" ht="18" customHeight="1">
      <x:c r="A122" s="24" t="str">
        <x:v>LME_021</x:v>
      </x:c>
      <x:c r="B122" s="24" t="str">
        <x:v>Norwegian Sea</x:v>
      </x:c>
      <x:c r="C122" s="24" t="str">
        <x:v>LME</x:v>
      </x:c>
      <x:c r="D122" s="30" t="n">
        <x:v>2019</x:v>
      </x:c>
      <x:c r="E122" s="24" t="str">
        <x:v>Solea</x:v>
      </x:c>
      <x:c r="F122" s="24" t="str">
        <x:v>Soles</x:v>
      </x:c>
      <x:c r="G122" s="24" t="str">
        <x:v>Small to medium flatfishes (&lt;90 cm)</x:v>
      </x:c>
      <x:c r="H122" s="24" t="str">
        <x:v>Flatfishes</x:v>
      </x:c>
      <x:c r="I122" s="31" t="n">
        <x:v>0.183398016</x:v>
      </x:c>
      <x:c r="J122" s="31" t="n">
        <x:v>0.183398016</x:v>
      </x:c>
      <x:c r="K122" s="31" t="n">
        <x:v>0</x:v>
      </x:c>
      <x:c r="L122" s="31" t="n">
        <x:v>0.183398016</x:v>
      </x:c>
      <x:c r="M122" s="31" t="n">
        <x:v>0</x:v>
      </x:c>
      <x:c r="N122" s="24" t="str">
        <x:v>solea</x:v>
      </x:c>
      <x:c r="O122" s="32" t="n">
        <x:v>3.13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Solea</x:v>
      </x:c>
      <x:c r="T122" s="32" t="n">
        <x:f>IF(O122="","",(1/'Metadata'!$B$5)^(O122-1))</x:f>
        <x:v>134.89628825916532</x:v>
      </x:c>
      <x:c r="U122" s="31" t="n">
        <x:f>IF(T122="","",I122*T122)</x:f>
        <x:v>24.739711632495013</x:v>
      </x:c>
    </x:row>
    <x:row r="123" ht="18" customHeight="1">
      <x:c r="A123" s="24" t="str">
        <x:v>LME_021</x:v>
      </x:c>
      <x:c r="B123" s="24" t="str">
        <x:v>Norwegian Sea</x:v>
      </x:c>
      <x:c r="C123" s="24" t="str">
        <x:v>LME</x:v>
      </x:c>
      <x:c r="D123" s="30" t="n">
        <x:v>2019</x:v>
      </x:c>
      <x:c r="E123" s="24" t="str">
        <x:v>Anguilla anguilla</x:v>
      </x:c>
      <x:c r="F123" s="24" t="str">
        <x:v>European eel</x:v>
      </x:c>
      <x:c r="G123" s="24" t="str">
        <x:v>Large demersals (&gt;=90 cm)</x:v>
      </x:c>
      <x:c r="H123" s="24" t="str">
        <x:v>Other fishes &amp; inverts</x:v>
      </x:c>
      <x:c r="I123" s="31" t="n">
        <x:v>0.1706546598</x:v>
      </x:c>
      <x:c r="J123" s="31" t="n">
        <x:v>0.1706546598</x:v>
      </x:c>
      <x:c r="K123" s="31" t="n">
        <x:v>0</x:v>
      </x:c>
      <x:c r="L123" s="31" t="n">
        <x:v>0.1706546598</x:v>
      </x:c>
      <x:c r="M123" s="31" t="n">
        <x:v>0</x:v>
      </x:c>
      <x:c r="N123" s="24" t="str">
        <x:v>anguilla anguilla</x:v>
      </x:c>
      <x:c r="O123" s="32" t="n">
        <x:v>3.55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Anguilla anguilla</x:v>
      </x:c>
      <x:c r="T123" s="32" t="n">
        <x:f>IF(O123="","",(1/'Metadata'!$B$5)^(O123-1))</x:f>
        <x:v>354.8133892335753</x:v>
      </x:c>
      <x:c r="U123" s="31" t="n">
        <x:f>IF(T123="","",I123*T123)</x:f>
        <x:v>60.55055823214078</x:v>
      </x:c>
    </x:row>
    <x:row r="124" ht="18" customHeight="1">
      <x:c r="A124" s="24" t="str">
        <x:v>LME_021</x:v>
      </x:c>
      <x:c r="B124" s="24" t="str">
        <x:v>Norwegian Sea</x:v>
      </x:c>
      <x:c r="C124" s="24" t="str">
        <x:v>LME</x:v>
      </x:c>
      <x:c r="D124" s="30" t="n">
        <x:v>2019</x:v>
      </x:c>
      <x:c r="E124" s="24" t="str">
        <x:v>Thunnus thynnus</x:v>
      </x:c>
      <x:c r="F124" s="24" t="str">
        <x:v>Atlantic bluefin tuna</x:v>
      </x:c>
      <x:c r="G124" s="24" t="str">
        <x:v>Large pelagics (&gt;=90 cm)</x:v>
      </x:c>
      <x:c r="H124" s="24" t="str">
        <x:v>Tuna &amp; billfishes</x:v>
      </x:c>
      <x:c r="I124" s="31" t="n">
        <x:v>0.1616742654</x:v>
      </x:c>
      <x:c r="J124" s="31" t="n">
        <x:v>0.1616742654</x:v>
      </x:c>
      <x:c r="K124" s="31" t="n">
        <x:v>0</x:v>
      </x:c>
      <x:c r="L124" s="31" t="n">
        <x:v>0.1616742654</x:v>
      </x:c>
      <x:c r="M124" s="31" t="n">
        <x:v>0</x:v>
      </x:c>
      <x:c r="N124" s="24" t="str">
        <x:v>thunnus thynnus</x:v>
      </x:c>
      <x:c r="O124" s="32" t="n">
        <x:v>4.45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Thunnus thynnus</x:v>
      </x:c>
      <x:c r="T124" s="32" t="n">
        <x:f>IF(O124="","",(1/'Metadata'!$B$5)^(O124-1))</x:f>
        <x:v>2818.382931264455</x:v>
      </x:c>
      <x:c r="U124" s="31" t="n">
        <x:f>IF(T124="","",I124*T124)</x:f>
        <x:v>455.6599900280794</x:v>
      </x:c>
    </x:row>
    <x:row r="125" ht="18" customHeight="1">
      <x:c r="A125" s="24" t="str">
        <x:v>LME_021</x:v>
      </x:c>
      <x:c r="B125" s="24" t="str">
        <x:v>Norwegian Sea</x:v>
      </x:c>
      <x:c r="C125" s="24" t="str">
        <x:v>LME</x:v>
      </x:c>
      <x:c r="D125" s="30" t="n">
        <x:v>2019</x:v>
      </x:c>
      <x:c r="E125" s="24" t="str">
        <x:v>Beryx</x:v>
      </x:c>
      <x:c r="F125" s="24" t="str">
        <x:v>Alfonsinos</x:v>
      </x:c>
      <x:c r="G125" s="24" t="str">
        <x:v>Medium benthopelagics (30 - 89 cm)</x:v>
      </x:c>
      <x:c r="H125" s="24" t="str">
        <x:v>Other fishes &amp; inverts</x:v>
      </x:c>
      <x:c r="I125" s="31" t="n">
        <x:v>0.1569270743</x:v>
      </x:c>
      <x:c r="J125" s="31" t="n">
        <x:v>0.1569270743</x:v>
      </x:c>
      <x:c r="K125" s="31" t="n">
        <x:v>0</x:v>
      </x:c>
      <x:c r="L125" s="31" t="n">
        <x:v>0.1569270743</x:v>
      </x:c>
      <x:c r="M125" s="31" t="n">
        <x:v>0</x:v>
      </x:c>
      <x:c r="N125" s="24" t="str">
        <x:v>beryx</x:v>
      </x:c>
      <x:c r="O125" s="32" t="n">
        <x:v>3.97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Beryx</x:v>
      </x:c>
      <x:c r="T125" s="32" t="n">
        <x:f>IF(O125="","",(1/'Metadata'!$B$5)^(O125-1))</x:f>
        <x:v>933.2543007969915</x:v>
      </x:c>
      <x:c r="U125" s="31" t="n">
        <x:f>IF(T125="","",I125*T125)</x:f>
        <x:v>146.45286700196402</x:v>
      </x:c>
    </x:row>
    <x:row r="126" ht="18" customHeight="1">
      <x:c r="A126" s="24" t="str">
        <x:v>LME_021</x:v>
      </x:c>
      <x:c r="B126" s="24" t="str">
        <x:v>Norwegian Sea</x:v>
      </x:c>
      <x:c r="C126" s="24" t="str">
        <x:v>LME</x:v>
      </x:c>
      <x:c r="D126" s="30" t="n">
        <x:v>2019</x:v>
      </x:c>
      <x:c r="E126" s="24" t="str">
        <x:v>Scyliorhinus canicula</x:v>
      </x:c>
      <x:c r="F126" s="24" t="str">
        <x:v>Small-spotted catshark</x:v>
      </x:c>
      <x:c r="G126" s="24" t="str">
        <x:v>Small to medium sharks (&lt;90 cm)</x:v>
      </x:c>
      <x:c r="H126" s="24" t="str">
        <x:v>Sharks &amp; rays</x:v>
      </x:c>
      <x:c r="I126" s="31" t="n">
        <x:v>0.1530408455</x:v>
      </x:c>
      <x:c r="J126" s="31" t="n">
        <x:v>0.1530408455</x:v>
      </x:c>
      <x:c r="K126" s="31" t="n">
        <x:v>0</x:v>
      </x:c>
      <x:c r="L126" s="31" t="n">
        <x:v>0.1530408455</x:v>
      </x:c>
      <x:c r="M126" s="31" t="n">
        <x:v>0</x:v>
      </x:c>
      <x:c r="N126" s="24" t="str">
        <x:v>scyliorhinus canicula</x:v>
      </x:c>
      <x:c r="O126" s="32" t="n">
        <x:v>3.82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Scyliorhinus canicula</x:v>
      </x:c>
      <x:c r="T126" s="32" t="n">
        <x:f>IF(O126="","",(1/'Metadata'!$B$5)^(O126-1))</x:f>
        <x:v>660.6934480075957</x:v>
      </x:c>
      <x:c r="U126" s="31" t="n">
        <x:f>IF(T126="","",I126*T126)</x:f>
        <x:v>101.11308389939273</x:v>
      </x:c>
    </x:row>
    <x:row r="127" ht="18" customHeight="1">
      <x:c r="A127" s="24" t="str">
        <x:v>LME_021</x:v>
      </x:c>
      <x:c r="B127" s="24" t="str">
        <x:v>Norwegian Sea</x:v>
      </x:c>
      <x:c r="C127" s="24" t="str">
        <x:v>LME</x:v>
      </x:c>
      <x:c r="D127" s="30" t="n">
        <x:v>2019</x:v>
      </x:c>
      <x:c r="E127" s="24" t="str">
        <x:v>Diplodus</x:v>
      </x:c>
      <x:c r="F127" s="24" t="str">
        <x:v>Two-toothed seabreams</x:v>
      </x:c>
      <x:c r="G127" s="24" t="str">
        <x:v>Medium benthopelagics (30 - 89 cm)</x:v>
      </x:c>
      <x:c r="H127" s="24" t="str">
        <x:v>Perch-likes</x:v>
      </x:c>
      <x:c r="I127" s="31" t="n">
        <x:v>0.1479891756</x:v>
      </x:c>
      <x:c r="J127" s="31" t="n">
        <x:v>0.1479891756</x:v>
      </x:c>
      <x:c r="K127" s="31" t="n">
        <x:v>0</x:v>
      </x:c>
      <x:c r="L127" s="31" t="n">
        <x:v>0.1479891756</x:v>
      </x:c>
      <x:c r="M127" s="31" t="n">
        <x:v>0</x:v>
      </x:c>
      <x:c r="N127" s="24" t="str">
        <x:v>diplodus</x:v>
      </x:c>
      <x:c r="O127" s="32" t="n">
        <x:v>2.97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Diplodus</x:v>
      </x:c>
      <x:c r="T127" s="32" t="n">
        <x:f>IF(O127="","",(1/'Metadata'!$B$5)^(O127-1))</x:f>
        <x:v>93.32543007969915</x:v>
      </x:c>
      <x:c r="U127" s="31" t="n">
        <x:f>IF(T127="","",I127*T127)</x:f>
        <x:v>13.811153460010118</x:v>
      </x:c>
    </x:row>
    <x:row r="128" ht="18" customHeight="1">
      <x:c r="A128" s="24" t="str">
        <x:v>LME_021</x:v>
      </x:c>
      <x:c r="B128" s="24" t="str">
        <x:v>Norwegian Sea</x:v>
      </x:c>
      <x:c r="C128" s="24" t="str">
        <x:v>LME</x:v>
      </x:c>
      <x:c r="D128" s="30" t="n">
        <x:v>2019</x:v>
      </x:c>
      <x:c r="E128" s="24" t="str">
        <x:v>Anarhichadidae</x:v>
      </x:c>
      <x:c r="F128" s="24" t="str">
        <x:v>Wolffishes, wolfeels</x:v>
      </x:c>
      <x:c r="G128" s="24" t="str">
        <x:v>Large demersals (&gt;=90 cm)</x:v>
      </x:c>
      <x:c r="H128" s="24" t="str">
        <x:v>Perch-likes</x:v>
      </x:c>
      <x:c r="I128" s="31" t="n">
        <x:v>0.125059327</x:v>
      </x:c>
      <x:c r="J128" s="31" t="n">
        <x:v>0.125059327</x:v>
      </x:c>
      <x:c r="K128" s="31" t="n">
        <x:v>0</x:v>
      </x:c>
      <x:c r="L128" s="31" t="n">
        <x:v>0.125059327</x:v>
      </x:c>
      <x:c r="M128" s="31" t="n">
        <x:v>0</x:v>
      </x:c>
      <x:c r="N128" s="24" t="str">
        <x:v>anarhichadidae</x:v>
      </x:c>
      <x:c r="O128" s="32" t="n">
        <x:v>3.47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Anarhichadidae</x:v>
      </x:c>
      <x:c r="T128" s="32" t="n">
        <x:f>IF(O128="","",(1/'Metadata'!$B$5)^(O128-1))</x:f>
        <x:v>295.1209226666387</x:v>
      </x:c>
      <x:c r="U128" s="31" t="n">
        <x:f>IF(T128="","",I128*T128)</x:f>
        <x:v>36.90762397230888</x:v>
      </x:c>
    </x:row>
    <x:row r="129" ht="18" customHeight="1">
      <x:c r="A129" s="24" t="str">
        <x:v>LME_021</x:v>
      </x:c>
      <x:c r="B129" s="24" t="str">
        <x:v>Norwegian Sea</x:v>
      </x:c>
      <x:c r="C129" s="24" t="str">
        <x:v>LME</x:v>
      </x:c>
      <x:c r="D129" s="30" t="n">
        <x:v>2019</x:v>
      </x:c>
      <x:c r="E129" s="24" t="str">
        <x:v>Beryx splendens</x:v>
      </x:c>
      <x:c r="F129" s="24" t="str">
        <x:v>Splendid alfonsino</x:v>
      </x:c>
      <x:c r="G129" s="24" t="str">
        <x:v>Medium benthopelagics (30 - 89 cm)</x:v>
      </x:c>
      <x:c r="H129" s="24" t="str">
        <x:v>Other fishes &amp; inverts</x:v>
      </x:c>
      <x:c r="I129" s="31" t="n">
        <x:v>0.107549045</x:v>
      </x:c>
      <x:c r="J129" s="31" t="n">
        <x:v>0.107549045</x:v>
      </x:c>
      <x:c r="K129" s="31" t="n">
        <x:v>0</x:v>
      </x:c>
      <x:c r="L129" s="31" t="n">
        <x:v>0.107549045</x:v>
      </x:c>
      <x:c r="M129" s="31" t="n">
        <x:v>0</x:v>
      </x:c>
      <x:c r="N129" s="24" t="str">
        <x:v>beryx splendens</x:v>
      </x:c>
      <x:c r="O129" s="32" t="n">
        <x:v>4.27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Beryx splendens</x:v>
      </x:c>
      <x:c r="T129" s="32" t="n">
        <x:f>IF(O129="","",(1/'Metadata'!$B$5)^(O129-1))</x:f>
        <x:v>1862.0871366628655</x:v>
      </x:c>
      <x:c r="U129" s="31" t="n">
        <x:f>IF(T129="","",I129*T129)</x:f>
        <x:v>200.26569325487566</x:v>
      </x:c>
    </x:row>
    <x:row r="130" ht="18" customHeight="1">
      <x:c r="A130" s="24" t="str">
        <x:v>LME_021</x:v>
      </x:c>
      <x:c r="B130" s="24" t="str">
        <x:v>Norwegian Sea</x:v>
      </x:c>
      <x:c r="C130" s="24" t="str">
        <x:v>LME</x:v>
      </x:c>
      <x:c r="D130" s="30" t="n">
        <x:v>2019</x:v>
      </x:c>
      <x:c r="E130" s="24" t="str">
        <x:v>Ensis siliqua</x:v>
      </x:c>
      <x:c r="F130" s="24" t="str">
        <x:v>Sword razor shell</x:v>
      </x:c>
      <x:c r="G130" s="24" t="str">
        <x:v>Other demersal invertebrates</x:v>
      </x:c>
      <x:c r="H130" s="24" t="str">
        <x:v>Molluscs</x:v>
      </x:c>
      <x:c r="I130" s="31" t="n">
        <x:v>0.09570469599999999</x:v>
      </x:c>
      <x:c r="J130" s="31" t="n">
        <x:v>0.09570469599999999</x:v>
      </x:c>
      <x:c r="K130" s="31" t="n">
        <x:v>0</x:v>
      </x:c>
      <x:c r="L130" s="31" t="n">
        <x:v>0.09570469599999999</x:v>
      </x:c>
      <x:c r="M130" s="31" t="n">
        <x:v>0</x:v>
      </x:c>
      <x:c r="N130" s="24" t="str">
        <x:v>ensis siliqua</x:v>
      </x:c>
      <x:c r="O130" s="32" t="n">
        <x:v>2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Ensis siliqua</x:v>
      </x:c>
      <x:c r="T130" s="32" t="n">
        <x:f>IF(O130="","",(1/'Metadata'!$B$5)^(O130-1))</x:f>
        <x:v>10</x:v>
      </x:c>
      <x:c r="U130" s="31" t="n">
        <x:f>IF(T130="","",I130*T130)</x:f>
        <x:v>0.9570469599999999</x:v>
      </x:c>
    </x:row>
    <x:row r="131" ht="18" customHeight="1">
      <x:c r="A131" s="24" t="str">
        <x:v>LME_021</x:v>
      </x:c>
      <x:c r="B131" s="24" t="str">
        <x:v>Norwegian Sea</x:v>
      </x:c>
      <x:c r="C131" s="24" t="str">
        <x:v>LME</x:v>
      </x:c>
      <x:c r="D131" s="30" t="n">
        <x:v>2019</x:v>
      </x:c>
      <x:c r="E131" s="24" t="str">
        <x:v>Leucoraja fullonica</x:v>
      </x:c>
      <x:c r="F131" s="24" t="str">
        <x:v>Shagreen ray</x:v>
      </x:c>
      <x:c r="G131" s="24" t="str">
        <x:v>Large rays (&gt;=90 cm)</x:v>
      </x:c>
      <x:c r="H131" s="24" t="str">
        <x:v>Sharks &amp; rays</x:v>
      </x:c>
      <x:c r="I131" s="31" t="n">
        <x:v>0.089528469</x:v>
      </x:c>
      <x:c r="J131" s="31" t="n">
        <x:v>0.089528469</x:v>
      </x:c>
      <x:c r="K131" s="31" t="n">
        <x:v>0</x:v>
      </x:c>
      <x:c r="L131" s="31" t="n">
        <x:v>0.089528469</x:v>
      </x:c>
      <x:c r="M131" s="31" t="n">
        <x:v>0</x:v>
      </x:c>
      <x:c r="N131" s="24" t="str">
        <x:v>leucoraja fullonica</x:v>
      </x:c>
      <x:c r="O131" s="32" t="n">
        <x:v>3.5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Leucoraja fullonica</x:v>
      </x:c>
      <x:c r="T131" s="32" t="n">
        <x:f>IF(O131="","",(1/'Metadata'!$B$5)^(O131-1))</x:f>
        <x:v>316.22776601683796</x:v>
      </x:c>
      <x:c r="U131" s="31" t="n">
        <x:f>IF(T131="","",I131*T131)</x:f>
        <x:v>28.31138774677773</x:v>
      </x:c>
    </x:row>
    <x:row r="132" ht="18" customHeight="1">
      <x:c r="A132" s="24" t="str">
        <x:v>LME_021</x:v>
      </x:c>
      <x:c r="B132" s="24" t="str">
        <x:v>Norwegian Sea</x:v>
      </x:c>
      <x:c r="C132" s="24" t="str">
        <x:v>LME</x:v>
      </x:c>
      <x:c r="D132" s="30" t="n">
        <x:v>2019</x:v>
      </x:c>
      <x:c r="E132" s="24" t="str">
        <x:v>Homarus gammarus</x:v>
      </x:c>
      <x:c r="F132" s="24" t="str">
        <x:v>European lobster</x:v>
      </x:c>
      <x:c r="G132" s="24" t="str">
        <x:v>Lobsters, crabs</x:v>
      </x:c>
      <x:c r="H132" s="24" t="str">
        <x:v>Crustaceans</x:v>
      </x:c>
      <x:c r="I132" s="31" t="n">
        <x:v>0.0874466093</x:v>
      </x:c>
      <x:c r="J132" s="31" t="n">
        <x:v>0.0874466093</x:v>
      </x:c>
      <x:c r="K132" s="31" t="n">
        <x:v>0</x:v>
      </x:c>
      <x:c r="L132" s="31" t="n">
        <x:v>0.0874466093</x:v>
      </x:c>
      <x:c r="M132" s="31" t="n">
        <x:v>0</x:v>
      </x:c>
      <x:c r="N132" s="24" t="str">
        <x:v>homarus gammarus</x:v>
      </x:c>
      <x:c r="O132" s="32" t="n">
        <x:v>3.7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Homarus gammarus</x:v>
      </x:c>
      <x:c r="T132" s="32" t="n">
        <x:f>IF(O132="","",(1/'Metadata'!$B$5)^(O132-1))</x:f>
        <x:v>501.18723362727246</x:v>
      </x:c>
      <x:c r="U132" s="31" t="n">
        <x:f>IF(T132="","",I132*T132)</x:f>
        <x:v>43.82712420515192</x:v>
      </x:c>
    </x:row>
    <x:row r="133" ht="18" customHeight="1">
      <x:c r="A133" s="24" t="str">
        <x:v>LME_021</x:v>
      </x:c>
      <x:c r="B133" s="24" t="str">
        <x:v>Norwegian Sea</x:v>
      </x:c>
      <x:c r="C133" s="24" t="str">
        <x:v>LME</x:v>
      </x:c>
      <x:c r="D133" s="30" t="n">
        <x:v>2019</x:v>
      </x:c>
      <x:c r="E133" s="24" t="str">
        <x:v>Lamna nasus</x:v>
      </x:c>
      <x:c r="F133" s="24" t="str">
        <x:v>Porbeagle</x:v>
      </x:c>
      <x:c r="G133" s="24" t="str">
        <x:v>Large sharks (&gt;=90 cm)</x:v>
      </x:c>
      <x:c r="H133" s="24" t="str">
        <x:v>Sharks &amp; rays</x:v>
      </x:c>
      <x:c r="I133" s="31" t="n">
        <x:v>0.0827610805</x:v>
      </x:c>
      <x:c r="J133" s="31" t="n">
        <x:v>0.0827610805</x:v>
      </x:c>
      <x:c r="K133" s="31" t="n">
        <x:v>0</x:v>
      </x:c>
      <x:c r="L133" s="31" t="n">
        <x:v>0.0827610805</x:v>
      </x:c>
      <x:c r="M133" s="31" t="n">
        <x:v>0</x:v>
      </x:c>
      <x:c r="N133" s="24" t="str">
        <x:v>lamna nasus</x:v>
      </x:c>
      <x:c r="O133" s="32" t="n">
        <x:v>4.57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Lamna nasus</x:v>
      </x:c>
      <x:c r="T133" s="32" t="n">
        <x:f>IF(O133="","",(1/'Metadata'!$B$5)^(O133-1))</x:f>
        <x:v>3715.3522909717276</x:v>
      </x:c>
      <x:c r="U133" s="31" t="n">
        <x:f>IF(T133="","",I133*T133)</x:f>
        <x:v>307.48657003897057</x:v>
      </x:c>
    </x:row>
    <x:row r="134" ht="18" customHeight="1">
      <x:c r="A134" s="24" t="str">
        <x:v>LME_021</x:v>
      </x:c>
      <x:c r="B134" s="24" t="str">
        <x:v>Norwegian Sea</x:v>
      </x:c>
      <x:c r="C134" s="24" t="str">
        <x:v>LME</x:v>
      </x:c>
      <x:c r="D134" s="30" t="n">
        <x:v>2019</x:v>
      </x:c>
      <x:c r="E134" s="24" t="str">
        <x:v>Mytilus edulis</x:v>
      </x:c>
      <x:c r="F134" s="24" t="str">
        <x:v>Blue mussel</x:v>
      </x:c>
      <x:c r="G134" s="24" t="str">
        <x:v>Other demersal invertebrates</x:v>
      </x:c>
      <x:c r="H134" s="24" t="str">
        <x:v>Molluscs</x:v>
      </x:c>
      <x:c r="I134" s="31" t="n">
        <x:v>0.0730835713</x:v>
      </x:c>
      <x:c r="J134" s="31" t="n">
        <x:v>0.0730835713</x:v>
      </x:c>
      <x:c r="K134" s="31" t="n">
        <x:v>0</x:v>
      </x:c>
      <x:c r="L134" s="31" t="n">
        <x:v>0.0730835713</x:v>
      </x:c>
      <x:c r="M134" s="31" t="n">
        <x:v>0</x:v>
      </x:c>
      <x:c r="N134" s="24" t="str">
        <x:v>mytilus edulis</x:v>
      </x:c>
      <x:c r="O134" s="32" t="n">
        <x:v>2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Mytilus edulis</x:v>
      </x:c>
      <x:c r="T134" s="32" t="n">
        <x:f>IF(O134="","",(1/'Metadata'!$B$5)^(O134-1))</x:f>
        <x:v>10</x:v>
      </x:c>
      <x:c r="U134" s="31" t="n">
        <x:f>IF(T134="","",I134*T134)</x:f>
        <x:v>0.7308357129999999</x:v>
      </x:c>
    </x:row>
    <x:row r="135" ht="18" customHeight="1">
      <x:c r="A135" s="24" t="str">
        <x:v>LME_021</x:v>
      </x:c>
      <x:c r="B135" s="24" t="str">
        <x:v>Norwegian Sea</x:v>
      </x:c>
      <x:c r="C135" s="24" t="str">
        <x:v>LME</x:v>
      </x:c>
      <x:c r="D135" s="30" t="n">
        <x:v>2019</x:v>
      </x:c>
      <x:c r="E135" s="24" t="str">
        <x:v>Portunidae</x:v>
      </x:c>
      <x:c r="F135" s="24" t="str">
        <x:v>Swimming crabs</x:v>
      </x:c>
      <x:c r="G135" s="24" t="str">
        <x:v>Lobsters, crabs</x:v>
      </x:c>
      <x:c r="H135" s="24" t="str">
        <x:v>Crustaceans</x:v>
      </x:c>
      <x:c r="I135" s="31" t="n">
        <x:v>0.0637953337</x:v>
      </x:c>
      <x:c r="J135" s="31" t="n">
        <x:v>0.0637953337</x:v>
      </x:c>
      <x:c r="K135" s="31" t="n">
        <x:v>0</x:v>
      </x:c>
      <x:c r="L135" s="31" t="n">
        <x:v>0.0637953337</x:v>
      </x:c>
      <x:c r="M135" s="31" t="n">
        <x:v>0</x:v>
      </x:c>
      <x:c r="N135" s="24" t="str">
        <x:v>portunidae</x:v>
      </x:c>
      <x:c r="O135" s="32" t="n">
        <x:v>3.56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Portunidae</x:v>
      </x:c>
      <x:c r="T135" s="32" t="n">
        <x:f>IF(O135="","",(1/'Metadata'!$B$5)^(O135-1))</x:f>
        <x:v>363.0780547701014</x:v>
      </x:c>
      <x:c r="U135" s="31" t="n">
        <x:f>IF(T135="","",I135*T135)</x:f>
        <x:v>23.162685663205494</x:v>
      </x:c>
    </x:row>
    <x:row r="136" ht="18" customHeight="1">
      <x:c r="A136" s="24" t="str">
        <x:v>LME_021</x:v>
      </x:c>
      <x:c r="B136" s="24" t="str">
        <x:v>Norwegian Sea</x:v>
      </x:c>
      <x:c r="C136" s="24" t="str">
        <x:v>LME</x:v>
      </x:c>
      <x:c r="D136" s="30" t="n">
        <x:v>2019</x:v>
      </x:c>
      <x:c r="E136" s="24" t="str">
        <x:v>Donax</x:v>
      </x:c>
      <x:c r="F136" s="24" t="str">
        <x:v>Bean clams</x:v>
      </x:c>
      <x:c r="G136" s="24" t="str">
        <x:v>Other demersal invertebrates</x:v>
      </x:c>
      <x:c r="H136" s="24" t="str">
        <x:v>Molluscs</x:v>
      </x:c>
      <x:c r="I136" s="31" t="n">
        <x:v>0.0628062373</x:v>
      </x:c>
      <x:c r="J136" s="31" t="n">
        <x:v>0.0628062373</x:v>
      </x:c>
      <x:c r="K136" s="31" t="n">
        <x:v>0</x:v>
      </x:c>
      <x:c r="L136" s="31" t="n">
        <x:v>0.0628062373</x:v>
      </x:c>
      <x:c r="M136" s="31" t="n">
        <x:v>0</x:v>
      </x:c>
      <x:c r="N136" s="24" t="str">
        <x:v>donax</x:v>
      </x:c>
      <x:c r="O136" s="32" t="n">
        <x:v>2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Donax</x:v>
      </x:c>
      <x:c r="T136" s="32" t="n">
        <x:f>IF(O136="","",(1/'Metadata'!$B$5)^(O136-1))</x:f>
        <x:v>10</x:v>
      </x:c>
      <x:c r="U136" s="31" t="n">
        <x:f>IF(T136="","",I136*T136)</x:f>
        <x:v>0.628062373</x:v>
      </x:c>
    </x:row>
    <x:row r="137" ht="18" customHeight="1">
      <x:c r="A137" s="24" t="str">
        <x:v>LME_021</x:v>
      </x:c>
      <x:c r="B137" s="24" t="str">
        <x:v>Norwegian Sea</x:v>
      </x:c>
      <x:c r="C137" s="24" t="str">
        <x:v>LME</x:v>
      </x:c>
      <x:c r="D137" s="30" t="n">
        <x:v>2019</x:v>
      </x:c>
      <x:c r="E137" s="24" t="str">
        <x:v>Pagellus</x:v>
      </x:c>
      <x:c r="F137" s="24" t="str">
        <x:v>Pandoras</x:v>
      </x:c>
      <x:c r="G137" s="24" t="str">
        <x:v>Medium benthopelagics (30 - 89 cm)</x:v>
      </x:c>
      <x:c r="H137" s="24" t="str">
        <x:v>Perch-likes</x:v>
      </x:c>
      <x:c r="I137" s="31" t="n">
        <x:v>0.0607217881</x:v>
      </x:c>
      <x:c r="J137" s="31" t="n">
        <x:v>0.0607217881</x:v>
      </x:c>
      <x:c r="K137" s="31" t="n">
        <x:v>0</x:v>
      </x:c>
      <x:c r="L137" s="31" t="n">
        <x:v>0.0607217881</x:v>
      </x:c>
      <x:c r="M137" s="31" t="n">
        <x:v>0</x:v>
      </x:c>
      <x:c r="N137" s="24" t="str">
        <x:v>pagellus</x:v>
      </x:c>
      <x:c r="O137" s="32" t="n">
        <x:v>3.44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Pagellus</x:v>
      </x:c>
      <x:c r="T137" s="32" t="n">
        <x:f>IF(O137="","",(1/'Metadata'!$B$5)^(O137-1))</x:f>
        <x:v>275.4228703338166</x:v>
      </x:c>
      <x:c r="U137" s="31" t="n">
        <x:f>IF(T137="","",I137*T137)</x:f>
        <x:v>16.72416917030379</x:v>
      </x:c>
    </x:row>
    <x:row r="138" ht="18" customHeight="1">
      <x:c r="A138" s="24" t="str">
        <x:v>LME_021</x:v>
      </x:c>
      <x:c r="B138" s="24" t="str">
        <x:v>Norwegian Sea</x:v>
      </x:c>
      <x:c r="C138" s="24" t="str">
        <x:v>LME</x:v>
      </x:c>
      <x:c r="D138" s="30" t="n">
        <x:v>2019</x:v>
      </x:c>
      <x:c r="E138" s="24" t="str">
        <x:v>Mugil</x:v>
      </x:c>
      <x:c r="F138" s="24" t="str">
        <x:v>Grey mullets</x:v>
      </x:c>
      <x:c r="G138" s="24" t="str">
        <x:v>Medium demersals (30 - 89 cm)</x:v>
      </x:c>
      <x:c r="H138" s="24" t="str">
        <x:v>Perch-likes</x:v>
      </x:c>
      <x:c r="I138" s="31" t="n">
        <x:v>0.058065422400000004</x:v>
      </x:c>
      <x:c r="J138" s="31" t="n">
        <x:v>0.058065422400000004</x:v>
      </x:c>
      <x:c r="K138" s="31" t="n">
        <x:v>0</x:v>
      </x:c>
      <x:c r="L138" s="31" t="n">
        <x:v>0.058065422400000004</x:v>
      </x:c>
      <x:c r="M138" s="31" t="n">
        <x:v>0</x:v>
      </x:c>
      <x:c r="N138" s="24" t="str">
        <x:v>mugil</x:v>
      </x:c>
      <x:c r="O138" s="32" t="n">
        <x:v>2.26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Mugil</x:v>
      </x:c>
      <x:c r="T138" s="32" t="n">
        <x:f>IF(O138="","",(1/'Metadata'!$B$5)^(O138-1))</x:f>
        <x:v>18.197008586099827</x:v>
      </x:c>
      <x:c r="U138" s="31" t="n">
        <x:f>IF(T138="","",I138*T138)</x:f>
        <x:v>1.0566169899683133</x:v>
      </x:c>
    </x:row>
    <x:row r="139" ht="18" customHeight="1">
      <x:c r="A139" s="24" t="str">
        <x:v>LME_021</x:v>
      </x:c>
      <x:c r="B139" s="24" t="str">
        <x:v>Norwegian Sea</x:v>
      </x:c>
      <x:c r="C139" s="24" t="str">
        <x:v>LME</x:v>
      </x:c>
      <x:c r="D139" s="30" t="n">
        <x:v>2019</x:v>
      </x:c>
      <x:c r="E139" s="24" t="str">
        <x:v>Buccinum undatum</x:v>
      </x:c>
      <x:c r="F139" s="24" t="str">
        <x:v>Whelk</x:v>
      </x:c>
      <x:c r="G139" s="24" t="str">
        <x:v>Other demersal invertebrates</x:v>
      </x:c>
      <x:c r="H139" s="24" t="str">
        <x:v>Molluscs</x:v>
      </x:c>
      <x:c r="I139" s="31" t="n">
        <x:v>0.0556109702</x:v>
      </x:c>
      <x:c r="J139" s="31" t="n">
        <x:v>0.0556109702</x:v>
      </x:c>
      <x:c r="K139" s="31" t="n">
        <x:v>0</x:v>
      </x:c>
      <x:c r="L139" s="31" t="n">
        <x:v>0.0556109702</x:v>
      </x:c>
      <x:c r="M139" s="31" t="n">
        <x:v>0</x:v>
      </x:c>
      <x:c r="N139" s="24" t="str">
        <x:v>buccinum undatum</x:v>
      </x:c>
      <x:c r="O139" s="32" t="n">
        <x:v>3.75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Buccinum undatum</x:v>
      </x:c>
      <x:c r="T139" s="32" t="n">
        <x:f>IF(O139="","",(1/'Metadata'!$B$5)^(O139-1))</x:f>
        <x:v>562.341325190349</x:v>
      </x:c>
      <x:c r="U139" s="31" t="n">
        <x:f>IF(T139="","",I139*T139)</x:f>
        <x:v>31.27234667738901</x:v>
      </x:c>
    </x:row>
    <x:row r="140" ht="18" customHeight="1">
      <x:c r="A140" s="24" t="str">
        <x:v>LME_021</x:v>
      </x:c>
      <x:c r="B140" s="24" t="str">
        <x:v>Norwegian Sea</x:v>
      </x:c>
      <x:c r="C140" s="24" t="str">
        <x:v>LME</x:v>
      </x:c>
      <x:c r="D140" s="30" t="n">
        <x:v>2019</x:v>
      </x:c>
      <x:c r="E140" s="24" t="str">
        <x:v>Anomura</x:v>
      </x:c>
      <x:c r="F140" s="24" t="str">
        <x:v>Craylets, squat lobsters, hermits</x:v>
      </x:c>
      <x:c r="G140" s="24" t="str">
        <x:v>Lobsters, crabs</x:v>
      </x:c>
      <x:c r="H140" s="24" t="str">
        <x:v>Crustaceans</x:v>
      </x:c>
      <x:c r="I140" s="31" t="n">
        <x:v>0.046476329000000004</x:v>
      </x:c>
      <x:c r="J140" s="31" t="n">
        <x:v>0.046476329000000004</x:v>
      </x:c>
      <x:c r="K140" s="31" t="n">
        <x:v>0</x:v>
      </x:c>
      <x:c r="L140" s="31" t="n">
        <x:v>0.046476329000000004</x:v>
      </x:c>
      <x:c r="M140" s="31" t="n">
        <x:v>0</x:v>
      </x:c>
      <x:c r="N140" s="24" t="str">
        <x:v>anomura</x:v>
      </x:c>
      <x:c r="O140" s="32" t="n">
        <x:v>3.1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Anomura</x:v>
      </x:c>
      <x:c r="T140" s="32" t="n">
        <x:f>IF(O140="","",(1/'Metadata'!$B$5)^(O140-1))</x:f>
        <x:v>125.89254117941675</x:v>
      </x:c>
      <x:c r="U140" s="31" t="n">
        <x:f>IF(T140="","",I140*T140)</x:f>
        <x:v>5.8510231625006215</x:v>
      </x:c>
    </x:row>
    <x:row r="141" ht="18" customHeight="1">
      <x:c r="A141" s="24" t="str">
        <x:v>LME_021</x:v>
      </x:c>
      <x:c r="B141" s="24" t="str">
        <x:v>Norwegian Sea</x:v>
      </x:c>
      <x:c r="C141" s="24" t="str">
        <x:v>LME</x:v>
      </x:c>
      <x:c r="D141" s="30" t="n">
        <x:v>2019</x:v>
      </x:c>
      <x:c r="E141" s="24" t="str">
        <x:v>Gaidropsarus</x:v>
      </x:c>
      <x:c r="F141" s="24" t="str">
        <x:v>Rocklings</x:v>
      </x:c>
      <x:c r="G141" s="24" t="str">
        <x:v>Medium benthopelagics (30 - 89 cm)</x:v>
      </x:c>
      <x:c r="H141" s="24" t="str">
        <x:v>Cod-likes</x:v>
      </x:c>
      <x:c r="I141" s="31" t="n">
        <x:v>0.0439973733</x:v>
      </x:c>
      <x:c r="J141" s="31" t="n">
        <x:v>0.0439973733</x:v>
      </x:c>
      <x:c r="K141" s="31" t="n">
        <x:v>0</x:v>
      </x:c>
      <x:c r="L141" s="31" t="n">
        <x:v>0.0439973733</x:v>
      </x:c>
      <x:c r="M141" s="31" t="n">
        <x:v>0</x:v>
      </x:c>
      <x:c r="N141" s="24" t="str">
        <x:v>gaidropsarus</x:v>
      </x:c>
      <x:c r="O141" s="32" t="n">
        <x:v>3.4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Gaidropsarus</x:v>
      </x:c>
      <x:c r="T141" s="32" t="n">
        <x:f>IF(O141="","",(1/'Metadata'!$B$5)^(O141-1))</x:f>
        <x:v>251.18864315095797</x:v>
      </x:c>
      <x:c r="U141" s="31" t="n">
        <x:f>IF(T141="","",I141*T141)</x:f>
        <x:v>11.051640501433187</x:v>
      </x:c>
    </x:row>
    <x:row r="142" ht="18" customHeight="1">
      <x:c r="A142" s="24" t="str">
        <x:v>LME_021</x:v>
      </x:c>
      <x:c r="B142" s="24" t="str">
        <x:v>Norwegian Sea</x:v>
      </x:c>
      <x:c r="C142" s="24" t="str">
        <x:v>LME</x:v>
      </x:c>
      <x:c r="D142" s="30" t="n">
        <x:v>2019</x:v>
      </x:c>
      <x:c r="E142" s="24" t="str">
        <x:v>Pleuronectiformes</x:v>
      </x:c>
      <x:c r="F142" s="24" t="str">
        <x:v>Flatfishes</x:v>
      </x:c>
      <x:c r="G142" s="24" t="str">
        <x:v>Small to medium flatfishes (&lt;90 cm)</x:v>
      </x:c>
      <x:c r="H142" s="24" t="str">
        <x:v>Flatfishes</x:v>
      </x:c>
      <x:c r="I142" s="31" t="n">
        <x:v>0.0387873867</x:v>
      </x:c>
      <x:c r="J142" s="31" t="n">
        <x:v>0.0387873867</x:v>
      </x:c>
      <x:c r="K142" s="31" t="n">
        <x:v>0</x:v>
      </x:c>
      <x:c r="L142" s="31" t="n">
        <x:v>0.0387873867</x:v>
      </x:c>
      <x:c r="M142" s="31" t="n">
        <x:v>0</x:v>
      </x:c>
      <x:c r="N142" s="24" t="str">
        <x:v>pleuronectiformes</x:v>
      </x:c>
      <x:c r="O142" s="32" t="n">
        <x:v>3.57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Pleuronectiformes</x:v>
      </x:c>
      <x:c r="T142" s="32" t="n">
        <x:f>IF(O142="","",(1/'Metadata'!$B$5)^(O142-1))</x:f>
        <x:v>371.5352290971724</x:v>
      </x:c>
      <x:c r="U142" s="31" t="n">
        <x:f>IF(T142="","",I142*T142)</x:f>
        <x:v>14.41088060366512</x:v>
      </x:c>
    </x:row>
    <x:row r="143" ht="18" customHeight="1">
      <x:c r="A143" s="24" t="str">
        <x:v>LME_021</x:v>
      </x:c>
      <x:c r="B143" s="24" t="str">
        <x:v>Norwegian Sea</x:v>
      </x:c>
      <x:c r="C143" s="24" t="str">
        <x:v>LME</x:v>
      </x:c>
      <x:c r="D143" s="30" t="n">
        <x:v>2019</x:v>
      </x:c>
      <x:c r="E143" s="24" t="str">
        <x:v>Alosa</x:v>
      </x:c>
      <x:c r="F143" s="24" t="str">
        <x:v>Shads</x:v>
      </x:c>
      <x:c r="G143" s="24" t="str">
        <x:v>Medium pelagics (30 - 89 cm)</x:v>
      </x:c>
      <x:c r="H143" s="24" t="str">
        <x:v>Herring-likes</x:v>
      </x:c>
      <x:c r="I143" s="31" t="n">
        <x:v>0.0381529214</x:v>
      </x:c>
      <x:c r="J143" s="31" t="n">
        <x:v>0.0381529214</x:v>
      </x:c>
      <x:c r="K143" s="31" t="n">
        <x:v>0</x:v>
      </x:c>
      <x:c r="L143" s="31" t="n">
        <x:v>0.0381529214</x:v>
      </x:c>
      <x:c r="M143" s="31" t="n">
        <x:v>0</x:v>
      </x:c>
      <x:c r="N143" s="24" t="str">
        <x:v>alosa</x:v>
      </x:c>
      <x:c r="O143" s="32" t="n">
        <x:v>3.89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Alosa</x:v>
      </x:c>
      <x:c r="T143" s="32" t="n">
        <x:f>IF(O143="","",(1/'Metadata'!$B$5)^(O143-1))</x:f>
        <x:v>776.247116628692</x:v>
      </x:c>
      <x:c r="U143" s="31" t="n">
        <x:f>IF(T143="","",I143*T143)</x:f>
        <x:v>29.616095227711117</x:v>
      </x:c>
    </x:row>
    <x:row r="144" ht="18" customHeight="1">
      <x:c r="A144" s="24" t="str">
        <x:v>LME_021</x:v>
      </x:c>
      <x:c r="B144" s="24" t="str">
        <x:v>Norwegian Sea</x:v>
      </x:c>
      <x:c r="C144" s="24" t="str">
        <x:v>LME</x:v>
      </x:c>
      <x:c r="D144" s="30" t="n">
        <x:v>2019</x:v>
      </x:c>
      <x:c r="E144" s="24" t="str">
        <x:v>Palinurus elephas</x:v>
      </x:c>
      <x:c r="F144" s="24" t="str">
        <x:v>Common spiny lobster</x:v>
      </x:c>
      <x:c r="G144" s="24" t="str">
        <x:v>Lobsters, crabs</x:v>
      </x:c>
      <x:c r="H144" s="24" t="str">
        <x:v>Crustaceans</x:v>
      </x:c>
      <x:c r="I144" s="31" t="n">
        <x:v>0.026682452899999997</x:v>
      </x:c>
      <x:c r="J144" s="31" t="n">
        <x:v>0.026682452899999997</x:v>
      </x:c>
      <x:c r="K144" s="31" t="n">
        <x:v>0</x:v>
      </x:c>
      <x:c r="L144" s="31" t="n">
        <x:v>0.026682452899999997</x:v>
      </x:c>
      <x:c r="M144" s="31" t="n">
        <x:v>0</x:v>
      </x:c>
      <x:c r="N144" s="24" t="str">
        <x:v>palinurus elephas</x:v>
      </x:c>
      <x:c r="O144" s="32" t="n">
        <x:v>3.34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Palinurus elephas</x:v>
      </x:c>
      <x:c r="T144" s="32" t="n">
        <x:f>IF(O144="","",(1/'Metadata'!$B$5)^(O144-1))</x:f>
        <x:v>218.77616239495518</x:v>
      </x:c>
      <x:c r="U144" s="31" t="n">
        <x:f>IF(T144="","",I144*T144)</x:f>
        <x:v>5.837484648746142</x:v>
      </x:c>
    </x:row>
    <x:row r="145" ht="18" customHeight="1">
      <x:c r="A145" s="24" t="str">
        <x:v>LME_021</x:v>
      </x:c>
      <x:c r="B145" s="24" t="str">
        <x:v>Norwegian Sea</x:v>
      </x:c>
      <x:c r="C145" s="24" t="str">
        <x:v>LME</x:v>
      </x:c>
      <x:c r="D145" s="30" t="n">
        <x:v>2019</x:v>
      </x:c>
      <x:c r="E145" s="24" t="str">
        <x:v>Alosa alosa</x:v>
      </x:c>
      <x:c r="F145" s="24" t="str">
        <x:v>Allis shad</x:v>
      </x:c>
      <x:c r="G145" s="24" t="str">
        <x:v>Medium pelagics (30 - 89 cm)</x:v>
      </x:c>
      <x:c r="H145" s="24" t="str">
        <x:v>Herring-likes</x:v>
      </x:c>
      <x:c r="I145" s="31" t="n">
        <x:v>0.026557505300000003</x:v>
      </x:c>
      <x:c r="J145" s="31" t="n">
        <x:v>0.026557505300000003</x:v>
      </x:c>
      <x:c r="K145" s="31" t="n">
        <x:v>0</x:v>
      </x:c>
      <x:c r="L145" s="31" t="n">
        <x:v>0.026557505300000003</x:v>
      </x:c>
      <x:c r="M145" s="31" t="n">
        <x:v>0</x:v>
      </x:c>
      <x:c r="N145" s="24" t="str">
        <x:v>alosa alosa</x:v>
      </x:c>
      <x:c r="O145" s="32" t="n">
        <x:v>2.95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Alosa alosa</x:v>
      </x:c>
      <x:c r="T145" s="32" t="n">
        <x:f>IF(O145="","",(1/'Metadata'!$B$5)^(O145-1))</x:f>
        <x:v>89.12509381337459</x:v>
      </x:c>
      <x:c r="U145" s="31" t="n">
        <x:f>IF(T145="","",I145*T145)</x:f>
        <x:v>2.366940151311693</x:v>
      </x:c>
    </x:row>
    <x:row r="146" ht="18" customHeight="1">
      <x:c r="A146" s="24" t="str">
        <x:v>LME_021</x:v>
      </x:c>
      <x:c r="B146" s="24" t="str">
        <x:v>Norwegian Sea</x:v>
      </x:c>
      <x:c r="C146" s="24" t="str">
        <x:v>LME</x:v>
      </x:c>
      <x:c r="D146" s="30" t="n">
        <x:v>2019</x:v>
      </x:c>
      <x:c r="E146" s="24" t="str">
        <x:v>Mimachlamys varia</x:v>
      </x:c>
      <x:c r="F146" s="24" t="str">
        <x:v>Variegated scallop</x:v>
      </x:c>
      <x:c r="G146" s="24" t="str">
        <x:v>Other demersal invertebrates</x:v>
      </x:c>
      <x:c r="H146" s="24" t="str">
        <x:v>Molluscs</x:v>
      </x:c>
      <x:c r="I146" s="31" t="n">
        <x:v>0.026072938</x:v>
      </x:c>
      <x:c r="J146" s="31" t="n">
        <x:v>0.026072938</x:v>
      </x:c>
      <x:c r="K146" s="31" t="n">
        <x:v>0</x:v>
      </x:c>
      <x:c r="L146" s="31" t="n">
        <x:v>0.026072938</x:v>
      </x:c>
      <x:c r="M146" s="31" t="n">
        <x:v>0</x:v>
      </x:c>
      <x:c r="N146" s="24" t="str">
        <x:v>mimachlamys varia</x:v>
      </x:c>
      <x:c r="O146" s="32" t="n">
        <x:v>2.1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Mimachlamys varia</x:v>
      </x:c>
      <x:c r="T146" s="32" t="n">
        <x:f>IF(O146="","",(1/'Metadata'!$B$5)^(O146-1))</x:f>
        <x:v>12.589254117941675</x:v>
      </x:c>
      <x:c r="U146" s="31" t="n">
        <x:f>IF(T146="","",I146*T146)</x:f>
        <x:v>0.328238842083338</x:v>
      </x:c>
    </x:row>
    <x:row r="147" ht="18" customHeight="1">
      <x:c r="A147" s="24" t="str">
        <x:v>LME_021</x:v>
      </x:c>
      <x:c r="B147" s="24" t="str">
        <x:v>Norwegian Sea</x:v>
      </x:c>
      <x:c r="C147" s="24" t="str">
        <x:v>LME</x:v>
      </x:c>
      <x:c r="D147" s="30" t="n">
        <x:v>2019</x:v>
      </x:c>
      <x:c r="E147" s="24" t="str">
        <x:v>Chlamys</x:v>
      </x:c>
      <x:c r="F147" s="24" t="str">
        <x:v>Cloak scallops</x:v>
      </x:c>
      <x:c r="G147" s="24" t="str">
        <x:v>Other demersal invertebrates</x:v>
      </x:c>
      <x:c r="H147" s="24" t="str">
        <x:v>Molluscs</x:v>
      </x:c>
      <x:c r="I147" s="31" t="n">
        <x:v>0.0252468686</x:v>
      </x:c>
      <x:c r="J147" s="31" t="n">
        <x:v>0.0252468686</x:v>
      </x:c>
      <x:c r="K147" s="31" t="n">
        <x:v>0</x:v>
      </x:c>
      <x:c r="L147" s="31" t="n">
        <x:v>0.0252468686</x:v>
      </x:c>
      <x:c r="M147" s="31" t="n">
        <x:v>0</x:v>
      </x:c>
      <x:c r="N147" s="24" t="str">
        <x:v>chlamys</x:v>
      </x:c>
      <x:c r="O147" s="32" t="n">
        <x:v>2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Chlamys</x:v>
      </x:c>
      <x:c r="T147" s="32" t="n">
        <x:f>IF(O147="","",(1/'Metadata'!$B$5)^(O147-1))</x:f>
        <x:v>10</x:v>
      </x:c>
      <x:c r="U147" s="31" t="n">
        <x:f>IF(T147="","",I147*T147)</x:f>
        <x:v>0.252468686</x:v>
      </x:c>
    </x:row>
    <x:row r="148" ht="18" customHeight="1">
      <x:c r="A148" s="24" t="str">
        <x:v>LME_021</x:v>
      </x:c>
      <x:c r="B148" s="24" t="str">
        <x:v>Norwegian Sea</x:v>
      </x:c>
      <x:c r="C148" s="24" t="str">
        <x:v>LME</x:v>
      </x:c>
      <x:c r="D148" s="30" t="n">
        <x:v>2019</x:v>
      </x:c>
      <x:c r="E148" s="24" t="str">
        <x:v>Spisula solida</x:v>
      </x:c>
      <x:c r="F148" s="24" t="str">
        <x:v>Surf clam</x:v>
      </x:c>
      <x:c r="G148" s="24" t="str">
        <x:v>Other demersal invertebrates</x:v>
      </x:c>
      <x:c r="H148" s="24" t="str">
        <x:v>Molluscs</x:v>
      </x:c>
      <x:c r="I148" s="31" t="n">
        <x:v>0.0248089443</x:v>
      </x:c>
      <x:c r="J148" s="31" t="n">
        <x:v>0.0248089443</x:v>
      </x:c>
      <x:c r="K148" s="31" t="n">
        <x:v>0</x:v>
      </x:c>
      <x:c r="L148" s="31" t="n">
        <x:v>0.0248089443</x:v>
      </x:c>
      <x:c r="M148" s="31" t="n">
        <x:v>0</x:v>
      </x:c>
      <x:c r="N148" s="24" t="str">
        <x:v>spisula solida</x:v>
      </x:c>
      <x:c r="O148" s="32" t="n">
        <x:v>2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Spisula solida</x:v>
      </x:c>
      <x:c r="T148" s="32" t="n">
        <x:f>IF(O148="","",(1/'Metadata'!$B$5)^(O148-1))</x:f>
        <x:v>10</x:v>
      </x:c>
      <x:c r="U148" s="31" t="n">
        <x:f>IF(T148="","",I148*T148)</x:f>
        <x:v>0.248089443</x:v>
      </x:c>
    </x:row>
    <x:row r="149" ht="18" customHeight="1">
      <x:c r="A149" s="24" t="str">
        <x:v>LME_021</x:v>
      </x:c>
      <x:c r="B149" s="24" t="str">
        <x:v>Norwegian Sea</x:v>
      </x:c>
      <x:c r="C149" s="24" t="str">
        <x:v>LME</x:v>
      </x:c>
      <x:c r="D149" s="30" t="n">
        <x:v>2019</x:v>
      </x:c>
      <x:c r="E149" s="24" t="str">
        <x:v>Trichiuridae</x:v>
      </x:c>
      <x:c r="F149" s="24" t="str">
        <x:v>Cutlassfishes</x:v>
      </x:c>
      <x:c r="G149" s="24" t="str">
        <x:v>Large benthopelagics (&gt;=90 cm)</x:v>
      </x:c>
      <x:c r="H149" s="24" t="str">
        <x:v>Perch-likes</x:v>
      </x:c>
      <x:c r="I149" s="31" t="n">
        <x:v>0.024651185699999998</x:v>
      </x:c>
      <x:c r="J149" s="31" t="n">
        <x:v>0.024651185699999998</x:v>
      </x:c>
      <x:c r="K149" s="31" t="n">
        <x:v>0</x:v>
      </x:c>
      <x:c r="L149" s="31" t="n">
        <x:v>0.024651185699999998</x:v>
      </x:c>
      <x:c r="M149" s="31" t="n">
        <x:v>0</x:v>
      </x:c>
      <x:c r="N149" s="24" t="str">
        <x:v>trichiuridae</x:v>
      </x:c>
      <x:c r="O149" s="32" t="n">
        <x:v>4.15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Trichiuridae</x:v>
      </x:c>
      <x:c r="T149" s="32" t="n">
        <x:f>IF(O149="","",(1/'Metadata'!$B$5)^(O149-1))</x:f>
        <x:v>1412.5375446227554</x:v>
      </x:c>
      <x:c r="U149" s="31" t="n">
        <x:f>IF(T149="","",I149*T149)</x:f>
        <x:v>34.82072532071758</x:v>
      </x:c>
    </x:row>
    <x:row r="150" ht="18" customHeight="1">
      <x:c r="A150" s="24" t="str">
        <x:v>LME_021</x:v>
      </x:c>
      <x:c r="B150" s="24" t="str">
        <x:v>Norwegian Sea</x:v>
      </x:c>
      <x:c r="C150" s="24" t="str">
        <x:v>LME</x:v>
      </x:c>
      <x:c r="D150" s="30" t="n">
        <x:v>2019</x:v>
      </x:c>
      <x:c r="E150" s="24" t="str">
        <x:v>Chaceon affinis</x:v>
      </x:c>
      <x:c r="F150" s="24" t="str">
        <x:v>Deepsea red crab</x:v>
      </x:c>
      <x:c r="G150" s="24" t="str">
        <x:v>Lobsters, crabs</x:v>
      </x:c>
      <x:c r="H150" s="24" t="str">
        <x:v>Crustaceans</x:v>
      </x:c>
      <x:c r="I150" s="31" t="n">
        <x:v>0.0244089739</x:v>
      </x:c>
      <x:c r="J150" s="31" t="n">
        <x:v>0.0244089739</x:v>
      </x:c>
      <x:c r="K150" s="31" t="n">
        <x:v>0</x:v>
      </x:c>
      <x:c r="L150" s="31" t="n">
        <x:v>0.0244089739</x:v>
      </x:c>
      <x:c r="M150" s="31" t="n">
        <x:v>0</x:v>
      </x:c>
      <x:c r="N150" s="24" t="str">
        <x:v>chaceon affinis</x:v>
      </x:c>
      <x:c r="O150" s="32" t="n">
        <x:v>3.1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Chaceon affinis</x:v>
      </x:c>
      <x:c r="T150" s="32" t="n">
        <x:f>IF(O150="","",(1/'Metadata'!$B$5)^(O150-1))</x:f>
        <x:v>125.89254117941675</x:v>
      </x:c>
      <x:c r="U150" s="31" t="n">
        <x:f>IF(T150="","",I150*T150)</x:f>
        <x:v>3.0729077518530588</x:v>
      </x:c>
    </x:row>
    <x:row r="151" ht="18" customHeight="1">
      <x:c r="A151" s="24" t="str">
        <x:v>LME_021</x:v>
      </x:c>
      <x:c r="B151" s="24" t="str">
        <x:v>Norwegian Sea</x:v>
      </x:c>
      <x:c r="C151" s="24" t="str">
        <x:v>LME</x:v>
      </x:c>
      <x:c r="D151" s="30" t="n">
        <x:v>2019</x:v>
      </x:c>
      <x:c r="E151" s="24" t="str">
        <x:v>Solen</x:v>
      </x:c>
      <x:c r="F151" s="24" t="str">
        <x:v>Razor clams</x:v>
      </x:c>
      <x:c r="G151" s="24" t="str">
        <x:v>Other demersal invertebrates</x:v>
      </x:c>
      <x:c r="H151" s="24" t="str">
        <x:v>Molluscs</x:v>
      </x:c>
      <x:c r="I151" s="31" t="n">
        <x:v>0.0231838223</x:v>
      </x:c>
      <x:c r="J151" s="31" t="n">
        <x:v>0.0231838223</x:v>
      </x:c>
      <x:c r="K151" s="31" t="n">
        <x:v>0</x:v>
      </x:c>
      <x:c r="L151" s="31" t="n">
        <x:v>0.0231838223</x:v>
      </x:c>
      <x:c r="M151" s="31" t="n">
        <x:v>0</x:v>
      </x:c>
      <x:c r="N151" s="24" t="str">
        <x:v>solen</x:v>
      </x:c>
      <x:c r="O151" s="32" t="n">
        <x:v>2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Solen</x:v>
      </x:c>
      <x:c r="T151" s="32" t="n">
        <x:f>IF(O151="","",(1/'Metadata'!$B$5)^(O151-1))</x:f>
        <x:v>10</x:v>
      </x:c>
      <x:c r="U151" s="31" t="n">
        <x:f>IF(T151="","",I151*T151)</x:f>
        <x:v>0.231838223</x:v>
      </x:c>
    </x:row>
    <x:row r="152" ht="18" customHeight="1">
      <x:c r="A152" s="24" t="str">
        <x:v>LME_021</x:v>
      </x:c>
      <x:c r="B152" s="24" t="str">
        <x:v>Norwegian Sea</x:v>
      </x:c>
      <x:c r="C152" s="24" t="str">
        <x:v>LME</x:v>
      </x:c>
      <x:c r="D152" s="30" t="n">
        <x:v>2019</x:v>
      </x:c>
      <x:c r="E152" s="24" t="str">
        <x:v>Crangon crangon</x:v>
      </x:c>
      <x:c r="F152" s="24" t="str">
        <x:v>Common shrimp</x:v>
      </x:c>
      <x:c r="G152" s="24" t="str">
        <x:v>Shrimps</x:v>
      </x:c>
      <x:c r="H152" s="24" t="str">
        <x:v>Crustaceans</x:v>
      </x:c>
      <x:c r="I152" s="31" t="n">
        <x:v>0.0228097515</x:v>
      </x:c>
      <x:c r="J152" s="31" t="n">
        <x:v>0.0228097515</x:v>
      </x:c>
      <x:c r="K152" s="31" t="n">
        <x:v>0</x:v>
      </x:c>
      <x:c r="L152" s="31" t="n">
        <x:v>0.0228097515</x:v>
      </x:c>
      <x:c r="M152" s="31" t="n">
        <x:v>0</x:v>
      </x:c>
      <x:c r="N152" s="24" t="str">
        <x:v>crangon crangon</x:v>
      </x:c>
      <x:c r="O152" s="32" t="n">
        <x:v>3.19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Crangon crangon</x:v>
      </x:c>
      <x:c r="T152" s="32" t="n">
        <x:f>IF(O152="","",(1/'Metadata'!$B$5)^(O152-1))</x:f>
        <x:v>154.88166189124811</x:v>
      </x:c>
      <x:c r="U152" s="31" t="n">
        <x:f>IF(T152="","",I152*T152)</x:f>
        <x:v>3.5328122196463894</x:v>
      </x:c>
    </x:row>
    <x:row r="153" ht="18" customHeight="1">
      <x:c r="A153" s="24" t="str">
        <x:v>LME_021</x:v>
      </x:c>
      <x:c r="B153" s="24" t="str">
        <x:v>Norwegian Sea</x:v>
      </x:c>
      <x:c r="C153" s="24" t="str">
        <x:v>LME</x:v>
      </x:c>
      <x:c r="D153" s="30" t="n">
        <x:v>2019</x:v>
      </x:c>
      <x:c r="E153" s="24" t="str">
        <x:v>Murex</x:v>
      </x:c>
      <x:c r="F153" s="24" t="str">
        <x:v>Murex shells</x:v>
      </x:c>
      <x:c r="G153" s="24" t="str">
        <x:v>Other demersal invertebrates</x:v>
      </x:c>
      <x:c r="H153" s="24" t="str">
        <x:v>Molluscs</x:v>
      </x:c>
      <x:c r="I153" s="31" t="n">
        <x:v>0.0186678021</x:v>
      </x:c>
      <x:c r="J153" s="31" t="n">
        <x:v>0.0186678021</x:v>
      </x:c>
      <x:c r="K153" s="31" t="n">
        <x:v>0</x:v>
      </x:c>
      <x:c r="L153" s="31" t="n">
        <x:v>0.0186678021</x:v>
      </x:c>
      <x:c r="M153" s="31" t="n">
        <x:v>0</x:v>
      </x:c>
      <x:c r="N153" s="24" t="str">
        <x:v>murex</x:v>
      </x:c>
      <x:c r="O153" s="32" t="n">
        <x:v>2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Murex</x:v>
      </x:c>
      <x:c r="T153" s="32" t="n">
        <x:f>IF(O153="","",(1/'Metadata'!$B$5)^(O153-1))</x:f>
        <x:v>10</x:v>
      </x:c>
      <x:c r="U153" s="31" t="n">
        <x:f>IF(T153="","",I153*T153)</x:f>
        <x:v>0.18667802099999997</x:v>
      </x:c>
    </x:row>
    <x:row r="154" ht="18" customHeight="1">
      <x:c r="A154" s="24" t="str">
        <x:v>LME_021</x:v>
      </x:c>
      <x:c r="B154" s="24" t="str">
        <x:v>Norwegian Sea</x:v>
      </x:c>
      <x:c r="C154" s="24" t="str">
        <x:v>LME</x:v>
      </x:c>
      <x:c r="D154" s="30" t="n">
        <x:v>2019</x:v>
      </x:c>
      <x:c r="E154" s="24" t="str">
        <x:v>Trisopterus esmarkii</x:v>
      </x:c>
      <x:c r="F154" s="24" t="str">
        <x:v>Norway pout</x:v>
      </x:c>
      <x:c r="G154" s="24" t="str">
        <x:v>Medium benthopelagics (30 - 89 cm)</x:v>
      </x:c>
      <x:c r="H154" s="24" t="str">
        <x:v>Cod-likes</x:v>
      </x:c>
      <x:c r="I154" s="31" t="n">
        <x:v>0.018197675899999998</x:v>
      </x:c>
      <x:c r="J154" s="31" t="n">
        <x:v>0.018197675899999998</x:v>
      </x:c>
      <x:c r="K154" s="31" t="n">
        <x:v>0</x:v>
      </x:c>
      <x:c r="L154" s="31" t="n">
        <x:v>0.018197675899999998</x:v>
      </x:c>
      <x:c r="M154" s="31" t="n">
        <x:v>0</x:v>
      </x:c>
      <x:c r="N154" s="24" t="str">
        <x:v>trisopterus esmarkii</x:v>
      </x:c>
      <x:c r="O154" s="32" t="n">
        <x:v>3.24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Trisopterus esmarkii</x:v>
      </x:c>
      <x:c r="T154" s="32" t="n">
        <x:f>IF(O154="","",(1/'Metadata'!$B$5)^(O154-1))</x:f>
        <x:v>173.78008287493762</x:v>
      </x:c>
      <x:c r="U154" s="31" t="n">
        <x:f>IF(T154="","",I154*T154)</x:f>
        <x:v>3.162393626033255</x:v>
      </x:c>
    </x:row>
    <x:row r="155" ht="18" customHeight="1">
      <x:c r="A155" s="24" t="str">
        <x:v>LME_021</x:v>
      </x:c>
      <x:c r="B155" s="24" t="str">
        <x:v>Norwegian Sea</x:v>
      </x:c>
      <x:c r="C155" s="24" t="str">
        <x:v>LME</x:v>
      </x:c>
      <x:c r="D155" s="30" t="n">
        <x:v>2019</x:v>
      </x:c>
      <x:c r="E155" s="24" t="str">
        <x:v>Miscellaneous aquatic invertebrates</x:v>
      </x:c>
      <x:c r="F155" s="24" t="str">
        <x:v>Aquatic invertebrates</x:v>
      </x:c>
      <x:c r="G155" s="24" t="str">
        <x:v>Other demersal invertebrates</x:v>
      </x:c>
      <x:c r="H155" s="24" t="str">
        <x:v>Other fishes &amp; inverts</x:v>
      </x:c>
      <x:c r="I155" s="31" t="n">
        <x:v>0.0171015552</x:v>
      </x:c>
      <x:c r="J155" s="31" t="n">
        <x:v>0.0171015552</x:v>
      </x:c>
      <x:c r="K155" s="31" t="n">
        <x:v>0</x:v>
      </x:c>
      <x:c r="L155" s="31" t="n">
        <x:v>0.0171015552</x:v>
      </x:c>
      <x:c r="M155" s="31" t="n">
        <x:v>0</x:v>
      </x:c>
      <x:c r="N155" s="24" t="str">
        <x:v>miscellaneous aquatic invertebrates</x:v>
      </x:c>
      <x:c r="O155" s="32" t="n">
        <x:v>2.43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Miscellaneous aquatic invertebrates</x:v>
      </x:c>
      <x:c r="T155" s="32" t="n">
        <x:f>IF(O155="","",(1/'Metadata'!$B$5)^(O155-1))</x:f>
        <x:v>26.915348039269166</x:v>
      </x:c>
      <x:c r="U155" s="31" t="n">
        <x:f>IF(T155="","",I155*T155)</x:f>
        <x:v>0.4602943102207734</x:v>
      </x:c>
    </x:row>
    <x:row r="156" ht="18" customHeight="1">
      <x:c r="A156" s="24" t="str">
        <x:v>LME_021</x:v>
      </x:c>
      <x:c r="B156" s="24" t="str">
        <x:v>Norwegian Sea</x:v>
      </x:c>
      <x:c r="C156" s="24" t="str">
        <x:v>LME</x:v>
      </x:c>
      <x:c r="D156" s="30" t="n">
        <x:v>2019</x:v>
      </x:c>
      <x:c r="E156" s="24" t="str">
        <x:v>Argentina silus</x:v>
      </x:c>
      <x:c r="F156" s="24" t="str">
        <x:v>Greater argentine</x:v>
      </x:c>
      <x:c r="G156" s="24" t="str">
        <x:v>Medium bathydemersals (30 - 89 cm)</x:v>
      </x:c>
      <x:c r="H156" s="24" t="str">
        <x:v>Salmon, smelts, etc</x:v>
      </x:c>
      <x:c r="I156" s="31" t="n">
        <x:v>0.0143527988</x:v>
      </x:c>
      <x:c r="J156" s="31" t="n">
        <x:v>0.0143527988</x:v>
      </x:c>
      <x:c r="K156" s="31" t="n">
        <x:v>0</x:v>
      </x:c>
      <x:c r="L156" s="31" t="n">
        <x:v>0.0143527988</x:v>
      </x:c>
      <x:c r="M156" s="31" t="n">
        <x:v>0</x:v>
      </x:c>
      <x:c r="N156" s="24" t="str">
        <x:v>argentina silus</x:v>
      </x:c>
      <x:c r="O156" s="32" t="n">
        <x:v>3.32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Argentina silus</x:v>
      </x:c>
      <x:c r="T156" s="32" t="n">
        <x:f>IF(O156="","",(1/'Metadata'!$B$5)^(O156-1))</x:f>
        <x:v>208.92961308540387</x:v>
      </x:c>
      <x:c r="U156" s="31" t="n">
        <x:f>IF(T156="","",I156*T156)</x:f>
        <x:v>2.9987246999766493</x:v>
      </x:c>
    </x:row>
    <x:row r="157" ht="18" customHeight="1">
      <x:c r="A157" s="24" t="str">
        <x:v>LME_021</x:v>
      </x:c>
      <x:c r="B157" s="24" t="str">
        <x:v>Norwegian Sea</x:v>
      </x:c>
      <x:c r="C157" s="24" t="str">
        <x:v>LME</x:v>
      </x:c>
      <x:c r="D157" s="30" t="n">
        <x:v>2019</x:v>
      </x:c>
      <x:c r="E157" s="24" t="str">
        <x:v>Dendrobranchiata</x:v>
      </x:c>
      <x:c r="F157" s="24" t="str">
        <x:v>Shrimps and prawns</x:v>
      </x:c>
      <x:c r="G157" s="24" t="str">
        <x:v>Shrimps</x:v>
      </x:c>
      <x:c r="H157" s="24" t="str">
        <x:v>Crustaceans</x:v>
      </x:c>
      <x:c r="I157" s="31" t="n">
        <x:v>0.0118227764</x:v>
      </x:c>
      <x:c r="J157" s="31" t="n">
        <x:v>0.0118227764</x:v>
      </x:c>
      <x:c r="K157" s="31" t="n">
        <x:v>0</x:v>
      </x:c>
      <x:c r="L157" s="31" t="n">
        <x:v>0.0118227764</x:v>
      </x:c>
      <x:c r="M157" s="31" t="n">
        <x:v>0</x:v>
      </x:c>
      <x:c r="N157" s="24" t="str">
        <x:v>dendrobranchiata</x:v>
      </x:c>
      <x:c r="O157" s="32" t="n">
        <x:v>3.24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Dendrobranchiata</x:v>
      </x:c>
      <x:c r="T157" s="32" t="n">
        <x:f>IF(O157="","",(1/'Metadata'!$B$5)^(O157-1))</x:f>
        <x:v>173.78008287493762</x:v>
      </x:c>
      <x:c r="U157" s="31" t="n">
        <x:f>IF(T157="","",I157*T157)</x:f>
        <x:v>2.0545630626038567</x:v>
      </x:c>
    </x:row>
    <x:row r="158" ht="18" customHeight="1">
      <x:c r="A158" s="24" t="str">
        <x:v>LME_021</x:v>
      </x:c>
      <x:c r="B158" s="24" t="str">
        <x:v>Norwegian Sea</x:v>
      </x:c>
      <x:c r="C158" s="24" t="str">
        <x:v>LME</x:v>
      </x:c>
      <x:c r="D158" s="30" t="n">
        <x:v>2019</x:v>
      </x:c>
      <x:c r="E158" s="24" t="str">
        <x:v>Chimaeriformes</x:v>
      </x:c>
      <x:c r="F158" s="24" t="str">
        <x:v>Chimaeras</x:v>
      </x:c>
      <x:c r="G158" s="24" t="str">
        <x:v>Large rays (&gt;=90 cm)</x:v>
      </x:c>
      <x:c r="H158" s="24" t="str">
        <x:v>Sharks &amp; rays</x:v>
      </x:c>
      <x:c r="I158" s="31" t="n">
        <x:v>0.0086556444</x:v>
      </x:c>
      <x:c r="J158" s="31" t="n">
        <x:v>0.0086556444</x:v>
      </x:c>
      <x:c r="K158" s="31" t="n">
        <x:v>0</x:v>
      </x:c>
      <x:c r="L158" s="31" t="n">
        <x:v>0.0086556444</x:v>
      </x:c>
      <x:c r="M158" s="31" t="n">
        <x:v>0</x:v>
      </x:c>
      <x:c r="N158" s="24" t="str">
        <x:v>chimaeriformes</x:v>
      </x:c>
      <x:c r="O158" s="32" t="n">
        <x:v>3.37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Chimaeriformes</x:v>
      </x:c>
      <x:c r="T158" s="32" t="n">
        <x:f>IF(O158="","",(1/'Metadata'!$B$5)^(O158-1))</x:f>
        <x:v>234.42288153199226</x:v>
      </x:c>
      <x:c r="U158" s="31" t="n">
        <x:f>IF(T158="","",I158*T158)</x:f>
        <x:v>2.0290811017642523</x:v>
      </x:c>
    </x:row>
    <x:row r="159" ht="18" customHeight="1">
      <x:c r="A159" s="24" t="str">
        <x:v>LME_021</x:v>
      </x:c>
      <x:c r="B159" s="24" t="str">
        <x:v>Norwegian Sea</x:v>
      </x:c>
      <x:c r="C159" s="24" t="str">
        <x:v>LME</x:v>
      </x:c>
      <x:c r="D159" s="30" t="n">
        <x:v>2019</x:v>
      </x:c>
      <x:c r="E159" s="24" t="str">
        <x:v>Solen vagina</x:v>
      </x:c>
      <x:c r="F159" s="24" t="str">
        <x:v>European razor clam</x:v>
      </x:c>
      <x:c r="G159" s="24" t="str">
        <x:v>Other demersal invertebrates</x:v>
      </x:c>
      <x:c r="H159" s="24" t="str">
        <x:v>Molluscs</x:v>
      </x:c>
      <x:c r="I159" s="31" t="n">
        <x:v>0.0063769625000000005</x:v>
      </x:c>
      <x:c r="J159" s="31" t="n">
        <x:v>0.0063769625000000005</x:v>
      </x:c>
      <x:c r="K159" s="31" t="n">
        <x:v>0</x:v>
      </x:c>
      <x:c r="L159" s="31" t="n">
        <x:v>0.0063769625000000005</x:v>
      </x:c>
      <x:c r="M159" s="31" t="n">
        <x:v>0</x:v>
      </x:c>
      <x:c r="N159" s="24" t="str">
        <x:v>solen vagina</x:v>
      </x:c>
      <x:c r="O159" s="32" t="n">
        <x:v>2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Solen vagina</x:v>
      </x:c>
      <x:c r="T159" s="32" t="n">
        <x:f>IF(O159="","",(1/'Metadata'!$B$5)^(O159-1))</x:f>
        <x:v>10</x:v>
      </x:c>
      <x:c r="U159" s="31" t="n">
        <x:f>IF(T159="","",I159*T159)</x:f>
        <x:v>0.06376962500000001</x:v>
      </x:c>
    </x:row>
    <x:row r="160" ht="18" customHeight="1">
      <x:c r="A160" s="24" t="str">
        <x:v>LME_021</x:v>
      </x:c>
      <x:c r="B160" s="24" t="str">
        <x:v>Norwegian Sea</x:v>
      </x:c>
      <x:c r="C160" s="24" t="str">
        <x:v>LME</x:v>
      </x:c>
      <x:c r="D160" s="30" t="n">
        <x:v>2019</x:v>
      </x:c>
      <x:c r="E160" s="24" t="str">
        <x:v>Acipenser sturio</x:v>
      </x:c>
      <x:c r="F160" s="24" t="str">
        <x:v>Sturgeon</x:v>
      </x:c>
      <x:c r="G160" s="24" t="str">
        <x:v>Large demersals (&gt;=90 cm)</x:v>
      </x:c>
      <x:c r="H160" s="24" t="str">
        <x:v>Other fishes &amp; inverts</x:v>
      </x:c>
      <x:c r="I160" s="31" t="n">
        <x:v>0.0061635377</x:v>
      </x:c>
      <x:c r="J160" s="31" t="n">
        <x:v>0.0061635377</x:v>
      </x:c>
      <x:c r="K160" s="31" t="n">
        <x:v>0</x:v>
      </x:c>
      <x:c r="L160" s="31" t="n">
        <x:v>0.0061635377</x:v>
      </x:c>
      <x:c r="M160" s="31" t="n">
        <x:v>0</x:v>
      </x:c>
      <x:c r="N160" s="24" t="str">
        <x:v>acipenser sturio</x:v>
      </x:c>
      <x:c r="O160" s="32" t="n">
        <x:v>3.51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Acipenser sturio</x:v>
      </x:c>
      <x:c r="T160" s="32" t="n">
        <x:f>IF(O160="","",(1/'Metadata'!$B$5)^(O160-1))</x:f>
        <x:v>323.5936569296281</x:v>
      </x:c>
      <x:c r="U160" s="31" t="n">
        <x:f>IF(T160="","",I160*T160)</x:f>
        <x:v>1.994481703966629</x:v>
      </x:c>
    </x:row>
    <x:row r="161" ht="18" customHeight="1">
      <x:c r="A161" s="24" t="str">
        <x:v>LME_021</x:v>
      </x:c>
      <x:c r="B161" s="24" t="str">
        <x:v>Norwegian Sea</x:v>
      </x:c>
      <x:c r="C161" s="24" t="str">
        <x:v>LME</x:v>
      </x:c>
      <x:c r="D161" s="30" t="n">
        <x:v>2019</x:v>
      </x:c>
      <x:c r="E161" s="24" t="str">
        <x:v>Echinoidea</x:v>
      </x:c>
      <x:c r="F161" s="24" t="str">
        <x:v>Sea urchins, sea hedgehogs</x:v>
      </x:c>
      <x:c r="G161" s="24" t="str">
        <x:v>Other demersal invertebrates</x:v>
      </x:c>
      <x:c r="H161" s="24" t="str">
        <x:v>Other fishes &amp; inverts</x:v>
      </x:c>
      <x:c r="I161" s="31" t="n">
        <x:v>0.0049926395999999994</x:v>
      </x:c>
      <x:c r="J161" s="31" t="n">
        <x:v>0.0049926395999999994</x:v>
      </x:c>
      <x:c r="K161" s="31" t="n">
        <x:v>0</x:v>
      </x:c>
      <x:c r="L161" s="31" t="n">
        <x:v>0.0049926395999999994</x:v>
      </x:c>
      <x:c r="M161" s="31" t="n">
        <x:v>0</x:v>
      </x:c>
      <x:c r="N161" s="24" t="str">
        <x:v>echinoidea</x:v>
      </x:c>
      <x:c r="O161" s="32" t="n">
        <x:v>2.51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Echinoidea</x:v>
      </x:c>
      <x:c r="T161" s="32" t="n">
        <x:f>IF(O161="","",(1/'Metadata'!$B$5)^(O161-1))</x:f>
        <x:v>32.35936569296281</x:v>
      </x:c>
      <x:c r="U161" s="31" t="n">
        <x:f>IF(T161="","",I161*T161)</x:f>
        <x:v>0.16155865058956756</x:v>
      </x:c>
    </x:row>
    <x:row r="162" ht="18" customHeight="1">
      <x:c r="A162" s="24" t="str">
        <x:v>LME_021</x:v>
      </x:c>
      <x:c r="B162" s="24" t="str">
        <x:v>Norwegian Sea</x:v>
      </x:c>
      <x:c r="C162" s="24" t="str">
        <x:v>LME</x:v>
      </x:c>
      <x:c r="D162" s="30" t="n">
        <x:v>2019</x:v>
      </x:c>
      <x:c r="E162" s="24" t="str">
        <x:v>Molva</x:v>
      </x:c>
      <x:c r="F162" s="24" t="str">
        <x:v>Lings</x:v>
      </x:c>
      <x:c r="G162" s="24" t="str">
        <x:v>Large demersals (&gt;=90 cm)</x:v>
      </x:c>
      <x:c r="H162" s="24" t="str">
        <x:v>Cod-likes</x:v>
      </x:c>
      <x:c r="I162" s="31" t="n">
        <x:v>0.0045728406</x:v>
      </x:c>
      <x:c r="J162" s="31" t="n">
        <x:v>0.0045728406</x:v>
      </x:c>
      <x:c r="K162" s="31" t="n">
        <x:v>0</x:v>
      </x:c>
      <x:c r="L162" s="31" t="n">
        <x:v>0.0045728406</x:v>
      </x:c>
      <x:c r="M162" s="31" t="n">
        <x:v>0</x:v>
      </x:c>
      <x:c r="N162" s="24" t="str">
        <x:v>molva</x:v>
      </x:c>
      <x:c r="O162" s="32" t="n">
        <x:v>4.19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Molva</x:v>
      </x:c>
      <x:c r="T162" s="32" t="n">
        <x:f>IF(O162="","",(1/'Metadata'!$B$5)^(O162-1))</x:f>
        <x:v>1548.8166189124827</x:v>
      </x:c>
      <x:c r="U162" s="31" t="n">
        <x:f>IF(T162="","",I162*T162)</x:f>
        <x:v>7.082491516917729</x:v>
      </x:c>
    </x:row>
    <x:row r="163" ht="18" customHeight="1">
      <x:c r="A163" s="24" t="str">
        <x:v>LME_021</x:v>
      </x:c>
      <x:c r="B163" s="24" t="str">
        <x:v>Norwegian Sea</x:v>
      </x:c>
      <x:c r="C163" s="24" t="str">
        <x:v>LME</x:v>
      </x:c>
      <x:c r="D163" s="30" t="n">
        <x:v>2019</x:v>
      </x:c>
      <x:c r="E163" s="24" t="str">
        <x:v>Osteichthyes</x:v>
      </x:c>
      <x:c r="F163" s="24" t="str">
        <x:v>Bony fishes</x:v>
      </x:c>
      <x:c r="G163" s="24" t="str">
        <x:v>Medium demersals (30 - 89 cm)</x:v>
      </x:c>
      <x:c r="H163" s="24" t="str">
        <x:v>Other fishes &amp; inverts</x:v>
      </x:c>
      <x:c r="I163" s="31" t="n">
        <x:v>0.0045703205</x:v>
      </x:c>
      <x:c r="J163" s="31" t="n">
        <x:v>0.0045703205</x:v>
      </x:c>
      <x:c r="K163" s="31" t="n">
        <x:v>0</x:v>
      </x:c>
      <x:c r="L163" s="31" t="n">
        <x:v>0.0045703205</x:v>
      </x:c>
      <x:c r="M163" s="31" t="n">
        <x:v>0</x:v>
      </x:c>
      <x:c r="N163" s="24" t="str">
        <x:v>osteichthyes</x:v>
      </x:c>
      <x:c r="O163" s="32" t="n">
        <x:v>3.79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Osteichthyes</x:v>
      </x:c>
      <x:c r="T163" s="32" t="n">
        <x:f>IF(O163="","",(1/'Metadata'!$B$5)^(O163-1))</x:f>
        <x:v>616.5950018614822</x:v>
      </x:c>
      <x:c r="U163" s="31" t="n">
        <x:f>IF(T163="","",I163*T163)</x:f>
        <x:v>2.81803677720507</x:v>
      </x:c>
    </x:row>
  </x:sheetData>
  <x:conditionalFormatting sqref="R2:R16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62f2fceae7b49a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164540.7157373236</x:v>
      </x:c>
      <x:c r="C2" s="32" t="n">
        <x:v>4.100435357183206</x:v>
      </x:c>
      <x:c r="D2" s="32" t="n">
        <x:f>IF(C2="","",(1/'Metadata'!$B$5)^(C2-1))</x:f>
        <x:v>1260.1880505047434</x:v>
      </x:c>
      <x:c r="E2" s="31" t="n">
        <x:f>IF(B2=0,"",B2*D2)</x:f>
        <x:v>207352243.79367298</x:v>
      </x:c>
    </x:row>
    <x:row r="3" ht="18" customHeight="1">
      <x:c r="A3" s="24" t="str">
        <x:v>Crustaceans</x:v>
      </x:c>
      <x:c r="B3" s="31" t="n">
        <x:v>126.4643718248</x:v>
      </x:c>
      <x:c r="C3" s="32" t="n">
        <x:v>2.9260233886717386</x:v>
      </x:c>
      <x:c r="D3" s="32" t="n">
        <x:f>IF(C3="","",(1/'Metadata'!$B$5)^(C3-1))</x:f>
        <x:v>84.33801762804474</x:v>
      </x:c>
      <x:c r="E3" s="31" t="n">
        <x:f>IF(B3=0,"",B3*D3)</x:f>
        <x:v>10665.754420279587</x:v>
      </x:c>
    </x:row>
    <x:row r="4" ht="18" customHeight="1">
      <x:c r="A4" s="24" t="str">
        <x:v>Flatfishes</x:v>
      </x:c>
      <x:c r="B4" s="31" t="n">
        <x:v>1379.4863146275</x:v>
      </x:c>
      <x:c r="C4" s="32" t="n">
        <x:v>4.282084563409455</x:v>
      </x:c>
      <x:c r="D4" s="32" t="n">
        <x:f>IF(C4="","",(1/'Metadata'!$B$5)^(C4-1))</x:f>
        <x:v>1914.6286945937081</x:v>
      </x:c>
      <x:c r="E4" s="31" t="n">
        <x:f>IF(B4=0,"",B4*D4)</x:f>
        <x:v>2641204.0817851354</x:v>
      </x:c>
    </x:row>
    <x:row r="5" ht="18" customHeight="1">
      <x:c r="A5" s="24" t="str">
        <x:v>Herring-likes</x:v>
      </x:c>
      <x:c r="B5" s="31" t="n">
        <x:v>58691.7932763386</x:v>
      </x:c>
      <x:c r="C5" s="32" t="n">
        <x:v>3.3799869916803638</x:v>
      </x:c>
      <x:c r="D5" s="32" t="n">
        <x:f>IF(C5="","",(1/'Metadata'!$B$5)^(C5-1))</x:f>
        <x:v>239.87610684219473</x:v>
      </x:c>
      <x:c r="E5" s="31" t="n">
        <x:f>IF(B5=0,"",B5*D5)</x:f>
        <x:v>14078758.874715004</x:v>
      </x:c>
    </x:row>
    <x:row r="6" ht="18" customHeight="1">
      <x:c r="A6" s="24" t="str">
        <x:v>Molluscs</x:v>
      </x:c>
      <x:c r="B6" s="31" t="n">
        <x:v>27.607873503599997</x:v>
      </x:c>
      <x:c r="C6" s="32" t="n">
        <x:v>2.3236719865730975</x:v>
      </x:c>
      <x:c r="D6" s="32" t="n">
        <x:f>IF(C6="","",(1/'Metadata'!$B$5)^(C6-1))</x:f>
        <x:v>21.07036149015416</x:v>
      </x:c>
      <x:c r="E6" s="31" t="n">
        <x:f>IF(B6=0,"",B6*D6)</x:f>
        <x:v>581.7078746953008</x:v>
      </x:c>
    </x:row>
    <x:row r="7" ht="18" customHeight="1">
      <x:c r="A7" s="24" t="str">
        <x:v>Other fishes &amp; inverts</x:v>
      </x:c>
      <x:c r="B7" s="31" t="n">
        <x:v>404444.840538847</x:v>
      </x:c>
      <x:c r="C7" s="32" t="n">
        <x:v>3.2805510006107563</x:v>
      </x:c>
      <x:c r="D7" s="32" t="n">
        <x:f>IF(C7="","",(1/'Metadata'!$B$5)^(C7-1))</x:f>
        <x:v>190.78797593484455</x:v>
      </x:c>
      <x:c r="E7" s="31" t="n">
        <x:f>IF(B7=0,"",B7*D7)</x:f>
        <x:v>77163212.50369759</x:v>
      </x:c>
    </x:row>
    <x:row r="8" ht="18" customHeight="1">
      <x:c r="A8" s="24" t="str">
        <x:v>Perch-likes</x:v>
      </x:c>
      <x:c r="B8" s="31" t="n">
        <x:v>73443.7550020732</x:v>
      </x:c>
      <x:c r="C8" s="32" t="n">
        <x:v>3.632572724192609</x:v>
      </x:c>
      <x:c r="D8" s="32" t="n">
        <x:f>IF(C8="","",(1/'Metadata'!$B$5)^(C8-1))</x:f>
        <x:v>429.1140399316223</x:v>
      </x:c>
      <x:c r="E8" s="31" t="n">
        <x:f>IF(B8=0,"",B8*D8)</x:f>
        <x:v>31515746.416687924</x:v>
      </x:c>
    </x:row>
    <x:row r="9" ht="18" customHeight="1">
      <x:c r="A9" s="24" t="str">
        <x:v>Salmon, smelts, etc</x:v>
      </x:c>
      <x:c r="B9" s="31" t="n">
        <x:v>15.5344158855</x:v>
      </x:c>
      <x:c r="C9" s="32" t="n">
        <x:v>3.544456867117973</x:v>
      </x:c>
      <x:c r="D9" s="32" t="n">
        <x:f>IF(C9="","",(1/'Metadata'!$B$5)^(C9-1))</x:f>
        <x:v>350.313494442507</x:v>
      </x:c>
      <x:c r="E9" s="31" t="n">
        <x:f>IF(B9=0,"",B9*D9)</x:f>
        <x:v>5441.915512972697</x:v>
      </x:c>
    </x:row>
    <x:row r="10" ht="18" customHeight="1">
      <x:c r="A10" s="24" t="str">
        <x:v>Scorpionfishes</x:v>
      </x:c>
      <x:c r="B10" s="31" t="n">
        <x:v>4414.6149343495</x:v>
      </x:c>
      <x:c r="C10" s="32" t="n">
        <x:v>3.6861473229095405</x:v>
      </x:c>
      <x:c r="D10" s="32" t="n">
        <x:f>IF(C10="","",(1/'Metadata'!$B$5)^(C10-1))</x:f>
        <x:v>485.4531493676817</x:v>
      </x:c>
      <x:c r="E10" s="31" t="n">
        <x:f>IF(B10=0,"",B10*D10)</x:f>
        <x:v>2143088.7231255663</x:v>
      </x:c>
    </x:row>
    <x:row r="11" ht="18" customHeight="1">
      <x:c r="A11" s="24" t="str">
        <x:v>Sharks &amp; rays</x:v>
      </x:c>
      <x:c r="B11" s="31" t="n">
        <x:v>152.93449145719998</x:v>
      </x:c>
      <x:c r="C11" s="32" t="n">
        <x:v>3.9326636701425337</x:v>
      </x:c>
      <x:c r="D11" s="32" t="n">
        <x:f>IF(C11="","",(1/'Metadata'!$B$5)^(C11-1))</x:f>
        <x:v>856.3743879595758</x:v>
      </x:c>
      <x:c r="E11" s="31" t="n">
        <x:f>IF(B11=0,"",B11*D11)</x:f>
        <x:v>130969.1815195686</x:v>
      </x:c>
    </x:row>
    <x:row r="12" ht="18" customHeight="1">
      <x:c r="A12" s="24" t="str">
        <x:v>Tuna &amp; billfishes</x:v>
      </x:c>
      <x:c r="B12" s="31" t="n">
        <x:v>13.7695872668</x:v>
      </x:c>
      <x:c r="C12" s="32" t="n">
        <x:v>4.4994129298784795</x:v>
      </x:c>
      <x:c r="D12" s="32" t="n">
        <x:f>IF(C12="","",(1/'Metadata'!$B$5)^(C12-1))</x:f>
        <x:v>3158.005847842074</x:v>
      </x:c>
      <x:c r="E12" s="31" t="n">
        <x:f>IF(B12=0,"",B12*D12)</x:f>
        <x:v>43484.43711092616</x:v>
      </x:c>
    </x:row>
  </x:sheetData>
  <x:pageMargins left="0.7" right="0.7" top="0.75" bottom="0.75" header="0.3" footer="0.3"/>
  <x:tableParts count="1">
    <x:tablePart xmlns:r="http://schemas.openxmlformats.org/officeDocument/2006/relationships" r:id="R0a606aec27834b6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14.651866163200001</x:v>
      </x:c>
      <x:c r="C2" s="32" t="n">
        <x:v>3.9099729812733344</x:v>
      </x:c>
      <x:c r="D2" s="32" t="n">
        <x:f>IF(C2="","",(1/'Metadata'!$B$5)^(C2-1))</x:f>
        <x:v>812.7799491794334</x:v>
      </x:c>
      <x:c r="E2" s="31" t="n">
        <x:f>IF(B2=0,"",B2*D2)</x:f>
        <x:v>11908.743035509557</x:v>
      </x:c>
    </x:row>
    <x:row r="3" ht="18" customHeight="1">
      <x:c r="A3" s="24" t="str">
        <x:v>Large bathydemersals (&gt;=90 cm)</x:v>
      </x:c>
      <x:c r="B3" s="31" t="n">
        <x:v>29.6865006236</x:v>
      </x:c>
      <x:c r="C3" s="32" t="n">
        <x:v>4.102446970523001</x:v>
      </x:c>
      <x:c r="D3" s="32" t="n">
        <x:f>IF(C3="","",(1/'Metadata'!$B$5)^(C3-1))</x:f>
        <x:v>1266.038668568707</x:v>
      </x:c>
      <x:c r="E3" s="31" t="n">
        <x:f>IF(B3=0,"",B3*D3)</x:f>
        <x:v>37584.257723966635</x:v>
      </x:c>
    </x:row>
    <x:row r="4" ht="18" customHeight="1">
      <x:c r="A4" s="24" t="str">
        <x:v>Large bathypelagics (&gt;=90 cm)</x:v>
      </x:c>
      <x:c r="B4" s="31" t="n">
        <x:v>33.4067811008</x:v>
      </x:c>
      <x:c r="C4" s="32" t="n">
        <x:v>3.54</x:v>
      </x:c>
      <x:c r="D4" s="32" t="n">
        <x:f>IF(C4="","",(1/'Metadata'!$B$5)^(C4-1))</x:f>
        <x:v>346.73685045253166</x:v>
      </x:c>
      <x:c r="E4" s="31" t="n">
        <x:f>IF(B4=0,"",B4*D4)</x:f>
        <x:v>11583.362062648552</x:v>
      </x:c>
    </x:row>
    <x:row r="5" ht="18" customHeight="1">
      <x:c r="A5" s="24" t="str">
        <x:v>Large benthopelagics (&gt;=90 cm)</x:v>
      </x:c>
      <x:c r="B5" s="31" t="n">
        <x:v>144635.8894985725</x:v>
      </x:c>
      <x:c r="C5" s="32" t="n">
        <x:v>4.087700427158703</x:v>
      </x:c>
      <x:c r="D5" s="32" t="n">
        <x:f>IF(C5="","",(1/'Metadata'!$B$5)^(C5-1))</x:f>
        <x:v>1223.7717601355232</x:v>
      </x:c>
      <x:c r="E5" s="31" t="n">
        <x:f>IF(B5=0,"",B5*D5)</x:f>
        <x:v>177001317.0704351</x:v>
      </x:c>
    </x:row>
    <x:row r="6" ht="18" customHeight="1">
      <x:c r="A6" s="24" t="str">
        <x:v>Large demersals (&gt;=90 cm)</x:v>
      </x:c>
      <x:c r="B6" s="31" t="n">
        <x:v>10993.6245050521</x:v>
      </x:c>
      <x:c r="C6" s="32" t="n">
        <x:v>4.244220059760016</x:v>
      </x:c>
      <x:c r="D6" s="32" t="n">
        <x:f>IF(C6="","",(1/'Metadata'!$B$5)^(C6-1))</x:f>
        <x:v>1754.7694293753782</x:v>
      </x:c>
      <x:c r="E6" s="31" t="n">
        <x:f>IF(B6=0,"",B6*D6)</x:f>
        <x:v>19291276.199497446</x:v>
      </x:c>
    </x:row>
    <x:row r="7" ht="18" customHeight="1">
      <x:c r="A7" s="24" t="str">
        <x:v>Large flatfishes (&gt;=90 cm)</x:v>
      </x:c>
      <x:c r="B7" s="31" t="n">
        <x:v>18.860784484499998</x:v>
      </x:c>
      <x:c r="C7" s="32" t="n">
        <x:v>3.977231929106507</x:v>
      </x:c>
      <x:c r="D7" s="32" t="n">
        <x:f>IF(C7="","",(1/'Metadata'!$B$5)^(C7-1))</x:f>
        <x:v>948.9250886468528</x:v>
      </x:c>
      <x:c r="E7" s="31" t="n">
        <x:f>IF(B7=0,"",B7*D7)</x:f>
        <x:v>17897.471588903347</x:v>
      </x:c>
    </x:row>
    <x:row r="8" ht="18" customHeight="1">
      <x:c r="A8" s="24" t="str">
        <x:v>Large pelagics (&gt;=90 cm)</x:v>
      </x:c>
      <x:c r="B8" s="31" t="n">
        <x:v>0.1616742654</x:v>
      </x:c>
      <x:c r="C8" s="32" t="n">
        <x:v>4.45</x:v>
      </x:c>
      <x:c r="D8" s="32" t="n">
        <x:f>IF(C8="","",(1/'Metadata'!$B$5)^(C8-1))</x:f>
        <x:v>2818.382931264455</x:v>
      </x:c>
      <x:c r="E8" s="31" t="n">
        <x:f>IF(B8=0,"",B8*D8)</x:f>
        <x:v>455.6599900280794</x:v>
      </x:c>
    </x:row>
    <x:row r="9" ht="18" customHeight="1">
      <x:c r="A9" s="24" t="str">
        <x:v>Large rays (&gt;=90 cm)</x:v>
      </x:c>
      <x:c r="B9" s="31" t="n">
        <x:v>10.266839990500001</x:v>
      </x:c>
      <x:c r="C9" s="32" t="n">
        <x:v>3.6907254870576423</x:v>
      </x:c>
      <x:c r="D9" s="32" t="n">
        <x:f>IF(C9="","",(1/'Metadata'!$B$5)^(C9-1))</x:f>
        <x:v>490.5976765306139</x:v>
      </x:c>
      <x:c r="E9" s="31" t="n">
        <x:f>IF(B9=0,"",B9*D9)</x:f>
        <x:v>5036.887844650891</x:v>
      </x:c>
    </x:row>
    <x:row r="10" ht="18" customHeight="1">
      <x:c r="A10" s="24" t="str">
        <x:v>Large reef assoc. fish (&gt;=90 cm)</x:v>
      </x:c>
      <x:c r="B10" s="31" t="n">
        <x:v>301.43137443989997</x:v>
      </x:c>
      <x:c r="C10" s="32" t="n">
        <x:v>3.79</x:v>
      </x:c>
      <x:c r="D10" s="32" t="n">
        <x:f>IF(C10="","",(1/'Metadata'!$B$5)^(C10-1))</x:f>
        <x:v>616.5950018614822</x:v>
      </x:c>
      <x:c r="E10" s="31" t="n">
        <x:f>IF(B10=0,"",B10*D10)</x:f>
        <x:v>185861.07888387924</x:v>
      </x:c>
    </x:row>
    <x:row r="11" ht="18" customHeight="1">
      <x:c r="A11" s="24" t="str">
        <x:v>Large sharks (&gt;=90 cm)</x:v>
      </x:c>
      <x:c r="B11" s="31" t="n">
        <x:v>65.64728516260001</x:v>
      </x:c>
      <x:c r="C11" s="32" t="n">
        <x:v>4.1261017420229775</x:v>
      </x:c>
      <x:c r="D11" s="32" t="n">
        <x:f>IF(C11="","",(1/'Metadata'!$B$5)^(C11-1))</x:f>
        <x:v>1336.9086770114975</x:v>
      </x:c>
      <x:c r="E11" s="31" t="n">
        <x:f>IF(B11=0,"",B11*D11)</x:f>
        <x:v>87764.4251561281</x:v>
      </x:c>
    </x:row>
    <x:row r="12" ht="18" customHeight="1">
      <x:c r="A12" s="24" t="str">
        <x:v>Lobsters, crabs</x:v>
      </x:c>
      <x:c r="B12" s="31" t="n">
        <x:v>79.3113640935</x:v>
      </x:c>
      <x:c r="C12" s="32" t="n">
        <x:v>3.002415364386687</x:v>
      </x:c>
      <x:c r="D12" s="32" t="n">
        <x:f>IF(C12="","",(1/'Metadata'!$B$5)^(C12-1))</x:f>
        <x:v>100.5577076339249</x:v>
      </x:c>
      <x:c r="E12" s="31" t="n">
        <x:f>IF(B12=0,"",B12*D12)</x:f>
        <x:v>7975.368962561943</x:v>
      </x:c>
    </x:row>
    <x:row r="13" ht="18" customHeight="1">
      <x:c r="A13" s="24" t="str">
        <x:v>Medium bathydemersals (30 - 89 cm)</x:v>
      </x:c>
      <x:c r="B13" s="31" t="n">
        <x:v>138.3365826027</x:v>
      </x:c>
      <x:c r="C13" s="32" t="n">
        <x:v>4.420325246718449</x:v>
      </x:c>
      <x:c r="D13" s="32" t="n">
        <x:f>IF(C13="","",(1/'Metadata'!$B$5)^(C13-1))</x:f>
        <x:v>2632.23855907715</x:v>
      </x:c>
      <x:c r="E13" s="31" t="n">
        <x:f>IF(B13=0,"",B13*D13)</x:f>
        <x:v>364134.8868577882</x:v>
      </x:c>
    </x:row>
    <x:row r="14" ht="18" customHeight="1">
      <x:c r="A14" s="24" t="str">
        <x:v>Medium bathypelagics (30 - 89 cm)</x:v>
      </x:c>
      <x:c r="B14" s="31" t="n">
        <x:v>3807.8344749529992</x:v>
      </x:c>
      <x:c r="C14" s="32" t="n">
        <x:v>3.6520345990078704</x:v>
      </x:c>
      <x:c r="D14" s="32" t="n">
        <x:f>IF(C14="","",(1/'Metadata'!$B$5)^(C14-1))</x:f>
        <x:v>448.7811416279003</x:v>
      </x:c>
      <x:c r="E14" s="31" t="n">
        <x:f>IF(B14=0,"",B14*D14)</x:f>
        <x:v>1708884.3027994833</x:v>
      </x:c>
    </x:row>
    <x:row r="15" ht="18" customHeight="1">
      <x:c r="A15" s="24" t="str">
        <x:v>Medium benthopelagics (30 - 89 cm)</x:v>
      </x:c>
      <x:c r="B15" s="31" t="n">
        <x:v>2947.723814225301</x:v>
      </x:c>
      <x:c r="C15" s="32" t="n">
        <x:v>4.119073245714657</x:v>
      </x:c>
      <x:c r="D15" s="32" t="n">
        <x:f>IF(C15="","",(1/'Metadata'!$B$5)^(C15-1))</x:f>
        <x:v>1315.4466694728615</x:v>
      </x:c>
      <x:c r="E15" s="31" t="n">
        <x:f>IF(B15=0,"",B15*D15)</x:f>
        <x:v>3877573.4739485118</x:v>
      </x:c>
    </x:row>
    <x:row r="16" ht="18" customHeight="1">
      <x:c r="A16" s="24" t="str">
        <x:v>Medium demersals (30 - 89 cm)</x:v>
      </x:c>
      <x:c r="B16" s="31" t="n">
        <x:v>412416.6796285578</x:v>
      </x:c>
      <x:c r="C16" s="32" t="n">
        <x:v>3.2944624698812635</x:v>
      </x:c>
      <x:c r="D16" s="32" t="n">
        <x:f>IF(C16="","",(1/'Metadata'!$B$5)^(C16-1))</x:f>
        <x:v>196.9982961238155</x:v>
      </x:c>
      <x:c r="E16" s="31" t="n">
        <x:f>IF(B16=0,"",B16*D16)</x:f>
        <x:v>81245383.17986737</x:v>
      </x:c>
    </x:row>
    <x:row r="17" ht="18" customHeight="1">
      <x:c r="A17" s="24" t="str">
        <x:v>Medium pelagics (30 - 89 cm)</x:v>
      </x:c>
      <x:c r="B17" s="31" t="n">
        <x:v>130226.62855519002</x:v>
      </x:c>
      <x:c r="C17" s="32" t="n">
        <x:v>3.5193207664530957</x:v>
      </x:c>
      <x:c r="D17" s="32" t="n">
        <x:f>IF(C17="","",(1/'Metadata'!$B$5)^(C17-1))</x:f>
        <x:v>330.6136394879455</x:v>
      </x:c>
      <x:c r="E17" s="31" t="n">
        <x:f>IF(B17=0,"",B17*D17)</x:f>
        <x:v>43054699.62487618</x:v>
      </x:c>
    </x:row>
    <x:row r="18" ht="18" customHeight="1">
      <x:c r="A18" s="24" t="str">
        <x:v>Medium reef assoc. fish (30 - 89 cm)</x:v>
      </x:c>
      <x:c r="B18" s="31" t="n">
        <x:v>1.1997451609</x:v>
      </x:c>
      <x:c r="C18" s="32" t="n">
        <x:v>2.53</x:v>
      </x:c>
      <x:c r="D18" s="32" t="n">
        <x:f>IF(C18="","",(1/'Metadata'!$B$5)^(C18-1))</x:f>
        <x:v>33.88441561392024</x:v>
      </x:c>
      <x:c r="E18" s="31" t="n">
        <x:f>IF(B18=0,"",B18*D18)</x:f>
        <x:v>40.65266366272521</x:v>
      </x:c>
    </x:row>
    <x:row r="19" ht="18" customHeight="1">
      <x:c r="A19" s="24" t="str">
        <x:v>Other demersal invertebrates</x:v>
      </x:c>
      <x:c r="B19" s="31" t="n">
        <x:v>27.629967698399998</x:v>
      </x:c>
      <x:c r="C19" s="32" t="n">
        <x:v>2.323771467073377</x:v>
      </x:c>
      <x:c r="D19" s="32" t="n">
        <x:f>IF(C19="","",(1/'Metadata'!$B$5)^(C19-1))</x:f>
        <x:v>21.075188468795208</x:v>
      </x:c>
      <x:c r="E19" s="31" t="n">
        <x:f>IF(B19=0,"",B19*D19)</x:f>
        <x:v>582.3067766305037</x:v>
      </x:c>
    </x:row>
    <x:row r="20" ht="18" customHeight="1">
      <x:c r="A20" s="24" t="str">
        <x:v>Shrimps</x:v>
      </x:c>
      <x:c r="B20" s="31" t="n">
        <x:v>47.1530077313</x:v>
      </x:c>
      <x:c r="C20" s="32" t="n">
        <x:v>2.797532077273837</x:v>
      </x:c>
      <x:c r="D20" s="32" t="n">
        <x:f>IF(C20="","",(1/'Metadata'!$B$5)^(C20-1))</x:f>
        <x:v>62.738203311914276</x:v>
      </x:c>
      <x:c r="E20" s="31" t="n">
        <x:f>IF(B20=0,"",B20*D20)</x:f>
        <x:v>2958.2949858145653</x:v>
      </x:c>
    </x:row>
    <x:row r="21" ht="18" customHeight="1">
      <x:c r="A21" s="24" t="str">
        <x:v>Small pelagics (&lt;30 cm)</x:v>
      </x:c>
      <x:c r="B21" s="31" t="n">
        <x:v>17.746396982100002</x:v>
      </x:c>
      <x:c r="C21" s="32" t="n">
        <x:v>3.1733236323442156</x:v>
      </x:c>
      <x:c r="D21" s="32" t="n">
        <x:f>IF(C21="","",(1/'Metadata'!$B$5)^(C21-1))</x:f>
        <x:v>149.04713498297795</x:v>
      </x:c>
      <x:c r="E21" s="31" t="n">
        <x:f>IF(B21=0,"",B21*D21)</x:f>
        <x:v>2645.0496264525714</x:v>
      </x:c>
    </x:row>
    <x:row r="22" ht="18" customHeight="1">
      <x:c r="A22" s="24" t="str">
        <x:v>Small to medium flatfishes (&lt;90 cm)</x:v>
      </x:c>
      <x:c r="B22" s="31" t="n">
        <x:v>1360.625530143</x:v>
      </x:c>
      <x:c r="C22" s="32" t="n">
        <x:v>4.286310384333538</x:v>
      </x:c>
      <x:c r="D22" s="32" t="n">
        <x:f>IF(C22="","",(1/'Metadata'!$B$5)^(C22-1))</x:f>
        <x:v>1933.3495619010812</x:v>
      </x:c>
      <x:c r="E22" s="31" t="n">
        <x:f>IF(B22=0,"",B22*D22)</x:f>
        <x:v>2630564.7726133955</x:v>
      </x:c>
    </x:row>
    <x:row r="23" ht="18" customHeight="1">
      <x:c r="A23" s="24" t="str">
        <x:v>Small to medium rays (&lt;90 cm)</x:v>
      </x:c>
      <x:c r="B23" s="31" t="n">
        <x:v>76.8673254586</x:v>
      </x:c>
      <x:c r="C23" s="32" t="n">
        <x:v>3.8000000000000003</x:v>
      </x:c>
      <x:c r="D23" s="32" t="n">
        <x:f>IF(C23="","",(1/'Metadata'!$B$5)^(C23-1))</x:f>
        <x:v>630.9573444801937</x:v>
      </x:c>
      <x:c r="E23" s="31" t="n">
        <x:f>IF(B23=0,"",B23*D23)</x:f>
        <x:v>48500.00354865305</x:v>
      </x:c>
    </x:row>
    <x:row r="24" ht="18" customHeight="1">
      <x:c r="A24" s="24" t="str">
        <x:v>Small to medium sharks (&lt;90 cm)</x:v>
      </x:c>
      <x:c r="B24" s="31" t="n">
        <x:v>0.1530408455</x:v>
      </x:c>
      <x:c r="C24" s="32" t="n">
        <x:v>3.82</x:v>
      </x:c>
      <x:c r="D24" s="32" t="n">
        <x:f>IF(C24="","",(1/'Metadata'!$B$5)^(C24-1))</x:f>
        <x:v>660.6934480075957</x:v>
      </x:c>
      <x:c r="E24" s="31" t="n">
        <x:f>IF(B24=0,"",B24*D24)</x:f>
        <x:v>101.11308389939273</x:v>
      </x:c>
    </x:row>
  </x:sheetData>
  <x:pageMargins left="0.7" right="0.7" top="0.75" bottom="0.75" header="0.3" footer="0.3"/>
  <x:tableParts count="1">
    <x:tablePart xmlns:r="http://schemas.openxmlformats.org/officeDocument/2006/relationships" r:id="R2a44653a3b0a4ff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LME_021</x:v>
      </x:c>
      <x:c r="B2" s="24" t="str">
        <x:v>raw_filtered_tonnes</x:v>
      </x:c>
      <x:c r="C2" s="24" t="n">
        <x:v>707251.5165434973</x:v>
      </x:c>
      <x:c r="D2" s="24" t="str">
        <x:v>tonnes</x:v>
      </x:c>
    </x:row>
    <x:row r="3" ht="18" customHeight="1">
      <x:c r="A3" s="24" t="str">
        <x:v>LME_021</x:v>
      </x:c>
      <x:c r="B3" s="24" t="str">
        <x:v>species_catch_tonnes</x:v>
      </x:c>
      <x:c r="C3" s="24" t="n">
        <x:v>707251.5165434971</x:v>
      </x:c>
      <x:c r="D3" s="24" t="str">
        <x:v>tonnes</x:v>
      </x:c>
    </x:row>
    <x:row r="4" ht="18" customHeight="1">
      <x:c r="A4" s="24" t="str">
        <x:v>LME_021</x:v>
      </x:c>
      <x:c r="B4" s="24" t="str">
        <x:v>catch_difference_tonnes</x:v>
      </x:c>
      <x:c r="C4" s="24" t="n">
        <x:v>-2.3283064365386963e-10</x:v>
      </x:c>
      <x:c r="D4" s="24" t="str">
        <x:v>tonnes</x:v>
      </x:c>
    </x:row>
    <x:row r="5" ht="18" customHeight="1">
      <x:c r="A5" s="24" t="str">
        <x:v>LME_021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LME_021</x:v>
      </x:c>
      <x:c r="B6" s="24" t="str">
        <x:v>matched_catch_tonnes</x:v>
      </x:c>
      <x:c r="C6" s="24" t="n">
        <x:v>707251.5165434971</x:v>
      </x:c>
      <x:c r="D6" s="24" t="str">
        <x:v>tonnes</x:v>
      </x:c>
    </x:row>
    <x:row r="7" ht="18" customHeight="1">
      <x:c r="A7" s="24" t="str">
        <x:v>LME_021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LME_021</x:v>
      </x:c>
      <x:c r="B8" s="24" t="str">
        <x:v>taxa_count</x:v>
      </x:c>
      <x:c r="C8" s="24" t="n">
        <x:v>162</x:v>
      </x:c>
      <x:c r="D8" s="24" t="str">
        <x:v>count</x:v>
      </x:c>
    </x:row>
    <x:row r="9" ht="18" customHeight="1">
      <x:c r="A9" s="24" t="str">
        <x:v>LME_021</x:v>
      </x:c>
      <x:c r="B9" s="24" t="str">
        <x:v>matched_taxa_count</x:v>
      </x:c>
      <x:c r="C9" s="24" t="n">
        <x:v>162</x:v>
      </x:c>
      <x:c r="D9" s="24" t="str">
        <x:v>count</x:v>
      </x:c>
    </x:row>
    <x:row r="10" ht="18" customHeight="1">
      <x:c r="A10" s="24" t="str">
        <x:v>LME_021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LME_021</x:v>
      </x:c>
      <x:c r="B11" s="24" t="str">
        <x:v>species_ppr</x:v>
      </x:c>
      <x:c r="C11" s="24" t="n">
        <x:v>338234665.9022903</x:v>
      </x:c>
      <x:c r="D11" s="24" t="str">
        <x:v>tonnes_primary_production_equivalent</x:v>
      </x:c>
    </x:row>
    <x:row r="12" ht="18" customHeight="1">
      <x:c r="A12" s="24" t="str">
        <x:v>LME_021</x:v>
      </x:c>
      <x:c r="B12" s="24" t="str">
        <x:v>commercial_ppr</x:v>
      </x:c>
      <x:c r="C12" s="24" t="n">
        <x:v>335085397.39012265</x:v>
      </x:c>
      <x:c r="D12" s="24" t="str">
        <x:v>tonnes_primary_production_equivalent</x:v>
      </x:c>
    </x:row>
    <x:row r="13" ht="18" customHeight="1">
      <x:c r="A13" s="24" t="str">
        <x:v>LME_021</x:v>
      </x:c>
      <x:c r="B13" s="24" t="str">
        <x:v>functional_ppr</x:v>
      </x:c>
      <x:c r="C13" s="24" t="n">
        <x:v>329594728.18682873</x:v>
      </x:c>
      <x:c r="D13" s="24" t="str">
        <x:v>tonnes_primary_production_equivalent</x:v>
      </x:c>
    </x:row>
    <x:row r="14" ht="18" customHeight="1">
      <x:c r="A14" s="24" t="str">
        <x:v>LME_021</x:v>
      </x:c>
      <x:c r="B14" s="24" t="str">
        <x:v>commercial_ppr_difference</x:v>
      </x:c>
      <x:c r="C14" s="24" t="n">
        <x:v>-3149268.5121676326</x:v>
      </x:c>
      <x:c r="D14" s="24" t="str">
        <x:v>tonnes_primary_production_equivalent</x:v>
      </x:c>
    </x:row>
    <x:row r="15" ht="18" customHeight="1">
      <x:c r="A15" s="24" t="str">
        <x:v>LME_021</x:v>
      </x:c>
      <x:c r="B15" s="24" t="str">
        <x:v>functional_ppr_difference</x:v>
      </x:c>
      <x:c r="C15" s="24" t="n">
        <x:v>-8639937.715461552</x:v>
      </x:c>
      <x:c r="D15" s="24" t="str">
        <x:v>tonnes_primary_production_equivalent</x:v>
      </x:c>
    </x:row>
    <x:row r="16" ht="18" customHeight="1">
      <x:c r="A16" s="24" t="str">
        <x:v>LME_021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LME_021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6f21395e783848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LME_021 - Norwegian Sea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LME_021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raw_data/SAU_downloads/LME_021-catch.zip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