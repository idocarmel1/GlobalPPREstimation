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f0af6f706c48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ece5ea1d7fb04f47"/>
    <x:sheet xmlns:r="http://schemas.openxmlformats.org/officeDocument/2006/relationships" name="Commercial" sheetId="2" r:id="R8a84e62cd1624ce9"/>
    <x:sheet xmlns:r="http://schemas.openxmlformats.org/officeDocument/2006/relationships" name="Functional" sheetId="3" r:id="Rbcbfc551cf7a4e13"/>
    <x:sheet xmlns:r="http://schemas.openxmlformats.org/officeDocument/2006/relationships" name="Missing TL" sheetId="4" r:id="R4582282eedb842a0"/>
    <x:sheet xmlns:r="http://schemas.openxmlformats.org/officeDocument/2006/relationships" name="Validation" sheetId="5" r:id="R2066e71b87c0475a"/>
    <x:sheet xmlns:r="http://schemas.openxmlformats.org/officeDocument/2006/relationships" name="Metadata" sheetId="6" r:id="R88c137bdc4164f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b901f41e7e4e2f" /><Relationship Type="http://schemas.openxmlformats.org/officeDocument/2006/relationships/theme" Target="/xl/theme/theme1.xml" Id="Re4b5c3cd23e846cd" /><Relationship Type="http://schemas.microsoft.com/office/2022/11/relationships/FeaturePropertyBag" Target="/xl/featurePropertyBag/featurePropertyBag.xml" Id="R0e56d7d002574676" /><Relationship Type="http://schemas.openxmlformats.org/officeDocument/2006/relationships/sharedStrings" Target="/xl/sharedStrings.xml" Id="Re05c27b4bb6c46e9" /><Relationship Type="http://schemas.openxmlformats.org/officeDocument/2006/relationships/worksheet" Target="/xl/worksheets/sheet1.xml" Id="Rece5ea1d7fb04f47" /><Relationship Type="http://schemas.openxmlformats.org/officeDocument/2006/relationships/worksheet" Target="/xl/worksheets/sheet2.xml" Id="R8a84e62cd1624ce9" /><Relationship Type="http://schemas.openxmlformats.org/officeDocument/2006/relationships/worksheet" Target="/xl/worksheets/sheet3.xml" Id="Rbcbfc551cf7a4e13" /><Relationship Type="http://schemas.openxmlformats.org/officeDocument/2006/relationships/worksheet" Target="/xl/worksheets/sheet4.xml" Id="R4582282eedb842a0" /><Relationship Type="http://schemas.openxmlformats.org/officeDocument/2006/relationships/worksheet" Target="/xl/worksheets/sheet5.xml" Id="R2066e71b87c0475a" /><Relationship Type="http://schemas.openxmlformats.org/officeDocument/2006/relationships/worksheet" Target="/xl/worksheets/sheet6.xml" Id="R88c137bdc4164f6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ME043SpeciesTable" displayName="LME043SpeciesTable" ref="A1:U246" headerRowCount="1" totalsRowCount="0" totalsRowShown="0">
  <x:autoFilter ref="A1:U246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43CommercialTable" displayName="LME043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43FunctionalTable" displayName="LME043FunctionalTable" ref="A1:E25" headerRowCount="1" totalsRowCount="0" totalsRowShown="0">
  <x:autoFilter ref="A1:E2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43ValidationTable" displayName="LME043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7b86695c70b429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0bffe145a9246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4ba0401ad9946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ab2a4bbf1064ba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LME_043</x:v>
      </x:c>
      <x:c r="B2" s="24" t="str">
        <x:v>Southwest Australian Shelf</x:v>
      </x:c>
      <x:c r="C2" s="24" t="str">
        <x:v>LME</x:v>
      </x:c>
      <x:c r="D2" s="30" t="n">
        <x:v>2019</x:v>
      </x:c>
      <x:c r="E2" s="24" t="str">
        <x:v>Thunnus maccoyii</x:v>
      </x:c>
      <x:c r="F2" s="24" t="str">
        <x:v>Southern bluefin tuna</x:v>
      </x:c>
      <x:c r="G2" s="24" t="str">
        <x:v>Large pelagics (&gt;=90 cm)</x:v>
      </x:c>
      <x:c r="H2" s="24" t="str">
        <x:v>Tuna &amp; billfishes</x:v>
      </x:c>
      <x:c r="I2" s="31" t="n">
        <x:v>5625.6375845324</x:v>
      </x:c>
      <x:c r="J2" s="31" t="n">
        <x:v>5625.6375845324</x:v>
      </x:c>
      <x:c r="K2" s="31" t="n">
        <x:v>0</x:v>
      </x:c>
      <x:c r="L2" s="31" t="n">
        <x:v>5606.959775994</x:v>
      </x:c>
      <x:c r="M2" s="31" t="n">
        <x:v>18.6778085384</x:v>
      </x:c>
      <x:c r="N2" s="24" t="str">
        <x:v>thunnus maccoyii</x:v>
      </x:c>
      <x:c r="O2" s="32" t="n">
        <x:v>3.93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maccoyii</x:v>
      </x:c>
      <x:c r="T2" s="32" t="n">
        <x:f>IF(O2="","",(1/'Metadata'!$B$5)^(O2-1))</x:f>
        <x:v>851.1380382023768</x:v>
      </x:c>
      <x:c r="U2" s="31" t="n">
        <x:f>IF(T2="","",I2*T2)</x:f>
        <x:v>4788194.137336465</x:v>
      </x:c>
    </x:row>
    <x:row r="3" ht="18" customHeight="1">
      <x:c r="A3" s="24" t="str">
        <x:v>LME_043</x:v>
      </x:c>
      <x:c r="B3" s="24" t="str">
        <x:v>Southwest Australian Shelf</x:v>
      </x:c>
      <x:c r="C3" s="24" t="str">
        <x:v>LME</x:v>
      </x:c>
      <x:c r="D3" s="30" t="n">
        <x:v>2019</x:v>
      </x:c>
      <x:c r="E3" s="24" t="str">
        <x:v>Sardinops sagax</x:v>
      </x:c>
      <x:c r="F3" s="24" t="str">
        <x:v>South American pilchard</x:v>
      </x:c>
      <x:c r="G3" s="24" t="str">
        <x:v>Medium pelagics (30 - 89 cm)</x:v>
      </x:c>
      <x:c r="H3" s="24" t="str">
        <x:v>Herring-likes</x:v>
      </x:c>
      <x:c r="I3" s="31" t="n">
        <x:v>4276.1780255966</x:v>
      </x:c>
      <x:c r="J3" s="31" t="n">
        <x:v>4276.1780255966</x:v>
      </x:c>
      <x:c r="K3" s="31" t="n">
        <x:v>0</x:v>
      </x:c>
      <x:c r="L3" s="31" t="n">
        <x:v>3769.2055002791</x:v>
      </x:c>
      <x:c r="M3" s="31" t="n">
        <x:v>506.9725253175</x:v>
      </x:c>
      <x:c r="N3" s="24" t="str">
        <x:v>sardinops sagax</x:v>
      </x:c>
      <x:c r="O3" s="32" t="n">
        <x:v>2.84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Sardinops sagax</x:v>
      </x:c>
      <x:c r="T3" s="32" t="n">
        <x:f>IF(O3="","",(1/'Metadata'!$B$5)^(O3-1))</x:f>
        <x:v>69.18309709189363</x:v>
      </x:c>
      <x:c r="U3" s="31" t="n">
        <x:f>IF(T3="","",I3*T3)</x:f>
        <x:v>295839.23952707154</x:v>
      </x:c>
    </x:row>
    <x:row r="4" ht="18" customHeight="1">
      <x:c r="A4" s="24" t="str">
        <x:v>LME_043</x:v>
      </x:c>
      <x:c r="B4" s="24" t="str">
        <x:v>Southwest Australian Shelf</x:v>
      </x:c>
      <x:c r="C4" s="24" t="str">
        <x:v>LME</x:v>
      </x:c>
      <x:c r="D4" s="30" t="n">
        <x:v>2019</x:v>
      </x:c>
      <x:c r="E4" s="24" t="str">
        <x:v>Trachurus declivis</x:v>
      </x:c>
      <x:c r="F4" s="24" t="str">
        <x:v>Greenback horse mackerel</x:v>
      </x:c>
      <x:c r="G4" s="24" t="str">
        <x:v>Medium benthopelagics (30 - 89 cm)</x:v>
      </x:c>
      <x:c r="H4" s="24" t="str">
        <x:v>Perch-likes</x:v>
      </x:c>
      <x:c r="I4" s="31" t="n">
        <x:v>3877.3785736038003</x:v>
      </x:c>
      <x:c r="J4" s="31" t="n">
        <x:v>3782.3211252719</x:v>
      </x:c>
      <x:c r="K4" s="31" t="n">
        <x:v>95.0574483319</x:v>
      </x:c>
      <x:c r="L4" s="31" t="n">
        <x:v>3782.3210121827</x:v>
      </x:c>
      <x:c r="M4" s="31" t="n">
        <x:v>95.0575614211</x:v>
      </x:c>
      <x:c r="N4" s="24" t="str">
        <x:v>trachurus declivis</x:v>
      </x:c>
      <x:c r="O4" s="32" t="n">
        <x:v>3.93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Trachurus declivis</x:v>
      </x:c>
      <x:c r="T4" s="32" t="n">
        <x:f>IF(O4="","",(1/'Metadata'!$B$5)^(O4-1))</x:f>
        <x:v>851.1380382023768</x:v>
      </x:c>
      <x:c r="U4" s="31" t="n">
        <x:f>IF(T4="","",I4*T4)</x:f>
        <x:v>3300184.392505069</x:v>
      </x:c>
    </x:row>
    <x:row r="5" ht="18" customHeight="1">
      <x:c r="A5" s="24" t="str">
        <x:v>LME_043</x:v>
      </x:c>
      <x:c r="B5" s="24" t="str">
        <x:v>Southwest Australian Shelf</x:v>
      </x:c>
      <x:c r="C5" s="24" t="str">
        <x:v>LME</x:v>
      </x:c>
      <x:c r="D5" s="30" t="n">
        <x:v>2019</x:v>
      </x:c>
      <x:c r="E5" s="24" t="str">
        <x:v>Marine fishes not identified</x:v>
      </x:c>
      <x:c r="F5" s="24" t="str">
        <x:v>Marine fishes nei</x:v>
      </x:c>
      <x:c r="G5" s="24" t="str">
        <x:v>Medium demersals (30 - 89 cm)</x:v>
      </x:c>
      <x:c r="H5" s="24" t="str">
        <x:v>Other fishes &amp; inverts</x:v>
      </x:c>
      <x:c r="I5" s="31" t="n">
        <x:v>2469.695296188</x:v>
      </x:c>
      <x:c r="J5" s="31" t="n">
        <x:v>2239.2439926613997</x:v>
      </x:c>
      <x:c r="K5" s="31" t="n">
        <x:v>230.45130352660001</x:v>
      </x:c>
      <x:c r="L5" s="31" t="n">
        <x:v>1885.8514397315</x:v>
      </x:c>
      <x:c r="M5" s="31" t="n">
        <x:v>583.8438564565</x:v>
      </x:c>
      <x:c r="N5" s="24" t="str">
        <x:v>marine fishes not identified</x:v>
      </x:c>
      <x:c r="O5" s="32" t="n">
        <x:v>3.28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Marine fishes not identified</x:v>
      </x:c>
      <x:c r="T5" s="32" t="n">
        <x:f>IF(O5="","",(1/'Metadata'!$B$5)^(O5-1))</x:f>
        <x:v>190.54607179632464</x:v>
      </x:c>
      <x:c r="U5" s="31" t="n">
        <x:f>IF(T5="","",I5*T5)</x:f>
        <x:v>470590.7372224839</x:v>
      </x:c>
    </x:row>
    <x:row r="6" ht="18" customHeight="1">
      <x:c r="A6" s="24" t="str">
        <x:v>LME_043</x:v>
      </x:c>
      <x:c r="B6" s="24" t="str">
        <x:v>Southwest Australian Shelf</x:v>
      </x:c>
      <x:c r="C6" s="24" t="str">
        <x:v>LME</x:v>
      </x:c>
      <x:c r="D6" s="30" t="n">
        <x:v>2019</x:v>
      </x:c>
      <x:c r="E6" s="24" t="str">
        <x:v>Jasus edwardsii</x:v>
      </x:c>
      <x:c r="F6" s="24" t="str">
        <x:v>Red rock lobster</x:v>
      </x:c>
      <x:c r="G6" s="24" t="str">
        <x:v>Lobsters, crabs</x:v>
      </x:c>
      <x:c r="H6" s="24" t="str">
        <x:v>Crustaceans</x:v>
      </x:c>
      <x:c r="I6" s="31" t="n">
        <x:v>1041.6884983875</x:v>
      </x:c>
      <x:c r="J6" s="31" t="n">
        <x:v>1041.6884983875</x:v>
      </x:c>
      <x:c r="K6" s="31" t="n">
        <x:v>0</x:v>
      </x:c>
      <x:c r="L6" s="31" t="n">
        <x:v>1021.5673544537999</x:v>
      </x:c>
      <x:c r="M6" s="31" t="n">
        <x:v>20.1211439337</x:v>
      </x:c>
      <x:c r="N6" s="24" t="str">
        <x:v>jasus edwardsii</x:v>
      </x:c>
      <x:c r="O6" s="32" t="n">
        <x:v>2.6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Jasus edwardsii</x:v>
      </x:c>
      <x:c r="T6" s="32" t="n">
        <x:f>IF(O6="","",(1/'Metadata'!$B$5)^(O6-1))</x:f>
        <x:v>39.810717055349734</x:v>
      </x:c>
      <x:c r="U6" s="31" t="n">
        <x:f>IF(T6="","",I6*T6)</x:f>
        <x:v>41470.3660691169</x:v>
      </x:c>
    </x:row>
    <x:row r="7" ht="18" customHeight="1">
      <x:c r="A7" s="24" t="str">
        <x:v>LME_043</x:v>
      </x:c>
      <x:c r="B7" s="24" t="str">
        <x:v>Southwest Australian Shelf</x:v>
      </x:c>
      <x:c r="C7" s="24" t="str">
        <x:v>LME</x:v>
      </x:c>
      <x:c r="D7" s="30" t="n">
        <x:v>2019</x:v>
      </x:c>
      <x:c r="E7" s="24" t="str">
        <x:v>Perciformes</x:v>
      </x:c>
      <x:c r="F7" s="24" t="str">
        <x:v>Perch-likes</x:v>
      </x:c>
      <x:c r="G7" s="24" t="str">
        <x:v>Medium demersals (30 - 89 cm)</x:v>
      </x:c>
      <x:c r="H7" s="24" t="str">
        <x:v>Perch-likes</x:v>
      </x:c>
      <x:c r="I7" s="31" t="n">
        <x:v>814.609563588</x:v>
      </x:c>
      <x:c r="J7" s="31" t="n">
        <x:v>796.3940594498999</x:v>
      </x:c>
      <x:c r="K7" s="31" t="n">
        <x:v>18.2155041381</x:v>
      </x:c>
      <x:c r="L7" s="31" t="n">
        <x:v>480.19347270229997</x:v>
      </x:c>
      <x:c r="M7" s="31" t="n">
        <x:v>334.41609088570004</x:v>
      </x:c>
      <x:c r="N7" s="24" t="str">
        <x:v>perciformes</x:v>
      </x:c>
      <x:c r="O7" s="32" t="n">
        <x:v>3.53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Perciformes</x:v>
      </x:c>
      <x:c r="T7" s="32" t="n">
        <x:f>IF(O7="","",(1/'Metadata'!$B$5)^(O7-1))</x:f>
        <x:v>338.84415613920237</x:v>
      </x:c>
      <x:c r="U7" s="31" t="n">
        <x:f>IF(T7="","",I7*T7)</x:f>
        <x:v>276025.6901568998</x:v>
      </x:c>
    </x:row>
    <x:row r="8" ht="18" customHeight="1">
      <x:c r="A8" s="24" t="str">
        <x:v>LME_043</x:v>
      </x:c>
      <x:c r="B8" s="24" t="str">
        <x:v>Southwest Australian Shelf</x:v>
      </x:c>
      <x:c r="C8" s="24" t="str">
        <x:v>LME</x:v>
      </x:c>
      <x:c r="D8" s="30" t="n">
        <x:v>2019</x:v>
      </x:c>
      <x:c r="E8" s="24" t="str">
        <x:v>Elasmobranchii</x:v>
      </x:c>
      <x:c r="F8" s="24" t="str">
        <x:v>Sharks, rays, skates</x:v>
      </x:c>
      <x:c r="G8" s="24" t="str">
        <x:v>Large sharks (&gt;=90 cm)</x:v>
      </x:c>
      <x:c r="H8" s="24" t="str">
        <x:v>Sharks &amp; rays</x:v>
      </x:c>
      <x:c r="I8" s="31" t="n">
        <x:v>799.7123969643</x:v>
      </x:c>
      <x:c r="J8" s="31" t="n">
        <x:v>799.4455957634</x:v>
      </x:c>
      <x:c r="K8" s="31" t="n">
        <x:v>0.2668012009</x:v>
      </x:c>
      <x:c r="L8" s="31" t="n">
        <x:v>55.5796917992</x:v>
      </x:c>
      <x:c r="M8" s="31" t="n">
        <x:v>744.1327051651</x:v>
      </x:c>
      <x:c r="N8" s="24" t="str">
        <x:v>elasmobranchii</x:v>
      </x:c>
      <x:c r="O8" s="32" t="n">
        <x:v>4.05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Elasmobranchii</x:v>
      </x:c>
      <x:c r="T8" s="32" t="n">
        <x:f>IF(O8="","",(1/'Metadata'!$B$5)^(O8-1))</x:f>
        <x:v>1122.018454301963</x:v>
      </x:c>
      <x:c r="U8" s="31" t="n">
        <x:f>IF(T8="","",I8*T8)</x:f>
        <x:v>897292.0675280016</x:v>
      </x:c>
    </x:row>
    <x:row r="9" ht="18" customHeight="1">
      <x:c r="A9" s="24" t="str">
        <x:v>LME_043</x:v>
      </x:c>
      <x:c r="B9" s="24" t="str">
        <x:v>Southwest Australian Shelf</x:v>
      </x:c>
      <x:c r="C9" s="24" t="str">
        <x:v>LME</x:v>
      </x:c>
      <x:c r="D9" s="30" t="n">
        <x:v>2019</x:v>
      </x:c>
      <x:c r="E9" s="24" t="str">
        <x:v>Scomber australasicus</x:v>
      </x:c>
      <x:c r="F9" s="24" t="str">
        <x:v>Blue mackerel</x:v>
      </x:c>
      <x:c r="G9" s="24" t="str">
        <x:v>Medium pelagics (30 - 89 cm)</x:v>
      </x:c>
      <x:c r="H9" s="24" t="str">
        <x:v>Perch-likes</x:v>
      </x:c>
      <x:c r="I9" s="31" t="n">
        <x:v>767.0026360558</x:v>
      </x:c>
      <x:c r="J9" s="31" t="n">
        <x:v>767.0026360558</x:v>
      </x:c>
      <x:c r="K9" s="31" t="n">
        <x:v>0</x:v>
      </x:c>
      <x:c r="L9" s="31" t="n">
        <x:v>757.79754025</x:v>
      </x:c>
      <x:c r="M9" s="31" t="n">
        <x:v>9.205095805800001</x:v>
      </x:c>
      <x:c r="N9" s="24" t="str">
        <x:v>scomber australasicus</x:v>
      </x:c>
      <x:c r="O9" s="32" t="n">
        <x:v>4.23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Scomber australasicus</x:v>
      </x:c>
      <x:c r="T9" s="32" t="n">
        <x:f>IF(O9="","",(1/'Metadata'!$B$5)^(O9-1))</x:f>
        <x:v>1698.243652461746</x:v>
      </x:c>
      <x:c r="U9" s="31" t="n">
        <x:f>IF(T9="","",I9*T9)</x:f>
        <x:v>1302557.3581031892</x:v>
      </x:c>
    </x:row>
    <x:row r="10" ht="18" customHeight="1">
      <x:c r="A10" s="24" t="str">
        <x:v>LME_043</x:v>
      </x:c>
      <x:c r="B10" s="24" t="str">
        <x:v>Southwest Australian Shelf</x:v>
      </x:c>
      <x:c r="C10" s="24" t="str">
        <x:v>LME</x:v>
      </x:c>
      <x:c r="D10" s="30" t="n">
        <x:v>2019</x:v>
      </x:c>
      <x:c r="E10" s="24" t="str">
        <x:v>Macruronus novaezelandiae</x:v>
      </x:c>
      <x:c r="F10" s="24" t="str">
        <x:v>Blue grenadier</x:v>
      </x:c>
      <x:c r="G10" s="24" t="str">
        <x:v>Large demersals (&gt;=90 cm)</x:v>
      </x:c>
      <x:c r="H10" s="24" t="str">
        <x:v>Cod-likes</x:v>
      </x:c>
      <x:c r="I10" s="31" t="n">
        <x:v>698.9817712918</x:v>
      </x:c>
      <x:c r="J10" s="31" t="n">
        <x:v>621.5359525402</x:v>
      </x:c>
      <x:c r="K10" s="31" t="n">
        <x:v>77.4458187516</x:v>
      </x:c>
      <x:c r="L10" s="31" t="n">
        <x:v>621.5359525402</x:v>
      </x:c>
      <x:c r="M10" s="31" t="n">
        <x:v>77.4458187516</x:v>
      </x:c>
      <x:c r="N10" s="24" t="str">
        <x:v>macruronus novaezelandiae</x:v>
      </x:c>
      <x:c r="O10" s="32" t="n">
        <x:v>4.53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Macruronus novaezelandiae</x:v>
      </x:c>
      <x:c r="T10" s="32" t="n">
        <x:f>IF(O10="","",(1/'Metadata'!$B$5)^(O10-1))</x:f>
        <x:v>3388.4415613920273</x:v>
      </x:c>
      <x:c r="U10" s="31" t="n">
        <x:f>IF(T10="","",I10*T10)</x:f>
        <x:v>2368458.8845005515</x:v>
      </x:c>
    </x:row>
    <x:row r="11" ht="18" customHeight="1">
      <x:c r="A11" s="24" t="str">
        <x:v>LME_043</x:v>
      </x:c>
      <x:c r="B11" s="24" t="str">
        <x:v>Southwest Australian Shelf</x:v>
      </x:c>
      <x:c r="C11" s="24" t="str">
        <x:v>LME</x:v>
      </x:c>
      <x:c r="D11" s="30" t="n">
        <x:v>2019</x:v>
      </x:c>
      <x:c r="E11" s="24" t="str">
        <x:v>Arripis georgiana</x:v>
      </x:c>
      <x:c r="F11" s="24" t="str">
        <x:v>Ruff</x:v>
      </x:c>
      <x:c r="G11" s="24" t="str">
        <x:v>Medium pelagics (30 - 89 cm)</x:v>
      </x:c>
      <x:c r="H11" s="24" t="str">
        <x:v>Perch-likes</x:v>
      </x:c>
      <x:c r="I11" s="31" t="n">
        <x:v>563.8746632523</x:v>
      </x:c>
      <x:c r="J11" s="31" t="n">
        <x:v>563.8746632523</x:v>
      </x:c>
      <x:c r="K11" s="31" t="n">
        <x:v>0</x:v>
      </x:c>
      <x:c r="L11" s="31" t="n">
        <x:v>340.35279193030004</x:v>
      </x:c>
      <x:c r="M11" s="31" t="n">
        <x:v>223.521871322</x:v>
      </x:c>
      <x:c r="N11" s="24" t="str">
        <x:v>arripis georgiana</x:v>
      </x:c>
      <x:c r="O11" s="32" t="n">
        <x:v>4.31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Arripis georgiana</x:v>
      </x:c>
      <x:c r="T11" s="32" t="n">
        <x:f>IF(O11="","",(1/'Metadata'!$B$5)^(O11-1))</x:f>
        <x:v>2041.7379446695275</x:v>
      </x:c>
      <x:c r="U11" s="31" t="n">
        <x:f>IF(T11="","",I11*T11)</x:f>
        <x:v>1151284.295999973</x:v>
      </x:c>
    </x:row>
    <x:row r="12" ht="18" customHeight="1">
      <x:c r="A12" s="24" t="str">
        <x:v>LME_043</x:v>
      </x:c>
      <x:c r="B12" s="24" t="str">
        <x:v>Southwest Australian Shelf</x:v>
      </x:c>
      <x:c r="C12" s="24" t="str">
        <x:v>LME</x:v>
      </x:c>
      <x:c r="D12" s="30" t="n">
        <x:v>2019</x:v>
      </x:c>
      <x:c r="E12" s="24" t="str">
        <x:v>Arripis trutta</x:v>
      </x:c>
      <x:c r="F12" s="24" t="str">
        <x:v>Australian salmon</x:v>
      </x:c>
      <x:c r="G12" s="24" t="str">
        <x:v>Medium pelagics (30 - 89 cm)</x:v>
      </x:c>
      <x:c r="H12" s="24" t="str">
        <x:v>Perch-likes</x:v>
      </x:c>
      <x:c r="I12" s="31" t="n">
        <x:v>542.5626022297</x:v>
      </x:c>
      <x:c r="J12" s="31" t="n">
        <x:v>542.5626022297</x:v>
      </x:c>
      <x:c r="K12" s="31" t="n">
        <x:v>0</x:v>
      </x:c>
      <x:c r="L12" s="31" t="n">
        <x:v>310.6367263258</x:v>
      </x:c>
      <x:c r="M12" s="31" t="n">
        <x:v>231.92587590390002</x:v>
      </x:c>
      <x:c r="N12" s="24" t="str">
        <x:v>arripis trutta</x:v>
      </x:c>
      <x:c r="O12" s="32" t="n">
        <x:v>4.07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Arripis trutta</x:v>
      </x:c>
      <x:c r="T12" s="32" t="n">
        <x:f>IF(O12="","",(1/'Metadata'!$B$5)^(O12-1))</x:f>
        <x:v>1174.8975549395302</x:v>
      </x:c>
      <x:c r="U12" s="31" t="n">
        <x:f>IF(T12="","",I12*T12)</x:f>
        <x:v>637455.4747613034</x:v>
      </x:c>
    </x:row>
    <x:row r="13" ht="18" customHeight="1">
      <x:c r="A13" s="24" t="str">
        <x:v>LME_043</x:v>
      </x:c>
      <x:c r="B13" s="24" t="str">
        <x:v>Southwest Australian Shelf</x:v>
      </x:c>
      <x:c r="C13" s="24" t="str">
        <x:v>LME</x:v>
      </x:c>
      <x:c r="D13" s="30" t="n">
        <x:v>2019</x:v>
      </x:c>
      <x:c r="E13" s="24" t="str">
        <x:v>Sparidae</x:v>
      </x:c>
      <x:c r="F13" s="24" t="str">
        <x:v>Porgies, seabreams</x:v>
      </x:c>
      <x:c r="G13" s="24" t="str">
        <x:v>Medium benthopelagics (30 - 89 cm)</x:v>
      </x:c>
      <x:c r="H13" s="24" t="str">
        <x:v>Perch-likes</x:v>
      </x:c>
      <x:c r="I13" s="31" t="n">
        <x:v>482.59801621500003</x:v>
      </x:c>
      <x:c r="J13" s="31" t="n">
        <x:v>482.59801621500003</x:v>
      </x:c>
      <x:c r="K13" s="31" t="n">
        <x:v>0</x:v>
      </x:c>
      <x:c r="L13" s="31" t="n">
        <x:v>121.1052646105</x:v>
      </x:c>
      <x:c r="M13" s="31" t="n">
        <x:v>361.49275160450003</x:v>
      </x:c>
      <x:c r="N13" s="24" t="str">
        <x:v>sparidae</x:v>
      </x:c>
      <x:c r="O13" s="32" t="n">
        <x:v>3.31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Sparidae</x:v>
      </x:c>
      <x:c r="T13" s="32" t="n">
        <x:f>IF(O13="","",(1/'Metadata'!$B$5)^(O13-1))</x:f>
        <x:v>204.17379446695296</x:v>
      </x:c>
      <x:c r="U13" s="31" t="n">
        <x:f>IF(T13="","",I13*T13)</x:f>
        <x:v>98533.86817284065</x:v>
      </x:c>
    </x:row>
    <x:row r="14" ht="18" customHeight="1">
      <x:c r="A14" s="24" t="str">
        <x:v>LME_043</x:v>
      </x:c>
      <x:c r="B14" s="24" t="str">
        <x:v>Southwest Australian Shelf</x:v>
      </x:c>
      <x:c r="C14" s="24" t="str">
        <x:v>LME</x:v>
      </x:c>
      <x:c r="D14" s="30" t="n">
        <x:v>2019</x:v>
      </x:c>
      <x:c r="E14" s="24" t="str">
        <x:v>Emmelichthys nitidus</x:v>
      </x:c>
      <x:c r="F14" s="24" t="str">
        <x:v>Cape bonnetmouth</x:v>
      </x:c>
      <x:c r="G14" s="24" t="str">
        <x:v>Medium bathydemersals (30 - 89 cm)</x:v>
      </x:c>
      <x:c r="H14" s="24" t="str">
        <x:v>Perch-likes</x:v>
      </x:c>
      <x:c r="I14" s="31" t="n">
        <x:v>475.4336339299</x:v>
      </x:c>
      <x:c r="J14" s="31" t="n">
        <x:v>475.4336339299</x:v>
      </x:c>
      <x:c r="K14" s="31" t="n">
        <x:v>0</x:v>
      </x:c>
      <x:c r="L14" s="31" t="n">
        <x:v>475.4336339299</x:v>
      </x:c>
      <x:c r="M14" s="31" t="n">
        <x:v>0</x:v>
      </x:c>
      <x:c r="N14" s="24" t="str">
        <x:v>emmelichthys nitidus</x:v>
      </x:c>
      <x:c r="O14" s="32" t="n">
        <x:v>3.61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Emmelichthys nitidus</x:v>
      </x:c>
      <x:c r="T14" s="32" t="n">
        <x:f>IF(O14="","",(1/'Metadata'!$B$5)^(O14-1))</x:f>
        <x:v>407.3802778041126</x:v>
      </x:c>
      <x:c r="U14" s="31" t="n">
        <x:f>IF(T14="","",I14*T14)</x:f>
        <x:v>193682.28586778144</x:v>
      </x:c>
    </x:row>
    <x:row r="15" ht="18" customHeight="1">
      <x:c r="A15" s="24" t="str">
        <x:v>LME_043</x:v>
      </x:c>
      <x:c r="B15" s="24" t="str">
        <x:v>Southwest Australian Shelf</x:v>
      </x:c>
      <x:c r="C15" s="24" t="str">
        <x:v>LME</x:v>
      </x:c>
      <x:c r="D15" s="30" t="n">
        <x:v>2019</x:v>
      </x:c>
      <x:c r="E15" s="24" t="str">
        <x:v>Thyrsites atun</x:v>
      </x:c>
      <x:c r="F15" s="24" t="str">
        <x:v>Snoek</x:v>
      </x:c>
      <x:c r="G15" s="24" t="str">
        <x:v>Large benthopelagics (&gt;=90 cm)</x:v>
      </x:c>
      <x:c r="H15" s="24" t="str">
        <x:v>Perch-likes</x:v>
      </x:c>
      <x:c r="I15" s="31" t="n">
        <x:v>378.03197812819997</x:v>
      </x:c>
      <x:c r="J15" s="31" t="n">
        <x:v>145.3463170975</x:v>
      </x:c>
      <x:c r="K15" s="31" t="n">
        <x:v>232.6856610307</x:v>
      </x:c>
      <x:c r="L15" s="31" t="n">
        <x:v>9.6029755288</x:v>
      </x:c>
      <x:c r="M15" s="31" t="n">
        <x:v>368.4290025994</x:v>
      </x:c>
      <x:c r="N15" s="24" t="str">
        <x:v>thyrsites atun</x:v>
      </x:c>
      <x:c r="O15" s="32" t="n">
        <x:v>3.63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Thyrsites atun</x:v>
      </x:c>
      <x:c r="T15" s="32" t="n">
        <x:f>IF(O15="","",(1/'Metadata'!$B$5)^(O15-1))</x:f>
        <x:v>426.57951880159254</x:v>
      </x:c>
      <x:c r="U15" s="31" t="n">
        <x:f>IF(T15="","",I15*T15)</x:f>
        <x:v>161260.6993215417</x:v>
      </x:c>
    </x:row>
    <x:row r="16" ht="18" customHeight="1">
      <x:c r="A16" s="24" t="str">
        <x:v>LME_043</x:v>
      </x:c>
      <x:c r="B16" s="24" t="str">
        <x:v>Southwest Australian Shelf</x:v>
      </x:c>
      <x:c r="C16" s="24" t="str">
        <x:v>LME</x:v>
      </x:c>
      <x:c r="D16" s="30" t="n">
        <x:v>2019</x:v>
      </x:c>
      <x:c r="E16" s="24" t="str">
        <x:v>Haliotidae</x:v>
      </x:c>
      <x:c r="F16" s="24" t="str">
        <x:v>Abalones, ear shells</x:v>
      </x:c>
      <x:c r="G16" s="24" t="str">
        <x:v>Other demersal invertebrates</x:v>
      </x:c>
      <x:c r="H16" s="24" t="str">
        <x:v>Molluscs</x:v>
      </x:c>
      <x:c r="I16" s="31" t="n">
        <x:v>369.5966330701</x:v>
      </x:c>
      <x:c r="J16" s="31" t="n">
        <x:v>369.5966330701</x:v>
      </x:c>
      <x:c r="K16" s="31" t="n">
        <x:v>0</x:v>
      </x:c>
      <x:c r="L16" s="31" t="n">
        <x:v>363.01716995289996</x:v>
      </x:c>
      <x:c r="M16" s="31" t="n">
        <x:v>6.5794631172</x:v>
      </x:c>
      <x:c r="N16" s="24" t="str">
        <x:v>haliotidae</x:v>
      </x:c>
      <x:c r="O16" s="32" t="n">
        <x:v>2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Haliotidae</x:v>
      </x:c>
      <x:c r="T16" s="32" t="n">
        <x:f>IF(O16="","",(1/'Metadata'!$B$5)^(O16-1))</x:f>
        <x:v>10</x:v>
      </x:c>
      <x:c r="U16" s="31" t="n">
        <x:f>IF(T16="","",I16*T16)</x:f>
        <x:v>3695.9663307009996</x:v>
      </x:c>
    </x:row>
    <x:row r="17" ht="18" customHeight="1">
      <x:c r="A17" s="24" t="str">
        <x:v>LME_043</x:v>
      </x:c>
      <x:c r="B17" s="24" t="str">
        <x:v>Southwest Australian Shelf</x:v>
      </x:c>
      <x:c r="C17" s="24" t="str">
        <x:v>LME</x:v>
      </x:c>
      <x:c r="D17" s="30" t="n">
        <x:v>2019</x:v>
      </x:c>
      <x:c r="E17" s="24" t="str">
        <x:v>Haliotis</x:v>
      </x:c>
      <x:c r="F17" s="24" t="str">
        <x:v>Abalones</x:v>
      </x:c>
      <x:c r="G17" s="24" t="str">
        <x:v>Other demersal invertebrates</x:v>
      </x:c>
      <x:c r="H17" s="24" t="str">
        <x:v>Molluscs</x:v>
      </x:c>
      <x:c r="I17" s="31" t="n">
        <x:v>368.90648653659997</x:v>
      </x:c>
      <x:c r="J17" s="31" t="n">
        <x:v>368.90648653659997</x:v>
      </x:c>
      <x:c r="K17" s="31" t="n">
        <x:v>0</x:v>
      </x:c>
      <x:c r="L17" s="31" t="n">
        <x:v>366.4683518622</x:v>
      </x:c>
      <x:c r="M17" s="31" t="n">
        <x:v>2.4381346744</x:v>
      </x:c>
      <x:c r="N17" s="24" t="str">
        <x:v>haliotis</x:v>
      </x:c>
      <x:c r="O17" s="32" t="n">
        <x:v>2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Haliotis</x:v>
      </x:c>
      <x:c r="T17" s="32" t="n">
        <x:f>IF(O17="","",(1/'Metadata'!$B$5)^(O17-1))</x:f>
        <x:v>10</x:v>
      </x:c>
      <x:c r="U17" s="31" t="n">
        <x:f>IF(T17="","",I17*T17)</x:f>
        <x:v>3689.0648653659996</x:v>
      </x:c>
    </x:row>
    <x:row r="18" ht="18" customHeight="1">
      <x:c r="A18" s="24" t="str">
        <x:v>LME_043</x:v>
      </x:c>
      <x:c r="B18" s="24" t="str">
        <x:v>Southwest Australian Shelf</x:v>
      </x:c>
      <x:c r="C18" s="24" t="str">
        <x:v>LME</x:v>
      </x:c>
      <x:c r="D18" s="30" t="n">
        <x:v>2019</x:v>
      </x:c>
      <x:c r="E18" s="24" t="str">
        <x:v>Haliotis rubra</x:v>
      </x:c>
      <x:c r="F18" s="24" t="str">
        <x:v>Blacklip abalone</x:v>
      </x:c>
      <x:c r="G18" s="24" t="str">
        <x:v>Other demersal invertebrates</x:v>
      </x:c>
      <x:c r="H18" s="24" t="str">
        <x:v>Molluscs</x:v>
      </x:c>
      <x:c r="I18" s="31" t="n">
        <x:v>368.0599999642</x:v>
      </x:c>
      <x:c r="J18" s="31" t="n">
        <x:v>368.0599999642</x:v>
      </x:c>
      <x:c r="K18" s="31" t="n">
        <x:v>0</x:v>
      </x:c>
      <x:c r="L18" s="31" t="n">
        <x:v>368.0599999642</x:v>
      </x:c>
      <x:c r="M18" s="31" t="n">
        <x:v>0</x:v>
      </x:c>
      <x:c r="N18" s="24" t="str">
        <x:v>haliotis rubra</x:v>
      </x:c>
      <x:c r="O18" s="32" t="n">
        <x:v>2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Haliotis rubra</x:v>
      </x:c>
      <x:c r="T18" s="32" t="n">
        <x:f>IF(O18="","",(1/'Metadata'!$B$5)^(O18-1))</x:f>
        <x:v>10</x:v>
      </x:c>
      <x:c r="U18" s="31" t="n">
        <x:f>IF(T18="","",I18*T18)</x:f>
        <x:v>3680.599999642</x:v>
      </x:c>
    </x:row>
    <x:row r="19" ht="18" customHeight="1">
      <x:c r="A19" s="24" t="str">
        <x:v>LME_043</x:v>
      </x:c>
      <x:c r="B19" s="24" t="str">
        <x:v>Southwest Australian Shelf</x:v>
      </x:c>
      <x:c r="C19" s="24" t="str">
        <x:v>LME</x:v>
      </x:c>
      <x:c r="D19" s="30" t="n">
        <x:v>2019</x:v>
      </x:c>
      <x:c r="E19" s="24" t="str">
        <x:v>Pagrus auratus</x:v>
      </x:c>
      <x:c r="F19" s="24" t="str">
        <x:v>Silver seabream</x:v>
      </x:c>
      <x:c r="G19" s="24" t="str">
        <x:v>Large demersals (&gt;=90 cm)</x:v>
      </x:c>
      <x:c r="H19" s="24" t="str">
        <x:v>Perch-likes</x:v>
      </x:c>
      <x:c r="I19" s="31" t="n">
        <x:v>366.3922308484</x:v>
      </x:c>
      <x:c r="J19" s="31" t="n">
        <x:v>366.3922308484</x:v>
      </x:c>
      <x:c r="K19" s="31" t="n">
        <x:v>0</x:v>
      </x:c>
      <x:c r="L19" s="31" t="n">
        <x:v>351.2453854248</x:v>
      </x:c>
      <x:c r="M19" s="31" t="n">
        <x:v>15.1468454236</x:v>
      </x:c>
      <x:c r="N19" s="24" t="str">
        <x:v>pagrus auratus</x:v>
      </x:c>
      <x:c r="O19" s="32" t="n">
        <x:v>3.59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Pagrus auratus</x:v>
      </x:c>
      <x:c r="T19" s="32" t="n">
        <x:f>IF(O19="","",(1/'Metadata'!$B$5)^(O19-1))</x:f>
        <x:v>389.04514499428046</x:v>
      </x:c>
      <x:c r="U19" s="31" t="n">
        <x:f>IF(T19="","",I19*T19)</x:f>
        <x:v>142543.11857519366</x:v>
      </x:c>
    </x:row>
    <x:row r="20" ht="18" customHeight="1">
      <x:c r="A20" s="24" t="str">
        <x:v>LME_043</x:v>
      </x:c>
      <x:c r="B20" s="24" t="str">
        <x:v>Southwest Australian Shelf</x:v>
      </x:c>
      <x:c r="C20" s="24" t="str">
        <x:v>LME</x:v>
      </x:c>
      <x:c r="D20" s="30" t="n">
        <x:v>2019</x:v>
      </x:c>
      <x:c r="E20" s="24" t="str">
        <x:v>Penaeidae</x:v>
      </x:c>
      <x:c r="F20" s="24" t="str">
        <x:v>Commercial shrimps and prawns</x:v>
      </x:c>
      <x:c r="G20" s="24" t="str">
        <x:v>Shrimps</x:v>
      </x:c>
      <x:c r="H20" s="24" t="str">
        <x:v>Crustaceans</x:v>
      </x:c>
      <x:c r="I20" s="31" t="n">
        <x:v>346.4406094033</x:v>
      </x:c>
      <x:c r="J20" s="31" t="n">
        <x:v>345.9612964248</x:v>
      </x:c>
      <x:c r="K20" s="31" t="n">
        <x:v>0.4793129785</x:v>
      </x:c>
      <x:c r="L20" s="31" t="n">
        <x:v>345.44490421480003</x:v>
      </x:c>
      <x:c r="M20" s="31" t="n">
        <x:v>0.9957051885000001</x:v>
      </x:c>
      <x:c r="N20" s="24" t="str">
        <x:v>penaeidae</x:v>
      </x:c>
      <x:c r="O20" s="32" t="n">
        <x:v>3.31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Penaeidae</x:v>
      </x:c>
      <x:c r="T20" s="32" t="n">
        <x:f>IF(O20="","",(1/'Metadata'!$B$5)^(O20-1))</x:f>
        <x:v>204.17379446695296</x:v>
      </x:c>
      <x:c r="U20" s="31" t="n">
        <x:f>IF(T20="","",I20*T20)</x:f>
        <x:v>70734.09377931531</x:v>
      </x:c>
    </x:row>
    <x:row r="21" ht="18" customHeight="1">
      <x:c r="A21" s="24" t="str">
        <x:v>LME_043</x:v>
      </x:c>
      <x:c r="B21" s="24" t="str">
        <x:v>Southwest Australian Shelf</x:v>
      </x:c>
      <x:c r="C21" s="24" t="str">
        <x:v>LME</x:v>
      </x:c>
      <x:c r="D21" s="30" t="n">
        <x:v>2019</x:v>
      </x:c>
      <x:c r="E21" s="24" t="str">
        <x:v>Genypterus blacodes</x:v>
      </x:c>
      <x:c r="F21" s="24" t="str">
        <x:v>Pink cusk-eel</x:v>
      </x:c>
      <x:c r="G21" s="24" t="str">
        <x:v>Large bathydemersals (&gt;=90 cm)</x:v>
      </x:c>
      <x:c r="H21" s="24" t="str">
        <x:v>Other fishes &amp; inverts</x:v>
      </x:c>
      <x:c r="I21" s="31" t="n">
        <x:v>314.6351035908</x:v>
      </x:c>
      <x:c r="J21" s="31" t="n">
        <x:v>314.3387743405</x:v>
      </x:c>
      <x:c r="K21" s="31" t="n">
        <x:v>0.2963292503</x:v>
      </x:c>
      <x:c r="L21" s="31" t="n">
        <x:v>314.2852113117</x:v>
      </x:c>
      <x:c r="M21" s="31" t="n">
        <x:v>0.34989227910000004</x:v>
      </x:c>
      <x:c r="N21" s="24" t="str">
        <x:v>genypterus blacodes</x:v>
      </x:c>
      <x:c r="O21" s="32" t="n">
        <x:v>4.22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Genypterus blacodes</x:v>
      </x:c>
      <x:c r="T21" s="32" t="n">
        <x:f>IF(O21="","",(1/'Metadata'!$B$5)^(O21-1))</x:f>
        <x:v>1659.5869074375596</x:v>
      </x:c>
      <x:c r="U21" s="31" t="n">
        <x:f>IF(T21="","",I21*T21)</x:f>
        <x:v>522164.29853955196</x:v>
      </x:c>
    </x:row>
    <x:row r="22" ht="18" customHeight="1">
      <x:c r="A22" s="24" t="str">
        <x:v>LME_043</x:v>
      </x:c>
      <x:c r="B22" s="24" t="str">
        <x:v>Southwest Australian Shelf</x:v>
      </x:c>
      <x:c r="C22" s="24" t="str">
        <x:v>LME</x:v>
      </x:c>
      <x:c r="D22" s="30" t="n">
        <x:v>2019</x:v>
      </x:c>
      <x:c r="E22" s="24" t="str">
        <x:v>Nototodarus gouldi</x:v>
      </x:c>
      <x:c r="F22" s="24" t="str">
        <x:v>Gould's flying squid</x:v>
      </x:c>
      <x:c r="G22" s="24" t="str">
        <x:v>Cephalopods</x:v>
      </x:c>
      <x:c r="H22" s="24" t="str">
        <x:v>Other fishes &amp; inverts</x:v>
      </x:c>
      <x:c r="I22" s="31" t="n">
        <x:v>276.0274620779</x:v>
      </x:c>
      <x:c r="J22" s="31" t="n">
        <x:v>276.0274620779</x:v>
      </x:c>
      <x:c r="K22" s="31" t="n">
        <x:v>0</x:v>
      </x:c>
      <x:c r="L22" s="31" t="n">
        <x:v>276.0224285941</x:v>
      </x:c>
      <x:c r="M22" s="31" t="n">
        <x:v>0.0050334838</x:v>
      </x:c>
      <x:c r="N22" s="24" t="str">
        <x:v>nototodarus gouldi</x:v>
      </x:c>
      <x:c r="O22" s="32" t="n">
        <x:v>4.07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Nototodarus gouldi</x:v>
      </x:c>
      <x:c r="T22" s="32" t="n">
        <x:f>IF(O22="","",(1/'Metadata'!$B$5)^(O22-1))</x:f>
        <x:v>1174.8975549395302</x:v>
      </x:c>
      <x:c r="U22" s="31" t="n">
        <x:f>IF(T22="","",I22*T22)</x:f>
        <x:v>324303.9902914886</x:v>
      </x:c>
    </x:row>
    <x:row r="23" ht="18" customHeight="1">
      <x:c r="A23" s="24" t="str">
        <x:v>LME_043</x:v>
      </x:c>
      <x:c r="B23" s="24" t="str">
        <x:v>Southwest Australian Shelf</x:v>
      </x:c>
      <x:c r="C23" s="24" t="str">
        <x:v>LME</x:v>
      </x:c>
      <x:c r="D23" s="30" t="n">
        <x:v>2019</x:v>
      </x:c>
      <x:c r="E23" s="24" t="str">
        <x:v>Genypterus</x:v>
      </x:c>
      <x:c r="F23" s="24" t="str">
        <x:v>Genypterid cuskeels</x:v>
      </x:c>
      <x:c r="G23" s="24" t="str">
        <x:v>Large bathydemersals (&gt;=90 cm)</x:v>
      </x:c>
      <x:c r="H23" s="24" t="str">
        <x:v>Other fishes &amp; inverts</x:v>
      </x:c>
      <x:c r="I23" s="31" t="n">
        <x:v>267.8884664214</x:v>
      </x:c>
      <x:c r="J23" s="31" t="n">
        <x:v>267.8884664214</x:v>
      </x:c>
      <x:c r="K23" s="31" t="n">
        <x:v>0</x:v>
      </x:c>
      <x:c r="L23" s="31" t="n">
        <x:v>267.8738226359</x:v>
      </x:c>
      <x:c r="M23" s="31" t="n">
        <x:v>0.0146437855</x:v>
      </x:c>
      <x:c r="N23" s="24" t="str">
        <x:v>genypterus</x:v>
      </x:c>
      <x:c r="O23" s="32" t="n">
        <x:v>4.2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Genypterus</x:v>
      </x:c>
      <x:c r="T23" s="32" t="n">
        <x:f>IF(O23="","",(1/'Metadata'!$B$5)^(O23-1))</x:f>
        <x:v>1584.893192461114</x:v>
      </x:c>
      <x:c r="U23" s="31" t="n">
        <x:f>IF(T23="","",I23*T23)</x:f>
        <x:v>424574.6067701246</x:v>
      </x:c>
    </x:row>
    <x:row r="24" ht="18" customHeight="1">
      <x:c r="A24" s="24" t="str">
        <x:v>LME_043</x:v>
      </x:c>
      <x:c r="B24" s="24" t="str">
        <x:v>Southwest Australian Shelf</x:v>
      </x:c>
      <x:c r="C24" s="24" t="str">
        <x:v>LME</x:v>
      </x:c>
      <x:c r="D24" s="30" t="n">
        <x:v>2019</x:v>
      </x:c>
      <x:c r="E24" s="24" t="str">
        <x:v>Triglidae</x:v>
      </x:c>
      <x:c r="F24" s="24" t="str">
        <x:v>Searobins, gurnards</x:v>
      </x:c>
      <x:c r="G24" s="24" t="str">
        <x:v>Medium demersals (30 - 89 cm)</x:v>
      </x:c>
      <x:c r="H24" s="24" t="str">
        <x:v>Scorpionfishes</x:v>
      </x:c>
      <x:c r="I24" s="31" t="n">
        <x:v>221.2315133233</x:v>
      </x:c>
      <x:c r="J24" s="31" t="n">
        <x:v>7.7676552557</x:v>
      </x:c>
      <x:c r="K24" s="31" t="n">
        <x:v>213.4638580676</x:v>
      </x:c>
      <x:c r="L24" s="31" t="n">
        <x:v>4.1714271254</x:v>
      </x:c>
      <x:c r="M24" s="31" t="n">
        <x:v>217.0600861979</x:v>
      </x:c>
      <x:c r="N24" s="24" t="str">
        <x:v>triglidae</x:v>
      </x:c>
      <x:c r="O24" s="32" t="n">
        <x:v>3.74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Triglidae</x:v>
      </x:c>
      <x:c r="T24" s="32" t="n">
        <x:f>IF(O24="","",(1/'Metadata'!$B$5)^(O24-1))</x:f>
        <x:v>549.5408738576248</x:v>
      </x:c>
      <x:c r="U24" s="31" t="n">
        <x:f>IF(T24="","",I24*T24)</x:f>
        <x:v>121575.75915653104</x:v>
      </x:c>
    </x:row>
    <x:row r="25" ht="18" customHeight="1">
      <x:c r="A25" s="24" t="str">
        <x:v>LME_043</x:v>
      </x:c>
      <x:c r="B25" s="24" t="str">
        <x:v>Southwest Australian Shelf</x:v>
      </x:c>
      <x:c r="C25" s="24" t="str">
        <x:v>LME</x:v>
      </x:c>
      <x:c r="D25" s="30" t="n">
        <x:v>2019</x:v>
      </x:c>
      <x:c r="E25" s="24" t="str">
        <x:v>Berycidae</x:v>
      </x:c>
      <x:c r="F25" s="24" t="str">
        <x:v>Alfonsinos, redfishes</x:v>
      </x:c>
      <x:c r="G25" s="24" t="str">
        <x:v>Medium benthopelagics (30 - 89 cm)</x:v>
      </x:c>
      <x:c r="H25" s="24" t="str">
        <x:v>Other fishes &amp; inverts</x:v>
      </x:c>
      <x:c r="I25" s="31" t="n">
        <x:v>193.5169115325</x:v>
      </x:c>
      <x:c r="J25" s="31" t="n">
        <x:v>193.5169115325</x:v>
      </x:c>
      <x:c r="K25" s="31" t="n">
        <x:v>0</x:v>
      </x:c>
      <x:c r="L25" s="31" t="n">
        <x:v>152.0133936429</x:v>
      </x:c>
      <x:c r="M25" s="31" t="n">
        <x:v>41.5035178896</x:v>
      </x:c>
      <x:c r="N25" s="24" t="str">
        <x:v>berycidae</x:v>
      </x:c>
      <x:c r="O25" s="32" t="n">
        <x:v>3.99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Berycidae</x:v>
      </x:c>
      <x:c r="T25" s="32" t="n">
        <x:f>IF(O25="","",(1/'Metadata'!$B$5)^(O25-1))</x:f>
        <x:v>977.2372209558112</x:v>
      </x:c>
      <x:c r="U25" s="31" t="n">
        <x:f>IF(T25="","",I25*T25)</x:f>
        <x:v>189111.92883397185</x:v>
      </x:c>
    </x:row>
    <x:row r="26" ht="18" customHeight="1">
      <x:c r="A26" s="24" t="str">
        <x:v>LME_043</x:v>
      </x:c>
      <x:c r="B26" s="24" t="str">
        <x:v>Southwest Australian Shelf</x:v>
      </x:c>
      <x:c r="C26" s="24" t="str">
        <x:v>LME</x:v>
      </x:c>
      <x:c r="D26" s="30" t="n">
        <x:v>2019</x:v>
      </x:c>
      <x:c r="E26" s="24" t="str">
        <x:v>Donax</x:v>
      </x:c>
      <x:c r="F26" s="24" t="str">
        <x:v>Bean clams</x:v>
      </x:c>
      <x:c r="G26" s="24" t="str">
        <x:v>Other demersal invertebrates</x:v>
      </x:c>
      <x:c r="H26" s="24" t="str">
        <x:v>Molluscs</x:v>
      </x:c>
      <x:c r="I26" s="31" t="n">
        <x:v>179.9956272197</x:v>
      </x:c>
      <x:c r="J26" s="31" t="n">
        <x:v>179.9956272197</x:v>
      </x:c>
      <x:c r="K26" s="31" t="n">
        <x:v>0</x:v>
      </x:c>
      <x:c r="L26" s="31" t="n">
        <x:v>170.63233449380002</x:v>
      </x:c>
      <x:c r="M26" s="31" t="n">
        <x:v>9.3632927259</x:v>
      </x:c>
      <x:c r="N26" s="24" t="str">
        <x:v>donax</x:v>
      </x:c>
      <x:c r="O26" s="32" t="n">
        <x:v>2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Donax</x:v>
      </x:c>
      <x:c r="T26" s="32" t="n">
        <x:f>IF(O26="","",(1/'Metadata'!$B$5)^(O26-1))</x:f>
        <x:v>10</x:v>
      </x:c>
      <x:c r="U26" s="31" t="n">
        <x:f>IF(T26="","",I26*T26)</x:f>
        <x:v>1799.956272197</x:v>
      </x:c>
    </x:row>
    <x:row r="27" ht="18" customHeight="1">
      <x:c r="A27" s="24" t="str">
        <x:v>LME_043</x:v>
      </x:c>
      <x:c r="B27" s="24" t="str">
        <x:v>Southwest Australian Shelf</x:v>
      </x:c>
      <x:c r="C27" s="24" t="str">
        <x:v>LME</x:v>
      </x:c>
      <x:c r="D27" s="30" t="n">
        <x:v>2019</x:v>
      </x:c>
      <x:c r="E27" s="24" t="str">
        <x:v>Lepidopus caudatus</x:v>
      </x:c>
      <x:c r="F27" s="24" t="str">
        <x:v>Silver scabbardfish</x:v>
      </x:c>
      <x:c r="G27" s="24" t="str">
        <x:v>Large bathydemersals (&gt;=90 cm)</x:v>
      </x:c>
      <x:c r="H27" s="24" t="str">
        <x:v>Perch-likes</x:v>
      </x:c>
      <x:c r="I27" s="31" t="n">
        <x:v>173.91967627969998</x:v>
      </x:c>
      <x:c r="J27" s="31" t="n">
        <x:v>74.1127236808</x:v>
      </x:c>
      <x:c r="K27" s="31" t="n">
        <x:v>99.8069525989</x:v>
      </x:c>
      <x:c r="L27" s="31" t="n">
        <x:v>74.1127236808</x:v>
      </x:c>
      <x:c r="M27" s="31" t="n">
        <x:v>99.8069525989</x:v>
      </x:c>
      <x:c r="N27" s="24" t="str">
        <x:v>lepidopus caudatus</x:v>
      </x:c>
      <x:c r="O27" s="32" t="n">
        <x:v>3.82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Lepidopus caudatus</x:v>
      </x:c>
      <x:c r="T27" s="32" t="n">
        <x:f>IF(O27="","",(1/'Metadata'!$B$5)^(O27-1))</x:f>
        <x:v>660.6934480075957</x:v>
      </x:c>
      <x:c r="U27" s="31" t="n">
        <x:f>IF(T27="","",I27*T27)</x:f>
        <x:v>114907.59059759985</x:v>
      </x:c>
    </x:row>
    <x:row r="28" ht="18" customHeight="1">
      <x:c r="A28" s="24" t="str">
        <x:v>LME_043</x:v>
      </x:c>
      <x:c r="B28" s="24" t="str">
        <x:v>Southwest Australian Shelf</x:v>
      </x:c>
      <x:c r="C28" s="24" t="str">
        <x:v>LME</x:v>
      </x:c>
      <x:c r="D28" s="30" t="n">
        <x:v>2019</x:v>
      </x:c>
      <x:c r="E28" s="24" t="str">
        <x:v>Mugilidae</x:v>
      </x:c>
      <x:c r="F28" s="24" t="str">
        <x:v>Mullets, grey mullets</x:v>
      </x:c>
      <x:c r="G28" s="24" t="str">
        <x:v>Medium reef assoc. fish (30 - 89 cm)</x:v>
      </x:c>
      <x:c r="H28" s="24" t="str">
        <x:v>Perch-likes</x:v>
      </x:c>
      <x:c r="I28" s="31" t="n">
        <x:v>172.4089779926</x:v>
      </x:c>
      <x:c r="J28" s="31" t="n">
        <x:v>172.4089779926</x:v>
      </x:c>
      <x:c r="K28" s="31" t="n">
        <x:v>0</x:v>
      </x:c>
      <x:c r="L28" s="31" t="n">
        <x:v>133.6094843763</x:v>
      </x:c>
      <x:c r="M28" s="31" t="n">
        <x:v>38.7994936163</x:v>
      </x:c>
      <x:c r="N28" s="24" t="str">
        <x:v>mugilidae</x:v>
      </x:c>
      <x:c r="O28" s="32" t="n">
        <x:v>2.53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Mugilidae</x:v>
      </x:c>
      <x:c r="T28" s="32" t="n">
        <x:f>IF(O28="","",(1/'Metadata'!$B$5)^(O28-1))</x:f>
        <x:v>33.88441561392024</x:v>
      </x:c>
      <x:c r="U28" s="31" t="n">
        <x:f>IF(T28="","",I28*T28)</x:f>
        <x:v>5841.977465872486</x:v>
      </x:c>
    </x:row>
    <x:row r="29" ht="18" customHeight="1">
      <x:c r="A29" s="24" t="str">
        <x:v>LME_043</x:v>
      </x:c>
      <x:c r="B29" s="24" t="str">
        <x:v>Southwest Australian Shelf</x:v>
      </x:c>
      <x:c r="C29" s="24" t="str">
        <x:v>LME</x:v>
      </x:c>
      <x:c r="D29" s="30" t="n">
        <x:v>2019</x:v>
      </x:c>
      <x:c r="E29" s="24" t="str">
        <x:v>Carangidae</x:v>
      </x:c>
      <x:c r="F29" s="24" t="str">
        <x:v>Jacks, pompanos</x:v>
      </x:c>
      <x:c r="G29" s="24" t="str">
        <x:v>Medium pelagics (30 - 89 cm)</x:v>
      </x:c>
      <x:c r="H29" s="24" t="str">
        <x:v>Perch-likes</x:v>
      </x:c>
      <x:c r="I29" s="31" t="n">
        <x:v>160.48178467629998</x:v>
      </x:c>
      <x:c r="J29" s="31" t="n">
        <x:v>156.0833995664</x:v>
      </x:c>
      <x:c r="K29" s="31" t="n">
        <x:v>4.3983851099</x:v>
      </x:c>
      <x:c r="L29" s="31" t="n">
        <x:v>70.5852566914</x:v>
      </x:c>
      <x:c r="M29" s="31" t="n">
        <x:v>89.89652798489999</x:v>
      </x:c>
      <x:c r="N29" s="24" t="str">
        <x:v>carangidae</x:v>
      </x:c>
      <x:c r="O29" s="32" t="n">
        <x:v>4.05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Carangidae</x:v>
      </x:c>
      <x:c r="T29" s="32" t="n">
        <x:f>IF(O29="","",(1/'Metadata'!$B$5)^(O29-1))</x:f>
        <x:v>1122.018454301963</x:v>
      </x:c>
      <x:c r="U29" s="31" t="n">
        <x:f>IF(T29="","",I29*T29)</x:f>
        <x:v>180063.52398612254</x:v>
      </x:c>
    </x:row>
    <x:row r="30" ht="18" customHeight="1">
      <x:c r="A30" s="24" t="str">
        <x:v>LME_043</x:v>
      </x:c>
      <x:c r="B30" s="24" t="str">
        <x:v>Southwest Australian Shelf</x:v>
      </x:c>
      <x:c r="C30" s="24" t="str">
        <x:v>LME</x:v>
      </x:c>
      <x:c r="D30" s="30" t="n">
        <x:v>2019</x:v>
      </x:c>
      <x:c r="E30" s="24" t="str">
        <x:v>Hemiramphidae</x:v>
      </x:c>
      <x:c r="F30" s="24" t="str">
        <x:v>Halfbeaks, garfishes</x:v>
      </x:c>
      <x:c r="G30" s="24" t="str">
        <x:v>Medium pelagics (30 - 89 cm)</x:v>
      </x:c>
      <x:c r="H30" s="24" t="str">
        <x:v>Other fishes &amp; inverts</x:v>
      </x:c>
      <x:c r="I30" s="31" t="n">
        <x:v>151.76069386170002</x:v>
      </x:c>
      <x:c r="J30" s="31" t="n">
        <x:v>151.76069386170002</x:v>
      </x:c>
      <x:c r="K30" s="31" t="n">
        <x:v>0</x:v>
      </x:c>
      <x:c r="L30" s="31" t="n">
        <x:v>120.4472714222</x:v>
      </x:c>
      <x:c r="M30" s="31" t="n">
        <x:v>31.3134224395</x:v>
      </x:c>
      <x:c r="N30" s="24" t="str">
        <x:v>hemiramphidae</x:v>
      </x:c>
      <x:c r="O30" s="32" t="n">
        <x:v>2.82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Hemiramphidae</x:v>
      </x:c>
      <x:c r="T30" s="32" t="n">
        <x:f>IF(O30="","",(1/'Metadata'!$B$5)^(O30-1))</x:f>
        <x:v>66.06934480075958</x:v>
      </x:c>
      <x:c r="U30" s="31" t="n">
        <x:f>IF(T30="","",I30*T30)</x:f>
        <x:v>10026.729609951177</x:v>
      </x:c>
    </x:row>
    <x:row r="31" ht="18" customHeight="1">
      <x:c r="A31" s="24" t="str">
        <x:v>LME_043</x:v>
      </x:c>
      <x:c r="B31" s="24" t="str">
        <x:v>Southwest Australian Shelf</x:v>
      </x:c>
      <x:c r="C31" s="24" t="str">
        <x:v>LME</x:v>
      </x:c>
      <x:c r="D31" s="30" t="n">
        <x:v>2019</x:v>
      </x:c>
      <x:c r="E31" s="24" t="str">
        <x:v>Hyperoglyphe antarctica</x:v>
      </x:c>
      <x:c r="F31" s="24" t="str">
        <x:v>Bluenose warehou</x:v>
      </x:c>
      <x:c r="G31" s="24" t="str">
        <x:v>Large benthopelagics (&gt;=90 cm)</x:v>
      </x:c>
      <x:c r="H31" s="24" t="str">
        <x:v>Perch-likes</x:v>
      </x:c>
      <x:c r="I31" s="31" t="n">
        <x:v>144.3497166908</x:v>
      </x:c>
      <x:c r="J31" s="31" t="n">
        <x:v>144.20695917080002</x:v>
      </x:c>
      <x:c r="K31" s="31" t="n">
        <x:v>0.14275752</x:v>
      </x:c>
      <x:c r="L31" s="31" t="n">
        <x:v>143.8698079492</x:v>
      </x:c>
      <x:c r="M31" s="31" t="n">
        <x:v>0.47990874159999997</x:v>
      </x:c>
      <x:c r="N31" s="24" t="str">
        <x:v>hyperoglyphe antarctica</x:v>
      </x:c>
      <x:c r="O31" s="32" t="n">
        <x:v>3.95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Hyperoglyphe antarctica</x:v>
      </x:c>
      <x:c r="T31" s="32" t="n">
        <x:f>IF(O31="","",(1/'Metadata'!$B$5)^(O31-1))</x:f>
        <x:v>891.2509381337459</x:v>
      </x:c>
      <x:c r="U31" s="31" t="n">
        <x:f>IF(T31="","",I31*T31)</x:f>
        <x:v>128651.82042001592</x:v>
      </x:c>
    </x:row>
    <x:row r="32" ht="18" customHeight="1">
      <x:c r="A32" s="24" t="str">
        <x:v>LME_043</x:v>
      </x:c>
      <x:c r="B32" s="24" t="str">
        <x:v>Southwest Australian Shelf</x:v>
      </x:c>
      <x:c r="C32" s="24" t="str">
        <x:v>LME</x:v>
      </x:c>
      <x:c r="D32" s="30" t="n">
        <x:v>2019</x:v>
      </x:c>
      <x:c r="E32" s="24" t="str">
        <x:v>Cephalopoda</x:v>
      </x:c>
      <x:c r="F32" s="24" t="str">
        <x:v>Squids, cuttlefishes, octopuses</x:v>
      </x:c>
      <x:c r="G32" s="24" t="str">
        <x:v>Cephalopods</x:v>
      </x:c>
      <x:c r="H32" s="24" t="str">
        <x:v>Other fishes &amp; inverts</x:v>
      </x:c>
      <x:c r="I32" s="31" t="n">
        <x:v>142.97174647510002</x:v>
      </x:c>
      <x:c r="J32" s="31" t="n">
        <x:v>142.97174647510002</x:v>
      </x:c>
      <x:c r="K32" s="31" t="n">
        <x:v>0</x:v>
      </x:c>
      <x:c r="L32" s="31" t="n">
        <x:v>55.6161285541</x:v>
      </x:c>
      <x:c r="M32" s="31" t="n">
        <x:v>87.355617921</x:v>
      </x:c>
      <x:c r="N32" s="24" t="str">
        <x:v>cephalopoda</x:v>
      </x:c>
      <x:c r="O32" s="32" t="n">
        <x:v>3.81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Cephalopoda</x:v>
      </x:c>
      <x:c r="T32" s="32" t="n">
        <x:f>IF(O32="","",(1/'Metadata'!$B$5)^(O32-1))</x:f>
        <x:v>645.6542290346556</x:v>
      </x:c>
      <x:c r="U32" s="31" t="n">
        <x:f>IF(T32="","",I32*T32)</x:f>
        <x:v>92310.31274411894</x:v>
      </x:c>
    </x:row>
    <x:row r="33" ht="18" customHeight="1">
      <x:c r="A33" s="24" t="str">
        <x:v>LME_043</x:v>
      </x:c>
      <x:c r="B33" s="24" t="str">
        <x:v>Southwest Australian Shelf</x:v>
      </x:c>
      <x:c r="C33" s="24" t="str">
        <x:v>LME</x:v>
      </x:c>
      <x:c r="D33" s="30" t="n">
        <x:v>2019</x:v>
      </x:c>
      <x:c r="E33" s="24" t="str">
        <x:v>Pterygotrigla polyommata</x:v>
      </x:c>
      <x:c r="F33" s="24" t="str">
        <x:v>Latchet</x:v>
      </x:c>
      <x:c r="G33" s="24" t="str">
        <x:v>Medium demersals (30 - 89 cm)</x:v>
      </x:c>
      <x:c r="H33" s="24" t="str">
        <x:v>Scorpionfishes</x:v>
      </x:c>
      <x:c r="I33" s="31" t="n">
        <x:v>140.3599887723</x:v>
      </x:c>
      <x:c r="J33" s="31" t="n">
        <x:v>140.3599887723</x:v>
      </x:c>
      <x:c r="K33" s="31" t="n">
        <x:v>0</x:v>
      </x:c>
      <x:c r="L33" s="31" t="n">
        <x:v>140.3549499803</x:v>
      </x:c>
      <x:c r="M33" s="31" t="n">
        <x:v>0.005038792</x:v>
      </x:c>
      <x:c r="N33" s="24" t="str">
        <x:v>pterygotrigla polyommata</x:v>
      </x:c>
      <x:c r="O33" s="32" t="n">
        <x:v>3.29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Pterygotrigla polyommata</x:v>
      </x:c>
      <x:c r="T33" s="32" t="n">
        <x:f>IF(O33="","",(1/'Metadata'!$B$5)^(O33-1))</x:f>
        <x:v>194.98445997580455</x:v>
      </x:c>
      <x:c r="U33" s="31" t="n">
        <x:f>IF(T33="","",I33*T33)</x:f>
        <x:v>27368.016612976906</x:v>
      </x:c>
    </x:row>
    <x:row r="34" ht="18" customHeight="1">
      <x:c r="A34" s="24" t="str">
        <x:v>LME_043</x:v>
      </x:c>
      <x:c r="B34" s="24" t="str">
        <x:v>Southwest Australian Shelf</x:v>
      </x:c>
      <x:c r="C34" s="24" t="str">
        <x:v>LME</x:v>
      </x:c>
      <x:c r="D34" s="30" t="n">
        <x:v>2019</x:v>
      </x:c>
      <x:c r="E34" s="24" t="str">
        <x:v>Pinna bicolor</x:v>
      </x:c>
      <x:c r="F34" s="24" t="str">
        <x:v>Bicolor pen shell</x:v>
      </x:c>
      <x:c r="G34" s="24" t="str">
        <x:v>Other demersal invertebrates</x:v>
      </x:c>
      <x:c r="H34" s="24" t="str">
        <x:v>Molluscs</x:v>
      </x:c>
      <x:c r="I34" s="31" t="n">
        <x:v>127.7288438594</x:v>
      </x:c>
      <x:c r="J34" s="31" t="n">
        <x:v>127.7288438594</x:v>
      </x:c>
      <x:c r="K34" s="31" t="n">
        <x:v>0</x:v>
      </x:c>
      <x:c r="L34" s="31" t="n">
        <x:v>0</x:v>
      </x:c>
      <x:c r="M34" s="31" t="n">
        <x:v>127.7288438594</x:v>
      </x:c>
      <x:c r="N34" s="24" t="str">
        <x:v>pinna bicolor</x:v>
      </x:c>
      <x:c r="O34" s="32" t="n">
        <x:v>2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Pinna bicolor</x:v>
      </x:c>
      <x:c r="T34" s="32" t="n">
        <x:f>IF(O34="","",(1/'Metadata'!$B$5)^(O34-1))</x:f>
        <x:v>10</x:v>
      </x:c>
      <x:c r="U34" s="31" t="n">
        <x:f>IF(T34="","",I34*T34)</x:f>
        <x:v>1277.2884385940001</x:v>
      </x:c>
    </x:row>
    <x:row r="35" ht="18" customHeight="1">
      <x:c r="A35" s="24" t="str">
        <x:v>LME_043</x:v>
      </x:c>
      <x:c r="B35" s="24" t="str">
        <x:v>Southwest Australian Shelf</x:v>
      </x:c>
      <x:c r="C35" s="24" t="str">
        <x:v>LME</x:v>
      </x:c>
      <x:c r="D35" s="30" t="n">
        <x:v>2019</x:v>
      </x:c>
      <x:c r="E35" s="24" t="str">
        <x:v>Hoplostethus atlanticus</x:v>
      </x:c>
      <x:c r="F35" s="24" t="str">
        <x:v>Orange roughy</x:v>
      </x:c>
      <x:c r="G35" s="24" t="str">
        <x:v>Medium bathypelagics (30 - 89 cm)</x:v>
      </x:c>
      <x:c r="H35" s="24" t="str">
        <x:v>Other fishes &amp; inverts</x:v>
      </x:c>
      <x:c r="I35" s="31" t="n">
        <x:v>116.53872232159999</x:v>
      </x:c>
      <x:c r="J35" s="31" t="n">
        <x:v>114.8404306782</x:v>
      </x:c>
      <x:c r="K35" s="31" t="n">
        <x:v>1.6982916434</x:v>
      </x:c>
      <x:c r="L35" s="31" t="n">
        <x:v>114.8404306782</x:v>
      </x:c>
      <x:c r="M35" s="31" t="n">
        <x:v>1.6982916434</x:v>
      </x:c>
      <x:c r="N35" s="24" t="str">
        <x:v>hoplostethus atlanticus</x:v>
      </x:c>
      <x:c r="O35" s="32" t="n">
        <x:v>4.25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Hoplostethus atlanticus</x:v>
      </x:c>
      <x:c r="T35" s="32" t="n">
        <x:f>IF(O35="","",(1/'Metadata'!$B$5)^(O35-1))</x:f>
        <x:v>1778.2794100389228</x:v>
      </x:c>
      <x:c r="U35" s="31" t="n">
        <x:f>IF(T35="","",I35*T35)</x:f>
        <x:v>207238.4103767447</x:v>
      </x:c>
    </x:row>
    <x:row r="36" ht="18" customHeight="1">
      <x:c r="A36" s="24" t="str">
        <x:v>LME_043</x:v>
      </x:c>
      <x:c r="B36" s="24" t="str">
        <x:v>Southwest Australian Shelf</x:v>
      </x:c>
      <x:c r="C36" s="24" t="str">
        <x:v>LME</x:v>
      </x:c>
      <x:c r="D36" s="30" t="n">
        <x:v>2019</x:v>
      </x:c>
      <x:c r="E36" s="24" t="str">
        <x:v>Lepidorhynchus denticulatus</x:v>
      </x:c>
      <x:c r="F36" s="24" t="str">
        <x:v>Thorntooth grenadier</x:v>
      </x:c>
      <x:c r="G36" s="24" t="str">
        <x:v>Medium bathypelagics (30 - 89 cm)</x:v>
      </x:c>
      <x:c r="H36" s="24" t="str">
        <x:v>Cod-likes</x:v>
      </x:c>
      <x:c r="I36" s="31" t="n">
        <x:v>114.5059738615</x:v>
      </x:c>
      <x:c r="J36" s="31" t="n">
        <x:v>2.0114455616</x:v>
      </x:c>
      <x:c r="K36" s="31" t="n">
        <x:v>112.4945282999</x:v>
      </x:c>
      <x:c r="L36" s="31" t="n">
        <x:v>2.0114455616</x:v>
      </x:c>
      <x:c r="M36" s="31" t="n">
        <x:v>112.4945282999</x:v>
      </x:c>
      <x:c r="N36" s="24" t="str">
        <x:v>lepidorhynchus denticulatus</x:v>
      </x:c>
      <x:c r="O36" s="32" t="n">
        <x:v>3.88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Lepidorhynchus denticulatus</x:v>
      </x:c>
      <x:c r="T36" s="32" t="n">
        <x:f>IF(O36="","",(1/'Metadata'!$B$5)^(O36-1))</x:f>
        <x:v>758.5775750291835</x:v>
      </x:c>
      <x:c r="U36" s="31" t="n">
        <x:f>IF(T36="","",I36*T36)</x:f>
        <x:v>86861.66397821174</x:v>
      </x:c>
    </x:row>
    <x:row r="37" ht="18" customHeight="1">
      <x:c r="A37" s="24" t="str">
        <x:v>LME_043</x:v>
      </x:c>
      <x:c r="B37" s="24" t="str">
        <x:v>Southwest Australian Shelf</x:v>
      </x:c>
      <x:c r="C37" s="24" t="str">
        <x:v>LME</x:v>
      </x:c>
      <x:c r="D37" s="30" t="n">
        <x:v>2019</x:v>
      </x:c>
      <x:c r="E37" s="24" t="str">
        <x:v>Nemadactylus</x:v>
      </x:c>
      <x:c r="F37" s="24" t="str">
        <x:v>Porae</x:v>
      </x:c>
      <x:c r="G37" s="24" t="str">
        <x:v>Medium demersals (30 - 89 cm)</x:v>
      </x:c>
      <x:c r="H37" s="24" t="str">
        <x:v>Perch-likes</x:v>
      </x:c>
      <x:c r="I37" s="31" t="n">
        <x:v>113.0806483361</x:v>
      </x:c>
      <x:c r="J37" s="31" t="n">
        <x:v>113.0806483361</x:v>
      </x:c>
      <x:c r="K37" s="31" t="n">
        <x:v>0</x:v>
      </x:c>
      <x:c r="L37" s="31" t="n">
        <x:v>47.8825280228</x:v>
      </x:c>
      <x:c r="M37" s="31" t="n">
        <x:v>65.1981203133</x:v>
      </x:c>
      <x:c r="N37" s="24" t="str">
        <x:v>nemadactylus</x:v>
      </x:c>
      <x:c r="O37" s="32" t="n">
        <x:v>3.32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Nemadactylus</x:v>
      </x:c>
      <x:c r="T37" s="32" t="n">
        <x:f>IF(O37="","",(1/'Metadata'!$B$5)^(O37-1))</x:f>
        <x:v>208.92961308540387</x:v>
      </x:c>
      <x:c r="U37" s="31" t="n">
        <x:f>IF(T37="","",I37*T37)</x:f>
        <x:v>23625.89610430799</x:v>
      </x:c>
    </x:row>
    <x:row r="38" ht="18" customHeight="1">
      <x:c r="A38" s="24" t="str">
        <x:v>LME_043</x:v>
      </x:c>
      <x:c r="B38" s="24" t="str">
        <x:v>Southwest Australian Shelf</x:v>
      </x:c>
      <x:c r="C38" s="24" t="str">
        <x:v>LME</x:v>
      </x:c>
      <x:c r="D38" s="30" t="n">
        <x:v>2019</x:v>
      </x:c>
      <x:c r="E38" s="24" t="str">
        <x:v>Nemadactylus macropterus</x:v>
      </x:c>
      <x:c r="F38" s="24" t="str">
        <x:v>Tarakihi</x:v>
      </x:c>
      <x:c r="G38" s="24" t="str">
        <x:v>Medium demersals (30 - 89 cm)</x:v>
      </x:c>
      <x:c r="H38" s="24" t="str">
        <x:v>Perch-likes</x:v>
      </x:c>
      <x:c r="I38" s="31" t="n">
        <x:v>111.35628429820001</x:v>
      </x:c>
      <x:c r="J38" s="31" t="n">
        <x:v>103.0770026822</x:v>
      </x:c>
      <x:c r="K38" s="31" t="n">
        <x:v>8.279281616</x:v>
      </x:c>
      <x:c r="L38" s="31" t="n">
        <x:v>103.0769004684</x:v>
      </x:c>
      <x:c r="M38" s="31" t="n">
        <x:v>8.2793838298</x:v>
      </x:c>
      <x:c r="N38" s="24" t="str">
        <x:v>nemadactylus macropterus</x:v>
      </x:c>
      <x:c r="O38" s="32" t="n">
        <x:v>3.41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Nemadactylus macropterus</x:v>
      </x:c>
      <x:c r="T38" s="32" t="n">
        <x:f>IF(O38="","",(1/'Metadata'!$B$5)^(O38-1))</x:f>
        <x:v>257.03957827688646</x:v>
      </x:c>
      <x:c r="U38" s="31" t="n">
        <x:f>IF(T38="","",I38*T38)</x:f>
        <x:v>28622.972354490405</x:v>
      </x:c>
    </x:row>
    <x:row r="39" ht="18" customHeight="1">
      <x:c r="A39" s="24" t="str">
        <x:v>LME_043</x:v>
      </x:c>
      <x:c r="B39" s="24" t="str">
        <x:v>Southwest Australian Shelf</x:v>
      </x:c>
      <x:c r="C39" s="24" t="str">
        <x:v>LME</x:v>
      </x:c>
      <x:c r="D39" s="30" t="n">
        <x:v>2019</x:v>
      </x:c>
      <x:c r="E39" s="24" t="str">
        <x:v>Portunus</x:v>
      </x:c>
      <x:c r="F39" s="24" t="str">
        <x:v>Swimmer crabs</x:v>
      </x:c>
      <x:c r="G39" s="24" t="str">
        <x:v>Lobsters, crabs</x:v>
      </x:c>
      <x:c r="H39" s="24" t="str">
        <x:v>Crustaceans</x:v>
      </x:c>
      <x:c r="I39" s="31" t="n">
        <x:v>111.2659881761</x:v>
      </x:c>
      <x:c r="J39" s="31" t="n">
        <x:v>111.2659881761</x:v>
      </x:c>
      <x:c r="K39" s="31" t="n">
        <x:v>0</x:v>
      </x:c>
      <x:c r="L39" s="31" t="n">
        <x:v>111.2659881761</x:v>
      </x:c>
      <x:c r="M39" s="31" t="n">
        <x:v>0</x:v>
      </x:c>
      <x:c r="N39" s="24" t="str">
        <x:v>portunus</x:v>
      </x:c>
      <x:c r="O39" s="32" t="n">
        <x:v>3.26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Portunus</x:v>
      </x:c>
      <x:c r="T39" s="32" t="n">
        <x:f>IF(O39="","",(1/'Metadata'!$B$5)^(O39-1))</x:f>
        <x:v>181.97008586099827</x:v>
      </x:c>
      <x:c r="U39" s="31" t="n">
        <x:f>IF(T39="","",I39*T39)</x:f>
        <x:v>20247.081421813735</x:v>
      </x:c>
    </x:row>
    <x:row r="40" ht="18" customHeight="1">
      <x:c r="A40" s="24" t="str">
        <x:v>LME_043</x:v>
      </x:c>
      <x:c r="B40" s="24" t="str">
        <x:v>Southwest Australian Shelf</x:v>
      </x:c>
      <x:c r="C40" s="24" t="str">
        <x:v>LME</x:v>
      </x:c>
      <x:c r="D40" s="30" t="n">
        <x:v>2019</x:v>
      </x:c>
      <x:c r="E40" s="24" t="str">
        <x:v>Squalidae</x:v>
      </x:c>
      <x:c r="F40" s="24" t="str">
        <x:v>Dogfish sharks</x:v>
      </x:c>
      <x:c r="G40" s="24" t="str">
        <x:v>Large sharks (&gt;=90 cm)</x:v>
      </x:c>
      <x:c r="H40" s="24" t="str">
        <x:v>Sharks &amp; rays</x:v>
      </x:c>
      <x:c r="I40" s="31" t="n">
        <x:v>109.7599778498</x:v>
      </x:c>
      <x:c r="J40" s="31" t="n">
        <x:v>3.4915767891000002</x:v>
      </x:c>
      <x:c r="K40" s="31" t="n">
        <x:v>106.2684010607</x:v>
      </x:c>
      <x:c r="L40" s="31" t="n">
        <x:v>3.4896737179</x:v>
      </x:c>
      <x:c r="M40" s="31" t="n">
        <x:v>106.2703041319</x:v>
      </x:c>
      <x:c r="N40" s="24" t="str">
        <x:v>squalidae</x:v>
      </x:c>
      <x:c r="O40" s="32" t="n">
        <x:v>4.23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Squalidae</x:v>
      </x:c>
      <x:c r="T40" s="32" t="n">
        <x:f>IF(O40="","",(1/'Metadata'!$B$5)^(O40-1))</x:f>
        <x:v>1698.243652461746</x:v>
      </x:c>
      <x:c r="U40" s="31" t="n">
        <x:f>IF(T40="","",I40*T40)</x:f>
        <x:v>186399.18567776468</x:v>
      </x:c>
    </x:row>
    <x:row r="41" ht="18" customHeight="1">
      <x:c r="A41" s="24" t="str">
        <x:v>LME_043</x:v>
      </x:c>
      <x:c r="B41" s="24" t="str">
        <x:v>Southwest Australian Shelf</x:v>
      </x:c>
      <x:c r="C41" s="24" t="str">
        <x:v>LME</x:v>
      </x:c>
      <x:c r="D41" s="30" t="n">
        <x:v>2019</x:v>
      </x:c>
      <x:c r="E41" s="24" t="str">
        <x:v>Portunus armatus</x:v>
      </x:c>
      <x:c r="F41" s="24" t="str">
        <x:v>Blue swimmer crab</x:v>
      </x:c>
      <x:c r="G41" s="24" t="str">
        <x:v>Lobsters, crabs</x:v>
      </x:c>
      <x:c r="H41" s="24" t="str">
        <x:v>Crustaceans</x:v>
      </x:c>
      <x:c r="I41" s="31" t="n">
        <x:v>107.6726607323</x:v>
      </x:c>
      <x:c r="J41" s="31" t="n">
        <x:v>107.6726607323</x:v>
      </x:c>
      <x:c r="K41" s="31" t="n">
        <x:v>0</x:v>
      </x:c>
      <x:c r="L41" s="31" t="n">
        <x:v>0</x:v>
      </x:c>
      <x:c r="M41" s="31" t="n">
        <x:v>107.6726607323</x:v>
      </x:c>
      <x:c r="N41" s="24" t="str">
        <x:v>portunus armatus</x:v>
      </x:c>
      <x:c r="O41" s="32" t="n">
        <x:v>3.26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Portunus armatus</x:v>
      </x:c>
      <x:c r="T41" s="32" t="n">
        <x:f>IF(O41="","",(1/'Metadata'!$B$5)^(O41-1))</x:f>
        <x:v>181.97008586099827</x:v>
      </x:c>
      <x:c r="U41" s="31" t="n">
        <x:f>IF(T41="","",I41*T41)</x:f>
        <x:v>19593.20331833877</x:v>
      </x:c>
    </x:row>
    <x:row r="42" ht="18" customHeight="1">
      <x:c r="A42" s="24" t="str">
        <x:v>LME_043</x:v>
      </x:c>
      <x:c r="B42" s="24" t="str">
        <x:v>Southwest Australian Shelf</x:v>
      </x:c>
      <x:c r="C42" s="24" t="str">
        <x:v>LME</x:v>
      </x:c>
      <x:c r="D42" s="30" t="n">
        <x:v>2019</x:v>
      </x:c>
      <x:c r="E42" s="24" t="str">
        <x:v>Teuthida</x:v>
      </x:c>
      <x:c r="F42" s="24" t="str">
        <x:v>Squids</x:v>
      </x:c>
      <x:c r="G42" s="24" t="str">
        <x:v>Cephalopods</x:v>
      </x:c>
      <x:c r="H42" s="24" t="str">
        <x:v>Other fishes &amp; inverts</x:v>
      </x:c>
      <x:c r="I42" s="31" t="n">
        <x:v>106.0080344031</x:v>
      </x:c>
      <x:c r="J42" s="31" t="n">
        <x:v>106.0080344031</x:v>
      </x:c>
      <x:c r="K42" s="31" t="n">
        <x:v>0</x:v>
      </x:c>
      <x:c r="L42" s="31" t="n">
        <x:v>44.2084351396</x:v>
      </x:c>
      <x:c r="M42" s="31" t="n">
        <x:v>61.7995992635</x:v>
      </x:c>
      <x:c r="N42" s="24" t="str">
        <x:v>teuthida</x:v>
      </x:c>
      <x:c r="O42" s="32" t="n">
        <x:v>4.13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Teuthida</x:v>
      </x:c>
      <x:c r="T42" s="32" t="n">
        <x:f>IF(O42="","",(1/'Metadata'!$B$5)^(O42-1))</x:f>
        <x:v>1348.9628825916532</x:v>
      </x:c>
      <x:c r="U42" s="31" t="n">
        <x:f>IF(T42="","",I42*T42)</x:f>
        <x:v>143000.9036662809</x:v>
      </x:c>
    </x:row>
    <x:row r="43" ht="18" customHeight="1">
      <x:c r="A43" s="24" t="str">
        <x:v>LME_043</x:v>
      </x:c>
      <x:c r="B43" s="24" t="str">
        <x:v>Southwest Australian Shelf</x:v>
      </x:c>
      <x:c r="C43" s="24" t="str">
        <x:v>LME</x:v>
      </x:c>
      <x:c r="D43" s="30" t="n">
        <x:v>2019</x:v>
      </x:c>
      <x:c r="E43" s="24" t="str">
        <x:v>Seriolella punctata</x:v>
      </x:c>
      <x:c r="F43" s="24" t="str">
        <x:v>Silver warehou</x:v>
      </x:c>
      <x:c r="G43" s="24" t="str">
        <x:v>Medium benthopelagics (30 - 89 cm)</x:v>
      </x:c>
      <x:c r="H43" s="24" t="str">
        <x:v>Perch-likes</x:v>
      </x:c>
      <x:c r="I43" s="31" t="n">
        <x:v>92.9754292949</x:v>
      </x:c>
      <x:c r="J43" s="31" t="n">
        <x:v>73.0814009755</x:v>
      </x:c>
      <x:c r="K43" s="31" t="n">
        <x:v>19.8940283194</x:v>
      </x:c>
      <x:c r="L43" s="31" t="n">
        <x:v>73.0814009755</x:v>
      </x:c>
      <x:c r="M43" s="31" t="n">
        <x:v>19.8940283194</x:v>
      </x:c>
      <x:c r="N43" s="24" t="str">
        <x:v>seriolella punctata</x:v>
      </x:c>
      <x:c r="O43" s="32" t="n">
        <x:v>3.4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Seriolella punctata</x:v>
      </x:c>
      <x:c r="T43" s="32" t="n">
        <x:f>IF(O43="","",(1/'Metadata'!$B$5)^(O43-1))</x:f>
        <x:v>251.18864315095797</x:v>
      </x:c>
      <x:c r="U43" s="31" t="n">
        <x:f>IF(T43="","",I43*T43)</x:f>
        <x:v>23354.37193096376</x:v>
      </x:c>
    </x:row>
    <x:row r="44" ht="18" customHeight="1">
      <x:c r="A44" s="24" t="str">
        <x:v>LME_043</x:v>
      </x:c>
      <x:c r="B44" s="24" t="str">
        <x:v>Southwest Australian Shelf</x:v>
      </x:c>
      <x:c r="C44" s="24" t="str">
        <x:v>LME</x:v>
      </x:c>
      <x:c r="D44" s="30" t="n">
        <x:v>2019</x:v>
      </x:c>
      <x:c r="E44" s="24" t="str">
        <x:v>Macrouridae</x:v>
      </x:c>
      <x:c r="F44" s="24" t="str">
        <x:v>Grenadiers, rattails</x:v>
      </x:c>
      <x:c r="G44" s="24" t="str">
        <x:v>Medium benthopelagics (30 - 89 cm)</x:v>
      </x:c>
      <x:c r="H44" s="24" t="str">
        <x:v>Cod-likes</x:v>
      </x:c>
      <x:c r="I44" s="31" t="n">
        <x:v>88.78329596459999</x:v>
      </x:c>
      <x:c r="J44" s="31" t="n">
        <x:v>0.0238886526</x:v>
      </x:c>
      <x:c r="K44" s="31" t="n">
        <x:v>88.759407312</x:v>
      </x:c>
      <x:c r="L44" s="31" t="n">
        <x:v>0.0238886526</x:v>
      </x:c>
      <x:c r="M44" s="31" t="n">
        <x:v>88.759407312</x:v>
      </x:c>
      <x:c r="N44" s="24" t="str">
        <x:v>macrouridae</x:v>
      </x:c>
      <x:c r="O44" s="32" t="n">
        <x:v>3.88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Macrouridae</x:v>
      </x:c>
      <x:c r="T44" s="32" t="n">
        <x:f>IF(O44="","",(1/'Metadata'!$B$5)^(O44-1))</x:f>
        <x:v>758.5775750291835</x:v>
      </x:c>
      <x:c r="U44" s="31" t="n">
        <x:f>IF(T44="","",I44*T44)</x:f>
        <x:v>67349.01735592456</x:v>
      </x:c>
    </x:row>
    <x:row r="45" ht="18" customHeight="1">
      <x:c r="A45" s="24" t="str">
        <x:v>LME_043</x:v>
      </x:c>
      <x:c r="B45" s="24" t="str">
        <x:v>Southwest Australian Shelf</x:v>
      </x:c>
      <x:c r="C45" s="24" t="str">
        <x:v>LME</x:v>
      </x:c>
      <x:c r="D45" s="30" t="n">
        <x:v>2019</x:v>
      </x:c>
      <x:c r="E45" s="24" t="str">
        <x:v>Monacanthidae</x:v>
      </x:c>
      <x:c r="F45" s="24" t="str">
        <x:v>Filefishes</x:v>
      </x:c>
      <x:c r="G45" s="24" t="str">
        <x:v>Medium reef assoc. fish (30 - 89 cm)</x:v>
      </x:c>
      <x:c r="H45" s="24" t="str">
        <x:v>Other fishes &amp; inverts</x:v>
      </x:c>
      <x:c r="I45" s="31" t="n">
        <x:v>88.08305732310001</x:v>
      </x:c>
      <x:c r="J45" s="31" t="n">
        <x:v>55.418873165200004</x:v>
      </x:c>
      <x:c r="K45" s="31" t="n">
        <x:v>32.6641841579</x:v>
      </x:c>
      <x:c r="L45" s="31" t="n">
        <x:v>36.73916073</x:v>
      </x:c>
      <x:c r="M45" s="31" t="n">
        <x:v>51.343896593100006</x:v>
      </x:c>
      <x:c r="N45" s="24" t="str">
        <x:v>monacanthidae</x:v>
      </x:c>
      <x:c r="O45" s="32" t="n">
        <x:v>3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Monacanthidae</x:v>
      </x:c>
      <x:c r="T45" s="32" t="n">
        <x:f>IF(O45="","",(1/'Metadata'!$B$5)^(O45-1))</x:f>
        <x:v>100</x:v>
      </x:c>
      <x:c r="U45" s="31" t="n">
        <x:f>IF(T45="","",I45*T45)</x:f>
        <x:v>8808.30573231</x:v>
      </x:c>
    </x:row>
    <x:row r="46" ht="18" customHeight="1">
      <x:c r="A46" s="24" t="str">
        <x:v>LME_043</x:v>
      </x:c>
      <x:c r="B46" s="24" t="str">
        <x:v>Southwest Australian Shelf</x:v>
      </x:c>
      <x:c r="C46" s="24" t="str">
        <x:v>LME</x:v>
      </x:c>
      <x:c r="D46" s="30" t="n">
        <x:v>2019</x:v>
      </x:c>
      <x:c r="E46" s="24" t="str">
        <x:v>Rexea solandri</x:v>
      </x:c>
      <x:c r="F46" s="24" t="str">
        <x:v>Silver gemfish</x:v>
      </x:c>
      <x:c r="G46" s="24" t="str">
        <x:v>Large benthopelagics (&gt;=90 cm)</x:v>
      </x:c>
      <x:c r="H46" s="24" t="str">
        <x:v>Perch-likes</x:v>
      </x:c>
      <x:c r="I46" s="31" t="n">
        <x:v>87.09468850050001</x:v>
      </x:c>
      <x:c r="J46" s="31" t="n">
        <x:v>87.09468850050001</x:v>
      </x:c>
      <x:c r="K46" s="31" t="n">
        <x:v>0</x:v>
      </x:c>
      <x:c r="L46" s="31" t="n">
        <x:v>87.0946251516</x:v>
      </x:c>
      <x:c r="M46" s="31" t="n">
        <x:v>0.0000633489</x:v>
      </x:c>
      <x:c r="N46" s="24" t="str">
        <x:v>rexea solandri</x:v>
      </x:c>
      <x:c r="O46" s="32" t="n">
        <x:v>4.31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Rexea solandri</x:v>
      </x:c>
      <x:c r="T46" s="32" t="n">
        <x:f>IF(O46="","",(1/'Metadata'!$B$5)^(O46-1))</x:f>
        <x:v>2041.7379446695275</x:v>
      </x:c>
      <x:c r="U46" s="31" t="n">
        <x:f>IF(T46="","",I46*T46)</x:f>
        <x:v>177824.53029064363</x:v>
      </x:c>
    </x:row>
    <x:row r="47" ht="18" customHeight="1">
      <x:c r="A47" s="24" t="str">
        <x:v>LME_043</x:v>
      </x:c>
      <x:c r="B47" s="24" t="str">
        <x:v>Southwest Australian Shelf</x:v>
      </x:c>
      <x:c r="C47" s="24" t="str">
        <x:v>LME</x:v>
      </x:c>
      <x:c r="D47" s="30" t="n">
        <x:v>2019</x:v>
      </x:c>
      <x:c r="E47" s="24" t="str">
        <x:v>Serranidae</x:v>
      </x:c>
      <x:c r="F47" s="24" t="str">
        <x:v>Basses, groupers, hinds</x:v>
      </x:c>
      <x:c r="G47" s="24" t="str">
        <x:v>Medium reef assoc. fish (30 - 89 cm)</x:v>
      </x:c>
      <x:c r="H47" s="24" t="str">
        <x:v>Perch-likes</x:v>
      </x:c>
      <x:c r="I47" s="31" t="n">
        <x:v>81.75608259250001</x:v>
      </x:c>
      <x:c r="J47" s="31" t="n">
        <x:v>81.75608259250001</x:v>
      </x:c>
      <x:c r="K47" s="31" t="n">
        <x:v>0</x:v>
      </x:c>
      <x:c r="L47" s="31" t="n">
        <x:v>5.4554275233</x:v>
      </x:c>
      <x:c r="M47" s="31" t="n">
        <x:v>76.3006550692</x:v>
      </x:c>
      <x:c r="N47" s="24" t="str">
        <x:v>serranidae</x:v>
      </x:c>
      <x:c r="O47" s="32" t="n">
        <x:v>3.98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Serranidae</x:v>
      </x:c>
      <x:c r="T47" s="32" t="n">
        <x:f>IF(O47="","",(1/'Metadata'!$B$5)^(O47-1))</x:f>
        <x:v>954.992586021436</x:v>
      </x:c>
      <x:c r="U47" s="31" t="n">
        <x:f>IF(T47="","",I47*T47)</x:f>
        <x:v>78076.45273799369</x:v>
      </x:c>
    </x:row>
    <x:row r="48" ht="18" customHeight="1">
      <x:c r="A48" s="24" t="str">
        <x:v>LME_043</x:v>
      </x:c>
      <x:c r="B48" s="24" t="str">
        <x:v>Southwest Australian Shelf</x:v>
      </x:c>
      <x:c r="C48" s="24" t="str">
        <x:v>LME</x:v>
      </x:c>
      <x:c r="D48" s="30" t="n">
        <x:v>2019</x:v>
      </x:c>
      <x:c r="E48" s="24" t="str">
        <x:v>Marine finfishes not identified</x:v>
      </x:c>
      <x:c r="F48" s="24" t="str">
        <x:v>Finfishes</x:v>
      </x:c>
      <x:c r="G48" s="24" t="str">
        <x:v>Medium demersals (30 - 89 cm)</x:v>
      </x:c>
      <x:c r="H48" s="24" t="str">
        <x:v>Other fishes &amp; inverts</x:v>
      </x:c>
      <x:c r="I48" s="31" t="n">
        <x:v>75.7684581039</x:v>
      </x:c>
      <x:c r="J48" s="31" t="n">
        <x:v>48.0058416245</x:v>
      </x:c>
      <x:c r="K48" s="31" t="n">
        <x:v>27.7626164794</x:v>
      </x:c>
      <x:c r="L48" s="31" t="n">
        <x:v>47.9889165286</x:v>
      </x:c>
      <x:c r="M48" s="31" t="n">
        <x:v>27.779541575299998</x:v>
      </x:c>
      <x:c r="N48" s="24" t="str">
        <x:v>marine finfishes not identified</x:v>
      </x:c>
      <x:c r="O48" s="32" t="n">
        <x:v>3.23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Marine finfishes not identified</x:v>
      </x:c>
      <x:c r="T48" s="32" t="n">
        <x:f>IF(O48="","",(1/'Metadata'!$B$5)^(O48-1))</x:f>
        <x:v>169.82436524617444</x:v>
      </x:c>
      <x:c r="U48" s="31" t="n">
        <x:f>IF(T48="","",I48*T48)</x:f>
        <x:v>12867.330303176179</x:v>
      </x:c>
    </x:row>
    <x:row r="49" ht="18" customHeight="1">
      <x:c r="A49" s="24" t="str">
        <x:v>LME_043</x:v>
      </x:c>
      <x:c r="B49" s="24" t="str">
        <x:v>Southwest Australian Shelf</x:v>
      </x:c>
      <x:c r="C49" s="24" t="str">
        <x:v>LME</x:v>
      </x:c>
      <x:c r="D49" s="30" t="n">
        <x:v>2019</x:v>
      </x:c>
      <x:c r="E49" s="24" t="str">
        <x:v>Squalus</x:v>
      </x:c>
      <x:c r="F49" s="24" t="str">
        <x:v>Dogfishes</x:v>
      </x:c>
      <x:c r="G49" s="24" t="str">
        <x:v>Large sharks (&gt;=90 cm)</x:v>
      </x:c>
      <x:c r="H49" s="24" t="str">
        <x:v>Sharks &amp; rays</x:v>
      </x:c>
      <x:c r="I49" s="31" t="n">
        <x:v>71.4347950258</x:v>
      </x:c>
      <x:c r="J49" s="31" t="n">
        <x:v>3.0935849148999996</x:v>
      </x:c>
      <x:c r="K49" s="31" t="n">
        <x:v>68.3412101109</x:v>
      </x:c>
      <x:c r="L49" s="31" t="n">
        <x:v>3.0934377579</x:v>
      </x:c>
      <x:c r="M49" s="31" t="n">
        <x:v>68.3413572679</x:v>
      </x:c>
      <x:c r="N49" s="24" t="str">
        <x:v>squalus</x:v>
      </x:c>
      <x:c r="O49" s="32" t="n">
        <x:v>4.23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Squalus</x:v>
      </x:c>
      <x:c r="T49" s="32" t="n">
        <x:f>IF(O49="","",(1/'Metadata'!$B$5)^(O49-1))</x:f>
        <x:v>1698.243652461746</x:v>
      </x:c>
      <x:c r="U49" s="31" t="n">
        <x:f>IF(T49="","",I49*T49)</x:f>
        <x:v>121313.68721747075</x:v>
      </x:c>
    </x:row>
    <x:row r="50" ht="18" customHeight="1">
      <x:c r="A50" s="24" t="str">
        <x:v>LME_043</x:v>
      </x:c>
      <x:c r="B50" s="24" t="str">
        <x:v>Southwest Australian Shelf</x:v>
      </x:c>
      <x:c r="C50" s="24" t="str">
        <x:v>LME</x:v>
      </x:c>
      <x:c r="D50" s="30" t="n">
        <x:v>2019</x:v>
      </x:c>
      <x:c r="E50" s="24" t="str">
        <x:v>Chimaeriformes</x:v>
      </x:c>
      <x:c r="F50" s="24" t="str">
        <x:v>Chimaeras</x:v>
      </x:c>
      <x:c r="G50" s="24" t="str">
        <x:v>Large rays (&gt;=90 cm)</x:v>
      </x:c>
      <x:c r="H50" s="24" t="str">
        <x:v>Sharks &amp; rays</x:v>
      </x:c>
      <x:c r="I50" s="31" t="n">
        <x:v>67.95097637040001</x:v>
      </x:c>
      <x:c r="J50" s="31" t="n">
        <x:v>2.9311035327</x:v>
      </x:c>
      <x:c r="K50" s="31" t="n">
        <x:v>65.0198728377</x:v>
      </x:c>
      <x:c r="L50" s="31" t="n">
        <x:v>2.9311035327</x:v>
      </x:c>
      <x:c r="M50" s="31" t="n">
        <x:v>65.0198728377</x:v>
      </x:c>
      <x:c r="N50" s="24" t="str">
        <x:v>chimaeriformes</x:v>
      </x:c>
      <x:c r="O50" s="32" t="n">
        <x:v>3.37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Chimaeriformes</x:v>
      </x:c>
      <x:c r="T50" s="32" t="n">
        <x:f>IF(O50="","",(1/'Metadata'!$B$5)^(O50-1))</x:f>
        <x:v>234.42288153199226</x:v>
      </x:c>
      <x:c r="U50" s="31" t="n">
        <x:f>IF(T50="","",I50*T50)</x:f>
        <x:v>15929.263683661487</x:v>
      </x:c>
    </x:row>
    <x:row r="51" ht="18" customHeight="1">
      <x:c r="A51" s="24" t="str">
        <x:v>LME_043</x:v>
      </x:c>
      <x:c r="B51" s="24" t="str">
        <x:v>Southwest Australian Shelf</x:v>
      </x:c>
      <x:c r="C51" s="24" t="str">
        <x:v>LME</x:v>
      </x:c>
      <x:c r="D51" s="30" t="n">
        <x:v>2019</x:v>
      </x:c>
      <x:c r="E51" s="24" t="str">
        <x:v>Decapoda</x:v>
      </x:c>
      <x:c r="F51" s="24" t="str">
        <x:v>Crabs, lobsters, shrimps</x:v>
      </x:c>
      <x:c r="G51" s="24" t="str">
        <x:v>Lobsters, crabs</x:v>
      </x:c>
      <x:c r="H51" s="24" t="str">
        <x:v>Crustaceans</x:v>
      </x:c>
      <x:c r="I51" s="31" t="n">
        <x:v>63.1005543544</x:v>
      </x:c>
      <x:c r="J51" s="31" t="n">
        <x:v>62.8447188556</x:v>
      </x:c>
      <x:c r="K51" s="31" t="n">
        <x:v>0.2558354988</x:v>
      </x:c>
      <x:c r="L51" s="31" t="n">
        <x:v>62.8447188556</x:v>
      </x:c>
      <x:c r="M51" s="31" t="n">
        <x:v>0.2558354988</x:v>
      </x:c>
      <x:c r="N51" s="24" t="str">
        <x:v>decapoda</x:v>
      </x:c>
      <x:c r="O51" s="32" t="n">
        <x:v>3.43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Decapoda</x:v>
      </x:c>
      <x:c r="T51" s="32" t="n">
        <x:f>IF(O51="","",(1/'Metadata'!$B$5)^(O51-1))</x:f>
        <x:v>269.1534803926917</x:v>
      </x:c>
      <x:c r="U51" s="31" t="n">
        <x:f>IF(T51="","",I51*T51)</x:f>
        <x:v>16983.73381919498</x:v>
      </x:c>
    </x:row>
    <x:row r="52" ht="18" customHeight="1">
      <x:c r="A52" s="24" t="str">
        <x:v>LME_043</x:v>
      </x:c>
      <x:c r="B52" s="24" t="str">
        <x:v>Southwest Australian Shelf</x:v>
      </x:c>
      <x:c r="C52" s="24" t="str">
        <x:v>LME</x:v>
      </x:c>
      <x:c r="D52" s="30" t="n">
        <x:v>2019</x:v>
      </x:c>
      <x:c r="E52" s="24" t="str">
        <x:v>Chondrichthyes</x:v>
      </x:c>
      <x:c r="F52" s="24" t="str">
        <x:v>Sharks, rays, chimaeras</x:v>
      </x:c>
      <x:c r="G52" s="24" t="str">
        <x:v>Large sharks (&gt;=90 cm)</x:v>
      </x:c>
      <x:c r="H52" s="24" t="str">
        <x:v>Sharks &amp; rays</x:v>
      </x:c>
      <x:c r="I52" s="31" t="n">
        <x:v>58.0464906212</x:v>
      </x:c>
      <x:c r="J52" s="31" t="n">
        <x:v>58.0464906212</x:v>
      </x:c>
      <x:c r="K52" s="31" t="n">
        <x:v>0</x:v>
      </x:c>
      <x:c r="L52" s="31" t="n">
        <x:v>57.8461358367</x:v>
      </x:c>
      <x:c r="M52" s="31" t="n">
        <x:v>0.2003547845</x:v>
      </x:c>
      <x:c r="N52" s="24" t="str">
        <x:v>chondrichthyes</x:v>
      </x:c>
      <x:c r="O52" s="32" t="n">
        <x:v>4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Chondrichthyes</x:v>
      </x:c>
      <x:c r="T52" s="32" t="n">
        <x:f>IF(O52="","",(1/'Metadata'!$B$5)^(O52-1))</x:f>
        <x:v>1000</x:v>
      </x:c>
      <x:c r="U52" s="31" t="n">
        <x:f>IF(T52="","",I52*T52)</x:f>
        <x:v>58046.4906212</x:v>
      </x:c>
    </x:row>
    <x:row r="53" ht="18" customHeight="1">
      <x:c r="A53" s="24" t="str">
        <x:v>LME_043</x:v>
      </x:c>
      <x:c r="B53" s="24" t="str">
        <x:v>Southwest Australian Shelf</x:v>
      </x:c>
      <x:c r="C53" s="24" t="str">
        <x:v>LME</x:v>
      </x:c>
      <x:c r="D53" s="30" t="n">
        <x:v>2019</x:v>
      </x:c>
      <x:c r="E53" s="24" t="str">
        <x:v>Mugil cephalus</x:v>
      </x:c>
      <x:c r="F53" s="24" t="str">
        <x:v>Flathead grey mullet</x:v>
      </x:c>
      <x:c r="G53" s="24" t="str">
        <x:v>Large benthopelagics (&gt;=90 cm)</x:v>
      </x:c>
      <x:c r="H53" s="24" t="str">
        <x:v>Perch-likes</x:v>
      </x:c>
      <x:c r="I53" s="31" t="n">
        <x:v>57.1333199842</x:v>
      </x:c>
      <x:c r="J53" s="31" t="n">
        <x:v>57.1333199842</x:v>
      </x:c>
      <x:c r="K53" s="31" t="n">
        <x:v>0</x:v>
      </x:c>
      <x:c r="L53" s="31" t="n">
        <x:v>43.2558238787</x:v>
      </x:c>
      <x:c r="M53" s="31" t="n">
        <x:v>13.8774961055</x:v>
      </x:c>
      <x:c r="N53" s="24" t="str">
        <x:v>mugil cephalus</x:v>
      </x:c>
      <x:c r="O53" s="32" t="n">
        <x:v>2.14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Mugil cephalus</x:v>
      </x:c>
      <x:c r="T53" s="32" t="n">
        <x:f>IF(O53="","",(1/'Metadata'!$B$5)^(O53-1))</x:f>
        <x:v>13.803842646028853</x:v>
      </x:c>
      <x:c r="U53" s="31" t="n">
        <x:f>IF(T53="","",I53*T53)</x:f>
        <x:v>788.6593589071125</x:v>
      </x:c>
    </x:row>
    <x:row r="54" ht="18" customHeight="1">
      <x:c r="A54" s="24" t="str">
        <x:v>LME_043</x:v>
      </x:c>
      <x:c r="B54" s="24" t="str">
        <x:v>Southwest Australian Shelf</x:v>
      </x:c>
      <x:c r="C54" s="24" t="str">
        <x:v>LME</x:v>
      </x:c>
      <x:c r="D54" s="30" t="n">
        <x:v>2019</x:v>
      </x:c>
      <x:c r="E54" s="24" t="str">
        <x:v>Chelidonichthys kumu</x:v>
      </x:c>
      <x:c r="F54" s="24" t="str">
        <x:v>Bluefin gurnard</x:v>
      </x:c>
      <x:c r="G54" s="24" t="str">
        <x:v>Medium demersals (30 - 89 cm)</x:v>
      </x:c>
      <x:c r="H54" s="24" t="str">
        <x:v>Scorpionfishes</x:v>
      </x:c>
      <x:c r="I54" s="31" t="n">
        <x:v>54.037841459</x:v>
      </x:c>
      <x:c r="J54" s="31" t="n">
        <x:v>54.037841459</x:v>
      </x:c>
      <x:c r="K54" s="31" t="n">
        <x:v>0</x:v>
      </x:c>
      <x:c r="L54" s="31" t="n">
        <x:v>54.0345594594</x:v>
      </x:c>
      <x:c r="M54" s="31" t="n">
        <x:v>0.0032819996</x:v>
      </x:c>
      <x:c r="N54" s="24" t="str">
        <x:v>chelidonichthys kumu</x:v>
      </x:c>
      <x:c r="O54" s="32" t="n">
        <x:v>3.68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Chelidonichthys kumu</x:v>
      </x:c>
      <x:c r="T54" s="32" t="n">
        <x:f>IF(O54="","",(1/'Metadata'!$B$5)^(O54-1))</x:f>
        <x:v>478.6300923226385</x:v>
      </x:c>
      <x:c r="U54" s="31" t="n">
        <x:f>IF(T54="","",I54*T54)</x:f>
        <x:v>25864.137046437274</x:v>
      </x:c>
    </x:row>
    <x:row r="55" ht="18" customHeight="1">
      <x:c r="A55" s="24" t="str">
        <x:v>LME_043</x:v>
      </x:c>
      <x:c r="B55" s="24" t="str">
        <x:v>Southwest Australian Shelf</x:v>
      </x:c>
      <x:c r="C55" s="24" t="str">
        <x:v>LME</x:v>
      </x:c>
      <x:c r="D55" s="30" t="n">
        <x:v>2019</x:v>
      </x:c>
      <x:c r="E55" s="24" t="str">
        <x:v>Lutjanus</x:v>
      </x:c>
      <x:c r="F55" s="24" t="str">
        <x:v>Snappers</x:v>
      </x:c>
      <x:c r="G55" s="24" t="str">
        <x:v>Medium reef assoc. fish (30 - 89 cm)</x:v>
      </x:c>
      <x:c r="H55" s="24" t="str">
        <x:v>Perch-likes</x:v>
      </x:c>
      <x:c r="I55" s="31" t="n">
        <x:v>50.1701370614</x:v>
      </x:c>
      <x:c r="J55" s="31" t="n">
        <x:v>50.1701370614</x:v>
      </x:c>
      <x:c r="K55" s="31" t="n">
        <x:v>0</x:v>
      </x:c>
      <x:c r="L55" s="31" t="n">
        <x:v>24.9850711875</x:v>
      </x:c>
      <x:c r="M55" s="31" t="n">
        <x:v>25.185065873899998</x:v>
      </x:c>
      <x:c r="N55" s="24" t="str">
        <x:v>lutjanus</x:v>
      </x:c>
      <x:c r="O55" s="32" t="n">
        <x:v>4.02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Lutjanus</x:v>
      </x:c>
      <x:c r="T55" s="32" t="n">
        <x:f>IF(O55="","",(1/'Metadata'!$B$5)^(O55-1))</x:f>
        <x:v>1047.1285480508984</x:v>
      </x:c>
      <x:c r="U55" s="31" t="n">
        <x:f>IF(T55="","",I55*T55)</x:f>
        <x:v>52534.58277661835</x:v>
      </x:c>
    </x:row>
    <x:row r="56" ht="18" customHeight="1">
      <x:c r="A56" s="24" t="str">
        <x:v>LME_043</x:v>
      </x:c>
      <x:c r="B56" s="24" t="str">
        <x:v>Southwest Australian Shelf</x:v>
      </x:c>
      <x:c r="C56" s="24" t="str">
        <x:v>LME</x:v>
      </x:c>
      <x:c r="D56" s="30" t="n">
        <x:v>2019</x:v>
      </x:c>
      <x:c r="E56" s="24" t="str">
        <x:v>Seriola hippos</x:v>
      </x:c>
      <x:c r="F56" s="24" t="str">
        <x:v>Samson fish</x:v>
      </x:c>
      <x:c r="G56" s="24" t="str">
        <x:v>Small pelagics (&lt;30 cm)</x:v>
      </x:c>
      <x:c r="H56" s="24" t="str">
        <x:v>Perch-likes</x:v>
      </x:c>
      <x:c r="I56" s="31" t="n">
        <x:v>49.9622350302</x:v>
      </x:c>
      <x:c r="J56" s="31" t="n">
        <x:v>49.9622350302</x:v>
      </x:c>
      <x:c r="K56" s="31" t="n">
        <x:v>0</x:v>
      </x:c>
      <x:c r="L56" s="31" t="n">
        <x:v>0.216727887</x:v>
      </x:c>
      <x:c r="M56" s="31" t="n">
        <x:v>49.7455071432</x:v>
      </x:c>
      <x:c r="N56" s="24" t="str">
        <x:v>seriola hippos</x:v>
      </x:c>
      <x:c r="O56" s="32" t="n">
        <x:v>4.5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Seriola hippos</x:v>
      </x:c>
      <x:c r="T56" s="32" t="n">
        <x:f>IF(O56="","",(1/'Metadata'!$B$5)^(O56-1))</x:f>
        <x:v>3162.2776601683795</x:v>
      </x:c>
      <x:c r="U56" s="31" t="n">
        <x:f>IF(T56="","",I56*T56)</x:f>
        <x:v>157994.4596880835</x:v>
      </x:c>
    </x:row>
    <x:row r="57" ht="18" customHeight="1">
      <x:c r="A57" s="24" t="str">
        <x:v>LME_043</x:v>
      </x:c>
      <x:c r="B57" s="24" t="str">
        <x:v>Southwest Australian Shelf</x:v>
      </x:c>
      <x:c r="C57" s="24" t="str">
        <x:v>LME</x:v>
      </x:c>
      <x:c r="D57" s="30" t="n">
        <x:v>2019</x:v>
      </x:c>
      <x:c r="E57" s="24" t="str">
        <x:v>Carcharhinus brachyurus</x:v>
      </x:c>
      <x:c r="F57" s="24" t="str">
        <x:v>Copper shark</x:v>
      </x:c>
      <x:c r="G57" s="24" t="str">
        <x:v>Large sharks (&gt;=90 cm)</x:v>
      </x:c>
      <x:c r="H57" s="24" t="str">
        <x:v>Sharks &amp; rays</x:v>
      </x:c>
      <x:c r="I57" s="31" t="n">
        <x:v>49.8534370601</x:v>
      </x:c>
      <x:c r="J57" s="31" t="n">
        <x:v>49.8534370601</x:v>
      </x:c>
      <x:c r="K57" s="31" t="n">
        <x:v>0</x:v>
      </x:c>
      <x:c r="L57" s="31" t="n">
        <x:v>43.7803127889</x:v>
      </x:c>
      <x:c r="M57" s="31" t="n">
        <x:v>6.0731242712</x:v>
      </x:c>
      <x:c r="N57" s="24" t="str">
        <x:v>carcharhinus brachyurus</x:v>
      </x:c>
      <x:c r="O57" s="32" t="n">
        <x:v>4.5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Carcharhinus brachyurus</x:v>
      </x:c>
      <x:c r="T57" s="32" t="n">
        <x:f>IF(O57="","",(1/'Metadata'!$B$5)^(O57-1))</x:f>
        <x:v>3162.2776601683795</x:v>
      </x:c>
      <x:c r="U57" s="31" t="n">
        <x:f>IF(T57="","",I57*T57)</x:f>
        <x:v>157650.4102977646</x:v>
      </x:c>
    </x:row>
    <x:row r="58" ht="18" customHeight="1">
      <x:c r="A58" s="24" t="str">
        <x:v>LME_043</x:v>
      </x:c>
      <x:c r="B58" s="24" t="str">
        <x:v>Southwest Australian Shelf</x:v>
      </x:c>
      <x:c r="C58" s="24" t="str">
        <x:v>LME</x:v>
      </x:c>
      <x:c r="D58" s="30" t="n">
        <x:v>2019</x:v>
      </x:c>
      <x:c r="E58" s="24" t="str">
        <x:v>Trachurus</x:v>
      </x:c>
      <x:c r="F58" s="24" t="str">
        <x:v>Jacks, horse mackerels</x:v>
      </x:c>
      <x:c r="G58" s="24" t="str">
        <x:v>Medium pelagics (30 - 89 cm)</x:v>
      </x:c>
      <x:c r="H58" s="24" t="str">
        <x:v>Perch-likes</x:v>
      </x:c>
      <x:c r="I58" s="31" t="n">
        <x:v>46.813696543</x:v>
      </x:c>
      <x:c r="J58" s="31" t="n">
        <x:v>46.813696543</x:v>
      </x:c>
      <x:c r="K58" s="31" t="n">
        <x:v>0</x:v>
      </x:c>
      <x:c r="L58" s="31" t="n">
        <x:v>43.4233123674</x:v>
      </x:c>
      <x:c r="M58" s="31" t="n">
        <x:v>3.3903841756</x:v>
      </x:c>
      <x:c r="N58" s="24" t="str">
        <x:v>trachurus</x:v>
      </x:c>
      <x:c r="O58" s="32" t="n">
        <x:v>3.69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Trachurus</x:v>
      </x:c>
      <x:c r="T58" s="32" t="n">
        <x:f>IF(O58="","",(1/'Metadata'!$B$5)^(O58-1))</x:f>
        <x:v>489.77881936844614</x:v>
      </x:c>
      <x:c r="U58" s="31" t="n">
        <x:f>IF(T58="","",I58*T58)</x:f>
        <x:v>22928.357023103246</x:v>
      </x:c>
    </x:row>
    <x:row r="59" ht="18" customHeight="1">
      <x:c r="A59" s="24" t="str">
        <x:v>LME_043</x:v>
      </x:c>
      <x:c r="B59" s="24" t="str">
        <x:v>Southwest Australian Shelf</x:v>
      </x:c>
      <x:c r="C59" s="24" t="str">
        <x:v>LME</x:v>
      </x:c>
      <x:c r="D59" s="30" t="n">
        <x:v>2019</x:v>
      </x:c>
      <x:c r="E59" s="24" t="str">
        <x:v>Polyprion oxygeneios</x:v>
      </x:c>
      <x:c r="F59" s="24" t="str">
        <x:v>Hapuku wreckfish</x:v>
      </x:c>
      <x:c r="G59" s="24" t="str">
        <x:v>Large demersals (&gt;=90 cm)</x:v>
      </x:c>
      <x:c r="H59" s="24" t="str">
        <x:v>Perch-likes</x:v>
      </x:c>
      <x:c r="I59" s="31" t="n">
        <x:v>46.688239506399995</x:v>
      </x:c>
      <x:c r="J59" s="31" t="n">
        <x:v>46.688239506399995</x:v>
      </x:c>
      <x:c r="K59" s="31" t="n">
        <x:v>0</x:v>
      </x:c>
      <x:c r="L59" s="31" t="n">
        <x:v>36.8944223647</x:v>
      </x:c>
      <x:c r="M59" s="31" t="n">
        <x:v>9.7938171417</x:v>
      </x:c>
      <x:c r="N59" s="24" t="str">
        <x:v>polyprion oxygeneios</x:v>
      </x:c>
      <x:c r="O59" s="32" t="n">
        <x:v>4.45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Polyprion oxygeneios</x:v>
      </x:c>
      <x:c r="T59" s="32" t="n">
        <x:f>IF(O59="","",(1/'Metadata'!$B$5)^(O59-1))</x:f>
        <x:v>2818.382931264455</x:v>
      </x:c>
      <x:c r="U59" s="31" t="n">
        <x:f>IF(T59="","",I59*T59)</x:f>
        <x:v>131585.33731562455</x:v>
      </x:c>
    </x:row>
    <x:row r="60" ht="18" customHeight="1">
      <x:c r="A60" s="24" t="str">
        <x:v>LME_043</x:v>
      </x:c>
      <x:c r="B60" s="24" t="str">
        <x:v>Southwest Australian Shelf</x:v>
      </x:c>
      <x:c r="C60" s="24" t="str">
        <x:v>LME</x:v>
      </x:c>
      <x:c r="D60" s="30" t="n">
        <x:v>2019</x:v>
      </x:c>
      <x:c r="E60" s="24" t="str">
        <x:v>Mora moro</x:v>
      </x:c>
      <x:c r="F60" s="24" t="str">
        <x:v>Common mora</x:v>
      </x:c>
      <x:c r="G60" s="24" t="str">
        <x:v>Medium bathypelagics (30 - 89 cm)</x:v>
      </x:c>
      <x:c r="H60" s="24" t="str">
        <x:v>Cod-likes</x:v>
      </x:c>
      <x:c r="I60" s="31" t="n">
        <x:v>46.4452096741</x:v>
      </x:c>
      <x:c r="J60" s="31" t="n">
        <x:v>46.4452096741</x:v>
      </x:c>
      <x:c r="K60" s="31" t="n">
        <x:v>0</x:v>
      </x:c>
      <x:c r="L60" s="31" t="n">
        <x:v>46.4452096741</x:v>
      </x:c>
      <x:c r="M60" s="31" t="n">
        <x:v>0</x:v>
      </x:c>
      <x:c r="N60" s="24" t="str">
        <x:v>mora moro</x:v>
      </x:c>
      <x:c r="O60" s="32" t="n">
        <x:v>3.75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Mora moro</x:v>
      </x:c>
      <x:c r="T60" s="32" t="n">
        <x:f>IF(O60="","",(1/'Metadata'!$B$5)^(O60-1))</x:f>
        <x:v>562.341325190349</x:v>
      </x:c>
      <x:c r="U60" s="31" t="n">
        <x:f>IF(T60="","",I60*T60)</x:f>
        <x:v>26118.060756877014</x:v>
      </x:c>
    </x:row>
    <x:row r="61" ht="18" customHeight="1">
      <x:c r="A61" s="24" t="str">
        <x:v>LME_043</x:v>
      </x:c>
      <x:c r="B61" s="24" t="str">
        <x:v>Southwest Australian Shelf</x:v>
      </x:c>
      <x:c r="C61" s="24" t="str">
        <x:v>LME</x:v>
      </x:c>
      <x:c r="D61" s="30" t="n">
        <x:v>2019</x:v>
      </x:c>
      <x:c r="E61" s="24" t="str">
        <x:v>Palinuridae</x:v>
      </x:c>
      <x:c r="F61" s="24" t="str">
        <x:v>Spiny lobsters</x:v>
      </x:c>
      <x:c r="G61" s="24" t="str">
        <x:v>Lobsters, crabs</x:v>
      </x:c>
      <x:c r="H61" s="24" t="str">
        <x:v>Crustaceans</x:v>
      </x:c>
      <x:c r="I61" s="31" t="n">
        <x:v>45.7981966572</x:v>
      </x:c>
      <x:c r="J61" s="31" t="n">
        <x:v>45.7981966572</x:v>
      </x:c>
      <x:c r="K61" s="31" t="n">
        <x:v>0</x:v>
      </x:c>
      <x:c r="L61" s="31" t="n">
        <x:v>1.0146591299</x:v>
      </x:c>
      <x:c r="M61" s="31" t="n">
        <x:v>44.7835375273</x:v>
      </x:c>
      <x:c r="N61" s="24" t="str">
        <x:v>palinuridae</x:v>
      </x:c>
      <x:c r="O61" s="32" t="n">
        <x:v>3.14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Palinuridae</x:v>
      </x:c>
      <x:c r="T61" s="32" t="n">
        <x:f>IF(O61="","",(1/'Metadata'!$B$5)^(O61-1))</x:f>
        <x:v>138.03842646028852</x:v>
      </x:c>
      <x:c r="U61" s="31" t="n">
        <x:f>IF(T61="","",I61*T61)</x:f>
        <x:v>6321.911001278734</x:v>
      </x:c>
    </x:row>
    <x:row r="62" ht="18" customHeight="1">
      <x:c r="A62" s="24" t="str">
        <x:v>LME_043</x:v>
      </x:c>
      <x:c r="B62" s="24" t="str">
        <x:v>Southwest Australian Shelf</x:v>
      </x:c>
      <x:c r="C62" s="24" t="str">
        <x:v>LME</x:v>
      </x:c>
      <x:c r="D62" s="30" t="n">
        <x:v>2019</x:v>
      </x:c>
      <x:c r="E62" s="24" t="str">
        <x:v>Galeorhinus galeus</x:v>
      </x:c>
      <x:c r="F62" s="24" t="str">
        <x:v>Tope shark</x:v>
      </x:c>
      <x:c r="G62" s="24" t="str">
        <x:v>Large sharks (&gt;=90 cm)</x:v>
      </x:c>
      <x:c r="H62" s="24" t="str">
        <x:v>Sharks &amp; rays</x:v>
      </x:c>
      <x:c r="I62" s="31" t="n">
        <x:v>41.244059732800004</x:v>
      </x:c>
      <x:c r="J62" s="31" t="n">
        <x:v>41.244059732800004</x:v>
      </x:c>
      <x:c r="K62" s="31" t="n">
        <x:v>0</x:v>
      </x:c>
      <x:c r="L62" s="31" t="n">
        <x:v>41.1460516833</x:v>
      </x:c>
      <x:c r="M62" s="31" t="n">
        <x:v>0.0980080495</x:v>
      </x:c>
      <x:c r="N62" s="24" t="str">
        <x:v>galeorhinus galeus</x:v>
      </x:c>
      <x:c r="O62" s="32" t="n">
        <x:v>4.34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Galeorhinus galeus</x:v>
      </x:c>
      <x:c r="T62" s="32" t="n">
        <x:f>IF(O62="","",(1/'Metadata'!$B$5)^(O62-1))</x:f>
        <x:v>2187.761623949552</x:v>
      </x:c>
      <x:c r="U62" s="31" t="n">
        <x:f>IF(T62="","",I62*T62)</x:f>
        <x:v>90232.17109930285</x:v>
      </x:c>
    </x:row>
    <x:row r="63" ht="18" customHeight="1">
      <x:c r="A63" s="24" t="str">
        <x:v>LME_043</x:v>
      </x:c>
      <x:c r="B63" s="24" t="str">
        <x:v>Southwest Australian Shelf</x:v>
      </x:c>
      <x:c r="C63" s="24" t="str">
        <x:v>LME</x:v>
      </x:c>
      <x:c r="D63" s="30" t="n">
        <x:v>2019</x:v>
      </x:c>
      <x:c r="E63" s="24" t="str">
        <x:v>Scorpaeniformes</x:v>
      </x:c>
      <x:c r="F63" s="24" t="str">
        <x:v>Scorpionfishes, flatheads</x:v>
      </x:c>
      <x:c r="G63" s="24" t="str">
        <x:v>Medium demersals (30 - 89 cm)</x:v>
      </x:c>
      <x:c r="H63" s="24" t="str">
        <x:v>Scorpionfishes</x:v>
      </x:c>
      <x:c r="I63" s="31" t="n">
        <x:v>40.9577556183</x:v>
      </x:c>
      <x:c r="J63" s="31" t="n">
        <x:v>38.6196342844</x:v>
      </x:c>
      <x:c r="K63" s="31" t="n">
        <x:v>2.3381213339</x:v>
      </x:c>
      <x:c r="L63" s="31" t="n">
        <x:v>38.1443771563</x:v>
      </x:c>
      <x:c r="M63" s="31" t="n">
        <x:v>2.813378462</x:v>
      </x:c>
      <x:c r="N63" s="24" t="str">
        <x:v>scorpaeniformes</x:v>
      </x:c>
      <x:c r="O63" s="32" t="n">
        <x:v>3.78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Scorpaeniformes</x:v>
      </x:c>
      <x:c r="T63" s="32" t="n">
        <x:f>IF(O63="","",(1/'Metadata'!$B$5)^(O63-1))</x:f>
        <x:v>602.5595860743575</x:v>
      </x:c>
      <x:c r="U63" s="31" t="n">
        <x:f>IF(T63="","",I63*T63)</x:f>
        <x:v>24679.48827189754</x:v>
      </x:c>
    </x:row>
    <x:row r="64" ht="18" customHeight="1">
      <x:c r="A64" s="24" t="str">
        <x:v>LME_043</x:v>
      </x:c>
      <x:c r="B64" s="24" t="str">
        <x:v>Southwest Australian Shelf</x:v>
      </x:c>
      <x:c r="C64" s="24" t="str">
        <x:v>LME</x:v>
      </x:c>
      <x:c r="D64" s="30" t="n">
        <x:v>2019</x:v>
      </x:c>
      <x:c r="E64" s="24" t="str">
        <x:v>Veneridae</x:v>
      </x:c>
      <x:c r="F64" s="24" t="str">
        <x:v>Venus clams</x:v>
      </x:c>
      <x:c r="G64" s="24" t="str">
        <x:v>Other demersal invertebrates</x:v>
      </x:c>
      <x:c r="H64" s="24" t="str">
        <x:v>Molluscs</x:v>
      </x:c>
      <x:c r="I64" s="31" t="n">
        <x:v>39.5421689871</x:v>
      </x:c>
      <x:c r="J64" s="31" t="n">
        <x:v>39.5421689871</x:v>
      </x:c>
      <x:c r="K64" s="31" t="n">
        <x:v>0</x:v>
      </x:c>
      <x:c r="L64" s="31" t="n">
        <x:v>39.5421689871</x:v>
      </x:c>
      <x:c r="M64" s="31" t="n">
        <x:v>0</x:v>
      </x:c>
      <x:c r="N64" s="24" t="str">
        <x:v>veneridae</x:v>
      </x:c>
      <x:c r="O64" s="32" t="n">
        <x:v>2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Veneridae</x:v>
      </x:c>
      <x:c r="T64" s="32" t="n">
        <x:f>IF(O64="","",(1/'Metadata'!$B$5)^(O64-1))</x:f>
        <x:v>10</x:v>
      </x:c>
      <x:c r="U64" s="31" t="n">
        <x:f>IF(T64="","",I64*T64)</x:f>
        <x:v>395.421689871</x:v>
      </x:c>
    </x:row>
    <x:row r="65" ht="18" customHeight="1">
      <x:c r="A65" s="24" t="str">
        <x:v>LME_043</x:v>
      </x:c>
      <x:c r="B65" s="24" t="str">
        <x:v>Southwest Australian Shelf</x:v>
      </x:c>
      <x:c r="C65" s="24" t="str">
        <x:v>LME</x:v>
      </x:c>
      <x:c r="D65" s="30" t="n">
        <x:v>2019</x:v>
      </x:c>
      <x:c r="E65" s="24" t="str">
        <x:v>Oreosomatidae</x:v>
      </x:c>
      <x:c r="F65" s="24" t="str">
        <x:v>Oreos</x:v>
      </x:c>
      <x:c r="G65" s="24" t="str">
        <x:v>Medium bathypelagics (30 - 89 cm)</x:v>
      </x:c>
      <x:c r="H65" s="24" t="str">
        <x:v>Other fishes &amp; inverts</x:v>
      </x:c>
      <x:c r="I65" s="31" t="n">
        <x:v>38.8638140276</x:v>
      </x:c>
      <x:c r="J65" s="31" t="n">
        <x:v>38.8638140276</x:v>
      </x:c>
      <x:c r="K65" s="31" t="n">
        <x:v>0</x:v>
      </x:c>
      <x:c r="L65" s="31" t="n">
        <x:v>38.8638140276</x:v>
      </x:c>
      <x:c r="M65" s="31" t="n">
        <x:v>0</x:v>
      </x:c>
      <x:c r="N65" s="24" t="str">
        <x:v>oreosomatidae</x:v>
      </x:c>
      <x:c r="O65" s="32" t="n">
        <x:v>3.69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Oreosomatidae</x:v>
      </x:c>
      <x:c r="T65" s="32" t="n">
        <x:f>IF(O65="","",(1/'Metadata'!$B$5)^(O65-1))</x:f>
        <x:v>489.77881936844614</x:v>
      </x:c>
      <x:c r="U65" s="31" t="n">
        <x:f>IF(T65="","",I65*T65)</x:f>
        <x:v>19034.672950592783</x:v>
      </x:c>
    </x:row>
    <x:row r="66" ht="18" customHeight="1">
      <x:c r="A66" s="24" t="str">
        <x:v>LME_043</x:v>
      </x:c>
      <x:c r="B66" s="24" t="str">
        <x:v>Southwest Australian Shelf</x:v>
      </x:c>
      <x:c r="C66" s="24" t="str">
        <x:v>LME</x:v>
      </x:c>
      <x:c r="D66" s="30" t="n">
        <x:v>2019</x:v>
      </x:c>
      <x:c r="E66" s="24" t="str">
        <x:v>Portunidae</x:v>
      </x:c>
      <x:c r="F66" s="24" t="str">
        <x:v>Swimming crabs</x:v>
      </x:c>
      <x:c r="G66" s="24" t="str">
        <x:v>Lobsters, crabs</x:v>
      </x:c>
      <x:c r="H66" s="24" t="str">
        <x:v>Crustaceans</x:v>
      </x:c>
      <x:c r="I66" s="31" t="n">
        <x:v>35.3326333476</x:v>
      </x:c>
      <x:c r="J66" s="31" t="n">
        <x:v>29.8612241728</x:v>
      </x:c>
      <x:c r="K66" s="31" t="n">
        <x:v>5.4714091748</x:v>
      </x:c>
      <x:c r="L66" s="31" t="n">
        <x:v>27.4095405413</x:v>
      </x:c>
      <x:c r="M66" s="31" t="n">
        <x:v>7.9230928063</x:v>
      </x:c>
      <x:c r="N66" s="24" t="str">
        <x:v>portunidae</x:v>
      </x:c>
      <x:c r="O66" s="32" t="n">
        <x:v>3.56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Portunidae</x:v>
      </x:c>
      <x:c r="T66" s="32" t="n">
        <x:f>IF(O66="","",(1/'Metadata'!$B$5)^(O66-1))</x:f>
        <x:v>363.0780547701014</x:v>
      </x:c>
      <x:c r="U66" s="31" t="n">
        <x:f>IF(T66="","",I66*T66)</x:f>
        <x:v>12828.503785751825</x:v>
      </x:c>
    </x:row>
    <x:row r="67" ht="18" customHeight="1">
      <x:c r="A67" s="24" t="str">
        <x:v>LME_043</x:v>
      </x:c>
      <x:c r="B67" s="24" t="str">
        <x:v>Southwest Australian Shelf</x:v>
      </x:c>
      <x:c r="C67" s="24" t="str">
        <x:v>LME</x:v>
      </x:c>
      <x:c r="D67" s="30" t="n">
        <x:v>2019</x:v>
      </x:c>
      <x:c r="E67" s="24" t="str">
        <x:v>Pinctada maxima</x:v>
      </x:c>
      <x:c r="F67" s="24" t="str">
        <x:v>Silverlip pearl oyster</x:v>
      </x:c>
      <x:c r="G67" s="24" t="str">
        <x:v>Other demersal invertebrates</x:v>
      </x:c>
      <x:c r="H67" s="24" t="str">
        <x:v>Molluscs</x:v>
      </x:c>
      <x:c r="I67" s="31" t="n">
        <x:v>34.1242484534</x:v>
      </x:c>
      <x:c r="J67" s="31" t="n">
        <x:v>34.1242484534</x:v>
      </x:c>
      <x:c r="K67" s="31" t="n">
        <x:v>0</x:v>
      </x:c>
      <x:c r="L67" s="31" t="n">
        <x:v>34.1242484534</x:v>
      </x:c>
      <x:c r="M67" s="31" t="n">
        <x:v>0</x:v>
      </x:c>
      <x:c r="N67" s="24" t="str">
        <x:v>pinctada maxima</x:v>
      </x:c>
      <x:c r="O67" s="32" t="n">
        <x:v>2.05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Pinctada maxima</x:v>
      </x:c>
      <x:c r="T67" s="32" t="n">
        <x:f>IF(O67="","",(1/'Metadata'!$B$5)^(O67-1))</x:f>
        <x:v>11.220184543019629</x:v>
      </x:c>
      <x:c r="U67" s="31" t="n">
        <x:f>IF(T67="","",I67*T67)</x:f>
        <x:v>382.88036503900014</x:v>
      </x:c>
    </x:row>
    <x:row r="68" ht="18" customHeight="1">
      <x:c r="A68" s="24" t="str">
        <x:v>LME_043</x:v>
      </x:c>
      <x:c r="B68" s="24" t="str">
        <x:v>Southwest Australian Shelf</x:v>
      </x:c>
      <x:c r="C68" s="24" t="str">
        <x:v>LME</x:v>
      </x:c>
      <x:c r="D68" s="30" t="n">
        <x:v>2019</x:v>
      </x:c>
      <x:c r="E68" s="24" t="str">
        <x:v>Ommastrephidae</x:v>
      </x:c>
      <x:c r="F68" s="24" t="str">
        <x:v>Arrow squids</x:v>
      </x:c>
      <x:c r="G68" s="24" t="str">
        <x:v>Cephalopods</x:v>
      </x:c>
      <x:c r="H68" s="24" t="str">
        <x:v>Other fishes &amp; inverts</x:v>
      </x:c>
      <x:c r="I68" s="31" t="n">
        <x:v>33.7601147486</x:v>
      </x:c>
      <x:c r="J68" s="31" t="n">
        <x:v>33.7601147486</x:v>
      </x:c>
      <x:c r="K68" s="31" t="n">
        <x:v>0</x:v>
      </x:c>
      <x:c r="L68" s="31" t="n">
        <x:v>33.7601147486</x:v>
      </x:c>
      <x:c r="M68" s="31" t="n">
        <x:v>0</x:v>
      </x:c>
      <x:c r="N68" s="24" t="str">
        <x:v>ommastrephidae</x:v>
      </x:c>
      <x:c r="O68" s="32" t="n">
        <x:v>4.09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Ommastrephidae</x:v>
      </x:c>
      <x:c r="T68" s="32" t="n">
        <x:f>IF(O68="","",(1/'Metadata'!$B$5)^(O68-1))</x:f>
        <x:v>1230.268770812381</x:v>
      </x:c>
      <x:c r="U68" s="31" t="n">
        <x:f>IF(T68="","",I68*T68)</x:f>
        <x:v>41534.01487424506</x:v>
      </x:c>
    </x:row>
    <x:row r="69" ht="18" customHeight="1">
      <x:c r="A69" s="24" t="str">
        <x:v>LME_043</x:v>
      </x:c>
      <x:c r="B69" s="24" t="str">
        <x:v>Southwest Australian Shelf</x:v>
      </x:c>
      <x:c r="C69" s="24" t="str">
        <x:v>LME</x:v>
      </x:c>
      <x:c r="D69" s="30" t="n">
        <x:v>2019</x:v>
      </x:c>
      <x:c r="E69" s="24" t="str">
        <x:v>Neocyttus rhomboidalis</x:v>
      </x:c>
      <x:c r="F69" s="24" t="str">
        <x:v>Spiky oreo</x:v>
      </x:c>
      <x:c r="G69" s="24" t="str">
        <x:v>Medium bathypelagics (30 - 89 cm)</x:v>
      </x:c>
      <x:c r="H69" s="24" t="str">
        <x:v>Other fishes &amp; inverts</x:v>
      </x:c>
      <x:c r="I69" s="31" t="n">
        <x:v>33.009687502</x:v>
      </x:c>
      <x:c r="J69" s="31" t="n">
        <x:v>33.009687502</x:v>
      </x:c>
      <x:c r="K69" s="31" t="n">
        <x:v>0</x:v>
      </x:c>
      <x:c r="L69" s="31" t="n">
        <x:v>33.009687502</x:v>
      </x:c>
      <x:c r="M69" s="31" t="n">
        <x:v>0</x:v>
      </x:c>
      <x:c r="N69" s="24" t="str">
        <x:v>neocyttus rhomboidalis</x:v>
      </x:c>
      <x:c r="O69" s="32" t="n">
        <x:v>3.58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Neocyttus rhomboidalis</x:v>
      </x:c>
      <x:c r="T69" s="32" t="n">
        <x:f>IF(O69="","",(1/'Metadata'!$B$5)^(O69-1))</x:f>
        <x:v>380.1893963205613</x:v>
      </x:c>
      <x:c r="U69" s="31" t="n">
        <x:f>IF(T69="","",I69*T69)</x:f>
        <x:v>12549.933164115757</x:v>
      </x:c>
    </x:row>
    <x:row r="70" ht="18" customHeight="1">
      <x:c r="A70" s="24" t="str">
        <x:v>LME_043</x:v>
      </x:c>
      <x:c r="B70" s="24" t="str">
        <x:v>Southwest Australian Shelf</x:v>
      </x:c>
      <x:c r="C70" s="24" t="str">
        <x:v>LME</x:v>
      </x:c>
      <x:c r="D70" s="30" t="n">
        <x:v>2019</x:v>
      </x:c>
      <x:c r="E70" s="24" t="str">
        <x:v>Urolophidae</x:v>
      </x:c>
      <x:c r="F70" s="24" t="str">
        <x:v>Round rays</x:v>
      </x:c>
      <x:c r="G70" s="24" t="str">
        <x:v>Small to medium rays (&lt;90 cm)</x:v>
      </x:c>
      <x:c r="H70" s="24" t="str">
        <x:v>Sharks &amp; rays</x:v>
      </x:c>
      <x:c r="I70" s="31" t="n">
        <x:v>32.2181708923</x:v>
      </x:c>
      <x:c r="J70" s="31" t="n">
        <x:v>0</x:v>
      </x:c>
      <x:c r="K70" s="31" t="n">
        <x:v>32.2181708923</x:v>
      </x:c>
      <x:c r="L70" s="31" t="n">
        <x:v>0</x:v>
      </x:c>
      <x:c r="M70" s="31" t="n">
        <x:v>32.2181708923</x:v>
      </x:c>
      <x:c r="N70" s="24" t="str">
        <x:v>urolophidae</x:v>
      </x:c>
      <x:c r="O70" s="32" t="n">
        <x:v>3.7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Urolophidae</x:v>
      </x:c>
      <x:c r="T70" s="32" t="n">
        <x:f>IF(O70="","",(1/'Metadata'!$B$5)^(O70-1))</x:f>
        <x:v>501.18723362727246</x:v>
      </x:c>
      <x:c r="U70" s="31" t="n">
        <x:f>IF(T70="","",I70*T70)</x:f>
        <x:v>16147.33594204255</x:v>
      </x:c>
    </x:row>
    <x:row r="71" ht="18" customHeight="1">
      <x:c r="A71" s="24" t="str">
        <x:v>LME_043</x:v>
      </x:c>
      <x:c r="B71" s="24" t="str">
        <x:v>Southwest Australian Shelf</x:v>
      </x:c>
      <x:c r="C71" s="24" t="str">
        <x:v>LME</x:v>
      </x:c>
      <x:c r="D71" s="30" t="n">
        <x:v>2019</x:v>
      </x:c>
      <x:c r="E71" s="24" t="str">
        <x:v>Triakidae</x:v>
      </x:c>
      <x:c r="F71" s="24" t="str">
        <x:v>Houndsharks</x:v>
      </x:c>
      <x:c r="G71" s="24" t="str">
        <x:v>Large sharks (&gt;=90 cm)</x:v>
      </x:c>
      <x:c r="H71" s="24" t="str">
        <x:v>Sharks &amp; rays</x:v>
      </x:c>
      <x:c r="I71" s="31" t="n">
        <x:v>31.3536147776</x:v>
      </x:c>
      <x:c r="J71" s="31" t="n">
        <x:v>31.3536147776</x:v>
      </x:c>
      <x:c r="K71" s="31" t="n">
        <x:v>0</x:v>
      </x:c>
      <x:c r="L71" s="31" t="n">
        <x:v>30.061811003499997</x:v>
      </x:c>
      <x:c r="M71" s="31" t="n">
        <x:v>1.2918037741</x:v>
      </x:c>
      <x:c r="N71" s="24" t="str">
        <x:v>triakidae</x:v>
      </x:c>
      <x:c r="O71" s="32" t="n">
        <x:v>3.82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Triakidae</x:v>
      </x:c>
      <x:c r="T71" s="32" t="n">
        <x:f>IF(O71="","",(1/'Metadata'!$B$5)^(O71-1))</x:f>
        <x:v>660.6934480075957</x:v>
      </x:c>
      <x:c r="U71" s="31" t="n">
        <x:f>IF(T71="","",I71*T71)</x:f>
        <x:v>20715.12785491445</x:v>
      </x:c>
    </x:row>
    <x:row r="72" ht="18" customHeight="1">
      <x:c r="A72" s="24" t="str">
        <x:v>LME_043</x:v>
      </x:c>
      <x:c r="B72" s="24" t="str">
        <x:v>Southwest Australian Shelf</x:v>
      </x:c>
      <x:c r="C72" s="24" t="str">
        <x:v>LME</x:v>
      </x:c>
      <x:c r="D72" s="30" t="n">
        <x:v>2019</x:v>
      </x:c>
      <x:c r="E72" s="24" t="str">
        <x:v>Helicolenus percoides</x:v>
      </x:c>
      <x:c r="F72" s="24" t="str">
        <x:v>Red gurnard perch</x:v>
      </x:c>
      <x:c r="G72" s="24" t="str">
        <x:v>Medium demersals (30 - 89 cm)</x:v>
      </x:c>
      <x:c r="H72" s="24" t="str">
        <x:v>Scorpionfishes</x:v>
      </x:c>
      <x:c r="I72" s="31" t="n">
        <x:v>31.0808534158</x:v>
      </x:c>
      <x:c r="J72" s="31" t="n">
        <x:v>31.0808534158</x:v>
      </x:c>
      <x:c r="K72" s="31" t="n">
        <x:v>0</x:v>
      </x:c>
      <x:c r="L72" s="31" t="n">
        <x:v>31.0808534158</x:v>
      </x:c>
      <x:c r="M72" s="31" t="n">
        <x:v>0</x:v>
      </x:c>
      <x:c r="N72" s="24" t="str">
        <x:v>helicolenus percoides</x:v>
      </x:c>
      <x:c r="O72" s="32" t="n">
        <x:v>4.01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Helicolenus percoides</x:v>
      </x:c>
      <x:c r="T72" s="32" t="n">
        <x:f>IF(O72="","",(1/'Metadata'!$B$5)^(O72-1))</x:f>
        <x:v>1023.2929922807537</x:v>
      </x:c>
      <x:c r="U72" s="31" t="n">
        <x:f>IF(T72="","",I72*T72)</x:f>
        <x:v>31804.819494493466</x:v>
      </x:c>
    </x:row>
    <x:row r="73" ht="18" customHeight="1">
      <x:c r="A73" s="24" t="str">
        <x:v>LME_043</x:v>
      </x:c>
      <x:c r="B73" s="24" t="str">
        <x:v>Southwest Australian Shelf</x:v>
      </x:c>
      <x:c r="C73" s="24" t="str">
        <x:v>LME</x:v>
      </x:c>
      <x:c r="D73" s="30" t="n">
        <x:v>2019</x:v>
      </x:c>
      <x:c r="E73" s="24" t="str">
        <x:v>Seriolella brama</x:v>
      </x:c>
      <x:c r="F73" s="24" t="str">
        <x:v>Common warehou</x:v>
      </x:c>
      <x:c r="G73" s="24" t="str">
        <x:v>Medium benthopelagics (30 - 89 cm)</x:v>
      </x:c>
      <x:c r="H73" s="24" t="str">
        <x:v>Perch-likes</x:v>
      </x:c>
      <x:c r="I73" s="31" t="n">
        <x:v>30.732286628</x:v>
      </x:c>
      <x:c r="J73" s="31" t="n">
        <x:v>14.9774182518</x:v>
      </x:c>
      <x:c r="K73" s="31" t="n">
        <x:v>15.7548683762</x:v>
      </x:c>
      <x:c r="L73" s="31" t="n">
        <x:v>14.9774182518</x:v>
      </x:c>
      <x:c r="M73" s="31" t="n">
        <x:v>15.7548683762</x:v>
      </x:c>
      <x:c r="N73" s="24" t="str">
        <x:v>seriolella brama</x:v>
      </x:c>
      <x:c r="O73" s="32" t="n">
        <x:v>3.28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Seriolella brama</x:v>
      </x:c>
      <x:c r="T73" s="32" t="n">
        <x:f>IF(O73="","",(1/'Metadata'!$B$5)^(O73-1))</x:f>
        <x:v>190.54607179632464</x:v>
      </x:c>
      <x:c r="U73" s="31" t="n">
        <x:f>IF(T73="","",I73*T73)</x:f>
        <x:v>5855.916494284116</x:v>
      </x:c>
    </x:row>
    <x:row r="74" ht="18" customHeight="1">
      <x:c r="A74" s="24" t="str">
        <x:v>LME_043</x:v>
      </x:c>
      <x:c r="B74" s="24" t="str">
        <x:v>Southwest Australian Shelf</x:v>
      </x:c>
      <x:c r="C74" s="24" t="str">
        <x:v>LME</x:v>
      </x:c>
      <x:c r="D74" s="30" t="n">
        <x:v>2019</x:v>
      </x:c>
      <x:c r="E74" s="24" t="str">
        <x:v>Squaliformes</x:v>
      </x:c>
      <x:c r="F74" s="24" t="str">
        <x:v>Bramble, sleeper, dogfish sharks</x:v>
      </x:c>
      <x:c r="G74" s="24" t="str">
        <x:v>Large sharks (&gt;=90 cm)</x:v>
      </x:c>
      <x:c r="H74" s="24" t="str">
        <x:v>Sharks &amp; rays</x:v>
      </x:c>
      <x:c r="I74" s="31" t="n">
        <x:v>28.1666095126</x:v>
      </x:c>
      <x:c r="J74" s="31" t="n">
        <x:v>11.787291893899999</x:v>
      </x:c>
      <x:c r="K74" s="31" t="n">
        <x:v>16.3793176187</x:v>
      </x:c>
      <x:c r="L74" s="31" t="n">
        <x:v>11.787234008499999</x:v>
      </x:c>
      <x:c r="M74" s="31" t="n">
        <x:v>16.3793755041</x:v>
      </x:c>
      <x:c r="N74" s="24" t="str">
        <x:v>squaliformes</x:v>
      </x:c>
      <x:c r="O74" s="32" t="n">
        <x:v>4.19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Squaliformes</x:v>
      </x:c>
      <x:c r="T74" s="32" t="n">
        <x:f>IF(O74="","",(1/'Metadata'!$B$5)^(O74-1))</x:f>
        <x:v>1548.8166189124827</x:v>
      </x:c>
      <x:c r="U74" s="31" t="n">
        <x:f>IF(T74="","",I74*T74)</x:f>
        <x:v>43624.912911533305</x:v>
      </x:c>
    </x:row>
    <x:row r="75" ht="18" customHeight="1">
      <x:c r="A75" s="24" t="str">
        <x:v>LME_043</x:v>
      </x:c>
      <x:c r="B75" s="24" t="str">
        <x:v>Southwest Australian Shelf</x:v>
      </x:c>
      <x:c r="C75" s="24" t="str">
        <x:v>LME</x:v>
      </x:c>
      <x:c r="D75" s="30" t="n">
        <x:v>2019</x:v>
      </x:c>
      <x:c r="E75" s="24" t="str">
        <x:v>Zeidae</x:v>
      </x:c>
      <x:c r="F75" s="24" t="str">
        <x:v>Dories</x:v>
      </x:c>
      <x:c r="G75" s="24" t="str">
        <x:v>Medium bathydemersals (30 - 89 cm)</x:v>
      </x:c>
      <x:c r="H75" s="24" t="str">
        <x:v>Other fishes &amp; inverts</x:v>
      </x:c>
      <x:c r="I75" s="31" t="n">
        <x:v>27.6517725836</x:v>
      </x:c>
      <x:c r="J75" s="31" t="n">
        <x:v>27.6517725836</x:v>
      </x:c>
      <x:c r="K75" s="31" t="n">
        <x:v>0</x:v>
      </x:c>
      <x:c r="L75" s="31" t="n">
        <x:v>27.549340945700003</x:v>
      </x:c>
      <x:c r="M75" s="31" t="n">
        <x:v>0.1024316379</x:v>
      </x:c>
      <x:c r="N75" s="24" t="str">
        <x:v>zeidae</x:v>
      </x:c>
      <x:c r="O75" s="32" t="n">
        <x:v>4.49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Zeidae</x:v>
      </x:c>
      <x:c r="T75" s="32" t="n">
        <x:f>IF(O75="","",(1/'Metadata'!$B$5)^(O75-1))</x:f>
        <x:v>3090.295432513592</x:v>
      </x:c>
      <x:c r="U75" s="31" t="n">
        <x:f>IF(T75="","",I75*T75)</x:f>
        <x:v>85452.14651600365</x:v>
      </x:c>
    </x:row>
    <x:row r="76" ht="18" customHeight="1">
      <x:c r="A76" s="24" t="str">
        <x:v>LME_043</x:v>
      </x:c>
      <x:c r="B76" s="24" t="str">
        <x:v>Southwest Australian Shelf</x:v>
      </x:c>
      <x:c r="C76" s="24" t="str">
        <x:v>LME</x:v>
      </x:c>
      <x:c r="D76" s="30" t="n">
        <x:v>2019</x:v>
      </x:c>
      <x:c r="E76" s="24" t="str">
        <x:v>Notorynchus cepedianus</x:v>
      </x:c>
      <x:c r="F76" s="24" t="str">
        <x:v>Broadnose sevengill shark</x:v>
      </x:c>
      <x:c r="G76" s="24" t="str">
        <x:v>Large sharks (&gt;=90 cm)</x:v>
      </x:c>
      <x:c r="H76" s="24" t="str">
        <x:v>Sharks &amp; rays</x:v>
      </x:c>
      <x:c r="I76" s="31" t="n">
        <x:v>27.627410648</x:v>
      </x:c>
      <x:c r="J76" s="31" t="n">
        <x:v>27.627410648</x:v>
      </x:c>
      <x:c r="K76" s="31" t="n">
        <x:v>0</x:v>
      </x:c>
      <x:c r="L76" s="31" t="n">
        <x:v>27.627410648</x:v>
      </x:c>
      <x:c r="M76" s="31" t="n">
        <x:v>0</x:v>
      </x:c>
      <x:c r="N76" s="24" t="str">
        <x:v>notorynchus cepedianus</x:v>
      </x:c>
      <x:c r="O76" s="32" t="n">
        <x:v>4.68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Notorynchus cepedianus</x:v>
      </x:c>
      <x:c r="T76" s="32" t="n">
        <x:f>IF(O76="","",(1/'Metadata'!$B$5)^(O76-1))</x:f>
        <x:v>4786.30092322638</x:v>
      </x:c>
      <x:c r="U76" s="31" t="n">
        <x:f>IF(T76="","",I76*T76)</x:f>
        <x:v>132233.10109087673</x:v>
      </x:c>
    </x:row>
    <x:row r="77" ht="18" customHeight="1">
      <x:c r="A77" s="24" t="str">
        <x:v>LME_043</x:v>
      </x:c>
      <x:c r="B77" s="24" t="str">
        <x:v>Southwest Australian Shelf</x:v>
      </x:c>
      <x:c r="C77" s="24" t="str">
        <x:v>LME</x:v>
      </x:c>
      <x:c r="D77" s="30" t="n">
        <x:v>2019</x:v>
      </x:c>
      <x:c r="E77" s="24" t="str">
        <x:v>Sphyraena novaehollandiae</x:v>
      </x:c>
      <x:c r="F77" s="24" t="str">
        <x:v>Australian barracuda</x:v>
      </x:c>
      <x:c r="G77" s="24" t="str">
        <x:v>Medium pelagics (30 - 89 cm)</x:v>
      </x:c>
      <x:c r="H77" s="24" t="str">
        <x:v>Perch-likes</x:v>
      </x:c>
      <x:c r="I77" s="31" t="n">
        <x:v>26.4173455162</x:v>
      </x:c>
      <x:c r="J77" s="31" t="n">
        <x:v>26.4173455162</x:v>
      </x:c>
      <x:c r="K77" s="31" t="n">
        <x:v>0</x:v>
      </x:c>
      <x:c r="L77" s="31" t="n">
        <x:v>25.1482935779</x:v>
      </x:c>
      <x:c r="M77" s="31" t="n">
        <x:v>1.2690519383</x:v>
      </x:c>
      <x:c r="N77" s="24" t="str">
        <x:v>sphyraena novaehollandiae</x:v>
      </x:c>
      <x:c r="O77" s="32" t="n">
        <x:v>4.5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Sphyraena novaehollandiae</x:v>
      </x:c>
      <x:c r="T77" s="32" t="n">
        <x:f>IF(O77="","",(1/'Metadata'!$B$5)^(O77-1))</x:f>
        <x:v>3162.2776601683795</x:v>
      </x:c>
      <x:c r="U77" s="31" t="n">
        <x:f>IF(T77="","",I77*T77)</x:f>
        <x:v>83538.98156682857</x:v>
      </x:c>
    </x:row>
    <x:row r="78" ht="18" customHeight="1">
      <x:c r="A78" s="24" t="str">
        <x:v>LME_043</x:v>
      </x:c>
      <x:c r="B78" s="24" t="str">
        <x:v>Southwest Australian Shelf</x:v>
      </x:c>
      <x:c r="C78" s="24" t="str">
        <x:v>LME</x:v>
      </x:c>
      <x:c r="D78" s="30" t="n">
        <x:v>2019</x:v>
      </x:c>
      <x:c r="E78" s="24" t="str">
        <x:v>Carcharhinus obscurus</x:v>
      </x:c>
      <x:c r="F78" s="24" t="str">
        <x:v>Dusky shark</x:v>
      </x:c>
      <x:c r="G78" s="24" t="str">
        <x:v>Large sharks (&gt;=90 cm)</x:v>
      </x:c>
      <x:c r="H78" s="24" t="str">
        <x:v>Sharks &amp; rays</x:v>
      </x:c>
      <x:c r="I78" s="31" t="n">
        <x:v>25.793474534</x:v>
      </x:c>
      <x:c r="J78" s="31" t="n">
        <x:v>25.793474534</x:v>
      </x:c>
      <x:c r="K78" s="31" t="n">
        <x:v>0</x:v>
      </x:c>
      <x:c r="L78" s="31" t="n">
        <x:v>25.3366131635</x:v>
      </x:c>
      <x:c r="M78" s="31" t="n">
        <x:v>0.4568613705</x:v>
      </x:c>
      <x:c r="N78" s="24" t="str">
        <x:v>carcharhinus obscurus</x:v>
      </x:c>
      <x:c r="O78" s="32" t="n">
        <x:v>4.28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Carcharhinus obscurus</x:v>
      </x:c>
      <x:c r="T78" s="32" t="n">
        <x:f>IF(O78="","",(1/'Metadata'!$B$5)^(O78-1))</x:f>
        <x:v>1905.4607179632483</x:v>
      </x:c>
      <x:c r="U78" s="31" t="n">
        <x:f>IF(T78="","",I78*T78)</x:f>
        <x:v>49148.452504322406</x:v>
      </x:c>
    </x:row>
    <x:row r="79" ht="18" customHeight="1">
      <x:c r="A79" s="24" t="str">
        <x:v>LME_043</x:v>
      </x:c>
      <x:c r="B79" s="24" t="str">
        <x:v>Southwest Australian Shelf</x:v>
      </x:c>
      <x:c r="C79" s="24" t="str">
        <x:v>LME</x:v>
      </x:c>
      <x:c r="D79" s="30" t="n">
        <x:v>2019</x:v>
      </x:c>
      <x:c r="E79" s="24" t="str">
        <x:v>Sphyrnidae</x:v>
      </x:c>
      <x:c r="F79" s="24" t="str">
        <x:v>Hammer, bonnet, scoophead sharks</x:v>
      </x:c>
      <x:c r="G79" s="24" t="str">
        <x:v>Large sharks (&gt;=90 cm)</x:v>
      </x:c>
      <x:c r="H79" s="24" t="str">
        <x:v>Sharks &amp; rays</x:v>
      </x:c>
      <x:c r="I79" s="31" t="n">
        <x:v>24.791218739199998</x:v>
      </x:c>
      <x:c r="J79" s="31" t="n">
        <x:v>24.791218739199998</x:v>
      </x:c>
      <x:c r="K79" s="31" t="n">
        <x:v>0</x:v>
      </x:c>
      <x:c r="L79" s="31" t="n">
        <x:v>21.5751190649</x:v>
      </x:c>
      <x:c r="M79" s="31" t="n">
        <x:v>3.2160996743</x:v>
      </x:c>
      <x:c r="N79" s="24" t="str">
        <x:v>sphyrnidae</x:v>
      </x:c>
      <x:c r="O79" s="32" t="n">
        <x:v>4.19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Sphyrnidae</x:v>
      </x:c>
      <x:c r="T79" s="32" t="n">
        <x:f>IF(O79="","",(1/'Metadata'!$B$5)^(O79-1))</x:f>
        <x:v>1548.8166189124827</x:v>
      </x:c>
      <x:c r="U79" s="31" t="n">
        <x:f>IF(T79="","",I79*T79)</x:f>
        <x:v>38397.051586367525</x:v>
      </x:c>
    </x:row>
    <x:row r="80" ht="18" customHeight="1">
      <x:c r="A80" s="24" t="str">
        <x:v>LME_043</x:v>
      </x:c>
      <x:c r="B80" s="24" t="str">
        <x:v>Southwest Australian Shelf</x:v>
      </x:c>
      <x:c r="C80" s="24" t="str">
        <x:v>LME</x:v>
      </x:c>
      <x:c r="D80" s="30" t="n">
        <x:v>2019</x:v>
      </x:c>
      <x:c r="E80" s="24" t="str">
        <x:v>Scombridae</x:v>
      </x:c>
      <x:c r="F80" s="24" t="str">
        <x:v>Mackerels, tunas, bonitos</x:v>
      </x:c>
      <x:c r="G80" s="24" t="str">
        <x:v>Medium pelagics (30 - 89 cm)</x:v>
      </x:c>
      <x:c r="H80" s="24" t="str">
        <x:v>Perch-likes</x:v>
      </x:c>
      <x:c r="I80" s="31" t="n">
        <x:v>24.314042858100002</x:v>
      </x:c>
      <x:c r="J80" s="31" t="n">
        <x:v>24.314042858100002</x:v>
      </x:c>
      <x:c r="K80" s="31" t="n">
        <x:v>0</x:v>
      </x:c>
      <x:c r="L80" s="31" t="n">
        <x:v>4.8459407784</x:v>
      </x:c>
      <x:c r="M80" s="31" t="n">
        <x:v>19.468102079700003</x:v>
      </x:c>
      <x:c r="N80" s="24" t="str">
        <x:v>scombridae</x:v>
      </x:c>
      <x:c r="O80" s="32" t="n">
        <x:v>4.26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Scombridae</x:v>
      </x:c>
      <x:c r="T80" s="32" t="n">
        <x:f>IF(O80="","",(1/'Metadata'!$B$5)^(O80-1))</x:f>
        <x:v>1819.7008586099826</x:v>
      </x:c>
      <x:c r="U80" s="31" t="n">
        <x:f>IF(T80="","",I80*T80)</x:f>
        <x:v>44244.28466516449</x:v>
      </x:c>
    </x:row>
    <x:row r="81" ht="18" customHeight="1">
      <x:c r="A81" s="24" t="str">
        <x:v>LME_043</x:v>
      </x:c>
      <x:c r="B81" s="24" t="str">
        <x:v>Southwest Australian Shelf</x:v>
      </x:c>
      <x:c r="C81" s="24" t="str">
        <x:v>LME</x:v>
      </x:c>
      <x:c r="D81" s="30" t="n">
        <x:v>2019</x:v>
      </x:c>
      <x:c r="E81" s="24" t="str">
        <x:v>Istiompax indica</x:v>
      </x:c>
      <x:c r="F81" s="24" t="str">
        <x:v>Black marlin</x:v>
      </x:c>
      <x:c r="G81" s="24" t="str">
        <x:v>Large pelagics (&gt;=90 cm)</x:v>
      </x:c>
      <x:c r="H81" s="24" t="str">
        <x:v>Tuna &amp; billfishes</x:v>
      </x:c>
      <x:c r="I81" s="31" t="n">
        <x:v>19.7069102769</x:v>
      </x:c>
      <x:c r="J81" s="31" t="n">
        <x:v>19.7069102769</x:v>
      </x:c>
      <x:c r="K81" s="31" t="n">
        <x:v>0</x:v>
      </x:c>
      <x:c r="L81" s="31" t="n">
        <x:v>0</x:v>
      </x:c>
      <x:c r="M81" s="31" t="n">
        <x:v>19.7069102769</x:v>
      </x:c>
      <x:c r="N81" s="24" t="str">
        <x:v>istiompax indica</x:v>
      </x:c>
      <x:c r="O81" s="32" t="n">
        <x:v>4.5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Istiompax indica</x:v>
      </x:c>
      <x:c r="T81" s="32" t="n">
        <x:f>IF(O81="","",(1/'Metadata'!$B$5)^(O81-1))</x:f>
        <x:v>3162.2776601683795</x:v>
      </x:c>
      <x:c r="U81" s="31" t="n">
        <x:f>IF(T81="","",I81*T81)</x:f>
        <x:v>62318.72211958352</x:v>
      </x:c>
    </x:row>
    <x:row r="82" ht="18" customHeight="1">
      <x:c r="A82" s="24" t="str">
        <x:v>LME_043</x:v>
      </x:c>
      <x:c r="B82" s="24" t="str">
        <x:v>Southwest Australian Shelf</x:v>
      </x:c>
      <x:c r="C82" s="24" t="str">
        <x:v>LME</x:v>
      </x:c>
      <x:c r="D82" s="30" t="n">
        <x:v>2019</x:v>
      </x:c>
      <x:c r="E82" s="24" t="str">
        <x:v>Pseudocyttus maculatus</x:v>
      </x:c>
      <x:c r="F82" s="24" t="str">
        <x:v>Smooth oreo dory</x:v>
      </x:c>
      <x:c r="G82" s="24" t="str">
        <x:v>Medium benthopelagics (30 - 89 cm)</x:v>
      </x:c>
      <x:c r="H82" s="24" t="str">
        <x:v>Other fishes &amp; inverts</x:v>
      </x:c>
      <x:c r="I82" s="31" t="n">
        <x:v>19.703553537999998</x:v>
      </x:c>
      <x:c r="J82" s="31" t="n">
        <x:v>19.703553537999998</x:v>
      </x:c>
      <x:c r="K82" s="31" t="n">
        <x:v>0</x:v>
      </x:c>
      <x:c r="L82" s="31" t="n">
        <x:v>19.703553537999998</x:v>
      </x:c>
      <x:c r="M82" s="31" t="n">
        <x:v>0</x:v>
      </x:c>
      <x:c r="N82" s="24" t="str">
        <x:v>pseudocyttus maculatus</x:v>
      </x:c>
      <x:c r="O82" s="32" t="n">
        <x:v>3.61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Pseudocyttus maculatus</x:v>
      </x:c>
      <x:c r="T82" s="32" t="n">
        <x:f>IF(O82="","",(1/'Metadata'!$B$5)^(O82-1))</x:f>
        <x:v>407.3802778041126</x:v>
      </x:c>
      <x:c r="U82" s="31" t="n">
        <x:f>IF(T82="","",I82*T82)</x:f>
        <x:v>8026.839114038645</x:v>
      </x:c>
    </x:row>
    <x:row r="83" ht="18" customHeight="1">
      <x:c r="A83" s="24" t="str">
        <x:v>LME_043</x:v>
      </x:c>
      <x:c r="B83" s="24" t="str">
        <x:v>Southwest Australian Shelf</x:v>
      </x:c>
      <x:c r="C83" s="24" t="str">
        <x:v>LME</x:v>
      </x:c>
      <x:c r="D83" s="30" t="n">
        <x:v>2019</x:v>
      </x:c>
      <x:c r="E83" s="24" t="str">
        <x:v>Pristiophorus</x:v>
      </x:c>
      <x:c r="F83" s="24" t="str">
        <x:v>Sawsharks</x:v>
      </x:c>
      <x:c r="G83" s="24" t="str">
        <x:v>Large sharks (&gt;=90 cm)</x:v>
      </x:c>
      <x:c r="H83" s="24" t="str">
        <x:v>Sharks &amp; rays</x:v>
      </x:c>
      <x:c r="I83" s="31" t="n">
        <x:v>19.073052669099997</x:v>
      </x:c>
      <x:c r="J83" s="31" t="n">
        <x:v>19.073052669099997</x:v>
      </x:c>
      <x:c r="K83" s="31" t="n">
        <x:v>0</x:v>
      </x:c>
      <x:c r="L83" s="31" t="n">
        <x:v>19.073052669099997</x:v>
      </x:c>
      <x:c r="M83" s="31" t="n">
        <x:v>0</x:v>
      </x:c>
      <x:c r="N83" s="24" t="str">
        <x:v>pristiophorus</x:v>
      </x:c>
      <x:c r="O83" s="32" t="n">
        <x:v>4.01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Pristiophorus</x:v>
      </x:c>
      <x:c r="T83" s="32" t="n">
        <x:f>IF(O83="","",(1/'Metadata'!$B$5)^(O83-1))</x:f>
        <x:v>1023.2929922807537</x:v>
      </x:c>
      <x:c r="U83" s="31" t="n">
        <x:f>IF(T83="","",I83*T83)</x:f>
        <x:v>19517.32113769175</x:v>
      </x:c>
    </x:row>
    <x:row r="84" ht="18" customHeight="1">
      <x:c r="A84" s="24" t="str">
        <x:v>LME_043</x:v>
      </x:c>
      <x:c r="B84" s="24" t="str">
        <x:v>Southwest Australian Shelf</x:v>
      </x:c>
      <x:c r="C84" s="24" t="str">
        <x:v>LME</x:v>
      </x:c>
      <x:c r="D84" s="30" t="n">
        <x:v>2019</x:v>
      </x:c>
      <x:c r="E84" s="24" t="str">
        <x:v>Pomatomus saltatrix</x:v>
      </x:c>
      <x:c r="F84" s="24" t="str">
        <x:v>Bluefish</x:v>
      </x:c>
      <x:c r="G84" s="24" t="str">
        <x:v>Large pelagics (&gt;=90 cm)</x:v>
      </x:c>
      <x:c r="H84" s="24" t="str">
        <x:v>Perch-likes</x:v>
      </x:c>
      <x:c r="I84" s="31" t="n">
        <x:v>18.7243538032</x:v>
      </x:c>
      <x:c r="J84" s="31" t="n">
        <x:v>18.7243538032</x:v>
      </x:c>
      <x:c r="K84" s="31" t="n">
        <x:v>0</x:v>
      </x:c>
      <x:c r="L84" s="31" t="n">
        <x:v>10.1675990807</x:v>
      </x:c>
      <x:c r="M84" s="31" t="n">
        <x:v>8.5567547225</x:v>
      </x:c>
      <x:c r="N84" s="24" t="str">
        <x:v>pomatomus saltatrix</x:v>
      </x:c>
      <x:c r="O84" s="32" t="n">
        <x:v>4.53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Pomatomus saltatrix</x:v>
      </x:c>
      <x:c r="T84" s="32" t="n">
        <x:f>IF(O84="","",(1/'Metadata'!$B$5)^(O84-1))</x:f>
        <x:v>3388.4415613920273</x:v>
      </x:c>
      <x:c r="U84" s="31" t="n">
        <x:f>IF(T84="","",I84*T84)</x:f>
        <x:v>63446.37863697175</x:v>
      </x:c>
    </x:row>
    <x:row r="85" ht="18" customHeight="1">
      <x:c r="A85" s="24" t="str">
        <x:v>LME_043</x:v>
      </x:c>
      <x:c r="B85" s="24" t="str">
        <x:v>Southwest Australian Shelf</x:v>
      </x:c>
      <x:c r="C85" s="24" t="str">
        <x:v>LME</x:v>
      </x:c>
      <x:c r="D85" s="30" t="n">
        <x:v>2019</x:v>
      </x:c>
      <x:c r="E85" s="24" t="str">
        <x:v>Prionace glauca</x:v>
      </x:c>
      <x:c r="F85" s="24" t="str">
        <x:v>Blue shark</x:v>
      </x:c>
      <x:c r="G85" s="24" t="str">
        <x:v>Large sharks (&gt;=90 cm)</x:v>
      </x:c>
      <x:c r="H85" s="24" t="str">
        <x:v>Sharks &amp; rays</x:v>
      </x:c>
      <x:c r="I85" s="31" t="n">
        <x:v>18.6245664925</x:v>
      </x:c>
      <x:c r="J85" s="31" t="n">
        <x:v>18.6245664925</x:v>
      </x:c>
      <x:c r="K85" s="31" t="n">
        <x:v>0</x:v>
      </x:c>
      <x:c r="L85" s="31" t="n">
        <x:v>3.3127463708</x:v>
      </x:c>
      <x:c r="M85" s="31" t="n">
        <x:v>15.3118201217</x:v>
      </x:c>
      <x:c r="N85" s="24" t="str">
        <x:v>prionace glauca</x:v>
      </x:c>
      <x:c r="O85" s="32" t="n">
        <x:v>4.35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Prionace glauca</x:v>
      </x:c>
      <x:c r="T85" s="32" t="n">
        <x:f>IF(O85="","",(1/'Metadata'!$B$5)^(O85-1))</x:f>
        <x:v>2238.7211385683377</x:v>
      </x:c>
      <x:c r="U85" s="31" t="n">
        <x:f>IF(T85="","",I85*T85)</x:f>
        <x:v>41695.210703431316</x:v>
      </x:c>
    </x:row>
    <x:row r="86" ht="18" customHeight="1">
      <x:c r="A86" s="24" t="str">
        <x:v>LME_043</x:v>
      </x:c>
      <x:c r="B86" s="24" t="str">
        <x:v>Southwest Australian Shelf</x:v>
      </x:c>
      <x:c r="C86" s="24" t="str">
        <x:v>LME</x:v>
      </x:c>
      <x:c r="D86" s="30" t="n">
        <x:v>2019</x:v>
      </x:c>
      <x:c r="E86" s="24" t="str">
        <x:v>Engraulidae</x:v>
      </x:c>
      <x:c r="F86" s="24" t="str">
        <x:v>Anchovies, round herrings</x:v>
      </x:c>
      <x:c r="G86" s="24" t="str">
        <x:v>Small pelagics (&lt;30 cm)</x:v>
      </x:c>
      <x:c r="H86" s="24" t="str">
        <x:v>Anchovies</x:v>
      </x:c>
      <x:c r="I86" s="31" t="n">
        <x:v>18.3246204329</x:v>
      </x:c>
      <x:c r="J86" s="31" t="n">
        <x:v>15.2166058699</x:v>
      </x:c>
      <x:c r="K86" s="31" t="n">
        <x:v>3.108014563</x:v>
      </x:c>
      <x:c r="L86" s="31" t="n">
        <x:v>15.2165486102</x:v>
      </x:c>
      <x:c r="M86" s="31" t="n">
        <x:v>3.1080718227</x:v>
      </x:c>
      <x:c r="N86" s="24" t="str">
        <x:v>engraulidae</x:v>
      </x:c>
      <x:c r="O86" s="32" t="n">
        <x:v>3.2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Engraulidae</x:v>
      </x:c>
      <x:c r="T86" s="32" t="n">
        <x:f>IF(O86="","",(1/'Metadata'!$B$5)^(O86-1))</x:f>
        <x:v>158.48931924611142</x:v>
      </x:c>
      <x:c r="U86" s="31" t="n">
        <x:f>IF(T86="","",I86*T86)</x:f>
        <x:v>2904.256617853705</x:v>
      </x:c>
    </x:row>
    <x:row r="87" ht="18" customHeight="1">
      <x:c r="A87" s="24" t="str">
        <x:v>LME_043</x:v>
      </x:c>
      <x:c r="B87" s="24" t="str">
        <x:v>Southwest Australian Shelf</x:v>
      </x:c>
      <x:c r="C87" s="24" t="str">
        <x:v>LME</x:v>
      </x:c>
      <x:c r="D87" s="30" t="n">
        <x:v>2019</x:v>
      </x:c>
      <x:c r="E87" s="24" t="str">
        <x:v>Lampris guttatus</x:v>
      </x:c>
      <x:c r="F87" s="24" t="str">
        <x:v>Opah</x:v>
      </x:c>
      <x:c r="G87" s="24" t="str">
        <x:v>Large bathypelagics (&gt;=90 cm)</x:v>
      </x:c>
      <x:c r="H87" s="24" t="str">
        <x:v>Other fishes &amp; inverts</x:v>
      </x:c>
      <x:c r="I87" s="31" t="n">
        <x:v>18.1818635414</x:v>
      </x:c>
      <x:c r="J87" s="31" t="n">
        <x:v>18.1818635414</x:v>
      </x:c>
      <x:c r="K87" s="31" t="n">
        <x:v>0</x:v>
      </x:c>
      <x:c r="L87" s="31" t="n">
        <x:v>18.1818635414</x:v>
      </x:c>
      <x:c r="M87" s="31" t="n">
        <x:v>0</x:v>
      </x:c>
      <x:c r="N87" s="24" t="str">
        <x:v>lampris guttatus</x:v>
      </x:c>
      <x:c r="O87" s="32" t="n">
        <x:v>4.22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Lampris guttatus</x:v>
      </x:c>
      <x:c r="T87" s="32" t="n">
        <x:f>IF(O87="","",(1/'Metadata'!$B$5)^(O87-1))</x:f>
        <x:v>1659.5869074375596</x:v>
      </x:c>
      <x:c r="U87" s="31" t="n">
        <x:f>IF(T87="","",I87*T87)</x:f>
        <x:v>30174.38268612374</x:v>
      </x:c>
    </x:row>
    <x:row r="88" ht="18" customHeight="1">
      <x:c r="A88" s="24" t="str">
        <x:v>LME_043</x:v>
      </x:c>
      <x:c r="B88" s="24" t="str">
        <x:v>Southwest Australian Shelf</x:v>
      </x:c>
      <x:c r="C88" s="24" t="str">
        <x:v>LME</x:v>
      </x:c>
      <x:c r="D88" s="30" t="n">
        <x:v>2019</x:v>
      </x:c>
      <x:c r="E88" s="24" t="str">
        <x:v>Seriola lalandi</x:v>
      </x:c>
      <x:c r="F88" s="24" t="str">
        <x:v>Yellowtail amberjack</x:v>
      </x:c>
      <x:c r="G88" s="24" t="str">
        <x:v>Large benthopelagics (&gt;=90 cm)</x:v>
      </x:c>
      <x:c r="H88" s="24" t="str">
        <x:v>Perch-likes</x:v>
      </x:c>
      <x:c r="I88" s="31" t="n">
        <x:v>14.7729590372</x:v>
      </x:c>
      <x:c r="J88" s="31" t="n">
        <x:v>14.7729590372</x:v>
      </x:c>
      <x:c r="K88" s="31" t="n">
        <x:v>0</x:v>
      </x:c>
      <x:c r="L88" s="31" t="n">
        <x:v>3.0702468817</x:v>
      </x:c>
      <x:c r="M88" s="31" t="n">
        <x:v>11.7027121555</x:v>
      </x:c>
      <x:c r="N88" s="24" t="str">
        <x:v>seriola lalandi</x:v>
      </x:c>
      <x:c r="O88" s="32" t="n">
        <x:v>4.16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Seriola lalandi</x:v>
      </x:c>
      <x:c r="T88" s="32" t="n">
        <x:f>IF(O88="","",(1/'Metadata'!$B$5)^(O88-1))</x:f>
        <x:v>1445.439770745928</x:v>
      </x:c>
      <x:c r="U88" s="31" t="n">
        <x:f>IF(T88="","",I88*T88)</x:f>
        <x:v>21353.42252396935</x:v>
      </x:c>
    </x:row>
    <x:row r="89" ht="18" customHeight="1">
      <x:c r="A89" s="24" t="str">
        <x:v>LME_043</x:v>
      </x:c>
      <x:c r="B89" s="24" t="str">
        <x:v>Southwest Australian Shelf</x:v>
      </x:c>
      <x:c r="C89" s="24" t="str">
        <x:v>LME</x:v>
      </x:c>
      <x:c r="D89" s="30" t="n">
        <x:v>2019</x:v>
      </x:c>
      <x:c r="E89" s="24" t="str">
        <x:v>Cyprinus carpio</x:v>
      </x:c>
      <x:c r="F89" s="24" t="str">
        <x:v>Common carp</x:v>
      </x:c>
      <x:c r="G89" s="24" t="str">
        <x:v>Large benthopelagics (&gt;=90 cm)</x:v>
      </x:c>
      <x:c r="H89" s="24" t="str">
        <x:v>Other fishes &amp; inverts</x:v>
      </x:c>
      <x:c r="I89" s="31" t="n">
        <x:v>14.0502273719</x:v>
      </x:c>
      <x:c r="J89" s="31" t="n">
        <x:v>14.0502273719</x:v>
      </x:c>
      <x:c r="K89" s="31" t="n">
        <x:v>0</x:v>
      </x:c>
      <x:c r="L89" s="31" t="n">
        <x:v>14.0502273719</x:v>
      </x:c>
      <x:c r="M89" s="31" t="n">
        <x:v>0</x:v>
      </x:c>
      <x:c r="N89" s="24" t="str">
        <x:v>cyprinus carpio</x:v>
      </x:c>
      <x:c r="O89" s="32" t="n">
        <x:v>3.06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Cyprinus carpio</x:v>
      </x:c>
      <x:c r="T89" s="32" t="n">
        <x:f>IF(O89="","",(1/'Metadata'!$B$5)^(O89-1))</x:f>
        <x:v>114.81536214968828</x:v>
      </x:c>
      <x:c r="U89" s="31" t="n">
        <x:f>IF(T89="","",I89*T89)</x:f>
        <x:v>1613.1819439901615</x:v>
      </x:c>
    </x:row>
    <x:row r="90" ht="18" customHeight="1">
      <x:c r="A90" s="24" t="str">
        <x:v>LME_043</x:v>
      </x:c>
      <x:c r="B90" s="24" t="str">
        <x:v>Southwest Australian Shelf</x:v>
      </x:c>
      <x:c r="C90" s="24" t="str">
        <x:v>LME</x:v>
      </x:c>
      <x:c r="D90" s="30" t="n">
        <x:v>2019</x:v>
      </x:c>
      <x:c r="E90" s="24" t="str">
        <x:v>Halargyreus johnsonii</x:v>
      </x:c>
      <x:c r="F90" s="24" t="str">
        <x:v>Slender codling</x:v>
      </x:c>
      <x:c r="G90" s="24" t="str">
        <x:v>Medium bathypelagics (30 - 89 cm)</x:v>
      </x:c>
      <x:c r="H90" s="24" t="str">
        <x:v>Cod-likes</x:v>
      </x:c>
      <x:c r="I90" s="31" t="n">
        <x:v>11.5721098126</x:v>
      </x:c>
      <x:c r="J90" s="31" t="n">
        <x:v>0.0087697246</x:v>
      </x:c>
      <x:c r="K90" s="31" t="n">
        <x:v>11.563340088</x:v>
      </x:c>
      <x:c r="L90" s="31" t="n">
        <x:v>0.0087697246</x:v>
      </x:c>
      <x:c r="M90" s="31" t="n">
        <x:v>11.563340088</x:v>
      </x:c>
      <x:c r="N90" s="24" t="str">
        <x:v>halargyreus johnsonii</x:v>
      </x:c>
      <x:c r="O90" s="32" t="n">
        <x:v>3.38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Halargyreus johnsonii</x:v>
      </x:c>
      <x:c r="T90" s="32" t="n">
        <x:f>IF(O90="","",(1/'Metadata'!$B$5)^(O90-1))</x:f>
        <x:v>239.88329190194898</x:v>
      </x:c>
      <x:c r="U90" s="31" t="n">
        <x:f>IF(T90="","",I90*T90)</x:f>
        <x:v>2775.9557960973343</x:v>
      </x:c>
    </x:row>
    <x:row r="91" ht="18" customHeight="1">
      <x:c r="A91" s="24" t="str">
        <x:v>LME_043</x:v>
      </x:c>
      <x:c r="B91" s="24" t="str">
        <x:v>Southwest Australian Shelf</x:v>
      </x:c>
      <x:c r="C91" s="24" t="str">
        <x:v>LME</x:v>
      </x:c>
      <x:c r="D91" s="30" t="n">
        <x:v>2019</x:v>
      </x:c>
      <x:c r="E91" s="24" t="str">
        <x:v>Clupeidae</x:v>
      </x:c>
      <x:c r="F91" s="24" t="str">
        <x:v>Herrings, sardines, menhadens</x:v>
      </x:c>
      <x:c r="G91" s="24" t="str">
        <x:v>Small pelagics (&lt;30 cm)</x:v>
      </x:c>
      <x:c r="H91" s="24" t="str">
        <x:v>Herring-likes</x:v>
      </x:c>
      <x:c r="I91" s="31" t="n">
        <x:v>11.1069939709</x:v>
      </x:c>
      <x:c r="J91" s="31" t="n">
        <x:v>9.1521851323</x:v>
      </x:c>
      <x:c r="K91" s="31" t="n">
        <x:v>1.9548088386</x:v>
      </x:c>
      <x:c r="L91" s="31" t="n">
        <x:v>8.4757444594</x:v>
      </x:c>
      <x:c r="M91" s="31" t="n">
        <x:v>2.6312495115</x:v>
      </x:c>
      <x:c r="N91" s="24" t="str">
        <x:v>clupeidae</x:v>
      </x:c>
      <x:c r="O91" s="32" t="n">
        <x:v>3.16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Clupeidae</x:v>
      </x:c>
      <x:c r="T91" s="32" t="n">
        <x:f>IF(O91="","",(1/'Metadata'!$B$5)^(O91-1))</x:f>
        <x:v>144.5439770745928</x:v>
      </x:c>
      <x:c r="U91" s="31" t="n">
        <x:f>IF(T91="","",I91*T91)</x:f>
        <x:v>1605.4490818974098</x:v>
      </x:c>
    </x:row>
    <x:row r="92" ht="18" customHeight="1">
      <x:c r="A92" s="24" t="str">
        <x:v>LME_043</x:v>
      </x:c>
      <x:c r="B92" s="24" t="str">
        <x:v>Southwest Australian Shelf</x:v>
      </x:c>
      <x:c r="C92" s="24" t="str">
        <x:v>LME</x:v>
      </x:c>
      <x:c r="D92" s="30" t="n">
        <x:v>2019</x:v>
      </x:c>
      <x:c r="E92" s="24" t="str">
        <x:v>Centriscidae</x:v>
      </x:c>
      <x:c r="F92" s="24" t="str">
        <x:v>Snipefishes, shrimpfishes</x:v>
      </x:c>
      <x:c r="G92" s="24" t="str">
        <x:v>Small benthopelagics (&lt;30 cm)</x:v>
      </x:c>
      <x:c r="H92" s="24" t="str">
        <x:v>Other fishes &amp; inverts</x:v>
      </x:c>
      <x:c r="I92" s="31" t="n">
        <x:v>10.8051148442</x:v>
      </x:c>
      <x:c r="J92" s="31" t="n">
        <x:v>0</x:v>
      </x:c>
      <x:c r="K92" s="31" t="n">
        <x:v>10.8051148442</x:v>
      </x:c>
      <x:c r="L92" s="31" t="n">
        <x:v>0</x:v>
      </x:c>
      <x:c r="M92" s="31" t="n">
        <x:v>10.8051148442</x:v>
      </x:c>
      <x:c r="N92" s="24" t="str">
        <x:v>centriscidae</x:v>
      </x:c>
      <x:c r="O92" s="32" t="n">
        <x:v>3.15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Centriscidae</x:v>
      </x:c>
      <x:c r="T92" s="32" t="n">
        <x:f>IF(O92="","",(1/'Metadata'!$B$5)^(O92-1))</x:f>
        <x:v>141.2537544622754</x:v>
      </x:c>
      <x:c r="U92" s="31" t="n">
        <x:f>IF(T92="","",I92*T92)</x:f>
        <x:v>1526.2630391393138</x:v>
      </x:c>
    </x:row>
    <x:row r="93" ht="18" customHeight="1">
      <x:c r="A93" s="24" t="str">
        <x:v>LME_043</x:v>
      </x:c>
      <x:c r="B93" s="24" t="str">
        <x:v>Southwest Australian Shelf</x:v>
      </x:c>
      <x:c r="C93" s="24" t="str">
        <x:v>LME</x:v>
      </x:c>
      <x:c r="D93" s="30" t="n">
        <x:v>2019</x:v>
      </x:c>
      <x:c r="E93" s="24" t="str">
        <x:v>Xiphias gladius</x:v>
      </x:c>
      <x:c r="F93" s="24" t="str">
        <x:v>Swordfish</x:v>
      </x:c>
      <x:c r="G93" s="24" t="str">
        <x:v>Large pelagics (&gt;=90 cm)</x:v>
      </x:c>
      <x:c r="H93" s="24" t="str">
        <x:v>Tuna &amp; billfishes</x:v>
      </x:c>
      <x:c r="I93" s="31" t="n">
        <x:v>10.6752829978</x:v>
      </x:c>
      <x:c r="J93" s="31" t="n">
        <x:v>10.6752829978</x:v>
      </x:c>
      <x:c r="K93" s="31" t="n">
        <x:v>0</x:v>
      </x:c>
      <x:c r="L93" s="31" t="n">
        <x:v>7.5395619956</x:v>
      </x:c>
      <x:c r="M93" s="31" t="n">
        <x:v>3.1357210022</x:v>
      </x:c>
      <x:c r="N93" s="24" t="str">
        <x:v>xiphias gladius</x:v>
      </x:c>
      <x:c r="O93" s="32" t="n">
        <x:v>4.53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Xiphias gladius</x:v>
      </x:c>
      <x:c r="T93" s="32" t="n">
        <x:f>IF(O93="","",(1/'Metadata'!$B$5)^(O93-1))</x:f>
        <x:v>3388.4415613920273</x:v>
      </x:c>
      <x:c r="U93" s="31" t="n">
        <x:f>IF(T93="","",I93*T93)</x:f>
        <x:v>36172.57258936719</x:v>
      </x:c>
    </x:row>
    <x:row r="94" ht="18" customHeight="1">
      <x:c r="A94" s="24" t="str">
        <x:v>LME_043</x:v>
      </x:c>
      <x:c r="B94" s="24" t="str">
        <x:v>Southwest Australian Shelf</x:v>
      </x:c>
      <x:c r="C94" s="24" t="str">
        <x:v>LME</x:v>
      </x:c>
      <x:c r="D94" s="30" t="n">
        <x:v>2019</x:v>
      </x:c>
      <x:c r="E94" s="24" t="str">
        <x:v>Kyphosidae</x:v>
      </x:c>
      <x:c r="F94" s="24" t="str">
        <x:v>Sea chubs, knifefishes, niblers</x:v>
      </x:c>
      <x:c r="G94" s="24" t="str">
        <x:v>Medium reef assoc. fish (30 - 89 cm)</x:v>
      </x:c>
      <x:c r="H94" s="24" t="str">
        <x:v>Perch-likes</x:v>
      </x:c>
      <x:c r="I94" s="31" t="n">
        <x:v>9.9959203703</x:v>
      </x:c>
      <x:c r="J94" s="31" t="n">
        <x:v>9.9959203703</x:v>
      </x:c>
      <x:c r="K94" s="31" t="n">
        <x:v>0</x:v>
      </x:c>
      <x:c r="L94" s="31" t="n">
        <x:v>0.7955901826</x:v>
      </x:c>
      <x:c r="M94" s="31" t="n">
        <x:v>9.2003301877</x:v>
      </x:c>
      <x:c r="N94" s="24" t="str">
        <x:v>kyphosidae</x:v>
      </x:c>
      <x:c r="O94" s="32" t="n">
        <x:v>2.19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Kyphosidae</x:v>
      </x:c>
      <x:c r="T94" s="32" t="n">
        <x:f>IF(O94="","",(1/'Metadata'!$B$5)^(O94-1))</x:f>
        <x:v>15.488166189124811</x:v>
      </x:c>
      <x:c r="U94" s="31" t="n">
        <x:f>IF(T94="","",I94*T94)</x:f>
        <x:v>154.81847590846442</x:v>
      </x:c>
    </x:row>
    <x:row r="95" ht="18" customHeight="1">
      <x:c r="A95" s="24" t="str">
        <x:v>LME_043</x:v>
      </x:c>
      <x:c r="B95" s="24" t="str">
        <x:v>Southwest Australian Shelf</x:v>
      </x:c>
      <x:c r="C95" s="24" t="str">
        <x:v>LME</x:v>
      </x:c>
      <x:c r="D95" s="30" t="n">
        <x:v>2019</x:v>
      </x:c>
      <x:c r="E95" s="24" t="str">
        <x:v>Girella tricuspidata</x:v>
      </x:c>
      <x:c r="F95" s="24" t="str">
        <x:v>Parore</x:v>
      </x:c>
      <x:c r="G95" s="24" t="str">
        <x:v>Medium benthopelagics (30 - 89 cm)</x:v>
      </x:c>
      <x:c r="H95" s="24" t="str">
        <x:v>Perch-likes</x:v>
      </x:c>
      <x:c r="I95" s="31" t="n">
        <x:v>9.9328255605</x:v>
      </x:c>
      <x:c r="J95" s="31" t="n">
        <x:v>9.9328255605</x:v>
      </x:c>
      <x:c r="K95" s="31" t="n">
        <x:v>0</x:v>
      </x:c>
      <x:c r="L95" s="31" t="n">
        <x:v>1.9309320563</x:v>
      </x:c>
      <x:c r="M95" s="31" t="n">
        <x:v>8.0018935042</x:v>
      </x:c>
      <x:c r="N95" s="24" t="str">
        <x:v>girella tricuspidata</x:v>
      </x:c>
      <x:c r="O95" s="32" t="n">
        <x:v>2.09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Girella tricuspidata</x:v>
      </x:c>
      <x:c r="T95" s="32" t="n">
        <x:f>IF(O95="","",(1/'Metadata'!$B$5)^(O95-1))</x:f>
        <x:v>12.30268770812381</x:v>
      </x:c>
      <x:c r="U95" s="31" t="n">
        <x:f>IF(T95="","",I95*T95)</x:f>
        <x:v>122.20045093010134</x:v>
      </x:c>
    </x:row>
    <x:row r="96" ht="18" customHeight="1">
      <x:c r="A96" s="24" t="str">
        <x:v>LME_043</x:v>
      </x:c>
      <x:c r="B96" s="24" t="str">
        <x:v>Southwest Australian Shelf</x:v>
      </x:c>
      <x:c r="C96" s="24" t="str">
        <x:v>LME</x:v>
      </x:c>
      <x:c r="D96" s="30" t="n">
        <x:v>2019</x:v>
      </x:c>
      <x:c r="E96" s="24" t="str">
        <x:v>Galeocerdo cuvier</x:v>
      </x:c>
      <x:c r="F96" s="24" t="str">
        <x:v>Tiger shark</x:v>
      </x:c>
      <x:c r="G96" s="24" t="str">
        <x:v>Large sharks (&gt;=90 cm)</x:v>
      </x:c>
      <x:c r="H96" s="24" t="str">
        <x:v>Sharks &amp; rays</x:v>
      </x:c>
      <x:c r="I96" s="31" t="n">
        <x:v>9.8839619436</x:v>
      </x:c>
      <x:c r="J96" s="31" t="n">
        <x:v>9.8839619436</x:v>
      </x:c>
      <x:c r="K96" s="31" t="n">
        <x:v>0</x:v>
      </x:c>
      <x:c r="L96" s="31" t="n">
        <x:v>2.6194203484</x:v>
      </x:c>
      <x:c r="M96" s="31" t="n">
        <x:v>7.2645415952</x:v>
      </x:c>
      <x:c r="N96" s="24" t="str">
        <x:v>galeocerdo cuvier</x:v>
      </x:c>
      <x:c r="O96" s="32" t="n">
        <x:v>4.54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Galeocerdo cuvier</x:v>
      </x:c>
      <x:c r="T96" s="32" t="n">
        <x:f>IF(O96="","",(1/'Metadata'!$B$5)^(O96-1))</x:f>
        <x:v>3467.368504525317</x:v>
      </x:c>
      <x:c r="U96" s="31" t="n">
        <x:f>IF(T96="","",I96*T96)</x:f>
        <x:v>34271.33834316547</x:v>
      </x:c>
    </x:row>
    <x:row r="97" ht="18" customHeight="1">
      <x:c r="A97" s="24" t="str">
        <x:v>LME_043</x:v>
      </x:c>
      <x:c r="B97" s="24" t="str">
        <x:v>Southwest Australian Shelf</x:v>
      </x:c>
      <x:c r="C97" s="24" t="str">
        <x:v>LME</x:v>
      </x:c>
      <x:c r="D97" s="30" t="n">
        <x:v>2019</x:v>
      </x:c>
      <x:c r="E97" s="24" t="str">
        <x:v>Sillaginidae</x:v>
      </x:c>
      <x:c r="F97" s="24" t="str">
        <x:v>Smelt-whitings</x:v>
      </x:c>
      <x:c r="G97" s="24" t="str">
        <x:v>Medium demersals (30 - 89 cm)</x:v>
      </x:c>
      <x:c r="H97" s="24" t="str">
        <x:v>Perch-likes</x:v>
      </x:c>
      <x:c r="I97" s="31" t="n">
        <x:v>8.9371685081</x:v>
      </x:c>
      <x:c r="J97" s="31" t="n">
        <x:v>8.9371685081</x:v>
      </x:c>
      <x:c r="K97" s="31" t="n">
        <x:v>0</x:v>
      </x:c>
      <x:c r="L97" s="31" t="n">
        <x:v>3.7534650276</x:v>
      </x:c>
      <x:c r="M97" s="31" t="n">
        <x:v>5.183703480499999</x:v>
      </x:c>
      <x:c r="N97" s="24" t="str">
        <x:v>sillaginidae</x:v>
      </x:c>
      <x:c r="O97" s="32" t="n">
        <x:v>3.25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Sillaginidae</x:v>
      </x:c>
      <x:c r="T97" s="32" t="n">
        <x:f>IF(O97="","",(1/'Metadata'!$B$5)^(O97-1))</x:f>
        <x:v>177.82794100389228</x:v>
      </x:c>
      <x:c r="U97" s="31" t="n">
        <x:f>IF(T97="","",I97*T97)</x:f>
        <x:v>1589.2782742002505</x:v>
      </x:c>
    </x:row>
    <x:row r="98" ht="18" customHeight="1">
      <x:c r="A98" s="24" t="str">
        <x:v>LME_043</x:v>
      </x:c>
      <x:c r="B98" s="24" t="str">
        <x:v>Southwest Australian Shelf</x:v>
      </x:c>
      <x:c r="C98" s="24" t="str">
        <x:v>LME</x:v>
      </x:c>
      <x:c r="D98" s="30" t="n">
        <x:v>2019</x:v>
      </x:c>
      <x:c r="E98" s="24" t="str">
        <x:v>Thunnus albacares</x:v>
      </x:c>
      <x:c r="F98" s="24" t="str">
        <x:v>Yellowfin tuna</x:v>
      </x:c>
      <x:c r="G98" s="24" t="str">
        <x:v>Large pelagics (&gt;=90 cm)</x:v>
      </x:c>
      <x:c r="H98" s="24" t="str">
        <x:v>Tuna &amp; billfishes</x:v>
      </x:c>
      <x:c r="I98" s="31" t="n">
        <x:v>8.7197615774</x:v>
      </x:c>
      <x:c r="J98" s="31" t="n">
        <x:v>8.7197615774</x:v>
      </x:c>
      <x:c r="K98" s="31" t="n">
        <x:v>0</x:v>
      </x:c>
      <x:c r="L98" s="31" t="n">
        <x:v>2.7413331937</x:v>
      </x:c>
      <x:c r="M98" s="31" t="n">
        <x:v>5.9784283837</x:v>
      </x:c>
      <x:c r="N98" s="24" t="str">
        <x:v>thunnus albacares</x:v>
      </x:c>
      <x:c r="O98" s="32" t="n">
        <x:v>4.41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Thunnus albacares</x:v>
      </x:c>
      <x:c r="T98" s="32" t="n">
        <x:f>IF(O98="","",(1/'Metadata'!$B$5)^(O98-1))</x:f>
        <x:v>2570.3957827688646</x:v>
      </x:c>
      <x:c r="U98" s="31" t="n">
        <x:f>IF(T98="","",I98*T98)</x:f>
        <x:v>22413.23838529894</x:v>
      </x:c>
    </x:row>
    <x:row r="99" ht="18" customHeight="1">
      <x:c r="A99" s="24" t="str">
        <x:v>LME_043</x:v>
      </x:c>
      <x:c r="B99" s="24" t="str">
        <x:v>Southwest Australian Shelf</x:v>
      </x:c>
      <x:c r="C99" s="24" t="str">
        <x:v>LME</x:v>
      </x:c>
      <x:c r="D99" s="30" t="n">
        <x:v>2019</x:v>
      </x:c>
      <x:c r="E99" s="24" t="str">
        <x:v>Carcharhinus</x:v>
      </x:c>
      <x:c r="F99" s="24" t="str">
        <x:v>Sharp-nosed sharks</x:v>
      </x:c>
      <x:c r="G99" s="24" t="str">
        <x:v>Large sharks (&gt;=90 cm)</x:v>
      </x:c>
      <x:c r="H99" s="24" t="str">
        <x:v>Sharks &amp; rays</x:v>
      </x:c>
      <x:c r="I99" s="31" t="n">
        <x:v>8.3957781328</x:v>
      </x:c>
      <x:c r="J99" s="31" t="n">
        <x:v>8.3957781328</x:v>
      </x:c>
      <x:c r="K99" s="31" t="n">
        <x:v>0</x:v>
      </x:c>
      <x:c r="L99" s="31" t="n">
        <x:v>6.1852165369</x:v>
      </x:c>
      <x:c r="M99" s="31" t="n">
        <x:v>2.2105615959</x:v>
      </x:c>
      <x:c r="N99" s="24" t="str">
        <x:v>carcharhinus</x:v>
      </x:c>
      <x:c r="O99" s="32" t="n">
        <x:v>4.26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Carcharhinus</x:v>
      </x:c>
      <x:c r="T99" s="32" t="n">
        <x:f>IF(O99="","",(1/'Metadata'!$B$5)^(O99-1))</x:f>
        <x:v>1819.7008586099826</x:v>
      </x:c>
      <x:c r="U99" s="31" t="n">
        <x:f>IF(T99="","",I99*T99)</x:f>
        <x:v>15277.804676955077</x:v>
      </x:c>
    </x:row>
    <x:row r="100" ht="18" customHeight="1">
      <x:c r="A100" s="24" t="str">
        <x:v>LME_043</x:v>
      </x:c>
      <x:c r="B100" s="24" t="str">
        <x:v>Southwest Australian Shelf</x:v>
      </x:c>
      <x:c r="C100" s="24" t="str">
        <x:v>LME</x:v>
      </x:c>
      <x:c r="D100" s="30" t="n">
        <x:v>2019</x:v>
      </x:c>
      <x:c r="E100" s="24" t="str">
        <x:v>Zeus faber</x:v>
      </x:c>
      <x:c r="F100" s="24" t="str">
        <x:v>John dory</x:v>
      </x:c>
      <x:c r="G100" s="24" t="str">
        <x:v>Medium benthopelagics (30 - 89 cm)</x:v>
      </x:c>
      <x:c r="H100" s="24" t="str">
        <x:v>Other fishes &amp; inverts</x:v>
      </x:c>
      <x:c r="I100" s="31" t="n">
        <x:v>7.804112556400001</x:v>
      </x:c>
      <x:c r="J100" s="31" t="n">
        <x:v>7.646024990500001</x:v>
      </x:c>
      <x:c r="K100" s="31" t="n">
        <x:v>0.1580875659</x:v>
      </x:c>
      <x:c r="L100" s="31" t="n">
        <x:v>7.645900738200001</x:v>
      </x:c>
      <x:c r="M100" s="31" t="n">
        <x:v>0.1582118182</x:v>
      </x:c>
      <x:c r="N100" s="24" t="str">
        <x:v>zeus faber</x:v>
      </x:c>
      <x:c r="O100" s="32" t="n">
        <x:v>4.5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Zeus faber</x:v>
      </x:c>
      <x:c r="T100" s="32" t="n">
        <x:f>IF(O100="","",(1/'Metadata'!$B$5)^(O100-1))</x:f>
        <x:v>3162.2776601683795</x:v>
      </x:c>
      <x:c r="U100" s="31" t="n">
        <x:f>IF(T100="","",I100*T100)</x:f>
        <x:v>24678.770794543263</x:v>
      </x:c>
    </x:row>
    <x:row r="101" ht="18" customHeight="1">
      <x:c r="A101" s="24" t="str">
        <x:v>LME_043</x:v>
      </x:c>
      <x:c r="B101" s="24" t="str">
        <x:v>Southwest Australian Shelf</x:v>
      </x:c>
      <x:c r="C101" s="24" t="str">
        <x:v>LME</x:v>
      </x:c>
      <x:c r="D101" s="30" t="n">
        <x:v>2019</x:v>
      </x:c>
      <x:c r="E101" s="24" t="str">
        <x:v>Portunus pelagicus</x:v>
      </x:c>
      <x:c r="F101" s="24" t="str">
        <x:v>Blue swimming crab</x:v>
      </x:c>
      <x:c r="G101" s="24" t="str">
        <x:v>Lobsters, crabs</x:v>
      </x:c>
      <x:c r="H101" s="24" t="str">
        <x:v>Crustaceans</x:v>
      </x:c>
      <x:c r="I101" s="31" t="n">
        <x:v>7.5736557638</x:v>
      </x:c>
      <x:c r="J101" s="31" t="n">
        <x:v>7.5736557638</x:v>
      </x:c>
      <x:c r="K101" s="31" t="n">
        <x:v>0</x:v>
      </x:c>
      <x:c r="L101" s="31" t="n">
        <x:v>5.0763975190999995</x:v>
      </x:c>
      <x:c r="M101" s="31" t="n">
        <x:v>2.4972582447000002</x:v>
      </x:c>
      <x:c r="N101" s="24" t="str">
        <x:v>portunus pelagicus</x:v>
      </x:c>
      <x:c r="O101" s="32" t="n">
        <x:v>2.48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Portunus pelagicus</x:v>
      </x:c>
      <x:c r="T101" s="32" t="n">
        <x:f>IF(O101="","",(1/'Metadata'!$B$5)^(O101-1))</x:f>
        <x:v>30.19951720402016</x:v>
      </x:c>
      <x:c r="U101" s="31" t="n">
        <x:f>IF(T101="","",I101*T101)</x:f>
        <x:v>228.72074753620456</x:v>
      </x:c>
    </x:row>
    <x:row r="102" ht="18" customHeight="1">
      <x:c r="A102" s="24" t="str">
        <x:v>LME_043</x:v>
      </x:c>
      <x:c r="B102" s="24" t="str">
        <x:v>Southwest Australian Shelf</x:v>
      </x:c>
      <x:c r="C102" s="24" t="str">
        <x:v>LME</x:v>
      </x:c>
      <x:c r="D102" s="30" t="n">
        <x:v>2019</x:v>
      </x:c>
      <x:c r="E102" s="24" t="str">
        <x:v>Sphyrna zygaena</x:v>
      </x:c>
      <x:c r="F102" s="24" t="str">
        <x:v>Smooth hammerhead</x:v>
      </x:c>
      <x:c r="G102" s="24" t="str">
        <x:v>Large sharks (&gt;=90 cm)</x:v>
      </x:c>
      <x:c r="H102" s="24" t="str">
        <x:v>Sharks &amp; rays</x:v>
      </x:c>
      <x:c r="I102" s="31" t="n">
        <x:v>7.3310263551</x:v>
      </x:c>
      <x:c r="J102" s="31" t="n">
        <x:v>7.3310263551</x:v>
      </x:c>
      <x:c r="K102" s="31" t="n">
        <x:v>0</x:v>
      </x:c>
      <x:c r="L102" s="31" t="n">
        <x:v>5.9415347025</x:v>
      </x:c>
      <x:c r="M102" s="31" t="n">
        <x:v>1.3894916526</x:v>
      </x:c>
      <x:c r="N102" s="24" t="str">
        <x:v>sphyrna zygaena</x:v>
      </x:c>
      <x:c r="O102" s="32" t="n">
        <x:v>4.94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Sphyrna zygaena</x:v>
      </x:c>
      <x:c r="T102" s="32" t="n">
        <x:f>IF(O102="","",(1/'Metadata'!$B$5)^(O102-1))</x:f>
        <x:v>8709.635899560813</x:v>
      </x:c>
      <x:c r="U102" s="31" t="n">
        <x:f>IF(T102="","",I102*T102)</x:f>
        <x:v>63850.57032300541</x:v>
      </x:c>
    </x:row>
    <x:row r="103" ht="18" customHeight="1">
      <x:c r="A103" s="24" t="str">
        <x:v>LME_043</x:v>
      </x:c>
      <x:c r="B103" s="24" t="str">
        <x:v>Southwest Australian Shelf</x:v>
      </x:c>
      <x:c r="C103" s="24" t="str">
        <x:v>LME</x:v>
      </x:c>
      <x:c r="D103" s="30" t="n">
        <x:v>2019</x:v>
      </x:c>
      <x:c r="E103" s="24" t="str">
        <x:v>Pristidae</x:v>
      </x:c>
      <x:c r="F103" s="24" t="str">
        <x:v>Sawfishes</x:v>
      </x:c>
      <x:c r="G103" s="24" t="str">
        <x:v>Large rays (&gt;=90 cm)</x:v>
      </x:c>
      <x:c r="H103" s="24" t="str">
        <x:v>Sharks &amp; rays</x:v>
      </x:c>
      <x:c r="I103" s="31" t="n">
        <x:v>7.0472938672000005</x:v>
      </x:c>
      <x:c r="J103" s="31" t="n">
        <x:v>7.0472938672000005</x:v>
      </x:c>
      <x:c r="K103" s="31" t="n">
        <x:v>0</x:v>
      </x:c>
      <x:c r="L103" s="31" t="n">
        <x:v>0.039083111999999996</x:v>
      </x:c>
      <x:c r="M103" s="31" t="n">
        <x:v>7.0082107552</x:v>
      </x:c>
      <x:c r="N103" s="24" t="str">
        <x:v>pristidae</x:v>
      </x:c>
      <x:c r="O103" s="32" t="n">
        <x:v>4.24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Pristidae</x:v>
      </x:c>
      <x:c r="T103" s="32" t="n">
        <x:f>IF(O103="","",(1/'Metadata'!$B$5)^(O103-1))</x:f>
        <x:v>1737.8008287493763</x:v>
      </x:c>
      <x:c r="U103" s="31" t="n">
        <x:f>IF(T103="","",I103*T103)</x:f>
        <x:v>12246.793122860558</x:v>
      </x:c>
    </x:row>
    <x:row r="104" ht="18" customHeight="1">
      <x:c r="A104" s="24" t="str">
        <x:v>LME_043</x:v>
      </x:c>
      <x:c r="B104" s="24" t="str">
        <x:v>Southwest Australian Shelf</x:v>
      </x:c>
      <x:c r="C104" s="24" t="str">
        <x:v>LME</x:v>
      </x:c>
      <x:c r="D104" s="30" t="n">
        <x:v>2019</x:v>
      </x:c>
      <x:c r="E104" s="24" t="str">
        <x:v>Callorhinchus milii</x:v>
      </x:c>
      <x:c r="F104" s="24" t="str">
        <x:v>Ghost shark</x:v>
      </x:c>
      <x:c r="G104" s="24" t="str">
        <x:v>Large rays (&gt;=90 cm)</x:v>
      </x:c>
      <x:c r="H104" s="24" t="str">
        <x:v>Sharks &amp; rays</x:v>
      </x:c>
      <x:c r="I104" s="31" t="n">
        <x:v>6.7574668957</x:v>
      </x:c>
      <x:c r="J104" s="31" t="n">
        <x:v>6.7574668957</x:v>
      </x:c>
      <x:c r="K104" s="31" t="n">
        <x:v>0</x:v>
      </x:c>
      <x:c r="L104" s="31" t="n">
        <x:v>6.7574668957</x:v>
      </x:c>
      <x:c r="M104" s="31" t="n">
        <x:v>0</x:v>
      </x:c>
      <x:c r="N104" s="24" t="str">
        <x:v>callorhinchus milii</x:v>
      </x:c>
      <x:c r="O104" s="32" t="n">
        <x:v>3.6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Callorhinchus milii</x:v>
      </x:c>
      <x:c r="T104" s="32" t="n">
        <x:f>IF(O104="","",(1/'Metadata'!$B$5)^(O104-1))</x:f>
        <x:v>398.1071705534973</x:v>
      </x:c>
      <x:c r="U104" s="31" t="n">
        <x:f>IF(T104="","",I104*T104)</x:f>
        <x:v>2690.1960259560524</x:v>
      </x:c>
    </x:row>
    <x:row r="105" ht="18" customHeight="1">
      <x:c r="A105" s="24" t="str">
        <x:v>LME_043</x:v>
      </x:c>
      <x:c r="B105" s="24" t="str">
        <x:v>Southwest Australian Shelf</x:v>
      </x:c>
      <x:c r="C105" s="24" t="str">
        <x:v>LME</x:v>
      </x:c>
      <x:c r="D105" s="30" t="n">
        <x:v>2019</x:v>
      </x:c>
      <x:c r="E105" s="24" t="str">
        <x:v>Sillago</x:v>
      </x:c>
      <x:c r="F105" s="24" t="str">
        <x:v>Smelt-whitings</x:v>
      </x:c>
      <x:c r="G105" s="24" t="str">
        <x:v>Medium demersals (30 - 89 cm)</x:v>
      </x:c>
      <x:c r="H105" s="24" t="str">
        <x:v>Perch-likes</x:v>
      </x:c>
      <x:c r="I105" s="31" t="n">
        <x:v>6.3045249491</x:v>
      </x:c>
      <x:c r="J105" s="31" t="n">
        <x:v>6.235513366</x:v>
      </x:c>
      <x:c r="K105" s="31" t="n">
        <x:v>0.0690115831</x:v>
      </x:c>
      <x:c r="L105" s="31" t="n">
        <x:v>4.998800479</x:v>
      </x:c>
      <x:c r="M105" s="31" t="n">
        <x:v>1.3057244701</x:v>
      </x:c>
      <x:c r="N105" s="24" t="str">
        <x:v>sillago</x:v>
      </x:c>
      <x:c r="O105" s="32" t="n">
        <x:v>3.33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Sillago</x:v>
      </x:c>
      <x:c r="T105" s="32" t="n">
        <x:f>IF(O105="","",(1/'Metadata'!$B$5)^(O105-1))</x:f>
        <x:v>213.79620895022325</x:v>
      </x:c>
      <x:c r="U105" s="31" t="n">
        <x:f>IF(T105="","",I105*T105)</x:f>
        <x:v>1347.8835333496793</x:v>
      </x:c>
    </x:row>
    <x:row r="106" ht="18" customHeight="1">
      <x:c r="A106" s="24" t="str">
        <x:v>LME_043</x:v>
      </x:c>
      <x:c r="B106" s="24" t="str">
        <x:v>Southwest Australian Shelf</x:v>
      </x:c>
      <x:c r="C106" s="24" t="str">
        <x:v>LME</x:v>
      </x:c>
      <x:c r="D106" s="30" t="n">
        <x:v>2019</x:v>
      </x:c>
      <x:c r="E106" s="24" t="str">
        <x:v>Seriola</x:v>
      </x:c>
      <x:c r="F106" s="24" t="str">
        <x:v>Amberjacks</x:v>
      </x:c>
      <x:c r="G106" s="24" t="str">
        <x:v>Large benthopelagics (&gt;=90 cm)</x:v>
      </x:c>
      <x:c r="H106" s="24" t="str">
        <x:v>Perch-likes</x:v>
      </x:c>
      <x:c r="I106" s="31" t="n">
        <x:v>5.917963910499999</x:v>
      </x:c>
      <x:c r="J106" s="31" t="n">
        <x:v>5.917963910499999</x:v>
      </x:c>
      <x:c r="K106" s="31" t="n">
        <x:v>0</x:v>
      </x:c>
      <x:c r="L106" s="31" t="n">
        <x:v>5.2254888024</x:v>
      </x:c>
      <x:c r="M106" s="31" t="n">
        <x:v>0.6924751081</x:v>
      </x:c>
      <x:c r="N106" s="24" t="str">
        <x:v>seriola</x:v>
      </x:c>
      <x:c r="O106" s="32" t="n">
        <x:v>4.39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Seriola</x:v>
      </x:c>
      <x:c r="T106" s="32" t="n">
        <x:f>IF(O106="","",(1/'Metadata'!$B$5)^(O106-1))</x:f>
        <x:v>2454.7089156850284</x:v>
      </x:c>
      <x:c r="U106" s="31" t="n">
        <x:f>IF(T106="","",I106*T106)</x:f>
        <x:v>14526.878773806584</x:v>
      </x:c>
    </x:row>
    <x:row r="107" ht="18" customHeight="1">
      <x:c r="A107" s="24" t="str">
        <x:v>LME_043</x:v>
      </x:c>
      <x:c r="B107" s="24" t="str">
        <x:v>Southwest Australian Shelf</x:v>
      </x:c>
      <x:c r="C107" s="24" t="str">
        <x:v>LME</x:v>
      </x:c>
      <x:c r="D107" s="30" t="n">
        <x:v>2019</x:v>
      </x:c>
      <x:c r="E107" s="24" t="str">
        <x:v>Trachurus novaezelandiae</x:v>
      </x:c>
      <x:c r="F107" s="24" t="str">
        <x:v>Yellowtail horse mackerel</x:v>
      </x:c>
      <x:c r="G107" s="24" t="str">
        <x:v>Medium pelagics (30 - 89 cm)</x:v>
      </x:c>
      <x:c r="H107" s="24" t="str">
        <x:v>Perch-likes</x:v>
      </x:c>
      <x:c r="I107" s="31" t="n">
        <x:v>5.4753051633</x:v>
      </x:c>
      <x:c r="J107" s="31" t="n">
        <x:v>5.4753051633</x:v>
      </x:c>
      <x:c r="K107" s="31" t="n">
        <x:v>0</x:v>
      </x:c>
      <x:c r="L107" s="31" t="n">
        <x:v>5.2227356632</x:v>
      </x:c>
      <x:c r="M107" s="31" t="n">
        <x:v>0.2525695001</x:v>
      </x:c>
      <x:c r="N107" s="24" t="str">
        <x:v>trachurus novaezelandiae</x:v>
      </x:c>
      <x:c r="O107" s="32" t="n">
        <x:v>3.22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Trachurus novaezelandiae</x:v>
      </x:c>
      <x:c r="T107" s="32" t="n">
        <x:f>IF(O107="","",(1/'Metadata'!$B$5)^(O107-1))</x:f>
        <x:v>165.95869074375614</x:v>
      </x:c>
      <x:c r="U107" s="31" t="n">
        <x:f>IF(T107="","",I107*T107)</x:f>
        <x:v>908.6744763237958</x:v>
      </x:c>
    </x:row>
    <x:row r="108" ht="18" customHeight="1">
      <x:c r="A108" s="24" t="str">
        <x:v>LME_043</x:v>
      </x:c>
      <x:c r="B108" s="24" t="str">
        <x:v>Southwest Australian Shelf</x:v>
      </x:c>
      <x:c r="C108" s="24" t="str">
        <x:v>LME</x:v>
      </x:c>
      <x:c r="D108" s="30" t="n">
        <x:v>2019</x:v>
      </x:c>
      <x:c r="E108" s="24" t="str">
        <x:v>Scylla</x:v>
      </x:c>
      <x:c r="F108" s="24" t="str">
        <x:v>Mud crabs</x:v>
      </x:c>
      <x:c r="G108" s="24" t="str">
        <x:v>Lobsters, crabs</x:v>
      </x:c>
      <x:c r="H108" s="24" t="str">
        <x:v>Crustaceans</x:v>
      </x:c>
      <x:c r="I108" s="31" t="n">
        <x:v>5.330941188</x:v>
      </x:c>
      <x:c r="J108" s="31" t="n">
        <x:v>5.330941188</x:v>
      </x:c>
      <x:c r="K108" s="31" t="n">
        <x:v>0</x:v>
      </x:c>
      <x:c r="L108" s="31" t="n">
        <x:v>2.5091168818000003</x:v>
      </x:c>
      <x:c r="M108" s="31" t="n">
        <x:v>2.8218243062</x:v>
      </x:c>
      <x:c r="N108" s="24" t="str">
        <x:v>scylla</x:v>
      </x:c>
      <x:c r="O108" s="32" t="n">
        <x:v>3.17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Scylla</x:v>
      </x:c>
      <x:c r="T108" s="32" t="n">
        <x:f>IF(O108="","",(1/'Metadata'!$B$5)^(O108-1))</x:f>
        <x:v>147.91083881682073</x:v>
      </x:c>
      <x:c r="U108" s="31" t="n">
        <x:f>IF(T108="","",I108*T108)</x:f>
        <x:v>788.5039828002188</x:v>
      </x:c>
    </x:row>
    <x:row r="109" ht="18" customHeight="1">
      <x:c r="A109" s="24" t="str">
        <x:v>LME_043</x:v>
      </x:c>
      <x:c r="B109" s="24" t="str">
        <x:v>Southwest Australian Shelf</x:v>
      </x:c>
      <x:c r="C109" s="24" t="str">
        <x:v>LME</x:v>
      </x:c>
      <x:c r="D109" s="30" t="n">
        <x:v>2019</x:v>
      </x:c>
      <x:c r="E109" s="24" t="str">
        <x:v>Pleuronectiformes</x:v>
      </x:c>
      <x:c r="F109" s="24" t="str">
        <x:v>Flatfishes</x:v>
      </x:c>
      <x:c r="G109" s="24" t="str">
        <x:v>Small to medium flatfishes (&lt;90 cm)</x:v>
      </x:c>
      <x:c r="H109" s="24" t="str">
        <x:v>Flatfishes</x:v>
      </x:c>
      <x:c r="I109" s="31" t="n">
        <x:v>4.5057015915</x:v>
      </x:c>
      <x:c r="J109" s="31" t="n">
        <x:v>4.5057015915</x:v>
      </x:c>
      <x:c r="K109" s="31" t="n">
        <x:v>0</x:v>
      </x:c>
      <x:c r="L109" s="31" t="n">
        <x:v>4.4906243714</x:v>
      </x:c>
      <x:c r="M109" s="31" t="n">
        <x:v>0.0150772201</x:v>
      </x:c>
      <x:c r="N109" s="24" t="str">
        <x:v>pleuronectiformes</x:v>
      </x:c>
      <x:c r="O109" s="32" t="n">
        <x:v>3.57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Pleuronectiformes</x:v>
      </x:c>
      <x:c r="T109" s="32" t="n">
        <x:f>IF(O109="","",(1/'Metadata'!$B$5)^(O109-1))</x:f>
        <x:v>371.5352290971724</x:v>
      </x:c>
      <x:c r="U109" s="31" t="n">
        <x:f>IF(T109="","",I109*T109)</x:f>
        <x:v>1674.026873041447</x:v>
      </x:c>
    </x:row>
    <x:row r="110" ht="18" customHeight="1">
      <x:c r="A110" s="24" t="str">
        <x:v>LME_043</x:v>
      </x:c>
      <x:c r="B110" s="24" t="str">
        <x:v>Southwest Australian Shelf</x:v>
      </x:c>
      <x:c r="C110" s="24" t="str">
        <x:v>LME</x:v>
      </x:c>
      <x:c r="D110" s="30" t="n">
        <x:v>2019</x:v>
      </x:c>
      <x:c r="E110" s="24" t="str">
        <x:v>Lutjanidae</x:v>
      </x:c>
      <x:c r="F110" s="24" t="str">
        <x:v>Snappers</x:v>
      </x:c>
      <x:c r="G110" s="24" t="str">
        <x:v>Medium reef assoc. fish (30 - 89 cm)</x:v>
      </x:c>
      <x:c r="H110" s="24" t="str">
        <x:v>Perch-likes</x:v>
      </x:c>
      <x:c r="I110" s="31" t="n">
        <x:v>4.5043631908999995</x:v>
      </x:c>
      <x:c r="J110" s="31" t="n">
        <x:v>4.5043631908999995</x:v>
      </x:c>
      <x:c r="K110" s="31" t="n">
        <x:v>0</x:v>
      </x:c>
      <x:c r="L110" s="31" t="n">
        <x:v>0.5336059532999999</x:v>
      </x:c>
      <x:c r="M110" s="31" t="n">
        <x:v>3.9707572376</x:v>
      </x:c>
      <x:c r="N110" s="24" t="str">
        <x:v>lutjanidae</x:v>
      </x:c>
      <x:c r="O110" s="32" t="n">
        <x:v>4.02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Lutjanidae</x:v>
      </x:c>
      <x:c r="T110" s="32" t="n">
        <x:f>IF(O110="","",(1/'Metadata'!$B$5)^(O110-1))</x:f>
        <x:v>1047.1285480508984</x:v>
      </x:c>
      <x:c r="U110" s="31" t="n">
        <x:f>IF(T110="","",I110*T110)</x:f>
        <x:v>4716.647287981028</x:v>
      </x:c>
    </x:row>
    <x:row r="111" ht="18" customHeight="1">
      <x:c r="A111" s="24" t="str">
        <x:v>LME_043</x:v>
      </x:c>
      <x:c r="B111" s="24" t="str">
        <x:v>Southwest Australian Shelf</x:v>
      </x:c>
      <x:c r="C111" s="24" t="str">
        <x:v>LME</x:v>
      </x:c>
      <x:c r="D111" s="30" t="n">
        <x:v>2019</x:v>
      </x:c>
      <x:c r="E111" s="24" t="str">
        <x:v>Ostreidae</x:v>
      </x:c>
      <x:c r="F111" s="24" t="str">
        <x:v>True oysters</x:v>
      </x:c>
      <x:c r="G111" s="24" t="str">
        <x:v>Other demersal invertebrates</x:v>
      </x:c>
      <x:c r="H111" s="24" t="str">
        <x:v>Molluscs</x:v>
      </x:c>
      <x:c r="I111" s="31" t="n">
        <x:v>4.0561546344999995</x:v>
      </x:c>
      <x:c r="J111" s="31" t="n">
        <x:v>4.0561546344999995</x:v>
      </x:c>
      <x:c r="K111" s="31" t="n">
        <x:v>0</x:v>
      </x:c>
      <x:c r="L111" s="31" t="n">
        <x:v>1.1405701377</x:v>
      </x:c>
      <x:c r="M111" s="31" t="n">
        <x:v>2.9155844968</x:v>
      </x:c>
      <x:c r="N111" s="24" t="str">
        <x:v>ostreidae</x:v>
      </x:c>
      <x:c r="O111" s="32" t="n">
        <x:v>2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Ostreidae</x:v>
      </x:c>
      <x:c r="T111" s="32" t="n">
        <x:f>IF(O111="","",(1/'Metadata'!$B$5)^(O111-1))</x:f>
        <x:v>10</x:v>
      </x:c>
      <x:c r="U111" s="31" t="n">
        <x:f>IF(T111="","",I111*T111)</x:f>
        <x:v>40.561546345</x:v>
      </x:c>
    </x:row>
    <x:row r="112" ht="18" customHeight="1">
      <x:c r="A112" s="24" t="str">
        <x:v>LME_043</x:v>
      </x:c>
      <x:c r="B112" s="24" t="str">
        <x:v>Southwest Australian Shelf</x:v>
      </x:c>
      <x:c r="C112" s="24" t="str">
        <x:v>LME</x:v>
      </x:c>
      <x:c r="D112" s="30" t="n">
        <x:v>2019</x:v>
      </x:c>
      <x:c r="E112" s="24" t="str">
        <x:v>Alopias vulpinus</x:v>
      </x:c>
      <x:c r="F112" s="24" t="str">
        <x:v>Thresher</x:v>
      </x:c>
      <x:c r="G112" s="24" t="str">
        <x:v>Large sharks (&gt;=90 cm)</x:v>
      </x:c>
      <x:c r="H112" s="24" t="str">
        <x:v>Sharks &amp; rays</x:v>
      </x:c>
      <x:c r="I112" s="31" t="n">
        <x:v>3.7578523846</x:v>
      </x:c>
      <x:c r="J112" s="31" t="n">
        <x:v>3.7578523846</x:v>
      </x:c>
      <x:c r="K112" s="31" t="n">
        <x:v>0</x:v>
      </x:c>
      <x:c r="L112" s="31" t="n">
        <x:v>3.5704489045</x:v>
      </x:c>
      <x:c r="M112" s="31" t="n">
        <x:v>0.1874034801</x:v>
      </x:c>
      <x:c r="N112" s="24" t="str">
        <x:v>alopias vulpinus</x:v>
      </x:c>
      <x:c r="O112" s="32" t="n">
        <x:v>4.5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Alopias vulpinus</x:v>
      </x:c>
      <x:c r="T112" s="32" t="n">
        <x:f>IF(O112="","",(1/'Metadata'!$B$5)^(O112-1))</x:f>
        <x:v>3162.2776601683795</x:v>
      </x:c>
      <x:c r="U112" s="31" t="n">
        <x:f>IF(T112="","",I112*T112)</x:f>
        <x:v>11883.372646031054</x:v>
      </x:c>
    </x:row>
    <x:row r="113" ht="18" customHeight="1">
      <x:c r="A113" s="24" t="str">
        <x:v>LME_043</x:v>
      </x:c>
      <x:c r="B113" s="24" t="str">
        <x:v>Southwest Australian Shelf</x:v>
      </x:c>
      <x:c r="C113" s="24" t="str">
        <x:v>LME</x:v>
      </x:c>
      <x:c r="D113" s="30" t="n">
        <x:v>2019</x:v>
      </x:c>
      <x:c r="E113" s="24" t="str">
        <x:v>Synodontidae</x:v>
      </x:c>
      <x:c r="F113" s="24" t="str">
        <x:v>Lizardfishes, sauries</x:v>
      </x:c>
      <x:c r="G113" s="24" t="str">
        <x:v>Medium demersals (30 - 89 cm)</x:v>
      </x:c>
      <x:c r="H113" s="24" t="str">
        <x:v>Other fishes &amp; inverts</x:v>
      </x:c>
      <x:c r="I113" s="31" t="n">
        <x:v>3.5067497459</x:v>
      </x:c>
      <x:c r="J113" s="31" t="n">
        <x:v>0.0001161554</x:v>
      </x:c>
      <x:c r="K113" s="31" t="n">
        <x:v>3.5066335905</x:v>
      </x:c>
      <x:c r="L113" s="31" t="n">
        <x:v>0</x:v>
      </x:c>
      <x:c r="M113" s="31" t="n">
        <x:v>3.5067497459</x:v>
      </x:c>
      <x:c r="N113" s="24" t="str">
        <x:v>synodontidae</x:v>
      </x:c>
      <x:c r="O113" s="32" t="n">
        <x:v>4.3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Synodontidae</x:v>
      </x:c>
      <x:c r="T113" s="32" t="n">
        <x:f>IF(O113="","",(1/'Metadata'!$B$5)^(O113-1))</x:f>
        <x:v>1995.2623149688789</x:v>
      </x:c>
      <x:c r="U113" s="31" t="n">
        <x:f>IF(T113="","",I113*T113)</x:f>
        <x:v>6996.885616020962</x:v>
      </x:c>
    </x:row>
    <x:row r="114" ht="18" customHeight="1">
      <x:c r="A114" s="24" t="str">
        <x:v>LME_043</x:v>
      </x:c>
      <x:c r="B114" s="24" t="str">
        <x:v>Southwest Australian Shelf</x:v>
      </x:c>
      <x:c r="C114" s="24" t="str">
        <x:v>LME</x:v>
      </x:c>
      <x:c r="D114" s="30" t="n">
        <x:v>2019</x:v>
      </x:c>
      <x:c r="E114" s="24" t="str">
        <x:v>Haemulidae</x:v>
      </x:c>
      <x:c r="F114" s="24" t="str">
        <x:v>Grunts, sweetlips, bonnetmouths</x:v>
      </x:c>
      <x:c r="G114" s="24" t="str">
        <x:v>Medium demersals (30 - 89 cm)</x:v>
      </x:c>
      <x:c r="H114" s="24" t="str">
        <x:v>Perch-likes</x:v>
      </x:c>
      <x:c r="I114" s="31" t="n">
        <x:v>3.4959126271</x:v>
      </x:c>
      <x:c r="J114" s="31" t="n">
        <x:v>3.19793372</x:v>
      </x:c>
      <x:c r="K114" s="31" t="n">
        <x:v>0.2979789071</x:v>
      </x:c>
      <x:c r="L114" s="31" t="n">
        <x:v>2.1212119707</x:v>
      </x:c>
      <x:c r="M114" s="31" t="n">
        <x:v>1.3747006564000002</x:v>
      </x:c>
      <x:c r="N114" s="24" t="str">
        <x:v>haemulidae</x:v>
      </x:c>
      <x:c r="O114" s="32" t="n">
        <x:v>3.36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Haemulidae</x:v>
      </x:c>
      <x:c r="T114" s="32" t="n">
        <x:f>IF(O114="","",(1/'Metadata'!$B$5)^(O114-1))</x:f>
        <x:v>229.08676527677724</x:v>
      </x:c>
      <x:c r="U114" s="31" t="n">
        <x:f>IF(T114="","",I114*T114)</x:f>
        <x:v>800.8673154325794</x:v>
      </x:c>
    </x:row>
    <x:row r="115" ht="18" customHeight="1">
      <x:c r="A115" s="24" t="str">
        <x:v>LME_043</x:v>
      </x:c>
      <x:c r="B115" s="24" t="str">
        <x:v>Southwest Australian Shelf</x:v>
      </x:c>
      <x:c r="C115" s="24" t="str">
        <x:v>LME</x:v>
      </x:c>
      <x:c r="D115" s="30" t="n">
        <x:v>2019</x:v>
      </x:c>
      <x:c r="E115" s="24" t="str">
        <x:v>Thunnus obesus</x:v>
      </x:c>
      <x:c r="F115" s="24" t="str">
        <x:v>Bigeye tuna</x:v>
      </x:c>
      <x:c r="G115" s="24" t="str">
        <x:v>Large pelagics (&gt;=90 cm)</x:v>
      </x:c>
      <x:c r="H115" s="24" t="str">
        <x:v>Tuna &amp; billfishes</x:v>
      </x:c>
      <x:c r="I115" s="31" t="n">
        <x:v>3.2476651084</x:v>
      </x:c>
      <x:c r="J115" s="31" t="n">
        <x:v>3.2476651084</x:v>
      </x:c>
      <x:c r="K115" s="31" t="n">
        <x:v>0</x:v>
      </x:c>
      <x:c r="L115" s="31" t="n">
        <x:v>2.8863959481</x:v>
      </x:c>
      <x:c r="M115" s="31" t="n">
        <x:v>0.3612691603</x:v>
      </x:c>
      <x:c r="N115" s="24" t="str">
        <x:v>thunnus obesus</x:v>
      </x:c>
      <x:c r="O115" s="32" t="n">
        <x:v>4.49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Thunnus obesus</x:v>
      </x:c>
      <x:c r="T115" s="32" t="n">
        <x:f>IF(O115="","",(1/'Metadata'!$B$5)^(O115-1))</x:f>
        <x:v>3090.295432513592</x:v>
      </x:c>
      <x:c r="U115" s="31" t="n">
        <x:f>IF(T115="","",I115*T115)</x:f>
        <x:v>10036.24465082228</x:v>
      </x:c>
    </x:row>
    <x:row r="116" ht="18" customHeight="1">
      <x:c r="A116" s="24" t="str">
        <x:v>LME_043</x:v>
      </x:c>
      <x:c r="B116" s="24" t="str">
        <x:v>Southwest Australian Shelf</x:v>
      </x:c>
      <x:c r="C116" s="24" t="str">
        <x:v>LME</x:v>
      </x:c>
      <x:c r="D116" s="30" t="n">
        <x:v>2019</x:v>
      </x:c>
      <x:c r="E116" s="24" t="str">
        <x:v>Carcharhinus brevipinna</x:v>
      </x:c>
      <x:c r="F116" s="24" t="str">
        <x:v>Spinner shark</x:v>
      </x:c>
      <x:c r="G116" s="24" t="str">
        <x:v>Large sharks (&gt;=90 cm)</x:v>
      </x:c>
      <x:c r="H116" s="24" t="str">
        <x:v>Sharks &amp; rays</x:v>
      </x:c>
      <x:c r="I116" s="31" t="n">
        <x:v>3.1961683761999997</x:v>
      </x:c>
      <x:c r="J116" s="31" t="n">
        <x:v>3.1961683761999997</x:v>
      </x:c>
      <x:c r="K116" s="31" t="n">
        <x:v>0</x:v>
      </x:c>
      <x:c r="L116" s="31" t="n">
        <x:v>3.1939535196</x:v>
      </x:c>
      <x:c r="M116" s="31" t="n">
        <x:v>0.0022148566</x:v>
      </x:c>
      <x:c r="N116" s="24" t="str">
        <x:v>carcharhinus brevipinna</x:v>
      </x:c>
      <x:c r="O116" s="32" t="n">
        <x:v>4.2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Carcharhinus brevipinna</x:v>
      </x:c>
      <x:c r="T116" s="32" t="n">
        <x:f>IF(O116="","",(1/'Metadata'!$B$5)^(O116-1))</x:f>
        <x:v>1584.893192461114</x:v>
      </x:c>
      <x:c r="U116" s="31" t="n">
        <x:f>IF(T116="","",I116*T116)</x:f>
        <x:v>5065.585501398872</x:v>
      </x:c>
    </x:row>
    <x:row r="117" ht="18" customHeight="1">
      <x:c r="A117" s="24" t="str">
        <x:v>LME_043</x:v>
      </x:c>
      <x:c r="B117" s="24" t="str">
        <x:v>Southwest Australian Shelf</x:v>
      </x:c>
      <x:c r="C117" s="24" t="str">
        <x:v>LME</x:v>
      </x:c>
      <x:c r="D117" s="30" t="n">
        <x:v>2019</x:v>
      </x:c>
      <x:c r="E117" s="24" t="str">
        <x:v>Moridae</x:v>
      </x:c>
      <x:c r="F117" s="24" t="str">
        <x:v>Codlings, moras</x:v>
      </x:c>
      <x:c r="G117" s="24" t="str">
        <x:v>Medium benthopelagics (30 - 89 cm)</x:v>
      </x:c>
      <x:c r="H117" s="24" t="str">
        <x:v>Cod-likes</x:v>
      </x:c>
      <x:c r="I117" s="31" t="n">
        <x:v>3.1960457019999997</x:v>
      </x:c>
      <x:c r="J117" s="31" t="n">
        <x:v>3.1960457019999997</x:v>
      </x:c>
      <x:c r="K117" s="31" t="n">
        <x:v>0</x:v>
      </x:c>
      <x:c r="L117" s="31" t="n">
        <x:v>3.1933162468</x:v>
      </x:c>
      <x:c r="M117" s="31" t="n">
        <x:v>0.0027294552</x:v>
      </x:c>
      <x:c r="N117" s="24" t="str">
        <x:v>moridae</x:v>
      </x:c>
      <x:c r="O117" s="32" t="n">
        <x:v>3.87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Moridae</x:v>
      </x:c>
      <x:c r="T117" s="32" t="n">
        <x:f>IF(O117="","",(1/'Metadata'!$B$5)^(O117-1))</x:f>
        <x:v>741.3102413009177</x:v>
      </x:c>
      <x:c r="U117" s="31" t="n">
        <x:f>IF(T117="","",I117*T117)</x:f>
        <x:v>2369.2614105583807</x:v>
      </x:c>
    </x:row>
    <x:row r="118" ht="18" customHeight="1">
      <x:c r="A118" s="24" t="str">
        <x:v>LME_043</x:v>
      </x:c>
      <x:c r="B118" s="24" t="str">
        <x:v>Southwest Australian Shelf</x:v>
      </x:c>
      <x:c r="C118" s="24" t="str">
        <x:v>LME</x:v>
      </x:c>
      <x:c r="D118" s="30" t="n">
        <x:v>2019</x:v>
      </x:c>
      <x:c r="E118" s="24" t="str">
        <x:v>Sphyrna</x:v>
      </x:c>
      <x:c r="F118" s="24" t="str">
        <x:v>Hammerhead sharks</x:v>
      </x:c>
      <x:c r="G118" s="24" t="str">
        <x:v>Large sharks (&gt;=90 cm)</x:v>
      </x:c>
      <x:c r="H118" s="24" t="str">
        <x:v>Sharks &amp; rays</x:v>
      </x:c>
      <x:c r="I118" s="31" t="n">
        <x:v>3.1954924885000002</x:v>
      </x:c>
      <x:c r="J118" s="31" t="n">
        <x:v>3.1954924885000002</x:v>
      </x:c>
      <x:c r="K118" s="31" t="n">
        <x:v>0</x:v>
      </x:c>
      <x:c r="L118" s="31" t="n">
        <x:v>3.1954924885000002</x:v>
      </x:c>
      <x:c r="M118" s="31" t="n">
        <x:v>0</x:v>
      </x:c>
      <x:c r="N118" s="24" t="str">
        <x:v>sphyrna</x:v>
      </x:c>
      <x:c r="O118" s="32" t="n">
        <x:v>4.2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Sphyrna</x:v>
      </x:c>
      <x:c r="T118" s="32" t="n">
        <x:f>IF(O118="","",(1/'Metadata'!$B$5)^(O118-1))</x:f>
        <x:v>1584.893192461114</x:v>
      </x:c>
      <x:c r="U118" s="31" t="n">
        <x:f>IF(T118="","",I118*T118)</x:f>
        <x:v>5064.514291584275</x:v>
      </x:c>
    </x:row>
    <x:row r="119" ht="18" customHeight="1">
      <x:c r="A119" s="24" t="str">
        <x:v>LME_043</x:v>
      </x:c>
      <x:c r="B119" s="24" t="str">
        <x:v>Southwest Australian Shelf</x:v>
      </x:c>
      <x:c r="C119" s="24" t="str">
        <x:v>LME</x:v>
      </x:c>
      <x:c r="D119" s="30" t="n">
        <x:v>2019</x:v>
      </x:c>
      <x:c r="E119" s="24" t="str">
        <x:v>Trichiuridae</x:v>
      </x:c>
      <x:c r="F119" s="24" t="str">
        <x:v>Cutlassfishes</x:v>
      </x:c>
      <x:c r="G119" s="24" t="str">
        <x:v>Large benthopelagics (&gt;=90 cm)</x:v>
      </x:c>
      <x:c r="H119" s="24" t="str">
        <x:v>Perch-likes</x:v>
      </x:c>
      <x:c r="I119" s="31" t="n">
        <x:v>3.1475101104</x:v>
      </x:c>
      <x:c r="J119" s="31" t="n">
        <x:v>0</x:v>
      </x:c>
      <x:c r="K119" s="31" t="n">
        <x:v>3.1475101104</x:v>
      </x:c>
      <x:c r="L119" s="31" t="n">
        <x:v>0</x:v>
      </x:c>
      <x:c r="M119" s="31" t="n">
        <x:v>3.1475101104</x:v>
      </x:c>
      <x:c r="N119" s="24" t="str">
        <x:v>trichiuridae</x:v>
      </x:c>
      <x:c r="O119" s="32" t="n">
        <x:v>4.15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Trichiuridae</x:v>
      </x:c>
      <x:c r="T119" s="32" t="n">
        <x:f>IF(O119="","",(1/'Metadata'!$B$5)^(O119-1))</x:f>
        <x:v>1412.5375446227554</x:v>
      </x:c>
      <x:c r="U119" s="31" t="n">
        <x:f>IF(T119="","",I119*T119)</x:f>
        <x:v>4445.9762030197135</x:v>
      </x:c>
    </x:row>
    <x:row r="120" ht="18" customHeight="1">
      <x:c r="A120" s="24" t="str">
        <x:v>LME_043</x:v>
      </x:c>
      <x:c r="B120" s="24" t="str">
        <x:v>Southwest Australian Shelf</x:v>
      </x:c>
      <x:c r="C120" s="24" t="str">
        <x:v>LME</x:v>
      </x:c>
      <x:c r="D120" s="30" t="n">
        <x:v>2019</x:v>
      </x:c>
      <x:c r="E120" s="24" t="str">
        <x:v>Carcharhinidae</x:v>
      </x:c>
      <x:c r="F120" s="24" t="str">
        <x:v>Requiem sharks</x:v>
      </x:c>
      <x:c r="G120" s="24" t="str">
        <x:v>Large sharks (&gt;=90 cm)</x:v>
      </x:c>
      <x:c r="H120" s="24" t="str">
        <x:v>Sharks &amp; rays</x:v>
      </x:c>
      <x:c r="I120" s="31" t="n">
        <x:v>3.0728831202</x:v>
      </x:c>
      <x:c r="J120" s="31" t="n">
        <x:v>3.0728831202</x:v>
      </x:c>
      <x:c r="K120" s="31" t="n">
        <x:v>0</x:v>
      </x:c>
      <x:c r="L120" s="31" t="n">
        <x:v>2.7851735363</x:v>
      </x:c>
      <x:c r="M120" s="31" t="n">
        <x:v>0.2877095839</x:v>
      </x:c>
      <x:c r="N120" s="24" t="str">
        <x:v>carcharhinidae</x:v>
      </x:c>
      <x:c r="O120" s="32" t="n">
        <x:v>4.24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Carcharhinidae</x:v>
      </x:c>
      <x:c r="T120" s="32" t="n">
        <x:f>IF(O120="","",(1/'Metadata'!$B$5)^(O120-1))</x:f>
        <x:v>1737.8008287493763</x:v>
      </x:c>
      <x:c r="U120" s="31" t="n">
        <x:f>IF(T120="","",I120*T120)</x:f>
        <x:v>5340.05883293353</x:v>
      </x:c>
    </x:row>
    <x:row r="121" ht="18" customHeight="1">
      <x:c r="A121" s="24" t="str">
        <x:v>LME_043</x:v>
      </x:c>
      <x:c r="B121" s="24" t="str">
        <x:v>Southwest Australian Shelf</x:v>
      </x:c>
      <x:c r="C121" s="24" t="str">
        <x:v>LME</x:v>
      </x:c>
      <x:c r="D121" s="30" t="n">
        <x:v>2019</x:v>
      </x:c>
      <x:c r="E121" s="24" t="str">
        <x:v>Alopias</x:v>
      </x:c>
      <x:c r="F121" s="24" t="str">
        <x:v>Thresher sharks</x:v>
      </x:c>
      <x:c r="G121" s="24" t="str">
        <x:v>Large sharks (&gt;=90 cm)</x:v>
      </x:c>
      <x:c r="H121" s="24" t="str">
        <x:v>Sharks &amp; rays</x:v>
      </x:c>
      <x:c r="I121" s="31" t="n">
        <x:v>2.9766686945</x:v>
      </x:c>
      <x:c r="J121" s="31" t="n">
        <x:v>2.9766686945</x:v>
      </x:c>
      <x:c r="K121" s="31" t="n">
        <x:v>0</x:v>
      </x:c>
      <x:c r="L121" s="31" t="n">
        <x:v>2.9766686945</x:v>
      </x:c>
      <x:c r="M121" s="31" t="n">
        <x:v>0</x:v>
      </x:c>
      <x:c r="N121" s="24" t="str">
        <x:v>alopias</x:v>
      </x:c>
      <x:c r="O121" s="32" t="n">
        <x:v>4.5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Alopias</x:v>
      </x:c>
      <x:c r="T121" s="32" t="n">
        <x:f>IF(O121="","",(1/'Metadata'!$B$5)^(O121-1))</x:f>
        <x:v>3162.2776601683795</x:v>
      </x:c>
      <x:c r="U121" s="31" t="n">
        <x:f>IF(T121="","",I121*T121)</x:f>
        <x:v>9413.052914339924</x:v>
      </x:c>
    </x:row>
    <x:row r="122" ht="18" customHeight="1">
      <x:c r="A122" s="24" t="str">
        <x:v>LME_043</x:v>
      </x:c>
      <x:c r="B122" s="24" t="str">
        <x:v>Southwest Australian Shelf</x:v>
      </x:c>
      <x:c r="C122" s="24" t="str">
        <x:v>LME</x:v>
      </x:c>
      <x:c r="D122" s="30" t="n">
        <x:v>2019</x:v>
      </x:c>
      <x:c r="E122" s="24" t="str">
        <x:v>Scyliorhinidae</x:v>
      </x:c>
      <x:c r="F122" s="24" t="str">
        <x:v>Cat/swellsharks</x:v>
      </x:c>
      <x:c r="G122" s="24" t="str">
        <x:v>Large sharks (&gt;=90 cm)</x:v>
      </x:c>
      <x:c r="H122" s="24" t="str">
        <x:v>Sharks &amp; rays</x:v>
      </x:c>
      <x:c r="I122" s="31" t="n">
        <x:v>2.8060298175000002</x:v>
      </x:c>
      <x:c r="J122" s="31" t="n">
        <x:v>2.8060298175000002</x:v>
      </x:c>
      <x:c r="K122" s="31" t="n">
        <x:v>0</x:v>
      </x:c>
      <x:c r="L122" s="31" t="n">
        <x:v>2.8046659652</x:v>
      </x:c>
      <x:c r="M122" s="31" t="n">
        <x:v>0.0013638523</x:v>
      </x:c>
      <x:c r="N122" s="24" t="str">
        <x:v>scyliorhinidae</x:v>
      </x:c>
      <x:c r="O122" s="32" t="n">
        <x:v>3.97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Scyliorhinidae</x:v>
      </x:c>
      <x:c r="T122" s="32" t="n">
        <x:f>IF(O122="","",(1/'Metadata'!$B$5)^(O122-1))</x:f>
        <x:v>933.2543007969915</x:v>
      </x:c>
      <x:c r="U122" s="31" t="n">
        <x:f>IF(T122="","",I122*T122)</x:f>
        <x:v>2618.7393953464725</x:v>
      </x:c>
    </x:row>
    <x:row r="123" ht="18" customHeight="1">
      <x:c r="A123" s="24" t="str">
        <x:v>LME_043</x:v>
      </x:c>
      <x:c r="B123" s="24" t="str">
        <x:v>Southwest Australian Shelf</x:v>
      </x:c>
      <x:c r="C123" s="24" t="str">
        <x:v>LME</x:v>
      </x:c>
      <x:c r="D123" s="30" t="n">
        <x:v>2019</x:v>
      </x:c>
      <x:c r="E123" s="24" t="str">
        <x:v>Gadiformes</x:v>
      </x:c>
      <x:c r="F123" s="24" t="str">
        <x:v>Cods</x:v>
      </x:c>
      <x:c r="G123" s="24" t="str">
        <x:v>Medium benthopelagics (30 - 89 cm)</x:v>
      </x:c>
      <x:c r="H123" s="24" t="str">
        <x:v>Cod-likes</x:v>
      </x:c>
      <x:c r="I123" s="31" t="n">
        <x:v>2.6522233566</x:v>
      </x:c>
      <x:c r="J123" s="31" t="n">
        <x:v>2.6522233566</x:v>
      </x:c>
      <x:c r="K123" s="31" t="n">
        <x:v>0</x:v>
      </x:c>
      <x:c r="L123" s="31" t="n">
        <x:v>2.6522233566</x:v>
      </x:c>
      <x:c r="M123" s="31" t="n">
        <x:v>0</x:v>
      </x:c>
      <x:c r="N123" s="24" t="str">
        <x:v>gadiformes</x:v>
      </x:c>
      <x:c r="O123" s="32" t="n">
        <x:v>3.91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Gadiformes</x:v>
      </x:c>
      <x:c r="T123" s="32" t="n">
        <x:f>IF(O123="","",(1/'Metadata'!$B$5)^(O123-1))</x:f>
        <x:v>812.8305161640995</x:v>
      </x:c>
      <x:c r="U123" s="31" t="n">
        <x:f>IF(T123="","",I123*T123)</x:f>
        <x:v>2155.8080799276586</x:v>
      </x:c>
    </x:row>
    <x:row r="124" ht="18" customHeight="1">
      <x:c r="A124" s="24" t="str">
        <x:v>LME_043</x:v>
      </x:c>
      <x:c r="B124" s="24" t="str">
        <x:v>Southwest Australian Shelf</x:v>
      </x:c>
      <x:c r="C124" s="24" t="str">
        <x:v>LME</x:v>
      </x:c>
      <x:c r="D124" s="30" t="n">
        <x:v>2019</x:v>
      </x:c>
      <x:c r="E124" s="24" t="str">
        <x:v>Gastropoda</x:v>
      </x:c>
      <x:c r="F124" s="24" t="str">
        <x:v>Sea snails</x:v>
      </x:c>
      <x:c r="G124" s="24" t="str">
        <x:v>Other demersal invertebrates</x:v>
      </x:c>
      <x:c r="H124" s="24" t="str">
        <x:v>Molluscs</x:v>
      </x:c>
      <x:c r="I124" s="31" t="n">
        <x:v>2.5392832072</x:v>
      </x:c>
      <x:c r="J124" s="31" t="n">
        <x:v>2.5392832072</x:v>
      </x:c>
      <x:c r="K124" s="31" t="n">
        <x:v>0</x:v>
      </x:c>
      <x:c r="L124" s="31" t="n">
        <x:v>2.5392760044</x:v>
      </x:c>
      <x:c r="M124" s="31" t="n">
        <x:v>0.0000072028</x:v>
      </x:c>
      <x:c r="N124" s="24" t="str">
        <x:v>gastropoda</x:v>
      </x:c>
      <x:c r="O124" s="32" t="n">
        <x:v>3.06</x:v>
      </x:c>
      <x:c r="P124" s="24" t="str">
        <x:v>exact_sea_around_us</x:v>
      </x:c>
      <x:c r="Q124" s="32" t="str">
        <x:v>Sea Around Us exploited organisms</x:v>
      </x:c>
      <x:c r="R124" s="24" t="str">
        <x:v>high</x:v>
      </x:c>
      <x:c r="S124" s="24" t="str">
        <x:v>Gastropoda</x:v>
      </x:c>
      <x:c r="T124" s="32" t="n">
        <x:f>IF(O124="","",(1/'Metadata'!$B$5)^(O124-1))</x:f>
        <x:v>114.81536214968828</x:v>
      </x:c>
      <x:c r="U124" s="31" t="n">
        <x:f>IF(T124="","",I124*T124)</x:f>
        <x:v>291.54872103528993</x:v>
      </x:c>
    </x:row>
    <x:row r="125" ht="18" customHeight="1">
      <x:c r="A125" s="24" t="str">
        <x:v>LME_043</x:v>
      </x:c>
      <x:c r="B125" s="24" t="str">
        <x:v>Southwest Australian Shelf</x:v>
      </x:c>
      <x:c r="C125" s="24" t="str">
        <x:v>LME</x:v>
      </x:c>
      <x:c r="D125" s="30" t="n">
        <x:v>2019</x:v>
      </x:c>
      <x:c r="E125" s="24" t="str">
        <x:v>Paristiopterus labiosus</x:v>
      </x:c>
      <x:c r="F125" s="24" t="str">
        <x:v>Giant boarfish</x:v>
      </x:c>
      <x:c r="G125" s="24" t="str">
        <x:v>Medium demersals (30 - 89 cm)</x:v>
      </x:c>
      <x:c r="H125" s="24" t="str">
        <x:v>Perch-likes</x:v>
      </x:c>
      <x:c r="I125" s="31" t="n">
        <x:v>2.3232999833</x:v>
      </x:c>
      <x:c r="J125" s="31" t="n">
        <x:v>2.3232999833</x:v>
      </x:c>
      <x:c r="K125" s="31" t="n">
        <x:v>0</x:v>
      </x:c>
      <x:c r="L125" s="31" t="n">
        <x:v>2.3232999833</x:v>
      </x:c>
      <x:c r="M125" s="31" t="n">
        <x:v>0</x:v>
      </x:c>
      <x:c r="N125" s="24" t="str">
        <x:v>paristiopterus labiosus</x:v>
      </x:c>
      <x:c r="O125" s="32" t="n">
        <x:v>3.33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Paristiopterus labiosus</x:v>
      </x:c>
      <x:c r="T125" s="32" t="n">
        <x:f>IF(O125="","",(1/'Metadata'!$B$5)^(O125-1))</x:f>
        <x:v>213.79620895022325</x:v>
      </x:c>
      <x:c r="U125" s="31" t="n">
        <x:f>IF(T125="","",I125*T125)</x:f>
        <x:v>496.712728683657</x:v>
      </x:c>
    </x:row>
    <x:row r="126" ht="18" customHeight="1">
      <x:c r="A126" s="24" t="str">
        <x:v>LME_043</x:v>
      </x:c>
      <x:c r="B126" s="24" t="str">
        <x:v>Southwest Australian Shelf</x:v>
      </x:c>
      <x:c r="C126" s="24" t="str">
        <x:v>LME</x:v>
      </x:c>
      <x:c r="D126" s="30" t="n">
        <x:v>2019</x:v>
      </x:c>
      <x:c r="E126" s="24" t="str">
        <x:v>Glaucosoma hebraicum</x:v>
      </x:c>
      <x:c r="F126" s="24" t="str">
        <x:v>West Australian dhufish</x:v>
      </x:c>
      <x:c r="G126" s="24" t="str">
        <x:v>Large reef assoc. fish (&gt;=90 cm)</x:v>
      </x:c>
      <x:c r="H126" s="24" t="str">
        <x:v>Perch-likes</x:v>
      </x:c>
      <x:c r="I126" s="31" t="n">
        <x:v>2.2263508422</x:v>
      </x:c>
      <x:c r="J126" s="31" t="n">
        <x:v>2.2263508422</x:v>
      </x:c>
      <x:c r="K126" s="31" t="n">
        <x:v>0</x:v>
      </x:c>
      <x:c r="L126" s="31" t="n">
        <x:v>0</x:v>
      </x:c>
      <x:c r="M126" s="31" t="n">
        <x:v>2.2263508422</x:v>
      </x:c>
      <x:c r="N126" s="24" t="str">
        <x:v>glaucosoma hebraicum</x:v>
      </x:c>
      <x:c r="O126" s="32" t="n">
        <x:v>4.3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Glaucosoma hebraicum</x:v>
      </x:c>
      <x:c r="T126" s="32" t="n">
        <x:f>IF(O126="","",(1/'Metadata'!$B$5)^(O126-1))</x:f>
        <x:v>1995.2623149688789</x:v>
      </x:c>
      <x:c r="U126" s="31" t="n">
        <x:f>IF(T126="","",I126*T126)</x:f>
        <x:v>4442.153935340885</x:v>
      </x:c>
    </x:row>
    <x:row r="127" ht="18" customHeight="1">
      <x:c r="A127" s="24" t="str">
        <x:v>LME_043</x:v>
      </x:c>
      <x:c r="B127" s="24" t="str">
        <x:v>Southwest Australian Shelf</x:v>
      </x:c>
      <x:c r="C127" s="24" t="str">
        <x:v>LME</x:v>
      </x:c>
      <x:c r="D127" s="30" t="n">
        <x:v>2019</x:v>
      </x:c>
      <x:c r="E127" s="24" t="str">
        <x:v>Katsuwonus pelamis</x:v>
      </x:c>
      <x:c r="F127" s="24" t="str">
        <x:v>Skipjack tuna</x:v>
      </x:c>
      <x:c r="G127" s="24" t="str">
        <x:v>Large pelagics (&gt;=90 cm)</x:v>
      </x:c>
      <x:c r="H127" s="24" t="str">
        <x:v>Tuna &amp; billfishes</x:v>
      </x:c>
      <x:c r="I127" s="31" t="n">
        <x:v>2.2109245443</x:v>
      </x:c>
      <x:c r="J127" s="31" t="n">
        <x:v>2.2109245443</x:v>
      </x:c>
      <x:c r="K127" s="31" t="n">
        <x:v>0</x:v>
      </x:c>
      <x:c r="L127" s="31" t="n">
        <x:v>0.022434778199999998</x:v>
      </x:c>
      <x:c r="M127" s="31" t="n">
        <x:v>2.1884897661</x:v>
      </x:c>
      <x:c r="N127" s="24" t="str">
        <x:v>katsuwonus pelamis</x:v>
      </x:c>
      <x:c r="O127" s="32" t="n">
        <x:v>4.43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Katsuwonus pelamis</x:v>
      </x:c>
      <x:c r="T127" s="32" t="n">
        <x:f>IF(O127="","",(1/'Metadata'!$B$5)^(O127-1))</x:f>
        <x:v>2691.534803926914</x:v>
      </x:c>
      <x:c r="U127" s="31" t="n">
        <x:f>IF(T127="","",I127*T127)</x:f>
        <x:v>5950.780359839702</x:v>
      </x:c>
    </x:row>
    <x:row r="128" ht="18" customHeight="1">
      <x:c r="A128" s="24" t="str">
        <x:v>LME_043</x:v>
      </x:c>
      <x:c r="B128" s="24" t="str">
        <x:v>Southwest Australian Shelf</x:v>
      </x:c>
      <x:c r="C128" s="24" t="str">
        <x:v>LME</x:v>
      </x:c>
      <x:c r="D128" s="30" t="n">
        <x:v>2019</x:v>
      </x:c>
      <x:c r="E128" s="24" t="str">
        <x:v>Lethrinus miniatus</x:v>
      </x:c>
      <x:c r="F128" s="24" t="str">
        <x:v>Trumpet emperor</x:v>
      </x:c>
      <x:c r="G128" s="24" t="str">
        <x:v>Medium reef assoc. fish (30 - 89 cm)</x:v>
      </x:c>
      <x:c r="H128" s="24" t="str">
        <x:v>Perch-likes</x:v>
      </x:c>
      <x:c r="I128" s="31" t="n">
        <x:v>2.2031690836</x:v>
      </x:c>
      <x:c r="J128" s="31" t="n">
        <x:v>2.2031690836</x:v>
      </x:c>
      <x:c r="K128" s="31" t="n">
        <x:v>0</x:v>
      </x:c>
      <x:c r="L128" s="31" t="n">
        <x:v>1.0345375380000001</x:v>
      </x:c>
      <x:c r="M128" s="31" t="n">
        <x:v>1.1686315456</x:v>
      </x:c>
      <x:c r="N128" s="24" t="str">
        <x:v>lethrinus miniatus</x:v>
      </x:c>
      <x:c r="O128" s="32" t="n">
        <x:v>4.19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Lethrinus miniatus</x:v>
      </x:c>
      <x:c r="T128" s="32" t="n">
        <x:f>IF(O128="","",(1/'Metadata'!$B$5)^(O128-1))</x:f>
        <x:v>1548.8166189124827</x:v>
      </x:c>
      <x:c r="U128" s="31" t="n">
        <x:f>IF(T128="","",I128*T128)</x:f>
        <x:v>3412.304890953865</x:v>
      </x:c>
    </x:row>
    <x:row r="129" ht="18" customHeight="1">
      <x:c r="A129" s="24" t="str">
        <x:v>LME_043</x:v>
      </x:c>
      <x:c r="B129" s="24" t="str">
        <x:v>Southwest Australian Shelf</x:v>
      </x:c>
      <x:c r="C129" s="24" t="str">
        <x:v>LME</x:v>
      </x:c>
      <x:c r="D129" s="30" t="n">
        <x:v>2019</x:v>
      </x:c>
      <x:c r="E129" s="24" t="str">
        <x:v>Isurus oxyrinchus</x:v>
      </x:c>
      <x:c r="F129" s="24" t="str">
        <x:v>Shortfin mako</x:v>
      </x:c>
      <x:c r="G129" s="24" t="str">
        <x:v>Large sharks (&gt;=90 cm)</x:v>
      </x:c>
      <x:c r="H129" s="24" t="str">
        <x:v>Sharks &amp; rays</x:v>
      </x:c>
      <x:c r="I129" s="31" t="n">
        <x:v>2.1996066737</x:v>
      </x:c>
      <x:c r="J129" s="31" t="n">
        <x:v>2.1996066737</x:v>
      </x:c>
      <x:c r="K129" s="31" t="n">
        <x:v>0</x:v>
      </x:c>
      <x:c r="L129" s="31" t="n">
        <x:v>2.1041679068</x:v>
      </x:c>
      <x:c r="M129" s="31" t="n">
        <x:v>0.0954387669</x:v>
      </x:c>
      <x:c r="N129" s="24" t="str">
        <x:v>isurus oxyrinchus</x:v>
      </x:c>
      <x:c r="O129" s="32" t="n">
        <x:v>4.5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Isurus oxyrinchus</x:v>
      </x:c>
      <x:c r="T129" s="32" t="n">
        <x:f>IF(O129="","",(1/'Metadata'!$B$5)^(O129-1))</x:f>
        <x:v>3162.2776601683795</x:v>
      </x:c>
      <x:c r="U129" s="31" t="n">
        <x:f>IF(T129="","",I129*T129)</x:f>
        <x:v>6955.7670453987885</x:v>
      </x:c>
    </x:row>
    <x:row r="130" ht="18" customHeight="1">
      <x:c r="A130" s="24" t="str">
        <x:v>LME_043</x:v>
      </x:c>
      <x:c r="B130" s="24" t="str">
        <x:v>Southwest Australian Shelf</x:v>
      </x:c>
      <x:c r="C130" s="24" t="str">
        <x:v>LME</x:v>
      </x:c>
      <x:c r="D130" s="30" t="n">
        <x:v>2019</x:v>
      </x:c>
      <x:c r="E130" s="24" t="str">
        <x:v>Pteriomorphia</x:v>
      </x:c>
      <x:c r="F130" s="24" t="str">
        <x:v>Clams, cockles, arkshells</x:v>
      </x:c>
      <x:c r="G130" s="24" t="str">
        <x:v>Other demersal invertebrates</x:v>
      </x:c>
      <x:c r="H130" s="24" t="str">
        <x:v>Molluscs</x:v>
      </x:c>
      <x:c r="I130" s="31" t="n">
        <x:v>2.1746916904</x:v>
      </x:c>
      <x:c r="J130" s="31" t="n">
        <x:v>2.1746916904</x:v>
      </x:c>
      <x:c r="K130" s="31" t="n">
        <x:v>0</x:v>
      </x:c>
      <x:c r="L130" s="31" t="n">
        <x:v>0</x:v>
      </x:c>
      <x:c r="M130" s="31" t="n">
        <x:v>2.1746916904</x:v>
      </x:c>
      <x:c r="N130" s="24" t="str">
        <x:v>pteriomorphia</x:v>
      </x:c>
      <x:c r="O130" s="32" t="n">
        <x:v>2.27</x:v>
      </x:c>
      <x:c r="P130" s="24" t="str">
        <x:v>exact_sea_around_us</x:v>
      </x:c>
      <x:c r="Q130" s="32" t="str">
        <x:v>Sea Around Us exploited organisms</x:v>
      </x:c>
      <x:c r="R130" s="24" t="str">
        <x:v>high</x:v>
      </x:c>
      <x:c r="S130" s="24" t="str">
        <x:v>Pteriomorphia</x:v>
      </x:c>
      <x:c r="T130" s="32" t="n">
        <x:f>IF(O130="","",(1/'Metadata'!$B$5)^(O130-1))</x:f>
        <x:v>18.620871366628677</x:v>
      </x:c>
      <x:c r="U130" s="31" t="n">
        <x:f>IF(T130="","",I130*T130)</x:f>
        <x:v>40.49465422901468</x:v>
      </x:c>
    </x:row>
    <x:row r="131" ht="18" customHeight="1">
      <x:c r="A131" s="24" t="str">
        <x:v>LME_043</x:v>
      </x:c>
      <x:c r="B131" s="24" t="str">
        <x:v>Southwest Australian Shelf</x:v>
      </x:c>
      <x:c r="C131" s="24" t="str">
        <x:v>LME</x:v>
      </x:c>
      <x:c r="D131" s="30" t="n">
        <x:v>2019</x:v>
      </x:c>
      <x:c r="E131" s="24" t="str">
        <x:v>Lethrinus</x:v>
      </x:c>
      <x:c r="F131" s="24" t="str">
        <x:v>Emperors</x:v>
      </x:c>
      <x:c r="G131" s="24" t="str">
        <x:v>Medium reef assoc. fish (30 - 89 cm)</x:v>
      </x:c>
      <x:c r="H131" s="24" t="str">
        <x:v>Perch-likes</x:v>
      </x:c>
      <x:c r="I131" s="31" t="n">
        <x:v>1.9544228944</x:v>
      </x:c>
      <x:c r="J131" s="31" t="n">
        <x:v>1.9544228944</x:v>
      </x:c>
      <x:c r="K131" s="31" t="n">
        <x:v>0</x:v>
      </x:c>
      <x:c r="L131" s="31" t="n">
        <x:v>1.2311408544</x:v>
      </x:c>
      <x:c r="M131" s="31" t="n">
        <x:v>0.72328204</x:v>
      </x:c>
      <x:c r="N131" s="24" t="str">
        <x:v>lethrinus</x:v>
      </x:c>
      <x:c r="O131" s="32" t="n">
        <x:v>3.75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Lethrinus</x:v>
      </x:c>
      <x:c r="T131" s="32" t="n">
        <x:f>IF(O131="","",(1/'Metadata'!$B$5)^(O131-1))</x:f>
        <x:v>562.341325190349</x:v>
      </x:c>
      <x:c r="U131" s="31" t="n">
        <x:f>IF(T131="","",I131*T131)</x:f>
        <x:v>1099.0527604192537</x:v>
      </x:c>
    </x:row>
    <x:row r="132" ht="18" customHeight="1">
      <x:c r="A132" s="24" t="str">
        <x:v>LME_043</x:v>
      </x:c>
      <x:c r="B132" s="24" t="str">
        <x:v>Southwest Australian Shelf</x:v>
      </x:c>
      <x:c r="C132" s="24" t="str">
        <x:v>LME</x:v>
      </x:c>
      <x:c r="D132" s="30" t="n">
        <x:v>2019</x:v>
      </x:c>
      <x:c r="E132" s="24" t="str">
        <x:v>Tetrapturus angustirostris</x:v>
      </x:c>
      <x:c r="F132" s="24" t="str">
        <x:v>Shortbill spearfish</x:v>
      </x:c>
      <x:c r="G132" s="24" t="str">
        <x:v>Large pelagics (&gt;=90 cm)</x:v>
      </x:c>
      <x:c r="H132" s="24" t="str">
        <x:v>Tuna &amp; billfishes</x:v>
      </x:c>
      <x:c r="I132" s="31" t="n">
        <x:v>1.8755973429</x:v>
      </x:c>
      <x:c r="J132" s="31" t="n">
        <x:v>1.8755973429</x:v>
      </x:c>
      <x:c r="K132" s="31" t="n">
        <x:v>0</x:v>
      </x:c>
      <x:c r="L132" s="31" t="n">
        <x:v>0.051323801</x:v>
      </x:c>
      <x:c r="M132" s="31" t="n">
        <x:v>1.8242735419</x:v>
      </x:c>
      <x:c r="N132" s="24" t="str">
        <x:v>tetrapturus angustirostris</x:v>
      </x:c>
      <x:c r="O132" s="32" t="n">
        <x:v>4.5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Tetrapturus angustirostris</x:v>
      </x:c>
      <x:c r="T132" s="32" t="n">
        <x:f>IF(O132="","",(1/'Metadata'!$B$5)^(O132-1))</x:f>
        <x:v>3162.2776601683795</x:v>
      </x:c>
      <x:c r="U132" s="31" t="n">
        <x:f>IF(T132="","",I132*T132)</x:f>
        <x:v>5931.159576923841</x:v>
      </x:c>
    </x:row>
    <x:row r="133" ht="18" customHeight="1">
      <x:c r="A133" s="24" t="str">
        <x:v>LME_043</x:v>
      </x:c>
      <x:c r="B133" s="24" t="str">
        <x:v>Southwest Australian Shelf</x:v>
      </x:c>
      <x:c r="C133" s="24" t="str">
        <x:v>LME</x:v>
      </x:c>
      <x:c r="D133" s="30" t="n">
        <x:v>2019</x:v>
      </x:c>
      <x:c r="E133" s="24" t="str">
        <x:v>Carcharias taurus</x:v>
      </x:c>
      <x:c r="F133" s="24" t="str">
        <x:v>Sand tiger shark</x:v>
      </x:c>
      <x:c r="G133" s="24" t="str">
        <x:v>Large sharks (&gt;=90 cm)</x:v>
      </x:c>
      <x:c r="H133" s="24" t="str">
        <x:v>Sharks &amp; rays</x:v>
      </x:c>
      <x:c r="I133" s="31" t="n">
        <x:v>1.7659701144</x:v>
      </x:c>
      <x:c r="J133" s="31" t="n">
        <x:v>1.7659701144</x:v>
      </x:c>
      <x:c r="K133" s="31" t="n">
        <x:v>0</x:v>
      </x:c>
      <x:c r="L133" s="31" t="n">
        <x:v>0.9247395415</x:v>
      </x:c>
      <x:c r="M133" s="31" t="n">
        <x:v>0.8412305729</x:v>
      </x:c>
      <x:c r="N133" s="24" t="str">
        <x:v>carcharias taurus</x:v>
      </x:c>
      <x:c r="O133" s="32" t="n">
        <x:v>4.5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Carcharias taurus</x:v>
      </x:c>
      <x:c r="T133" s="32" t="n">
        <x:f>IF(O133="","",(1/'Metadata'!$B$5)^(O133-1))</x:f>
        <x:v>3162.2776601683795</x:v>
      </x:c>
      <x:c r="U133" s="31" t="n">
        <x:f>IF(T133="","",I133*T133)</x:f>
        <x:v>5584.487841292117</x:v>
      </x:c>
    </x:row>
    <x:row r="134" ht="18" customHeight="1">
      <x:c r="A134" s="24" t="str">
        <x:v>LME_043</x:v>
      </x:c>
      <x:c r="B134" s="24" t="str">
        <x:v>Southwest Australian Shelf</x:v>
      </x:c>
      <x:c r="C134" s="24" t="str">
        <x:v>LME</x:v>
      </x:c>
      <x:c r="D134" s="30" t="n">
        <x:v>2019</x:v>
      </x:c>
      <x:c r="E134" s="24" t="str">
        <x:v>Carangoides</x:v>
      </x:c>
      <x:c r="F134" s="24" t="str">
        <x:v>Trevallies</x:v>
      </x:c>
      <x:c r="G134" s="24" t="str">
        <x:v>Medium reef assoc. fish (30 - 89 cm)</x:v>
      </x:c>
      <x:c r="H134" s="24" t="str">
        <x:v>Perch-likes</x:v>
      </x:c>
      <x:c r="I134" s="31" t="n">
        <x:v>1.7169737935</x:v>
      </x:c>
      <x:c r="J134" s="31" t="n">
        <x:v>1.7169737935</x:v>
      </x:c>
      <x:c r="K134" s="31" t="n">
        <x:v>0</x:v>
      </x:c>
      <x:c r="L134" s="31" t="n">
        <x:v>1.2703789783000001</x:v>
      </x:c>
      <x:c r="M134" s="31" t="n">
        <x:v>0.4465948152</x:v>
      </x:c>
      <x:c r="N134" s="24" t="str">
        <x:v>carangoides</x:v>
      </x:c>
      <x:c r="O134" s="32" t="n">
        <x:v>4.34</x:v>
      </x:c>
      <x:c r="P134" s="24" t="str">
        <x:v>exact_sea_around_us</x:v>
      </x:c>
      <x:c r="Q134" s="32" t="str">
        <x:v>Sea Around Us exploited organisms</x:v>
      </x:c>
      <x:c r="R134" s="24" t="str">
        <x:v>high</x:v>
      </x:c>
      <x:c r="S134" s="24" t="str">
        <x:v>Carangoides</x:v>
      </x:c>
      <x:c r="T134" s="32" t="n">
        <x:f>IF(O134="","",(1/'Metadata'!$B$5)^(O134-1))</x:f>
        <x:v>2187.761623949552</x:v>
      </x:c>
      <x:c r="U134" s="31" t="n">
        <x:f>IF(T134="","",I134*T134)</x:f>
        <x:v>3756.3293747463827</x:v>
      </x:c>
    </x:row>
    <x:row r="135" ht="18" customHeight="1">
      <x:c r="A135" s="24" t="str">
        <x:v>LME_043</x:v>
      </x:c>
      <x:c r="B135" s="24" t="str">
        <x:v>Southwest Australian Shelf</x:v>
      </x:c>
      <x:c r="C135" s="24" t="str">
        <x:v>LME</x:v>
      </x:c>
      <x:c r="D135" s="30" t="n">
        <x:v>2019</x:v>
      </x:c>
      <x:c r="E135" s="24" t="str">
        <x:v>Variola louti</x:v>
      </x:c>
      <x:c r="F135" s="24" t="str">
        <x:v>Yellow-edged lyretail</x:v>
      </x:c>
      <x:c r="G135" s="24" t="str">
        <x:v>Medium reef assoc. fish (30 - 89 cm)</x:v>
      </x:c>
      <x:c r="H135" s="24" t="str">
        <x:v>Perch-likes</x:v>
      </x:c>
      <x:c r="I135" s="31" t="n">
        <x:v>1.7142224848</x:v>
      </x:c>
      <x:c r="J135" s="31" t="n">
        <x:v>1.7142224848</x:v>
      </x:c>
      <x:c r="K135" s="31" t="n">
        <x:v>0</x:v>
      </x:c>
      <x:c r="L135" s="31" t="n">
        <x:v>0.42351980640000003</x:v>
      </x:c>
      <x:c r="M135" s="31" t="n">
        <x:v>1.2907026784</x:v>
      </x:c>
      <x:c r="N135" s="24" t="str">
        <x:v>variola louti</x:v>
      </x:c>
      <x:c r="O135" s="32" t="n">
        <x:v>4.33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Variola louti</x:v>
      </x:c>
      <x:c r="T135" s="32" t="n">
        <x:f>IF(O135="","",(1/'Metadata'!$B$5)^(O135-1))</x:f>
        <x:v>2137.9620895022326</x:v>
      </x:c>
      <x:c r="U135" s="31" t="n">
        <x:f>IF(T135="","",I135*T135)</x:f>
        <x:v>3664.942685474717</x:v>
      </x:c>
    </x:row>
    <x:row r="136" ht="18" customHeight="1">
      <x:c r="A136" s="24" t="str">
        <x:v>LME_043</x:v>
      </x:c>
      <x:c r="B136" s="24" t="str">
        <x:v>Southwest Australian Shelf</x:v>
      </x:c>
      <x:c r="C136" s="24" t="str">
        <x:v>LME</x:v>
      </x:c>
      <x:c r="D136" s="30" t="n">
        <x:v>2019</x:v>
      </x:c>
      <x:c r="E136" s="24" t="str">
        <x:v>Gerres</x:v>
      </x:c>
      <x:c r="F136" s="24" t="str">
        <x:v>Silver biddies</x:v>
      </x:c>
      <x:c r="G136" s="24" t="str">
        <x:v>Small benthopelagics (&lt;30 cm)</x:v>
      </x:c>
      <x:c r="H136" s="24" t="str">
        <x:v>Perch-likes</x:v>
      </x:c>
      <x:c r="I136" s="31" t="n">
        <x:v>1.634383891</x:v>
      </x:c>
      <x:c r="J136" s="31" t="n">
        <x:v>1.634383891</x:v>
      </x:c>
      <x:c r="K136" s="31" t="n">
        <x:v>0</x:v>
      </x:c>
      <x:c r="L136" s="31" t="n">
        <x:v>1.634383891</x:v>
      </x:c>
      <x:c r="M136" s="31" t="n">
        <x:v>0</x:v>
      </x:c>
      <x:c r="N136" s="24" t="str">
        <x:v>gerres</x:v>
      </x:c>
      <x:c r="O136" s="32" t="n">
        <x:v>3.27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Gerres</x:v>
      </x:c>
      <x:c r="T136" s="32" t="n">
        <x:f>IF(O136="","",(1/'Metadata'!$B$5)^(O136-1))</x:f>
        <x:v>186.20871366628674</x:v>
      </x:c>
      <x:c r="U136" s="31" t="n">
        <x:f>IF(T136="","",I136*T136)</x:f>
        <x:v>304.33652198001056</x:v>
      </x:c>
    </x:row>
    <x:row r="137" ht="18" customHeight="1">
      <x:c r="A137" s="24" t="str">
        <x:v>LME_043</x:v>
      </x:c>
      <x:c r="B137" s="24" t="str">
        <x:v>Southwest Australian Shelf</x:v>
      </x:c>
      <x:c r="C137" s="24" t="str">
        <x:v>LME</x:v>
      </x:c>
      <x:c r="D137" s="30" t="n">
        <x:v>2019</x:v>
      </x:c>
      <x:c r="E137" s="24" t="str">
        <x:v>Mollusca</x:v>
      </x:c>
      <x:c r="F137" s="24" t="str">
        <x:v>Clams, seasnails, squids, octopuses</x:v>
      </x:c>
      <x:c r="G137" s="24" t="str">
        <x:v>Other demersal invertebrates</x:v>
      </x:c>
      <x:c r="H137" s="24" t="str">
        <x:v>Molluscs</x:v>
      </x:c>
      <x:c r="I137" s="31" t="n">
        <x:v>1.6241445228</x:v>
      </x:c>
      <x:c r="J137" s="31" t="n">
        <x:v>1.6241445228</x:v>
      </x:c>
      <x:c r="K137" s="31" t="n">
        <x:v>0</x:v>
      </x:c>
      <x:c r="L137" s="31" t="n">
        <x:v>1.6241445228</x:v>
      </x:c>
      <x:c r="M137" s="31" t="n">
        <x:v>0</x:v>
      </x:c>
      <x:c r="N137" s="24" t="str">
        <x:v>mollusca</x:v>
      </x:c>
      <x:c r="O137" s="32" t="n">
        <x:v>2.1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Mollusca</x:v>
      </x:c>
      <x:c r="T137" s="32" t="n">
        <x:f>IF(O137="","",(1/'Metadata'!$B$5)^(O137-1))</x:f>
        <x:v>12.589254117941675</x:v>
      </x:c>
      <x:c r="U137" s="31" t="n">
        <x:f>IF(T137="","",I137*T137)</x:f>
        <x:v>20.446768121792317</x:v>
      </x:c>
    </x:row>
    <x:row r="138" ht="18" customHeight="1">
      <x:c r="A138" s="24" t="str">
        <x:v>LME_043</x:v>
      </x:c>
      <x:c r="B138" s="24" t="str">
        <x:v>Southwest Australian Shelf</x:v>
      </x:c>
      <x:c r="C138" s="24" t="str">
        <x:v>LME</x:v>
      </x:c>
      <x:c r="D138" s="30" t="n">
        <x:v>2019</x:v>
      </x:c>
      <x:c r="E138" s="24" t="str">
        <x:v>Chanos chanos</x:v>
      </x:c>
      <x:c r="F138" s="24" t="str">
        <x:v>Milkfish</x:v>
      </x:c>
      <x:c r="G138" s="24" t="str">
        <x:v>Large benthopelagics (&gt;=90 cm)</x:v>
      </x:c>
      <x:c r="H138" s="24" t="str">
        <x:v>Other fishes &amp; inverts</x:v>
      </x:c>
      <x:c r="I138" s="31" t="n">
        <x:v>1.5520440714000001</x:v>
      </x:c>
      <x:c r="J138" s="31" t="n">
        <x:v>1.5520440714000001</x:v>
      </x:c>
      <x:c r="K138" s="31" t="n">
        <x:v>0</x:v>
      </x:c>
      <x:c r="L138" s="31" t="n">
        <x:v>1.4517721536000001</x:v>
      </x:c>
      <x:c r="M138" s="31" t="n">
        <x:v>0.1002719178</x:v>
      </x:c>
      <x:c r="N138" s="24" t="str">
        <x:v>chanos chanos</x:v>
      </x:c>
      <x:c r="O138" s="32" t="n">
        <x:v>2.03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Chanos chanos</x:v>
      </x:c>
      <x:c r="T138" s="32" t="n">
        <x:f>IF(O138="","",(1/'Metadata'!$B$5)^(O138-1))</x:f>
        <x:v>10.71519305237606</x:v>
      </x:c>
      <x:c r="U138" s="31" t="n">
        <x:f>IF(T138="","",I138*T138)</x:f>
        <x:v>16.630451850846736</x:v>
      </x:c>
    </x:row>
    <x:row r="139" ht="18" customHeight="1">
      <x:c r="A139" s="24" t="str">
        <x:v>LME_043</x:v>
      </x:c>
      <x:c r="B139" s="24" t="str">
        <x:v>Southwest Australian Shelf</x:v>
      </x:c>
      <x:c r="C139" s="24" t="str">
        <x:v>LME</x:v>
      </x:c>
      <x:c r="D139" s="30" t="n">
        <x:v>2019</x:v>
      </x:c>
      <x:c r="E139" s="24" t="str">
        <x:v>Cetorhinus maximus</x:v>
      </x:c>
      <x:c r="F139" s="24" t="str">
        <x:v>Basking shark</x:v>
      </x:c>
      <x:c r="G139" s="24" t="str">
        <x:v>Large sharks (&gt;=90 cm)</x:v>
      </x:c>
      <x:c r="H139" s="24" t="str">
        <x:v>Sharks &amp; rays</x:v>
      </x:c>
      <x:c r="I139" s="31" t="n">
        <x:v>1.5505253923</x:v>
      </x:c>
      <x:c r="J139" s="31" t="n">
        <x:v>1.5505253923</x:v>
      </x:c>
      <x:c r="K139" s="31" t="n">
        <x:v>0</x:v>
      </x:c>
      <x:c r="L139" s="31" t="n">
        <x:v>1.5505253923</x:v>
      </x:c>
      <x:c r="M139" s="31" t="n">
        <x:v>0</x:v>
      </x:c>
      <x:c r="N139" s="24" t="str">
        <x:v>cetorhinus maximus</x:v>
      </x:c>
      <x:c r="O139" s="32" t="n">
        <x:v>3.2</x:v>
      </x:c>
      <x:c r="P139" s="24" t="str">
        <x:v>exact_2020_supplement</x:v>
      </x:c>
      <x:c r="Q139" s="32" t="str">
        <x:v>2020 supplement MeanTL</x:v>
      </x:c>
      <x:c r="R139" s="24" t="str">
        <x:v>high</x:v>
      </x:c>
      <x:c r="S139" s="24" t="str">
        <x:v>Cetorhinus maximus</x:v>
      </x:c>
      <x:c r="T139" s="32" t="n">
        <x:f>IF(O139="","",(1/'Metadata'!$B$5)^(O139-1))</x:f>
        <x:v>158.48931924611142</x:v>
      </x:c>
      <x:c r="U139" s="31" t="n">
        <x:f>IF(T139="","",I139*T139)</x:f>
        <x:v>245.74171389943686</x:v>
      </x:c>
    </x:row>
    <x:row r="140" ht="18" customHeight="1">
      <x:c r="A140" s="24" t="str">
        <x:v>LME_043</x:v>
      </x:c>
      <x:c r="B140" s="24" t="str">
        <x:v>Southwest Australian Shelf</x:v>
      </x:c>
      <x:c r="C140" s="24" t="str">
        <x:v>LME</x:v>
      </x:c>
      <x:c r="D140" s="30" t="n">
        <x:v>2019</x:v>
      </x:c>
      <x:c r="E140" s="24" t="str">
        <x:v>Istiophorus platypterus</x:v>
      </x:c>
      <x:c r="F140" s="24" t="str">
        <x:v>Indo-Pacific sailfish</x:v>
      </x:c>
      <x:c r="G140" s="24" t="str">
        <x:v>Large pelagics (&gt;=90 cm)</x:v>
      </x:c>
      <x:c r="H140" s="24" t="str">
        <x:v>Tuna &amp; billfishes</x:v>
      </x:c>
      <x:c r="I140" s="31" t="n">
        <x:v>1.4767375758</x:v>
      </x:c>
      <x:c r="J140" s="31" t="n">
        <x:v>1.4767375758</x:v>
      </x:c>
      <x:c r="K140" s="31" t="n">
        <x:v>0</x:v>
      </x:c>
      <x:c r="L140" s="31" t="n">
        <x:v>0</x:v>
      </x:c>
      <x:c r="M140" s="31" t="n">
        <x:v>1.4767375758</x:v>
      </x:c>
      <x:c r="N140" s="24" t="str">
        <x:v>istiophorus platypterus</x:v>
      </x:c>
      <x:c r="O140" s="32" t="n">
        <x:v>4.5</x:v>
      </x:c>
      <x:c r="P140" s="24" t="str">
        <x:v>exact_2020_supplement</x:v>
      </x:c>
      <x:c r="Q140" s="32" t="str">
        <x:v>2020 supplement MeanTL</x:v>
      </x:c>
      <x:c r="R140" s="24" t="str">
        <x:v>high</x:v>
      </x:c>
      <x:c r="S140" s="24" t="str">
        <x:v>Istiophorus platypterus</x:v>
      </x:c>
      <x:c r="T140" s="32" t="n">
        <x:f>IF(O140="","",(1/'Metadata'!$B$5)^(O140-1))</x:f>
        <x:v>3162.2776601683795</x:v>
      </x:c>
      <x:c r="U140" s="31" t="n">
        <x:f>IF(T140="","",I140*T140)</x:f>
        <x:v>4669.854245883549</x:v>
      </x:c>
    </x:row>
    <x:row r="141" ht="18" customHeight="1">
      <x:c r="A141" s="24" t="str">
        <x:v>LME_043</x:v>
      </x:c>
      <x:c r="B141" s="24" t="str">
        <x:v>Southwest Australian Shelf</x:v>
      </x:c>
      <x:c r="C141" s="24" t="str">
        <x:v>LME</x:v>
      </x:c>
      <x:c r="D141" s="30" t="n">
        <x:v>2019</x:v>
      </x:c>
      <x:c r="E141" s="24" t="str">
        <x:v>Protonibea diacanthus</x:v>
      </x:c>
      <x:c r="F141" s="24" t="str">
        <x:v>Blackspotted croaker</x:v>
      </x:c>
      <x:c r="G141" s="24" t="str">
        <x:v>Small pelagics (&lt;30 cm)</x:v>
      </x:c>
      <x:c r="H141" s="24" t="str">
        <x:v>Perch-likes</x:v>
      </x:c>
      <x:c r="I141" s="31" t="n">
        <x:v>1.4367548595</x:v>
      </x:c>
      <x:c r="J141" s="31" t="n">
        <x:v>1.4367548595</x:v>
      </x:c>
      <x:c r="K141" s="31" t="n">
        <x:v>0</x:v>
      </x:c>
      <x:c r="L141" s="31" t="n">
        <x:v>0</x:v>
      </x:c>
      <x:c r="M141" s="31" t="n">
        <x:v>1.4367548595</x:v>
      </x:c>
      <x:c r="N141" s="24" t="str">
        <x:v>protonibea diacanthus</x:v>
      </x:c>
      <x:c r="O141" s="32" t="n">
        <x:v>3.5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Protonibea diacanthus</x:v>
      </x:c>
      <x:c r="T141" s="32" t="n">
        <x:f>IF(O141="","",(1/'Metadata'!$B$5)^(O141-1))</x:f>
        <x:v>316.22776601683796</x:v>
      </x:c>
      <x:c r="U141" s="31" t="n">
        <x:f>IF(T141="","",I141*T141)</x:f>
        <x:v>454.3417795335209</x:v>
      </x:c>
    </x:row>
    <x:row r="142" ht="18" customHeight="1">
      <x:c r="A142" s="24" t="str">
        <x:v>LME_043</x:v>
      </x:c>
      <x:c r="B142" s="24" t="str">
        <x:v>Southwest Australian Shelf</x:v>
      </x:c>
      <x:c r="C142" s="24" t="str">
        <x:v>LME</x:v>
      </x:c>
      <x:c r="D142" s="30" t="n">
        <x:v>2019</x:v>
      </x:c>
      <x:c r="E142" s="24" t="str">
        <x:v>Centrolophidae</x:v>
      </x:c>
      <x:c r="F142" s="24" t="str">
        <x:v>Medusafishes</x:v>
      </x:c>
      <x:c r="G142" s="24" t="str">
        <x:v>Medium benthopelagics (30 - 89 cm)</x:v>
      </x:c>
      <x:c r="H142" s="24" t="str">
        <x:v>Perch-likes</x:v>
      </x:c>
      <x:c r="I142" s="31" t="n">
        <x:v>1.3618932655</x:v>
      </x:c>
      <x:c r="J142" s="31" t="n">
        <x:v>0.1436104522</x:v>
      </x:c>
      <x:c r="K142" s="31" t="n">
        <x:v>1.2182828133</x:v>
      </x:c>
      <x:c r="L142" s="31" t="n">
        <x:v>0.1436104522</x:v>
      </x:c>
      <x:c r="M142" s="31" t="n">
        <x:v>1.2182828133</x:v>
      </x:c>
      <x:c r="N142" s="24" t="str">
        <x:v>centrolophidae</x:v>
      </x:c>
      <x:c r="O142" s="32" t="n">
        <x:v>3.65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Centrolophidae</x:v>
      </x:c>
      <x:c r="T142" s="32" t="n">
        <x:f>IF(O142="","",(1/'Metadata'!$B$5)^(O142-1))</x:f>
        <x:v>446.683592150963</x:v>
      </x:c>
      <x:c r="U142" s="31" t="n">
        <x:f>IF(T142="","",I142*T142)</x:f>
        <x:v>608.3353759597452</x:v>
      </x:c>
    </x:row>
    <x:row r="143" ht="18" customHeight="1">
      <x:c r="A143" s="24" t="str">
        <x:v>LME_043</x:v>
      </x:c>
      <x:c r="B143" s="24" t="str">
        <x:v>Southwest Australian Shelf</x:v>
      </x:c>
      <x:c r="C143" s="24" t="str">
        <x:v>LME</x:v>
      </x:c>
      <x:c r="D143" s="30" t="n">
        <x:v>2019</x:v>
      </x:c>
      <x:c r="E143" s="24" t="str">
        <x:v>Scaridae</x:v>
      </x:c>
      <x:c r="F143" s="24" t="str">
        <x:v>Parrotfishes</x:v>
      </x:c>
      <x:c r="G143" s="24" t="str">
        <x:v>Medium reef assoc. fish (30 - 89 cm)</x:v>
      </x:c>
      <x:c r="H143" s="24" t="str">
        <x:v>Perch-likes</x:v>
      </x:c>
      <x:c r="I143" s="31" t="n">
        <x:v>1.3409019263</x:v>
      </x:c>
      <x:c r="J143" s="31" t="n">
        <x:v>1.3409019263</x:v>
      </x:c>
      <x:c r="K143" s="31" t="n">
        <x:v>0</x:v>
      </x:c>
      <x:c r="L143" s="31" t="n">
        <x:v>1.3080024773</x:v>
      </x:c>
      <x:c r="M143" s="31" t="n">
        <x:v>0.032899449</x:v>
      </x:c>
      <x:c r="N143" s="24" t="str">
        <x:v>scaridae</x:v>
      </x:c>
      <x:c r="O143" s="32" t="n">
        <x:v>2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Scaridae</x:v>
      </x:c>
      <x:c r="T143" s="32" t="n">
        <x:f>IF(O143="","",(1/'Metadata'!$B$5)^(O143-1))</x:f>
        <x:v>10</x:v>
      </x:c>
      <x:c r="U143" s="31" t="n">
        <x:f>IF(T143="","",I143*T143)</x:f>
        <x:v>13.409019263</x:v>
      </x:c>
    </x:row>
    <x:row r="144" ht="18" customHeight="1">
      <x:c r="A144" s="24" t="str">
        <x:v>LME_043</x:v>
      </x:c>
      <x:c r="B144" s="24" t="str">
        <x:v>Southwest Australian Shelf</x:v>
      </x:c>
      <x:c r="C144" s="24" t="str">
        <x:v>LME</x:v>
      </x:c>
      <x:c r="D144" s="30" t="n">
        <x:v>2019</x:v>
      </x:c>
      <x:c r="E144" s="24" t="str">
        <x:v>Lobotes surinamensis</x:v>
      </x:c>
      <x:c r="F144" s="24" t="str">
        <x:v>Tripletail</x:v>
      </x:c>
      <x:c r="G144" s="24" t="str">
        <x:v>Large benthopelagics (&gt;=90 cm)</x:v>
      </x:c>
      <x:c r="H144" s="24" t="str">
        <x:v>Perch-likes</x:v>
      </x:c>
      <x:c r="I144" s="31" t="n">
        <x:v>1.3136651418</x:v>
      </x:c>
      <x:c r="J144" s="31" t="n">
        <x:v>1.3136651418</x:v>
      </x:c>
      <x:c r="K144" s="31" t="n">
        <x:v>0</x:v>
      </x:c>
      <x:c r="L144" s="31" t="n">
        <x:v>0.40110393759999996</x:v>
      </x:c>
      <x:c r="M144" s="31" t="n">
        <x:v>0.9125612042</x:v>
      </x:c>
      <x:c r="N144" s="24" t="str">
        <x:v>lobotes surinamensis</x:v>
      </x:c>
      <x:c r="O144" s="32" t="n">
        <x:v>4.04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Lobotes surinamensis</x:v>
      </x:c>
      <x:c r="T144" s="32" t="n">
        <x:f>IF(O144="","",(1/'Metadata'!$B$5)^(O144-1))</x:f>
        <x:v>1096.4781961431852</x:v>
      </x:c>
      <x:c r="U144" s="31" t="n">
        <x:f>IF(T144="","",I144*T144)</x:f>
        <x:v>1440.4051850170456</x:v>
      </x:c>
    </x:row>
    <x:row r="145" ht="18" customHeight="1">
      <x:c r="A145" s="24" t="str">
        <x:v>LME_043</x:v>
      </x:c>
      <x:c r="B145" s="24" t="str">
        <x:v>Southwest Australian Shelf</x:v>
      </x:c>
      <x:c r="C145" s="24" t="str">
        <x:v>LME</x:v>
      </x:c>
      <x:c r="D145" s="30" t="n">
        <x:v>2019</x:v>
      </x:c>
      <x:c r="E145" s="24" t="str">
        <x:v>Portunus sanguinolentus</x:v>
      </x:c>
      <x:c r="F145" s="24" t="str">
        <x:v>Three-spot swimming crab</x:v>
      </x:c>
      <x:c r="G145" s="24" t="str">
        <x:v>Lobsters, crabs</x:v>
      </x:c>
      <x:c r="H145" s="24" t="str">
        <x:v>Crustaceans</x:v>
      </x:c>
      <x:c r="I145" s="31" t="n">
        <x:v>1.2974326014</x:v>
      </x:c>
      <x:c r="J145" s="31" t="n">
        <x:v>1.2974326014</x:v>
      </x:c>
      <x:c r="K145" s="31" t="n">
        <x:v>0</x:v>
      </x:c>
      <x:c r="L145" s="31" t="n">
        <x:v>1.2974326014</x:v>
      </x:c>
      <x:c r="M145" s="31" t="n">
        <x:v>0</x:v>
      </x:c>
      <x:c r="N145" s="24" t="str">
        <x:v>portunus sanguinolentus</x:v>
      </x:c>
      <x:c r="O145" s="32" t="n">
        <x:v>4.23</x:v>
      </x:c>
      <x:c r="P145" s="24" t="str">
        <x:v>exact_2020_supplement</x:v>
      </x:c>
      <x:c r="Q145" s="32" t="str">
        <x:v>2020 supplement MeanTL</x:v>
      </x:c>
      <x:c r="R145" s="24" t="str">
        <x:v>high</x:v>
      </x:c>
      <x:c r="S145" s="24" t="str">
        <x:v>Portunus sanguinolentus</x:v>
      </x:c>
      <x:c r="T145" s="32" t="n">
        <x:f>IF(O145="","",(1/'Metadata'!$B$5)^(O145-1))</x:f>
        <x:v>1698.243652461746</x:v>
      </x:c>
      <x:c r="U145" s="31" t="n">
        <x:f>IF(T145="","",I145*T145)</x:f>
        <x:v>2203.3566798244806</x:v>
      </x:c>
    </x:row>
    <x:row r="146" ht="18" customHeight="1">
      <x:c r="A146" s="24" t="str">
        <x:v>LME_043</x:v>
      </x:c>
      <x:c r="B146" s="24" t="str">
        <x:v>Southwest Australian Shelf</x:v>
      </x:c>
      <x:c r="C146" s="24" t="str">
        <x:v>LME</x:v>
      </x:c>
      <x:c r="D146" s="30" t="n">
        <x:v>2019</x:v>
      </x:c>
      <x:c r="E146" s="24" t="str">
        <x:v>Clupeiformes</x:v>
      </x:c>
      <x:c r="F146" s="24" t="str">
        <x:v>Herrings, shads, anchovies</x:v>
      </x:c>
      <x:c r="G146" s="24" t="str">
        <x:v>Small pelagics (&lt;30 cm)</x:v>
      </x:c>
      <x:c r="H146" s="24" t="str">
        <x:v>Other fishes &amp; inverts</x:v>
      </x:c>
      <x:c r="I146" s="31" t="n">
        <x:v>1.1954237362</x:v>
      </x:c>
      <x:c r="J146" s="31" t="n">
        <x:v>1.1954237362</x:v>
      </x:c>
      <x:c r="K146" s="31" t="n">
        <x:v>0</x:v>
      </x:c>
      <x:c r="L146" s="31" t="n">
        <x:v>1.1941851784</x:v>
      </x:c>
      <x:c r="M146" s="31" t="n">
        <x:v>0.0012385578</x:v>
      </x:c>
      <x:c r="N146" s="24" t="str">
        <x:v>clupeiformes</x:v>
      </x:c>
      <x:c r="O146" s="32" t="n">
        <x:v>3.24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Clupeiformes</x:v>
      </x:c>
      <x:c r="T146" s="32" t="n">
        <x:f>IF(O146="","",(1/'Metadata'!$B$5)^(O146-1))</x:f>
        <x:v>173.78008287493762</x:v>
      </x:c>
      <x:c r="U146" s="31" t="n">
        <x:f>IF(T146="","",I146*T146)</x:f>
        <x:v>207.74083594750357</x:v>
      </x:c>
    </x:row>
    <x:row r="147" ht="18" customHeight="1">
      <x:c r="A147" s="24" t="str">
        <x:v>LME_043</x:v>
      </x:c>
      <x:c r="B147" s="24" t="str">
        <x:v>Southwest Australian Shelf</x:v>
      </x:c>
      <x:c r="C147" s="24" t="str">
        <x:v>LME</x:v>
      </x:c>
      <x:c r="D147" s="30" t="n">
        <x:v>2019</x:v>
      </x:c>
      <x:c r="E147" s="24" t="str">
        <x:v>Sphyrna lewini</x:v>
      </x:c>
      <x:c r="F147" s="24" t="str">
        <x:v>Scalloped hammerhead</x:v>
      </x:c>
      <x:c r="G147" s="24" t="str">
        <x:v>Large sharks (&gt;=90 cm)</x:v>
      </x:c>
      <x:c r="H147" s="24" t="str">
        <x:v>Sharks &amp; rays</x:v>
      </x:c>
      <x:c r="I147" s="31" t="n">
        <x:v>1.1316795633</x:v>
      </x:c>
      <x:c r="J147" s="31" t="n">
        <x:v>1.1316795633</x:v>
      </x:c>
      <x:c r="K147" s="31" t="n">
        <x:v>0</x:v>
      </x:c>
      <x:c r="L147" s="31" t="n">
        <x:v>0.0053324340000000005</x:v>
      </x:c>
      <x:c r="M147" s="31" t="n">
        <x:v>1.1263471293</x:v>
      </x:c>
      <x:c r="N147" s="24" t="str">
        <x:v>sphyrna lewini</x:v>
      </x:c>
      <x:c r="O147" s="32" t="n">
        <x:v>4.08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Sphyrna lewini</x:v>
      </x:c>
      <x:c r="T147" s="32" t="n">
        <x:f>IF(O147="","",(1/'Metadata'!$B$5)^(O147-1))</x:f>
        <x:v>1202.2644346174131</x:v>
      </x:c>
      <x:c r="U147" s="31" t="n">
        <x:f>IF(T147="","",I147*T147)</x:f>
        <x:v>1360.5780903389557</x:v>
      </x:c>
    </x:row>
    <x:row r="148" ht="18" customHeight="1">
      <x:c r="A148" s="24" t="str">
        <x:v>LME_043</x:v>
      </x:c>
      <x:c r="B148" s="24" t="str">
        <x:v>Southwest Australian Shelf</x:v>
      </x:c>
      <x:c r="C148" s="24" t="str">
        <x:v>LME</x:v>
      </x:c>
      <x:c r="D148" s="30" t="n">
        <x:v>2019</x:v>
      </x:c>
      <x:c r="E148" s="24" t="str">
        <x:v>Pentaceros decacanthus</x:v>
      </x:c>
      <x:c r="F148" s="24" t="str">
        <x:v>Bigspined boarfish</x:v>
      </x:c>
      <x:c r="G148" s="24" t="str">
        <x:v>Medium bathydemersals (30 - 89 cm)</x:v>
      </x:c>
      <x:c r="H148" s="24" t="str">
        <x:v>Perch-likes</x:v>
      </x:c>
      <x:c r="I148" s="31" t="n">
        <x:v>1.1251332101</x:v>
      </x:c>
      <x:c r="J148" s="31" t="n">
        <x:v>1.1251332101</x:v>
      </x:c>
      <x:c r="K148" s="31" t="n">
        <x:v>0</x:v>
      </x:c>
      <x:c r="L148" s="31" t="n">
        <x:v>1.1251332101</x:v>
      </x:c>
      <x:c r="M148" s="31" t="n">
        <x:v>0</x:v>
      </x:c>
      <x:c r="N148" s="24" t="str">
        <x:v>pentaceros decacanthus</x:v>
      </x:c>
      <x:c r="O148" s="32" t="n">
        <x:v>3.33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Pentaceros decacanthus</x:v>
      </x:c>
      <x:c r="T148" s="32" t="n">
        <x:f>IF(O148="","",(1/'Metadata'!$B$5)^(O148-1))</x:f>
        <x:v>213.79620895022325</x:v>
      </x:c>
      <x:c r="U148" s="31" t="n">
        <x:f>IF(T148="","",I148*T148)</x:f>
        <x:v>240.54921488337504</x:v>
      </x:c>
    </x:row>
    <x:row r="149" ht="18" customHeight="1">
      <x:c r="A149" s="24" t="str">
        <x:v>LME_043</x:v>
      </x:c>
      <x:c r="B149" s="24" t="str">
        <x:v>Southwest Australian Shelf</x:v>
      </x:c>
      <x:c r="C149" s="24" t="str">
        <x:v>LME</x:v>
      </x:c>
      <x:c r="D149" s="30" t="n">
        <x:v>2019</x:v>
      </x:c>
      <x:c r="E149" s="24" t="str">
        <x:v>Bivalvia</x:v>
      </x:c>
      <x:c r="F149" s="24" t="str">
        <x:v>Clams</x:v>
      </x:c>
      <x:c r="G149" s="24" t="str">
        <x:v>Other demersal invertebrates</x:v>
      </x:c>
      <x:c r="H149" s="24" t="str">
        <x:v>Molluscs</x:v>
      </x:c>
      <x:c r="I149" s="31" t="n">
        <x:v>1.0895458292</x:v>
      </x:c>
      <x:c r="J149" s="31" t="n">
        <x:v>1.0895458292</x:v>
      </x:c>
      <x:c r="K149" s="31" t="n">
        <x:v>0</x:v>
      </x:c>
      <x:c r="L149" s="31" t="n">
        <x:v>1.0895458292</x:v>
      </x:c>
      <x:c r="M149" s="31" t="n">
        <x:v>0</x:v>
      </x:c>
      <x:c r="N149" s="24" t="str">
        <x:v>bivalvia</x:v>
      </x:c>
      <x:c r="O149" s="32" t="n">
        <x:v>2.23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Bivalvia</x:v>
      </x:c>
      <x:c r="T149" s="32" t="n">
        <x:f>IF(O149="","",(1/'Metadata'!$B$5)^(O149-1))</x:f>
        <x:v>16.982436524617444</x:v>
      </x:c>
      <x:c r="U149" s="31" t="n">
        <x:f>IF(T149="","",I149*T149)</x:f>
        <x:v>18.50314288505068</x:v>
      </x:c>
    </x:row>
    <x:row r="150" ht="18" customHeight="1">
      <x:c r="A150" s="24" t="str">
        <x:v>LME_043</x:v>
      </x:c>
      <x:c r="B150" s="24" t="str">
        <x:v>Southwest Australian Shelf</x:v>
      </x:c>
      <x:c r="C150" s="24" t="str">
        <x:v>LME</x:v>
      </x:c>
      <x:c r="D150" s="30" t="n">
        <x:v>2019</x:v>
      </x:c>
      <x:c r="E150" s="24" t="str">
        <x:v>Gempylidae</x:v>
      </x:c>
      <x:c r="F150" s="24" t="str">
        <x:v>Snake mackerels</x:v>
      </x:c>
      <x:c r="G150" s="24" t="str">
        <x:v>Large benthopelagics (&gt;=90 cm)</x:v>
      </x:c>
      <x:c r="H150" s="24" t="str">
        <x:v>Perch-likes</x:v>
      </x:c>
      <x:c r="I150" s="31" t="n">
        <x:v>1.0487886941</x:v>
      </x:c>
      <x:c r="J150" s="31" t="n">
        <x:v>0</x:v>
      </x:c>
      <x:c r="K150" s="31" t="n">
        <x:v>1.0487886941</x:v>
      </x:c>
      <x:c r="L150" s="31" t="n">
        <x:v>0</x:v>
      </x:c>
      <x:c r="M150" s="31" t="n">
        <x:v>1.0487886941</x:v>
      </x:c>
      <x:c r="N150" s="24" t="str">
        <x:v>gempylidae</x:v>
      </x:c>
      <x:c r="O150" s="32" t="n">
        <x:v>4.21</x:v>
      </x:c>
      <x:c r="P150" s="24" t="str">
        <x:v>exact_sea_around_us</x:v>
      </x:c>
      <x:c r="Q150" s="32" t="str">
        <x:v>Sea Around Us exploited organisms</x:v>
      </x:c>
      <x:c r="R150" s="24" t="str">
        <x:v>high</x:v>
      </x:c>
      <x:c r="S150" s="24" t="str">
        <x:v>Gempylidae</x:v>
      </x:c>
      <x:c r="T150" s="32" t="n">
        <x:f>IF(O150="","",(1/'Metadata'!$B$5)^(O150-1))</x:f>
        <x:v>1621.8100973589299</x:v>
      </x:c>
      <x:c r="U150" s="31" t="n">
        <x:f>IF(T150="","",I150*T150)</x:f>
        <x:v>1700.936094087266</x:v>
      </x:c>
    </x:row>
    <x:row r="151" ht="18" customHeight="1">
      <x:c r="A151" s="24" t="str">
        <x:v>LME_043</x:v>
      </x:c>
      <x:c r="B151" s="24" t="str">
        <x:v>Southwest Australian Shelf</x:v>
      </x:c>
      <x:c r="C151" s="24" t="str">
        <x:v>LME</x:v>
      </x:c>
      <x:c r="D151" s="30" t="n">
        <x:v>2019</x:v>
      </x:c>
      <x:c r="E151" s="24" t="str">
        <x:v>Myliobatidae</x:v>
      </x:c>
      <x:c r="F151" s="24" t="str">
        <x:v>Eagle/manta rays</x:v>
      </x:c>
      <x:c r="G151" s="24" t="str">
        <x:v>Large rays (&gt;=90 cm)</x:v>
      </x:c>
      <x:c r="H151" s="24" t="str">
        <x:v>Sharks &amp; rays</x:v>
      </x:c>
      <x:c r="I151" s="31" t="n">
        <x:v>0.9842920122</x:v>
      </x:c>
      <x:c r="J151" s="31" t="n">
        <x:v>0.9842920122</x:v>
      </x:c>
      <x:c r="K151" s="31" t="n">
        <x:v>0</x:v>
      </x:c>
      <x:c r="L151" s="31" t="n">
        <x:v>0.9842728976999999</x:v>
      </x:c>
      <x:c r="M151" s="31" t="n">
        <x:v>0.0000191145</x:v>
      </x:c>
      <x:c r="N151" s="24" t="str">
        <x:v>myliobatidae</x:v>
      </x:c>
      <x:c r="O151" s="32" t="n">
        <x:v>3.36</x:v>
      </x:c>
      <x:c r="P151" s="24" t="str">
        <x:v>exact_sea_around_us</x:v>
      </x:c>
      <x:c r="Q151" s="32" t="str">
        <x:v>Sea Around Us exploited organisms</x:v>
      </x:c>
      <x:c r="R151" s="24" t="str">
        <x:v>high</x:v>
      </x:c>
      <x:c r="S151" s="24" t="str">
        <x:v>Myliobatidae</x:v>
      </x:c>
      <x:c r="T151" s="32" t="n">
        <x:f>IF(O151="","",(1/'Metadata'!$B$5)^(O151-1))</x:f>
        <x:v>229.08676527677724</x:v>
      </x:c>
      <x:c r="U151" s="31" t="n">
        <x:f>IF(T151="","",I151*T151)</x:f>
        <x:v>225.48827316266815</x:v>
      </x:c>
    </x:row>
    <x:row r="152" ht="18" customHeight="1">
      <x:c r="A152" s="24" t="str">
        <x:v>LME_043</x:v>
      </x:c>
      <x:c r="B152" s="24" t="str">
        <x:v>Southwest Australian Shelf</x:v>
      </x:c>
      <x:c r="C152" s="24" t="str">
        <x:v>LME</x:v>
      </x:c>
      <x:c r="D152" s="30" t="n">
        <x:v>2019</x:v>
      </x:c>
      <x:c r="E152" s="24" t="str">
        <x:v>Thunnus alalunga</x:v>
      </x:c>
      <x:c r="F152" s="24" t="str">
        <x:v>Albacore</x:v>
      </x:c>
      <x:c r="G152" s="24" t="str">
        <x:v>Large pelagics (&gt;=90 cm)</x:v>
      </x:c>
      <x:c r="H152" s="24" t="str">
        <x:v>Tuna &amp; billfishes</x:v>
      </x:c>
      <x:c r="I152" s="31" t="n">
        <x:v>0.9831465002</x:v>
      </x:c>
      <x:c r="J152" s="31" t="n">
        <x:v>0.9831465002</x:v>
      </x:c>
      <x:c r="K152" s="31" t="n">
        <x:v>0</x:v>
      </x:c>
      <x:c r="L152" s="31" t="n">
        <x:v>0.9819385597</x:v>
      </x:c>
      <x:c r="M152" s="31" t="n">
        <x:v>0.0012079405</x:v>
      </x:c>
      <x:c r="N152" s="24" t="str">
        <x:v>thunnus alalunga</x:v>
      </x:c>
      <x:c r="O152" s="32" t="n">
        <x:v>4.3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Thunnus alalunga</x:v>
      </x:c>
      <x:c r="T152" s="32" t="n">
        <x:f>IF(O152="","",(1/'Metadata'!$B$5)^(O152-1))</x:f>
        <x:v>1995.2623149688789</x:v>
      </x:c>
      <x:c r="U152" s="31" t="n">
        <x:f>IF(T152="","",I152*T152)</x:f>
        <x:v>1961.6351619426034</x:v>
      </x:c>
    </x:row>
    <x:row r="153" ht="18" customHeight="1">
      <x:c r="A153" s="24" t="str">
        <x:v>LME_043</x:v>
      </x:c>
      <x:c r="B153" s="24" t="str">
        <x:v>Southwest Australian Shelf</x:v>
      </x:c>
      <x:c r="C153" s="24" t="str">
        <x:v>LME</x:v>
      </x:c>
      <x:c r="D153" s="30" t="n">
        <x:v>2019</x:v>
      </x:c>
      <x:c r="E153" s="24" t="str">
        <x:v>Latris lineata</x:v>
      </x:c>
      <x:c r="F153" s="24" t="str">
        <x:v>Striped trumpeter</x:v>
      </x:c>
      <x:c r="G153" s="24" t="str">
        <x:v>Small pelagics (&lt;30 cm)</x:v>
      </x:c>
      <x:c r="H153" s="24" t="str">
        <x:v>Perch-likes</x:v>
      </x:c>
      <x:c r="I153" s="31" t="n">
        <x:v>0.8456468747000001</x:v>
      </x:c>
      <x:c r="J153" s="31" t="n">
        <x:v>0.8456468747000001</x:v>
      </x:c>
      <x:c r="K153" s="31" t="n">
        <x:v>0</x:v>
      </x:c>
      <x:c r="L153" s="31" t="n">
        <x:v>0.8456468747000001</x:v>
      </x:c>
      <x:c r="M153" s="31" t="n">
        <x:v>0</x:v>
      </x:c>
      <x:c r="N153" s="24" t="str">
        <x:v>latris lineata</x:v>
      </x:c>
      <x:c r="O153" s="32" t="n">
        <x:v>3.7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Latris lineata</x:v>
      </x:c>
      <x:c r="T153" s="32" t="n">
        <x:f>IF(O153="","",(1/'Metadata'!$B$5)^(O153-1))</x:f>
        <x:v>501.18723362727246</x:v>
      </x:c>
      <x:c r="U153" s="31" t="n">
        <x:f>IF(T153="","",I153*T153)</x:f>
        <x:v>423.8274177564418</x:v>
      </x:c>
    </x:row>
    <x:row r="154" ht="18" customHeight="1">
      <x:c r="A154" s="24" t="str">
        <x:v>LME_043</x:v>
      </x:c>
      <x:c r="B154" s="24" t="str">
        <x:v>Southwest Australian Shelf</x:v>
      </x:c>
      <x:c r="C154" s="24" t="str">
        <x:v>LME</x:v>
      </x:c>
      <x:c r="D154" s="30" t="n">
        <x:v>2019</x:v>
      </x:c>
      <x:c r="E154" s="24" t="str">
        <x:v>Squalus mitsukurii</x:v>
      </x:c>
      <x:c r="F154" s="24" t="str">
        <x:v>Shortspine spurdog</x:v>
      </x:c>
      <x:c r="G154" s="24" t="str">
        <x:v>Small to medium sharks (&lt;90 cm)</x:v>
      </x:c>
      <x:c r="H154" s="24" t="str">
        <x:v>Sharks &amp; rays</x:v>
      </x:c>
      <x:c r="I154" s="31" t="n">
        <x:v>0.8400833773999999</x:v>
      </x:c>
      <x:c r="J154" s="31" t="n">
        <x:v>0.8400833773999999</x:v>
      </x:c>
      <x:c r="K154" s="31" t="n">
        <x:v>0</x:v>
      </x:c>
      <x:c r="L154" s="31" t="n">
        <x:v>0.8400833773999999</x:v>
      </x:c>
      <x:c r="M154" s="31" t="n">
        <x:v>0</x:v>
      </x:c>
      <x:c r="N154" s="24" t="str">
        <x:v>squalus mitsukurii</x:v>
      </x:c>
      <x:c r="O154" s="32" t="n">
        <x:v>4.37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Squalus mitsukurii</x:v>
      </x:c>
      <x:c r="T154" s="32" t="n">
        <x:f>IF(O154="","",(1/'Metadata'!$B$5)^(O154-1))</x:f>
        <x:v>2344.228815319923</x:v>
      </x:c>
      <x:c r="U154" s="31" t="n">
        <x:f>IF(T154="","",I154*T154)</x:f>
        <x:v>1969.3476605723615</x:v>
      </x:c>
    </x:row>
    <x:row r="155" ht="18" customHeight="1">
      <x:c r="A155" s="24" t="str">
        <x:v>LME_043</x:v>
      </x:c>
      <x:c r="B155" s="24" t="str">
        <x:v>Southwest Australian Shelf</x:v>
      </x:c>
      <x:c r="C155" s="24" t="str">
        <x:v>LME</x:v>
      </x:c>
      <x:c r="D155" s="30" t="n">
        <x:v>2019</x:v>
      </x:c>
      <x:c r="E155" s="24" t="str">
        <x:v>Pseudocaranx dentex</x:v>
      </x:c>
      <x:c r="F155" s="24" t="str">
        <x:v>White trevally</x:v>
      </x:c>
      <x:c r="G155" s="24" t="str">
        <x:v>Large reef assoc. fish (&gt;=90 cm)</x:v>
      </x:c>
      <x:c r="H155" s="24" t="str">
        <x:v>Perch-likes</x:v>
      </x:c>
      <x:c r="I155" s="31" t="n">
        <x:v>0.7976093959000001</x:v>
      </x:c>
      <x:c r="J155" s="31" t="n">
        <x:v>0.7691114615000001</x:v>
      </x:c>
      <x:c r="K155" s="31" t="n">
        <x:v>0.0284979344</x:v>
      </x:c>
      <x:c r="L155" s="31" t="n">
        <x:v>0.7691114615000001</x:v>
      </x:c>
      <x:c r="M155" s="31" t="n">
        <x:v>0.0284979344</x:v>
      </x:c>
      <x:c r="N155" s="24" t="str">
        <x:v>pseudocaranx dentex</x:v>
      </x:c>
      <x:c r="O155" s="32" t="n">
        <x:v>3.92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Pseudocaranx dentex</x:v>
      </x:c>
      <x:c r="T155" s="32" t="n">
        <x:f>IF(O155="","",(1/'Metadata'!$B$5)^(O155-1))</x:f>
        <x:v>831.7637711026708</x:v>
      </x:c>
      <x:c r="U155" s="31" t="n">
        <x:f>IF(T155="","",I155*T155)</x:f>
        <x:v>663.4225990007072</x:v>
      </x:c>
    </x:row>
    <x:row r="156" ht="18" customHeight="1">
      <x:c r="A156" s="24" t="str">
        <x:v>LME_043</x:v>
      </x:c>
      <x:c r="B156" s="24" t="str">
        <x:v>Southwest Australian Shelf</x:v>
      </x:c>
      <x:c r="C156" s="24" t="str">
        <x:v>LME</x:v>
      </x:c>
      <x:c r="D156" s="30" t="n">
        <x:v>2019</x:v>
      </x:c>
      <x:c r="E156" s="24" t="str">
        <x:v>Plagiogeneion rubiginosum</x:v>
      </x:c>
      <x:c r="F156" s="24" t="str">
        <x:v>Rubyfish</x:v>
      </x:c>
      <x:c r="G156" s="24" t="str">
        <x:v>Medium bathydemersals (30 - 89 cm)</x:v>
      </x:c>
      <x:c r="H156" s="24" t="str">
        <x:v>Perch-likes</x:v>
      </x:c>
      <x:c r="I156" s="31" t="n">
        <x:v>0.710849818</x:v>
      </x:c>
      <x:c r="J156" s="31" t="n">
        <x:v>0.710849818</x:v>
      </x:c>
      <x:c r="K156" s="31" t="n">
        <x:v>0</x:v>
      </x:c>
      <x:c r="L156" s="31" t="n">
        <x:v>0.710849818</x:v>
      </x:c>
      <x:c r="M156" s="31" t="n">
        <x:v>0</x:v>
      </x:c>
      <x:c r="N156" s="24" t="str">
        <x:v>plagiogeneion rubiginosum</x:v>
      </x:c>
      <x:c r="O156" s="32" t="n">
        <x:v>3.4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Plagiogeneion rubiginosum</x:v>
      </x:c>
      <x:c r="T156" s="32" t="n">
        <x:f>IF(O156="","",(1/'Metadata'!$B$5)^(O156-1))</x:f>
        <x:v>251.18864315095797</x:v>
      </x:c>
      <x:c r="U156" s="31" t="n">
        <x:f>IF(T156="","",I156*T156)</x:f>
        <x:v>178.55740126752542</x:v>
      </x:c>
    </x:row>
    <x:row r="157" ht="18" customHeight="1">
      <x:c r="A157" s="24" t="str">
        <x:v>LME_043</x:v>
      </x:c>
      <x:c r="B157" s="24" t="str">
        <x:v>Southwest Australian Shelf</x:v>
      </x:c>
      <x:c r="C157" s="24" t="str">
        <x:v>LME</x:v>
      </x:c>
      <x:c r="D157" s="30" t="n">
        <x:v>2019</x:v>
      </x:c>
      <x:c r="E157" s="24" t="str">
        <x:v>Beryx splendens</x:v>
      </x:c>
      <x:c r="F157" s="24" t="str">
        <x:v>Splendid alfonsino</x:v>
      </x:c>
      <x:c r="G157" s="24" t="str">
        <x:v>Medium benthopelagics (30 - 89 cm)</x:v>
      </x:c>
      <x:c r="H157" s="24" t="str">
        <x:v>Other fishes &amp; inverts</x:v>
      </x:c>
      <x:c r="I157" s="31" t="n">
        <x:v>0.707815877</x:v>
      </x:c>
      <x:c r="J157" s="31" t="n">
        <x:v>0.707815877</x:v>
      </x:c>
      <x:c r="K157" s="31" t="n">
        <x:v>0</x:v>
      </x:c>
      <x:c r="L157" s="31" t="n">
        <x:v>0.707815877</x:v>
      </x:c>
      <x:c r="M157" s="31" t="n">
        <x:v>0</x:v>
      </x:c>
      <x:c r="N157" s="24" t="str">
        <x:v>beryx splendens</x:v>
      </x:c>
      <x:c r="O157" s="32" t="n">
        <x:v>4.27</x:v>
      </x:c>
      <x:c r="P157" s="24" t="str">
        <x:v>exact_2020_supplement</x:v>
      </x:c>
      <x:c r="Q157" s="32" t="str">
        <x:v>2020 supplement MeanTL</x:v>
      </x:c>
      <x:c r="R157" s="24" t="str">
        <x:v>high</x:v>
      </x:c>
      <x:c r="S157" s="24" t="str">
        <x:v>Beryx splendens</x:v>
      </x:c>
      <x:c r="T157" s="32" t="n">
        <x:f>IF(O157="","",(1/'Metadata'!$B$5)^(O157-1))</x:f>
        <x:v>1862.0871366628655</x:v>
      </x:c>
      <x:c r="U157" s="31" t="n">
        <x:f>IF(T157="","",I157*T157)</x:f>
        <x:v>1318.0148396874451</x:v>
      </x:c>
    </x:row>
    <x:row r="158" ht="18" customHeight="1">
      <x:c r="A158" s="24" t="str">
        <x:v>LME_043</x:v>
      </x:c>
      <x:c r="B158" s="24" t="str">
        <x:v>Southwest Australian Shelf</x:v>
      </x:c>
      <x:c r="C158" s="24" t="str">
        <x:v>LME</x:v>
      </x:c>
      <x:c r="D158" s="30" t="n">
        <x:v>2019</x:v>
      </x:c>
      <x:c r="E158" s="24" t="str">
        <x:v>Dalatias licha</x:v>
      </x:c>
      <x:c r="F158" s="24" t="str">
        <x:v>Kitefin shark</x:v>
      </x:c>
      <x:c r="G158" s="24" t="str">
        <x:v>Large sharks (&gt;=90 cm)</x:v>
      </x:c>
      <x:c r="H158" s="24" t="str">
        <x:v>Sharks &amp; rays</x:v>
      </x:c>
      <x:c r="I158" s="31" t="n">
        <x:v>0.6924259429999999</x:v>
      </x:c>
      <x:c r="J158" s="31" t="n">
        <x:v>0.6924259429999999</x:v>
      </x:c>
      <x:c r="K158" s="31" t="n">
        <x:v>0</x:v>
      </x:c>
      <x:c r="L158" s="31" t="n">
        <x:v>0.6924259429999999</x:v>
      </x:c>
      <x:c r="M158" s="31" t="n">
        <x:v>0</x:v>
      </x:c>
      <x:c r="N158" s="24" t="str">
        <x:v>dalatias licha</x:v>
      </x:c>
      <x:c r="O158" s="32" t="n">
        <x:v>4.23</x:v>
      </x:c>
      <x:c r="P158" s="24" t="str">
        <x:v>exact_2020_supplement</x:v>
      </x:c>
      <x:c r="Q158" s="32" t="str">
        <x:v>2020 supplement MeanTL</x:v>
      </x:c>
      <x:c r="R158" s="24" t="str">
        <x:v>high</x:v>
      </x:c>
      <x:c r="S158" s="24" t="str">
        <x:v>Dalatias licha</x:v>
      </x:c>
      <x:c r="T158" s="32" t="n">
        <x:f>IF(O158="","",(1/'Metadata'!$B$5)^(O158-1))</x:f>
        <x:v>1698.243652461746</x:v>
      </x:c>
      <x:c r="U158" s="31" t="n">
        <x:f>IF(T158="","",I158*T158)</x:f>
        <x:v>1175.9079624995886</x:v>
      </x:c>
    </x:row>
    <x:row r="159" ht="18" customHeight="1">
      <x:c r="A159" s="24" t="str">
        <x:v>LME_043</x:v>
      </x:c>
      <x:c r="B159" s="24" t="str">
        <x:v>Southwest Australian Shelf</x:v>
      </x:c>
      <x:c r="C159" s="24" t="str">
        <x:v>LME</x:v>
      </x:c>
      <x:c r="D159" s="30" t="n">
        <x:v>2019</x:v>
      </x:c>
      <x:c r="E159" s="24" t="str">
        <x:v>Bothidae</x:v>
      </x:c>
      <x:c r="F159" s="24" t="str">
        <x:v>Lefteye flounders</x:v>
      </x:c>
      <x:c r="G159" s="24" t="str">
        <x:v>Small to medium flatfishes (&lt;90 cm)</x:v>
      </x:c>
      <x:c r="H159" s="24" t="str">
        <x:v>Flatfishes</x:v>
      </x:c>
      <x:c r="I159" s="31" t="n">
        <x:v>0.6513955513</x:v>
      </x:c>
      <x:c r="J159" s="31" t="n">
        <x:v>0.4956653056</x:v>
      </x:c>
      <x:c r="K159" s="31" t="n">
        <x:v>0.1557302457</x:v>
      </x:c>
      <x:c r="L159" s="31" t="n">
        <x:v>0</x:v>
      </x:c>
      <x:c r="M159" s="31" t="n">
        <x:v>0.6513955513</x:v>
      </x:c>
      <x:c r="N159" s="24" t="str">
        <x:v>bothidae</x:v>
      </x:c>
      <x:c r="O159" s="32" t="n">
        <x:v>3.77</x:v>
      </x:c>
      <x:c r="P159" s="24" t="str">
        <x:v>exact_sea_around_us</x:v>
      </x:c>
      <x:c r="Q159" s="32" t="str">
        <x:v>Sea Around Us exploited organisms</x:v>
      </x:c>
      <x:c r="R159" s="24" t="str">
        <x:v>high</x:v>
      </x:c>
      <x:c r="S159" s="24" t="str">
        <x:v>Bothidae</x:v>
      </x:c>
      <x:c r="T159" s="32" t="n">
        <x:f>IF(O159="","",(1/'Metadata'!$B$5)^(O159-1))</x:f>
        <x:v>588.843655355589</x:v>
      </x:c>
      <x:c r="U159" s="31" t="n">
        <x:f>IF(T159="","",I159*T159)</x:f>
        <x:v>383.5701375098611</x:v>
      </x:c>
    </x:row>
    <x:row r="160" ht="18" customHeight="1">
      <x:c r="A160" s="24" t="str">
        <x:v>LME_043</x:v>
      </x:c>
      <x:c r="B160" s="24" t="str">
        <x:v>Southwest Australian Shelf</x:v>
      </x:c>
      <x:c r="C160" s="24" t="str">
        <x:v>LME</x:v>
      </x:c>
      <x:c r="D160" s="30" t="n">
        <x:v>2019</x:v>
      </x:c>
      <x:c r="E160" s="24" t="str">
        <x:v>Congridae</x:v>
      </x:c>
      <x:c r="F160" s="24" t="str">
        <x:v>Conger, garden eels</x:v>
      </x:c>
      <x:c r="G160" s="24" t="str">
        <x:v>Large demersals (&gt;=90 cm)</x:v>
      </x:c>
      <x:c r="H160" s="24" t="str">
        <x:v>Other fishes &amp; inverts</x:v>
      </x:c>
      <x:c r="I160" s="31" t="n">
        <x:v>0.641419882</x:v>
      </x:c>
      <x:c r="J160" s="31" t="n">
        <x:v>0.020828109499999997</x:v>
      </x:c>
      <x:c r="K160" s="31" t="n">
        <x:v>0.6205917725</x:v>
      </x:c>
      <x:c r="L160" s="31" t="n">
        <x:v>0.020828109499999997</x:v>
      </x:c>
      <x:c r="M160" s="31" t="n">
        <x:v>0.6205917725</x:v>
      </x:c>
      <x:c r="N160" s="24" t="str">
        <x:v>congridae</x:v>
      </x:c>
      <x:c r="O160" s="32" t="n">
        <x:v>4.18</x:v>
      </x:c>
      <x:c r="P160" s="24" t="str">
        <x:v>exact_sea_around_us</x:v>
      </x:c>
      <x:c r="Q160" s="32" t="str">
        <x:v>Sea Around Us exploited organisms</x:v>
      </x:c>
      <x:c r="R160" s="24" t="str">
        <x:v>high</x:v>
      </x:c>
      <x:c r="S160" s="24" t="str">
        <x:v>Congridae</x:v>
      </x:c>
      <x:c r="T160" s="32" t="n">
        <x:f>IF(O160="","",(1/'Metadata'!$B$5)^(O160-1))</x:f>
        <x:v>1513.5612484362073</x:v>
      </x:c>
      <x:c r="U160" s="31" t="n">
        <x:f>IF(T160="","",I160*T160)</x:f>
        <x:v>970.8282773717248</x:v>
      </x:c>
    </x:row>
    <x:row r="161" ht="18" customHeight="1">
      <x:c r="A161" s="24" t="str">
        <x:v>LME_043</x:v>
      </x:c>
      <x:c r="B161" s="24" t="str">
        <x:v>Southwest Australian Shelf</x:v>
      </x:c>
      <x:c r="C161" s="24" t="str">
        <x:v>LME</x:v>
      </x:c>
      <x:c r="D161" s="30" t="n">
        <x:v>2019</x:v>
      </x:c>
      <x:c r="E161" s="24" t="str">
        <x:v>Deania calceus</x:v>
      </x:c>
      <x:c r="F161" s="24" t="str">
        <x:v>Birdbeak dogfish</x:v>
      </x:c>
      <x:c r="G161" s="24" t="str">
        <x:v>Large sharks (&gt;=90 cm)</x:v>
      </x:c>
      <x:c r="H161" s="24" t="str">
        <x:v>Sharks &amp; rays</x:v>
      </x:c>
      <x:c r="I161" s="31" t="n">
        <x:v>0.5510467655</x:v>
      </x:c>
      <x:c r="J161" s="31" t="n">
        <x:v>0.5510467655</x:v>
      </x:c>
      <x:c r="K161" s="31" t="n">
        <x:v>0</x:v>
      </x:c>
      <x:c r="L161" s="31" t="n">
        <x:v>0.5510467655</x:v>
      </x:c>
      <x:c r="M161" s="31" t="n">
        <x:v>0</x:v>
      </x:c>
      <x:c r="N161" s="24" t="str">
        <x:v>deania calceus</x:v>
      </x:c>
      <x:c r="O161" s="32" t="n">
        <x:v>4.33</x:v>
      </x:c>
      <x:c r="P161" s="24" t="str">
        <x:v>exact_sea_around_us</x:v>
      </x:c>
      <x:c r="Q161" s="32" t="str">
        <x:v>Sea Around Us exploited organisms</x:v>
      </x:c>
      <x:c r="R161" s="24" t="str">
        <x:v>high</x:v>
      </x:c>
      <x:c r="S161" s="24" t="str">
        <x:v>Deania calceus</x:v>
      </x:c>
      <x:c r="T161" s="32" t="n">
        <x:f>IF(O161="","",(1/'Metadata'!$B$5)^(O161-1))</x:f>
        <x:v>2137.9620895022326</x:v>
      </x:c>
      <x:c r="U161" s="31" t="n">
        <x:f>IF(T161="","",I161*T161)</x:f>
        <x:v>1178.1170941818268</x:v>
      </x:c>
    </x:row>
    <x:row r="162" ht="18" customHeight="1">
      <x:c r="A162" s="24" t="str">
        <x:v>LME_043</x:v>
      </x:c>
      <x:c r="B162" s="24" t="str">
        <x:v>Southwest Australian Shelf</x:v>
      </x:c>
      <x:c r="C162" s="24" t="str">
        <x:v>LME</x:v>
      </x:c>
      <x:c r="D162" s="30" t="n">
        <x:v>2019</x:v>
      </x:c>
      <x:c r="E162" s="24" t="str">
        <x:v>Lethrinidae</x:v>
      </x:c>
      <x:c r="F162" s="24" t="str">
        <x:v>Emperors, scavengers</x:v>
      </x:c>
      <x:c r="G162" s="24" t="str">
        <x:v>Medium reef assoc. fish (30 - 89 cm)</x:v>
      </x:c>
      <x:c r="H162" s="24" t="str">
        <x:v>Perch-likes</x:v>
      </x:c>
      <x:c r="I162" s="31" t="n">
        <x:v>0.5364670589</x:v>
      </x:c>
      <x:c r="J162" s="31" t="n">
        <x:v>0.5364670589</x:v>
      </x:c>
      <x:c r="K162" s="31" t="n">
        <x:v>0</x:v>
      </x:c>
      <x:c r="L162" s="31" t="n">
        <x:v>0.3204545787</x:v>
      </x:c>
      <x:c r="M162" s="31" t="n">
        <x:v>0.21601248020000002</x:v>
      </x:c>
      <x:c r="N162" s="24" t="str">
        <x:v>lethrinidae</x:v>
      </x:c>
      <x:c r="O162" s="32" t="n">
        <x:v>3.59</x:v>
      </x:c>
      <x:c r="P162" s="24" t="str">
        <x:v>exact_sea_around_us</x:v>
      </x:c>
      <x:c r="Q162" s="32" t="str">
        <x:v>Sea Around Us exploited organisms</x:v>
      </x:c>
      <x:c r="R162" s="24" t="str">
        <x:v>high</x:v>
      </x:c>
      <x:c r="S162" s="24" t="str">
        <x:v>Lethrinidae</x:v>
      </x:c>
      <x:c r="T162" s="32" t="n">
        <x:f>IF(O162="","",(1/'Metadata'!$B$5)^(O162-1))</x:f>
        <x:v>389.04514499428046</x:v>
      </x:c>
      <x:c r="U162" s="31" t="n">
        <x:f>IF(T162="","",I162*T162)</x:f>
        <x:v>208.7099047144057</x:v>
      </x:c>
    </x:row>
    <x:row r="163" ht="18" customHeight="1">
      <x:c r="A163" s="24" t="str">
        <x:v>LME_043</x:v>
      </x:c>
      <x:c r="B163" s="24" t="str">
        <x:v>Southwest Australian Shelf</x:v>
      </x:c>
      <x:c r="C163" s="24" t="str">
        <x:v>LME</x:v>
      </x:c>
      <x:c r="D163" s="30" t="n">
        <x:v>2019</x:v>
      </x:c>
      <x:c r="E163" s="24" t="str">
        <x:v>Hemiramphus</x:v>
      </x:c>
      <x:c r="F163" s="24" t="str">
        <x:v>Halfbeaks</x:v>
      </x:c>
      <x:c r="G163" s="24" t="str">
        <x:v>Medium pelagics (30 - 89 cm)</x:v>
      </x:c>
      <x:c r="H163" s="24" t="str">
        <x:v>Other fishes &amp; inverts</x:v>
      </x:c>
      <x:c r="I163" s="31" t="n">
        <x:v>0.4985593134</x:v>
      </x:c>
      <x:c r="J163" s="31" t="n">
        <x:v>0.4985593134</x:v>
      </x:c>
      <x:c r="K163" s="31" t="n">
        <x:v>0</x:v>
      </x:c>
      <x:c r="L163" s="31" t="n">
        <x:v>0</x:v>
      </x:c>
      <x:c r="M163" s="31" t="n">
        <x:v>0.4985593134</x:v>
      </x:c>
      <x:c r="N163" s="24" t="str">
        <x:v>hemiramphus</x:v>
      </x:c>
      <x:c r="O163" s="32" t="n">
        <x:v>3.05</x:v>
      </x:c>
      <x:c r="P163" s="24" t="str">
        <x:v>exact_sea_around_us</x:v>
      </x:c>
      <x:c r="Q163" s="32" t="str">
        <x:v>Sea Around Us exploited organisms</x:v>
      </x:c>
      <x:c r="R163" s="24" t="str">
        <x:v>high</x:v>
      </x:c>
      <x:c r="S163" s="24" t="str">
        <x:v>Hemiramphus</x:v>
      </x:c>
      <x:c r="T163" s="32" t="n">
        <x:f>IF(O163="","",(1/'Metadata'!$B$5)^(O163-1))</x:f>
        <x:v>112.2018454301963</x:v>
      </x:c>
      <x:c r="U163" s="31" t="n">
        <x:f>IF(T163="","",I163*T163)</x:f>
        <x:v>55.939275019891596</x:v>
      </x:c>
    </x:row>
    <x:row r="164" ht="18" customHeight="1">
      <x:c r="A164" s="24" t="str">
        <x:v>LME_043</x:v>
      </x:c>
      <x:c r="B164" s="24" t="str">
        <x:v>Southwest Australian Shelf</x:v>
      </x:c>
      <x:c r="C164" s="24" t="str">
        <x:v>LME</x:v>
      </x:c>
      <x:c r="D164" s="30" t="n">
        <x:v>2019</x:v>
      </x:c>
      <x:c r="E164" s="24" t="str">
        <x:v>Holothuriidae</x:v>
      </x:c>
      <x:c r="F164" s="24" t="str">
        <x:v>Fleshy sea cucumbers</x:v>
      </x:c>
      <x:c r="G164" s="24" t="str">
        <x:v>Other demersal invertebrates</x:v>
      </x:c>
      <x:c r="H164" s="24" t="str">
        <x:v>Other fishes &amp; inverts</x:v>
      </x:c>
      <x:c r="I164" s="31" t="n">
        <x:v>0.466756302</x:v>
      </x:c>
      <x:c r="J164" s="31" t="n">
        <x:v>0.466756302</x:v>
      </x:c>
      <x:c r="K164" s="31" t="n">
        <x:v>0</x:v>
      </x:c>
      <x:c r="L164" s="31" t="n">
        <x:v>0.466756302</x:v>
      </x:c>
      <x:c r="M164" s="31" t="n">
        <x:v>0</x:v>
      </x:c>
      <x:c r="N164" s="24" t="str">
        <x:v>holothuriidae</x:v>
      </x:c>
      <x:c r="O164" s="32" t="n">
        <x:v>2</x:v>
      </x:c>
      <x:c r="P164" s="24" t="str">
        <x:v>exact_sea_around_us</x:v>
      </x:c>
      <x:c r="Q164" s="32" t="str">
        <x:v>Sea Around Us exploited organisms</x:v>
      </x:c>
      <x:c r="R164" s="24" t="str">
        <x:v>high</x:v>
      </x:c>
      <x:c r="S164" s="24" t="str">
        <x:v>Holothuriidae</x:v>
      </x:c>
      <x:c r="T164" s="32" t="n">
        <x:f>IF(O164="","",(1/'Metadata'!$B$5)^(O164-1))</x:f>
        <x:v>10</x:v>
      </x:c>
      <x:c r="U164" s="31" t="n">
        <x:f>IF(T164="","",I164*T164)</x:f>
        <x:v>4.66756302</x:v>
      </x:c>
    </x:row>
    <x:row r="165" ht="18" customHeight="1">
      <x:c r="A165" s="24" t="str">
        <x:v>LME_043</x:v>
      </x:c>
      <x:c r="B165" s="24" t="str">
        <x:v>Southwest Australian Shelf</x:v>
      </x:c>
      <x:c r="C165" s="24" t="str">
        <x:v>LME</x:v>
      </x:c>
      <x:c r="D165" s="30" t="n">
        <x:v>2019</x:v>
      </x:c>
      <x:c r="E165" s="24" t="str">
        <x:v>Caranx ignobilis</x:v>
      </x:c>
      <x:c r="F165" s="24" t="str">
        <x:v>Giant trevally</x:v>
      </x:c>
      <x:c r="G165" s="24" t="str">
        <x:v>Large reef assoc. fish (&gt;=90 cm)</x:v>
      </x:c>
      <x:c r="H165" s="24" t="str">
        <x:v>Perch-likes</x:v>
      </x:c>
      <x:c r="I165" s="31" t="n">
        <x:v>0.4622238884</x:v>
      </x:c>
      <x:c r="J165" s="31" t="n">
        <x:v>0.4622238884</x:v>
      </x:c>
      <x:c r="K165" s="31" t="n">
        <x:v>0</x:v>
      </x:c>
      <x:c r="L165" s="31" t="n">
        <x:v>0.2111303396</x:v>
      </x:c>
      <x:c r="M165" s="31" t="n">
        <x:v>0.2510935488</x:v>
      </x:c>
      <x:c r="N165" s="24" t="str">
        <x:v>caranx ignobilis</x:v>
      </x:c>
      <x:c r="O165" s="32" t="n">
        <x:v>4.22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Caranx ignobilis</x:v>
      </x:c>
      <x:c r="T165" s="32" t="n">
        <x:f>IF(O165="","",(1/'Metadata'!$B$5)^(O165-1))</x:f>
        <x:v>1659.5869074375596</x:v>
      </x:c>
      <x:c r="U165" s="31" t="n">
        <x:f>IF(T165="","",I165*T165)</x:f>
        <x:v>767.1007134935197</x:v>
      </x:c>
    </x:row>
    <x:row r="166" ht="18" customHeight="1">
      <x:c r="A166" s="24" t="str">
        <x:v>LME_043</x:v>
      </x:c>
      <x:c r="B166" s="24" t="str">
        <x:v>Southwest Australian Shelf</x:v>
      </x:c>
      <x:c r="C166" s="24" t="str">
        <x:v>LME</x:v>
      </x:c>
      <x:c r="D166" s="30" t="n">
        <x:v>2019</x:v>
      </x:c>
      <x:c r="E166" s="24" t="str">
        <x:v>Anguilliformes</x:v>
      </x:c>
      <x:c r="F166" s="24" t="str">
        <x:v>Eels, morays</x:v>
      </x:c>
      <x:c r="G166" s="24" t="str">
        <x:v>Large demersals (&gt;=90 cm)</x:v>
      </x:c>
      <x:c r="H166" s="24" t="str">
        <x:v>Other fishes &amp; inverts</x:v>
      </x:c>
      <x:c r="I166" s="31" t="n">
        <x:v>0.3540960731</x:v>
      </x:c>
      <x:c r="J166" s="31" t="n">
        <x:v>0.3540960731</x:v>
      </x:c>
      <x:c r="K166" s="31" t="n">
        <x:v>0</x:v>
      </x:c>
      <x:c r="L166" s="31" t="n">
        <x:v>0.3511024944</x:v>
      </x:c>
      <x:c r="M166" s="31" t="n">
        <x:v>0.0029935787</x:v>
      </x:c>
      <x:c r="N166" s="24" t="str">
        <x:v>anguilliformes</x:v>
      </x:c>
      <x:c r="O166" s="32" t="n">
        <x:v>3.89</x:v>
      </x:c>
      <x:c r="P166" s="24" t="str">
        <x:v>exact_sea_around_us</x:v>
      </x:c>
      <x:c r="Q166" s="32" t="str">
        <x:v>Sea Around Us exploited organisms</x:v>
      </x:c>
      <x:c r="R166" s="24" t="str">
        <x:v>high</x:v>
      </x:c>
      <x:c r="S166" s="24" t="str">
        <x:v>Anguilliformes</x:v>
      </x:c>
      <x:c r="T166" s="32" t="n">
        <x:f>IF(O166="","",(1/'Metadata'!$B$5)^(O166-1))</x:f>
        <x:v>776.247116628692</x:v>
      </x:c>
      <x:c r="U166" s="31" t="n">
        <x:f>IF(T166="","",I166*T166)</x:f>
        <x:v>274.8660557534175</x:v>
      </x:c>
    </x:row>
    <x:row r="167" ht="18" customHeight="1">
      <x:c r="A167" s="24" t="str">
        <x:v>LME_043</x:v>
      </x:c>
      <x:c r="B167" s="24" t="str">
        <x:v>Southwest Australian Shelf</x:v>
      </x:c>
      <x:c r="C167" s="24" t="str">
        <x:v>LME</x:v>
      </x:c>
      <x:c r="D167" s="30" t="n">
        <x:v>2019</x:v>
      </x:c>
      <x:c r="E167" s="24" t="str">
        <x:v>Istiophoridae</x:v>
      </x:c>
      <x:c r="F167" s="24" t="str">
        <x:v>Billfishes</x:v>
      </x:c>
      <x:c r="G167" s="24" t="str">
        <x:v>Large pelagics (&gt;=90 cm)</x:v>
      </x:c>
      <x:c r="H167" s="24" t="str">
        <x:v>Tuna &amp; billfishes</x:v>
      </x:c>
      <x:c r="I167" s="31" t="n">
        <x:v>0.3283570619</x:v>
      </x:c>
      <x:c r="J167" s="31" t="n">
        <x:v>0.3283570619</x:v>
      </x:c>
      <x:c r="K167" s="31" t="n">
        <x:v>0</x:v>
      </x:c>
      <x:c r="L167" s="31" t="n">
        <x:v>0</x:v>
      </x:c>
      <x:c r="M167" s="31" t="n">
        <x:v>0.3283570619</x:v>
      </x:c>
      <x:c r="N167" s="24" t="str">
        <x:v>istiophoridae</x:v>
      </x:c>
      <x:c r="O167" s="32" t="n">
        <x:v>4.48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Istiophoridae</x:v>
      </x:c>
      <x:c r="T167" s="32" t="n">
        <x:f>IF(O167="","",(1/'Metadata'!$B$5)^(O167-1))</x:f>
        <x:v>3019.951720402019</x:v>
      </x:c>
      <x:c r="U167" s="31" t="n">
        <x:f>IF(T167="","",I167*T167)</x:f>
        <x:v>991.6224739910573</x:v>
      </x:c>
    </x:row>
    <x:row r="168" ht="18" customHeight="1">
      <x:c r="A168" s="24" t="str">
        <x:v>LME_043</x:v>
      </x:c>
      <x:c r="B168" s="24" t="str">
        <x:v>Southwest Australian Shelf</x:v>
      </x:c>
      <x:c r="C168" s="24" t="str">
        <x:v>LME</x:v>
      </x:c>
      <x:c r="D168" s="30" t="n">
        <x:v>2019</x:v>
      </x:c>
      <x:c r="E168" s="24" t="str">
        <x:v>Argyrosomus japonicus</x:v>
      </x:c>
      <x:c r="F168" s="24" t="str">
        <x:v>Japanese meagre</x:v>
      </x:c>
      <x:c r="G168" s="24" t="str">
        <x:v>Large benthopelagics (&gt;=90 cm)</x:v>
      </x:c>
      <x:c r="H168" s="24" t="str">
        <x:v>Perch-likes</x:v>
      </x:c>
      <x:c r="I168" s="31" t="n">
        <x:v>0.31834745179999996</x:v>
      </x:c>
      <x:c r="J168" s="31" t="n">
        <x:v>0.31834745179999996</x:v>
      </x:c>
      <x:c r="K168" s="31" t="n">
        <x:v>0</x:v>
      </x:c>
      <x:c r="L168" s="31" t="n">
        <x:v>0.0132126271</x:v>
      </x:c>
      <x:c r="M168" s="31" t="n">
        <x:v>0.3051348247</x:v>
      </x:c>
      <x:c r="N168" s="24" t="str">
        <x:v>argyrosomus japonicus</x:v>
      </x:c>
      <x:c r="O168" s="32" t="n">
        <x:v>4.48</x:v>
      </x:c>
      <x:c r="P168" s="24" t="str">
        <x:v>exact_2020_supplement</x:v>
      </x:c>
      <x:c r="Q168" s="32" t="str">
        <x:v>2020 supplement MeanTL</x:v>
      </x:c>
      <x:c r="R168" s="24" t="str">
        <x:v>high</x:v>
      </x:c>
      <x:c r="S168" s="24" t="str">
        <x:v>Argyrosomus japonicus</x:v>
      </x:c>
      <x:c r="T168" s="32" t="n">
        <x:f>IF(O168="","",(1/'Metadata'!$B$5)^(O168-1))</x:f>
        <x:v>3019.951720402019</x:v>
      </x:c>
      <x:c r="U168" s="31" t="n">
        <x:f>IF(T168="","",I168*T168)</x:f>
        <x:v>961.3939347490087</x:v>
      </x:c>
    </x:row>
    <x:row r="169" ht="18" customHeight="1">
      <x:c r="A169" s="24" t="str">
        <x:v>LME_043</x:v>
      </x:c>
      <x:c r="B169" s="24" t="str">
        <x:v>Southwest Australian Shelf</x:v>
      </x:c>
      <x:c r="C169" s="24" t="str">
        <x:v>LME</x:v>
      </x:c>
      <x:c r="D169" s="30" t="n">
        <x:v>2019</x:v>
      </x:c>
      <x:c r="E169" s="24" t="str">
        <x:v>Carcharhiniformes</x:v>
      </x:c>
      <x:c r="F169" s="24" t="str">
        <x:v>Ground sharks</x:v>
      </x:c>
      <x:c r="G169" s="24" t="str">
        <x:v>Large sharks (&gt;=90 cm)</x:v>
      </x:c>
      <x:c r="H169" s="24" t="str">
        <x:v>Sharks &amp; rays</x:v>
      </x:c>
      <x:c r="I169" s="31" t="n">
        <x:v>0.29971412389999996</x:v>
      </x:c>
      <x:c r="J169" s="31" t="n">
        <x:v>0.29971412389999996</x:v>
      </x:c>
      <x:c r="K169" s="31" t="n">
        <x:v>0</x:v>
      </x:c>
      <x:c r="L169" s="31" t="n">
        <x:v>0.1741336995</x:v>
      </x:c>
      <x:c r="M169" s="31" t="n">
        <x:v>0.1255804244</x:v>
      </x:c>
      <x:c r="N169" s="24" t="str">
        <x:v>carcharhiniformes</x:v>
      </x:c>
      <x:c r="O169" s="32" t="n">
        <x:v>4.08</x:v>
      </x:c>
      <x:c r="P169" s="24" t="str">
        <x:v>exact_sea_around_us</x:v>
      </x:c>
      <x:c r="Q169" s="32" t="str">
        <x:v>Sea Around Us exploited organisms</x:v>
      </x:c>
      <x:c r="R169" s="24" t="str">
        <x:v>high</x:v>
      </x:c>
      <x:c r="S169" s="24" t="str">
        <x:v>Carcharhiniformes</x:v>
      </x:c>
      <x:c r="T169" s="32" t="n">
        <x:f>IF(O169="","",(1/'Metadata'!$B$5)^(O169-1))</x:f>
        <x:v>1202.2644346174131</x:v>
      </x:c>
      <x:c r="U169" s="31" t="n">
        <x:f>IF(T169="","",I169*T169)</x:f>
        <x:v>360.33563171748676</x:v>
      </x:c>
    </x:row>
    <x:row r="170" ht="18" customHeight="1">
      <x:c r="A170" s="24" t="str">
        <x:v>LME_043</x:v>
      </x:c>
      <x:c r="B170" s="24" t="str">
        <x:v>Southwest Australian Shelf</x:v>
      </x:c>
      <x:c r="C170" s="24" t="str">
        <x:v>LME</x:v>
      </x:c>
      <x:c r="D170" s="30" t="n">
        <x:v>2019</x:v>
      </x:c>
      <x:c r="E170" s="24" t="str">
        <x:v>Plectorhinchus</x:v>
      </x:c>
      <x:c r="F170" s="24" t="str">
        <x:v>Sweetlips</x:v>
      </x:c>
      <x:c r="G170" s="24" t="str">
        <x:v>Medium reef assoc. fish (30 - 89 cm)</x:v>
      </x:c>
      <x:c r="H170" s="24" t="str">
        <x:v>Perch-likes</x:v>
      </x:c>
      <x:c r="I170" s="31" t="n">
        <x:v>0.2797146902</x:v>
      </x:c>
      <x:c r="J170" s="31" t="n">
        <x:v>0.2797146902</x:v>
      </x:c>
      <x:c r="K170" s="31" t="n">
        <x:v>0</x:v>
      </x:c>
      <x:c r="L170" s="31" t="n">
        <x:v>0.2512130583</x:v>
      </x:c>
      <x:c r="M170" s="31" t="n">
        <x:v>0.0285016319</x:v>
      </x:c>
      <x:c r="N170" s="24" t="str">
        <x:v>plectorhinchus</x:v>
      </x:c>
      <x:c r="O170" s="32" t="n">
        <x:v>3.43</x:v>
      </x:c>
      <x:c r="P170" s="24" t="str">
        <x:v>exact_sea_around_us</x:v>
      </x:c>
      <x:c r="Q170" s="32" t="str">
        <x:v>Sea Around Us exploited organisms</x:v>
      </x:c>
      <x:c r="R170" s="24" t="str">
        <x:v>high</x:v>
      </x:c>
      <x:c r="S170" s="24" t="str">
        <x:v>Plectorhinchus</x:v>
      </x:c>
      <x:c r="T170" s="32" t="n">
        <x:f>IF(O170="","",(1/'Metadata'!$B$5)^(O170-1))</x:f>
        <x:v>269.1534803926917</x:v>
      </x:c>
      <x:c r="U170" s="31" t="n">
        <x:f>IF(T170="","",I170*T170)</x:f>
        <x:v>75.28618238429353</x:v>
      </x:c>
    </x:row>
    <x:row r="171" ht="18" customHeight="1">
      <x:c r="A171" s="24" t="str">
        <x:v>LME_043</x:v>
      </x:c>
      <x:c r="B171" s="24" t="str">
        <x:v>Southwest Australian Shelf</x:v>
      </x:c>
      <x:c r="C171" s="24" t="str">
        <x:v>LME</x:v>
      </x:c>
      <x:c r="D171" s="30" t="n">
        <x:v>2019</x:v>
      </x:c>
      <x:c r="E171" s="24" t="str">
        <x:v>Pentaceros richardsoni</x:v>
      </x:c>
      <x:c r="F171" s="24" t="str">
        <x:v>Pelagic armourhead</x:v>
      </x:c>
      <x:c r="G171" s="24" t="str">
        <x:v>Medium pelagics (30 - 89 cm)</x:v>
      </x:c>
      <x:c r="H171" s="24" t="str">
        <x:v>Perch-likes</x:v>
      </x:c>
      <x:c r="I171" s="31" t="n">
        <x:v>0.2493314226</x:v>
      </x:c>
      <x:c r="J171" s="31" t="n">
        <x:v>0.2493314226</x:v>
      </x:c>
      <x:c r="K171" s="31" t="n">
        <x:v>0</x:v>
      </x:c>
      <x:c r="L171" s="31" t="n">
        <x:v>0.2493314226</x:v>
      </x:c>
      <x:c r="M171" s="31" t="n">
        <x:v>0</x:v>
      </x:c>
      <x:c r="N171" s="24" t="str">
        <x:v>pentaceros richardsoni</x:v>
      </x:c>
      <x:c r="O171" s="32" t="n">
        <x:v>3.5</x:v>
      </x:c>
      <x:c r="P171" s="24" t="str">
        <x:v>exact_2020_supplement</x:v>
      </x:c>
      <x:c r="Q171" s="32" t="str">
        <x:v>2020 supplement MeanTL</x:v>
      </x:c>
      <x:c r="R171" s="24" t="str">
        <x:v>high</x:v>
      </x:c>
      <x:c r="S171" s="24" t="str">
        <x:v>Pentaceros richardsoni</x:v>
      </x:c>
      <x:c r="T171" s="32" t="n">
        <x:f>IF(O171="","",(1/'Metadata'!$B$5)^(O171-1))</x:f>
        <x:v>316.22776601683796</x:v>
      </x:c>
      <x:c r="U171" s="31" t="n">
        <x:f>IF(T171="","",I171*T171)</x:f>
        <x:v>78.84551876659815</x:v>
      </x:c>
    </x:row>
    <x:row r="172" ht="18" customHeight="1">
      <x:c r="A172" s="24" t="str">
        <x:v>LME_043</x:v>
      </x:c>
      <x:c r="B172" s="24" t="str">
        <x:v>Southwest Australian Shelf</x:v>
      </x:c>
      <x:c r="C172" s="24" t="str">
        <x:v>LME</x:v>
      </x:c>
      <x:c r="D172" s="30" t="n">
        <x:v>2019</x:v>
      </x:c>
      <x:c r="E172" s="24" t="str">
        <x:v>Ruvettus pretiosus</x:v>
      </x:c>
      <x:c r="F172" s="24" t="str">
        <x:v>Oilfish</x:v>
      </x:c>
      <x:c r="G172" s="24" t="str">
        <x:v>Large benthopelagics (&gt;=90 cm)</x:v>
      </x:c>
      <x:c r="H172" s="24" t="str">
        <x:v>Perch-likes</x:v>
      </x:c>
      <x:c r="I172" s="31" t="n">
        <x:v>0.2374451195</x:v>
      </x:c>
      <x:c r="J172" s="31" t="n">
        <x:v>0.2374451195</x:v>
      </x:c>
      <x:c r="K172" s="31" t="n">
        <x:v>0</x:v>
      </x:c>
      <x:c r="L172" s="31" t="n">
        <x:v>0.017232695699999998</x:v>
      </x:c>
      <x:c r="M172" s="31" t="n">
        <x:v>0.2202124238</x:v>
      </x:c>
      <x:c r="N172" s="24" t="str">
        <x:v>ruvettus pretiosus</x:v>
      </x:c>
      <x:c r="O172" s="32" t="n">
        <x:v>4.18</x:v>
      </x:c>
      <x:c r="P172" s="24" t="str">
        <x:v>exact_2020_supplement</x:v>
      </x:c>
      <x:c r="Q172" s="32" t="str">
        <x:v>2020 supplement MeanTL</x:v>
      </x:c>
      <x:c r="R172" s="24" t="str">
        <x:v>high</x:v>
      </x:c>
      <x:c r="S172" s="24" t="str">
        <x:v>Ruvettus pretiosus</x:v>
      </x:c>
      <x:c r="T172" s="32" t="n">
        <x:f>IF(O172="","",(1/'Metadata'!$B$5)^(O172-1))</x:f>
        <x:v>1513.5612484362073</x:v>
      </x:c>
      <x:c r="U172" s="31" t="n">
        <x:f>IF(T172="","",I172*T172)</x:f>
        <x:v>359.3877315055044</x:v>
      </x:c>
    </x:row>
    <x:row r="173" ht="18" customHeight="1">
      <x:c r="A173" s="24" t="str">
        <x:v>LME_043</x:v>
      </x:c>
      <x:c r="B173" s="24" t="str">
        <x:v>Southwest Australian Shelf</x:v>
      </x:c>
      <x:c r="C173" s="24" t="str">
        <x:v>LME</x:v>
      </x:c>
      <x:c r="D173" s="30" t="n">
        <x:v>2019</x:v>
      </x:c>
      <x:c r="E173" s="24" t="str">
        <x:v>Scombroidei</x:v>
      </x:c>
      <x:c r="F173" s="24" t="str">
        <x:v>Tunas, bonitos, billfishes</x:v>
      </x:c>
      <x:c r="G173" s="24" t="str">
        <x:v>Large pelagics (&gt;=90 cm)</x:v>
      </x:c>
      <x:c r="H173" s="24" t="str">
        <x:v>Tuna &amp; billfishes</x:v>
      </x:c>
      <x:c r="I173" s="31" t="n">
        <x:v>0.2348975709</x:v>
      </x:c>
      <x:c r="J173" s="31" t="n">
        <x:v>0.2348975709</x:v>
      </x:c>
      <x:c r="K173" s="31" t="n">
        <x:v>0</x:v>
      </x:c>
      <x:c r="L173" s="31" t="n">
        <x:v>0.2348975709</x:v>
      </x:c>
      <x:c r="M173" s="31" t="n">
        <x:v>0</x:v>
      </x:c>
      <x:c r="N173" s="24" t="str">
        <x:v>scombroidei</x:v>
      </x:c>
      <x:c r="O173" s="32" t="n">
        <x:v>4.2</x:v>
      </x:c>
      <x:c r="P173" s="24" t="str">
        <x:v>exact_sea_around_us</x:v>
      </x:c>
      <x:c r="Q173" s="32" t="str">
        <x:v>Sea Around Us exploited organisms</x:v>
      </x:c>
      <x:c r="R173" s="24" t="str">
        <x:v>high</x:v>
      </x:c>
      <x:c r="S173" s="24" t="str">
        <x:v>Scombroidei</x:v>
      </x:c>
      <x:c r="T173" s="32" t="n">
        <x:f>IF(O173="","",(1/'Metadata'!$B$5)^(O173-1))</x:f>
        <x:v>1584.893192461114</x:v>
      </x:c>
      <x:c r="U173" s="31" t="n">
        <x:f>IF(T173="","",I173*T173)</x:f>
        <x:v>372.28756104506186</x:v>
      </x:c>
    </x:row>
    <x:row r="174" ht="18" customHeight="1">
      <x:c r="A174" s="24" t="str">
        <x:v>LME_043</x:v>
      </x:c>
      <x:c r="B174" s="24" t="str">
        <x:v>Southwest Australian Shelf</x:v>
      </x:c>
      <x:c r="C174" s="24" t="str">
        <x:v>LME</x:v>
      </x:c>
      <x:c r="D174" s="30" t="n">
        <x:v>2019</x:v>
      </x:c>
      <x:c r="E174" s="24" t="str">
        <x:v>Coryphaena</x:v>
      </x:c>
      <x:c r="F174" s="24" t="str">
        <x:v>Dolphinfishes</x:v>
      </x:c>
      <x:c r="G174" s="24" t="str">
        <x:v>Large pelagics (&gt;=90 cm)</x:v>
      </x:c>
      <x:c r="H174" s="24" t="str">
        <x:v>Perch-likes</x:v>
      </x:c>
      <x:c r="I174" s="31" t="n">
        <x:v>0.2059849458</x:v>
      </x:c>
      <x:c r="J174" s="31" t="n">
        <x:v>0.2059849458</x:v>
      </x:c>
      <x:c r="K174" s="31" t="n">
        <x:v>0</x:v>
      </x:c>
      <x:c r="L174" s="31" t="n">
        <x:v>0.0021279559000000003</x:v>
      </x:c>
      <x:c r="M174" s="31" t="n">
        <x:v>0.2038569899</x:v>
      </x:c>
      <x:c r="N174" s="24" t="str">
        <x:v>coryphaena</x:v>
      </x:c>
      <x:c r="O174" s="32" t="n">
        <x:v>4.49</x:v>
      </x:c>
      <x:c r="P174" s="24" t="str">
        <x:v>exact_sea_around_us</x:v>
      </x:c>
      <x:c r="Q174" s="32" t="str">
        <x:v>Sea Around Us exploited organisms</x:v>
      </x:c>
      <x:c r="R174" s="24" t="str">
        <x:v>high</x:v>
      </x:c>
      <x:c r="S174" s="24" t="str">
        <x:v>Coryphaena</x:v>
      </x:c>
      <x:c r="T174" s="32" t="n">
        <x:f>IF(O174="","",(1/'Metadata'!$B$5)^(O174-1))</x:f>
        <x:v>3090.295432513592</x:v>
      </x:c>
      <x:c r="U174" s="31" t="n">
        <x:f>IF(T174="","",I174*T174)</x:f>
        <x:v>636.5543371722998</x:v>
      </x:c>
    </x:row>
    <x:row r="175" ht="18" customHeight="1">
      <x:c r="A175" s="24" t="str">
        <x:v>LME_043</x:v>
      </x:c>
      <x:c r="B175" s="24" t="str">
        <x:v>Southwest Australian Shelf</x:v>
      </x:c>
      <x:c r="C175" s="24" t="str">
        <x:v>LME</x:v>
      </x:c>
      <x:c r="D175" s="30" t="n">
        <x:v>2019</x:v>
      </x:c>
      <x:c r="E175" s="24" t="str">
        <x:v>Heptranchias perlo</x:v>
      </x:c>
      <x:c r="F175" s="24" t="str">
        <x:v>Sharpnose sevengill shark</x:v>
      </x:c>
      <x:c r="G175" s="24" t="str">
        <x:v>Large sharks (&gt;=90 cm)</x:v>
      </x:c>
      <x:c r="H175" s="24" t="str">
        <x:v>Sharks &amp; rays</x:v>
      </x:c>
      <x:c r="I175" s="31" t="n">
        <x:v>0.1710356167</x:v>
      </x:c>
      <x:c r="J175" s="31" t="n">
        <x:v>0.1710356167</x:v>
      </x:c>
      <x:c r="K175" s="31" t="n">
        <x:v>0</x:v>
      </x:c>
      <x:c r="L175" s="31" t="n">
        <x:v>0.1710356167</x:v>
      </x:c>
      <x:c r="M175" s="31" t="n">
        <x:v>0</x:v>
      </x:c>
      <x:c r="N175" s="24" t="str">
        <x:v>heptranchias perlo</x:v>
      </x:c>
      <x:c r="O175" s="32" t="n">
        <x:v>4.16</x:v>
      </x:c>
      <x:c r="P175" s="24" t="str">
        <x:v>exact_2020_supplement</x:v>
      </x:c>
      <x:c r="Q175" s="32" t="str">
        <x:v>2020 supplement MeanTL</x:v>
      </x:c>
      <x:c r="R175" s="24" t="str">
        <x:v>high</x:v>
      </x:c>
      <x:c r="S175" s="24" t="str">
        <x:v>Heptranchias perlo</x:v>
      </x:c>
      <x:c r="T175" s="32" t="n">
        <x:f>IF(O175="","",(1/'Metadata'!$B$5)^(O175-1))</x:f>
        <x:v>1445.439770745928</x:v>
      </x:c>
      <x:c r="U175" s="31" t="n">
        <x:f>IF(T175="","",I175*T175)</x:f>
        <x:v>247.22168259223642</x:v>
      </x:c>
    </x:row>
    <x:row r="176" ht="18" customHeight="1">
      <x:c r="A176" s="24" t="str">
        <x:v>LME_043</x:v>
      </x:c>
      <x:c r="B176" s="24" t="str">
        <x:v>Southwest Australian Shelf</x:v>
      </x:c>
      <x:c r="C176" s="24" t="str">
        <x:v>LME</x:v>
      </x:c>
      <x:c r="D176" s="30" t="n">
        <x:v>2019</x:v>
      </x:c>
      <x:c r="E176" s="24" t="str">
        <x:v>Rachycentron canadum</x:v>
      </x:c>
      <x:c r="F176" s="24" t="str">
        <x:v>Cobia</x:v>
      </x:c>
      <x:c r="G176" s="24" t="str">
        <x:v>Large pelagics (&gt;=90 cm)</x:v>
      </x:c>
      <x:c r="H176" s="24" t="str">
        <x:v>Perch-likes</x:v>
      </x:c>
      <x:c r="I176" s="31" t="n">
        <x:v>0.1525781699</x:v>
      </x:c>
      <x:c r="J176" s="31" t="n">
        <x:v>0.1525781699</x:v>
      </x:c>
      <x:c r="K176" s="31" t="n">
        <x:v>0</x:v>
      </x:c>
      <x:c r="L176" s="31" t="n">
        <x:v>0.0133745436</x:v>
      </x:c>
      <x:c r="M176" s="31" t="n">
        <x:v>0.1392036263</x:v>
      </x:c>
      <x:c r="N176" s="24" t="str">
        <x:v>rachycentron canadum</x:v>
      </x:c>
      <x:c r="O176" s="32" t="n">
        <x:v>3.96</x:v>
      </x:c>
      <x:c r="P176" s="24" t="str">
        <x:v>exact_2020_supplement</x:v>
      </x:c>
      <x:c r="Q176" s="32" t="str">
        <x:v>2020 supplement MeanTL</x:v>
      </x:c>
      <x:c r="R176" s="24" t="str">
        <x:v>high</x:v>
      </x:c>
      <x:c r="S176" s="24" t="str">
        <x:v>Rachycentron canadum</x:v>
      </x:c>
      <x:c r="T176" s="32" t="n">
        <x:f>IF(O176="","",(1/'Metadata'!$B$5)^(O176-1))</x:f>
        <x:v>912.0108393559096</x:v>
      </x:c>
      <x:c r="U176" s="31" t="n">
        <x:f>IF(T176="","",I176*T176)</x:f>
        <x:v>139.15294479788759</x:v>
      </x:c>
    </x:row>
    <x:row r="177" ht="18" customHeight="1">
      <x:c r="A177" s="24" t="str">
        <x:v>LME_043</x:v>
      </x:c>
      <x:c r="B177" s="24" t="str">
        <x:v>Southwest Australian Shelf</x:v>
      </x:c>
      <x:c r="C177" s="24" t="str">
        <x:v>LME</x:v>
      </x:c>
      <x:c r="D177" s="30" t="n">
        <x:v>2019</x:v>
      </x:c>
      <x:c r="E177" s="24" t="str">
        <x:v>Brama brama</x:v>
      </x:c>
      <x:c r="F177" s="24" t="str">
        <x:v>Atlantic pomfret</x:v>
      </x:c>
      <x:c r="G177" s="24" t="str">
        <x:v>Medium bathypelagics (30 - 89 cm)</x:v>
      </x:c>
      <x:c r="H177" s="24" t="str">
        <x:v>Perch-likes</x:v>
      </x:c>
      <x:c r="I177" s="31" t="n">
        <x:v>0.147685775</x:v>
      </x:c>
      <x:c r="J177" s="31" t="n">
        <x:v>0.147685775</x:v>
      </x:c>
      <x:c r="K177" s="31" t="n">
        <x:v>0</x:v>
      </x:c>
      <x:c r="L177" s="31" t="n">
        <x:v>0.147685775</x:v>
      </x:c>
      <x:c r="M177" s="31" t="n">
        <x:v>0</x:v>
      </x:c>
      <x:c r="N177" s="24" t="str">
        <x:v>brama brama</x:v>
      </x:c>
      <x:c r="O177" s="32" t="n">
        <x:v>4.08</x:v>
      </x:c>
      <x:c r="P177" s="24" t="str">
        <x:v>exact_2020_supplement</x:v>
      </x:c>
      <x:c r="Q177" s="32" t="str">
        <x:v>2020 supplement MeanTL</x:v>
      </x:c>
      <x:c r="R177" s="24" t="str">
        <x:v>high</x:v>
      </x:c>
      <x:c r="S177" s="24" t="str">
        <x:v>Brama brama</x:v>
      </x:c>
      <x:c r="T177" s="32" t="n">
        <x:f>IF(O177="","",(1/'Metadata'!$B$5)^(O177-1))</x:f>
        <x:v>1202.2644346174131</x:v>
      </x:c>
      <x:c r="U177" s="31" t="n">
        <x:f>IF(T177="","",I177*T177)</x:f>
        <x:v>177.5573547814095</x:v>
      </x:c>
    </x:row>
    <x:row r="178" ht="18" customHeight="1">
      <x:c r="A178" s="24" t="str">
        <x:v>LME_043</x:v>
      </x:c>
      <x:c r="B178" s="24" t="str">
        <x:v>Southwest Australian Shelf</x:v>
      </x:c>
      <x:c r="C178" s="24" t="str">
        <x:v>LME</x:v>
      </x:c>
      <x:c r="D178" s="30" t="n">
        <x:v>2019</x:v>
      </x:c>
      <x:c r="E178" s="24" t="str">
        <x:v>Myctophidae</x:v>
      </x:c>
      <x:c r="F178" s="24" t="str">
        <x:v>Lanternfishes</x:v>
      </x:c>
      <x:c r="G178" s="24" t="str">
        <x:v>Small pelagics (&lt;30 cm)</x:v>
      </x:c>
      <x:c r="H178" s="24" t="str">
        <x:v>Other fishes &amp; inverts</x:v>
      </x:c>
      <x:c r="I178" s="31" t="n">
        <x:v>0.1284170516</x:v>
      </x:c>
      <x:c r="J178" s="31" t="n">
        <x:v>0.1284170516</x:v>
      </x:c>
      <x:c r="K178" s="31" t="n">
        <x:v>0</x:v>
      </x:c>
      <x:c r="L178" s="31" t="n">
        <x:v>0.1284170516</x:v>
      </x:c>
      <x:c r="M178" s="31" t="n">
        <x:v>0</x:v>
      </x:c>
      <x:c r="N178" s="24" t="str">
        <x:v>myctophidae</x:v>
      </x:c>
      <x:c r="O178" s="32" t="n">
        <x:v>3.3</x:v>
      </x:c>
      <x:c r="P178" s="24" t="str">
        <x:v>exact_sea_around_us</x:v>
      </x:c>
      <x:c r="Q178" s="32" t="str">
        <x:v>Sea Around Us exploited organisms</x:v>
      </x:c>
      <x:c r="R178" s="24" t="str">
        <x:v>high</x:v>
      </x:c>
      <x:c r="S178" s="24" t="str">
        <x:v>Myctophidae</x:v>
      </x:c>
      <x:c r="T178" s="32" t="n">
        <x:f>IF(O178="","",(1/'Metadata'!$B$5)^(O178-1))</x:f>
        <x:v>199.52623149688787</x:v>
      </x:c>
      <x:c r="U178" s="31" t="n">
        <x:f>IF(T178="","",I178*T178)</x:f>
        <x:v>25.622570365689395</x:v>
      </x:c>
    </x:row>
    <x:row r="179" ht="18" customHeight="1">
      <x:c r="A179" s="24" t="str">
        <x:v>LME_043</x:v>
      </x:c>
      <x:c r="B179" s="24" t="str">
        <x:v>Southwest Australian Shelf</x:v>
      </x:c>
      <x:c r="C179" s="24" t="str">
        <x:v>LME</x:v>
      </x:c>
      <x:c r="D179" s="30" t="n">
        <x:v>2019</x:v>
      </x:c>
      <x:c r="E179" s="24" t="str">
        <x:v>Beryx decadactylus</x:v>
      </x:c>
      <x:c r="F179" s="24" t="str">
        <x:v>Alfonsino</x:v>
      </x:c>
      <x:c r="G179" s="24" t="str">
        <x:v>Medium bathydemersals (30 - 89 cm)</x:v>
      </x:c>
      <x:c r="H179" s="24" t="str">
        <x:v>Other fishes &amp; inverts</x:v>
      </x:c>
      <x:c r="I179" s="31" t="n">
        <x:v>0.118978318</x:v>
      </x:c>
      <x:c r="J179" s="31" t="n">
        <x:v>0.118978318</x:v>
      </x:c>
      <x:c r="K179" s="31" t="n">
        <x:v>0</x:v>
      </x:c>
      <x:c r="L179" s="31" t="n">
        <x:v>0.118978318</x:v>
      </x:c>
      <x:c r="M179" s="31" t="n">
        <x:v>0</x:v>
      </x:c>
      <x:c r="N179" s="24" t="str">
        <x:v>beryx decadactylus</x:v>
      </x:c>
      <x:c r="O179" s="32" t="n">
        <x:v>4.13</x:v>
      </x:c>
      <x:c r="P179" s="24" t="str">
        <x:v>exact_2020_supplement</x:v>
      </x:c>
      <x:c r="Q179" s="32" t="str">
        <x:v>2020 supplement MeanTL</x:v>
      </x:c>
      <x:c r="R179" s="24" t="str">
        <x:v>high</x:v>
      </x:c>
      <x:c r="S179" s="24" t="str">
        <x:v>Beryx decadactylus</x:v>
      </x:c>
      <x:c r="T179" s="32" t="n">
        <x:f>IF(O179="","",(1/'Metadata'!$B$5)^(O179-1))</x:f>
        <x:v>1348.9628825916532</x:v>
      </x:c>
      <x:c r="U179" s="31" t="n">
        <x:f>IF(T179="","",I179*T179)</x:f>
        <x:v>160.49733481518638</x:v>
      </x:c>
    </x:row>
    <x:row r="180" ht="18" customHeight="1">
      <x:c r="A180" s="24" t="str">
        <x:v>LME_043</x:v>
      </x:c>
      <x:c r="B180" s="24" t="str">
        <x:v>Southwest Australian Shelf</x:v>
      </x:c>
      <x:c r="C180" s="24" t="str">
        <x:v>LME</x:v>
      </x:c>
      <x:c r="D180" s="30" t="n">
        <x:v>2019</x:v>
      </x:c>
      <x:c r="E180" s="24" t="str">
        <x:v>Carcharhinus longimanus</x:v>
      </x:c>
      <x:c r="F180" s="24" t="str">
        <x:v>Oceanic whitetip shark</x:v>
      </x:c>
      <x:c r="G180" s="24" t="str">
        <x:v>Large sharks (&gt;=90 cm)</x:v>
      </x:c>
      <x:c r="H180" s="24" t="str">
        <x:v>Sharks &amp; rays</x:v>
      </x:c>
      <x:c r="I180" s="31" t="n">
        <x:v>0.0916803558</x:v>
      </x:c>
      <x:c r="J180" s="31" t="n">
        <x:v>0.0916803558</x:v>
      </x:c>
      <x:c r="K180" s="31" t="n">
        <x:v>0</x:v>
      </x:c>
      <x:c r="L180" s="31" t="n">
        <x:v>0.0910590035</x:v>
      </x:c>
      <x:c r="M180" s="31" t="n">
        <x:v>0.0006213523</x:v>
      </x:c>
      <x:c r="N180" s="24" t="str">
        <x:v>carcharhinus longimanus</x:v>
      </x:c>
      <x:c r="O180" s="32" t="n">
        <x:v>4.16</x:v>
      </x:c>
      <x:c r="P180" s="24" t="str">
        <x:v>exact_2020_supplement</x:v>
      </x:c>
      <x:c r="Q180" s="32" t="str">
        <x:v>2020 supplement MeanTL</x:v>
      </x:c>
      <x:c r="R180" s="24" t="str">
        <x:v>high</x:v>
      </x:c>
      <x:c r="S180" s="24" t="str">
        <x:v>Carcharhinus longimanus</x:v>
      </x:c>
      <x:c r="T180" s="32" t="n">
        <x:f>IF(O180="","",(1/'Metadata'!$B$5)^(O180-1))</x:f>
        <x:v>1445.439770745928</x:v>
      </x:c>
      <x:c r="U180" s="31" t="n">
        <x:f>IF(T180="","",I180*T180)</x:f>
        <x:v>132.5184324694571</x:v>
      </x:c>
    </x:row>
    <x:row r="181" ht="18" customHeight="1">
      <x:c r="A181" s="24" t="str">
        <x:v>LME_043</x:v>
      </x:c>
      <x:c r="B181" s="24" t="str">
        <x:v>Southwest Australian Shelf</x:v>
      </x:c>
      <x:c r="C181" s="24" t="str">
        <x:v>LME</x:v>
      </x:c>
      <x:c r="D181" s="30" t="n">
        <x:v>2019</x:v>
      </x:c>
      <x:c r="E181" s="24" t="str">
        <x:v>Squatina australis</x:v>
      </x:c>
      <x:c r="F181" s="24" t="str">
        <x:v>Australian angelshark</x:v>
      </x:c>
      <x:c r="G181" s="24" t="str">
        <x:v>Large sharks (&gt;=90 cm)</x:v>
      </x:c>
      <x:c r="H181" s="24" t="str">
        <x:v>Sharks &amp; rays</x:v>
      </x:c>
      <x:c r="I181" s="31" t="n">
        <x:v>0.0888717435</x:v>
      </x:c>
      <x:c r="J181" s="31" t="n">
        <x:v>0.0888717435</x:v>
      </x:c>
      <x:c r="K181" s="31" t="n">
        <x:v>0</x:v>
      </x:c>
      <x:c r="L181" s="31" t="n">
        <x:v>0</x:v>
      </x:c>
      <x:c r="M181" s="31" t="n">
        <x:v>0.0888717435</x:v>
      </x:c>
      <x:c r="N181" s="24" t="str">
        <x:v>squatina australis</x:v>
      </x:c>
      <x:c r="O181" s="32" t="n">
        <x:v>3.99</x:v>
      </x:c>
      <x:c r="P181" s="24" t="str">
        <x:v>exact_2020_supplement</x:v>
      </x:c>
      <x:c r="Q181" s="32" t="str">
        <x:v>2020 supplement MeanTL</x:v>
      </x:c>
      <x:c r="R181" s="24" t="str">
        <x:v>high</x:v>
      </x:c>
      <x:c r="S181" s="24" t="str">
        <x:v>Squatina australis</x:v>
      </x:c>
      <x:c r="T181" s="32" t="n">
        <x:f>IF(O181="","",(1/'Metadata'!$B$5)^(O181-1))</x:f>
        <x:v>977.2372209558112</x:v>
      </x:c>
      <x:c r="U181" s="31" t="n">
        <x:f>IF(T181="","",I181*T181)</x:f>
        <x:v>86.84877563943768</x:v>
      </x:c>
    </x:row>
    <x:row r="182" ht="18" customHeight="1">
      <x:c r="A182" s="24" t="str">
        <x:v>LME_043</x:v>
      </x:c>
      <x:c r="B182" s="24" t="str">
        <x:v>Southwest Australian Shelf</x:v>
      </x:c>
      <x:c r="C182" s="24" t="str">
        <x:v>LME</x:v>
      </x:c>
      <x:c r="D182" s="30" t="n">
        <x:v>2019</x:v>
      </x:c>
      <x:c r="E182" s="24" t="str">
        <x:v>Etmopterus</x:v>
      </x:c>
      <x:c r="F182" s="24" t="str">
        <x:v>Lanternsharks</x:v>
      </x:c>
      <x:c r="G182" s="24" t="str">
        <x:v>Small to medium sharks (&lt;90 cm)</x:v>
      </x:c>
      <x:c r="H182" s="24" t="str">
        <x:v>Sharks &amp; rays</x:v>
      </x:c>
      <x:c r="I182" s="31" t="n">
        <x:v>0.08728817959999999</x:v>
      </x:c>
      <x:c r="J182" s="31" t="n">
        <x:v>0.08728817959999999</x:v>
      </x:c>
      <x:c r="K182" s="31" t="n">
        <x:v>0</x:v>
      </x:c>
      <x:c r="L182" s="31" t="n">
        <x:v>0.08728817959999999</x:v>
      </x:c>
      <x:c r="M182" s="31" t="n">
        <x:v>0</x:v>
      </x:c>
      <x:c r="N182" s="24" t="str">
        <x:v>etmopterus</x:v>
      </x:c>
      <x:c r="O182" s="32" t="n">
        <x:v>4.02</x:v>
      </x:c>
      <x:c r="P182" s="24" t="str">
        <x:v>exact_sea_around_us</x:v>
      </x:c>
      <x:c r="Q182" s="32" t="str">
        <x:v>Sea Around Us exploited organisms</x:v>
      </x:c>
      <x:c r="R182" s="24" t="str">
        <x:v>high</x:v>
      </x:c>
      <x:c r="S182" s="24" t="str">
        <x:v>Etmopterus</x:v>
      </x:c>
      <x:c r="T182" s="32" t="n">
        <x:f>IF(O182="","",(1/'Metadata'!$B$5)^(O182-1))</x:f>
        <x:v>1047.1285480508984</x:v>
      </x:c>
      <x:c r="U182" s="31" t="n">
        <x:f>IF(T182="","",I182*T182)</x:f>
        <x:v>91.40194476655404</x:v>
      </x:c>
    </x:row>
    <x:row r="183" ht="18" customHeight="1">
      <x:c r="A183" s="24" t="str">
        <x:v>LME_043</x:v>
      </x:c>
      <x:c r="B183" s="24" t="str">
        <x:v>Southwest Australian Shelf</x:v>
      </x:c>
      <x:c r="C183" s="24" t="str">
        <x:v>LME</x:v>
      </x:c>
      <x:c r="D183" s="30" t="n">
        <x:v>2019</x:v>
      </x:c>
      <x:c r="E183" s="24" t="str">
        <x:v>Peristediidae</x:v>
      </x:c>
      <x:c r="F183" s="24" t="str">
        <x:v>Armored searobins, gurnards</x:v>
      </x:c>
      <x:c r="G183" s="24" t="str">
        <x:v>Medium bathydemersals (30 - 89 cm)</x:v>
      </x:c>
      <x:c r="H183" s="24" t="str">
        <x:v>Scorpionfishes</x:v>
      </x:c>
      <x:c r="I183" s="31" t="n">
        <x:v>0.0709870697</x:v>
      </x:c>
      <x:c r="J183" s="31" t="n">
        <x:v>0.0709870697</x:v>
      </x:c>
      <x:c r="K183" s="31" t="n">
        <x:v>0</x:v>
      </x:c>
      <x:c r="L183" s="31" t="n">
        <x:v>0.0709870697</x:v>
      </x:c>
      <x:c r="M183" s="31" t="n">
        <x:v>0</x:v>
      </x:c>
      <x:c r="N183" s="24" t="str">
        <x:v>peristediidae</x:v>
      </x:c>
      <x:c r="O183" s="32" t="n">
        <x:v>3.47</x:v>
      </x:c>
      <x:c r="P183" s="24" t="str">
        <x:v>exact_sea_around_us</x:v>
      </x:c>
      <x:c r="Q183" s="32" t="str">
        <x:v>Sea Around Us exploited organisms</x:v>
      </x:c>
      <x:c r="R183" s="24" t="str">
        <x:v>high</x:v>
      </x:c>
      <x:c r="S183" s="24" t="str">
        <x:v>Peristediidae</x:v>
      </x:c>
      <x:c r="T183" s="32" t="n">
        <x:f>IF(O183="","",(1/'Metadata'!$B$5)^(O183-1))</x:f>
        <x:v>295.1209226666387</x:v>
      </x:c>
      <x:c r="U183" s="31" t="n">
        <x:f>IF(T183="","",I183*T183)</x:f>
        <x:v>20.949769507264993</x:v>
      </x:c>
    </x:row>
    <x:row r="184" ht="18" customHeight="1">
      <x:c r="A184" s="24" t="str">
        <x:v>LME_043</x:v>
      </x:c>
      <x:c r="B184" s="24" t="str">
        <x:v>Southwest Australian Shelf</x:v>
      </x:c>
      <x:c r="C184" s="24" t="str">
        <x:v>LME</x:v>
      </x:c>
      <x:c r="D184" s="30" t="n">
        <x:v>2019</x:v>
      </x:c>
      <x:c r="E184" s="24" t="str">
        <x:v>Kajikia audax</x:v>
      </x:c>
      <x:c r="F184" s="24" t="str">
        <x:v>Striped marlin</x:v>
      </x:c>
      <x:c r="G184" s="24" t="str">
        <x:v>Large pelagics (&gt;=90 cm)</x:v>
      </x:c>
      <x:c r="H184" s="24" t="str">
        <x:v>Tuna &amp; billfishes</x:v>
      </x:c>
      <x:c r="I184" s="31" t="n">
        <x:v>0.0631468204</x:v>
      </x:c>
      <x:c r="J184" s="31" t="n">
        <x:v>0.0631468204</x:v>
      </x:c>
      <x:c r="K184" s="31" t="n">
        <x:v>0</x:v>
      </x:c>
      <x:c r="L184" s="31" t="n">
        <x:v>0.0612339517</x:v>
      </x:c>
      <x:c r="M184" s="31" t="n">
        <x:v>0.0019128687</x:v>
      </x:c>
      <x:c r="N184" s="24" t="str">
        <x:v>kajikia audax</x:v>
      </x:c>
      <x:c r="O184" s="32" t="n">
        <x:v>4.58</x:v>
      </x:c>
      <x:c r="P184" s="24" t="str">
        <x:v>exact_2020_supplement</x:v>
      </x:c>
      <x:c r="Q184" s="32" t="str">
        <x:v>2020 supplement MeanTL</x:v>
      </x:c>
      <x:c r="R184" s="24" t="str">
        <x:v>high</x:v>
      </x:c>
      <x:c r="S184" s="24" t="str">
        <x:v>Kajikia audax</x:v>
      </x:c>
      <x:c r="T184" s="32" t="n">
        <x:f>IF(O184="","",(1/'Metadata'!$B$5)^(O184-1))</x:f>
        <x:v>3801.8939632056126</x:v>
      </x:c>
      <x:c r="U184" s="31" t="n">
        <x:f>IF(T184="","",I184*T184)</x:f>
        <x:v>240.07751527438901</x:v>
      </x:c>
    </x:row>
    <x:row r="185" ht="18" customHeight="1">
      <x:c r="A185" s="24" t="str">
        <x:v>LME_043</x:v>
      </x:c>
      <x:c r="B185" s="24" t="str">
        <x:v>Southwest Australian Shelf</x:v>
      </x:c>
      <x:c r="C185" s="24" t="str">
        <x:v>LME</x:v>
      </x:c>
      <x:c r="D185" s="30" t="n">
        <x:v>2019</x:v>
      </x:c>
      <x:c r="E185" s="24" t="str">
        <x:v>Mullidae</x:v>
      </x:c>
      <x:c r="F185" s="24" t="str">
        <x:v>Goatfishes</x:v>
      </x:c>
      <x:c r="G185" s="24" t="str">
        <x:v>Medium reef assoc. fish (30 - 89 cm)</x:v>
      </x:c>
      <x:c r="H185" s="24" t="str">
        <x:v>Perch-likes</x:v>
      </x:c>
      <x:c r="I185" s="31" t="n">
        <x:v>0.0629387899</x:v>
      </x:c>
      <x:c r="J185" s="31" t="n">
        <x:v>0.0600717589</x:v>
      </x:c>
      <x:c r="K185" s="31" t="n">
        <x:v>0.002867031</x:v>
      </x:c>
      <x:c r="L185" s="31" t="n">
        <x:v>0.0247104353</x:v>
      </x:c>
      <x:c r="M185" s="31" t="n">
        <x:v>0.0382283546</x:v>
      </x:c>
      <x:c r="N185" s="24" t="str">
        <x:v>mullidae</x:v>
      </x:c>
      <x:c r="O185" s="32" t="n">
        <x:v>3.46</x:v>
      </x:c>
      <x:c r="P185" s="24" t="str">
        <x:v>exact_sea_around_us</x:v>
      </x:c>
      <x:c r="Q185" s="32" t="str">
        <x:v>Sea Around Us exploited organisms</x:v>
      </x:c>
      <x:c r="R185" s="24" t="str">
        <x:v>high</x:v>
      </x:c>
      <x:c r="S185" s="24" t="str">
        <x:v>Mullidae</x:v>
      </x:c>
      <x:c r="T185" s="32" t="n">
        <x:f>IF(O185="","",(1/'Metadata'!$B$5)^(O185-1))</x:f>
        <x:v>288.40315031266056</x:v>
      </x:c>
      <x:c r="U185" s="31" t="n">
        <x:f>IF(T185="","",I185*T185)</x:f>
        <x:v>18.151745284026664</x:v>
      </x:c>
    </x:row>
    <x:row r="186" ht="18" customHeight="1">
      <x:c r="A186" s="24" t="str">
        <x:v>LME_043</x:v>
      </x:c>
      <x:c r="B186" s="24" t="str">
        <x:v>Southwest Australian Shelf</x:v>
      </x:c>
      <x:c r="C186" s="24" t="str">
        <x:v>LME</x:v>
      </x:c>
      <x:c r="D186" s="30" t="n">
        <x:v>2019</x:v>
      </x:c>
      <x:c r="E186" s="24" t="str">
        <x:v>Lamna nasus</x:v>
      </x:c>
      <x:c r="F186" s="24" t="str">
        <x:v>Porbeagle</x:v>
      </x:c>
      <x:c r="G186" s="24" t="str">
        <x:v>Large sharks (&gt;=90 cm)</x:v>
      </x:c>
      <x:c r="H186" s="24" t="str">
        <x:v>Sharks &amp; rays</x:v>
      </x:c>
      <x:c r="I186" s="31" t="n">
        <x:v>0.0535685254</x:v>
      </x:c>
      <x:c r="J186" s="31" t="n">
        <x:v>0.0535685254</x:v>
      </x:c>
      <x:c r="K186" s="31" t="n">
        <x:v>0</x:v>
      </x:c>
      <x:c r="L186" s="31" t="n">
        <x:v>0.0535685254</x:v>
      </x:c>
      <x:c r="M186" s="31" t="n">
        <x:v>0</x:v>
      </x:c>
      <x:c r="N186" s="24" t="str">
        <x:v>lamna nasus</x:v>
      </x:c>
      <x:c r="O186" s="32" t="n">
        <x:v>4.57</x:v>
      </x:c>
      <x:c r="P186" s="24" t="str">
        <x:v>exact_2020_supplement</x:v>
      </x:c>
      <x:c r="Q186" s="32" t="str">
        <x:v>2020 supplement MeanTL</x:v>
      </x:c>
      <x:c r="R186" s="24" t="str">
        <x:v>high</x:v>
      </x:c>
      <x:c r="S186" s="24" t="str">
        <x:v>Lamna nasus</x:v>
      </x:c>
      <x:c r="T186" s="32" t="n">
        <x:f>IF(O186="","",(1/'Metadata'!$B$5)^(O186-1))</x:f>
        <x:v>3715.3522909717276</x:v>
      </x:c>
      <x:c r="U186" s="31" t="n">
        <x:f>IF(T186="","",I186*T186)</x:f>
        <x:v>199.02594356886718</x:v>
      </x:c>
    </x:row>
    <x:row r="187" ht="18" customHeight="1">
      <x:c r="A187" s="24" t="str">
        <x:v>LME_043</x:v>
      </x:c>
      <x:c r="B187" s="24" t="str">
        <x:v>Southwest Australian Shelf</x:v>
      </x:c>
      <x:c r="C187" s="24" t="str">
        <x:v>LME</x:v>
      </x:c>
      <x:c r="D187" s="30" t="n">
        <x:v>2019</x:v>
      </x:c>
      <x:c r="E187" s="24" t="str">
        <x:v>Auxis thazard</x:v>
      </x:c>
      <x:c r="F187" s="24" t="str">
        <x:v>Frigate tuna</x:v>
      </x:c>
      <x:c r="G187" s="24" t="str">
        <x:v>Medium pelagics (30 - 89 cm)</x:v>
      </x:c>
      <x:c r="H187" s="24" t="str">
        <x:v>Tuna &amp; billfishes</x:v>
      </x:c>
      <x:c r="I187" s="31" t="n">
        <x:v>0.0520204406</x:v>
      </x:c>
      <x:c r="J187" s="31" t="n">
        <x:v>0.0520204406</x:v>
      </x:c>
      <x:c r="K187" s="31" t="n">
        <x:v>0</x:v>
      </x:c>
      <x:c r="L187" s="31" t="n">
        <x:v>0.051813502600000005</x:v>
      </x:c>
      <x:c r="M187" s="31" t="n">
        <x:v>0.000206938</x:v>
      </x:c>
      <x:c r="N187" s="24" t="str">
        <x:v>auxis thazard</x:v>
      </x:c>
      <x:c r="O187" s="32" t="n">
        <x:v>4.37</x:v>
      </x:c>
      <x:c r="P187" s="24" t="str">
        <x:v>exact_2020_supplement</x:v>
      </x:c>
      <x:c r="Q187" s="32" t="str">
        <x:v>2020 supplement MeanTL</x:v>
      </x:c>
      <x:c r="R187" s="24" t="str">
        <x:v>high</x:v>
      </x:c>
      <x:c r="S187" s="24" t="str">
        <x:v>Auxis thazard</x:v>
      </x:c>
      <x:c r="T187" s="32" t="n">
        <x:f>IF(O187="","",(1/'Metadata'!$B$5)^(O187-1))</x:f>
        <x:v>2344.228815319923</x:v>
      </x:c>
      <x:c r="U187" s="31" t="n">
        <x:f>IF(T187="","",I187*T187)</x:f>
        <x:v>121.94781584015843</x:v>
      </x:c>
    </x:row>
    <x:row r="188" ht="18" customHeight="1">
      <x:c r="A188" s="24" t="str">
        <x:v>LME_043</x:v>
      </x:c>
      <x:c r="B188" s="24" t="str">
        <x:v>Southwest Australian Shelf</x:v>
      </x:c>
      <x:c r="C188" s="24" t="str">
        <x:v>LME</x:v>
      </x:c>
      <x:c r="D188" s="30" t="n">
        <x:v>2019</x:v>
      </x:c>
      <x:c r="E188" s="24" t="str">
        <x:v>Pristiophorus cirratus</x:v>
      </x:c>
      <x:c r="F188" s="24" t="str">
        <x:v>Common sawshark</x:v>
      </x:c>
      <x:c r="G188" s="24" t="str">
        <x:v>Large sharks (&gt;=90 cm)</x:v>
      </x:c>
      <x:c r="H188" s="24" t="str">
        <x:v>Sharks &amp; rays</x:v>
      </x:c>
      <x:c r="I188" s="31" t="n">
        <x:v>0.0478711229</x:v>
      </x:c>
      <x:c r="J188" s="31" t="n">
        <x:v>0.0478711229</x:v>
      </x:c>
      <x:c r="K188" s="31" t="n">
        <x:v>0</x:v>
      </x:c>
      <x:c r="L188" s="31" t="n">
        <x:v>0</x:v>
      </x:c>
      <x:c r="M188" s="31" t="n">
        <x:v>0.0478711229</x:v>
      </x:c>
      <x:c r="N188" s="24" t="str">
        <x:v>pristiophorus cirratus</x:v>
      </x:c>
      <x:c r="O188" s="32" t="n">
        <x:v>4.17</x:v>
      </x:c>
      <x:c r="P188" s="24" t="str">
        <x:v>exact_2020_supplement</x:v>
      </x:c>
      <x:c r="Q188" s="32" t="str">
        <x:v>2020 supplement MeanTL</x:v>
      </x:c>
      <x:c r="R188" s="24" t="str">
        <x:v>high</x:v>
      </x:c>
      <x:c r="S188" s="24" t="str">
        <x:v>Pristiophorus cirratus</x:v>
      </x:c>
      <x:c r="T188" s="32" t="n">
        <x:f>IF(O188="","",(1/'Metadata'!$B$5)^(O188-1))</x:f>
        <x:v>1479.1083881682073</x:v>
      </x:c>
      <x:c r="U188" s="31" t="n">
        <x:f>IF(T188="","",I188*T188)</x:f>
        <x:v>70.80657943242116</x:v>
      </x:c>
    </x:row>
    <x:row r="189" ht="18" customHeight="1">
      <x:c r="A189" s="24" t="str">
        <x:v>LME_043</x:v>
      </x:c>
      <x:c r="B189" s="24" t="str">
        <x:v>Southwest Australian Shelf</x:v>
      </x:c>
      <x:c r="C189" s="24" t="str">
        <x:v>LME</x:v>
      </x:c>
      <x:c r="D189" s="30" t="n">
        <x:v>2019</x:v>
      </x:c>
      <x:c r="E189" s="24" t="str">
        <x:v>Scomberomorus</x:v>
      </x:c>
      <x:c r="F189" s="24" t="str">
        <x:v>Spanish mackerels</x:v>
      </x:c>
      <x:c r="G189" s="24" t="str">
        <x:v>Large pelagics (&gt;=90 cm)</x:v>
      </x:c>
      <x:c r="H189" s="24" t="str">
        <x:v>Perch-likes</x:v>
      </x:c>
      <x:c r="I189" s="31" t="n">
        <x:v>0.0471943352</x:v>
      </x:c>
      <x:c r="J189" s="31" t="n">
        <x:v>0.0471943352</x:v>
      </x:c>
      <x:c r="K189" s="31" t="n">
        <x:v>0</x:v>
      </x:c>
      <x:c r="L189" s="31" t="n">
        <x:v>0.0017307762000000001</x:v>
      </x:c>
      <x:c r="M189" s="31" t="n">
        <x:v>0.045463559</x:v>
      </x:c>
      <x:c r="N189" s="24" t="str">
        <x:v>scomberomorus</x:v>
      </x:c>
      <x:c r="O189" s="32" t="n">
        <x:v>4.35</x:v>
      </x:c>
      <x:c r="P189" s="24" t="str">
        <x:v>exact_sea_around_us</x:v>
      </x:c>
      <x:c r="Q189" s="32" t="str">
        <x:v>Sea Around Us exploited organisms</x:v>
      </x:c>
      <x:c r="R189" s="24" t="str">
        <x:v>high</x:v>
      </x:c>
      <x:c r="S189" s="24" t="str">
        <x:v>Scomberomorus</x:v>
      </x:c>
      <x:c r="T189" s="32" t="n">
        <x:f>IF(O189="","",(1/'Metadata'!$B$5)^(O189-1))</x:f>
        <x:v>2238.7211385683377</x:v>
      </x:c>
      <x:c r="U189" s="31" t="n">
        <x:f>IF(T189="","",I189*T189)</x:f>
        <x:v>105.65495583291977</x:v>
      </x:c>
    </x:row>
    <x:row r="190" ht="18" customHeight="1">
      <x:c r="A190" s="24" t="str">
        <x:v>LME_043</x:v>
      </x:c>
      <x:c r="B190" s="24" t="str">
        <x:v>Southwest Australian Shelf</x:v>
      </x:c>
      <x:c r="C190" s="24" t="str">
        <x:v>LME</x:v>
      </x:c>
      <x:c r="D190" s="30" t="n">
        <x:v>2019</x:v>
      </x:c>
      <x:c r="E190" s="24" t="str">
        <x:v>Pseudorhombus arsius</x:v>
      </x:c>
      <x:c r="F190" s="24" t="str">
        <x:v>Largetooth flounder</x:v>
      </x:c>
      <x:c r="G190" s="24" t="str">
        <x:v>Small to medium flatfishes (&lt;90 cm)</x:v>
      </x:c>
      <x:c r="H190" s="24" t="str">
        <x:v>Flatfishes</x:v>
      </x:c>
      <x:c r="I190" s="31" t="n">
        <x:v>0.0442540582</x:v>
      </x:c>
      <x:c r="J190" s="31" t="n">
        <x:v>0.0442540582</x:v>
      </x:c>
      <x:c r="K190" s="31" t="n">
        <x:v>0</x:v>
      </x:c>
      <x:c r="L190" s="31" t="n">
        <x:v>0</x:v>
      </x:c>
      <x:c r="M190" s="31" t="n">
        <x:v>0.0442540582</x:v>
      </x:c>
      <x:c r="N190" s="24" t="str">
        <x:v>pseudorhombus arsius</x:v>
      </x:c>
      <x:c r="O190" s="32" t="n">
        <x:v>4.16</x:v>
      </x:c>
      <x:c r="P190" s="24" t="str">
        <x:v>exact_2020_supplement</x:v>
      </x:c>
      <x:c r="Q190" s="32" t="str">
        <x:v>2020 supplement MeanTL</x:v>
      </x:c>
      <x:c r="R190" s="24" t="str">
        <x:v>high</x:v>
      </x:c>
      <x:c r="S190" s="24" t="str">
        <x:v>Pseudorhombus arsius</x:v>
      </x:c>
      <x:c r="T190" s="32" t="n">
        <x:f>IF(O190="","",(1/'Metadata'!$B$5)^(O190-1))</x:f>
        <x:v>1445.439770745928</x:v>
      </x:c>
      <x:c r="U190" s="31" t="n">
        <x:f>IF(T190="","",I190*T190)</x:f>
        <x:v>63.966575739184954</x:v>
      </x:c>
    </x:row>
    <x:row r="191" ht="18" customHeight="1">
      <x:c r="A191" s="24" t="str">
        <x:v>LME_043</x:v>
      </x:c>
      <x:c r="B191" s="24" t="str">
        <x:v>Southwest Australian Shelf</x:v>
      </x:c>
      <x:c r="C191" s="24" t="str">
        <x:v>LME</x:v>
      </x:c>
      <x:c r="D191" s="30" t="n">
        <x:v>2019</x:v>
      </x:c>
      <x:c r="E191" s="24" t="str">
        <x:v>Scomberomorus commerson</x:v>
      </x:c>
      <x:c r="F191" s="24" t="str">
        <x:v>Narrow-barred Spanish mackerel</x:v>
      </x:c>
      <x:c r="G191" s="24" t="str">
        <x:v>Large pelagics (&gt;=90 cm)</x:v>
      </x:c>
      <x:c r="H191" s="24" t="str">
        <x:v>Perch-likes</x:v>
      </x:c>
      <x:c r="I191" s="31" t="n">
        <x:v>0.0431586761</x:v>
      </x:c>
      <x:c r="J191" s="31" t="n">
        <x:v>0.0431586761</x:v>
      </x:c>
      <x:c r="K191" s="31" t="n">
        <x:v>0</x:v>
      </x:c>
      <x:c r="L191" s="31" t="n">
        <x:v>0.0431586761</x:v>
      </x:c>
      <x:c r="M191" s="31" t="n">
        <x:v>0</x:v>
      </x:c>
      <x:c r="N191" s="24" t="str">
        <x:v>scomberomorus commerson</x:v>
      </x:c>
      <x:c r="O191" s="32" t="n">
        <x:v>4.5</x:v>
      </x:c>
      <x:c r="P191" s="24" t="str">
        <x:v>exact_2020_supplement</x:v>
      </x:c>
      <x:c r="Q191" s="32" t="str">
        <x:v>2020 supplement MeanTL</x:v>
      </x:c>
      <x:c r="R191" s="24" t="str">
        <x:v>high</x:v>
      </x:c>
      <x:c r="S191" s="24" t="str">
        <x:v>Scomberomorus commerson</x:v>
      </x:c>
      <x:c r="T191" s="32" t="n">
        <x:f>IF(O191="","",(1/'Metadata'!$B$5)^(O191-1))</x:f>
        <x:v>3162.2776601683795</x:v>
      </x:c>
      <x:c r="U191" s="31" t="n">
        <x:f>IF(T191="","",I191*T191)</x:f>
        <x:v>136.47971727347297</x:v>
      </x:c>
    </x:row>
    <x:row r="192" ht="18" customHeight="1">
      <x:c r="A192" s="24" t="str">
        <x:v>LME_043</x:v>
      </x:c>
      <x:c r="B192" s="24" t="str">
        <x:v>Southwest Australian Shelf</x:v>
      </x:c>
      <x:c r="C192" s="24" t="str">
        <x:v>LME</x:v>
      </x:c>
      <x:c r="D192" s="30" t="n">
        <x:v>2019</x:v>
      </x:c>
      <x:c r="E192" s="24" t="str">
        <x:v>Pseudophycis bachus</x:v>
      </x:c>
      <x:c r="F192" s="24" t="str">
        <x:v>Red codling</x:v>
      </x:c>
      <x:c r="G192" s="24" t="str">
        <x:v>Medium demersals (30 - 89 cm)</x:v>
      </x:c>
      <x:c r="H192" s="24" t="str">
        <x:v>Cod-likes</x:v>
      </x:c>
      <x:c r="I192" s="31" t="n">
        <x:v>0.037512824400000006</x:v>
      </x:c>
      <x:c r="J192" s="31" t="n">
        <x:v>0.037512824400000006</x:v>
      </x:c>
      <x:c r="K192" s="31" t="n">
        <x:v>0</x:v>
      </x:c>
      <x:c r="L192" s="31" t="n">
        <x:v>0.037512824400000006</x:v>
      </x:c>
      <x:c r="M192" s="31" t="n">
        <x:v>0</x:v>
      </x:c>
      <x:c r="N192" s="24" t="str">
        <x:v>pseudophycis bachus</x:v>
      </x:c>
      <x:c r="O192" s="32" t="n">
        <x:v>4.5</x:v>
      </x:c>
      <x:c r="P192" s="24" t="str">
        <x:v>exact_2020_supplement</x:v>
      </x:c>
      <x:c r="Q192" s="32" t="str">
        <x:v>2020 supplement MeanTL</x:v>
      </x:c>
      <x:c r="R192" s="24" t="str">
        <x:v>high</x:v>
      </x:c>
      <x:c r="S192" s="24" t="str">
        <x:v>Pseudophycis bachus</x:v>
      </x:c>
      <x:c r="T192" s="32" t="n">
        <x:f>IF(O192="","",(1/'Metadata'!$B$5)^(O192-1))</x:f>
        <x:v>3162.2776601683795</x:v>
      </x:c>
      <x:c r="U192" s="31" t="n">
        <x:f>IF(T192="","",I192*T192)</x:f>
        <x:v>118.62596656993931</x:v>
      </x:c>
    </x:row>
    <x:row r="193" ht="18" customHeight="1">
      <x:c r="A193" s="24" t="str">
        <x:v>LME_043</x:v>
      </x:c>
      <x:c r="B193" s="24" t="str">
        <x:v>Southwest Australian Shelf</x:v>
      </x:c>
      <x:c r="C193" s="24" t="str">
        <x:v>LME</x:v>
      </x:c>
      <x:c r="D193" s="30" t="n">
        <x:v>2019</x:v>
      </x:c>
      <x:c r="E193" s="24" t="str">
        <x:v>Charybdis</x:v>
      </x:c>
      <x:c r="F193" s="24" t="str">
        <x:v>Whirlpool swimming crabs</x:v>
      </x:c>
      <x:c r="G193" s="24" t="str">
        <x:v>Lobsters, crabs</x:v>
      </x:c>
      <x:c r="H193" s="24" t="str">
        <x:v>Crustaceans</x:v>
      </x:c>
      <x:c r="I193" s="31" t="n">
        <x:v>0.030742584200000003</x:v>
      </x:c>
      <x:c r="J193" s="31" t="n">
        <x:v>0.030742584200000003</x:v>
      </x:c>
      <x:c r="K193" s="31" t="n">
        <x:v>0</x:v>
      </x:c>
      <x:c r="L193" s="31" t="n">
        <x:v>0.030742584200000003</x:v>
      </x:c>
      <x:c r="M193" s="31" t="n">
        <x:v>0</x:v>
      </x:c>
      <x:c r="N193" s="24" t="str">
        <x:v>charybdis</x:v>
      </x:c>
      <x:c r="O193" s="32" t="n">
        <x:v>2.7</x:v>
      </x:c>
      <x:c r="P193" s="24" t="str">
        <x:v>exact_sea_around_us</x:v>
      </x:c>
      <x:c r="Q193" s="32" t="str">
        <x:v>Sea Around Us exploited organisms</x:v>
      </x:c>
      <x:c r="R193" s="24" t="str">
        <x:v>high</x:v>
      </x:c>
      <x:c r="S193" s="24" t="str">
        <x:v>Charybdis</x:v>
      </x:c>
      <x:c r="T193" s="32" t="n">
        <x:f>IF(O193="","",(1/'Metadata'!$B$5)^(O193-1))</x:f>
        <x:v>50.11872336272725</x:v>
      </x:c>
      <x:c r="U193" s="31" t="n">
        <x:f>IF(T193="","",I193*T193)</x:f>
        <x:v>1.5407790729751498</x:v>
      </x:c>
    </x:row>
    <x:row r="194" ht="18" customHeight="1">
      <x:c r="A194" s="24" t="str">
        <x:v>LME_043</x:v>
      </x:c>
      <x:c r="B194" s="24" t="str">
        <x:v>Southwest Australian Shelf</x:v>
      </x:c>
      <x:c r="C194" s="24" t="str">
        <x:v>LME</x:v>
      </x:c>
      <x:c r="D194" s="30" t="n">
        <x:v>2019</x:v>
      </x:c>
      <x:c r="E194" s="24" t="str">
        <x:v>Sarda orientalis</x:v>
      </x:c>
      <x:c r="F194" s="24" t="str">
        <x:v>Striped bonito</x:v>
      </x:c>
      <x:c r="G194" s="24" t="str">
        <x:v>Large pelagics (&gt;=90 cm)</x:v>
      </x:c>
      <x:c r="H194" s="24" t="str">
        <x:v>Tuna &amp; billfishes</x:v>
      </x:c>
      <x:c r="I194" s="31" t="n">
        <x:v>0.0247599173</x:v>
      </x:c>
      <x:c r="J194" s="31" t="n">
        <x:v>0.0247599173</x:v>
      </x:c>
      <x:c r="K194" s="31" t="n">
        <x:v>0</x:v>
      </x:c>
      <x:c r="L194" s="31" t="n">
        <x:v>0</x:v>
      </x:c>
      <x:c r="M194" s="31" t="n">
        <x:v>0.0247599173</x:v>
      </x:c>
      <x:c r="N194" s="24" t="str">
        <x:v>sarda orientalis</x:v>
      </x:c>
      <x:c r="O194" s="32" t="n">
        <x:v>4.21</x:v>
      </x:c>
      <x:c r="P194" s="24" t="str">
        <x:v>exact_2020_supplement</x:v>
      </x:c>
      <x:c r="Q194" s="32" t="str">
        <x:v>2020 supplement MeanTL</x:v>
      </x:c>
      <x:c r="R194" s="24" t="str">
        <x:v>high</x:v>
      </x:c>
      <x:c r="S194" s="24" t="str">
        <x:v>Sarda orientalis</x:v>
      </x:c>
      <x:c r="T194" s="32" t="n">
        <x:f>IF(O194="","",(1/'Metadata'!$B$5)^(O194-1))</x:f>
        <x:v>1621.8100973589299</x:v>
      </x:c>
      <x:c r="U194" s="31" t="n">
        <x:f>IF(T194="","",I194*T194)</x:f>
        <x:v>40.15588388691205</x:v>
      </x:c>
    </x:row>
    <x:row r="195" ht="18" customHeight="1">
      <x:c r="A195" s="24" t="str">
        <x:v>LME_043</x:v>
      </x:c>
      <x:c r="B195" s="24" t="str">
        <x:v>Southwest Australian Shelf</x:v>
      </x:c>
      <x:c r="C195" s="24" t="str">
        <x:v>LME</x:v>
      </x:c>
      <x:c r="D195" s="30" t="n">
        <x:v>2019</x:v>
      </x:c>
      <x:c r="E195" s="24" t="str">
        <x:v>Marine pelagic fishes not identified</x:v>
      </x:c>
      <x:c r="F195" s="24" t="str">
        <x:v>Pelagic fishes</x:v>
      </x:c>
      <x:c r="G195" s="24" t="str">
        <x:v>Medium pelagics (30 - 89 cm)</x:v>
      </x:c>
      <x:c r="H195" s="24" t="str">
        <x:v>Other fishes &amp; inverts</x:v>
      </x:c>
      <x:c r="I195" s="31" t="n">
        <x:v>0.0236974732</x:v>
      </x:c>
      <x:c r="J195" s="31" t="n">
        <x:v>0.0236974732</x:v>
      </x:c>
      <x:c r="K195" s="31" t="n">
        <x:v>0</x:v>
      </x:c>
      <x:c r="L195" s="31" t="n">
        <x:v>0.0236974732</x:v>
      </x:c>
      <x:c r="M195" s="31" t="n">
        <x:v>0</x:v>
      </x:c>
      <x:c r="N195" s="24" t="str">
        <x:v>marine pelagic fishes not identified</x:v>
      </x:c>
      <x:c r="O195" s="32" t="n">
        <x:v>3.35</x:v>
      </x:c>
      <x:c r="P195" s="24" t="str">
        <x:v>exact_sea_around_us</x:v>
      </x:c>
      <x:c r="Q195" s="32" t="str">
        <x:v>Sea Around Us exploited organisms</x:v>
      </x:c>
      <x:c r="R195" s="24" t="str">
        <x:v>high</x:v>
      </x:c>
      <x:c r="S195" s="24" t="str">
        <x:v>Marine pelagic fishes not identified</x:v>
      </x:c>
      <x:c r="T195" s="32" t="n">
        <x:f>IF(O195="","",(1/'Metadata'!$B$5)^(O195-1))</x:f>
        <x:v>223.872113856834</x:v>
      </x:c>
      <x:c r="U195" s="31" t="n">
        <x:f>IF(T195="","",I195*T195)</x:f>
        <x:v>5.305203418349672</x:v>
      </x:c>
    </x:row>
    <x:row r="196" ht="18" customHeight="1">
      <x:c r="A196" s="24" t="str">
        <x:v>LME_043</x:v>
      </x:c>
      <x:c r="B196" s="24" t="str">
        <x:v>Southwest Australian Shelf</x:v>
      </x:c>
      <x:c r="C196" s="24" t="str">
        <x:v>LME</x:v>
      </x:c>
      <x:c r="D196" s="30" t="n">
        <x:v>2019</x:v>
      </x:c>
      <x:c r="E196" s="24" t="str">
        <x:v>Isurus</x:v>
      </x:c>
      <x:c r="F196" s="24" t="str">
        <x:v>Mako sharks</x:v>
      </x:c>
      <x:c r="G196" s="24" t="str">
        <x:v>Large sharks (&gt;=90 cm)</x:v>
      </x:c>
      <x:c r="H196" s="24" t="str">
        <x:v>Sharks &amp; rays</x:v>
      </x:c>
      <x:c r="I196" s="31" t="n">
        <x:v>0.0218931771</x:v>
      </x:c>
      <x:c r="J196" s="31" t="n">
        <x:v>0.0218931771</x:v>
      </x:c>
      <x:c r="K196" s="31" t="n">
        <x:v>0</x:v>
      </x:c>
      <x:c r="L196" s="31" t="n">
        <x:v>0.0218931771</x:v>
      </x:c>
      <x:c r="M196" s="31" t="n">
        <x:v>0</x:v>
      </x:c>
      <x:c r="N196" s="24" t="str">
        <x:v>isurus</x:v>
      </x:c>
      <x:c r="O196" s="32" t="n">
        <x:v>4.5</x:v>
      </x:c>
      <x:c r="P196" s="24" t="str">
        <x:v>exact_sea_around_us</x:v>
      </x:c>
      <x:c r="Q196" s="32" t="str">
        <x:v>Sea Around Us exploited organisms</x:v>
      </x:c>
      <x:c r="R196" s="24" t="str">
        <x:v>high</x:v>
      </x:c>
      <x:c r="S196" s="24" t="str">
        <x:v>Isurus</x:v>
      </x:c>
      <x:c r="T196" s="32" t="n">
        <x:f>IF(O196="","",(1/'Metadata'!$B$5)^(O196-1))</x:f>
        <x:v>3162.2776601683795</x:v>
      </x:c>
      <x:c r="U196" s="31" t="n">
        <x:f>IF(T196="","",I196*T196)</x:f>
        <x:v>69.23230485343996</x:v>
      </x:c>
    </x:row>
    <x:row r="197" ht="18" customHeight="1">
      <x:c r="A197" s="24" t="str">
        <x:v>LME_043</x:v>
      </x:c>
      <x:c r="B197" s="24" t="str">
        <x:v>Southwest Australian Shelf</x:v>
      </x:c>
      <x:c r="C197" s="24" t="str">
        <x:v>LME</x:v>
      </x:c>
      <x:c r="D197" s="30" t="n">
        <x:v>2019</x:v>
      </x:c>
      <x:c r="E197" s="24" t="str">
        <x:v>Platycaranx chrysophrys</x:v>
      </x:c>
      <x:c r="F197" s="24" t="str">
        <x:v>Longnose trevally</x:v>
      </x:c>
      <x:c r="G197" s="24" t="str">
        <x:v>Small pelagics (&lt;30 cm)</x:v>
      </x:c>
      <x:c r="H197" s="24" t="str">
        <x:v>Perch-likes</x:v>
      </x:c>
      <x:c r="I197" s="31" t="n">
        <x:v>0.0186241374</x:v>
      </x:c>
      <x:c r="J197" s="31" t="n">
        <x:v>0.0186241374</x:v>
      </x:c>
      <x:c r="K197" s="31" t="n">
        <x:v>0</x:v>
      </x:c>
      <x:c r="L197" s="31" t="n">
        <x:v>0</x:v>
      </x:c>
      <x:c r="M197" s="31" t="n">
        <x:v>0.0186241374</x:v>
      </x:c>
      <x:c r="N197" s="24" t="str">
        <x:v>platycaranx chrysophrys</x:v>
      </x:c>
      <x:c r="O197" s="32" t="n">
        <x:v>4.3</x:v>
      </x:c>
      <x:c r="P197" s="24" t="str">
        <x:v>exact_sea_around_us</x:v>
      </x:c>
      <x:c r="Q197" s="32" t="str">
        <x:v>Sea Around Us exploited organisms</x:v>
      </x:c>
      <x:c r="R197" s="24" t="str">
        <x:v>high</x:v>
      </x:c>
      <x:c r="S197" s="24" t="str">
        <x:v>Platycaranx chrysophrys</x:v>
      </x:c>
      <x:c r="T197" s="32" t="n">
        <x:f>IF(O197="","",(1/'Metadata'!$B$5)^(O197-1))</x:f>
        <x:v>1995.2623149688789</x:v>
      </x:c>
      <x:c r="U197" s="31" t="n">
        <x:f>IF(T197="","",I197*T197)</x:f>
        <x:v>37.160039503022475</x:v>
      </x:c>
    </x:row>
    <x:row r="198" ht="18" customHeight="1">
      <x:c r="A198" s="24" t="str">
        <x:v>LME_043</x:v>
      </x:c>
      <x:c r="B198" s="24" t="str">
        <x:v>Southwest Australian Shelf</x:v>
      </x:c>
      <x:c r="C198" s="24" t="str">
        <x:v>LME</x:v>
      </x:c>
      <x:c r="D198" s="30" t="n">
        <x:v>2019</x:v>
      </x:c>
      <x:c r="E198" s="24" t="str">
        <x:v>Trachichthyidae</x:v>
      </x:c>
      <x:c r="F198" s="24" t="str">
        <x:v>Slimeheads</x:v>
      </x:c>
      <x:c r="G198" s="24" t="str">
        <x:v>Medium bathypelagics (30 - 89 cm)</x:v>
      </x:c>
      <x:c r="H198" s="24" t="str">
        <x:v>Other fishes &amp; inverts</x:v>
      </x:c>
      <x:c r="I198" s="31" t="n">
        <x:v>0.015347315</x:v>
      </x:c>
      <x:c r="J198" s="31" t="n">
        <x:v>0.015347315</x:v>
      </x:c>
      <x:c r="K198" s="31" t="n">
        <x:v>0</x:v>
      </x:c>
      <x:c r="L198" s="31" t="n">
        <x:v>0.015347315</x:v>
      </x:c>
      <x:c r="M198" s="31" t="n">
        <x:v>0</x:v>
      </x:c>
      <x:c r="N198" s="24" t="str">
        <x:v>trachichthyidae</x:v>
      </x:c>
      <x:c r="O198" s="32" t="n">
        <x:v>3.72</x:v>
      </x:c>
      <x:c r="P198" s="24" t="str">
        <x:v>exact_sea_around_us</x:v>
      </x:c>
      <x:c r="Q198" s="32" t="str">
        <x:v>Sea Around Us exploited organisms</x:v>
      </x:c>
      <x:c r="R198" s="24" t="str">
        <x:v>high</x:v>
      </x:c>
      <x:c r="S198" s="24" t="str">
        <x:v>Trachichthyidae</x:v>
      </x:c>
      <x:c r="T198" s="32" t="n">
        <x:f>IF(O198="","",(1/'Metadata'!$B$5)^(O198-1))</x:f>
        <x:v>524.8074602497728</x:v>
      </x:c>
      <x:c r="U198" s="31" t="n">
        <x:f>IF(T198="","",I198*T198)</x:f>
        <x:v>8.054385406803242</x:v>
      </x:c>
    </x:row>
    <x:row r="199" ht="18" customHeight="1">
      <x:c r="A199" s="24" t="str">
        <x:v>LME_043</x:v>
      </x:c>
      <x:c r="B199" s="24" t="str">
        <x:v>Southwest Australian Shelf</x:v>
      </x:c>
      <x:c r="C199" s="24" t="str">
        <x:v>LME</x:v>
      </x:c>
      <x:c r="D199" s="30" t="n">
        <x:v>2019</x:v>
      </x:c>
      <x:c r="E199" s="24" t="str">
        <x:v>Scorpaenidae</x:v>
      </x:c>
      <x:c r="F199" s="24" t="str">
        <x:v>Scorpionfishes, rockfishes</x:v>
      </x:c>
      <x:c r="G199" s="24" t="str">
        <x:v>Large reef assoc. fish (&gt;=90 cm)</x:v>
      </x:c>
      <x:c r="H199" s="24" t="str">
        <x:v>Scorpionfishes</x:v>
      </x:c>
      <x:c r="I199" s="31" t="n">
        <x:v>0.0138118311</x:v>
      </x:c>
      <x:c r="J199" s="31" t="n">
        <x:v>0.0138118311</x:v>
      </x:c>
      <x:c r="K199" s="31" t="n">
        <x:v>0</x:v>
      </x:c>
      <x:c r="L199" s="31" t="n">
        <x:v>0.0132722505</x:v>
      </x:c>
      <x:c r="M199" s="31" t="n">
        <x:v>0.0005395806</x:v>
      </x:c>
      <x:c r="N199" s="24" t="str">
        <x:v>scorpaenidae</x:v>
      </x:c>
      <x:c r="O199" s="32" t="n">
        <x:v>3.92</x:v>
      </x:c>
      <x:c r="P199" s="24" t="str">
        <x:v>exact_sea_around_us</x:v>
      </x:c>
      <x:c r="Q199" s="32" t="str">
        <x:v>Sea Around Us exploited organisms</x:v>
      </x:c>
      <x:c r="R199" s="24" t="str">
        <x:v>high</x:v>
      </x:c>
      <x:c r="S199" s="24" t="str">
        <x:v>Scorpaenidae</x:v>
      </x:c>
      <x:c r="T199" s="32" t="n">
        <x:f>IF(O199="","",(1/'Metadata'!$B$5)^(O199-1))</x:f>
        <x:v>831.7637711026708</x:v>
      </x:c>
      <x:c r="U199" s="31" t="n">
        <x:f>IF(T199="","",I199*T199)</x:f>
        <x:v>11.48818072156915</x:v>
      </x:c>
    </x:row>
    <x:row r="200" ht="18" customHeight="1">
      <x:c r="A200" s="24" t="str">
        <x:v>LME_043</x:v>
      </x:c>
      <x:c r="B200" s="24" t="str">
        <x:v>Southwest Australian Shelf</x:v>
      </x:c>
      <x:c r="C200" s="24" t="str">
        <x:v>LME</x:v>
      </x:c>
      <x:c r="D200" s="30" t="n">
        <x:v>2019</x:v>
      </x:c>
      <x:c r="E200" s="24" t="str">
        <x:v>Lampris</x:v>
      </x:c>
      <x:c r="F200" s="24" t="str">
        <x:v>Opahs</x:v>
      </x:c>
      <x:c r="G200" s="24" t="str">
        <x:v>Large pelagics (&gt;=90 cm)</x:v>
      </x:c>
      <x:c r="H200" s="24" t="str">
        <x:v>Other fishes &amp; inverts</x:v>
      </x:c>
      <x:c r="I200" s="31" t="n">
        <x:v>0.011567392000000001</x:v>
      </x:c>
      <x:c r="J200" s="31" t="n">
        <x:v>0.011567392000000001</x:v>
      </x:c>
      <x:c r="K200" s="31" t="n">
        <x:v>0</x:v>
      </x:c>
      <x:c r="L200" s="31" t="n">
        <x:v>0.011567392000000001</x:v>
      </x:c>
      <x:c r="M200" s="31" t="n">
        <x:v>0</x:v>
      </x:c>
      <x:c r="N200" s="24" t="str">
        <x:v>lampris</x:v>
      </x:c>
      <x:c r="O200" s="32" t="n">
        <x:v>4.22</x:v>
      </x:c>
      <x:c r="P200" s="24" t="str">
        <x:v>exact_sea_around_us</x:v>
      </x:c>
      <x:c r="Q200" s="32" t="str">
        <x:v>Sea Around Us exploited organisms</x:v>
      </x:c>
      <x:c r="R200" s="24" t="str">
        <x:v>high</x:v>
      </x:c>
      <x:c r="S200" s="24" t="str">
        <x:v>Lampris</x:v>
      </x:c>
      <x:c r="T200" s="32" t="n">
        <x:f>IF(O200="","",(1/'Metadata'!$B$5)^(O200-1))</x:f>
        <x:v>1659.5869074375596</x:v>
      </x:c>
      <x:c r="U200" s="31" t="n">
        <x:f>IF(T200="","",I200*T200)</x:f>
        <x:v>19.19709231639797</x:v>
      </x:c>
    </x:row>
    <x:row r="201" ht="18" customHeight="1">
      <x:c r="A201" s="24" t="str">
        <x:v>LME_043</x:v>
      </x:c>
      <x:c r="B201" s="24" t="str">
        <x:v>Southwest Australian Shelf</x:v>
      </x:c>
      <x:c r="C201" s="24" t="str">
        <x:v>LME</x:v>
      </x:c>
      <x:c r="D201" s="30" t="n">
        <x:v>2019</x:v>
      </x:c>
      <x:c r="E201" s="24" t="str">
        <x:v>Odontaspis ferox</x:v>
      </x:c>
      <x:c r="F201" s="24" t="str">
        <x:v>Smalltooth sand tiger</x:v>
      </x:c>
      <x:c r="G201" s="24" t="str">
        <x:v>Large sharks (&gt;=90 cm)</x:v>
      </x:c>
      <x:c r="H201" s="24" t="str">
        <x:v>Sharks &amp; rays</x:v>
      </x:c>
      <x:c r="I201" s="31" t="n">
        <x:v>0.011120146700000002</x:v>
      </x:c>
      <x:c r="J201" s="31" t="n">
        <x:v>0.011120146700000002</x:v>
      </x:c>
      <x:c r="K201" s="31" t="n">
        <x:v>0</x:v>
      </x:c>
      <x:c r="L201" s="31" t="n">
        <x:v>0.011120146700000002</x:v>
      </x:c>
      <x:c r="M201" s="31" t="n">
        <x:v>0</x:v>
      </x:c>
      <x:c r="N201" s="24" t="str">
        <x:v>odontaspis ferox</x:v>
      </x:c>
      <x:c r="O201" s="32" t="n">
        <x:v>4.16</x:v>
      </x:c>
      <x:c r="P201" s="24" t="str">
        <x:v>exact_2020_supplement</x:v>
      </x:c>
      <x:c r="Q201" s="32" t="str">
        <x:v>2020 supplement MeanTL</x:v>
      </x:c>
      <x:c r="R201" s="24" t="str">
        <x:v>high</x:v>
      </x:c>
      <x:c r="S201" s="24" t="str">
        <x:v>Odontaspis ferox</x:v>
      </x:c>
      <x:c r="T201" s="32" t="n">
        <x:f>IF(O201="","",(1/'Metadata'!$B$5)^(O201-1))</x:f>
        <x:v>1445.439770745928</x:v>
      </x:c>
      <x:c r="U201" s="31" t="n">
        <x:f>IF(T201="","",I201*T201)</x:f>
        <x:v>16.07350229670909</x:v>
      </x:c>
    </x:row>
    <x:row r="202" ht="18" customHeight="1">
      <x:c r="A202" s="24" t="str">
        <x:v>LME_043</x:v>
      </x:c>
      <x:c r="B202" s="24" t="str">
        <x:v>Southwest Australian Shelf</x:v>
      </x:c>
      <x:c r="C202" s="24" t="str">
        <x:v>LME</x:v>
      </x:c>
      <x:c r="D202" s="30" t="n">
        <x:v>2019</x:v>
      </x:c>
      <x:c r="E202" s="24" t="str">
        <x:v>Rhynchobatus australiae</x:v>
      </x:c>
      <x:c r="F202" s="24" t="str">
        <x:v>Whitespotted wedgefish</x:v>
      </x:c>
      <x:c r="G202" s="24" t="str">
        <x:v>Large rays (&gt;=90 cm)</x:v>
      </x:c>
      <x:c r="H202" s="24" t="str">
        <x:v>Sharks &amp; rays</x:v>
      </x:c>
      <x:c r="I202" s="31" t="n">
        <x:v>0.0104670684</x:v>
      </x:c>
      <x:c r="J202" s="31" t="n">
        <x:v>0.0104670684</x:v>
      </x:c>
      <x:c r="K202" s="31" t="n">
        <x:v>0</x:v>
      </x:c>
      <x:c r="L202" s="31" t="n">
        <x:v>0</x:v>
      </x:c>
      <x:c r="M202" s="31" t="n">
        <x:v>0.0104670684</x:v>
      </x:c>
      <x:c r="N202" s="24" t="str">
        <x:v>rhynchobatus australiae</x:v>
      </x:c>
      <x:c r="O202" s="32" t="n">
        <x:v>3.54</x:v>
      </x:c>
      <x:c r="P202" s="24" t="str">
        <x:v>exact_2020_supplement</x:v>
      </x:c>
      <x:c r="Q202" s="32" t="str">
        <x:v>2020 supplement MeanTL</x:v>
      </x:c>
      <x:c r="R202" s="24" t="str">
        <x:v>high</x:v>
      </x:c>
      <x:c r="S202" s="24" t="str">
        <x:v>Rhynchobatus australiae</x:v>
      </x:c>
      <x:c r="T202" s="32" t="n">
        <x:f>IF(O202="","",(1/'Metadata'!$B$5)^(O202-1))</x:f>
        <x:v>346.73685045253166</x:v>
      </x:c>
      <x:c r="U202" s="31" t="n">
        <x:f>IF(T202="","",I202*T202)</x:f>
        <x:v>3.62931833048722</x:v>
      </x:c>
    </x:row>
    <x:row r="203" ht="18" customHeight="1">
      <x:c r="A203" s="24" t="str">
        <x:v>LME_043</x:v>
      </x:c>
      <x:c r="B203" s="24" t="str">
        <x:v>Southwest Australian Shelf</x:v>
      </x:c>
      <x:c r="C203" s="24" t="str">
        <x:v>LME</x:v>
      </x:c>
      <x:c r="D203" s="30" t="n">
        <x:v>2019</x:v>
      </x:c>
      <x:c r="E203" s="24" t="str">
        <x:v>Mola</x:v>
      </x:c>
      <x:c r="F203" s="24" t="str">
        <x:v>Sunfishes</x:v>
      </x:c>
      <x:c r="G203" s="24" t="str">
        <x:v>Large pelagics (&gt;=90 cm)</x:v>
      </x:c>
      <x:c r="H203" s="24" t="str">
        <x:v>Other fishes &amp; inverts</x:v>
      </x:c>
      <x:c r="I203" s="31" t="n">
        <x:v>0.0093585297</x:v>
      </x:c>
      <x:c r="J203" s="31" t="n">
        <x:v>0.0093585297</x:v>
      </x:c>
      <x:c r="K203" s="31" t="n">
        <x:v>0</x:v>
      </x:c>
      <x:c r="L203" s="31" t="n">
        <x:v>0.0093585297</x:v>
      </x:c>
      <x:c r="M203" s="31" t="n">
        <x:v>0</x:v>
      </x:c>
      <x:c r="N203" s="24" t="str">
        <x:v>mola</x:v>
      </x:c>
      <x:c r="O203" s="32" t="n">
        <x:v>3.68</x:v>
      </x:c>
      <x:c r="P203" s="24" t="str">
        <x:v>exact_sea_around_us</x:v>
      </x:c>
      <x:c r="Q203" s="32" t="str">
        <x:v>Sea Around Us exploited organisms</x:v>
      </x:c>
      <x:c r="R203" s="24" t="str">
        <x:v>high</x:v>
      </x:c>
      <x:c r="S203" s="24" t="str">
        <x:v>Mola</x:v>
      </x:c>
      <x:c r="T203" s="32" t="n">
        <x:f>IF(O203="","",(1/'Metadata'!$B$5)^(O203-1))</x:f>
        <x:v>478.6300923226385</x:v>
      </x:c>
      <x:c r="U203" s="31" t="n">
        <x:f>IF(T203="","",I203*T203)</x:f>
        <x:v>4.479273934315154</x:v>
      </x:c>
    </x:row>
    <x:row r="204" ht="18" customHeight="1">
      <x:c r="A204" s="24" t="str">
        <x:v>LME_043</x:v>
      </x:c>
      <x:c r="B204" s="24" t="str">
        <x:v>Southwest Australian Shelf</x:v>
      </x:c>
      <x:c r="C204" s="24" t="str">
        <x:v>LME</x:v>
      </x:c>
      <x:c r="D204" s="30" t="n">
        <x:v>2019</x:v>
      </x:c>
      <x:c r="E204" s="24" t="str">
        <x:v>Diastobranchus capensis</x:v>
      </x:c>
      <x:c r="F204" s="24" t="str">
        <x:v>Basketwork eel</x:v>
      </x:c>
      <x:c r="G204" s="24" t="str">
        <x:v>Large bathydemersals (&gt;=90 cm)</x:v>
      </x:c>
      <x:c r="H204" s="24" t="str">
        <x:v>Other fishes &amp; inverts</x:v>
      </x:c>
      <x:c r="I204" s="31" t="n">
        <x:v>0.009133236400000001</x:v>
      </x:c>
      <x:c r="J204" s="31" t="n">
        <x:v>0.009133236400000001</x:v>
      </x:c>
      <x:c r="K204" s="31" t="n">
        <x:v>0</x:v>
      </x:c>
      <x:c r="L204" s="31" t="n">
        <x:v>0.009133236400000001</x:v>
      </x:c>
      <x:c r="M204" s="31" t="n">
        <x:v>0</x:v>
      </x:c>
      <x:c r="N204" s="24" t="str">
        <x:v>diastobranchus capensis</x:v>
      </x:c>
      <x:c r="O204" s="32" t="n">
        <x:v>3.99</x:v>
      </x:c>
      <x:c r="P204" s="24" t="str">
        <x:v>exact_sea_around_us</x:v>
      </x:c>
      <x:c r="Q204" s="32" t="str">
        <x:v>Sea Around Us exploited organisms</x:v>
      </x:c>
      <x:c r="R204" s="24" t="str">
        <x:v>high</x:v>
      </x:c>
      <x:c r="S204" s="24" t="str">
        <x:v>Diastobranchus capensis</x:v>
      </x:c>
      <x:c r="T204" s="32" t="n">
        <x:f>IF(O204="","",(1/'Metadata'!$B$5)^(O204-1))</x:f>
        <x:v>977.2372209558112</x:v>
      </x:c>
      <x:c r="U204" s="31" t="n">
        <x:f>IF(T204="","",I204*T204)</x:f>
        <x:v>8.925338557868459</x:v>
      </x:c>
    </x:row>
    <x:row r="205" ht="18" customHeight="1">
      <x:c r="A205" s="24" t="str">
        <x:v>LME_043</x:v>
      </x:c>
      <x:c r="B205" s="24" t="str">
        <x:v>Southwest Australian Shelf</x:v>
      </x:c>
      <x:c r="C205" s="24" t="str">
        <x:v>LME</x:v>
      </x:c>
      <x:c r="D205" s="30" t="n">
        <x:v>2019</x:v>
      </x:c>
      <x:c r="E205" s="24" t="str">
        <x:v>Caranx</x:v>
      </x:c>
      <x:c r="F205" s="24" t="str">
        <x:v>Jacks</x:v>
      </x:c>
      <x:c r="G205" s="24" t="str">
        <x:v>Medium reef assoc. fish (30 - 89 cm)</x:v>
      </x:c>
      <x:c r="H205" s="24" t="str">
        <x:v>Perch-likes</x:v>
      </x:c>
      <x:c r="I205" s="31" t="n">
        <x:v>0.0084132546</x:v>
      </x:c>
      <x:c r="J205" s="31" t="n">
        <x:v>0.0084132546</x:v>
      </x:c>
      <x:c r="K205" s="31" t="n">
        <x:v>0</x:v>
      </x:c>
      <x:c r="L205" s="31" t="n">
        <x:v>0.0041774768000000006</x:v>
      </x:c>
      <x:c r="M205" s="31" t="n">
        <x:v>0.0042357778</x:v>
      </x:c>
      <x:c r="N205" s="24" t="str">
        <x:v>caranx</x:v>
      </x:c>
      <x:c r="O205" s="32" t="n">
        <x:v>4.12</x:v>
      </x:c>
      <x:c r="P205" s="24" t="str">
        <x:v>exact_sea_around_us</x:v>
      </x:c>
      <x:c r="Q205" s="32" t="str">
        <x:v>Sea Around Us exploited organisms</x:v>
      </x:c>
      <x:c r="R205" s="24" t="str">
        <x:v>high</x:v>
      </x:c>
      <x:c r="S205" s="24" t="str">
        <x:v>Caranx</x:v>
      </x:c>
      <x:c r="T205" s="32" t="n">
        <x:f>IF(O205="","",(1/'Metadata'!$B$5)^(O205-1))</x:f>
        <x:v>1318.2567385564075</x:v>
      </x:c>
      <x:c r="U205" s="31" t="n">
        <x:f>IF(T205="","",I205*T205)</x:f>
        <x:v>11.090829569640693</x:v>
      </x:c>
    </x:row>
    <x:row r="206" ht="18" customHeight="1">
      <x:c r="A206" s="24" t="str">
        <x:v>LME_043</x:v>
      </x:c>
      <x:c r="B206" s="24" t="str">
        <x:v>Southwest Australian Shelf</x:v>
      </x:c>
      <x:c r="C206" s="24" t="str">
        <x:v>LME</x:v>
      </x:c>
      <x:c r="D206" s="30" t="n">
        <x:v>2019</x:v>
      </x:c>
      <x:c r="E206" s="24" t="str">
        <x:v>Naucrates ductor</x:v>
      </x:c>
      <x:c r="F206" s="24" t="str">
        <x:v>Pilotfish</x:v>
      </x:c>
      <x:c r="G206" s="24" t="str">
        <x:v>Medium pelagics (30 - 89 cm)</x:v>
      </x:c>
      <x:c r="H206" s="24" t="str">
        <x:v>Perch-likes</x:v>
      </x:c>
      <x:c r="I206" s="31" t="n">
        <x:v>0.0082868966</x:v>
      </x:c>
      <x:c r="J206" s="31" t="n">
        <x:v>0.0082868966</x:v>
      </x:c>
      <x:c r="K206" s="31" t="n">
        <x:v>0</x:v>
      </x:c>
      <x:c r="L206" s="31" t="n">
        <x:v>0</x:v>
      </x:c>
      <x:c r="M206" s="31" t="n">
        <x:v>0.0082868966</x:v>
      </x:c>
      <x:c r="N206" s="24" t="str">
        <x:v>naucrates ductor</x:v>
      </x:c>
      <x:c r="O206" s="32" t="n">
        <x:v>3.98</x:v>
      </x:c>
      <x:c r="P206" s="24" t="str">
        <x:v>exact_2020_supplement</x:v>
      </x:c>
      <x:c r="Q206" s="32" t="str">
        <x:v>2020 supplement MeanTL</x:v>
      </x:c>
      <x:c r="R206" s="24" t="str">
        <x:v>high</x:v>
      </x:c>
      <x:c r="S206" s="24" t="str">
        <x:v>Naucrates ductor</x:v>
      </x:c>
      <x:c r="T206" s="32" t="n">
        <x:f>IF(O206="","",(1/'Metadata'!$B$5)^(O206-1))</x:f>
        <x:v>954.992586021436</x:v>
      </x:c>
      <x:c r="U206" s="31" t="n">
        <x:f>IF(T206="","",I206*T206)</x:f>
        <x:v>7.913924814126244</x:v>
      </x:c>
    </x:row>
    <x:row r="207" ht="18" customHeight="1">
      <x:c r="A207" s="24" t="str">
        <x:v>LME_043</x:v>
      </x:c>
      <x:c r="B207" s="24" t="str">
        <x:v>Southwest Australian Shelf</x:v>
      </x:c>
      <x:c r="C207" s="24" t="str">
        <x:v>LME</x:v>
      </x:c>
      <x:c r="D207" s="30" t="n">
        <x:v>2019</x:v>
      </x:c>
      <x:c r="E207" s="24" t="str">
        <x:v>Bramidae</x:v>
      </x:c>
      <x:c r="F207" s="24" t="str">
        <x:v>Pomfrets</x:v>
      </x:c>
      <x:c r="G207" s="24" t="str">
        <x:v>Medium pelagics (30 - 89 cm)</x:v>
      </x:c>
      <x:c r="H207" s="24" t="str">
        <x:v>Perch-likes</x:v>
      </x:c>
      <x:c r="I207" s="31" t="n">
        <x:v>0.0060889768</x:v>
      </x:c>
      <x:c r="J207" s="31" t="n">
        <x:v>0.0060889768</x:v>
      </x:c>
      <x:c r="K207" s="31" t="n">
        <x:v>0</x:v>
      </x:c>
      <x:c r="L207" s="31" t="n">
        <x:v>0.0060889768</x:v>
      </x:c>
      <x:c r="M207" s="31" t="n">
        <x:v>0</x:v>
      </x:c>
      <x:c r="N207" s="24" t="str">
        <x:v>bramidae</x:v>
      </x:c>
      <x:c r="O207" s="32" t="n">
        <x:v>4.14</x:v>
      </x:c>
      <x:c r="P207" s="24" t="str">
        <x:v>exact_sea_around_us</x:v>
      </x:c>
      <x:c r="Q207" s="32" t="str">
        <x:v>Sea Around Us exploited organisms</x:v>
      </x:c>
      <x:c r="R207" s="24" t="str">
        <x:v>high</x:v>
      </x:c>
      <x:c r="S207" s="24" t="str">
        <x:v>Bramidae</x:v>
      </x:c>
      <x:c r="T207" s="32" t="n">
        <x:f>IF(O207="","",(1/'Metadata'!$B$5)^(O207-1))</x:f>
        <x:v>1380.3842646028838</x:v>
      </x:c>
      <x:c r="U207" s="31" t="n">
        <x:f>IF(T207="","",I207*T207)</x:f>
        <x:v>8.40512776225202</x:v>
      </x:c>
    </x:row>
    <x:row r="208" ht="18" customHeight="1">
      <x:c r="A208" s="24" t="str">
        <x:v>LME_043</x:v>
      </x:c>
      <x:c r="B208" s="24" t="str">
        <x:v>Southwest Australian Shelf</x:v>
      </x:c>
      <x:c r="C208" s="24" t="str">
        <x:v>LME</x:v>
      </x:c>
      <x:c r="D208" s="30" t="n">
        <x:v>2019</x:v>
      </x:c>
      <x:c r="E208" s="24" t="str">
        <x:v>Squalus acanthias</x:v>
      </x:c>
      <x:c r="F208" s="24" t="str">
        <x:v>Picked dogfish</x:v>
      </x:c>
      <x:c r="G208" s="24" t="str">
        <x:v>Large sharks (&gt;=90 cm)</x:v>
      </x:c>
      <x:c r="H208" s="24" t="str">
        <x:v>Sharks &amp; rays</x:v>
      </x:c>
      <x:c r="I208" s="31" t="n">
        <x:v>0.0053999805</x:v>
      </x:c>
      <x:c r="J208" s="31" t="n">
        <x:v>0.0053999805</x:v>
      </x:c>
      <x:c r="K208" s="31" t="n">
        <x:v>0</x:v>
      </x:c>
      <x:c r="L208" s="31" t="n">
        <x:v>0.0053999805</x:v>
      </x:c>
      <x:c r="M208" s="31" t="n">
        <x:v>0</x:v>
      </x:c>
      <x:c r="N208" s="24" t="str">
        <x:v>squalus acanthias</x:v>
      </x:c>
      <x:c r="O208" s="32" t="n">
        <x:v>4.37</x:v>
      </x:c>
      <x:c r="P208" s="24" t="str">
        <x:v>exact_2020_supplement</x:v>
      </x:c>
      <x:c r="Q208" s="32" t="str">
        <x:v>2020 supplement MeanTL</x:v>
      </x:c>
      <x:c r="R208" s="24" t="str">
        <x:v>high</x:v>
      </x:c>
      <x:c r="S208" s="24" t="str">
        <x:v>Squalus acanthias</x:v>
      </x:c>
      <x:c r="T208" s="32" t="n">
        <x:f>IF(O208="","",(1/'Metadata'!$B$5)^(O208-1))</x:f>
        <x:v>2344.228815319923</x:v>
      </x:c>
      <x:c r="U208" s="31" t="n">
        <x:f>IF(T208="","",I208*T208)</x:f>
        <x:v>12.658789890265686</x:v>
      </x:c>
    </x:row>
    <x:row r="209" ht="18" customHeight="1">
      <x:c r="A209" s="24" t="str">
        <x:v>LME_043</x:v>
      </x:c>
      <x:c r="B209" s="24" t="str">
        <x:v>Southwest Australian Shelf</x:v>
      </x:c>
      <x:c r="C209" s="24" t="str">
        <x:v>LME</x:v>
      </x:c>
      <x:c r="D209" s="30" t="n">
        <x:v>2019</x:v>
      </x:c>
      <x:c r="E209" s="24" t="str">
        <x:v>Parupeneus</x:v>
      </x:c>
      <x:c r="F209" s="24" t="str">
        <x:v>Parupeneid goatfishes</x:v>
      </x:c>
      <x:c r="G209" s="24" t="str">
        <x:v>Medium reef assoc. fish (30 - 89 cm)</x:v>
      </x:c>
      <x:c r="H209" s="24" t="str">
        <x:v>Perch-likes</x:v>
      </x:c>
      <x:c r="I209" s="31" t="n">
        <x:v>0.005315152199999999</x:v>
      </x:c>
      <x:c r="J209" s="31" t="n">
        <x:v>0.005315152199999999</x:v>
      </x:c>
      <x:c r="K209" s="31" t="n">
        <x:v>0</x:v>
      </x:c>
      <x:c r="L209" s="31" t="n">
        <x:v>0.0053051083999999995</x:v>
      </x:c>
      <x:c r="M209" s="31" t="n">
        <x:v>0.0000100438</x:v>
      </x:c>
      <x:c r="N209" s="24" t="str">
        <x:v>parupeneus</x:v>
      </x:c>
      <x:c r="O209" s="32" t="n">
        <x:v>3.51</x:v>
      </x:c>
      <x:c r="P209" s="24" t="str">
        <x:v>exact_sea_around_us</x:v>
      </x:c>
      <x:c r="Q209" s="32" t="str">
        <x:v>Sea Around Us exploited organisms</x:v>
      </x:c>
      <x:c r="R209" s="24" t="str">
        <x:v>high</x:v>
      </x:c>
      <x:c r="S209" s="24" t="str">
        <x:v>Parupeneus</x:v>
      </x:c>
      <x:c r="T209" s="32" t="n">
        <x:f>IF(O209="","",(1/'Metadata'!$B$5)^(O209-1))</x:f>
        <x:v>323.5936569296281</x:v>
      </x:c>
      <x:c r="U209" s="31" t="n">
        <x:f>IF(T209="","",I209*T209)</x:f>
        <x:v>1.7199495375355578</x:v>
      </x:c>
    </x:row>
    <x:row r="210" ht="18" customHeight="1">
      <x:c r="A210" s="24" t="str">
        <x:v>LME_043</x:v>
      </x:c>
      <x:c r="B210" s="24" t="str">
        <x:v>Southwest Australian Shelf</x:v>
      </x:c>
      <x:c r="C210" s="24" t="str">
        <x:v>LME</x:v>
      </x:c>
      <x:c r="D210" s="30" t="n">
        <x:v>2019</x:v>
      </x:c>
      <x:c r="E210" s="24" t="str">
        <x:v>Trichiurus lepturus</x:v>
      </x:c>
      <x:c r="F210" s="24" t="str">
        <x:v>Largehead hairtail</x:v>
      </x:c>
      <x:c r="G210" s="24" t="str">
        <x:v>Large benthopelagics (&gt;=90 cm)</x:v>
      </x:c>
      <x:c r="H210" s="24" t="str">
        <x:v>Perch-likes</x:v>
      </x:c>
      <x:c r="I210" s="31" t="n">
        <x:v>0.0052539116</x:v>
      </x:c>
      <x:c r="J210" s="31" t="n">
        <x:v>0.0052539116</x:v>
      </x:c>
      <x:c r="K210" s="31" t="n">
        <x:v>0</x:v>
      </x:c>
      <x:c r="L210" s="31" t="n">
        <x:v>0</x:v>
      </x:c>
      <x:c r="M210" s="31" t="n">
        <x:v>0.0052539116</x:v>
      </x:c>
      <x:c r="N210" s="24" t="str">
        <x:v>trichiurus lepturus</x:v>
      </x:c>
      <x:c r="O210" s="32" t="n">
        <x:v>4.42</x:v>
      </x:c>
      <x:c r="P210" s="24" t="str">
        <x:v>exact_2020_supplement</x:v>
      </x:c>
      <x:c r="Q210" s="32" t="str">
        <x:v>2020 supplement MeanTL</x:v>
      </x:c>
      <x:c r="R210" s="24" t="str">
        <x:v>high</x:v>
      </x:c>
      <x:c r="S210" s="24" t="str">
        <x:v>Trichiurus lepturus</x:v>
      </x:c>
      <x:c r="T210" s="32" t="n">
        <x:f>IF(O210="","",(1/'Metadata'!$B$5)^(O210-1))</x:f>
        <x:v>2630.2679918953813</x:v>
      </x:c>
      <x:c r="U210" s="31" t="n">
        <x:f>IF(T210="","",I210*T210)</x:f>
        <x:v>13.81919551372785</x:v>
      </x:c>
    </x:row>
    <x:row r="211" ht="18" customHeight="1">
      <x:c r="A211" s="24" t="str">
        <x:v>LME_043</x:v>
      </x:c>
      <x:c r="B211" s="24" t="str">
        <x:v>Southwest Australian Shelf</x:v>
      </x:c>
      <x:c r="C211" s="24" t="str">
        <x:v>LME</x:v>
      </x:c>
      <x:c r="D211" s="30" t="n">
        <x:v>2019</x:v>
      </x:c>
      <x:c r="E211" s="24" t="str">
        <x:v>Soleidae</x:v>
      </x:c>
      <x:c r="F211" s="24" t="str">
        <x:v>Soles</x:v>
      </x:c>
      <x:c r="G211" s="24" t="str">
        <x:v>Small to medium flatfishes (&lt;90 cm)</x:v>
      </x:c>
      <x:c r="H211" s="24" t="str">
        <x:v>Flatfishes</x:v>
      </x:c>
      <x:c r="I211" s="31" t="n">
        <x:v>0.0052365292</x:v>
      </x:c>
      <x:c r="J211" s="31" t="n">
        <x:v>0.0052365292</x:v>
      </x:c>
      <x:c r="K211" s="31" t="n">
        <x:v>0</x:v>
      </x:c>
      <x:c r="L211" s="31" t="n">
        <x:v>0.0052362106</x:v>
      </x:c>
      <x:c r="M211" s="31" t="n">
        <x:v>3.186e-7</x:v>
      </x:c>
      <x:c r="N211" s="24" t="str">
        <x:v>soleidae</x:v>
      </x:c>
      <x:c r="O211" s="32" t="n">
        <x:v>3.15</x:v>
      </x:c>
      <x:c r="P211" s="24" t="str">
        <x:v>exact_sea_around_us</x:v>
      </x:c>
      <x:c r="Q211" s="32" t="str">
        <x:v>Sea Around Us exploited organisms</x:v>
      </x:c>
      <x:c r="R211" s="24" t="str">
        <x:v>high</x:v>
      </x:c>
      <x:c r="S211" s="24" t="str">
        <x:v>Soleidae</x:v>
      </x:c>
      <x:c r="T211" s="32" t="n">
        <x:f>IF(O211="","",(1/'Metadata'!$B$5)^(O211-1))</x:f>
        <x:v>141.2537544622754</x:v>
      </x:c>
      <x:c r="U211" s="31" t="n">
        <x:f>IF(T211="","",I211*T211)</x:f>
        <x:v>0.7396794098513354</x:v>
      </x:c>
    </x:row>
    <x:row r="212" ht="18" customHeight="1">
      <x:c r="A212" s="24" t="str">
        <x:v>LME_043</x:v>
      </x:c>
      <x:c r="B212" s="24" t="str">
        <x:v>Southwest Australian Shelf</x:v>
      </x:c>
      <x:c r="C212" s="24" t="str">
        <x:v>LME</x:v>
      </x:c>
      <x:c r="D212" s="30" t="n">
        <x:v>2019</x:v>
      </x:c>
      <x:c r="E212" s="24" t="str">
        <x:v>Cookeolus japonicus</x:v>
      </x:c>
      <x:c r="F212" s="24" t="str">
        <x:v>Longfinned bullseye</x:v>
      </x:c>
      <x:c r="G212" s="24" t="str">
        <x:v>Medium benthopelagics (30 - 89 cm)</x:v>
      </x:c>
      <x:c r="H212" s="24" t="str">
        <x:v>Perch-likes</x:v>
      </x:c>
      <x:c r="I212" s="31" t="n">
        <x:v>0.0040061232</x:v>
      </x:c>
      <x:c r="J212" s="31" t="n">
        <x:v>0.0040061232</x:v>
      </x:c>
      <x:c r="K212" s="31" t="n">
        <x:v>0</x:v>
      </x:c>
      <x:c r="L212" s="31" t="n">
        <x:v>0</x:v>
      </x:c>
      <x:c r="M212" s="31" t="n">
        <x:v>0.0040061232</x:v>
      </x:c>
      <x:c r="N212" s="24" t="str">
        <x:v>cookeolus japonicus</x:v>
      </x:c>
      <x:c r="O212" s="32" t="n">
        <x:v>3.5</x:v>
      </x:c>
      <x:c r="P212" s="24" t="str">
        <x:v>exact_2020_supplement</x:v>
      </x:c>
      <x:c r="Q212" s="32" t="str">
        <x:v>2020 supplement MeanTL</x:v>
      </x:c>
      <x:c r="R212" s="24" t="str">
        <x:v>high</x:v>
      </x:c>
      <x:c r="S212" s="24" t="str">
        <x:v>Cookeolus japonicus</x:v>
      </x:c>
      <x:c r="T212" s="32" t="n">
        <x:f>IF(O212="","",(1/'Metadata'!$B$5)^(O212-1))</x:f>
        <x:v>316.22776601683796</x:v>
      </x:c>
      <x:c r="U212" s="31" t="n">
        <x:f>IF(T212="","",I212*T212)</x:f>
        <x:v>1.2668473899242263</x:v>
      </x:c>
    </x:row>
    <x:row r="213" ht="18" customHeight="1">
      <x:c r="A213" s="24" t="str">
        <x:v>LME_043</x:v>
      </x:c>
      <x:c r="B213" s="24" t="str">
        <x:v>Southwest Australian Shelf</x:v>
      </x:c>
      <x:c r="C213" s="24" t="str">
        <x:v>LME</x:v>
      </x:c>
      <x:c r="D213" s="30" t="n">
        <x:v>2019</x:v>
      </x:c>
      <x:c r="E213" s="24" t="str">
        <x:v>Priacanthidae</x:v>
      </x:c>
      <x:c r="F213" s="24" t="str">
        <x:v>Bigeyes, catalufas</x:v>
      </x:c>
      <x:c r="G213" s="24" t="str">
        <x:v>Medium reef assoc. fish (30 - 89 cm)</x:v>
      </x:c>
      <x:c r="H213" s="24" t="str">
        <x:v>Perch-likes</x:v>
      </x:c>
      <x:c r="I213" s="31" t="n">
        <x:v>0.0036039127</x:v>
      </x:c>
      <x:c r="J213" s="31" t="n">
        <x:v>0.0036039127</x:v>
      </x:c>
      <x:c r="K213" s="31" t="n">
        <x:v>0</x:v>
      </x:c>
      <x:c r="L213" s="31" t="n">
        <x:v>0.0036039127</x:v>
      </x:c>
      <x:c r="M213" s="31" t="n">
        <x:v>0</x:v>
      </x:c>
      <x:c r="N213" s="24" t="str">
        <x:v>priacanthidae</x:v>
      </x:c>
      <x:c r="O213" s="32" t="n">
        <x:v>3.79</x:v>
      </x:c>
      <x:c r="P213" s="24" t="str">
        <x:v>exact_sea_around_us</x:v>
      </x:c>
      <x:c r="Q213" s="32" t="str">
        <x:v>Sea Around Us exploited organisms</x:v>
      </x:c>
      <x:c r="R213" s="24" t="str">
        <x:v>high</x:v>
      </x:c>
      <x:c r="S213" s="24" t="str">
        <x:v>Priacanthidae</x:v>
      </x:c>
      <x:c r="T213" s="32" t="n">
        <x:f>IF(O213="","",(1/'Metadata'!$B$5)^(O213-1))</x:f>
        <x:v>616.5950018614822</x:v>
      </x:c>
      <x:c r="U213" s="31" t="n">
        <x:f>IF(T213="","",I213*T213)</x:f>
        <x:v>2.222154557965119</x:v>
      </x:c>
    </x:row>
    <x:row r="214" ht="18" customHeight="1">
      <x:c r="A214" s="24" t="str">
        <x:v>LME_043</x:v>
      </x:c>
      <x:c r="B214" s="24" t="str">
        <x:v>Southwest Australian Shelf</x:v>
      </x:c>
      <x:c r="C214" s="24" t="str">
        <x:v>LME</x:v>
      </x:c>
      <x:c r="D214" s="30" t="n">
        <x:v>2019</x:v>
      </x:c>
      <x:c r="E214" s="24" t="str">
        <x:v>Scarus ghobban</x:v>
      </x:c>
      <x:c r="F214" s="24" t="str">
        <x:v>Blue-barred parrotfish</x:v>
      </x:c>
      <x:c r="G214" s="24" t="str">
        <x:v>Medium reef assoc. fish (30 - 89 cm)</x:v>
      </x:c>
      <x:c r="H214" s="24" t="str">
        <x:v>Perch-likes</x:v>
      </x:c>
      <x:c r="I214" s="31" t="n">
        <x:v>0.0028597056</x:v>
      </x:c>
      <x:c r="J214" s="31" t="n">
        <x:v>0.0028597056</x:v>
      </x:c>
      <x:c r="K214" s="31" t="n">
        <x:v>0</x:v>
      </x:c>
      <x:c r="L214" s="31" t="n">
        <x:v>0</x:v>
      </x:c>
      <x:c r="M214" s="31" t="n">
        <x:v>0.0028597056</x:v>
      </x:c>
      <x:c r="N214" s="24" t="str">
        <x:v>scarus ghobban</x:v>
      </x:c>
      <x:c r="O214" s="32" t="n">
        <x:v>2</x:v>
      </x:c>
      <x:c r="P214" s="24" t="str">
        <x:v>exact_2020_supplement</x:v>
      </x:c>
      <x:c r="Q214" s="32" t="str">
        <x:v>2020 supplement MeanTL</x:v>
      </x:c>
      <x:c r="R214" s="24" t="str">
        <x:v>high</x:v>
      </x:c>
      <x:c r="S214" s="24" t="str">
        <x:v>Scarus ghobban</x:v>
      </x:c>
      <x:c r="T214" s="32" t="n">
        <x:f>IF(O214="","",(1/'Metadata'!$B$5)^(O214-1))</x:f>
        <x:v>10</x:v>
      </x:c>
      <x:c r="U214" s="31" t="n">
        <x:f>IF(T214="","",I214*T214)</x:f>
        <x:v>0.028597056</x:v>
      </x:c>
    </x:row>
    <x:row r="215" ht="18" customHeight="1">
      <x:c r="A215" s="24" t="str">
        <x:v>LME_043</x:v>
      </x:c>
      <x:c r="B215" s="24" t="str">
        <x:v>Southwest Australian Shelf</x:v>
      </x:c>
      <x:c r="C215" s="24" t="str">
        <x:v>LME</x:v>
      </x:c>
      <x:c r="D215" s="30" t="n">
        <x:v>2019</x:v>
      </x:c>
      <x:c r="E215" s="24" t="str">
        <x:v>Decapterus macarellus</x:v>
      </x:c>
      <x:c r="F215" s="24" t="str">
        <x:v>Mackerel scad</x:v>
      </x:c>
      <x:c r="G215" s="24" t="str">
        <x:v>Medium pelagics (30 - 89 cm)</x:v>
      </x:c>
      <x:c r="H215" s="24" t="str">
        <x:v>Perch-likes</x:v>
      </x:c>
      <x:c r="I215" s="31" t="n">
        <x:v>0.0024541369</x:v>
      </x:c>
      <x:c r="J215" s="31" t="n">
        <x:v>0.0024541369</x:v>
      </x:c>
      <x:c r="K215" s="31" t="n">
        <x:v>0</x:v>
      </x:c>
      <x:c r="L215" s="31" t="n">
        <x:v>0</x:v>
      </x:c>
      <x:c r="M215" s="31" t="n">
        <x:v>0.0024541369</x:v>
      </x:c>
      <x:c r="N215" s="24" t="str">
        <x:v>decapterus macarellus</x:v>
      </x:c>
      <x:c r="O215" s="32" t="n">
        <x:v>3.96</x:v>
      </x:c>
      <x:c r="P215" s="24" t="str">
        <x:v>exact_2020_supplement</x:v>
      </x:c>
      <x:c r="Q215" s="32" t="str">
        <x:v>2020 supplement MeanTL</x:v>
      </x:c>
      <x:c r="R215" s="24" t="str">
        <x:v>high</x:v>
      </x:c>
      <x:c r="S215" s="24" t="str">
        <x:v>Decapterus macarellus</x:v>
      </x:c>
      <x:c r="T215" s="32" t="n">
        <x:f>IF(O215="","",(1/'Metadata'!$B$5)^(O215-1))</x:f>
        <x:v>912.0108393559096</x:v>
      </x:c>
      <x:c r="U215" s="31" t="n">
        <x:f>IF(T215="","",I215*T215)</x:f>
        <x:v>2.23819945406331</x:v>
      </x:c>
    </x:row>
    <x:row r="216" ht="18" customHeight="1">
      <x:c r="A216" s="24" t="str">
        <x:v>LME_043</x:v>
      </x:c>
      <x:c r="B216" s="24" t="str">
        <x:v>Southwest Australian Shelf</x:v>
      </x:c>
      <x:c r="C216" s="24" t="str">
        <x:v>LME</x:v>
      </x:c>
      <x:c r="D216" s="30" t="n">
        <x:v>2019</x:v>
      </x:c>
      <x:c r="E216" s="24" t="str">
        <x:v>Ablennes hians</x:v>
      </x:c>
      <x:c r="F216" s="24" t="str">
        <x:v>Flat needlefish</x:v>
      </x:c>
      <x:c r="G216" s="24" t="str">
        <x:v>Large pelagics (&gt;=90 cm)</x:v>
      </x:c>
      <x:c r="H216" s="24" t="str">
        <x:v>Other fishes &amp; inverts</x:v>
      </x:c>
      <x:c r="I216" s="31" t="n">
        <x:v>0.0021484771</x:v>
      </x:c>
      <x:c r="J216" s="31" t="n">
        <x:v>0.0021484771</x:v>
      </x:c>
      <x:c r="K216" s="31" t="n">
        <x:v>0</x:v>
      </x:c>
      <x:c r="L216" s="31" t="n">
        <x:v>0</x:v>
      </x:c>
      <x:c r="M216" s="31" t="n">
        <x:v>0.0021484771</x:v>
      </x:c>
      <x:c r="N216" s="24" t="str">
        <x:v>ablennes hians</x:v>
      </x:c>
      <x:c r="O216" s="32" t="n">
        <x:v>4.5</x:v>
      </x:c>
      <x:c r="P216" s="24" t="str">
        <x:v>exact_2020_supplement</x:v>
      </x:c>
      <x:c r="Q216" s="32" t="str">
        <x:v>2020 supplement MeanTL</x:v>
      </x:c>
      <x:c r="R216" s="24" t="str">
        <x:v>high</x:v>
      </x:c>
      <x:c r="S216" s="24" t="str">
        <x:v>Ablennes hians</x:v>
      </x:c>
      <x:c r="T216" s="32" t="n">
        <x:f>IF(O216="","",(1/'Metadata'!$B$5)^(O216-1))</x:f>
        <x:v>3162.2776601683795</x:v>
      </x:c>
      <x:c r="U216" s="31" t="n">
        <x:f>IF(T216="","",I216*T216)</x:f>
        <x:v>6.794081136713345</x:v>
      </x:c>
    </x:row>
    <x:row r="217" ht="18" customHeight="1">
      <x:c r="A217" s="24" t="str">
        <x:v>LME_043</x:v>
      </x:c>
      <x:c r="B217" s="24" t="str">
        <x:v>Southwest Australian Shelf</x:v>
      </x:c>
      <x:c r="C217" s="24" t="str">
        <x:v>LME</x:v>
      </x:c>
      <x:c r="D217" s="30" t="n">
        <x:v>2019</x:v>
      </x:c>
      <x:c r="E217" s="24" t="str">
        <x:v>Echinodermata</x:v>
      </x:c>
      <x:c r="F217" s="24" t="str">
        <x:v>Sea urchins, stars, cucumbers</x:v>
      </x:c>
      <x:c r="G217" s="24" t="str">
        <x:v>Other demersal invertebrates</x:v>
      </x:c>
      <x:c r="H217" s="24" t="str">
        <x:v>Other fishes &amp; inverts</x:v>
      </x:c>
      <x:c r="I217" s="31" t="n">
        <x:v>0.0021312553</x:v>
      </x:c>
      <x:c r="J217" s="31" t="n">
        <x:v>0.0021312553</x:v>
      </x:c>
      <x:c r="K217" s="31" t="n">
        <x:v>0</x:v>
      </x:c>
      <x:c r="L217" s="31" t="n">
        <x:v>0</x:v>
      </x:c>
      <x:c r="M217" s="31" t="n">
        <x:v>0.0021312553</x:v>
      </x:c>
      <x:c r="N217" s="24" t="str">
        <x:v>echinodermata</x:v>
      </x:c>
      <x:c r="O217" s="32" t="n">
        <x:v>2.3</x:v>
      </x:c>
      <x:c r="P217" s="24" t="str">
        <x:v>exact_sea_around_us</x:v>
      </x:c>
      <x:c r="Q217" s="32" t="str">
        <x:v>Sea Around Us exploited organisms</x:v>
      </x:c>
      <x:c r="R217" s="24" t="str">
        <x:v>high</x:v>
      </x:c>
      <x:c r="S217" s="24" t="str">
        <x:v>Echinodermata</x:v>
      </x:c>
      <x:c r="T217" s="32" t="n">
        <x:f>IF(O217="","",(1/'Metadata'!$B$5)^(O217-1))</x:f>
        <x:v>19.952623149688787</x:v>
      </x:c>
      <x:c r="U217" s="31" t="n">
        <x:f>IF(T217="","",I217*T217)</x:f>
        <x:v>0.04252413383667692</x:v>
      </x:c>
    </x:row>
    <x:row r="218" ht="18" customHeight="1">
      <x:c r="A218" s="24" t="str">
        <x:v>LME_043</x:v>
      </x:c>
      <x:c r="B218" s="24" t="str">
        <x:v>Southwest Australian Shelf</x:v>
      </x:c>
      <x:c r="C218" s="24" t="str">
        <x:v>LME</x:v>
      </x:c>
      <x:c r="D218" s="30" t="n">
        <x:v>2019</x:v>
      </x:c>
      <x:c r="E218" s="24" t="str">
        <x:v>Aldrichetta forsteri</x:v>
      </x:c>
      <x:c r="F218" s="24" t="str">
        <x:v>Yellow-eye mullet</x:v>
      </x:c>
      <x:c r="G218" s="24" t="str">
        <x:v>Small pelagics (&lt;30 cm)</x:v>
      </x:c>
      <x:c r="H218" s="24" t="str">
        <x:v>Other fishes &amp; inverts</x:v>
      </x:c>
      <x:c r="I218" s="31" t="n">
        <x:v>0.0020828469</x:v>
      </x:c>
      <x:c r="J218" s="31" t="n">
        <x:v>0.0020828469</x:v>
      </x:c>
      <x:c r="K218" s="31" t="n">
        <x:v>0</x:v>
      </x:c>
      <x:c r="L218" s="31" t="n">
        <x:v>0</x:v>
      </x:c>
      <x:c r="M218" s="31" t="n">
        <x:v>0.0020828469</x:v>
      </x:c>
      <x:c r="N218" s="24" t="str">
        <x:v>aldrichetta forsteri</x:v>
      </x:c>
      <x:c r="O218" s="32" t="n">
        <x:v>2.51</x:v>
      </x:c>
      <x:c r="P218" s="24" t="str">
        <x:v>exact_2020_supplement</x:v>
      </x:c>
      <x:c r="Q218" s="32" t="str">
        <x:v>2020 supplement MeanTL</x:v>
      </x:c>
      <x:c r="R218" s="24" t="str">
        <x:v>high</x:v>
      </x:c>
      <x:c r="S218" s="24" t="str">
        <x:v>Aldrichetta forsteri</x:v>
      </x:c>
      <x:c r="T218" s="32" t="n">
        <x:f>IF(O218="","",(1/'Metadata'!$B$5)^(O218-1))</x:f>
        <x:v>32.35936569296281</x:v>
      </x:c>
      <x:c r="U218" s="31" t="n">
        <x:f>IF(T218="","",I218*T218)</x:f>
        <x:v>0.06739960451955394</x:v>
      </x:c>
    </x:row>
    <x:row r="219" ht="18" customHeight="1">
      <x:c r="A219" s="24" t="str">
        <x:v>LME_043</x:v>
      </x:c>
      <x:c r="B219" s="24" t="str">
        <x:v>Southwest Australian Shelf</x:v>
      </x:c>
      <x:c r="C219" s="24" t="str">
        <x:v>LME</x:v>
      </x:c>
      <x:c r="D219" s="30" t="n">
        <x:v>2019</x:v>
      </x:c>
      <x:c r="E219" s="24" t="str">
        <x:v>Auxis rochei</x:v>
      </x:c>
      <x:c r="F219" s="24" t="str">
        <x:v>Bullet tuna</x:v>
      </x:c>
      <x:c r="G219" s="24" t="str">
        <x:v>Medium pelagics (30 - 89 cm)</x:v>
      </x:c>
      <x:c r="H219" s="24" t="str">
        <x:v>Tuna &amp; billfishes</x:v>
      </x:c>
      <x:c r="I219" s="31" t="n">
        <x:v>0.0020017704</x:v>
      </x:c>
      <x:c r="J219" s="31" t="n">
        <x:v>0.0020017704</x:v>
      </x:c>
      <x:c r="K219" s="31" t="n">
        <x:v>0</x:v>
      </x:c>
      <x:c r="L219" s="31" t="n">
        <x:v>0</x:v>
      </x:c>
      <x:c r="M219" s="31" t="n">
        <x:v>0.0020017704</x:v>
      </x:c>
      <x:c r="N219" s="24" t="str">
        <x:v>auxis rochei</x:v>
      </x:c>
      <x:c r="O219" s="32" t="n">
        <x:v>4.13</x:v>
      </x:c>
      <x:c r="P219" s="24" t="str">
        <x:v>exact_2020_supplement</x:v>
      </x:c>
      <x:c r="Q219" s="32" t="str">
        <x:v>2020 supplement MeanTL</x:v>
      </x:c>
      <x:c r="R219" s="24" t="str">
        <x:v>high</x:v>
      </x:c>
      <x:c r="S219" s="24" t="str">
        <x:v>Auxis rochei</x:v>
      </x:c>
      <x:c r="T219" s="32" t="n">
        <x:f>IF(O219="","",(1/'Metadata'!$B$5)^(O219-1))</x:f>
        <x:v>1348.9628825916532</x:v>
      </x:c>
      <x:c r="U219" s="31" t="n">
        <x:f>IF(T219="","",I219*T219)</x:f>
        <x:v>2.700313969070647</x:v>
      </x:c>
    </x:row>
    <x:row r="220" ht="18" customHeight="1">
      <x:c r="A220" s="24" t="str">
        <x:v>LME_043</x:v>
      </x:c>
      <x:c r="B220" s="24" t="str">
        <x:v>Southwest Australian Shelf</x:v>
      </x:c>
      <x:c r="C220" s="24" t="str">
        <x:v>LME</x:v>
      </x:c>
      <x:c r="D220" s="30" t="n">
        <x:v>2019</x:v>
      </x:c>
      <x:c r="E220" s="24" t="str">
        <x:v>Holocentridae</x:v>
      </x:c>
      <x:c r="F220" s="24" t="str">
        <x:v>Squirrel-, soldierfishes</x:v>
      </x:c>
      <x:c r="G220" s="24" t="str">
        <x:v>Small reef assoc. fish (&lt;30 cm)</x:v>
      </x:c>
      <x:c r="H220" s="24" t="str">
        <x:v>Other fishes &amp; inverts</x:v>
      </x:c>
      <x:c r="I220" s="31" t="n">
        <x:v>0.0017330845</x:v>
      </x:c>
      <x:c r="J220" s="31" t="n">
        <x:v>0.0017330845</x:v>
      </x:c>
      <x:c r="K220" s="31" t="n">
        <x:v>0</x:v>
      </x:c>
      <x:c r="L220" s="31" t="n">
        <x:v>0</x:v>
      </x:c>
      <x:c r="M220" s="31" t="n">
        <x:v>0.0017330845</x:v>
      </x:c>
      <x:c r="N220" s="24" t="str">
        <x:v>holocentridae</x:v>
      </x:c>
      <x:c r="O220" s="32" t="n">
        <x:v>3.49</x:v>
      </x:c>
      <x:c r="P220" s="24" t="str">
        <x:v>exact_sea_around_us</x:v>
      </x:c>
      <x:c r="Q220" s="32" t="str">
        <x:v>Sea Around Us exploited organisms</x:v>
      </x:c>
      <x:c r="R220" s="24" t="str">
        <x:v>high</x:v>
      </x:c>
      <x:c r="S220" s="24" t="str">
        <x:v>Holocentridae</x:v>
      </x:c>
      <x:c r="T220" s="32" t="n">
        <x:f>IF(O220="","",(1/'Metadata'!$B$5)^(O220-1))</x:f>
        <x:v>309.0295432513592</x:v>
      </x:c>
      <x:c r="U220" s="31" t="n">
        <x:f>IF(T220="","",I220*T220)</x:f>
        <x:v>0.5355743114510102</x:v>
      </x:c>
    </x:row>
    <x:row r="221" ht="18" customHeight="1">
      <x:c r="A221" s="24" t="str">
        <x:v>LME_043</x:v>
      </x:c>
      <x:c r="B221" s="24" t="str">
        <x:v>Southwest Australian Shelf</x:v>
      </x:c>
      <x:c r="C221" s="24" t="str">
        <x:v>LME</x:v>
      </x:c>
      <x:c r="D221" s="30" t="n">
        <x:v>2019</x:v>
      </x:c>
      <x:c r="E221" s="24" t="str">
        <x:v>Decapterus</x:v>
      </x:c>
      <x:c r="F221" s="24" t="str">
        <x:v>Scads</x:v>
      </x:c>
      <x:c r="G221" s="24" t="str">
        <x:v>Medium pelagics (30 - 89 cm)</x:v>
      </x:c>
      <x:c r="H221" s="24" t="str">
        <x:v>Perch-likes</x:v>
      </x:c>
      <x:c r="I221" s="31" t="n">
        <x:v>0.0017251067</x:v>
      </x:c>
      <x:c r="J221" s="31" t="n">
        <x:v>0.0017251067</x:v>
      </x:c>
      <x:c r="K221" s="31" t="n">
        <x:v>0</x:v>
      </x:c>
      <x:c r="L221" s="31" t="n">
        <x:v>0</x:v>
      </x:c>
      <x:c r="M221" s="31" t="n">
        <x:v>0.0017251067</x:v>
      </x:c>
      <x:c r="N221" s="24" t="str">
        <x:v>decapterus</x:v>
      </x:c>
      <x:c r="O221" s="32" t="n">
        <x:v>3.63</x:v>
      </x:c>
      <x:c r="P221" s="24" t="str">
        <x:v>exact_sea_around_us</x:v>
      </x:c>
      <x:c r="Q221" s="32" t="str">
        <x:v>Sea Around Us exploited organisms</x:v>
      </x:c>
      <x:c r="R221" s="24" t="str">
        <x:v>high</x:v>
      </x:c>
      <x:c r="S221" s="24" t="str">
        <x:v>Decapterus</x:v>
      </x:c>
      <x:c r="T221" s="32" t="n">
        <x:f>IF(O221="","",(1/'Metadata'!$B$5)^(O221-1))</x:f>
        <x:v>426.57951880159254</x:v>
      </x:c>
      <x:c r="U221" s="31" t="n">
        <x:f>IF(T221="","",I221*T221)</x:f>
        <x:v>0.7358951859674032</x:v>
      </x:c>
    </x:row>
    <x:row r="222" ht="18" customHeight="1">
      <x:c r="A222" s="24" t="str">
        <x:v>LME_043</x:v>
      </x:c>
      <x:c r="B222" s="24" t="str">
        <x:v>Southwest Australian Shelf</x:v>
      </x:c>
      <x:c r="C222" s="24" t="str">
        <x:v>LME</x:v>
      </x:c>
      <x:c r="D222" s="30" t="n">
        <x:v>2019</x:v>
      </x:c>
      <x:c r="E222" s="24" t="str">
        <x:v>Decapterus muroadsi</x:v>
      </x:c>
      <x:c r="F222" s="24" t="str">
        <x:v>Amberstripe scad</x:v>
      </x:c>
      <x:c r="G222" s="24" t="str">
        <x:v>Medium pelagics (30 - 89 cm)</x:v>
      </x:c>
      <x:c r="H222" s="24" t="str">
        <x:v>Perch-likes</x:v>
      </x:c>
      <x:c r="I222" s="31" t="n">
        <x:v>0.0015931802</x:v>
      </x:c>
      <x:c r="J222" s="31" t="n">
        <x:v>0.0015931802</x:v>
      </x:c>
      <x:c r="K222" s="31" t="n">
        <x:v>0</x:v>
      </x:c>
      <x:c r="L222" s="31" t="n">
        <x:v>0</x:v>
      </x:c>
      <x:c r="M222" s="31" t="n">
        <x:v>0.0015931802</x:v>
      </x:c>
      <x:c r="N222" s="24" t="str">
        <x:v>decapterus muroadsi</x:v>
      </x:c>
      <x:c r="O222" s="32" t="n">
        <x:v>3.4</x:v>
      </x:c>
      <x:c r="P222" s="24" t="str">
        <x:v>exact_2020_supplement</x:v>
      </x:c>
      <x:c r="Q222" s="32" t="str">
        <x:v>2020 supplement MeanTL</x:v>
      </x:c>
      <x:c r="R222" s="24" t="str">
        <x:v>high</x:v>
      </x:c>
      <x:c r="S222" s="24" t="str">
        <x:v>Decapterus muroadsi</x:v>
      </x:c>
      <x:c r="T222" s="32" t="n">
        <x:f>IF(O222="","",(1/'Metadata'!$B$5)^(O222-1))</x:f>
        <x:v>251.18864315095797</x:v>
      </x:c>
      <x:c r="U222" s="31" t="n">
        <x:f>IF(T222="","",I222*T222)</x:f>
        <x:v>0.4001887727329719</x:v>
      </x:c>
    </x:row>
    <x:row r="223" ht="18" customHeight="1">
      <x:c r="A223" s="24" t="str">
        <x:v>LME_043</x:v>
      </x:c>
      <x:c r="B223" s="24" t="str">
        <x:v>Southwest Australian Shelf</x:v>
      </x:c>
      <x:c r="C223" s="24" t="str">
        <x:v>LME</x:v>
      </x:c>
      <x:c r="D223" s="30" t="n">
        <x:v>2019</x:v>
      </x:c>
      <x:c r="E223" s="24" t="str">
        <x:v>Gerreidae</x:v>
      </x:c>
      <x:c r="F223" s="24" t="str">
        <x:v>Mojarras, silverbellies</x:v>
      </x:c>
      <x:c r="G223" s="24" t="str">
        <x:v>Small benthopelagics (&lt;30 cm)</x:v>
      </x:c>
      <x:c r="H223" s="24" t="str">
        <x:v>Perch-likes</x:v>
      </x:c>
      <x:c r="I223" s="31" t="n">
        <x:v>0.0012382423</x:v>
      </x:c>
      <x:c r="J223" s="31" t="n">
        <x:v>0.0012382423</x:v>
      </x:c>
      <x:c r="K223" s="31" t="n">
        <x:v>0</x:v>
      </x:c>
      <x:c r="L223" s="31" t="n">
        <x:v>0.0012382423</x:v>
      </x:c>
      <x:c r="M223" s="31" t="n">
        <x:v>0</x:v>
      </x:c>
      <x:c r="N223" s="24" t="str">
        <x:v>gerreidae</x:v>
      </x:c>
      <x:c r="O223" s="32" t="n">
        <x:v>3.03</x:v>
      </x:c>
      <x:c r="P223" s="24" t="str">
        <x:v>exact_sea_around_us</x:v>
      </x:c>
      <x:c r="Q223" s="32" t="str">
        <x:v>Sea Around Us exploited organisms</x:v>
      </x:c>
      <x:c r="R223" s="24" t="str">
        <x:v>high</x:v>
      </x:c>
      <x:c r="S223" s="24" t="str">
        <x:v>Gerreidae</x:v>
      </x:c>
      <x:c r="T223" s="32" t="n">
        <x:f>IF(O223="","",(1/'Metadata'!$B$5)^(O223-1))</x:f>
        <x:v>107.1519305237606</x:v>
      </x:c>
      <x:c r="U223" s="31" t="n">
        <x:f>IF(T223="","",I223*T223)</x:f>
        <x:v>0.1326800529011815</x:v>
      </x:c>
    </x:row>
    <x:row r="224" ht="18" customHeight="1">
      <x:c r="A224" s="24" t="str">
        <x:v>LME_043</x:v>
      </x:c>
      <x:c r="B224" s="24" t="str">
        <x:v>Southwest Australian Shelf</x:v>
      </x:c>
      <x:c r="C224" s="24" t="str">
        <x:v>LME</x:v>
      </x:c>
      <x:c r="D224" s="30" t="n">
        <x:v>2019</x:v>
      </x:c>
      <x:c r="E224" s="24" t="str">
        <x:v>Cephalopholis</x:v>
      </x:c>
      <x:c r="F224" s="24" t="str">
        <x:v>Hinds</x:v>
      </x:c>
      <x:c r="G224" s="24" t="str">
        <x:v>Medium reef assoc. fish (30 - 89 cm)</x:v>
      </x:c>
      <x:c r="H224" s="24" t="str">
        <x:v>Perch-likes</x:v>
      </x:c>
      <x:c r="I224" s="31" t="n">
        <x:v>0.0009554828</x:v>
      </x:c>
      <x:c r="J224" s="31" t="n">
        <x:v>0.0009554828</x:v>
      </x:c>
      <x:c r="K224" s="31" t="n">
        <x:v>0</x:v>
      </x:c>
      <x:c r="L224" s="31" t="n">
        <x:v>0</x:v>
      </x:c>
      <x:c r="M224" s="31" t="n">
        <x:v>0.0009554828</x:v>
      </x:c>
      <x:c r="N224" s="24" t="str">
        <x:v>cephalopholis</x:v>
      </x:c>
      <x:c r="O224" s="32" t="n">
        <x:v>4.13</x:v>
      </x:c>
      <x:c r="P224" s="24" t="str">
        <x:v>exact_sea_around_us</x:v>
      </x:c>
      <x:c r="Q224" s="32" t="str">
        <x:v>Sea Around Us exploited organisms</x:v>
      </x:c>
      <x:c r="R224" s="24" t="str">
        <x:v>high</x:v>
      </x:c>
      <x:c r="S224" s="24" t="str">
        <x:v>Cephalopholis</x:v>
      </x:c>
      <x:c r="T224" s="32" t="n">
        <x:f>IF(O224="","",(1/'Metadata'!$B$5)^(O224-1))</x:f>
        <x:v>1348.9628825916532</x:v>
      </x:c>
      <x:c r="U224" s="31" t="n">
        <x:f>IF(T224="","",I224*T224)</x:f>
        <x:v>1.288910832154744</x:v>
      </x:c>
    </x:row>
    <x:row r="225" ht="18" customHeight="1">
      <x:c r="A225" s="24" t="str">
        <x:v>LME_043</x:v>
      </x:c>
      <x:c r="B225" s="24" t="str">
        <x:v>Southwest Australian Shelf</x:v>
      </x:c>
      <x:c r="C225" s="24" t="str">
        <x:v>LME</x:v>
      </x:c>
      <x:c r="D225" s="30" t="n">
        <x:v>2019</x:v>
      </x:c>
      <x:c r="E225" s="24" t="str">
        <x:v>Sphyraena barracuda</x:v>
      </x:c>
      <x:c r="F225" s="24" t="str">
        <x:v>Great barracuda</x:v>
      </x:c>
      <x:c r="G225" s="24" t="str">
        <x:v>Large pelagics (&gt;=90 cm)</x:v>
      </x:c>
      <x:c r="H225" s="24" t="str">
        <x:v>Perch-likes</x:v>
      </x:c>
      <x:c r="I225" s="31" t="n">
        <x:v>0.0008372047</x:v>
      </x:c>
      <x:c r="J225" s="31" t="n">
        <x:v>0.0008372047</x:v>
      </x:c>
      <x:c r="K225" s="31" t="n">
        <x:v>0</x:v>
      </x:c>
      <x:c r="L225" s="31" t="n">
        <x:v>0</x:v>
      </x:c>
      <x:c r="M225" s="31" t="n">
        <x:v>0.0008372047</x:v>
      </x:c>
      <x:c r="N225" s="24" t="str">
        <x:v>sphyraena barracuda</x:v>
      </x:c>
      <x:c r="O225" s="32" t="n">
        <x:v>4.49</x:v>
      </x:c>
      <x:c r="P225" s="24" t="str">
        <x:v>exact_2020_supplement</x:v>
      </x:c>
      <x:c r="Q225" s="32" t="str">
        <x:v>2020 supplement MeanTL</x:v>
      </x:c>
      <x:c r="R225" s="24" t="str">
        <x:v>high</x:v>
      </x:c>
      <x:c r="S225" s="24" t="str">
        <x:v>Sphyraena barracuda</x:v>
      </x:c>
      <x:c r="T225" s="32" t="n">
        <x:f>IF(O225="","",(1/'Metadata'!$B$5)^(O225-1))</x:f>
        <x:v>3090.295432513592</x:v>
      </x:c>
      <x:c r="U225" s="31" t="n">
        <x:f>IF(T225="","",I225*T225)</x:f>
        <x:v>2.587209860488912</x:v>
      </x:c>
    </x:row>
    <x:row r="226" ht="18" customHeight="1">
      <x:c r="A226" s="24" t="str">
        <x:v>LME_043</x:v>
      </x:c>
      <x:c r="B226" s="24" t="str">
        <x:v>Southwest Australian Shelf</x:v>
      </x:c>
      <x:c r="C226" s="24" t="str">
        <x:v>LME</x:v>
      </x:c>
      <x:c r="D226" s="30" t="n">
        <x:v>2019</x:v>
      </x:c>
      <x:c r="E226" s="24" t="str">
        <x:v>Tetraodontidae</x:v>
      </x:c>
      <x:c r="F226" s="24" t="str">
        <x:v>Puffers, tobies</x:v>
      </x:c>
      <x:c r="G226" s="24" t="str">
        <x:v>Large reef assoc. fish (&gt;=90 cm)</x:v>
      </x:c>
      <x:c r="H226" s="24" t="str">
        <x:v>Other fishes &amp; inverts</x:v>
      </x:c>
      <x:c r="I226" s="31" t="n">
        <x:v>0.0006057589</x:v>
      </x:c>
      <x:c r="J226" s="31" t="n">
        <x:v>0.0000965616</x:v>
      </x:c>
      <x:c r="K226" s="31" t="n">
        <x:v>0.0005091973</x:v>
      </x:c>
      <x:c r="L226" s="31" t="n">
        <x:v>0</x:v>
      </x:c>
      <x:c r="M226" s="31" t="n">
        <x:v>0.0006057589</x:v>
      </x:c>
      <x:c r="N226" s="24" t="str">
        <x:v>tetraodontidae</x:v>
      </x:c>
      <x:c r="O226" s="32" t="n">
        <x:v>3.5</x:v>
      </x:c>
      <x:c r="P226" s="24" t="str">
        <x:v>exact_sea_around_us</x:v>
      </x:c>
      <x:c r="Q226" s="32" t="str">
        <x:v>Sea Around Us exploited organisms</x:v>
      </x:c>
      <x:c r="R226" s="24" t="str">
        <x:v>high</x:v>
      </x:c>
      <x:c r="S226" s="24" t="str">
        <x:v>Tetraodontidae</x:v>
      </x:c>
      <x:c r="T226" s="32" t="n">
        <x:f>IF(O226="","",(1/'Metadata'!$B$5)^(O226-1))</x:f>
        <x:v>316.22776601683796</x:v>
      </x:c>
      <x:c r="U226" s="31" t="n">
        <x:f>IF(T226="","",I226*T226)</x:f>
        <x:v>0.19155778369181714</x:v>
      </x:c>
    </x:row>
    <x:row r="227" ht="18" customHeight="1">
      <x:c r="A227" s="24" t="str">
        <x:v>LME_043</x:v>
      </x:c>
      <x:c r="B227" s="24" t="str">
        <x:v>Southwest Australian Shelf</x:v>
      </x:c>
      <x:c r="C227" s="24" t="str">
        <x:v>LME</x:v>
      </x:c>
      <x:c r="D227" s="30" t="n">
        <x:v>2019</x:v>
      </x:c>
      <x:c r="E227" s="24" t="str">
        <x:v>Cephalopholis sonnerati</x:v>
      </x:c>
      <x:c r="F227" s="24" t="str">
        <x:v>Tomato hind</x:v>
      </x:c>
      <x:c r="G227" s="24" t="str">
        <x:v>Medium reef assoc. fish (30 - 89 cm)</x:v>
      </x:c>
      <x:c r="H227" s="24" t="str">
        <x:v>Perch-likes</x:v>
      </x:c>
      <x:c r="I227" s="31" t="n">
        <x:v>0.0004398055</x:v>
      </x:c>
      <x:c r="J227" s="31" t="n">
        <x:v>0.0004398055</x:v>
      </x:c>
      <x:c r="K227" s="31" t="n">
        <x:v>0</x:v>
      </x:c>
      <x:c r="L227" s="31" t="n">
        <x:v>0.00008351450000000001</x:v>
      </x:c>
      <x:c r="M227" s="31" t="n">
        <x:v>0.000356291</x:v>
      </x:c>
      <x:c r="N227" s="24" t="str">
        <x:v>cephalopholis sonnerati</x:v>
      </x:c>
      <x:c r="O227" s="32" t="n">
        <x:v>3.81</x:v>
      </x:c>
      <x:c r="P227" s="24" t="str">
        <x:v>exact_2020_supplement</x:v>
      </x:c>
      <x:c r="Q227" s="32" t="str">
        <x:v>2020 supplement MeanTL</x:v>
      </x:c>
      <x:c r="R227" s="24" t="str">
        <x:v>high</x:v>
      </x:c>
      <x:c r="S227" s="24" t="str">
        <x:v>Cephalopholis sonnerati</x:v>
      </x:c>
      <x:c r="T227" s="32" t="n">
        <x:f>IF(O227="","",(1/'Metadata'!$B$5)^(O227-1))</x:f>
        <x:v>645.6542290346556</x:v>
      </x:c>
      <x:c r="U227" s="31" t="n">
        <x:f>IF(T227="","",I227*T227)</x:f>
        <x:v>0.2839622810277012</x:v>
      </x:c>
    </x:row>
    <x:row r="228" ht="18" customHeight="1">
      <x:c r="A228" s="24" t="str">
        <x:v>LME_043</x:v>
      </x:c>
      <x:c r="B228" s="24" t="str">
        <x:v>Southwest Australian Shelf</x:v>
      </x:c>
      <x:c r="C228" s="24" t="str">
        <x:v>LME</x:v>
      </x:c>
      <x:c r="D228" s="30" t="n">
        <x:v>2019</x:v>
      </x:c>
      <x:c r="E228" s="24" t="str">
        <x:v>Lamniformes</x:v>
      </x:c>
      <x:c r="F228" s="24" t="str">
        <x:v>Mackerel sharks</x:v>
      </x:c>
      <x:c r="G228" s="24" t="str">
        <x:v>Large sharks (&gt;=90 cm)</x:v>
      </x:c>
      <x:c r="H228" s="24" t="str">
        <x:v>Sharks &amp; rays</x:v>
      </x:c>
      <x:c r="I228" s="31" t="n">
        <x:v>0.0003390415</x:v>
      </x:c>
      <x:c r="J228" s="31" t="n">
        <x:v>0.0003390415</x:v>
      </x:c>
      <x:c r="K228" s="31" t="n">
        <x:v>0</x:v>
      </x:c>
      <x:c r="L228" s="31" t="n">
        <x:v>0.0003390415</x:v>
      </x:c>
      <x:c r="M228" s="31" t="n">
        <x:v>0</x:v>
      </x:c>
      <x:c r="N228" s="24" t="str">
        <x:v>lamniformes</x:v>
      </x:c>
      <x:c r="O228" s="32" t="n">
        <x:v>4.34</x:v>
      </x:c>
      <x:c r="P228" s="24" t="str">
        <x:v>exact_sea_around_us</x:v>
      </x:c>
      <x:c r="Q228" s="32" t="str">
        <x:v>Sea Around Us exploited organisms</x:v>
      </x:c>
      <x:c r="R228" s="24" t="str">
        <x:v>high</x:v>
      </x:c>
      <x:c r="S228" s="24" t="str">
        <x:v>Lamniformes</x:v>
      </x:c>
      <x:c r="T228" s="32" t="n">
        <x:f>IF(O228="","",(1/'Metadata'!$B$5)^(O228-1))</x:f>
        <x:v>2187.761623949552</x:v>
      </x:c>
      <x:c r="U228" s="31" t="n">
        <x:f>IF(T228="","",I228*T228)</x:f>
        <x:v>0.741741982626292</x:v>
      </x:c>
    </x:row>
    <x:row r="229" ht="18" customHeight="1">
      <x:c r="A229" s="24" t="str">
        <x:v>LME_043</x:v>
      </x:c>
      <x:c r="B229" s="24" t="str">
        <x:v>Southwest Australian Shelf</x:v>
      </x:c>
      <x:c r="C229" s="24" t="str">
        <x:v>LME</x:v>
      </x:c>
      <x:c r="D229" s="30" t="n">
        <x:v>2019</x:v>
      </x:c>
      <x:c r="E229" s="24" t="str">
        <x:v>Scyris indica</x:v>
      </x:c>
      <x:c r="F229" s="24" t="str">
        <x:v>Indian threadfish</x:v>
      </x:c>
      <x:c r="G229" s="24" t="str">
        <x:v>Large reef assoc. fish (&gt;=90 cm)</x:v>
      </x:c>
      <x:c r="H229" s="24" t="str">
        <x:v>Perch-likes</x:v>
      </x:c>
      <x:c r="I229" s="31" t="n">
        <x:v>0.0003373515</x:v>
      </x:c>
      <x:c r="J229" s="31" t="n">
        <x:v>0.0003373515</x:v>
      </x:c>
      <x:c r="K229" s="31" t="n">
        <x:v>0</x:v>
      </x:c>
      <x:c r="L229" s="31" t="n">
        <x:v>0</x:v>
      </x:c>
      <x:c r="M229" s="31" t="n">
        <x:v>0.0003373515</x:v>
      </x:c>
      <x:c r="N229" s="24" t="str">
        <x:v>scyris indica</x:v>
      </x:c>
      <x:c r="O229" s="32" t="n">
        <x:v>4.09</x:v>
      </x:c>
      <x:c r="P229" s="24" t="str">
        <x:v>exact_sea_around_us</x:v>
      </x:c>
      <x:c r="Q229" s="32" t="str">
        <x:v>Sea Around Us exploited organisms</x:v>
      </x:c>
      <x:c r="R229" s="24" t="str">
        <x:v>high</x:v>
      </x:c>
      <x:c r="S229" s="24" t="str">
        <x:v>Scyris indica</x:v>
      </x:c>
      <x:c r="T229" s="32" t="n">
        <x:f>IF(O229="","",(1/'Metadata'!$B$5)^(O229-1))</x:f>
        <x:v>1230.268770812381</x:v>
      </x:c>
      <x:c r="U229" s="31" t="n">
        <x:f>IF(T229="","",I229*T229)</x:f>
        <x:v>0.415033015236713</x:v>
      </x:c>
    </x:row>
    <x:row r="230" ht="18" customHeight="1">
      <x:c r="A230" s="24" t="str">
        <x:v>LME_043</x:v>
      </x:c>
      <x:c r="B230" s="24" t="str">
        <x:v>Southwest Australian Shelf</x:v>
      </x:c>
      <x:c r="C230" s="24" t="str">
        <x:v>LME</x:v>
      </x:c>
      <x:c r="D230" s="30" t="n">
        <x:v>2019</x:v>
      </x:c>
      <x:c r="E230" s="24" t="str">
        <x:v>Rhombosolea</x:v>
      </x:c>
      <x:c r="F230" s="24" t="str">
        <x:v>Rhombosolid flounders</x:v>
      </x:c>
      <x:c r="G230" s="24" t="str">
        <x:v>Small to medium flatfishes (&lt;90 cm)</x:v>
      </x:c>
      <x:c r="H230" s="24" t="str">
        <x:v>Flatfishes</x:v>
      </x:c>
      <x:c r="I230" s="31" t="n">
        <x:v>0.0002893004</x:v>
      </x:c>
      <x:c r="J230" s="31" t="n">
        <x:v>0.0002893004</x:v>
      </x:c>
      <x:c r="K230" s="31" t="n">
        <x:v>0</x:v>
      </x:c>
      <x:c r="L230" s="31" t="n">
        <x:v>0.0002893004</x:v>
      </x:c>
      <x:c r="M230" s="31" t="n">
        <x:v>0</x:v>
      </x:c>
      <x:c r="N230" s="24" t="str">
        <x:v>rhombosolea</x:v>
      </x:c>
      <x:c r="O230" s="32" t="n">
        <x:v>3.1</x:v>
      </x:c>
      <x:c r="P230" s="24" t="str">
        <x:v>exact_sea_around_us</x:v>
      </x:c>
      <x:c r="Q230" s="32" t="str">
        <x:v>Sea Around Us exploited organisms</x:v>
      </x:c>
      <x:c r="R230" s="24" t="str">
        <x:v>high</x:v>
      </x:c>
      <x:c r="S230" s="24" t="str">
        <x:v>Rhombosolea</x:v>
      </x:c>
      <x:c r="T230" s="32" t="n">
        <x:f>IF(O230="","",(1/'Metadata'!$B$5)^(O230-1))</x:f>
        <x:v>125.89254117941675</x:v>
      </x:c>
      <x:c r="U230" s="31" t="n">
        <x:f>IF(T230="","",I230*T230)</x:f>
        <x:v>0.03642076252022174</x:v>
      </x:c>
    </x:row>
    <x:row r="231" ht="18" customHeight="1">
      <x:c r="A231" s="24" t="str">
        <x:v>LME_043</x:v>
      </x:c>
      <x:c r="B231" s="24" t="str">
        <x:v>Southwest Australian Shelf</x:v>
      </x:c>
      <x:c r="C231" s="24" t="str">
        <x:v>LME</x:v>
      </x:c>
      <x:c r="D231" s="30" t="n">
        <x:v>2019</x:v>
      </x:c>
      <x:c r="E231" s="24" t="str">
        <x:v>Pinctada</x:v>
      </x:c>
      <x:c r="F231" s="24" t="str">
        <x:v>Mother of pearl oysters</x:v>
      </x:c>
      <x:c r="G231" s="24" t="str">
        <x:v>Other demersal invertebrates</x:v>
      </x:c>
      <x:c r="H231" s="24" t="str">
        <x:v>Molluscs</x:v>
      </x:c>
      <x:c r="I231" s="31" t="n">
        <x:v>0.00024402659999999999</x:v>
      </x:c>
      <x:c r="J231" s="31" t="n">
        <x:v>0.00024402659999999999</x:v>
      </x:c>
      <x:c r="K231" s="31" t="n">
        <x:v>0</x:v>
      </x:c>
      <x:c r="L231" s="31" t="n">
        <x:v>0.00024402659999999999</x:v>
      </x:c>
      <x:c r="M231" s="31" t="n">
        <x:v>0</x:v>
      </x:c>
      <x:c r="N231" s="24" t="str">
        <x:v>pinctada</x:v>
      </x:c>
      <x:c r="O231" s="32" t="n">
        <x:v>2.1</x:v>
      </x:c>
      <x:c r="P231" s="24" t="str">
        <x:v>exact_sea_around_us</x:v>
      </x:c>
      <x:c r="Q231" s="32" t="str">
        <x:v>Sea Around Us exploited organisms</x:v>
      </x:c>
      <x:c r="R231" s="24" t="str">
        <x:v>high</x:v>
      </x:c>
      <x:c r="S231" s="24" t="str">
        <x:v>Pinctada</x:v>
      </x:c>
      <x:c r="T231" s="32" t="n">
        <x:f>IF(O231="","",(1/'Metadata'!$B$5)^(O231-1))</x:f>
        <x:v>12.589254117941675</x:v>
      </x:c>
      <x:c r="U231" s="31" t="n">
        <x:f>IF(T231="","",I231*T231)</x:f>
        <x:v>0.003072112878937306</x:v>
      </x:c>
    </x:row>
    <x:row r="232" ht="18" customHeight="1">
      <x:c r="A232" s="24" t="str">
        <x:v>LME_043</x:v>
      </x:c>
      <x:c r="B232" s="24" t="str">
        <x:v>Southwest Australian Shelf</x:v>
      </x:c>
      <x:c r="C232" s="24" t="str">
        <x:v>LME</x:v>
      </x:c>
      <x:c r="D232" s="30" t="n">
        <x:v>2019</x:v>
      </x:c>
      <x:c r="E232" s="24" t="str">
        <x:v>Sphyraena obtusata</x:v>
      </x:c>
      <x:c r="F232" s="24" t="str">
        <x:v>Obtuse barracuda</x:v>
      </x:c>
      <x:c r="G232" s="24" t="str">
        <x:v>Medium reef assoc. fish (30 - 89 cm)</x:v>
      </x:c>
      <x:c r="H232" s="24" t="str">
        <x:v>Perch-likes</x:v>
      </x:c>
      <x:c r="I232" s="31" t="n">
        <x:v>0.0001757142</x:v>
      </x:c>
      <x:c r="J232" s="31" t="n">
        <x:v>0.0001757142</x:v>
      </x:c>
      <x:c r="K232" s="31" t="n">
        <x:v>0</x:v>
      </x:c>
      <x:c r="L232" s="31" t="n">
        <x:v>0</x:v>
      </x:c>
      <x:c r="M232" s="31" t="n">
        <x:v>0.0001757142</x:v>
      </x:c>
      <x:c r="N232" s="24" t="str">
        <x:v>sphyraena obtusata</x:v>
      </x:c>
      <x:c r="O232" s="32" t="n">
        <x:v>4.5</x:v>
      </x:c>
      <x:c r="P232" s="24" t="str">
        <x:v>exact_2020_supplement</x:v>
      </x:c>
      <x:c r="Q232" s="32" t="str">
        <x:v>2020 supplement MeanTL</x:v>
      </x:c>
      <x:c r="R232" s="24" t="str">
        <x:v>high</x:v>
      </x:c>
      <x:c r="S232" s="24" t="str">
        <x:v>Sphyraena obtusata</x:v>
      </x:c>
      <x:c r="T232" s="32" t="n">
        <x:f>IF(O232="","",(1/'Metadata'!$B$5)^(O232-1))</x:f>
        <x:v>3162.2776601683795</x:v>
      </x:c>
      <x:c r="U232" s="31" t="n">
        <x:f>IF(T232="","",I232*T232)</x:f>
        <x:v>0.5556570892343586</x:v>
      </x:c>
    </x:row>
    <x:row r="233" ht="18" customHeight="1">
      <x:c r="A233" s="24" t="str">
        <x:v>LME_043</x:v>
      </x:c>
      <x:c r="B233" s="24" t="str">
        <x:v>Southwest Australian Shelf</x:v>
      </x:c>
      <x:c r="C233" s="24" t="str">
        <x:v>LME</x:v>
      </x:c>
      <x:c r="D233" s="30" t="n">
        <x:v>2019</x:v>
      </x:c>
      <x:c r="E233" s="24" t="str">
        <x:v>Thunnus</x:v>
      </x:c>
      <x:c r="F233" s="24" t="str">
        <x:v>Tunas</x:v>
      </x:c>
      <x:c r="G233" s="24" t="str">
        <x:v>Large pelagics (&gt;=90 cm)</x:v>
      </x:c>
      <x:c r="H233" s="24" t="str">
        <x:v>Tuna &amp; billfishes</x:v>
      </x:c>
      <x:c r="I233" s="31" t="n">
        <x:v>0.0001530308</x:v>
      </x:c>
      <x:c r="J233" s="31" t="n">
        <x:v>0.0001530308</x:v>
      </x:c>
      <x:c r="K233" s="31" t="n">
        <x:v>0</x:v>
      </x:c>
      <x:c r="L233" s="31" t="n">
        <x:v>0.0001530308</x:v>
      </x:c>
      <x:c r="M233" s="31" t="n">
        <x:v>0</x:v>
      </x:c>
      <x:c r="N233" s="24" t="str">
        <x:v>thunnus</x:v>
      </x:c>
      <x:c r="O233" s="32" t="n">
        <x:v>4.34</x:v>
      </x:c>
      <x:c r="P233" s="24" t="str">
        <x:v>exact_sea_around_us</x:v>
      </x:c>
      <x:c r="Q233" s="32" t="str">
        <x:v>Sea Around Us exploited organisms</x:v>
      </x:c>
      <x:c r="R233" s="24" t="str">
        <x:v>high</x:v>
      </x:c>
      <x:c r="S233" s="24" t="str">
        <x:v>Thunnus</x:v>
      </x:c>
      <x:c r="T233" s="32" t="n">
        <x:f>IF(O233="","",(1/'Metadata'!$B$5)^(O233-1))</x:f>
        <x:v>2187.761623949552</x:v>
      </x:c>
      <x:c r="U233" s="31" t="n">
        <x:f>IF(T233="","",I233*T233)</x:f>
        <x:v>0.33479491152229907</x:v>
      </x:c>
    </x:row>
    <x:row r="234" ht="18" customHeight="1">
      <x:c r="A234" s="24" t="str">
        <x:v>LME_043</x:v>
      </x:c>
      <x:c r="B234" s="24" t="str">
        <x:v>Southwest Australian Shelf</x:v>
      </x:c>
      <x:c r="C234" s="24" t="str">
        <x:v>LME</x:v>
      </x:c>
      <x:c r="D234" s="30" t="n">
        <x:v>2019</x:v>
      </x:c>
      <x:c r="E234" s="24" t="str">
        <x:v>Panulirus</x:v>
      </x:c>
      <x:c r="F234" s="24" t="str">
        <x:v>Spiny lobsters</x:v>
      </x:c>
      <x:c r="G234" s="24" t="str">
        <x:v>Lobsters, crabs</x:v>
      </x:c>
      <x:c r="H234" s="24" t="str">
        <x:v>Crustaceans</x:v>
      </x:c>
      <x:c r="I234" s="31" t="n">
        <x:v>0.0001461546</x:v>
      </x:c>
      <x:c r="J234" s="31" t="n">
        <x:v>0.0001461546</x:v>
      </x:c>
      <x:c r="K234" s="31" t="n">
        <x:v>0</x:v>
      </x:c>
      <x:c r="L234" s="31" t="n">
        <x:v>0</x:v>
      </x:c>
      <x:c r="M234" s="31" t="n">
        <x:v>0.0001461546</x:v>
      </x:c>
      <x:c r="N234" s="24" t="str">
        <x:v>panulirus</x:v>
      </x:c>
      <x:c r="O234" s="32" t="n">
        <x:v>2.6</x:v>
      </x:c>
      <x:c r="P234" s="24" t="str">
        <x:v>exact_sea_around_us</x:v>
      </x:c>
      <x:c r="Q234" s="32" t="str">
        <x:v>Sea Around Us exploited organisms</x:v>
      </x:c>
      <x:c r="R234" s="24" t="str">
        <x:v>high</x:v>
      </x:c>
      <x:c r="S234" s="24" t="str">
        <x:v>Panulirus</x:v>
      </x:c>
      <x:c r="T234" s="32" t="n">
        <x:f>IF(O234="","",(1/'Metadata'!$B$5)^(O234-1))</x:f>
        <x:v>39.810717055349734</x:v>
      </x:c>
      <x:c r="U234" s="31" t="n">
        <x:f>IF(T234="","",I234*T234)</x:f>
        <x:v>0.005818519426937818</x:v>
      </x:c>
    </x:row>
    <x:row r="235" ht="18" customHeight="1">
      <x:c r="A235" s="24" t="str">
        <x:v>LME_043</x:v>
      </x:c>
      <x:c r="B235" s="24" t="str">
        <x:v>Southwest Australian Shelf</x:v>
      </x:c>
      <x:c r="C235" s="24" t="str">
        <x:v>LME</x:v>
      </x:c>
      <x:c r="D235" s="30" t="n">
        <x:v>2019</x:v>
      </x:c>
      <x:c r="E235" s="24" t="str">
        <x:v>Elops hawaiensis</x:v>
      </x:c>
      <x:c r="F235" s="24" t="str">
        <x:v>Hawaiian ladyfish</x:v>
      </x:c>
      <x:c r="G235" s="24" t="str">
        <x:v>Large pelagics (&gt;=90 cm)</x:v>
      </x:c>
      <x:c r="H235" s="24" t="str">
        <x:v>Other fishes &amp; inverts</x:v>
      </x:c>
      <x:c r="I235" s="31" t="n">
        <x:v>0.0000972063</x:v>
      </x:c>
      <x:c r="J235" s="31" t="n">
        <x:v>0.0000972063</x:v>
      </x:c>
      <x:c r="K235" s="31" t="n">
        <x:v>0</x:v>
      </x:c>
      <x:c r="L235" s="31" t="n">
        <x:v>0</x:v>
      </x:c>
      <x:c r="M235" s="31" t="n">
        <x:v>0.0000972063</x:v>
      </x:c>
      <x:c r="N235" s="24" t="str">
        <x:v>elops hawaiensis</x:v>
      </x:c>
      <x:c r="O235" s="32" t="n">
        <x:v>4.03</x:v>
      </x:c>
      <x:c r="P235" s="24" t="str">
        <x:v>exact_2020_supplement</x:v>
      </x:c>
      <x:c r="Q235" s="32" t="str">
        <x:v>2020 supplement MeanTL</x:v>
      </x:c>
      <x:c r="R235" s="24" t="str">
        <x:v>high</x:v>
      </x:c>
      <x:c r="S235" s="24" t="str">
        <x:v>Elops hawaiensis</x:v>
      </x:c>
      <x:c r="T235" s="32" t="n">
        <x:f>IF(O235="","",(1/'Metadata'!$B$5)^(O235-1))</x:f>
        <x:v>1071.519305237607</x:v>
      </x:c>
      <x:c r="U235" s="31" t="n">
        <x:f>IF(T235="","",I235*T235)</x:f>
        <x:v>0.10415842704071841</x:v>
      </x:c>
    </x:row>
    <x:row r="236" ht="18" customHeight="1">
      <x:c r="A236" s="24" t="str">
        <x:v>LME_043</x:v>
      </x:c>
      <x:c r="B236" s="24" t="str">
        <x:v>Southwest Australian Shelf</x:v>
      </x:c>
      <x:c r="C236" s="24" t="str">
        <x:v>LME</x:v>
      </x:c>
      <x:c r="D236" s="30" t="n">
        <x:v>2019</x:v>
      </x:c>
      <x:c r="E236" s="24" t="str">
        <x:v>Gephyroberyx darwinii</x:v>
      </x:c>
      <x:c r="F236" s="24" t="str">
        <x:v>Darwin's slimehead</x:v>
      </x:c>
      <x:c r="G236" s="24" t="str">
        <x:v>Medium benthopelagics (30 - 89 cm)</x:v>
      </x:c>
      <x:c r="H236" s="24" t="str">
        <x:v>Other fishes &amp; inverts</x:v>
      </x:c>
      <x:c r="I236" s="31" t="n">
        <x:v>0.0000486059</x:v>
      </x:c>
      <x:c r="J236" s="31" t="n">
        <x:v>0.0000486059</x:v>
      </x:c>
      <x:c r="K236" s="31" t="n">
        <x:v>0</x:v>
      </x:c>
      <x:c r="L236" s="31" t="n">
        <x:v>0.0000486059</x:v>
      </x:c>
      <x:c r="M236" s="31" t="n">
        <x:v>0</x:v>
      </x:c>
      <x:c r="N236" s="24" t="str">
        <x:v>gephyroberyx darwinii</x:v>
      </x:c>
      <x:c r="O236" s="32" t="n">
        <x:v>3.94</x:v>
      </x:c>
      <x:c r="P236" s="24" t="str">
        <x:v>exact_2020_supplement</x:v>
      </x:c>
      <x:c r="Q236" s="32" t="str">
        <x:v>2020 supplement MeanTL</x:v>
      </x:c>
      <x:c r="R236" s="24" t="str">
        <x:v>high</x:v>
      </x:c>
      <x:c r="S236" s="24" t="str">
        <x:v>Gephyroberyx darwinii</x:v>
      </x:c>
      <x:c r="T236" s="32" t="n">
        <x:f>IF(O236="","",(1/'Metadata'!$B$5)^(O236-1))</x:f>
        <x:v>870.9635899560806</x:v>
      </x:c>
      <x:c r="U236" s="31" t="n">
        <x:f>IF(T236="","",I236*T236)</x:f>
        <x:v>0.04233396915704626</x:v>
      </x:c>
    </x:row>
    <x:row r="237" ht="18" customHeight="1">
      <x:c r="A237" s="24" t="str">
        <x:v>LME_043</x:v>
      </x:c>
      <x:c r="B237" s="24" t="str">
        <x:v>Southwest Australian Shelf</x:v>
      </x:c>
      <x:c r="C237" s="24" t="str">
        <x:v>LME</x:v>
      </x:c>
      <x:c r="D237" s="30" t="n">
        <x:v>2019</x:v>
      </x:c>
      <x:c r="E237" s="24" t="str">
        <x:v>Sargocentron</x:v>
      </x:c>
      <x:c r="F237" s="24" t="str">
        <x:v>Squirrelfishes</x:v>
      </x:c>
      <x:c r="G237" s="24" t="str">
        <x:v>Small reef assoc. fish (&lt;30 cm)</x:v>
      </x:c>
      <x:c r="H237" s="24" t="str">
        <x:v>Other fishes &amp; inverts</x:v>
      </x:c>
      <x:c r="I237" s="31" t="n">
        <x:v>0.0000460548</x:v>
      </x:c>
      <x:c r="J237" s="31" t="n">
        <x:v>0.0000460548</x:v>
      </x:c>
      <x:c r="K237" s="31" t="n">
        <x:v>0</x:v>
      </x:c>
      <x:c r="L237" s="31" t="n">
        <x:v>0</x:v>
      </x:c>
      <x:c r="M237" s="31" t="n">
        <x:v>0.0000460548</x:v>
      </x:c>
      <x:c r="N237" s="24" t="str">
        <x:v>sargocentron</x:v>
      </x:c>
      <x:c r="O237" s="32" t="n">
        <x:v>3.49</x:v>
      </x:c>
      <x:c r="P237" s="24" t="str">
        <x:v>exact_sea_around_us</x:v>
      </x:c>
      <x:c r="Q237" s="32" t="str">
        <x:v>Sea Around Us exploited organisms</x:v>
      </x:c>
      <x:c r="R237" s="24" t="str">
        <x:v>high</x:v>
      </x:c>
      <x:c r="S237" s="24" t="str">
        <x:v>Sargocentron</x:v>
      </x:c>
      <x:c r="T237" s="32" t="n">
        <x:f>IF(O237="","",(1/'Metadata'!$B$5)^(O237-1))</x:f>
        <x:v>309.0295432513592</x:v>
      </x:c>
      <x:c r="U237" s="31" t="n">
        <x:f>IF(T237="","",I237*T237)</x:f>
        <x:v>0.014232293808532697</x:v>
      </x:c>
    </x:row>
    <x:row r="238" ht="18" customHeight="1">
      <x:c r="A238" s="24" t="str">
        <x:v>LME_043</x:v>
      </x:c>
      <x:c r="B238" s="24" t="str">
        <x:v>Southwest Australian Shelf</x:v>
      </x:c>
      <x:c r="C238" s="24" t="str">
        <x:v>LME</x:v>
      </x:c>
      <x:c r="D238" s="30" t="n">
        <x:v>2019</x:v>
      </x:c>
      <x:c r="E238" s="24" t="str">
        <x:v>Echeneidae</x:v>
      </x:c>
      <x:c r="F238" s="24" t="str">
        <x:v>Remoras</x:v>
      </x:c>
      <x:c r="G238" s="24" t="str">
        <x:v>Large pelagics (&gt;=90 cm)</x:v>
      </x:c>
      <x:c r="H238" s="24" t="str">
        <x:v>Perch-likes</x:v>
      </x:c>
      <x:c r="I238" s="31" t="n">
        <x:v>0.0000338112</x:v>
      </x:c>
      <x:c r="J238" s="31" t="n">
        <x:v>0.0000338112</x:v>
      </x:c>
      <x:c r="K238" s="31" t="n">
        <x:v>0</x:v>
      </x:c>
      <x:c r="L238" s="31" t="n">
        <x:v>0</x:v>
      </x:c>
      <x:c r="M238" s="31" t="n">
        <x:v>0.0000338112</x:v>
      </x:c>
      <x:c r="N238" s="24" t="str">
        <x:v>echeneidae</x:v>
      </x:c>
      <x:c r="O238" s="32" t="n">
        <x:v>3.22</x:v>
      </x:c>
      <x:c r="P238" s="24" t="str">
        <x:v>exact_sea_around_us</x:v>
      </x:c>
      <x:c r="Q238" s="32" t="str">
        <x:v>Sea Around Us exploited organisms</x:v>
      </x:c>
      <x:c r="R238" s="24" t="str">
        <x:v>high</x:v>
      </x:c>
      <x:c r="S238" s="24" t="str">
        <x:v>Echeneidae</x:v>
      </x:c>
      <x:c r="T238" s="32" t="n">
        <x:f>IF(O238="","",(1/'Metadata'!$B$5)^(O238-1))</x:f>
        <x:v>165.95869074375614</x:v>
      </x:c>
      <x:c r="U238" s="31" t="n">
        <x:f>IF(T238="","",I238*T238)</x:f>
        <x:v>0.005611262484475288</x:v>
      </x:c>
    </x:row>
    <x:row r="239" ht="18" customHeight="1">
      <x:c r="A239" s="24" t="str">
        <x:v>LME_043</x:v>
      </x:c>
      <x:c r="B239" s="24" t="str">
        <x:v>Southwest Australian Shelf</x:v>
      </x:c>
      <x:c r="C239" s="24" t="str">
        <x:v>LME</x:v>
      </x:c>
      <x:c r="D239" s="30" t="n">
        <x:v>2019</x:v>
      </x:c>
      <x:c r="E239" s="24" t="str">
        <x:v>Sillago sihama</x:v>
      </x:c>
      <x:c r="F239" s="24" t="str">
        <x:v>Silver sillago</x:v>
      </x:c>
      <x:c r="G239" s="24" t="str">
        <x:v>Medium demersals (30 - 89 cm)</x:v>
      </x:c>
      <x:c r="H239" s="24" t="str">
        <x:v>Perch-likes</x:v>
      </x:c>
      <x:c r="I239" s="31" t="n">
        <x:v>0.0000208407</x:v>
      </x:c>
      <x:c r="J239" s="31" t="n">
        <x:v>0.0000208407</x:v>
      </x:c>
      <x:c r="K239" s="31" t="n">
        <x:v>0</x:v>
      </x:c>
      <x:c r="L239" s="31" t="n">
        <x:v>0</x:v>
      </x:c>
      <x:c r="M239" s="31" t="n">
        <x:v>0.0000208407</x:v>
      </x:c>
      <x:c r="N239" s="24" t="str">
        <x:v>sillago sihama</x:v>
      </x:c>
      <x:c r="O239" s="32" t="n">
        <x:v>3.33</x:v>
      </x:c>
      <x:c r="P239" s="24" t="str">
        <x:v>exact_2020_supplement</x:v>
      </x:c>
      <x:c r="Q239" s="32" t="str">
        <x:v>2020 supplement MeanTL</x:v>
      </x:c>
      <x:c r="R239" s="24" t="str">
        <x:v>high</x:v>
      </x:c>
      <x:c r="S239" s="24" t="str">
        <x:v>Sillago sihama</x:v>
      </x:c>
      <x:c r="T239" s="32" t="n">
        <x:f>IF(O239="","",(1/'Metadata'!$B$5)^(O239-1))</x:f>
        <x:v>213.79620895022325</x:v>
      </x:c>
      <x:c r="U239" s="31" t="n">
        <x:f>IF(T239="","",I239*T239)</x:f>
        <x:v>0.004455662651868917</x:v>
      </x:c>
    </x:row>
    <x:row r="240" ht="18" customHeight="1">
      <x:c r="A240" s="24" t="str">
        <x:v>LME_043</x:v>
      </x:c>
      <x:c r="B240" s="24" t="str">
        <x:v>Southwest Australian Shelf</x:v>
      </x:c>
      <x:c r="C240" s="24" t="str">
        <x:v>LME</x:v>
      </x:c>
      <x:c r="D240" s="30" t="n">
        <x:v>2019</x:v>
      </x:c>
      <x:c r="E240" s="24" t="str">
        <x:v>Lutjanus kasmira</x:v>
      </x:c>
      <x:c r="F240" s="24" t="str">
        <x:v>Common bluestripe snapper</x:v>
      </x:c>
      <x:c r="G240" s="24" t="str">
        <x:v>Medium reef assoc. fish (30 - 89 cm)</x:v>
      </x:c>
      <x:c r="H240" s="24" t="str">
        <x:v>Perch-likes</x:v>
      </x:c>
      <x:c r="I240" s="31" t="n">
        <x:v>0.0000041614</x:v>
      </x:c>
      <x:c r="J240" s="31" t="n">
        <x:v>0.0000041614</x:v>
      </x:c>
      <x:c r="K240" s="31" t="n">
        <x:v>0</x:v>
      </x:c>
      <x:c r="L240" s="31" t="n">
        <x:v>0</x:v>
      </x:c>
      <x:c r="M240" s="31" t="n">
        <x:v>0.0000041614</x:v>
      </x:c>
      <x:c r="N240" s="24" t="str">
        <x:v>lutjanus kasmira</x:v>
      </x:c>
      <x:c r="O240" s="32" t="n">
        <x:v>3.87</x:v>
      </x:c>
      <x:c r="P240" s="24" t="str">
        <x:v>exact_2020_supplement</x:v>
      </x:c>
      <x:c r="Q240" s="32" t="str">
        <x:v>2020 supplement MeanTL</x:v>
      </x:c>
      <x:c r="R240" s="24" t="str">
        <x:v>high</x:v>
      </x:c>
      <x:c r="S240" s="24" t="str">
        <x:v>Lutjanus kasmira</x:v>
      </x:c>
      <x:c r="T240" s="32" t="n">
        <x:f>IF(O240="","",(1/'Metadata'!$B$5)^(O240-1))</x:f>
        <x:v>741.3102413009177</x:v>
      </x:c>
      <x:c r="U240" s="31" t="n">
        <x:f>IF(T240="","",I240*T240)</x:f>
        <x:v>0.0030848884381496386</x:v>
      </x:c>
    </x:row>
    <x:row r="241" ht="18" customHeight="1">
      <x:c r="A241" s="24" t="str">
        <x:v>LME_043</x:v>
      </x:c>
      <x:c r="B241" s="24" t="str">
        <x:v>Southwest Australian Shelf</x:v>
      </x:c>
      <x:c r="C241" s="24" t="str">
        <x:v>LME</x:v>
      </x:c>
      <x:c r="D241" s="30" t="n">
        <x:v>2019</x:v>
      </x:c>
      <x:c r="E241" s="24" t="str">
        <x:v>Sardinella lemuru</x:v>
      </x:c>
      <x:c r="F241" s="24" t="str">
        <x:v>Bali sardinella</x:v>
      </x:c>
      <x:c r="G241" s="24" t="str">
        <x:v>Small pelagics (&lt;30 cm)</x:v>
      </x:c>
      <x:c r="H241" s="24" t="str">
        <x:v>Herring-likes</x:v>
      </x:c>
      <x:c r="I241" s="31" t="n">
        <x:v>0.000003974100000000001</x:v>
      </x:c>
      <x:c r="J241" s="31" t="n">
        <x:v>0.000003974100000000001</x:v>
      </x:c>
      <x:c r="K241" s="31" t="n">
        <x:v>0</x:v>
      </x:c>
      <x:c r="L241" s="31" t="n">
        <x:v>0.000003974100000000001</x:v>
      </x:c>
      <x:c r="M241" s="31" t="n">
        <x:v>0</x:v>
      </x:c>
      <x:c r="N241" s="24" t="str">
        <x:v>sardinella lemuru</x:v>
      </x:c>
      <x:c r="O241" s="32" t="n">
        <x:v>2.48</x:v>
      </x:c>
      <x:c r="P241" s="24" t="str">
        <x:v>exact_2020_supplement</x:v>
      </x:c>
      <x:c r="Q241" s="32" t="str">
        <x:v>2020 supplement MeanTL</x:v>
      </x:c>
      <x:c r="R241" s="24" t="str">
        <x:v>high</x:v>
      </x:c>
      <x:c r="S241" s="24" t="str">
        <x:v>Sardinella lemuru</x:v>
      </x:c>
      <x:c r="T241" s="32" t="n">
        <x:f>IF(O241="","",(1/'Metadata'!$B$5)^(O241-1))</x:f>
        <x:v>30.19951720402016</x:v>
      </x:c>
      <x:c r="U241" s="31" t="n">
        <x:f>IF(T241="","",I241*T241)</x:f>
        <x:v>0.00012001590132049655</x:v>
      </x:c>
    </x:row>
    <x:row r="242" ht="18" customHeight="1">
      <x:c r="A242" s="24" t="str">
        <x:v>LME_043</x:v>
      </x:c>
      <x:c r="B242" s="24" t="str">
        <x:v>Southwest Australian Shelf</x:v>
      </x:c>
      <x:c r="C242" s="24" t="str">
        <x:v>LME</x:v>
      </x:c>
      <x:c r="D242" s="30" t="n">
        <x:v>2019</x:v>
      </x:c>
      <x:c r="E242" s="24" t="str">
        <x:v>Centrophorus granulosus</x:v>
      </x:c>
      <x:c r="F242" s="24" t="str">
        <x:v>Gulper shark</x:v>
      </x:c>
      <x:c r="G242" s="24" t="str">
        <x:v>Large sharks (&gt;=90 cm)</x:v>
      </x:c>
      <x:c r="H242" s="24" t="str">
        <x:v>Sharks &amp; rays</x:v>
      </x:c>
      <x:c r="I242" s="31" t="n">
        <x:v>0.0000031927999999999997</x:v>
      </x:c>
      <x:c r="J242" s="31" t="n">
        <x:v>0.0000031927999999999997</x:v>
      </x:c>
      <x:c r="K242" s="31" t="n">
        <x:v>0</x:v>
      </x:c>
      <x:c r="L242" s="31" t="n">
        <x:v>0.0000031927999999999997</x:v>
      </x:c>
      <x:c r="M242" s="31" t="n">
        <x:v>0</x:v>
      </x:c>
      <x:c r="N242" s="24" t="str">
        <x:v>centrophorus granulosus</x:v>
      </x:c>
      <x:c r="O242" s="32" t="n">
        <x:v>4.11</x:v>
      </x:c>
      <x:c r="P242" s="24" t="str">
        <x:v>exact_2020_supplement</x:v>
      </x:c>
      <x:c r="Q242" s="32" t="str">
        <x:v>2020 supplement MeanTL</x:v>
      </x:c>
      <x:c r="R242" s="24" t="str">
        <x:v>high</x:v>
      </x:c>
      <x:c r="S242" s="24" t="str">
        <x:v>Centrophorus granulosus</x:v>
      </x:c>
      <x:c r="T242" s="32" t="n">
        <x:f>IF(O242="","",(1/'Metadata'!$B$5)^(O242-1))</x:f>
        <x:v>1288.249551693135</x:v>
      </x:c>
      <x:c r="U242" s="31" t="n">
        <x:f>IF(T242="","",I242*T242)</x:f>
        <x:v>0.004113123168645841</x:v>
      </x:c>
    </x:row>
    <x:row r="243" ht="18" customHeight="1">
      <x:c r="A243" s="24" t="str">
        <x:v>LME_043</x:v>
      </x:c>
      <x:c r="B243" s="24" t="str">
        <x:v>Southwest Australian Shelf</x:v>
      </x:c>
      <x:c r="C243" s="24" t="str">
        <x:v>LME</x:v>
      </x:c>
      <x:c r="D243" s="30" t="n">
        <x:v>2019</x:v>
      </x:c>
      <x:c r="E243" s="24" t="str">
        <x:v>Lutjanus fulvus</x:v>
      </x:c>
      <x:c r="F243" s="24" t="str">
        <x:v>Blacktail snapper</x:v>
      </x:c>
      <x:c r="G243" s="24" t="str">
        <x:v>Medium reef assoc. fish (30 - 89 cm)</x:v>
      </x:c>
      <x:c r="H243" s="24" t="str">
        <x:v>Perch-likes</x:v>
      </x:c>
      <x:c r="I243" s="31" t="n">
        <x:v>0.0000023013</x:v>
      </x:c>
      <x:c r="J243" s="31" t="n">
        <x:v>0.0000023013</x:v>
      </x:c>
      <x:c r="K243" s="31" t="n">
        <x:v>0</x:v>
      </x:c>
      <x:c r="L243" s="31" t="n">
        <x:v>0</x:v>
      </x:c>
      <x:c r="M243" s="31" t="n">
        <x:v>0.0000023013</x:v>
      </x:c>
      <x:c r="N243" s="24" t="str">
        <x:v>lutjanus fulvus</x:v>
      </x:c>
      <x:c r="O243" s="32" t="n">
        <x:v>3.61</x:v>
      </x:c>
      <x:c r="P243" s="24" t="str">
        <x:v>exact_2020_supplement</x:v>
      </x:c>
      <x:c r="Q243" s="32" t="str">
        <x:v>2020 supplement MeanTL</x:v>
      </x:c>
      <x:c r="R243" s="24" t="str">
        <x:v>high</x:v>
      </x:c>
      <x:c r="S243" s="24" t="str">
        <x:v>Lutjanus fulvus</x:v>
      </x:c>
      <x:c r="T243" s="32" t="n">
        <x:f>IF(O243="","",(1/'Metadata'!$B$5)^(O243-1))</x:f>
        <x:v>407.3802778041126</x:v>
      </x:c>
      <x:c r="U243" s="31" t="n">
        <x:f>IF(T243="","",I243*T243)</x:f>
        <x:v>0.0009375042333106043</x:v>
      </x:c>
    </x:row>
    <x:row r="244" ht="18" customHeight="1">
      <x:c r="A244" s="24" t="str">
        <x:v>LME_043</x:v>
      </x:c>
      <x:c r="B244" s="24" t="str">
        <x:v>Southwest Australian Shelf</x:v>
      </x:c>
      <x:c r="C244" s="24" t="str">
        <x:v>LME</x:v>
      </x:c>
      <x:c r="D244" s="30" t="n">
        <x:v>2019</x:v>
      </x:c>
      <x:c r="E244" s="24" t="str">
        <x:v>Acanthurus</x:v>
      </x:c>
      <x:c r="F244" s="24" t="str">
        <x:v>Surgeonfishes</x:v>
      </x:c>
      <x:c r="G244" s="24" t="str">
        <x:v>Small reef assoc. fish (&lt;30 cm)</x:v>
      </x:c>
      <x:c r="H244" s="24" t="str">
        <x:v>Perch-likes</x:v>
      </x:c>
      <x:c r="I244" s="31" t="n">
        <x:v>0.0000013076</x:v>
      </x:c>
      <x:c r="J244" s="31" t="n">
        <x:v>0.0000013076</x:v>
      </x:c>
      <x:c r="K244" s="31" t="n">
        <x:v>0</x:v>
      </x:c>
      <x:c r="L244" s="31" t="n">
        <x:v>0</x:v>
      </x:c>
      <x:c r="M244" s="31" t="n">
        <x:v>0.0000013076</x:v>
      </x:c>
      <x:c r="N244" s="24" t="str">
        <x:v>acanthurus</x:v>
      </x:c>
      <x:c r="O244" s="32" t="n">
        <x:v>2.03</x:v>
      </x:c>
      <x:c r="P244" s="24" t="str">
        <x:v>exact_sea_around_us</x:v>
      </x:c>
      <x:c r="Q244" s="32" t="str">
        <x:v>Sea Around Us exploited organisms</x:v>
      </x:c>
      <x:c r="R244" s="24" t="str">
        <x:v>high</x:v>
      </x:c>
      <x:c r="S244" s="24" t="str">
        <x:v>Acanthurus</x:v>
      </x:c>
      <x:c r="T244" s="32" t="n">
        <x:f>IF(O244="","",(1/'Metadata'!$B$5)^(O244-1))</x:f>
        <x:v>10.71519305237606</x:v>
      </x:c>
      <x:c r="U244" s="31" t="n">
        <x:f>IF(T244="","",I244*T244)</x:f>
        <x:v>0.000014011186435286936</x:v>
      </x:c>
    </x:row>
    <x:row r="245" ht="18" customHeight="1">
      <x:c r="A245" s="24" t="str">
        <x:v>LME_043</x:v>
      </x:c>
      <x:c r="B245" s="24" t="str">
        <x:v>Southwest Australian Shelf</x:v>
      </x:c>
      <x:c r="C245" s="24" t="str">
        <x:v>LME</x:v>
      </x:c>
      <x:c r="D245" s="30" t="n">
        <x:v>2019</x:v>
      </x:c>
      <x:c r="E245" s="24" t="str">
        <x:v>Terapon theraps</x:v>
      </x:c>
      <x:c r="F245" s="24" t="str">
        <x:v>Largescaled terapon</x:v>
      </x:c>
      <x:c r="G245" s="24" t="str">
        <x:v>Small pelagics (&lt;30 cm)</x:v>
      </x:c>
      <x:c r="H245" s="24" t="str">
        <x:v>Perch-likes</x:v>
      </x:c>
      <x:c r="I245" s="31" t="n">
        <x:v>7.311e-7</x:v>
      </x:c>
      <x:c r="J245" s="31" t="n">
        <x:v>7.311e-7</x:v>
      </x:c>
      <x:c r="K245" s="31" t="n">
        <x:v>0</x:v>
      </x:c>
      <x:c r="L245" s="31" t="n">
        <x:v>0</x:v>
      </x:c>
      <x:c r="M245" s="31" t="n">
        <x:v>7.311e-7</x:v>
      </x:c>
      <x:c r="N245" s="24" t="str">
        <x:v>terapon theraps</x:v>
      </x:c>
      <x:c r="O245" s="32" t="n">
        <x:v>3.49</x:v>
      </x:c>
      <x:c r="P245" s="24" t="str">
        <x:v>exact_2020_supplement</x:v>
      </x:c>
      <x:c r="Q245" s="32" t="str">
        <x:v>2020 supplement MeanTL</x:v>
      </x:c>
      <x:c r="R245" s="24" t="str">
        <x:v>high</x:v>
      </x:c>
      <x:c r="S245" s="24" t="str">
        <x:v>Terapon theraps</x:v>
      </x:c>
      <x:c r="T245" s="32" t="n">
        <x:f>IF(O245="","",(1/'Metadata'!$B$5)^(O245-1))</x:f>
        <x:v>309.0295432513592</x:v>
      </x:c>
      <x:c r="U245" s="31" t="n">
        <x:f>IF(T245="","",I245*T245)</x:f>
        <x:v>0.0002259314990710687</x:v>
      </x:c>
    </x:row>
    <x:row r="246" ht="18" customHeight="1">
      <x:c r="A246" s="24" t="str">
        <x:v>LME_043</x:v>
      </x:c>
      <x:c r="B246" s="24" t="str">
        <x:v>Southwest Australian Shelf</x:v>
      </x:c>
      <x:c r="C246" s="24" t="str">
        <x:v>LME</x:v>
      </x:c>
      <x:c r="D246" s="30" t="n">
        <x:v>2019</x:v>
      </x:c>
      <x:c r="E246" s="24" t="str">
        <x:v>Scarus</x:v>
      </x:c>
      <x:c r="F246" s="24" t="str">
        <x:v>Parrots</x:v>
      </x:c>
      <x:c r="G246" s="24" t="str">
        <x:v>Medium reef assoc. fish (30 - 89 cm)</x:v>
      </x:c>
      <x:c r="H246" s="24" t="str">
        <x:v>Perch-likes</x:v>
      </x:c>
      <x:c r="I246" s="31" t="n">
        <x:v>6.8e-9</x:v>
      </x:c>
      <x:c r="J246" s="31" t="n">
        <x:v>6.8e-9</x:v>
      </x:c>
      <x:c r="K246" s="31" t="n">
        <x:v>0</x:v>
      </x:c>
      <x:c r="L246" s="31" t="n">
        <x:v>0</x:v>
      </x:c>
      <x:c r="M246" s="31" t="n">
        <x:v>6.8e-9</x:v>
      </x:c>
      <x:c r="N246" s="24" t="str">
        <x:v>scarus</x:v>
      </x:c>
      <x:c r="O246" s="32" t="n">
        <x:v>2</x:v>
      </x:c>
      <x:c r="P246" s="24" t="str">
        <x:v>exact_sea_around_us</x:v>
      </x:c>
      <x:c r="Q246" s="32" t="str">
        <x:v>Sea Around Us exploited organisms</x:v>
      </x:c>
      <x:c r="R246" s="24" t="str">
        <x:v>high</x:v>
      </x:c>
      <x:c r="S246" s="24" t="str">
        <x:v>Scarus</x:v>
      </x:c>
      <x:c r="T246" s="32" t="n">
        <x:f>IF(O246="","",(1/'Metadata'!$B$5)^(O246-1))</x:f>
        <x:v>10</x:v>
      </x:c>
      <x:c r="U246" s="31" t="n">
        <x:f>IF(T246="","",I246*T246)</x:f>
        <x:v>6.8e-8</x:v>
      </x:c>
    </x:row>
  </x:sheetData>
  <x:conditionalFormatting sqref="R2:R246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7b86695c70b429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18.3246204329</x:v>
      </x:c>
      <x:c r="C2" s="32" t="n">
        <x:v>3.2</x:v>
      </x:c>
      <x:c r="D2" s="32" t="n">
        <x:f>IF(C2="","",(1/'Metadata'!$B$5)^(C2-1))</x:f>
        <x:v>158.48931924611142</x:v>
      </x:c>
      <x:c r="E2" s="31" t="n">
        <x:f>IF(B2=0,"",B2*D2)</x:f>
        <x:v>2904.256617853705</x:v>
      </x:c>
    </x:row>
    <x:row r="3" ht="18" customHeight="1">
      <x:c r="A3" s="24" t="str">
        <x:v>Cod-likes</x:v>
      </x:c>
      <x:c r="B3" s="31" t="n">
        <x:v>966.1741424876</x:v>
      </x:c>
      <x:c r="C3" s="32" t="n">
        <x:v>4.338080033306443</x:v>
      </x:c>
      <x:c r="D3" s="32" t="n">
        <x:f>IF(C3="","",(1/'Metadata'!$B$5)^(C3-1))</x:f>
        <x:v>2178.1111253086438</x:v>
      </x:c>
      <x:c r="E3" s="31" t="n">
        <x:f>IF(B3=0,"",B3*D3)</x:f>
        <x:v>2104434.6487377803</x:v>
      </x:c>
    </x:row>
    <x:row r="4" ht="18" customHeight="1">
      <x:c r="A4" s="24" t="str">
        <x:v>Crustaceans</x:v>
      </x:c>
      <x:c r="B4" s="31" t="n">
        <x:v>1765.5320593504</x:v>
      </x:c>
      <x:c r="C4" s="32" t="n">
        <x:v>2.8864540690634133</x:v>
      </x:c>
      <x:c r="D4" s="32" t="n">
        <x:f>IF(C4="","",(1/'Metadata'!$B$5)^(C4-1))</x:f>
        <x:v>76.99350118087266</x:v>
      </x:c>
      <x:c r="E4" s="31" t="n">
        <x:f>IF(B4=0,"",B4*D4)</x:f>
        <x:v>135934.49469646355</x:v>
      </x:c>
    </x:row>
    <x:row r="5" ht="18" customHeight="1">
      <x:c r="A5" s="24" t="str">
        <x:v>Flatfishes</x:v>
      </x:c>
      <x:c r="B5" s="31" t="n">
        <x:v>5.206877030600001</x:v>
      </x:c>
      <x:c r="C5" s="32" t="n">
        <x:v>3.599586581407751</x:v>
      </x:c>
      <x:c r="D5" s="32" t="n">
        <x:f>IF(C5="","",(1/'Metadata'!$B$5)^(C5-1))</x:f>
        <x:v>397.72838012224986</x:v>
      </x:c>
      <x:c r="E5" s="31" t="n">
        <x:f>IF(B5=0,"",B5*D5)</x:f>
        <x:v>2070.9227668762887</x:v>
      </x:c>
    </x:row>
    <x:row r="6" ht="18" customHeight="1">
      <x:c r="A6" s="24" t="str">
        <x:v>Herring-likes</x:v>
      </x:c>
      <x:c r="B6" s="31" t="n">
        <x:v>4287.285023541599</x:v>
      </x:c>
      <x:c r="C6" s="32" t="n">
        <x:v>2.8408290180430034</x:v>
      </x:c>
      <x:c r="D6" s="32" t="n">
        <x:f>IF(C6="","",(1/'Metadata'!$B$5)^(C6-1))</x:f>
        <x:v>69.31528576597952</x:v>
      </x:c>
      <x:c r="E6" s="31" t="n">
        <x:f>IF(B6=0,"",B6*D6)</x:f>
        <x:v>297174.3865669902</x:v>
      </x:c>
    </x:row>
    <x:row r="7" ht="18" customHeight="1">
      <x:c r="A7" s="24" t="str">
        <x:v>Molluscs</x:v>
      </x:c>
      <x:c r="B7" s="31" t="n">
        <x:v>1499.4380720012002</x:v>
      </x:c>
      <x:c r="C7" s="32" t="n">
        <x:v>2.0036000511626075</x:v>
      </x:c>
      <x:c r="D7" s="32" t="n">
        <x:f>IF(C7="","",(1/'Metadata'!$B$5)^(C7-1))</x:f>
        <x:v>10.083238765484065</x:v>
      </x:c>
      <x:c r="E7" s="31" t="n">
        <x:f>IF(B7=0,"",B7*D7)</x:f>
        <x:v>15119.19209404519</x:v>
      </x:c>
    </x:row>
    <x:row r="8" ht="18" customHeight="1">
      <x:c r="A8" s="24" t="str">
        <x:v>Other fishes &amp; inverts</x:v>
      </x:c>
      <x:c r="B8" s="31" t="n">
        <x:v>4415.972470619399</x:v>
      </x:c>
      <x:c r="C8" s="32" t="n">
        <x:v>3.5508575319060625</x:v>
      </x:c>
      <x:c r="D8" s="32" t="n">
        <x:f>IF(C8="","",(1/'Metadata'!$B$5)^(C8-1))</x:f>
        <x:v>355.51467465859776</x:v>
      </x:c>
      <x:c r="E8" s="31" t="n">
        <x:f>IF(B8=0,"",B8*D8)</x:f>
        <x:v>1569943.0161935799</x:v>
      </x:c>
    </x:row>
    <x:row r="9" ht="18" customHeight="1">
      <x:c r="A9" s="24" t="str">
        <x:v>Perch-likes</x:v>
      </x:c>
      <x:c r="B9" s="31" t="n">
        <x:v>9855.316704808398</x:v>
      </x:c>
      <x:c r="C9" s="32" t="n">
        <x:v>3.832325916194215</x:v>
      </x:c>
      <x:c r="D9" s="32" t="n">
        <x:f>IF(C9="","",(1/'Metadata'!$B$5)^(C9-1))</x:f>
        <x:v>679.7135321303693</x:v>
      </x:c>
      <x:c r="E9" s="31" t="n">
        <x:f>IF(B9=0,"",B9*D9)</x:f>
        <x:v>6698792.127688749</x:v>
      </x:c>
    </x:row>
    <x:row r="10" ht="18" customHeight="1">
      <x:c r="A10" s="24" t="str">
        <x:v>Scorpionfishes</x:v>
      </x:c>
      <x:c r="B10" s="31" t="n">
        <x:v>487.75275148949993</x:v>
      </x:c>
      <x:c r="C10" s="32" t="n">
        <x:v>3.6243864950118856</x:v>
      </x:c>
      <x:c r="D10" s="32" t="n">
        <x:f>IF(C10="","",(1/'Metadata'!$B$5)^(C10-1))</x:f>
        <x:v>421.1012155074846</x:v>
      </x:c>
      <x:c r="E10" s="31" t="n">
        <x:f>IF(B10=0,"",B10*D10)</x:f>
        <x:v>205393.2765193485</x:v>
      </x:c>
    </x:row>
    <x:row r="11" ht="18" customHeight="1">
      <x:c r="A11" s="24" t="str">
        <x:v>Sharks &amp; rays</x:v>
      </x:c>
      <x:c r="B11" s="31" t="n">
        <x:v>1474.6757560822</x:v>
      </x:c>
      <x:c r="C11" s="32" t="n">
        <x:v>4.084724493849844</x:v>
      </x:c>
      <x:c r="D11" s="32" t="n">
        <x:f>IF(C11="","",(1/'Metadata'!$B$5)^(C11-1))</x:f>
        <x:v>1215.4147256702029</x:v>
      </x:c>
      <x:c r="E11" s="31" t="n">
        <x:f>IF(B11=0,"",B11*D11)</x:f>
        <x:v>1792342.629531146</x:v>
      </x:c>
    </x:row>
    <x:row r="12" ht="18" customHeight="1">
      <x:c r="A12" s="24" t="str">
        <x:v>Tuna &amp; billfishes</x:v>
      </x:c>
      <x:c r="B12" s="31" t="n">
        <x:v>5675.238947068399</x:v>
      </x:c>
      <x:c r="C12" s="32" t="n">
        <x:v>3.9348170118190784</x:v>
      </x:c>
      <x:c r="D12" s="32" t="n">
        <x:f>IF(C12="","",(1/'Metadata'!$B$5)^(C12-1))</x:f>
        <x:v>860.6310524500931</x:v>
      </x:c>
      <x:c r="E12" s="31" t="n">
        <x:f>IF(B12=0,"",B12*D12)</x:f>
        <x:v>4884286.867921234</x:v>
      </x:c>
    </x:row>
  </x:sheetData>
  <x:pageMargins left="0.7" right="0.7" top="0.75" bottom="0.75" header="0.3" footer="0.3"/>
  <x:tableParts count="1">
    <x:tablePart xmlns:r="http://schemas.openxmlformats.org/officeDocument/2006/relationships" r:id="Rb0bffe145a9246c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558.7673577047001</x:v>
      </x:c>
      <x:c r="C2" s="32" t="n">
        <x:v>4.016065264355878</x:v>
      </x:c>
      <x:c r="D2" s="32" t="n">
        <x:f>IF(C2="","",(1/'Metadata'!$B$5)^(C2-1))</x:f>
        <x:v>1037.6843439145716</x:v>
      </x:c>
      <x:c r="E2" s="31" t="n">
        <x:f>IF(B2=0,"",B2*D2)</x:f>
        <x:v>579824.1389806805</x:v>
      </x:c>
    </x:row>
    <x:row r="3" ht="18" customHeight="1">
      <x:c r="A3" s="24" t="str">
        <x:v>Large bathydemersals (&gt;=90 cm)</x:v>
      </x:c>
      <x:c r="B3" s="31" t="n">
        <x:v>756.4523795283</x:v>
      </x:c>
      <x:c r="C3" s="32" t="n">
        <x:v>4.120948503154419</x:v>
      </x:c>
      <x:c r="D3" s="32" t="n">
        <x:f>IF(C3="","",(1/'Metadata'!$B$5)^(C3-1))</x:f>
        <x:v>1321.138969697081</x:v>
      </x:c>
      <x:c r="E3" s="31" t="n">
        <x:f>IF(B3=0,"",B3*D3)</x:f>
        <x:v>999378.7173149234</x:v>
      </x:c>
    </x:row>
    <x:row r="4" ht="18" customHeight="1">
      <x:c r="A4" s="24" t="str">
        <x:v>Large bathypelagics (&gt;=90 cm)</x:v>
      </x:c>
      <x:c r="B4" s="31" t="n">
        <x:v>18.1818635414</x:v>
      </x:c>
      <x:c r="C4" s="32" t="n">
        <x:v>4.22</x:v>
      </x:c>
      <x:c r="D4" s="32" t="n">
        <x:f>IF(C4="","",(1/'Metadata'!$B$5)^(C4-1))</x:f>
        <x:v>1659.5869074375596</x:v>
      </x:c>
      <x:c r="E4" s="31" t="n">
        <x:f>IF(B4=0,"",B4*D4)</x:f>
        <x:v>30174.38268612374</x:v>
      </x:c>
    </x:row>
    <x:row r="5" ht="18" customHeight="1">
      <x:c r="A5" s="24" t="str">
        <x:v>Large benthopelagics (&gt;=90 cm)</x:v>
      </x:c>
      <x:c r="B5" s="31" t="n">
        <x:v>708.9739081239</x:v>
      </x:c>
      <x:c r="C5" s="32" t="n">
        <x:v>3.6657023260636428</x:v>
      </x:c>
      <x:c r="D5" s="32" t="n">
        <x:f>IF(C5="","",(1/'Metadata'!$B$5)^(C5-1))</x:f>
        <x:v>463.12937298738234</x:v>
      </x:c>
      <x:c r="E5" s="31" t="n">
        <x:f>IF(B5=0,"",B5*D5)</x:f>
        <x:v>328346.6415338358</x:v>
      </x:c>
    </x:row>
    <x:row r="6" ht="18" customHeight="1">
      <x:c r="A6" s="24" t="str">
        <x:v>Large demersals (&gt;=90 cm)</x:v>
      </x:c>
      <x:c r="B6" s="31" t="n">
        <x:v>1113.0577576017</x:v>
      </x:c>
      <x:c r="C6" s="32" t="n">
        <x:v>4.216813310250308</x:v>
      </x:c>
      <x:c r="D6" s="32" t="n">
        <x:f>IF(C6="","",(1/'Metadata'!$B$5)^(C6-1))</x:f>
        <x:v>1647.4540498073015</x:v>
      </x:c>
      <x:c r="E6" s="31" t="n">
        <x:f>IF(B6=0,"",B6*D6)</x:f>
        <x:v>1833711.5104303544</x:v>
      </x:c>
    </x:row>
    <x:row r="7" ht="18" customHeight="1">
      <x:c r="A7" s="24" t="str">
        <x:v>Large pelagics (&gt;=90 cm)</x:v>
      </x:c>
      <x:c r="B7" s="31" t="n">
        <x:v>5694.3822374086</x:v>
      </x:c>
      <x:c r="C7" s="32" t="n">
        <x:v>3.936798992318635</x:v>
      </x:c>
      <x:c r="D7" s="32" t="n">
        <x:f>IF(C7="","",(1/'Metadata'!$B$5)^(C7-1))</x:f>
        <x:v>864.5676719993463</x:v>
      </x:c>
      <x:c r="E7" s="31" t="n">
        <x:f>IF(B7=0,"",B7*D7)</x:f>
        <x:v>4923178.794470782</x:v>
      </x:c>
    </x:row>
    <x:row r="8" ht="18" customHeight="1">
      <x:c r="A8" s="24" t="str">
        <x:v>Large rays (&gt;=90 cm)</x:v>
      </x:c>
      <x:c r="B8" s="31" t="n">
        <x:v>82.75049621390002</x:v>
      </x:c>
      <x:c r="C8" s="32" t="n">
        <x:v>3.4627764772810075</x:v>
      </x:c>
      <x:c r="D8" s="32" t="n">
        <x:f>IF(C8="","",(1/'Metadata'!$B$5)^(C8-1))</x:f>
        <x:v>290.2528396415715</x:v>
      </x:c>
      <x:c r="E8" s="31" t="n">
        <x:f>IF(B8=0,"",B8*D8)</x:f>
        <x:v>24018.56650783359</x:v>
      </x:c>
    </x:row>
    <x:row r="9" ht="18" customHeight="1">
      <x:c r="A9" s="24" t="str">
        <x:v>Large reef assoc. fish (&gt;=90 cm)</x:v>
      </x:c>
      <x:c r="B9" s="31" t="n">
        <x:v>3.5009390679999997</x:v>
      </x:c>
      <x:c r="C9" s="32" t="n">
        <x:v>4.201205527560184</x:v>
      </x:c>
      <x:c r="D9" s="32" t="n">
        <x:f>IF(C9="","",(1/'Metadata'!$B$5)^(C9-1))</x:f>
        <x:v>1589.298697835304</x:v>
      </x:c>
      <x:c r="E9" s="31" t="n">
        <x:f>IF(B9=0,"",B9*D9)</x:f>
        <x:v>5564.037901973142</x:v>
      </x:c>
    </x:row>
    <x:row r="10" ht="18" customHeight="1">
      <x:c r="A10" s="24" t="str">
        <x:v>Large sharks (&gt;=90 cm)</x:v>
      </x:c>
      <x:c r="B10" s="31" t="n">
        <x:v>1358.7797174190002</x:v>
      </x:c>
      <x:c r="C10" s="32" t="n">
        <x:v>4.131551525587584</x:v>
      </x:c>
      <x:c r="D10" s="32" t="n">
        <x:f>IF(C10="","",(1/'Metadata'!$B$5)^(C10-1))</x:f>
        <x:v>1353.790697647372</x:v>
      </x:c>
      <x:c r="E10" s="31" t="n">
        <x:f>IF(B10=0,"",B10*D10)</x:f>
        <x:v>1839503.3415937675</x:v>
      </x:c>
    </x:row>
    <x:row r="11" ht="18" customHeight="1">
      <x:c r="A11" s="24" t="str">
        <x:v>Lobsters, crabs</x:v>
      </x:c>
      <x:c r="B11" s="31" t="n">
        <x:v>1419.0914499471</x:v>
      </x:c>
      <x:c r="C11" s="32" t="n">
        <x:v>2.7830544534646937</x:v>
      </x:c>
      <x:c r="D11" s="32" t="n">
        <x:f>IF(C11="","",(1/'Metadata'!$B$5)^(C11-1))</x:f>
        <x:v>60.681240922579086</x:v>
      </x:c>
      <x:c r="E11" s="31" t="n">
        <x:f>IF(B11=0,"",B11*D11)</x:f>
        <x:v>86112.23016541205</x:v>
      </x:c>
    </x:row>
    <x:row r="12" ht="18" customHeight="1">
      <x:c r="A12" s="24" t="str">
        <x:v>Medium bathydemersals (30 - 89 cm)</x:v>
      </x:c>
      <x:c r="B12" s="31" t="n">
        <x:v>505.1113549293</x:v>
      </x:c>
      <x:c r="C12" s="32" t="n">
        <x:v>3.6573582199551034</x:v>
      </x:c>
      <x:c r="D12" s="32" t="n">
        <x:f>IF(C12="","",(1/'Metadata'!$B$5)^(C12-1))</x:f>
        <x:v>454.31619665088715</x:v>
      </x:c>
      <x:c r="E12" s="31" t="n">
        <x:f>IF(B12=0,"",B12*D12)</x:f>
        <x:v>229480.2696566559</x:v>
      </x:c>
    </x:row>
    <x:row r="13" ht="18" customHeight="1">
      <x:c r="A13" s="24" t="str">
        <x:v>Medium bathypelagics (30 - 89 cm)</x:v>
      </x:c>
      <x:c r="B13" s="31" t="n">
        <x:v>361.09855028939995</x:v>
      </x:c>
      <x:c r="C13" s="32" t="n">
        <x:v>3.9188687402720577</x:v>
      </x:c>
      <x:c r="D13" s="32" t="n">
        <x:f>IF(C13="","",(1/'Metadata'!$B$5)^(C13-1))</x:f>
        <x:v>829.5999940612514</x:v>
      </x:c>
      <x:c r="E13" s="31" t="n">
        <x:f>IF(B13=0,"",B13*D13)</x:f>
        <x:v>299567.3551756127</x:v>
      </x:c>
    </x:row>
    <x:row r="14" ht="18" customHeight="1">
      <x:c r="A14" s="24" t="str">
        <x:v>Medium benthopelagics (30 - 89 cm)</x:v>
      </x:c>
      <x:c r="B14" s="31" t="n">
        <x:v>4811.347037823901</x:v>
      </x:c>
      <x:c r="C14" s="32" t="n">
        <x:v>3.8506433717894044</x:v>
      </x:c>
      <x:c r="D14" s="32" t="n">
        <x:f>IF(C14="","",(1/'Metadata'!$B$5)^(C14-1))</x:f>
        <x:v>708.995325431249</x:v>
      </x:c>
      <x:c r="E14" s="31" t="n">
        <x:f>IF(B14=0,"",B14*D14)</x:f>
        <x:v>3411222.558844632</x:v>
      </x:c>
    </x:row>
    <x:row r="15" ht="18" customHeight="1">
      <x:c r="A15" s="24" t="str">
        <x:v>Medium demersals (30 - 89 cm)</x:v>
      </x:c>
      <x:c r="B15" s="31" t="n">
        <x:v>4096.7833925815</x:v>
      </x:c>
      <x:c r="C15" s="32" t="n">
        <x:v>3.375411987273899</x:v>
      </x:c>
      <x:c r="D15" s="32" t="n">
        <x:f>IF(C15="","",(1/'Metadata'!$B$5)^(C15-1))</x:f>
        <x:v>237.3624342896916</x:v>
      </x:c>
      <x:c r="E15" s="31" t="n">
        <x:f>IF(B15=0,"",B15*D15)</x:f>
        <x:v>972422.4788207262</x:v>
      </x:c>
    </x:row>
    <x:row r="16" ht="18" customHeight="1">
      <x:c r="A16" s="24" t="str">
        <x:v>Medium pelagics (30 - 89 cm)</x:v>
      </x:c>
      <x:c r="B16" s="31" t="n">
        <x:v>6565.7265544704005</x:v>
      </x:c>
      <x:c r="C16" s="32" t="n">
        <x:v>3.277752930442804</x:v>
      </x:c>
      <x:c r="D16" s="32" t="n">
        <x:f>IF(C16="","",(1/'Metadata'!$B$5)^(C16-1))</x:f>
        <x:v>189.56271945896572</x:v>
      </x:c>
      <x:c r="E16" s="31" t="n">
        <x:f>IF(B16=0,"",B16*D16)</x:f>
        <x:v>1244616.9808893541</x:v>
      </x:c>
    </x:row>
    <x:row r="17" ht="18" customHeight="1">
      <x:c r="A17" s="24" t="str">
        <x:v>Medium reef assoc. fish (30 - 89 cm)</x:v>
      </x:c>
      <x:c r="B17" s="31" t="n">
        <x:v>416.7491187495</x:v>
      </x:c>
      <x:c r="C17" s="32" t="n">
        <x:v>3.1309347783557433</x:v>
      </x:c>
      <x:c r="D17" s="32" t="n">
        <x:f>IF(C17="","",(1/'Metadata'!$B$5)^(C17-1))</x:f>
        <x:v>135.18695263654973</x:v>
      </x:c>
      <x:c r="E17" s="31" t="n">
        <x:f>IF(B17=0,"",B17*D17)</x:f>
        <x:v>56339.04337771249</x:v>
      </x:c>
    </x:row>
    <x:row r="18" ht="18" customHeight="1">
      <x:c r="A18" s="24" t="str">
        <x:v>Other demersal invertebrates</x:v>
      </x:c>
      <x:c r="B18" s="31" t="n">
        <x:v>1499.9069595585001</x:v>
      </x:c>
      <x:c r="C18" s="32" t="n">
        <x:v>2.003599352024172</x:v>
      </x:c>
      <x:c r="D18" s="32" t="n">
        <x:f>IF(C18="","",(1/'Metadata'!$B$5)^(C18-1))</x:f>
        <x:v>10.083222533239827</x:v>
      </x:c>
      <x:c r="E18" s="31" t="n">
        <x:f>IF(B18=0,"",B18*D18)</x:f>
        <x:v>15123.895652383506</x:v>
      </x:c>
    </x:row>
    <x:row r="19" ht="18" customHeight="1">
      <x:c r="A19" s="24" t="str">
        <x:v>Shrimps</x:v>
      </x:c>
      <x:c r="B19" s="31" t="n">
        <x:v>346.4406094033</x:v>
      </x:c>
      <x:c r="C19" s="32" t="n">
        <x:v>3.31</x:v>
      </x:c>
      <x:c r="D19" s="32" t="n">
        <x:f>IF(C19="","",(1/'Metadata'!$B$5)^(C19-1))</x:f>
        <x:v>204.17379446695296</x:v>
      </x:c>
      <x:c r="E19" s="31" t="n">
        <x:f>IF(B19=0,"",B19*D19)</x:f>
        <x:v>70734.09377931531</x:v>
      </x:c>
    </x:row>
    <x:row r="20" ht="18" customHeight="1">
      <x:c r="A20" s="24" t="str">
        <x:v>Small benthopelagics (&lt;30 cm)</x:v>
      </x:c>
      <x:c r="B20" s="31" t="n">
        <x:v>12.4407369775</x:v>
      </x:c>
      <x:c r="C20" s="32" t="n">
        <x:v>3.1657528833057436</x:v>
      </x:c>
      <x:c r="D20" s="32" t="n">
        <x:f>IF(C20="","",(1/'Metadata'!$B$5)^(C20-1))</x:f>
        <x:v>146.47141708630343</x:v>
      </x:c>
      <x:c r="E20" s="31" t="n">
        <x:f>IF(B20=0,"",B20*D20)</x:f>
        <x:v>1822.2123746924005</x:v>
      </x:c>
    </x:row>
    <x:row r="21" ht="18" customHeight="1">
      <x:c r="A21" s="24" t="str">
        <x:v>Small pelagics (&lt;30 cm)</x:v>
      </x:c>
      <x:c r="B21" s="31" t="n">
        <x:v>83.0208036455</x:v>
      </x:c>
      <x:c r="C21" s="32" t="n">
        <x:v>3.988238347428056</x:v>
      </x:c>
      <x:c r="D21" s="32" t="n">
        <x:f>IF(C21="","",(1/'Metadata'!$B$5)^(C21-1))</x:f>
        <x:v>973.2812287946199</x:v>
      </x:c>
      <x:c r="E21" s="31" t="n">
        <x:f>IF(B21=0,"",B21*D21)</x:f>
        <x:v>80802.58978760909</x:v>
      </x:c>
    </x:row>
    <x:row r="22" ht="18" customHeight="1">
      <x:c r="A22" s="24" t="str">
        <x:v>Small reef assoc. fish (&lt;30 cm)</x:v>
      </x:c>
      <x:c r="B22" s="31" t="n">
        <x:v>0.0017804469</x:v>
      </x:c>
      <x:c r="C22" s="32" t="n">
        <x:v>3.4889277433660055</x:v>
      </x:c>
      <x:c r="D22" s="32" t="n">
        <x:f>IF(C22="","",(1/'Metadata'!$B$5)^(C22-1))</x:f>
        <x:v>308.26750212098136</x:v>
      </x:c>
      <x:c r="E22" s="31" t="n">
        <x:f>IF(B22=0,"",B22*D22)</x:f>
        <x:v>0.5488539185220447</x:v>
      </x:c>
    </x:row>
    <x:row r="23" ht="18" customHeight="1">
      <x:c r="A23" s="24" t="str">
        <x:v>Small to medium flatfishes (&lt;90 cm)</x:v>
      </x:c>
      <x:c r="B23" s="31" t="n">
        <x:v>5.206877030600001</x:v>
      </x:c>
      <x:c r="C23" s="32" t="n">
        <x:v>3.599586581407751</x:v>
      </x:c>
      <x:c r="D23" s="32" t="n">
        <x:f>IF(C23="","",(1/'Metadata'!$B$5)^(C23-1))</x:f>
        <x:v>397.72838012224986</x:v>
      </x:c>
      <x:c r="E23" s="31" t="n">
        <x:f>IF(B23=0,"",B23*D23)</x:f>
        <x:v>2070.9227668762887</x:v>
      </x:c>
    </x:row>
    <x:row r="24" ht="18" customHeight="1">
      <x:c r="A24" s="24" t="str">
        <x:v>Small to medium rays (&lt;90 cm)</x:v>
      </x:c>
      <x:c r="B24" s="31" t="n">
        <x:v>32.2181708923</x:v>
      </x:c>
      <x:c r="C24" s="32" t="n">
        <x:v>3.7</x:v>
      </x:c>
      <x:c r="D24" s="32" t="n">
        <x:f>IF(C24="","",(1/'Metadata'!$B$5)^(C24-1))</x:f>
        <x:v>501.18723362727246</x:v>
      </x:c>
      <x:c r="E24" s="31" t="n">
        <x:f>IF(B24=0,"",B24*D24)</x:f>
        <x:v>16147.33594204255</x:v>
      </x:c>
    </x:row>
    <x:row r="25" ht="18" customHeight="1">
      <x:c r="A25" s="24" t="str">
        <x:v>Small to medium sharks (&lt;90 cm)</x:v>
      </x:c>
      <x:c r="B25" s="31" t="n">
        <x:v>0.927371557</x:v>
      </x:c>
      <x:c r="C25" s="32" t="n">
        <x:v>4.337056502186857</x:v>
      </x:c>
      <x:c r="D25" s="32" t="n">
        <x:f>IF(C25="","",(1/'Metadata'!$B$5)^(C25-1))</x:f>
        <x:v>2172.9838680509524</x:v>
      </x:c>
      <x:c r="E25" s="31" t="n">
        <x:f>IF(B25=0,"",B25*D25)</x:f>
        <x:v>2015.1634330502943</x:v>
      </x:c>
    </x:row>
  </x:sheetData>
  <x:pageMargins left="0.7" right="0.7" top="0.75" bottom="0.75" header="0.3" footer="0.3"/>
  <x:tableParts count="1">
    <x:tablePart xmlns:r="http://schemas.openxmlformats.org/officeDocument/2006/relationships" r:id="R14ba0401ad99466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LME_043</x:v>
      </x:c>
      <x:c r="B2" s="24" t="str">
        <x:v>raw_filtered_tonnes</x:v>
      </x:c>
      <x:c r="C2" s="24" t="n">
        <x:v>30450.9174249122</x:v>
      </x:c>
      <x:c r="D2" s="24" t="str">
        <x:v>tonnes</x:v>
      </x:c>
    </x:row>
    <x:row r="3" ht="18" customHeight="1">
      <x:c r="A3" s="24" t="str">
        <x:v>LME_043</x:v>
      </x:c>
      <x:c r="B3" s="24" t="str">
        <x:v>species_catch_tonnes</x:v>
      </x:c>
      <x:c r="C3" s="24" t="n">
        <x:v>30450.9174249122</x:v>
      </x:c>
      <x:c r="D3" s="24" t="str">
        <x:v>tonnes</x:v>
      </x:c>
    </x:row>
    <x:row r="4" ht="18" customHeight="1">
      <x:c r="A4" s="24" t="str">
        <x:v>LME_043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LME_043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LME_043</x:v>
      </x:c>
      <x:c r="B6" s="24" t="str">
        <x:v>matched_catch_tonnes</x:v>
      </x:c>
      <x:c r="C6" s="24" t="n">
        <x:v>30450.9174249122</x:v>
      </x:c>
      <x:c r="D6" s="24" t="str">
        <x:v>tonnes</x:v>
      </x:c>
    </x:row>
    <x:row r="7" ht="18" customHeight="1">
      <x:c r="A7" s="24" t="str">
        <x:v>LME_043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LME_043</x:v>
      </x:c>
      <x:c r="B8" s="24" t="str">
        <x:v>taxa_count</x:v>
      </x:c>
      <x:c r="C8" s="24" t="n">
        <x:v>245</x:v>
      </x:c>
      <x:c r="D8" s="24" t="str">
        <x:v>count</x:v>
      </x:c>
    </x:row>
    <x:row r="9" ht="18" customHeight="1">
      <x:c r="A9" s="24" t="str">
        <x:v>LME_043</x:v>
      </x:c>
      <x:c r="B9" s="24" t="str">
        <x:v>matched_taxa_count</x:v>
      </x:c>
      <x:c r="C9" s="24" t="n">
        <x:v>245</x:v>
      </x:c>
      <x:c r="D9" s="24" t="str">
        <x:v>count</x:v>
      </x:c>
    </x:row>
    <x:row r="10" ht="18" customHeight="1">
      <x:c r="A10" s="24" t="str">
        <x:v>LME_043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LME_043</x:v>
      </x:c>
      <x:c r="B11" s="24" t="str">
        <x:v>species_ppr</x:v>
      </x:c>
      <x:c r="C11" s="24" t="n">
        <x:v>21615913.499733415</x:v>
      </x:c>
      <x:c r="D11" s="24" t="str">
        <x:v>tonnes_primary_production_equivalent</x:v>
      </x:c>
    </x:row>
    <x:row r="12" ht="18" customHeight="1">
      <x:c r="A12" s="24" t="str">
        <x:v>LME_043</x:v>
      </x:c>
      <x:c r="B12" s="24" t="str">
        <x:v>commercial_ppr</x:v>
      </x:c>
      <x:c r="C12" s="24" t="n">
        <x:v>17708395.819334067</x:v>
      </x:c>
      <x:c r="D12" s="24" t="str">
        <x:v>tonnes_primary_production_equivalent</x:v>
      </x:c>
    </x:row>
    <x:row r="13" ht="18" customHeight="1">
      <x:c r="A13" s="24" t="str">
        <x:v>LME_043</x:v>
      </x:c>
      <x:c r="B13" s="24" t="str">
        <x:v>functional_ppr</x:v>
      </x:c>
      <x:c r="C13" s="24" t="n">
        <x:v>17052177.81094027</x:v>
      </x:c>
      <x:c r="D13" s="24" t="str">
        <x:v>tonnes_primary_production_equivalent</x:v>
      </x:c>
    </x:row>
    <x:row r="14" ht="18" customHeight="1">
      <x:c r="A14" s="24" t="str">
        <x:v>LME_043</x:v>
      </x:c>
      <x:c r="B14" s="24" t="str">
        <x:v>commercial_ppr_difference</x:v>
      </x:c>
      <x:c r="C14" s="24" t="n">
        <x:v>-3907517.680399347</x:v>
      </x:c>
      <x:c r="D14" s="24" t="str">
        <x:v>tonnes_primary_production_equivalent</x:v>
      </x:c>
    </x:row>
    <x:row r="15" ht="18" customHeight="1">
      <x:c r="A15" s="24" t="str">
        <x:v>LME_043</x:v>
      </x:c>
      <x:c r="B15" s="24" t="str">
        <x:v>functional_ppr_difference</x:v>
      </x:c>
      <x:c r="C15" s="24" t="n">
        <x:v>-4563735.688793145</x:v>
      </x:c>
      <x:c r="D15" s="24" t="str">
        <x:v>tonnes_primary_production_equivalent</x:v>
      </x:c>
    </x:row>
    <x:row r="16" ht="18" customHeight="1">
      <x:c r="A16" s="24" t="str">
        <x:v>LME_043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LME_043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6ab2a4bbf1064ba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LME_043 - Southwest Australian Shelf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LME_043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LME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raw_data/SAU_downloads/LME_043-catch.zip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