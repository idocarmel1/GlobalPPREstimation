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9510ab190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ddaa997e5e244ec"/>
    <x:sheet xmlns:r="http://schemas.openxmlformats.org/officeDocument/2006/relationships" name="Commercial" sheetId="2" r:id="R453cb86cb176458f"/>
    <x:sheet xmlns:r="http://schemas.openxmlformats.org/officeDocument/2006/relationships" name="Functional" sheetId="3" r:id="Re7bddd2fcac94ccb"/>
    <x:sheet xmlns:r="http://schemas.openxmlformats.org/officeDocument/2006/relationships" name="Missing TL" sheetId="4" r:id="R36a697e06fe14f11"/>
    <x:sheet xmlns:r="http://schemas.openxmlformats.org/officeDocument/2006/relationships" name="Validation" sheetId="5" r:id="R86894715aedd4286"/>
    <x:sheet xmlns:r="http://schemas.openxmlformats.org/officeDocument/2006/relationships" name="Metadata" sheetId="6" r:id="R58224509ad1547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ce40c1540a41c5" /><Relationship Type="http://schemas.openxmlformats.org/officeDocument/2006/relationships/theme" Target="/xl/theme/theme1.xml" Id="R400a06afb16346de" /><Relationship Type="http://schemas.openxmlformats.org/officeDocument/2006/relationships/sharedStrings" Target="/xl/sharedStrings.xml" Id="R665b9525fddd4f3a" /><Relationship Type="http://schemas.openxmlformats.org/officeDocument/2006/relationships/worksheet" Target="/xl/worksheets/sheet1.xml" Id="R9ddaa997e5e244ec" /><Relationship Type="http://schemas.openxmlformats.org/officeDocument/2006/relationships/worksheet" Target="/xl/worksheets/sheet2.xml" Id="R453cb86cb176458f" /><Relationship Type="http://schemas.openxmlformats.org/officeDocument/2006/relationships/worksheet" Target="/xl/worksheets/sheet3.xml" Id="Re7bddd2fcac94ccb" /><Relationship Type="http://schemas.openxmlformats.org/officeDocument/2006/relationships/worksheet" Target="/xl/worksheets/sheet4.xml" Id="R36a697e06fe14f11" /><Relationship Type="http://schemas.openxmlformats.org/officeDocument/2006/relationships/worksheet" Target="/xl/worksheets/sheet5.xml" Id="R86894715aedd4286" /><Relationship Type="http://schemas.openxmlformats.org/officeDocument/2006/relationships/worksheet" Target="/xl/worksheets/sheet6.xml" Id="R58224509ad154755" /></Relationships>
</file>

<file path=xl/tables/table1.xml><?xml version="1.0" encoding="utf-8"?>
<x:table xmlns:x="http://schemas.openxmlformats.org/spreadsheetml/2006/main" id="1" name="LME011SpeciesTable" displayName="LME011SpeciesTable" ref="A1:U271" headerRowCount="1" totalsRowCount="0" totalsRowShown="0">
  <x:autoFilter ref="A1:U27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1CommercialTable" displayName="LME011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1FunctionalTable" displayName="LME011FunctionalTable" ref="A1:O27" headerRowCount="1" totalsRowCount="0" totalsRowShown="0">
  <x:autoFilter ref="A1:O2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1ValidationTable" displayName="LME01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f434d2f60f42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6873ce57ca49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1e45c9a427944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ea5fab373f49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LME_011</x:v>
      </x:c>
      <x:c r="B2" s="46" t="str">
        <x:v>Pacific Central-American Coastal</x:v>
      </x:c>
      <x:c r="C2" s="46" t="str">
        <x:v>LME</x:v>
      </x:c>
      <x:c r="D2" s="58" t="n">
        <x:v>2019</x:v>
      </x:c>
      <x:c r="E2" s="46" t="str">
        <x:v>Cetengraulis mysticetus</x:v>
      </x:c>
      <x:c r="F2" s="46" t="str">
        <x:v>Pacific anchoveta</x:v>
      </x:c>
      <x:c r="G2" s="46" t="str">
        <x:v>Small pelagics (&lt;30 cm)</x:v>
      </x:c>
      <x:c r="H2" s="46" t="str">
        <x:v>Anchovies</x:v>
      </x:c>
      <x:c r="I2" s="60" t="n">
        <x:v>361435.5476297288</x:v>
      </x:c>
      <x:c r="J2" s="60" t="n">
        <x:v>361435.5476297288</x:v>
      </x:c>
      <x:c r="K2" s="60" t="n">
        <x:v>0</x:v>
      </x:c>
      <x:c r="L2" s="60" t="n">
        <x:v>358775.1643006617</x:v>
      </x:c>
      <x:c r="M2" s="60" t="n">
        <x:v>2660.3833290671</x:v>
      </x:c>
      <x:c r="N2" s="46" t="str">
        <x:v>cetengraulis mysticetus</x:v>
      </x:c>
      <x:c r="O2" s="62" t="n">
        <x:v>2.47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Cetengraulis mysticetus</x:v>
      </x:c>
      <x:c r="T2" s="62" t="n">
        <x:f>IF(O2="","",(1/'Metadata'!$B$5)^(O2-1))</x:f>
        <x:v>29.51209226666387</x:v>
      </x:c>
      <x:c r="U2" s="60" t="n">
        <x:f>IF(T2="","",I2*T2)</x:f>
        <x:v>10666719.23010074</x:v>
      </x:c>
    </x:row>
    <x:row r="3" ht="18" customHeight="1">
      <x:c r="A3" s="46" t="str">
        <x:v>LME_011</x:v>
      </x:c>
      <x:c r="B3" s="46" t="str">
        <x:v>Pacific Central-American Coastal</x:v>
      </x:c>
      <x:c r="C3" s="46" t="str">
        <x:v>LME</x:v>
      </x:c>
      <x:c r="D3" s="58" t="n">
        <x:v>2019</x:v>
      </x:c>
      <x:c r="E3" s="46" t="str">
        <x:v>Opisthonema libertate</x:v>
      </x:c>
      <x:c r="F3" s="46" t="str">
        <x:v>Pacific thread herring</x:v>
      </x:c>
      <x:c r="G3" s="46" t="str">
        <x:v>Small pelagics (&lt;30 cm)</x:v>
      </x:c>
      <x:c r="H3" s="46" t="str">
        <x:v>Herring-likes</x:v>
      </x:c>
      <x:c r="I3" s="60" t="n">
        <x:v>212956.13533502282</x:v>
      </x:c>
      <x:c r="J3" s="60" t="n">
        <x:v>212956.13533502282</x:v>
      </x:c>
      <x:c r="K3" s="60" t="n">
        <x:v>0</x:v>
      </x:c>
      <x:c r="L3" s="60" t="n">
        <x:v>211608.8114161632</x:v>
      </x:c>
      <x:c r="M3" s="60" t="n">
        <x:v>1347.3239188595999</x:v>
      </x:c>
      <x:c r="N3" s="46" t="str">
        <x:v>opisthonema libertate</x:v>
      </x:c>
      <x:c r="O3" s="62" t="n">
        <x:v>2.89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Opisthonema libertate</x:v>
      </x:c>
      <x:c r="T3" s="62" t="n">
        <x:f>IF(O3="","",(1/'Metadata'!$B$5)^(O3-1))</x:f>
        <x:v>77.6247116628692</x:v>
      </x:c>
      <x:c r="U3" s="60" t="n">
        <x:f>IF(T3="","",I3*T3)</x:f>
        <x:v>16530658.602220098</x:v>
      </x:c>
    </x:row>
    <x:row r="4" ht="18" customHeight="1">
      <x:c r="A4" s="46" t="str">
        <x:v>LME_011</x:v>
      </x:c>
      <x:c r="B4" s="46" t="str">
        <x:v>Pacific Central-American Coastal</x:v>
      </x:c>
      <x:c r="C4" s="46" t="str">
        <x:v>LME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109315.4280593401</x:v>
      </x:c>
      <x:c r="J4" s="60" t="n">
        <x:v>80512.4167259908</x:v>
      </x:c>
      <x:c r="K4" s="60" t="n">
        <x:v>28803.0113333493</x:v>
      </x:c>
      <x:c r="L4" s="60" t="n">
        <x:v>57269.6366061016</x:v>
      </x:c>
      <x:c r="M4" s="60" t="n">
        <x:v>52045.7914532385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190.54607179632464</x:v>
      </x:c>
      <x:c r="U4" s="60" t="n">
        <x:f>IF(T4="","",I4*T4)</x:f>
        <x:v>20829625.403440982</x:v>
      </x:c>
    </x:row>
    <x:row r="5" ht="18" customHeight="1">
      <x:c r="A5" s="46" t="str">
        <x:v>LME_011</x:v>
      </x:c>
      <x:c r="B5" s="46" t="str">
        <x:v>Pacific Central-American Coastal</x:v>
      </x:c>
      <x:c r="C5" s="46" t="str">
        <x:v>LME</x:v>
      </x:c>
      <x:c r="D5" s="58" t="n">
        <x:v>2019</x:v>
      </x:c>
      <x:c r="E5" s="46" t="str">
        <x:v>Actinopterygii</x:v>
      </x:c>
      <x:c r="F5" s="46" t="str">
        <x:v>Ray-finned fishes</x:v>
      </x:c>
      <x:c r="G5" s="46" t="str">
        <x:v>Medium demersals (30 - 89 cm)</x:v>
      </x:c>
      <x:c r="H5" s="46" t="str">
        <x:v>Other fishes &amp; inverts</x:v>
      </x:c>
      <x:c r="I5" s="60" t="n">
        <x:v>66238.18526770771</x:v>
      </x:c>
      <x:c r="J5" s="60" t="n">
        <x:v>49952.2839043814</x:v>
      </x:c>
      <x:c r="K5" s="60" t="n">
        <x:v>16285.9013633263</x:v>
      </x:c>
      <x:c r="L5" s="60" t="n">
        <x:v>0</x:v>
      </x:c>
      <x:c r="M5" s="60" t="n">
        <x:v>66238.18526770771</x:v>
      </x:c>
      <x:c r="N5" s="46" t="str">
        <x:v>actinopterygii</x:v>
      </x:c>
      <x:c r="O5" s="62" t="n">
        <x:v>3.79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Actinopterygii</x:v>
      </x:c>
      <x:c r="T5" s="62" t="n">
        <x:f>IF(O5="","",(1/'Metadata'!$B$5)^(O5-1))</x:f>
        <x:v>616.5950018614822</x:v>
      </x:c>
      <x:c r="U5" s="60" t="n">
        <x:f>IF(T5="","",I5*T5)</x:f>
        <x:v>40842133.96844344</x:v>
      </x:c>
    </x:row>
    <x:row r="6" ht="18" customHeight="1">
      <x:c r="A6" s="46" t="str">
        <x:v>LME_011</x:v>
      </x:c>
      <x:c r="B6" s="46" t="str">
        <x:v>Pacific Central-American Coastal</x:v>
      </x:c>
      <x:c r="C6" s="46" t="str">
        <x:v>LME</x:v>
      </x:c>
      <x:c r="D6" s="58" t="n">
        <x:v>2019</x:v>
      </x:c>
      <x:c r="E6" s="46" t="str">
        <x:v>Engraulis ringens</x:v>
      </x:c>
      <x:c r="F6" s="46" t="str">
        <x:v>Anchoveta</x:v>
      </x:c>
      <x:c r="G6" s="46" t="str">
        <x:v>Small pelagics (&lt;30 cm)</x:v>
      </x:c>
      <x:c r="H6" s="46" t="str">
        <x:v>Anchovies</x:v>
      </x:c>
      <x:c r="I6" s="60" t="n">
        <x:v>57108.2578172872</x:v>
      </x:c>
      <x:c r="J6" s="60" t="n">
        <x:v>55036.3087989089</x:v>
      </x:c>
      <x:c r="K6" s="60" t="n">
        <x:v>2071.9490183783</x:v>
      </x:c>
      <x:c r="L6" s="60" t="n">
        <x:v>50622.6757695532</x:v>
      </x:c>
      <x:c r="M6" s="60" t="n">
        <x:v>6485.582047733999</x:v>
      </x:c>
      <x:c r="N6" s="46" t="str">
        <x:v>engraulis ringens</x:v>
      </x:c>
      <x:c r="O6" s="62" t="n">
        <x:v>2.7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Engraulis ringens</x:v>
      </x:c>
      <x:c r="T6" s="62" t="n">
        <x:f>IF(O6="","",(1/'Metadata'!$B$5)^(O6-1))</x:f>
        <x:v>50.11872336272725</x:v>
      </x:c>
      <x:c r="U6" s="60" t="n">
        <x:f>IF(T6="","",I6*T6)</x:f>
        <x:v>2862192.9752719235</x:v>
      </x:c>
    </x:row>
    <x:row r="7" ht="18" customHeight="1">
      <x:c r="A7" s="46" t="str">
        <x:v>LME_011</x:v>
      </x:c>
      <x:c r="B7" s="46" t="str">
        <x:v>Pacific Central-American Coastal</x:v>
      </x:c>
      <x:c r="C7" s="46" t="str">
        <x:v>LME</x:v>
      </x:c>
      <x:c r="D7" s="58" t="n">
        <x:v>2019</x:v>
      </x:c>
      <x:c r="E7" s="46" t="str">
        <x:v>Marine finfishes not identified</x:v>
      </x:c>
      <x:c r="F7" s="46" t="str">
        <x:v>Finfishes</x:v>
      </x:c>
      <x:c r="G7" s="46" t="str">
        <x:v>Medium demersals (30 - 89 cm)</x:v>
      </x:c>
      <x:c r="H7" s="46" t="str">
        <x:v>Other fishes &amp; inverts</x:v>
      </x:c>
      <x:c r="I7" s="60" t="n">
        <x:v>55736.9582545481</x:v>
      </x:c>
      <x:c r="J7" s="60" t="n">
        <x:v>48335.500967653</x:v>
      </x:c>
      <x:c r="K7" s="60" t="n">
        <x:v>7401.4572868951</x:v>
      </x:c>
      <x:c r="L7" s="60" t="n">
        <x:v>9170.612420188401</x:v>
      </x:c>
      <x:c r="M7" s="60" t="n">
        <x:v>46566.3458343597</x:v>
      </x:c>
      <x:c r="N7" s="46" t="str">
        <x:v>marine finfishes not identified</x:v>
      </x:c>
      <x:c r="O7" s="62" t="n">
        <x:v>3.23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Marine finfishes not identified</x:v>
      </x:c>
      <x:c r="T7" s="62" t="n">
        <x:f>IF(O7="","",(1/'Metadata'!$B$5)^(O7-1))</x:f>
        <x:v>169.82436524617444</x:v>
      </x:c>
      <x:c r="U7" s="60" t="n">
        <x:f>IF(T7="","",I7*T7)</x:f>
        <x:v>9465493.556331154</x:v>
      </x:c>
    </x:row>
    <x:row r="8" ht="18" customHeight="1">
      <x:c r="A8" s="46" t="str">
        <x:v>LME_011</x:v>
      </x:c>
      <x:c r="B8" s="46" t="str">
        <x:v>Pacific Central-American Coastal</x:v>
      </x:c>
      <x:c r="C8" s="46" t="str">
        <x:v>LME</x:v>
      </x:c>
      <x:c r="D8" s="58" t="n">
        <x:v>2019</x:v>
      </x:c>
      <x:c r="E8" s="46" t="str">
        <x:v>Stomolophus</x:v>
      </x:c>
      <x:c r="F8" s="46" t="str">
        <x:v>Cannonball jellies</x:v>
      </x:c>
      <x:c r="G8" s="46" t="str">
        <x:v>Jellyfish</x:v>
      </x:c>
      <x:c r="H8" s="46" t="str">
        <x:v>Other fishes &amp; inverts</x:v>
      </x:c>
      <x:c r="I8" s="60" t="n">
        <x:v>44997.0246905967</x:v>
      </x:c>
      <x:c r="J8" s="60" t="n">
        <x:v>44997.0246905967</x:v>
      </x:c>
      <x:c r="K8" s="60" t="n">
        <x:v>0</x:v>
      </x:c>
      <x:c r="L8" s="60" t="n">
        <x:v>13863.8746356647</x:v>
      </x:c>
      <x:c r="M8" s="60" t="n">
        <x:v>31133.150054931997</x:v>
      </x:c>
      <x:c r="N8" s="46" t="str">
        <x:v>stomolophus</x:v>
      </x:c>
      <x:c r="O8" s="62" t="n">
        <x:v>3.46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Stomolophus</x:v>
      </x:c>
      <x:c r="T8" s="62" t="n">
        <x:f>IF(O8="","",(1/'Metadata'!$B$5)^(O8-1))</x:f>
        <x:v>288.40315031266056</x:v>
      </x:c>
      <x:c r="U8" s="60" t="n">
        <x:f>IF(T8="","",I8*T8)</x:f>
        <x:v>12977283.675464658</x:v>
      </x:c>
    </x:row>
    <x:row r="9" ht="18" customHeight="1">
      <x:c r="A9" s="46" t="str">
        <x:v>LME_011</x:v>
      </x:c>
      <x:c r="B9" s="46" t="str">
        <x:v>Pacific Central-American Coastal</x:v>
      </x:c>
      <x:c r="C9" s="46" t="str">
        <x:v>LME</x:v>
      </x:c>
      <x:c r="D9" s="58" t="n">
        <x:v>2019</x:v>
      </x:c>
      <x:c r="E9" s="46" t="str">
        <x:v>Thunnus albacares</x:v>
      </x:c>
      <x:c r="F9" s="46" t="str">
        <x:v>Yellowfin tuna</x:v>
      </x:c>
      <x:c r="G9" s="46" t="str">
        <x:v>Large pelagics (&gt;=90 cm)</x:v>
      </x:c>
      <x:c r="H9" s="46" t="str">
        <x:v>Tuna &amp; billfishes</x:v>
      </x:c>
      <x:c r="I9" s="60" t="n">
        <x:v>41924.4462111322</x:v>
      </x:c>
      <x:c r="J9" s="60" t="n">
        <x:v>41443.4395691081</x:v>
      </x:c>
      <x:c r="K9" s="60" t="n">
        <x:v>481.0066420241</x:v>
      </x:c>
      <x:c r="L9" s="60" t="n">
        <x:v>41438.767999781696</x:v>
      </x:c>
      <x:c r="M9" s="60" t="n">
        <x:v>485.6782113505</x:v>
      </x:c>
      <x:c r="N9" s="46" t="str">
        <x:v>thunnus albacares</x:v>
      </x:c>
      <x:c r="O9" s="62" t="n">
        <x:v>4.41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Thunnus albacares</x:v>
      </x:c>
      <x:c r="T9" s="62" t="n">
        <x:f>IF(O9="","",(1/'Metadata'!$B$5)^(O9-1))</x:f>
        <x:v>2570.3957827688646</x:v>
      </x:c>
      <x:c r="U9" s="60" t="n">
        <x:f>IF(T9="","",I9*T9)</x:f>
        <x:v>107762419.7360143</x:v>
      </x:c>
    </x:row>
    <x:row r="10" ht="18" customHeight="1">
      <x:c r="A10" s="46" t="str">
        <x:v>LME_011</x:v>
      </x:c>
      <x:c r="B10" s="46" t="str">
        <x:v>Pacific Central-American Coastal</x:v>
      </x:c>
      <x:c r="C10" s="46" t="str">
        <x:v>LME</x:v>
      </x:c>
      <x:c r="D10" s="58" t="n">
        <x:v>2019</x:v>
      </x:c>
      <x:c r="E10" s="46" t="str">
        <x:v>Sardinops sagax</x:v>
      </x:c>
      <x:c r="F10" s="46" t="str">
        <x:v>South American pilchard</x:v>
      </x:c>
      <x:c r="G10" s="46" t="str">
        <x:v>Medium pelagics (30 - 89 cm)</x:v>
      </x:c>
      <x:c r="H10" s="46" t="str">
        <x:v>Herring-likes</x:v>
      </x:c>
      <x:c r="I10" s="60" t="n">
        <x:v>39776.0415808765</x:v>
      </x:c>
      <x:c r="J10" s="60" t="n">
        <x:v>39776.0415808765</x:v>
      </x:c>
      <x:c r="K10" s="60" t="n">
        <x:v>0</x:v>
      </x:c>
      <x:c r="L10" s="60" t="n">
        <x:v>39661.867952776105</x:v>
      </x:c>
      <x:c r="M10" s="60" t="n">
        <x:v>114.17362810040001</x:v>
      </x:c>
      <x:c r="N10" s="46" t="str">
        <x:v>sardinops sagax</x:v>
      </x:c>
      <x:c r="O10" s="62" t="n">
        <x:v>2.84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Sardinops sagax</x:v>
      </x:c>
      <x:c r="T10" s="62" t="n">
        <x:f>IF(O10="","",(1/'Metadata'!$B$5)^(O10-1))</x:f>
        <x:v>69.18309709189363</x:v>
      </x:c>
      <x:c r="U10" s="60" t="n">
        <x:f>IF(T10="","",I10*T10)</x:f>
        <x:v>2751829.7466209773</x:v>
      </x:c>
    </x:row>
    <x:row r="11" ht="18" customHeight="1">
      <x:c r="A11" s="46" t="str">
        <x:v>LME_011</x:v>
      </x:c>
      <x:c r="B11" s="46" t="str">
        <x:v>Pacific Central-American Coastal</x:v>
      </x:c>
      <x:c r="C11" s="46" t="str">
        <x:v>LME</x:v>
      </x:c>
      <x:c r="D11" s="58" t="n">
        <x:v>2019</x:v>
      </x:c>
      <x:c r="E11" s="46" t="str">
        <x:v>Scomber japonicus</x:v>
      </x:c>
      <x:c r="F11" s="46" t="str">
        <x:v>Pacific chub mackerel</x:v>
      </x:c>
      <x:c r="G11" s="46" t="str">
        <x:v>Medium pelagics (30 - 89 cm)</x:v>
      </x:c>
      <x:c r="H11" s="46" t="str">
        <x:v>Perch-likes</x:v>
      </x:c>
      <x:c r="I11" s="60" t="n">
        <x:v>37032.3189239671</x:v>
      </x:c>
      <x:c r="J11" s="60" t="n">
        <x:v>37026.8621597041</x:v>
      </x:c>
      <x:c r="K11" s="60" t="n">
        <x:v>5.456764263</x:v>
      </x:c>
      <x:c r="L11" s="60" t="n">
        <x:v>32160.9949861093</x:v>
      </x:c>
      <x:c r="M11" s="60" t="n">
        <x:v>4871.3239378578</x:v>
      </x:c>
      <x:c r="N11" s="46" t="str">
        <x:v>scomber japonicus</x:v>
      </x:c>
      <x:c r="O11" s="62" t="n">
        <x:v>3.38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Scomber japonicus</x:v>
      </x:c>
      <x:c r="T11" s="62" t="n">
        <x:f>IF(O11="","",(1/'Metadata'!$B$5)^(O11-1))</x:f>
        <x:v>239.88329190194898</x:v>
      </x:c>
      <x:c r="U11" s="60" t="n">
        <x:f>IF(T11="","",I11*T11)</x:f>
        <x:v>8883434.570244068</x:v>
      </x:c>
    </x:row>
    <x:row r="12" ht="18" customHeight="1">
      <x:c r="A12" s="46" t="str">
        <x:v>LME_011</x:v>
      </x:c>
      <x:c r="B12" s="46" t="str">
        <x:v>Pacific Central-American Coastal</x:v>
      </x:c>
      <x:c r="C12" s="46" t="str">
        <x:v>LME</x:v>
      </x:c>
      <x:c r="D12" s="58" t="n">
        <x:v>2019</x:v>
      </x:c>
      <x:c r="E12" s="46" t="str">
        <x:v>Sciaenidae</x:v>
      </x:c>
      <x:c r="F12" s="46" t="str">
        <x:v>Drums, croakers</x:v>
      </x:c>
      <x:c r="G12" s="46" t="str">
        <x:v>Medium demersals (30 - 89 cm)</x:v>
      </x:c>
      <x:c r="H12" s="46" t="str">
        <x:v>Perch-likes</x:v>
      </x:c>
      <x:c r="I12" s="60" t="n">
        <x:v>25710.924236334602</x:v>
      </x:c>
      <x:c r="J12" s="60" t="n">
        <x:v>23530.333111975302</x:v>
      </x:c>
      <x:c r="K12" s="60" t="n">
        <x:v>2180.5911243593005</x:v>
      </x:c>
      <x:c r="L12" s="60" t="n">
        <x:v>18411.971406739</x:v>
      </x:c>
      <x:c r="M12" s="60" t="n">
        <x:v>7298.9528295956</x:v>
      </x:c>
      <x:c r="N12" s="46" t="str">
        <x:v>sciaenidae</x:v>
      </x:c>
      <x:c r="O12" s="62" t="n">
        <x:v>3.76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Sciaenidae</x:v>
      </x:c>
      <x:c r="T12" s="62" t="n">
        <x:f>IF(O12="","",(1/'Metadata'!$B$5)^(O12-1))</x:f>
        <x:v>575.4399373371566</x:v>
      </x:c>
      <x:c r="U12" s="60" t="n">
        <x:f>IF(T12="","",I12*T12)</x:f>
        <x:v>14795092.631436765</x:v>
      </x:c>
    </x:row>
    <x:row r="13" ht="18" customHeight="1">
      <x:c r="A13" s="46" t="str">
        <x:v>LME_011</x:v>
      </x:c>
      <x:c r="B13" s="46" t="str">
        <x:v>Pacific Central-American Coastal</x:v>
      </x:c>
      <x:c r="C13" s="46" t="str">
        <x:v>LME</x:v>
      </x:c>
      <x:c r="D13" s="58" t="n">
        <x:v>2019</x:v>
      </x:c>
      <x:c r="E13" s="46" t="str">
        <x:v>Dosidicus gigas</x:v>
      </x:c>
      <x:c r="F13" s="46" t="str">
        <x:v>Jumbo flying squid</x:v>
      </x:c>
      <x:c r="G13" s="46" t="str">
        <x:v>Cephalopods</x:v>
      </x:c>
      <x:c r="H13" s="46" t="str">
        <x:v>Other fishes &amp; inverts</x:v>
      </x:c>
      <x:c r="I13" s="60" t="n">
        <x:v>25403.683969128502</x:v>
      </x:c>
      <x:c r="J13" s="60" t="n">
        <x:v>24220.607352108</x:v>
      </x:c>
      <x:c r="K13" s="60" t="n">
        <x:v>1183.0766170205</x:v>
      </x:c>
      <x:c r="L13" s="60" t="n">
        <x:v>23471.6406027109</x:v>
      </x:c>
      <x:c r="M13" s="60" t="n">
        <x:v>1932.0433664176</x:v>
      </x:c>
      <x:c r="N13" s="46" t="str">
        <x:v>dosidicus gigas</x:v>
      </x:c>
      <x:c r="O13" s="62" t="n">
        <x:v>4.14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Dosidicus gigas</x:v>
      </x:c>
      <x:c r="T13" s="62" t="n">
        <x:f>IF(O13="","",(1/'Metadata'!$B$5)^(O13-1))</x:f>
        <x:v>1380.3842646028838</x:v>
      </x:c>
      <x:c r="U13" s="60" t="n">
        <x:f>IF(T13="","",I13*T13)</x:f>
        <x:v>35066845.61392952</x:v>
      </x:c>
    </x:row>
    <x:row r="14" ht="18" customHeight="1">
      <x:c r="A14" s="46" t="str">
        <x:v>LME_011</x:v>
      </x:c>
      <x:c r="B14" s="46" t="str">
        <x:v>Pacific Central-American Coastal</x:v>
      </x:c>
      <x:c r="C14" s="46" t="str">
        <x:v>LME</x:v>
      </x:c>
      <x:c r="D14" s="58" t="n">
        <x:v>2019</x:v>
      </x:c>
      <x:c r="E14" s="46" t="str">
        <x:v>Micropogonias</x:v>
      </x:c>
      <x:c r="F14" s="46" t="str">
        <x:v>American croakers</x:v>
      </x:c>
      <x:c r="G14" s="46" t="str">
        <x:v>Medium demersals (30 - 89 cm)</x:v>
      </x:c>
      <x:c r="H14" s="46" t="str">
        <x:v>Perch-likes</x:v>
      </x:c>
      <x:c r="I14" s="60" t="n">
        <x:v>24888.6011866497</x:v>
      </x:c>
      <x:c r="J14" s="60" t="n">
        <x:v>5568.7791777276</x:v>
      </x:c>
      <x:c r="K14" s="60" t="n">
        <x:v>19319.8220089221</x:v>
      </x:c>
      <x:c r="L14" s="60" t="n">
        <x:v>0.079022545</x:v>
      </x:c>
      <x:c r="M14" s="60" t="n">
        <x:v>24888.5221641047</x:v>
      </x:c>
      <x:c r="N14" s="46" t="str">
        <x:v>micropogonias</x:v>
      </x:c>
      <x:c r="O14" s="62" t="n">
        <x:v>3.29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Micropogonias</x:v>
      </x:c>
      <x:c r="T14" s="62" t="n">
        <x:f>IF(O14="","",(1/'Metadata'!$B$5)^(O14-1))</x:f>
        <x:v>194.98445997580455</x:v>
      </x:c>
      <x:c r="U14" s="60" t="n">
        <x:f>IF(T14="","",I14*T14)</x:f>
        <x:v>4852890.46193206</x:v>
      </x:c>
    </x:row>
    <x:row r="15" ht="18" customHeight="1">
      <x:c r="A15" s="46" t="str">
        <x:v>LME_011</x:v>
      </x:c>
      <x:c r="B15" s="46" t="str">
        <x:v>Pacific Central-American Coastal</x:v>
      </x:c>
      <x:c r="C15" s="46" t="str">
        <x:v>LME</x:v>
      </x:c>
      <x:c r="D15" s="58" t="n">
        <x:v>2019</x:v>
      </x:c>
      <x:c r="E15" s="46" t="str">
        <x:v>Synodus scituliceps</x:v>
      </x:c>
      <x:c r="F15" s="46" t="str">
        <x:v>Shorthead lizardfish</x:v>
      </x:c>
      <x:c r="G15" s="46" t="str">
        <x:v>Medium demersals (30 - 89 cm)</x:v>
      </x:c>
      <x:c r="H15" s="46" t="str">
        <x:v>Other fishes &amp; inverts</x:v>
      </x:c>
      <x:c r="I15" s="60" t="n">
        <x:v>20108.3870086568</x:v>
      </x:c>
      <x:c r="J15" s="60" t="n">
        <x:v>3633.6492091371</x:v>
      </x:c>
      <x:c r="K15" s="60" t="n">
        <x:v>16474.7377995197</x:v>
      </x:c>
      <x:c r="L15" s="60" t="n">
        <x:v>0</x:v>
      </x:c>
      <x:c r="M15" s="60" t="n">
        <x:v>20108.3870086568</x:v>
      </x:c>
      <x:c r="N15" s="46" t="str">
        <x:v>synodus scituliceps</x:v>
      </x:c>
      <x:c r="O15" s="62" t="n">
        <x:v>4.2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Synodus scituliceps</x:v>
      </x:c>
      <x:c r="T15" s="62" t="n">
        <x:f>IF(O15="","",(1/'Metadata'!$B$5)^(O15-1))</x:f>
        <x:v>1584.893192461114</x:v>
      </x:c>
      <x:c r="U15" s="60" t="n">
        <x:f>IF(T15="","",I15*T15)</x:f>
        <x:v>31869645.681393664</x:v>
      </x:c>
    </x:row>
    <x:row r="16" ht="18" customHeight="1">
      <x:c r="A16" s="46" t="str">
        <x:v>LME_011</x:v>
      </x:c>
      <x:c r="B16" s="46" t="str">
        <x:v>Pacific Central-American Coastal</x:v>
      </x:c>
      <x:c r="C16" s="46" t="str">
        <x:v>LME</x:v>
      </x:c>
      <x:c r="D16" s="58" t="n">
        <x:v>2019</x:v>
      </x:c>
      <x:c r="E16" s="46" t="str">
        <x:v>Elasmobranchii</x:v>
      </x:c>
      <x:c r="F16" s="46" t="str">
        <x:v>Sharks, rays, skates</x:v>
      </x:c>
      <x:c r="G16" s="46" t="str">
        <x:v>Large sharks (&gt;=90 cm)</x:v>
      </x:c>
      <x:c r="H16" s="46" t="str">
        <x:v>Sharks &amp; rays</x:v>
      </x:c>
      <x:c r="I16" s="60" t="n">
        <x:v>18382.001175241</x:v>
      </x:c>
      <x:c r="J16" s="60" t="n">
        <x:v>9470.4112520932</x:v>
      </x:c>
      <x:c r="K16" s="60" t="n">
        <x:v>8911.5899231478</x:v>
      </x:c>
      <x:c r="L16" s="60" t="n">
        <x:v>7274.3217913089</x:v>
      </x:c>
      <x:c r="M16" s="60" t="n">
        <x:v>11107.6793839321</x:v>
      </x:c>
      <x:c r="N16" s="46" t="str">
        <x:v>elasmobranchii</x:v>
      </x:c>
      <x:c r="O16" s="62" t="n">
        <x:v>4.05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Elasmobranchii</x:v>
      </x:c>
      <x:c r="T16" s="62" t="n">
        <x:f>IF(O16="","",(1/'Metadata'!$B$5)^(O16-1))</x:f>
        <x:v>1122.018454301963</x:v>
      </x:c>
      <x:c r="U16" s="60" t="n">
        <x:f>IF(T16="","",I16*T16)</x:f>
        <x:v>20624944.545620773</x:v>
      </x:c>
    </x:row>
    <x:row r="17" ht="18" customHeight="1">
      <x:c r="A17" s="46" t="str">
        <x:v>LME_011</x:v>
      </x:c>
      <x:c r="B17" s="46" t="str">
        <x:v>Pacific Central-American Coastal</x:v>
      </x:c>
      <x:c r="C17" s="46" t="str">
        <x:v>LME</x:v>
      </x:c>
      <x:c r="D17" s="58" t="n">
        <x:v>2019</x:v>
      </x:c>
      <x:c r="E17" s="46" t="str">
        <x:v>Clupeiformes</x:v>
      </x:c>
      <x:c r="F17" s="46" t="str">
        <x:v>Herrings, shads, anchovies</x:v>
      </x:c>
      <x:c r="G17" s="46" t="str">
        <x:v>Small pelagics (&lt;30 cm)</x:v>
      </x:c>
      <x:c r="H17" s="46" t="str">
        <x:v>Other fishes &amp; inverts</x:v>
      </x:c>
      <x:c r="I17" s="60" t="n">
        <x:v>17775.814666816597</x:v>
      </x:c>
      <x:c r="J17" s="60" t="n">
        <x:v>17775.814666816597</x:v>
      </x:c>
      <x:c r="K17" s="60" t="n">
        <x:v>0</x:v>
      </x:c>
      <x:c r="L17" s="60" t="n">
        <x:v>17775.814666816597</x:v>
      </x:c>
      <x:c r="M17" s="60" t="n">
        <x:v>0</x:v>
      </x:c>
      <x:c r="N17" s="46" t="str">
        <x:v>clupeiformes</x:v>
      </x:c>
      <x:c r="O17" s="62" t="n">
        <x:v>3.24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Clupeiformes</x:v>
      </x:c>
      <x:c r="T17" s="62" t="n">
        <x:f>IF(O17="","",(1/'Metadata'!$B$5)^(O17-1))</x:f>
        <x:v>173.78008287493762</x:v>
      </x:c>
      <x:c r="U17" s="60" t="n">
        <x:f>IF(T17="","",I17*T17)</x:f>
        <x:v>3089082.54596892</x:v>
      </x:c>
    </x:row>
    <x:row r="18" ht="18" customHeight="1">
      <x:c r="A18" s="46" t="str">
        <x:v>LME_011</x:v>
      </x:c>
      <x:c r="B18" s="46" t="str">
        <x:v>Pacific Central-American Coastal</x:v>
      </x:c>
      <x:c r="C18" s="46" t="str">
        <x:v>LME</x:v>
      </x:c>
      <x:c r="D18" s="58" t="n">
        <x:v>2019</x:v>
      </x:c>
      <x:c r="E18" s="46" t="str">
        <x:v>Diplectrum pacificum</x:v>
      </x:c>
      <x:c r="F18" s="46" t="str">
        <x:v>Inshore sand perch</x:v>
      </x:c>
      <x:c r="G18" s="46" t="str">
        <x:v>Small demersals (&lt;30 cm)</x:v>
      </x:c>
      <x:c r="H18" s="46" t="str">
        <x:v>Perch-likes</x:v>
      </x:c>
      <x:c r="I18" s="60" t="n">
        <x:v>14857.4104594286</x:v>
      </x:c>
      <x:c r="J18" s="60" t="n">
        <x:v>2785.721774915</x:v>
      </x:c>
      <x:c r="K18" s="60" t="n">
        <x:v>12071.6886845136</x:v>
      </x:c>
      <x:c r="L18" s="60" t="n">
        <x:v>6.8677772662</x:v>
      </x:c>
      <x:c r="M18" s="60" t="n">
        <x:v>14850.5426821624</x:v>
      </x:c>
      <x:c r="N18" s="46" t="str">
        <x:v>diplectrum pacificum</x:v>
      </x:c>
      <x:c r="O18" s="62" t="n">
        <x:v>3.99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Diplectrum pacificum</x:v>
      </x:c>
      <x:c r="T18" s="62" t="n">
        <x:f>IF(O18="","",(1/'Metadata'!$B$5)^(O18-1))</x:f>
        <x:v>977.2372209558112</x:v>
      </x:c>
      <x:c r="U18" s="60" t="n">
        <x:f>IF(T18="","",I18*T18)</x:f>
        <x:v>14519214.507971806</x:v>
      </x:c>
    </x:row>
    <x:row r="19" ht="18" customHeight="1">
      <x:c r="A19" s="46" t="str">
        <x:v>LME_011</x:v>
      </x:c>
      <x:c r="B19" s="46" t="str">
        <x:v>Pacific Central-American Coastal</x:v>
      </x:c>
      <x:c r="C19" s="46" t="str">
        <x:v>LME</x:v>
      </x:c>
      <x:c r="D19" s="58" t="n">
        <x:v>2019</x:v>
      </x:c>
      <x:c r="E19" s="46" t="str">
        <x:v>Penaeus stylirostris</x:v>
      </x:c>
      <x:c r="F19" s="46" t="str">
        <x:v>Blue shrimp</x:v>
      </x:c>
      <x:c r="G19" s="46" t="str">
        <x:v>Shrimps</x:v>
      </x:c>
      <x:c r="H19" s="46" t="str">
        <x:v>Crustaceans</x:v>
      </x:c>
      <x:c r="I19" s="60" t="n">
        <x:v>13800.1942778005</x:v>
      </x:c>
      <x:c r="J19" s="60" t="n">
        <x:v>13800.1942778005</x:v>
      </x:c>
      <x:c r="K19" s="60" t="n">
        <x:v>0</x:v>
      </x:c>
      <x:c r="L19" s="60" t="n">
        <x:v>12406.3608466159</x:v>
      </x:c>
      <x:c r="M19" s="60" t="n">
        <x:v>1393.8334311846002</x:v>
      </x:c>
      <x:c r="N19" s="46" t="str">
        <x:v>penaeus stylirostris</x:v>
      </x:c>
      <x:c r="O19" s="62" t="n">
        <x:v>2.7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Penaeus stylirostris</x:v>
      </x:c>
      <x:c r="T19" s="62" t="n">
        <x:f>IF(O19="","",(1/'Metadata'!$B$5)^(O19-1))</x:f>
        <x:v>50.11872336272725</x:v>
      </x:c>
      <x:c r="U19" s="60" t="n">
        <x:f>IF(T19="","",I19*T19)</x:f>
        <x:v>691648.1193609749</x:v>
      </x:c>
    </x:row>
    <x:row r="20" ht="18" customHeight="1">
      <x:c r="A20" s="46" t="str">
        <x:v>LME_011</x:v>
      </x:c>
      <x:c r="B20" s="46" t="str">
        <x:v>Pacific Central-American Coastal</x:v>
      </x:c>
      <x:c r="C20" s="46" t="str">
        <x:v>LME</x:v>
      </x:c>
      <x:c r="D20" s="58" t="n">
        <x:v>2019</x:v>
      </x:c>
      <x:c r="E20" s="46" t="str">
        <x:v>Stomolophus meleagris</x:v>
      </x:c>
      <x:c r="F20" s="46" t="str">
        <x:v>Cannonball jellyfish</x:v>
      </x:c>
      <x:c r="G20" s="46" t="str">
        <x:v>Jellyfish</x:v>
      </x:c>
      <x:c r="H20" s="46" t="str">
        <x:v>Other fishes &amp; inverts</x:v>
      </x:c>
      <x:c r="I20" s="60" t="n">
        <x:v>13257.8403462912</x:v>
      </x:c>
      <x:c r="J20" s="60" t="n">
        <x:v>13257.8403462912</x:v>
      </x:c>
      <x:c r="K20" s="60" t="n">
        <x:v>0</x:v>
      </x:c>
      <x:c r="L20" s="60" t="n">
        <x:v>12981.7827728591</x:v>
      </x:c>
      <x:c r="M20" s="60" t="n">
        <x:v>276.0575734321</x:v>
      </x:c>
      <x:c r="N20" s="46" t="str">
        <x:v>stomolophus meleagris</x:v>
      </x:c>
      <x:c r="O20" s="62" t="n">
        <x:v>3.34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Stomolophus meleagris</x:v>
      </x:c>
      <x:c r="T20" s="62" t="n">
        <x:f>IF(O20="","",(1/'Metadata'!$B$5)^(O20-1))</x:f>
        <x:v>218.77616239495518</x:v>
      </x:c>
      <x:c r="U20" s="60" t="n">
        <x:f>IF(T20="","",I20*T20)</x:f>
        <x:v>2900499.4326065923</x:v>
      </x:c>
    </x:row>
    <x:row r="21" ht="18" customHeight="1">
      <x:c r="A21" s="46" t="str">
        <x:v>LME_011</x:v>
      </x:c>
      <x:c r="B21" s="46" t="str">
        <x:v>Pacific Central-American Coastal</x:v>
      </x:c>
      <x:c r="C21" s="46" t="str">
        <x:v>LME</x:v>
      </x:c>
      <x:c r="D21" s="58" t="n">
        <x:v>2019</x:v>
      </x:c>
      <x:c r="E21" s="46" t="str">
        <x:v>Decapterus macrosoma</x:v>
      </x:c>
      <x:c r="F21" s="46" t="str">
        <x:v>Shortfin scad</x:v>
      </x:c>
      <x:c r="G21" s="46" t="str">
        <x:v>Medium pelagics (30 - 89 cm)</x:v>
      </x:c>
      <x:c r="H21" s="46" t="str">
        <x:v>Perch-likes</x:v>
      </x:c>
      <x:c r="I21" s="60" t="n">
        <x:v>13206.2569188709</x:v>
      </x:c>
      <x:c r="J21" s="60" t="n">
        <x:v>13206.2569188709</x:v>
      </x:c>
      <x:c r="K21" s="60" t="n">
        <x:v>0</x:v>
      </x:c>
      <x:c r="L21" s="60" t="n">
        <x:v>10581.1959155837</x:v>
      </x:c>
      <x:c r="M21" s="60" t="n">
        <x:v>2625.0610032871996</x:v>
      </x:c>
      <x:c r="N21" s="46" t="str">
        <x:v>decapterus macrosoma</x:v>
      </x:c>
      <x:c r="O21" s="62" t="n">
        <x:v>3.4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Decapterus macrosoma</x:v>
      </x:c>
      <x:c r="T21" s="62" t="n">
        <x:f>IF(O21="","",(1/'Metadata'!$B$5)^(O21-1))</x:f>
        <x:v>251.18864315095797</x:v>
      </x:c>
      <x:c r="U21" s="60" t="n">
        <x:f>IF(T21="","",I21*T21)</x:f>
        <x:v>3317261.7565541323</x:v>
      </x:c>
    </x:row>
    <x:row r="22" ht="18" customHeight="1">
      <x:c r="A22" s="46" t="str">
        <x:v>LME_011</x:v>
      </x:c>
      <x:c r="B22" s="46" t="str">
        <x:v>Pacific Central-American Coastal</x:v>
      </x:c>
      <x:c r="C22" s="46" t="str">
        <x:v>LME</x:v>
      </x:c>
      <x:c r="D22" s="58" t="n">
        <x:v>2019</x:v>
      </x:c>
      <x:c r="E22" s="46" t="str">
        <x:v>Penaeus vannamei</x:v>
      </x:c>
      <x:c r="F22" s="46" t="str">
        <x:v>Whiteleg shrimp</x:v>
      </x:c>
      <x:c r="G22" s="46" t="str">
        <x:v>Shrimps</x:v>
      </x:c>
      <x:c r="H22" s="46" t="str">
        <x:v>Crustaceans</x:v>
      </x:c>
      <x:c r="I22" s="60" t="n">
        <x:v>12328.6463938982</x:v>
      </x:c>
      <x:c r="J22" s="60" t="n">
        <x:v>12328.6463938982</x:v>
      </x:c>
      <x:c r="K22" s="60" t="n">
        <x:v>0</x:v>
      </x:c>
      <x:c r="L22" s="60" t="n">
        <x:v>10502.4579893153</x:v>
      </x:c>
      <x:c r="M22" s="60" t="n">
        <x:v>1826.1884045829</x:v>
      </x:c>
      <x:c r="N22" s="46" t="str">
        <x:v>penaeus vannamei</x:v>
      </x:c>
      <x:c r="O22" s="62" t="n">
        <x:v>2.7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Penaeus vannamei</x:v>
      </x:c>
      <x:c r="T22" s="62" t="n">
        <x:f>IF(O22="","",(1/'Metadata'!$B$5)^(O22-1))</x:f>
        <x:v>50.11872336272725</x:v>
      </x:c>
      <x:c r="U22" s="60" t="n">
        <x:f>IF(T22="","",I22*T22)</x:f>
        <x:v>617896.0180526688</x:v>
      </x:c>
    </x:row>
    <x:row r="23" ht="18" customHeight="1">
      <x:c r="A23" s="46" t="str">
        <x:v>LME_011</x:v>
      </x:c>
      <x:c r="B23" s="46" t="str">
        <x:v>Pacific Central-American Coastal</x:v>
      </x:c>
      <x:c r="C23" s="46" t="str">
        <x:v>LME</x:v>
      </x:c>
      <x:c r="D23" s="58" t="n">
        <x:v>2019</x:v>
      </x:c>
      <x:c r="E23" s="46" t="str">
        <x:v>Haemulidae</x:v>
      </x:c>
      <x:c r="F23" s="46" t="str">
        <x:v>Grunts, sweetlips, bonnetmouths</x:v>
      </x:c>
      <x:c r="G23" s="46" t="str">
        <x:v>Medium demersals (30 - 89 cm)</x:v>
      </x:c>
      <x:c r="H23" s="46" t="str">
        <x:v>Perch-likes</x:v>
      </x:c>
      <x:c r="I23" s="60" t="n">
        <x:v>12209.8481617822</x:v>
      </x:c>
      <x:c r="J23" s="60" t="n">
        <x:v>9462.9109933397</x:v>
      </x:c>
      <x:c r="K23" s="60" t="n">
        <x:v>2746.9371684425</x:v>
      </x:c>
      <x:c r="L23" s="60" t="n">
        <x:v>1668.1826918885001</x:v>
      </x:c>
      <x:c r="M23" s="60" t="n">
        <x:v>10541.6654698937</x:v>
      </x:c>
      <x:c r="N23" s="46" t="str">
        <x:v>haemulidae</x:v>
      </x:c>
      <x:c r="O23" s="62" t="n">
        <x:v>3.36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Haemulidae</x:v>
      </x:c>
      <x:c r="T23" s="62" t="n">
        <x:f>IF(O23="","",(1/'Metadata'!$B$5)^(O23-1))</x:f>
        <x:v>229.08676527677724</x:v>
      </x:c>
      <x:c r="U23" s="60" t="n">
        <x:f>IF(T23="","",I23*T23)</x:f>
        <x:v>2797114.619903289</x:v>
      </x:c>
    </x:row>
    <x:row r="24" ht="18" customHeight="1">
      <x:c r="A24" s="46" t="str">
        <x:v>LME_011</x:v>
      </x:c>
      <x:c r="B24" s="46" t="str">
        <x:v>Pacific Central-American Coastal</x:v>
      </x:c>
      <x:c r="C24" s="46" t="str">
        <x:v>LME</x:v>
      </x:c>
      <x:c r="D24" s="58" t="n">
        <x:v>2019</x:v>
      </x:c>
      <x:c r="E24" s="46" t="str">
        <x:v>Bramidae</x:v>
      </x:c>
      <x:c r="F24" s="46" t="str">
        <x:v>Pomfrets</x:v>
      </x:c>
      <x:c r="G24" s="46" t="str">
        <x:v>Medium pelagics (30 - 89 cm)</x:v>
      </x:c>
      <x:c r="H24" s="46" t="str">
        <x:v>Perch-likes</x:v>
      </x:c>
      <x:c r="I24" s="60" t="n">
        <x:v>11764.774540558801</x:v>
      </x:c>
      <x:c r="J24" s="60" t="n">
        <x:v>11764.774540558801</x:v>
      </x:c>
      <x:c r="K24" s="60" t="n">
        <x:v>0</x:v>
      </x:c>
      <x:c r="L24" s="60" t="n">
        <x:v>11731.671854948001</x:v>
      </x:c>
      <x:c r="M24" s="60" t="n">
        <x:v>33.1026856108</x:v>
      </x:c>
      <x:c r="N24" s="46" t="str">
        <x:v>bramidae</x:v>
      </x:c>
      <x:c r="O24" s="62" t="n">
        <x:v>4.14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Bramidae</x:v>
      </x:c>
      <x:c r="T24" s="62" t="n">
        <x:f>IF(O24="","",(1/'Metadata'!$B$5)^(O24-1))</x:f>
        <x:v>1380.3842646028838</x:v>
      </x:c>
      <x:c r="U24" s="60" t="n">
        <x:f>IF(T24="","",I24*T24)</x:f>
        <x:v>16239909.652387992</x:v>
      </x:c>
    </x:row>
    <x:row r="25" ht="18" customHeight="1">
      <x:c r="A25" s="46" t="str">
        <x:v>LME_011</x:v>
      </x:c>
      <x:c r="B25" s="46" t="str">
        <x:v>Pacific Central-American Coastal</x:v>
      </x:c>
      <x:c r="C25" s="46" t="str">
        <x:v>LME</x:v>
      </x:c>
      <x:c r="D25" s="58" t="n">
        <x:v>2019</x:v>
      </x:c>
      <x:c r="E25" s="46" t="str">
        <x:v>Penaeus californiensis</x:v>
      </x:c>
      <x:c r="F25" s="46" t="str">
        <x:v>Yellowleg shrimp</x:v>
      </x:c>
      <x:c r="G25" s="46" t="str">
        <x:v>Shrimps</x:v>
      </x:c>
      <x:c r="H25" s="46" t="str">
        <x:v>Crustaceans</x:v>
      </x:c>
      <x:c r="I25" s="60" t="n">
        <x:v>11499.3029564964</x:v>
      </x:c>
      <x:c r="J25" s="60" t="n">
        <x:v>11499.3029564964</x:v>
      </x:c>
      <x:c r="K25" s="60" t="n">
        <x:v>0</x:v>
      </x:c>
      <x:c r="L25" s="60" t="n">
        <x:v>10531.7770309955</x:v>
      </x:c>
      <x:c r="M25" s="60" t="n">
        <x:v>967.5259255009</x:v>
      </x:c>
      <x:c r="N25" s="46" t="str">
        <x:v>penaeus californiensis</x:v>
      </x:c>
      <x:c r="O25" s="62" t="n">
        <x:v>2.7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Penaeus californiensis</x:v>
      </x:c>
      <x:c r="T25" s="62" t="n">
        <x:f>IF(O25="","",(1/'Metadata'!$B$5)^(O25-1))</x:f>
        <x:v>50.11872336272725</x:v>
      </x:c>
      <x:c r="U25" s="60" t="n">
        <x:f>IF(T25="","",I25*T25)</x:f>
        <x:v>576330.3837408347</x:v>
      </x:c>
    </x:row>
    <x:row r="26" ht="18" customHeight="1">
      <x:c r="A26" s="46" t="str">
        <x:v>LME_011</x:v>
      </x:c>
      <x:c r="B26" s="46" t="str">
        <x:v>Pacific Central-American Coastal</x:v>
      </x:c>
      <x:c r="C26" s="46" t="str">
        <x:v>LME</x:v>
      </x:c>
      <x:c r="D26" s="58" t="n">
        <x:v>2019</x:v>
      </x:c>
      <x:c r="E26" s="46" t="str">
        <x:v>Lutjanidae</x:v>
      </x:c>
      <x:c r="F26" s="46" t="str">
        <x:v>Snappers</x:v>
      </x:c>
      <x:c r="G26" s="46" t="str">
        <x:v>Medium reef assoc. fish (30 - 89 cm)</x:v>
      </x:c>
      <x:c r="H26" s="46" t="str">
        <x:v>Perch-likes</x:v>
      </x:c>
      <x:c r="I26" s="60" t="n">
        <x:v>11204.334719108401</x:v>
      </x:c>
      <x:c r="J26" s="60" t="n">
        <x:v>5986.3097365892</x:v>
      </x:c>
      <x:c r="K26" s="60" t="n">
        <x:v>5218.0249825192</x:v>
      </x:c>
      <x:c r="L26" s="60" t="n">
        <x:v>3440.7112740249</x:v>
      </x:c>
      <x:c r="M26" s="60" t="n">
        <x:v>7763.6234450835</x:v>
      </x:c>
      <x:c r="N26" s="46" t="str">
        <x:v>lutjanidae</x:v>
      </x:c>
      <x:c r="O26" s="62" t="n">
        <x:v>4.02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Lutjanidae</x:v>
      </x:c>
      <x:c r="T26" s="62" t="n">
        <x:f>IF(O26="","",(1/'Metadata'!$B$5)^(O26-1))</x:f>
        <x:v>1047.1285480508984</x:v>
      </x:c>
      <x:c r="U26" s="60" t="n">
        <x:f>IF(T26="","",I26*T26)</x:f>
        <x:v>11732378.746296251</x:v>
      </x:c>
    </x:row>
    <x:row r="27" ht="18" customHeight="1">
      <x:c r="A27" s="46" t="str">
        <x:v>LME_011</x:v>
      </x:c>
      <x:c r="B27" s="46" t="str">
        <x:v>Pacific Central-American Coastal</x:v>
      </x:c>
      <x:c r="C27" s="46" t="str">
        <x:v>LME</x:v>
      </x:c>
      <x:c r="D27" s="58" t="n">
        <x:v>2019</x:v>
      </x:c>
      <x:c r="E27" s="46" t="str">
        <x:v>Katsuwonus pelamis</x:v>
      </x:c>
      <x:c r="F27" s="46" t="str">
        <x:v>Skipjack tuna</x:v>
      </x:c>
      <x:c r="G27" s="46" t="str">
        <x:v>Large pelagics (&gt;=90 cm)</x:v>
      </x:c>
      <x:c r="H27" s="46" t="str">
        <x:v>Tuna &amp; billfishes</x:v>
      </x:c>
      <x:c r="I27" s="60" t="n">
        <x:v>10894.5225756294</x:v>
      </x:c>
      <x:c r="J27" s="60" t="n">
        <x:v>10838.2003631012</x:v>
      </x:c>
      <x:c r="K27" s="60" t="n">
        <x:v>56.3222125282</x:v>
      </x:c>
      <x:c r="L27" s="60" t="n">
        <x:v>10829.8404833469</x:v>
      </x:c>
      <x:c r="M27" s="60" t="n">
        <x:v>64.6820922825</x:v>
      </x:c>
      <x:c r="N27" s="46" t="str">
        <x:v>katsuwonus pelamis</x:v>
      </x:c>
      <x:c r="O27" s="62" t="n">
        <x:v>4.43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Katsuwonus pelamis</x:v>
      </x:c>
      <x:c r="T27" s="62" t="n">
        <x:f>IF(O27="","",(1/'Metadata'!$B$5)^(O27-1))</x:f>
        <x:v>2691.534803926914</x:v>
      </x:c>
      <x:c r="U27" s="60" t="n">
        <x:f>IF(T27="","",I27*T27)</x:f>
        <x:v>29322986.684474014</x:v>
      </x:c>
    </x:row>
    <x:row r="28" ht="18" customHeight="1">
      <x:c r="A28" s="46" t="str">
        <x:v>LME_011</x:v>
      </x:c>
      <x:c r="B28" s="46" t="str">
        <x:v>Pacific Central-American Coastal</x:v>
      </x:c>
      <x:c r="C28" s="46" t="str">
        <x:v>LME</x:v>
      </x:c>
      <x:c r="D28" s="58" t="n">
        <x:v>2019</x:v>
      </x:c>
      <x:c r="E28" s="46" t="str">
        <x:v>Cynoscion</x:v>
      </x:c>
      <x:c r="F28" s="46" t="str">
        <x:v>Weakfishes</x:v>
      </x:c>
      <x:c r="G28" s="46" t="str">
        <x:v>Medium demersals (30 - 89 cm)</x:v>
      </x:c>
      <x:c r="H28" s="46" t="str">
        <x:v>Perch-likes</x:v>
      </x:c>
      <x:c r="I28" s="60" t="n">
        <x:v>9969.7768614866</x:v>
      </x:c>
      <x:c r="J28" s="60" t="n">
        <x:v>9969.7768614866</x:v>
      </x:c>
      <x:c r="K28" s="60" t="n">
        <x:v>0</x:v>
      </x:c>
      <x:c r="L28" s="60" t="n">
        <x:v>6794.8700775226</x:v>
      </x:c>
      <x:c r="M28" s="60" t="n">
        <x:v>3174.906783964</x:v>
      </x:c>
      <x:c r="N28" s="46" t="str">
        <x:v>cynoscion</x:v>
      </x:c>
      <x:c r="O28" s="62" t="n">
        <x:v>4.21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Cynoscion</x:v>
      </x:c>
      <x:c r="T28" s="62" t="n">
        <x:f>IF(O28="","",(1/'Metadata'!$B$5)^(O28-1))</x:f>
        <x:v>1621.8100973589299</x:v>
      </x:c>
      <x:c r="U28" s="60" t="n">
        <x:f>IF(T28="","",I28*T28)</x:f>
        <x:v>16169084.78237439</x:v>
      </x:c>
    </x:row>
    <x:row r="29" ht="18" customHeight="1">
      <x:c r="A29" s="46" t="str">
        <x:v>LME_011</x:v>
      </x:c>
      <x:c r="B29" s="46" t="str">
        <x:v>Pacific Central-American Coastal</x:v>
      </x:c>
      <x:c r="C29" s="46" t="str">
        <x:v>LME</x:v>
      </x:c>
      <x:c r="D29" s="58" t="n">
        <x:v>2019</x:v>
      </x:c>
      <x:c r="E29" s="46" t="str">
        <x:v>Coryphaena hippurus</x:v>
      </x:c>
      <x:c r="F29" s="46" t="str">
        <x:v>Common dolphinfish</x:v>
      </x:c>
      <x:c r="G29" s="46" t="str">
        <x:v>Large pelagics (&gt;=90 cm)</x:v>
      </x:c>
      <x:c r="H29" s="46" t="str">
        <x:v>Perch-likes</x:v>
      </x:c>
      <x:c r="I29" s="60" t="n">
        <x:v>9772.478100806</x:v>
      </x:c>
      <x:c r="J29" s="60" t="n">
        <x:v>9544.425804095</x:v>
      </x:c>
      <x:c r="K29" s="60" t="n">
        <x:v>228.052296711</x:v>
      </x:c>
      <x:c r="L29" s="60" t="n">
        <x:v>3145.2811920828</x:v>
      </x:c>
      <x:c r="M29" s="60" t="n">
        <x:v>6627.1969087232</x:v>
      </x:c>
      <x:c r="N29" s="46" t="str">
        <x:v>coryphaena hippurus</x:v>
      </x:c>
      <x:c r="O29" s="62" t="n">
        <x:v>4.37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Coryphaena hippurus</x:v>
      </x:c>
      <x:c r="T29" s="62" t="n">
        <x:f>IF(O29="","",(1/'Metadata'!$B$5)^(O29-1))</x:f>
        <x:v>2344.228815319923</x:v>
      </x:c>
      <x:c r="U29" s="60" t="n">
        <x:f>IF(T29="","",I29*T29)</x:f>
        <x:v>22908924.76099234</x:v>
      </x:c>
    </x:row>
    <x:row r="30" ht="18" customHeight="1">
      <x:c r="A30" s="46" t="str">
        <x:v>LME_011</x:v>
      </x:c>
      <x:c r="B30" s="46" t="str">
        <x:v>Pacific Central-American Coastal</x:v>
      </x:c>
      <x:c r="C30" s="46" t="str">
        <x:v>LME</x:v>
      </x:c>
      <x:c r="D30" s="58" t="n">
        <x:v>2019</x:v>
      </x:c>
      <x:c r="E30" s="46" t="str">
        <x:v>Peristediidae</x:v>
      </x:c>
      <x:c r="F30" s="46" t="str">
        <x:v>Armored searobins, gurnards</x:v>
      </x:c>
      <x:c r="G30" s="46" t="str">
        <x:v>Medium bathydemersals (30 - 89 cm)</x:v>
      </x:c>
      <x:c r="H30" s="46" t="str">
        <x:v>Scorpionfishes</x:v>
      </x:c>
      <x:c r="I30" s="60" t="n">
        <x:v>9648.5135095469</x:v>
      </x:c>
      <x:c r="J30" s="60" t="n">
        <x:v>9648.5135095469</x:v>
      </x:c>
      <x:c r="K30" s="60" t="n">
        <x:v>0</x:v>
      </x:c>
      <x:c r="L30" s="60" t="n">
        <x:v>9532.1469742164</x:v>
      </x:c>
      <x:c r="M30" s="60" t="n">
        <x:v>116.3665353305</x:v>
      </x:c>
      <x:c r="N30" s="46" t="str">
        <x:v>peristediidae</x:v>
      </x:c>
      <x:c r="O30" s="62" t="n">
        <x:v>3.47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Peristediidae</x:v>
      </x:c>
      <x:c r="T30" s="62" t="n">
        <x:f>IF(O30="","",(1/'Metadata'!$B$5)^(O30-1))</x:f>
        <x:v>295.1209226666387</x:v>
      </x:c>
      <x:c r="U30" s="60" t="n">
        <x:f>IF(T30="","",I30*T30)</x:f>
        <x:v>2847478.2092990093</x:v>
      </x:c>
    </x:row>
    <x:row r="31" ht="18" customHeight="1">
      <x:c r="A31" s="46" t="str">
        <x:v>LME_011</x:v>
      </x:c>
      <x:c r="B31" s="46" t="str">
        <x:v>Pacific Central-American Coastal</x:v>
      </x:c>
      <x:c r="C31" s="46" t="str">
        <x:v>LME</x:v>
      </x:c>
      <x:c r="D31" s="58" t="n">
        <x:v>2019</x:v>
      </x:c>
      <x:c r="E31" s="46" t="str">
        <x:v>Lutjanus peru</x:v>
      </x:c>
      <x:c r="F31" s="46" t="str">
        <x:v>Pacific red snapper</x:v>
      </x:c>
      <x:c r="G31" s="46" t="str">
        <x:v>Medium reef assoc. fish (30 - 89 cm)</x:v>
      </x:c>
      <x:c r="H31" s="46" t="str">
        <x:v>Perch-likes</x:v>
      </x:c>
      <x:c r="I31" s="60" t="n">
        <x:v>9471.0579109398</x:v>
      </x:c>
      <x:c r="J31" s="60" t="n">
        <x:v>9471.0579109398</x:v>
      </x:c>
      <x:c r="K31" s="60" t="n">
        <x:v>0</x:v>
      </x:c>
      <x:c r="L31" s="60" t="n">
        <x:v>7062.516898553201</x:v>
      </x:c>
      <x:c r="M31" s="60" t="n">
        <x:v>2408.5410123866</x:v>
      </x:c>
      <x:c r="N31" s="46" t="str">
        <x:v>lutjanus peru</x:v>
      </x:c>
      <x:c r="O31" s="62" t="n">
        <x:v>4.02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Lutjanus peru</x:v>
      </x:c>
      <x:c r="T31" s="62" t="n">
        <x:f>IF(O31="","",(1/'Metadata'!$B$5)^(O31-1))</x:f>
        <x:v>1047.1285480508984</x:v>
      </x:c>
      <x:c r="U31" s="60" t="n">
        <x:f>IF(T31="","",I31*T31)</x:f>
        <x:v>9917415.118788369</x:v>
      </x:c>
    </x:row>
    <x:row r="32" ht="18" customHeight="1">
      <x:c r="A32" s="46" t="str">
        <x:v>LME_011</x:v>
      </x:c>
      <x:c r="B32" s="46" t="str">
        <x:v>Pacific Central-American Coastal</x:v>
      </x:c>
      <x:c r="C32" s="46" t="str">
        <x:v>LME</x:v>
      </x:c>
      <x:c r="D32" s="58" t="n">
        <x:v>2019</x:v>
      </x:c>
      <x:c r="E32" s="46" t="str">
        <x:v>Prionace glauca</x:v>
      </x:c>
      <x:c r="F32" s="46" t="str">
        <x:v>Blue shark</x:v>
      </x:c>
      <x:c r="G32" s="46" t="str">
        <x:v>Large sharks (&gt;=90 cm)</x:v>
      </x:c>
      <x:c r="H32" s="46" t="str">
        <x:v>Sharks &amp; rays</x:v>
      </x:c>
      <x:c r="I32" s="60" t="n">
        <x:v>8140.5831780482</x:v>
      </x:c>
      <x:c r="J32" s="60" t="n">
        <x:v>8065.7756425426005</x:v>
      </x:c>
      <x:c r="K32" s="60" t="n">
        <x:v>74.8075355056</x:v>
      </x:c>
      <x:c r="L32" s="60" t="n">
        <x:v>4719.5030515989</x:v>
      </x:c>
      <x:c r="M32" s="60" t="n">
        <x:v>3421.0801264493</x:v>
      </x:c>
      <x:c r="N32" s="46" t="str">
        <x:v>prionace glauca</x:v>
      </x:c>
      <x:c r="O32" s="62" t="n">
        <x:v>4.35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Prionace glauca</x:v>
      </x:c>
      <x:c r="T32" s="62" t="n">
        <x:f>IF(O32="","",(1/'Metadata'!$B$5)^(O32-1))</x:f>
        <x:v>2238.7211385683377</x:v>
      </x:c>
      <x:c r="U32" s="60" t="n">
        <x:f>IF(T32="","",I32*T32)</x:f>
        <x:v>18224495.640970323</x:v>
      </x:c>
    </x:row>
    <x:row r="33" ht="18" customHeight="1">
      <x:c r="A33" s="46" t="str">
        <x:v>LME_011</x:v>
      </x:c>
      <x:c r="B33" s="46" t="str">
        <x:v>Pacific Central-American Coastal</x:v>
      </x:c>
      <x:c r="C33" s="46" t="str">
        <x:v>LME</x:v>
      </x:c>
      <x:c r="D33" s="58" t="n">
        <x:v>2019</x:v>
      </x:c>
      <x:c r="E33" s="46" t="str">
        <x:v>Miscellaneous marine crustaceans</x:v>
      </x:c>
      <x:c r="F33" s="46" t="str">
        <x:v>Marine crabs, shrimps, lobsters nei</x:v>
      </x:c>
      <x:c r="G33" s="46" t="str">
        <x:v>Shrimps</x:v>
      </x:c>
      <x:c r="H33" s="46" t="str">
        <x:v>Crustaceans</x:v>
      </x:c>
      <x:c r="I33" s="60" t="n">
        <x:v>7557.623098410801</x:v>
      </x:c>
      <x:c r="J33" s="60" t="n">
        <x:v>2635.9972532088</x:v>
      </x:c>
      <x:c r="K33" s="60" t="n">
        <x:v>4921.625845202</x:v>
      </x:c>
      <x:c r="L33" s="60" t="n">
        <x:v>30.8150261724</x:v>
      </x:c>
      <x:c r="M33" s="60" t="n">
        <x:v>7526.8080722384</x:v>
      </x:c>
      <x:c r="N33" s="46" t="str">
        <x:v>miscellaneous marine crustaceans</x:v>
      </x:c>
      <x:c r="O33" s="62" t="n">
        <x:v>2.7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Miscellaneous marine crustaceans</x:v>
      </x:c>
      <x:c r="T33" s="62" t="n">
        <x:f>IF(O33="","",(1/'Metadata'!$B$5)^(O33-1))</x:f>
        <x:v>50.11872336272725</x:v>
      </x:c>
      <x:c r="U33" s="60" t="n">
        <x:f>IF(T33="","",I33*T33)</x:f>
        <x:v>378778.4213490085</x:v>
      </x:c>
    </x:row>
    <x:row r="34" ht="18" customHeight="1">
      <x:c r="A34" s="46" t="str">
        <x:v>LME_011</x:v>
      </x:c>
      <x:c r="B34" s="46" t="str">
        <x:v>Pacific Central-American Coastal</x:v>
      </x:c>
      <x:c r="C34" s="46" t="str">
        <x:v>LME</x:v>
      </x:c>
      <x:c r="D34" s="58" t="n">
        <x:v>2019</x:v>
      </x:c>
      <x:c r="E34" s="46" t="str">
        <x:v>Carangidae</x:v>
      </x:c>
      <x:c r="F34" s="46" t="str">
        <x:v>Jacks, pompanos</x:v>
      </x:c>
      <x:c r="G34" s="46" t="str">
        <x:v>Medium pelagics (30 - 89 cm)</x:v>
      </x:c>
      <x:c r="H34" s="46" t="str">
        <x:v>Perch-likes</x:v>
      </x:c>
      <x:c r="I34" s="60" t="n">
        <x:v>7097.7017591353</x:v>
      </x:c>
      <x:c r="J34" s="60" t="n">
        <x:v>7022.8025621246</x:v>
      </x:c>
      <x:c r="K34" s="60" t="n">
        <x:v>74.8991970107</x:v>
      </x:c>
      <x:c r="L34" s="60" t="n">
        <x:v>3980.9272866419</x:v>
      </x:c>
      <x:c r="M34" s="60" t="n">
        <x:v>3116.7744724934</x:v>
      </x:c>
      <x:c r="N34" s="46" t="str">
        <x:v>carangidae</x:v>
      </x:c>
      <x:c r="O34" s="62" t="n">
        <x:v>4.05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Carangidae</x:v>
      </x:c>
      <x:c r="T34" s="62" t="n">
        <x:f>IF(O34="","",(1/'Metadata'!$B$5)^(O34-1))</x:f>
        <x:v>1122.018454301963</x:v>
      </x:c>
      <x:c r="U34" s="60" t="n">
        <x:f>IF(T34="","",I34*T34)</x:f>
        <x:v>7963752.356881312</x:v>
      </x:c>
    </x:row>
    <x:row r="35" ht="18" customHeight="1">
      <x:c r="A35" s="46" t="str">
        <x:v>LME_011</x:v>
      </x:c>
      <x:c r="B35" s="46" t="str">
        <x:v>Pacific Central-American Coastal</x:v>
      </x:c>
      <x:c r="C35" s="46" t="str">
        <x:v>LME</x:v>
      </x:c>
      <x:c r="D35" s="58" t="n">
        <x:v>2019</x:v>
      </x:c>
      <x:c r="E35" s="46" t="str">
        <x:v>Syacium ovale</x:v>
      </x:c>
      <x:c r="F35" s="46" t="str">
        <x:v>Oval flounder</x:v>
      </x:c>
      <x:c r="G35" s="46" t="str">
        <x:v>Small to medium flatfishes (&lt;90 cm)</x:v>
      </x:c>
      <x:c r="H35" s="46" t="str">
        <x:v>Flatfishes</x:v>
      </x:c>
      <x:c r="I35" s="60" t="n">
        <x:v>6991.199797198301</x:v>
      </x:c>
      <x:c r="J35" s="60" t="n">
        <x:v>1252.6164894839</x:v>
      </x:c>
      <x:c r="K35" s="60" t="n">
        <x:v>5738.583307714401</x:v>
      </x:c>
      <x:c r="L35" s="60" t="n">
        <x:v>0</x:v>
      </x:c>
      <x:c r="M35" s="60" t="n">
        <x:v>6991.199797198301</x:v>
      </x:c>
      <x:c r="N35" s="46" t="str">
        <x:v>syacium ovale</x:v>
      </x:c>
      <x:c r="O35" s="62" t="n">
        <x:v>4.02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Syacium ovale</x:v>
      </x:c>
      <x:c r="T35" s="62" t="n">
        <x:f>IF(O35="","",(1/'Metadata'!$B$5)^(O35-1))</x:f>
        <x:v>1047.1285480508984</x:v>
      </x:c>
      <x:c r="U35" s="60" t="n">
        <x:f>IF(T35="","",I35*T35)</x:f>
        <x:v>7320684.892773992</x:v>
      </x:c>
    </x:row>
    <x:row r="36" ht="18" customHeight="1">
      <x:c r="A36" s="46" t="str">
        <x:v>LME_011</x:v>
      </x:c>
      <x:c r="B36" s="46" t="str">
        <x:v>Pacific Central-American Coastal</x:v>
      </x:c>
      <x:c r="C36" s="46" t="str">
        <x:v>LME</x:v>
      </x:c>
      <x:c r="D36" s="58" t="n">
        <x:v>2019</x:v>
      </x:c>
      <x:c r="E36" s="46" t="str">
        <x:v>Alopias pelagicus</x:v>
      </x:c>
      <x:c r="F36" s="46" t="str">
        <x:v>Pelagic thresher</x:v>
      </x:c>
      <x:c r="G36" s="46" t="str">
        <x:v>Large sharks (&gt;=90 cm)</x:v>
      </x:c>
      <x:c r="H36" s="46" t="str">
        <x:v>Sharks &amp; rays</x:v>
      </x:c>
      <x:c r="I36" s="60" t="n">
        <x:v>6599.481628898599</x:v>
      </x:c>
      <x:c r="J36" s="60" t="n">
        <x:v>6599.481628898599</x:v>
      </x:c>
      <x:c r="K36" s="60" t="n">
        <x:v>0</x:v>
      </x:c>
      <x:c r="L36" s="60" t="n">
        <x:v>2436.8041074363</x:v>
      </x:c>
      <x:c r="M36" s="60" t="n">
        <x:v>4162.6775214623</x:v>
      </x:c>
      <x:c r="N36" s="46" t="str">
        <x:v>alopias pelagicus</x:v>
      </x:c>
      <x:c r="O36" s="62" t="n">
        <x:v>4.5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Alopias pelagicus</x:v>
      </x:c>
      <x:c r="T36" s="62" t="n">
        <x:f>IF(O36="","",(1/'Metadata'!$B$5)^(O36-1))</x:f>
        <x:v>3162.2776601683795</x:v>
      </x:c>
      <x:c r="U36" s="60" t="n">
        <x:f>IF(T36="","",I36*T36)</x:f>
        <x:v>20869393.323757667</x:v>
      </x:c>
    </x:row>
    <x:row r="37" ht="18" customHeight="1">
      <x:c r="A37" s="46" t="str">
        <x:v>LME_011</x:v>
      </x:c>
      <x:c r="B37" s="46" t="str">
        <x:v>Pacific Central-American Coastal</x:v>
      </x:c>
      <x:c r="C37" s="46" t="str">
        <x:v>LME</x:v>
      </x:c>
      <x:c r="D37" s="58" t="n">
        <x:v>2019</x:v>
      </x:c>
      <x:c r="E37" s="46" t="str">
        <x:v>Paralichthyidae</x:v>
      </x:c>
      <x:c r="F37" s="46" t="str">
        <x:v>Largetooth flounders</x:v>
      </x:c>
      <x:c r="G37" s="46" t="str">
        <x:v>Small to medium flatfishes (&lt;90 cm)</x:v>
      </x:c>
      <x:c r="H37" s="46" t="str">
        <x:v>Flatfishes</x:v>
      </x:c>
      <x:c r="I37" s="60" t="n">
        <x:v>5660.524195107901</x:v>
      </x:c>
      <x:c r="J37" s="60" t="n">
        <x:v>2792.8167071371</x:v>
      </x:c>
      <x:c r="K37" s="60" t="n">
        <x:v>2867.7074879708002</x:v>
      </x:c>
      <x:c r="L37" s="60" t="n">
        <x:v>124.57396109909999</x:v>
      </x:c>
      <x:c r="M37" s="60" t="n">
        <x:v>5535.9502340088</x:v>
      </x:c>
      <x:c r="N37" s="46" t="str">
        <x:v>paralichthyidae</x:v>
      </x:c>
      <x:c r="O37" s="62" t="n">
        <x:v>4.06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Paralichthyidae</x:v>
      </x:c>
      <x:c r="T37" s="62" t="n">
        <x:f>IF(O37="","",(1/'Metadata'!$B$5)^(O37-1))</x:f>
        <x:v>1148.1536214968817</x:v>
      </x:c>
      <x:c r="U37" s="60" t="n">
        <x:f>IF(T37="","",I37*T37)</x:f>
        <x:v>6499151.354183857</x:v>
      </x:c>
    </x:row>
    <x:row r="38" ht="18" customHeight="1">
      <x:c r="A38" s="46" t="str">
        <x:v>LME_011</x:v>
      </x:c>
      <x:c r="B38" s="46" t="str">
        <x:v>Pacific Central-American Coastal</x:v>
      </x:c>
      <x:c r="C38" s="46" t="str">
        <x:v>LME</x:v>
      </x:c>
      <x:c r="D38" s="58" t="n">
        <x:v>2019</x:v>
      </x:c>
      <x:c r="E38" s="46" t="str">
        <x:v>Balistes polylepis</x:v>
      </x:c>
      <x:c r="F38" s="46" t="str">
        <x:v>Finescale triggerfish</x:v>
      </x:c>
      <x:c r="G38" s="46" t="str">
        <x:v>Small pelagics (&lt;30 cm)</x:v>
      </x:c>
      <x:c r="H38" s="46" t="str">
        <x:v>Other fishes &amp; inverts</x:v>
      </x:c>
      <x:c r="I38" s="60" t="n">
        <x:v>5607.2489133532</x:v>
      </x:c>
      <x:c r="J38" s="60" t="n">
        <x:v>957.6610268213</x:v>
      </x:c>
      <x:c r="K38" s="60" t="n">
        <x:v>4649.5878865319</x:v>
      </x:c>
      <x:c r="L38" s="60" t="n">
        <x:v>0</x:v>
      </x:c>
      <x:c r="M38" s="60" t="n">
        <x:v>5607.2489133532</x:v>
      </x:c>
      <x:c r="N38" s="46" t="str">
        <x:v>balistes polylepis</x:v>
      </x:c>
      <x:c r="O38" s="62" t="n">
        <x:v>3.34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Balistes polylepis</x:v>
      </x:c>
      <x:c r="T38" s="62" t="n">
        <x:f>IF(O38="","",(1/'Metadata'!$B$5)^(O38-1))</x:f>
        <x:v>218.77616239495518</x:v>
      </x:c>
      <x:c r="U38" s="60" t="n">
        <x:f>IF(T38="","",I38*T38)</x:f>
        <x:v>1226732.3988566955</x:v>
      </x:c>
    </x:row>
    <x:row r="39" ht="18" customHeight="1">
      <x:c r="A39" s="46" t="str">
        <x:v>LME_011</x:v>
      </x:c>
      <x:c r="B39" s="46" t="str">
        <x:v>Pacific Central-American Coastal</x:v>
      </x:c>
      <x:c r="C39" s="46" t="str">
        <x:v>LME</x:v>
      </x:c>
      <x:c r="D39" s="58" t="n">
        <x:v>2019</x:v>
      </x:c>
      <x:c r="E39" s="46" t="str">
        <x:v>Caranx</x:v>
      </x:c>
      <x:c r="F39" s="46" t="str">
        <x:v>Jacks</x:v>
      </x:c>
      <x:c r="G39" s="46" t="str">
        <x:v>Medium reef assoc. fish (30 - 89 cm)</x:v>
      </x:c>
      <x:c r="H39" s="46" t="str">
        <x:v>Perch-likes</x:v>
      </x:c>
      <x:c r="I39" s="60" t="n">
        <x:v>5480.9643800447</x:v>
      </x:c>
      <x:c r="J39" s="60" t="n">
        <x:v>5480.9643800447</x:v>
      </x:c>
      <x:c r="K39" s="60" t="n">
        <x:v>0</x:v>
      </x:c>
      <x:c r="L39" s="60" t="n">
        <x:v>4320.6851513043</x:v>
      </x:c>
      <x:c r="M39" s="60" t="n">
        <x:v>1160.2792287404</x:v>
      </x:c>
      <x:c r="N39" s="46" t="str">
        <x:v>caranx</x:v>
      </x:c>
      <x:c r="O39" s="62" t="n">
        <x:v>4.12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Caranx</x:v>
      </x:c>
      <x:c r="T39" s="62" t="n">
        <x:f>IF(O39="","",(1/'Metadata'!$B$5)^(O39-1))</x:f>
        <x:v>1318.2567385564075</x:v>
      </x:c>
      <x:c r="U39" s="60" t="n">
        <x:f>IF(T39="","",I39*T39)</x:f>
        <x:v>7225318.227781569</x:v>
      </x:c>
    </x:row>
    <x:row r="40" ht="18" customHeight="1">
      <x:c r="A40" s="46" t="str">
        <x:v>LME_011</x:v>
      </x:c>
      <x:c r="B40" s="46" t="str">
        <x:v>Pacific Central-American Coastal</x:v>
      </x:c>
      <x:c r="C40" s="46" t="str">
        <x:v>LME</x:v>
      </x:c>
      <x:c r="D40" s="58" t="n">
        <x:v>2019</x:v>
      </x:c>
      <x:c r="E40" s="46" t="str">
        <x:v>Carcharhinus falciformis</x:v>
      </x:c>
      <x:c r="F40" s="46" t="str">
        <x:v>Silky shark</x:v>
      </x:c>
      <x:c r="G40" s="46" t="str">
        <x:v>Large sharks (&gt;=90 cm)</x:v>
      </x:c>
      <x:c r="H40" s="46" t="str">
        <x:v>Sharks &amp; rays</x:v>
      </x:c>
      <x:c r="I40" s="60" t="n">
        <x:v>5359.6535492178</x:v>
      </x:c>
      <x:c r="J40" s="60" t="n">
        <x:v>4415.5145271545</x:v>
      </x:c>
      <x:c r="K40" s="60" t="n">
        <x:v>944.1390220633</x:v>
      </x:c>
      <x:c r="L40" s="60" t="n">
        <x:v>3068.1668669443</x:v>
      </x:c>
      <x:c r="M40" s="60" t="n">
        <x:v>2291.4866822735</x:v>
      </x:c>
      <x:c r="N40" s="46" t="str">
        <x:v>carcharhinus falciformis</x:v>
      </x:c>
      <x:c r="O40" s="62" t="n">
        <x:v>4.51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Carcharhinus falciformis</x:v>
      </x:c>
      <x:c r="T40" s="62" t="n">
        <x:f>IF(O40="","",(1/'Metadata'!$B$5)^(O40-1))</x:f>
        <x:v>3235.936569296281</x:v>
      </x:c>
      <x:c r="U40" s="60" t="n">
        <x:f>IF(T40="","",I40*T40)</x:f>
        <x:v>17343498.918672483</x:v>
      </x:c>
    </x:row>
    <x:row r="41" ht="18" customHeight="1">
      <x:c r="A41" s="46" t="str">
        <x:v>LME_011</x:v>
      </x:c>
      <x:c r="B41" s="46" t="str">
        <x:v>Pacific Central-American Coastal</x:v>
      </x:c>
      <x:c r="C41" s="46" t="str">
        <x:v>LME</x:v>
      </x:c>
      <x:c r="D41" s="58" t="n">
        <x:v>2019</x:v>
      </x:c>
      <x:c r="E41" s="46" t="str">
        <x:v>Scombridae</x:v>
      </x:c>
      <x:c r="F41" s="46" t="str">
        <x:v>Mackerels, tunas, bonitos</x:v>
      </x:c>
      <x:c r="G41" s="46" t="str">
        <x:v>Medium pelagics (30 - 89 cm)</x:v>
      </x:c>
      <x:c r="H41" s="46" t="str">
        <x:v>Perch-likes</x:v>
      </x:c>
      <x:c r="I41" s="60" t="n">
        <x:v>5081.473337053199</x:v>
      </x:c>
      <x:c r="J41" s="60" t="n">
        <x:v>4950.7229362484995</x:v>
      </x:c>
      <x:c r="K41" s="60" t="n">
        <x:v>130.7504008047</x:v>
      </x:c>
      <x:c r="L41" s="60" t="n">
        <x:v>2885.6820662978002</x:v>
      </x:c>
      <x:c r="M41" s="60" t="n">
        <x:v>2195.7912707554</x:v>
      </x:c>
      <x:c r="N41" s="46" t="str">
        <x:v>scombridae</x:v>
      </x:c>
      <x:c r="O41" s="62" t="n">
        <x:v>4.26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Scombridae</x:v>
      </x:c>
      <x:c r="T41" s="62" t="n">
        <x:f>IF(O41="","",(1/'Metadata'!$B$5)^(O41-1))</x:f>
        <x:v>1819.7008586099826</x:v>
      </x:c>
      <x:c r="U41" s="60" t="n">
        <x:f>IF(T41="","",I41*T41)</x:f>
        <x:v>9246761.39443944</x:v>
      </x:c>
    </x:row>
    <x:row r="42" ht="18" customHeight="1">
      <x:c r="A42" s="46" t="str">
        <x:v>LME_011</x:v>
      </x:c>
      <x:c r="B42" s="46" t="str">
        <x:v>Pacific Central-American Coastal</x:v>
      </x:c>
      <x:c r="C42" s="46" t="str">
        <x:v>LME</x:v>
      </x:c>
      <x:c r="D42" s="58" t="n">
        <x:v>2019</x:v>
      </x:c>
      <x:c r="E42" s="46" t="str">
        <x:v>Lutjanus</x:v>
      </x:c>
      <x:c r="F42" s="46" t="str">
        <x:v>Snappers</x:v>
      </x:c>
      <x:c r="G42" s="46" t="str">
        <x:v>Medium reef assoc. fish (30 - 89 cm)</x:v>
      </x:c>
      <x:c r="H42" s="46" t="str">
        <x:v>Perch-likes</x:v>
      </x:c>
      <x:c r="I42" s="60" t="n">
        <x:v>4865.9818022582995</x:v>
      </x:c>
      <x:c r="J42" s="60" t="n">
        <x:v>4812.9225797042</x:v>
      </x:c>
      <x:c r="K42" s="60" t="n">
        <x:v>53.059222554099996</x:v>
      </x:c>
      <x:c r="L42" s="60" t="n">
        <x:v>258.0428327631</x:v>
      </x:c>
      <x:c r="M42" s="60" t="n">
        <x:v>4607.9389694952</x:v>
      </x:c>
      <x:c r="N42" s="46" t="str">
        <x:v>lutjanus</x:v>
      </x:c>
      <x:c r="O42" s="62" t="n">
        <x:v>4.02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Lutjanus</x:v>
      </x:c>
      <x:c r="T42" s="62" t="n">
        <x:f>IF(O42="","",(1/'Metadata'!$B$5)^(O42-1))</x:f>
        <x:v>1047.1285480508984</x:v>
      </x:c>
      <x:c r="U42" s="60" t="n">
        <x:f>IF(T42="","",I42*T42)</x:f>
        <x:v>5095308.459440827</x:v>
      </x:c>
    </x:row>
    <x:row r="43" ht="18" customHeight="1">
      <x:c r="A43" s="46" t="str">
        <x:v>LME_011</x:v>
      </x:c>
      <x:c r="B43" s="46" t="str">
        <x:v>Pacific Central-American Coastal</x:v>
      </x:c>
      <x:c r="C43" s="46" t="str">
        <x:v>LME</x:v>
      </x:c>
      <x:c r="D43" s="58" t="n">
        <x:v>2019</x:v>
      </x:c>
      <x:c r="E43" s="46" t="str">
        <x:v>Serranidae</x:v>
      </x:c>
      <x:c r="F43" s="46" t="str">
        <x:v>Basses, groupers, hinds</x:v>
      </x:c>
      <x:c r="G43" s="46" t="str">
        <x:v>Medium reef assoc. fish (30 - 89 cm)</x:v>
      </x:c>
      <x:c r="H43" s="46" t="str">
        <x:v>Perch-likes</x:v>
      </x:c>
      <x:c r="I43" s="60" t="n">
        <x:v>4765.4048333645</x:v>
      </x:c>
      <x:c r="J43" s="60" t="n">
        <x:v>4347.5352464889</x:v>
      </x:c>
      <x:c r="K43" s="60" t="n">
        <x:v>417.86958687559996</x:v>
      </x:c>
      <x:c r="L43" s="60" t="n">
        <x:v>2924.5529382132</x:v>
      </x:c>
      <x:c r="M43" s="60" t="n">
        <x:v>1840.8518951513</x:v>
      </x:c>
      <x:c r="N43" s="46" t="str">
        <x:v>serranidae</x:v>
      </x:c>
      <x:c r="O43" s="62" t="n">
        <x:v>3.98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Serranidae</x:v>
      </x:c>
      <x:c r="T43" s="62" t="n">
        <x:f>IF(O43="","",(1/'Metadata'!$B$5)^(O43-1))</x:f>
        <x:v>954.992586021436</x:v>
      </x:c>
      <x:c r="U43" s="60" t="n">
        <x:f>IF(T43="","",I43*T43)</x:f>
        <x:v>4550926.2852538135</x:v>
      </x:c>
    </x:row>
    <x:row r="44" ht="18" customHeight="1">
      <x:c r="A44" s="46" t="str">
        <x:v>LME_011</x:v>
      </x:c>
      <x:c r="B44" s="46" t="str">
        <x:v>Pacific Central-American Coastal</x:v>
      </x:c>
      <x:c r="C44" s="46" t="str">
        <x:v>LME</x:v>
      </x:c>
      <x:c r="D44" s="58" t="n">
        <x:v>2019</x:v>
      </x:c>
      <x:c r="E44" s="46" t="str">
        <x:v>Scomberomorus</x:v>
      </x:c>
      <x:c r="F44" s="46" t="str">
        <x:v>Spanish mackerels</x:v>
      </x:c>
      <x:c r="G44" s="46" t="str">
        <x:v>Large pelagics (&gt;=90 cm)</x:v>
      </x:c>
      <x:c r="H44" s="46" t="str">
        <x:v>Perch-likes</x:v>
      </x:c>
      <x:c r="I44" s="60" t="n">
        <x:v>4720.7492917116</x:v>
      </x:c>
      <x:c r="J44" s="60" t="n">
        <x:v>4720.7492917116</x:v>
      </x:c>
      <x:c r="K44" s="60" t="n">
        <x:v>0</x:v>
      </x:c>
      <x:c r="L44" s="60" t="n">
        <x:v>3771.2334575703</x:v>
      </x:c>
      <x:c r="M44" s="60" t="n">
        <x:v>949.5158341413</x:v>
      </x:c>
      <x:c r="N44" s="46" t="str">
        <x:v>scomberomorus</x:v>
      </x:c>
      <x:c r="O44" s="62" t="n">
        <x:v>4.35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Scomberomorus</x:v>
      </x:c>
      <x:c r="T44" s="62" t="n">
        <x:f>IF(O44="","",(1/'Metadata'!$B$5)^(O44-1))</x:f>
        <x:v>2238.7211385683377</x:v>
      </x:c>
      <x:c r="U44" s="60" t="n">
        <x:f>IF(T44="","",I44*T44)</x:f>
        <x:v>10568441.229236266</x:v>
      </x:c>
    </x:row>
    <x:row r="45" ht="18" customHeight="1">
      <x:c r="A45" s="46" t="str">
        <x:v>LME_011</x:v>
      </x:c>
      <x:c r="B45" s="46" t="str">
        <x:v>Pacific Central-American Coastal</x:v>
      </x:c>
      <x:c r="C45" s="46" t="str">
        <x:v>LME</x:v>
      </x:c>
      <x:c r="D45" s="58" t="n">
        <x:v>2019</x:v>
      </x:c>
      <x:c r="E45" s="46" t="str">
        <x:v>Istiophorus platypterus</x:v>
      </x:c>
      <x:c r="F45" s="46" t="str">
        <x:v>Indo-Pacific sailfish</x:v>
      </x:c>
      <x:c r="G45" s="46" t="str">
        <x:v>Large pelagics (&gt;=90 cm)</x:v>
      </x:c>
      <x:c r="H45" s="46" t="str">
        <x:v>Tuna &amp; billfishes</x:v>
      </x:c>
      <x:c r="I45" s="60" t="n">
        <x:v>4591.4836181568</x:v>
      </x:c>
      <x:c r="J45" s="60" t="n">
        <x:v>1207.3611779627</x:v>
      </x:c>
      <x:c r="K45" s="60" t="n">
        <x:v>3384.1224401941</x:v>
      </x:c>
      <x:c r="L45" s="60" t="n">
        <x:v>64.5594843223</x:v>
      </x:c>
      <x:c r="M45" s="60" t="n">
        <x:v>4526.9241338345</x:v>
      </x:c>
      <x:c r="N45" s="46" t="str">
        <x:v>istiophorus platypterus</x:v>
      </x:c>
      <x:c r="O45" s="62" t="n">
        <x:v>4.5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Istiophorus platypterus</x:v>
      </x:c>
      <x:c r="T45" s="62" t="n">
        <x:f>IF(O45="","",(1/'Metadata'!$B$5)^(O45-1))</x:f>
        <x:v>3162.2776601683795</x:v>
      </x:c>
      <x:c r="U45" s="60" t="n">
        <x:f>IF(T45="","",I45*T45)</x:f>
        <x:v>14519546.07272633</x:v>
      </x:c>
    </x:row>
    <x:row r="46" ht="18" customHeight="1">
      <x:c r="A46" s="46" t="str">
        <x:v>LME_011</x:v>
      </x:c>
      <x:c r="B46" s="46" t="str">
        <x:v>Pacific Central-American Coastal</x:v>
      </x:c>
      <x:c r="C46" s="46" t="str">
        <x:v>LME</x:v>
      </x:c>
      <x:c r="D46" s="58" t="n">
        <x:v>2019</x:v>
      </x:c>
      <x:c r="E46" s="46" t="str">
        <x:v>Squilla panamensis</x:v>
      </x:c>
      <x:c r="F46" s="46" t="str">
        <x:v>Panama mantis shrimp</x:v>
      </x:c>
      <x:c r="G46" s="46" t="str">
        <x:v>Shrimps</x:v>
      </x:c>
      <x:c r="H46" s="46" t="str">
        <x:v>Crustaceans</x:v>
      </x:c>
      <x:c r="I46" s="60" t="n">
        <x:v>4585.8442362518</x:v>
      </x:c>
      <x:c r="J46" s="60" t="n">
        <x:v>0</x:v>
      </x:c>
      <x:c r="K46" s="60" t="n">
        <x:v>4585.8442362518</x:v>
      </x:c>
      <x:c r="L46" s="60" t="n">
        <x:v>0</x:v>
      </x:c>
      <x:c r="M46" s="60" t="n">
        <x:v>4585.8442362518</x:v>
      </x:c>
      <x:c r="N46" s="46" t="str">
        <x:v>squilla panamensis</x:v>
      </x:c>
      <x:c r="O46" s="62" t="n">
        <x:v>3.62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Squilla panamensis</x:v>
      </x:c>
      <x:c r="T46" s="62" t="n">
        <x:f>IF(O46="","",(1/'Metadata'!$B$5)^(O46-1))</x:f>
        <x:v>416.8693834703355</x:v>
      </x:c>
      <x:c r="U46" s="60" t="n">
        <x:f>IF(T46="","",I46*T46)</x:f>
        <x:v>1911698.0594572793</x:v>
      </x:c>
    </x:row>
    <x:row r="47" ht="18" customHeight="1">
      <x:c r="A47" s="46" t="str">
        <x:v>LME_011</x:v>
      </x:c>
      <x:c r="B47" s="46" t="str">
        <x:v>Pacific Central-American Coastal</x:v>
      </x:c>
      <x:c r="C47" s="46" t="str">
        <x:v>LME</x:v>
      </x:c>
      <x:c r="D47" s="58" t="n">
        <x:v>2019</x:v>
      </x:c>
      <x:c r="E47" s="46" t="str">
        <x:v>Callinectes toxotes</x:v>
      </x:c>
      <x:c r="F47" s="46" t="str">
        <x:v>Giant swimcrab</x:v>
      </x:c>
      <x:c r="G47" s="46" t="str">
        <x:v>Lobsters, crabs</x:v>
      </x:c>
      <x:c r="H47" s="46" t="str">
        <x:v>Crustaceans</x:v>
      </x:c>
      <x:c r="I47" s="60" t="n">
        <x:v>4544.675555315201</x:v>
      </x:c>
      <x:c r="J47" s="60" t="n">
        <x:v>144.8210816868</x:v>
      </x:c>
      <x:c r="K47" s="60" t="n">
        <x:v>4399.8544736284</x:v>
      </x:c>
      <x:c r="L47" s="60" t="n">
        <x:v>144.8210816868</x:v>
      </x:c>
      <x:c r="M47" s="60" t="n">
        <x:v>4399.8544736284</x:v>
      </x:c>
      <x:c r="N47" s="46" t="str">
        <x:v>callinectes toxotes</x:v>
      </x:c>
      <x:c r="O47" s="62" t="n">
        <x:v>3.63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Callinectes toxotes</x:v>
      </x:c>
      <x:c r="T47" s="62" t="n">
        <x:f>IF(O47="","",(1/'Metadata'!$B$5)^(O47-1))</x:f>
        <x:v>426.57951880159254</x:v>
      </x:c>
      <x:c r="U47" s="60" t="n">
        <x:f>IF(T47="","",I47*T47)</x:f>
        <x:v>1938665.5114957187</x:v>
      </x:c>
    </x:row>
    <x:row r="48" ht="18" customHeight="1">
      <x:c r="A48" s="46" t="str">
        <x:v>LME_011</x:v>
      </x:c>
      <x:c r="B48" s="46" t="str">
        <x:v>Pacific Central-American Coastal</x:v>
      </x:c>
      <x:c r="C48" s="46" t="str">
        <x:v>LME</x:v>
      </x:c>
      <x:c r="D48" s="58" t="n">
        <x:v>2019</x:v>
      </x:c>
      <x:c r="E48" s="46" t="str">
        <x:v>Squilla parva</x:v>
      </x:c>
      <x:c r="F48" s="46" t="str">
        <x:v>Small mantis shrimp</x:v>
      </x:c>
      <x:c r="G48" s="46" t="str">
        <x:v>Shrimps</x:v>
      </x:c>
      <x:c r="H48" s="46" t="str">
        <x:v>Crustaceans</x:v>
      </x:c>
      <x:c r="I48" s="60" t="n">
        <x:v>4390.5941515401</x:v>
      </x:c>
      <x:c r="J48" s="60" t="n">
        <x:v>0</x:v>
      </x:c>
      <x:c r="K48" s="60" t="n">
        <x:v>4390.5941515401</x:v>
      </x:c>
      <x:c r="L48" s="60" t="n">
        <x:v>0</x:v>
      </x:c>
      <x:c r="M48" s="60" t="n">
        <x:v>4390.5941515401</x:v>
      </x:c>
      <x:c r="N48" s="46" t="str">
        <x:v>squilla parva</x:v>
      </x:c>
      <x:c r="O48" s="62" t="n">
        <x:v>3.62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Squilla parva</x:v>
      </x:c>
      <x:c r="T48" s="62" t="n">
        <x:f>IF(O48="","",(1/'Metadata'!$B$5)^(O48-1))</x:f>
        <x:v>416.8693834703355</x:v>
      </x:c>
      <x:c r="U48" s="60" t="n">
        <x:f>IF(T48="","",I48*T48)</x:f>
        <x:v>1830304.2770209822</x:v>
      </x:c>
    </x:row>
    <x:row r="49" ht="18" customHeight="1">
      <x:c r="A49" s="46" t="str">
        <x:v>LME_011</x:v>
      </x:c>
      <x:c r="B49" s="46" t="str">
        <x:v>Pacific Central-American Coastal</x:v>
      </x:c>
      <x:c r="C49" s="46" t="str">
        <x:v>LME</x:v>
      </x:c>
      <x:c r="D49" s="58" t="n">
        <x:v>2019</x:v>
      </x:c>
      <x:c r="E49" s="46" t="str">
        <x:v>Lutjanus guttatus</x:v>
      </x:c>
      <x:c r="F49" s="46" t="str">
        <x:v>Spotted rose snapper</x:v>
      </x:c>
      <x:c r="G49" s="46" t="str">
        <x:v>Medium reef assoc. fish (30 - 89 cm)</x:v>
      </x:c>
      <x:c r="H49" s="46" t="str">
        <x:v>Perch-likes</x:v>
      </x:c>
      <x:c r="I49" s="60" t="n">
        <x:v>4316.2593329134</x:v>
      </x:c>
      <x:c r="J49" s="60" t="n">
        <x:v>4316.2593329134</x:v>
      </x:c>
      <x:c r="K49" s="60" t="n">
        <x:v>0</x:v>
      </x:c>
      <x:c r="L49" s="60" t="n">
        <x:v>1611.8107371106</x:v>
      </x:c>
      <x:c r="M49" s="60" t="n">
        <x:v>2704.4485958028</x:v>
      </x:c>
      <x:c r="N49" s="46" t="str">
        <x:v>lutjanus guttatus</x:v>
      </x:c>
      <x:c r="O49" s="62" t="n">
        <x:v>4.04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Lutjanus guttatus</x:v>
      </x:c>
      <x:c r="T49" s="62" t="n">
        <x:f>IF(O49="","",(1/'Metadata'!$B$5)^(O49-1))</x:f>
        <x:v>1096.4781961431852</x:v>
      </x:c>
      <x:c r="U49" s="60" t="n">
        <x:f>IF(T49="","",I49*T49)</x:f>
        <x:v>4732684.2474390725</x:v>
      </x:c>
    </x:row>
    <x:row r="50" ht="18" customHeight="1">
      <x:c r="A50" s="46" t="str">
        <x:v>LME_011</x:v>
      </x:c>
      <x:c r="B50" s="46" t="str">
        <x:v>Pacific Central-American Coastal</x:v>
      </x:c>
      <x:c r="C50" s="46" t="str">
        <x:v>LME</x:v>
      </x:c>
      <x:c r="D50" s="58" t="n">
        <x:v>2019</x:v>
      </x:c>
      <x:c r="E50" s="46" t="str">
        <x:v>Sarda chiliensis</x:v>
      </x:c>
      <x:c r="F50" s="46" t="str">
        <x:v>Eastern Pacific bonito</x:v>
      </x:c>
      <x:c r="G50" s="46" t="str">
        <x:v>Medium pelagics (30 - 89 cm)</x:v>
      </x:c>
      <x:c r="H50" s="46" t="str">
        <x:v>Tuna &amp; billfishes</x:v>
      </x:c>
      <x:c r="I50" s="60" t="n">
        <x:v>4313.7716058807</x:v>
      </x:c>
      <x:c r="J50" s="60" t="n">
        <x:v>4312.9208579966</x:v>
      </x:c>
      <x:c r="K50" s="60" t="n">
        <x:v>0.8507478841</x:v>
      </x:c>
      <x:c r="L50" s="60" t="n">
        <x:v>3456.3666438733</x:v>
      </x:c>
      <x:c r="M50" s="60" t="n">
        <x:v>857.4049620074001</x:v>
      </x:c>
      <x:c r="N50" s="46" t="str">
        <x:v>sarda chiliensis</x:v>
      </x:c>
      <x:c r="O50" s="62" t="n">
        <x:v>4.49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Sarda chiliensis</x:v>
      </x:c>
      <x:c r="T50" s="62" t="n">
        <x:f>IF(O50="","",(1/'Metadata'!$B$5)^(O50-1))</x:f>
        <x:v>3090.295432513592</x:v>
      </x:c>
      <x:c r="U50" s="60" t="n">
        <x:f>IF(T50="","",I50*T50)</x:f>
        <x:v>13330828.69055995</x:v>
      </x:c>
    </x:row>
    <x:row r="51" ht="18" customHeight="1">
      <x:c r="A51" s="46" t="str">
        <x:v>LME_011</x:v>
      </x:c>
      <x:c r="B51" s="46" t="str">
        <x:v>Pacific Central-American Coastal</x:v>
      </x:c>
      <x:c r="C51" s="46" t="str">
        <x:v>LME</x:v>
      </x:c>
      <x:c r="D51" s="58" t="n">
        <x:v>2019</x:v>
      </x:c>
      <x:c r="E51" s="46" t="str">
        <x:v>Achirus mazatlanus</x:v>
      </x:c>
      <x:c r="F51" s="46" t="str">
        <x:v>Mazatlan sole</x:v>
      </x:c>
      <x:c r="G51" s="46" t="str">
        <x:v>Small to medium flatfishes (&lt;90 cm)</x:v>
      </x:c>
      <x:c r="H51" s="46" t="str">
        <x:v>Flatfishes</x:v>
      </x:c>
      <x:c r="I51" s="60" t="n">
        <x:v>4197.9623013307</x:v>
      </x:c>
      <x:c r="J51" s="60" t="n">
        <x:v>815.6490274209</x:v>
      </x:c>
      <x:c r="K51" s="60" t="n">
        <x:v>3382.3132739098</x:v>
      </x:c>
      <x:c r="L51" s="60" t="n">
        <x:v>0</x:v>
      </x:c>
      <x:c r="M51" s="60" t="n">
        <x:v>4197.9623013307</x:v>
      </x:c>
      <x:c r="N51" s="46" t="str">
        <x:v>achirus mazatlanus</x:v>
      </x:c>
      <x:c r="O51" s="62" t="n">
        <x:v>3.2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Achirus mazatlanus</x:v>
      </x:c>
      <x:c r="T51" s="62" t="n">
        <x:f>IF(O51="","",(1/'Metadata'!$B$5)^(O51-1))</x:f>
        <x:v>158.48931924611142</x:v>
      </x:c>
      <x:c r="U51" s="60" t="n">
        <x:f>IF(T51="","",I51*T51)</x:f>
        <x:v>665332.1873587419</x:v>
      </x:c>
    </x:row>
    <x:row r="52" ht="18" customHeight="1">
      <x:c r="A52" s="46" t="str">
        <x:v>LME_011</x:v>
      </x:c>
      <x:c r="B52" s="46" t="str">
        <x:v>Pacific Central-American Coastal</x:v>
      </x:c>
      <x:c r="C52" s="46" t="str">
        <x:v>LME</x:v>
      </x:c>
      <x:c r="D52" s="58" t="n">
        <x:v>2019</x:v>
      </x:c>
      <x:c r="E52" s="46" t="str">
        <x:v>Portunus</x:v>
      </x:c>
      <x:c r="F52" s="46" t="str">
        <x:v>Swimmer crabs</x:v>
      </x:c>
      <x:c r="G52" s="46" t="str">
        <x:v>Lobsters, crabs</x:v>
      </x:c>
      <x:c r="H52" s="46" t="str">
        <x:v>Crustaceans</x:v>
      </x:c>
      <x:c r="I52" s="60" t="n">
        <x:v>4197.7206168381</x:v>
      </x:c>
      <x:c r="J52" s="60" t="n">
        <x:v>5.9161865195</x:v>
      </x:c>
      <x:c r="K52" s="60" t="n">
        <x:v>4191.8044303186</x:v>
      </x:c>
      <x:c r="L52" s="60" t="n">
        <x:v>0</x:v>
      </x:c>
      <x:c r="M52" s="60" t="n">
        <x:v>4197.7206168381</x:v>
      </x:c>
      <x:c r="N52" s="46" t="str">
        <x:v>portunus</x:v>
      </x:c>
      <x:c r="O52" s="62" t="n">
        <x:v>3.26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Portunus</x:v>
      </x:c>
      <x:c r="T52" s="62" t="n">
        <x:f>IF(O52="","",(1/'Metadata'!$B$5)^(O52-1))</x:f>
        <x:v>181.97008586099827</x:v>
      </x:c>
      <x:c r="U52" s="60" t="n">
        <x:f>IF(T52="","",I52*T52)</x:f>
        <x:v>763859.5810665117</x:v>
      </x:c>
    </x:row>
    <x:row r="53" ht="18" customHeight="1">
      <x:c r="A53" s="46" t="str">
        <x:v>LME_011</x:v>
      </x:c>
      <x:c r="B53" s="46" t="str">
        <x:v>Pacific Central-American Coastal</x:v>
      </x:c>
      <x:c r="C53" s="46" t="str">
        <x:v>LME</x:v>
      </x:c>
      <x:c r="D53" s="58" t="n">
        <x:v>2019</x:v>
      </x:c>
      <x:c r="E53" s="46" t="str">
        <x:v>Rhinobatos</x:v>
      </x:c>
      <x:c r="F53" s="46" t="str">
        <x:v>Guitarfishes</x:v>
      </x:c>
      <x:c r="G53" s="46" t="str">
        <x:v>Large rays (&gt;=90 cm)</x:v>
      </x:c>
      <x:c r="H53" s="46" t="str">
        <x:v>Sharks &amp; rays</x:v>
      </x:c>
      <x:c r="I53" s="60" t="n">
        <x:v>4147.2839915497</x:v>
      </x:c>
      <x:c r="J53" s="60" t="n">
        <x:v>4147.2839915497</x:v>
      </x:c>
      <x:c r="K53" s="60" t="n">
        <x:v>0</x:v>
      </x:c>
      <x:c r="L53" s="60" t="n">
        <x:v>2977.8747508726997</x:v>
      </x:c>
      <x:c r="M53" s="60" t="n">
        <x:v>1169.409240677</x:v>
      </x:c>
      <x:c r="N53" s="46" t="str">
        <x:v>rhinobatos</x:v>
      </x:c>
      <x:c r="O53" s="62" t="n">
        <x:v>3.73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Rhinobatos</x:v>
      </x:c>
      <x:c r="T53" s="62" t="n">
        <x:f>IF(O53="","",(1/'Metadata'!$B$5)^(O53-1))</x:f>
        <x:v>537.0317963702527</x:v>
      </x:c>
      <x:c r="U53" s="60" t="n">
        <x:f>IF(T53="","",I53*T53)</x:f>
        <x:v>2227223.372039527</x:v>
      </x:c>
    </x:row>
    <x:row r="54" ht="18" customHeight="1">
      <x:c r="A54" s="46" t="str">
        <x:v>LME_011</x:v>
      </x:c>
      <x:c r="B54" s="46" t="str">
        <x:v>Pacific Central-American Coastal</x:v>
      </x:c>
      <x:c r="C54" s="46" t="str">
        <x:v>LME</x:v>
      </x:c>
      <x:c r="D54" s="58" t="n">
        <x:v>2019</x:v>
      </x:c>
      <x:c r="E54" s="46" t="str">
        <x:v>Prionotus stephanophrys</x:v>
      </x:c>
      <x:c r="F54" s="46" t="str">
        <x:v>Lumptail searobin</x:v>
      </x:c>
      <x:c r="G54" s="46" t="str">
        <x:v>Medium demersals (30 - 89 cm)</x:v>
      </x:c>
      <x:c r="H54" s="46" t="str">
        <x:v>Scorpionfishes</x:v>
      </x:c>
      <x:c r="I54" s="60" t="n">
        <x:v>4047.5391412753</x:v>
      </x:c>
      <x:c r="J54" s="60" t="n">
        <x:v>719.7187732773999</x:v>
      </x:c>
      <x:c r="K54" s="60" t="n">
        <x:v>3327.8203679978997</x:v>
      </x:c>
      <x:c r="L54" s="60" t="n">
        <x:v>0</x:v>
      </x:c>
      <x:c r="M54" s="60" t="n">
        <x:v>4047.5391412753</x:v>
      </x:c>
      <x:c r="N54" s="46" t="str">
        <x:v>prionotus stephanophrys</x:v>
      </x:c>
      <x:c r="O54" s="62" t="n">
        <x:v>3.5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Prionotus stephanophrys</x:v>
      </x:c>
      <x:c r="T54" s="62" t="n">
        <x:f>IF(O54="","",(1/'Metadata'!$B$5)^(O54-1))</x:f>
        <x:v>316.22776601683796</x:v>
      </x:c>
      <x:c r="U54" s="60" t="n">
        <x:f>IF(T54="","",I54*T54)</x:f>
        <x:v>1279944.2605111988</x:v>
      </x:c>
    </x:row>
    <x:row r="55" ht="18" customHeight="1">
      <x:c r="A55" s="46" t="str">
        <x:v>LME_011</x:v>
      </x:c>
      <x:c r="B55" s="46" t="str">
        <x:v>Pacific Central-American Coastal</x:v>
      </x:c>
      <x:c r="C55" s="46" t="str">
        <x:v>LME</x:v>
      </x:c>
      <x:c r="D55" s="58" t="n">
        <x:v>2019</x:v>
      </x:c>
      <x:c r="E55" s="46" t="str">
        <x:v>Chanos chanos</x:v>
      </x:c>
      <x:c r="F55" s="46" t="str">
        <x:v>Milkfish</x:v>
      </x:c>
      <x:c r="G55" s="46" t="str">
        <x:v>Large benthopelagics (&gt;=90 cm)</x:v>
      </x:c>
      <x:c r="H55" s="46" t="str">
        <x:v>Other fishes &amp; inverts</x:v>
      </x:c>
      <x:c r="I55" s="60" t="n">
        <x:v>3928.8863512967</x:v>
      </x:c>
      <x:c r="J55" s="60" t="n">
        <x:v>3928.8863512967</x:v>
      </x:c>
      <x:c r="K55" s="60" t="n">
        <x:v>0</x:v>
      </x:c>
      <x:c r="L55" s="60" t="n">
        <x:v>2929.0428698977</x:v>
      </x:c>
      <x:c r="M55" s="60" t="n">
        <x:v>999.843481399</x:v>
      </x:c>
      <x:c r="N55" s="46" t="str">
        <x:v>chanos chanos</x:v>
      </x:c>
      <x:c r="O55" s="62" t="n">
        <x:v>2.03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Chanos chanos</x:v>
      </x:c>
      <x:c r="T55" s="62" t="n">
        <x:f>IF(O55="","",(1/'Metadata'!$B$5)^(O55-1))</x:f>
        <x:v>10.71519305237606</x:v>
      </x:c>
      <x:c r="U55" s="60" t="n">
        <x:f>IF(T55="","",I55*T55)</x:f>
        <x:v>42098.775734989526</x:v>
      </x:c>
    </x:row>
    <x:row r="56" ht="18" customHeight="1">
      <x:c r="A56" s="46" t="str">
        <x:v>LME_011</x:v>
      </x:c>
      <x:c r="B56" s="46" t="str">
        <x:v>Pacific Central-American Coastal</x:v>
      </x:c>
      <x:c r="C56" s="46" t="str">
        <x:v>LME</x:v>
      </x:c>
      <x:c r="D56" s="58" t="n">
        <x:v>2019</x:v>
      </x:c>
      <x:c r="E56" s="46" t="str">
        <x:v>Fistularia corneta</x:v>
      </x:c>
      <x:c r="F56" s="46" t="str">
        <x:v>Pacific cornetfish</x:v>
      </x:c>
      <x:c r="G56" s="46" t="str">
        <x:v>Large pelagics (&gt;=90 cm)</x:v>
      </x:c>
      <x:c r="H56" s="46" t="str">
        <x:v>Other fishes &amp; inverts</x:v>
      </x:c>
      <x:c r="I56" s="60" t="n">
        <x:v>3917.1561359231</x:v>
      </x:c>
      <x:c r="J56" s="60" t="n">
        <x:v>3917.1561359231</x:v>
      </x:c>
      <x:c r="K56" s="60" t="n">
        <x:v>0</x:v>
      </x:c>
      <x:c r="L56" s="60" t="n">
        <x:v>3618.0628241496997</x:v>
      </x:c>
      <x:c r="M56" s="60" t="n">
        <x:v>299.0933117734</x:v>
      </x:c>
      <x:c r="N56" s="46" t="str">
        <x:v>fistularia corneta</x:v>
      </x:c>
      <x:c r="O56" s="62" t="n">
        <x:v>4.5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Fistularia corneta</x:v>
      </x:c>
      <x:c r="T56" s="62" t="n">
        <x:f>IF(O56="","",(1/'Metadata'!$B$5)^(O56-1))</x:f>
        <x:v>3162.2776601683795</x:v>
      </x:c>
      <x:c r="U56" s="60" t="n">
        <x:f>IF(T56="","",I56*T56)</x:f>
        <x:v>12387135.340021111</x:v>
      </x:c>
    </x:row>
    <x:row r="57" ht="18" customHeight="1">
      <x:c r="A57" s="46" t="str">
        <x:v>LME_011</x:v>
      </x:c>
      <x:c r="B57" s="46" t="str">
        <x:v>Pacific Central-American Coastal</x:v>
      </x:c>
      <x:c r="C57" s="46" t="str">
        <x:v>LME</x:v>
      </x:c>
      <x:c r="D57" s="58" t="n">
        <x:v>2019</x:v>
      </x:c>
      <x:c r="E57" s="46" t="str">
        <x:v>Chloroscombrus orqueta</x:v>
      </x:c>
      <x:c r="F57" s="46" t="str">
        <x:v>Pacific bumper</x:v>
      </x:c>
      <x:c r="G57" s="46" t="str">
        <x:v>Small demersals (&lt;30 cm)</x:v>
      </x:c>
      <x:c r="H57" s="46" t="str">
        <x:v>Perch-likes</x:v>
      </x:c>
      <x:c r="I57" s="60" t="n">
        <x:v>3767.8540763848</x:v>
      </x:c>
      <x:c r="J57" s="60" t="n">
        <x:v>3767.8540763848</x:v>
      </x:c>
      <x:c r="K57" s="60" t="n">
        <x:v>0</x:v>
      </x:c>
      <x:c r="L57" s="60" t="n">
        <x:v>3548.1373225257003</x:v>
      </x:c>
      <x:c r="M57" s="60" t="n">
        <x:v>219.71675385909998</x:v>
      </x:c>
      <x:c r="N57" s="46" t="str">
        <x:v>chloroscombrus orqueta</x:v>
      </x:c>
      <x:c r="O57" s="62" t="n">
        <x:v>2.54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Chloroscombrus orqueta</x:v>
      </x:c>
      <x:c r="T57" s="62" t="n">
        <x:f>IF(O57="","",(1/'Metadata'!$B$5)^(O57-1))</x:f>
        <x:v>34.673685045253166</x:v>
      </x:c>
      <x:c r="U57" s="60" t="n">
        <x:f>IF(T57="","",I57*T57)</x:f>
        <x:v>130645.38554103982</x:v>
      </x:c>
    </x:row>
    <x:row r="58" ht="18" customHeight="1">
      <x:c r="A58" s="46" t="str">
        <x:v>LME_011</x:v>
      </x:c>
      <x:c r="B58" s="46" t="str">
        <x:v>Pacific Central-American Coastal</x:v>
      </x:c>
      <x:c r="C58" s="46" t="str">
        <x:v>LME</x:v>
      </x:c>
      <x:c r="D58" s="58" t="n">
        <x:v>2019</x:v>
      </x:c>
      <x:c r="E58" s="46" t="str">
        <x:v>Mugil cephalus</x:v>
      </x:c>
      <x:c r="F58" s="46" t="str">
        <x:v>Flathead grey mullet</x:v>
      </x:c>
      <x:c r="G58" s="46" t="str">
        <x:v>Large benthopelagics (&gt;=90 cm)</x:v>
      </x:c>
      <x:c r="H58" s="46" t="str">
        <x:v>Perch-likes</x:v>
      </x:c>
      <x:c r="I58" s="60" t="n">
        <x:v>3750.4517868029</x:v>
      </x:c>
      <x:c r="J58" s="60" t="n">
        <x:v>3750.4517868029</x:v>
      </x:c>
      <x:c r="K58" s="60" t="n">
        <x:v>0</x:v>
      </x:c>
      <x:c r="L58" s="60" t="n">
        <x:v>2944.1672238639003</x:v>
      </x:c>
      <x:c r="M58" s="60" t="n">
        <x:v>806.284562939</x:v>
      </x:c>
      <x:c r="N58" s="46" t="str">
        <x:v>mugil cephalus</x:v>
      </x:c>
      <x:c r="O58" s="62" t="n">
        <x:v>2.14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Mugil cephalus</x:v>
      </x:c>
      <x:c r="T58" s="62" t="n">
        <x:f>IF(O58="","",(1/'Metadata'!$B$5)^(O58-1))</x:f>
        <x:v>13.803842646028853</x:v>
      </x:c>
      <x:c r="U58" s="60" t="n">
        <x:f>IF(T58="","",I58*T58)</x:f>
        <x:v>51770.64631654498</x:v>
      </x:c>
    </x:row>
    <x:row r="59" ht="18" customHeight="1">
      <x:c r="A59" s="46" t="str">
        <x:v>LME_011</x:v>
      </x:c>
      <x:c r="B59" s="46" t="str">
        <x:v>Pacific Central-American Coastal</x:v>
      </x:c>
      <x:c r="C59" s="46" t="str">
        <x:v>LME</x:v>
      </x:c>
      <x:c r="D59" s="58" t="n">
        <x:v>2019</x:v>
      </x:c>
      <x:c r="E59" s="46" t="str">
        <x:v>Portunidae</x:v>
      </x:c>
      <x:c r="F59" s="46" t="str">
        <x:v>Swimming crabs</x:v>
      </x:c>
      <x:c r="G59" s="46" t="str">
        <x:v>Lobsters, crabs</x:v>
      </x:c>
      <x:c r="H59" s="46" t="str">
        <x:v>Crustaceans</x:v>
      </x:c>
      <x:c r="I59" s="60" t="n">
        <x:v>3619.9461702420003</x:v>
      </x:c>
      <x:c r="J59" s="60" t="n">
        <x:v>771.5174863564</x:v>
      </x:c>
      <x:c r="K59" s="60" t="n">
        <x:v>2848.4286838856</x:v>
      </x:c>
      <x:c r="L59" s="60" t="n">
        <x:v>0.0017091424</x:v>
      </x:c>
      <x:c r="M59" s="60" t="n">
        <x:v>3619.9444610996</x:v>
      </x:c>
      <x:c r="N59" s="46" t="str">
        <x:v>portunidae</x:v>
      </x:c>
      <x:c r="O59" s="62" t="n">
        <x:v>3.56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Portunidae</x:v>
      </x:c>
      <x:c r="T59" s="62" t="n">
        <x:f>IF(O59="","",(1/'Metadata'!$B$5)^(O59-1))</x:f>
        <x:v>363.0780547701014</x:v>
      </x:c>
      <x:c r="U59" s="60" t="n">
        <x:f>IF(T59="","",I59*T59)</x:f>
        <x:v>1314323.0138639438</x:v>
      </x:c>
    </x:row>
    <x:row r="60" ht="18" customHeight="1">
      <x:c r="A60" s="46" t="str">
        <x:v>LME_011</x:v>
      </x:c>
      <x:c r="B60" s="46" t="str">
        <x:v>Pacific Central-American Coastal</x:v>
      </x:c>
      <x:c r="C60" s="46" t="str">
        <x:v>LME</x:v>
      </x:c>
      <x:c r="D60" s="58" t="n">
        <x:v>2019</x:v>
      </x:c>
      <x:c r="E60" s="46" t="str">
        <x:v>Eucinostomus</x:v>
      </x:c>
      <x:c r="F60" s="46" t="str">
        <x:v>Mojarras</x:v>
      </x:c>
      <x:c r="G60" s="46" t="str">
        <x:v>Large reef assoc. fish (&gt;=90 cm)</x:v>
      </x:c>
      <x:c r="H60" s="46" t="str">
        <x:v>Perch-likes</x:v>
      </x:c>
      <x:c r="I60" s="60" t="n">
        <x:v>3495.9550198187</x:v>
      </x:c>
      <x:c r="J60" s="60" t="n">
        <x:v>672.4634927353001</x:v>
      </x:c>
      <x:c r="K60" s="60" t="n">
        <x:v>2823.4915270834</x:v>
      </x:c>
      <x:c r="L60" s="60" t="n">
        <x:v>0</x:v>
      </x:c>
      <x:c r="M60" s="60" t="n">
        <x:v>3495.9550198187</x:v>
      </x:c>
      <x:c r="N60" s="46" t="str">
        <x:v>eucinostomus</x:v>
      </x:c>
      <x:c r="O60" s="62" t="n">
        <x:v>3.5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Eucinostomus</x:v>
      </x:c>
      <x:c r="T60" s="62" t="n">
        <x:f>IF(O60="","",(1/'Metadata'!$B$5)^(O60-1))</x:f>
        <x:v>316.22776601683796</x:v>
      </x:c>
      <x:c r="U60" s="60" t="n">
        <x:f>IF(T60="","",I60*T60)</x:f>
        <x:v>1105518.0460126179</x:v>
      </x:c>
    </x:row>
    <x:row r="61" ht="18" customHeight="1">
      <x:c r="A61" s="46" t="str">
        <x:v>LME_011</x:v>
      </x:c>
      <x:c r="B61" s="46" t="str">
        <x:v>Pacific Central-American Coastal</x:v>
      </x:c>
      <x:c r="C61" s="46" t="str">
        <x:v>LME</x:v>
      </x:c>
      <x:c r="D61" s="58" t="n">
        <x:v>2019</x:v>
      </x:c>
      <x:c r="E61" s="46" t="str">
        <x:v>Anadara tuberculosa</x:v>
      </x:c>
      <x:c r="F61" s="46" t="str">
        <x:v>Pustulose ark</x:v>
      </x:c>
      <x:c r="G61" s="46" t="str">
        <x:v>Other demersal invertebrates</x:v>
      </x:c>
      <x:c r="H61" s="46" t="str">
        <x:v>Molluscs</x:v>
      </x:c>
      <x:c r="I61" s="60" t="n">
        <x:v>3486.6206633582</x:v>
      </x:c>
      <x:c r="J61" s="60" t="n">
        <x:v>3486.6206633582</x:v>
      </x:c>
      <x:c r="K61" s="60" t="n">
        <x:v>0</x:v>
      </x:c>
      <x:c r="L61" s="60" t="n">
        <x:v>2995.4065484917</x:v>
      </x:c>
      <x:c r="M61" s="60" t="n">
        <x:v>491.21411486650004</x:v>
      </x:c>
      <x:c r="N61" s="46" t="str">
        <x:v>anadara tuberculosa</x:v>
      </x:c>
      <x:c r="O61" s="62" t="n">
        <x:v>2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Anadara tuberculosa</x:v>
      </x:c>
      <x:c r="T61" s="62" t="n">
        <x:f>IF(O61="","",(1/'Metadata'!$B$5)^(O61-1))</x:f>
        <x:v>10</x:v>
      </x:c>
      <x:c r="U61" s="60" t="n">
        <x:f>IF(T61="","",I61*T61)</x:f>
        <x:v>34866.206633582</x:v>
      </x:c>
    </x:row>
    <x:row r="62" ht="18" customHeight="1">
      <x:c r="A62" s="46" t="str">
        <x:v>LME_011</x:v>
      </x:c>
      <x:c r="B62" s="46" t="str">
        <x:v>Pacific Central-American Coastal</x:v>
      </x:c>
      <x:c r="C62" s="46" t="str">
        <x:v>LME</x:v>
      </x:c>
      <x:c r="D62" s="58" t="n">
        <x:v>2019</x:v>
      </x:c>
      <x:c r="E62" s="46" t="str">
        <x:v>Selene peruviana</x:v>
      </x:c>
      <x:c r="F62" s="46" t="str">
        <x:v>Peruvian moonfish</x:v>
      </x:c>
      <x:c r="G62" s="46" t="str">
        <x:v>Small pelagics (&lt;30 cm)</x:v>
      </x:c>
      <x:c r="H62" s="46" t="str">
        <x:v>Perch-likes</x:v>
      </x:c>
      <x:c r="I62" s="60" t="n">
        <x:v>3403.6396918183</x:v>
      </x:c>
      <x:c r="J62" s="60" t="n">
        <x:v>3403.6396918183</x:v>
      </x:c>
      <x:c r="K62" s="60" t="n">
        <x:v>0</x:v>
      </x:c>
      <x:c r="L62" s="60" t="n">
        <x:v>3126.4485002769998</x:v>
      </x:c>
      <x:c r="M62" s="60" t="n">
        <x:v>277.19119154130004</x:v>
      </x:c>
      <x:c r="N62" s="46" t="str">
        <x:v>selene peruviana</x:v>
      </x:c>
      <x:c r="O62" s="62" t="n">
        <x:v>4.26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Selene peruviana</x:v>
      </x:c>
      <x:c r="T62" s="62" t="n">
        <x:f>IF(O62="","",(1/'Metadata'!$B$5)^(O62-1))</x:f>
        <x:v>1819.7008586099826</x:v>
      </x:c>
      <x:c r="U62" s="60" t="n">
        <x:f>IF(T62="","",I62*T62)</x:f>
        <x:v>6193606.069600777</x:v>
      </x:c>
    </x:row>
    <x:row r="63" ht="18" customHeight="1">
      <x:c r="A63" s="46" t="str">
        <x:v>LME_011</x:v>
      </x:c>
      <x:c r="B63" s="46" t="str">
        <x:v>Pacific Central-American Coastal</x:v>
      </x:c>
      <x:c r="C63" s="46" t="str">
        <x:v>LME</x:v>
      </x:c>
      <x:c r="D63" s="58" t="n">
        <x:v>2019</x:v>
      </x:c>
      <x:c r="E63" s="46" t="str">
        <x:v>Penaeidae</x:v>
      </x:c>
      <x:c r="F63" s="46" t="str">
        <x:v>Commercial shrimps and prawns</x:v>
      </x:c>
      <x:c r="G63" s="46" t="str">
        <x:v>Shrimps</x:v>
      </x:c>
      <x:c r="H63" s="46" t="str">
        <x:v>Crustaceans</x:v>
      </x:c>
      <x:c r="I63" s="60" t="n">
        <x:v>3372.8545579762</x:v>
      </x:c>
      <x:c r="J63" s="60" t="n">
        <x:v>615.262856973</x:v>
      </x:c>
      <x:c r="K63" s="60" t="n">
        <x:v>2757.5917010032</x:v>
      </x:c>
      <x:c r="L63" s="60" t="n">
        <x:v>512.5694248404001</x:v>
      </x:c>
      <x:c r="M63" s="60" t="n">
        <x:v>2860.2851331357997</x:v>
      </x:c>
      <x:c r="N63" s="46" t="str">
        <x:v>penaeidae</x:v>
      </x:c>
      <x:c r="O63" s="62" t="n">
        <x:v>3.31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Penaeidae</x:v>
      </x:c>
      <x:c r="T63" s="62" t="n">
        <x:f>IF(O63="","",(1/'Metadata'!$B$5)^(O63-1))</x:f>
        <x:v>204.17379446695296</x:v>
      </x:c>
      <x:c r="U63" s="60" t="n">
        <x:f>IF(T63="","",I63*T63)</x:f>
        <x:v>688648.5132871581</x:v>
      </x:c>
    </x:row>
    <x:row r="64" ht="18" customHeight="1">
      <x:c r="A64" s="46" t="str">
        <x:v>LME_011</x:v>
      </x:c>
      <x:c r="B64" s="46" t="str">
        <x:v>Pacific Central-American Coastal</x:v>
      </x:c>
      <x:c r="C64" s="46" t="str">
        <x:v>LME</x:v>
      </x:c>
      <x:c r="D64" s="58" t="n">
        <x:v>2019</x:v>
      </x:c>
      <x:c r="E64" s="46" t="str">
        <x:v>Solenocera florea</x:v>
      </x:c>
      <x:c r="F64" s="46" t="str">
        <x:v>Flower shrimp</x:v>
      </x:c>
      <x:c r="G64" s="46" t="str">
        <x:v>Shrimps</x:v>
      </x:c>
      <x:c r="H64" s="46" t="str">
        <x:v>Crustaceans</x:v>
      </x:c>
      <x:c r="I64" s="60" t="n">
        <x:v>3345.9237351547</x:v>
      </x:c>
      <x:c r="J64" s="60" t="n">
        <x:v>0</x:v>
      </x:c>
      <x:c r="K64" s="60" t="n">
        <x:v>3345.9237351547</x:v>
      </x:c>
      <x:c r="L64" s="60" t="n">
        <x:v>0</x:v>
      </x:c>
      <x:c r="M64" s="60" t="n">
        <x:v>3345.9237351547</x:v>
      </x:c>
      <x:c r="N64" s="46" t="str">
        <x:v>solenocera florea</x:v>
      </x:c>
      <x:c r="O64" s="62" t="n">
        <x:v>3.48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Solenocera florea</x:v>
      </x:c>
      <x:c r="T64" s="62" t="n">
        <x:f>IF(O64="","",(1/'Metadata'!$B$5)^(O64-1))</x:f>
        <x:v>301.9951720402016</x:v>
      </x:c>
      <x:c r="U64" s="60" t="n">
        <x:f>IF(T64="","",I64*T64)</x:f>
        <x:v>1010452.8140314376</x:v>
      </x:c>
    </x:row>
    <x:row r="65" ht="18" customHeight="1">
      <x:c r="A65" s="46" t="str">
        <x:v>LME_011</x:v>
      </x:c>
      <x:c r="B65" s="46" t="str">
        <x:v>Pacific Central-American Coastal</x:v>
      </x:c>
      <x:c r="C65" s="46" t="str">
        <x:v>LME</x:v>
      </x:c>
      <x:c r="D65" s="58" t="n">
        <x:v>2019</x:v>
      </x:c>
      <x:c r="E65" s="46" t="str">
        <x:v>Squilla mantoidea</x:v>
      </x:c>
      <x:c r="F65" s="46" t="str">
        <x:v>Catalina mantis</x:v>
      </x:c>
      <x:c r="G65" s="46" t="str">
        <x:v>Shrimps</x:v>
      </x:c>
      <x:c r="H65" s="46" t="str">
        <x:v>Crustaceans</x:v>
      </x:c>
      <x:c r="I65" s="60" t="n">
        <x:v>3146.5329845498</x:v>
      </x:c>
      <x:c r="J65" s="60" t="n">
        <x:v>0</x:v>
      </x:c>
      <x:c r="K65" s="60" t="n">
        <x:v>3146.5329845498</x:v>
      </x:c>
      <x:c r="L65" s="60" t="n">
        <x:v>0</x:v>
      </x:c>
      <x:c r="M65" s="60" t="n">
        <x:v>3146.5329845498</x:v>
      </x:c>
      <x:c r="N65" s="46" t="str">
        <x:v>squilla mantoidea</x:v>
      </x:c>
      <x:c r="O65" s="62" t="n">
        <x:v>3.62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Squilla mantoidea</x:v>
      </x:c>
      <x:c r="T65" s="62" t="n">
        <x:f>IF(O65="","",(1/'Metadata'!$B$5)^(O65-1))</x:f>
        <x:v>416.8693834703355</x:v>
      </x:c>
      <x:c r="U65" s="60" t="n">
        <x:f>IF(T65="","",I65*T65)</x:f>
        <x:v>1311693.2653383499</x:v>
      </x:c>
    </x:row>
    <x:row r="66" ht="18" customHeight="1">
      <x:c r="A66" s="46" t="str">
        <x:v>LME_011</x:v>
      </x:c>
      <x:c r="B66" s="46" t="str">
        <x:v>Pacific Central-American Coastal</x:v>
      </x:c>
      <x:c r="C66" s="46" t="str">
        <x:v>LME</x:v>
      </x:c>
      <x:c r="D66" s="58" t="n">
        <x:v>2019</x:v>
      </x:c>
      <x:c r="E66" s="46" t="str">
        <x:v>Squilla biformis</x:v>
      </x:c>
      <x:c r="F66" s="46" t="str">
        <x:v>Squilla biformis</x:v>
      </x:c>
      <x:c r="G66" s="46" t="str">
        <x:v>Shrimps</x:v>
      </x:c>
      <x:c r="H66" s="46" t="str">
        <x:v>Crustaceans</x:v>
      </x:c>
      <x:c r="I66" s="60" t="n">
        <x:v>3005.7112769355</x:v>
      </x:c>
      <x:c r="J66" s="60" t="n">
        <x:v>66.86307683700001</x:v>
      </x:c>
      <x:c r="K66" s="60" t="n">
        <x:v>2938.8482000985</x:v>
      </x:c>
      <x:c r="L66" s="60" t="n">
        <x:v>0</x:v>
      </x:c>
      <x:c r="M66" s="60" t="n">
        <x:v>3005.7112769355</x:v>
      </x:c>
      <x:c r="N66" s="46" t="str">
        <x:v>squilla biformis</x:v>
      </x:c>
      <x:c r="O66" s="62" t="n">
        <x:v>2.6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Squilla biformis</x:v>
      </x:c>
      <x:c r="T66" s="62" t="n">
        <x:f>IF(O66="","",(1/'Metadata'!$B$5)^(O66-1))</x:f>
        <x:v>39.810717055349734</x:v>
      </x:c>
      <x:c r="U66" s="60" t="n">
        <x:f>IF(T66="","",I66*T66)</x:f>
        <x:v>119659.52119615313</x:v>
      </x:c>
    </x:row>
    <x:row r="67" ht="18" customHeight="1">
      <x:c r="A67" s="46" t="str">
        <x:v>LME_011</x:v>
      </x:c>
      <x:c r="B67" s="46" t="str">
        <x:v>Pacific Central-American Coastal</x:v>
      </x:c>
      <x:c r="C67" s="46" t="str">
        <x:v>LME</x:v>
      </x:c>
      <x:c r="D67" s="58" t="n">
        <x:v>2019</x:v>
      </x:c>
      <x:c r="E67" s="46" t="str">
        <x:v>Sicyonia disdorsalis</x:v>
      </x:c>
      <x:c r="F67" s="46" t="str">
        <x:v>Keeled rock shrimp</x:v>
      </x:c>
      <x:c r="G67" s="46" t="str">
        <x:v>Shrimps</x:v>
      </x:c>
      <x:c r="H67" s="46" t="str">
        <x:v>Crustaceans</x:v>
      </x:c>
      <x:c r="I67" s="60" t="n">
        <x:v>2960.8457852954</x:v>
      </x:c>
      <x:c r="J67" s="60" t="n">
        <x:v>0</x:v>
      </x:c>
      <x:c r="K67" s="60" t="n">
        <x:v>2960.8457852954</x:v>
      </x:c>
      <x:c r="L67" s="60" t="n">
        <x:v>0</x:v>
      </x:c>
      <x:c r="M67" s="60" t="n">
        <x:v>2960.8457852954</x:v>
      </x:c>
      <x:c r="N67" s="46" t="str">
        <x:v>sicyonia disdorsalis</x:v>
      </x:c>
      <x:c r="O67" s="62" t="n">
        <x:v>3.01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Sicyonia disdorsalis</x:v>
      </x:c>
      <x:c r="T67" s="62" t="n">
        <x:f>IF(O67="","",(1/'Metadata'!$B$5)^(O67-1))</x:f>
        <x:v>102.32929922807536</x:v>
      </x:c>
      <x:c r="U67" s="60" t="n">
        <x:f>IF(T67="","",I67*T67)</x:f>
        <x:v>302981.27433167875</x:v>
      </x:c>
    </x:row>
    <x:row r="68" ht="18" customHeight="1">
      <x:c r="A68" s="46" t="str">
        <x:v>LME_011</x:v>
      </x:c>
      <x:c r="B68" s="46" t="str">
        <x:v>Pacific Central-American Coastal</x:v>
      </x:c>
      <x:c r="C68" s="46" t="str">
        <x:v>LME</x:v>
      </x:c>
      <x:c r="D68" s="58" t="n">
        <x:v>2019</x:v>
      </x:c>
      <x:c r="E68" s="46" t="str">
        <x:v>Scomberomorus sierra</x:v>
      </x:c>
      <x:c r="F68" s="46" t="str">
        <x:v>Pacific sierra</x:v>
      </x:c>
      <x:c r="G68" s="46" t="str">
        <x:v>Large pelagics (&gt;=90 cm)</x:v>
      </x:c>
      <x:c r="H68" s="46" t="str">
        <x:v>Perch-likes</x:v>
      </x:c>
      <x:c r="I68" s="60" t="n">
        <x:v>2923.8453834399998</x:v>
      </x:c>
      <x:c r="J68" s="60" t="n">
        <x:v>2535.3630432254</x:v>
      </x:c>
      <x:c r="K68" s="60" t="n">
        <x:v>388.4823402146</x:v>
      </x:c>
      <x:c r="L68" s="60" t="n">
        <x:v>2419.4024025224</x:v>
      </x:c>
      <x:c r="M68" s="60" t="n">
        <x:v>504.44298091760004</x:v>
      </x:c>
      <x:c r="N68" s="46" t="str">
        <x:v>scomberomorus sierra</x:v>
      </x:c>
      <x:c r="O68" s="62" t="n">
        <x:v>4.49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Scomberomorus sierra</x:v>
      </x:c>
      <x:c r="T68" s="62" t="n">
        <x:f>IF(O68="","",(1/'Metadata'!$B$5)^(O68-1))</x:f>
        <x:v>3090.295432513592</x:v>
      </x:c>
      <x:c r="U68" s="60" t="n">
        <x:f>IF(T68="","",I68*T68)</x:f>
        <x:v>9035546.033820583</x:v>
      </x:c>
    </x:row>
    <x:row r="69" ht="18" customHeight="1">
      <x:c r="A69" s="46" t="str">
        <x:v>LME_011</x:v>
      </x:c>
      <x:c r="B69" s="46" t="str">
        <x:v>Pacific Central-American Coastal</x:v>
      </x:c>
      <x:c r="C69" s="46" t="str">
        <x:v>LME</x:v>
      </x:c>
      <x:c r="D69" s="58" t="n">
        <x:v>2019</x:v>
      </x:c>
      <x:c r="E69" s="46" t="str">
        <x:v>Penaeus brevirostris</x:v>
      </x:c>
      <x:c r="F69" s="46" t="str">
        <x:v>Crystal shrimp</x:v>
      </x:c>
      <x:c r="G69" s="46" t="str">
        <x:v>Shrimps</x:v>
      </x:c>
      <x:c r="H69" s="46" t="str">
        <x:v>Crustaceans</x:v>
      </x:c>
      <x:c r="I69" s="60" t="n">
        <x:v>2909.622621331</x:v>
      </x:c>
      <x:c r="J69" s="60" t="n">
        <x:v>2909.622621331</x:v>
      </x:c>
      <x:c r="K69" s="60" t="n">
        <x:v>0</x:v>
      </x:c>
      <x:c r="L69" s="60" t="n">
        <x:v>2907.9398999689</x:v>
      </x:c>
      <x:c r="M69" s="60" t="n">
        <x:v>1.6827213621000001</x:v>
      </x:c>
      <x:c r="N69" s="46" t="str">
        <x:v>penaeus brevirostris</x:v>
      </x:c>
      <x:c r="O69" s="62" t="n">
        <x:v>2.7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Penaeus brevirostris</x:v>
      </x:c>
      <x:c r="T69" s="62" t="n">
        <x:f>IF(O69="","",(1/'Metadata'!$B$5)^(O69-1))</x:f>
        <x:v>50.11872336272725</x:v>
      </x:c>
      <x:c r="U69" s="60" t="n">
        <x:f>IF(T69="","",I69*T69)</x:f>
        <x:v>145826.5712484217</x:v>
      </x:c>
    </x:row>
    <x:row r="70" ht="18" customHeight="1">
      <x:c r="A70" s="46" t="str">
        <x:v>LME_011</x:v>
      </x:c>
      <x:c r="B70" s="46" t="str">
        <x:v>Pacific Central-American Coastal</x:v>
      </x:c>
      <x:c r="C70" s="46" t="str">
        <x:v>LME</x:v>
      </x:c>
      <x:c r="D70" s="58" t="n">
        <x:v>2019</x:v>
      </x:c>
      <x:c r="E70" s="46" t="str">
        <x:v>Euthynnus lineatus</x:v>
      </x:c>
      <x:c r="F70" s="46" t="str">
        <x:v>Black skipjack</x:v>
      </x:c>
      <x:c r="G70" s="46" t="str">
        <x:v>Medium pelagics (30 - 89 cm)</x:v>
      </x:c>
      <x:c r="H70" s="46" t="str">
        <x:v>Tuna &amp; billfishes</x:v>
      </x:c>
      <x:c r="I70" s="60" t="n">
        <x:v>2892.3739874473004</x:v>
      </x:c>
      <x:c r="J70" s="60" t="n">
        <x:v>2892.3739874473004</x:v>
      </x:c>
      <x:c r="K70" s="60" t="n">
        <x:v>0</x:v>
      </x:c>
      <x:c r="L70" s="60" t="n">
        <x:v>2828.8570404379</x:v>
      </x:c>
      <x:c r="M70" s="60" t="n">
        <x:v>63.516947009400006</x:v>
      </x:c>
      <x:c r="N70" s="46" t="str">
        <x:v>euthynnus lineatus</x:v>
      </x:c>
      <x:c r="O70" s="62" t="n">
        <x:v>3.83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Euthynnus lineatus</x:v>
      </x:c>
      <x:c r="T70" s="62" t="n">
        <x:f>IF(O70="","",(1/'Metadata'!$B$5)^(O70-1))</x:f>
        <x:v>676.0829753919819</x:v>
      </x:c>
      <x:c r="U70" s="60" t="n">
        <x:f>IF(T70="","",I70*T70)</x:f>
        <x:v>1955484.8113797416</x:v>
      </x:c>
    </x:row>
    <x:row r="71" ht="18" customHeight="1">
      <x:c r="A71" s="46" t="str">
        <x:v>LME_011</x:v>
      </x:c>
      <x:c r="B71" s="46" t="str">
        <x:v>Pacific Central-American Coastal</x:v>
      </x:c>
      <x:c r="C71" s="46" t="str">
        <x:v>LME</x:v>
      </x:c>
      <x:c r="D71" s="58" t="n">
        <x:v>2019</x:v>
      </x:c>
      <x:c r="E71" s="46" t="str">
        <x:v>Protrachypene precipua</x:v>
      </x:c>
      <x:c r="F71" s="46" t="str">
        <x:v>Titi shrimp</x:v>
      </x:c>
      <x:c r="G71" s="46" t="str">
        <x:v>Shrimps</x:v>
      </x:c>
      <x:c r="H71" s="46" t="str">
        <x:v>Crustaceans</x:v>
      </x:c>
      <x:c r="I71" s="60" t="n">
        <x:v>2795.4805712963002</x:v>
      </x:c>
      <x:c r="J71" s="60" t="n">
        <x:v>2795.4805712963002</x:v>
      </x:c>
      <x:c r="K71" s="60" t="n">
        <x:v>0</x:v>
      </x:c>
      <x:c r="L71" s="60" t="n">
        <x:v>2795.4805712963002</x:v>
      </x:c>
      <x:c r="M71" s="60" t="n">
        <x:v>0</x:v>
      </x:c>
      <x:c r="N71" s="46" t="str">
        <x:v>protrachypene precipua</x:v>
      </x:c>
      <x:c r="O71" s="62" t="n">
        <x:v>2.75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Protrachypene precipua</x:v>
      </x:c>
      <x:c r="T71" s="62" t="n">
        <x:f>IF(O71="","",(1/'Metadata'!$B$5)^(O71-1))</x:f>
        <x:v>56.23413251903491</x:v>
      </x:c>
      <x:c r="U71" s="60" t="n">
        <x:f>IF(T71="","",I71*T71)</x:f>
        <x:v>157201.42490066355</x:v>
      </x:c>
    </x:row>
    <x:row r="72" ht="18" customHeight="1">
      <x:c r="A72" s="46" t="str">
        <x:v>LME_011</x:v>
      </x:c>
      <x:c r="B72" s="46" t="str">
        <x:v>Pacific Central-American Coastal</x:v>
      </x:c>
      <x:c r="C72" s="46" t="str">
        <x:v>LME</x:v>
      </x:c>
      <x:c r="D72" s="58" t="n">
        <x:v>2019</x:v>
      </x:c>
      <x:c r="E72" s="46" t="str">
        <x:v>Gastropoda</x:v>
      </x:c>
      <x:c r="F72" s="46" t="str">
        <x:v>Sea snails</x:v>
      </x:c>
      <x:c r="G72" s="46" t="str">
        <x:v>Other demersal invertebrates</x:v>
      </x:c>
      <x:c r="H72" s="46" t="str">
        <x:v>Molluscs</x:v>
      </x:c>
      <x:c r="I72" s="60" t="n">
        <x:v>2786.6536586328</x:v>
      </x:c>
      <x:c r="J72" s="60" t="n">
        <x:v>907.010264827</x:v>
      </x:c>
      <x:c r="K72" s="60" t="n">
        <x:v>1879.6433938057999</x:v>
      </x:c>
      <x:c r="L72" s="60" t="n">
        <x:v>683.9724305131</x:v>
      </x:c>
      <x:c r="M72" s="60" t="n">
        <x:v>2102.6812281197</x:v>
      </x:c>
      <x:c r="N72" s="46" t="str">
        <x:v>gastropoda</x:v>
      </x:c>
      <x:c r="O72" s="62" t="n">
        <x:v>3.06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Gastropoda</x:v>
      </x:c>
      <x:c r="T72" s="62" t="n">
        <x:f>IF(O72="","",(1/'Metadata'!$B$5)^(O72-1))</x:f>
        <x:v>114.81536214968828</x:v>
      </x:c>
      <x:c r="U72" s="60" t="n">
        <x:f>IF(T72="","",I72*T72)</x:f>
        <x:v>319950.6490016788</x:v>
      </x:c>
    </x:row>
    <x:row r="73" ht="18" customHeight="1">
      <x:c r="A73" s="46" t="str">
        <x:v>LME_011</x:v>
      </x:c>
      <x:c r="B73" s="46" t="str">
        <x:v>Pacific Central-American Coastal</x:v>
      </x:c>
      <x:c r="C73" s="46" t="str">
        <x:v>LME</x:v>
      </x:c>
      <x:c r="D73" s="58" t="n">
        <x:v>2019</x:v>
      </x:c>
      <x:c r="E73" s="46" t="str">
        <x:v>Callinectes arcuatus</x:v>
      </x:c>
      <x:c r="F73" s="46" t="str">
        <x:v>Arched swimming crab</x:v>
      </x:c>
      <x:c r="G73" s="46" t="str">
        <x:v>Lobsters, crabs</x:v>
      </x:c>
      <x:c r="H73" s="46" t="str">
        <x:v>Crustaceans</x:v>
      </x:c>
      <x:c r="I73" s="60" t="n">
        <x:v>2681.5092920054003</x:v>
      </x:c>
      <x:c r="J73" s="60" t="n">
        <x:v>131.6842699844</x:v>
      </x:c>
      <x:c r="K73" s="60" t="n">
        <x:v>2549.825022021</x:v>
      </x:c>
      <x:c r="L73" s="60" t="n">
        <x:v>72.9314772668</x:v>
      </x:c>
      <x:c r="M73" s="60" t="n">
        <x:v>2608.5778147386004</x:v>
      </x:c>
      <x:c r="N73" s="46" t="str">
        <x:v>callinectes arcuatus</x:v>
      </x:c>
      <x:c r="O73" s="62" t="n">
        <x:v>3.6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Callinectes arcuatus</x:v>
      </x:c>
      <x:c r="T73" s="62" t="n">
        <x:f>IF(O73="","",(1/'Metadata'!$B$5)^(O73-1))</x:f>
        <x:v>398.1071705534973</x:v>
      </x:c>
      <x:c r="U73" s="60" t="n">
        <x:f>IF(T73="","",I73*T73)</x:f>
        <x:v>1067528.0770531818</x:v>
      </x:c>
    </x:row>
    <x:row r="74" ht="18" customHeight="1">
      <x:c r="A74" s="46" t="str">
        <x:v>LME_011</x:v>
      </x:c>
      <x:c r="B74" s="46" t="str">
        <x:v>Pacific Central-American Coastal</x:v>
      </x:c>
      <x:c r="C74" s="46" t="str">
        <x:v>LME</x:v>
      </x:c>
      <x:c r="D74" s="58" t="n">
        <x:v>2019</x:v>
      </x:c>
      <x:c r="E74" s="46" t="str">
        <x:v>Evibacus princeps</x:v>
      </x:c>
      <x:c r="F74" s="46" t="str">
        <x:v>Shield fan lobster</x:v>
      </x:c>
      <x:c r="G74" s="46" t="str">
        <x:v>Lobsters, crabs</x:v>
      </x:c>
      <x:c r="H74" s="46" t="str">
        <x:v>Crustaceans</x:v>
      </x:c>
      <x:c r="I74" s="60" t="n">
        <x:v>2635.0148390424</x:v>
      </x:c>
      <x:c r="J74" s="60" t="n">
        <x:v>0</x:v>
      </x:c>
      <x:c r="K74" s="60" t="n">
        <x:v>2635.0148390424</x:v>
      </x:c>
      <x:c r="L74" s="60" t="n">
        <x:v>0</x:v>
      </x:c>
      <x:c r="M74" s="60" t="n">
        <x:v>2635.0148390424</x:v>
      </x:c>
      <x:c r="N74" s="46" t="str">
        <x:v>evibacus princeps</x:v>
      </x:c>
      <x:c r="O74" s="62" t="n">
        <x:v>3.3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Evibacus princeps</x:v>
      </x:c>
      <x:c r="T74" s="62" t="n">
        <x:f>IF(O74="","",(1/'Metadata'!$B$5)^(O74-1))</x:f>
        <x:v>199.52623149688787</x:v>
      </x:c>
      <x:c r="U74" s="60" t="n">
        <x:f>IF(T74="","",I74*T74)</x:f>
        <x:v>525754.5807725086</x:v>
      </x:c>
    </x:row>
    <x:row r="75" ht="18" customHeight="1">
      <x:c r="A75" s="46" t="str">
        <x:v>LME_011</x:v>
      </x:c>
      <x:c r="B75" s="46" t="str">
        <x:v>Pacific Central-American Coastal</x:v>
      </x:c>
      <x:c r="C75" s="46" t="str">
        <x:v>LME</x:v>
      </x:c>
      <x:c r="D75" s="58" t="n">
        <x:v>2019</x:v>
      </x:c>
      <x:c r="E75" s="46" t="str">
        <x:v>Mollusca</x:v>
      </x:c>
      <x:c r="F75" s="46" t="str">
        <x:v>Clams, seasnails, squids, octopuses</x:v>
      </x:c>
      <x:c r="G75" s="46" t="str">
        <x:v>Other demersal invertebrates</x:v>
      </x:c>
      <x:c r="H75" s="46" t="str">
        <x:v>Molluscs</x:v>
      </x:c>
      <x:c r="I75" s="60" t="n">
        <x:v>2560.0186700263</x:v>
      </x:c>
      <x:c r="J75" s="60" t="n">
        <x:v>2158.0518200913</x:v>
      </x:c>
      <x:c r="K75" s="60" t="n">
        <x:v>401.96684993499997</x:v>
      </x:c>
      <x:c r="L75" s="60" t="n">
        <x:v>1622.6288711249001</x:v>
      </x:c>
      <x:c r="M75" s="60" t="n">
        <x:v>937.3897989014</x:v>
      </x:c>
      <x:c r="N75" s="46" t="str">
        <x:v>mollusca</x:v>
      </x:c>
      <x:c r="O75" s="62" t="n">
        <x:v>2.1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Mollusca</x:v>
      </x:c>
      <x:c r="T75" s="62" t="n">
        <x:f>IF(O75="","",(1/'Metadata'!$B$5)^(O75-1))</x:f>
        <x:v>12.589254117941675</x:v>
      </x:c>
      <x:c r="U75" s="60" t="n">
        <x:f>IF(T75="","",I75*T75)</x:f>
        <x:v>32228.725583636162</x:v>
      </x:c>
    </x:row>
    <x:row r="76" ht="18" customHeight="1">
      <x:c r="A76" s="46" t="str">
        <x:v>LME_011</x:v>
      </x:c>
      <x:c r="B76" s="46" t="str">
        <x:v>Pacific Central-American Coastal</x:v>
      </x:c>
      <x:c r="C76" s="46" t="str">
        <x:v>LME</x:v>
      </x:c>
      <x:c r="D76" s="58" t="n">
        <x:v>2019</x:v>
      </x:c>
      <x:c r="E76" s="46" t="str">
        <x:v>Trichiurus</x:v>
      </x:c>
      <x:c r="F76" s="46" t="str">
        <x:v>Hairtails</x:v>
      </x:c>
      <x:c r="G76" s="46" t="str">
        <x:v>Large benthopelagics (&gt;=90 cm)</x:v>
      </x:c>
      <x:c r="H76" s="46" t="str">
        <x:v>Perch-likes</x:v>
      </x:c>
      <x:c r="I76" s="60" t="n">
        <x:v>2558.9737053313</x:v>
      </x:c>
      <x:c r="J76" s="60" t="n">
        <x:v>2558.9737053313</x:v>
      </x:c>
      <x:c r="K76" s="60" t="n">
        <x:v>0</x:v>
      </x:c>
      <x:c r="L76" s="60" t="n">
        <x:v>2525.4589390399</x:v>
      </x:c>
      <x:c r="M76" s="60" t="n">
        <x:v>33.5147662914</x:v>
      </x:c>
      <x:c r="N76" s="46" t="str">
        <x:v>trichiurus</x:v>
      </x:c>
      <x:c r="O76" s="62" t="n">
        <x:v>4.42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Trichiurus</x:v>
      </x:c>
      <x:c r="T76" s="62" t="n">
        <x:f>IF(O76="","",(1/'Metadata'!$B$5)^(O76-1))</x:f>
        <x:v>2630.2679918953813</x:v>
      </x:c>
      <x:c r="U76" s="60" t="n">
        <x:f>IF(T76="","",I76*T76)</x:f>
        <x:v>6730786.629234842</x:v>
      </x:c>
    </x:row>
    <x:row r="77" ht="18" customHeight="1">
      <x:c r="A77" s="46" t="str">
        <x:v>LME_011</x:v>
      </x:c>
      <x:c r="B77" s="46" t="str">
        <x:v>Pacific Central-American Coastal</x:v>
      </x:c>
      <x:c r="C77" s="46" t="str">
        <x:v>LME</x:v>
      </x:c>
      <x:c r="D77" s="58" t="n">
        <x:v>2019</x:v>
      </x:c>
      <x:c r="E77" s="46" t="str">
        <x:v>Mullidae</x:v>
      </x:c>
      <x:c r="F77" s="46" t="str">
        <x:v>Goatfishes</x:v>
      </x:c>
      <x:c r="G77" s="46" t="str">
        <x:v>Medium reef assoc. fish (30 - 89 cm)</x:v>
      </x:c>
      <x:c r="H77" s="46" t="str">
        <x:v>Perch-likes</x:v>
      </x:c>
      <x:c r="I77" s="60" t="n">
        <x:v>2484.0761054868</x:v>
      </x:c>
      <x:c r="J77" s="60" t="n">
        <x:v>524.3791196818</x:v>
      </x:c>
      <x:c r="K77" s="60" t="n">
        <x:v>1959.696985805</x:v>
      </x:c>
      <x:c r="L77" s="60" t="n">
        <x:v>0</x:v>
      </x:c>
      <x:c r="M77" s="60" t="n">
        <x:v>2484.0761054868</x:v>
      </x:c>
      <x:c r="N77" s="46" t="str">
        <x:v>mullidae</x:v>
      </x:c>
      <x:c r="O77" s="62" t="n">
        <x:v>3.46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Mullidae</x:v>
      </x:c>
      <x:c r="T77" s="62" t="n">
        <x:f>IF(O77="","",(1/'Metadata'!$B$5)^(O77-1))</x:f>
        <x:v>288.40315031266056</x:v>
      </x:c>
      <x:c r="U77" s="60" t="n">
        <x:f>IF(T77="","",I77*T77)</x:f>
        <x:v>716415.3744387979</x:v>
      </x:c>
    </x:row>
    <x:row r="78" ht="18" customHeight="1">
      <x:c r="A78" s="46" t="str">
        <x:v>LME_011</x:v>
      </x:c>
      <x:c r="B78" s="46" t="str">
        <x:v>Pacific Central-American Coastal</x:v>
      </x:c>
      <x:c r="C78" s="46" t="str">
        <x:v>LME</x:v>
      </x:c>
      <x:c r="D78" s="58" t="n">
        <x:v>2019</x:v>
      </x:c>
      <x:c r="E78" s="46" t="str">
        <x:v>Chondrichthyes</x:v>
      </x:c>
      <x:c r="F78" s="46" t="str">
        <x:v>Sharks, rays, chimaeras</x:v>
      </x:c>
      <x:c r="G78" s="46" t="str">
        <x:v>Large sharks (&gt;=90 cm)</x:v>
      </x:c>
      <x:c r="H78" s="46" t="str">
        <x:v>Sharks &amp; rays</x:v>
      </x:c>
      <x:c r="I78" s="60" t="n">
        <x:v>2404.2336143794</x:v>
      </x:c>
      <x:c r="J78" s="60" t="n">
        <x:v>2404.2336143794</x:v>
      </x:c>
      <x:c r="K78" s="60" t="n">
        <x:v>0</x:v>
      </x:c>
      <x:c r="L78" s="60" t="n">
        <x:v>2348.8503771263</x:v>
      </x:c>
      <x:c r="M78" s="60" t="n">
        <x:v>55.3832372531</x:v>
      </x:c>
      <x:c r="N78" s="46" t="str">
        <x:v>chondrichthyes</x:v>
      </x:c>
      <x:c r="O78" s="62" t="n">
        <x:v>4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Chondrichthyes</x:v>
      </x:c>
      <x:c r="T78" s="62" t="n">
        <x:f>IF(O78="","",(1/'Metadata'!$B$5)^(O78-1))</x:f>
        <x:v>1000</x:v>
      </x:c>
      <x:c r="U78" s="60" t="n">
        <x:f>IF(T78="","",I78*T78)</x:f>
        <x:v>2404233.6143794</x:v>
      </x:c>
    </x:row>
    <x:row r="79" ht="18" customHeight="1">
      <x:c r="A79" s="46" t="str">
        <x:v>LME_011</x:v>
      </x:c>
      <x:c r="B79" s="46" t="str">
        <x:v>Pacific Central-American Coastal</x:v>
      </x:c>
      <x:c r="C79" s="46" t="str">
        <x:v>LME</x:v>
      </x:c>
      <x:c r="D79" s="58" t="n">
        <x:v>2019</x:v>
      </x:c>
      <x:c r="E79" s="46" t="str">
        <x:v>Pleuronectiformes</x:v>
      </x:c>
      <x:c r="F79" s="46" t="str">
        <x:v>Flatfishes</x:v>
      </x:c>
      <x:c r="G79" s="46" t="str">
        <x:v>Small to medium flatfishes (&lt;90 cm)</x:v>
      </x:c>
      <x:c r="H79" s="46" t="str">
        <x:v>Flatfishes</x:v>
      </x:c>
      <x:c r="I79" s="60" t="n">
        <x:v>2297.8550344729</x:v>
      </x:c>
      <x:c r="J79" s="60" t="n">
        <x:v>2188.4598111187</x:v>
      </x:c>
      <x:c r="K79" s="60" t="n">
        <x:v>109.3952233542</x:v>
      </x:c>
      <x:c r="L79" s="60" t="n">
        <x:v>1592.6730338861998</x:v>
      </x:c>
      <x:c r="M79" s="60" t="n">
        <x:v>705.1820005867</x:v>
      </x:c>
      <x:c r="N79" s="46" t="str">
        <x:v>pleuronectiformes</x:v>
      </x:c>
      <x:c r="O79" s="62" t="n">
        <x:v>3.57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Pleuronectiformes</x:v>
      </x:c>
      <x:c r="T79" s="62" t="n">
        <x:f>IF(O79="","",(1/'Metadata'!$B$5)^(O79-1))</x:f>
        <x:v>371.5352290971724</x:v>
      </x:c>
      <x:c r="U79" s="60" t="n">
        <x:f>IF(T79="","",I79*T79)</x:f>
        <x:v>853734.0966649799</x:v>
      </x:c>
    </x:row>
    <x:row r="80" ht="18" customHeight="1">
      <x:c r="A80" s="46" t="str">
        <x:v>LME_011</x:v>
      </x:c>
      <x:c r="B80" s="46" t="str">
        <x:v>Pacific Central-American Coastal</x:v>
      </x:c>
      <x:c r="C80" s="46" t="str">
        <x:v>LME</x:v>
      </x:c>
      <x:c r="D80" s="58" t="n">
        <x:v>2019</x:v>
      </x:c>
      <x:c r="E80" s="46" t="str">
        <x:v>Plesionika trispinus</x:v>
      </x:c>
      <x:c r="F80" s="46" t="str">
        <x:v>Pacific deepwater shrimp</x:v>
      </x:c>
      <x:c r="G80" s="46" t="str">
        <x:v>Shrimps</x:v>
      </x:c>
      <x:c r="H80" s="46" t="str">
        <x:v>Crustaceans</x:v>
      </x:c>
      <x:c r="I80" s="60" t="n">
        <x:v>2205.4309928975</x:v>
      </x:c>
      <x:c r="J80" s="60" t="n">
        <x:v>49.395991822199996</x:v>
      </x:c>
      <x:c r="K80" s="60" t="n">
        <x:v>2156.0350010753</x:v>
      </x:c>
      <x:c r="L80" s="60" t="n">
        <x:v>0</x:v>
      </x:c>
      <x:c r="M80" s="60" t="n">
        <x:v>2205.4309928975</x:v>
      </x:c>
      <x:c r="N80" s="46" t="str">
        <x:v>plesionika trispinus</x:v>
      </x:c>
      <x:c r="O80" s="62" t="n">
        <x:v>2.65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Plesionika trispinus</x:v>
      </x:c>
      <x:c r="T80" s="62" t="n">
        <x:f>IF(O80="","",(1/'Metadata'!$B$5)^(O80-1))</x:f>
        <x:v>44.6683592150963</x:v>
      </x:c>
      <x:c r="U80" s="60" t="n">
        <x:f>IF(T80="","",I80*T80)</x:f>
        <x:v>98512.98381485202</x:v>
      </x:c>
    </x:row>
    <x:row r="81" ht="18" customHeight="1">
      <x:c r="A81" s="46" t="str">
        <x:v>LME_011</x:v>
      </x:c>
      <x:c r="B81" s="46" t="str">
        <x:v>Pacific Central-American Coastal</x:v>
      </x:c>
      <x:c r="C81" s="46" t="str">
        <x:v>LME</x:v>
      </x:c>
      <x:c r="D81" s="58" t="n">
        <x:v>2019</x:v>
      </x:c>
      <x:c r="E81" s="46" t="str">
        <x:v>Penaeus occidentalis</x:v>
      </x:c>
      <x:c r="F81" s="46" t="str">
        <x:v>Western white shrimp</x:v>
      </x:c>
      <x:c r="G81" s="46" t="str">
        <x:v>Shrimps</x:v>
      </x:c>
      <x:c r="H81" s="46" t="str">
        <x:v>Crustaceans</x:v>
      </x:c>
      <x:c r="I81" s="60" t="n">
        <x:v>2120.1061681751</x:v>
      </x:c>
      <x:c r="J81" s="60" t="n">
        <x:v>2120.1061681751</x:v>
      </x:c>
      <x:c r="K81" s="60" t="n">
        <x:v>0</x:v>
      </x:c>
      <x:c r="L81" s="60" t="n">
        <x:v>2023.9284206252</x:v>
      </x:c>
      <x:c r="M81" s="60" t="n">
        <x:v>96.1777475499</x:v>
      </x:c>
      <x:c r="N81" s="46" t="str">
        <x:v>penaeus occidentalis</x:v>
      </x:c>
      <x:c r="O81" s="62" t="n">
        <x:v>2.7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Penaeus occidentalis</x:v>
      </x:c>
      <x:c r="T81" s="62" t="n">
        <x:f>IF(O81="","",(1/'Metadata'!$B$5)^(O81-1))</x:f>
        <x:v>50.11872336272725</x:v>
      </x:c>
      <x:c r="U81" s="60" t="n">
        <x:f>IF(T81="","",I81*T81)</x:f>
        <x:v>106257.01454237953</x:v>
      </x:c>
    </x:row>
    <x:row r="82" ht="18" customHeight="1">
      <x:c r="A82" s="46" t="str">
        <x:v>LME_011</x:v>
      </x:c>
      <x:c r="B82" s="46" t="str">
        <x:v>Pacific Central-American Coastal</x:v>
      </x:c>
      <x:c r="C82" s="46" t="str">
        <x:v>LME</x:v>
      </x:c>
      <x:c r="D82" s="58" t="n">
        <x:v>2019</x:v>
      </x:c>
      <x:c r="E82" s="46" t="str">
        <x:v>Rhinobatidae</x:v>
      </x:c>
      <x:c r="F82" s="46" t="str">
        <x:v>Guitarfishes, fanrays</x:v>
      </x:c>
      <x:c r="G82" s="46" t="str">
        <x:v>Large rays (&gt;=90 cm)</x:v>
      </x:c>
      <x:c r="H82" s="46" t="str">
        <x:v>Sharks &amp; rays</x:v>
      </x:c>
      <x:c r="I82" s="60" t="n">
        <x:v>2080.9344023536</x:v>
      </x:c>
      <x:c r="J82" s="60" t="n">
        <x:v>2080.9344023536</x:v>
      </x:c>
      <x:c r="K82" s="60" t="n">
        <x:v>0</x:v>
      </x:c>
      <x:c r="L82" s="60" t="n">
        <x:v>1706.9664058407</x:v>
      </x:c>
      <x:c r="M82" s="60" t="n">
        <x:v>373.9679965129</x:v>
      </x:c>
      <x:c r="N82" s="46" t="str">
        <x:v>rhinobatidae</x:v>
      </x:c>
      <x:c r="O82" s="62" t="n">
        <x:v>3.7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Rhinobatidae</x:v>
      </x:c>
      <x:c r="T82" s="62" t="n">
        <x:f>IF(O82="","",(1/'Metadata'!$B$5)^(O82-1))</x:f>
        <x:v>501.18723362727246</x:v>
      </x:c>
      <x:c r="U82" s="60" t="n">
        <x:f>IF(T82="","",I82*T82)</x:f>
        <x:v>1042937.7564754223</x:v>
      </x:c>
    </x:row>
    <x:row r="83" ht="18" customHeight="1">
      <x:c r="A83" s="46" t="str">
        <x:v>LME_011</x:v>
      </x:c>
      <x:c r="B83" s="46" t="str">
        <x:v>Pacific Central-American Coastal</x:v>
      </x:c>
      <x:c r="C83" s="46" t="str">
        <x:v>LME</x:v>
      </x:c>
      <x:c r="D83" s="58" t="n">
        <x:v>2019</x:v>
      </x:c>
      <x:c r="E83" s="46" t="str">
        <x:v>Brotula clarkae</x:v>
      </x:c>
      <x:c r="F83" s="46" t="str">
        <x:v>Pacific bearded brotula</x:v>
      </x:c>
      <x:c r="G83" s="46" t="str">
        <x:v>Large benthopelagics (&gt;=90 cm)</x:v>
      </x:c>
      <x:c r="H83" s="46" t="str">
        <x:v>Other fishes &amp; inverts</x:v>
      </x:c>
      <x:c r="I83" s="60" t="n">
        <x:v>1868.0875971455</x:v>
      </x:c>
      <x:c r="J83" s="60" t="n">
        <x:v>1868.0875971455</x:v>
      </x:c>
      <x:c r="K83" s="60" t="n">
        <x:v>0</x:v>
      </x:c>
      <x:c r="L83" s="60" t="n">
        <x:v>909.2740475599</x:v>
      </x:c>
      <x:c r="M83" s="60" t="n">
        <x:v>958.8135495856</x:v>
      </x:c>
      <x:c r="N83" s="46" t="str">
        <x:v>brotula clarkae</x:v>
      </x:c>
      <x:c r="O83" s="62" t="n">
        <x:v>3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Brotula clarkae</x:v>
      </x:c>
      <x:c r="T83" s="62" t="n">
        <x:f>IF(O83="","",(1/'Metadata'!$B$5)^(O83-1))</x:f>
        <x:v>100</x:v>
      </x:c>
      <x:c r="U83" s="60" t="n">
        <x:f>IF(T83="","",I83*T83)</x:f>
        <x:v>186808.75971455</x:v>
      </x:c>
    </x:row>
    <x:row r="84" ht="18" customHeight="1">
      <x:c r="A84" s="46" t="str">
        <x:v>LME_011</x:v>
      </x:c>
      <x:c r="B84" s="46" t="str">
        <x:v>Pacific Central-American Coastal</x:v>
      </x:c>
      <x:c r="C84" s="46" t="str">
        <x:v>LME</x:v>
      </x:c>
      <x:c r="D84" s="58" t="n">
        <x:v>2019</x:v>
      </x:c>
      <x:c r="E84" s="46" t="str">
        <x:v>Pomadasys</x:v>
      </x:c>
      <x:c r="F84" s="46" t="str">
        <x:v>Grunters</x:v>
      </x:c>
      <x:c r="G84" s="46" t="str">
        <x:v>Medium demersals (30 - 89 cm)</x:v>
      </x:c>
      <x:c r="H84" s="46" t="str">
        <x:v>Perch-likes</x:v>
      </x:c>
      <x:c r="I84" s="60" t="n">
        <x:v>1748.1902688495002</x:v>
      </x:c>
      <x:c r="J84" s="60" t="n">
        <x:v>1655.3585590809</x:v>
      </x:c>
      <x:c r="K84" s="60" t="n">
        <x:v>92.8317097686</x:v>
      </x:c>
      <x:c r="L84" s="60" t="n">
        <x:v>1498.5356767863</x:v>
      </x:c>
      <x:c r="M84" s="60" t="n">
        <x:v>249.65459206320003</x:v>
      </x:c>
      <x:c r="N84" s="46" t="str">
        <x:v>pomadasys</x:v>
      </x:c>
      <x:c r="O84" s="62" t="n">
        <x:v>3.59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Pomadasys</x:v>
      </x:c>
      <x:c r="T84" s="62" t="n">
        <x:f>IF(O84="","",(1/'Metadata'!$B$5)^(O84-1))</x:f>
        <x:v>389.04514499428046</x:v>
      </x:c>
      <x:c r="U84" s="60" t="n">
        <x:f>IF(T84="","",I84*T84)</x:f>
        <x:v>680124.936622144</x:v>
      </x:c>
    </x:row>
    <x:row r="85" ht="18" customHeight="1">
      <x:c r="A85" s="46" t="str">
        <x:v>LME_011</x:v>
      </x:c>
      <x:c r="B85" s="46" t="str">
        <x:v>Pacific Central-American Coastal</x:v>
      </x:c>
      <x:c r="C85" s="46" t="str">
        <x:v>LME</x:v>
      </x:c>
      <x:c r="D85" s="58" t="n">
        <x:v>2019</x:v>
      </x:c>
      <x:c r="E85" s="46" t="str">
        <x:v>Decapoda</x:v>
      </x:c>
      <x:c r="F85" s="46" t="str">
        <x:v>Crabs, lobsters, shrimps</x:v>
      </x:c>
      <x:c r="G85" s="46" t="str">
        <x:v>Lobsters, crabs</x:v>
      </x:c>
      <x:c r="H85" s="46" t="str">
        <x:v>Crustaceans</x:v>
      </x:c>
      <x:c r="I85" s="60" t="n">
        <x:v>1740.475666145</x:v>
      </x:c>
      <x:c r="J85" s="60" t="n">
        <x:v>0</x:v>
      </x:c>
      <x:c r="K85" s="60" t="n">
        <x:v>1740.475666145</x:v>
      </x:c>
      <x:c r="L85" s="60" t="n">
        <x:v>0</x:v>
      </x:c>
      <x:c r="M85" s="60" t="n">
        <x:v>1740.475666145</x:v>
      </x:c>
      <x:c r="N85" s="46" t="str">
        <x:v>decapoda</x:v>
      </x:c>
      <x:c r="O85" s="62" t="n">
        <x:v>3.43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Decapoda</x:v>
      </x:c>
      <x:c r="T85" s="62" t="n">
        <x:f>IF(O85="","",(1/'Metadata'!$B$5)^(O85-1))</x:f>
        <x:v>269.1534803926917</x:v>
      </x:c>
      <x:c r="U85" s="60" t="n">
        <x:f>IF(T85="","",I85*T85)</x:f>
        <x:v>468455.0830817153</x:v>
      </x:c>
    </x:row>
    <x:row r="86" ht="18" customHeight="1">
      <x:c r="A86" s="46" t="str">
        <x:v>LME_011</x:v>
      </x:c>
      <x:c r="B86" s="46" t="str">
        <x:v>Pacific Central-American Coastal</x:v>
      </x:c>
      <x:c r="C86" s="46" t="str">
        <x:v>LME</x:v>
      </x:c>
      <x:c r="D86" s="58" t="n">
        <x:v>2019</x:v>
      </x:c>
      <x:c r="E86" s="46" t="str">
        <x:v>Argopecten purpuratus</x:v>
      </x:c>
      <x:c r="F86" s="46" t="str">
        <x:v>Peruvian calico scallop</x:v>
      </x:c>
      <x:c r="G86" s="46" t="str">
        <x:v>Other demersal invertebrates</x:v>
      </x:c>
      <x:c r="H86" s="46" t="str">
        <x:v>Molluscs</x:v>
      </x:c>
      <x:c r="I86" s="60" t="n">
        <x:v>1702.4069209631</x:v>
      </x:c>
      <x:c r="J86" s="60" t="n">
        <x:v>1702.4069209631</x:v>
      </x:c>
      <x:c r="K86" s="60" t="n">
        <x:v>0</x:v>
      </x:c>
      <x:c r="L86" s="60" t="n">
        <x:v>1612.7092185371</x:v>
      </x:c>
      <x:c r="M86" s="60" t="n">
        <x:v>89.697702426</x:v>
      </x:c>
      <x:c r="N86" s="46" t="str">
        <x:v>argopecten purpuratus</x:v>
      </x:c>
      <x:c r="O86" s="62" t="n">
        <x:v>2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Argopecten purpuratus</x:v>
      </x:c>
      <x:c r="T86" s="62" t="n">
        <x:f>IF(O86="","",(1/'Metadata'!$B$5)^(O86-1))</x:f>
        <x:v>10</x:v>
      </x:c>
      <x:c r="U86" s="60" t="n">
        <x:f>IF(T86="","",I86*T86)</x:f>
        <x:v>17024.069209631</x:v>
      </x:c>
    </x:row>
    <x:row r="87" ht="18" customHeight="1">
      <x:c r="A87" s="46" t="str">
        <x:v>LME_011</x:v>
      </x:c>
      <x:c r="B87" s="46" t="str">
        <x:v>Pacific Central-American Coastal</x:v>
      </x:c>
      <x:c r="C87" s="46" t="str">
        <x:v>LME</x:v>
      </x:c>
      <x:c r="D87" s="58" t="n">
        <x:v>2019</x:v>
      </x:c>
      <x:c r="E87" s="46" t="str">
        <x:v>Coryphaena</x:v>
      </x:c>
      <x:c r="F87" s="46" t="str">
        <x:v>Dolphinfishes</x:v>
      </x:c>
      <x:c r="G87" s="46" t="str">
        <x:v>Large pelagics (&gt;=90 cm)</x:v>
      </x:c>
      <x:c r="H87" s="46" t="str">
        <x:v>Perch-likes</x:v>
      </x:c>
      <x:c r="I87" s="60" t="n">
        <x:v>1658.6224985278</x:v>
      </x:c>
      <x:c r="J87" s="60" t="n">
        <x:v>1578.4438474647</x:v>
      </x:c>
      <x:c r="K87" s="60" t="n">
        <x:v>80.1786510631</x:v>
      </x:c>
      <x:c r="L87" s="60" t="n">
        <x:v>1397.3348635809</x:v>
      </x:c>
      <x:c r="M87" s="60" t="n">
        <x:v>261.2876349469</x:v>
      </x:c>
      <x:c r="N87" s="46" t="str">
        <x:v>coryphaena</x:v>
      </x:c>
      <x:c r="O87" s="62" t="n">
        <x:v>4.49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Coryphaena</x:v>
      </x:c>
      <x:c r="T87" s="62" t="n">
        <x:f>IF(O87="","",(1/'Metadata'!$B$5)^(O87-1))</x:f>
        <x:v>3090.295432513592</x:v>
      </x:c>
      <x:c r="U87" s="60" t="n">
        <x:f>IF(T87="","",I87*T87)</x:f>
        <x:v>5125633.5314647425</x:v>
      </x:c>
    </x:row>
    <x:row r="88" ht="18" customHeight="1">
      <x:c r="A88" s="46" t="str">
        <x:v>LME_011</x:v>
      </x:c>
      <x:c r="B88" s="46" t="str">
        <x:v>Pacific Central-American Coastal</x:v>
      </x:c>
      <x:c r="C88" s="46" t="str">
        <x:v>LME</x:v>
      </x:c>
      <x:c r="D88" s="58" t="n">
        <x:v>2019</x:v>
      </x:c>
      <x:c r="E88" s="46" t="str">
        <x:v>Trachurus murphyi</x:v>
      </x:c>
      <x:c r="F88" s="46" t="str">
        <x:v>Chilean jack mackerel</x:v>
      </x:c>
      <x:c r="G88" s="46" t="str">
        <x:v>Medium pelagics (30 - 89 cm)</x:v>
      </x:c>
      <x:c r="H88" s="46" t="str">
        <x:v>Perch-likes</x:v>
      </x:c>
      <x:c r="I88" s="60" t="n">
        <x:v>1603.8236225744</x:v>
      </x:c>
      <x:c r="J88" s="60" t="n">
        <x:v>1603.4236701507</x:v>
      </x:c>
      <x:c r="K88" s="60" t="n">
        <x:v>0.3999524237</x:v>
      </x:c>
      <x:c r="L88" s="60" t="n">
        <x:v>1560.6533588357</x:v>
      </x:c>
      <x:c r="M88" s="60" t="n">
        <x:v>43.1702637387</x:v>
      </x:c>
      <x:c r="N88" s="46" t="str">
        <x:v>trachurus murphyi</x:v>
      </x:c>
      <x:c r="O88" s="62" t="n">
        <x:v>3.33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Trachurus murphyi</x:v>
      </x:c>
      <x:c r="T88" s="62" t="n">
        <x:f>IF(O88="","",(1/'Metadata'!$B$5)^(O88-1))</x:f>
        <x:v>213.79620895022325</x:v>
      </x:c>
      <x:c r="U88" s="60" t="n">
        <x:f>IF(T88="","",I88*T88)</x:f>
        <x:v>342891.41033122037</x:v>
      </x:c>
    </x:row>
    <x:row r="89" ht="18" customHeight="1">
      <x:c r="A89" s="46" t="str">
        <x:v>LME_011</x:v>
      </x:c>
      <x:c r="B89" s="46" t="str">
        <x:v>Pacific Central-American Coastal</x:v>
      </x:c>
      <x:c r="C89" s="46" t="str">
        <x:v>LME</x:v>
      </x:c>
      <x:c r="D89" s="58" t="n">
        <x:v>2019</x:v>
      </x:c>
      <x:c r="E89" s="46" t="str">
        <x:v>Crassostrea</x:v>
      </x:c>
      <x:c r="F89" s="46" t="str">
        <x:v>Cupped oysters</x:v>
      </x:c>
      <x:c r="G89" s="46" t="str">
        <x:v>Other demersal invertebrates</x:v>
      </x:c>
      <x:c r="H89" s="46" t="str">
        <x:v>Molluscs</x:v>
      </x:c>
      <x:c r="I89" s="60" t="n">
        <x:v>1509.2757363993</x:v>
      </x:c>
      <x:c r="J89" s="60" t="n">
        <x:v>1509.2757363993</x:v>
      </x:c>
      <x:c r="K89" s="60" t="n">
        <x:v>0</x:v>
      </x:c>
      <x:c r="L89" s="60" t="n">
        <x:v>1176.0044057775</x:v>
      </x:c>
      <x:c r="M89" s="60" t="n">
        <x:v>333.2713306218</x:v>
      </x:c>
      <x:c r="N89" s="46" t="str">
        <x:v>crassostrea</x:v>
      </x:c>
      <x:c r="O89" s="62" t="n">
        <x:v>2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Crassostrea</x:v>
      </x:c>
      <x:c r="T89" s="62" t="n">
        <x:f>IF(O89="","",(1/'Metadata'!$B$5)^(O89-1))</x:f>
        <x:v>10</x:v>
      </x:c>
      <x:c r="U89" s="60" t="n">
        <x:f>IF(T89="","",I89*T89)</x:f>
        <x:v>15092.757363993001</x:v>
      </x:c>
    </x:row>
    <x:row r="90" ht="18" customHeight="1">
      <x:c r="A90" s="46" t="str">
        <x:v>LME_011</x:v>
      </x:c>
      <x:c r="B90" s="46" t="str">
        <x:v>Pacific Central-American Coastal</x:v>
      </x:c>
      <x:c r="C90" s="46" t="str">
        <x:v>LME</x:v>
      </x:c>
      <x:c r="D90" s="58" t="n">
        <x:v>2019</x:v>
      </x:c>
      <x:c r="E90" s="46" t="str">
        <x:v>Mugilidae</x:v>
      </x:c>
      <x:c r="F90" s="46" t="str">
        <x:v>Mullets, grey mullets</x:v>
      </x:c>
      <x:c r="G90" s="46" t="str">
        <x:v>Medium reef assoc. fish (30 - 89 cm)</x:v>
      </x:c>
      <x:c r="H90" s="46" t="str">
        <x:v>Perch-likes</x:v>
      </x:c>
      <x:c r="I90" s="60" t="n">
        <x:v>1509.0429326853002</x:v>
      </x:c>
      <x:c r="J90" s="60" t="n">
        <x:v>1509.0429326853002</x:v>
      </x:c>
      <x:c r="K90" s="60" t="n">
        <x:v>0</x:v>
      </x:c>
      <x:c r="L90" s="60" t="n">
        <x:v>1376.2033885915002</x:v>
      </x:c>
      <x:c r="M90" s="60" t="n">
        <x:v>132.8395440938</x:v>
      </x:c>
      <x:c r="N90" s="46" t="str">
        <x:v>mugilidae</x:v>
      </x:c>
      <x:c r="O90" s="62" t="n">
        <x:v>2.53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Mugilidae</x:v>
      </x:c>
      <x:c r="T90" s="62" t="n">
        <x:f>IF(O90="","",(1/'Metadata'!$B$5)^(O90-1))</x:f>
        <x:v>33.88441561392024</x:v>
      </x:c>
      <x:c r="U90" s="60" t="n">
        <x:f>IF(T90="","",I90*T90)</x:f>
        <x:v>51133.03791035778</x:v>
      </x:c>
    </x:row>
    <x:row r="91" ht="18" customHeight="1">
      <x:c r="A91" s="46" t="str">
        <x:v>LME_011</x:v>
      </x:c>
      <x:c r="B91" s="46" t="str">
        <x:v>Pacific Central-American Coastal</x:v>
      </x:c>
      <x:c r="C91" s="46" t="str">
        <x:v>LME</x:v>
      </x:c>
      <x:c r="D91" s="58" t="n">
        <x:v>2019</x:v>
      </x:c>
      <x:c r="E91" s="46" t="str">
        <x:v>Galatheidae</x:v>
      </x:c>
      <x:c r="F91" s="46" t="str">
        <x:v>Squat lobsters</x:v>
      </x:c>
      <x:c r="G91" s="46" t="str">
        <x:v>Lobsters, crabs</x:v>
      </x:c>
      <x:c r="H91" s="46" t="str">
        <x:v>Crustaceans</x:v>
      </x:c>
      <x:c r="I91" s="60" t="n">
        <x:v>1505.8381536077</x:v>
      </x:c>
      <x:c r="J91" s="60" t="n">
        <x:v>1505.8381536077</x:v>
      </x:c>
      <x:c r="K91" s="60" t="n">
        <x:v>0</x:v>
      </x:c>
      <x:c r="L91" s="60" t="n">
        <x:v>1505.8381536077</x:v>
      </x:c>
      <x:c r="M91" s="60" t="n">
        <x:v>0</x:v>
      </x:c>
      <x:c r="N91" s="46" t="str">
        <x:v>galatheidae</x:v>
      </x:c>
      <x:c r="O91" s="62" t="n">
        <x:v>3.1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Galatheidae</x:v>
      </x:c>
      <x:c r="T91" s="62" t="n">
        <x:f>IF(O91="","",(1/'Metadata'!$B$5)^(O91-1))</x:f>
        <x:v>125.89254117941675</x:v>
      </x:c>
      <x:c r="U91" s="60" t="n">
        <x:f>IF(T91="","",I91*T91)</x:f>
        <x:v>189573.79176259425</x:v>
      </x:c>
    </x:row>
    <x:row r="92" ht="18" customHeight="1">
      <x:c r="A92" s="46" t="str">
        <x:v>LME_011</x:v>
      </x:c>
      <x:c r="B92" s="46" t="str">
        <x:v>Pacific Central-American Coastal</x:v>
      </x:c>
      <x:c r="C92" s="46" t="str">
        <x:v>LME</x:v>
      </x:c>
      <x:c r="D92" s="58" t="n">
        <x:v>2019</x:v>
      </x:c>
      <x:c r="E92" s="46" t="str">
        <x:v>Diogenidae</x:v>
      </x:c>
      <x:c r="F92" s="46" t="str">
        <x:v>Hermit crabs</x:v>
      </x:c>
      <x:c r="G92" s="46" t="str">
        <x:v>Lobsters, crabs</x:v>
      </x:c>
      <x:c r="H92" s="46" t="str">
        <x:v>Crustaceans</x:v>
      </x:c>
      <x:c r="I92" s="60" t="n">
        <x:v>1503.7669972441</x:v>
      </x:c>
      <x:c r="J92" s="60" t="n">
        <x:v>0</x:v>
      </x:c>
      <x:c r="K92" s="60" t="n">
        <x:v>1503.7669972441</x:v>
      </x:c>
      <x:c r="L92" s="60" t="n">
        <x:v>0</x:v>
      </x:c>
      <x:c r="M92" s="60" t="n">
        <x:v>1503.7669972441</x:v>
      </x:c>
      <x:c r="N92" s="46" t="str">
        <x:v>diogenidae</x:v>
      </x:c>
      <x:c r="O92" s="62" t="n">
        <x:v>4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Diogenidae</x:v>
      </x:c>
      <x:c r="T92" s="62" t="n">
        <x:f>IF(O92="","",(1/'Metadata'!$B$5)^(O92-1))</x:f>
        <x:v>1000</x:v>
      </x:c>
      <x:c r="U92" s="60" t="n">
        <x:f>IF(T92="","",I92*T92)</x:f>
        <x:v>1503766.9972440999</x:v>
      </x:c>
    </x:row>
    <x:row r="93" ht="18" customHeight="1">
      <x:c r="A93" s="46" t="str">
        <x:v>LME_011</x:v>
      </x:c>
      <x:c r="B93" s="46" t="str">
        <x:v>Pacific Central-American Coastal</x:v>
      </x:c>
      <x:c r="C93" s="46" t="str">
        <x:v>LME</x:v>
      </x:c>
      <x:c r="D93" s="58" t="n">
        <x:v>2019</x:v>
      </x:c>
      <x:c r="E93" s="46" t="str">
        <x:v>Panulirus</x:v>
      </x:c>
      <x:c r="F93" s="46" t="str">
        <x:v>Spiny lobsters</x:v>
      </x:c>
      <x:c r="G93" s="46" t="str">
        <x:v>Lobsters, crabs</x:v>
      </x:c>
      <x:c r="H93" s="46" t="str">
        <x:v>Crustaceans</x:v>
      </x:c>
      <x:c r="I93" s="60" t="n">
        <x:v>1353.1900380415998</x:v>
      </x:c>
      <x:c r="J93" s="60" t="n">
        <x:v>1353.1900380415998</x:v>
      </x:c>
      <x:c r="K93" s="60" t="n">
        <x:v>0</x:v>
      </x:c>
      <x:c r="L93" s="60" t="n">
        <x:v>1310.0711015635</x:v>
      </x:c>
      <x:c r="M93" s="60" t="n">
        <x:v>43.118936478100004</x:v>
      </x:c>
      <x:c r="N93" s="46" t="str">
        <x:v>panulirus</x:v>
      </x:c>
      <x:c r="O93" s="62" t="n">
        <x:v>2.6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Panulirus</x:v>
      </x:c>
      <x:c r="T93" s="62" t="n">
        <x:f>IF(O93="","",(1/'Metadata'!$B$5)^(O93-1))</x:f>
        <x:v>39.810717055349734</x:v>
      </x:c>
      <x:c r="U93" s="60" t="n">
        <x:f>IF(T93="","",I93*T93)</x:f>
        <x:v>53871.46572659207</x:v>
      </x:c>
    </x:row>
    <x:row r="94" ht="18" customHeight="1">
      <x:c r="A94" s="46" t="str">
        <x:v>LME_011</x:v>
      </x:c>
      <x:c r="B94" s="46" t="str">
        <x:v>Pacific Central-American Coastal</x:v>
      </x:c>
      <x:c r="C94" s="46" t="str">
        <x:v>LME</x:v>
      </x:c>
      <x:c r="D94" s="58" t="n">
        <x:v>2019</x:v>
      </x:c>
      <x:c r="E94" s="46" t="str">
        <x:v>Kajikia audax</x:v>
      </x:c>
      <x:c r="F94" s="46" t="str">
        <x:v>Striped marlin</x:v>
      </x:c>
      <x:c r="G94" s="46" t="str">
        <x:v>Large pelagics (&gt;=90 cm)</x:v>
      </x:c>
      <x:c r="H94" s="46" t="str">
        <x:v>Tuna &amp; billfishes</x:v>
      </x:c>
      <x:c r="I94" s="60" t="n">
        <x:v>1349.1352937477</x:v>
      </x:c>
      <x:c r="J94" s="60" t="n">
        <x:v>760.633401218</x:v>
      </x:c>
      <x:c r="K94" s="60" t="n">
        <x:v>588.5018925297</x:v>
      </x:c>
      <x:c r="L94" s="60" t="n">
        <x:v>92.7451641481</x:v>
      </x:c>
      <x:c r="M94" s="60" t="n">
        <x:v>1256.3901295996</x:v>
      </x:c>
      <x:c r="N94" s="46" t="str">
        <x:v>kajikia audax</x:v>
      </x:c>
      <x:c r="O94" s="62" t="n">
        <x:v>4.58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Kajikia audax</x:v>
      </x:c>
      <x:c r="T94" s="62" t="n">
        <x:f>IF(O94="","",(1/'Metadata'!$B$5)^(O94-1))</x:f>
        <x:v>3801.8939632056126</x:v>
      </x:c>
      <x:c r="U94" s="60" t="n">
        <x:f>IF(T94="","",I94*T94)</x:f>
        <x:v>5129269.328847012</x:v>
      </x:c>
    </x:row>
    <x:row r="95" ht="18" customHeight="1">
      <x:c r="A95" s="46" t="str">
        <x:v>LME_011</x:v>
      </x:c>
      <x:c r="B95" s="46" t="str">
        <x:v>Pacific Central-American Coastal</x:v>
      </x:c>
      <x:c r="C95" s="46" t="str">
        <x:v>LME</x:v>
      </x:c>
      <x:c r="D95" s="58" t="n">
        <x:v>2019</x:v>
      </x:c>
      <x:c r="E95" s="46" t="str">
        <x:v>Sphyrna</x:v>
      </x:c>
      <x:c r="F95" s="46" t="str">
        <x:v>Hammerhead sharks</x:v>
      </x:c>
      <x:c r="G95" s="46" t="str">
        <x:v>Large sharks (&gt;=90 cm)</x:v>
      </x:c>
      <x:c r="H95" s="46" t="str">
        <x:v>Sharks &amp; rays</x:v>
      </x:c>
      <x:c r="I95" s="60" t="n">
        <x:v>1341.6654355384999</x:v>
      </x:c>
      <x:c r="J95" s="60" t="n">
        <x:v>1341.6654355384999</x:v>
      </x:c>
      <x:c r="K95" s="60" t="n">
        <x:v>0</x:v>
      </x:c>
      <x:c r="L95" s="60" t="n">
        <x:v>1082.4193772753001</x:v>
      </x:c>
      <x:c r="M95" s="60" t="n">
        <x:v>259.2460582631999</x:v>
      </x:c>
      <x:c r="N95" s="46" t="str">
        <x:v>sphyrna</x:v>
      </x:c>
      <x:c r="O95" s="62" t="n">
        <x:v>4.2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Sphyrna</x:v>
      </x:c>
      <x:c r="T95" s="62" t="n">
        <x:f>IF(O95="","",(1/'Metadata'!$B$5)^(O95-1))</x:f>
        <x:v>1584.893192461114</x:v>
      </x:c>
      <x:c r="U95" s="60" t="n">
        <x:f>IF(T95="","",I95*T95)</x:f>
        <x:v>2126396.415345344</x:v>
      </x:c>
    </x:row>
    <x:row r="96" ht="18" customHeight="1">
      <x:c r="A96" s="46" t="str">
        <x:v>LME_011</x:v>
      </x:c>
      <x:c r="B96" s="46" t="str">
        <x:v>Pacific Central-American Coastal</x:v>
      </x:c>
      <x:c r="C96" s="46" t="str">
        <x:v>LME</x:v>
      </x:c>
      <x:c r="D96" s="58" t="n">
        <x:v>2019</x:v>
      </x:c>
      <x:c r="E96" s="46" t="str">
        <x:v>Malacanthidae</x:v>
      </x:c>
      <x:c r="F96" s="46" t="str">
        <x:v>Tilefishes</x:v>
      </x:c>
      <x:c r="G96" s="46" t="str">
        <x:v>Medium demersals (30 - 89 cm)</x:v>
      </x:c>
      <x:c r="H96" s="46" t="str">
        <x:v>Perch-likes</x:v>
      </x:c>
      <x:c r="I96" s="60" t="n">
        <x:v>1296.0282896016001</x:v>
      </x:c>
      <x:c r="J96" s="60" t="n">
        <x:v>1282.7566044133</x:v>
      </x:c>
      <x:c r="K96" s="60" t="n">
        <x:v>13.2716851883</x:v>
      </x:c>
      <x:c r="L96" s="60" t="n">
        <x:v>969.8041753365</x:v>
      </x:c>
      <x:c r="M96" s="60" t="n">
        <x:v>326.2241142651</x:v>
      </x:c>
      <x:c r="N96" s="46" t="str">
        <x:v>malacanthidae</x:v>
      </x:c>
      <x:c r="O96" s="62" t="n">
        <x:v>3.62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Malacanthidae</x:v>
      </x:c>
      <x:c r="T96" s="62" t="n">
        <x:f>IF(O96="","",(1/'Metadata'!$B$5)^(O96-1))</x:f>
        <x:v>416.8693834703355</x:v>
      </x:c>
      <x:c r="U96" s="60" t="n">
        <x:f>IF(T96="","",I96*T96)</x:f>
        <x:v>540274.5140463324</x:v>
      </x:c>
    </x:row>
    <x:row r="97" ht="18" customHeight="1">
      <x:c r="A97" s="46" t="str">
        <x:v>LME_011</x:v>
      </x:c>
      <x:c r="B97" s="46" t="str">
        <x:v>Pacific Central-American Coastal</x:v>
      </x:c>
      <x:c r="C97" s="46" t="str">
        <x:v>LME</x:v>
      </x:c>
      <x:c r="D97" s="58" t="n">
        <x:v>2019</x:v>
      </x:c>
      <x:c r="E97" s="46" t="str">
        <x:v>Scombroidei</x:v>
      </x:c>
      <x:c r="F97" s="46" t="str">
        <x:v>Tunas, bonitos, billfishes</x:v>
      </x:c>
      <x:c r="G97" s="46" t="str">
        <x:v>Large pelagics (&gt;=90 cm)</x:v>
      </x:c>
      <x:c r="H97" s="46" t="str">
        <x:v>Tuna &amp; billfishes</x:v>
      </x:c>
      <x:c r="I97" s="60" t="n">
        <x:v>1197.9087715454</x:v>
      </x:c>
      <x:c r="J97" s="60" t="n">
        <x:v>1197.9087715454</x:v>
      </x:c>
      <x:c r="K97" s="60" t="n">
        <x:v>0</x:v>
      </x:c>
      <x:c r="L97" s="60" t="n">
        <x:v>1197.9087715454</x:v>
      </x:c>
      <x:c r="M97" s="60" t="n">
        <x:v>0</x:v>
      </x:c>
      <x:c r="N97" s="46" t="str">
        <x:v>scombroidei</x:v>
      </x:c>
      <x:c r="O97" s="62" t="n">
        <x:v>4.2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Scombroidei</x:v>
      </x:c>
      <x:c r="T97" s="62" t="n">
        <x:f>IF(O97="","",(1/'Metadata'!$B$5)^(O97-1))</x:f>
        <x:v>1584.893192461114</x:v>
      </x:c>
      <x:c r="U97" s="60" t="n">
        <x:f>IF(T97="","",I97*T97)</x:f>
        <x:v>1898557.4572117603</x:v>
      </x:c>
    </x:row>
    <x:row r="98" ht="18" customHeight="1">
      <x:c r="A98" s="46" t="str">
        <x:v>LME_011</x:v>
      </x:c>
      <x:c r="B98" s="46" t="str">
        <x:v>Pacific Central-American Coastal</x:v>
      </x:c>
      <x:c r="C98" s="46" t="str">
        <x:v>LME</x:v>
      </x:c>
      <x:c r="D98" s="58" t="n">
        <x:v>2019</x:v>
      </x:c>
      <x:c r="E98" s="46" t="str">
        <x:v>Gerreidae</x:v>
      </x:c>
      <x:c r="F98" s="46" t="str">
        <x:v>Mojarras, silverbellies</x:v>
      </x:c>
      <x:c r="G98" s="46" t="str">
        <x:v>Small benthopelagics (&lt;30 cm)</x:v>
      </x:c>
      <x:c r="H98" s="46" t="str">
        <x:v>Perch-likes</x:v>
      </x:c>
      <x:c r="I98" s="60" t="n">
        <x:v>1137.8948127661</x:v>
      </x:c>
      <x:c r="J98" s="60" t="n">
        <x:v>1069.2049410777</x:v>
      </x:c>
      <x:c r="K98" s="60" t="n">
        <x:v>68.6898716884</x:v>
      </x:c>
      <x:c r="L98" s="60" t="n">
        <x:v>438.5156975527</x:v>
      </x:c>
      <x:c r="M98" s="60" t="n">
        <x:v>699.3791152133999</x:v>
      </x:c>
      <x:c r="N98" s="46" t="str">
        <x:v>gerreidae</x:v>
      </x:c>
      <x:c r="O98" s="62" t="n">
        <x:v>3.03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Gerreidae</x:v>
      </x:c>
      <x:c r="T98" s="62" t="n">
        <x:f>IF(O98="","",(1/'Metadata'!$B$5)^(O98-1))</x:f>
        <x:v>107.1519305237606</x:v>
      </x:c>
      <x:c r="U98" s="60" t="n">
        <x:f>IF(T98="","",I98*T98)</x:f>
        <x:v>121927.62592086071</x:v>
      </x:c>
    </x:row>
    <x:row r="99" ht="18" customHeight="1">
      <x:c r="A99" s="46" t="str">
        <x:v>LME_011</x:v>
      </x:c>
      <x:c r="B99" s="46" t="str">
        <x:v>Pacific Central-American Coastal</x:v>
      </x:c>
      <x:c r="C99" s="46" t="str">
        <x:v>LME</x:v>
      </x:c>
      <x:c r="D99" s="58" t="n">
        <x:v>2019</x:v>
      </x:c>
      <x:c r="E99" s="46" t="str">
        <x:v>Cynoscion albus</x:v>
      </x:c>
      <x:c r="F99" s="46" t="str">
        <x:v>Whitefin weakfish</x:v>
      </x:c>
      <x:c r="G99" s="46" t="str">
        <x:v>Large demersals (&gt;=90 cm)</x:v>
      </x:c>
      <x:c r="H99" s="46" t="str">
        <x:v>Perch-likes</x:v>
      </x:c>
      <x:c r="I99" s="60" t="n">
        <x:v>1113.3973181707</x:v>
      </x:c>
      <x:c r="J99" s="60" t="n">
        <x:v>1113.3973181707</x:v>
      </x:c>
      <x:c r="K99" s="60" t="n">
        <x:v>0</x:v>
      </x:c>
      <x:c r="L99" s="60" t="n">
        <x:v>1113.3973181707</x:v>
      </x:c>
      <x:c r="M99" s="60" t="n">
        <x:v>0</x:v>
      </x:c>
      <x:c r="N99" s="46" t="str">
        <x:v>cynoscion albus</x:v>
      </x:c>
      <x:c r="O99" s="62" t="n">
        <x:v>4.19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Cynoscion albus</x:v>
      </x:c>
      <x:c r="T99" s="62" t="n">
        <x:f>IF(O99="","",(1/'Metadata'!$B$5)^(O99-1))</x:f>
        <x:v>1548.8166189124827</x:v>
      </x:c>
      <x:c r="U99" s="60" t="n">
        <x:f>IF(T99="","",I99*T99)</x:f>
        <x:v>1724448.2698353692</x:v>
      </x:c>
    </x:row>
    <x:row r="100" ht="18" customHeight="1">
      <x:c r="A100" s="46" t="str">
        <x:v>LME_011</x:v>
      </x:c>
      <x:c r="B100" s="46" t="str">
        <x:v>Pacific Central-American Coastal</x:v>
      </x:c>
      <x:c r="C100" s="46" t="str">
        <x:v>LME</x:v>
      </x:c>
      <x:c r="D100" s="58" t="n">
        <x:v>2019</x:v>
      </x:c>
      <x:c r="E100" s="46" t="str">
        <x:v>Dasyatis</x:v>
      </x:c>
      <x:c r="F100" s="46" t="str">
        <x:v>Rough whip stingrays</x:v>
      </x:c>
      <x:c r="G100" s="46" t="str">
        <x:v>Large rays (&gt;=90 cm)</x:v>
      </x:c>
      <x:c r="H100" s="46" t="str">
        <x:v>Sharks &amp; rays</x:v>
      </x:c>
      <x:c r="I100" s="60" t="n">
        <x:v>1108.7458276201</x:v>
      </x:c>
      <x:c r="J100" s="60" t="n">
        <x:v>1108.7458276201</x:v>
      </x:c>
      <x:c r="K100" s="60" t="n">
        <x:v>0</x:v>
      </x:c>
      <x:c r="L100" s="60" t="n">
        <x:v>780.3608415104</x:v>
      </x:c>
      <x:c r="M100" s="60" t="n">
        <x:v>328.3849861097</x:v>
      </x:c>
      <x:c r="N100" s="46" t="str">
        <x:v>dasyatis</x:v>
      </x:c>
      <x:c r="O100" s="62" t="n">
        <x:v>3.28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Dasyatis</x:v>
      </x:c>
      <x:c r="T100" s="62" t="n">
        <x:f>IF(O100="","",(1/'Metadata'!$B$5)^(O100-1))</x:f>
        <x:v>190.54607179632464</x:v>
      </x:c>
      <x:c r="U100" s="60" t="n">
        <x:f>IF(T100="","",I100*T100)</x:f>
        <x:v>211267.16207357496</x:v>
      </x:c>
    </x:row>
    <x:row r="101" ht="18" customHeight="1">
      <x:c r="A101" s="46" t="str">
        <x:v>LME_011</x:v>
      </x:c>
      <x:c r="B101" s="46" t="str">
        <x:v>Pacific Central-American Coastal</x:v>
      </x:c>
      <x:c r="C101" s="46" t="str">
        <x:v>LME</x:v>
      </x:c>
      <x:c r="D101" s="58" t="n">
        <x:v>2019</x:v>
      </x:c>
      <x:c r="E101" s="46" t="str">
        <x:v>Mugil curema</x:v>
      </x:c>
      <x:c r="F101" s="46" t="str">
        <x:v>White mullet</x:v>
      </x:c>
      <x:c r="G101" s="46" t="str">
        <x:v>Medium benthopelagics (30 - 89 cm)</x:v>
      </x:c>
      <x:c r="H101" s="46" t="str">
        <x:v>Perch-likes</x:v>
      </x:c>
      <x:c r="I101" s="60" t="n">
        <x:v>1087.3561197169001</x:v>
      </x:c>
      <x:c r="J101" s="60" t="n">
        <x:v>1087.3561197169001</x:v>
      </x:c>
      <x:c r="K101" s="60" t="n">
        <x:v>0</x:v>
      </x:c>
      <x:c r="L101" s="60" t="n">
        <x:v>652.5245194826</x:v>
      </x:c>
      <x:c r="M101" s="60" t="n">
        <x:v>434.8316002343</x:v>
      </x:c>
      <x:c r="N101" s="46" t="str">
        <x:v>mugil curema</x:v>
      </x:c>
      <x:c r="O101" s="62" t="n">
        <x:v>2.01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Mugil curema</x:v>
      </x:c>
      <x:c r="T101" s="62" t="n">
        <x:f>IF(O101="","",(1/'Metadata'!$B$5)^(O101-1))</x:f>
        <x:v>10.232929922807536</x:v>
      </x:c>
      <x:c r="U101" s="60" t="n">
        <x:f>IF(T101="","",I101*T101)</x:f>
        <x:v>11126.838974198961</x:v>
      </x:c>
    </x:row>
    <x:row r="102" ht="18" customHeight="1">
      <x:c r="A102" s="46" t="str">
        <x:v>LME_011</x:v>
      </x:c>
      <x:c r="B102" s="46" t="str">
        <x:v>Pacific Central-American Coastal</x:v>
      </x:c>
      <x:c r="C102" s="46" t="str">
        <x:v>LME</x:v>
      </x:c>
      <x:c r="D102" s="58" t="n">
        <x:v>2019</x:v>
      </x:c>
      <x:c r="E102" s="46" t="str">
        <x:v>Epinephelus</x:v>
      </x:c>
      <x:c r="F102" s="46" t="str">
        <x:v>Seabasses, hinds</x:v>
      </x:c>
      <x:c r="G102" s="46" t="str">
        <x:v>Medium reef assoc. fish (30 - 89 cm)</x:v>
      </x:c>
      <x:c r="H102" s="46" t="str">
        <x:v>Perch-likes</x:v>
      </x:c>
      <x:c r="I102" s="60" t="n">
        <x:v>1019.4015172251001</x:v>
      </x:c>
      <x:c r="J102" s="60" t="n">
        <x:v>1006.1484180901</x:v>
      </x:c>
      <x:c r="K102" s="60" t="n">
        <x:v>13.253099135000001</x:v>
      </x:c>
      <x:c r="L102" s="60" t="n">
        <x:v>550.2393228962001</x:v>
      </x:c>
      <x:c r="M102" s="60" t="n">
        <x:v>469.1621943289</x:v>
      </x:c>
      <x:c r="N102" s="46" t="str">
        <x:v>epinephelus</x:v>
      </x:c>
      <x:c r="O102" s="62" t="n">
        <x:v>3.84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Epinephelus</x:v>
      </x:c>
      <x:c r="T102" s="62" t="n">
        <x:f>IF(O102="","",(1/'Metadata'!$B$5)^(O102-1))</x:f>
        <x:v>691.8309709189363</x:v>
      </x:c>
      <x:c r="U102" s="60" t="n">
        <x:f>IF(T102="","",I102*T102)</x:f>
        <x:v>705253.5414180777</x:v>
      </x:c>
    </x:row>
    <x:row r="103" ht="18" customHeight="1">
      <x:c r="A103" s="46" t="str">
        <x:v>LME_011</x:v>
      </x:c>
      <x:c r="B103" s="46" t="str">
        <x:v>Pacific Central-American Coastal</x:v>
      </x:c>
      <x:c r="C103" s="46" t="str">
        <x:v>LME</x:v>
      </x:c>
      <x:c r="D103" s="58" t="n">
        <x:v>2019</x:v>
      </x:c>
      <x:c r="E103" s="46" t="str">
        <x:v>Notarius troschelii</x:v>
      </x:c>
      <x:c r="F103" s="46" t="str">
        <x:v>Chili sea catfish</x:v>
      </x:c>
      <x:c r="G103" s="46" t="str">
        <x:v>Medium demersals (30 - 89 cm)</x:v>
      </x:c>
      <x:c r="H103" s="46" t="str">
        <x:v>Other fishes &amp; inverts</x:v>
      </x:c>
      <x:c r="I103" s="60" t="n">
        <x:v>984.1506626413999</x:v>
      </x:c>
      <x:c r="J103" s="60" t="n">
        <x:v>984.1506626413999</x:v>
      </x:c>
      <x:c r="K103" s="60" t="n">
        <x:v>0</x:v>
      </x:c>
      <x:c r="L103" s="60" t="n">
        <x:v>984.1506626413999</x:v>
      </x:c>
      <x:c r="M103" s="60" t="n">
        <x:v>0</x:v>
      </x:c>
      <x:c r="N103" s="46" t="str">
        <x:v>notarius troschelii</x:v>
      </x:c>
      <x:c r="O103" s="62" t="n">
        <x:v>4.5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Notarius troschelii</x:v>
      </x:c>
      <x:c r="T103" s="62" t="n">
        <x:f>IF(O103="","",(1/'Metadata'!$B$5)^(O103-1))</x:f>
        <x:v>3162.2776601683795</x:v>
      </x:c>
      <x:c r="U103" s="60" t="n">
        <x:f>IF(T103="","",I103*T103)</x:f>
        <x:v>3112157.6547108064</x:v>
      </x:c>
    </x:row>
    <x:row r="104" ht="18" customHeight="1">
      <x:c r="A104" s="46" t="str">
        <x:v>LME_011</x:v>
      </x:c>
      <x:c r="B104" s="46" t="str">
        <x:v>Pacific Central-American Coastal</x:v>
      </x:c>
      <x:c r="C104" s="46" t="str">
        <x:v>LME</x:v>
      </x:c>
      <x:c r="D104" s="58" t="n">
        <x:v>2019</x:v>
      </x:c>
      <x:c r="E104" s="46" t="str">
        <x:v>Rhinoptera steindachneri</x:v>
      </x:c>
      <x:c r="F104" s="46" t="str">
        <x:v>Pacific cownose ray</x:v>
      </x:c>
      <x:c r="G104" s="46" t="str">
        <x:v>Large rays (&gt;=90 cm)</x:v>
      </x:c>
      <x:c r="H104" s="46" t="str">
        <x:v>Sharks &amp; rays</x:v>
      </x:c>
      <x:c r="I104" s="60" t="n">
        <x:v>973.4610333496</x:v>
      </x:c>
      <x:c r="J104" s="60" t="n">
        <x:v>973.4610333496</x:v>
      </x:c>
      <x:c r="K104" s="60" t="n">
        <x:v>0</x:v>
      </x:c>
      <x:c r="L104" s="60" t="n">
        <x:v>799.2638524402</x:v>
      </x:c>
      <x:c r="M104" s="60" t="n">
        <x:v>174.1971809094</x:v>
      </x:c>
      <x:c r="N104" s="46" t="str">
        <x:v>rhinoptera steindachneri</x:v>
      </x:c>
      <x:c r="O104" s="62" t="n">
        <x:v>3.55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Rhinoptera steindachneri</x:v>
      </x:c>
      <x:c r="T104" s="62" t="n">
        <x:f>IF(O104="","",(1/'Metadata'!$B$5)^(O104-1))</x:f>
        <x:v>354.8133892335753</x:v>
      </x:c>
      <x:c r="U104" s="60" t="n">
        <x:f>IF(T104="","",I104*T104)</x:f>
        <x:v>345397.0085295901</x:v>
      </x:c>
    </x:row>
    <x:row r="105" ht="18" customHeight="1">
      <x:c r="A105" s="46" t="str">
        <x:v>LME_011</x:v>
      </x:c>
      <x:c r="B105" s="46" t="str">
        <x:v>Pacific Central-American Coastal</x:v>
      </x:c>
      <x:c r="C105" s="46" t="str">
        <x:v>LME</x:v>
      </x:c>
      <x:c r="D105" s="58" t="n">
        <x:v>2019</x:v>
      </x:c>
      <x:c r="E105" s="46" t="str">
        <x:v>Porichthys analis</x:v>
      </x:c>
      <x:c r="F105" s="46" t="str">
        <x:v>Darkedge midshipman</x:v>
      </x:c>
      <x:c r="G105" s="46" t="str">
        <x:v>Small pelagics (&lt;30 cm)</x:v>
      </x:c>
      <x:c r="H105" s="46" t="str">
        <x:v>Other fishes &amp; inverts</x:v>
      </x:c>
      <x:c r="I105" s="60" t="n">
        <x:v>945.6508861855</x:v>
      </x:c>
      <x:c r="J105" s="60" t="n">
        <x:v>183.7365783629</x:v>
      </x:c>
      <x:c r="K105" s="60" t="n">
        <x:v>761.9143078226</x:v>
      </x:c>
      <x:c r="L105" s="60" t="n">
        <x:v>0</x:v>
      </x:c>
      <x:c r="M105" s="60" t="n">
        <x:v>945.6508861855</x:v>
      </x:c>
      <x:c r="N105" s="46" t="str">
        <x:v>porichthys analis</x:v>
      </x:c>
      <x:c r="O105" s="62" t="n">
        <x:v>3.9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Porichthys analis</x:v>
      </x:c>
      <x:c r="T105" s="62" t="n">
        <x:f>IF(O105="","",(1/'Metadata'!$B$5)^(O105-1))</x:f>
        <x:v>794.3282347242813</x:v>
      </x:c>
      <x:c r="U105" s="60" t="n">
        <x:f>IF(T105="","",I105*T105)</x:f>
        <x:v>751157.1990891804</x:v>
      </x:c>
    </x:row>
    <x:row r="106" ht="18" customHeight="1">
      <x:c r="A106" s="46" t="str">
        <x:v>LME_011</x:v>
      </x:c>
      <x:c r="B106" s="46" t="str">
        <x:v>Pacific Central-American Coastal</x:v>
      </x:c>
      <x:c r="C106" s="46" t="str">
        <x:v>LME</x:v>
      </x:c>
      <x:c r="D106" s="58" t="n">
        <x:v>2019</x:v>
      </x:c>
      <x:c r="E106" s="46" t="str">
        <x:v>Xiphias gladius</x:v>
      </x:c>
      <x:c r="F106" s="46" t="str">
        <x:v>Swordfish</x:v>
      </x:c>
      <x:c r="G106" s="46" t="str">
        <x:v>Large pelagics (&gt;=90 cm)</x:v>
      </x:c>
      <x:c r="H106" s="46" t="str">
        <x:v>Tuna &amp; billfishes</x:v>
      </x:c>
      <x:c r="I106" s="60" t="n">
        <x:v>932.8061373267001</x:v>
      </x:c>
      <x:c r="J106" s="60" t="n">
        <x:v>873.7849997623</x:v>
      </x:c>
      <x:c r="K106" s="60" t="n">
        <x:v>59.0211375644</x:v>
      </x:c>
      <x:c r="L106" s="60" t="n">
        <x:v>854.4112592713</x:v>
      </x:c>
      <x:c r="M106" s="60" t="n">
        <x:v>78.3948780554</x:v>
      </x:c>
      <x:c r="N106" s="46" t="str">
        <x:v>xiphias gladius</x:v>
      </x:c>
      <x:c r="O106" s="62" t="n">
        <x:v>4.53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Xiphias gladius</x:v>
      </x:c>
      <x:c r="T106" s="62" t="n">
        <x:f>IF(O106="","",(1/'Metadata'!$B$5)^(O106-1))</x:f>
        <x:v>3388.4415613920273</x:v>
      </x:c>
      <x:c r="U106" s="60" t="n">
        <x:f>IF(T106="","",I106*T106)</x:f>
        <x:v>3160759.0844393494</x:v>
      </x:c>
    </x:row>
    <x:row r="107" ht="18" customHeight="1">
      <x:c r="A107" s="46" t="str">
        <x:v>LME_011</x:v>
      </x:c>
      <x:c r="B107" s="46" t="str">
        <x:v>Pacific Central-American Coastal</x:v>
      </x:c>
      <x:c r="C107" s="46" t="str">
        <x:v>LME</x:v>
      </x:c>
      <x:c r="D107" s="58" t="n">
        <x:v>2019</x:v>
      </x:c>
      <x:c r="E107" s="46" t="str">
        <x:v>Paralabrax maculatofasciatus</x:v>
      </x:c>
      <x:c r="F107" s="46" t="str">
        <x:v>Spotted sand bass</x:v>
      </x:c>
      <x:c r="G107" s="46" t="str">
        <x:v>Small pelagics (&lt;30 cm)</x:v>
      </x:c>
      <x:c r="H107" s="46" t="str">
        <x:v>Perch-likes</x:v>
      </x:c>
      <x:c r="I107" s="60" t="n">
        <x:v>857.8218019964</x:v>
      </x:c>
      <x:c r="J107" s="60" t="n">
        <x:v>190.5584619792</x:v>
      </x:c>
      <x:c r="K107" s="60" t="n">
        <x:v>667.2633400172</x:v>
      </x:c>
      <x:c r="L107" s="60" t="n">
        <x:v>19.741290176</x:v>
      </x:c>
      <x:c r="M107" s="60" t="n">
        <x:v>838.0805118204</x:v>
      </x:c>
      <x:c r="N107" s="46" t="str">
        <x:v>paralabrax maculatofasciatus</x:v>
      </x:c>
      <x:c r="O107" s="62" t="n">
        <x:v>4.2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Paralabrax maculatofasciatus</x:v>
      </x:c>
      <x:c r="T107" s="62" t="n">
        <x:f>IF(O107="","",(1/'Metadata'!$B$5)^(O107-1))</x:f>
        <x:v>1584.893192461114</x:v>
      </x:c>
      <x:c r="U107" s="60" t="n">
        <x:f>IF(T107="","",I107*T107)</x:f>
        <x:v>1359555.93432882</x:v>
      </x:c>
    </x:row>
    <x:row r="108" ht="18" customHeight="1">
      <x:c r="A108" s="46" t="str">
        <x:v>LME_011</x:v>
      </x:c>
      <x:c r="B108" s="46" t="str">
        <x:v>Pacific Central-American Coastal</x:v>
      </x:c>
      <x:c r="C108" s="46" t="str">
        <x:v>LME</x:v>
      </x:c>
      <x:c r="D108" s="58" t="n">
        <x:v>2019</x:v>
      </x:c>
      <x:c r="E108" s="46" t="str">
        <x:v>Lobotes pacifica</x:v>
      </x:c>
      <x:c r="F108" s="46" t="str">
        <x:v>Pacific tripletail</x:v>
      </x:c>
      <x:c r="G108" s="46" t="str">
        <x:v>Medium benthopelagics (30 - 89 cm)</x:v>
      </x:c>
      <x:c r="H108" s="46" t="str">
        <x:v>Perch-likes</x:v>
      </x:c>
      <x:c r="I108" s="60" t="n">
        <x:v>820.7649020305</x:v>
      </x:c>
      <x:c r="J108" s="60" t="n">
        <x:v>820.7649020305</x:v>
      </x:c>
      <x:c r="K108" s="60" t="n">
        <x:v>0</x:v>
      </x:c>
      <x:c r="L108" s="60" t="n">
        <x:v>591.625141869</x:v>
      </x:c>
      <x:c r="M108" s="60" t="n">
        <x:v>229.1397601615</x:v>
      </x:c>
      <x:c r="N108" s="46" t="str">
        <x:v>lobotes pacifica</x:v>
      </x:c>
      <x:c r="O108" s="62" t="n">
        <x:v>3.7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Lobotes pacifica</x:v>
      </x:c>
      <x:c r="T108" s="62" t="n">
        <x:f>IF(O108="","",(1/'Metadata'!$B$5)^(O108-1))</x:f>
        <x:v>501.18723362727246</x:v>
      </x:c>
      <x:c r="U108" s="60" t="n">
        <x:f>IF(T108="","",I108*T108)</x:f>
        <x:v>411356.8907070256</x:v>
      </x:c>
    </x:row>
    <x:row r="109" ht="18" customHeight="1">
      <x:c r="A109" s="46" t="str">
        <x:v>LME_011</x:v>
      </x:c>
      <x:c r="B109" s="46" t="str">
        <x:v>Pacific Central-American Coastal</x:v>
      </x:c>
      <x:c r="C109" s="46" t="str">
        <x:v>LME</x:v>
      </x:c>
      <x:c r="D109" s="58" t="n">
        <x:v>2019</x:v>
      </x:c>
      <x:c r="E109" s="46" t="str">
        <x:v>Seriola</x:v>
      </x:c>
      <x:c r="F109" s="46" t="str">
        <x:v>Amberjacks</x:v>
      </x:c>
      <x:c r="G109" s="46" t="str">
        <x:v>Large benthopelagics (&gt;=90 cm)</x:v>
      </x:c>
      <x:c r="H109" s="46" t="str">
        <x:v>Perch-likes</x:v>
      </x:c>
      <x:c r="I109" s="60" t="n">
        <x:v>807.2939510825</x:v>
      </x:c>
      <x:c r="J109" s="60" t="n">
        <x:v>476.11127770490003</x:v>
      </x:c>
      <x:c r="K109" s="60" t="n">
        <x:v>331.1826733776</x:v>
      </x:c>
      <x:c r="L109" s="60" t="n">
        <x:v>139.3241262858</x:v>
      </x:c>
      <x:c r="M109" s="60" t="n">
        <x:v>667.9698247967</x:v>
      </x:c>
      <x:c r="N109" s="46" t="str">
        <x:v>seriola</x:v>
      </x:c>
      <x:c r="O109" s="62" t="n">
        <x:v>4.39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Seriola</x:v>
      </x:c>
      <x:c r="T109" s="62" t="n">
        <x:f>IF(O109="","",(1/'Metadata'!$B$5)^(O109-1))</x:f>
        <x:v>2454.7089156850284</x:v>
      </x:c>
      <x:c r="U109" s="60" t="n">
        <x:f>IF(T109="","",I109*T109)</x:f>
        <x:v>1981671.659300806</x:v>
      </x:c>
    </x:row>
    <x:row r="110" ht="18" customHeight="1">
      <x:c r="A110" s="46" t="str">
        <x:v>LME_011</x:v>
      </x:c>
      <x:c r="B110" s="46" t="str">
        <x:v>Pacific Central-American Coastal</x:v>
      </x:c>
      <x:c r="C110" s="46" t="str">
        <x:v>LME</x:v>
      </x:c>
      <x:c r="D110" s="58" t="n">
        <x:v>2019</x:v>
      </x:c>
      <x:c r="E110" s="46" t="str">
        <x:v>Sphyraena</x:v>
      </x:c>
      <x:c r="F110" s="46" t="str">
        <x:v>Barracudas, sennets</x:v>
      </x:c>
      <x:c r="G110" s="46" t="str">
        <x:v>Large pelagics (&gt;=90 cm)</x:v>
      </x:c>
      <x:c r="H110" s="46" t="str">
        <x:v>Perch-likes</x:v>
      </x:c>
      <x:c r="I110" s="60" t="n">
        <x:v>783.1924515963</x:v>
      </x:c>
      <x:c r="J110" s="60" t="n">
        <x:v>783.1924515963</x:v>
      </x:c>
      <x:c r="K110" s="60" t="n">
        <x:v>0</x:v>
      </x:c>
      <x:c r="L110" s="60" t="n">
        <x:v>761.8734077382001</x:v>
      </x:c>
      <x:c r="M110" s="60" t="n">
        <x:v>21.3190438581</x:v>
      </x:c>
      <x:c r="N110" s="46" t="str">
        <x:v>sphyraena</x:v>
      </x:c>
      <x:c r="O110" s="62" t="n">
        <x:v>4.4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Sphyraena</x:v>
      </x:c>
      <x:c r="T110" s="62" t="n">
        <x:f>IF(O110="","",(1/'Metadata'!$B$5)^(O110-1))</x:f>
        <x:v>2511.886431509582</x:v>
      </x:c>
      <x:c r="U110" s="60" t="n">
        <x:f>IF(T110="","",I110*T110)</x:f>
        <x:v>1967290.492425471</x:v>
      </x:c>
    </x:row>
    <x:row r="111" ht="18" customHeight="1">
      <x:c r="A111" s="46" t="str">
        <x:v>LME_011</x:v>
      </x:c>
      <x:c r="B111" s="46" t="str">
        <x:v>Pacific Central-American Coastal</x:v>
      </x:c>
      <x:c r="C111" s="46" t="str">
        <x:v>LME</x:v>
      </x:c>
      <x:c r="D111" s="58" t="n">
        <x:v>2019</x:v>
      </x:c>
      <x:c r="E111" s="46" t="str">
        <x:v>Veneridae</x:v>
      </x:c>
      <x:c r="F111" s="46" t="str">
        <x:v>Venus clams</x:v>
      </x:c>
      <x:c r="G111" s="46" t="str">
        <x:v>Other demersal invertebrates</x:v>
      </x:c>
      <x:c r="H111" s="46" t="str">
        <x:v>Molluscs</x:v>
      </x:c>
      <x:c r="I111" s="60" t="n">
        <x:v>731.1335211795</x:v>
      </x:c>
      <x:c r="J111" s="60" t="n">
        <x:v>731.1335211795</x:v>
      </x:c>
      <x:c r="K111" s="60" t="n">
        <x:v>0</x:v>
      </x:c>
      <x:c r="L111" s="60" t="n">
        <x:v>451.917526486</x:v>
      </x:c>
      <x:c r="M111" s="60" t="n">
        <x:v>279.2159946935</x:v>
      </x:c>
      <x:c r="N111" s="46" t="str">
        <x:v>veneridae</x:v>
      </x:c>
      <x:c r="O111" s="62" t="n">
        <x:v>2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Veneridae</x:v>
      </x:c>
      <x:c r="T111" s="62" t="n">
        <x:f>IF(O111="","",(1/'Metadata'!$B$5)^(O111-1))</x:f>
        <x:v>10</x:v>
      </x:c>
      <x:c r="U111" s="60" t="n">
        <x:f>IF(T111="","",I111*T111)</x:f>
        <x:v>7311.335211795</x:v>
      </x:c>
    </x:row>
    <x:row r="112" ht="18" customHeight="1">
      <x:c r="A112" s="46" t="str">
        <x:v>LME_011</x:v>
      </x:c>
      <x:c r="B112" s="46" t="str">
        <x:v>Pacific Central-American Coastal</x:v>
      </x:c>
      <x:c r="C112" s="46" t="str">
        <x:v>LME</x:v>
      </x:c>
      <x:c r="D112" s="58" t="n">
        <x:v>2019</x:v>
      </x:c>
      <x:c r="E112" s="46" t="str">
        <x:v>Gempylidae</x:v>
      </x:c>
      <x:c r="F112" s="46" t="str">
        <x:v>Snake mackerels</x:v>
      </x:c>
      <x:c r="G112" s="46" t="str">
        <x:v>Large benthopelagics (&gt;=90 cm)</x:v>
      </x:c>
      <x:c r="H112" s="46" t="str">
        <x:v>Perch-likes</x:v>
      </x:c>
      <x:c r="I112" s="60" t="n">
        <x:v>731.059105873</x:v>
      </x:c>
      <x:c r="J112" s="60" t="n">
        <x:v>731.059105873</x:v>
      </x:c>
      <x:c r="K112" s="60" t="n">
        <x:v>0</x:v>
      </x:c>
      <x:c r="L112" s="60" t="n">
        <x:v>697.2544979188</x:v>
      </x:c>
      <x:c r="M112" s="60" t="n">
        <x:v>33.804607954199994</x:v>
      </x:c>
      <x:c r="N112" s="46" t="str">
        <x:v>gempylidae</x:v>
      </x:c>
      <x:c r="O112" s="62" t="n">
        <x:v>4.21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Gempylidae</x:v>
      </x:c>
      <x:c r="T112" s="62" t="n">
        <x:f>IF(O112="","",(1/'Metadata'!$B$5)^(O112-1))</x:f>
        <x:v>1621.8100973589299</x:v>
      </x:c>
      <x:c r="U112" s="60" t="n">
        <x:f>IF(T112="","",I112*T112)</x:f>
        <x:v>1185639.0396710224</x:v>
      </x:c>
    </x:row>
    <x:row r="113" ht="18" customHeight="1">
      <x:c r="A113" s="46" t="str">
        <x:v>LME_011</x:v>
      </x:c>
      <x:c r="B113" s="46" t="str">
        <x:v>Pacific Central-American Coastal</x:v>
      </x:c>
      <x:c r="C113" s="46" t="str">
        <x:v>LME</x:v>
      </x:c>
      <x:c r="D113" s="58" t="n">
        <x:v>2019</x:v>
      </x:c>
      <x:c r="E113" s="46" t="str">
        <x:v>Synodontidae</x:v>
      </x:c>
      <x:c r="F113" s="46" t="str">
        <x:v>Lizardfishes, sauries</x:v>
      </x:c>
      <x:c r="G113" s="46" t="str">
        <x:v>Medium demersals (30 - 89 cm)</x:v>
      </x:c>
      <x:c r="H113" s="46" t="str">
        <x:v>Other fishes &amp; inverts</x:v>
      </x:c>
      <x:c r="I113" s="60" t="n">
        <x:v>719.9885430036</x:v>
      </x:c>
      <x:c r="J113" s="60" t="n">
        <x:v>415.6619240666</x:v>
      </x:c>
      <x:c r="K113" s="60" t="n">
        <x:v>304.326618937</x:v>
      </x:c>
      <x:c r="L113" s="60" t="n">
        <x:v>0</x:v>
      </x:c>
      <x:c r="M113" s="60" t="n">
        <x:v>719.9885430036</x:v>
      </x:c>
      <x:c r="N113" s="46" t="str">
        <x:v>synodontidae</x:v>
      </x:c>
      <x:c r="O113" s="62" t="n">
        <x:v>4.3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Synodontidae</x:v>
      </x:c>
      <x:c r="T113" s="62" t="n">
        <x:f>IF(O113="","",(1/'Metadata'!$B$5)^(O113-1))</x:f>
        <x:v>1995.2623149688789</x:v>
      </x:c>
      <x:c r="U113" s="60" t="n">
        <x:f>IF(T113="","",I113*T113)</x:f>
        <x:v>1436566.007064433</x:v>
      </x:c>
    </x:row>
    <x:row r="114" ht="18" customHeight="1">
      <x:c r="A114" s="46" t="str">
        <x:v>LME_011</x:v>
      </x:c>
      <x:c r="B114" s="46" t="str">
        <x:v>Pacific Central-American Coastal</x:v>
      </x:c>
      <x:c r="C114" s="46" t="str">
        <x:v>LME</x:v>
      </x:c>
      <x:c r="D114" s="58" t="n">
        <x:v>2019</x:v>
      </x:c>
      <x:c r="E114" s="46" t="str">
        <x:v>Polynemidae</x:v>
      </x:c>
      <x:c r="F114" s="46" t="str">
        <x:v>Threadfins</x:v>
      </x:c>
      <x:c r="G114" s="46" t="str">
        <x:v>Small demersals (&lt;30 cm)</x:v>
      </x:c>
      <x:c r="H114" s="46" t="str">
        <x:v>Perch-likes</x:v>
      </x:c>
      <x:c r="I114" s="60" t="n">
        <x:v>698.1382183556</x:v>
      </x:c>
      <x:c r="J114" s="60" t="n">
        <x:v>698.1382183556</x:v>
      </x:c>
      <x:c r="K114" s="60" t="n">
        <x:v>0</x:v>
      </x:c>
      <x:c r="L114" s="60" t="n">
        <x:v>272.0348558985</x:v>
      </x:c>
      <x:c r="M114" s="60" t="n">
        <x:v>426.1033624571</x:v>
      </x:c>
      <x:c r="N114" s="46" t="str">
        <x:v>polynemidae</x:v>
      </x:c>
      <x:c r="O114" s="62" t="n">
        <x:v>3.62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Polynemidae</x:v>
      </x:c>
      <x:c r="T114" s="62" t="n">
        <x:f>IF(O114="","",(1/'Metadata'!$B$5)^(O114-1))</x:f>
        <x:v>416.8693834703355</x:v>
      </x:c>
      <x:c r="U114" s="60" t="n">
        <x:f>IF(T114="","",I114*T114)</x:f>
        <x:v>291032.44866297743</x:v>
      </x:c>
    </x:row>
    <x:row r="115" ht="18" customHeight="1">
      <x:c r="A115" s="46" t="str">
        <x:v>LME_011</x:v>
      </x:c>
      <x:c r="B115" s="46" t="str">
        <x:v>Pacific Central-American Coastal</x:v>
      </x:c>
      <x:c r="C115" s="46" t="str">
        <x:v>LME</x:v>
      </x:c>
      <x:c r="D115" s="58" t="n">
        <x:v>2019</x:v>
      </x:c>
      <x:c r="E115" s="46" t="str">
        <x:v>Mycteroperca</x:v>
      </x:c>
      <x:c r="F115" s="46" t="str">
        <x:v>Scamps, gags</x:v>
      </x:c>
      <x:c r="G115" s="46" t="str">
        <x:v>Medium reef assoc. fish (30 - 89 cm)</x:v>
      </x:c>
      <x:c r="H115" s="46" t="str">
        <x:v>Perch-likes</x:v>
      </x:c>
      <x:c r="I115" s="60" t="n">
        <x:v>656.0468576116999</x:v>
      </x:c>
      <x:c r="J115" s="60" t="n">
        <x:v>656.0468576116999</x:v>
      </x:c>
      <x:c r="K115" s="60" t="n">
        <x:v>0</x:v>
      </x:c>
      <x:c r="L115" s="60" t="n">
        <x:v>289.2197532886</x:v>
      </x:c>
      <x:c r="M115" s="60" t="n">
        <x:v>366.8271043231</x:v>
      </x:c>
      <x:c r="N115" s="46" t="str">
        <x:v>mycteroperca</x:v>
      </x:c>
      <x:c r="O115" s="62" t="n">
        <x:v>4.35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Mycteroperca</x:v>
      </x:c>
      <x:c r="T115" s="62" t="n">
        <x:f>IF(O115="","",(1/'Metadata'!$B$5)^(O115-1))</x:f>
        <x:v>2238.7211385683377</x:v>
      </x:c>
      <x:c r="U115" s="60" t="n">
        <x:f>IF(T115="","",I115*T115)</x:f>
        <x:v>1468705.968026645</x:v>
      </x:c>
    </x:row>
    <x:row r="116" ht="18" customHeight="1">
      <x:c r="A116" s="46" t="str">
        <x:v>LME_011</x:v>
      </x:c>
      <x:c r="B116" s="46" t="str">
        <x:v>Pacific Central-American Coastal</x:v>
      </x:c>
      <x:c r="C116" s="46" t="str">
        <x:v>LME</x:v>
      </x:c>
      <x:c r="D116" s="58" t="n">
        <x:v>2019</x:v>
      </x:c>
      <x:c r="E116" s="46" t="str">
        <x:v>Squillidae</x:v>
      </x:c>
      <x:c r="F116" s="46" t="str">
        <x:v>Squilla mantis shrimps</x:v>
      </x:c>
      <x:c r="G116" s="46" t="str">
        <x:v>Shrimps</x:v>
      </x:c>
      <x:c r="H116" s="46" t="str">
        <x:v>Crustaceans</x:v>
      </x:c>
      <x:c r="I116" s="60" t="n">
        <x:v>653.3381004097</x:v>
      </x:c>
      <x:c r="J116" s="60" t="n">
        <x:v>0.5548912002</x:v>
      </x:c>
      <x:c r="K116" s="60" t="n">
        <x:v>652.7832092095</x:v>
      </x:c>
      <x:c r="L116" s="60" t="n">
        <x:v>0</x:v>
      </x:c>
      <x:c r="M116" s="60" t="n">
        <x:v>653.3381004097</x:v>
      </x:c>
      <x:c r="N116" s="46" t="str">
        <x:v>squillidae</x:v>
      </x:c>
      <x:c r="O116" s="62" t="n">
        <x:v>3.5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Squillidae</x:v>
      </x:c>
      <x:c r="T116" s="62" t="n">
        <x:f>IF(O116="","",(1/'Metadata'!$B$5)^(O116-1))</x:f>
        <x:v>316.22776601683796</x:v>
      </x:c>
      <x:c r="U116" s="60" t="n">
        <x:f>IF(T116="","",I116*T116)</x:f>
        <x:v>206603.647946244</x:v>
      </x:c>
    </x:row>
    <x:row r="117" ht="18" customHeight="1">
      <x:c r="A117" s="46" t="str">
        <x:v>LME_011</x:v>
      </x:c>
      <x:c r="B117" s="46" t="str">
        <x:v>Pacific Central-American Coastal</x:v>
      </x:c>
      <x:c r="C117" s="46" t="str">
        <x:v>LME</x:v>
      </x:c>
      <x:c r="D117" s="58" t="n">
        <x:v>2019</x:v>
      </x:c>
      <x:c r="E117" s="46" t="str">
        <x:v>Solenocera agassizii</x:v>
      </x:c>
      <x:c r="F117" s="46" t="str">
        <x:v>Kolibri shrimp</x:v>
      </x:c>
      <x:c r="G117" s="46" t="str">
        <x:v>Shrimps</x:v>
      </x:c>
      <x:c r="H117" s="46" t="str">
        <x:v>Crustaceans</x:v>
      </x:c>
      <x:c r="I117" s="60" t="n">
        <x:v>626.6578887295</x:v>
      </x:c>
      <x:c r="J117" s="60" t="n">
        <x:v>210.9997315861</x:v>
      </x:c>
      <x:c r="K117" s="60" t="n">
        <x:v>415.6581571434</x:v>
      </x:c>
      <x:c r="L117" s="60" t="n">
        <x:v>190.58460370190002</x:v>
      </x:c>
      <x:c r="M117" s="60" t="n">
        <x:v>436.0732850276</x:v>
      </x:c>
      <x:c r="N117" s="46" t="str">
        <x:v>solenocera agassizii</x:v>
      </x:c>
      <x:c r="O117" s="62" t="n">
        <x:v>2.2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Solenocera agassizii</x:v>
      </x:c>
      <x:c r="T117" s="62" t="n">
        <x:f>IF(O117="","",(1/'Metadata'!$B$5)^(O117-1))</x:f>
        <x:v>15.848931924611142</x:v>
      </x:c>
      <x:c r="U117" s="60" t="n">
        <x:f>IF(T117="","",I117*T117)</x:f>
        <x:v>9931.858218494388</x:v>
      </x:c>
    </x:row>
    <x:row r="118" ht="18" customHeight="1">
      <x:c r="A118" s="46" t="str">
        <x:v>LME_011</x:v>
      </x:c>
      <x:c r="B118" s="46" t="str">
        <x:v>Pacific Central-American Coastal</x:v>
      </x:c>
      <x:c r="C118" s="46" t="str">
        <x:v>LME</x:v>
      </x:c>
      <x:c r="D118" s="58" t="n">
        <x:v>2019</x:v>
      </x:c>
      <x:c r="E118" s="46" t="str">
        <x:v>Engraulidae</x:v>
      </x:c>
      <x:c r="F118" s="46" t="str">
        <x:v>Anchovies, round herrings</x:v>
      </x:c>
      <x:c r="G118" s="46" t="str">
        <x:v>Small pelagics (&lt;30 cm)</x:v>
      </x:c>
      <x:c r="H118" s="46" t="str">
        <x:v>Anchovies</x:v>
      </x:c>
      <x:c r="I118" s="60" t="n">
        <x:v>620.2192690033</x:v>
      </x:c>
      <x:c r="J118" s="60" t="n">
        <x:v>405.32014451320003</x:v>
      </x:c>
      <x:c r="K118" s="60" t="n">
        <x:v>214.8991244901</x:v>
      </x:c>
      <x:c r="L118" s="60" t="n">
        <x:v>0</x:v>
      </x:c>
      <x:c r="M118" s="60" t="n">
        <x:v>620.2192690033</x:v>
      </x:c>
      <x:c r="N118" s="46" t="str">
        <x:v>engraulidae</x:v>
      </x:c>
      <x:c r="O118" s="62" t="n">
        <x:v>3.2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Engraulidae</x:v>
      </x:c>
      <x:c r="T118" s="62" t="n">
        <x:f>IF(O118="","",(1/'Metadata'!$B$5)^(O118-1))</x:f>
        <x:v>158.48931924611142</x:v>
      </x:c>
      <x:c r="U118" s="60" t="n">
        <x:f>IF(T118="","",I118*T118)</x:f>
        <x:v>98298.12972765388</x:v>
      </x:c>
    </x:row>
    <x:row r="119" ht="18" customHeight="1">
      <x:c r="A119" s="46" t="str">
        <x:v>LME_011</x:v>
      </x:c>
      <x:c r="B119" s="46" t="str">
        <x:v>Pacific Central-American Coastal</x:v>
      </x:c>
      <x:c r="C119" s="46" t="str">
        <x:v>LME</x:v>
      </x:c>
      <x:c r="D119" s="58" t="n">
        <x:v>2019</x:v>
      </x:c>
      <x:c r="E119" s="46" t="str">
        <x:v>Callinectes bellicosus</x:v>
      </x:c>
      <x:c r="F119" s="46" t="str">
        <x:v>Warrior swimcrab</x:v>
      </x:c>
      <x:c r="G119" s="46" t="str">
        <x:v>Lobsters, crabs</x:v>
      </x:c>
      <x:c r="H119" s="46" t="str">
        <x:v>Crustaceans</x:v>
      </x:c>
      <x:c r="I119" s="60" t="n">
        <x:v>618.3260749222</x:v>
      </x:c>
      <x:c r="J119" s="60" t="n">
        <x:v>0</x:v>
      </x:c>
      <x:c r="K119" s="60" t="n">
        <x:v>618.3260749222</x:v>
      </x:c>
      <x:c r="L119" s="60" t="n">
        <x:v>0</x:v>
      </x:c>
      <x:c r="M119" s="60" t="n">
        <x:v>618.3260749222</x:v>
      </x:c>
      <x:c r="N119" s="46" t="str">
        <x:v>callinectes bellicosus</x:v>
      </x:c>
      <x:c r="O119" s="62" t="n">
        <x:v>4.16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Callinectes bellicosus</x:v>
      </x:c>
      <x:c r="T119" s="62" t="n">
        <x:f>IF(O119="","",(1/'Metadata'!$B$5)^(O119-1))</x:f>
        <x:v>1445.439770745928</x:v>
      </x:c>
      <x:c r="U119" s="60" t="n">
        <x:f>IF(T119="","",I119*T119)</x:f>
        <x:v>893753.0999817741</x:v>
      </x:c>
    </x:row>
    <x:row r="120" ht="18" customHeight="1">
      <x:c r="A120" s="46" t="str">
        <x:v>LME_011</x:v>
      </x:c>
      <x:c r="B120" s="46" t="str">
        <x:v>Pacific Central-American Coastal</x:v>
      </x:c>
      <x:c r="C120" s="46" t="str">
        <x:v>LME</x:v>
      </x:c>
      <x:c r="D120" s="58" t="n">
        <x:v>2019</x:v>
      </x:c>
      <x:c r="E120" s="46" t="str">
        <x:v>Alopias superciliosus</x:v>
      </x:c>
      <x:c r="F120" s="46" t="str">
        <x:v>Bigeye thresher</x:v>
      </x:c>
      <x:c r="G120" s="46" t="str">
        <x:v>Large sharks (&gt;=90 cm)</x:v>
      </x:c>
      <x:c r="H120" s="46" t="str">
        <x:v>Sharks &amp; rays</x:v>
      </x:c>
      <x:c r="I120" s="60" t="n">
        <x:v>598.1940218367</x:v>
      </x:c>
      <x:c r="J120" s="60" t="n">
        <x:v>598.1940218367</x:v>
      </x:c>
      <x:c r="K120" s="60" t="n">
        <x:v>0</x:v>
      </x:c>
      <x:c r="L120" s="60" t="n">
        <x:v>405.4001685024</x:v>
      </x:c>
      <x:c r="M120" s="60" t="n">
        <x:v>192.7938533343</x:v>
      </x:c>
      <x:c r="N120" s="46" t="str">
        <x:v>alopias superciliosus</x:v>
      </x:c>
      <x:c r="O120" s="62" t="n">
        <x:v>4.51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Alopias superciliosus</x:v>
      </x:c>
      <x:c r="T120" s="62" t="n">
        <x:f>IF(O120="","",(1/'Metadata'!$B$5)^(O120-1))</x:f>
        <x:v>3235.936569296281</x:v>
      </x:c>
      <x:c r="U120" s="60" t="n">
        <x:f>IF(T120="","",I120*T120)</x:f>
        <x:v>1935717.9107957957</x:v>
      </x:c>
    </x:row>
    <x:row r="121" ht="18" customHeight="1">
      <x:c r="A121" s="46" t="str">
        <x:v>LME_011</x:v>
      </x:c>
      <x:c r="B121" s="46" t="str">
        <x:v>Pacific Central-American Coastal</x:v>
      </x:c>
      <x:c r="C121" s="46" t="str">
        <x:v>LME</x:v>
      </x:c>
      <x:c r="D121" s="58" t="n">
        <x:v>2019</x:v>
      </x:c>
      <x:c r="E121" s="46" t="str">
        <x:v>Anomura</x:v>
      </x:c>
      <x:c r="F121" s="46" t="str">
        <x:v>Craylets, squat lobsters, hermits</x:v>
      </x:c>
      <x:c r="G121" s="46" t="str">
        <x:v>Lobsters, crabs</x:v>
      </x:c>
      <x:c r="H121" s="46" t="str">
        <x:v>Crustaceans</x:v>
      </x:c>
      <x:c r="I121" s="60" t="n">
        <x:v>583.7205077351</x:v>
      </x:c>
      <x:c r="J121" s="60" t="n">
        <x:v>0</x:v>
      </x:c>
      <x:c r="K121" s="60" t="n">
        <x:v>583.7205077351</x:v>
      </x:c>
      <x:c r="L121" s="60" t="n">
        <x:v>0</x:v>
      </x:c>
      <x:c r="M121" s="60" t="n">
        <x:v>583.7205077351</x:v>
      </x:c>
      <x:c r="N121" s="46" t="str">
        <x:v>anomura</x:v>
      </x:c>
      <x:c r="O121" s="62" t="n">
        <x:v>3.1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Anomura</x:v>
      </x:c>
      <x:c r="T121" s="62" t="n">
        <x:f>IF(O121="","",(1/'Metadata'!$B$5)^(O121-1))</x:f>
        <x:v>125.89254117941675</x:v>
      </x:c>
      <x:c r="U121" s="60" t="n">
        <x:f>IF(T121="","",I121*T121)</x:f>
        <x:v>73486.05805731114</x:v>
      </x:c>
    </x:row>
    <x:row r="122" ht="18" customHeight="1">
      <x:c r="A122" s="46" t="str">
        <x:v>LME_011</x:v>
      </x:c>
      <x:c r="B122" s="46" t="str">
        <x:v>Pacific Central-American Coastal</x:v>
      </x:c>
      <x:c r="C122" s="46" t="str">
        <x:v>LME</x:v>
      </x:c>
      <x:c r="D122" s="58" t="n">
        <x:v>2019</x:v>
      </x:c>
      <x:c r="E122" s="46" t="str">
        <x:v>Rajiformes</x:v>
      </x:c>
      <x:c r="F122" s="46" t="str">
        <x:v>Skates and rays</x:v>
      </x:c>
      <x:c r="G122" s="46" t="str">
        <x:v>Large rays (&gt;=90 cm)</x:v>
      </x:c>
      <x:c r="H122" s="46" t="str">
        <x:v>Sharks &amp; rays</x:v>
      </x:c>
      <x:c r="I122" s="60" t="n">
        <x:v>525.6902988042</x:v>
      </x:c>
      <x:c r="J122" s="60" t="n">
        <x:v>525.6902988042</x:v>
      </x:c>
      <x:c r="K122" s="60" t="n">
        <x:v>0</x:v>
      </x:c>
      <x:c r="L122" s="60" t="n">
        <x:v>130.7706661903</x:v>
      </x:c>
      <x:c r="M122" s="60" t="n">
        <x:v>394.91963261390003</x:v>
      </x:c>
      <x:c r="N122" s="46" t="str">
        <x:v>rajiformes</x:v>
      </x:c>
      <x:c r="O122" s="62" t="n">
        <x:v>3.61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Rajiformes</x:v>
      </x:c>
      <x:c r="T122" s="62" t="n">
        <x:f>IF(O122="","",(1/'Metadata'!$B$5)^(O122-1))</x:f>
        <x:v>407.3802778041126</x:v>
      </x:c>
      <x:c r="U122" s="60" t="n">
        <x:f>IF(T122="","",I122*T122)</x:f>
        <x:v>214155.85996578194</x:v>
      </x:c>
    </x:row>
    <x:row r="123" ht="18" customHeight="1">
      <x:c r="A123" s="46" t="str">
        <x:v>LME_011</x:v>
      </x:c>
      <x:c r="B123" s="46" t="str">
        <x:v>Pacific Central-American Coastal</x:v>
      </x:c>
      <x:c r="C123" s="46" t="str">
        <x:v>LME</x:v>
      </x:c>
      <x:c r="D123" s="58" t="n">
        <x:v>2019</x:v>
      </x:c>
      <x:c r="E123" s="46" t="str">
        <x:v>Clupeidae</x:v>
      </x:c>
      <x:c r="F123" s="46" t="str">
        <x:v>Herrings, sardines, menhadens</x:v>
      </x:c>
      <x:c r="G123" s="46" t="str">
        <x:v>Small pelagics (&lt;30 cm)</x:v>
      </x:c>
      <x:c r="H123" s="46" t="str">
        <x:v>Herring-likes</x:v>
      </x:c>
      <x:c r="I123" s="60" t="n">
        <x:v>520.0914693632</x:v>
      </x:c>
      <x:c r="J123" s="60" t="n">
        <x:v>378.5727834618</x:v>
      </x:c>
      <x:c r="K123" s="60" t="n">
        <x:v>141.5186859014</x:v>
      </x:c>
      <x:c r="L123" s="60" t="n">
        <x:v>55.9704026211</x:v>
      </x:c>
      <x:c r="M123" s="60" t="n">
        <x:v>464.1210667421</x:v>
      </x:c>
      <x:c r="N123" s="46" t="str">
        <x:v>clupeidae</x:v>
      </x:c>
      <x:c r="O123" s="62" t="n">
        <x:v>3.16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Clupeidae</x:v>
      </x:c>
      <x:c r="T123" s="62" t="n">
        <x:f>IF(O123="","",(1/'Metadata'!$B$5)^(O123-1))</x:f>
        <x:v>144.5439770745928</x:v>
      </x:c>
      <x:c r="U123" s="60" t="n">
        <x:f>IF(T123="","",I123*T123)</x:f>
        <x:v>75176.08942432565</x:v>
      </x:c>
    </x:row>
    <x:row r="124" ht="18" customHeight="1">
      <x:c r="A124" s="46" t="str">
        <x:v>LME_011</x:v>
      </x:c>
      <x:c r="B124" s="46" t="str">
        <x:v>Pacific Central-American Coastal</x:v>
      </x:c>
      <x:c r="C124" s="46" t="str">
        <x:v>LME</x:v>
      </x:c>
      <x:c r="D124" s="58" t="n">
        <x:v>2019</x:v>
      </x:c>
      <x:c r="E124" s="46" t="str">
        <x:v>Cyclopsetta querna</x:v>
      </x:c>
      <x:c r="F124" s="46" t="str">
        <x:v>Toothed flounder</x:v>
      </x:c>
      <x:c r="G124" s="46" t="str">
        <x:v>Small to medium flatfishes (&lt;90 cm)</x:v>
      </x:c>
      <x:c r="H124" s="46" t="str">
        <x:v>Flatfishes</x:v>
      </x:c>
      <x:c r="I124" s="60" t="n">
        <x:v>486.20491976910006</x:v>
      </x:c>
      <x:c r="J124" s="60" t="n">
        <x:v>124.4898697687</x:v>
      </x:c>
      <x:c r="K124" s="60" t="n">
        <x:v>361.7150500004</x:v>
      </x:c>
      <x:c r="L124" s="60" t="n">
        <x:v>116.2398659619</x:v>
      </x:c>
      <x:c r="M124" s="60" t="n">
        <x:v>369.96505380720004</x:v>
      </x:c>
      <x:c r="N124" s="46" t="str">
        <x:v>cyclopsetta querna</x:v>
      </x:c>
      <x:c r="O124" s="62" t="n">
        <x:v>3.97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Cyclopsetta querna</x:v>
      </x:c>
      <x:c r="T124" s="62" t="n">
        <x:f>IF(O124="","",(1/'Metadata'!$B$5)^(O124-1))</x:f>
        <x:v>933.2543007969915</x:v>
      </x:c>
      <x:c r="U124" s="60" t="n">
        <x:f>IF(T124="","",I124*T124)</x:f>
        <x:v>453752.83244316885</x:v>
      </x:c>
    </x:row>
    <x:row r="125" ht="18" customHeight="1">
      <x:c r="A125" s="46" t="str">
        <x:v>LME_011</x:v>
      </x:c>
      <x:c r="B125" s="46" t="str">
        <x:v>Pacific Central-American Coastal</x:v>
      </x:c>
      <x:c r="C125" s="46" t="str">
        <x:v>LME</x:v>
      </x:c>
      <x:c r="D125" s="58" t="n">
        <x:v>2019</x:v>
      </x:c>
      <x:c r="E125" s="46" t="str">
        <x:v>Bothidae</x:v>
      </x:c>
      <x:c r="F125" s="46" t="str">
        <x:v>Lefteye flounders</x:v>
      </x:c>
      <x:c r="G125" s="46" t="str">
        <x:v>Small to medium flatfishes (&lt;90 cm)</x:v>
      </x:c>
      <x:c r="H125" s="46" t="str">
        <x:v>Flatfishes</x:v>
      </x:c>
      <x:c r="I125" s="60" t="n">
        <x:v>457.980180777</x:v>
      </x:c>
      <x:c r="J125" s="60" t="n">
        <x:v>219.57028106969997</x:v>
      </x:c>
      <x:c r="K125" s="60" t="n">
        <x:v>238.40989970729999</x:v>
      </x:c>
      <x:c r="L125" s="60" t="n">
        <x:v>0</x:v>
      </x:c>
      <x:c r="M125" s="60" t="n">
        <x:v>457.980180777</x:v>
      </x:c>
      <x:c r="N125" s="46" t="str">
        <x:v>bothidae</x:v>
      </x:c>
      <x:c r="O125" s="62" t="n">
        <x:v>3.77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Bothidae</x:v>
      </x:c>
      <x:c r="T125" s="62" t="n">
        <x:f>IF(O125="","",(1/'Metadata'!$B$5)^(O125-1))</x:f>
        <x:v>588.843655355589</x:v>
      </x:c>
      <x:c r="U125" s="60" t="n">
        <x:f>IF(T125="","",I125*T125)</x:f>
        <x:v>269678.72372914216</x:v>
      </x:c>
    </x:row>
    <x:row r="126" ht="18" customHeight="1">
      <x:c r="A126" s="46" t="str">
        <x:v>LME_011</x:v>
      </x:c>
      <x:c r="B126" s="46" t="str">
        <x:v>Pacific Central-American Coastal</x:v>
      </x:c>
      <x:c r="C126" s="46" t="str">
        <x:v>LME</x:v>
      </x:c>
      <x:c r="D126" s="58" t="n">
        <x:v>2019</x:v>
      </x:c>
      <x:c r="E126" s="46" t="str">
        <x:v>Pandalidae</x:v>
      </x:c>
      <x:c r="F126" s="46" t="str">
        <x:v>Northern shrimps</x:v>
      </x:c>
      <x:c r="G126" s="46" t="str">
        <x:v>Shrimps</x:v>
      </x:c>
      <x:c r="H126" s="46" t="str">
        <x:v>Crustaceans</x:v>
      </x:c>
      <x:c r="I126" s="60" t="n">
        <x:v>457.352681665</x:v>
      </x:c>
      <x:c r="J126" s="60" t="n">
        <x:v>0</x:v>
      </x:c>
      <x:c r="K126" s="60" t="n">
        <x:v>457.352681665</x:v>
      </x:c>
      <x:c r="L126" s="60" t="n">
        <x:v>0</x:v>
      </x:c>
      <x:c r="M126" s="60" t="n">
        <x:v>457.352681665</x:v>
      </x:c>
      <x:c r="N126" s="46" t="str">
        <x:v>pandalidae</x:v>
      </x:c>
      <x:c r="O126" s="62" t="n">
        <x:v>2.7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Pandalidae</x:v>
      </x:c>
      <x:c r="T126" s="62" t="n">
        <x:f>IF(O126="","",(1/'Metadata'!$B$5)^(O126-1))</x:f>
        <x:v>50.11872336272725</x:v>
      </x:c>
      <x:c r="U126" s="60" t="n">
        <x:f>IF(T126="","",I126*T126)</x:f>
        <x:v>22921.932531569593</x:v>
      </x:c>
    </x:row>
    <x:row r="127" ht="18" customHeight="1">
      <x:c r="A127" s="46" t="str">
        <x:v>LME_011</x:v>
      </x:c>
      <x:c r="B127" s="46" t="str">
        <x:v>Pacific Central-American Coastal</x:v>
      </x:c>
      <x:c r="C127" s="46" t="str">
        <x:v>LME</x:v>
      </x:c>
      <x:c r="D127" s="58" t="n">
        <x:v>2019</x:v>
      </x:c>
      <x:c r="E127" s="46" t="str">
        <x:v>Scaridae</x:v>
      </x:c>
      <x:c r="F127" s="46" t="str">
        <x:v>Parrotfishes</x:v>
      </x:c>
      <x:c r="G127" s="46" t="str">
        <x:v>Medium reef assoc. fish (30 - 89 cm)</x:v>
      </x:c>
      <x:c r="H127" s="46" t="str">
        <x:v>Perch-likes</x:v>
      </x:c>
      <x:c r="I127" s="60" t="n">
        <x:v>452.0734545127</x:v>
      </x:c>
      <x:c r="J127" s="60" t="n">
        <x:v>452.0734545127</x:v>
      </x:c>
      <x:c r="K127" s="60" t="n">
        <x:v>0</x:v>
      </x:c>
      <x:c r="L127" s="60" t="n">
        <x:v>36.463744517200006</x:v>
      </x:c>
      <x:c r="M127" s="60" t="n">
        <x:v>415.6097099955</x:v>
      </x:c>
      <x:c r="N127" s="46" t="str">
        <x:v>scaridae</x:v>
      </x:c>
      <x:c r="O127" s="62" t="n">
        <x:v>2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Scaridae</x:v>
      </x:c>
      <x:c r="T127" s="62" t="n">
        <x:f>IF(O127="","",(1/'Metadata'!$B$5)^(O127-1))</x:f>
        <x:v>10</x:v>
      </x:c>
      <x:c r="U127" s="60" t="n">
        <x:f>IF(T127="","",I127*T127)</x:f>
        <x:v>4520.734545126999</x:v>
      </x:c>
    </x:row>
    <x:row r="128" ht="18" customHeight="1">
      <x:c r="A128" s="46" t="str">
        <x:v>LME_011</x:v>
      </x:c>
      <x:c r="B128" s="46" t="str">
        <x:v>Pacific Central-American Coastal</x:v>
      </x:c>
      <x:c r="C128" s="46" t="str">
        <x:v>LME</x:v>
      </x:c>
      <x:c r="D128" s="58" t="n">
        <x:v>2019</x:v>
      </x:c>
      <x:c r="E128" s="46" t="str">
        <x:v>Panulirus gracilis</x:v>
      </x:c>
      <x:c r="F128" s="46" t="str">
        <x:v>Blue spiny lobster</x:v>
      </x:c>
      <x:c r="G128" s="46" t="str">
        <x:v>Lobsters, crabs</x:v>
      </x:c>
      <x:c r="H128" s="46" t="str">
        <x:v>Crustaceans</x:v>
      </x:c>
      <x:c r="I128" s="60" t="n">
        <x:v>449.62893206539997</x:v>
      </x:c>
      <x:c r="J128" s="60" t="n">
        <x:v>449.62893206539997</x:v>
      </x:c>
      <x:c r="K128" s="60" t="n">
        <x:v>0</x:v>
      </x:c>
      <x:c r="L128" s="60" t="n">
        <x:v>176.1705948167</x:v>
      </x:c>
      <x:c r="M128" s="60" t="n">
        <x:v>273.4583372487</x:v>
      </x:c>
      <x:c r="N128" s="46" t="str">
        <x:v>panulirus gracilis</x:v>
      </x:c>
      <x:c r="O128" s="62" t="n">
        <x:v>2.6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Panulirus gracilis</x:v>
      </x:c>
      <x:c r="T128" s="62" t="n">
        <x:f>IF(O128="","",(1/'Metadata'!$B$5)^(O128-1))</x:f>
        <x:v>39.810717055349734</x:v>
      </x:c>
      <x:c r="U128" s="60" t="n">
        <x:f>IF(T128="","",I128*T128)</x:f>
        <x:v>17900.050194354706</x:v>
      </x:c>
    </x:row>
    <x:row r="129" ht="18" customHeight="1">
      <x:c r="A129" s="46" t="str">
        <x:v>LME_011</x:v>
      </x:c>
      <x:c r="B129" s="46" t="str">
        <x:v>Pacific Central-American Coastal</x:v>
      </x:c>
      <x:c r="C129" s="46" t="str">
        <x:v>LME</x:v>
      </x:c>
      <x:c r="D129" s="58" t="n">
        <x:v>2019</x:v>
      </x:c>
      <x:c r="E129" s="46" t="str">
        <x:v>Muraenidae</x:v>
      </x:c>
      <x:c r="F129" s="46" t="str">
        <x:v>Moray eels</x:v>
      </x:c>
      <x:c r="G129" s="46" t="str">
        <x:v>Large reef assoc. fish (&gt;=90 cm)</x:v>
      </x:c>
      <x:c r="H129" s="46" t="str">
        <x:v>Other fishes &amp; inverts</x:v>
      </x:c>
      <x:c r="I129" s="60" t="n">
        <x:v>418.91924664</x:v>
      </x:c>
      <x:c r="J129" s="60" t="n">
        <x:v>418.91924664</x:v>
      </x:c>
      <x:c r="K129" s="60" t="n">
        <x:v>0</x:v>
      </x:c>
      <x:c r="L129" s="60" t="n">
        <x:v>0</x:v>
      </x:c>
      <x:c r="M129" s="60" t="n">
        <x:v>418.91924664</x:v>
      </x:c>
      <x:c r="N129" s="46" t="str">
        <x:v>muraenidae</x:v>
      </x:c>
      <x:c r="O129" s="62" t="n">
        <x:v>4.07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Muraenidae</x:v>
      </x:c>
      <x:c r="T129" s="62" t="n">
        <x:f>IF(O129="","",(1/'Metadata'!$B$5)^(O129-1))</x:f>
        <x:v>1174.8975549395302</x:v>
      </x:c>
      <x:c r="U129" s="60" t="n">
        <x:f>IF(T129="","",I129*T129)</x:f>
        <x:v>492187.198594446</x:v>
      </x:c>
    </x:row>
    <x:row r="130" ht="18" customHeight="1">
      <x:c r="A130" s="46" t="str">
        <x:v>LME_011</x:v>
      </x:c>
      <x:c r="B130" s="46" t="str">
        <x:v>Pacific Central-American Coastal</x:v>
      </x:c>
      <x:c r="C130" s="46" t="str">
        <x:v>LME</x:v>
      </x:c>
      <x:c r="D130" s="58" t="n">
        <x:v>2019</x:v>
      </x:c>
      <x:c r="E130" s="46" t="str">
        <x:v>Labridae</x:v>
      </x:c>
      <x:c r="F130" s="46" t="str">
        <x:v>Wrasses, gropers, tuskfishes</x:v>
      </x:c>
      <x:c r="G130" s="46" t="str">
        <x:v>Medium reef assoc. fish (30 - 89 cm)</x:v>
      </x:c>
      <x:c r="H130" s="46" t="str">
        <x:v>Perch-likes</x:v>
      </x:c>
      <x:c r="I130" s="60" t="n">
        <x:v>415.5410350695</x:v>
      </x:c>
      <x:c r="J130" s="60" t="n">
        <x:v>415.5410350695</x:v>
      </x:c>
      <x:c r="K130" s="60" t="n">
        <x:v>0</x:v>
      </x:c>
      <x:c r="L130" s="60" t="n">
        <x:v>0</x:v>
      </x:c>
      <x:c r="M130" s="60" t="n">
        <x:v>415.5410350695</x:v>
      </x:c>
      <x:c r="N130" s="46" t="str">
        <x:v>labridae</x:v>
      </x:c>
      <x:c r="O130" s="62" t="n">
        <x:v>3.46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Labridae</x:v>
      </x:c>
      <x:c r="T130" s="62" t="n">
        <x:f>IF(O130="","",(1/'Metadata'!$B$5)^(O130-1))</x:f>
        <x:v>288.40315031266056</x:v>
      </x:c>
      <x:c r="U130" s="60" t="n">
        <x:f>IF(T130="","",I130*T130)</x:f>
        <x:v>119843.34359822757</x:v>
      </x:c>
    </x:row>
    <x:row r="131" ht="18" customHeight="1">
      <x:c r="A131" s="46" t="str">
        <x:v>LME_011</x:v>
      </x:c>
      <x:c r="B131" s="46" t="str">
        <x:v>Pacific Central-American Coastal</x:v>
      </x:c>
      <x:c r="C131" s="46" t="str">
        <x:v>LME</x:v>
      </x:c>
      <x:c r="D131" s="58" t="n">
        <x:v>2019</x:v>
      </x:c>
      <x:c r="E131" s="46" t="str">
        <x:v>Batoidea</x:v>
      </x:c>
      <x:c r="F131" s="46" t="str">
        <x:v>Batoids, skates, rays, sawfishes</x:v>
      </x:c>
      <x:c r="G131" s="46" t="str">
        <x:v>Large rays (&gt;=90 cm)</x:v>
      </x:c>
      <x:c r="H131" s="46" t="str">
        <x:v>Sharks &amp; rays</x:v>
      </x:c>
      <x:c r="I131" s="60" t="n">
        <x:v>384.8577668014</x:v>
      </x:c>
      <x:c r="J131" s="60" t="n">
        <x:v>322.46916368</x:v>
      </x:c>
      <x:c r="K131" s="60" t="n">
        <x:v>62.3886031214</x:v>
      </x:c>
      <x:c r="L131" s="60" t="n">
        <x:v>173.43085725</x:v>
      </x:c>
      <x:c r="M131" s="60" t="n">
        <x:v>211.4269095514</x:v>
      </x:c>
      <x:c r="N131" s="46" t="str">
        <x:v>batoidea</x:v>
      </x:c>
      <x:c r="O131" s="62" t="n">
        <x:v>3.72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Batoidea</x:v>
      </x:c>
      <x:c r="T131" s="62" t="n">
        <x:f>IF(O131="","",(1/'Metadata'!$B$5)^(O131-1))</x:f>
        <x:v>524.8074602497728</x:v>
      </x:c>
      <x:c r="U131" s="60" t="n">
        <x:f>IF(T131="","",I131*T131)</x:f>
        <x:v>201976.22715244206</x:v>
      </x:c>
    </x:row>
    <x:row r="132" ht="18" customHeight="1">
      <x:c r="A132" s="46" t="str">
        <x:v>LME_011</x:v>
      </x:c>
      <x:c r="B132" s="46" t="str">
        <x:v>Pacific Central-American Coastal</x:v>
      </x:c>
      <x:c r="C132" s="46" t="str">
        <x:v>LME</x:v>
      </x:c>
      <x:c r="D132" s="58" t="n">
        <x:v>2019</x:v>
      </x:c>
      <x:c r="E132" s="46" t="str">
        <x:v>Caulolatilus princeps</x:v>
      </x:c>
      <x:c r="F132" s="46" t="str">
        <x:v>Ocean whitefish</x:v>
      </x:c>
      <x:c r="G132" s="46" t="str">
        <x:v>Medium reef assoc. fish (30 - 89 cm)</x:v>
      </x:c>
      <x:c r="H132" s="46" t="str">
        <x:v>Perch-likes</x:v>
      </x:c>
      <x:c r="I132" s="60" t="n">
        <x:v>373.31019816649996</x:v>
      </x:c>
      <x:c r="J132" s="60" t="n">
        <x:v>373.31019816649996</x:v>
      </x:c>
      <x:c r="K132" s="60" t="n">
        <x:v>0</x:v>
      </x:c>
      <x:c r="L132" s="60" t="n">
        <x:v>239.7205803999</x:v>
      </x:c>
      <x:c r="M132" s="60" t="n">
        <x:v>133.58961776659999</x:v>
      </x:c>
      <x:c r="N132" s="46" t="str">
        <x:v>caulolatilus princeps</x:v>
      </x:c>
      <x:c r="O132" s="62" t="n">
        <x:v>3.7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Caulolatilus princeps</x:v>
      </x:c>
      <x:c r="T132" s="62" t="n">
        <x:f>IF(O132="","",(1/'Metadata'!$B$5)^(O132-1))</x:f>
        <x:v>501.18723362727246</x:v>
      </x:c>
      <x:c r="U132" s="60" t="n">
        <x:f>IF(T132="","",I132*T132)</x:f>
        <x:v>187098.30550391698</x:v>
      </x:c>
    </x:row>
    <x:row r="133" ht="18" customHeight="1">
      <x:c r="A133" s="46" t="str">
        <x:v>LME_011</x:v>
      </x:c>
      <x:c r="B133" s="46" t="str">
        <x:v>Pacific Central-American Coastal</x:v>
      </x:c>
      <x:c r="C133" s="46" t="str">
        <x:v>LME</x:v>
      </x:c>
      <x:c r="D133" s="58" t="n">
        <x:v>2019</x:v>
      </x:c>
      <x:c r="E133" s="46" t="str">
        <x:v>Epinephelus analogus</x:v>
      </x:c>
      <x:c r="F133" s="46" t="str">
        <x:v>Spotted grouper</x:v>
      </x:c>
      <x:c r="G133" s="46" t="str">
        <x:v>Large reef assoc. fish (&gt;=90 cm)</x:v>
      </x:c>
      <x:c r="H133" s="46" t="str">
        <x:v>Perch-likes</x:v>
      </x:c>
      <x:c r="I133" s="60" t="n">
        <x:v>360.71906710379994</x:v>
      </x:c>
      <x:c r="J133" s="60" t="n">
        <x:v>360.71906710379994</x:v>
      </x:c>
      <x:c r="K133" s="60" t="n">
        <x:v>0</x:v>
      </x:c>
      <x:c r="L133" s="60" t="n">
        <x:v>154.03314143709997</x:v>
      </x:c>
      <x:c r="M133" s="60" t="n">
        <x:v>206.6859256667</x:v>
      </x:c>
      <x:c r="N133" s="46" t="str">
        <x:v>epinephelus analogus</x:v>
      </x:c>
      <x:c r="O133" s="62" t="n">
        <x:v>3.84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Epinephelus analogus</x:v>
      </x:c>
      <x:c r="T133" s="62" t="n">
        <x:f>IF(O133="","",(1/'Metadata'!$B$5)^(O133-1))</x:f>
        <x:v>691.8309709189363</x:v>
      </x:c>
      <x:c r="U133" s="60" t="n">
        <x:f>IF(T133="","",I133*T133)</x:f>
        <x:v>249556.62242339485</x:v>
      </x:c>
    </x:row>
    <x:row r="134" ht="18" customHeight="1">
      <x:c r="A134" s="46" t="str">
        <x:v>LME_011</x:v>
      </x:c>
      <x:c r="B134" s="46" t="str">
        <x:v>Pacific Central-American Coastal</x:v>
      </x:c>
      <x:c r="C134" s="46" t="str">
        <x:v>LME</x:v>
      </x:c>
      <x:c r="D134" s="58" t="n">
        <x:v>2019</x:v>
      </x:c>
      <x:c r="E134" s="46" t="str">
        <x:v>Mycteroperca xenarcha</x:v>
      </x:c>
      <x:c r="F134" s="46" t="str">
        <x:v>Broomtail grouper</x:v>
      </x:c>
      <x:c r="G134" s="46" t="str">
        <x:v>Large demersals (&gt;=90 cm)</x:v>
      </x:c>
      <x:c r="H134" s="46" t="str">
        <x:v>Perch-likes</x:v>
      </x:c>
      <x:c r="I134" s="60" t="n">
        <x:v>356.9776783958</x:v>
      </x:c>
      <x:c r="J134" s="60" t="n">
        <x:v>343.6732727594</x:v>
      </x:c>
      <x:c r="K134" s="60" t="n">
        <x:v>13.3044056364</x:v>
      </x:c>
      <x:c r="L134" s="60" t="n">
        <x:v>136.3568443361</x:v>
      </x:c>
      <x:c r="M134" s="60" t="n">
        <x:v>220.6208340597</x:v>
      </x:c>
      <x:c r="N134" s="46" t="str">
        <x:v>mycteroperca xenarcha</x:v>
      </x:c>
      <x:c r="O134" s="62" t="n">
        <x:v>4.35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Mycteroperca xenarcha</x:v>
      </x:c>
      <x:c r="T134" s="62" t="n">
        <x:f>IF(O134="","",(1/'Metadata'!$B$5)^(O134-1))</x:f>
        <x:v>2238.7211385683377</x:v>
      </x:c>
      <x:c r="U134" s="60" t="n">
        <x:f>IF(T134="","",I134*T134)</x:f>
        <x:v>799173.4746217272</x:v>
      </x:c>
    </x:row>
    <x:row r="135" ht="18" customHeight="1">
      <x:c r="A135" s="46" t="str">
        <x:v>LME_011</x:v>
      </x:c>
      <x:c r="B135" s="46" t="str">
        <x:v>Pacific Central-American Coastal</x:v>
      </x:c>
      <x:c r="C135" s="46" t="str">
        <x:v>LME</x:v>
      </x:c>
      <x:c r="D135" s="58" t="n">
        <x:v>2019</x:v>
      </x:c>
      <x:c r="E135" s="46" t="str">
        <x:v>Carcharhinus</x:v>
      </x:c>
      <x:c r="F135" s="46" t="str">
        <x:v>Sharp-nosed sharks</x:v>
      </x:c>
      <x:c r="G135" s="46" t="str">
        <x:v>Large sharks (&gt;=90 cm)</x:v>
      </x:c>
      <x:c r="H135" s="46" t="str">
        <x:v>Sharks &amp; rays</x:v>
      </x:c>
      <x:c r="I135" s="60" t="n">
        <x:v>341.1253689538</x:v>
      </x:c>
      <x:c r="J135" s="60" t="n">
        <x:v>341.1253689538</x:v>
      </x:c>
      <x:c r="K135" s="60" t="n">
        <x:v>0</x:v>
      </x:c>
      <x:c r="L135" s="60" t="n">
        <x:v>341.1253689538</x:v>
      </x:c>
      <x:c r="M135" s="60" t="n">
        <x:v>0</x:v>
      </x:c>
      <x:c r="N135" s="46" t="str">
        <x:v>carcharhinus</x:v>
      </x:c>
      <x:c r="O135" s="62" t="n">
        <x:v>4.26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Carcharhinus</x:v>
      </x:c>
      <x:c r="T135" s="62" t="n">
        <x:f>IF(O135="","",(1/'Metadata'!$B$5)^(O135-1))</x:f>
        <x:v>1819.7008586099826</x:v>
      </x:c>
      <x:c r="U135" s="60" t="n">
        <x:f>IF(T135="","",I135*T135)</x:f>
        <x:v>620746.1267788769</x:v>
      </x:c>
    </x:row>
    <x:row r="136" ht="18" customHeight="1">
      <x:c r="A136" s="46" t="str">
        <x:v>LME_011</x:v>
      </x:c>
      <x:c r="B136" s="46" t="str">
        <x:v>Pacific Central-American Coastal</x:v>
      </x:c>
      <x:c r="C136" s="46" t="str">
        <x:v>LME</x:v>
      </x:c>
      <x:c r="D136" s="58" t="n">
        <x:v>2019</x:v>
      </x:c>
      <x:c r="E136" s="46" t="str">
        <x:v>Hyporthodus acanthistius</x:v>
      </x:c>
      <x:c r="F136" s="46" t="str">
        <x:v>Rooster hind</x:v>
      </x:c>
      <x:c r="G136" s="46" t="str">
        <x:v>Large demersals (&gt;=90 cm)</x:v>
      </x:c>
      <x:c r="H136" s="46" t="str">
        <x:v>Perch-likes</x:v>
      </x:c>
      <x:c r="I136" s="60" t="n">
        <x:v>326.63418407819995</x:v>
      </x:c>
      <x:c r="J136" s="60" t="n">
        <x:v>326.63418407819995</x:v>
      </x:c>
      <x:c r="K136" s="60" t="n">
        <x:v>0</x:v>
      </x:c>
      <x:c r="L136" s="60" t="n">
        <x:v>326.63418407819995</x:v>
      </x:c>
      <x:c r="M136" s="60" t="n">
        <x:v>0</x:v>
      </x:c>
      <x:c r="N136" s="46" t="str">
        <x:v>hyporthodus acanthistius</x:v>
      </x:c>
      <x:c r="O136" s="62" t="n">
        <x:v>3.93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Hyporthodus acanthistius</x:v>
      </x:c>
      <x:c r="T136" s="62" t="n">
        <x:f>IF(O136="","",(1/'Metadata'!$B$5)^(O136-1))</x:f>
        <x:v>851.1380382023768</x:v>
      </x:c>
      <x:c r="U136" s="60" t="n">
        <x:f>IF(T136="","",I136*T136)</x:f>
        <x:v>278010.77864615317</x:v>
      </x:c>
    </x:row>
    <x:row r="137" ht="18" customHeight="1">
      <x:c r="A137" s="46" t="str">
        <x:v>LME_011</x:v>
      </x:c>
      <x:c r="B137" s="46" t="str">
        <x:v>Pacific Central-American Coastal</x:v>
      </x:c>
      <x:c r="C137" s="46" t="str">
        <x:v>LME</x:v>
      </x:c>
      <x:c r="D137" s="58" t="n">
        <x:v>2019</x:v>
      </x:c>
      <x:c r="E137" s="46" t="str">
        <x:v>Cynoglossidae</x:v>
      </x:c>
      <x:c r="F137" s="46" t="str">
        <x:v>Tonguefishes</x:v>
      </x:c>
      <x:c r="G137" s="46" t="str">
        <x:v>Small to medium flatfishes (&lt;90 cm)</x:v>
      </x:c>
      <x:c r="H137" s="46" t="str">
        <x:v>Flatfishes</x:v>
      </x:c>
      <x:c r="I137" s="60" t="n">
        <x:v>325.7959909186</x:v>
      </x:c>
      <x:c r="J137" s="60" t="n">
        <x:v>306.9359403421</x:v>
      </x:c>
      <x:c r="K137" s="60" t="n">
        <x:v>18.8600505765</x:v>
      </x:c>
      <x:c r="L137" s="60" t="n">
        <x:v>17.6735521464</x:v>
      </x:c>
      <x:c r="M137" s="60" t="n">
        <x:v>308.1224387722</x:v>
      </x:c>
      <x:c r="N137" s="46" t="str">
        <x:v>cynoglossidae</x:v>
      </x:c>
      <x:c r="O137" s="62" t="n">
        <x:v>3.29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Cynoglossidae</x:v>
      </x:c>
      <x:c r="T137" s="62" t="n">
        <x:f>IF(O137="","",(1/'Metadata'!$B$5)^(O137-1))</x:f>
        <x:v>194.98445997580455</x:v>
      </x:c>
      <x:c r="U137" s="60" t="n">
        <x:f>IF(T137="","",I137*T137)</x:f>
        <x:v>63525.15535154535</x:v>
      </x:c>
    </x:row>
    <x:row r="138" ht="18" customHeight="1">
      <x:c r="A138" s="46" t="str">
        <x:v>LME_011</x:v>
      </x:c>
      <x:c r="B138" s="46" t="str">
        <x:v>Pacific Central-American Coastal</x:v>
      </x:c>
      <x:c r="C138" s="46" t="str">
        <x:v>LME</x:v>
      </x:c>
      <x:c r="D138" s="58" t="n">
        <x:v>2019</x:v>
      </x:c>
      <x:c r="E138" s="46" t="str">
        <x:v>Cynoscion reticulatus</x:v>
      </x:c>
      <x:c r="F138" s="46" t="str">
        <x:v>Mexican striped weakfish</x:v>
      </x:c>
      <x:c r="G138" s="46" t="str">
        <x:v>Medium demersals (30 - 89 cm)</x:v>
      </x:c>
      <x:c r="H138" s="46" t="str">
        <x:v>Perch-likes</x:v>
      </x:c>
      <x:c r="I138" s="60" t="n">
        <x:v>314.3209275628</x:v>
      </x:c>
      <x:c r="J138" s="60" t="n">
        <x:v>314.3209275628</x:v>
      </x:c>
      <x:c r="K138" s="60" t="n">
        <x:v>0</x:v>
      </x:c>
      <x:c r="L138" s="60" t="n">
        <x:v>0</x:v>
      </x:c>
      <x:c r="M138" s="60" t="n">
        <x:v>314.3209275628</x:v>
      </x:c>
      <x:c r="N138" s="46" t="str">
        <x:v>cynoscion reticulatus</x:v>
      </x:c>
      <x:c r="O138" s="62" t="n">
        <x:v>3.89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Cynoscion reticulatus</x:v>
      </x:c>
      <x:c r="T138" s="62" t="n">
        <x:f>IF(O138="","",(1/'Metadata'!$B$5)^(O138-1))</x:f>
        <x:v>776.247116628692</x:v>
      </x:c>
      <x:c r="U138" s="60" t="n">
        <x:f>IF(T138="","",I138*T138)</x:f>
        <x:v>243990.71371667946</x:v>
      </x:c>
    </x:row>
    <x:row r="139" ht="18" customHeight="1">
      <x:c r="A139" s="46" t="str">
        <x:v>LME_011</x:v>
      </x:c>
      <x:c r="B139" s="46" t="str">
        <x:v>Pacific Central-American Coastal</x:v>
      </x:c>
      <x:c r="C139" s="46" t="str">
        <x:v>LME</x:v>
      </x:c>
      <x:c r="D139" s="58" t="n">
        <x:v>2019</x:v>
      </x:c>
      <x:c r="E139" s="46" t="str">
        <x:v>Dermatolepis dermatolepis</x:v>
      </x:c>
      <x:c r="F139" s="46" t="str">
        <x:v>Leather bass</x:v>
      </x:c>
      <x:c r="G139" s="46" t="str">
        <x:v>Small pelagics (&lt;30 cm)</x:v>
      </x:c>
      <x:c r="H139" s="46" t="str">
        <x:v>Perch-likes</x:v>
      </x:c>
      <x:c r="I139" s="60" t="n">
        <x:v>300.0196356817</x:v>
      </x:c>
      <x:c r="J139" s="60" t="n">
        <x:v>300.0196356817</x:v>
      </x:c>
      <x:c r="K139" s="60" t="n">
        <x:v>0</x:v>
      </x:c>
      <x:c r="L139" s="60" t="n">
        <x:v>150.9186614974</x:v>
      </x:c>
      <x:c r="M139" s="60" t="n">
        <x:v>149.1009741843</x:v>
      </x:c>
      <x:c r="N139" s="46" t="str">
        <x:v>dermatolepis dermatolepis</x:v>
      </x:c>
      <x:c r="O139" s="62" t="n">
        <x:v>4.5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Dermatolepis dermatolepis</x:v>
      </x:c>
      <x:c r="T139" s="62" t="n">
        <x:f>IF(O139="","",(1/'Metadata'!$B$5)^(O139-1))</x:f>
        <x:v>3162.2776601683795</x:v>
      </x:c>
      <x:c r="U139" s="60" t="n">
        <x:f>IF(T139="","",I139*T139)</x:f>
        <x:v>948745.3915280959</x:v>
      </x:c>
    </x:row>
    <x:row r="140" ht="18" customHeight="1">
      <x:c r="A140" s="46" t="str">
        <x:v>LME_011</x:v>
      </x:c>
      <x:c r="B140" s="46" t="str">
        <x:v>Pacific Central-American Coastal</x:v>
      </x:c>
      <x:c r="C140" s="46" t="str">
        <x:v>LME</x:v>
      </x:c>
      <x:c r="D140" s="58" t="n">
        <x:v>2019</x:v>
      </x:c>
      <x:c r="E140" s="46" t="str">
        <x:v>Isurus oxyrinchus</x:v>
      </x:c>
      <x:c r="F140" s="46" t="str">
        <x:v>Shortfin mako</x:v>
      </x:c>
      <x:c r="G140" s="46" t="str">
        <x:v>Large sharks (&gt;=90 cm)</x:v>
      </x:c>
      <x:c r="H140" s="46" t="str">
        <x:v>Sharks &amp; rays</x:v>
      </x:c>
      <x:c r="I140" s="60" t="n">
        <x:v>297.7558201915</x:v>
      </x:c>
      <x:c r="J140" s="60" t="n">
        <x:v>283.1755998773</x:v>
      </x:c>
      <x:c r="K140" s="60" t="n">
        <x:v>14.5802203142</x:v>
      </x:c>
      <x:c r="L140" s="60" t="n">
        <x:v>171.590465773</x:v>
      </x:c>
      <x:c r="M140" s="60" t="n">
        <x:v>126.1653544185</x:v>
      </x:c>
      <x:c r="N140" s="46" t="str">
        <x:v>isurus oxyrinchus</x:v>
      </x:c>
      <x:c r="O140" s="62" t="n">
        <x:v>4.5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Isurus oxyrinchus</x:v>
      </x:c>
      <x:c r="T140" s="62" t="n">
        <x:f>IF(O140="","",(1/'Metadata'!$B$5)^(O140-1))</x:f>
        <x:v>3162.2776601683795</x:v>
      </x:c>
      <x:c r="U140" s="60" t="n">
        <x:f>IF(T140="","",I140*T140)</x:f>
        <x:v>941586.5783766933</x:v>
      </x:c>
    </x:row>
    <x:row r="141" ht="18" customHeight="1">
      <x:c r="A141" s="46" t="str">
        <x:v>LME_011</x:v>
      </x:c>
      <x:c r="B141" s="46" t="str">
        <x:v>Pacific Central-American Coastal</x:v>
      </x:c>
      <x:c r="C141" s="46" t="str">
        <x:v>LME</x:v>
      </x:c>
      <x:c r="D141" s="58" t="n">
        <x:v>2019</x:v>
      </x:c>
      <x:c r="E141" s="46" t="str">
        <x:v>Epinephelus itajara</x:v>
      </x:c>
      <x:c r="F141" s="46" t="str">
        <x:v>Atlantic goliath grouper</x:v>
      </x:c>
      <x:c r="G141" s="46" t="str">
        <x:v>Large reef assoc. fish (&gt;=90 cm)</x:v>
      </x:c>
      <x:c r="H141" s="46" t="str">
        <x:v>Perch-likes</x:v>
      </x:c>
      <x:c r="I141" s="60" t="n">
        <x:v>295.6213843496</x:v>
      </x:c>
      <x:c r="J141" s="60" t="n">
        <x:v>295.6213843496</x:v>
      </x:c>
      <x:c r="K141" s="60" t="n">
        <x:v>0</x:v>
      </x:c>
      <x:c r="L141" s="60" t="n">
        <x:v>121.2893993756</x:v>
      </x:c>
      <x:c r="M141" s="60" t="n">
        <x:v>174.331984974</x:v>
      </x:c>
      <x:c r="N141" s="46" t="str">
        <x:v>epinephelus itajara</x:v>
      </x:c>
      <x:c r="O141" s="62" t="n">
        <x:v>4.09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Epinephelus itajara</x:v>
      </x:c>
      <x:c r="T141" s="62" t="n">
        <x:f>IF(O141="","",(1/'Metadata'!$B$5)^(O141-1))</x:f>
        <x:v>1230.268770812381</x:v>
      </x:c>
      <x:c r="U141" s="60" t="n">
        <x:f>IF(T141="","",I141*T141)</x:f>
        <x:v>363693.75714963686</x:v>
      </x:c>
    </x:row>
    <x:row r="142" ht="18" customHeight="1">
      <x:c r="A142" s="46" t="str">
        <x:v>LME_011</x:v>
      </x:c>
      <x:c r="B142" s="46" t="str">
        <x:v>Pacific Central-American Coastal</x:v>
      </x:c>
      <x:c r="C142" s="46" t="str">
        <x:v>LME</x:v>
      </x:c>
      <x:c r="D142" s="58" t="n">
        <x:v>2019</x:v>
      </x:c>
      <x:c r="E142" s="46" t="str">
        <x:v>Sciades dowii</x:v>
      </x:c>
      <x:c r="F142" s="46" t="str">
        <x:v>Brown sea catfish</x:v>
      </x:c>
      <x:c r="G142" s="46" t="str">
        <x:v>Medium demersals (30 - 89 cm)</x:v>
      </x:c>
      <x:c r="H142" s="46" t="str">
        <x:v>Other fishes &amp; inverts</x:v>
      </x:c>
      <x:c r="I142" s="60" t="n">
        <x:v>291.22594752000003</x:v>
      </x:c>
      <x:c r="J142" s="60" t="n">
        <x:v>291.22594752000003</x:v>
      </x:c>
      <x:c r="K142" s="60" t="n">
        <x:v>0</x:v>
      </x:c>
      <x:c r="L142" s="60" t="n">
        <x:v>291.22594752000003</x:v>
      </x:c>
      <x:c r="M142" s="60" t="n">
        <x:v>0</x:v>
      </x:c>
      <x:c r="N142" s="46" t="str">
        <x:v>sciades dowii</x:v>
      </x:c>
      <x:c r="O142" s="62" t="n">
        <x:v>4.03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Sciades dowii</x:v>
      </x:c>
      <x:c r="T142" s="62" t="n">
        <x:f>IF(O142="","",(1/'Metadata'!$B$5)^(O142-1))</x:f>
        <x:v>1071.519305237607</x:v>
      </x:c>
      <x:c r="U142" s="60" t="n">
        <x:f>IF(T142="","",I142*T142)</x:f>
        <x:v>312054.22495379427</x:v>
      </x:c>
    </x:row>
    <x:row r="143" ht="18" customHeight="1">
      <x:c r="A143" s="46" t="str">
        <x:v>LME_011</x:v>
      </x:c>
      <x:c r="B143" s="46" t="str">
        <x:v>Pacific Central-American Coastal</x:v>
      </x:c>
      <x:c r="C143" s="46" t="str">
        <x:v>LME</x:v>
      </x:c>
      <x:c r="D143" s="58" t="n">
        <x:v>2019</x:v>
      </x:c>
      <x:c r="E143" s="46" t="str">
        <x:v>Epinephelus labriformis</x:v>
      </x:c>
      <x:c r="F143" s="46" t="str">
        <x:v>Starry grouper</x:v>
      </x:c>
      <x:c r="G143" s="46" t="str">
        <x:v>Small pelagics (&lt;30 cm)</x:v>
      </x:c>
      <x:c r="H143" s="46" t="str">
        <x:v>Perch-likes</x:v>
      </x:c>
      <x:c r="I143" s="60" t="n">
        <x:v>289.76321056700004</x:v>
      </x:c>
      <x:c r="J143" s="60" t="n">
        <x:v>289.76321056700004</x:v>
      </x:c>
      <x:c r="K143" s="60" t="n">
        <x:v>0</x:v>
      </x:c>
      <x:c r="L143" s="60" t="n">
        <x:v>145.75937935070002</x:v>
      </x:c>
      <x:c r="M143" s="60" t="n">
        <x:v>144.0038312163</x:v>
      </x:c>
      <x:c r="N143" s="46" t="str">
        <x:v>epinephelus labriformis</x:v>
      </x:c>
      <x:c r="O143" s="62" t="n">
        <x:v>4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Epinephelus labriformis</x:v>
      </x:c>
      <x:c r="T143" s="62" t="n">
        <x:f>IF(O143="","",(1/'Metadata'!$B$5)^(O143-1))</x:f>
        <x:v>1000</x:v>
      </x:c>
      <x:c r="U143" s="60" t="n">
        <x:f>IF(T143="","",I143*T143)</x:f>
        <x:v>289763.21056700003</x:v>
      </x:c>
    </x:row>
    <x:row r="144" ht="18" customHeight="1">
      <x:c r="A144" s="46" t="str">
        <x:v>LME_011</x:v>
      </x:c>
      <x:c r="B144" s="46" t="str">
        <x:v>Pacific Central-American Coastal</x:v>
      </x:c>
      <x:c r="C144" s="46" t="str">
        <x:v>LME</x:v>
      </x:c>
      <x:c r="D144" s="58" t="n">
        <x:v>2019</x:v>
      </x:c>
      <x:c r="E144" s="46" t="str">
        <x:v>Hoplopagrus guentherii</x:v>
      </x:c>
      <x:c r="F144" s="46" t="str">
        <x:v>Mexican barred snapper</x:v>
      </x:c>
      <x:c r="G144" s="46" t="str">
        <x:v>Medium reef assoc. fish (30 - 89 cm)</x:v>
      </x:c>
      <x:c r="H144" s="46" t="str">
        <x:v>Perch-likes</x:v>
      </x:c>
      <x:c r="I144" s="60" t="n">
        <x:v>286.6753141899</x:v>
      </x:c>
      <x:c r="J144" s="60" t="n">
        <x:v>286.6753141899</x:v>
      </x:c>
      <x:c r="K144" s="60" t="n">
        <x:v>0</x:v>
      </x:c>
      <x:c r="L144" s="60" t="n">
        <x:v>192.9089329997</x:v>
      </x:c>
      <x:c r="M144" s="60" t="n">
        <x:v>93.7663811902</x:v>
      </x:c>
      <x:c r="N144" s="46" t="str">
        <x:v>hoplopagrus guentherii</x:v>
      </x:c>
      <x:c r="O144" s="62" t="n">
        <x:v>3.8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Hoplopagrus guentherii</x:v>
      </x:c>
      <x:c r="T144" s="62" t="n">
        <x:f>IF(O144="","",(1/'Metadata'!$B$5)^(O144-1))</x:f>
        <x:v>630.957344480193</x:v>
      </x:c>
      <x:c r="U144" s="60" t="n">
        <x:f>IF(T144="","",I144*T144)</x:f>
        <x:v>180879.8949692843</x:v>
      </x:c>
    </x:row>
    <x:row r="145" ht="18" customHeight="1">
      <x:c r="A145" s="46" t="str">
        <x:v>LME_011</x:v>
      </x:c>
      <x:c r="B145" s="46" t="str">
        <x:v>Pacific Central-American Coastal</x:v>
      </x:c>
      <x:c r="C145" s="46" t="str">
        <x:v>LME</x:v>
      </x:c>
      <x:c r="D145" s="58" t="n">
        <x:v>2019</x:v>
      </x:c>
      <x:c r="E145" s="46" t="str">
        <x:v>Teuthida</x:v>
      </x:c>
      <x:c r="F145" s="46" t="str">
        <x:v>Squids</x:v>
      </x:c>
      <x:c r="G145" s="46" t="str">
        <x:v>Cephalopods</x:v>
      </x:c>
      <x:c r="H145" s="46" t="str">
        <x:v>Other fishes &amp; inverts</x:v>
      </x:c>
      <x:c r="I145" s="60" t="n">
        <x:v>286.3336967601</x:v>
      </x:c>
      <x:c r="J145" s="60" t="n">
        <x:v>286.3336967601</x:v>
      </x:c>
      <x:c r="K145" s="60" t="n">
        <x:v>0</x:v>
      </x:c>
      <x:c r="L145" s="60" t="n">
        <x:v>171.3147063521</x:v>
      </x:c>
      <x:c r="M145" s="60" t="n">
        <x:v>115.018990408</x:v>
      </x:c>
      <x:c r="N145" s="46" t="str">
        <x:v>teuthida</x:v>
      </x:c>
      <x:c r="O145" s="62" t="n">
        <x:v>4.13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Teuthida</x:v>
      </x:c>
      <x:c r="T145" s="62" t="n">
        <x:f>IF(O145="","",(1/'Metadata'!$B$5)^(O145-1))</x:f>
        <x:v>1348.9628825916532</x:v>
      </x:c>
      <x:c r="U145" s="60" t="n">
        <x:f>IF(T145="","",I145*T145)</x:f>
        <x:v>386253.5289646288</x:v>
      </x:c>
    </x:row>
    <x:row r="146" ht="18" customHeight="1">
      <x:c r="A146" s="46" t="str">
        <x:v>LME_011</x:v>
      </x:c>
      <x:c r="B146" s="46" t="str">
        <x:v>Pacific Central-American Coastal</x:v>
      </x:c>
      <x:c r="C146" s="46" t="str">
        <x:v>LME</x:v>
      </x:c>
      <x:c r="D146" s="58" t="n">
        <x:v>2019</x:v>
      </x:c>
      <x:c r="E146" s="46" t="str">
        <x:v>Ophichthus</x:v>
      </x:c>
      <x:c r="F146" s="46" t="str">
        <x:v>Snake eel</x:v>
      </x:c>
      <x:c r="G146" s="46" t="str">
        <x:v>Medium demersals (30 - 89 cm)</x:v>
      </x:c>
      <x:c r="H146" s="46" t="str">
        <x:v>Other fishes &amp; inverts</x:v>
      </x:c>
      <x:c r="I146" s="60" t="n">
        <x:v>281.8511181445</x:v>
      </x:c>
      <x:c r="J146" s="60" t="n">
        <x:v>281.8511181445</x:v>
      </x:c>
      <x:c r="K146" s="60" t="n">
        <x:v>0</x:v>
      </x:c>
      <x:c r="L146" s="60" t="n">
        <x:v>141.8372893332</x:v>
      </x:c>
      <x:c r="M146" s="60" t="n">
        <x:v>140.0138288113</x:v>
      </x:c>
      <x:c r="N146" s="46" t="str">
        <x:v>ophichthus</x:v>
      </x:c>
      <x:c r="O146" s="62" t="n">
        <x:v>4.05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Ophichthus</x:v>
      </x:c>
      <x:c r="T146" s="62" t="n">
        <x:f>IF(O146="","",(1/'Metadata'!$B$5)^(O146-1))</x:f>
        <x:v>1122.018454301963</x:v>
      </x:c>
      <x:c r="U146" s="60" t="n">
        <x:f>IF(T146="","",I146*T146)</x:f>
        <x:v>316242.15592377185</x:v>
      </x:c>
    </x:row>
    <x:row r="147" ht="18" customHeight="1">
      <x:c r="A147" s="46" t="str">
        <x:v>LME_011</x:v>
      </x:c>
      <x:c r="B147" s="46" t="str">
        <x:v>Pacific Central-American Coastal</x:v>
      </x:c>
      <x:c r="C147" s="46" t="str">
        <x:v>LME</x:v>
      </x:c>
      <x:c r="D147" s="58" t="n">
        <x:v>2019</x:v>
      </x:c>
      <x:c r="E147" s="46" t="str">
        <x:v>Istiophoridae</x:v>
      </x:c>
      <x:c r="F147" s="46" t="str">
        <x:v>Billfishes</x:v>
      </x:c>
      <x:c r="G147" s="46" t="str">
        <x:v>Large pelagics (&gt;=90 cm)</x:v>
      </x:c>
      <x:c r="H147" s="46" t="str">
        <x:v>Tuna &amp; billfishes</x:v>
      </x:c>
      <x:c r="I147" s="60" t="n">
        <x:v>278.3188512054</x:v>
      </x:c>
      <x:c r="J147" s="60" t="n">
        <x:v>245.2149671361</x:v>
      </x:c>
      <x:c r="K147" s="60" t="n">
        <x:v>33.10388406930001</x:v>
      </x:c>
      <x:c r="L147" s="60" t="n">
        <x:v>236.3388684151</x:v>
      </x:c>
      <x:c r="M147" s="60" t="n">
        <x:v>41.97998279030001</x:v>
      </x:c>
      <x:c r="N147" s="46" t="str">
        <x:v>istiophoridae</x:v>
      </x:c>
      <x:c r="O147" s="62" t="n">
        <x:v>4.48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Istiophoridae</x:v>
      </x:c>
      <x:c r="T147" s="62" t="n">
        <x:f>IF(O147="","",(1/'Metadata'!$B$5)^(O147-1))</x:f>
        <x:v>3019.951720402019</x:v>
      </x:c>
      <x:c r="U147" s="60" t="n">
        <x:f>IF(T147="","",I147*T147)</x:f>
        <x:v>840509.4935180612</x:v>
      </x:c>
    </x:row>
    <x:row r="148" ht="18" customHeight="1">
      <x:c r="A148" s="46" t="str">
        <x:v>LME_011</x:v>
      </x:c>
      <x:c r="B148" s="46" t="str">
        <x:v>Pacific Central-American Coastal</x:v>
      </x:c>
      <x:c r="C148" s="46" t="str">
        <x:v>LME</x:v>
      </x:c>
      <x:c r="D148" s="58" t="n">
        <x:v>2019</x:v>
      </x:c>
      <x:c r="E148" s="46" t="str">
        <x:v>Batrachoididae</x:v>
      </x:c>
      <x:c r="F148" s="46" t="str">
        <x:v>Toadfishes</x:v>
      </x:c>
      <x:c r="G148" s="46" t="str">
        <x:v>Large reef assoc. fish (&gt;=90 cm)</x:v>
      </x:c>
      <x:c r="H148" s="46" t="str">
        <x:v>Other fishes &amp; inverts</x:v>
      </x:c>
      <x:c r="I148" s="60" t="n">
        <x:v>270.9674345419</x:v>
      </x:c>
      <x:c r="J148" s="60" t="n">
        <x:v>216.1037130227</x:v>
      </x:c>
      <x:c r="K148" s="60" t="n">
        <x:v>54.8637215192</x:v>
      </x:c>
      <x:c r="L148" s="60" t="n">
        <x:v>0</x:v>
      </x:c>
      <x:c r="M148" s="60" t="n">
        <x:v>270.9674345419</x:v>
      </x:c>
      <x:c r="N148" s="46" t="str">
        <x:v>batrachoididae</x:v>
      </x:c>
      <x:c r="O148" s="62" t="n">
        <x:v>3.66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Batrachoididae</x:v>
      </x:c>
      <x:c r="T148" s="62" t="n">
        <x:f>IF(O148="","",(1/'Metadata'!$B$5)^(O148-1))</x:f>
        <x:v>457.0881896148752</x:v>
      </x:c>
      <x:c r="U148" s="60" t="n">
        <x:f>IF(T148="","",I148*T148)</x:f>
        <x:v>123856.01409934426</x:v>
      </x:c>
    </x:row>
    <x:row r="149" ht="18" customHeight="1">
      <x:c r="A149" s="46" t="str">
        <x:v>LME_011</x:v>
      </x:c>
      <x:c r="B149" s="46" t="str">
        <x:v>Pacific Central-American Coastal</x:v>
      </x:c>
      <x:c r="C149" s="46" t="str">
        <x:v>LME</x:v>
      </x:c>
      <x:c r="D149" s="58" t="n">
        <x:v>2019</x:v>
      </x:c>
      <x:c r="E149" s="46" t="str">
        <x:v>Makaira mazara</x:v>
      </x:c>
      <x:c r="F149" s="46" t="str">
        <x:v>Indo-Pacific blue marlin</x:v>
      </x:c>
      <x:c r="G149" s="46" t="str">
        <x:v>Large pelagics (&gt;=90 cm)</x:v>
      </x:c>
      <x:c r="H149" s="46" t="str">
        <x:v>Tuna &amp; billfishes</x:v>
      </x:c>
      <x:c r="I149" s="60" t="n">
        <x:v>266.34009840749997</x:v>
      </x:c>
      <x:c r="J149" s="60" t="n">
        <x:v>98.927177022</x:v>
      </x:c>
      <x:c r="K149" s="60" t="n">
        <x:v>167.4129213855</x:v>
      </x:c>
      <x:c r="L149" s="60" t="n">
        <x:v>0</x:v>
      </x:c>
      <x:c r="M149" s="60" t="n">
        <x:v>266.34009840749997</x:v>
      </x:c>
      <x:c r="N149" s="46" t="str">
        <x:v>makaira mazara</x:v>
      </x:c>
      <x:c r="O149" s="62" t="n">
        <x:v>4.46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Makaira mazara</x:v>
      </x:c>
      <x:c r="T149" s="62" t="n">
        <x:f>IF(O149="","",(1/'Metadata'!$B$5)^(O149-1))</x:f>
        <x:v>2884.031503126606</x:v>
      </x:c>
      <x:c r="U149" s="60" t="n">
        <x:f>IF(T149="","",I149*T149)</x:f>
        <x:v>768133.2343530703</x:v>
      </x:c>
    </x:row>
    <x:row r="150" ht="18" customHeight="1">
      <x:c r="A150" s="46" t="str">
        <x:v>LME_011</x:v>
      </x:c>
      <x:c r="B150" s="46" t="str">
        <x:v>Pacific Central-American Coastal</x:v>
      </x:c>
      <x:c r="C150" s="46" t="str">
        <x:v>LME</x:v>
      </x:c>
      <x:c r="D150" s="58" t="n">
        <x:v>2019</x:v>
      </x:c>
      <x:c r="E150" s="46" t="str">
        <x:v>Caranx caninus</x:v>
      </x:c>
      <x:c r="F150" s="46" t="str">
        <x:v>Pacific crevalle jack</x:v>
      </x:c>
      <x:c r="G150" s="46" t="str">
        <x:v>Large pelagics (&gt;=90 cm)</x:v>
      </x:c>
      <x:c r="H150" s="46" t="str">
        <x:v>Tuna &amp; billfishes</x:v>
      </x:c>
      <x:c r="I150" s="60" t="n">
        <x:v>259.8009516089</x:v>
      </x:c>
      <x:c r="J150" s="60" t="n">
        <x:v>259.8009516089</x:v>
      </x:c>
      <x:c r="K150" s="60" t="n">
        <x:v>0</x:v>
      </x:c>
      <x:c r="L150" s="60" t="n">
        <x:v>259.8009516089</x:v>
      </x:c>
      <x:c r="M150" s="60" t="n">
        <x:v>0</x:v>
      </x:c>
      <x:c r="N150" s="46" t="str">
        <x:v>caranx caninus</x:v>
      </x:c>
      <x:c r="O150" s="62" t="n">
        <x:v>3.9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Caranx caninus</x:v>
      </x:c>
      <x:c r="T150" s="62" t="n">
        <x:f>IF(O150="","",(1/'Metadata'!$B$5)^(O150-1))</x:f>
        <x:v>794.3282347242813</x:v>
      </x:c>
      <x:c r="U150" s="60" t="n">
        <x:f>IF(T150="","",I150*T150)</x:f>
        <x:v>206367.23127118597</x:v>
      </x:c>
    </x:row>
    <x:row r="151" ht="18" customHeight="1">
      <x:c r="A151" s="46" t="str">
        <x:v>LME_011</x:v>
      </x:c>
      <x:c r="B151" s="46" t="str">
        <x:v>Pacific Central-American Coastal</x:v>
      </x:c>
      <x:c r="C151" s="46" t="str">
        <x:v>LME</x:v>
      </x:c>
      <x:c r="D151" s="58" t="n">
        <x:v>2019</x:v>
      </x:c>
      <x:c r="E151" s="46" t="str">
        <x:v>Lutjanus argentiventris</x:v>
      </x:c>
      <x:c r="F151" s="46" t="str">
        <x:v>Yellow snapper</x:v>
      </x:c>
      <x:c r="G151" s="46" t="str">
        <x:v>Medium reef assoc. fish (30 - 89 cm)</x:v>
      </x:c>
      <x:c r="H151" s="46" t="str">
        <x:v>Perch-likes</x:v>
      </x:c>
      <x:c r="I151" s="60" t="n">
        <x:v>259.7386989436</x:v>
      </x:c>
      <x:c r="J151" s="60" t="n">
        <x:v>259.7386989436</x:v>
      </x:c>
      <x:c r="K151" s="60" t="n">
        <x:v>0</x:v>
      </x:c>
      <x:c r="L151" s="60" t="n">
        <x:v>199.8869893844</x:v>
      </x:c>
      <x:c r="M151" s="60" t="n">
        <x:v>59.851709559199996</x:v>
      </x:c>
      <x:c r="N151" s="46" t="str">
        <x:v>lutjanus argentiventris</x:v>
      </x:c>
      <x:c r="O151" s="62" t="n">
        <x:v>4.04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Lutjanus argentiventris</x:v>
      </x:c>
      <x:c r="T151" s="62" t="n">
        <x:f>IF(O151="","",(1/'Metadata'!$B$5)^(O151-1))</x:f>
        <x:v>1096.4781961431852</x:v>
      </x:c>
      <x:c r="U151" s="60" t="n">
        <x:f>IF(T151="","",I151*T151)</x:f>
        <x:v>284797.82008625637</x:v>
      </x:c>
    </x:row>
    <x:row r="152" ht="18" customHeight="1">
      <x:c r="A152" s="46" t="str">
        <x:v>LME_011</x:v>
      </x:c>
      <x:c r="B152" s="46" t="str">
        <x:v>Pacific Central-American Coastal</x:v>
      </x:c>
      <x:c r="C152" s="46" t="str">
        <x:v>LME</x:v>
      </x:c>
      <x:c r="D152" s="58" t="n">
        <x:v>2019</x:v>
      </x:c>
      <x:c r="E152" s="46" t="str">
        <x:v>Thunnus alalunga</x:v>
      </x:c>
      <x:c r="F152" s="46" t="str">
        <x:v>Albacore</x:v>
      </x:c>
      <x:c r="G152" s="46" t="str">
        <x:v>Large pelagics (&gt;=90 cm)</x:v>
      </x:c>
      <x:c r="H152" s="46" t="str">
        <x:v>Tuna &amp; billfishes</x:v>
      </x:c>
      <x:c r="I152" s="60" t="n">
        <x:v>256.0023203086</x:v>
      </x:c>
      <x:c r="J152" s="60" t="n">
        <x:v>253.5127871395</x:v>
      </x:c>
      <x:c r="K152" s="60" t="n">
        <x:v>2.4895331691</x:v>
      </x:c>
      <x:c r="L152" s="60" t="n">
        <x:v>253.5127871395</x:v>
      </x:c>
      <x:c r="M152" s="60" t="n">
        <x:v>2.4895331691</x:v>
      </x:c>
      <x:c r="N152" s="46" t="str">
        <x:v>thunnus alalunga</x:v>
      </x:c>
      <x:c r="O152" s="62" t="n">
        <x:v>4.3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Thunnus alalunga</x:v>
      </x:c>
      <x:c r="T152" s="62" t="n">
        <x:f>IF(O152="","",(1/'Metadata'!$B$5)^(O152-1))</x:f>
        <x:v>1995.2623149688789</x:v>
      </x:c>
      <x:c r="U152" s="60" t="n">
        <x:f>IF(T152="","",I152*T152)</x:f>
        <x:v>510791.7822563417</x:v>
      </x:c>
    </x:row>
    <x:row r="153" ht="18" customHeight="1">
      <x:c r="A153" s="46" t="str">
        <x:v>LME_011</x:v>
      </x:c>
      <x:c r="B153" s="46" t="str">
        <x:v>Pacific Central-American Coastal</x:v>
      </x:c>
      <x:c r="C153" s="46" t="str">
        <x:v>LME</x:v>
      </x:c>
      <x:c r="D153" s="58" t="n">
        <x:v>2019</x:v>
      </x:c>
      <x:c r="E153" s="46" t="str">
        <x:v>Carcharhinidae</x:v>
      </x:c>
      <x:c r="F153" s="46" t="str">
        <x:v>Requiem sharks</x:v>
      </x:c>
      <x:c r="G153" s="46" t="str">
        <x:v>Large sharks (&gt;=90 cm)</x:v>
      </x:c>
      <x:c r="H153" s="46" t="str">
        <x:v>Sharks &amp; rays</x:v>
      </x:c>
      <x:c r="I153" s="60" t="n">
        <x:v>247.10426757689999</x:v>
      </x:c>
      <x:c r="J153" s="60" t="n">
        <x:v>214.0384319783</x:v>
      </x:c>
      <x:c r="K153" s="60" t="n">
        <x:v>33.0658355986</x:v>
      </x:c>
      <x:c r="L153" s="60" t="n">
        <x:v>53.6145116147</x:v>
      </x:c>
      <x:c r="M153" s="60" t="n">
        <x:v>193.4897559622</x:v>
      </x:c>
      <x:c r="N153" s="46" t="str">
        <x:v>carcharhinidae</x:v>
      </x:c>
      <x:c r="O153" s="62" t="n">
        <x:v>4.24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Carcharhinidae</x:v>
      </x:c>
      <x:c r="T153" s="62" t="n">
        <x:f>IF(O153="","",(1/'Metadata'!$B$5)^(O153-1))</x:f>
        <x:v>1737.8008287493763</x:v>
      </x:c>
      <x:c r="U153" s="60" t="n">
        <x:f>IF(T153="","",I153*T153)</x:f>
        <x:v>429418.00098264444</x:v>
      </x:c>
    </x:row>
    <x:row r="154" ht="18" customHeight="1">
      <x:c r="A154" s="46" t="str">
        <x:v>LME_011</x:v>
      </x:c>
      <x:c r="B154" s="46" t="str">
        <x:v>Pacific Central-American Coastal</x:v>
      </x:c>
      <x:c r="C154" s="46" t="str">
        <x:v>LME</x:v>
      </x:c>
      <x:c r="D154" s="58" t="n">
        <x:v>2019</x:v>
      </x:c>
      <x:c r="E154" s="46" t="str">
        <x:v>Chaetodipterus zonatus</x:v>
      </x:c>
      <x:c r="F154" s="46" t="str">
        <x:v>Pacific spadefish</x:v>
      </x:c>
      <x:c r="G154" s="46" t="str">
        <x:v>Medium reef assoc. fish (30 - 89 cm)</x:v>
      </x:c>
      <x:c r="H154" s="46" t="str">
        <x:v>Perch-likes</x:v>
      </x:c>
      <x:c r="I154" s="60" t="n">
        <x:v>246.0907883166</x:v>
      </x:c>
      <x:c r="J154" s="60" t="n">
        <x:v>246.0907883166</x:v>
      </x:c>
      <x:c r="K154" s="60" t="n">
        <x:v>0</x:v>
      </x:c>
      <x:c r="L154" s="60" t="n">
        <x:v>221.7360828165</x:v>
      </x:c>
      <x:c r="M154" s="60" t="n">
        <x:v>24.3547055001</x:v>
      </x:c>
      <x:c r="N154" s="46" t="str">
        <x:v>chaetodipterus zonatus</x:v>
      </x:c>
      <x:c r="O154" s="62" t="n">
        <x:v>3.31</x:v>
      </x:c>
      <x:c r="P154" s="46" t="str">
        <x:v>exact_2020_supplement</x:v>
      </x:c>
      <x:c r="Q154" s="62" t="str">
        <x:v>2020 supplement MeanTL</x:v>
      </x:c>
      <x:c r="R154" s="46" t="str">
        <x:v>high</x:v>
      </x:c>
      <x:c r="S154" s="46" t="str">
        <x:v>Chaetodipterus zonatus</x:v>
      </x:c>
      <x:c r="T154" s="62" t="n">
        <x:f>IF(O154="","",(1/'Metadata'!$B$5)^(O154-1))</x:f>
        <x:v>204.17379446695296</x:v>
      </x:c>
      <x:c r="U154" s="60" t="n">
        <x:f>IF(T154="","",I154*T154)</x:f>
        <x:v>50245.290033963916</x:v>
      </x:c>
    </x:row>
    <x:row r="155" ht="18" customHeight="1">
      <x:c r="A155" s="46" t="str">
        <x:v>LME_011</x:v>
      </x:c>
      <x:c r="B155" s="46" t="str">
        <x:v>Pacific Central-American Coastal</x:v>
      </x:c>
      <x:c r="C155" s="46" t="str">
        <x:v>LME</x:v>
      </x:c>
      <x:c r="D155" s="58" t="n">
        <x:v>2019</x:v>
      </x:c>
      <x:c r="E155" s="46" t="str">
        <x:v>Thunnus obesus</x:v>
      </x:c>
      <x:c r="F155" s="46" t="str">
        <x:v>Bigeye tuna</x:v>
      </x:c>
      <x:c r="G155" s="46" t="str">
        <x:v>Large pelagics (&gt;=90 cm)</x:v>
      </x:c>
      <x:c r="H155" s="46" t="str">
        <x:v>Tuna &amp; billfishes</x:v>
      </x:c>
      <x:c r="I155" s="60" t="n">
        <x:v>242.96963821719999</x:v>
      </x:c>
      <x:c r="J155" s="60" t="n">
        <x:v>236.80653662039998</x:v>
      </x:c>
      <x:c r="K155" s="60" t="n">
        <x:v>6.163101596800001</x:v>
      </x:c>
      <x:c r="L155" s="60" t="n">
        <x:v>236.80653662039998</x:v>
      </x:c>
      <x:c r="M155" s="60" t="n">
        <x:v>6.163101596800001</x:v>
      </x:c>
      <x:c r="N155" s="46" t="str">
        <x:v>thunnus obesus</x:v>
      </x:c>
      <x:c r="O155" s="62" t="n">
        <x:v>4.49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Thunnus obesus</x:v>
      </x:c>
      <x:c r="T155" s="62" t="n">
        <x:f>IF(O155="","",(1/'Metadata'!$B$5)^(O155-1))</x:f>
        <x:v>3090.295432513592</x:v>
      </x:c>
      <x:c r="U155" s="60" t="n">
        <x:f>IF(T155="","",I155*T155)</x:f>
        <x:v>750847.963222093</x:v>
      </x:c>
    </x:row>
    <x:row r="156" ht="18" customHeight="1">
      <x:c r="A156" s="46" t="str">
        <x:v>LME_011</x:v>
      </x:c>
      <x:c r="B156" s="46" t="str">
        <x:v>Pacific Central-American Coastal</x:v>
      </x:c>
      <x:c r="C156" s="46" t="str">
        <x:v>LME</x:v>
      </x:c>
      <x:c r="D156" s="58" t="n">
        <x:v>2019</x:v>
      </x:c>
      <x:c r="E156" s="46" t="str">
        <x:v>Sphyrna lewini</x:v>
      </x:c>
      <x:c r="F156" s="46" t="str">
        <x:v>Scalloped hammerhead</x:v>
      </x:c>
      <x:c r="G156" s="46" t="str">
        <x:v>Large sharks (&gt;=90 cm)</x:v>
      </x:c>
      <x:c r="H156" s="46" t="str">
        <x:v>Sharks &amp; rays</x:v>
      </x:c>
      <x:c r="I156" s="60" t="n">
        <x:v>226.5344927798</x:v>
      </x:c>
      <x:c r="J156" s="60" t="n">
        <x:v>226.5344927798</x:v>
      </x:c>
      <x:c r="K156" s="60" t="n">
        <x:v>0</x:v>
      </x:c>
      <x:c r="L156" s="60" t="n">
        <x:v>90.1310541093</x:v>
      </x:c>
      <x:c r="M156" s="60" t="n">
        <x:v>136.40343867049998</x:v>
      </x:c>
      <x:c r="N156" s="46" t="str">
        <x:v>sphyrna lewini</x:v>
      </x:c>
      <x:c r="O156" s="62" t="n">
        <x:v>4.08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Sphyrna lewini</x:v>
      </x:c>
      <x:c r="T156" s="62" t="n">
        <x:f>IF(O156="","",(1/'Metadata'!$B$5)^(O156-1))</x:f>
        <x:v>1202.2644346174131</x:v>
      </x:c>
      <x:c r="U156" s="60" t="n">
        <x:f>IF(T156="","",I156*T156)</x:f>
        <x:v>272354.3638832487</x:v>
      </x:c>
    </x:row>
    <x:row r="157" ht="18" customHeight="1">
      <x:c r="A157" s="46" t="str">
        <x:v>LME_011</x:v>
      </x:c>
      <x:c r="B157" s="46" t="str">
        <x:v>Pacific Central-American Coastal</x:v>
      </x:c>
      <x:c r="C157" s="46" t="str">
        <x:v>LME</x:v>
      </x:c>
      <x:c r="D157" s="58" t="n">
        <x:v>2019</x:v>
      </x:c>
      <x:c r="E157" s="46" t="str">
        <x:v>Porichthys margaritatus</x:v>
      </x:c>
      <x:c r="F157" s="46" t="str">
        <x:v>Daisy midshipman</x:v>
      </x:c>
      <x:c r="G157" s="46" t="str">
        <x:v>Small demersals (&lt;30 cm)</x:v>
      </x:c>
      <x:c r="H157" s="46" t="str">
        <x:v>Other fishes &amp; inverts</x:v>
      </x:c>
      <x:c r="I157" s="60" t="n">
        <x:v>225.9594087747</x:v>
      </x:c>
      <x:c r="J157" s="60" t="n">
        <x:v>5.6198042673</x:v>
      </x:c>
      <x:c r="K157" s="60" t="n">
        <x:v>220.3396045074</x:v>
      </x:c>
      <x:c r="L157" s="60" t="n">
        <x:v>0</x:v>
      </x:c>
      <x:c r="M157" s="60" t="n">
        <x:v>225.9594087747</x:v>
      </x:c>
      <x:c r="N157" s="46" t="str">
        <x:v>porichthys margaritatus</x:v>
      </x:c>
      <x:c r="O157" s="62" t="n">
        <x:v>3.9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Porichthys margaritatus</x:v>
      </x:c>
      <x:c r="T157" s="62" t="n">
        <x:f>IF(O157="","",(1/'Metadata'!$B$5)^(O157-1))</x:f>
        <x:v>794.3282347242813</x:v>
      </x:c>
      <x:c r="U157" s="60" t="n">
        <x:f>IF(T157="","",I157*T157)</x:f>
        <x:v>179485.9382913497</x:v>
      </x:c>
    </x:row>
    <x:row r="158" ht="18" customHeight="1">
      <x:c r="A158" s="46" t="str">
        <x:v>LME_011</x:v>
      </x:c>
      <x:c r="B158" s="46" t="str">
        <x:v>Pacific Central-American Coastal</x:v>
      </x:c>
      <x:c r="C158" s="46" t="str">
        <x:v>LME</x:v>
      </x:c>
      <x:c r="D158" s="58" t="n">
        <x:v>2019</x:v>
      </x:c>
      <x:c r="E158" s="46" t="str">
        <x:v>Bivalvia</x:v>
      </x:c>
      <x:c r="F158" s="46" t="str">
        <x:v>Clams</x:v>
      </x:c>
      <x:c r="G158" s="46" t="str">
        <x:v>Other demersal invertebrates</x:v>
      </x:c>
      <x:c r="H158" s="46" t="str">
        <x:v>Molluscs</x:v>
      </x:c>
      <x:c r="I158" s="60" t="n">
        <x:v>200.7151568804</x:v>
      </x:c>
      <x:c r="J158" s="60" t="n">
        <x:v>200.7151568804</x:v>
      </x:c>
      <x:c r="K158" s="60" t="n">
        <x:v>0</x:v>
      </x:c>
      <x:c r="L158" s="60" t="n">
        <x:v>123.07805626439999</x:v>
      </x:c>
      <x:c r="M158" s="60" t="n">
        <x:v>77.637100616</x:v>
      </x:c>
      <x:c r="N158" s="46" t="str">
        <x:v>bivalvia</x:v>
      </x:c>
      <x:c r="O158" s="62" t="n">
        <x:v>2.23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Bivalvia</x:v>
      </x:c>
      <x:c r="T158" s="62" t="n">
        <x:f>IF(O158="","",(1/'Metadata'!$B$5)^(O158-1))</x:f>
        <x:v>16.982436524617444</x:v>
      </x:c>
      <x:c r="U158" s="60" t="n">
        <x:f>IF(T158="","",I158*T158)</x:f>
        <x:v>3408.632411250025</x:v>
      </x:c>
    </x:row>
    <x:row r="159" ht="18" customHeight="1">
      <x:c r="A159" s="46" t="str">
        <x:v>LME_011</x:v>
      </x:c>
      <x:c r="B159" s="46" t="str">
        <x:v>Pacific Central-American Coastal</x:v>
      </x:c>
      <x:c r="C159" s="46" t="str">
        <x:v>LME</x:v>
      </x:c>
      <x:c r="D159" s="58" t="n">
        <x:v>2019</x:v>
      </x:c>
      <x:c r="E159" s="46" t="str">
        <x:v>Carcharhinus limbatus</x:v>
      </x:c>
      <x:c r="F159" s="46" t="str">
        <x:v>Blacktip shark</x:v>
      </x:c>
      <x:c r="G159" s="46" t="str">
        <x:v>Large sharks (&gt;=90 cm)</x:v>
      </x:c>
      <x:c r="H159" s="46" t="str">
        <x:v>Sharks &amp; rays</x:v>
      </x:c>
      <x:c r="I159" s="60" t="n">
        <x:v>192.4877095772</x:v>
      </x:c>
      <x:c r="J159" s="60" t="n">
        <x:v>192.4877095772</x:v>
      </x:c>
      <x:c r="K159" s="60" t="n">
        <x:v>0</x:v>
      </x:c>
      <x:c r="L159" s="60" t="n">
        <x:v>150.2602516506</x:v>
      </x:c>
      <x:c r="M159" s="60" t="n">
        <x:v>42.2274579266</x:v>
      </x:c>
      <x:c r="N159" s="46" t="str">
        <x:v>carcharhinus limbatus</x:v>
      </x:c>
      <x:c r="O159" s="62" t="n">
        <x:v>4.37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Carcharhinus limbatus</x:v>
      </x:c>
      <x:c r="T159" s="62" t="n">
        <x:f>IF(O159="","",(1/'Metadata'!$B$5)^(O159-1))</x:f>
        <x:v>2344.228815319923</x:v>
      </x:c>
      <x:c r="U159" s="60" t="n">
        <x:f>IF(T159="","",I159*T159)</x:f>
        <x:v>451235.23538580496</x:v>
      </x:c>
    </x:row>
    <x:row r="160" ht="18" customHeight="1">
      <x:c r="A160" s="46" t="str">
        <x:v>LME_011</x:v>
      </x:c>
      <x:c r="B160" s="46" t="str">
        <x:v>Pacific Central-American Coastal</x:v>
      </x:c>
      <x:c r="C160" s="46" t="str">
        <x:v>LME</x:v>
      </x:c>
      <x:c r="D160" s="58" t="n">
        <x:v>2019</x:v>
      </x:c>
      <x:c r="E160" s="46" t="str">
        <x:v>Epinephelus quinquefasciatus</x:v>
      </x:c>
      <x:c r="F160" s="46" t="str">
        <x:v>Pacific goliath grouper</x:v>
      </x:c>
      <x:c r="G160" s="46" t="str">
        <x:v>Large reef assoc. fish (&gt;=90 cm)</x:v>
      </x:c>
      <x:c r="H160" s="46" t="str">
        <x:v>Perch-likes</x:v>
      </x:c>
      <x:c r="I160" s="60" t="n">
        <x:v>183.6089267885</x:v>
      </x:c>
      <x:c r="J160" s="60" t="n">
        <x:v>183.6089267885</x:v>
      </x:c>
      <x:c r="K160" s="60" t="n">
        <x:v>0</x:v>
      </x:c>
      <x:c r="L160" s="60" t="n">
        <x:v>183.6089267885</x:v>
      </x:c>
      <x:c r="M160" s="60" t="n">
        <x:v>0</x:v>
      </x:c>
      <x:c r="N160" s="46" t="str">
        <x:v>epinephelus quinquefasciatus</x:v>
      </x:c>
      <x:c r="O160" s="62" t="n">
        <x:v>4.2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Epinephelus quinquefasciatus</x:v>
      </x:c>
      <x:c r="T160" s="62" t="n">
        <x:f>IF(O160="","",(1/'Metadata'!$B$5)^(O160-1))</x:f>
        <x:v>1584.893192461114</x:v>
      </x:c>
      <x:c r="U160" s="60" t="n">
        <x:f>IF(T160="","",I160*T160)</x:f>
        <x:v>291000.5381421847</x:v>
      </x:c>
    </x:row>
    <x:row r="161" ht="18" customHeight="1">
      <x:c r="A161" s="46" t="str">
        <x:v>LME_011</x:v>
      </x:c>
      <x:c r="B161" s="46" t="str">
        <x:v>Pacific Central-American Coastal</x:v>
      </x:c>
      <x:c r="C161" s="46" t="str">
        <x:v>LME</x:v>
      </x:c>
      <x:c r="D161" s="58" t="n">
        <x:v>2019</x:v>
      </x:c>
      <x:c r="E161" s="46" t="str">
        <x:v>Merluccius productus</x:v>
      </x:c>
      <x:c r="F161" s="46" t="str">
        <x:v>North Pacific hake</x:v>
      </x:c>
      <x:c r="G161" s="46" t="str">
        <x:v>Medium benthopelagics (30 - 89 cm)</x:v>
      </x:c>
      <x:c r="H161" s="46" t="str">
        <x:v>Cod-likes</x:v>
      </x:c>
      <x:c r="I161" s="60" t="n">
        <x:v>177.1774716045</x:v>
      </x:c>
      <x:c r="J161" s="60" t="n">
        <x:v>177.1774716045</x:v>
      </x:c>
      <x:c r="K161" s="60" t="n">
        <x:v>0</x:v>
      </x:c>
      <x:c r="L161" s="60" t="n">
        <x:v>133.0269635671</x:v>
      </x:c>
      <x:c r="M161" s="60" t="n">
        <x:v>44.1505080374</x:v>
      </x:c>
      <x:c r="N161" s="46" t="str">
        <x:v>merluccius productus</x:v>
      </x:c>
      <x:c r="O161" s="62" t="n">
        <x:v>4.35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Merluccius productus</x:v>
      </x:c>
      <x:c r="T161" s="62" t="n">
        <x:f>IF(O161="","",(1/'Metadata'!$B$5)^(O161-1))</x:f>
        <x:v>2238.7211385683377</x:v>
      </x:c>
      <x:c r="U161" s="60" t="n">
        <x:f>IF(T161="","",I161*T161)</x:f>
        <x:v>396650.95095908555</x:v>
      </x:c>
    </x:row>
    <x:row r="162" ht="18" customHeight="1">
      <x:c r="A162" s="46" t="str">
        <x:v>LME_011</x:v>
      </x:c>
      <x:c r="B162" s="46" t="str">
        <x:v>Pacific Central-American Coastal</x:v>
      </x:c>
      <x:c r="C162" s="46" t="str">
        <x:v>LME</x:v>
      </x:c>
      <x:c r="D162" s="58" t="n">
        <x:v>2019</x:v>
      </x:c>
      <x:c r="E162" s="46" t="str">
        <x:v>Balistes</x:v>
      </x:c>
      <x:c r="F162" s="46" t="str">
        <x:v>Triggerfish</x:v>
      </x:c>
      <x:c r="G162" s="46" t="str">
        <x:v>Medium reef assoc. fish (30 - 89 cm)</x:v>
      </x:c>
      <x:c r="H162" s="46" t="str">
        <x:v>Other fishes &amp; inverts</x:v>
      </x:c>
      <x:c r="I162" s="60" t="n">
        <x:v>176.1113587188</x:v>
      </x:c>
      <x:c r="J162" s="60" t="n">
        <x:v>176.1113587188</x:v>
      </x:c>
      <x:c r="K162" s="60" t="n">
        <x:v>0</x:v>
      </x:c>
      <x:c r="L162" s="60" t="n">
        <x:v>0</x:v>
      </x:c>
      <x:c r="M162" s="60" t="n">
        <x:v>176.1113587188</x:v>
      </x:c>
      <x:c r="N162" s="46" t="str">
        <x:v>balistes</x:v>
      </x:c>
      <x:c r="O162" s="62" t="n">
        <x:v>3.94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Balistes</x:v>
      </x:c>
      <x:c r="T162" s="62" t="n">
        <x:f>IF(O162="","",(1/'Metadata'!$B$5)^(O162-1))</x:f>
        <x:v>870.9635899560806</x:v>
      </x:c>
      <x:c r="U162" s="60" t="n">
        <x:f>IF(T162="","",I162*T162)</x:f>
        <x:v>153386.58122176916</x:v>
      </x:c>
    </x:row>
    <x:row r="163" ht="18" customHeight="1">
      <x:c r="A163" s="46" t="str">
        <x:v>LME_011</x:v>
      </x:c>
      <x:c r="B163" s="46" t="str">
        <x:v>Pacific Central-American Coastal</x:v>
      </x:c>
      <x:c r="C163" s="46" t="str">
        <x:v>LME</x:v>
      </x:c>
      <x:c r="D163" s="58" t="n">
        <x:v>2019</x:v>
      </x:c>
      <x:c r="E163" s="46" t="str">
        <x:v>Selar crumenophthalmus</x:v>
      </x:c>
      <x:c r="F163" s="46" t="str">
        <x:v>Bigeye scad</x:v>
      </x:c>
      <x:c r="G163" s="46" t="str">
        <x:v>Medium pelagics (30 - 89 cm)</x:v>
      </x:c>
      <x:c r="H163" s="46" t="str">
        <x:v>Perch-likes</x:v>
      </x:c>
      <x:c r="I163" s="60" t="n">
        <x:v>170.5577769398</x:v>
      </x:c>
      <x:c r="J163" s="60" t="n">
        <x:v>170.5577769398</x:v>
      </x:c>
      <x:c r="K163" s="60" t="n">
        <x:v>0</x:v>
      </x:c>
      <x:c r="L163" s="60" t="n">
        <x:v>170.5577769398</x:v>
      </x:c>
      <x:c r="M163" s="60" t="n">
        <x:v>0</x:v>
      </x:c>
      <x:c r="N163" s="46" t="str">
        <x:v>selar crumenophthalmus</x:v>
      </x:c>
      <x:c r="O163" s="62" t="n">
        <x:v>3.81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Selar crumenophthalmus</x:v>
      </x:c>
      <x:c r="T163" s="62" t="n">
        <x:f>IF(O163="","",(1/'Metadata'!$B$5)^(O163-1))</x:f>
        <x:v>645.6542290346556</x:v>
      </x:c>
      <x:c r="U163" s="60" t="n">
        <x:f>IF(T163="","",I163*T163)</x:f>
        <x:v>110121.34997593133</x:v>
      </x:c>
    </x:row>
    <x:row r="164" ht="18" customHeight="1">
      <x:c r="A164" s="46" t="str">
        <x:v>LME_011</x:v>
      </x:c>
      <x:c r="B164" s="46" t="str">
        <x:v>Pacific Central-American Coastal</x:v>
      </x:c>
      <x:c r="C164" s="46" t="str">
        <x:v>LME</x:v>
      </x:c>
      <x:c r="D164" s="58" t="n">
        <x:v>2019</x:v>
      </x:c>
      <x:c r="E164" s="46" t="str">
        <x:v>Larimus pacificus</x:v>
      </x:c>
      <x:c r="F164" s="46" t="str">
        <x:v>Pacific drum</x:v>
      </x:c>
      <x:c r="G164" s="46" t="str">
        <x:v>Small pelagics (&lt;30 cm)</x:v>
      </x:c>
      <x:c r="H164" s="46" t="str">
        <x:v>Perch-likes</x:v>
      </x:c>
      <x:c r="I164" s="60" t="n">
        <x:v>169.6908851387</x:v>
      </x:c>
      <x:c r="J164" s="60" t="n">
        <x:v>165.8154092163</x:v>
      </x:c>
      <x:c r="K164" s="60" t="n">
        <x:v>3.8754759223999997</x:v>
      </x:c>
      <x:c r="L164" s="60" t="n">
        <x:v>143.7368844404</x:v>
      </x:c>
      <x:c r="M164" s="60" t="n">
        <x:v>25.9540006983</x:v>
      </x:c>
      <x:c r="N164" s="46" t="str">
        <x:v>larimus pacificus</x:v>
      </x:c>
      <x:c r="O164" s="62" t="n">
        <x:v>4.46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Larimus pacificus</x:v>
      </x:c>
      <x:c r="T164" s="62" t="n">
        <x:f>IF(O164="","",(1/'Metadata'!$B$5)^(O164-1))</x:f>
        <x:v>2884.031503126606</x:v>
      </x:c>
      <x:c r="U164" s="60" t="n">
        <x:f>IF(T164="","",I164*T164)</x:f>
        <x:v>489393.8585334492</x:v>
      </x:c>
    </x:row>
    <x:row r="165" ht="18" customHeight="1">
      <x:c r="A165" s="46" t="str">
        <x:v>LME_011</x:v>
      </x:c>
      <x:c r="B165" s="46" t="str">
        <x:v>Pacific Central-American Coastal</x:v>
      </x:c>
      <x:c r="C165" s="46" t="str">
        <x:v>LME</x:v>
      </x:c>
      <x:c r="D165" s="58" t="n">
        <x:v>2019</x:v>
      </x:c>
      <x:c r="E165" s="46" t="str">
        <x:v>Ariopsis seemanni</x:v>
      </x:c>
      <x:c r="F165" s="46" t="str">
        <x:v>Tete sea catfish</x:v>
      </x:c>
      <x:c r="G165" s="46" t="str">
        <x:v>Medium reef assoc. fish (30 - 89 cm)</x:v>
      </x:c>
      <x:c r="H165" s="46" t="str">
        <x:v>Other fishes &amp; inverts</x:v>
      </x:c>
      <x:c r="I165" s="60" t="n">
        <x:v>166.2611400228</x:v>
      </x:c>
      <x:c r="J165" s="60" t="n">
        <x:v>166.2611400228</x:v>
      </x:c>
      <x:c r="K165" s="60" t="n">
        <x:v>0</x:v>
      </x:c>
      <x:c r="L165" s="60" t="n">
        <x:v>166.2611400228</x:v>
      </x:c>
      <x:c r="M165" s="60" t="n">
        <x:v>0</x:v>
      </x:c>
      <x:c r="N165" s="46" t="str">
        <x:v>ariopsis seemanni</x:v>
      </x:c>
      <x:c r="O165" s="62" t="n">
        <x:v>3.57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Ariopsis seemanni</x:v>
      </x:c>
      <x:c r="T165" s="62" t="n">
        <x:f>IF(O165="","",(1/'Metadata'!$B$5)^(O165-1))</x:f>
        <x:v>371.5352290971724</x:v>
      </x:c>
      <x:c r="U165" s="60" t="n">
        <x:f>IF(T165="","",I165*T165)</x:f>
        <x:v>61771.87074832806</x:v>
      </x:c>
    </x:row>
    <x:row r="166" ht="18" customHeight="1">
      <x:c r="A166" s="46" t="str">
        <x:v>LME_011</x:v>
      </x:c>
      <x:c r="B166" s="46" t="str">
        <x:v>Pacific Central-American Coastal</x:v>
      </x:c>
      <x:c r="C166" s="46" t="str">
        <x:v>LME</x:v>
      </x:c>
      <x:c r="D166" s="58" t="n">
        <x:v>2019</x:v>
      </x:c>
      <x:c r="E166" s="46" t="str">
        <x:v>Isopisthus remifer</x:v>
      </x:c>
      <x:c r="F166" s="46" t="str">
        <x:v>Silver weakfish</x:v>
      </x:c>
      <x:c r="G166" s="46" t="str">
        <x:v>Medium benthopelagics (30 - 89 cm)</x:v>
      </x:c>
      <x:c r="H166" s="46" t="str">
        <x:v>Perch-likes</x:v>
      </x:c>
      <x:c r="I166" s="60" t="n">
        <x:v>163.6052251801</x:v>
      </x:c>
      <x:c r="J166" s="60" t="n">
        <x:v>163.6052251801</x:v>
      </x:c>
      <x:c r="K166" s="60" t="n">
        <x:v>0</x:v>
      </x:c>
      <x:c r="L166" s="60" t="n">
        <x:v>0</x:v>
      </x:c>
      <x:c r="M166" s="60" t="n">
        <x:v>163.6052251801</x:v>
      </x:c>
      <x:c r="N166" s="46" t="str">
        <x:v>isopisthus remifer</x:v>
      </x:c>
      <x:c r="O166" s="62" t="n">
        <x:v>4.22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Isopisthus remifer</x:v>
      </x:c>
      <x:c r="T166" s="62" t="n">
        <x:f>IF(O166="","",(1/'Metadata'!$B$5)^(O166-1))</x:f>
        <x:v>1659.5869074375596</x:v>
      </x:c>
      <x:c r="U166" s="60" t="n">
        <x:f>IF(T166="","",I166*T166)</x:f>
        <x:v>271517.08969726774</x:v>
      </x:c>
    </x:row>
    <x:row r="167" ht="18" customHeight="1">
      <x:c r="A167" s="46" t="str">
        <x:v>LME_011</x:v>
      </x:c>
      <x:c r="B167" s="46" t="str">
        <x:v>Pacific Central-American Coastal</x:v>
      </x:c>
      <x:c r="C167" s="46" t="str">
        <x:v>LME</x:v>
      </x:c>
      <x:c r="D167" s="58" t="n">
        <x:v>2019</x:v>
      </x:c>
      <x:c r="E167" s="46" t="str">
        <x:v>Echinodermata</x:v>
      </x:c>
      <x:c r="F167" s="46" t="str">
        <x:v>Sea urchins, stars, cucumbers</x:v>
      </x:c>
      <x:c r="G167" s="46" t="str">
        <x:v>Other demersal invertebrates</x:v>
      </x:c>
      <x:c r="H167" s="46" t="str">
        <x:v>Other fishes &amp; inverts</x:v>
      </x:c>
      <x:c r="I167" s="60" t="n">
        <x:v>157.4781860736</x:v>
      </x:c>
      <x:c r="J167" s="60" t="n">
        <x:v>157.4781860736</x:v>
      </x:c>
      <x:c r="K167" s="60" t="n">
        <x:v>0</x:v>
      </x:c>
      <x:c r="L167" s="60" t="n">
        <x:v>148.7319397624</x:v>
      </x:c>
      <x:c r="M167" s="60" t="n">
        <x:v>8.7462463112</x:v>
      </x:c>
      <x:c r="N167" s="46" t="str">
        <x:v>echinodermata</x:v>
      </x:c>
      <x:c r="O167" s="62" t="n">
        <x:v>2.3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Echinodermata</x:v>
      </x:c>
      <x:c r="T167" s="62" t="n">
        <x:f>IF(O167="","",(1/'Metadata'!$B$5)^(O167-1))</x:f>
        <x:v>19.952623149688787</x:v>
      </x:c>
      <x:c r="U167" s="60" t="n">
        <x:f>IF(T167="","",I167*T167)</x:f>
        <x:v>3142.1029010231096</x:v>
      </x:c>
    </x:row>
    <x:row r="168" ht="18" customHeight="1">
      <x:c r="A168" s="46" t="str">
        <x:v>LME_011</x:v>
      </x:c>
      <x:c r="B168" s="46" t="str">
        <x:v>Pacific Central-American Coastal</x:v>
      </x:c>
      <x:c r="C168" s="46" t="str">
        <x:v>LME</x:v>
      </x:c>
      <x:c r="D168" s="58" t="n">
        <x:v>2019</x:v>
      </x:c>
      <x:c r="E168" s="46" t="str">
        <x:v>Merluccius gayi</x:v>
      </x:c>
      <x:c r="F168" s="46" t="str">
        <x:v>South Pacific hake</x:v>
      </x:c>
      <x:c r="G168" s="46" t="str">
        <x:v>Medium bathydemersals (30 - 89 cm)</x:v>
      </x:c>
      <x:c r="H168" s="46" t="str">
        <x:v>Cod-likes</x:v>
      </x:c>
      <x:c r="I168" s="60" t="n">
        <x:v>146.2093149439</x:v>
      </x:c>
      <x:c r="J168" s="60" t="n">
        <x:v>117.2525565882</x:v>
      </x:c>
      <x:c r="K168" s="60" t="n">
        <x:v>28.9567583557</x:v>
      </x:c>
      <x:c r="L168" s="60" t="n">
        <x:v>117.2525565882</x:v>
      </x:c>
      <x:c r="M168" s="60" t="n">
        <x:v>28.9567583557</x:v>
      </x:c>
      <x:c r="N168" s="46" t="str">
        <x:v>merluccius gayi</x:v>
      </x:c>
      <x:c r="O168" s="62" t="n">
        <x:v>4.26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Merluccius gayi</x:v>
      </x:c>
      <x:c r="T168" s="62" t="n">
        <x:f>IF(O168="","",(1/'Metadata'!$B$5)^(O168-1))</x:f>
        <x:v>1819.7008586099826</x:v>
      </x:c>
      <x:c r="U168" s="60" t="n">
        <x:f>IF(T168="","",I168*T168)</x:f>
        <x:v>266057.2159401922</x:v>
      </x:c>
    </x:row>
    <x:row r="169" ht="18" customHeight="1">
      <x:c r="A169" s="46" t="str">
        <x:v>LME_011</x:v>
      </x:c>
      <x:c r="B169" s="46" t="str">
        <x:v>Pacific Central-American Coastal</x:v>
      </x:c>
      <x:c r="C169" s="46" t="str">
        <x:v>LME</x:v>
      </x:c>
      <x:c r="D169" s="58" t="n">
        <x:v>2019</x:v>
      </x:c>
      <x:c r="E169" s="46" t="str">
        <x:v>Hemiramphus</x:v>
      </x:c>
      <x:c r="F169" s="46" t="str">
        <x:v>Halfbeaks</x:v>
      </x:c>
      <x:c r="G169" s="46" t="str">
        <x:v>Medium pelagics (30 - 89 cm)</x:v>
      </x:c>
      <x:c r="H169" s="46" t="str">
        <x:v>Other fishes &amp; inverts</x:v>
      </x:c>
      <x:c r="I169" s="60" t="n">
        <x:v>145.6158781942</x:v>
      </x:c>
      <x:c r="J169" s="60" t="n">
        <x:v>145.6158781942</x:v>
      </x:c>
      <x:c r="K169" s="60" t="n">
        <x:v>0</x:v>
      </x:c>
      <x:c r="L169" s="60" t="n">
        <x:v>145.6158781942</x:v>
      </x:c>
      <x:c r="M169" s="60" t="n">
        <x:v>0</x:v>
      </x:c>
      <x:c r="N169" s="46" t="str">
        <x:v>hemiramphus</x:v>
      </x:c>
      <x:c r="O169" s="62" t="n">
        <x:v>3.05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Hemiramphus</x:v>
      </x:c>
      <x:c r="T169" s="62" t="n">
        <x:f>IF(O169="","",(1/'Metadata'!$B$5)^(O169-1))</x:f>
        <x:v>112.2018454301963</x:v>
      </x:c>
      <x:c r="U169" s="60" t="n">
        <x:f>IF(T169="","",I169*T169)</x:f>
        <x:v>16338.37025732792</x:v>
      </x:c>
    </x:row>
    <x:row r="170" ht="18" customHeight="1">
      <x:c r="A170" s="46" t="str">
        <x:v>LME_011</x:v>
      </x:c>
      <x:c r="B170" s="46" t="str">
        <x:v>Pacific Central-American Coastal</x:v>
      </x:c>
      <x:c r="C170" s="46" t="str">
        <x:v>LME</x:v>
      </x:c>
      <x:c r="D170" s="58" t="n">
        <x:v>2019</x:v>
      </x:c>
      <x:c r="E170" s="46" t="str">
        <x:v>Istiompax indica</x:v>
      </x:c>
      <x:c r="F170" s="46" t="str">
        <x:v>Black marlin</x:v>
      </x:c>
      <x:c r="G170" s="46" t="str">
        <x:v>Large pelagics (&gt;=90 cm)</x:v>
      </x:c>
      <x:c r="H170" s="46" t="str">
        <x:v>Tuna &amp; billfishes</x:v>
      </x:c>
      <x:c r="I170" s="60" t="n">
        <x:v>139.494848955</x:v>
      </x:c>
      <x:c r="J170" s="60" t="n">
        <x:v>40.514040130299996</x:v>
      </x:c>
      <x:c r="K170" s="60" t="n">
        <x:v>98.9808088247</x:v>
      </x:c>
      <x:c r="L170" s="60" t="n">
        <x:v>4.4087334363</x:v>
      </x:c>
      <x:c r="M170" s="60" t="n">
        <x:v>135.0861155187</x:v>
      </x:c>
      <x:c r="N170" s="46" t="str">
        <x:v>istiompax indica</x:v>
      </x:c>
      <x:c r="O170" s="62" t="n">
        <x:v>4.5</x:v>
      </x:c>
      <x:c r="P170" s="46" t="str">
        <x:v>exact_2020_supplement</x:v>
      </x:c>
      <x:c r="Q170" s="62" t="str">
        <x:v>2020 supplement MeanTL</x:v>
      </x:c>
      <x:c r="R170" s="46" t="str">
        <x:v>high</x:v>
      </x:c>
      <x:c r="S170" s="46" t="str">
        <x:v>Istiompax indica</x:v>
      </x:c>
      <x:c r="T170" s="62" t="n">
        <x:f>IF(O170="","",(1/'Metadata'!$B$5)^(O170-1))</x:f>
        <x:v>3162.2776601683795</x:v>
      </x:c>
      <x:c r="U170" s="60" t="n">
        <x:f>IF(T170="","",I170*T170)</x:f>
        <x:v>441121.44455895893</x:v>
      </x:c>
    </x:row>
    <x:row r="171" ht="18" customHeight="1">
      <x:c r="A171" s="46" t="str">
        <x:v>LME_011</x:v>
      </x:c>
      <x:c r="B171" s="46" t="str">
        <x:v>Pacific Central-American Coastal</x:v>
      </x:c>
      <x:c r="C171" s="46" t="str">
        <x:v>LME</x:v>
      </x:c>
      <x:c r="D171" s="58" t="n">
        <x:v>2019</x:v>
      </x:c>
      <x:c r="E171" s="46" t="str">
        <x:v>Symphurus atramentatus</x:v>
      </x:c>
      <x:c r="F171" s="46" t="str">
        <x:v>Inkspot tonguefish</x:v>
      </x:c>
      <x:c r="G171" s="46" t="str">
        <x:v>Small to medium flatfishes (&lt;90 cm)</x:v>
      </x:c>
      <x:c r="H171" s="46" t="str">
        <x:v>Flatfishes</x:v>
      </x:c>
      <x:c r="I171" s="60" t="n">
        <x:v>138.8098788357</x:v>
      </x:c>
      <x:c r="J171" s="60" t="n">
        <x:v>1.9317939173</x:v>
      </x:c>
      <x:c r="K171" s="60" t="n">
        <x:v>136.8780849184</x:v>
      </x:c>
      <x:c r="L171" s="60" t="n">
        <x:v>0</x:v>
      </x:c>
      <x:c r="M171" s="60" t="n">
        <x:v>138.8098788357</x:v>
      </x:c>
      <x:c r="N171" s="46" t="str">
        <x:v>symphurus atramentatus</x:v>
      </x:c>
      <x:c r="O171" s="62" t="n">
        <x:v>3.5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Symphurus atramentatus</x:v>
      </x:c>
      <x:c r="T171" s="62" t="n">
        <x:f>IF(O171="","",(1/'Metadata'!$B$5)^(O171-1))</x:f>
        <x:v>316.22776601683796</x:v>
      </x:c>
      <x:c r="U171" s="60" t="n">
        <x:f>IF(T171="","",I171*T171)</x:f>
        <x:v>43895.53788528137</x:v>
      </x:c>
    </x:row>
    <x:row r="172" ht="18" customHeight="1">
      <x:c r="A172" s="46" t="str">
        <x:v>LME_011</x:v>
      </x:c>
      <x:c r="B172" s="46" t="str">
        <x:v>Pacific Central-American Coastal</x:v>
      </x:c>
      <x:c r="C172" s="46" t="str">
        <x:v>LME</x:v>
      </x:c>
      <x:c r="D172" s="58" t="n">
        <x:v>2019</x:v>
      </x:c>
      <x:c r="E172" s="46" t="str">
        <x:v>Malacostraca</x:v>
      </x:c>
      <x:c r="F172" s="46" t="str">
        <x:v>Lobsters, crabs, shrimps, krill</x:v>
      </x:c>
      <x:c r="G172" s="46" t="str">
        <x:v>Shrimps</x:v>
      </x:c>
      <x:c r="H172" s="46" t="str">
        <x:v>Crustaceans</x:v>
      </x:c>
      <x:c r="I172" s="60" t="n">
        <x:v>131.6980053345</x:v>
      </x:c>
      <x:c r="J172" s="60" t="n">
        <x:v>131.6980053345</x:v>
      </x:c>
      <x:c r="K172" s="60" t="n">
        <x:v>0</x:v>
      </x:c>
      <x:c r="L172" s="60" t="n">
        <x:v>72.9390843969</x:v>
      </x:c>
      <x:c r="M172" s="60" t="n">
        <x:v>58.758920937599996</x:v>
      </x:c>
      <x:c r="N172" s="46" t="str">
        <x:v>malacostraca</x:v>
      </x:c>
      <x:c r="O172" s="62" t="n">
        <x:v>3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Malacostraca</x:v>
      </x:c>
      <x:c r="T172" s="62" t="n">
        <x:f>IF(O172="","",(1/'Metadata'!$B$5)^(O172-1))</x:f>
        <x:v>100</x:v>
      </x:c>
      <x:c r="U172" s="60" t="n">
        <x:f>IF(T172="","",I172*T172)</x:f>
        <x:v>13169.800533450001</x:v>
      </x:c>
    </x:row>
    <x:row r="173" ht="18" customHeight="1">
      <x:c r="A173" s="46" t="str">
        <x:v>LME_011</x:v>
      </x:c>
      <x:c r="B173" s="46" t="str">
        <x:v>Pacific Central-American Coastal</x:v>
      </x:c>
      <x:c r="C173" s="46" t="str">
        <x:v>LME</x:v>
      </x:c>
      <x:c r="D173" s="58" t="n">
        <x:v>2019</x:v>
      </x:c>
      <x:c r="E173" s="46" t="str">
        <x:v>Marine pelagic fishes not identified</x:v>
      </x:c>
      <x:c r="F173" s="46" t="str">
        <x:v>Pelagic fishes</x:v>
      </x:c>
      <x:c r="G173" s="46" t="str">
        <x:v>Medium pelagics (30 - 89 cm)</x:v>
      </x:c>
      <x:c r="H173" s="46" t="str">
        <x:v>Other fishes &amp; inverts</x:v>
      </x:c>
      <x:c r="I173" s="60" t="n">
        <x:v>124.1927202285</x:v>
      </x:c>
      <x:c r="J173" s="60" t="n">
        <x:v>123.9118319075</x:v>
      </x:c>
      <x:c r="K173" s="60" t="n">
        <x:v>0.280888321</x:v>
      </x:c>
      <x:c r="L173" s="60" t="n">
        <x:v>123.9118319075</x:v>
      </x:c>
      <x:c r="M173" s="60" t="n">
        <x:v>0.280888321</x:v>
      </x:c>
      <x:c r="N173" s="46" t="str">
        <x:v>marine pelagic fishes not identified</x:v>
      </x:c>
      <x:c r="O173" s="62" t="n">
        <x:v>3.35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Marine pelagic fishes not identified</x:v>
      </x:c>
      <x:c r="T173" s="62" t="n">
        <x:f>IF(O173="","",(1/'Metadata'!$B$5)^(O173-1))</x:f>
        <x:v>223.872113856834</x:v>
      </x:c>
      <x:c r="U173" s="60" t="n">
        <x:f>IF(T173="","",I173*T173)</x:f>
        <x:v>27803.28680318468</x:v>
      </x:c>
    </x:row>
    <x:row r="174" ht="18" customHeight="1">
      <x:c r="A174" s="46" t="str">
        <x:v>LME_011</x:v>
      </x:c>
      <x:c r="B174" s="46" t="str">
        <x:v>Pacific Central-American Coastal</x:v>
      </x:c>
      <x:c r="C174" s="46" t="str">
        <x:v>LME</x:v>
      </x:c>
      <x:c r="D174" s="58" t="n">
        <x:v>2019</x:v>
      </x:c>
      <x:c r="E174" s="46" t="str">
        <x:v>Hypanus longus</x:v>
      </x:c>
      <x:c r="F174" s="46" t="str">
        <x:v>Longtail stingray</x:v>
      </x:c>
      <x:c r="G174" s="46" t="str">
        <x:v>Large rays (&gt;=90 cm)</x:v>
      </x:c>
      <x:c r="H174" s="46" t="str">
        <x:v>Sharks &amp; rays</x:v>
      </x:c>
      <x:c r="I174" s="60" t="n">
        <x:v>116.149509972</x:v>
      </x:c>
      <x:c r="J174" s="60" t="n">
        <x:v>116.149509972</x:v>
      </x:c>
      <x:c r="K174" s="60" t="n">
        <x:v>0</x:v>
      </x:c>
      <x:c r="L174" s="60" t="n">
        <x:v>61.472469203</x:v>
      </x:c>
      <x:c r="M174" s="60" t="n">
        <x:v>54.677040768999994</x:v>
      </x:c>
      <x:c r="N174" s="46" t="str">
        <x:v>hypanus longus</x:v>
      </x:c>
      <x:c r="O174" s="62" t="n">
        <x:v>3.5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Hypanus longus</x:v>
      </x:c>
      <x:c r="T174" s="62" t="n">
        <x:f>IF(O174="","",(1/'Metadata'!$B$5)^(O174-1))</x:f>
        <x:v>316.22776601683796</x:v>
      </x:c>
      <x:c r="U174" s="60" t="n">
        <x:f>IF(T174="","",I174*T174)</x:f>
        <x:v>36729.700062396005</x:v>
      </x:c>
    </x:row>
    <x:row r="175" ht="18" customHeight="1">
      <x:c r="A175" s="46" t="str">
        <x:v>LME_011</x:v>
      </x:c>
      <x:c r="B175" s="46" t="str">
        <x:v>Pacific Central-American Coastal</x:v>
      </x:c>
      <x:c r="C175" s="46" t="str">
        <x:v>LME</x:v>
      </x:c>
      <x:c r="D175" s="58" t="n">
        <x:v>2019</x:v>
      </x:c>
      <x:c r="E175" s="46" t="str">
        <x:v>Gadiformes</x:v>
      </x:c>
      <x:c r="F175" s="46" t="str">
        <x:v>Cods</x:v>
      </x:c>
      <x:c r="G175" s="46" t="str">
        <x:v>Medium benthopelagics (30 - 89 cm)</x:v>
      </x:c>
      <x:c r="H175" s="46" t="str">
        <x:v>Cod-likes</x:v>
      </x:c>
      <x:c r="I175" s="60" t="n">
        <x:v>114.63183158080001</x:v>
      </x:c>
      <x:c r="J175" s="60" t="n">
        <x:v>114.63183158080001</x:v>
      </x:c>
      <x:c r="K175" s="60" t="n">
        <x:v>0</x:v>
      </x:c>
      <x:c r="L175" s="60" t="n">
        <x:v>114.5297280045</x:v>
      </x:c>
      <x:c r="M175" s="60" t="n">
        <x:v>0.1021035763</x:v>
      </x:c>
      <x:c r="N175" s="46" t="str">
        <x:v>gadiformes</x:v>
      </x:c>
      <x:c r="O175" s="62" t="n">
        <x:v>3.91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Gadiformes</x:v>
      </x:c>
      <x:c r="T175" s="62" t="n">
        <x:f>IF(O175="","",(1/'Metadata'!$B$5)^(O175-1))</x:f>
        <x:v>812.8305161640995</x:v>
      </x:c>
      <x:c r="U175" s="60" t="n">
        <x:f>IF(T175="","",I175*T175)</x:f>
        <x:v>93176.2508326578</x:v>
      </x:c>
    </x:row>
    <x:row r="176" ht="18" customHeight="1">
      <x:c r="A176" s="46" t="str">
        <x:v>LME_011</x:v>
      </x:c>
      <x:c r="B176" s="46" t="str">
        <x:v>Pacific Central-American Coastal</x:v>
      </x:c>
      <x:c r="C176" s="46" t="str">
        <x:v>LME</x:v>
      </x:c>
      <x:c r="D176" s="58" t="n">
        <x:v>2019</x:v>
      </x:c>
      <x:c r="E176" s="46" t="str">
        <x:v>Paralabrax humeralis</x:v>
      </x:c>
      <x:c r="F176" s="46" t="str">
        <x:v>Peruvian rock seabass</x:v>
      </x:c>
      <x:c r="G176" s="46" t="str">
        <x:v>Medium benthopelagics (30 - 89 cm)</x:v>
      </x:c>
      <x:c r="H176" s="46" t="str">
        <x:v>Perch-likes</x:v>
      </x:c>
      <x:c r="I176" s="60" t="n">
        <x:v>111.902497378</x:v>
      </x:c>
      <x:c r="J176" s="60" t="n">
        <x:v>111.5009032117</x:v>
      </x:c>
      <x:c r="K176" s="60" t="n">
        <x:v>0.4015941663</x:v>
      </x:c>
      <x:c r="L176" s="60" t="n">
        <x:v>97.9845098355</x:v>
      </x:c>
      <x:c r="M176" s="60" t="n">
        <x:v>13.917987542499999</x:v>
      </x:c>
      <x:c r="N176" s="46" t="str">
        <x:v>paralabrax humeralis</x:v>
      </x:c>
      <x:c r="O176" s="62" t="n">
        <x:v>4.12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Paralabrax humeralis</x:v>
      </x:c>
      <x:c r="T176" s="62" t="n">
        <x:f>IF(O176="","",(1/'Metadata'!$B$5)^(O176-1))</x:f>
        <x:v>1318.2567385564075</x:v>
      </x:c>
      <x:c r="U176" s="60" t="n">
        <x:f>IF(T176="","",I176*T176)</x:f>
        <x:v>147516.22122983923</x:v>
      </x:c>
    </x:row>
    <x:row r="177" ht="18" customHeight="1">
      <x:c r="A177" s="46" t="str">
        <x:v>LME_011</x:v>
      </x:c>
      <x:c r="B177" s="46" t="str">
        <x:v>Pacific Central-American Coastal</x:v>
      </x:c>
      <x:c r="C177" s="46" t="str">
        <x:v>LME</x:v>
      </x:c>
      <x:c r="D177" s="58" t="n">
        <x:v>2019</x:v>
      </x:c>
      <x:c r="E177" s="46" t="str">
        <x:v>Cynoscion stolzmanni</x:v>
      </x:c>
      <x:c r="F177" s="46" t="str">
        <x:v>Stolzmann's weakfish</x:v>
      </x:c>
      <x:c r="G177" s="46" t="str">
        <x:v>Large demersals (&gt;=90 cm)</x:v>
      </x:c>
      <x:c r="H177" s="46" t="str">
        <x:v>Perch-likes</x:v>
      </x:c>
      <x:c r="I177" s="60" t="n">
        <x:v>106.2426791052</x:v>
      </x:c>
      <x:c r="J177" s="60" t="n">
        <x:v>106.2426791052</x:v>
      </x:c>
      <x:c r="K177" s="60" t="n">
        <x:v>0</x:v>
      </x:c>
      <x:c r="L177" s="60" t="n">
        <x:v>0</x:v>
      </x:c>
      <x:c r="M177" s="60" t="n">
        <x:v>106.2426791052</x:v>
      </x:c>
      <x:c r="N177" s="46" t="str">
        <x:v>cynoscion stolzmanni</x:v>
      </x:c>
      <x:c r="O177" s="62" t="n">
        <x:v>4.07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Cynoscion stolzmanni</x:v>
      </x:c>
      <x:c r="T177" s="62" t="n">
        <x:f>IF(O177="","",(1/'Metadata'!$B$5)^(O177-1))</x:f>
        <x:v>1174.8975549395302</x:v>
      </x:c>
      <x:c r="U177" s="60" t="n">
        <x:f>IF(T177="","",I177*T177)</x:f>
        <x:v>124824.2639109246</x:v>
      </x:c>
    </x:row>
    <x:row r="178" ht="18" customHeight="1">
      <x:c r="A178" s="46" t="str">
        <x:v>LME_011</x:v>
      </x:c>
      <x:c r="B178" s="46" t="str">
        <x:v>Pacific Central-American Coastal</x:v>
      </x:c>
      <x:c r="C178" s="46" t="str">
        <x:v>LME</x:v>
      </x:c>
      <x:c r="D178" s="58" t="n">
        <x:v>2019</x:v>
      </x:c>
      <x:c r="E178" s="46" t="str">
        <x:v>Micropogonias altipinnis</x:v>
      </x:c>
      <x:c r="F178" s="46" t="str">
        <x:v>Tallfin croaker</x:v>
      </x:c>
      <x:c r="G178" s="46" t="str">
        <x:v>Medium benthopelagics (30 - 89 cm)</x:v>
      </x:c>
      <x:c r="H178" s="46" t="str">
        <x:v>Perch-likes</x:v>
      </x:c>
      <x:c r="I178" s="60" t="n">
        <x:v>104.1139816784</x:v>
      </x:c>
      <x:c r="J178" s="60" t="n">
        <x:v>104.1139816784</x:v>
      </x:c>
      <x:c r="K178" s="60" t="n">
        <x:v>0</x:v>
      </x:c>
      <x:c r="L178" s="60" t="n">
        <x:v>0</x:v>
      </x:c>
      <x:c r="M178" s="60" t="n">
        <x:v>104.1139816784</x:v>
      </x:c>
      <x:c r="N178" s="46" t="str">
        <x:v>micropogonias altipinnis</x:v>
      </x:c>
      <x:c r="O178" s="62" t="n">
        <x:v>3.67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Micropogonias altipinnis</x:v>
      </x:c>
      <x:c r="T178" s="62" t="n">
        <x:f>IF(O178="","",(1/'Metadata'!$B$5)^(O178-1))</x:f>
        <x:v>467.73514128719813</x:v>
      </x:c>
      <x:c r="U178" s="60" t="n">
        <x:f>IF(T178="","",I178*T178)</x:f>
        <x:v>48697.767930319176</x:v>
      </x:c>
    </x:row>
    <x:row r="179" ht="18" customHeight="1">
      <x:c r="A179" s="46" t="str">
        <x:v>LME_011</x:v>
      </x:c>
      <x:c r="B179" s="46" t="str">
        <x:v>Pacific Central-American Coastal</x:v>
      </x:c>
      <x:c r="C179" s="46" t="str">
        <x:v>LME</x:v>
      </x:c>
      <x:c r="D179" s="58" t="n">
        <x:v>2019</x:v>
      </x:c>
      <x:c r="E179" s="46" t="str">
        <x:v>Acanthocybium solandri</x:v>
      </x:c>
      <x:c r="F179" s="46" t="str">
        <x:v>Wahoo</x:v>
      </x:c>
      <x:c r="G179" s="46" t="str">
        <x:v>Large pelagics (&gt;=90 cm)</x:v>
      </x:c>
      <x:c r="H179" s="46" t="str">
        <x:v>Perch-likes</x:v>
      </x:c>
      <x:c r="I179" s="60" t="n">
        <x:v>99.2721692972</x:v>
      </x:c>
      <x:c r="J179" s="60" t="n">
        <x:v>99.2504171846</x:v>
      </x:c>
      <x:c r="K179" s="60" t="n">
        <x:v>0.0217521126</x:v>
      </x:c>
      <x:c r="L179" s="60" t="n">
        <x:v>35.7106370254</x:v>
      </x:c>
      <x:c r="M179" s="60" t="n">
        <x:v>63.561532271800004</x:v>
      </x:c>
      <x:c r="N179" s="46" t="str">
        <x:v>acanthocybium solandri</x:v>
      </x:c>
      <x:c r="O179" s="62" t="n">
        <x:v>4.26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Acanthocybium solandri</x:v>
      </x:c>
      <x:c r="T179" s="62" t="n">
        <x:f>IF(O179="","",(1/'Metadata'!$B$5)^(O179-1))</x:f>
        <x:v>1819.7008586099826</x:v>
      </x:c>
      <x:c r="U179" s="60" t="n">
        <x:f>IF(T179="","",I179*T179)</x:f>
        <x:v>180645.65170619037</x:v>
      </x:c>
    </x:row>
    <x:row r="180" ht="18" customHeight="1">
      <x:c r="A180" s="46" t="str">
        <x:v>LME_011</x:v>
      </x:c>
      <x:c r="B180" s="46" t="str">
        <x:v>Pacific Central-American Coastal</x:v>
      </x:c>
      <x:c r="C180" s="46" t="str">
        <x:v>LME</x:v>
      </x:c>
      <x:c r="D180" s="58" t="n">
        <x:v>2019</x:v>
      </x:c>
      <x:c r="E180" s="46" t="str">
        <x:v>Makaira</x:v>
      </x:c>
      <x:c r="F180" s="46" t="str">
        <x:v>Blue marlins</x:v>
      </x:c>
      <x:c r="G180" s="46" t="str">
        <x:v>Large pelagics (&gt;=90 cm)</x:v>
      </x:c>
      <x:c r="H180" s="46" t="str">
        <x:v>Tuna &amp; billfishes</x:v>
      </x:c>
      <x:c r="I180" s="60" t="n">
        <x:v>98.09706630710001</x:v>
      </x:c>
      <x:c r="J180" s="60" t="n">
        <x:v>98.09706630710001</x:v>
      </x:c>
      <x:c r="K180" s="60" t="n">
        <x:v>0</x:v>
      </x:c>
      <x:c r="L180" s="60" t="n">
        <x:v>0</x:v>
      </x:c>
      <x:c r="M180" s="60" t="n">
        <x:v>98.09706630710001</x:v>
      </x:c>
      <x:c r="N180" s="46" t="str">
        <x:v>makaira</x:v>
      </x:c>
      <x:c r="O180" s="62" t="n">
        <x:v>4.47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Makaira</x:v>
      </x:c>
      <x:c r="T180" s="62" t="n">
        <x:f>IF(O180="","",(1/'Metadata'!$B$5)^(O180-1))</x:f>
        <x:v>2951.209226666384</x:v>
      </x:c>
      <x:c r="U180" s="60" t="n">
        <x:f>IF(T180="","",I180*T180)</x:f>
        <x:v>289504.9671944176</x:v>
      </x:c>
    </x:row>
    <x:row r="181" ht="18" customHeight="1">
      <x:c r="A181" s="46" t="str">
        <x:v>LME_011</x:v>
      </x:c>
      <x:c r="B181" s="46" t="str">
        <x:v>Pacific Central-American Coastal</x:v>
      </x:c>
      <x:c r="C181" s="46" t="str">
        <x:v>LME</x:v>
      </x:c>
      <x:c r="D181" s="58" t="n">
        <x:v>2019</x:v>
      </x:c>
      <x:c r="E181" s="46" t="str">
        <x:v>Sphyraenidae</x:v>
      </x:c>
      <x:c r="F181" s="46" t="str">
        <x:v>Barracudas</x:v>
      </x:c>
      <x:c r="G181" s="46" t="str">
        <x:v>Medium reef assoc. fish (30 - 89 cm)</x:v>
      </x:c>
      <x:c r="H181" s="46" t="str">
        <x:v>Perch-likes</x:v>
      </x:c>
      <x:c r="I181" s="60" t="n">
        <x:v>96.8891825558</x:v>
      </x:c>
      <x:c r="J181" s="60" t="n">
        <x:v>96.8891825558</x:v>
      </x:c>
      <x:c r="K181" s="60" t="n">
        <x:v>0</x:v>
      </x:c>
      <x:c r="L181" s="60" t="n">
        <x:v>36.473859636499995</x:v>
      </x:c>
      <x:c r="M181" s="60" t="n">
        <x:v>60.415322919299996</x:v>
      </x:c>
      <x:c r="N181" s="46" t="str">
        <x:v>sphyraenidae</x:v>
      </x:c>
      <x:c r="O181" s="62" t="n">
        <x:v>4.4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Sphyraenidae</x:v>
      </x:c>
      <x:c r="T181" s="62" t="n">
        <x:f>IF(O181="","",(1/'Metadata'!$B$5)^(O181-1))</x:f>
        <x:v>2511.886431509582</x:v>
      </x:c>
      <x:c r="U181" s="60" t="n">
        <x:f>IF(T181="","",I181*T181)</x:f>
        <x:v>243374.62302196893</x:v>
      </x:c>
    </x:row>
    <x:row r="182" ht="18" customHeight="1">
      <x:c r="A182" s="46" t="str">
        <x:v>LME_011</x:v>
      </x:c>
      <x:c r="B182" s="46" t="str">
        <x:v>Pacific Central-American Coastal</x:v>
      </x:c>
      <x:c r="C182" s="46" t="str">
        <x:v>LME</x:v>
      </x:c>
      <x:c r="D182" s="58" t="n">
        <x:v>2019</x:v>
      </x:c>
      <x:c r="E182" s="46" t="str">
        <x:v>Rimapenaeus byrdi</x:v>
      </x:c>
      <x:c r="F182" s="46" t="str">
        <x:v>Carabali shrimp</x:v>
      </x:c>
      <x:c r="G182" s="46" t="str">
        <x:v>Shrimps</x:v>
      </x:c>
      <x:c r="H182" s="46" t="str">
        <x:v>Crustaceans</x:v>
      </x:c>
      <x:c r="I182" s="60" t="n">
        <x:v>84.8828523881</x:v>
      </x:c>
      <x:c r="J182" s="60" t="n">
        <x:v>84.8828523881</x:v>
      </x:c>
      <x:c r="K182" s="60" t="n">
        <x:v>0</x:v>
      </x:c>
      <x:c r="L182" s="60" t="n">
        <x:v>0</x:v>
      </x:c>
      <x:c r="M182" s="60" t="n">
        <x:v>84.8828523881</x:v>
      </x:c>
      <x:c r="N182" s="46" t="str">
        <x:v>rimapenaeus byrdi</x:v>
      </x:c>
      <x:c r="O182" s="62" t="n">
        <x:v>2.2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Rimapenaeus byrdi</x:v>
      </x:c>
      <x:c r="T182" s="62" t="n">
        <x:f>IF(O182="","",(1/'Metadata'!$B$5)^(O182-1))</x:f>
        <x:v>15.848931924611142</x:v>
      </x:c>
      <x:c r="U182" s="60" t="n">
        <x:f>IF(T182="","",I182*T182)</x:f>
        <x:v>1345.3025490658133</x:v>
      </x:c>
    </x:row>
    <x:row r="183" ht="18" customHeight="1">
      <x:c r="A183" s="46" t="str">
        <x:v>LME_011</x:v>
      </x:c>
      <x:c r="B183" s="46" t="str">
        <x:v>Pacific Central-American Coastal</x:v>
      </x:c>
      <x:c r="C183" s="46" t="str">
        <x:v>LME</x:v>
      </x:c>
      <x:c r="D183" s="58" t="n">
        <x:v>2019</x:v>
      </x:c>
      <x:c r="E183" s="46" t="str">
        <x:v>Triglidae</x:v>
      </x:c>
      <x:c r="F183" s="46" t="str">
        <x:v>Searobins, gurnards</x:v>
      </x:c>
      <x:c r="G183" s="46" t="str">
        <x:v>Medium demersals (30 - 89 cm)</x:v>
      </x:c>
      <x:c r="H183" s="46" t="str">
        <x:v>Scorpionfishes</x:v>
      </x:c>
      <x:c r="I183" s="60" t="n">
        <x:v>84.1465927618</x:v>
      </x:c>
      <x:c r="J183" s="60" t="n">
        <x:v>0</x:v>
      </x:c>
      <x:c r="K183" s="60" t="n">
        <x:v>84.1465927618</x:v>
      </x:c>
      <x:c r="L183" s="60" t="n">
        <x:v>0</x:v>
      </x:c>
      <x:c r="M183" s="60" t="n">
        <x:v>84.1465927618</x:v>
      </x:c>
      <x:c r="N183" s="46" t="str">
        <x:v>triglidae</x:v>
      </x:c>
      <x:c r="O183" s="62" t="n">
        <x:v>3.74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Triglidae</x:v>
      </x:c>
      <x:c r="T183" s="62" t="n">
        <x:f>IF(O183="","",(1/'Metadata'!$B$5)^(O183-1))</x:f>
        <x:v>549.5408738576248</x:v>
      </x:c>
      <x:c r="U183" s="60" t="n">
        <x:f>IF(T183="","",I183*T183)</x:f>
        <x:v>46241.992118461254</x:v>
      </x:c>
    </x:row>
    <x:row r="184" ht="18" customHeight="1">
      <x:c r="A184" s="46" t="str">
        <x:v>LME_011</x:v>
      </x:c>
      <x:c r="B184" s="46" t="str">
        <x:v>Pacific Central-American Coastal</x:v>
      </x:c>
      <x:c r="C184" s="46" t="str">
        <x:v>LME</x:v>
      </x:c>
      <x:c r="D184" s="58" t="n">
        <x:v>2019</x:v>
      </x:c>
      <x:c r="E184" s="46" t="str">
        <x:v>Sphyrna zygaena</x:v>
      </x:c>
      <x:c r="F184" s="46" t="str">
        <x:v>Smooth hammerhead</x:v>
      </x:c>
      <x:c r="G184" s="46" t="str">
        <x:v>Large sharks (&gt;=90 cm)</x:v>
      </x:c>
      <x:c r="H184" s="46" t="str">
        <x:v>Sharks &amp; rays</x:v>
      </x:c>
      <x:c r="I184" s="60" t="n">
        <x:v>75.6952739385</x:v>
      </x:c>
      <x:c r="J184" s="60" t="n">
        <x:v>69.05507529719999</x:v>
      </x:c>
      <x:c r="K184" s="60" t="n">
        <x:v>6.6401986413</x:v>
      </x:c>
      <x:c r="L184" s="60" t="n">
        <x:v>27.454450108699998</x:v>
      </x:c>
      <x:c r="M184" s="60" t="n">
        <x:v>48.24082382979999</x:v>
      </x:c>
      <x:c r="N184" s="46" t="str">
        <x:v>sphyrna zygaena</x:v>
      </x:c>
      <x:c r="O184" s="62" t="n">
        <x:v>4.94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Sphyrna zygaena</x:v>
      </x:c>
      <x:c r="T184" s="62" t="n">
        <x:f>IF(O184="","",(1/'Metadata'!$B$5)^(O184-1))</x:f>
        <x:v>8709.635899560813</x:v>
      </x:c>
      <x:c r="U184" s="60" t="n">
        <x:f>IF(T184="","",I184*T184)</x:f>
        <x:v>659278.2753218496</x:v>
      </x:c>
    </x:row>
    <x:row r="185" ht="18" customHeight="1">
      <x:c r="A185" s="46" t="str">
        <x:v>LME_011</x:v>
      </x:c>
      <x:c r="B185" s="46" t="str">
        <x:v>Pacific Central-American Coastal</x:v>
      </x:c>
      <x:c r="C185" s="46" t="str">
        <x:v>LME</x:v>
      </x:c>
      <x:c r="D185" s="58" t="n">
        <x:v>2019</x:v>
      </x:c>
      <x:c r="E185" s="46" t="str">
        <x:v>Bollmannia chlamydes</x:v>
      </x:c>
      <x:c r="F185" s="46" t="str">
        <x:v>Gobido cabezon</x:v>
      </x:c>
      <x:c r="G185" s="46" t="str">
        <x:v>Small demersals (&lt;30 cm)</x:v>
      </x:c>
      <x:c r="H185" s="46" t="str">
        <x:v>Perch-likes</x:v>
      </x:c>
      <x:c r="I185" s="60" t="n">
        <x:v>74.9956001945</x:v>
      </x:c>
      <x:c r="J185" s="60" t="n">
        <x:v>0</x:v>
      </x:c>
      <x:c r="K185" s="60" t="n">
        <x:v>74.9956001945</x:v>
      </x:c>
      <x:c r="L185" s="60" t="n">
        <x:v>0</x:v>
      </x:c>
      <x:c r="M185" s="60" t="n">
        <x:v>74.9956001945</x:v>
      </x:c>
      <x:c r="N185" s="46" t="str">
        <x:v>bollmannia chlamydes</x:v>
      </x:c>
      <x:c r="O185" s="62" t="n">
        <x:v>3.3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Bollmannia chlamydes</x:v>
      </x:c>
      <x:c r="T185" s="62" t="n">
        <x:f>IF(O185="","",(1/'Metadata'!$B$5)^(O185-1))</x:f>
        <x:v>199.52623149688787</x:v>
      </x:c>
      <x:c r="U185" s="60" t="n">
        <x:f>IF(T185="","",I185*T185)</x:f>
        <x:v>14963.589485655857</x:v>
      </x:c>
    </x:row>
    <x:row r="186" ht="18" customHeight="1">
      <x:c r="A186" s="46" t="str">
        <x:v>LME_011</x:v>
      </x:c>
      <x:c r="B186" s="46" t="str">
        <x:v>Pacific Central-American Coastal</x:v>
      </x:c>
      <x:c r="C186" s="46" t="str">
        <x:v>LME</x:v>
      </x:c>
      <x:c r="D186" s="58" t="n">
        <x:v>2019</x:v>
      </x:c>
      <x:c r="E186" s="46" t="str">
        <x:v>Merlucciidae</x:v>
      </x:c>
      <x:c r="F186" s="46" t="str">
        <x:v>Merluccid hakes</x:v>
      </x:c>
      <x:c r="G186" s="46" t="str">
        <x:v>Large bathydemersals (&gt;=90 cm)</x:v>
      </x:c>
      <x:c r="H186" s="46" t="str">
        <x:v>Cod-likes</x:v>
      </x:c>
      <x:c r="I186" s="60" t="n">
        <x:v>72.9931752964</x:v>
      </x:c>
      <x:c r="J186" s="60" t="n">
        <x:v>72.9931752964</x:v>
      </x:c>
      <x:c r="K186" s="60" t="n">
        <x:v>0</x:v>
      </x:c>
      <x:c r="L186" s="60" t="n">
        <x:v>0</x:v>
      </x:c>
      <x:c r="M186" s="60" t="n">
        <x:v>72.9931752964</x:v>
      </x:c>
      <x:c r="N186" s="46" t="str">
        <x:v>merlucciidae</x:v>
      </x:c>
      <x:c r="O186" s="62" t="n">
        <x:v>4.35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Merlucciidae</x:v>
      </x:c>
      <x:c r="T186" s="62" t="n">
        <x:f>IF(O186="","",(1/'Metadata'!$B$5)^(O186-1))</x:f>
        <x:v>2238.7211385683377</x:v>
      </x:c>
      <x:c r="U186" s="60" t="n">
        <x:f>IF(T186="","",I186*T186)</x:f>
        <x:v>163411.36450727485</x:v>
      </x:c>
    </x:row>
    <x:row r="187" ht="18" customHeight="1">
      <x:c r="A187" s="46" t="str">
        <x:v>LME_011</x:v>
      </x:c>
      <x:c r="B187" s="46" t="str">
        <x:v>Pacific Central-American Coastal</x:v>
      </x:c>
      <x:c r="C187" s="46" t="str">
        <x:v>LME</x:v>
      </x:c>
      <x:c r="D187" s="58" t="n">
        <x:v>2019</x:v>
      </x:c>
      <x:c r="E187" s="46" t="str">
        <x:v>Tetrapturus angustirostris</x:v>
      </x:c>
      <x:c r="F187" s="46" t="str">
        <x:v>Shortbill spearfish</x:v>
      </x:c>
      <x:c r="G187" s="46" t="str">
        <x:v>Large pelagics (&gt;=90 cm)</x:v>
      </x:c>
      <x:c r="H187" s="46" t="str">
        <x:v>Tuna &amp; billfishes</x:v>
      </x:c>
      <x:c r="I187" s="60" t="n">
        <x:v>72.8756741856</x:v>
      </x:c>
      <x:c r="J187" s="60" t="n">
        <x:v>72.8756741856</x:v>
      </x:c>
      <x:c r="K187" s="60" t="n">
        <x:v>0</x:v>
      </x:c>
      <x:c r="L187" s="60" t="n">
        <x:v>72.8756741856</x:v>
      </x:c>
      <x:c r="M187" s="60" t="n">
        <x:v>0</x:v>
      </x:c>
      <x:c r="N187" s="46" t="str">
        <x:v>tetrapturus angustirostris</x:v>
      </x:c>
      <x:c r="O187" s="62" t="n">
        <x:v>4.5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Tetrapturus angustirostris</x:v>
      </x:c>
      <x:c r="T187" s="62" t="n">
        <x:f>IF(O187="","",(1/'Metadata'!$B$5)^(O187-1))</x:f>
        <x:v>3162.2776601683795</x:v>
      </x:c>
      <x:c r="U187" s="60" t="n">
        <x:f>IF(T187="","",I187*T187)</x:f>
        <x:v>230453.11644683237</x:v>
      </x:c>
    </x:row>
    <x:row r="188" ht="18" customHeight="1">
      <x:c r="A188" s="46" t="str">
        <x:v>LME_011</x:v>
      </x:c>
      <x:c r="B188" s="46" t="str">
        <x:v>Pacific Central-American Coastal</x:v>
      </x:c>
      <x:c r="C188" s="46" t="str">
        <x:v>LME</x:v>
      </x:c>
      <x:c r="D188" s="58" t="n">
        <x:v>2019</x:v>
      </x:c>
      <x:c r="E188" s="46" t="str">
        <x:v>Mustelus</x:v>
      </x:c>
      <x:c r="F188" s="46" t="str">
        <x:v>Smoothhounds</x:v>
      </x:c>
      <x:c r="G188" s="46" t="str">
        <x:v>Large sharks (&gt;=90 cm)</x:v>
      </x:c>
      <x:c r="H188" s="46" t="str">
        <x:v>Sharks &amp; rays</x:v>
      </x:c>
      <x:c r="I188" s="60" t="n">
        <x:v>68.86975425600001</x:v>
      </x:c>
      <x:c r="J188" s="60" t="n">
        <x:v>68.86975425600001</x:v>
      </x:c>
      <x:c r="K188" s="60" t="n">
        <x:v>0</x:v>
      </x:c>
      <x:c r="L188" s="60" t="n">
        <x:v>66.9579489746</x:v>
      </x:c>
      <x:c r="M188" s="60" t="n">
        <x:v>1.9118052814</x:v>
      </x:c>
      <x:c r="N188" s="46" t="str">
        <x:v>mustelus</x:v>
      </x:c>
      <x:c r="O188" s="62" t="n">
        <x:v>3.73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Mustelus</x:v>
      </x:c>
      <x:c r="T188" s="62" t="n">
        <x:f>IF(O188="","",(1/'Metadata'!$B$5)^(O188-1))</x:f>
        <x:v>537.0317963702527</x:v>
      </x:c>
      <x:c r="U188" s="60" t="n">
        <x:f>IF(T188="","",I188*T188)</x:f>
        <x:v>36985.247843677535</x:v>
      </x:c>
    </x:row>
    <x:row r="189" ht="18" customHeight="1">
      <x:c r="A189" s="46" t="str">
        <x:v>LME_011</x:v>
      </x:c>
      <x:c r="B189" s="46" t="str">
        <x:v>Pacific Central-American Coastal</x:v>
      </x:c>
      <x:c r="C189" s="46" t="str">
        <x:v>LME</x:v>
      </x:c>
      <x:c r="D189" s="58" t="n">
        <x:v>2019</x:v>
      </x:c>
      <x:c r="E189" s="46" t="str">
        <x:v>Isacia conceptionis</x:v>
      </x:c>
      <x:c r="F189" s="46" t="str">
        <x:v>Cabinza grunt</x:v>
      </x:c>
      <x:c r="G189" s="46" t="str">
        <x:v>Medium benthopelagics (30 - 89 cm)</x:v>
      </x:c>
      <x:c r="H189" s="46" t="str">
        <x:v>Perch-likes</x:v>
      </x:c>
      <x:c r="I189" s="60" t="n">
        <x:v>66.8418397811</x:v>
      </x:c>
      <x:c r="J189" s="60" t="n">
        <x:v>66.7885124119</x:v>
      </x:c>
      <x:c r="K189" s="60" t="n">
        <x:v>0.0533273692</x:v>
      </x:c>
      <x:c r="L189" s="60" t="n">
        <x:v>49.11185408790001</x:v>
      </x:c>
      <x:c r="M189" s="60" t="n">
        <x:v>17.7299856932</x:v>
      </x:c>
      <x:c r="N189" s="46" t="str">
        <x:v>isacia conceptionis</x:v>
      </x:c>
      <x:c r="O189" s="62" t="n">
        <x:v>2.91</x:v>
      </x:c>
      <x:c r="P189" s="46" t="str">
        <x:v>exact_2020_supplement</x:v>
      </x:c>
      <x:c r="Q189" s="62" t="str">
        <x:v>2020 supplement MeanTL</x:v>
      </x:c>
      <x:c r="R189" s="46" t="str">
        <x:v>high</x:v>
      </x:c>
      <x:c r="S189" s="46" t="str">
        <x:v>Isacia conceptionis</x:v>
      </x:c>
      <x:c r="T189" s="62" t="n">
        <x:f>IF(O189="","",(1/'Metadata'!$B$5)^(O189-1))</x:f>
        <x:v>81.28305161640995</x:v>
      </x:c>
      <x:c r="U189" s="60" t="n">
        <x:f>IF(T189="","",I189*T189)</x:f>
        <x:v>5433.108713062956</x:v>
      </x:c>
    </x:row>
    <x:row r="190" ht="18" customHeight="1">
      <x:c r="A190" s="46" t="str">
        <x:v>LME_011</x:v>
      </x:c>
      <x:c r="B190" s="46" t="str">
        <x:v>Pacific Central-American Coastal</x:v>
      </x:c>
      <x:c r="C190" s="46" t="str">
        <x:v>LME</x:v>
      </x:c>
      <x:c r="D190" s="58" t="n">
        <x:v>2019</x:v>
      </x:c>
      <x:c r="E190" s="46" t="str">
        <x:v>Brotula</x:v>
      </x:c>
      <x:c r="F190" s="46" t="str">
        <x:v>Brotulas</x:v>
      </x:c>
      <x:c r="G190" s="46" t="str">
        <x:v>Large benthopelagics (&gt;=90 cm)</x:v>
      </x:c>
      <x:c r="H190" s="46" t="str">
        <x:v>Other fishes &amp; inverts</x:v>
      </x:c>
      <x:c r="I190" s="60" t="n">
        <x:v>63.787007141500006</x:v>
      </x:c>
      <x:c r="J190" s="60" t="n">
        <x:v>1.5809963964</x:v>
      </x:c>
      <x:c r="K190" s="60" t="n">
        <x:v>62.2060107451</x:v>
      </x:c>
      <x:c r="L190" s="60" t="n">
        <x:v>0</x:v>
      </x:c>
      <x:c r="M190" s="60" t="n">
        <x:v>63.787007141500006</x:v>
      </x:c>
      <x:c r="N190" s="46" t="str">
        <x:v>brotula</x:v>
      </x:c>
      <x:c r="O190" s="62" t="n">
        <x:v>3.2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Brotula</x:v>
      </x:c>
      <x:c r="T190" s="62" t="n">
        <x:f>IF(O190="","",(1/'Metadata'!$B$5)^(O190-1))</x:f>
        <x:v>158.48931924611142</x:v>
      </x:c>
      <x:c r="U190" s="60" t="n">
        <x:f>IF(T190="","",I190*T190)</x:f>
        <x:v>10109.559338603183</x:v>
      </x:c>
    </x:row>
    <x:row r="191" ht="18" customHeight="1">
      <x:c r="A191" s="46" t="str">
        <x:v>LME_011</x:v>
      </x:c>
      <x:c r="B191" s="46" t="str">
        <x:v>Pacific Central-American Coastal</x:v>
      </x:c>
      <x:c r="C191" s="46" t="str">
        <x:v>LME</x:v>
      </x:c>
      <x:c r="D191" s="58" t="n">
        <x:v>2019</x:v>
      </x:c>
      <x:c r="E191" s="46" t="str">
        <x:v>Peprilus snyderi</x:v>
      </x:c>
      <x:c r="F191" s="46" t="str">
        <x:v>Salema butterfish</x:v>
      </x:c>
      <x:c r="G191" s="46" t="str">
        <x:v>Medium benthopelagics (30 - 89 cm)</x:v>
      </x:c>
      <x:c r="H191" s="46" t="str">
        <x:v>Perch-likes</x:v>
      </x:c>
      <x:c r="I191" s="60" t="n">
        <x:v>62.9587985708</x:v>
      </x:c>
      <x:c r="J191" s="60" t="n">
        <x:v>1.4049886648</x:v>
      </x:c>
      <x:c r="K191" s="60" t="n">
        <x:v>61.553809906</x:v>
      </x:c>
      <x:c r="L191" s="60" t="n">
        <x:v>0</x:v>
      </x:c>
      <x:c r="M191" s="60" t="n">
        <x:v>62.9587985708</x:v>
      </x:c>
      <x:c r="N191" s="46" t="str">
        <x:v>peprilus snyderi</x:v>
      </x:c>
      <x:c r="O191" s="62" t="n">
        <x:v>4.1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Peprilus snyderi</x:v>
      </x:c>
      <x:c r="T191" s="62" t="n">
        <x:f>IF(O191="","",(1/'Metadata'!$B$5)^(O191-1))</x:f>
        <x:v>1258.9254117941662</x:v>
      </x:c>
      <x:c r="U191" s="60" t="n">
        <x:f>IF(T191="","",I191*T191)</x:f>
        <x:v>79260.43141681034</x:v>
      </x:c>
    </x:row>
    <x:row r="192" ht="18" customHeight="1">
      <x:c r="A192" s="46" t="str">
        <x:v>LME_011</x:v>
      </x:c>
      <x:c r="B192" s="46" t="str">
        <x:v>Pacific Central-American Coastal</x:v>
      </x:c>
      <x:c r="C192" s="46" t="str">
        <x:v>LME</x:v>
      </x:c>
      <x:c r="D192" s="58" t="n">
        <x:v>2019</x:v>
      </x:c>
      <x:c r="E192" s="46" t="str">
        <x:v>Engraulis mordax</x:v>
      </x:c>
      <x:c r="F192" s="46" t="str">
        <x:v>Californian anchovy</x:v>
      </x:c>
      <x:c r="G192" s="46" t="str">
        <x:v>Small pelagics (&lt;30 cm)</x:v>
      </x:c>
      <x:c r="H192" s="46" t="str">
        <x:v>Anchovies</x:v>
      </x:c>
      <x:c r="I192" s="60" t="n">
        <x:v>61.878479995</x:v>
      </x:c>
      <x:c r="J192" s="60" t="n">
        <x:v>61.878479995</x:v>
      </x:c>
      <x:c r="K192" s="60" t="n">
        <x:v>0</x:v>
      </x:c>
      <x:c r="L192" s="60" t="n">
        <x:v>61.878479995</x:v>
      </x:c>
      <x:c r="M192" s="60" t="n">
        <x:v>0</x:v>
      </x:c>
      <x:c r="N192" s="46" t="str">
        <x:v>engraulis mordax</x:v>
      </x:c>
      <x:c r="O192" s="62" t="n">
        <x:v>2.97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Engraulis mordax</x:v>
      </x:c>
      <x:c r="T192" s="62" t="n">
        <x:f>IF(O192="","",(1/'Metadata'!$B$5)^(O192-1))</x:f>
        <x:v>93.32543007969915</x:v>
      </x:c>
      <x:c r="U192" s="60" t="n">
        <x:f>IF(T192="","",I192*T192)</x:f>
        <x:v>5774.835758211435</x:v>
      </x:c>
    </x:row>
    <x:row r="193" ht="18" customHeight="1">
      <x:c r="A193" s="46" t="str">
        <x:v>LME_011</x:v>
      </x:c>
      <x:c r="B193" s="46" t="str">
        <x:v>Pacific Central-American Coastal</x:v>
      </x:c>
      <x:c r="C193" s="46" t="str">
        <x:v>LME</x:v>
      </x:c>
      <x:c r="D193" s="58" t="n">
        <x:v>2019</x:v>
      </x:c>
      <x:c r="E193" s="46" t="str">
        <x:v>Cynoscion analis</x:v>
      </x:c>
      <x:c r="F193" s="46" t="str">
        <x:v>Peruvian weakfish</x:v>
      </x:c>
      <x:c r="G193" s="46" t="str">
        <x:v>Medium demersals (30 - 89 cm)</x:v>
      </x:c>
      <x:c r="H193" s="46" t="str">
        <x:v>Perch-likes</x:v>
      </x:c>
      <x:c r="I193" s="60" t="n">
        <x:v>59.2719848976</x:v>
      </x:c>
      <x:c r="J193" s="60" t="n">
        <x:v>59.1579044349</x:v>
      </x:c>
      <x:c r="K193" s="60" t="n">
        <x:v>0.1140804627</x:v>
      </x:c>
      <x:c r="L193" s="60" t="n">
        <x:v>49.071460603999995</x:v>
      </x:c>
      <x:c r="M193" s="60" t="n">
        <x:v>10.2005242936</x:v>
      </x:c>
      <x:c r="N193" s="46" t="str">
        <x:v>cynoscion analis</x:v>
      </x:c>
      <x:c r="O193" s="62" t="n">
        <x:v>4.06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Cynoscion analis</x:v>
      </x:c>
      <x:c r="T193" s="62" t="n">
        <x:f>IF(O193="","",(1/'Metadata'!$B$5)^(O193-1))</x:f>
        <x:v>1148.1536214968817</x:v>
      </x:c>
      <x:c r="U193" s="60" t="n">
        <x:f>IF(T193="","",I193*T193)</x:f>
        <x:v>68053.34411348791</x:v>
      </x:c>
    </x:row>
    <x:row r="194" ht="18" customHeight="1">
      <x:c r="A194" s="46" t="str">
        <x:v>LME_011</x:v>
      </x:c>
      <x:c r="B194" s="46" t="str">
        <x:v>Pacific Central-American Coastal</x:v>
      </x:c>
      <x:c r="C194" s="46" t="str">
        <x:v>LME</x:v>
      </x:c>
      <x:c r="D194" s="58" t="n">
        <x:v>2019</x:v>
      </x:c>
      <x:c r="E194" s="46" t="str">
        <x:v>Carcharhinus longimanus</x:v>
      </x:c>
      <x:c r="F194" s="46" t="str">
        <x:v>Oceanic whitetip shark</x:v>
      </x:c>
      <x:c r="G194" s="46" t="str">
        <x:v>Large sharks (&gt;=90 cm)</x:v>
      </x:c>
      <x:c r="H194" s="46" t="str">
        <x:v>Sharks &amp; rays</x:v>
      </x:c>
      <x:c r="I194" s="60" t="n">
        <x:v>58.425688936</x:v>
      </x:c>
      <x:c r="J194" s="60" t="n">
        <x:v>58.1420584312</x:v>
      </x:c>
      <x:c r="K194" s="60" t="n">
        <x:v>0.2836305048</x:v>
      </x:c>
      <x:c r="L194" s="60" t="n">
        <x:v>46.9902686912</x:v>
      </x:c>
      <x:c r="M194" s="60" t="n">
        <x:v>11.4354202448</x:v>
      </x:c>
      <x:c r="N194" s="46" t="str">
        <x:v>carcharhinus longimanus</x:v>
      </x:c>
      <x:c r="O194" s="62" t="n">
        <x:v>4.16</x:v>
      </x:c>
      <x:c r="P194" s="46" t="str">
        <x:v>exact_2020_supplement</x:v>
      </x:c>
      <x:c r="Q194" s="62" t="str">
        <x:v>2020 supplement MeanTL</x:v>
      </x:c>
      <x:c r="R194" s="46" t="str">
        <x:v>high</x:v>
      </x:c>
      <x:c r="S194" s="46" t="str">
        <x:v>Carcharhinus longimanus</x:v>
      </x:c>
      <x:c r="T194" s="62" t="n">
        <x:f>IF(O194="","",(1/'Metadata'!$B$5)^(O194-1))</x:f>
        <x:v>1445.439770745928</x:v>
      </x:c>
      <x:c r="U194" s="60" t="n">
        <x:f>IF(T194="","",I194*T194)</x:f>
        <x:v>84450.81442132474</x:v>
      </x:c>
    </x:row>
    <x:row r="195" ht="18" customHeight="1">
      <x:c r="A195" s="46" t="str">
        <x:v>LME_011</x:v>
      </x:c>
      <x:c r="B195" s="46" t="str">
        <x:v>Pacific Central-American Coastal</x:v>
      </x:c>
      <x:c r="C195" s="46" t="str">
        <x:v>LME</x:v>
      </x:c>
      <x:c r="D195" s="58" t="n">
        <x:v>2019</x:v>
      </x:c>
      <x:c r="E195" s="46" t="str">
        <x:v>Eucinostomus gracilis</x:v>
      </x:c>
      <x:c r="F195" s="46" t="str">
        <x:v>Graceful mojarra</x:v>
      </x:c>
      <x:c r="G195" s="46" t="str">
        <x:v>Small demersals (&lt;30 cm)</x:v>
      </x:c>
      <x:c r="H195" s="46" t="str">
        <x:v>Perch-likes</x:v>
      </x:c>
      <x:c r="I195" s="60" t="n">
        <x:v>55.092415280500006</x:v>
      </x:c>
      <x:c r="J195" s="60" t="n">
        <x:v>1.2283122054000002</x:v>
      </x:c>
      <x:c r="K195" s="60" t="n">
        <x:v>53.864103075100005</x:v>
      </x:c>
      <x:c r="L195" s="60" t="n">
        <x:v>0</x:v>
      </x:c>
      <x:c r="M195" s="60" t="n">
        <x:v>55.092415280500006</x:v>
      </x:c>
      <x:c r="N195" s="46" t="str">
        <x:v>eucinostomus gracilis</x:v>
      </x:c>
      <x:c r="O195" s="62" t="n">
        <x:v>3.06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Eucinostomus gracilis</x:v>
      </x:c>
      <x:c r="T195" s="62" t="n">
        <x:f>IF(O195="","",(1/'Metadata'!$B$5)^(O195-1))</x:f>
        <x:v>114.81536214968828</x:v>
      </x:c>
      <x:c r="U195" s="60" t="n">
        <x:f>IF(T195="","",I195*T195)</x:f>
        <x:v>6325.455612131629</x:v>
      </x:c>
    </x:row>
    <x:row r="196" ht="18" customHeight="1">
      <x:c r="A196" s="46" t="str">
        <x:v>LME_011</x:v>
      </x:c>
      <x:c r="B196" s="46" t="str">
        <x:v>Pacific Central-American Coastal</x:v>
      </x:c>
      <x:c r="C196" s="46" t="str">
        <x:v>LME</x:v>
      </x:c>
      <x:c r="D196" s="58" t="n">
        <x:v>2019</x:v>
      </x:c>
      <x:c r="E196" s="46" t="str">
        <x:v>Scorpaena russula</x:v>
      </x:c>
      <x:c r="F196" s="46" t="str">
        <x:v>Reddish scorpionfish</x:v>
      </x:c>
      <x:c r="G196" s="46" t="str">
        <x:v>Small demersals (&lt;30 cm)</x:v>
      </x:c>
      <x:c r="H196" s="46" t="str">
        <x:v>Scorpionfishes</x:v>
      </x:c>
      <x:c r="I196" s="60" t="n">
        <x:v>52.927855984500006</x:v>
      </x:c>
      <x:c r="J196" s="60" t="n">
        <x:v>1.3230691679</x:v>
      </x:c>
      <x:c r="K196" s="60" t="n">
        <x:v>51.604786816600004</x:v>
      </x:c>
      <x:c r="L196" s="60" t="n">
        <x:v>0</x:v>
      </x:c>
      <x:c r="M196" s="60" t="n">
        <x:v>52.927855984500006</x:v>
      </x:c>
      <x:c r="N196" s="46" t="str">
        <x:v>scorpaena russula</x:v>
      </x:c>
      <x:c r="O196" s="62" t="n">
        <x:v>3.5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Scorpaena russula</x:v>
      </x:c>
      <x:c r="T196" s="62" t="n">
        <x:f>IF(O196="","",(1/'Metadata'!$B$5)^(O196-1))</x:f>
        <x:v>316.22776601683796</x:v>
      </x:c>
      <x:c r="U196" s="60" t="n">
        <x:f>IF(T196="","",I196*T196)</x:f>
        <x:v>16737.257658039365</x:v>
      </x:c>
    </x:row>
    <x:row r="197" ht="18" customHeight="1">
      <x:c r="A197" s="46" t="str">
        <x:v>LME_011</x:v>
      </x:c>
      <x:c r="B197" s="46" t="str">
        <x:v>Pacific Central-American Coastal</x:v>
      </x:c>
      <x:c r="C197" s="46" t="str">
        <x:v>LME</x:v>
      </x:c>
      <x:c r="D197" s="58" t="n">
        <x:v>2019</x:v>
      </x:c>
      <x:c r="E197" s="46" t="str">
        <x:v>Anguilliformes</x:v>
      </x:c>
      <x:c r="F197" s="46" t="str">
        <x:v>Eels, morays</x:v>
      </x:c>
      <x:c r="G197" s="46" t="str">
        <x:v>Large demersals (&gt;=90 cm)</x:v>
      </x:c>
      <x:c r="H197" s="46" t="str">
        <x:v>Other fishes &amp; inverts</x:v>
      </x:c>
      <x:c r="I197" s="60" t="n">
        <x:v>52.6969019176</x:v>
      </x:c>
      <x:c r="J197" s="60" t="n">
        <x:v>37.4538557468</x:v>
      </x:c>
      <x:c r="K197" s="60" t="n">
        <x:v>15.2430461708</x:v>
      </x:c>
      <x:c r="L197" s="60" t="n">
        <x:v>3.0592158888000003</x:v>
      </x:c>
      <x:c r="M197" s="60" t="n">
        <x:v>49.637686028800005</x:v>
      </x:c>
      <x:c r="N197" s="46" t="str">
        <x:v>anguilliformes</x:v>
      </x:c>
      <x:c r="O197" s="62" t="n">
        <x:v>3.89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Anguilliformes</x:v>
      </x:c>
      <x:c r="T197" s="62" t="n">
        <x:f>IF(O197="","",(1/'Metadata'!$B$5)^(O197-1))</x:f>
        <x:v>776.247116628692</x:v>
      </x:c>
      <x:c r="U197" s="60" t="n">
        <x:f>IF(T197="","",I197*T197)</x:f>
        <x:v>40905.81816880199</x:v>
      </x:c>
    </x:row>
    <x:row r="198" ht="18" customHeight="1">
      <x:c r="A198" s="46" t="str">
        <x:v>LME_011</x:v>
      </x:c>
      <x:c r="B198" s="46" t="str">
        <x:v>Pacific Central-American Coastal</x:v>
      </x:c>
      <x:c r="C198" s="46" t="str">
        <x:v>LME</x:v>
      </x:c>
      <x:c r="D198" s="58" t="n">
        <x:v>2019</x:v>
      </x:c>
      <x:c r="E198" s="46" t="str">
        <x:v>Peprilus</x:v>
      </x:c>
      <x:c r="F198" s="46" t="str">
        <x:v>Harvestfishes</x:v>
      </x:c>
      <x:c r="G198" s="46" t="str">
        <x:v>Small benthopelagics (&lt;30 cm)</x:v>
      </x:c>
      <x:c r="H198" s="46" t="str">
        <x:v>Perch-likes</x:v>
      </x:c>
      <x:c r="I198" s="60" t="n">
        <x:v>48.9871763329</x:v>
      </x:c>
      <x:c r="J198" s="60" t="n">
        <x:v>46.2060665748</x:v>
      </x:c>
      <x:c r="K198" s="60" t="n">
        <x:v>2.7811097581</x:v>
      </x:c>
      <x:c r="L198" s="60" t="n">
        <x:v>0</x:v>
      </x:c>
      <x:c r="M198" s="60" t="n">
        <x:v>48.9871763329</x:v>
      </x:c>
      <x:c r="N198" s="46" t="str">
        <x:v>peprilus</x:v>
      </x:c>
      <x:c r="O198" s="62" t="n">
        <x:v>3.78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Peprilus</x:v>
      </x:c>
      <x:c r="T198" s="62" t="n">
        <x:f>IF(O198="","",(1/'Metadata'!$B$5)^(O198-1))</x:f>
        <x:v>602.5595860743575</x:v>
      </x:c>
      <x:c r="U198" s="60" t="n">
        <x:f>IF(T198="","",I198*T198)</x:f>
        <x:v>29517.692694103785</x:v>
      </x:c>
    </x:row>
    <x:row r="199" ht="18" customHeight="1">
      <x:c r="A199" s="46" t="str">
        <x:v>LME_011</x:v>
      </x:c>
      <x:c r="B199" s="46" t="str">
        <x:v>Pacific Central-American Coastal</x:v>
      </x:c>
      <x:c r="C199" s="46" t="str">
        <x:v>LME</x:v>
      </x:c>
      <x:c r="D199" s="58" t="n">
        <x:v>2019</x:v>
      </x:c>
      <x:c r="E199" s="46" t="str">
        <x:v>Lampris guttatus</x:v>
      </x:c>
      <x:c r="F199" s="46" t="str">
        <x:v>Opah</x:v>
      </x:c>
      <x:c r="G199" s="46" t="str">
        <x:v>Large bathypelagics (&gt;=90 cm)</x:v>
      </x:c>
      <x:c r="H199" s="46" t="str">
        <x:v>Other fishes &amp; inverts</x:v>
      </x:c>
      <x:c r="I199" s="60" t="n">
        <x:v>47.7724789191</x:v>
      </x:c>
      <x:c r="J199" s="60" t="n">
        <x:v>47.7724789191</x:v>
      </x:c>
      <x:c r="K199" s="60" t="n">
        <x:v>0</x:v>
      </x:c>
      <x:c r="L199" s="60" t="n">
        <x:v>47.7724789191</x:v>
      </x:c>
      <x:c r="M199" s="60" t="n">
        <x:v>0</x:v>
      </x:c>
      <x:c r="N199" s="46" t="str">
        <x:v>lampris guttatus</x:v>
      </x:c>
      <x:c r="O199" s="62" t="n">
        <x:v>4.22</x:v>
      </x:c>
      <x:c r="P199" s="46" t="str">
        <x:v>exact_2020_supplement</x:v>
      </x:c>
      <x:c r="Q199" s="62" t="str">
        <x:v>2020 supplement MeanTL</x:v>
      </x:c>
      <x:c r="R199" s="46" t="str">
        <x:v>high</x:v>
      </x:c>
      <x:c r="S199" s="46" t="str">
        <x:v>Lampris guttatus</x:v>
      </x:c>
      <x:c r="T199" s="62" t="n">
        <x:f>IF(O199="","",(1/'Metadata'!$B$5)^(O199-1))</x:f>
        <x:v>1659.5869074375596</x:v>
      </x:c>
      <x:c r="U199" s="60" t="n">
        <x:f>IF(T199="","",I199*T199)</x:f>
        <x:v>79282.58054997519</x:v>
      </x:c>
    </x:row>
    <x:row r="200" ht="18" customHeight="1">
      <x:c r="A200" s="46" t="str">
        <x:v>LME_011</x:v>
      </x:c>
      <x:c r="B200" s="46" t="str">
        <x:v>Pacific Central-American Coastal</x:v>
      </x:c>
      <x:c r="C200" s="46" t="str">
        <x:v>LME</x:v>
      </x:c>
      <x:c r="D200" s="58" t="n">
        <x:v>2019</x:v>
      </x:c>
      <x:c r="E200" s="46" t="str">
        <x:v>Rhencus panamensis</x:v>
      </x:c>
      <x:c r="F200" s="46" t="str">
        <x:v>Panama grunt</x:v>
      </x:c>
      <x:c r="G200" s="46" t="str">
        <x:v>Medium demersals (30 - 89 cm)</x:v>
      </x:c>
      <x:c r="H200" s="46" t="str">
        <x:v>Perch-likes</x:v>
      </x:c>
      <x:c r="I200" s="60" t="n">
        <x:v>44.8894226722</x:v>
      </x:c>
      <x:c r="J200" s="60" t="n">
        <x:v>44.8894226722</x:v>
      </x:c>
      <x:c r="K200" s="60" t="n">
        <x:v>0</x:v>
      </x:c>
      <x:c r="L200" s="60" t="n">
        <x:v>0</x:v>
      </x:c>
      <x:c r="M200" s="60" t="n">
        <x:v>44.8894226722</x:v>
      </x:c>
      <x:c r="N200" s="46" t="str">
        <x:v>rhencus panamensis</x:v>
      </x:c>
      <x:c r="O200" s="62" t="n">
        <x:v>3.79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Rhencus panamensis</x:v>
      </x:c>
      <x:c r="T200" s="62" t="n">
        <x:f>IF(O200="","",(1/'Metadata'!$B$5)^(O200-1))</x:f>
        <x:v>616.5950018614822</x:v>
      </x:c>
      <x:c r="U200" s="60" t="n">
        <x:f>IF(T200="","",I200*T200)</x:f>
        <x:v>27678.593656126017</x:v>
      </x:c>
    </x:row>
    <x:row r="201" ht="18" customHeight="1">
      <x:c r="A201" s="46" t="str">
        <x:v>LME_011</x:v>
      </x:c>
      <x:c r="B201" s="46" t="str">
        <x:v>Pacific Central-American Coastal</x:v>
      </x:c>
      <x:c r="C201" s="46" t="str">
        <x:v>LME</x:v>
      </x:c>
      <x:c r="D201" s="58" t="n">
        <x:v>2019</x:v>
      </x:c>
      <x:c r="E201" s="46" t="str">
        <x:v>Stellifer illecebrosus</x:v>
      </x:c>
      <x:c r="F201" s="46" t="str">
        <x:v>Silver stardrum</x:v>
      </x:c>
      <x:c r="G201" s="46" t="str">
        <x:v>Small demersals (&lt;30 cm)</x:v>
      </x:c>
      <x:c r="H201" s="46" t="str">
        <x:v>Perch-likes</x:v>
      </x:c>
      <x:c r="I201" s="60" t="n">
        <x:v>44.6330818248</x:v>
      </x:c>
      <x:c r="J201" s="60" t="n">
        <x:v>44.6330818248</x:v>
      </x:c>
      <x:c r="K201" s="60" t="n">
        <x:v>0</x:v>
      </x:c>
      <x:c r="L201" s="60" t="n">
        <x:v>0</x:v>
      </x:c>
      <x:c r="M201" s="60" t="n">
        <x:v>44.6330818248</x:v>
      </x:c>
      <x:c r="N201" s="46" t="str">
        <x:v>stellifer illecebrosus</x:v>
      </x:c>
      <x:c r="O201" s="62" t="n">
        <x:v>3.21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Stellifer illecebrosus</x:v>
      </x:c>
      <x:c r="T201" s="62" t="n">
        <x:f>IF(O201="","",(1/'Metadata'!$B$5)^(O201-1))</x:f>
        <x:v>162.18100973589299</x:v>
      </x:c>
      <x:c r="U201" s="60" t="n">
        <x:f>IF(T201="","",I201*T201)</x:f>
        <x:v>7238.638277970797</x:v>
      </x:c>
    </x:row>
    <x:row r="202" ht="18" customHeight="1">
      <x:c r="A202" s="46" t="str">
        <x:v>LME_011</x:v>
      </x:c>
      <x:c r="B202" s="46" t="str">
        <x:v>Pacific Central-American Coastal</x:v>
      </x:c>
      <x:c r="C202" s="46" t="str">
        <x:v>LME</x:v>
      </x:c>
      <x:c r="D202" s="58" t="n">
        <x:v>2019</x:v>
      </x:c>
      <x:c r="E202" s="46" t="str">
        <x:v>Triakidae</x:v>
      </x:c>
      <x:c r="F202" s="46" t="str">
        <x:v>Houndsharks</x:v>
      </x:c>
      <x:c r="G202" s="46" t="str">
        <x:v>Large sharks (&gt;=90 cm)</x:v>
      </x:c>
      <x:c r="H202" s="46" t="str">
        <x:v>Sharks &amp; rays</x:v>
      </x:c>
      <x:c r="I202" s="60" t="n">
        <x:v>42.4137484094</x:v>
      </x:c>
      <x:c r="J202" s="60" t="n">
        <x:v>29.1068042959</x:v>
      </x:c>
      <x:c r="K202" s="60" t="n">
        <x:v>13.3069441135</x:v>
      </x:c>
      <x:c r="L202" s="60" t="n">
        <x:v>9.9620683801</x:v>
      </x:c>
      <x:c r="M202" s="60" t="n">
        <x:v>32.4516800293</x:v>
      </x:c>
      <x:c r="N202" s="46" t="str">
        <x:v>triakidae</x:v>
      </x:c>
      <x:c r="O202" s="62" t="n">
        <x:v>3.82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Triakidae</x:v>
      </x:c>
      <x:c r="T202" s="62" t="n">
        <x:f>IF(O202="","",(1/'Metadata'!$B$5)^(O202-1))</x:f>
        <x:v>660.6934480075957</x:v>
      </x:c>
      <x:c r="U202" s="60" t="n">
        <x:f>IF(T202="","",I202*T202)</x:f>
        <x:v>28022.485679533165</x:v>
      </x:c>
    </x:row>
    <x:row r="203" ht="18" customHeight="1">
      <x:c r="A203" s="46" t="str">
        <x:v>LME_011</x:v>
      </x:c>
      <x:c r="B203" s="46" t="str">
        <x:v>Pacific Central-American Coastal</x:v>
      </x:c>
      <x:c r="C203" s="46" t="str">
        <x:v>LME</x:v>
      </x:c>
      <x:c r="D203" s="58" t="n">
        <x:v>2019</x:v>
      </x:c>
      <x:c r="E203" s="46" t="str">
        <x:v>Larimus acclivis</x:v>
      </x:c>
      <x:c r="F203" s="46" t="str">
        <x:v>Steeplined drum</x:v>
      </x:c>
      <x:c r="G203" s="46" t="str">
        <x:v>Small pelagics (&lt;30 cm)</x:v>
      </x:c>
      <x:c r="H203" s="46" t="str">
        <x:v>Perch-likes</x:v>
      </x:c>
      <x:c r="I203" s="60" t="n">
        <x:v>40.6488778467</x:v>
      </x:c>
      <x:c r="J203" s="60" t="n">
        <x:v>40.6488778467</x:v>
      </x:c>
      <x:c r="K203" s="60" t="n">
        <x:v>0</x:v>
      </x:c>
      <x:c r="L203" s="60" t="n">
        <x:v>0</x:v>
      </x:c>
      <x:c r="M203" s="60" t="n">
        <x:v>40.6488778467</x:v>
      </x:c>
      <x:c r="N203" s="46" t="str">
        <x:v>larimus acclivis</x:v>
      </x:c>
      <x:c r="O203" s="62" t="n">
        <x:v>3.1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Larimus acclivis</x:v>
      </x:c>
      <x:c r="T203" s="62" t="n">
        <x:f>IF(O203="","",(1/'Metadata'!$B$5)^(O203-1))</x:f>
        <x:v>125.89254117941675</x:v>
      </x:c>
      <x:c r="U203" s="60" t="n">
        <x:f>IF(T203="","",I203*T203)</x:f>
        <x:v>5117.390528212762</x:v>
      </x:c>
    </x:row>
    <x:row r="204" ht="18" customHeight="1">
      <x:c r="A204" s="46" t="str">
        <x:v>LME_011</x:v>
      </x:c>
      <x:c r="B204" s="46" t="str">
        <x:v>Pacific Central-American Coastal</x:v>
      </x:c>
      <x:c r="C204" s="46" t="str">
        <x:v>LME</x:v>
      </x:c>
      <x:c r="D204" s="58" t="n">
        <x:v>2019</x:v>
      </x:c>
      <x:c r="E204" s="46" t="str">
        <x:v>Scorpaenidae</x:v>
      </x:c>
      <x:c r="F204" s="46" t="str">
        <x:v>Scorpionfishes, rockfishes</x:v>
      </x:c>
      <x:c r="G204" s="46" t="str">
        <x:v>Large reef assoc. fish (&gt;=90 cm)</x:v>
      </x:c>
      <x:c r="H204" s="46" t="str">
        <x:v>Scorpionfishes</x:v>
      </x:c>
      <x:c r="I204" s="60" t="n">
        <x:v>39.9169751473</x:v>
      </x:c>
      <x:c r="J204" s="60" t="n">
        <x:v>27.0577947065</x:v>
      </x:c>
      <x:c r="K204" s="60" t="n">
        <x:v>12.8591804408</x:v>
      </x:c>
      <x:c r="L204" s="60" t="n">
        <x:v>27.0577947065</x:v>
      </x:c>
      <x:c r="M204" s="60" t="n">
        <x:v>12.8591804408</x:v>
      </x:c>
      <x:c r="N204" s="46" t="str">
        <x:v>scorpaenidae</x:v>
      </x:c>
      <x:c r="O204" s="62" t="n">
        <x:v>3.92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Scorpaenidae</x:v>
      </x:c>
      <x:c r="T204" s="62" t="n">
        <x:f>IF(O204="","",(1/'Metadata'!$B$5)^(O204-1))</x:f>
        <x:v>831.7637711026708</x:v>
      </x:c>
      <x:c r="U204" s="60" t="n">
        <x:f>IF(T204="","",I204*T204)</x:f>
        <x:v>33201.49377952984</x:v>
      </x:c>
    </x:row>
    <x:row r="205" ht="18" customHeight="1">
      <x:c r="A205" s="46" t="str">
        <x:v>LME_011</x:v>
      </x:c>
      <x:c r="B205" s="46" t="str">
        <x:v>Pacific Central-American Coastal</x:v>
      </x:c>
      <x:c r="C205" s="46" t="str">
        <x:v>LME</x:v>
      </x:c>
      <x:c r="D205" s="58" t="n">
        <x:v>2019</x:v>
      </x:c>
      <x:c r="E205" s="46" t="str">
        <x:v>Diapterus peruvianus</x:v>
      </x:c>
      <x:c r="F205" s="46" t="str">
        <x:v>Peruvian mojarra</x:v>
      </x:c>
      <x:c r="G205" s="46" t="str">
        <x:v>Small demersals (&lt;30 cm)</x:v>
      </x:c>
      <x:c r="H205" s="46" t="str">
        <x:v>Perch-likes</x:v>
      </x:c>
      <x:c r="I205" s="60" t="n">
        <x:v>38.7060943091</x:v>
      </x:c>
      <x:c r="J205" s="60" t="n">
        <x:v>38.7060943091</x:v>
      </x:c>
      <x:c r="K205" s="60" t="n">
        <x:v>0</x:v>
      </x:c>
      <x:c r="L205" s="60" t="n">
        <x:v>3.2648740847999997</x:v>
      </x:c>
      <x:c r="M205" s="60" t="n">
        <x:v>35.4412202243</x:v>
      </x:c>
      <x:c r="N205" s="46" t="str">
        <x:v>diapterus peruvianus</x:v>
      </x:c>
      <x:c r="O205" s="62" t="n">
        <x:v>3.66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Diapterus peruvianus</x:v>
      </x:c>
      <x:c r="T205" s="62" t="n">
        <x:f>IF(O205="","",(1/'Metadata'!$B$5)^(O205-1))</x:f>
        <x:v>457.0881896148752</x:v>
      </x:c>
      <x:c r="U205" s="60" t="n">
        <x:f>IF(T205="","",I205*T205)</x:f>
        <x:v>17692.098574809144</x:v>
      </x:c>
    </x:row>
    <x:row r="206" ht="18" customHeight="1">
      <x:c r="A206" s="46" t="str">
        <x:v>LME_011</x:v>
      </x:c>
      <x:c r="B206" s="46" t="str">
        <x:v>Pacific Central-American Coastal</x:v>
      </x:c>
      <x:c r="C206" s="46" t="str">
        <x:v>LME</x:v>
      </x:c>
      <x:c r="D206" s="58" t="n">
        <x:v>2019</x:v>
      </x:c>
      <x:c r="E206" s="46" t="str">
        <x:v>Merluccius peruanus</x:v>
      </x:c>
      <x:c r="F206" s="46" t="str">
        <x:v>Peruvian hake</x:v>
      </x:c>
      <x:c r="G206" s="46" t="str">
        <x:v>Medium bathydemersals (30 - 89 cm)</x:v>
      </x:c>
      <x:c r="H206" s="46" t="str">
        <x:v>Cod-likes</x:v>
      </x:c>
      <x:c r="I206" s="60" t="n">
        <x:v>37.0524583126</x:v>
      </x:c>
      <x:c r="J206" s="60" t="n">
        <x:v>36.9235934311</x:v>
      </x:c>
      <x:c r="K206" s="60" t="n">
        <x:v>0.1288648815</x:v>
      </x:c>
      <x:c r="L206" s="60" t="n">
        <x:v>28.7188012743</x:v>
      </x:c>
      <x:c r="M206" s="60" t="n">
        <x:v>8.3336570383</x:v>
      </x:c>
      <x:c r="N206" s="46" t="str">
        <x:v>merluccius peruanus</x:v>
      </x:c>
      <x:c r="O206" s="62" t="n">
        <x:v>4.4</x:v>
      </x:c>
      <x:c r="P206" s="46" t="str">
        <x:v>exact_sea_around_us</x:v>
      </x:c>
      <x:c r="Q206" s="62" t="str">
        <x:v>Sea Around Us exploited organisms</x:v>
      </x:c>
      <x:c r="R206" s="46" t="str">
        <x:v>high</x:v>
      </x:c>
      <x:c r="S206" s="46" t="str">
        <x:v>Merluccius peruanus</x:v>
      </x:c>
      <x:c r="T206" s="62" t="n">
        <x:f>IF(O206="","",(1/'Metadata'!$B$5)^(O206-1))</x:f>
        <x:v>2511.886431509582</x:v>
      </x:c>
      <x:c r="U206" s="60" t="n">
        <x:f>IF(T206="","",I206*T206)</x:f>
        <x:v>93071.56728949437</x:v>
      </x:c>
    </x:row>
    <x:row r="207" ht="18" customHeight="1">
      <x:c r="A207" s="46" t="str">
        <x:v>LME_011</x:v>
      </x:c>
      <x:c r="B207" s="46" t="str">
        <x:v>Pacific Central-American Coastal</x:v>
      </x:c>
      <x:c r="C207" s="46" t="str">
        <x:v>LME</x:v>
      </x:c>
      <x:c r="D207" s="58" t="n">
        <x:v>2019</x:v>
      </x:c>
      <x:c r="E207" s="46" t="str">
        <x:v>Ariidae</x:v>
      </x:c>
      <x:c r="F207" s="46" t="str">
        <x:v>Sea catfishes, coblers</x:v>
      </x:c>
      <x:c r="G207" s="46" t="str">
        <x:v>Medium demersals (30 - 89 cm)</x:v>
      </x:c>
      <x:c r="H207" s="46" t="str">
        <x:v>Other fishes &amp; inverts</x:v>
      </x:c>
      <x:c r="I207" s="60" t="n">
        <x:v>31.274951890100002</x:v>
      </x:c>
      <x:c r="J207" s="60" t="n">
        <x:v>31.274951890100002</x:v>
      </x:c>
      <x:c r="K207" s="60" t="n">
        <x:v>0</x:v>
      </x:c>
      <x:c r="L207" s="60" t="n">
        <x:v>23.2829705024</x:v>
      </x:c>
      <x:c r="M207" s="60" t="n">
        <x:v>7.9919813877</x:v>
      </x:c>
      <x:c r="N207" s="46" t="str">
        <x:v>ariidae</x:v>
      </x:c>
      <x:c r="O207" s="62" t="n">
        <x:v>3.48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Ariidae</x:v>
      </x:c>
      <x:c r="T207" s="62" t="n">
        <x:f>IF(O207="","",(1/'Metadata'!$B$5)^(O207-1))</x:f>
        <x:v>301.9951720402016</x:v>
      </x:c>
      <x:c r="U207" s="60" t="n">
        <x:f>IF(T207="","",I207*T207)</x:f>
        <x:v>9444.884476599778</x:v>
      </x:c>
    </x:row>
    <x:row r="208" ht="18" customHeight="1">
      <x:c r="A208" s="46" t="str">
        <x:v>LME_011</x:v>
      </x:c>
      <x:c r="B208" s="46" t="str">
        <x:v>Pacific Central-American Coastal</x:v>
      </x:c>
      <x:c r="C208" s="46" t="str">
        <x:v>LME</x:v>
      </x:c>
      <x:c r="D208" s="58" t="n">
        <x:v>2019</x:v>
      </x:c>
      <x:c r="E208" s="46" t="str">
        <x:v>Donax</x:v>
      </x:c>
      <x:c r="F208" s="46" t="str">
        <x:v>Bean clams</x:v>
      </x:c>
      <x:c r="G208" s="46" t="str">
        <x:v>Other demersal invertebrates</x:v>
      </x:c>
      <x:c r="H208" s="46" t="str">
        <x:v>Molluscs</x:v>
      </x:c>
      <x:c r="I208" s="60" t="n">
        <x:v>29.9360453365</x:v>
      </x:c>
      <x:c r="J208" s="60" t="n">
        <x:v>29.9360453365</x:v>
      </x:c>
      <x:c r="K208" s="60" t="n">
        <x:v>0</x:v>
      </x:c>
      <x:c r="L208" s="60" t="n">
        <x:v>0</x:v>
      </x:c>
      <x:c r="M208" s="60" t="n">
        <x:v>29.9360453365</x:v>
      </x:c>
      <x:c r="N208" s="46" t="str">
        <x:v>donax</x:v>
      </x:c>
      <x:c r="O208" s="62" t="n">
        <x:v>2</x:v>
      </x:c>
      <x:c r="P208" s="46" t="str">
        <x:v>exact_sea_around_us</x:v>
      </x:c>
      <x:c r="Q208" s="62" t="str">
        <x:v>Sea Around Us exploited organisms</x:v>
      </x:c>
      <x:c r="R208" s="46" t="str">
        <x:v>high</x:v>
      </x:c>
      <x:c r="S208" s="46" t="str">
        <x:v>Donax</x:v>
      </x:c>
      <x:c r="T208" s="62" t="n">
        <x:f>IF(O208="","",(1/'Metadata'!$B$5)^(O208-1))</x:f>
        <x:v>10</x:v>
      </x:c>
      <x:c r="U208" s="60" t="n">
        <x:f>IF(T208="","",I208*T208)</x:f>
        <x:v>299.360453365</x:v>
      </x:c>
    </x:row>
    <x:row r="209" ht="18" customHeight="1">
      <x:c r="A209" s="46" t="str">
        <x:v>LME_011</x:v>
      </x:c>
      <x:c r="B209" s="46" t="str">
        <x:v>Pacific Central-American Coastal</x:v>
      </x:c>
      <x:c r="C209" s="46" t="str">
        <x:v>LME</x:v>
      </x:c>
      <x:c r="D209" s="58" t="n">
        <x:v>2019</x:v>
      </x:c>
      <x:c r="E209" s="46" t="str">
        <x:v>Alopias vulpinus</x:v>
      </x:c>
      <x:c r="F209" s="46" t="str">
        <x:v>Thresher</x:v>
      </x:c>
      <x:c r="G209" s="46" t="str">
        <x:v>Large sharks (&gt;=90 cm)</x:v>
      </x:c>
      <x:c r="H209" s="46" t="str">
        <x:v>Sharks &amp; rays</x:v>
      </x:c>
      <x:c r="I209" s="60" t="n">
        <x:v>28.5795432525</x:v>
      </x:c>
      <x:c r="J209" s="60" t="n">
        <x:v>23.5260020841</x:v>
      </x:c>
      <x:c r="K209" s="60" t="n">
        <x:v>5.0535411684</x:v>
      </x:c>
      <x:c r="L209" s="60" t="n">
        <x:v>13.598315343</x:v>
      </x:c>
      <x:c r="M209" s="60" t="n">
        <x:v>14.9812279095</x:v>
      </x:c>
      <x:c r="N209" s="46" t="str">
        <x:v>alopias vulpinus</x:v>
      </x:c>
      <x:c r="O209" s="62" t="n">
        <x:v>4.5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Alopias vulpinus</x:v>
      </x:c>
      <x:c r="T209" s="62" t="n">
        <x:f>IF(O209="","",(1/'Metadata'!$B$5)^(O209-1))</x:f>
        <x:v>3162.2776601683795</x:v>
      </x:c>
      <x:c r="U209" s="60" t="n">
        <x:f>IF(T209="","",I209*T209)</x:f>
        <x:v>90376.45116519669</x:v>
      </x:c>
    </x:row>
    <x:row r="210" ht="18" customHeight="1">
      <x:c r="A210" s="46" t="str">
        <x:v>LME_011</x:v>
      </x:c>
      <x:c r="B210" s="46" t="str">
        <x:v>Pacific Central-American Coastal</x:v>
      </x:c>
      <x:c r="C210" s="46" t="str">
        <x:v>LME</x:v>
      </x:c>
      <x:c r="D210" s="58" t="n">
        <x:v>2019</x:v>
      </x:c>
      <x:c r="E210" s="46" t="str">
        <x:v>Holothuriidae</x:v>
      </x:c>
      <x:c r="F210" s="46" t="str">
        <x:v>Fleshy sea cucumbers</x:v>
      </x:c>
      <x:c r="G210" s="46" t="str">
        <x:v>Other demersal invertebrates</x:v>
      </x:c>
      <x:c r="H210" s="46" t="str">
        <x:v>Other fishes &amp; inverts</x:v>
      </x:c>
      <x:c r="I210" s="60" t="n">
        <x:v>28.2824585501</x:v>
      </x:c>
      <x:c r="J210" s="60" t="n">
        <x:v>28.2824585501</x:v>
      </x:c>
      <x:c r="K210" s="60" t="n">
        <x:v>0</x:v>
      </x:c>
      <x:c r="L210" s="60" t="n">
        <x:v>18.048258458499998</x:v>
      </x:c>
      <x:c r="M210" s="60" t="n">
        <x:v>10.2342000916</x:v>
      </x:c>
      <x:c r="N210" s="46" t="str">
        <x:v>holothuriidae</x:v>
      </x:c>
      <x:c r="O210" s="62" t="n">
        <x:v>2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Holothuriidae</x:v>
      </x:c>
      <x:c r="T210" s="62" t="n">
        <x:f>IF(O210="","",(1/'Metadata'!$B$5)^(O210-1))</x:f>
        <x:v>10</x:v>
      </x:c>
      <x:c r="U210" s="60" t="n">
        <x:f>IF(T210="","",I210*T210)</x:f>
        <x:v>282.824585501</x:v>
      </x:c>
    </x:row>
    <x:row r="211" ht="18" customHeight="1">
      <x:c r="A211" s="46" t="str">
        <x:v>LME_011</x:v>
      </x:c>
      <x:c r="B211" s="46" t="str">
        <x:v>Pacific Central-American Coastal</x:v>
      </x:c>
      <x:c r="C211" s="46" t="str">
        <x:v>LME</x:v>
      </x:c>
      <x:c r="D211" s="58" t="n">
        <x:v>2019</x:v>
      </x:c>
      <x:c r="E211" s="46" t="str">
        <x:v>Ginglymostoma cirratum</x:v>
      </x:c>
      <x:c r="F211" s="46" t="str">
        <x:v>Nurse shark</x:v>
      </x:c>
      <x:c r="G211" s="46" t="str">
        <x:v>Large sharks (&gt;=90 cm)</x:v>
      </x:c>
      <x:c r="H211" s="46" t="str">
        <x:v>Sharks &amp; rays</x:v>
      </x:c>
      <x:c r="I211" s="60" t="n">
        <x:v>26.999347325699997</x:v>
      </x:c>
      <x:c r="J211" s="60" t="n">
        <x:v>26.999347325699997</x:v>
      </x:c>
      <x:c r="K211" s="60" t="n">
        <x:v>0</x:v>
      </x:c>
      <x:c r="L211" s="60" t="n">
        <x:v>18.526894010699998</x:v>
      </x:c>
      <x:c r="M211" s="60" t="n">
        <x:v>8.472453315000001</x:v>
      </x:c>
      <x:c r="N211" s="46" t="str">
        <x:v>ginglymostoma cirratum</x:v>
      </x:c>
      <x:c r="O211" s="62" t="n">
        <x:v>4.15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Ginglymostoma cirratum</x:v>
      </x:c>
      <x:c r="T211" s="62" t="n">
        <x:f>IF(O211="","",(1/'Metadata'!$B$5)^(O211-1))</x:f>
        <x:v>1412.5375446227554</x:v>
      </x:c>
      <x:c r="U211" s="60" t="n">
        <x:f>IF(T211="","",I211*T211)</x:f>
        <x:v>38137.59177786123</x:v>
      </x:c>
    </x:row>
    <x:row r="212" ht="18" customHeight="1">
      <x:c r="A212" s="46" t="str">
        <x:v>LME_011</x:v>
      </x:c>
      <x:c r="B212" s="46" t="str">
        <x:v>Pacific Central-American Coastal</x:v>
      </x:c>
      <x:c r="C212" s="46" t="str">
        <x:v>LME</x:v>
      </x:c>
      <x:c r="D212" s="58" t="n">
        <x:v>2019</x:v>
      </x:c>
      <x:c r="E212" s="46" t="str">
        <x:v>Sarda orientalis</x:v>
      </x:c>
      <x:c r="F212" s="46" t="str">
        <x:v>Striped bonito</x:v>
      </x:c>
      <x:c r="G212" s="46" t="str">
        <x:v>Large pelagics (&gt;=90 cm)</x:v>
      </x:c>
      <x:c r="H212" s="46" t="str">
        <x:v>Tuna &amp; billfishes</x:v>
      </x:c>
      <x:c r="I212" s="60" t="n">
        <x:v>26.865607694300003</x:v>
      </x:c>
      <x:c r="J212" s="60" t="n">
        <x:v>26.865607694300003</x:v>
      </x:c>
      <x:c r="K212" s="60" t="n">
        <x:v>0</x:v>
      </x:c>
      <x:c r="L212" s="60" t="n">
        <x:v>26.865607694300003</x:v>
      </x:c>
      <x:c r="M212" s="60" t="n">
        <x:v>0</x:v>
      </x:c>
      <x:c r="N212" s="46" t="str">
        <x:v>sarda orientalis</x:v>
      </x:c>
      <x:c r="O212" s="62" t="n">
        <x:v>4.21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Sarda orientalis</x:v>
      </x:c>
      <x:c r="T212" s="62" t="n">
        <x:f>IF(O212="","",(1/'Metadata'!$B$5)^(O212-1))</x:f>
        <x:v>1621.8100973589299</x:v>
      </x:c>
      <x:c r="U212" s="60" t="n">
        <x:f>IF(T212="","",I212*T212)</x:f>
        <x:v>43570.913830299505</x:v>
      </x:c>
    </x:row>
    <x:row r="213" ht="18" customHeight="1">
      <x:c r="A213" s="46" t="str">
        <x:v>LME_011</x:v>
      </x:c>
      <x:c r="B213" s="46" t="str">
        <x:v>Pacific Central-American Coastal</x:v>
      </x:c>
      <x:c r="C213" s="46" t="str">
        <x:v>LME</x:v>
      </x:c>
      <x:c r="D213" s="58" t="n">
        <x:v>2019</x:v>
      </x:c>
      <x:c r="E213" s="46" t="str">
        <x:v>Scorpaena sonorae</x:v>
      </x:c>
      <x:c r="F213" s="46" t="str">
        <x:v>Sonora scorpionfish</x:v>
      </x:c>
      <x:c r="G213" s="46" t="str">
        <x:v>Small demersals (&lt;30 cm)</x:v>
      </x:c>
      <x:c r="H213" s="46" t="str">
        <x:v>Scorpionfishes</x:v>
      </x:c>
      <x:c r="I213" s="60" t="n">
        <x:v>25.8403053559</x:v>
      </x:c>
      <x:c r="J213" s="60" t="n">
        <x:v>4.947688161299999</x:v>
      </x:c>
      <x:c r="K213" s="60" t="n">
        <x:v>20.8926171946</x:v>
      </x:c>
      <x:c r="L213" s="60" t="n">
        <x:v>0</x:v>
      </x:c>
      <x:c r="M213" s="60" t="n">
        <x:v>25.8403053559</x:v>
      </x:c>
      <x:c r="N213" s="46" t="str">
        <x:v>scorpaena sonorae</x:v>
      </x:c>
      <x:c r="O213" s="62" t="n">
        <x:v>3.64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Scorpaena sonorae</x:v>
      </x:c>
      <x:c r="T213" s="62" t="n">
        <x:f>IF(O213="","",(1/'Metadata'!$B$5)^(O213-1))</x:f>
        <x:v>436.5158322401661</x:v>
      </x:c>
      <x:c r="U213" s="60" t="n">
        <x:f>IF(T213="","",I213*T213)</x:f>
        <x:v>11279.70239777071</x:v>
      </x:c>
    </x:row>
    <x:row r="214" ht="18" customHeight="1">
      <x:c r="A214" s="46" t="str">
        <x:v>LME_011</x:v>
      </x:c>
      <x:c r="B214" s="46" t="str">
        <x:v>Pacific Central-American Coastal</x:v>
      </x:c>
      <x:c r="C214" s="46" t="str">
        <x:v>LME</x:v>
      </x:c>
      <x:c r="D214" s="58" t="n">
        <x:v>2019</x:v>
      </x:c>
      <x:c r="E214" s="46" t="str">
        <x:v>Paralonchurus peruanus</x:v>
      </x:c>
      <x:c r="F214" s="46" t="str">
        <x:v>Peruvian banded croaker</x:v>
      </x:c>
      <x:c r="G214" s="46" t="str">
        <x:v>Medium demersals (30 - 89 cm)</x:v>
      </x:c>
      <x:c r="H214" s="46" t="str">
        <x:v>Perch-likes</x:v>
      </x:c>
      <x:c r="I214" s="60" t="n">
        <x:v>25.2857643825</x:v>
      </x:c>
      <x:c r="J214" s="60" t="n">
        <x:v>25.239052025</x:v>
      </x:c>
      <x:c r="K214" s="60" t="n">
        <x:v>0.0467123575</x:v>
      </x:c>
      <x:c r="L214" s="60" t="n">
        <x:v>20.7454847806</x:v>
      </x:c>
      <x:c r="M214" s="60" t="n">
        <x:v>4.5402796019</x:v>
      </x:c>
      <x:c r="N214" s="46" t="str">
        <x:v>paralonchurus peruanus</x:v>
      </x:c>
      <x:c r="O214" s="62" t="n">
        <x:v>2.17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Paralonchurus peruanus</x:v>
      </x:c>
      <x:c r="T214" s="62" t="n">
        <x:f>IF(O214="","",(1/'Metadata'!$B$5)^(O214-1))</x:f>
        <x:v>14.791083881682072</x:v>
      </x:c>
      <x:c r="U214" s="60" t="n">
        <x:f>IF(T214="","",I214*T214)</x:f>
        <x:v>374.00386199400634</x:v>
      </x:c>
    </x:row>
    <x:row r="215" ht="18" customHeight="1">
      <x:c r="A215" s="46" t="str">
        <x:v>LME_011</x:v>
      </x:c>
      <x:c r="B215" s="46" t="str">
        <x:v>Pacific Central-American Coastal</x:v>
      </x:c>
      <x:c r="C215" s="46" t="str">
        <x:v>LME</x:v>
      </x:c>
      <x:c r="D215" s="58" t="n">
        <x:v>2019</x:v>
      </x:c>
      <x:c r="E215" s="46" t="str">
        <x:v>Tagelus dombeii</x:v>
      </x:c>
      <x:c r="F215" s="46" t="str">
        <x:v>Hard razor clam</x:v>
      </x:c>
      <x:c r="G215" s="46" t="str">
        <x:v>Other demersal invertebrates</x:v>
      </x:c>
      <x:c r="H215" s="46" t="str">
        <x:v>Molluscs</x:v>
      </x:c>
      <x:c r="I215" s="60" t="n">
        <x:v>24.6773330028</x:v>
      </x:c>
      <x:c r="J215" s="60" t="n">
        <x:v>24.6773330028</x:v>
      </x:c>
      <x:c r="K215" s="60" t="n">
        <x:v>0</x:v>
      </x:c>
      <x:c r="L215" s="60" t="n">
        <x:v>24.6773330028</x:v>
      </x:c>
      <x:c r="M215" s="60" t="n">
        <x:v>0</x:v>
      </x:c>
      <x:c r="N215" s="46" t="str">
        <x:v>tagelus dombeii</x:v>
      </x:c>
      <x:c r="O215" s="62" t="n">
        <x:v>2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Tagelus dombeii</x:v>
      </x:c>
      <x:c r="T215" s="62" t="n">
        <x:f>IF(O215="","",(1/'Metadata'!$B$5)^(O215-1))</x:f>
        <x:v>10</x:v>
      </x:c>
      <x:c r="U215" s="60" t="n">
        <x:f>IF(T215="","",I215*T215)</x:f>
        <x:v>246.773330028</x:v>
      </x:c>
    </x:row>
    <x:row r="216" ht="18" customHeight="1">
      <x:c r="A216" s="46" t="str">
        <x:v>LME_011</x:v>
      </x:c>
      <x:c r="B216" s="46" t="str">
        <x:v>Pacific Central-American Coastal</x:v>
      </x:c>
      <x:c r="C216" s="46" t="str">
        <x:v>LME</x:v>
      </x:c>
      <x:c r="D216" s="58" t="n">
        <x:v>2019</x:v>
      </x:c>
      <x:c r="E216" s="46" t="str">
        <x:v>Polydactylus approximans</x:v>
      </x:c>
      <x:c r="F216" s="46" t="str">
        <x:v>Blue bobo</x:v>
      </x:c>
      <x:c r="G216" s="46" t="str">
        <x:v>Medium demersals (30 - 89 cm)</x:v>
      </x:c>
      <x:c r="H216" s="46" t="str">
        <x:v>Perch-likes</x:v>
      </x:c>
      <x:c r="I216" s="60" t="n">
        <x:v>24.5190286801</x:v>
      </x:c>
      <x:c r="J216" s="60" t="n">
        <x:v>24.5190286801</x:v>
      </x:c>
      <x:c r="K216" s="60" t="n">
        <x:v>0</x:v>
      </x:c>
      <x:c r="L216" s="60" t="n">
        <x:v>1.6574245981</x:v>
      </x:c>
      <x:c r="M216" s="60" t="n">
        <x:v>22.861604082</x:v>
      </x:c>
      <x:c r="N216" s="46" t="str">
        <x:v>polydactylus approximans</x:v>
      </x:c>
      <x:c r="O216" s="62" t="n">
        <x:v>3.59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Polydactylus approximans</x:v>
      </x:c>
      <x:c r="T216" s="62" t="n">
        <x:f>IF(O216="","",(1/'Metadata'!$B$5)^(O216-1))</x:f>
        <x:v>389.04514499428046</x:v>
      </x:c>
      <x:c r="U216" s="60" t="n">
        <x:f>IF(T216="","",I216*T216)</x:f>
        <x:v>9539.009067968425</x:v>
      </x:c>
    </x:row>
    <x:row r="217" ht="18" customHeight="1">
      <x:c r="A217" s="46" t="str">
        <x:v>LME_011</x:v>
      </x:c>
      <x:c r="B217" s="46" t="str">
        <x:v>Pacific Central-American Coastal</x:v>
      </x:c>
      <x:c r="C217" s="46" t="str">
        <x:v>LME</x:v>
      </x:c>
      <x:c r="D217" s="58" t="n">
        <x:v>2019</x:v>
      </x:c>
      <x:c r="E217" s="46" t="str">
        <x:v>Mustelus henlei</x:v>
      </x:c>
      <x:c r="F217" s="46" t="str">
        <x:v>Brown smooth-hound</x:v>
      </x:c>
      <x:c r="G217" s="46" t="str">
        <x:v>Small to medium sharks (&lt;90 cm)</x:v>
      </x:c>
      <x:c r="H217" s="46" t="str">
        <x:v>Sharks &amp; rays</x:v>
      </x:c>
      <x:c r="I217" s="60" t="n">
        <x:v>18.7587003537</x:v>
      </x:c>
      <x:c r="J217" s="60" t="n">
        <x:v>18.7587003537</x:v>
      </x:c>
      <x:c r="K217" s="60" t="n">
        <x:v>0</x:v>
      </x:c>
      <x:c r="L217" s="60" t="n">
        <x:v>16.969460328</x:v>
      </x:c>
      <x:c r="M217" s="60" t="n">
        <x:v>1.7892400257</x:v>
      </x:c>
      <x:c r="N217" s="46" t="str">
        <x:v>mustelus henlei</x:v>
      </x:c>
      <x:c r="O217" s="62" t="n">
        <x:v>3.61</x:v>
      </x:c>
      <x:c r="P217" s="46" t="str">
        <x:v>exact_2020_supplement</x:v>
      </x:c>
      <x:c r="Q217" s="62" t="str">
        <x:v>2020 supplement MeanTL</x:v>
      </x:c>
      <x:c r="R217" s="46" t="str">
        <x:v>high</x:v>
      </x:c>
      <x:c r="S217" s="46" t="str">
        <x:v>Mustelus henlei</x:v>
      </x:c>
      <x:c r="T217" s="62" t="n">
        <x:f>IF(O217="","",(1/'Metadata'!$B$5)^(O217-1))</x:f>
        <x:v>407.3802778041126</x:v>
      </x:c>
      <x:c r="U217" s="60" t="n">
        <x:f>IF(T217="","",I217*T217)</x:f>
        <x:v>7641.924561334412</x:v>
      </x:c>
    </x:row>
    <x:row r="218" ht="18" customHeight="1">
      <x:c r="A218" s="46" t="str">
        <x:v>LME_011</x:v>
      </x:c>
      <x:c r="B218" s="46" t="str">
        <x:v>Pacific Central-American Coastal</x:v>
      </x:c>
      <x:c r="C218" s="46" t="str">
        <x:v>LME</x:v>
      </x:c>
      <x:c r="D218" s="58" t="n">
        <x:v>2019</x:v>
      </x:c>
      <x:c r="E218" s="46" t="str">
        <x:v>Galeocerdo cuvier</x:v>
      </x:c>
      <x:c r="F218" s="46" t="str">
        <x:v>Tiger shark</x:v>
      </x:c>
      <x:c r="G218" s="46" t="str">
        <x:v>Large sharks (&gt;=90 cm)</x:v>
      </x:c>
      <x:c r="H218" s="46" t="str">
        <x:v>Sharks &amp; rays</x:v>
      </x:c>
      <x:c r="I218" s="60" t="n">
        <x:v>18.7396941384</x:v>
      </x:c>
      <x:c r="J218" s="60" t="n">
        <x:v>18.7396941384</x:v>
      </x:c>
      <x:c r="K218" s="60" t="n">
        <x:v>0</x:v>
      </x:c>
      <x:c r="L218" s="60" t="n">
        <x:v>8.867486102</x:v>
      </x:c>
      <x:c r="M218" s="60" t="n">
        <x:v>9.8722080364</x:v>
      </x:c>
      <x:c r="N218" s="46" t="str">
        <x:v>galeocerdo cuvier</x:v>
      </x:c>
      <x:c r="O218" s="62" t="n">
        <x:v>4.54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Galeocerdo cuvier</x:v>
      </x:c>
      <x:c r="T218" s="62" t="n">
        <x:f>IF(O218="","",(1/'Metadata'!$B$5)^(O218-1))</x:f>
        <x:v>3467.368504525317</x:v>
      </x:c>
      <x:c r="U218" s="60" t="n">
        <x:f>IF(T218="","",I218*T218)</x:f>
        <x:v>64977.425239925855</x:v>
      </x:c>
    </x:row>
    <x:row r="219" ht="18" customHeight="1">
      <x:c r="A219" s="46" t="str">
        <x:v>LME_011</x:v>
      </x:c>
      <x:c r="B219" s="46" t="str">
        <x:v>Pacific Central-American Coastal</x:v>
      </x:c>
      <x:c r="C219" s="46" t="str">
        <x:v>LME</x:v>
      </x:c>
      <x:c r="D219" s="58" t="n">
        <x:v>2019</x:v>
      </x:c>
      <x:c r="E219" s="46" t="str">
        <x:v>Octopodidae</x:v>
      </x:c>
      <x:c r="F219" s="46" t="str">
        <x:v>Octopuses</x:v>
      </x:c>
      <x:c r="G219" s="46" t="str">
        <x:v>Cephalopods</x:v>
      </x:c>
      <x:c r="H219" s="46" t="str">
        <x:v>Other fishes &amp; inverts</x:v>
      </x:c>
      <x:c r="I219" s="60" t="n">
        <x:v>16.157582908200002</x:v>
      </x:c>
      <x:c r="J219" s="60" t="n">
        <x:v>16.157582908200002</x:v>
      </x:c>
      <x:c r="K219" s="60" t="n">
        <x:v>0</x:v>
      </x:c>
      <x:c r="L219" s="60" t="n">
        <x:v>16.157582908200002</x:v>
      </x:c>
      <x:c r="M219" s="60" t="n">
        <x:v>0</x:v>
      </x:c>
      <x:c r="N219" s="46" t="str">
        <x:v>octopodidae</x:v>
      </x:c>
      <x:c r="O219" s="62" t="n">
        <x:v>3.59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Octopodidae</x:v>
      </x:c>
      <x:c r="T219" s="62" t="n">
        <x:f>IF(O219="","",(1/'Metadata'!$B$5)^(O219-1))</x:f>
        <x:v>389.04514499428046</x:v>
      </x:c>
      <x:c r="U219" s="60" t="n">
        <x:f>IF(T219="","",I219*T219)</x:f>
        <x:v>6286.029185277777</x:v>
      </x:c>
    </x:row>
    <x:row r="220" ht="18" customHeight="1">
      <x:c r="A220" s="46" t="str">
        <x:v>LME_011</x:v>
      </x:c>
      <x:c r="B220" s="46" t="str">
        <x:v>Pacific Central-American Coastal</x:v>
      </x:c>
      <x:c r="C220" s="46" t="str">
        <x:v>LME</x:v>
      </x:c>
      <x:c r="D220" s="58" t="n">
        <x:v>2019</x:v>
      </x:c>
      <x:c r="E220" s="46" t="str">
        <x:v>Argopecten ventricosus</x:v>
      </x:c>
      <x:c r="F220" s="46" t="str">
        <x:v>Pacific calico scallop</x:v>
      </x:c>
      <x:c r="G220" s="46" t="str">
        <x:v>Other demersal invertebrates</x:v>
      </x:c>
      <x:c r="H220" s="46" t="str">
        <x:v>Molluscs</x:v>
      </x:c>
      <x:c r="I220" s="60" t="n">
        <x:v>15.7649322546</x:v>
      </x:c>
      <x:c r="J220" s="60" t="n">
        <x:v>15.7649322546</x:v>
      </x:c>
      <x:c r="K220" s="60" t="n">
        <x:v>0</x:v>
      </x:c>
      <x:c r="L220" s="60" t="n">
        <x:v>15.7649322546</x:v>
      </x:c>
      <x:c r="M220" s="60" t="n">
        <x:v>0</x:v>
      </x:c>
      <x:c r="N220" s="46" t="str">
        <x:v>argopecten ventricosus</x:v>
      </x:c>
      <x:c r="O220" s="62" t="n">
        <x:v>2</x:v>
      </x:c>
      <x:c r="P220" s="46" t="str">
        <x:v>exact_sea_around_us</x:v>
      </x:c>
      <x:c r="Q220" s="62" t="str">
        <x:v>Sea Around Us exploited organisms</x:v>
      </x:c>
      <x:c r="R220" s="46" t="str">
        <x:v>high</x:v>
      </x:c>
      <x:c r="S220" s="46" t="str">
        <x:v>Argopecten ventricosus</x:v>
      </x:c>
      <x:c r="T220" s="62" t="n">
        <x:f>IF(O220="","",(1/'Metadata'!$B$5)^(O220-1))</x:f>
        <x:v>10</x:v>
      </x:c>
      <x:c r="U220" s="60" t="n">
        <x:f>IF(T220="","",I220*T220)</x:f>
        <x:v>157.649322546</x:v>
      </x:c>
    </x:row>
    <x:row r="221" ht="18" customHeight="1">
      <x:c r="A221" s="46" t="str">
        <x:v>LME_011</x:v>
      </x:c>
      <x:c r="B221" s="46" t="str">
        <x:v>Pacific Central-American Coastal</x:v>
      </x:c>
      <x:c r="C221" s="46" t="str">
        <x:v>LME</x:v>
      </x:c>
      <x:c r="D221" s="58" t="n">
        <x:v>2019</x:v>
      </x:c>
      <x:c r="E221" s="46" t="str">
        <x:v>Brama australis</x:v>
      </x:c>
      <x:c r="F221" s="46" t="str">
        <x:v>Southern rays bream</x:v>
      </x:c>
      <x:c r="G221" s="46" t="str">
        <x:v>Medium pelagics (30 - 89 cm)</x:v>
      </x:c>
      <x:c r="H221" s="46" t="str">
        <x:v>Perch-likes</x:v>
      </x:c>
      <x:c r="I221" s="60" t="n">
        <x:v>12.9606311798</x:v>
      </x:c>
      <x:c r="J221" s="60" t="n">
        <x:v>0</x:v>
      </x:c>
      <x:c r="K221" s="60" t="n">
        <x:v>12.9606311798</x:v>
      </x:c>
      <x:c r="L221" s="60" t="n">
        <x:v>0</x:v>
      </x:c>
      <x:c r="M221" s="60" t="n">
        <x:v>12.9606311798</x:v>
      </x:c>
      <x:c r="N221" s="46" t="str">
        <x:v>brama australis</x:v>
      </x:c>
      <x:c r="O221" s="62" t="n">
        <x:v>4.2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Brama australis</x:v>
      </x:c>
      <x:c r="T221" s="62" t="n">
        <x:f>IF(O221="","",(1/'Metadata'!$B$5)^(O221-1))</x:f>
        <x:v>1584.893192461114</x:v>
      </x:c>
      <x:c r="U221" s="60" t="n">
        <x:f>IF(T221="","",I221*T221)</x:f>
        <x:v>20541.216126864278</x:v>
      </x:c>
    </x:row>
    <x:row r="222" ht="18" customHeight="1">
      <x:c r="A222" s="46" t="str">
        <x:v>LME_011</x:v>
      </x:c>
      <x:c r="B222" s="46" t="str">
        <x:v>Pacific Central-American Coastal</x:v>
      </x:c>
      <x:c r="C222" s="46" t="str">
        <x:v>LME</x:v>
      </x:c>
      <x:c r="D222" s="58" t="n">
        <x:v>2019</x:v>
      </x:c>
      <x:c r="E222" s="46" t="str">
        <x:v>Sphyrna media</x:v>
      </x:c>
      <x:c r="F222" s="46" t="str">
        <x:v>Scoophead</x:v>
      </x:c>
      <x:c r="G222" s="46" t="str">
        <x:v>Large sharks (&gt;=90 cm)</x:v>
      </x:c>
      <x:c r="H222" s="46" t="str">
        <x:v>Sharks &amp; rays</x:v>
      </x:c>
      <x:c r="I222" s="60" t="n">
        <x:v>12.8615025837</x:v>
      </x:c>
      <x:c r="J222" s="60" t="n">
        <x:v>12.8615025837</x:v>
      </x:c>
      <x:c r="K222" s="60" t="n">
        <x:v>0</x:v>
      </x:c>
      <x:c r="L222" s="60" t="n">
        <x:v>12.844453660200001</x:v>
      </x:c>
      <x:c r="M222" s="60" t="n">
        <x:v>0.0170489235</x:v>
      </x:c>
      <x:c r="N222" s="46" t="str">
        <x:v>sphyrna media</x:v>
      </x:c>
      <x:c r="O222" s="62" t="n">
        <x:v>4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Sphyrna media</x:v>
      </x:c>
      <x:c r="T222" s="62" t="n">
        <x:f>IF(O222="","",(1/'Metadata'!$B$5)^(O222-1))</x:f>
        <x:v>1000</x:v>
      </x:c>
      <x:c r="U222" s="60" t="n">
        <x:f>IF(T222="","",I222*T222)</x:f>
        <x:v>12861.5025837</x:v>
      </x:c>
    </x:row>
    <x:row r="223" ht="18" customHeight="1">
      <x:c r="A223" s="46" t="str">
        <x:v>LME_011</x:v>
      </x:c>
      <x:c r="B223" s="46" t="str">
        <x:v>Pacific Central-American Coastal</x:v>
      </x:c>
      <x:c r="C223" s="46" t="str">
        <x:v>LME</x:v>
      </x:c>
      <x:c r="D223" s="58" t="n">
        <x:v>2019</x:v>
      </x:c>
      <x:c r="E223" s="46" t="str">
        <x:v>Ethmidium maculatum</x:v>
      </x:c>
      <x:c r="F223" s="46" t="str">
        <x:v>Pacific menhaden</x:v>
      </x:c>
      <x:c r="G223" s="46" t="str">
        <x:v>Small pelagics (&lt;30 cm)</x:v>
      </x:c>
      <x:c r="H223" s="46" t="str">
        <x:v>Herring-likes</x:v>
      </x:c>
      <x:c r="I223" s="60" t="n">
        <x:v>11.861418927099999</x:v>
      </x:c>
      <x:c r="J223" s="60" t="n">
        <x:v>11.8214153477</x:v>
      </x:c>
      <x:c r="K223" s="60" t="n">
        <x:v>0.0400035794</x:v>
      </x:c>
      <x:c r="L223" s="60" t="n">
        <x:v>7.073585356299999</x:v>
      </x:c>
      <x:c r="M223" s="60" t="n">
        <x:v>4.7878335708</x:v>
      </x:c>
      <x:c r="N223" s="46" t="str">
        <x:v>ethmidium maculatum</x:v>
      </x:c>
      <x:c r="O223" s="62" t="n">
        <x:v>2.07</x:v>
      </x:c>
      <x:c r="P223" s="46" t="str">
        <x:v>exact_2020_supplement</x:v>
      </x:c>
      <x:c r="Q223" s="62" t="str">
        <x:v>2020 supplement MeanTL</x:v>
      </x:c>
      <x:c r="R223" s="46" t="str">
        <x:v>high</x:v>
      </x:c>
      <x:c r="S223" s="46" t="str">
        <x:v>Ethmidium maculatum</x:v>
      </x:c>
      <x:c r="T223" s="62" t="n">
        <x:f>IF(O223="","",(1/'Metadata'!$B$5)^(O223-1))</x:f>
        <x:v>11.748975549395292</x:v>
      </x:c>
      <x:c r="U223" s="60" t="n">
        <x:f>IF(T223="","",I223*T223)</x:f>
        <x:v>139.35952095563243</x:v>
      </x:c>
    </x:row>
    <x:row r="224" ht="18" customHeight="1">
      <x:c r="A224" s="46" t="str">
        <x:v>LME_011</x:v>
      </x:c>
      <x:c r="B224" s="46" t="str">
        <x:v>Pacific Central-American Coastal</x:v>
      </x:c>
      <x:c r="C224" s="46" t="str">
        <x:v>LME</x:v>
      </x:c>
      <x:c r="D224" s="58" t="n">
        <x:v>2019</x:v>
      </x:c>
      <x:c r="E224" s="46" t="str">
        <x:v>Pronotogrammus eos</x:v>
      </x:c>
      <x:c r="F224" s="46" t="str">
        <x:v>Bigeye bass</x:v>
      </x:c>
      <x:c r="G224" s="46" t="str">
        <x:v>Small bathydemersals (&lt;30 cm)</x:v>
      </x:c>
      <x:c r="H224" s="46" t="str">
        <x:v>Perch-likes</x:v>
      </x:c>
      <x:c r="I224" s="60" t="n">
        <x:v>11.8490594674</x:v>
      </x:c>
      <x:c r="J224" s="60" t="n">
        <x:v>0.26552207790000004</x:v>
      </x:c>
      <x:c r="K224" s="60" t="n">
        <x:v>11.5835373895</x:v>
      </x:c>
      <x:c r="L224" s="60" t="n">
        <x:v>0</x:v>
      </x:c>
      <x:c r="M224" s="60" t="n">
        <x:v>11.8490594674</x:v>
      </x:c>
      <x:c r="N224" s="46" t="str">
        <x:v>pronotogrammus eos</x:v>
      </x:c>
      <x:c r="O224" s="62" t="n">
        <x:v>3.5</x:v>
      </x:c>
      <x:c r="P224" s="46" t="str">
        <x:v>exact_sea_around_us</x:v>
      </x:c>
      <x:c r="Q224" s="62" t="str">
        <x:v>Sea Around Us exploited organisms</x:v>
      </x:c>
      <x:c r="R224" s="46" t="str">
        <x:v>high</x:v>
      </x:c>
      <x:c r="S224" s="46" t="str">
        <x:v>Pronotogrammus eos</x:v>
      </x:c>
      <x:c r="T224" s="62" t="n">
        <x:f>IF(O224="","",(1/'Metadata'!$B$5)^(O224-1))</x:f>
        <x:v>316.22776601683796</x:v>
      </x:c>
      <x:c r="U224" s="60" t="n">
        <x:f>IF(T224="","",I224*T224)</x:f>
        <x:v>3747.0016047765657</x:v>
      </x:c>
    </x:row>
    <x:row r="225" ht="18" customHeight="1">
      <x:c r="A225" s="46" t="str">
        <x:v>LME_011</x:v>
      </x:c>
      <x:c r="B225" s="46" t="str">
        <x:v>Pacific Central-American Coastal</x:v>
      </x:c>
      <x:c r="C225" s="46" t="str">
        <x:v>LME</x:v>
      </x:c>
      <x:c r="D225" s="58" t="n">
        <x:v>2019</x:v>
      </x:c>
      <x:c r="E225" s="46" t="str">
        <x:v>Carcharhinus galapagensis</x:v>
      </x:c>
      <x:c r="F225" s="46" t="str">
        <x:v>Galapagos shark</x:v>
      </x:c>
      <x:c r="G225" s="46" t="str">
        <x:v>Large sharks (&gt;=90 cm)</x:v>
      </x:c>
      <x:c r="H225" s="46" t="str">
        <x:v>Sharks &amp; rays</x:v>
      </x:c>
      <x:c r="I225" s="60" t="n">
        <x:v>11.019778753299999</x:v>
      </x:c>
      <x:c r="J225" s="60" t="n">
        <x:v>11.019778753299999</x:v>
      </x:c>
      <x:c r="K225" s="60" t="n">
        <x:v>0</x:v>
      </x:c>
      <x:c r="L225" s="60" t="n">
        <x:v>2.6340943449000003</x:v>
      </x:c>
      <x:c r="M225" s="60" t="n">
        <x:v>8.3856844084</x:v>
      </x:c>
      <x:c r="N225" s="46" t="str">
        <x:v>carcharhinus galapagensis</x:v>
      </x:c>
      <x:c r="O225" s="62" t="n">
        <x:v>4.23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Carcharhinus galapagensis</x:v>
      </x:c>
      <x:c r="T225" s="62" t="n">
        <x:f>IF(O225="","",(1/'Metadata'!$B$5)^(O225-1))</x:f>
        <x:v>1698.243652461746</x:v>
      </x:c>
      <x:c r="U225" s="60" t="n">
        <x:f>IF(T225="","",I225*T225)</x:f>
        <x:v>18714.269319324536</x:v>
      </x:c>
    </x:row>
    <x:row r="226" ht="18" customHeight="1">
      <x:c r="A226" s="46" t="str">
        <x:v>LME_011</x:v>
      </x:c>
      <x:c r="B226" s="46" t="str">
        <x:v>Pacific Central-American Coastal</x:v>
      </x:c>
      <x:c r="C226" s="46" t="str">
        <x:v>LME</x:v>
      </x:c>
      <x:c r="D226" s="58" t="n">
        <x:v>2019</x:v>
      </x:c>
      <x:c r="E226" s="46" t="str">
        <x:v>Mobula birostris</x:v>
      </x:c>
      <x:c r="F226" s="46" t="str">
        <x:v>Giant manta</x:v>
      </x:c>
      <x:c r="G226" s="46" t="str">
        <x:v>Large rays (&gt;=90 cm)</x:v>
      </x:c>
      <x:c r="H226" s="46" t="str">
        <x:v>Sharks &amp; rays</x:v>
      </x:c>
      <x:c r="I226" s="60" t="n">
        <x:v>10.8925603865</x:v>
      </x:c>
      <x:c r="J226" s="60" t="n">
        <x:v>10.8925603865</x:v>
      </x:c>
      <x:c r="K226" s="60" t="n">
        <x:v>0</x:v>
      </x:c>
      <x:c r="L226" s="60" t="n">
        <x:v>5.3576523822</x:v>
      </x:c>
      <x:c r="M226" s="60" t="n">
        <x:v>5.534908004299999</x:v>
      </x:c>
      <x:c r="N226" s="46" t="str">
        <x:v>mobula birostris</x:v>
      </x:c>
      <x:c r="O226" s="62" t="n">
        <x:v>3.46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Mobula birostris</x:v>
      </x:c>
      <x:c r="T226" s="62" t="n">
        <x:f>IF(O226="","",(1/'Metadata'!$B$5)^(O226-1))</x:f>
        <x:v>288.40315031266056</x:v>
      </x:c>
      <x:c r="U226" s="60" t="n">
        <x:f>IF(T226="","",I226*T226)</x:f>
        <x:v>3141.4487304374916</x:v>
      </x:c>
    </x:row>
    <x:row r="227" ht="18" customHeight="1">
      <x:c r="A227" s="46" t="str">
        <x:v>LME_011</x:v>
      </x:c>
      <x:c r="B227" s="46" t="str">
        <x:v>Pacific Central-American Coastal</x:v>
      </x:c>
      <x:c r="C227" s="46" t="str">
        <x:v>LME</x:v>
      </x:c>
      <x:c r="D227" s="58" t="n">
        <x:v>2019</x:v>
      </x:c>
      <x:c r="E227" s="46" t="str">
        <x:v>Sphyrna mokarran</x:v>
      </x:c>
      <x:c r="F227" s="46" t="str">
        <x:v>Great hammerhead</x:v>
      </x:c>
      <x:c r="G227" s="46" t="str">
        <x:v>Large sharks (&gt;=90 cm)</x:v>
      </x:c>
      <x:c r="H227" s="46" t="str">
        <x:v>Sharks &amp; rays</x:v>
      </x:c>
      <x:c r="I227" s="60" t="n">
        <x:v>10.675950629099999</x:v>
      </x:c>
      <x:c r="J227" s="60" t="n">
        <x:v>10.675950629099999</x:v>
      </x:c>
      <x:c r="K227" s="60" t="n">
        <x:v>0</x:v>
      </x:c>
      <x:c r="L227" s="60" t="n">
        <x:v>2.3732541579000004</x:v>
      </x:c>
      <x:c r="M227" s="60" t="n">
        <x:v>8.302696471199999</x:v>
      </x:c>
      <x:c r="N227" s="46" t="str">
        <x:v>sphyrna mokarran</x:v>
      </x:c>
      <x:c r="O227" s="62" t="n">
        <x:v>4.32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Sphyrna mokarran</x:v>
      </x:c>
      <x:c r="T227" s="62" t="n">
        <x:f>IF(O227="","",(1/'Metadata'!$B$5)^(O227-1))</x:f>
        <x:v>2089.2961308540407</x:v>
      </x:c>
      <x:c r="U227" s="60" t="n">
        <x:f>IF(T227="","",I227*T227)</x:f>
        <x:v>22305.22234256739</x:v>
      </x:c>
    </x:row>
    <x:row r="228" ht="18" customHeight="1">
      <x:c r="A228" s="46" t="str">
        <x:v>LME_011</x:v>
      </x:c>
      <x:c r="B228" s="46" t="str">
        <x:v>Pacific Central-American Coastal</x:v>
      </x:c>
      <x:c r="C228" s="46" t="str">
        <x:v>LME</x:v>
      </x:c>
      <x:c r="D228" s="58" t="n">
        <x:v>2019</x:v>
      </x:c>
      <x:c r="E228" s="46" t="str">
        <x:v>Engyophrys sanctilaurentii</x:v>
      </x:c>
      <x:c r="F228" s="46" t="str">
        <x:v>Speckled-tail flounder</x:v>
      </x:c>
      <x:c r="G228" s="46" t="str">
        <x:v>Small to medium flatfishes (&lt;90 cm)</x:v>
      </x:c>
      <x:c r="H228" s="46" t="str">
        <x:v>Flatfishes</x:v>
      </x:c>
      <x:c r="I228" s="60" t="n">
        <x:v>10.5343094512</x:v>
      </x:c>
      <x:c r="J228" s="60" t="n">
        <x:v>0.2642092813</x:v>
      </x:c>
      <x:c r="K228" s="60" t="n">
        <x:v>10.270100169900001</x:v>
      </x:c>
      <x:c r="L228" s="60" t="n">
        <x:v>0</x:v>
      </x:c>
      <x:c r="M228" s="60" t="n">
        <x:v>10.5343094512</x:v>
      </x:c>
      <x:c r="N228" s="46" t="str">
        <x:v>engyophrys sanctilaurentii</x:v>
      </x:c>
      <x:c r="O228" s="62" t="n">
        <x:v>3.6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Engyophrys sanctilaurentii</x:v>
      </x:c>
      <x:c r="T228" s="62" t="n">
        <x:f>IF(O228="","",(1/'Metadata'!$B$5)^(O228-1))</x:f>
        <x:v>398.1071705534973</x:v>
      </x:c>
      <x:c r="U228" s="60" t="n">
        <x:f>IF(T228="","",I228*T228)</x:f>
        <x:v>4193.784129352197</x:v>
      </x:c>
    </x:row>
    <x:row r="229" ht="18" customHeight="1">
      <x:c r="A229" s="46" t="str">
        <x:v>LME_011</x:v>
      </x:c>
      <x:c r="B229" s="46" t="str">
        <x:v>Pacific Central-American Coastal</x:v>
      </x:c>
      <x:c r="C229" s="46" t="str">
        <x:v>LME</x:v>
      </x:c>
      <x:c r="D229" s="58" t="n">
        <x:v>2019</x:v>
      </x:c>
      <x:c r="E229" s="46" t="str">
        <x:v>Kyphosidae</x:v>
      </x:c>
      <x:c r="F229" s="46" t="str">
        <x:v>Sea chubs, knifefishes, niblers</x:v>
      </x:c>
      <x:c r="G229" s="46" t="str">
        <x:v>Medium reef assoc. fish (30 - 89 cm)</x:v>
      </x:c>
      <x:c r="H229" s="46" t="str">
        <x:v>Perch-likes</x:v>
      </x:c>
      <x:c r="I229" s="60" t="n">
        <x:v>9.892815668999999</x:v>
      </x:c>
      <x:c r="J229" s="60" t="n">
        <x:v>9.892815668999999</x:v>
      </x:c>
      <x:c r="K229" s="60" t="n">
        <x:v>0</x:v>
      </x:c>
      <x:c r="L229" s="60" t="n">
        <x:v>9.892815668999999</x:v>
      </x:c>
      <x:c r="M229" s="60" t="n">
        <x:v>0</x:v>
      </x:c>
      <x:c r="N229" s="46" t="str">
        <x:v>kyphosidae</x:v>
      </x:c>
      <x:c r="O229" s="62" t="n">
        <x:v>2.19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Kyphosidae</x:v>
      </x:c>
      <x:c r="T229" s="62" t="n">
        <x:f>IF(O229="","",(1/'Metadata'!$B$5)^(O229-1))</x:f>
        <x:v>15.488166189124811</x:v>
      </x:c>
      <x:c r="U229" s="60" t="n">
        <x:f>IF(T229="","",I229*T229)</x:f>
        <x:v>153.22157315984992</x:v>
      </x:c>
    </x:row>
    <x:row r="230" ht="18" customHeight="1">
      <x:c r="A230" s="46" t="str">
        <x:v>LME_011</x:v>
      </x:c>
      <x:c r="B230" s="46" t="str">
        <x:v>Pacific Central-American Coastal</x:v>
      </x:c>
      <x:c r="C230" s="46" t="str">
        <x:v>LME</x:v>
      </x:c>
      <x:c r="D230" s="58" t="n">
        <x:v>2019</x:v>
      </x:c>
      <x:c r="E230" s="46" t="str">
        <x:v>Pseudobatos planiceps</x:v>
      </x:c>
      <x:c r="F230" s="46" t="str">
        <x:v>Pacific guitarfish</x:v>
      </x:c>
      <x:c r="G230" s="46" t="str">
        <x:v>Small to medium rays (&lt;90 cm)</x:v>
      </x:c>
      <x:c r="H230" s="46" t="str">
        <x:v>Sharks &amp; rays</x:v>
      </x:c>
      <x:c r="I230" s="60" t="n">
        <x:v>8.0586803357</x:v>
      </x:c>
      <x:c r="J230" s="60" t="n">
        <x:v>6.564977160199999</x:v>
      </x:c>
      <x:c r="K230" s="60" t="n">
        <x:v>1.4937031755</x:v>
      </x:c>
      <x:c r="L230" s="60" t="n">
        <x:v>4.8788828742999995</x:v>
      </x:c>
      <x:c r="M230" s="60" t="n">
        <x:v>3.1797974613999997</x:v>
      </x:c>
      <x:c r="N230" s="46" t="str">
        <x:v>pseudobatos planiceps</x:v>
      </x:c>
      <x:c r="O230" s="62" t="n">
        <x:v>3.56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Pseudobatos planiceps</x:v>
      </x:c>
      <x:c r="T230" s="62" t="n">
        <x:f>IF(O230="","",(1/'Metadata'!$B$5)^(O230-1))</x:f>
        <x:v>363.0780547701014</x:v>
      </x:c>
      <x:c r="U230" s="60" t="n">
        <x:f>IF(T230="","",I230*T230)</x:f>
        <x:v>2925.929980300024</x:v>
      </x:c>
    </x:row>
    <x:row r="231" ht="18" customHeight="1">
      <x:c r="A231" s="46" t="str">
        <x:v>LME_011</x:v>
      </x:c>
      <x:c r="B231" s="46" t="str">
        <x:v>Pacific Central-American Coastal</x:v>
      </x:c>
      <x:c r="C231" s="46" t="str">
        <x:v>LME</x:v>
      </x:c>
      <x:c r="D231" s="58" t="n">
        <x:v>2019</x:v>
      </x:c>
      <x:c r="E231" s="46" t="str">
        <x:v>Rhizoprionodon longurio</x:v>
      </x:c>
      <x:c r="F231" s="46" t="str">
        <x:v>Pacific sharpnose shark</x:v>
      </x:c>
      <x:c r="G231" s="46" t="str">
        <x:v>Large sharks (&gt;=90 cm)</x:v>
      </x:c>
      <x:c r="H231" s="46" t="str">
        <x:v>Sharks &amp; rays</x:v>
      </x:c>
      <x:c r="I231" s="60" t="n">
        <x:v>8.0322975954</x:v>
      </x:c>
      <x:c r="J231" s="60" t="n">
        <x:v>8.0322975954</x:v>
      </x:c>
      <x:c r="K231" s="60" t="n">
        <x:v>0</x:v>
      </x:c>
      <x:c r="L231" s="60" t="n">
        <x:v>0</x:v>
      </x:c>
      <x:c r="M231" s="60" t="n">
        <x:v>8.0322975954</x:v>
      </x:c>
      <x:c r="N231" s="46" t="str">
        <x:v>rhizoprionodon longurio</x:v>
      </x:c>
      <x:c r="O231" s="62" t="n">
        <x:v>4.24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Rhizoprionodon longurio</x:v>
      </x:c>
      <x:c r="T231" s="62" t="n">
        <x:f>IF(O231="","",(1/'Metadata'!$B$5)^(O231-1))</x:f>
        <x:v>1737.8008287493763</x:v>
      </x:c>
      <x:c r="U231" s="60" t="n">
        <x:f>IF(T231="","",I231*T231)</x:f>
        <x:v>13958.53341804774</x:v>
      </x:c>
    </x:row>
    <x:row r="232" ht="18" customHeight="1">
      <x:c r="A232" s="46" t="str">
        <x:v>LME_011</x:v>
      </x:c>
      <x:c r="B232" s="46" t="str">
        <x:v>Pacific Central-American Coastal</x:v>
      </x:c>
      <x:c r="C232" s="46" t="str">
        <x:v>LME</x:v>
      </x:c>
      <x:c r="D232" s="58" t="n">
        <x:v>2019</x:v>
      </x:c>
      <x:c r="E232" s="46" t="str">
        <x:v>Rhencus macracanthus</x:v>
      </x:c>
      <x:c r="F232" s="46" t="str">
        <x:v>Longspine grunt</x:v>
      </x:c>
      <x:c r="G232" s="46" t="str">
        <x:v>Medium benthopelagics (30 - 89 cm)</x:v>
      </x:c>
      <x:c r="H232" s="46" t="str">
        <x:v>Perch-likes</x:v>
      </x:c>
      <x:c r="I232" s="60" t="n">
        <x:v>7.870847967</x:v>
      </x:c>
      <x:c r="J232" s="60" t="n">
        <x:v>0.1755309831</x:v>
      </x:c>
      <x:c r="K232" s="60" t="n">
        <x:v>7.6953169839</x:v>
      </x:c>
      <x:c r="L232" s="60" t="n">
        <x:v>0</x:v>
      </x:c>
      <x:c r="M232" s="60" t="n">
        <x:v>7.870847967</x:v>
      </x:c>
      <x:c r="N232" s="46" t="str">
        <x:v>rhencus macracanthus</x:v>
      </x:c>
      <x:c r="O232" s="62" t="n">
        <x:v>3.5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Rhencus macracanthus</x:v>
      </x:c>
      <x:c r="T232" s="62" t="n">
        <x:f>IF(O232="","",(1/'Metadata'!$B$5)^(O232-1))</x:f>
        <x:v>316.22776601683796</x:v>
      </x:c>
      <x:c r="U232" s="60" t="n">
        <x:f>IF(T232="","",I232*T232)</x:f>
        <x:v>2488.9806692625807</x:v>
      </x:c>
    </x:row>
    <x:row r="233" ht="18" customHeight="1">
      <x:c r="A233" s="46" t="str">
        <x:v>LME_011</x:v>
      </x:c>
      <x:c r="B233" s="46" t="str">
        <x:v>Pacific Central-American Coastal</x:v>
      </x:c>
      <x:c r="C233" s="46" t="str">
        <x:v>LME</x:v>
      </x:c>
      <x:c r="D233" s="58" t="n">
        <x:v>2019</x:v>
      </x:c>
      <x:c r="E233" s="46" t="str">
        <x:v>Caulolatilus</x:v>
      </x:c>
      <x:c r="F233" s="46" t="str">
        <x:v>Pacific and Atlantic tilefishes</x:v>
      </x:c>
      <x:c r="G233" s="46" t="str">
        <x:v>Medium demersals (30 - 89 cm)</x:v>
      </x:c>
      <x:c r="H233" s="46" t="str">
        <x:v>Perch-likes</x:v>
      </x:c>
      <x:c r="I233" s="60" t="n">
        <x:v>7.7865949863</x:v>
      </x:c>
      <x:c r="J233" s="60" t="n">
        <x:v>7.7865949863</x:v>
      </x:c>
      <x:c r="K233" s="60" t="n">
        <x:v>0</x:v>
      </x:c>
      <x:c r="L233" s="60" t="n">
        <x:v>0</x:v>
      </x:c>
      <x:c r="M233" s="60" t="n">
        <x:v>7.7865949863</x:v>
      </x:c>
      <x:c r="N233" s="46" t="str">
        <x:v>caulolatilus</x:v>
      </x:c>
      <x:c r="O233" s="62" t="n">
        <x:v>4.28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Caulolatilus</x:v>
      </x:c>
      <x:c r="T233" s="62" t="n">
        <x:f>IF(O233="","",(1/'Metadata'!$B$5)^(O233-1))</x:f>
        <x:v>1905.4607179632483</x:v>
      </x:c>
      <x:c r="U233" s="60" t="n">
        <x:f>IF(T233="","",I233*T233)</x:f>
        <x:v>14837.050873084227</x:v>
      </x:c>
    </x:row>
    <x:row r="234" ht="18" customHeight="1">
      <x:c r="A234" s="46" t="str">
        <x:v>LME_011</x:v>
      </x:c>
      <x:c r="B234" s="46" t="str">
        <x:v>Pacific Central-American Coastal</x:v>
      </x:c>
      <x:c r="C234" s="46" t="str">
        <x:v>LME</x:v>
      </x:c>
      <x:c r="D234" s="58" t="n">
        <x:v>2019</x:v>
      </x:c>
      <x:c r="E234" s="46" t="str">
        <x:v>Hippoglossina macrops</x:v>
      </x:c>
      <x:c r="F234" s="46" t="str">
        <x:v>Bigeye flounder</x:v>
      </x:c>
      <x:c r="G234" s="46" t="str">
        <x:v>Small to medium flatfishes (&lt;90 cm)</x:v>
      </x:c>
      <x:c r="H234" s="46" t="str">
        <x:v>Flatfishes</x:v>
      </x:c>
      <x:c r="I234" s="60" t="n">
        <x:v>7.286047236</x:v>
      </x:c>
      <x:c r="J234" s="60" t="n">
        <x:v>0</x:v>
      </x:c>
      <x:c r="K234" s="60" t="n">
        <x:v>7.286047236</x:v>
      </x:c>
      <x:c r="L234" s="60" t="n">
        <x:v>0</x:v>
      </x:c>
      <x:c r="M234" s="60" t="n">
        <x:v>7.286047236</x:v>
      </x:c>
      <x:c r="N234" s="46" t="str">
        <x:v>hippoglossina macrops</x:v>
      </x:c>
      <x:c r="O234" s="62" t="n">
        <x:v>3.73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Hippoglossina macrops</x:v>
      </x:c>
      <x:c r="T234" s="62" t="n">
        <x:f>IF(O234="","",(1/'Metadata'!$B$5)^(O234-1))</x:f>
        <x:v>537.0317963702527</x:v>
      </x:c>
      <x:c r="U234" s="60" t="n">
        <x:f>IF(T234="","",I234*T234)</x:f>
        <x:v>3912.839035587594</x:v>
      </x:c>
    </x:row>
    <x:row r="235" ht="18" customHeight="1">
      <x:c r="A235" s="46" t="str">
        <x:v>LME_011</x:v>
      </x:c>
      <x:c r="B235" s="46" t="str">
        <x:v>Pacific Central-American Coastal</x:v>
      </x:c>
      <x:c r="C235" s="46" t="str">
        <x:v>LME</x:v>
      </x:c>
      <x:c r="D235" s="58" t="n">
        <x:v>2019</x:v>
      </x:c>
      <x:c r="E235" s="46" t="str">
        <x:v>Carcharhinus leucas</x:v>
      </x:c>
      <x:c r="F235" s="46" t="str">
        <x:v>Bull shark</x:v>
      </x:c>
      <x:c r="G235" s="46" t="str">
        <x:v>Large sharks (&gt;=90 cm)</x:v>
      </x:c>
      <x:c r="H235" s="46" t="str">
        <x:v>Sharks &amp; rays</x:v>
      </x:c>
      <x:c r="I235" s="60" t="n">
        <x:v>6.6993886773</x:v>
      </x:c>
      <x:c r="J235" s="60" t="n">
        <x:v>6.6993886773</x:v>
      </x:c>
      <x:c r="K235" s="60" t="n">
        <x:v>0</x:v>
      </x:c>
      <x:c r="L235" s="60" t="n">
        <x:v>6.4607056927</x:v>
      </x:c>
      <x:c r="M235" s="60" t="n">
        <x:v>0.23868298459999998</x:v>
      </x:c>
      <x:c r="N235" s="46" t="str">
        <x:v>carcharhinus leucas</x:v>
      </x:c>
      <x:c r="O235" s="62" t="n">
        <x:v>4.31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Carcharhinus leucas</x:v>
      </x:c>
      <x:c r="T235" s="62" t="n">
        <x:f>IF(O235="","",(1/'Metadata'!$B$5)^(O235-1))</x:f>
        <x:v>2041.7379446695275</x:v>
      </x:c>
      <x:c r="U235" s="60" t="n">
        <x:f>IF(T235="","",I235*T235)</x:f>
        <x:v>13678.396068532806</x:v>
      </x:c>
    </x:row>
    <x:row r="236" ht="18" customHeight="1">
      <x:c r="A236" s="46" t="str">
        <x:v>LME_011</x:v>
      </x:c>
      <x:c r="B236" s="46" t="str">
        <x:v>Pacific Central-American Coastal</x:v>
      </x:c>
      <x:c r="C236" s="46" t="str">
        <x:v>LME</x:v>
      </x:c>
      <x:c r="D236" s="58" t="n">
        <x:v>2019</x:v>
      </x:c>
      <x:c r="E236" s="46" t="str">
        <x:v>Seriolella violacea</x:v>
      </x:c>
      <x:c r="F236" s="46" t="str">
        <x:v>Palm ruff</x:v>
      </x:c>
      <x:c r="G236" s="46" t="str">
        <x:v>Medium pelagics (30 - 89 cm)</x:v>
      </x:c>
      <x:c r="H236" s="46" t="str">
        <x:v>Perch-likes</x:v>
      </x:c>
      <x:c r="I236" s="60" t="n">
        <x:v>5.0488906302</x:v>
      </x:c>
      <x:c r="J236" s="60" t="n">
        <x:v>5.0488906302</x:v>
      </x:c>
      <x:c r="K236" s="60" t="n">
        <x:v>0</x:v>
      </x:c>
      <x:c r="L236" s="60" t="n">
        <x:v>3.8794019886</x:v>
      </x:c>
      <x:c r="M236" s="60" t="n">
        <x:v>1.1694886415999999</x:v>
      </x:c>
      <x:c r="N236" s="46" t="str">
        <x:v>seriolella violacea</x:v>
      </x:c>
      <x:c r="O236" s="62" t="n">
        <x:v>3.53</x:v>
      </x:c>
      <x:c r="P236" s="46" t="str">
        <x:v>exact_sea_around_us</x:v>
      </x:c>
      <x:c r="Q236" s="62" t="str">
        <x:v>Sea Around Us exploited organisms</x:v>
      </x:c>
      <x:c r="R236" s="46" t="str">
        <x:v>high</x:v>
      </x:c>
      <x:c r="S236" s="46" t="str">
        <x:v>Seriolella violacea</x:v>
      </x:c>
      <x:c r="T236" s="62" t="n">
        <x:f>IF(O236="","",(1/'Metadata'!$B$5)^(O236-1))</x:f>
        <x:v>338.84415613920237</x:v>
      </x:c>
      <x:c r="U236" s="60" t="n">
        <x:f>IF(T236="","",I236*T236)</x:f>
        <x:v>1710.7870850292445</x:v>
      </x:c>
    </x:row>
    <x:row r="237" ht="18" customHeight="1">
      <x:c r="A237" s="46" t="str">
        <x:v>LME_011</x:v>
      </x:c>
      <x:c r="B237" s="46" t="str">
        <x:v>Pacific Central-American Coastal</x:v>
      </x:c>
      <x:c r="C237" s="46" t="str">
        <x:v>LME</x:v>
      </x:c>
      <x:c r="D237" s="58" t="n">
        <x:v>2019</x:v>
      </x:c>
      <x:c r="E237" s="46" t="str">
        <x:v>Anchoa nasus</x:v>
      </x:c>
      <x:c r="F237" s="46" t="str">
        <x:v>Longnose anchovy</x:v>
      </x:c>
      <x:c r="G237" s="46" t="str">
        <x:v>Small pelagics (&lt;30 cm)</x:v>
      </x:c>
      <x:c r="H237" s="46" t="str">
        <x:v>Anchovies</x:v>
      </x:c>
      <x:c r="I237" s="60" t="n">
        <x:v>4.1025309078</x:v>
      </x:c>
      <x:c r="J237" s="60" t="n">
        <x:v>4.1025309078</x:v>
      </x:c>
      <x:c r="K237" s="60" t="n">
        <x:v>0</x:v>
      </x:c>
      <x:c r="L237" s="60" t="n">
        <x:v>3.6374171012</x:v>
      </x:c>
      <x:c r="M237" s="60" t="n">
        <x:v>0.4651138066</x:v>
      </x:c>
      <x:c r="N237" s="46" t="str">
        <x:v>anchoa nasus</x:v>
      </x:c>
      <x:c r="O237" s="62" t="n">
        <x:v>3.4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Anchoa nasus</x:v>
      </x:c>
      <x:c r="T237" s="62" t="n">
        <x:f>IF(O237="","",(1/'Metadata'!$B$5)^(O237-1))</x:f>
        <x:v>251.18864315095797</x:v>
      </x:c>
      <x:c r="U237" s="60" t="n">
        <x:f>IF(T237="","",I237*T237)</x:f>
        <x:v>1030.5091722151499</x:v>
      </x:c>
    </x:row>
    <x:row r="238" ht="18" customHeight="1">
      <x:c r="A238" s="46" t="str">
        <x:v>LME_011</x:v>
      </x:c>
      <x:c r="B238" s="46" t="str">
        <x:v>Pacific Central-American Coastal</x:v>
      </x:c>
      <x:c r="C238" s="46" t="str">
        <x:v>LME</x:v>
      </x:c>
      <x:c r="D238" s="58" t="n">
        <x:v>2019</x:v>
      </x:c>
      <x:c r="E238" s="46" t="str">
        <x:v>Scorpaena histrio</x:v>
      </x:c>
      <x:c r="F238" s="46" t="str">
        <x:v>Player scorpionfish</x:v>
      </x:c>
      <x:c r="G238" s="46" t="str">
        <x:v>Small demersals (&lt;30 cm)</x:v>
      </x:c>
      <x:c r="H238" s="46" t="str">
        <x:v>Scorpionfishes</x:v>
      </x:c>
      <x:c r="I238" s="60" t="n">
        <x:v>3.8386241977</x:v>
      </x:c>
      <x:c r="J238" s="60" t="n">
        <x:v>3.8386241977</x:v>
      </x:c>
      <x:c r="K238" s="60" t="n">
        <x:v>0</x:v>
      </x:c>
      <x:c r="L238" s="60" t="n">
        <x:v>3.8386241977</x:v>
      </x:c>
      <x:c r="M238" s="60" t="n">
        <x:v>0</x:v>
      </x:c>
      <x:c r="N238" s="46" t="str">
        <x:v>scorpaena histrio</x:v>
      </x:c>
      <x:c r="O238" s="62" t="n">
        <x:v>3.7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Scorpaena histrio</x:v>
      </x:c>
      <x:c r="T238" s="62" t="n">
        <x:f>IF(O238="","",(1/'Metadata'!$B$5)^(O238-1))</x:f>
        <x:v>501.18723362727246</x:v>
      </x:c>
      <x:c r="U238" s="60" t="n">
        <x:f>IF(T238="","",I238*T238)</x:f>
        <x:v>1923.8694425799713</x:v>
      </x:c>
    </x:row>
    <x:row r="239" ht="18" customHeight="1">
      <x:c r="A239" s="46" t="str">
        <x:v>LME_011</x:v>
      </x:c>
      <x:c r="B239" s="46" t="str">
        <x:v>Pacific Central-American Coastal</x:v>
      </x:c>
      <x:c r="C239" s="46" t="str">
        <x:v>LME</x:v>
      </x:c>
      <x:c r="D239" s="58" t="n">
        <x:v>2019</x:v>
      </x:c>
      <x:c r="E239" s="46" t="str">
        <x:v>Stellifer minor</x:v>
      </x:c>
      <x:c r="F239" s="46" t="str">
        <x:v>Minor stardrum</x:v>
      </x:c>
      <x:c r="G239" s="46" t="str">
        <x:v>Medium demersals (30 - 89 cm)</x:v>
      </x:c>
      <x:c r="H239" s="46" t="str">
        <x:v>Perch-likes</x:v>
      </x:c>
      <x:c r="I239" s="60" t="n">
        <x:v>3.4677121969</x:v>
      </x:c>
      <x:c r="J239" s="60" t="n">
        <x:v>3.4677121969</x:v>
      </x:c>
      <x:c r="K239" s="60" t="n">
        <x:v>0</x:v>
      </x:c>
      <x:c r="L239" s="60" t="n">
        <x:v>0</x:v>
      </x:c>
      <x:c r="M239" s="60" t="n">
        <x:v>3.4677121969</x:v>
      </x:c>
      <x:c r="N239" s="46" t="str">
        <x:v>stellifer minor</x:v>
      </x:c>
      <x:c r="O239" s="62" t="n">
        <x:v>3.45</x:v>
      </x:c>
      <x:c r="P239" s="46" t="str">
        <x:v>exact_sea_around_us</x:v>
      </x:c>
      <x:c r="Q239" s="62" t="str">
        <x:v>Sea Around Us exploited organisms</x:v>
      </x:c>
      <x:c r="R239" s="46" t="str">
        <x:v>high</x:v>
      </x:c>
      <x:c r="S239" s="46" t="str">
        <x:v>Stellifer minor</x:v>
      </x:c>
      <x:c r="T239" s="62" t="n">
        <x:f>IF(O239="","",(1/'Metadata'!$B$5)^(O239-1))</x:f>
        <x:v>281.8382931264455</x:v>
      </x:c>
      <x:c r="U239" s="60" t="n">
        <x:f>IF(T239="","",I239*T239)</x:f>
        <x:v>977.3340866280524</x:v>
      </x:c>
    </x:row>
    <x:row r="240" ht="18" customHeight="1">
      <x:c r="A240" s="46" t="str">
        <x:v>LME_011</x:v>
      </x:c>
      <x:c r="B240" s="46" t="str">
        <x:v>Pacific Central-American Coastal</x:v>
      </x:c>
      <x:c r="C240" s="46" t="str">
        <x:v>LME</x:v>
      </x:c>
      <x:c r="D240" s="58" t="n">
        <x:v>2019</x:v>
      </x:c>
      <x:c r="E240" s="46" t="str">
        <x:v>Paralabrax</x:v>
      </x:c>
      <x:c r="F240" s="46" t="str">
        <x:v>Sand basses</x:v>
      </x:c>
      <x:c r="G240" s="46" t="str">
        <x:v>Medium reef assoc. fish (30 - 89 cm)</x:v>
      </x:c>
      <x:c r="H240" s="46" t="str">
        <x:v>Perch-likes</x:v>
      </x:c>
      <x:c r="I240" s="60" t="n">
        <x:v>3.4173413792</x:v>
      </x:c>
      <x:c r="J240" s="60" t="n">
        <x:v>3.4173413792</x:v>
      </x:c>
      <x:c r="K240" s="60" t="n">
        <x:v>0</x:v>
      </x:c>
      <x:c r="L240" s="60" t="n">
        <x:v>3.4173413792</x:v>
      </x:c>
      <x:c r="M240" s="60" t="n">
        <x:v>0</x:v>
      </x:c>
      <x:c r="N240" s="46" t="str">
        <x:v>paralabrax</x:v>
      </x:c>
      <x:c r="O240" s="62" t="n">
        <x:v>4.14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Paralabrax</x:v>
      </x:c>
      <x:c r="T240" s="62" t="n">
        <x:f>IF(O240="","",(1/'Metadata'!$B$5)^(O240-1))</x:f>
        <x:v>1380.3842646028838</x:v>
      </x:c>
      <x:c r="U240" s="60" t="n">
        <x:f>IF(T240="","",I240*T240)</x:f>
        <x:v>4717.244266623997</x:v>
      </x:c>
    </x:row>
    <x:row r="241" ht="18" customHeight="1">
      <x:c r="A241" s="46" t="str">
        <x:v>LME_011</x:v>
      </x:c>
      <x:c r="B241" s="46" t="str">
        <x:v>Pacific Central-American Coastal</x:v>
      </x:c>
      <x:c r="C241" s="46" t="str">
        <x:v>LME</x:v>
      </x:c>
      <x:c r="D241" s="58" t="n">
        <x:v>2019</x:v>
      </x:c>
      <x:c r="E241" s="46" t="str">
        <x:v>Trichiurus lepturus</x:v>
      </x:c>
      <x:c r="F241" s="46" t="str">
        <x:v>Largehead hairtail</x:v>
      </x:c>
      <x:c r="G241" s="46" t="str">
        <x:v>Large benthopelagics (&gt;=90 cm)</x:v>
      </x:c>
      <x:c r="H241" s="46" t="str">
        <x:v>Perch-likes</x:v>
      </x:c>
      <x:c r="I241" s="60" t="n">
        <x:v>3.3593127211</x:v>
      </x:c>
      <x:c r="J241" s="60" t="n">
        <x:v>3.3593127211</x:v>
      </x:c>
      <x:c r="K241" s="60" t="n">
        <x:v>0</x:v>
      </x:c>
      <x:c r="L241" s="60" t="n">
        <x:v>3.3593127211</x:v>
      </x:c>
      <x:c r="M241" s="60" t="n">
        <x:v>0</x:v>
      </x:c>
      <x:c r="N241" s="46" t="str">
        <x:v>trichiurus lepturus</x:v>
      </x:c>
      <x:c r="O241" s="62" t="n">
        <x:v>4.42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Trichiurus lepturus</x:v>
      </x:c>
      <x:c r="T241" s="62" t="n">
        <x:f>IF(O241="","",(1/'Metadata'!$B$5)^(O241-1))</x:f>
        <x:v>2630.2679918953813</x:v>
      </x:c>
      <x:c r="U241" s="60" t="n">
        <x:f>IF(T241="","",I241*T241)</x:f>
        <x:v>8835.892725076306</x:v>
      </x:c>
    </x:row>
    <x:row r="242" ht="18" customHeight="1">
      <x:c r="A242" s="46" t="str">
        <x:v>LME_011</x:v>
      </x:c>
      <x:c r="B242" s="46" t="str">
        <x:v>Pacific Central-American Coastal</x:v>
      </x:c>
      <x:c r="C242" s="46" t="str">
        <x:v>LME</x:v>
      </x:c>
      <x:c r="D242" s="58" t="n">
        <x:v>2019</x:v>
      </x:c>
      <x:c r="E242" s="46" t="str">
        <x:v>Alopias</x:v>
      </x:c>
      <x:c r="F242" s="46" t="str">
        <x:v>Thresher sharks</x:v>
      </x:c>
      <x:c r="G242" s="46" t="str">
        <x:v>Large sharks (&gt;=90 cm)</x:v>
      </x:c>
      <x:c r="H242" s="46" t="str">
        <x:v>Sharks &amp; rays</x:v>
      </x:c>
      <x:c r="I242" s="60" t="n">
        <x:v>2.8974025389999998</x:v>
      </x:c>
      <x:c r="J242" s="60" t="n">
        <x:v>2.8491457429</x:v>
      </x:c>
      <x:c r="K242" s="60" t="n">
        <x:v>0.0482567961</x:v>
      </x:c>
      <x:c r="L242" s="60" t="n">
        <x:v>0</x:v>
      </x:c>
      <x:c r="M242" s="60" t="n">
        <x:v>2.8974025389999998</x:v>
      </x:c>
      <x:c r="N242" s="46" t="str">
        <x:v>alopias</x:v>
      </x:c>
      <x:c r="O242" s="62" t="n">
        <x:v>4.5</x:v>
      </x:c>
      <x:c r="P242" s="46" t="str">
        <x:v>exact_sea_around_us</x:v>
      </x:c>
      <x:c r="Q242" s="62" t="str">
        <x:v>Sea Around Us exploited organisms</x:v>
      </x:c>
      <x:c r="R242" s="46" t="str">
        <x:v>high</x:v>
      </x:c>
      <x:c r="S242" s="46" t="str">
        <x:v>Alopias</x:v>
      </x:c>
      <x:c r="T242" s="62" t="n">
        <x:f>IF(O242="","",(1/'Metadata'!$B$5)^(O242-1))</x:f>
        <x:v>3162.2776601683795</x:v>
      </x:c>
      <x:c r="U242" s="60" t="n">
        <x:f>IF(T242="","",I242*T242)</x:f>
        <x:v>9162.391321594841</x:v>
      </x:c>
    </x:row>
    <x:row r="243" ht="18" customHeight="1">
      <x:c r="A243" s="46" t="str">
        <x:v>LME_011</x:v>
      </x:c>
      <x:c r="B243" s="46" t="str">
        <x:v>Pacific Central-American Coastal</x:v>
      </x:c>
      <x:c r="C243" s="46" t="str">
        <x:v>LME</x:v>
      </x:c>
      <x:c r="D243" s="58" t="n">
        <x:v>2019</x:v>
      </x:c>
      <x:c r="E243" s="46" t="str">
        <x:v>Aetobatus narinari</x:v>
      </x:c>
      <x:c r="F243" s="46" t="str">
        <x:v>Spotted eagle ray</x:v>
      </x:c>
      <x:c r="G243" s="46" t="str">
        <x:v>Large rays (&gt;=90 cm)</x:v>
      </x:c>
      <x:c r="H243" s="46" t="str">
        <x:v>Sharks &amp; rays</x:v>
      </x:c>
      <x:c r="I243" s="60" t="n">
        <x:v>2.643766996</x:v>
      </x:c>
      <x:c r="J243" s="60" t="n">
        <x:v>2.643766996</x:v>
      </x:c>
      <x:c r="K243" s="60" t="n">
        <x:v>0</x:v>
      </x:c>
      <x:c r="L243" s="60" t="n">
        <x:v>0</x:v>
      </x:c>
      <x:c r="M243" s="60" t="n">
        <x:v>2.643766996</x:v>
      </x:c>
      <x:c r="N243" s="46" t="str">
        <x:v>aetobatus narinari</x:v>
      </x:c>
      <x:c r="O243" s="62" t="n">
        <x:v>4.17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Aetobatus narinari</x:v>
      </x:c>
      <x:c r="T243" s="62" t="n">
        <x:f>IF(O243="","",(1/'Metadata'!$B$5)^(O243-1))</x:f>
        <x:v>1479.1083881682073</x:v>
      </x:c>
      <x:c r="U243" s="60" t="n">
        <x:f>IF(T243="","",I243*T243)</x:f>
        <x:v>3910.4179401458637</x:v>
      </x:c>
    </x:row>
    <x:row r="244" ht="18" customHeight="1">
      <x:c r="A244" s="46" t="str">
        <x:v>LME_011</x:v>
      </x:c>
      <x:c r="B244" s="46" t="str">
        <x:v>Pacific Central-American Coastal</x:v>
      </x:c>
      <x:c r="C244" s="46" t="str">
        <x:v>LME</x:v>
      </x:c>
      <x:c r="D244" s="58" t="n">
        <x:v>2019</x:v>
      </x:c>
      <x:c r="E244" s="46" t="str">
        <x:v>Seriola lalandi</x:v>
      </x:c>
      <x:c r="F244" s="46" t="str">
        <x:v>Yellowtail amberjack</x:v>
      </x:c>
      <x:c r="G244" s="46" t="str">
        <x:v>Large benthopelagics (&gt;=90 cm)</x:v>
      </x:c>
      <x:c r="H244" s="46" t="str">
        <x:v>Perch-likes</x:v>
      </x:c>
      <x:c r="I244" s="60" t="n">
        <x:v>2.1488935529</x:v>
      </x:c>
      <x:c r="J244" s="60" t="n">
        <x:v>0.20832786150000002</x:v>
      </x:c>
      <x:c r="K244" s="60" t="n">
        <x:v>1.9405656914</x:v>
      </x:c>
      <x:c r="L244" s="60" t="n">
        <x:v>0.20832786150000002</x:v>
      </x:c>
      <x:c r="M244" s="60" t="n">
        <x:v>1.9405656914</x:v>
      </x:c>
      <x:c r="N244" s="46" t="str">
        <x:v>seriola lalandi</x:v>
      </x:c>
      <x:c r="O244" s="62" t="n">
        <x:v>4.16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Seriola lalandi</x:v>
      </x:c>
      <x:c r="T244" s="62" t="n">
        <x:f>IF(O244="","",(1/'Metadata'!$B$5)^(O244-1))</x:f>
        <x:v>1445.439770745928</x:v>
      </x:c>
      <x:c r="U244" s="60" t="n">
        <x:f>IF(T244="","",I244*T244)</x:f>
        <x:v>3106.096204461179</x:v>
      </x:c>
    </x:row>
    <x:row r="245" ht="18" customHeight="1">
      <x:c r="A245" s="46" t="str">
        <x:v>LME_011</x:v>
      </x:c>
      <x:c r="B245" s="46" t="str">
        <x:v>Pacific Central-American Coastal</x:v>
      </x:c>
      <x:c r="C245" s="46" t="str">
        <x:v>LME</x:v>
      </x:c>
      <x:c r="D245" s="58" t="n">
        <x:v>2019</x:v>
      </x:c>
      <x:c r="E245" s="46" t="str">
        <x:v>Ruvettus pretiosus</x:v>
      </x:c>
      <x:c r="F245" s="46" t="str">
        <x:v>Oilfish</x:v>
      </x:c>
      <x:c r="G245" s="46" t="str">
        <x:v>Large benthopelagics (&gt;=90 cm)</x:v>
      </x:c>
      <x:c r="H245" s="46" t="str">
        <x:v>Perch-likes</x:v>
      </x:c>
      <x:c r="I245" s="60" t="n">
        <x:v>1.9721630677</x:v>
      </x:c>
      <x:c r="J245" s="60" t="n">
        <x:v>1.9721630677</x:v>
      </x:c>
      <x:c r="K245" s="60" t="n">
        <x:v>0</x:v>
      </x:c>
      <x:c r="L245" s="60" t="n">
        <x:v>1.9721630677</x:v>
      </x:c>
      <x:c r="M245" s="60" t="n">
        <x:v>0</x:v>
      </x:c>
      <x:c r="N245" s="46" t="str">
        <x:v>ruvettus pretiosus</x:v>
      </x:c>
      <x:c r="O245" s="62" t="n">
        <x:v>4.18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Ruvettus pretiosus</x:v>
      </x:c>
      <x:c r="T245" s="62" t="n">
        <x:f>IF(O245="","",(1/'Metadata'!$B$5)^(O245-1))</x:f>
        <x:v>1513.5612484362073</x:v>
      </x:c>
      <x:c r="U245" s="60" t="n">
        <x:f>IF(T245="","",I245*T245)</x:f>
        <x:v>2984.989594867792</x:v>
      </x:c>
    </x:row>
    <x:row r="246" ht="18" customHeight="1">
      <x:c r="A246" s="46" t="str">
        <x:v>LME_011</x:v>
      </x:c>
      <x:c r="B246" s="46" t="str">
        <x:v>Pacific Central-American Coastal</x:v>
      </x:c>
      <x:c r="C246" s="46" t="str">
        <x:v>LME</x:v>
      </x:c>
      <x:c r="D246" s="58" t="n">
        <x:v>2019</x:v>
      </x:c>
      <x:c r="E246" s="46" t="str">
        <x:v>Mustelus whitneyi</x:v>
      </x:c>
      <x:c r="F246" s="46" t="str">
        <x:v>Humpback smooth-hound</x:v>
      </x:c>
      <x:c r="G246" s="46" t="str">
        <x:v>Small to medium sharks (&lt;90 cm)</x:v>
      </x:c>
      <x:c r="H246" s="46" t="str">
        <x:v>Sharks &amp; rays</x:v>
      </x:c>
      <x:c r="I246" s="60" t="n">
        <x:v>1.7875066712</x:v>
      </x:c>
      <x:c r="J246" s="60" t="n">
        <x:v>1.7875066712</x:v>
      </x:c>
      <x:c r="K246" s="60" t="n">
        <x:v>0</x:v>
      </x:c>
      <x:c r="L246" s="60" t="n">
        <x:v>0</x:v>
      </x:c>
      <x:c r="M246" s="60" t="n">
        <x:v>1.7875066712</x:v>
      </x:c>
      <x:c r="N246" s="46" t="str">
        <x:v>mustelus whitneyi</x:v>
      </x:c>
      <x:c r="O246" s="62" t="n">
        <x:v>3.66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Mustelus whitneyi</x:v>
      </x:c>
      <x:c r="T246" s="62" t="n">
        <x:f>IF(O246="","",(1/'Metadata'!$B$5)^(O246-1))</x:f>
        <x:v>457.0881896148752</x:v>
      </x:c>
      <x:c r="U246" s="60" t="n">
        <x:f>IF(T246="","",I246*T246)</x:f>
        <x:v>817.0481882633201</x:v>
      </x:c>
    </x:row>
    <x:row r="247" ht="18" customHeight="1">
      <x:c r="A247" s="46" t="str">
        <x:v>LME_011</x:v>
      </x:c>
      <x:c r="B247" s="46" t="str">
        <x:v>Pacific Central-American Coastal</x:v>
      </x:c>
      <x:c r="C247" s="46" t="str">
        <x:v>LME</x:v>
      </x:c>
      <x:c r="D247" s="58" t="n">
        <x:v>2019</x:v>
      </x:c>
      <x:c r="E247" s="46" t="str">
        <x:v>Scorpaena</x:v>
      </x:c>
      <x:c r="F247" s="46" t="str">
        <x:v>Scorpionfishes</x:v>
      </x:c>
      <x:c r="G247" s="46" t="str">
        <x:v>Large reef assoc. fish (&gt;=90 cm)</x:v>
      </x:c>
      <x:c r="H247" s="46" t="str">
        <x:v>Scorpionfishes</x:v>
      </x:c>
      <x:c r="I247" s="60" t="n">
        <x:v>1.5023623722</x:v>
      </x:c>
      <x:c r="J247" s="60" t="n">
        <x:v>0</x:v>
      </x:c>
      <x:c r="K247" s="60" t="n">
        <x:v>1.5023623722</x:v>
      </x:c>
      <x:c r="L247" s="60" t="n">
        <x:v>0</x:v>
      </x:c>
      <x:c r="M247" s="60" t="n">
        <x:v>1.5023623722</x:v>
      </x:c>
      <x:c r="N247" s="46" t="str">
        <x:v>scorpaena</x:v>
      </x:c>
      <x:c r="O247" s="62" t="n">
        <x:v>3.87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Scorpaena</x:v>
      </x:c>
      <x:c r="T247" s="62" t="n">
        <x:f>IF(O247="","",(1/'Metadata'!$B$5)^(O247-1))</x:f>
        <x:v>741.3102413009177</x:v>
      </x:c>
      <x:c r="U247" s="60" t="n">
        <x:f>IF(T247="","",I247*T247)</x:f>
        <x:v>1113.7166126570012</x:v>
      </x:c>
    </x:row>
    <x:row r="248" ht="18" customHeight="1">
      <x:c r="A248" s="46" t="str">
        <x:v>LME_011</x:v>
      </x:c>
      <x:c r="B248" s="46" t="str">
        <x:v>Pacific Central-American Coastal</x:v>
      </x:c>
      <x:c r="C248" s="46" t="str">
        <x:v>LME</x:v>
      </x:c>
      <x:c r="D248" s="58" t="n">
        <x:v>2019</x:v>
      </x:c>
      <x:c r="E248" s="46" t="str">
        <x:v>Haliotis</x:v>
      </x:c>
      <x:c r="F248" s="46" t="str">
        <x:v>Abalones</x:v>
      </x:c>
      <x:c r="G248" s="46" t="str">
        <x:v>Other demersal invertebrates</x:v>
      </x:c>
      <x:c r="H248" s="46" t="str">
        <x:v>Molluscs</x:v>
      </x:c>
      <x:c r="I248" s="60" t="n">
        <x:v>1.4002598042</x:v>
      </x:c>
      <x:c r="J248" s="60" t="n">
        <x:v>1.4002598042</x:v>
      </x:c>
      <x:c r="K248" s="60" t="n">
        <x:v>0</x:v>
      </x:c>
      <x:c r="L248" s="60" t="n">
        <x:v>1.4002598042</x:v>
      </x:c>
      <x:c r="M248" s="60" t="n">
        <x:v>0</x:v>
      </x:c>
      <x:c r="N248" s="46" t="str">
        <x:v>haliotis</x:v>
      </x:c>
      <x:c r="O248" s="62" t="n">
        <x:v>2</x:v>
      </x:c>
      <x:c r="P248" s="46" t="str">
        <x:v>exact_sea_around_us</x:v>
      </x:c>
      <x:c r="Q248" s="62" t="str">
        <x:v>Sea Around Us exploited organisms</x:v>
      </x:c>
      <x:c r="R248" s="46" t="str">
        <x:v>high</x:v>
      </x:c>
      <x:c r="S248" s="46" t="str">
        <x:v>Haliotis</x:v>
      </x:c>
      <x:c r="T248" s="62" t="n">
        <x:f>IF(O248="","",(1/'Metadata'!$B$5)^(O248-1))</x:f>
        <x:v>10</x:v>
      </x:c>
      <x:c r="U248" s="60" t="n">
        <x:f>IF(T248="","",I248*T248)</x:f>
        <x:v>14.002598042</x:v>
      </x:c>
    </x:row>
    <x:row r="249" ht="18" customHeight="1">
      <x:c r="A249" s="46" t="str">
        <x:v>LME_011</x:v>
      </x:c>
      <x:c r="B249" s="46" t="str">
        <x:v>Pacific Central-American Coastal</x:v>
      </x:c>
      <x:c r="C249" s="46" t="str">
        <x:v>LME</x:v>
      </x:c>
      <x:c r="D249" s="58" t="n">
        <x:v>2019</x:v>
      </x:c>
      <x:c r="E249" s="46" t="str">
        <x:v>Sphyrna corona</x:v>
      </x:c>
      <x:c r="F249" s="46" t="str">
        <x:v>Scalloped bonnethead</x:v>
      </x:c>
      <x:c r="G249" s="46" t="str">
        <x:v>Large sharks (&gt;=90 cm)</x:v>
      </x:c>
      <x:c r="H249" s="46" t="str">
        <x:v>Sharks &amp; rays</x:v>
      </x:c>
      <x:c r="I249" s="60" t="n">
        <x:v>1.3639395486</x:v>
      </x:c>
      <x:c r="J249" s="60" t="n">
        <x:v>1.3639395486</x:v>
      </x:c>
      <x:c r="K249" s="60" t="n">
        <x:v>0</x:v>
      </x:c>
      <x:c r="L249" s="60" t="n">
        <x:v>0</x:v>
      </x:c>
      <x:c r="M249" s="60" t="n">
        <x:v>1.3639395486</x:v>
      </x:c>
      <x:c r="N249" s="46" t="str">
        <x:v>sphyrna corona</x:v>
      </x:c>
      <x:c r="O249" s="62" t="n">
        <x:v>3.88</x:v>
      </x:c>
      <x:c r="P249" s="46" t="str">
        <x:v>exact_sea_around_us</x:v>
      </x:c>
      <x:c r="Q249" s="62" t="str">
        <x:v>Sea Around Us exploited organisms</x:v>
      </x:c>
      <x:c r="R249" s="46" t="str">
        <x:v>high</x:v>
      </x:c>
      <x:c r="S249" s="46" t="str">
        <x:v>Sphyrna corona</x:v>
      </x:c>
      <x:c r="T249" s="62" t="n">
        <x:f>IF(O249="","",(1/'Metadata'!$B$5)^(O249-1))</x:f>
        <x:v>758.5775750291835</x:v>
      </x:c>
      <x:c r="U249" s="60" t="n">
        <x:f>IF(T249="","",I249*T249)</x:f>
        <x:v>1034.6539552633874</x:v>
      </x:c>
    </x:row>
    <x:row r="250" ht="18" customHeight="1">
      <x:c r="A250" s="46" t="str">
        <x:v>LME_011</x:v>
      </x:c>
      <x:c r="B250" s="46" t="str">
        <x:v>Pacific Central-American Coastal</x:v>
      </x:c>
      <x:c r="C250" s="46" t="str">
        <x:v>LME</x:v>
      </x:c>
      <x:c r="D250" s="58" t="n">
        <x:v>2019</x:v>
      </x:c>
      <x:c r="E250" s="46" t="str">
        <x:v>Galeorhinus galeus</x:v>
      </x:c>
      <x:c r="F250" s="46" t="str">
        <x:v>Tope shark</x:v>
      </x:c>
      <x:c r="G250" s="46" t="str">
        <x:v>Large sharks (&gt;=90 cm)</x:v>
      </x:c>
      <x:c r="H250" s="46" t="str">
        <x:v>Sharks &amp; rays</x:v>
      </x:c>
      <x:c r="I250" s="60" t="n">
        <x:v>1.1212973257</x:v>
      </x:c>
      <x:c r="J250" s="60" t="n">
        <x:v>1.1212973257</x:v>
      </x:c>
      <x:c r="K250" s="60" t="n">
        <x:v>0</x:v>
      </x:c>
      <x:c r="L250" s="60" t="n">
        <x:v>0.6432159787</x:v>
      </x:c>
      <x:c r="M250" s="60" t="n">
        <x:v>0.47808134700000005</x:v>
      </x:c>
      <x:c r="N250" s="46" t="str">
        <x:v>galeorhinus galeus</x:v>
      </x:c>
      <x:c r="O250" s="62" t="n">
        <x:v>4.34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Galeorhinus galeus</x:v>
      </x:c>
      <x:c r="T250" s="62" t="n">
        <x:f>IF(O250="","",(1/'Metadata'!$B$5)^(O250-1))</x:f>
        <x:v>2187.761623949552</x:v>
      </x:c>
      <x:c r="U250" s="60" t="n">
        <x:f>IF(T250="","",I250*T250)</x:f>
        <x:v>2453.1312582037217</x:v>
      </x:c>
    </x:row>
    <x:row r="251" ht="18" customHeight="1">
      <x:c r="A251" s="46" t="str">
        <x:v>LME_011</x:v>
      </x:c>
      <x:c r="B251" s="46" t="str">
        <x:v>Pacific Central-American Coastal</x:v>
      </x:c>
      <x:c r="C251" s="46" t="str">
        <x:v>LME</x:v>
      </x:c>
      <x:c r="D251" s="58" t="n">
        <x:v>2019</x:v>
      </x:c>
      <x:c r="E251" s="46" t="str">
        <x:v>Sphyrna tiburo</x:v>
      </x:c>
      <x:c r="F251" s="46" t="str">
        <x:v>Bonnethead</x:v>
      </x:c>
      <x:c r="G251" s="46" t="str">
        <x:v>Large sharks (&gt;=90 cm)</x:v>
      </x:c>
      <x:c r="H251" s="46" t="str">
        <x:v>Sharks &amp; rays</x:v>
      </x:c>
      <x:c r="I251" s="60" t="n">
        <x:v>1.096135502</x:v>
      </x:c>
      <x:c r="J251" s="60" t="n">
        <x:v>1.096135502</x:v>
      </x:c>
      <x:c r="K251" s="60" t="n">
        <x:v>0</x:v>
      </x:c>
      <x:c r="L251" s="60" t="n">
        <x:v>0.8915577687999999</x:v>
      </x:c>
      <x:c r="M251" s="60" t="n">
        <x:v>0.2045777332</x:v>
      </x:c>
      <x:c r="N251" s="46" t="str">
        <x:v>sphyrna tiburo</x:v>
      </x:c>
      <x:c r="O251" s="62" t="n">
        <x:v>3.88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Sphyrna tiburo</x:v>
      </x:c>
      <x:c r="T251" s="62" t="n">
        <x:f>IF(O251="","",(1/'Metadata'!$B$5)^(O251-1))</x:f>
        <x:v>758.5775750291835</x:v>
      </x:c>
      <x:c r="U251" s="60" t="n">
        <x:f>IF(T251="","",I251*T251)</x:f>
        <x:v>831.5038110105569</x:v>
      </x:c>
    </x:row>
    <x:row r="252" ht="18" customHeight="1">
      <x:c r="A252" s="46" t="str">
        <x:v>LME_011</x:v>
      </x:c>
      <x:c r="B252" s="46" t="str">
        <x:v>Pacific Central-American Coastal</x:v>
      </x:c>
      <x:c r="C252" s="46" t="str">
        <x:v>LME</x:v>
      </x:c>
      <x:c r="D252" s="58" t="n">
        <x:v>2019</x:v>
      </x:c>
      <x:c r="E252" s="46" t="str">
        <x:v>Lamnidae</x:v>
      </x:c>
      <x:c r="F252" s="46" t="str">
        <x:v>Mackerel/white sharks</x:v>
      </x:c>
      <x:c r="G252" s="46" t="str">
        <x:v>Large sharks (&gt;=90 cm)</x:v>
      </x:c>
      <x:c r="H252" s="46" t="str">
        <x:v>Sharks &amp; rays</x:v>
      </x:c>
      <x:c r="I252" s="60" t="n">
        <x:v>1.0371632275</x:v>
      </x:c>
      <x:c r="J252" s="60" t="n">
        <x:v>1.0371632275</x:v>
      </x:c>
      <x:c r="K252" s="60" t="n">
        <x:v>0</x:v>
      </x:c>
      <x:c r="L252" s="60" t="n">
        <x:v>0.324845135</x:v>
      </x:c>
      <x:c r="M252" s="60" t="n">
        <x:v>0.7123180925</x:v>
      </x:c>
      <x:c r="N252" s="46" t="str">
        <x:v>lamnidae</x:v>
      </x:c>
      <x:c r="O252" s="62" t="n">
        <x:v>4.5</x:v>
      </x:c>
      <x:c r="P252" s="46" t="str">
        <x:v>exact_sea_around_us</x:v>
      </x:c>
      <x:c r="Q252" s="62" t="str">
        <x:v>Sea Around Us exploited organisms</x:v>
      </x:c>
      <x:c r="R252" s="46" t="str">
        <x:v>high</x:v>
      </x:c>
      <x:c r="S252" s="46" t="str">
        <x:v>Lamnidae</x:v>
      </x:c>
      <x:c r="T252" s="62" t="n">
        <x:f>IF(O252="","",(1/'Metadata'!$B$5)^(O252-1))</x:f>
        <x:v>3162.2776601683795</x:v>
      </x:c>
      <x:c r="U252" s="60" t="n">
        <x:f>IF(T252="","",I252*T252)</x:f>
        <x:v>3279.7981042713845</x:v>
      </x:c>
    </x:row>
    <x:row r="253" ht="18" customHeight="1">
      <x:c r="A253" s="46" t="str">
        <x:v>LME_011</x:v>
      </x:c>
      <x:c r="B253" s="46" t="str">
        <x:v>Pacific Central-American Coastal</x:v>
      </x:c>
      <x:c r="C253" s="46" t="str">
        <x:v>LME</x:v>
      </x:c>
      <x:c r="D253" s="58" t="n">
        <x:v>2019</x:v>
      </x:c>
      <x:c r="E253" s="46" t="str">
        <x:v>Ommastrephidae</x:v>
      </x:c>
      <x:c r="F253" s="46" t="str">
        <x:v>Arrow squids</x:v>
      </x:c>
      <x:c r="G253" s="46" t="str">
        <x:v>Cephalopods</x:v>
      </x:c>
      <x:c r="H253" s="46" t="str">
        <x:v>Other fishes &amp; inverts</x:v>
      </x:c>
      <x:c r="I253" s="60" t="n">
        <x:v>0.9386562736999999</x:v>
      </x:c>
      <x:c r="J253" s="60" t="n">
        <x:v>0.9386562736999999</x:v>
      </x:c>
      <x:c r="K253" s="60" t="n">
        <x:v>0</x:v>
      </x:c>
      <x:c r="L253" s="60" t="n">
        <x:v>0.9386562736999999</x:v>
      </x:c>
      <x:c r="M253" s="60" t="n">
        <x:v>0</x:v>
      </x:c>
      <x:c r="N253" s="46" t="str">
        <x:v>ommastrephidae</x:v>
      </x:c>
      <x:c r="O253" s="62" t="n">
        <x:v>4.09</x:v>
      </x:c>
      <x:c r="P253" s="46" t="str">
        <x:v>exact_sea_around_us</x:v>
      </x:c>
      <x:c r="Q253" s="62" t="str">
        <x:v>Sea Around Us exploited organisms</x:v>
      </x:c>
      <x:c r="R253" s="46" t="str">
        <x:v>high</x:v>
      </x:c>
      <x:c r="S253" s="46" t="str">
        <x:v>Ommastrephidae</x:v>
      </x:c>
      <x:c r="T253" s="62" t="n">
        <x:f>IF(O253="","",(1/'Metadata'!$B$5)^(O253-1))</x:f>
        <x:v>1230.268770812381</x:v>
      </x:c>
      <x:c r="U253" s="60" t="n">
        <x:f>IF(T253="","",I253*T253)</x:f>
        <x:v>1154.7995000602289</x:v>
      </x:c>
    </x:row>
    <x:row r="254" ht="18" customHeight="1">
      <x:c r="A254" s="46" t="str">
        <x:v>LME_011</x:v>
      </x:c>
      <x:c r="B254" s="46" t="str">
        <x:v>Pacific Central-American Coastal</x:v>
      </x:c>
      <x:c r="C254" s="46" t="str">
        <x:v>LME</x:v>
      </x:c>
      <x:c r="D254" s="58" t="n">
        <x:v>2019</x:v>
      </x:c>
      <x:c r="E254" s="46" t="str">
        <x:v>Seriola rivoliana</x:v>
      </x:c>
      <x:c r="F254" s="46" t="str">
        <x:v>Longfin yellowtail</x:v>
      </x:c>
      <x:c r="G254" s="46" t="str">
        <x:v>Large benthopelagics (&gt;=90 cm)</x:v>
      </x:c>
      <x:c r="H254" s="46" t="str">
        <x:v>Perch-likes</x:v>
      </x:c>
      <x:c r="I254" s="60" t="n">
        <x:v>0.9000867517000001</x:v>
      </x:c>
      <x:c r="J254" s="60" t="n">
        <x:v>0.9000867517000001</x:v>
      </x:c>
      <x:c r="K254" s="60" t="n">
        <x:v>0</x:v>
      </x:c>
      <x:c r="L254" s="60" t="n">
        <x:v>0.9000867517000001</x:v>
      </x:c>
      <x:c r="M254" s="60" t="n">
        <x:v>0</x:v>
      </x:c>
      <x:c r="N254" s="46" t="str">
        <x:v>seriola rivoliana</x:v>
      </x:c>
      <x:c r="O254" s="62" t="n">
        <x:v>4.45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Seriola rivoliana</x:v>
      </x:c>
      <x:c r="T254" s="62" t="n">
        <x:f>IF(O254="","",(1/'Metadata'!$B$5)^(O254-1))</x:f>
        <x:v>2818.382931264455</x:v>
      </x:c>
      <x:c r="U254" s="60" t="n">
        <x:f>IF(T254="","",I254*T254)</x:f>
        <x:v>2536.7891376485477</x:v>
      </x:c>
    </x:row>
    <x:row r="255" ht="18" customHeight="1">
      <x:c r="A255" s="46" t="str">
        <x:v>LME_011</x:v>
      </x:c>
      <x:c r="B255" s="46" t="str">
        <x:v>Pacific Central-American Coastal</x:v>
      </x:c>
      <x:c r="C255" s="46" t="str">
        <x:v>LME</x:v>
      </x:c>
      <x:c r="D255" s="58" t="n">
        <x:v>2019</x:v>
      </x:c>
      <x:c r="E255" s="46" t="str">
        <x:v>Auxis rochei</x:v>
      </x:c>
      <x:c r="F255" s="46" t="str">
        <x:v>Bullet tuna</x:v>
      </x:c>
      <x:c r="G255" s="46" t="str">
        <x:v>Medium pelagics (30 - 89 cm)</x:v>
      </x:c>
      <x:c r="H255" s="46" t="str">
        <x:v>Tuna &amp; billfishes</x:v>
      </x:c>
      <x:c r="I255" s="60" t="n">
        <x:v>0.889400219</x:v>
      </x:c>
      <x:c r="J255" s="60" t="n">
        <x:v>0.889400219</x:v>
      </x:c>
      <x:c r="K255" s="60" t="n">
        <x:v>0</x:v>
      </x:c>
      <x:c r="L255" s="60" t="n">
        <x:v>0.889400219</x:v>
      </x:c>
      <x:c r="M255" s="60" t="n">
        <x:v>0</x:v>
      </x:c>
      <x:c r="N255" s="46" t="str">
        <x:v>auxis rochei</x:v>
      </x:c>
      <x:c r="O255" s="62" t="n">
        <x:v>4.13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Auxis rochei</x:v>
      </x:c>
      <x:c r="T255" s="62" t="n">
        <x:f>IF(O255="","",(1/'Metadata'!$B$5)^(O255-1))</x:f>
        <x:v>1348.9628825916532</x:v>
      </x:c>
      <x:c r="U255" s="60" t="n">
        <x:f>IF(T255="","",I255*T255)</x:f>
        <x:v>1199.7678831998876</x:v>
      </x:c>
    </x:row>
    <x:row r="256" ht="18" customHeight="1">
      <x:c r="A256" s="46" t="str">
        <x:v>LME_011</x:v>
      </x:c>
      <x:c r="B256" s="46" t="str">
        <x:v>Pacific Central-American Coastal</x:v>
      </x:c>
      <x:c r="C256" s="46" t="str">
        <x:v>LME</x:v>
      </x:c>
      <x:c r="D256" s="58" t="n">
        <x:v>2019</x:v>
      </x:c>
      <x:c r="E256" s="46" t="str">
        <x:v>Palinuridae</x:v>
      </x:c>
      <x:c r="F256" s="46" t="str">
        <x:v>Spiny lobsters</x:v>
      </x:c>
      <x:c r="G256" s="46" t="str">
        <x:v>Lobsters, crabs</x:v>
      </x:c>
      <x:c r="H256" s="46" t="str">
        <x:v>Crustaceans</x:v>
      </x:c>
      <x:c r="I256" s="60" t="n">
        <x:v>0.74088975</x:v>
      </x:c>
      <x:c r="J256" s="60" t="n">
        <x:v>0.74088975</x:v>
      </x:c>
      <x:c r="K256" s="60" t="n">
        <x:v>0</x:v>
      </x:c>
      <x:c r="L256" s="60" t="n">
        <x:v>0.74088975</x:v>
      </x:c>
      <x:c r="M256" s="60" t="n">
        <x:v>0</x:v>
      </x:c>
      <x:c r="N256" s="46" t="str">
        <x:v>palinuridae</x:v>
      </x:c>
      <x:c r="O256" s="62" t="n">
        <x:v>3.14</x:v>
      </x:c>
      <x:c r="P256" s="46" t="str">
        <x:v>exact_sea_around_us</x:v>
      </x:c>
      <x:c r="Q256" s="62" t="str">
        <x:v>Sea Around Us exploited organisms</x:v>
      </x:c>
      <x:c r="R256" s="46" t="str">
        <x:v>high</x:v>
      </x:c>
      <x:c r="S256" s="46" t="str">
        <x:v>Palinuridae</x:v>
      </x:c>
      <x:c r="T256" s="62" t="n">
        <x:f>IF(O256="","",(1/'Metadata'!$B$5)^(O256-1))</x:f>
        <x:v>138.03842646028852</x:v>
      </x:c>
      <x:c r="U256" s="60" t="n">
        <x:f>IF(T256="","",I256*T256)</x:f>
        <x:v>102.27125527055655</x:v>
      </x:c>
    </x:row>
    <x:row r="257" ht="18" customHeight="1">
      <x:c r="A257" s="46" t="str">
        <x:v>LME_011</x:v>
      </x:c>
      <x:c r="B257" s="46" t="str">
        <x:v>Pacific Central-American Coastal</x:v>
      </x:c>
      <x:c r="C257" s="46" t="str">
        <x:v>LME</x:v>
      </x:c>
      <x:c r="D257" s="58" t="n">
        <x:v>2019</x:v>
      </x:c>
      <x:c r="E257" s="46" t="str">
        <x:v>Merluccius</x:v>
      </x:c>
      <x:c r="F257" s="46" t="str">
        <x:v>Hakes</x:v>
      </x:c>
      <x:c r="G257" s="46" t="str">
        <x:v>Medium bathydemersals (30 - 89 cm)</x:v>
      </x:c>
      <x:c r="H257" s="46" t="str">
        <x:v>Cod-likes</x:v>
      </x:c>
      <x:c r="I257" s="60" t="n">
        <x:v>0.7009722066</x:v>
      </x:c>
      <x:c r="J257" s="60" t="n">
        <x:v>0</x:v>
      </x:c>
      <x:c r="K257" s="60" t="n">
        <x:v>0.7009722066</x:v>
      </x:c>
      <x:c r="L257" s="60" t="n">
        <x:v>0</x:v>
      </x:c>
      <x:c r="M257" s="60" t="n">
        <x:v>0.7009722066</x:v>
      </x:c>
      <x:c r="N257" s="46" t="str">
        <x:v>merluccius</x:v>
      </x:c>
      <x:c r="O257" s="62" t="n">
        <x:v>4.27</x:v>
      </x:c>
      <x:c r="P257" s="46" t="str">
        <x:v>exact_sea_around_us</x:v>
      </x:c>
      <x:c r="Q257" s="62" t="str">
        <x:v>Sea Around Us exploited organisms</x:v>
      </x:c>
      <x:c r="R257" s="46" t="str">
        <x:v>high</x:v>
      </x:c>
      <x:c r="S257" s="46" t="str">
        <x:v>Merluccius</x:v>
      </x:c>
      <x:c r="T257" s="62" t="n">
        <x:f>IF(O257="","",(1/'Metadata'!$B$5)^(O257-1))</x:f>
        <x:v>1862.0871366628655</x:v>
      </x:c>
      <x:c r="U257" s="60" t="n">
        <x:f>IF(T257="","",I257*T257)</x:f>
        <x:v>1305.2713290680447</x:v>
      </x:c>
    </x:row>
    <x:row r="258" ht="18" customHeight="1">
      <x:c r="A258" s="46" t="str">
        <x:v>LME_011</x:v>
      </x:c>
      <x:c r="B258" s="46" t="str">
        <x:v>Pacific Central-American Coastal</x:v>
      </x:c>
      <x:c r="C258" s="46" t="str">
        <x:v>LME</x:v>
      </x:c>
      <x:c r="D258" s="58" t="n">
        <x:v>2019</x:v>
      </x:c>
      <x:c r="E258" s="46" t="str">
        <x:v>Magallana gigas</x:v>
      </x:c>
      <x:c r="F258" s="46" t="str">
        <x:v>Pacific cupped oyster</x:v>
      </x:c>
      <x:c r="G258" s="46" t="str">
        <x:v>Other demersal invertebrates</x:v>
      </x:c>
      <x:c r="H258" s="46" t="str">
        <x:v>Molluscs</x:v>
      </x:c>
      <x:c r="I258" s="60" t="n">
        <x:v>0.686673553</x:v>
      </x:c>
      <x:c r="J258" s="60" t="n">
        <x:v>0.686673553</x:v>
      </x:c>
      <x:c r="K258" s="60" t="n">
        <x:v>0</x:v>
      </x:c>
      <x:c r="L258" s="60" t="n">
        <x:v>0</x:v>
      </x:c>
      <x:c r="M258" s="60" t="n">
        <x:v>0.686673553</x:v>
      </x:c>
      <x:c r="N258" s="46" t="str">
        <x:v>magallana gigas</x:v>
      </x:c>
      <x:c r="O258" s="62" t="n">
        <x:v>2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Magallana gigas</x:v>
      </x:c>
      <x:c r="T258" s="62" t="n">
        <x:f>IF(O258="","",(1/'Metadata'!$B$5)^(O258-1))</x:f>
        <x:v>10</x:v>
      </x:c>
      <x:c r="U258" s="60" t="n">
        <x:f>IF(T258="","",I258*T258)</x:f>
        <x:v>6.86673553</x:v>
      </x:c>
    </x:row>
    <x:row r="259" ht="18" customHeight="1">
      <x:c r="A259" s="46" t="str">
        <x:v>LME_011</x:v>
      </x:c>
      <x:c r="B259" s="46" t="str">
        <x:v>Pacific Central-American Coastal</x:v>
      </x:c>
      <x:c r="C259" s="46" t="str">
        <x:v>LME</x:v>
      </x:c>
      <x:c r="D259" s="58" t="n">
        <x:v>2019</x:v>
      </x:c>
      <x:c r="E259" s="46" t="str">
        <x:v>Nasolamia velox</x:v>
      </x:c>
      <x:c r="F259" s="46" t="str">
        <x:v>Whitenose shark</x:v>
      </x:c>
      <x:c r="G259" s="46" t="str">
        <x:v>Large sharks (&gt;=90 cm)</x:v>
      </x:c>
      <x:c r="H259" s="46" t="str">
        <x:v>Sharks &amp; rays</x:v>
      </x:c>
      <x:c r="I259" s="60" t="n">
        <x:v>0.4603349828</x:v>
      </x:c>
      <x:c r="J259" s="60" t="n">
        <x:v>0.4603349828</x:v>
      </x:c>
      <x:c r="K259" s="60" t="n">
        <x:v>0</x:v>
      </x:c>
      <x:c r="L259" s="60" t="n">
        <x:v>0</x:v>
      </x:c>
      <x:c r="M259" s="60" t="n">
        <x:v>0.4603349828</x:v>
      </x:c>
      <x:c r="N259" s="46" t="str">
        <x:v>nasolamia velox</x:v>
      </x:c>
      <x:c r="O259" s="62" t="n">
        <x:v>4.18</x:v>
      </x:c>
      <x:c r="P259" s="46" t="str">
        <x:v>exact_2020_supplement</x:v>
      </x:c>
      <x:c r="Q259" s="62" t="str">
        <x:v>2020 supplement MeanTL</x:v>
      </x:c>
      <x:c r="R259" s="46" t="str">
        <x:v>high</x:v>
      </x:c>
      <x:c r="S259" s="46" t="str">
        <x:v>Nasolamia velox</x:v>
      </x:c>
      <x:c r="T259" s="62" t="n">
        <x:f>IF(O259="","",(1/'Metadata'!$B$5)^(O259-1))</x:f>
        <x:v>1513.5612484362073</x:v>
      </x:c>
      <x:c r="U259" s="60" t="n">
        <x:f>IF(T259="","",I259*T259)</x:f>
        <x:v>696.745191265628</x:v>
      </x:c>
    </x:row>
    <x:row r="260" ht="18" customHeight="1">
      <x:c r="A260" s="46" t="str">
        <x:v>LME_011</x:v>
      </x:c>
      <x:c r="B260" s="46" t="str">
        <x:v>Pacific Central-American Coastal</x:v>
      </x:c>
      <x:c r="C260" s="46" t="str">
        <x:v>LME</x:v>
      </x:c>
      <x:c r="D260" s="58" t="n">
        <x:v>2019</x:v>
      </x:c>
      <x:c r="E260" s="46" t="str">
        <x:v>Miscellaneous aquatic invertebrates</x:v>
      </x:c>
      <x:c r="F260" s="46" t="str">
        <x:v>Aquatic invertebrates</x:v>
      </x:c>
      <x:c r="G260" s="46" t="str">
        <x:v>Other demersal invertebrates</x:v>
      </x:c>
      <x:c r="H260" s="46" t="str">
        <x:v>Other fishes &amp; inverts</x:v>
      </x:c>
      <x:c r="I260" s="60" t="n">
        <x:v>0.4422533863</x:v>
      </x:c>
      <x:c r="J260" s="60" t="n">
        <x:v>0</x:v>
      </x:c>
      <x:c r="K260" s="60" t="n">
        <x:v>0.4422533863</x:v>
      </x:c>
      <x:c r="L260" s="60" t="n">
        <x:v>0</x:v>
      </x:c>
      <x:c r="M260" s="60" t="n">
        <x:v>0.4422533863</x:v>
      </x:c>
      <x:c r="N260" s="46" t="str">
        <x:v>miscellaneous aquatic invertebrates</x:v>
      </x:c>
      <x:c r="O260" s="62" t="n">
        <x:v>2.43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Miscellaneous aquatic invertebrates</x:v>
      </x:c>
      <x:c r="T260" s="62" t="n">
        <x:f>IF(O260="","",(1/'Metadata'!$B$5)^(O260-1))</x:f>
        <x:v>26.915348039269166</x:v>
      </x:c>
      <x:c r="U260" s="60" t="n">
        <x:f>IF(T260="","",I260*T260)</x:f>
        <x:v>11.903403813809854</x:v>
      </x:c>
    </x:row>
    <x:row r="261" ht="18" customHeight="1">
      <x:c r="A261" s="46" t="str">
        <x:v>LME_011</x:v>
      </x:c>
      <x:c r="B261" s="46" t="str">
        <x:v>Pacific Central-American Coastal</x:v>
      </x:c>
      <x:c r="C261" s="46" t="str">
        <x:v>LME</x:v>
      </x:c>
      <x:c r="D261" s="58" t="n">
        <x:v>2019</x:v>
      </x:c>
      <x:c r="E261" s="46" t="str">
        <x:v>Isurus</x:v>
      </x:c>
      <x:c r="F261" s="46" t="str">
        <x:v>Mako sharks</x:v>
      </x:c>
      <x:c r="G261" s="46" t="str">
        <x:v>Large sharks (&gt;=90 cm)</x:v>
      </x:c>
      <x:c r="H261" s="46" t="str">
        <x:v>Sharks &amp; rays</x:v>
      </x:c>
      <x:c r="I261" s="60" t="n">
        <x:v>0.311989077</x:v>
      </x:c>
      <x:c r="J261" s="60" t="n">
        <x:v>0</x:v>
      </x:c>
      <x:c r="K261" s="60" t="n">
        <x:v>0.311989077</x:v>
      </x:c>
      <x:c r="L261" s="60" t="n">
        <x:v>0</x:v>
      </x:c>
      <x:c r="M261" s="60" t="n">
        <x:v>0.311989077</x:v>
      </x:c>
      <x:c r="N261" s="46" t="str">
        <x:v>isurus</x:v>
      </x:c>
      <x:c r="O261" s="62" t="n">
        <x:v>4.5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Isurus</x:v>
      </x:c>
      <x:c r="T261" s="62" t="n">
        <x:f>IF(O261="","",(1/'Metadata'!$B$5)^(O261-1))</x:f>
        <x:v>3162.2776601683795</x:v>
      </x:c>
      <x:c r="U261" s="60" t="n">
        <x:f>IF(T261="","",I261*T261)</x:f>
        <x:v>986.5960884136524</x:v>
      </x:c>
    </x:row>
    <x:row r="262" ht="18" customHeight="1">
      <x:c r="A262" s="46" t="str">
        <x:v>LME_011</x:v>
      </x:c>
      <x:c r="B262" s="46" t="str">
        <x:v>Pacific Central-American Coastal</x:v>
      </x:c>
      <x:c r="C262" s="46" t="str">
        <x:v>LME</x:v>
      </x:c>
      <x:c r="D262" s="58" t="n">
        <x:v>2019</x:v>
      </x:c>
      <x:c r="E262" s="46" t="str">
        <x:v>Auxis</x:v>
      </x:c>
      <x:c r="F262" s="46" t="str">
        <x:v>Bullet and frigate tunas</x:v>
      </x:c>
      <x:c r="G262" s="46" t="str">
        <x:v>Medium pelagics (30 - 89 cm)</x:v>
      </x:c>
      <x:c r="H262" s="46" t="str">
        <x:v>Tuna &amp; billfishes</x:v>
      </x:c>
      <x:c r="I262" s="60" t="n">
        <x:v>0.25972702750000004</x:v>
      </x:c>
      <x:c r="J262" s="60" t="n">
        <x:v>0.25972702750000004</x:v>
      </x:c>
      <x:c r="K262" s="60" t="n">
        <x:v>0</x:v>
      </x:c>
      <x:c r="L262" s="60" t="n">
        <x:v>0.25972702750000004</x:v>
      </x:c>
      <x:c r="M262" s="60" t="n">
        <x:v>0</x:v>
      </x:c>
      <x:c r="N262" s="46" t="str">
        <x:v>auxis</x:v>
      </x:c>
      <x:c r="O262" s="62" t="n">
        <x:v>4.24</x:v>
      </x:c>
      <x:c r="P262" s="46" t="str">
        <x:v>exact_sea_around_us</x:v>
      </x:c>
      <x:c r="Q262" s="62" t="str">
        <x:v>Sea Around Us exploited organisms</x:v>
      </x:c>
      <x:c r="R262" s="46" t="str">
        <x:v>high</x:v>
      </x:c>
      <x:c r="S262" s="46" t="str">
        <x:v>Auxis</x:v>
      </x:c>
      <x:c r="T262" s="62" t="n">
        <x:f>IF(O262="","",(1/'Metadata'!$B$5)^(O262-1))</x:f>
        <x:v>1737.8008287493763</x:v>
      </x:c>
      <x:c r="U262" s="60" t="n">
        <x:f>IF(T262="","",I262*T262)</x:f>
        <x:v>451.3538436381121</x:v>
      </x:c>
    </x:row>
    <x:row r="263" ht="18" customHeight="1">
      <x:c r="A263" s="46" t="str">
        <x:v>LME_011</x:v>
      </x:c>
      <x:c r="B263" s="46" t="str">
        <x:v>Pacific Central-American Coastal</x:v>
      </x:c>
      <x:c r="C263" s="46" t="str">
        <x:v>LME</x:v>
      </x:c>
      <x:c r="D263" s="58" t="n">
        <x:v>2019</x:v>
      </x:c>
      <x:c r="E263" s="46" t="str">
        <x:v>Parapsettus panamensis</x:v>
      </x:c>
      <x:c r="F263" s="46" t="str">
        <x:v>Panama spadefish</x:v>
      </x:c>
      <x:c r="G263" s="46" t="str">
        <x:v>Small reef assoc. fish (&lt;30 cm)</x:v>
      </x:c>
      <x:c r="H263" s="46" t="str">
        <x:v>Perch-likes</x:v>
      </x:c>
      <x:c r="I263" s="60" t="n">
        <x:v>0.1613275319</x:v>
      </x:c>
      <x:c r="J263" s="60" t="n">
        <x:v>0.1613275319</x:v>
      </x:c>
      <x:c r="K263" s="60" t="n">
        <x:v>0</x:v>
      </x:c>
      <x:c r="L263" s="60" t="n">
        <x:v>0.1613275319</x:v>
      </x:c>
      <x:c r="M263" s="60" t="n">
        <x:v>0</x:v>
      </x:c>
      <x:c r="N263" s="46" t="str">
        <x:v>parapsettus panamensis</x:v>
      </x:c>
      <x:c r="O263" s="62" t="n">
        <x:v>3.5</x:v>
      </x:c>
      <x:c r="P263" s="46" t="str">
        <x:v>exact_2020_supplement</x:v>
      </x:c>
      <x:c r="Q263" s="62" t="str">
        <x:v>2020 supplement MeanTL</x:v>
      </x:c>
      <x:c r="R263" s="46" t="str">
        <x:v>high</x:v>
      </x:c>
      <x:c r="S263" s="46" t="str">
        <x:v>Parapsettus panamensis</x:v>
      </x:c>
      <x:c r="T263" s="62" t="n">
        <x:f>IF(O263="","",(1/'Metadata'!$B$5)^(O263-1))</x:f>
        <x:v>316.22776601683796</x:v>
      </x:c>
      <x:c r="U263" s="60" t="n">
        <x:f>IF(T263="","",I263*T263)</x:f>
        <x:v>51.01624500974716</x:v>
      </x:c>
    </x:row>
    <x:row r="264" ht="18" customHeight="1">
      <x:c r="A264" s="46" t="str">
        <x:v>LME_011</x:v>
      </x:c>
      <x:c r="B264" s="46" t="str">
        <x:v>Pacific Central-American Coastal</x:v>
      </x:c>
      <x:c r="C264" s="46" t="str">
        <x:v>LME</x:v>
      </x:c>
      <x:c r="D264" s="58" t="n">
        <x:v>2019</x:v>
      </x:c>
      <x:c r="E264" s="46" t="str">
        <x:v>Carcharhinus obscurus</x:v>
      </x:c>
      <x:c r="F264" s="46" t="str">
        <x:v>Dusky shark</x:v>
      </x:c>
      <x:c r="G264" s="46" t="str">
        <x:v>Large sharks (&gt;=90 cm)</x:v>
      </x:c>
      <x:c r="H264" s="46" t="str">
        <x:v>Sharks &amp; rays</x:v>
      </x:c>
      <x:c r="I264" s="60" t="n">
        <x:v>0.0824619402</x:v>
      </x:c>
      <x:c r="J264" s="60" t="n">
        <x:v>0.0824619402</x:v>
      </x:c>
      <x:c r="K264" s="60" t="n">
        <x:v>0</x:v>
      </x:c>
      <x:c r="L264" s="60" t="n">
        <x:v>0.0483588433</x:v>
      </x:c>
      <x:c r="M264" s="60" t="n">
        <x:v>0.0341030969</x:v>
      </x:c>
      <x:c r="N264" s="46" t="str">
        <x:v>carcharhinus obscurus</x:v>
      </x:c>
      <x:c r="O264" s="62" t="n">
        <x:v>4.28</x:v>
      </x:c>
      <x:c r="P264" s="46" t="str">
        <x:v>exact_2020_supplement</x:v>
      </x:c>
      <x:c r="Q264" s="62" t="str">
        <x:v>2020 supplement MeanTL</x:v>
      </x:c>
      <x:c r="R264" s="46" t="str">
        <x:v>high</x:v>
      </x:c>
      <x:c r="S264" s="46" t="str">
        <x:v>Carcharhinus obscurus</x:v>
      </x:c>
      <x:c r="T264" s="62" t="n">
        <x:f>IF(O264="","",(1/'Metadata'!$B$5)^(O264-1))</x:f>
        <x:v>1905.4607179632483</x:v>
      </x:c>
      <x:c r="U264" s="60" t="n">
        <x:f>IF(T264="","",I264*T264)</x:f>
        <x:v>157.12798777813444</x:v>
      </x:c>
    </x:row>
    <x:row r="265" ht="18" customHeight="1">
      <x:c r="A265" s="46" t="str">
        <x:v>LME_011</x:v>
      </x:c>
      <x:c r="B265" s="46" t="str">
        <x:v>Pacific Central-American Coastal</x:v>
      </x:c>
      <x:c r="C265" s="46" t="str">
        <x:v>LME</x:v>
      </x:c>
      <x:c r="D265" s="58" t="n">
        <x:v>2019</x:v>
      </x:c>
      <x:c r="E265" s="46" t="str">
        <x:v>Aplodactylus punctatus</x:v>
      </x:c>
      <x:c r="F265" s="46" t="str">
        <x:v>Aplodactylus punctatus</x:v>
      </x:c>
      <x:c r="G265" s="46" t="str">
        <x:v>Medium demersals (30 - 89 cm)</x:v>
      </x:c>
      <x:c r="H265" s="46" t="str">
        <x:v>Perch-likes</x:v>
      </x:c>
      <x:c r="I265" s="60" t="n">
        <x:v>0.0757491457</x:v>
      </x:c>
      <x:c r="J265" s="60" t="n">
        <x:v>0.0757491457</x:v>
      </x:c>
      <x:c r="K265" s="60" t="n">
        <x:v>0</x:v>
      </x:c>
      <x:c r="L265" s="60" t="n">
        <x:v>0.0757491457</x:v>
      </x:c>
      <x:c r="M265" s="60" t="n">
        <x:v>0</x:v>
      </x:c>
      <x:c r="N265" s="46" t="str">
        <x:v>aplodactylus punctatus</x:v>
      </x:c>
      <x:c r="O265" s="62" t="n">
        <x:v>2.04</x:v>
      </x:c>
      <x:c r="P265" s="46" t="str">
        <x:v>exact_2020_supplement</x:v>
      </x:c>
      <x:c r="Q265" s="62" t="str">
        <x:v>2020 supplement MeanTL</x:v>
      </x:c>
      <x:c r="R265" s="46" t="str">
        <x:v>high</x:v>
      </x:c>
      <x:c r="S265" s="46" t="str">
        <x:v>Aplodactylus punctatus</x:v>
      </x:c>
      <x:c r="T265" s="62" t="n">
        <x:f>IF(O265="","",(1/'Metadata'!$B$5)^(O265-1))</x:f>
        <x:v>10.964781961431852</x:v>
      </x:c>
      <x:c r="U265" s="60" t="n">
        <x:f>IF(T265="","",I265*T265)</x:f>
        <x:v>0.8305728663652332</x:v>
      </x:c>
    </x:row>
    <x:row r="266" ht="18" customHeight="1">
      <x:c r="A266" s="46" t="str">
        <x:v>LME_011</x:v>
      </x:c>
      <x:c r="B266" s="46" t="str">
        <x:v>Pacific Central-American Coastal</x:v>
      </x:c>
      <x:c r="C266" s="46" t="str">
        <x:v>LME</x:v>
      </x:c>
      <x:c r="D266" s="58" t="n">
        <x:v>2019</x:v>
      </x:c>
      <x:c r="E266" s="46" t="str">
        <x:v>Lepidocybium flavobrunneum</x:v>
      </x:c>
      <x:c r="F266" s="46" t="str">
        <x:v>Escolar</x:v>
      </x:c>
      <x:c r="G266" s="46" t="str">
        <x:v>Large bathypelagics (&gt;=90 cm)</x:v>
      </x:c>
      <x:c r="H266" s="46" t="str">
        <x:v>Perch-likes</x:v>
      </x:c>
      <x:c r="I266" s="60" t="n">
        <x:v>0.0201096223</x:v>
      </x:c>
      <x:c r="J266" s="60" t="n">
        <x:v>0.0201096223</x:v>
      </x:c>
      <x:c r="K266" s="60" t="n">
        <x:v>0</x:v>
      </x:c>
      <x:c r="L266" s="60" t="n">
        <x:v>0.0201096223</x:v>
      </x:c>
      <x:c r="M266" s="60" t="n">
        <x:v>0</x:v>
      </x:c>
      <x:c r="N266" s="46" t="str">
        <x:v>lepidocybium flavobrunneum</x:v>
      </x:c>
      <x:c r="O266" s="62" t="n">
        <x:v>4.34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Lepidocybium flavobrunneum</x:v>
      </x:c>
      <x:c r="T266" s="62" t="n">
        <x:f>IF(O266="","",(1/'Metadata'!$B$5)^(O266-1))</x:f>
        <x:v>2187.761623949552</x:v>
      </x:c>
      <x:c r="U266" s="60" t="n">
        <x:f>IF(T266="","",I266*T266)</x:f>
        <x:v>43.99505994006012</x:v>
      </x:c>
    </x:row>
    <x:row r="267" ht="18" customHeight="1">
      <x:c r="A267" s="46" t="str">
        <x:v>LME_011</x:v>
      </x:c>
      <x:c r="B267" s="46" t="str">
        <x:v>Pacific Central-American Coastal</x:v>
      </x:c>
      <x:c r="C267" s="46" t="str">
        <x:v>LME</x:v>
      </x:c>
      <x:c r="D267" s="58" t="n">
        <x:v>2019</x:v>
      </x:c>
      <x:c r="E267" s="46" t="str">
        <x:v>Trichiuridae</x:v>
      </x:c>
      <x:c r="F267" s="46" t="str">
        <x:v>Cutlassfishes</x:v>
      </x:c>
      <x:c r="G267" s="46" t="str">
        <x:v>Large benthopelagics (&gt;=90 cm)</x:v>
      </x:c>
      <x:c r="H267" s="46" t="str">
        <x:v>Perch-likes</x:v>
      </x:c>
      <x:c r="I267" s="60" t="n">
        <x:v>0.0184893083</x:v>
      </x:c>
      <x:c r="J267" s="60" t="n">
        <x:v>0.0184893083</x:v>
      </x:c>
      <x:c r="K267" s="60" t="n">
        <x:v>0</x:v>
      </x:c>
      <x:c r="L267" s="60" t="n">
        <x:v>0</x:v>
      </x:c>
      <x:c r="M267" s="60" t="n">
        <x:v>0.0184893083</x:v>
      </x:c>
      <x:c r="N267" s="46" t="str">
        <x:v>trichiuridae</x:v>
      </x:c>
      <x:c r="O267" s="62" t="n">
        <x:v>4.15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Trichiuridae</x:v>
      </x:c>
      <x:c r="T267" s="62" t="n">
        <x:f>IF(O267="","",(1/'Metadata'!$B$5)^(O267-1))</x:f>
        <x:v>1412.5375446227554</x:v>
      </x:c>
      <x:c r="U267" s="60" t="n">
        <x:f>IF(T267="","",I267*T267)</x:f>
        <x:v>26.11684214785513</x:v>
      </x:c>
    </x:row>
    <x:row r="268" ht="18" customHeight="1">
      <x:c r="A268" s="46" t="str">
        <x:v>LME_011</x:v>
      </x:c>
      <x:c r="B268" s="46" t="str">
        <x:v>Pacific Central-American Coastal</x:v>
      </x:c>
      <x:c r="C268" s="46" t="str">
        <x:v>LME</x:v>
      </x:c>
      <x:c r="D268" s="58" t="n">
        <x:v>2019</x:v>
      </x:c>
      <x:c r="E268" s="46" t="str">
        <x:v>Echinozoa</x:v>
      </x:c>
      <x:c r="F268" s="46" t="str">
        <x:v>Sea urchins and sea cucumbers</x:v>
      </x:c>
      <x:c r="G268" s="46" t="str">
        <x:v>Other demersal invertebrates</x:v>
      </x:c>
      <x:c r="H268" s="46" t="str">
        <x:v>Other fishes &amp; inverts</x:v>
      </x:c>
      <x:c r="I268" s="60" t="n">
        <x:v>0.0171706236</x:v>
      </x:c>
      <x:c r="J268" s="60" t="n">
        <x:v>0.0171706236</x:v>
      </x:c>
      <x:c r="K268" s="60" t="n">
        <x:v>0</x:v>
      </x:c>
      <x:c r="L268" s="60" t="n">
        <x:v>0</x:v>
      </x:c>
      <x:c r="M268" s="60" t="n">
        <x:v>0.0171706236</x:v>
      </x:c>
      <x:c r="N268" s="46" t="str">
        <x:v>echinozoa</x:v>
      </x:c>
      <x:c r="O268" s="62" t="n">
        <x:v>2.3</x:v>
      </x:c>
      <x:c r="P268" s="46" t="str">
        <x:v>exact_sea_around_us</x:v>
      </x:c>
      <x:c r="Q268" s="62" t="str">
        <x:v>Sea Around Us exploited organisms</x:v>
      </x:c>
      <x:c r="R268" s="46" t="str">
        <x:v>high</x:v>
      </x:c>
      <x:c r="S268" s="46" t="str">
        <x:v>Echinozoa</x:v>
      </x:c>
      <x:c r="T268" s="62" t="n">
        <x:f>IF(O268="","",(1/'Metadata'!$B$5)^(O268-1))</x:f>
        <x:v>19.952623149688787</x:v>
      </x:c>
      <x:c r="U268" s="60" t="n">
        <x:f>IF(T268="","",I268*T268)</x:f>
        <x:v>0.3425989819359526</x:v>
      </x:c>
    </x:row>
    <x:row r="269" ht="18" customHeight="1">
      <x:c r="A269" s="46" t="str">
        <x:v>LME_011</x:v>
      </x:c>
      <x:c r="B269" s="46" t="str">
        <x:v>Pacific Central-American Coastal</x:v>
      </x:c>
      <x:c r="C269" s="46" t="str">
        <x:v>LME</x:v>
      </x:c>
      <x:c r="D269" s="58" t="n">
        <x:v>2019</x:v>
      </x:c>
      <x:c r="E269" s="46" t="str">
        <x:v>Hippocampus</x:v>
      </x:c>
      <x:c r="F269" s="46" t="str">
        <x:v>Seahorses</x:v>
      </x:c>
      <x:c r="G269" s="46" t="str">
        <x:v>Small reef assoc. fish (&lt;30 cm)</x:v>
      </x:c>
      <x:c r="H269" s="46" t="str">
        <x:v>Other fishes &amp; inverts</x:v>
      </x:c>
      <x:c r="I269" s="60" t="n">
        <x:v>0.0050081273</x:v>
      </x:c>
      <x:c r="J269" s="60" t="n">
        <x:v>0.0050081273</x:v>
      </x:c>
      <x:c r="K269" s="60" t="n">
        <x:v>0</x:v>
      </x:c>
      <x:c r="L269" s="60" t="n">
        <x:v>0.0050081273</x:v>
      </x:c>
      <x:c r="M269" s="60" t="n">
        <x:v>0</x:v>
      </x:c>
      <x:c r="N269" s="46" t="str">
        <x:v>hippocampus</x:v>
      </x:c>
      <x:c r="O269" s="62" t="n">
        <x:v>3.33</x:v>
      </x:c>
      <x:c r="P269" s="46" t="str">
        <x:v>exact_sea_around_us</x:v>
      </x:c>
      <x:c r="Q269" s="62" t="str">
        <x:v>Sea Around Us exploited organisms</x:v>
      </x:c>
      <x:c r="R269" s="46" t="str">
        <x:v>high</x:v>
      </x:c>
      <x:c r="S269" s="46" t="str">
        <x:v>Hippocampus</x:v>
      </x:c>
      <x:c r="T269" s="62" t="n">
        <x:f>IF(O269="","",(1/'Metadata'!$B$5)^(O269-1))</x:f>
        <x:v>213.79620895022325</x:v>
      </x:c>
      <x:c r="U269" s="60" t="n">
        <x:f>IF(T269="","",I269*T269)</x:f>
        <x:v>1.0707186306801173</x:v>
      </x:c>
    </x:row>
    <x:row r="270" ht="18" customHeight="1">
      <x:c r="A270" s="46" t="str">
        <x:v>LME_011</x:v>
      </x:c>
      <x:c r="B270" s="46" t="str">
        <x:v>Pacific Central-American Coastal</x:v>
      </x:c>
      <x:c r="C270" s="46" t="str">
        <x:v>LME</x:v>
      </x:c>
      <x:c r="D270" s="58" t="n">
        <x:v>2019</x:v>
      </x:c>
      <x:c r="E270" s="46" t="str">
        <x:v>Xiphiidae</x:v>
      </x:c>
      <x:c r="F270" s="46" t="str">
        <x:v>Swordfishes</x:v>
      </x:c>
      <x:c r="G270" s="46" t="str">
        <x:v>Large pelagics (&gt;=90 cm)</x:v>
      </x:c>
      <x:c r="H270" s="46" t="str">
        <x:v>Tuna &amp; billfishes</x:v>
      </x:c>
      <x:c r="I270" s="60" t="n">
        <x:v>0.0005314191</x:v>
      </x:c>
      <x:c r="J270" s="60" t="n">
        <x:v>0.0005314191</x:v>
      </x:c>
      <x:c r="K270" s="60" t="n">
        <x:v>0</x:v>
      </x:c>
      <x:c r="L270" s="60" t="n">
        <x:v>0.0005314191</x:v>
      </x:c>
      <x:c r="M270" s="60" t="n">
        <x:v>0</x:v>
      </x:c>
      <x:c r="N270" s="46" t="str">
        <x:v>xiphiidae</x:v>
      </x:c>
      <x:c r="O270" s="62" t="n">
        <x:v>4.5</x:v>
      </x:c>
      <x:c r="P270" s="46" t="str">
        <x:v>exact_sea_around_us</x:v>
      </x:c>
      <x:c r="Q270" s="62" t="str">
        <x:v>Sea Around Us exploited organisms</x:v>
      </x:c>
      <x:c r="R270" s="46" t="str">
        <x:v>high</x:v>
      </x:c>
      <x:c r="S270" s="46" t="str">
        <x:v>Xiphiidae</x:v>
      </x:c>
      <x:c r="T270" s="62" t="n">
        <x:f>IF(O270="","",(1/'Metadata'!$B$5)^(O270-1))</x:f>
        <x:v>3162.2776601683795</x:v>
      </x:c>
      <x:c r="U270" s="60" t="n">
        <x:f>IF(T270="","",I270*T270)</x:f>
        <x:v>1.6804947481167862</x:v>
      </x:c>
    </x:row>
    <x:row r="271" ht="18" customHeight="1">
      <x:c r="A271" s="46" t="str">
        <x:v>LME_011</x:v>
      </x:c>
      <x:c r="B271" s="46" t="str">
        <x:v>Pacific Central-American Coastal</x:v>
      </x:c>
      <x:c r="C271" s="46" t="str">
        <x:v>LME</x:v>
      </x:c>
      <x:c r="D271" s="58" t="n">
        <x:v>2019</x:v>
      </x:c>
      <x:c r="E271" s="46" t="str">
        <x:v>Thunnus orientalis</x:v>
      </x:c>
      <x:c r="F271" s="46" t="str">
        <x:v>Pacific bluefin tuna</x:v>
      </x:c>
      <x:c r="G271" s="46" t="str">
        <x:v>Large pelagics (&gt;=90 cm)</x:v>
      </x:c>
      <x:c r="H271" s="46" t="str">
        <x:v>Tuna &amp; billfishes</x:v>
      </x:c>
      <x:c r="I271" s="60" t="n">
        <x:v>0.0000226433</x:v>
      </x:c>
      <x:c r="J271" s="60" t="n">
        <x:v>0</x:v>
      </x:c>
      <x:c r="K271" s="60" t="n">
        <x:v>0.0000226433</x:v>
      </x:c>
      <x:c r="L271" s="60" t="n">
        <x:v>0</x:v>
      </x:c>
      <x:c r="M271" s="60" t="n">
        <x:v>0.0000226433</x:v>
      </x:c>
      <x:c r="N271" s="46" t="str">
        <x:v>thunnus orientalis</x:v>
      </x:c>
      <x:c r="O271" s="62" t="n">
        <x:v>4.05</x:v>
      </x:c>
      <x:c r="P271" s="46" t="str">
        <x:v>exact_2020_supplement</x:v>
      </x:c>
      <x:c r="Q271" s="62" t="str">
        <x:v>2020 supplement MeanTL</x:v>
      </x:c>
      <x:c r="R271" s="46" t="str">
        <x:v>high</x:v>
      </x:c>
      <x:c r="S271" s="46" t="str">
        <x:v>Thunnus orientalis</x:v>
      </x:c>
      <x:c r="T271" s="62" t="n">
        <x:f>IF(O271="","",(1/'Metadata'!$B$5)^(O271-1))</x:f>
        <x:v>1122.018454301963</x:v>
      </x:c>
      <x:c r="U271" s="60" t="n">
        <x:f>IF(T271="","",I271*T271)</x:f>
        <x:v>0.025406200466295638</x:v>
      </x:c>
    </x:row>
  </x:sheetData>
  <x:conditionalFormatting sqref="R2:R27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3f434d2f60f42a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5</x:v>
      </x:c>
      <x:c r="C2" s="64" t="n">
        <x:v>5</x:v>
      </x:c>
      <x:c r="D2" s="60" t="n">
        <x:v>419230.0057269221</x:v>
      </x:c>
      <x:c r="E2" s="60" t="n">
        <x:v>419230.0057269221</x:v>
      </x:c>
      <x:c r="F2" s="62" t="n">
        <x:v>0</x:v>
      </x:c>
      <x:c r="G2" s="66" t="n">
        <x:v>1</x:v>
      </x:c>
      <x:c r="H2" s="62" t="n">
        <x:f>IF(E2=0,"",I2/E2)</x:f>
        <x:v>32.521564520149504</x:v>
      </x:c>
      <x:c r="I2" s="60" t="n">
        <x:f>SUMIF('Species'!$H$2:$H$271,A2,'Species'!$U$2:$U$271)</x:f>
        <x:v>13634015.680030745</x:v>
      </x:c>
      <x:c r="J2" s="62" t="n">
        <x:v>2.5024938906375978</x:v>
      </x:c>
      <x:c r="K2" s="62" t="n">
        <x:f>IF(J2="","",(1/'Metadata'!$B$5)^(J2-1))</x:f>
        <x:v>31.804889470374402</x:v>
      </x:c>
      <x:c r="L2" s="60" t="n">
        <x:f>IF(E2=0,"",E2*K2)</x:f>
        <x:v>13333563.994809186</x:v>
      </x:c>
      <x:c r="M2" s="60" t="n">
        <x:f>I2-L2</x:f>
        <x:v>300451.68522155844</x:v>
      </x:c>
      <x:c r="N2" s="62" t="n">
        <x:f>IF(L2=0,"",I2/L2)</x:f>
        <x:v>1.0225334865710718</x:v>
      </x:c>
      <x:c r="O2" s="66" t="n">
        <x:f>IF(L2=0,"",M2/L2)</x:f>
        <x:v>0.022533486571071737</x:v>
      </x:c>
    </x:row>
    <x:row r="3" ht="18" customHeight="1">
      <x:c r="A3" s="46" t="str">
        <x:v>Cod-likes</x:v>
      </x:c>
      <x:c r="B3" s="64" t="n">
        <x:v>6</x:v>
      </x:c>
      <x:c r="C3" s="64" t="n">
        <x:v>6</x:v>
      </x:c>
      <x:c r="D3" s="60" t="n">
        <x:v>548.7652239448</x:v>
      </x:c>
      <x:c r="E3" s="60" t="n">
        <x:v>548.7652239448</x:v>
      </x:c>
      <x:c r="F3" s="62" t="n">
        <x:v>0</x:v>
      </x:c>
      <x:c r="G3" s="66" t="n">
        <x:v>1</x:v>
      </x:c>
      <x:c r="H3" s="62" t="n">
        <x:f>IF(E3=0,"",I3/E3)</x:f>
        <x:v>1847.1881537444826</x:v>
      </x:c>
      <x:c r="I3" s="60" t="n">
        <x:f>SUMIF('Species'!$H$2:$H$271,A3,'Species'!$U$2:$U$271)</x:f>
        <x:v>1013672.6208577728</x:v>
      </x:c>
      <x:c r="J3" s="62" t="n">
        <x:v>4.237382989291578</x:v>
      </x:c>
      <x:c r="K3" s="62" t="n">
        <x:f>IF(J3="","",(1/'Metadata'!$B$5)^(J3-1))</x:f>
        <x:v>1727.3605200489328</x:v>
      </x:c>
      <x:c r="L3" s="60" t="n">
        <x:f>IF(E3=0,"",E3*K3)</x:f>
        <x:v>947915.3826180588</x:v>
      </x:c>
      <x:c r="M3" s="60" t="n">
        <x:f>I3-L3</x:f>
        <x:v>65757.23823971394</x:v>
      </x:c>
      <x:c r="N3" s="62" t="n">
        <x:f>IF(L3=0,"",I3/L3)</x:f>
        <x:v>1.06937036727698</x:v>
      </x:c>
      <x:c r="O3" s="66" t="n">
        <x:f>IF(L3=0,"",M3/L3)</x:f>
        <x:v>0.06937036727698019</x:v>
      </x:c>
    </x:row>
    <x:row r="4" ht="18" customHeight="1">
      <x:c r="A4" s="46" t="str">
        <x:v>Crustaceans</x:v>
      </x:c>
      <x:c r="B4" s="64" t="n">
        <x:v>33</x:v>
      </x:c>
      <x:c r="C4" s="64" t="n">
        <x:v>33</x:v>
      </x:c>
      <x:c r="D4" s="60" t="n">
        <x:v>107413.19706949028</x:v>
      </x:c>
      <x:c r="E4" s="60" t="n">
        <x:v>107413.19706949028</x:v>
      </x:c>
      <x:c r="F4" s="62" t="n">
        <x:v>0</x:v>
      </x:c>
      <x:c r="G4" s="66" t="n">
        <x:v>1</x:v>
      </x:c>
      <x:c r="H4" s="62" t="n">
        <x:f>IF(E4=0,"",I4/E4)</x:f>
        <x:v>177.00712113342053</x:v>
      </x:c>
      <x:c r="I4" s="60" t="n">
        <x:f>SUMIF('Species'!$H$2:$H$271,A4,'Species'!$U$2:$U$271)</x:f>
        <x:v>19012900.78500724</x:v>
      </x:c>
      <x:c r="J4" s="62" t="n">
        <x:v>3.027170778049363</x:v>
      </x:c>
      <x:c r="K4" s="62" t="n">
        <x:f>IF(J4="","",(1/'Metadata'!$B$5)^(J4-1))</x:f>
        <x:v>106.45615545229197</x:v>
      </x:c>
      <x:c r="L4" s="60" t="n">
        <x:f>IF(E4=0,"",E4*K4)</x:f>
        <x:v>11434796.00485733</x:v>
      </x:c>
      <x:c r="M4" s="60" t="n">
        <x:f>I4-L4</x:f>
        <x:v>7578104.780149909</x:v>
      </x:c>
      <x:c r="N4" s="62" t="n">
        <x:f>IF(L4=0,"",I4/L4)</x:f>
        <x:v>1.6627232157819731</x:v>
      </x:c>
      <x:c r="O4" s="66" t="n">
        <x:f>IF(L4=0,"",M4/L4)</x:f>
        <x:v>0.6627232157819731</x:v>
      </x:c>
    </x:row>
    <x:row r="5" ht="18" customHeight="1">
      <x:c r="A5" s="46" t="str">
        <x:v>Flatfishes</x:v>
      </x:c>
      <x:c r="B5" s="64" t="n">
        <x:v>10</x:v>
      </x:c>
      <x:c r="C5" s="64" t="n">
        <x:v>10</x:v>
      </x:c>
      <x:c r="D5" s="60" t="n">
        <x:v>20574.1526550974</x:v>
      </x:c>
      <x:c r="E5" s="60" t="n">
        <x:v>20574.1526550974</x:v>
      </x:c>
      <x:c r="F5" s="62" t="n">
        <x:v>0</x:v>
      </x:c>
      <x:c r="G5" s="66" t="n">
        <x:v>1</x:v>
      </x:c>
      <x:c r="H5" s="62" t="n">
        <x:f>IF(E5=0,"",I5/E5)</x:f>
        <x:v>786.3196931975452</x:v>
      </x:c>
      <x:c r="I5" s="60" t="n">
        <x:f>SUMIF('Species'!$H$2:$H$271,A5,'Species'!$U$2:$U$271)</x:f>
        <x:v>16177861.40355565</x:v>
      </x:c>
      <x:c r="J5" s="62" t="n">
        <x:v>3.7913005328144256</x:v>
      </x:c>
      <x:c r="K5" s="62" t="n">
        <x:f>IF(J5="","",(1/'Metadata'!$B$5)^(J5-1))</x:f>
        <x:v>618.4442169652925</x:v>
      </x:c>
      <x:c r="L5" s="60" t="n">
        <x:f>IF(E5=0,"",E5*K5)</x:f>
        <x:v>12723965.728506107</x:v>
      </x:c>
      <x:c r="M5" s="60" t="n">
        <x:f>I5-L5</x:f>
        <x:v>3453895.6750495434</x:v>
      </x:c>
      <x:c r="N5" s="62" t="n">
        <x:f>IF(L5=0,"",I5/L5)</x:f>
        <x:v>1.2714480491967701</x:v>
      </x:c>
      <x:c r="O5" s="66" t="n">
        <x:f>IF(L5=0,"",M5/L5)</x:f>
        <x:v>0.2714480491967702</x:v>
      </x:c>
    </x:row>
    <x:row r="6" ht="18" customHeight="1">
      <x:c r="A6" s="46" t="str">
        <x:v>Herring-likes</x:v>
      </x:c>
      <x:c r="B6" s="64" t="n">
        <x:v>4</x:v>
      </x:c>
      <x:c r="C6" s="64" t="n">
        <x:v>4</x:v>
      </x:c>
      <x:c r="D6" s="60" t="n">
        <x:v>253264.1298041896</x:v>
      </x:c>
      <x:c r="E6" s="60" t="n">
        <x:v>253264.1298041896</x:v>
      </x:c>
      <x:c r="F6" s="62" t="n">
        <x:v>0</x:v>
      </x:c>
      <x:c r="G6" s="66" t="n">
        <x:v>1</x:v>
      </x:c>
      <x:c r="H6" s="62" t="n">
        <x:f>IF(E6=0,"",I6/E6)</x:f>
        <x:v>76.43326282625489</x:v>
      </x:c>
      <x:c r="I6" s="60" t="n">
        <x:f>SUMIF('Species'!$H$2:$H$271,A6,'Species'!$U$2:$U$271)</x:f>
        <x:v>19357803.79778636</x:v>
      </x:c>
      <x:c r="J6" s="62" t="n">
        <x:v>2.882663375791619</x:v>
      </x:c>
      <x:c r="K6" s="62" t="n">
        <x:f>IF(J6="","",(1/'Metadata'!$B$5)^(J6-1))</x:f>
        <x:v>76.32439593601555</x:v>
      </x:c>
      <x:c r="L6" s="60" t="n">
        <x:f>IF(E6=0,"",E6*K6)</x:f>
        <x:v>19330231.719565403</x:v>
      </x:c>
      <x:c r="M6" s="60" t="n">
        <x:f>I6-L6</x:f>
        <x:v>27572.078220956028</x:v>
      </x:c>
      <x:c r="N6" s="62" t="n">
        <x:f>IF(L6=0,"",I6/L6)</x:f>
        <x:v>1.0014263708071873</x:v>
      </x:c>
      <x:c r="O6" s="66" t="n">
        <x:f>IF(L6=0,"",M6/L6)</x:f>
        <x:v>0.0014263708071874021</x:v>
      </x:c>
    </x:row>
    <x:row r="7" ht="18" customHeight="1">
      <x:c r="A7" s="46" t="str">
        <x:v>Molluscs</x:v>
      </x:c>
      <x:c r="B7" s="64" t="n">
        <x:v>12</x:v>
      </x:c>
      <x:c r="C7" s="64" t="n">
        <x:v>12</x:v>
      </x:c>
      <x:c r="D7" s="60" t="n">
        <x:v>13049.289571390704</x:v>
      </x:c>
      <x:c r="E7" s="60" t="n">
        <x:v>13049.289571390704</x:v>
      </x:c>
      <x:c r="F7" s="62" t="n">
        <x:v>0</x:v>
      </x:c>
      <x:c r="G7" s="66" t="n">
        <x:v>1</x:v>
      </x:c>
      <x:c r="H7" s="62" t="n">
        <x:f>IF(E7=0,"",I7/E7)</x:f>
        <x:v>32.99850352000319</x:v>
      </x:c>
      <x:c r="I7" s="60" t="n">
        <x:f>SUMIF('Species'!$H$2:$H$271,A7,'Species'!$U$2:$U$271)</x:f>
        <x:v>430607.02785507706</x:v>
      </x:c>
      <x:c r="J7" s="62" t="n">
        <x:v>2.2495169728147033</x:v>
      </x:c>
      <x:c r="K7" s="62" t="n">
        <x:f>IF(J7="","",(1/'Metadata'!$B$5)^(J7-1))</x:f>
        <x:v>17.763026872391787</x:v>
      </x:c>
      <x:c r="L7" s="60" t="n">
        <x:f>IF(E7=0,"",E7*K7)</x:f>
        <x:v>231794.88132223499</x:v>
      </x:c>
      <x:c r="M7" s="60" t="n">
        <x:f>I7-L7</x:f>
        <x:v>198812.14653284207</x:v>
      </x:c>
      <x:c r="N7" s="62" t="n">
        <x:f>IF(L7=0,"",I7/L7)</x:f>
        <x:v>1.8577072340801988</x:v>
      </x:c>
      <x:c r="O7" s="66" t="n">
        <x:f>IF(L7=0,"",M7/L7)</x:f>
        <x:v>0.8577072340801987</x:v>
      </x:c>
    </x:row>
    <x:row r="8" ht="18" customHeight="1">
      <x:c r="A8" s="46" t="str">
        <x:v>Other fishes &amp; inverts</x:v>
      </x:c>
      <x:c r="B8" s="64" t="n">
        <x:v>36</x:v>
      </x:c>
      <x:c r="C8" s="64" t="n">
        <x:v>36</x:v>
      </x:c>
      <x:c r="D8" s="60" t="n">
        <x:v>373590.78195799136</x:v>
      </x:c>
      <x:c r="E8" s="60" t="n">
        <x:v>373590.78195799136</x:v>
      </x:c>
      <x:c r="F8" s="62" t="n">
        <x:v>0</x:v>
      </x:c>
      <x:c r="G8" s="66" t="n">
        <x:v>1</x:v>
      </x:c>
      <x:c r="H8" s="62" t="n">
        <x:f>IF(E8=0,"",I8/E8)</x:f>
        <x:v>477.53658739394825</x:v>
      </x:c>
      <x:c r="I8" s="60" t="n">
        <x:f>SUMIF('Species'!$H$2:$H$271,A8,'Species'!$U$2:$U$271)</x:f>
        <x:v>178403267.0980558</x:v>
      </x:c>
      <x:c r="J8" s="62" t="n">
        <x:v>3.5022043575824036</x:v>
      </x:c>
      <x:c r="K8" s="62" t="n">
        <x:f>IF(J8="","",(1/'Metadata'!$B$5)^(J8-1))</x:f>
        <x:v>317.83693028039187</x:v>
      </x:c>
      <x:c r="L8" s="60" t="n">
        <x:f>IF(E8=0,"",E8*K8)</x:f>
        <x:v>118740947.31857918</x:v>
      </x:c>
      <x:c r="M8" s="60" t="n">
        <x:f>I8-L8</x:f>
        <x:v>59662319.77947663</x:v>
      </x:c>
      <x:c r="N8" s="62" t="n">
        <x:f>IF(L8=0,"",I8/L8)</x:f>
        <x:v>1.5024578389071128</x:v>
      </x:c>
      <x:c r="O8" s="66" t="n">
        <x:f>IF(L8=0,"",M8/L8)</x:f>
        <x:v>0.5024578389071128</x:v>
      </x:c>
    </x:row>
    <x:row r="9" ht="18" customHeight="1">
      <x:c r="A9" s="46" t="str">
        <x:v>Perch-likes</x:v>
      </x:c>
      <x:c r="B9" s="64" t="n">
        <x:v>91</x:v>
      </x:c>
      <x:c r="C9" s="64" t="n">
        <x:v>91</x:v>
      </x:c>
      <x:c r="D9" s="60" t="n">
        <x:v>262470.3362051095</x:v>
      </x:c>
      <x:c r="E9" s="60" t="n">
        <x:v>262470.3362051095</x:v>
      </x:c>
      <x:c r="F9" s="62" t="n">
        <x:v>0</x:v>
      </x:c>
      <x:c r="G9" s="66" t="n">
        <x:v>1</x:v>
      </x:c>
      <x:c r="H9" s="62" t="n">
        <x:f>IF(E9=0,"",I9/E9)</x:f>
        <x:v>852.2625222660031</x:v>
      </x:c>
      <x:c r="I9" s="60" t="n">
        <x:f>SUMIF('Species'!$H$2:$H$271,A9,'Species'!$U$2:$U$271)</x:f>
        <x:v>223693630.75417244</x:v>
      </x:c>
      <x:c r="J9" s="62" t="n">
        <x:v>3.7309283737815755</x:v>
      </x:c>
      <x:c r="K9" s="62" t="n">
        <x:f>IF(J9="","",(1/'Metadata'!$B$5)^(J9-1))</x:f>
        <x:v>538.1810154434656</x:v>
      </x:c>
      <x:c r="L9" s="60" t="n">
        <x:f>IF(E9=0,"",E9*K9)</x:f>
        <x:v>141256552.06265366</x:v>
      </x:c>
      <x:c r="M9" s="60" t="n">
        <x:f>I9-L9</x:f>
        <x:v>82437078.69151878</x:v>
      </x:c>
      <x:c r="N9" s="62" t="n">
        <x:f>IF(L9=0,"",I9/L9)</x:f>
        <x:v>1.5835982649141416</x:v>
      </x:c>
      <x:c r="O9" s="66" t="n">
        <x:f>IF(L9=0,"",M9/L9)</x:f>
        <x:v>0.5835982649141416</x:v>
      </x:c>
    </x:row>
    <x:row r="10" ht="18" customHeight="1">
      <x:c r="A10" s="46" t="str">
        <x:v>Scorpionfishes</x:v>
      </x:c>
      <x:c r="B10" s="64" t="n">
        <x:v>8</x:v>
      </x:c>
      <x:c r="C10" s="64" t="n">
        <x:v>8</x:v>
      </x:c>
      <x:c r="D10" s="60" t="n">
        <x:v>13904.225366641598</x:v>
      </x:c>
      <x:c r="E10" s="60" t="n">
        <x:v>13904.225366641598</x:v>
      </x:c>
      <x:c r="F10" s="62" t="n">
        <x:v>0</x:v>
      </x:c>
      <x:c r="G10" s="66" t="n">
        <x:v>1</x:v>
      </x:c>
      <x:c r="H10" s="62" t="n">
        <x:f>IF(E10=0,"",I10/E10)</x:f>
        <x:v>304.79371486502777</x:v>
      </x:c>
      <x:c r="I10" s="60" t="n">
        <x:f>SUMIF('Species'!$H$2:$H$271,A10,'Species'!$U$2:$U$271)</x:f>
        <x:v>4237920.5018192455</x:v>
      </x:c>
      <x:c r="J10" s="62" t="n">
        <x:v>3.4821957825576866</x:v>
      </x:c>
      <x:c r="K10" s="62" t="n">
        <x:f>IF(J10="","",(1/'Metadata'!$B$5)^(J10-1))</x:f>
        <x:v>303.52591888689926</x:v>
      </x:c>
      <x:c r="L10" s="60" t="n">
        <x:f>IF(E10=0,"",E10*K10)</x:f>
        <x:v>4220292.780820425</x:v>
      </x:c>
      <x:c r="M10" s="60" t="n">
        <x:f>I10-L10</x:f>
        <x:v>17627.72099882085</x:v>
      </x:c>
      <x:c r="N10" s="62" t="n">
        <x:f>IF(L10=0,"",I10/L10)</x:f>
        <x:v>1.0041768952805672</x:v>
      </x:c>
      <x:c r="O10" s="66" t="n">
        <x:f>IF(L10=0,"",M10/L10)</x:f>
        <x:v>0.0041768952805672456</x:v>
      </x:c>
    </x:row>
    <x:row r="11" ht="18" customHeight="1">
      <x:c r="A11" s="46" t="str">
        <x:v>Sharks &amp; rays</x:v>
      </x:c>
      <x:c r="B11" s="64" t="n">
        <x:v>44</x:v>
      </x:c>
      <x:c r="C11" s="64" t="n">
        <x:v>44</x:v>
      </x:c>
      <x:c r="D11" s="60" t="n">
        <x:v>53887.4670000712</x:v>
      </x:c>
      <x:c r="E11" s="60" t="n">
        <x:v>53887.4670000712</x:v>
      </x:c>
      <x:c r="F11" s="62" t="n">
        <x:v>0</x:v>
      </x:c>
      <x:c r="G11" s="66" t="n">
        <x:v>1</x:v>
      </x:c>
      <x:c r="H11" s="62" t="n">
        <x:f>IF(E11=0,"",I11/E11)</x:f>
        <x:v>1700.6643250354764</x:v>
      </x:c>
      <x:c r="I11" s="60" t="n">
        <x:f>SUMIF('Species'!$H$2:$H$271,A11,'Species'!$U$2:$U$271)</x:f>
        <x:v>91644492.69354759</x:v>
      </x:c>
      <x:c r="J11" s="62" t="n">
        <x:v>4.138955197242048</x:v>
      </x:c>
      <x:c r="K11" s="62" t="n">
        <x:f>IF(J11="","",(1/'Metadata'!$B$5)^(J11-1))</x:f>
        <x:v>1377.0674003149786</x:v>
      </x:c>
      <x:c r="L11" s="60" t="n">
        <x:f>IF(E11=0,"",E11*K11)</x:f>
        <x:v>74206674.09134725</x:v>
      </x:c>
      <x:c r="M11" s="60" t="n">
        <x:f>I11-L11</x:f>
        <x:v>17437818.602200344</x:v>
      </x:c>
      <x:c r="N11" s="62" t="n">
        <x:f>IF(L11=0,"",I11/L11)</x:f>
        <x:v>1.2349898956626821</x:v>
      </x:c>
      <x:c r="O11" s="66" t="n">
        <x:f>IF(L11=0,"",M11/L11)</x:f>
        <x:v>0.23498989566268208</x:v>
      </x:c>
    </x:row>
    <x:row r="12" ht="18" customHeight="1">
      <x:c r="A12" s="46" t="str">
        <x:v>Tuna &amp; billfishes</x:v>
      </x:c>
      <x:c r="B12" s="64" t="n">
        <x:v>21</x:v>
      </x:c>
      <x:c r="C12" s="64" t="n">
        <x:v>21</x:v>
      </x:c>
      <x:c r="D12" s="60" t="n">
        <x:v>69738.3629390647</x:v>
      </x:c>
      <x:c r="E12" s="60" t="n">
        <x:v>69738.3629390647</x:v>
      </x:c>
      <x:c r="F12" s="62" t="n">
        <x:v>0</x:v>
      </x:c>
      <x:c r="G12" s="66" t="n">
        <x:v>1</x:v>
      </x:c>
      <x:c r="H12" s="62" t="n">
        <x:f>IF(E12=0,"",I12/E12)</x:f>
        <x:v>2597.749605883725</x:v>
      </x:c>
      <x:c r="I12" s="60" t="n">
        <x:f>SUMIF('Species'!$H$2:$H$271,A12,'Species'!$U$2:$U$271)</x:f>
        <x:v>181162804.8399315</x:v>
      </x:c>
      <x:c r="J12" s="62" t="n">
        <x:v>4.399952284157103</x:v>
      </x:c>
      <x:c r="K12" s="62" t="n">
        <x:f>IF(J12="","",(1/'Metadata'!$B$5)^(J12-1))</x:f>
        <x:v>2511.6104662388784</x:v>
      </x:c>
      <x:c r="L12" s="60" t="n">
        <x:f>IF(E12=0,"",E12*K12)</x:f>
        <x:v>175155602.2561204</x:v>
      </x:c>
      <x:c r="M12" s="60" t="n">
        <x:f>I12-L12</x:f>
        <x:v>6007202.5838110745</x:v>
      </x:c>
      <x:c r="N12" s="62" t="n">
        <x:f>IF(L12=0,"",I12/L12)</x:f>
        <x:v>1.0342963770866265</x:v>
      </x:c>
      <x:c r="O12" s="66" t="n">
        <x:f>IF(L12=0,"",M12/L12)</x:f>
        <x:v>0.03429637708662651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06873ce57ca49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4</x:v>
      </x:c>
      <x:c r="C2" s="64" t="n">
        <x:v>4</x:v>
      </x:c>
      <x:c r="D2" s="60" t="n">
        <x:v>25707.113905070502</x:v>
      </x:c>
      <x:c r="E2" s="60" t="n">
        <x:v>25707.113905070502</x:v>
      </x:c>
      <x:c r="F2" s="62" t="n">
        <x:v>0</x:v>
      </x:c>
      <x:c r="G2" s="66" t="n">
        <x:v>1</x:v>
      </x:c>
      <x:c r="H2" s="62" t="n">
        <x:f>IF(E2=0,"",I2/E2)</x:f>
        <x:v>1379.4057202424895</x:v>
      </x:c>
      <x:c r="I2" s="60" t="n">
        <x:f>SUMIF('Species'!$G$2:$G$271,A2,'Species'!$U$2:$U$271)</x:f>
        <x:v>35460539.97157949</x:v>
      </x:c>
      <x:c r="J2" s="62" t="n">
        <x:v>4.1395411021079855</x:v>
      </x:c>
      <x:c r="K2" s="62" t="n">
        <x:f>IF(J2="","",(1/'Metadata'!$B$5)^(J2-1))</x:f>
        <x:v>1378.926449911181</x:v>
      </x:c>
      <x:c r="L2" s="60" t="n">
        <x:f>IF(E2=0,"",E2*K2)</x:f>
        <x:v>35448219.31458122</x:v>
      </x:c>
      <x:c r="M2" s="60" t="n">
        <x:f>I2-L2</x:f>
        <x:v>12320.65699826926</x:v>
      </x:c>
      <x:c r="N2" s="62" t="n">
        <x:f>IF(L2=0,"",I2/L2)</x:f>
        <x:v>1.000347567726574</x:v>
      </x:c>
      <x:c r="O2" s="66" t="n">
        <x:f>IF(L2=0,"",M2/L2)</x:f>
        <x:v>0.0003475677265741046</x:v>
      </x:c>
    </x:row>
    <x:row r="3" ht="18" customHeight="1">
      <x:c r="A3" s="46" t="str">
        <x:v>Jellyfish</x:v>
      </x:c>
      <x:c r="B3" s="64" t="n">
        <x:v>2</x:v>
      </x:c>
      <x:c r="C3" s="64" t="n">
        <x:v>2</x:v>
      </x:c>
      <x:c r="D3" s="60" t="n">
        <x:v>58254.8650368879</x:v>
      </x:c>
      <x:c r="E3" s="60" t="n">
        <x:v>58254.8650368879</x:v>
      </x:c>
      <x:c r="F3" s="62" t="n">
        <x:v>0</x:v>
      </x:c>
      <x:c r="G3" s="66" t="n">
        <x:v>1</x:v>
      </x:c>
      <x:c r="H3" s="62" t="n">
        <x:f>IF(E3=0,"",I3/E3)</x:f>
        <x:v>272.55720355745717</x:v>
      </x:c>
      <x:c r="I3" s="60" t="n">
        <x:f>SUMIF('Species'!$G$2:$G$271,A3,'Species'!$U$2:$U$271)</x:f>
        <x:v>15877783.10807125</x:v>
      </x:c>
      <x:c r="J3" s="62" t="n">
        <x:v>3.4326899918050184</x:v>
      </x:c>
      <x:c r="K3" s="62" t="n">
        <x:f>IF(J3="","",(1/'Metadata'!$B$5)^(J3-1))</x:f>
        <x:v>270.82577325371386</x:v>
      </x:c>
      <x:c r="L3" s="60" t="n">
        <x:f>IF(E3=0,"",E3*K3)</x:f>
        <x:v>15776918.869405907</x:v>
      </x:c>
      <x:c r="M3" s="60" t="n">
        <x:f>I3-L3</x:f>
        <x:v>100864.2386653442</x:v>
      </x:c>
      <x:c r="N3" s="62" t="n">
        <x:f>IF(L3=0,"",I3/L3)</x:f>
        <x:v>1.0063931518885438</x:v>
      </x:c>
      <x:c r="O3" s="66" t="n">
        <x:f>IF(L3=0,"",M3/L3)</x:f>
        <x:v>0.006393151888543769</x:v>
      </x:c>
    </x:row>
    <x:row r="4" ht="18" customHeight="1">
      <x:c r="A4" s="46" t="str">
        <x:v>Large bathydemersals (&gt;=90 cm)</x:v>
      </x:c>
      <x:c r="B4" s="64" t="n">
        <x:v>1</x:v>
      </x:c>
      <x:c r="C4" s="64" t="n">
        <x:v>1</x:v>
      </x:c>
      <x:c r="D4" s="60" t="n">
        <x:v>72.9931752964</x:v>
      </x:c>
      <x:c r="E4" s="60" t="n">
        <x:v>72.9931752964</x:v>
      </x:c>
      <x:c r="F4" s="62" t="n">
        <x:v>0</x:v>
      </x:c>
      <x:c r="G4" s="66" t="n">
        <x:v>1</x:v>
      </x:c>
      <x:c r="H4" s="62" t="n">
        <x:f>IF(E4=0,"",I4/E4)</x:f>
        <x:v>2238.7211385683377</x:v>
      </x:c>
      <x:c r="I4" s="60" t="n">
        <x:f>SUMIF('Species'!$G$2:$G$271,A4,'Species'!$U$2:$U$271)</x:f>
        <x:v>163411.36450727485</x:v>
      </x:c>
      <x:c r="J4" s="62" t="n">
        <x:v>4.35</x:v>
      </x:c>
      <x:c r="K4" s="62" t="n">
        <x:f>IF(J4="","",(1/'Metadata'!$B$5)^(J4-1))</x:f>
        <x:v>2238.7211385683377</x:v>
      </x:c>
      <x:c r="L4" s="60" t="n">
        <x:f>IF(E4=0,"",E4*K4)</x:f>
        <x:v>163411.36450727485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bathypelagics (&gt;=90 cm)</x:v>
      </x:c>
      <x:c r="B5" s="64" t="n">
        <x:v>2</x:v>
      </x:c>
      <x:c r="C5" s="64" t="n">
        <x:v>2</x:v>
      </x:c>
      <x:c r="D5" s="60" t="n">
        <x:v>47.7925885414</x:v>
      </x:c>
      <x:c r="E5" s="60" t="n">
        <x:v>47.7925885414</x:v>
      </x:c>
      <x:c r="F5" s="62" t="n">
        <x:v>0</x:v>
      </x:c>
      <x:c r="G5" s="66" t="n">
        <x:v>1</x:v>
      </x:c>
      <x:c r="H5" s="62" t="n">
        <x:f>IF(E5=0,"",I5/E5)</x:f>
        <x:v>1659.8091467926904</x:v>
      </x:c>
      <x:c r="I5" s="60" t="n">
        <x:f>SUMIF('Species'!$G$2:$G$271,A5,'Species'!$U$2:$U$271)</x:f>
        <x:v>79326.57560991525</x:v>
      </x:c>
      <x:c r="J5" s="62" t="n">
        <x:v>4.220050492236341</x:v>
      </x:c>
      <x:c r="K5" s="62" t="n">
        <x:f>IF(J5="","",(1/'Metadata'!$B$5)^(J5-1))</x:f>
        <x:v>1659.7798666604563</x:v>
      </x:c>
      <x:c r="L5" s="60" t="n">
        <x:f>IF(E5=0,"",E5*K5)</x:f>
        <x:v>79325.17623660294</x:v>
      </x:c>
      <x:c r="M5" s="60" t="n">
        <x:f>I5-L5</x:f>
        <x:v>1.3993733123061247</x:v>
      </x:c>
      <x:c r="N5" s="62" t="n">
        <x:f>IF(L5=0,"",I5/L5)</x:f>
        <x:v>1.0000176409732533</x:v>
      </x:c>
      <x:c r="O5" s="66" t="n">
        <x:f>IF(L5=0,"",M5/L5)</x:f>
        <x:v>0.000017640973253336603</x:v>
      </x:c>
    </x:row>
    <x:row r="6" ht="18" customHeight="1">
      <x:c r="A6" s="46" t="str">
        <x:v>Large benthopelagics (&gt;=90 cm)</x:v>
      </x:c>
      <x:c r="B6" s="64" t="n">
        <x:v>12</x:v>
      </x:c>
      <x:c r="C6" s="64" t="n">
        <x:v>12</x:v>
      </x:c>
      <x:c r="D6" s="60" t="n">
        <x:v>13716.938450075098</x:v>
      </x:c>
      <x:c r="E6" s="60" t="n">
        <x:v>13716.938450075098</x:v>
      </x:c>
      <x:c r="F6" s="62" t="n">
        <x:v>0</x:v>
      </x:c>
      <x:c r="G6" s="66" t="n">
        <x:v>1</x:v>
      </x:c>
      <x:c r="H6" s="62" t="n">
        <x:f>IF(E6=0,"",I6/E6)</x:f>
        <x:v>744.0709157486727</x:v>
      </x:c>
      <x:c r="I6" s="60" t="n">
        <x:f>SUMIF('Species'!$G$2:$G$271,A6,'Species'!$U$2:$U$271)</x:f>
        <x:v>10206374.953815559</x:v>
      </x:c>
      <x:c r="J6" s="62" t="n">
        <x:v>2.899957877058834</x:v>
      </x:c>
      <x:c r="K6" s="62" t="n">
        <x:f>IF(J6="","",(1/'Metadata'!$B$5)^(J6-1))</x:f>
        <x:v>79.42511952492225</x:v>
      </x:c>
      <x:c r="L6" s="60" t="n">
        <x:f>IF(E6=0,"",E6*K6)</x:f>
        <x:v>1089469.4759132164</x:v>
      </x:c>
      <x:c r="M6" s="60" t="n">
        <x:f>I6-L6</x:f>
        <x:v>9116905.477902342</x:v>
      </x:c>
      <x:c r="N6" s="62" t="n">
        <x:f>IF(L6=0,"",I6/L6)</x:f>
        <x:v>9.36820643392543</x:v>
      </x:c>
      <x:c r="O6" s="66" t="n">
        <x:f>IF(L6=0,"",M6/L6)</x:f>
        <x:v>8.368206433925428</x:v>
      </x:c>
    </x:row>
    <x:row r="7" ht="18" customHeight="1">
      <x:c r="A7" s="46" t="str">
        <x:v>Large demersals (&gt;=90 cm)</x:v>
      </x:c>
      <x:c r="B7" s="64" t="n">
        <x:v>5</x:v>
      </x:c>
      <x:c r="C7" s="64" t="n">
        <x:v>5</x:v>
      </x:c>
      <x:c r="D7" s="60" t="n">
        <x:v>1955.9487616674999</x:v>
      </x:c>
      <x:c r="E7" s="60" t="n">
        <x:v>1955.9487616674999</x:v>
      </x:c>
      <x:c r="F7" s="62" t="n">
        <x:v>0</x:v>
      </x:c>
      <x:c r="G7" s="66" t="n">
        <x:v>1</x:v>
      </x:c>
      <x:c r="H7" s="62" t="n">
        <x:f>IF(E7=0,"",I7/E7)</x:f>
        <x:v>1517.0962876620645</x:v>
      </x:c>
      <x:c r="I7" s="60" t="n">
        <x:f>SUMIF('Species'!$G$2:$G$271,A7,'Species'!$U$2:$U$271)</x:f>
        <x:v>2967362.605182976</x:v>
      </x:c>
      <x:c r="J7" s="62" t="n">
        <x:v>4.161181938663438</x:v>
      </x:c>
      <x:c r="K7" s="62" t="n">
        <x:f>IF(J7="","",(1/'Metadata'!$B$5)^(J7-1))</x:f>
        <x:v>1449.3789136057067</x:v>
      </x:c>
      <x:c r="L7" s="60" t="n">
        <x:f>IF(E7=0,"",E7*K7)</x:f>
        <x:v>2834910.8912540684</x:v>
      </x:c>
      <x:c r="M7" s="60" t="n">
        <x:f>I7-L7</x:f>
        <x:v>132451.71392890764</x:v>
      </x:c>
      <x:c r="N7" s="62" t="n">
        <x:f>IF(L7=0,"",I7/L7)</x:f>
        <x:v>1.046721649818882</x:v>
      </x:c>
      <x:c r="O7" s="66" t="n">
        <x:f>IF(L7=0,"",M7/L7)</x:f>
        <x:v>0.04672164981888214</x:v>
      </x:c>
    </x:row>
    <x:row r="8" ht="18" customHeight="1">
      <x:c r="A8" s="46" t="str">
        <x:v>Large pelagics (&gt;=90 cm)</x:v>
      </x:c>
      <x:c r="B8" s="64" t="n">
        <x:v>24</x:v>
      </x:c>
      <x:c r="C8" s="64" t="n">
        <x:v>24</x:v>
      </x:c>
      <x:c r="D8" s="60" t="n">
        <x:v>86406.3842497922</x:v>
      </x:c>
      <x:c r="E8" s="60" t="n">
        <x:v>86406.3842497922</x:v>
      </x:c>
      <x:c r="F8" s="62" t="n">
        <x:v>0</x:v>
      </x:c>
      <x:c r="G8" s="66" t="n">
        <x:v>1</x:v>
      </x:c>
      <x:c r="H8" s="62" t="n">
        <x:f>IF(E8=0,"",I8/E8)</x:f>
        <x:v>2639.254717529511</x:v>
      </x:c>
      <x:c r="I8" s="60" t="n">
        <x:f>SUMIF('Species'!$G$2:$G$271,A8,'Species'!$U$2:$U$271)</x:f>
        <x:v>228048457.25593168</x:v>
      </x:c>
      <x:c r="J8" s="62" t="n">
        <x:v>4.4175727247792</x:v>
      </x:c>
      <x:c r="K8" s="62" t="n">
        <x:f>IF(J8="","",(1/'Metadata'!$B$5)^(J8-1))</x:f>
        <x:v>2615.6084081539893</x:v>
      </x:c>
      <x:c r="L8" s="60" t="n">
        <x:f>IF(E8=0,"",E8*K8)</x:f>
        <x:v>226005265.1619409</x:v>
      </x:c>
      <x:c r="M8" s="60" t="n">
        <x:f>I8-L8</x:f>
        <x:v>2043192.093990773</x:v>
      </x:c>
      <x:c r="N8" s="62" t="n">
        <x:f>IF(L8=0,"",I8/L8)</x:f>
        <x:v>1.0090404623650107</x:v>
      </x:c>
      <x:c r="O8" s="66" t="n">
        <x:f>IF(L8=0,"",M8/L8)</x:f>
        <x:v>0.009040462365010622</x:v>
      </x:c>
    </x:row>
    <x:row r="9" ht="18" customHeight="1">
      <x:c r="A9" s="46" t="str">
        <x:v>Large rays (&gt;=90 cm)</x:v>
      </x:c>
      <x:c r="B9" s="64" t="n">
        <x:v>9</x:v>
      </x:c>
      <x:c r="C9" s="64" t="n">
        <x:v>9</x:v>
      </x:c>
      <x:c r="D9" s="60" t="n">
        <x:v>9350.659157833099</x:v>
      </x:c>
      <x:c r="E9" s="60" t="n">
        <x:v>9350.659157833099</x:v>
      </x:c>
      <x:c r="F9" s="62" t="n">
        <x:v>0</x:v>
      </x:c>
      <x:c r="G9" s="66" t="n">
        <x:v>1</x:v>
      </x:c>
      <x:c r="H9" s="62" t="n">
        <x:f>IF(E9=0,"",I9/E9)</x:f>
        <x:v>458.4424349783183</x:v>
      </x:c>
      <x:c r="I9" s="60" t="n">
        <x:f>SUMIF('Species'!$G$2:$G$271,A9,'Species'!$U$2:$U$271)</x:f>
        <x:v>4286738.952969317</x:v>
      </x:c>
      <x:c r="J9" s="62" t="n">
        <x:v>3.6410212273698592</x:v>
      </x:c>
      <x:c r="K9" s="62" t="n">
        <x:f>IF(J9="","",(1/'Metadata'!$B$5)^(J9-1))</x:f>
        <x:v>437.543490809955</x:v>
      </x:c>
      <x:c r="L9" s="60" t="n">
        <x:f>IF(E9=0,"",E9*K9)</x:f>
        <x:v>4091320.0492923683</x:v>
      </x:c>
      <x:c r="M9" s="60" t="n">
        <x:f>I9-L9</x:f>
        <x:v>195418.90367694898</x:v>
      </x:c>
      <x:c r="N9" s="62" t="n">
        <x:f>IF(L9=0,"",I9/L9)</x:f>
        <x:v>1.0477642671124563</x:v>
      </x:c>
      <x:c r="O9" s="66" t="n">
        <x:f>IF(L9=0,"",M9/L9)</x:f>
        <x:v>0.047764267112456404</x:v>
      </x:c>
    </x:row>
    <x:row r="10" ht="18" customHeight="1">
      <x:c r="A10" s="46" t="str">
        <x:v>Large reef assoc. fish (&gt;=90 cm)</x:v>
      </x:c>
      <x:c r="B10" s="64" t="n">
        <x:v>8</x:v>
      </x:c>
      <x:c r="C10" s="64" t="n">
        <x:v>8</x:v>
      </x:c>
      <x:c r="D10" s="60" t="n">
        <x:v>5067.210416762</x:v>
      </x:c>
      <x:c r="E10" s="60" t="n">
        <x:v>5067.210416762</x:v>
      </x:c>
      <x:c r="F10" s="62" t="n">
        <x:v>0</x:v>
      </x:c>
      <x:c r="G10" s="66" t="n">
        <x:v>1</x:v>
      </x:c>
      <x:c r="H10" s="62" t="n">
        <x:f>IF(E10=0,"",I10/E10)</x:f>
        <x:v>524.9688029560178</x:v>
      </x:c>
      <x:c r="I10" s="60" t="n">
        <x:f>SUMIF('Species'!$G$2:$G$271,A10,'Species'!$U$2:$U$271)</x:f>
        <x:v>2660127.3868138115</x:v>
      </x:c>
      <x:c r="J10" s="62" t="n">
        <x:v>3.64308604783535</x:v>
      </x:c>
      <x:c r="K10" s="62" t="n">
        <x:f>IF(J10="","",(1/'Metadata'!$B$5)^(J10-1))</x:f>
        <x:v>439.62871152866194</x:v>
      </x:c>
      <x:c r="L10" s="60" t="n">
        <x:f>IF(E10=0,"",E10*K10)</x:f>
        <x:v>2227691.186565692</x:v>
      </x:c>
      <x:c r="M10" s="60" t="n">
        <x:f>I10-L10</x:f>
        <x:v>432436.2002481194</x:v>
      </x:c>
      <x:c r="N10" s="62" t="n">
        <x:f>IF(L10=0,"",I10/L10)</x:f>
        <x:v>1.194118557749821</x:v>
      </x:c>
      <x:c r="O10" s="66" t="n">
        <x:f>IF(L10=0,"",M10/L10)</x:f>
        <x:v>0.19411855774982092</x:v>
      </x:c>
    </x:row>
    <x:row r="11" ht="18" customHeight="1">
      <x:c r="A11" s="46" t="str">
        <x:v>Large sharks (&gt;=90 cm)</x:v>
      </x:c>
      <x:c r="B11" s="64" t="n">
        <x:v>32</x:v>
      </x:c>
      <x:c r="C11" s="64" t="n">
        <x:v>32</x:v>
      </x:c>
      <x:c r="D11" s="60" t="n">
        <x:v>44508.2029548775</x:v>
      </x:c>
      <x:c r="E11" s="60" t="n">
        <x:v>44508.2029548775</x:v>
      </x:c>
      <x:c r="F11" s="62" t="n">
        <x:v>0</x:v>
      </x:c>
      <x:c r="G11" s="66" t="n">
        <x:v>1</x:v>
      </x:c>
      <x:c r="H11" s="62" t="n">
        <x:f>IF(E11=0,"",I11/E11)</x:f>
        <x:v>1962.477993694787</x:v>
      </x:c>
      <x:c r="I11" s="60" t="n">
        <x:f>SUMIF('Species'!$G$2:$G$271,A11,'Species'!$U$2:$U$271)</x:f>
        <x:v>87346368.8378484</x:v>
      </x:c>
      <x:c r="J11" s="62" t="n">
        <x:v>4.243912368904015</x:v>
      </x:c>
      <x:c r="K11" s="62" t="n">
        <x:f>IF(J11="","",(1/'Metadata'!$B$5)^(J11-1))</x:f>
        <x:v>1753.5266429465546</x:v>
      </x:c>
      <x:c r="L11" s="60" t="n">
        <x:f>IF(E11=0,"",E11*K11)</x:f>
        <x:v>78046319.71105027</x:v>
      </x:c>
      <x:c r="M11" s="60" t="n">
        <x:f>I11-L11</x:f>
        <x:v>9300049.126798123</x:v>
      </x:c>
      <x:c r="N11" s="62" t="n">
        <x:f>IF(L11=0,"",I11/L11)</x:f>
        <x:v>1.1191606364173168</x:v>
      </x:c>
      <x:c r="O11" s="66" t="n">
        <x:f>IF(L11=0,"",M11/L11)</x:f>
        <x:v>0.11916063641731675</x:v>
      </x:c>
    </x:row>
    <x:row r="12" ht="18" customHeight="1">
      <x:c r="A12" s="46" t="str">
        <x:v>Lobsters, crabs</x:v>
      </x:c>
      <x:c r="B12" s="64" t="n">
        <x:v>13</x:v>
      </x:c>
      <x:c r="C12" s="64" t="n">
        <x:v>13</x:v>
      </x:c>
      <x:c r="D12" s="60" t="n">
        <x:v>25434.5537329542</x:v>
      </x:c>
      <x:c r="E12" s="60" t="n">
        <x:v>25434.5537329542</x:v>
      </x:c>
      <x:c r="F12" s="62" t="n">
        <x:v>0</x:v>
      </x:c>
      <x:c r="G12" s="66" t="n">
        <x:v>1</x:v>
      </x:c>
      <x:c r="H12" s="62" t="n">
        <x:f>IF(E12=0,"",I12/E12)</x:f>
        <x:v>346.42005808576783</x:v>
      </x:c>
      <x:c r="I12" s="60" t="n">
        <x:f>SUMIF('Species'!$G$2:$G$271,A12,'Species'!$U$2:$U$271)</x:f>
        <x:v>8811039.581555577</x:v>
      </x:c>
      <x:c r="J12" s="62" t="n">
        <x:v>3.4261326831021925</x:v>
      </x:c>
      <x:c r="K12" s="62" t="n">
        <x:f>IF(J12="","",(1/'Metadata'!$B$5)^(J12-1))</x:f>
        <x:v>266.76735520082235</x:v>
      </x:c>
      <x:c r="L12" s="60" t="n">
        <x:f>IF(E12=0,"",E12*K12)</x:f>
        <x:v>6785108.6300533945</x:v>
      </x:c>
      <x:c r="M12" s="60" t="n">
        <x:f>I12-L12</x:f>
        <x:v>2025930.9515021825</x:v>
      </x:c>
      <x:c r="N12" s="62" t="n">
        <x:f>IF(L12=0,"",I12/L12)</x:f>
        <x:v>1.2985848955355987</x:v>
      </x:c>
      <x:c r="O12" s="66" t="n">
        <x:f>IF(L12=0,"",M12/L12)</x:f>
        <x:v>0.2985848955355988</x:v>
      </x:c>
    </x:row>
    <x:row r="13" ht="18" customHeight="1">
      <x:c r="A13" s="46" t="str">
        <x:v>Medium bathydemersals (30 - 89 cm)</x:v>
      </x:c>
      <x:c r="B13" s="64" t="n">
        <x:v>4</x:v>
      </x:c>
      <x:c r="C13" s="64" t="n">
        <x:v>4</x:v>
      </x:c>
      <x:c r="D13" s="60" t="n">
        <x:v>9832.47625501</x:v>
      </x:c>
      <x:c r="E13" s="60" t="n">
        <x:v>9832.47625501</x:v>
      </x:c>
      <x:c r="F13" s="62" t="n">
        <x:v>0</x:v>
      </x:c>
      <x:c r="G13" s="66" t="n">
        <x:v>1</x:v>
      </x:c>
      <x:c r="H13" s="62" t="n">
        <x:f>IF(E13=0,"",I13/E13)</x:f>
        <x:v>326.2568025245133</x:v>
      </x:c>
      <x:c r="I13" s="60" t="n">
        <x:f>SUMIF('Species'!$G$2:$G$271,A13,'Species'!$U$2:$U$271)</x:f>
        <x:v>3207912.263857764</x:v>
      </x:c>
      <x:c r="J13" s="62" t="n">
        <x:v>3.485308953604132</x:v>
      </x:c>
      <x:c r="K13" s="62" t="n">
        <x:f>IF(J13="","",(1/'Metadata'!$B$5)^(J13-1))</x:f>
        <x:v>305.7095132742298</x:v>
      </x:c>
      <x:c r="L13" s="60" t="n">
        <x:f>IF(E13=0,"",E13*K13)</x:f>
        <x:v>3005881.5301995287</x:v>
      </x:c>
      <x:c r="M13" s="60" t="n">
        <x:f>I13-L13</x:f>
        <x:v>202030.73365823552</x:v>
      </x:c>
      <x:c r="N13" s="62" t="n">
        <x:f>IF(L13=0,"",I13/L13)</x:f>
        <x:v>1.0672118084590063</x:v>
      </x:c>
      <x:c r="O13" s="66" t="n">
        <x:f>IF(L13=0,"",M13/L13)</x:f>
        <x:v>0.06721180845900632</x:v>
      </x:c>
    </x:row>
    <x:row r="14" ht="18" customHeight="1">
      <x:c r="A14" s="46" t="str">
        <x:v>Medium benthopelagics (30 - 89 cm)</x:v>
      </x:c>
      <x:c r="B14" s="64" t="n">
        <x:v>10</x:v>
      </x:c>
      <x:c r="C14" s="64" t="n">
        <x:v>10</x:v>
      </x:c>
      <x:c r="D14" s="60" t="n">
        <x:v>2717.2235154881</x:v>
      </x:c>
      <x:c r="E14" s="60" t="n">
        <x:v>2717.2235154881</x:v>
      </x:c>
      <x:c r="F14" s="62" t="n">
        <x:v>0</x:v>
      </x:c>
      <x:c r="G14" s="66" t="n">
        <x:v>1</x:v>
      </x:c>
      <x:c r="H14" s="62" t="n">
        <x:f>IF(E14=0,"",I14/E14)</x:f>
        <x:v>539.9719687270443</x:v>
      </x:c>
      <x:c r="I14" s="60" t="n">
        <x:f>SUMIF('Species'!$G$2:$G$271,A14,'Species'!$U$2:$U$271)</x:f>
        <x:v>1467224.5311295297</x:v>
      </x:c>
      <x:c r="J14" s="62" t="n">
        <x:v>3.111664462240755</x:v>
      </x:c>
      <x:c r="K14" s="62" t="n">
        <x:f>IF(J14="","",(1/'Metadata'!$B$5)^(J14-1))</x:f>
        <x:v>129.31963264166572</x:v>
      </x:c>
      <x:c r="L14" s="60" t="n">
        <x:f>IF(E14=0,"",E14*K14)</x:f>
        <x:v>351390.34682821657</x:v>
      </x:c>
      <x:c r="M14" s="60" t="n">
        <x:f>I14-L14</x:f>
        <x:v>1115834.184301313</x:v>
      </x:c>
      <x:c r="N14" s="62" t="n">
        <x:f>IF(L14=0,"",I14/L14)</x:f>
        <x:v>4.175483317550578</x:v>
      </x:c>
      <x:c r="O14" s="66" t="n">
        <x:f>IF(L14=0,"",M14/L14)</x:f>
        <x:v>3.175483317550577</x:v>
      </x:c>
    </x:row>
    <x:row r="15" ht="18" customHeight="1">
      <x:c r="A15" s="46" t="str">
        <x:v>Medium demersals (30 - 89 cm)</x:v>
      </x:c>
      <x:c r="B15" s="64" t="n">
        <x:v>25</x:v>
      </x:c>
      <x:c r="C15" s="64" t="n">
        <x:v>25</x:v>
      </x:c>
      <x:c r="D15" s="60" t="n">
        <x:v>334142.1217367177</x:v>
      </x:c>
      <x:c r="E15" s="60" t="n">
        <x:v>334142.1217367177</x:v>
      </x:c>
      <x:c r="F15" s="62" t="n">
        <x:v>0</x:v>
      </x:c>
      <x:c r="G15" s="66" t="n">
        <x:v>1</x:v>
      </x:c>
      <x:c r="H15" s="62" t="n">
        <x:f>IF(E15=0,"",I15/E15)</x:f>
        <x:v>448.07156259575515</x:v>
      </x:c>
      <x:c r="I15" s="60" t="n">
        <x:f>SUMIF('Species'!$G$2:$G$271,A15,'Species'!$U$2:$U$271)</x:f>
        <x:v>149719582.61563215</x:v>
      </x:c>
      <x:c r="J15" s="62" t="n">
        <x:v>3.5100528175814505</x:v>
      </x:c>
      <x:c r="K15" s="62" t="n">
        <x:f>IF(J15="","",(1/'Metadata'!$B$5)^(J15-1))</x:f>
        <x:v>323.633013804722</x:v>
      </x:c>
      <x:c r="L15" s="60" t="n">
        <x:f>IF(E15=0,"",E15*K15)</x:f>
        <x:v>108139421.89675826</x:v>
      </x:c>
      <x:c r="M15" s="60" t="n">
        <x:f>I15-L15</x:f>
        <x:v>41580160.71887389</x:v>
      </x:c>
      <x:c r="N15" s="62" t="n">
        <x:f>IF(L15=0,"",I15/L15)</x:f>
        <x:v>1.3845051137648106</x:v>
      </x:c>
      <x:c r="O15" s="66" t="n">
        <x:f>IF(L15=0,"",M15/L15)</x:f>
        <x:v>0.3845051137648106</x:v>
      </x:c>
    </x:row>
    <x:row r="16" ht="18" customHeight="1">
      <x:c r="A16" s="46" t="str">
        <x:v>Medium pelagics (30 - 89 cm)</x:v>
      </x:c>
      <x:c r="B16" s="64" t="n">
        <x:v>16</x:v>
      </x:c>
      <x:c r="C16" s="64" t="n">
        <x:v>16</x:v>
      </x:c>
      <x:c r="D16" s="60" t="n">
        <x:v>123228.0613007832</x:v>
      </x:c>
      <x:c r="E16" s="60" t="n">
        <x:v>123228.0613007832</x:v>
      </x:c>
      <x:c r="F16" s="62" t="n">
        <x:v>0</x:v>
      </x:c>
      <x:c r="G16" s="66" t="n">
        <x:v>1</x:v>
      </x:c>
      <x:c r="H16" s="62" t="n">
        <x:f>IF(E16=0,"",I16/E16)</x:f>
        <x:v>521.06898253187</x:v>
      </x:c>
      <x:c r="I16" s="60" t="n">
        <x:f>SUMIF('Species'!$G$2:$G$271,A16,'Species'!$U$2:$U$271)</x:f>
        <x:v>64210320.521374</x:v>
      </x:c>
      <x:c r="J16" s="62" t="n">
        <x:v>3.404320336651522</x:v>
      </x:c>
      <x:c r="K16" s="62" t="n">
        <x:f>IF(J16="","",(1/'Metadata'!$B$5)^(J16-1))</x:f>
        <x:v>253.69992372535606</x:v>
      </x:c>
      <x:c r="L16" s="60" t="n">
        <x:f>IF(E16=0,"",E16*K16)</x:f>
        <x:v>31262949.752832197</x:v>
      </x:c>
      <x:c r="M16" s="60" t="n">
        <x:f>I16-L16</x:f>
        <x:v>32947370.768541805</x:v>
      </x:c>
      <x:c r="N16" s="62" t="n">
        <x:f>IF(L16=0,"",I16/L16)</x:f>
        <x:v>2.053879145410999</x:v>
      </x:c>
      <x:c r="O16" s="66" t="n">
        <x:f>IF(L16=0,"",M16/L16)</x:f>
        <x:v>1.0538791454109993</x:v>
      </x:c>
    </x:row>
    <x:row r="17" ht="18" customHeight="1">
      <x:c r="A17" s="46" t="str">
        <x:v>Medium reef assoc. fish (30 - 89 cm)</x:v>
      </x:c>
      <x:c r="B17" s="64" t="n">
        <x:v>21</x:v>
      </x:c>
      <x:c r="C17" s="64" t="n">
        <x:v>21</x:v>
      </x:c>
      <x:c r="D17" s="60" t="n">
        <x:v>48258.5717191824</x:v>
      </x:c>
      <x:c r="E17" s="60" t="n">
        <x:v>48258.5717191824</x:v>
      </x:c>
      <x:c r="F17" s="62" t="n">
        <x:v>0</x:v>
      </x:c>
      <x:c r="G17" s="66" t="n">
        <x:v>1</x:v>
      </x:c>
      <x:c r="H17" s="62" t="n">
        <x:f>IF(E17=0,"",I17/E17)</x:f>
        <x:v>983.9977903342497</x:v>
      </x:c>
      <x:c r="I17" s="60" t="n">
        <x:f>SUMIF('Species'!$G$2:$G$271,A17,'Species'!$U$2:$U$271)</x:f>
        <x:v>47486327.93636239</x:v>
      </x:c>
      <x:c r="J17" s="62" t="n">
        <x:v>3.921976395507064</x:v>
      </x:c>
      <x:c r="K17" s="62" t="n">
        <x:f>IF(J17="","",(1/'Metadata'!$B$5)^(J17-1))</x:f>
        <x:v>835.5576033103587</x:v>
      </x:c>
      <x:c r="L17" s="60" t="n">
        <x:f>IF(E17=0,"",E17*K17)</x:f>
        <x:v>40322816.524861105</x:v>
      </x:c>
      <x:c r="M17" s="60" t="n">
        <x:f>I17-L17</x:f>
        <x:v>7163511.411501288</x:v>
      </x:c>
      <x:c r="N17" s="62" t="n">
        <x:f>IF(L17=0,"",I17/L17)</x:f>
        <x:v>1.1776540437616656</x:v>
      </x:c>
      <x:c r="O17" s="66" t="n">
        <x:f>IF(L17=0,"",M17/L17)</x:f>
        <x:v>0.17765404376166563</x:v>
      </x:c>
    </x:row>
    <x:row r="18" ht="18" customHeight="1">
      <x:c r="A18" s="46" t="str">
        <x:v>Other demersal invertebrates</x:v>
      </x:c>
      <x:c r="B18" s="64" t="n">
        <x:v>16</x:v>
      </x:c>
      <x:c r="C18" s="64" t="n">
        <x:v>16</x:v>
      </x:c>
      <x:c r="D18" s="60" t="n">
        <x:v>13235.509640024298</x:v>
      </x:c>
      <x:c r="E18" s="60" t="n">
        <x:v>13235.509640024298</x:v>
      </x:c>
      <x:c r="F18" s="62" t="n">
        <x:v>0</x:v>
      </x:c>
      <x:c r="G18" s="66" t="n">
        <x:v>1</x:v>
      </x:c>
      <x:c r="H18" s="62" t="n">
        <x:f>IF(E18=0,"",I18/E18)</x:f>
        <x:v>32.79391675495769</x:v>
      </x:c>
      <x:c r="I18" s="60" t="n">
        <x:f>SUMIF('Species'!$G$2:$G$271,A18,'Species'!$U$2:$U$271)</x:f>
        <x:v>434044.2013443969</x:v>
      </x:c>
      <x:c r="J18" s="62" t="n">
        <x:v>2.2495905406778958</x:v>
      </x:c>
      <x:c r="K18" s="62" t="n">
        <x:f>IF(J18="","",(1/'Metadata'!$B$5)^(J18-1))</x:f>
        <x:v>17.766036117671284</x:v>
      </x:c>
      <x:c r="L18" s="60" t="n">
        <x:f>IF(E18=0,"",E18*K18)</x:f>
        <x:v>235142.54230045812</x:v>
      </x:c>
      <x:c r="M18" s="60" t="n">
        <x:f>I18-L18</x:f>
        <x:v>198901.6590439388</x:v>
      </x:c>
      <x:c r="N18" s="62" t="n">
        <x:f>IF(L18=0,"",I18/L18)</x:f>
        <x:v>1.8458769608341998</x:v>
      </x:c>
      <x:c r="O18" s="66" t="n">
        <x:f>IF(L18=0,"",M18/L18)</x:f>
        <x:v>0.8458769608341998</x:v>
      </x:c>
    </x:row>
    <x:row r="19" ht="18" customHeight="1">
      <x:c r="A19" s="46" t="str">
        <x:v>Shrimps</x:v>
      </x:c>
      <x:c r="B19" s="64" t="n">
        <x:v>20</x:v>
      </x:c>
      <x:c r="C19" s="64" t="n">
        <x:v>20</x:v>
      </x:c>
      <x:c r="D19" s="60" t="n">
        <x:v>81978.6433365361</x:v>
      </x:c>
      <x:c r="E19" s="60" t="n">
        <x:v>81978.6433365361</x:v>
      </x:c>
      <x:c r="F19" s="62" t="n">
        <x:v>0</x:v>
      </x:c>
      <x:c r="G19" s="66" t="n">
        <x:v>1</x:v>
      </x:c>
      <x:c r="H19" s="62" t="n">
        <x:f>IF(E19=0,"",I19/E19)</x:f>
        <x:v>124.44535293870763</x:v>
      </x:c>
      <x:c r="I19" s="60" t="n">
        <x:f>SUMIF('Species'!$G$2:$G$271,A19,'Species'!$U$2:$U$271)</x:f>
        <x:v>10201861.203451667</x:v>
      </x:c>
      <x:c r="J19" s="62" t="n">
        <x:v>2.9033895394429727</x:v>
      </x:c>
      <x:c r="K19" s="62" t="n">
        <x:f>IF(J19="","",(1/'Metadata'!$B$5)^(J19-1))</x:f>
        <x:v>80.05519863496784</x:v>
      </x:c>
      <x:c r="L19" s="60" t="n">
        <x:f>IF(E19=0,"",E19*K19)</x:f>
        <x:v>6562816.57613158</x:v>
      </x:c>
      <x:c r="M19" s="60" t="n">
        <x:f>I19-L19</x:f>
        <x:v>3639044.6273200866</x:v>
      </x:c>
      <x:c r="N19" s="62" t="n">
        <x:f>IF(L19=0,"",I19/L19)</x:f>
        <x:v>1.5544943371653857</x:v>
      </x:c>
      <x:c r="O19" s="66" t="n">
        <x:f>IF(L19=0,"",M19/L19)</x:f>
        <x:v>0.5544943371653857</x:v>
      </x:c>
    </x:row>
    <x:row r="20" ht="18" customHeight="1">
      <x:c r="A20" s="46" t="str">
        <x:v>Small bathydemersals (&lt;30 cm)</x:v>
      </x:c>
      <x:c r="B20" s="64" t="n">
        <x:v>1</x:v>
      </x:c>
      <x:c r="C20" s="64" t="n">
        <x:v>1</x:v>
      </x:c>
      <x:c r="D20" s="60" t="n">
        <x:v>11.8490594674</x:v>
      </x:c>
      <x:c r="E20" s="60" t="n">
        <x:v>11.8490594674</x:v>
      </x:c>
      <x:c r="F20" s="62" t="n">
        <x:v>0</x:v>
      </x:c>
      <x:c r="G20" s="66" t="n">
        <x:v>1</x:v>
      </x:c>
      <x:c r="H20" s="62" t="n">
        <x:f>IF(E20=0,"",I20/E20)</x:f>
        <x:v>316.22776601683796</x:v>
      </x:c>
      <x:c r="I20" s="60" t="n">
        <x:f>SUMIF('Species'!$G$2:$G$271,A20,'Species'!$U$2:$U$271)</x:f>
        <x:v>3747.0016047765657</x:v>
      </x:c>
      <x:c r="J20" s="62" t="n">
        <x:v>3.5</x:v>
      </x:c>
      <x:c r="K20" s="62" t="n">
        <x:f>IF(J20="","",(1/'Metadata'!$B$5)^(J20-1))</x:f>
        <x:v>316.22776601683796</x:v>
      </x:c>
      <x:c r="L20" s="60" t="n">
        <x:f>IF(E20=0,"",E20*K20)</x:f>
        <x:v>3747.0016047765657</x:v>
      </x:c>
      <x:c r="M20" s="60" t="n">
        <x:f>I20-L20</x:f>
        <x:v>0</x:v>
      </x:c>
      <x:c r="N20" s="62" t="n">
        <x:f>IF(L20=0,"",I20/L20)</x:f>
        <x:v>1</x:v>
      </x:c>
      <x:c r="O20" s="66" t="n">
        <x:f>IF(L20=0,"",M20/L20)</x:f>
        <x:v>0</x:v>
      </x:c>
    </x:row>
    <x:row r="21" ht="18" customHeight="1">
      <x:c r="A21" s="46" t="str">
        <x:v>Small benthopelagics (&lt;30 cm)</x:v>
      </x:c>
      <x:c r="B21" s="64" t="n">
        <x:v>2</x:v>
      </x:c>
      <x:c r="C21" s="64" t="n">
        <x:v>2</x:v>
      </x:c>
      <x:c r="D21" s="60" t="n">
        <x:v>1186.8819890989998</x:v>
      </x:c>
      <x:c r="E21" s="60" t="n">
        <x:v>1186.8819890989998</x:v>
      </x:c>
      <x:c r="F21" s="62" t="n">
        <x:v>0</x:v>
      </x:c>
      <x:c r="G21" s="66" t="n">
        <x:v>1</x:v>
      </x:c>
      <x:c r="H21" s="62" t="n">
        <x:f>IF(E21=0,"",I21/E21)</x:f>
        <x:v>127.59930642298438</x:v>
      </x:c>
      <x:c r="I21" s="60" t="n">
        <x:f>SUMIF('Species'!$G$2:$G$271,A21,'Species'!$U$2:$U$271)</x:f>
        <x:v>151445.3186149645</x:v>
      </x:c>
      <x:c r="J21" s="62" t="n">
        <x:v>3.0609553793781683</x:v>
      </x:c>
      <x:c r="K21" s="62" t="n">
        <x:f>IF(J21="","",(1/'Metadata'!$B$5)^(J21-1))</x:f>
        <x:v>115.0682158588543</x:v>
      </x:c>
      <x:c r="L21" s="60" t="n">
        <x:f>IF(E21=0,"",E21*K21)</x:f>
        <x:v>136572.39292063008</x:v>
      </x:c>
      <x:c r="M21" s="60" t="n">
        <x:f>I21-L21</x:f>
        <x:v>14872.925694334408</x:v>
      </x:c>
      <x:c r="N21" s="62" t="n">
        <x:f>IF(L21=0,"",I21/L21)</x:f>
        <x:v>1.1089014066186706</x:v>
      </x:c>
      <x:c r="O21" s="66" t="n">
        <x:f>IF(L21=0,"",M21/L21)</x:f>
        <x:v>0.10890140661867076</x:v>
      </x:c>
    </x:row>
    <x:row r="22" ht="18" customHeight="1">
      <x:c r="A22" s="46" t="str">
        <x:v>Small demersals (&lt;30 cm)</x:v>
      </x:c>
      <x:c r="B22" s="64" t="n">
        <x:v>11</x:v>
      </x:c>
      <x:c r="C22" s="64" t="n">
        <x:v>11</x:v>
      </x:c>
      <x:c r="D22" s="60" t="n">
        <x:v>19845.3961400907</x:v>
      </x:c>
      <x:c r="E22" s="60" t="n">
        <x:v>19845.3961400907</x:v>
      </x:c>
      <x:c r="F22" s="62" t="n">
        <x:v>0</x:v>
      </x:c>
      <x:c r="G22" s="66" t="n">
        <x:v>1</x:v>
      </x:c>
      <x:c r="H22" s="62" t="n">
        <x:f>IF(E22=0,"",I22/E22)</x:f>
        <x:v>765.7463113682488</x:v>
      </x:c>
      <x:c r="I22" s="60" t="n">
        <x:f>SUMIF('Species'!$G$2:$G$271,A22,'Species'!$U$2:$U$271)</x:f>
        <x:v>15196538.891916135</x:v>
      </x:c>
      <x:c r="J22" s="62" t="n">
        <x:v>3.691255770401221</x:v>
      </x:c>
      <x:c r="K22" s="62" t="n">
        <x:f>IF(J22="","",(1/'Metadata'!$B$5)^(J22-1))</x:f>
        <x:v>491.1970732068433</x:v>
      </x:c>
      <x:c r="L22" s="60" t="n">
        <x:f>IF(E22=0,"",E22*K22)</x:f>
        <x:v>9748000.500642937</x:v>
      </x:c>
      <x:c r="M22" s="60" t="n">
        <x:f>I22-L22</x:f>
        <x:v>5448538.391273199</x:v>
      </x:c>
      <x:c r="N22" s="62" t="n">
        <x:f>IF(L22=0,"",I22/L22)</x:f>
        <x:v>1.558939075856001</x:v>
      </x:c>
      <x:c r="O22" s="66" t="n">
        <x:f>IF(L22=0,"",M22/L22)</x:f>
        <x:v>0.5589390758560011</x:v>
      </x:c>
    </x:row>
    <x:row r="23" ht="18" customHeight="1">
      <x:c r="A23" s="46" t="str">
        <x:v>Small pelagics (&lt;30 cm)</x:v>
      </x:c>
      <x:c r="B23" s="64" t="n">
        <x:v>17</x:v>
      </x:c>
      <x:c r="C23" s="64" t="n">
        <x:v>17</x:v>
      </x:c>
      <x:c r="D23" s="60" t="n">
        <x:v>662108.3925196392</x:v>
      </x:c>
      <x:c r="E23" s="60" t="n">
        <x:v>662108.3925196392</x:v>
      </x:c>
      <x:c r="F23" s="62" t="n">
        <x:v>0</x:v>
      </x:c>
      <x:c r="G23" s="66" t="n">
        <x:v>1</x:v>
      </x:c>
      <x:c r="H23" s="62" t="n">
        <x:f>IF(E23=0,"",I23/E23)</x:f>
        <x:v>67.3502167228224</x:v>
      </x:c>
      <x:c r="I23" s="60" t="n">
        <x:f>SUMIF('Species'!$G$2:$G$271,A23,'Species'!$U$2:$U$271)</x:f>
        <x:v>44593143.73019726</x:v>
      </x:c>
      <x:c r="J23" s="62" t="n">
        <x:v>2.6698589557968115</x:v>
      </x:c>
      <x:c r="K23" s="62" t="n">
        <x:f>IF(J23="","",(1/'Metadata'!$B$5)^(J23-1))</x:f>
        <x:v>46.75832613495465</x:v>
      </x:c>
      <x:c r="L23" s="60" t="n">
        <x:f>IF(E23=0,"",E23*K23)</x:f>
        <x:v>30959080.154123858</x:v>
      </x:c>
      <x:c r="M23" s="60" t="n">
        <x:f>I23-L23</x:f>
        <x:v>13634063.5760734</x:v>
      </x:c>
      <x:c r="N23" s="62" t="n">
        <x:f>IF(L23=0,"",I23/L23)</x:f>
        <x:v>1.4403898148200407</x:v>
      </x:c>
      <x:c r="O23" s="66" t="n">
        <x:f>IF(L23=0,"",M23/L23)</x:f>
        <x:v>0.44038981482004064</x:v>
      </x:c>
    </x:row>
    <x:row r="24" ht="18" customHeight="1">
      <x:c r="A24" s="46" t="str">
        <x:v>Small reef assoc. fish (&lt;30 cm)</x:v>
      </x:c>
      <x:c r="B24" s="64" t="n">
        <x:v>2</x:v>
      </x:c>
      <x:c r="C24" s="64" t="n">
        <x:v>2</x:v>
      </x:c>
      <x:c r="D24" s="60" t="n">
        <x:v>0.16633565919999999</x:v>
      </x:c>
      <x:c r="E24" s="60" t="n">
        <x:v>0.16633565919999999</x:v>
      </x:c>
      <x:c r="F24" s="62" t="n">
        <x:v>0</x:v>
      </x:c>
      <x:c r="G24" s="66" t="n">
        <x:v>1</x:v>
      </x:c>
      <x:c r="H24" s="62" t="n">
        <x:f>IF(E24=0,"",I24/E24)</x:f>
        <x:v>313.14369925812804</x:v>
      </x:c>
      <x:c r="I24" s="60" t="n">
        <x:f>SUMIF('Species'!$G$2:$G$271,A24,'Species'!$U$2:$U$271)</x:f>
        <x:v>52.08696364042728</x:v>
      </x:c>
      <x:c r="J24" s="62" t="n">
        <x:v>3.494881544672413</x:v>
      </x:c>
      <x:c r="K24" s="62" t="n">
        <x:f>IF(J24="","",(1/'Metadata'!$B$5)^(J24-1))</x:f>
        <x:v>312.52268343953415</x:v>
      </x:c>
      <x:c r="L24" s="60" t="n">
        <x:f>IF(E24=0,"",E24*K24)</x:f>
        <x:v>51.98366656486783</x:v>
      </x:c>
      <x:c r="M24" s="60" t="n">
        <x:f>I24-L24</x:f>
        <x:v>0.10329707555944623</x:v>
      </x:c>
      <x:c r="N24" s="62" t="n">
        <x:f>IF(L24=0,"",I24/L24)</x:f>
        <x:v>1.0019871063813968</x:v>
      </x:c>
      <x:c r="O24" s="66" t="n">
        <x:f>IF(L24=0,"",M24/L24)</x:f>
        <x:v>0.0019871063813966822</x:v>
      </x:c>
    </x:row>
    <x:row r="25" ht="18" customHeight="1">
      <x:c r="A25" s="46" t="str">
        <x:v>Small to medium flatfishes (&lt;90 cm)</x:v>
      </x:c>
      <x:c r="B25" s="64" t="n">
        <x:v>10</x:v>
      </x:c>
      <x:c r="C25" s="64" t="n">
        <x:v>10</x:v>
      </x:c>
      <x:c r="D25" s="60" t="n">
        <x:v>20574.1526550974</x:v>
      </x:c>
      <x:c r="E25" s="60" t="n">
        <x:v>20574.1526550974</x:v>
      </x:c>
      <x:c r="F25" s="62" t="n">
        <x:v>0</x:v>
      </x:c>
      <x:c r="G25" s="66" t="n">
        <x:v>1</x:v>
      </x:c>
      <x:c r="H25" s="62" t="n">
        <x:f>IF(E25=0,"",I25/E25)</x:f>
        <x:v>786.3196931975452</x:v>
      </x:c>
      <x:c r="I25" s="60" t="n">
        <x:f>SUMIF('Species'!$G$2:$G$271,A25,'Species'!$U$2:$U$271)</x:f>
        <x:v>16177861.40355565</x:v>
      </x:c>
      <x:c r="J25" s="62" t="n">
        <x:v>3.7913005328144256</x:v>
      </x:c>
      <x:c r="K25" s="62" t="n">
        <x:f>IF(J25="","",(1/'Metadata'!$B$5)^(J25-1))</x:f>
        <x:v>618.4442169652925</x:v>
      </x:c>
      <x:c r="L25" s="60" t="n">
        <x:f>IF(E25=0,"",E25*K25)</x:f>
        <x:v>12723965.728506107</x:v>
      </x:c>
      <x:c r="M25" s="60" t="n">
        <x:f>I25-L25</x:f>
        <x:v>3453895.6750495434</x:v>
      </x:c>
      <x:c r="N25" s="62" t="n">
        <x:f>IF(L25=0,"",I25/L25)</x:f>
        <x:v>1.2714480491967701</x:v>
      </x:c>
      <x:c r="O25" s="66" t="n">
        <x:f>IF(L25=0,"",M25/L25)</x:f>
        <x:v>0.2714480491967702</x:v>
      </x:c>
    </x:row>
    <x:row r="26" ht="18" customHeight="1">
      <x:c r="A26" s="46" t="str">
        <x:v>Small to medium rays (&lt;90 cm)</x:v>
      </x:c>
      <x:c r="B26" s="64" t="n">
        <x:v>1</x:v>
      </x:c>
      <x:c r="C26" s="64" t="n">
        <x:v>1</x:v>
      </x:c>
      <x:c r="D26" s="60" t="n">
        <x:v>8.0586803357</x:v>
      </x:c>
      <x:c r="E26" s="60" t="n">
        <x:v>8.0586803357</x:v>
      </x:c>
      <x:c r="F26" s="62" t="n">
        <x:v>0</x:v>
      </x:c>
      <x:c r="G26" s="66" t="n">
        <x:v>1</x:v>
      </x:c>
      <x:c r="H26" s="62" t="n">
        <x:f>IF(E26=0,"",I26/E26)</x:f>
        <x:v>363.0780547701014</x:v>
      </x:c>
      <x:c r="I26" s="60" t="n">
        <x:f>SUMIF('Species'!$G$2:$G$271,A26,'Species'!$U$2:$U$271)</x:f>
        <x:v>2925.929980300024</x:v>
      </x:c>
      <x:c r="J26" s="62" t="n">
        <x:v>3.56</x:v>
      </x:c>
      <x:c r="K26" s="62" t="n">
        <x:f>IF(J26="","",(1/'Metadata'!$B$5)^(J26-1))</x:f>
        <x:v>363.0780547701014</x:v>
      </x:c>
      <x:c r="L26" s="60" t="n">
        <x:f>IF(E26=0,"",E26*K26)</x:f>
        <x:v>2925.929980300024</x:v>
      </x:c>
      <x:c r="M26" s="60" t="n">
        <x:f>I26-L26</x:f>
        <x:v>0</x:v>
      </x:c>
      <x:c r="N26" s="62" t="n">
        <x:f>IF(L26=0,"",I26/L26)</x:f>
        <x:v>1</x:v>
      </x:c>
      <x:c r="O26" s="66" t="n">
        <x:f>IF(L26=0,"",M26/L26)</x:f>
        <x:v>0</x:v>
      </x:c>
    </x:row>
    <x:row r="27" ht="18" customHeight="1">
      <x:c r="A27" s="46" t="str">
        <x:v>Small to medium sharks (&lt;90 cm)</x:v>
      </x:c>
      <x:c r="B27" s="64" t="n">
        <x:v>2</x:v>
      </x:c>
      <x:c r="C27" s="64" t="n">
        <x:v>2</x:v>
      </x:c>
      <x:c r="D27" s="60" t="n">
        <x:v>20.5462070249</x:v>
      </x:c>
      <x:c r="E27" s="60" t="n">
        <x:v>20.5462070249</x:v>
      </x:c>
      <x:c r="F27" s="62" t="n">
        <x:v>0</x:v>
      </x:c>
      <x:c r="G27" s="66" t="n">
        <x:v>1</x:v>
      </x:c>
      <x:c r="H27" s="62" t="n">
        <x:f>IF(E27=0,"",I27/E27)</x:f>
        <x:v>411.70483385796126</x:v>
      </x:c>
      <x:c r="I27" s="60" t="n">
        <x:f>SUMIF('Species'!$G$2:$G$271,A27,'Species'!$U$2:$U$271)</x:f>
        <x:v>8458.972749597731</x:v>
      </x:c>
      <x:c r="J27" s="62" t="n">
        <x:v>3.6143499675366693</x:v>
      </x:c>
      <x:c r="K27" s="62" t="n">
        <x:f>IF(J27="","",(1/'Metadata'!$B$5)^(J27-1))</x:f>
        <x:v>411.4811714262099</x:v>
      </x:c>
      <x:c r="L27" s="60" t="n">
        <x:f>IF(E27=0,"",E27*K27)</x:f>
        <x:v>8454.377334971276</x:v>
      </x:c>
      <x:c r="M27" s="60" t="n">
        <x:f>I27-L27</x:f>
        <x:v>4.595414626455749</x:v>
      </x:c>
      <x:c r="N27" s="62" t="n">
        <x:f>IF(L27=0,"",I27/L27)</x:f>
        <x:v>1.0005435544741357</x:v>
      </x:c>
      <x:c r="O27" s="66" t="n">
        <x:f>IF(L27=0,"",M27/L27)</x:f>
        <x:v>0.0005435544741357778</x:v>
      </x:c>
    </x:row>
  </x:sheetData>
  <x:conditionalFormatting sqref="G2:G27">
    <x:cfRule type="cellIs" dxfId="2" priority="1" operator="lessThan">
      <x:formula>0.9</x:formula>
    </x:cfRule>
  </x:conditionalFormatting>
  <x:conditionalFormatting sqref="O2:O2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1e45c9a427944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LME_011</x:v>
      </x:c>
      <x:c r="B2" s="46" t="str">
        <x:v>raw_filtered_tonnes</x:v>
      </x:c>
      <x:c r="C2" s="46" t="n">
        <x:v>1587670.7135199134</x:v>
      </x:c>
      <x:c r="D2" s="46" t="str">
        <x:v>tonnes</x:v>
      </x:c>
    </x:row>
    <x:row r="3" ht="18" customHeight="1">
      <x:c r="A3" s="46" t="str">
        <x:v>LME_011</x:v>
      </x:c>
      <x:c r="B3" s="46" t="str">
        <x:v>species_catch_tonnes</x:v>
      </x:c>
      <x:c r="C3" s="46" t="n">
        <x:v>1587670.713519913</x:v>
      </x:c>
      <x:c r="D3" s="46" t="str">
        <x:v>tonnes</x:v>
      </x:c>
    </x:row>
    <x:row r="4" ht="18" customHeight="1">
      <x:c r="A4" s="46" t="str">
        <x:v>LME_011</x:v>
      </x:c>
      <x:c r="B4" s="46" t="str">
        <x:v>catch_difference_tonnes</x:v>
      </x:c>
      <x:c r="C4" s="46" t="n">
        <x:v>-4.656612873077393e-10</x:v>
      </x:c>
      <x:c r="D4" s="46" t="str">
        <x:v>tonnes</x:v>
      </x:c>
    </x:row>
    <x:row r="5" ht="18" customHeight="1">
      <x:c r="A5" s="46" t="str">
        <x:v>LME_011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LME_011</x:v>
      </x:c>
      <x:c r="B6" s="46" t="str">
        <x:v>matched_catch_tonnes</x:v>
      </x:c>
      <x:c r="C6" s="46" t="n">
        <x:v>1587670.713519913</x:v>
      </x:c>
      <x:c r="D6" s="46" t="str">
        <x:v>tonnes</x:v>
      </x:c>
    </x:row>
    <x:row r="7" ht="18" customHeight="1">
      <x:c r="A7" s="46" t="str">
        <x:v>LME_011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LME_011</x:v>
      </x:c>
      <x:c r="B8" s="46" t="str">
        <x:v>taxa_count</x:v>
      </x:c>
      <x:c r="C8" s="46" t="n">
        <x:v>270</x:v>
      </x:c>
      <x:c r="D8" s="46" t="str">
        <x:v>count</x:v>
      </x:c>
    </x:row>
    <x:row r="9" ht="18" customHeight="1">
      <x:c r="A9" s="46" t="str">
        <x:v>LME_011</x:v>
      </x:c>
      <x:c r="B9" s="46" t="str">
        <x:v>matched_taxa_count</x:v>
      </x:c>
      <x:c r="C9" s="46" t="n">
        <x:v>270</x:v>
      </x:c>
      <x:c r="D9" s="46" t="str">
        <x:v>count</x:v>
      </x:c>
    </x:row>
    <x:row r="10" ht="18" customHeight="1">
      <x:c r="A10" s="46" t="str">
        <x:v>LME_011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LME_011</x:v>
      </x:c>
      <x:c r="B11" s="46" t="str">
        <x:v>species_ppr</x:v>
      </x:c>
      <x:c r="C11" s="46" t="n">
        <x:v>748768977.2026196</x:v>
      </x:c>
      <x:c r="D11" s="46" t="str">
        <x:v>tonnes_primary_production_equivalent</x:v>
      </x:c>
    </x:row>
    <x:row r="12" ht="18" customHeight="1">
      <x:c r="A12" s="46" t="str">
        <x:v>LME_011</x:v>
      </x:c>
      <x:c r="B12" s="46" t="str">
        <x:v>commercial_ppr</x:v>
      </x:c>
      <x:c r="C12" s="46" t="n">
        <x:v>748768977.2026193</x:v>
      </x:c>
      <x:c r="D12" s="46" t="str">
        <x:v>tonnes_primary_production_equivalent</x:v>
      </x:c>
    </x:row>
    <x:row r="13" ht="18" customHeight="1">
      <x:c r="A13" s="46" t="str">
        <x:v>LME_011</x:v>
      </x:c>
      <x:c r="B13" s="46" t="str">
        <x:v>functional_ppr</x:v>
      </x:c>
      <x:c r="C13" s="46" t="n">
        <x:v>748768977.2026194</x:v>
      </x:c>
      <x:c r="D13" s="46" t="str">
        <x:v>tonnes_primary_production_equivalent</x:v>
      </x:c>
    </x:row>
    <x:row r="14" ht="18" customHeight="1">
      <x:c r="A14" s="46" t="str">
        <x:v>LME_011</x:v>
      </x:c>
      <x:c r="B14" s="46" t="str">
        <x:v>commercial_ppr_difference</x:v>
      </x:c>
      <x:c r="C14" s="46" t="n">
        <x:v>-2.384185791015625e-7</x:v>
      </x:c>
      <x:c r="D14" s="46" t="str">
        <x:v>tonnes_primary_production_equivalent</x:v>
      </x:c>
    </x:row>
    <x:row r="15" ht="18" customHeight="1">
      <x:c r="A15" s="46" t="str">
        <x:v>LME_011</x:v>
      </x:c>
      <x:c r="B15" s="46" t="str">
        <x:v>functional_ppr_difference</x:v>
      </x:c>
      <x:c r="C15" s="46" t="n">
        <x:v>-1.1920928955078125e-7</x:v>
      </x:c>
      <x:c r="D15" s="46" t="str">
        <x:v>tonnes_primary_production_equivalent</x:v>
      </x:c>
    </x:row>
    <x:row r="16" ht="18" customHeight="1">
      <x:c r="A16" s="46" t="str">
        <x:v>LME_011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LME_011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LME_011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LME_011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abea5fab373f49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LME_011 - Pacific Central-American Coastal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LME_011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raw_data/SAU_downloads/LME_011-catch.zip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