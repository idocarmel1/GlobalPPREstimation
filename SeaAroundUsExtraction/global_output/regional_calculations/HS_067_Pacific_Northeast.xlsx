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c04d4d512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1bb1a7d41d24700"/>
    <x:sheet xmlns:r="http://schemas.openxmlformats.org/officeDocument/2006/relationships" name="Commercial" sheetId="2" r:id="R371609e6fa5045de"/>
    <x:sheet xmlns:r="http://schemas.openxmlformats.org/officeDocument/2006/relationships" name="Functional" sheetId="3" r:id="R6449b9f85ea24147"/>
    <x:sheet xmlns:r="http://schemas.openxmlformats.org/officeDocument/2006/relationships" name="Missing TL" sheetId="4" r:id="R141d63d795514ec7"/>
    <x:sheet xmlns:r="http://schemas.openxmlformats.org/officeDocument/2006/relationships" name="Validation" sheetId="5" r:id="R50eb8c3b20d14f01"/>
    <x:sheet xmlns:r="http://schemas.openxmlformats.org/officeDocument/2006/relationships" name="Metadata" sheetId="6" r:id="R5c9d8c71f96941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362ddac74428c" /><Relationship Type="http://schemas.openxmlformats.org/officeDocument/2006/relationships/theme" Target="/xl/theme/theme1.xml" Id="R0956e8e14565478a" /><Relationship Type="http://schemas.openxmlformats.org/officeDocument/2006/relationships/sharedStrings" Target="/xl/sharedStrings.xml" Id="R47573e670db64071" /><Relationship Type="http://schemas.openxmlformats.org/officeDocument/2006/relationships/worksheet" Target="/xl/worksheets/sheet1.xml" Id="R11bb1a7d41d24700" /><Relationship Type="http://schemas.openxmlformats.org/officeDocument/2006/relationships/worksheet" Target="/xl/worksheets/sheet2.xml" Id="R371609e6fa5045de" /><Relationship Type="http://schemas.openxmlformats.org/officeDocument/2006/relationships/worksheet" Target="/xl/worksheets/sheet3.xml" Id="R6449b9f85ea24147" /><Relationship Type="http://schemas.openxmlformats.org/officeDocument/2006/relationships/worksheet" Target="/xl/worksheets/sheet4.xml" Id="R141d63d795514ec7" /><Relationship Type="http://schemas.openxmlformats.org/officeDocument/2006/relationships/worksheet" Target="/xl/worksheets/sheet5.xml" Id="R50eb8c3b20d14f01" /><Relationship Type="http://schemas.openxmlformats.org/officeDocument/2006/relationships/worksheet" Target="/xl/worksheets/sheet6.xml" Id="R5c9d8c71f9694120" /></Relationships>
</file>

<file path=xl/tables/table1.xml><?xml version="1.0" encoding="utf-8"?>
<x:table xmlns:x="http://schemas.openxmlformats.org/spreadsheetml/2006/main" id="1" name="HS067SpeciesTable" displayName="HS067SpeciesTable" ref="A1:U17" headerRowCount="1" totalsRowCount="0" totalsRowShown="0">
  <x:autoFilter ref="A1:U1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67CommercialTable" displayName="HS06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67FunctionalTable" displayName="HS067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67ValidationTable" displayName="HS06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ae96ec9af64f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1020e45b514d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ac05d970e6e4b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f98033b6144c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HS_067</x:v>
      </x:c>
      <x:c r="B2" s="46" t="str">
        <x:v>Pacific, Northeast</x:v>
      </x:c>
      <x:c r="C2" s="46" t="str">
        <x:v>High Seas</x:v>
      </x:c>
      <x:c r="D2" s="58" t="n">
        <x:v>2019</x:v>
      </x:c>
      <x:c r="E2" s="46" t="str">
        <x:v>Thunnus alalunga</x:v>
      </x:c>
      <x:c r="F2" s="46" t="str">
        <x:v>Albacore</x:v>
      </x:c>
      <x:c r="G2" s="46" t="str">
        <x:v>Large pelagics (&gt;=90 cm)</x:v>
      </x:c>
      <x:c r="H2" s="46" t="str">
        <x:v>Tuna &amp; billfishes</x:v>
      </x:c>
      <x:c r="I2" s="60" t="n">
        <x:v>234.1920153673</x:v>
      </x:c>
      <x:c r="J2" s="60" t="n">
        <x:v>234.1920153673</x:v>
      </x:c>
      <x:c r="K2" s="60" t="n">
        <x:v>0</x:v>
      </x:c>
      <x:c r="L2" s="60" t="n">
        <x:v>234.1920153673</x:v>
      </x:c>
      <x:c r="M2" s="60" t="n">
        <x:v>0</x:v>
      </x:c>
      <x:c r="N2" s="46" t="str">
        <x:v>thunnus alalunga</x:v>
      </x:c>
      <x:c r="O2" s="62" t="n">
        <x:v>4.3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alalunga</x:v>
      </x:c>
      <x:c r="T2" s="62" t="n">
        <x:f>IF(O2="","",(1/'Metadata'!$B$5)^(O2-1))</x:f>
        <x:v>1995.2623149688789</x:v>
      </x:c>
      <x:c r="U2" s="60" t="n">
        <x:f>IF(T2="","",I2*T2)</x:f>
        <x:v>467274.50272898626</x:v>
      </x:c>
    </x:row>
    <x:row r="3" ht="18" customHeight="1">
      <x:c r="A3" s="46" t="str">
        <x:v>HS_067</x:v>
      </x:c>
      <x:c r="B3" s="46" t="str">
        <x:v>Pacific, Northeast</x:v>
      </x:c>
      <x:c r="C3" s="46" t="str">
        <x:v>High Seas</x:v>
      </x:c>
      <x:c r="D3" s="58" t="n">
        <x:v>2019</x:v>
      </x:c>
      <x:c r="E3" s="46" t="str">
        <x:v>Prionace glauca</x:v>
      </x:c>
      <x:c r="F3" s="46" t="str">
        <x:v>Blue shark</x:v>
      </x:c>
      <x:c r="G3" s="46" t="str">
        <x:v>Large sharks (&gt;=90 cm)</x:v>
      </x:c>
      <x:c r="H3" s="46" t="str">
        <x:v>Sharks &amp; rays</x:v>
      </x:c>
      <x:c r="I3" s="60" t="n">
        <x:v>46.3154993586</x:v>
      </x:c>
      <x:c r="J3" s="60" t="n">
        <x:v>0</x:v>
      </x:c>
      <x:c r="K3" s="60" t="n">
        <x:v>46.3154993586</x:v>
      </x:c>
      <x:c r="L3" s="60" t="n">
        <x:v>0</x:v>
      </x:c>
      <x:c r="M3" s="60" t="n">
        <x:v>46.3154993586</x:v>
      </x:c>
      <x:c r="N3" s="46" t="str">
        <x:v>prionace glauca</x:v>
      </x:c>
      <x:c r="O3" s="62" t="n">
        <x:v>4.35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Prionace glauca</x:v>
      </x:c>
      <x:c r="T3" s="62" t="n">
        <x:f>IF(O3="","",(1/'Metadata'!$B$5)^(O3-1))</x:f>
        <x:v>2238.7211385683377</x:v>
      </x:c>
      <x:c r="U3" s="60" t="n">
        <x:f>IF(T3="","",I3*T3)</x:f>
        <x:v>103687.4874574461</x:v>
      </x:c>
    </x:row>
    <x:row r="4" ht="18" customHeight="1">
      <x:c r="A4" s="46" t="str">
        <x:v>HS_067</x:v>
      </x:c>
      <x:c r="B4" s="46" t="str">
        <x:v>Pacific, Northeast</x:v>
      </x:c>
      <x:c r="C4" s="46" t="str">
        <x:v>High Seas</x:v>
      </x:c>
      <x:c r="D4" s="58" t="n">
        <x:v>2019</x:v>
      </x:c>
      <x:c r="E4" s="46" t="str">
        <x:v>Elasmobranchii</x:v>
      </x:c>
      <x:c r="F4" s="46" t="str">
        <x:v>Sharks, rays, skates</x:v>
      </x:c>
      <x:c r="G4" s="46" t="str">
        <x:v>Large sharks (&gt;=90 cm)</x:v>
      </x:c>
      <x:c r="H4" s="46" t="str">
        <x:v>Sharks &amp; rays</x:v>
      </x:c>
      <x:c r="I4" s="60" t="n">
        <x:v>45.259104008</x:v>
      </x:c>
      <x:c r="J4" s="60" t="n">
        <x:v>45.2576744264</x:v>
      </x:c>
      <x:c r="K4" s="60" t="n">
        <x:v>0.0014295815999999999</x:v>
      </x:c>
      <x:c r="L4" s="60" t="n">
        <x:v>45.2576744264</x:v>
      </x:c>
      <x:c r="M4" s="60" t="n">
        <x:v>0.0014295815999999999</x:v>
      </x:c>
      <x:c r="N4" s="46" t="str">
        <x:v>elasmobranchii</x:v>
      </x:c>
      <x:c r="O4" s="62" t="n">
        <x:v>4.05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Elasmobranchii</x:v>
      </x:c>
      <x:c r="T4" s="62" t="n">
        <x:f>IF(O4="","",(1/'Metadata'!$B$5)^(O4-1))</x:f>
        <x:v>1122.018454301963</x:v>
      </x:c>
      <x:c r="U4" s="60" t="n">
        <x:f>IF(T4="","",I4*T4)</x:f>
        <x:v>50781.54992214794</x:v>
      </x:c>
    </x:row>
    <x:row r="5" ht="18" customHeight="1">
      <x:c r="A5" s="46" t="str">
        <x:v>HS_067</x:v>
      </x:c>
      <x:c r="B5" s="46" t="str">
        <x:v>Pacific, Northeast</x:v>
      </x:c>
      <x:c r="C5" s="46" t="str">
        <x:v>High Seas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20.615099850300002</x:v>
      </x:c>
      <x:c r="J5" s="60" t="n">
        <x:v>0</x:v>
      </x:c>
      <x:c r="K5" s="60" t="n">
        <x:v>20.615099850300002</x:v>
      </x:c>
      <x:c r="L5" s="60" t="n">
        <x:v>0</x:v>
      </x:c>
      <x:c r="M5" s="60" t="n">
        <x:v>20.615099850300002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190.54607179632464</x:v>
      </x:c>
      <x:c r="U5" s="60" t="n">
        <x:f>IF(T5="","",I5*T5)</x:f>
        <x:v>3928.1262961636653</x:v>
      </x:c>
    </x:row>
    <x:row r="6" ht="18" customHeight="1">
      <x:c r="A6" s="46" t="str">
        <x:v>HS_067</x:v>
      </x:c>
      <x:c r="B6" s="46" t="str">
        <x:v>Pacific, Northeast</x:v>
      </x:c>
      <x:c r="C6" s="46" t="str">
        <x:v>High Seas</x:v>
      </x:c>
      <x:c r="D6" s="58" t="n">
        <x:v>2019</x:v>
      </x:c>
      <x:c r="E6" s="46" t="str">
        <x:v>Thunnus obesus</x:v>
      </x:c>
      <x:c r="F6" s="46" t="str">
        <x:v>Bigeye tuna</x:v>
      </x:c>
      <x:c r="G6" s="46" t="str">
        <x:v>Large pelagics (&gt;=90 cm)</x:v>
      </x:c>
      <x:c r="H6" s="46" t="str">
        <x:v>Tuna &amp; billfishes</x:v>
      </x:c>
      <x:c r="I6" s="60" t="n">
        <x:v>14.4422173504</x:v>
      </x:c>
      <x:c r="J6" s="60" t="n">
        <x:v>14.0730464082</x:v>
      </x:c>
      <x:c r="K6" s="60" t="n">
        <x:v>0.3691709422</x:v>
      </x:c>
      <x:c r="L6" s="60" t="n">
        <x:v>14.0730464082</x:v>
      </x:c>
      <x:c r="M6" s="60" t="n">
        <x:v>0.3691709422</x:v>
      </x:c>
      <x:c r="N6" s="46" t="str">
        <x:v>thunnus obesus</x:v>
      </x:c>
      <x:c r="O6" s="62" t="n">
        <x:v>4.49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obesus</x:v>
      </x:c>
      <x:c r="T6" s="62" t="n">
        <x:f>IF(O6="","",(1/'Metadata'!$B$5)^(O6-1))</x:f>
        <x:v>3090.295432513592</x:v>
      </x:c>
      <x:c r="U6" s="60" t="n">
        <x:f>IF(T6="","",I6*T6)</x:f>
        <x:v>44630.71831330967</x:v>
      </x:c>
    </x:row>
    <x:row r="7" ht="18" customHeight="1">
      <x:c r="A7" s="46" t="str">
        <x:v>HS_067</x:v>
      </x:c>
      <x:c r="B7" s="46" t="str">
        <x:v>Pacific, Northeast</x:v>
      </x:c>
      <x:c r="C7" s="46" t="str">
        <x:v>High Seas</x:v>
      </x:c>
      <x:c r="D7" s="58" t="n">
        <x:v>2019</x:v>
      </x:c>
      <x:c r="E7" s="46" t="str">
        <x:v>Marine pelagic fishes not identified</x:v>
      </x:c>
      <x:c r="F7" s="46" t="str">
        <x:v>Pelagic fishes</x:v>
      </x:c>
      <x:c r="G7" s="46" t="str">
        <x:v>Medium pelagics (30 - 89 cm)</x:v>
      </x:c>
      <x:c r="H7" s="46" t="str">
        <x:v>Other fishes &amp; inverts</x:v>
      </x:c>
      <x:c r="I7" s="60" t="n">
        <x:v>11.8019136371</x:v>
      </x:c>
      <x:c r="J7" s="60" t="n">
        <x:v>0.14994273349999998</x:v>
      </x:c>
      <x:c r="K7" s="60" t="n">
        <x:v>11.6519709036</x:v>
      </x:c>
      <x:c r="L7" s="60" t="n">
        <x:v>0.14994273349999998</x:v>
      </x:c>
      <x:c r="M7" s="60" t="n">
        <x:v>11.6519709036</x:v>
      </x:c>
      <x:c r="N7" s="46" t="str">
        <x:v>marine pelagic fishes not identified</x:v>
      </x:c>
      <x:c r="O7" s="62" t="n">
        <x:v>3.35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pelagic fishes not identified</x:v>
      </x:c>
      <x:c r="T7" s="62" t="n">
        <x:f>IF(O7="","",(1/'Metadata'!$B$5)^(O7-1))</x:f>
        <x:v>223.872113856834</x:v>
      </x:c>
      <x:c r="U7" s="60" t="n">
        <x:f>IF(T7="","",I7*T7)</x:f>
        <x:v>2642.119353493373</x:v>
      </x:c>
    </x:row>
    <x:row r="8" ht="18" customHeight="1">
      <x:c r="A8" s="46" t="str">
        <x:v>HS_067</x:v>
      </x:c>
      <x:c r="B8" s="46" t="str">
        <x:v>Pacific, Northeast</x:v>
      </x:c>
      <x:c r="C8" s="46" t="str">
        <x:v>High Seas</x:v>
      </x:c>
      <x:c r="D8" s="58" t="n">
        <x:v>2019</x:v>
      </x:c>
      <x:c r="E8" s="46" t="str">
        <x:v>Xiphias gladius</x:v>
      </x:c>
      <x:c r="F8" s="46" t="str">
        <x:v>Swordfish</x:v>
      </x:c>
      <x:c r="G8" s="46" t="str">
        <x:v>Large pelagics (&gt;=90 cm)</x:v>
      </x:c>
      <x:c r="H8" s="46" t="str">
        <x:v>Tuna &amp; billfishes</x:v>
      </x:c>
      <x:c r="I8" s="60" t="n">
        <x:v>9.4923856665</x:v>
      </x:c>
      <x:c r="J8" s="60" t="n">
        <x:v>1.9001113754</x:v>
      </x:c>
      <x:c r="K8" s="60" t="n">
        <x:v>7.5922742911</x:v>
      </x:c>
      <x:c r="L8" s="60" t="n">
        <x:v>1.9001113754</x:v>
      </x:c>
      <x:c r="M8" s="60" t="n">
        <x:v>7.5922742911</x:v>
      </x:c>
      <x:c r="N8" s="46" t="str">
        <x:v>xiphias gladius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Xiphias gladius</x:v>
      </x:c>
      <x:c r="T8" s="62" t="n">
        <x:f>IF(O8="","",(1/'Metadata'!$B$5)^(O8-1))</x:f>
        <x:v>3388.4415613920273</x:v>
      </x:c>
      <x:c r="U8" s="60" t="n">
        <x:f>IF(T8="","",I8*T8)</x:f>
        <x:v>32164.39410913056</x:v>
      </x:c>
    </x:row>
    <x:row r="9" ht="18" customHeight="1">
      <x:c r="A9" s="46" t="str">
        <x:v>HS_067</x:v>
      </x:c>
      <x:c r="B9" s="46" t="str">
        <x:v>Pacific, Northeast</x:v>
      </x:c>
      <x:c r="C9" s="46" t="str">
        <x:v>High Seas</x:v>
      </x:c>
      <x:c r="D9" s="58" t="n">
        <x:v>2019</x:v>
      </x:c>
      <x:c r="E9" s="46" t="str">
        <x:v>Scombridae</x:v>
      </x:c>
      <x:c r="F9" s="46" t="str">
        <x:v>Mackerels, tunas, bonitos</x:v>
      </x:c>
      <x:c r="G9" s="46" t="str">
        <x:v>Medium pelagics (30 - 89 cm)</x:v>
      </x:c>
      <x:c r="H9" s="46" t="str">
        <x:v>Perch-likes</x:v>
      </x:c>
      <x:c r="I9" s="60" t="n">
        <x:v>5.390235908999999</x:v>
      </x:c>
      <x:c r="J9" s="60" t="n">
        <x:v>0</x:v>
      </x:c>
      <x:c r="K9" s="60" t="n">
        <x:v>5.390235908999999</x:v>
      </x:c>
      <x:c r="L9" s="60" t="n">
        <x:v>0</x:v>
      </x:c>
      <x:c r="M9" s="60" t="n">
        <x:v>5.390235908999999</x:v>
      </x:c>
      <x:c r="N9" s="46" t="str">
        <x:v>scombridae</x:v>
      </x:c>
      <x:c r="O9" s="62" t="n">
        <x:v>4.26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Scombridae</x:v>
      </x:c>
      <x:c r="T9" s="62" t="n">
        <x:f>IF(O9="","",(1/'Metadata'!$B$5)^(O9-1))</x:f>
        <x:v>1819.7008586099826</x:v>
      </x:c>
      <x:c r="U9" s="60" t="n">
        <x:f>IF(T9="","",I9*T9)</x:f>
        <x:v>9808.61691171766</x:v>
      </x:c>
    </x:row>
    <x:row r="10" ht="18" customHeight="1">
      <x:c r="A10" s="46" t="str">
        <x:v>HS_067</x:v>
      </x:c>
      <x:c r="B10" s="46" t="str">
        <x:v>Pacific, Northeast</x:v>
      </x:c>
      <x:c r="C10" s="46" t="str">
        <x:v>High Seas</x:v>
      </x:c>
      <x:c r="D10" s="58" t="n">
        <x:v>2019</x:v>
      </x:c>
      <x:c r="E10" s="46" t="str">
        <x:v>Isurus</x:v>
      </x:c>
      <x:c r="F10" s="46" t="str">
        <x:v>Mako sharks</x:v>
      </x:c>
      <x:c r="G10" s="46" t="str">
        <x:v>Large sharks (&gt;=90 cm)</x:v>
      </x:c>
      <x:c r="H10" s="46" t="str">
        <x:v>Sharks &amp; rays</x:v>
      </x:c>
      <x:c r="I10" s="60" t="n">
        <x:v>5.3885250996</x:v>
      </x:c>
      <x:c r="J10" s="60" t="n">
        <x:v>0</x:v>
      </x:c>
      <x:c r="K10" s="60" t="n">
        <x:v>5.3885250996</x:v>
      </x:c>
      <x:c r="L10" s="60" t="n">
        <x:v>0</x:v>
      </x:c>
      <x:c r="M10" s="60" t="n">
        <x:v>5.3885250996</x:v>
      </x:c>
      <x:c r="N10" s="46" t="str">
        <x:v>isurus</x:v>
      </x:c>
      <x:c r="O10" s="62" t="n">
        <x:v>4.5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Isurus</x:v>
      </x:c>
      <x:c r="T10" s="62" t="n">
        <x:f>IF(O10="","",(1/'Metadata'!$B$5)^(O10-1))</x:f>
        <x:v>3162.2776601683795</x:v>
      </x:c>
      <x:c r="U10" s="60" t="n">
        <x:f>IF(T10="","",I10*T10)</x:f>
        <x:v>17040.01254372167</x:v>
      </x:c>
    </x:row>
    <x:row r="11" ht="18" customHeight="1">
      <x:c r="A11" s="46" t="str">
        <x:v>HS_067</x:v>
      </x:c>
      <x:c r="B11" s="46" t="str">
        <x:v>Pacific, Northeast</x:v>
      </x:c>
      <x:c r="C11" s="46" t="str">
        <x:v>High Seas</x:v>
      </x:c>
      <x:c r="D11" s="58" t="n">
        <x:v>2019</x:v>
      </x:c>
      <x:c r="E11" s="46" t="str">
        <x:v>Thunnus albacares</x:v>
      </x:c>
      <x:c r="F11" s="46" t="str">
        <x:v>Yellowfin tuna</x:v>
      </x:c>
      <x:c r="G11" s="46" t="str">
        <x:v>Large pelagics (&gt;=90 cm)</x:v>
      </x:c>
      <x:c r="H11" s="46" t="str">
        <x:v>Tuna &amp; billfishes</x:v>
      </x:c>
      <x:c r="I11" s="60" t="n">
        <x:v>5.1379067947</x:v>
      </x:c>
      <x:c r="J11" s="60" t="n">
        <x:v>4.4511383345999995</x:v>
      </x:c>
      <x:c r="K11" s="60" t="n">
        <x:v>0.6867684601</x:v>
      </x:c>
      <x:c r="L11" s="60" t="n">
        <x:v>4.4511383345999995</x:v>
      </x:c>
      <x:c r="M11" s="60" t="n">
        <x:v>0.6867684601</x:v>
      </x:c>
      <x:c r="N11" s="46" t="str">
        <x:v>thunnus albacares</x:v>
      </x:c>
      <x:c r="O11" s="62" t="n">
        <x:v>4.41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Thunnus albacares</x:v>
      </x:c>
      <x:c r="T11" s="62" t="n">
        <x:f>IF(O11="","",(1/'Metadata'!$B$5)^(O11-1))</x:f>
        <x:v>2570.3957827688646</x:v>
      </x:c>
      <x:c r="U11" s="60" t="n">
        <x:f>IF(T11="","",I11*T11)</x:f>
        <x:v>13206.453957356374</x:v>
      </x:c>
    </x:row>
    <x:row r="12" ht="18" customHeight="1">
      <x:c r="A12" s="46" t="str">
        <x:v>HS_067</x:v>
      </x:c>
      <x:c r="B12" s="46" t="str">
        <x:v>Pacific, Northeast</x:v>
      </x:c>
      <x:c r="C12" s="46" t="str">
        <x:v>High Seas</x:v>
      </x:c>
      <x:c r="D12" s="58" t="n">
        <x:v>2019</x:v>
      </x:c>
      <x:c r="E12" s="46" t="str">
        <x:v>Kajikia audax</x:v>
      </x:c>
      <x:c r="F12" s="46" t="str">
        <x:v>Striped marlin</x:v>
      </x:c>
      <x:c r="G12" s="46" t="str">
        <x:v>Large pelagics (&gt;=90 cm)</x:v>
      </x:c>
      <x:c r="H12" s="46" t="str">
        <x:v>Tuna &amp; billfishes</x:v>
      </x:c>
      <x:c r="I12" s="60" t="n">
        <x:v>2.4566723779</x:v>
      </x:c>
      <x:c r="J12" s="60" t="n">
        <x:v>2.4566723779</x:v>
      </x:c>
      <x:c r="K12" s="60" t="n">
        <x:v>0</x:v>
      </x:c>
      <x:c r="L12" s="60" t="n">
        <x:v>2.4566723779</x:v>
      </x:c>
      <x:c r="M12" s="60" t="n">
        <x:v>0</x:v>
      </x:c>
      <x:c r="N12" s="46" t="str">
        <x:v>kajikia audax</x:v>
      </x:c>
      <x:c r="O12" s="62" t="n">
        <x:v>4.58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Kajikia audax</x:v>
      </x:c>
      <x:c r="T12" s="62" t="n">
        <x:f>IF(O12="","",(1/'Metadata'!$B$5)^(O12-1))</x:f>
        <x:v>3801.8939632056126</x:v>
      </x:c>
      <x:c r="U12" s="60" t="n">
        <x:f>IF(T12="","",I12*T12)</x:f>
        <x:v>9340.007883111988</x:v>
      </x:c>
    </x:row>
    <x:row r="13" ht="18" customHeight="1">
      <x:c r="A13" s="46" t="str">
        <x:v>HS_067</x:v>
      </x:c>
      <x:c r="B13" s="46" t="str">
        <x:v>Pacific, Northeast</x:v>
      </x:c>
      <x:c r="C13" s="46" t="str">
        <x:v>High Seas</x:v>
      </x:c>
      <x:c r="D13" s="58" t="n">
        <x:v>2019</x:v>
      </x:c>
      <x:c r="E13" s="46" t="str">
        <x:v>Istiophoridae</x:v>
      </x:c>
      <x:c r="F13" s="46" t="str">
        <x:v>Billfishes</x:v>
      </x:c>
      <x:c r="G13" s="46" t="str">
        <x:v>Large pelagics (&gt;=90 cm)</x:v>
      </x:c>
      <x:c r="H13" s="46" t="str">
        <x:v>Tuna &amp; billfishes</x:v>
      </x:c>
      <x:c r="I13" s="60" t="n">
        <x:v>1.4220674051</x:v>
      </x:c>
      <x:c r="J13" s="60" t="n">
        <x:v>0.2554043463</x:v>
      </x:c>
      <x:c r="K13" s="60" t="n">
        <x:v>1.1666630588</x:v>
      </x:c>
      <x:c r="L13" s="60" t="n">
        <x:v>0.2554043463</x:v>
      </x:c>
      <x:c r="M13" s="60" t="n">
        <x:v>1.1666630588</x:v>
      </x:c>
      <x:c r="N13" s="46" t="str">
        <x:v>istiophoridae</x:v>
      </x:c>
      <x:c r="O13" s="62" t="n">
        <x:v>4.48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Istiophoridae</x:v>
      </x:c>
      <x:c r="T13" s="62" t="n">
        <x:f>IF(O13="","",(1/'Metadata'!$B$5)^(O13-1))</x:f>
        <x:v>3019.951720402019</x:v>
      </x:c>
      <x:c r="U13" s="60" t="n">
        <x:f>IF(T13="","",I13*T13)</x:f>
        <x:v>4294.57490655938</x:v>
      </x:c>
    </x:row>
    <x:row r="14" ht="18" customHeight="1">
      <x:c r="A14" s="46" t="str">
        <x:v>HS_067</x:v>
      </x:c>
      <x:c r="B14" s="46" t="str">
        <x:v>Pacific, Northeast</x:v>
      </x:c>
      <x:c r="C14" s="46" t="str">
        <x:v>High Seas</x:v>
      </x:c>
      <x:c r="D14" s="58" t="n">
        <x:v>2019</x:v>
      </x:c>
      <x:c r="E14" s="46" t="str">
        <x:v>Katsuwonus pelamis</x:v>
      </x:c>
      <x:c r="F14" s="46" t="str">
        <x:v>Skipjack tuna</x:v>
      </x:c>
      <x:c r="G14" s="46" t="str">
        <x:v>Large pelagics (&gt;=90 cm)</x:v>
      </x:c>
      <x:c r="H14" s="46" t="str">
        <x:v>Tuna &amp; billfishes</x:v>
      </x:c>
      <x:c r="I14" s="60" t="n">
        <x:v>0.3566784183</x:v>
      </x:c>
      <x:c r="J14" s="60" t="n">
        <x:v>0.3566784183</x:v>
      </x:c>
      <x:c r="K14" s="60" t="n">
        <x:v>0</x:v>
      </x:c>
      <x:c r="L14" s="60" t="n">
        <x:v>0.3566784183</x:v>
      </x:c>
      <x:c r="M14" s="60" t="n">
        <x:v>0</x:v>
      </x:c>
      <x:c r="N14" s="46" t="str">
        <x:v>katsuwonus pelamis</x:v>
      </x:c>
      <x:c r="O14" s="62" t="n">
        <x:v>4.43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Katsuwonus pelamis</x:v>
      </x:c>
      <x:c r="T14" s="62" t="n">
        <x:f>IF(O14="","",(1/'Metadata'!$B$5)^(O14-1))</x:f>
        <x:v>2691.534803926914</x:v>
      </x:c>
      <x:c r="U14" s="60" t="n">
        <x:f>IF(T14="","",I14*T14)</x:f>
        <x:v>960.0123766640523</x:v>
      </x:c>
    </x:row>
    <x:row r="15" ht="18" customHeight="1">
      <x:c r="A15" s="46" t="str">
        <x:v>HS_067</x:v>
      </x:c>
      <x:c r="B15" s="46" t="str">
        <x:v>Pacific, Northeast</x:v>
      </x:c>
      <x:c r="C15" s="46" t="str">
        <x:v>High Seas</x:v>
      </x:c>
      <x:c r="D15" s="58" t="n">
        <x:v>2019</x:v>
      </x:c>
      <x:c r="E15" s="46" t="str">
        <x:v>Alopias</x:v>
      </x:c>
      <x:c r="F15" s="46" t="str">
        <x:v>Thresher sharks</x:v>
      </x:c>
      <x:c r="G15" s="46" t="str">
        <x:v>Large sharks (&gt;=90 cm)</x:v>
      </x:c>
      <x:c r="H15" s="46" t="str">
        <x:v>Sharks &amp; rays</x:v>
      </x:c>
      <x:c r="I15" s="60" t="n">
        <x:v>0.0168122533</x:v>
      </x:c>
      <x:c r="J15" s="60" t="n">
        <x:v>0</x:v>
      </x:c>
      <x:c r="K15" s="60" t="n">
        <x:v>0.0168122533</x:v>
      </x:c>
      <x:c r="L15" s="60" t="n">
        <x:v>0</x:v>
      </x:c>
      <x:c r="M15" s="60" t="n">
        <x:v>0.0168122533</x:v>
      </x:c>
      <x:c r="N15" s="46" t="str">
        <x:v>alopias</x:v>
      </x:c>
      <x:c r="O15" s="62" t="n">
        <x:v>4.5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Alopias</x:v>
      </x:c>
      <x:c r="T15" s="62" t="n">
        <x:f>IF(O15="","",(1/'Metadata'!$B$5)^(O15-1))</x:f>
        <x:v>3162.2776601683795</x:v>
      </x:c>
      <x:c r="U15" s="60" t="n">
        <x:f>IF(T15="","",I15*T15)</x:f>
        <x:v>53.165013027682114</x:v>
      </x:c>
    </x:row>
    <x:row r="16" ht="18" customHeight="1">
      <x:c r="A16" s="46" t="str">
        <x:v>HS_067</x:v>
      </x:c>
      <x:c r="B16" s="46" t="str">
        <x:v>Pacific, Northeast</x:v>
      </x:c>
      <x:c r="C16" s="46" t="str">
        <x:v>High Seas</x:v>
      </x:c>
      <x:c r="D16" s="58" t="n">
        <x:v>2019</x:v>
      </x:c>
      <x:c r="E16" s="46" t="str">
        <x:v>Thunnus orientalis</x:v>
      </x:c>
      <x:c r="F16" s="46" t="str">
        <x:v>Pacific bluefin tuna</x:v>
      </x:c>
      <x:c r="G16" s="46" t="str">
        <x:v>Large pelagics (&gt;=90 cm)</x:v>
      </x:c>
      <x:c r="H16" s="46" t="str">
        <x:v>Tuna &amp; billfishes</x:v>
      </x:c>
      <x:c r="I16" s="60" t="n">
        <x:v>0.0030567733</x:v>
      </x:c>
      <x:c r="J16" s="60" t="n">
        <x:v>0</x:v>
      </x:c>
      <x:c r="K16" s="60" t="n">
        <x:v>0.0030567733</x:v>
      </x:c>
      <x:c r="L16" s="60" t="n">
        <x:v>0</x:v>
      </x:c>
      <x:c r="M16" s="60" t="n">
        <x:v>0.0030567733</x:v>
      </x:c>
      <x:c r="N16" s="46" t="str">
        <x:v>thunnus orientalis</x:v>
      </x:c>
      <x:c r="O16" s="62" t="n">
        <x:v>4.05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Thunnus orientalis</x:v>
      </x:c>
      <x:c r="T16" s="62" t="n">
        <x:f>IF(O16="","",(1/'Metadata'!$B$5)^(O16-1))</x:f>
        <x:v>1122.018454301963</x:v>
      </x:c>
      <x:c r="U16" s="60" t="n">
        <x:f>IF(T16="","",I16*T16)</x:f>
        <x:v>3.4297560532175106</x:v>
      </x:c>
    </x:row>
    <x:row r="17" ht="18" customHeight="1">
      <x:c r="A17" s="46" t="str">
        <x:v>HS_067</x:v>
      </x:c>
      <x:c r="B17" s="46" t="str">
        <x:v>Pacific, Northeast</x:v>
      </x:c>
      <x:c r="C17" s="46" t="str">
        <x:v>High Seas</x:v>
      </x:c>
      <x:c r="D17" s="58" t="n">
        <x:v>2019</x:v>
      </x:c>
      <x:c r="E17" s="46" t="str">
        <x:v>Carangidae</x:v>
      </x:c>
      <x:c r="F17" s="46" t="str">
        <x:v>Jacks, pompanos</x:v>
      </x:c>
      <x:c r="G17" s="46" t="str">
        <x:v>Medium pelagics (30 - 89 cm)</x:v>
      </x:c>
      <x:c r="H17" s="46" t="str">
        <x:v>Perch-likes</x:v>
      </x:c>
      <x:c r="I17" s="60" t="n">
        <x:v>0.0012051393</x:v>
      </x:c>
      <x:c r="J17" s="60" t="n">
        <x:v>0.0003138984</x:v>
      </x:c>
      <x:c r="K17" s="60" t="n">
        <x:v>0.0008912409</x:v>
      </x:c>
      <x:c r="L17" s="60" t="n">
        <x:v>0.0003138984</x:v>
      </x:c>
      <x:c r="M17" s="60" t="n">
        <x:v>0.0008912409</x:v>
      </x:c>
      <x:c r="N17" s="46" t="str">
        <x:v>carangidae</x:v>
      </x:c>
      <x:c r="O17" s="62" t="n">
        <x:v>4.05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Carangidae</x:v>
      </x:c>
      <x:c r="T17" s="62" t="n">
        <x:f>IF(O17="","",(1/'Metadata'!$B$5)^(O17-1))</x:f>
        <x:v>1122.018454301963</x:v>
      </x:c>
      <x:c r="U17" s="60" t="n">
        <x:f>IF(T17="","",I17*T17)</x:f>
        <x:v>1.3521885346045495</x:v>
      </x:c>
    </x:row>
  </x:sheetData>
  <x:conditionalFormatting sqref="R2:R1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ae96ec9af64f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32.4170134874</x:v>
      </x:c>
      <x:c r="E2" s="60" t="n">
        <x:v>32.4170134874</x:v>
      </x:c>
      <x:c r="F2" s="62" t="n">
        <x:v>0</x:v>
      </x:c>
      <x:c r="G2" s="66" t="n">
        <x:v>1</x:v>
      </x:c>
      <x:c r="H2" s="62" t="n">
        <x:f>IF(E2=0,"",I2/E2)</x:f>
        <x:v>202.6789313028726</x:v>
      </x:c>
      <x:c r="I2" s="60" t="n">
        <x:f>SUMIF('Species'!$H$2:$H$17,A2,'Species'!$U$2:$U$17)</x:f>
        <x:v>6570.2456496570385</x:v>
      </x:c>
      <x:c r="J2" s="62" t="n">
        <x:v>3.30548457941439</x:v>
      </x:c>
      <x:c r="K2" s="62" t="n">
        <x:f>IF(J2="","",(1/'Metadata'!$B$5)^(J2-1))</x:f>
        <x:v>202.06196841499147</x:v>
      </x:c>
      <x:c r="L2" s="60" t="n">
        <x:f>IF(E2=0,"",E2*K2)</x:f>
        <x:v>6550.245555399371</x:v>
      </x:c>
      <x:c r="M2" s="60" t="n">
        <x:f>I2-L2</x:f>
        <x:v>20.000094257667115</x:v>
      </x:c>
      <x:c r="N2" s="62" t="n">
        <x:f>IF(L2=0,"",I2/L2)</x:f>
        <x:v>1.0030533350373683</x:v>
      </x:c>
      <x:c r="O2" s="66" t="n">
        <x:f>IF(L2=0,"",M2/L2)</x:f>
        <x:v>0.0030533350373683358</x:v>
      </x:c>
    </x:row>
    <x:row r="3" ht="18" customHeight="1">
      <x:c r="A3" s="46" t="str">
        <x:v>Perch-likes</x:v>
      </x:c>
      <x:c r="B3" s="64" t="n">
        <x:v>2</x:v>
      </x:c>
      <x:c r="C3" s="64" t="n">
        <x:v>2</x:v>
      </x:c>
      <x:c r="D3" s="60" t="n">
        <x:v>5.391441048299999</x:v>
      </x:c>
      <x:c r="E3" s="60" t="n">
        <x:v>5.391441048299999</x:v>
      </x:c>
      <x:c r="F3" s="62" t="n">
        <x:v>0</x:v>
      </x:c>
      <x:c r="G3" s="66" t="n">
        <x:v>1</x:v>
      </x:c>
      <x:c r="H3" s="62" t="n">
        <x:f>IF(E3=0,"",I3/E3)</x:f>
        <x:v>1819.5449068937687</x:v>
      </x:c>
      <x:c r="I3" s="60" t="n">
        <x:f>SUMIF('Species'!$H$2:$H$17,A3,'Species'!$U$2:$U$17)</x:f>
        <x:v>9809.969100252265</x:v>
      </x:c>
      <x:c r="J3" s="62" t="n">
        <x:v>4.259953059070713</x:v>
      </x:c>
      <x:c r="K3" s="62" t="n">
        <x:f>IF(J3="","",(1/'Metadata'!$B$5)^(J3-1))</x:f>
        <x:v>1819.5041859908147</x:v>
      </x:c>
      <x:c r="L3" s="60" t="n">
        <x:f>IF(E3=0,"",E3*K3)</x:f>
        <x:v>9809.749555904555</x:v>
      </x:c>
      <x:c r="M3" s="60" t="n">
        <x:f>I3-L3</x:f>
        <x:v>0.21954434771032538</x:v>
      </x:c>
      <x:c r="N3" s="62" t="n">
        <x:f>IF(L3=0,"",I3/L3)</x:f>
        <x:v>1.0000223802194397</x:v>
      </x:c>
      <x:c r="O3" s="66" t="n">
        <x:f>IF(L3=0,"",M3/L3)</x:f>
        <x:v>0.000022380219439769506</x:v>
      </x:c>
    </x:row>
    <x:row r="4" ht="18" customHeight="1">
      <x:c r="A4" s="46" t="str">
        <x:v>Sharks &amp; rays</x:v>
      </x:c>
      <x:c r="B4" s="64" t="n">
        <x:v>4</x:v>
      </x:c>
      <x:c r="C4" s="64" t="n">
        <x:v>4</x:v>
      </x:c>
      <x:c r="D4" s="60" t="n">
        <x:v>96.97994071950001</x:v>
      </x:c>
      <x:c r="E4" s="60" t="n">
        <x:v>96.97994071950001</x:v>
      </x:c>
      <x:c r="F4" s="62" t="n">
        <x:v>0</x:v>
      </x:c>
      <x:c r="G4" s="66" t="n">
        <x:v>1</x:v>
      </x:c>
      <x:c r="H4" s="62" t="n">
        <x:f>IF(E4=0,"",I4/E4)</x:f>
        <x:v>1769.048461604668</x:v>
      </x:c>
      <x:c r="I4" s="60" t="n">
        <x:f>SUMIF('Species'!$H$2:$H$17,A4,'Species'!$U$2:$U$17)</x:f>
        <x:v>171562.2149363434</x:v>
      </x:c>
      <x:c r="J4" s="62" t="n">
        <x:v>4.2183549350025755</x:v>
      </x:c>
      <x:c r="K4" s="62" t="n">
        <x:f>IF(J4="","",(1/'Metadata'!$B$5)^(J4-1))</x:f>
        <x:v>1653.3124456650928</x:v>
      </x:c>
      <x:c r="L4" s="60" t="n">
        <x:f>IF(E4=0,"",E4*K4)</x:f>
        <x:v>160338.14297141228</x:v>
      </x:c>
      <x:c r="M4" s="60" t="n">
        <x:f>I4-L4</x:f>
        <x:v>11224.071964931121</x:v>
      </x:c>
      <x:c r="N4" s="62" t="n">
        <x:f>IF(L4=0,"",I4/L4)</x:f>
        <x:v>1.0700025069326913</x:v>
      </x:c>
      <x:c r="O4" s="66" t="n">
        <x:f>IF(L4=0,"",M4/L4)</x:f>
        <x:v>0.07000250693269121</x:v>
      </x:c>
    </x:row>
    <x:row r="5" ht="18" customHeight="1">
      <x:c r="A5" s="46" t="str">
        <x:v>Tuna &amp; billfishes</x:v>
      </x:c>
      <x:c r="B5" s="64" t="n">
        <x:v>8</x:v>
      </x:c>
      <x:c r="C5" s="64" t="n">
        <x:v>8</x:v>
      </x:c>
      <x:c r="D5" s="60" t="n">
        <x:v>267.5030001535</x:v>
      </x:c>
      <x:c r="E5" s="60" t="n">
        <x:v>267.5030001535</x:v>
      </x:c>
      <x:c r="F5" s="62" t="n">
        <x:v>0</x:v>
      </x:c>
      <x:c r="G5" s="66" t="n">
        <x:v>1</x:v>
      </x:c>
      <x:c r="H5" s="62" t="n">
        <x:f>IF(E5=0,"",I5/E5)</x:f>
        <x:v>2137.823103677401</x:v>
      </x:c>
      <x:c r="I5" s="60" t="n">
        <x:f>SUMIF('Species'!$H$2:$H$17,A5,'Species'!$U$2:$U$17)</x:f>
        <x:v>571874.0940311716</x:v>
      </x:c>
      <x:c r="J5" s="62" t="n">
        <x:v>4.324231070841645</x:v>
      </x:c>
      <x:c r="K5" s="62" t="n">
        <x:f>IF(J5="","",(1/'Metadata'!$B$5)^(J5-1))</x:f>
        <x:v>2109.7503657241996</x:v>
      </x:c>
      <x:c r="L5" s="60" t="n">
        <x:f>IF(E5=0,"",E5*K5)</x:f>
        <x:v>564364.5524061673</x:v>
      </x:c>
      <x:c r="M5" s="60" t="n">
        <x:f>I5-L5</x:f>
        <x:v>7509.541625004378</x:v>
      </x:c>
      <x:c r="N5" s="62" t="n">
        <x:f>IF(L5=0,"",I5/L5)</x:f>
        <x:v>1.0133061894000739</x:v>
      </x:c>
      <x:c r="O5" s="66" t="n">
        <x:f>IF(L5=0,"",M5/L5)</x:f>
        <x:v>0.013306189400073873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71020e45b514d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8</x:v>
      </x:c>
      <x:c r="C2" s="64" t="n">
        <x:v>8</x:v>
      </x:c>
      <x:c r="D2" s="60" t="n">
        <x:v>267.5030001535</x:v>
      </x:c>
      <x:c r="E2" s="60" t="n">
        <x:v>267.5030001535</x:v>
      </x:c>
      <x:c r="F2" s="62" t="n">
        <x:v>0</x:v>
      </x:c>
      <x:c r="G2" s="66" t="n">
        <x:v>1</x:v>
      </x:c>
      <x:c r="H2" s="62" t="n">
        <x:f>IF(E2=0,"",I2/E2)</x:f>
        <x:v>2137.823103677401</x:v>
      </x:c>
      <x:c r="I2" s="60" t="n">
        <x:f>SUMIF('Species'!$G$2:$G$17,A2,'Species'!$U$2:$U$17)</x:f>
        <x:v>571874.0940311716</x:v>
      </x:c>
      <x:c r="J2" s="62" t="n">
        <x:v>4.324231070841645</x:v>
      </x:c>
      <x:c r="K2" s="62" t="n">
        <x:f>IF(J2="","",(1/'Metadata'!$B$5)^(J2-1))</x:f>
        <x:v>2109.7503657241996</x:v>
      </x:c>
      <x:c r="L2" s="60" t="n">
        <x:f>IF(E2=0,"",E2*K2)</x:f>
        <x:v>564364.5524061673</x:v>
      </x:c>
      <x:c r="M2" s="60" t="n">
        <x:f>I2-L2</x:f>
        <x:v>7509.541625004378</x:v>
      </x:c>
      <x:c r="N2" s="62" t="n">
        <x:f>IF(L2=0,"",I2/L2)</x:f>
        <x:v>1.0133061894000739</x:v>
      </x:c>
      <x:c r="O2" s="66" t="n">
        <x:f>IF(L2=0,"",M2/L2)</x:f>
        <x:v>0.013306189400073873</x:v>
      </x:c>
    </x:row>
    <x:row r="3" ht="18" customHeight="1">
      <x:c r="A3" s="46" t="str">
        <x:v>Large sharks (&gt;=90 cm)</x:v>
      </x:c>
      <x:c r="B3" s="64" t="n">
        <x:v>4</x:v>
      </x:c>
      <x:c r="C3" s="64" t="n">
        <x:v>4</x:v>
      </x:c>
      <x:c r="D3" s="60" t="n">
        <x:v>96.97994071950001</x:v>
      </x:c>
      <x:c r="E3" s="60" t="n">
        <x:v>96.97994071950001</x:v>
      </x:c>
      <x:c r="F3" s="62" t="n">
        <x:v>0</x:v>
      </x:c>
      <x:c r="G3" s="66" t="n">
        <x:v>1</x:v>
      </x:c>
      <x:c r="H3" s="62" t="n">
        <x:f>IF(E3=0,"",I3/E3)</x:f>
        <x:v>1769.048461604668</x:v>
      </x:c>
      <x:c r="I3" s="60" t="n">
        <x:f>SUMIF('Species'!$G$2:$G$17,A3,'Species'!$U$2:$U$17)</x:f>
        <x:v>171562.2149363434</x:v>
      </x:c>
      <x:c r="J3" s="62" t="n">
        <x:v>4.2183549350025755</x:v>
      </x:c>
      <x:c r="K3" s="62" t="n">
        <x:f>IF(J3="","",(1/'Metadata'!$B$5)^(J3-1))</x:f>
        <x:v>1653.3124456650928</x:v>
      </x:c>
      <x:c r="L3" s="60" t="n">
        <x:f>IF(E3=0,"",E3*K3)</x:f>
        <x:v>160338.14297141228</x:v>
      </x:c>
      <x:c r="M3" s="60" t="n">
        <x:f>I3-L3</x:f>
        <x:v>11224.071964931121</x:v>
      </x:c>
      <x:c r="N3" s="62" t="n">
        <x:f>IF(L3=0,"",I3/L3)</x:f>
        <x:v>1.0700025069326913</x:v>
      </x:c>
      <x:c r="O3" s="66" t="n">
        <x:f>IF(L3=0,"",M3/L3)</x:f>
        <x:v>0.07000250693269121</x:v>
      </x:c>
    </x:row>
    <x:row r="4" ht="18" customHeight="1">
      <x:c r="A4" s="46" t="str">
        <x:v>Medium demersals (30 - 89 cm)</x:v>
      </x:c>
      <x:c r="B4" s="64" t="n">
        <x:v>1</x:v>
      </x:c>
      <x:c r="C4" s="64" t="n">
        <x:v>1</x:v>
      </x:c>
      <x:c r="D4" s="60" t="n">
        <x:v>20.615099850300002</x:v>
      </x:c>
      <x:c r="E4" s="60" t="n">
        <x:v>20.615099850300002</x:v>
      </x:c>
      <x:c r="F4" s="62" t="n">
        <x:v>0</x:v>
      </x:c>
      <x:c r="G4" s="66" t="n">
        <x:v>1</x:v>
      </x:c>
      <x:c r="H4" s="62" t="n">
        <x:f>IF(E4=0,"",I4/E4)</x:f>
        <x:v>190.54607179632464</x:v>
      </x:c>
      <x:c r="I4" s="60" t="n">
        <x:f>SUMIF('Species'!$G$2:$G$17,A4,'Species'!$U$2:$U$17)</x:f>
        <x:v>3928.1262961636653</x:v>
      </x:c>
      <x:c r="J4" s="62" t="n">
        <x:v>3.2799999999999994</x:v>
      </x:c>
      <x:c r="K4" s="62" t="n">
        <x:f>IF(J4="","",(1/'Metadata'!$B$5)^(J4-1))</x:f>
        <x:v>190.54607179632444</x:v>
      </x:c>
      <x:c r="L4" s="60" t="n">
        <x:f>IF(E4=0,"",E4*K4)</x:f>
        <x:v>3928.126296163661</x:v>
      </x:c>
      <x:c r="M4" s="60" t="n">
        <x:f>I4-L4</x:f>
        <x:v>4.092726157978177e-12</x:v>
      </x:c>
      <x:c r="N4" s="62" t="n">
        <x:f>IF(L4=0,"",I4/L4)</x:f>
        <x:v>1.000000000000001</x:v>
      </x:c>
      <x:c r="O4" s="66" t="n">
        <x:f>IF(L4=0,"",M4/L4)</x:f>
        <x:v>1.0419028945111235e-15</x:v>
      </x:c>
    </x:row>
    <x:row r="5" ht="18" customHeight="1">
      <x:c r="A5" s="46" t="str">
        <x:v>Medium pelagics (30 - 89 cm)</x:v>
      </x:c>
      <x:c r="B5" s="64" t="n">
        <x:v>3</x:v>
      </x:c>
      <x:c r="C5" s="64" t="n">
        <x:v>3</x:v>
      </x:c>
      <x:c r="D5" s="60" t="n">
        <x:v>17.1933546854</x:v>
      </x:c>
      <x:c r="E5" s="60" t="n">
        <x:v>17.1933546854</x:v>
      </x:c>
      <x:c r="F5" s="62" t="n">
        <x:v>0</x:v>
      </x:c>
      <x:c r="G5" s="66" t="n">
        <x:v>1</x:v>
      </x:c>
      <x:c r="H5" s="62" t="n">
        <x:f>IF(E5=0,"",I5/E5)</x:f>
        <x:v>724.2384445380819</x:v>
      </x:c>
      <x:c r="I5" s="60" t="n">
        <x:f>SUMIF('Species'!$G$2:$G$17,A5,'Species'!$U$2:$U$17)</x:f>
        <x:v>12452.088453745639</x:v>
      </x:c>
      <x:c r="J5" s="62" t="n">
        <x:v>3.6353403750732816</x:v>
      </x:c>
      <x:c r="K5" s="62" t="n">
        <x:f>IF(J5="","",(1/'Metadata'!$B$5)^(J5-1))</x:f>
        <x:v>431.8574092633886</x:v>
      </x:c>
      <x:c r="L5" s="60" t="n">
        <x:f>IF(E5=0,"",E5*K5)</x:f>
        <x:v>7425.077610983388</x:v>
      </x:c>
      <x:c r="M5" s="60" t="n">
        <x:f>I5-L5</x:f>
        <x:v>5027.010842762251</x:v>
      </x:c>
      <x:c r="N5" s="62" t="n">
        <x:f>IF(L5=0,"",I5/L5)</x:f>
        <x:v>1.677031420564029</x:v>
      </x:c>
      <x:c r="O5" s="66" t="n">
        <x:f>IF(L5=0,"",M5/L5)</x:f>
        <x:v>0.6770314205640291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ac05d970e6e4b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HS_067</x:v>
      </x:c>
      <x:c r="B2" s="46" t="str">
        <x:v>raw_filtered_tonnes</x:v>
      </x:c>
      <x:c r="C2" s="46" t="n">
        <x:v>402.2913954087</x:v>
      </x:c>
      <x:c r="D2" s="46" t="str">
        <x:v>tonnes</x:v>
      </x:c>
    </x:row>
    <x:row r="3" ht="18" customHeight="1">
      <x:c r="A3" s="46" t="str">
        <x:v>HS_067</x:v>
      </x:c>
      <x:c r="B3" s="46" t="str">
        <x:v>species_catch_tonnes</x:v>
      </x:c>
      <x:c r="C3" s="46" t="n">
        <x:v>402.29139540870005</x:v>
      </x:c>
      <x:c r="D3" s="46" t="str">
        <x:v>tonnes</x:v>
      </x:c>
    </x:row>
    <x:row r="4" ht="18" customHeight="1">
      <x:c r="A4" s="46" t="str">
        <x:v>HS_067</x:v>
      </x:c>
      <x:c r="B4" s="46" t="str">
        <x:v>catch_difference_tonnes</x:v>
      </x:c>
      <x:c r="C4" s="46" t="n">
        <x:v>5.684341886080802e-14</x:v>
      </x:c>
      <x:c r="D4" s="46" t="str">
        <x:v>tonnes</x:v>
      </x:c>
    </x:row>
    <x:row r="5" ht="18" customHeight="1">
      <x:c r="A5" s="46" t="str">
        <x:v>HS_067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HS_067</x:v>
      </x:c>
      <x:c r="B6" s="46" t="str">
        <x:v>matched_catch_tonnes</x:v>
      </x:c>
      <x:c r="C6" s="46" t="n">
        <x:v>402.29139540870005</x:v>
      </x:c>
      <x:c r="D6" s="46" t="str">
        <x:v>tonnes</x:v>
      </x:c>
    </x:row>
    <x:row r="7" ht="18" customHeight="1">
      <x:c r="A7" s="46" t="str">
        <x:v>HS_067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HS_067</x:v>
      </x:c>
      <x:c r="B8" s="46" t="str">
        <x:v>taxa_count</x:v>
      </x:c>
      <x:c r="C8" s="46" t="n">
        <x:v>16</x:v>
      </x:c>
      <x:c r="D8" s="46" t="str">
        <x:v>count</x:v>
      </x:c>
    </x:row>
    <x:row r="9" ht="18" customHeight="1">
      <x:c r="A9" s="46" t="str">
        <x:v>HS_067</x:v>
      </x:c>
      <x:c r="B9" s="46" t="str">
        <x:v>matched_taxa_count</x:v>
      </x:c>
      <x:c r="C9" s="46" t="n">
        <x:v>16</x:v>
      </x:c>
      <x:c r="D9" s="46" t="str">
        <x:v>count</x:v>
      </x:c>
    </x:row>
    <x:row r="10" ht="18" customHeight="1">
      <x:c r="A10" s="46" t="str">
        <x:v>HS_067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HS_067</x:v>
      </x:c>
      <x:c r="B11" s="46" t="str">
        <x:v>species_ppr</x:v>
      </x:c>
      <x:c r="C11" s="46" t="n">
        <x:v>759816.5237174243</x:v>
      </x:c>
      <x:c r="D11" s="46" t="str">
        <x:v>tonnes_primary_production_equivalent</x:v>
      </x:c>
    </x:row>
    <x:row r="12" ht="18" customHeight="1">
      <x:c r="A12" s="46" t="str">
        <x:v>HS_067</x:v>
      </x:c>
      <x:c r="B12" s="46" t="str">
        <x:v>commercial_ppr</x:v>
      </x:c>
      <x:c r="C12" s="46" t="n">
        <x:v>759816.5237174241</x:v>
      </x:c>
      <x:c r="D12" s="46" t="str">
        <x:v>tonnes_primary_production_equivalent</x:v>
      </x:c>
    </x:row>
    <x:row r="13" ht="18" customHeight="1">
      <x:c r="A13" s="46" t="str">
        <x:v>HS_067</x:v>
      </x:c>
      <x:c r="B13" s="46" t="str">
        <x:v>functional_ppr</x:v>
      </x:c>
      <x:c r="C13" s="46" t="n">
        <x:v>759816.523717424</x:v>
      </x:c>
      <x:c r="D13" s="46" t="str">
        <x:v>tonnes_primary_production_equivalent</x:v>
      </x:c>
    </x:row>
    <x:row r="14" ht="18" customHeight="1">
      <x:c r="A14" s="46" t="str">
        <x:v>HS_067</x:v>
      </x:c>
      <x:c r="B14" s="46" t="str">
        <x:v>commercial_ppr_difference</x:v>
      </x:c>
      <x:c r="C14" s="46" t="n">
        <x:v>-1.1641532182693481e-10</x:v>
      </x:c>
      <x:c r="D14" s="46" t="str">
        <x:v>tonnes_primary_production_equivalent</x:v>
      </x:c>
    </x:row>
    <x:row r="15" ht="18" customHeight="1">
      <x:c r="A15" s="46" t="str">
        <x:v>HS_067</x:v>
      </x:c>
      <x:c r="B15" s="46" t="str">
        <x:v>functional_ppr_difference</x:v>
      </x:c>
      <x:c r="C15" s="46" t="n">
        <x:v>-2.3283064365386963e-10</x:v>
      </x:c>
      <x:c r="D15" s="46" t="str">
        <x:v>tonnes_primary_production_equivalent</x:v>
      </x:c>
    </x:row>
    <x:row r="16" ht="18" customHeight="1">
      <x:c r="A16" s="46" t="str">
        <x:v>HS_067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HS_067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HS_067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HS_067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ff98033b6144c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HS_067 - Pacific, Northeast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HS_067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raw_data/SAU_downloads/HS_067-catch.zip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