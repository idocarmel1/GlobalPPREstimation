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5000f6ec6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63dfcc877b04ae2"/>
    <x:sheet xmlns:r="http://schemas.openxmlformats.org/officeDocument/2006/relationships" name="Commercial" sheetId="2" r:id="R44f42a4b28364410"/>
    <x:sheet xmlns:r="http://schemas.openxmlformats.org/officeDocument/2006/relationships" name="Functional" sheetId="3" r:id="Rccd3c308ae394471"/>
    <x:sheet xmlns:r="http://schemas.openxmlformats.org/officeDocument/2006/relationships" name="Missing TL" sheetId="4" r:id="R517d6f085b974816"/>
    <x:sheet xmlns:r="http://schemas.openxmlformats.org/officeDocument/2006/relationships" name="Validation" sheetId="5" r:id="Rf21a08535f954fa7"/>
    <x:sheet xmlns:r="http://schemas.openxmlformats.org/officeDocument/2006/relationships" name="Metadata" sheetId="6" r:id="Raf8df8d9c5f041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f33137b1b4b2c" /><Relationship Type="http://schemas.openxmlformats.org/officeDocument/2006/relationships/theme" Target="/xl/theme/theme1.xml" Id="Rf87cb14fec194d36" /><Relationship Type="http://schemas.openxmlformats.org/officeDocument/2006/relationships/sharedStrings" Target="/xl/sharedStrings.xml" Id="R86dcd8f54cc04399" /><Relationship Type="http://schemas.openxmlformats.org/officeDocument/2006/relationships/worksheet" Target="/xl/worksheets/sheet1.xml" Id="R163dfcc877b04ae2" /><Relationship Type="http://schemas.openxmlformats.org/officeDocument/2006/relationships/worksheet" Target="/xl/worksheets/sheet2.xml" Id="R44f42a4b28364410" /><Relationship Type="http://schemas.openxmlformats.org/officeDocument/2006/relationships/worksheet" Target="/xl/worksheets/sheet3.xml" Id="Rccd3c308ae394471" /><Relationship Type="http://schemas.openxmlformats.org/officeDocument/2006/relationships/worksheet" Target="/xl/worksheets/sheet4.xml" Id="R517d6f085b974816" /><Relationship Type="http://schemas.openxmlformats.org/officeDocument/2006/relationships/worksheet" Target="/xl/worksheets/sheet5.xml" Id="Rf21a08535f954fa7" /><Relationship Type="http://schemas.openxmlformats.org/officeDocument/2006/relationships/worksheet" Target="/xl/worksheets/sheet6.xml" Id="Raf8df8d9c5f0410e" /></Relationships>
</file>

<file path=xl/tables/table1.xml><?xml version="1.0" encoding="utf-8"?>
<x:table xmlns:x="http://schemas.openxmlformats.org/spreadsheetml/2006/main" id="1" name="LME018SpeciesTable" displayName="LME018SpeciesTable" ref="A1:U62" headerRowCount="1" totalsRowCount="0" totalsRowShown="0">
  <x:autoFilter ref="A1:U6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8CommercialTable" displayName="LME018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8FunctionalTable" displayName="LME018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8ValidationTable" displayName="LME01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865dff152044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6a16a8dde14f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bf116d0b1b4b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4af1e2dec240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LME_018</x:v>
      </x:c>
      <x:c r="B2" s="46" t="str">
        <x:v>Canadian Eastern Arctic -West Greenland</x:v>
      </x:c>
      <x:c r="C2" s="46" t="str">
        <x:v>LME</x:v>
      </x:c>
      <x:c r="D2" s="58" t="n">
        <x:v>2019</x:v>
      </x:c>
      <x:c r="E2" s="46" t="str">
        <x:v>Pandalus borealis</x:v>
      </x:c>
      <x:c r="F2" s="46" t="str">
        <x:v>Northern prawn</x:v>
      </x:c>
      <x:c r="G2" s="46" t="str">
        <x:v>Shrimps</x:v>
      </x:c>
      <x:c r="H2" s="46" t="str">
        <x:v>Crustaceans</x:v>
      </x:c>
      <x:c r="I2" s="60" t="n">
        <x:v>65284.653631250505</x:v>
      </x:c>
      <x:c r="J2" s="60" t="n">
        <x:v>59941.2460000651</x:v>
      </x:c>
      <x:c r="K2" s="60" t="n">
        <x:v>5343.4076311854005</x:v>
      </x:c>
      <x:c r="L2" s="60" t="n">
        <x:v>59941.2460000651</x:v>
      </x:c>
      <x:c r="M2" s="60" t="n">
        <x:v>5343.4076311854005</x:v>
      </x:c>
      <x:c r="N2" s="46" t="str">
        <x:v>pandalus borealis</x:v>
      </x:c>
      <x:c r="O2" s="62" t="n">
        <x:v>3.07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Pandalus borealis</x:v>
      </x:c>
      <x:c r="T2" s="62" t="n">
        <x:f>IF(O2="","",(1/'Metadata'!$B$5)^(O2-1))</x:f>
        <x:v>117.48975549395291</x:v>
      </x:c>
      <x:c r="U2" s="60" t="n">
        <x:f>IF(T2="","",I2*T2)</x:f>
        <x:v>7670277.992643027</x:v>
      </x:c>
    </x:row>
    <x:row r="3" ht="18" customHeight="1">
      <x:c r="A3" s="46" t="str">
        <x:v>LME_018</x:v>
      </x:c>
      <x:c r="B3" s="46" t="str">
        <x:v>Canadian Eastern Arctic -West Greenland</x:v>
      </x:c>
      <x:c r="C3" s="46" t="str">
        <x:v>LME</x:v>
      </x:c>
      <x:c r="D3" s="58" t="n">
        <x:v>2019</x:v>
      </x:c>
      <x:c r="E3" s="46" t="str">
        <x:v>Reinhardtius hippoglossoides</x:v>
      </x:c>
      <x:c r="F3" s="46" t="str">
        <x:v>Greenland halibut</x:v>
      </x:c>
      <x:c r="G3" s="46" t="str">
        <x:v>Small to medium flatfishes (&lt;90 cm)</x:v>
      </x:c>
      <x:c r="H3" s="46" t="str">
        <x:v>Flatfishes</x:v>
      </x:c>
      <x:c r="I3" s="60" t="n">
        <x:v>59736.381869074605</x:v>
      </x:c>
      <x:c r="J3" s="60" t="n">
        <x:v>54526.5827562403</x:v>
      </x:c>
      <x:c r="K3" s="60" t="n">
        <x:v>5209.7991128343</x:v>
      </x:c>
      <x:c r="L3" s="60" t="n">
        <x:v>53610.558403661504</x:v>
      </x:c>
      <x:c r="M3" s="60" t="n">
        <x:v>6125.823465413099</x:v>
      </x:c>
      <x:c r="N3" s="46" t="str">
        <x:v>reinhardtius hippoglossoides</x:v>
      </x:c>
      <x:c r="O3" s="62" t="n">
        <x:v>4.38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Reinhardtius hippoglossoides</x:v>
      </x:c>
      <x:c r="T3" s="62" t="n">
        <x:f>IF(O3="","",(1/'Metadata'!$B$5)^(O3-1))</x:f>
        <x:v>2398.83291901949</x:v>
      </x:c>
      <x:c r="U3" s="60" t="n">
        <x:f>IF(T3="","",I3*T3)</x:f>
        <x:v>143297599.29065517</x:v>
      </x:c>
    </x:row>
    <x:row r="4" ht="18" customHeight="1">
      <x:c r="A4" s="46" t="str">
        <x:v>LME_018</x:v>
      </x:c>
      <x:c r="B4" s="46" t="str">
        <x:v>Canadian Eastern Arctic -West Greenland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48629.0940319659</x:v>
      </x:c>
      <x:c r="J4" s="60" t="n">
        <x:v>44530.5599653195</x:v>
      </x:c>
      <x:c r="K4" s="60" t="n">
        <x:v>4098.5340666464</x:v>
      </x:c>
      <x:c r="L4" s="60" t="n">
        <x:v>44487.2535668203</x:v>
      </x:c>
      <x:c r="M4" s="60" t="n">
        <x:v>4141.8404651456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9266082.842805196</x:v>
      </x:c>
    </x:row>
    <x:row r="5" ht="18" customHeight="1">
      <x:c r="A5" s="46" t="str">
        <x:v>LME_018</x:v>
      </x:c>
      <x:c r="B5" s="46" t="str">
        <x:v>Canadian Eastern Arctic -West Greenland</x:v>
      </x:c>
      <x:c r="C5" s="46" t="str">
        <x:v>LME</x:v>
      </x:c>
      <x:c r="D5" s="58" t="n">
        <x:v>2019</x:v>
      </x:c>
      <x:c r="E5" s="46" t="str">
        <x:v>Gadus morhua</x:v>
      </x:c>
      <x:c r="F5" s="46" t="str">
        <x:v>Atlantic cod</x:v>
      </x:c>
      <x:c r="G5" s="46" t="str">
        <x:v>Large benthopelagics (&gt;=90 cm)</x:v>
      </x:c>
      <x:c r="H5" s="46" t="str">
        <x:v>Cod-likes</x:v>
      </x:c>
      <x:c r="I5" s="60" t="n">
        <x:v>32265.2051231904</x:v>
      </x:c>
      <x:c r="J5" s="60" t="n">
        <x:v>22678.974674141202</x:v>
      </x:c>
      <x:c r="K5" s="60" t="n">
        <x:v>9586.230449049199</x:v>
      </x:c>
      <x:c r="L5" s="60" t="n">
        <x:v>21444.8151243423</x:v>
      </x:c>
      <x:c r="M5" s="60" t="n">
        <x:v>10820.3899988481</x:v>
      </x:c>
      <x:c r="N5" s="46" t="str">
        <x:v>gadus morhua</x:v>
      </x:c>
      <x:c r="O5" s="62" t="n">
        <x:v>4.09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Gadus morhua</x:v>
      </x:c>
      <x:c r="T5" s="62" t="n">
        <x:f>IF(O5="","",(1/'Metadata'!$B$5)^(O5-1))</x:f>
        <x:v>1230.268770812381</x:v>
      </x:c>
      <x:c r="U5" s="60" t="n">
        <x:f>IF(T5="","",I5*T5)</x:f>
        <x:v>39694874.24691679</x:v>
      </x:c>
    </x:row>
    <x:row r="6" ht="18" customHeight="1">
      <x:c r="A6" s="46" t="str">
        <x:v>LME_018</x:v>
      </x:c>
      <x:c r="B6" s="46" t="str">
        <x:v>Canadian Eastern Arctic -West Greenland</x:v>
      </x:c>
      <x:c r="C6" s="46" t="str">
        <x:v>LME</x:v>
      </x:c>
      <x:c r="D6" s="58" t="n">
        <x:v>2019</x:v>
      </x:c>
      <x:c r="E6" s="46" t="str">
        <x:v>Cyclopterus lumpus</x:v>
      </x:c>
      <x:c r="F6" s="46" t="str">
        <x:v>Lumpfish</x:v>
      </x:c>
      <x:c r="G6" s="46" t="str">
        <x:v>Medium benthopelagics (30 - 89 cm)</x:v>
      </x:c>
      <x:c r="H6" s="46" t="str">
        <x:v>Scorpionfishes</x:v>
      </x:c>
      <x:c r="I6" s="60" t="n">
        <x:v>7681.3008699946</x:v>
      </x:c>
      <x:c r="J6" s="60" t="n">
        <x:v>7121.1127262693</x:v>
      </x:c>
      <x:c r="K6" s="60" t="n">
        <x:v>560.1881437252999</x:v>
      </x:c>
      <x:c r="L6" s="60" t="n">
        <x:v>7099.1817187413</x:v>
      </x:c>
      <x:c r="M6" s="60" t="n">
        <x:v>582.1191512533</x:v>
      </x:c>
      <x:c r="N6" s="46" t="str">
        <x:v>cyclopterus lumpus</x:v>
      </x:c>
      <x:c r="O6" s="62" t="n">
        <x:v>3.89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Cyclopterus lumpus</x:v>
      </x:c>
      <x:c r="T6" s="62" t="n">
        <x:f>IF(O6="","",(1/'Metadata'!$B$5)^(O6-1))</x:f>
        <x:v>776.247116628692</x:v>
      </x:c>
      <x:c r="U6" s="60" t="n">
        <x:f>IF(T6="","",I6*T6)</x:f>
        <x:v>5962587.652290772</x:v>
      </x:c>
    </x:row>
    <x:row r="7" ht="18" customHeight="1">
      <x:c r="A7" s="46" t="str">
        <x:v>LME_018</x:v>
      </x:c>
      <x:c r="B7" s="46" t="str">
        <x:v>Canadian Eastern Arctic -West Greenland</x:v>
      </x:c>
      <x:c r="C7" s="46" t="str">
        <x:v>LME</x:v>
      </x:c>
      <x:c r="D7" s="58" t="n">
        <x:v>2019</x:v>
      </x:c>
      <x:c r="E7" s="46" t="str">
        <x:v>Chionoecetes opilio</x:v>
      </x:c>
      <x:c r="F7" s="46" t="str">
        <x:v>Snow crab</x:v>
      </x:c>
      <x:c r="G7" s="46" t="str">
        <x:v>Lobsters, crabs</x:v>
      </x:c>
      <x:c r="H7" s="46" t="str">
        <x:v>Crustaceans</x:v>
      </x:c>
      <x:c r="I7" s="60" t="n">
        <x:v>2252.7948917853</x:v>
      </x:c>
      <x:c r="J7" s="60" t="n">
        <x:v>2047.3311835194002</x:v>
      </x:c>
      <x:c r="K7" s="60" t="n">
        <x:v>205.4637082659</x:v>
      </x:c>
      <x:c r="L7" s="60" t="n">
        <x:v>2047.3311835194002</x:v>
      </x:c>
      <x:c r="M7" s="60" t="n">
        <x:v>205.4637082659</x:v>
      </x:c>
      <x:c r="N7" s="46" t="str">
        <x:v>chionoecetes opilio</x:v>
      </x:c>
      <x:c r="O7" s="62" t="n">
        <x:v>3.54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Chionoecetes opilio</x:v>
      </x:c>
      <x:c r="T7" s="62" t="n">
        <x:f>IF(O7="","",(1/'Metadata'!$B$5)^(O7-1))</x:f>
        <x:v>346.73685045253166</x:v>
      </x:c>
      <x:c r="U7" s="60" t="n">
        <x:f>IF(T7="","",I7*T7)</x:f>
        <x:v>781127.0054931868</x:v>
      </x:c>
    </x:row>
    <x:row r="8" ht="18" customHeight="1">
      <x:c r="A8" s="46" t="str">
        <x:v>LME_018</x:v>
      </x:c>
      <x:c r="B8" s="46" t="str">
        <x:v>Canadian Eastern Arctic -West Greenland</x:v>
      </x:c>
      <x:c r="C8" s="46" t="str">
        <x:v>LME</x:v>
      </x:c>
      <x:c r="D8" s="58" t="n">
        <x:v>2019</x:v>
      </x:c>
      <x:c r="E8" s="46" t="str">
        <x:v>Sebastes mentella</x:v>
      </x:c>
      <x:c r="F8" s="46" t="str">
        <x:v>Beaked redfish</x:v>
      </x:c>
      <x:c r="G8" s="46" t="str">
        <x:v>Medium bathypelagics (30 - 89 cm)</x:v>
      </x:c>
      <x:c r="H8" s="46" t="str">
        <x:v>Scorpionfishes</x:v>
      </x:c>
      <x:c r="I8" s="60" t="n">
        <x:v>1250.9962077252</x:v>
      </x:c>
      <x:c r="J8" s="60" t="n">
        <x:v>1246.2676381786</x:v>
      </x:c>
      <x:c r="K8" s="60" t="n">
        <x:v>4.7285695466</x:v>
      </x:c>
      <x:c r="L8" s="60" t="n">
        <x:v>1246.2676381786</x:v>
      </x:c>
      <x:c r="M8" s="60" t="n">
        <x:v>4.7285695466</x:v>
      </x:c>
      <x:c r="N8" s="46" t="str">
        <x:v>sebastes mentella</x:v>
      </x:c>
      <x:c r="O8" s="62" t="n">
        <x:v>3.65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Sebastes mentella</x:v>
      </x:c>
      <x:c r="T8" s="62" t="n">
        <x:f>IF(O8="","",(1/'Metadata'!$B$5)^(O8-1))</x:f>
        <x:v>446.683592150963</x:v>
      </x:c>
      <x:c r="U8" s="60" t="n">
        <x:f>IF(T8="","",I8*T8)</x:f>
        <x:v>558799.4798339247</x:v>
      </x:c>
    </x:row>
    <x:row r="9" ht="18" customHeight="1">
      <x:c r="A9" s="46" t="str">
        <x:v>LME_018</x:v>
      </x:c>
      <x:c r="B9" s="46" t="str">
        <x:v>Canadian Eastern Arctic -West Greenland</x:v>
      </x:c>
      <x:c r="C9" s="46" t="str">
        <x:v>LME</x:v>
      </x:c>
      <x:c r="D9" s="58" t="n">
        <x:v>2019</x:v>
      </x:c>
      <x:c r="E9" s="46" t="str">
        <x:v>Mallotus villosus</x:v>
      </x:c>
      <x:c r="F9" s="46" t="str">
        <x:v>Capelin</x:v>
      </x:c>
      <x:c r="G9" s="46" t="str">
        <x:v>Small pelagics (&lt;30 cm)</x:v>
      </x:c>
      <x:c r="H9" s="46" t="str">
        <x:v>Salmon, smelts, etc</x:v>
      </x:c>
      <x:c r="I9" s="60" t="n">
        <x:v>814.3822958795</x:v>
      </x:c>
      <x:c r="J9" s="60" t="n">
        <x:v>803.0911056088</x:v>
      </x:c>
      <x:c r="K9" s="60" t="n">
        <x:v>11.2911902707</x:v>
      </x:c>
      <x:c r="L9" s="60" t="n">
        <x:v>773.9229707073</x:v>
      </x:c>
      <x:c r="M9" s="60" t="n">
        <x:v>40.4593251722</x:v>
      </x:c>
      <x:c r="N9" s="46" t="str">
        <x:v>mallotus villosus</x:v>
      </x:c>
      <x:c r="O9" s="62" t="n">
        <x:v>3.15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Mallotus villosus</x:v>
      </x:c>
      <x:c r="T9" s="62" t="n">
        <x:f>IF(O9="","",(1/'Metadata'!$B$5)^(O9-1))</x:f>
        <x:v>141.2537544622754</x:v>
      </x:c>
      <x:c r="U9" s="60" t="n">
        <x:f>IF(T9="","",I9*T9)</x:f>
        <x:v>115034.556860587</x:v>
      </x:c>
    </x:row>
    <x:row r="10" ht="18" customHeight="1">
      <x:c r="A10" s="46" t="str">
        <x:v>LME_018</x:v>
      </x:c>
      <x:c r="B10" s="46" t="str">
        <x:v>Canadian Eastern Arctic -West Greenland</x:v>
      </x:c>
      <x:c r="C10" s="46" t="str">
        <x:v>LME</x:v>
      </x:c>
      <x:c r="D10" s="58" t="n">
        <x:v>2019</x:v>
      </x:c>
      <x:c r="E10" s="46" t="str">
        <x:v>Anarhichadidae</x:v>
      </x:c>
      <x:c r="F10" s="46" t="str">
        <x:v>Wolffishes, wolfeels</x:v>
      </x:c>
      <x:c r="G10" s="46" t="str">
        <x:v>Large demersals (&gt;=90 cm)</x:v>
      </x:c>
      <x:c r="H10" s="46" t="str">
        <x:v>Perch-likes</x:v>
      </x:c>
      <x:c r="I10" s="60" t="n">
        <x:v>180.8946484992</x:v>
      </x:c>
      <x:c r="J10" s="60" t="n">
        <x:v>180.8946484992</x:v>
      </x:c>
      <x:c r="K10" s="60" t="n">
        <x:v>0</x:v>
      </x:c>
      <x:c r="L10" s="60" t="n">
        <x:v>150.7552878808</x:v>
      </x:c>
      <x:c r="M10" s="60" t="n">
        <x:v>30.1393606184</x:v>
      </x:c>
      <x:c r="N10" s="46" t="str">
        <x:v>anarhichadidae</x:v>
      </x:c>
      <x:c r="O10" s="62" t="n">
        <x:v>3.47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Anarhichadidae</x:v>
      </x:c>
      <x:c r="T10" s="62" t="n">
        <x:f>IF(O10="","",(1/'Metadata'!$B$5)^(O10-1))</x:f>
        <x:v>295.1209226666387</x:v>
      </x:c>
      <x:c r="U10" s="60" t="n">
        <x:f>IF(T10="","",I10*T10)</x:f>
        <x:v>53385.795570541195</x:v>
      </x:c>
    </x:row>
    <x:row r="11" ht="18" customHeight="1">
      <x:c r="A11" s="46" t="str">
        <x:v>LME_018</x:v>
      </x:c>
      <x:c r="B11" s="46" t="str">
        <x:v>Canadian Eastern Arctic -West Greenland</x:v>
      </x:c>
      <x:c r="C11" s="46" t="str">
        <x:v>LME</x:v>
      </x:c>
      <x:c r="D11" s="58" t="n">
        <x:v>2019</x:v>
      </x:c>
      <x:c r="E11" s="46" t="str">
        <x:v>Salmo salar</x:v>
      </x:c>
      <x:c r="F11" s="46" t="str">
        <x:v>Atlantic salmon</x:v>
      </x:c>
      <x:c r="G11" s="46" t="str">
        <x:v>Large benthopelagics (&gt;=90 cm)</x:v>
      </x:c>
      <x:c r="H11" s="46" t="str">
        <x:v>Salmon, smelts, etc</x:v>
      </x:c>
      <x:c r="I11" s="60" t="n">
        <x:v>158.7179224673</x:v>
      </x:c>
      <x:c r="J11" s="60" t="n">
        <x:v>158.7179224673</x:v>
      </x:c>
      <x:c r="K11" s="60" t="n">
        <x:v>0</x:v>
      </x:c>
      <x:c r="L11" s="60" t="n">
        <x:v>0</x:v>
      </x:c>
      <x:c r="M11" s="60" t="n">
        <x:v>158.7179224673</x:v>
      </x:c>
      <x:c r="N11" s="46" t="str">
        <x:v>salmo salar</x:v>
      </x:c>
      <x:c r="O11" s="62" t="n">
        <x:v>4.5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Salmo salar</x:v>
      </x:c>
      <x:c r="T11" s="62" t="n">
        <x:f>IF(O11="","",(1/'Metadata'!$B$5)^(O11-1))</x:f>
        <x:v>3162.2776601683795</x:v>
      </x:c>
      <x:c r="U11" s="60" t="n">
        <x:f>IF(T11="","",I11*T11)</x:f>
        <x:v>501910.14048667974</x:v>
      </x:c>
    </x:row>
    <x:row r="12" ht="18" customHeight="1">
      <x:c r="A12" s="46" t="str">
        <x:v>LME_018</x:v>
      </x:c>
      <x:c r="B12" s="46" t="str">
        <x:v>Canadian Eastern Arctic -West Greenland</x:v>
      </x:c>
      <x:c r="C12" s="46" t="str">
        <x:v>LME</x:v>
      </x:c>
      <x:c r="D12" s="58" t="n">
        <x:v>2019</x:v>
      </x:c>
      <x:c r="E12" s="46" t="str">
        <x:v>Salvelinus alpinus</x:v>
      </x:c>
      <x:c r="F12" s="46" t="str">
        <x:v>Arctic char</x:v>
      </x:c>
      <x:c r="G12" s="46" t="str">
        <x:v>Medium benthopelagics (30 - 89 cm)</x:v>
      </x:c>
      <x:c r="H12" s="46" t="str">
        <x:v>Salmon, smelts, etc</x:v>
      </x:c>
      <x:c r="I12" s="60" t="n">
        <x:v>153.6028490169</x:v>
      </x:c>
      <x:c r="J12" s="60" t="n">
        <x:v>152.3019737288</x:v>
      </x:c>
      <x:c r="K12" s="60" t="n">
        <x:v>1.3008752880999999</x:v>
      </x:c>
      <x:c r="L12" s="60" t="n">
        <x:v>9.6939146387</x:v>
      </x:c>
      <x:c r="M12" s="60" t="n">
        <x:v>143.9089343782</x:v>
      </x:c>
      <x:c r="N12" s="46" t="str">
        <x:v>salvelinus alpinus</x:v>
      </x:c>
      <x:c r="O12" s="62" t="n">
        <x:v>4.39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Salvelinus alpinus</x:v>
      </x:c>
      <x:c r="T12" s="62" t="n">
        <x:f>IF(O12="","",(1/'Metadata'!$B$5)^(O12-1))</x:f>
        <x:v>2454.7089156850284</x:v>
      </x:c>
      <x:c r="U12" s="60" t="n">
        <x:f>IF(T12="","",I12*T12)</x:f>
        <x:v>377050.2829564057</x:v>
      </x:c>
    </x:row>
    <x:row r="13" ht="18" customHeight="1">
      <x:c r="A13" s="46" t="str">
        <x:v>LME_018</x:v>
      </x:c>
      <x:c r="B13" s="46" t="str">
        <x:v>Canadian Eastern Arctic -West Greenland</x:v>
      </x:c>
      <x:c r="C13" s="46" t="str">
        <x:v>LME</x:v>
      </x:c>
      <x:c r="D13" s="58" t="n">
        <x:v>2019</x:v>
      </x:c>
      <x:c r="E13" s="46" t="str">
        <x:v>Sebastes</x:v>
      </x:c>
      <x:c r="F13" s="46" t="str">
        <x:v>Redfishes</x:v>
      </x:c>
      <x:c r="G13" s="46" t="str">
        <x:v>Large reef assoc. fish (&gt;=90 cm)</x:v>
      </x:c>
      <x:c r="H13" s="46" t="str">
        <x:v>Scorpionfishes</x:v>
      </x:c>
      <x:c r="I13" s="60" t="n">
        <x:v>128.6456227831</x:v>
      </x:c>
      <x:c r="J13" s="60" t="n">
        <x:v>95.8615894614</x:v>
      </x:c>
      <x:c r="K13" s="60" t="n">
        <x:v>32.7840333217</x:v>
      </x:c>
      <x:c r="L13" s="60" t="n">
        <x:v>66.3111811095</x:v>
      </x:c>
      <x:c r="M13" s="60" t="n">
        <x:v>62.3344416736</x:v>
      </x:c>
      <x:c r="N13" s="46" t="str">
        <x:v>sebastes</x:v>
      </x:c>
      <x:c r="O13" s="62" t="n">
        <x:v>3.79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Sebastes</x:v>
      </x:c>
      <x:c r="T13" s="62" t="n">
        <x:f>IF(O13="","",(1/'Metadata'!$B$5)^(O13-1))</x:f>
        <x:v>616.5950018614822</x:v>
      </x:c>
      <x:c r="U13" s="60" t="n">
        <x:f>IF(T13="","",I13*T13)</x:f>
        <x:v>79322.24801941708</x:v>
      </x:c>
    </x:row>
    <x:row r="14" ht="18" customHeight="1">
      <x:c r="A14" s="46" t="str">
        <x:v>LME_018</x:v>
      </x:c>
      <x:c r="B14" s="46" t="str">
        <x:v>Canadian Eastern Arctic -West Greenland</x:v>
      </x:c>
      <x:c r="C14" s="46" t="str">
        <x:v>LME</x:v>
      </x:c>
      <x:c r="D14" s="58" t="n">
        <x:v>2019</x:v>
      </x:c>
      <x:c r="E14" s="46" t="str">
        <x:v>Salmo</x:v>
      </x:c>
      <x:c r="F14" s="46" t="str">
        <x:v>Trouts</x:v>
      </x:c>
      <x:c r="G14" s="46" t="str">
        <x:v>Large benthopelagics (&gt;=90 cm)</x:v>
      </x:c>
      <x:c r="H14" s="46" t="str">
        <x:v>Salmon, smelts, etc</x:v>
      </x:c>
      <x:c r="I14" s="60" t="n">
        <x:v>102.5836896325</x:v>
      </x:c>
      <x:c r="J14" s="60" t="n">
        <x:v>102.5836896325</x:v>
      </x:c>
      <x:c r="K14" s="60" t="n">
        <x:v>0</x:v>
      </x:c>
      <x:c r="L14" s="60" t="n">
        <x:v>0</x:v>
      </x:c>
      <x:c r="M14" s="60" t="n">
        <x:v>102.5836896325</x:v>
      </x:c>
      <x:c r="N14" s="46" t="str">
        <x:v>salmo</x:v>
      </x:c>
      <x:c r="O14" s="62" t="n">
        <x:v>4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Salmo</x:v>
      </x:c>
      <x:c r="T14" s="62" t="n">
        <x:f>IF(O14="","",(1/'Metadata'!$B$5)^(O14-1))</x:f>
        <x:v>1000</x:v>
      </x:c>
      <x:c r="U14" s="60" t="n">
        <x:f>IF(T14="","",I14*T14)</x:f>
        <x:v>102583.6896325</x:v>
      </x:c>
    </x:row>
    <x:row r="15" ht="18" customHeight="1">
      <x:c r="A15" s="46" t="str">
        <x:v>LME_018</x:v>
      </x:c>
      <x:c r="B15" s="46" t="str">
        <x:v>Canadian Eastern Arctic -West Greenland</x:v>
      </x:c>
      <x:c r="C15" s="46" t="str">
        <x:v>LME</x:v>
      </x:c>
      <x:c r="D15" s="58" t="n">
        <x:v>2019</x:v>
      </x:c>
      <x:c r="E15" s="46" t="str">
        <x:v>Anarhichas</x:v>
      </x:c>
      <x:c r="F15" s="46" t="str">
        <x:v>Wolffishes</x:v>
      </x:c>
      <x:c r="G15" s="46" t="str">
        <x:v>Large demersals (&gt;=90 cm)</x:v>
      </x:c>
      <x:c r="H15" s="46" t="str">
        <x:v>Perch-likes</x:v>
      </x:c>
      <x:c r="I15" s="60" t="n">
        <x:v>45.0071883201</x:v>
      </x:c>
      <x:c r="J15" s="60" t="n">
        <x:v>4.5897531328</x:v>
      </x:c>
      <x:c r="K15" s="60" t="n">
        <x:v>40.4174351873</x:v>
      </x:c>
      <x:c r="L15" s="60" t="n">
        <x:v>4.5897531328</x:v>
      </x:c>
      <x:c r="M15" s="60" t="n">
        <x:v>40.4174351873</x:v>
      </x:c>
      <x:c r="N15" s="46" t="str">
        <x:v>anarhichas</x:v>
      </x:c>
      <x:c r="O15" s="62" t="n">
        <x:v>3.35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Anarhichas</x:v>
      </x:c>
      <x:c r="T15" s="62" t="n">
        <x:f>IF(O15="","",(1/'Metadata'!$B$5)^(O15-1))</x:f>
        <x:v>223.872113856834</x:v>
      </x:c>
      <x:c r="U15" s="60" t="n">
        <x:f>IF(T15="","",I15*T15)</x:f>
        <x:v>10075.854387973397</x:v>
      </x:c>
    </x:row>
    <x:row r="16" ht="18" customHeight="1">
      <x:c r="A16" s="46" t="str">
        <x:v>LME_018</x:v>
      </x:c>
      <x:c r="B16" s="46" t="str">
        <x:v>Canadian Eastern Arctic -West Greenland</x:v>
      </x:c>
      <x:c r="C16" s="46" t="str">
        <x:v>LME</x:v>
      </x:c>
      <x:c r="D16" s="58" t="n">
        <x:v>2019</x:v>
      </x:c>
      <x:c r="E16" s="46" t="str">
        <x:v>Hippoglossus hippoglossus</x:v>
      </x:c>
      <x:c r="F16" s="46" t="str">
        <x:v>Atlantic halibut</x:v>
      </x:c>
      <x:c r="G16" s="46" t="str">
        <x:v>Large flatfishes (&gt;=90 cm)</x:v>
      </x:c>
      <x:c r="H16" s="46" t="str">
        <x:v>Flatfishes</x:v>
      </x:c>
      <x:c r="I16" s="60" t="n">
        <x:v>39.7001000657</x:v>
      </x:c>
      <x:c r="J16" s="60" t="n">
        <x:v>9.8575820983</x:v>
      </x:c>
      <x:c r="K16" s="60" t="n">
        <x:v>29.8425179674</x:v>
      </x:c>
      <x:c r="L16" s="60" t="n">
        <x:v>9.8575820983</x:v>
      </x:c>
      <x:c r="M16" s="60" t="n">
        <x:v>29.8425179674</x:v>
      </x:c>
      <x:c r="N16" s="46" t="str">
        <x:v>hippoglossus hippoglossus</x:v>
      </x:c>
      <x:c r="O16" s="62" t="n">
        <x:v>4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Hippoglossus hippoglossus</x:v>
      </x:c>
      <x:c r="T16" s="62" t="n">
        <x:f>IF(O16="","",(1/'Metadata'!$B$5)^(O16-1))</x:f>
        <x:v>1000</x:v>
      </x:c>
      <x:c r="U16" s="60" t="n">
        <x:f>IF(T16="","",I16*T16)</x:f>
        <x:v>39700.1000657</x:v>
      </x:c>
    </x:row>
    <x:row r="17" ht="18" customHeight="1">
      <x:c r="A17" s="46" t="str">
        <x:v>LME_018</x:v>
      </x:c>
      <x:c r="B17" s="46" t="str">
        <x:v>Canadian Eastern Arctic -West Greenland</x:v>
      </x:c>
      <x:c r="C17" s="46" t="str">
        <x:v>LME</x:v>
      </x:c>
      <x:c r="D17" s="58" t="n">
        <x:v>2019</x:v>
      </x:c>
      <x:c r="E17" s="46" t="str">
        <x:v>Pandalus montagui</x:v>
      </x:c>
      <x:c r="F17" s="46" t="str">
        <x:v>Aesop shrimp</x:v>
      </x:c>
      <x:c r="G17" s="46" t="str">
        <x:v>Shrimps</x:v>
      </x:c>
      <x:c r="H17" s="46" t="str">
        <x:v>Crustaceans</x:v>
      </x:c>
      <x:c r="I17" s="60" t="n">
        <x:v>37.7077401314</x:v>
      </x:c>
      <x:c r="J17" s="60" t="n">
        <x:v>27.9372379486</x:v>
      </x:c>
      <x:c r="K17" s="60" t="n">
        <x:v>9.770502182800001</x:v>
      </x:c>
      <x:c r="L17" s="60" t="n">
        <x:v>27.9372379486</x:v>
      </x:c>
      <x:c r="M17" s="60" t="n">
        <x:v>9.770502182800001</x:v>
      </x:c>
      <x:c r="N17" s="46" t="str">
        <x:v>pandalus montagui</x:v>
      </x:c>
      <x:c r="O17" s="62" t="n">
        <x:v>2.3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Pandalus montagui</x:v>
      </x:c>
      <x:c r="T17" s="62" t="n">
        <x:f>IF(O17="","",(1/'Metadata'!$B$5)^(O17-1))</x:f>
        <x:v>19.952623149688787</x:v>
      </x:c>
      <x:c r="U17" s="60" t="n">
        <x:f>IF(T17="","",I17*T17)</x:f>
        <x:v>752.3683286682206</x:v>
      </x:c>
    </x:row>
    <x:row r="18" ht="18" customHeight="1">
      <x:c r="A18" s="46" t="str">
        <x:v>LME_018</x:v>
      </x:c>
      <x:c r="B18" s="46" t="str">
        <x:v>Canadian Eastern Arctic -West Greenland</x:v>
      </x:c>
      <x:c r="C18" s="46" t="str">
        <x:v>LME</x:v>
      </x:c>
      <x:c r="D18" s="58" t="n">
        <x:v>2019</x:v>
      </x:c>
      <x:c r="E18" s="46" t="str">
        <x:v>Mollusca</x:v>
      </x:c>
      <x:c r="F18" s="46" t="str">
        <x:v>Clams, seasnails, squids, octopuses</x:v>
      </x:c>
      <x:c r="G18" s="46" t="str">
        <x:v>Other demersal invertebrates</x:v>
      </x:c>
      <x:c r="H18" s="46" t="str">
        <x:v>Molluscs</x:v>
      </x:c>
      <x:c r="I18" s="60" t="n">
        <x:v>36.9231386183</x:v>
      </x:c>
      <x:c r="J18" s="60" t="n">
        <x:v>0</x:v>
      </x:c>
      <x:c r="K18" s="60" t="n">
        <x:v>36.9231386183</x:v>
      </x:c>
      <x:c r="L18" s="60" t="n">
        <x:v>0</x:v>
      </x:c>
      <x:c r="M18" s="60" t="n">
        <x:v>36.9231386183</x:v>
      </x:c>
      <x:c r="N18" s="46" t="str">
        <x:v>mollusca</x:v>
      </x:c>
      <x:c r="O18" s="62" t="n">
        <x:v>2.1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Mollusca</x:v>
      </x:c>
      <x:c r="T18" s="62" t="n">
        <x:f>IF(O18="","",(1/'Metadata'!$B$5)^(O18-1))</x:f>
        <x:v>12.589254117941675</x:v>
      </x:c>
      <x:c r="U18" s="60" t="n">
        <x:f>IF(T18="","",I18*T18)</x:f>
        <x:v>464.8347748977646</x:v>
      </x:c>
    </x:row>
    <x:row r="19" ht="18" customHeight="1">
      <x:c r="A19" s="46" t="str">
        <x:v>LME_018</x:v>
      </x:c>
      <x:c r="B19" s="46" t="str">
        <x:v>Canadian Eastern Arctic -West Greenland</x:v>
      </x:c>
      <x:c r="C19" s="46" t="str">
        <x:v>LME</x:v>
      </x:c>
      <x:c r="D19" s="58" t="n">
        <x:v>2019</x:v>
      </x:c>
      <x:c r="E19" s="46" t="str">
        <x:v>Anarhichas minor</x:v>
      </x:c>
      <x:c r="F19" s="46" t="str">
        <x:v>Spotted wolffish</x:v>
      </x:c>
      <x:c r="G19" s="46" t="str">
        <x:v>Large demersals (&gt;=90 cm)</x:v>
      </x:c>
      <x:c r="H19" s="46" t="str">
        <x:v>Perch-likes</x:v>
      </x:c>
      <x:c r="I19" s="60" t="n">
        <x:v>35.7461976559</x:v>
      </x:c>
      <x:c r="J19" s="60" t="n">
        <x:v>35.7461976559</x:v>
      </x:c>
      <x:c r="K19" s="60" t="n">
        <x:v>0</x:v>
      </x:c>
      <x:c r="L19" s="60" t="n">
        <x:v>35.7461976559</x:v>
      </x:c>
      <x:c r="M19" s="60" t="n">
        <x:v>0</x:v>
      </x:c>
      <x:c r="N19" s="46" t="str">
        <x:v>anarhichas minor</x:v>
      </x:c>
      <x:c r="O19" s="62" t="n">
        <x:v>3.45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Anarhichas minor</x:v>
      </x:c>
      <x:c r="T19" s="62" t="n">
        <x:f>IF(O19="","",(1/'Metadata'!$B$5)^(O19-1))</x:f>
        <x:v>281.8382931264455</x:v>
      </x:c>
      <x:c r="U19" s="60" t="n">
        <x:f>IF(T19="","",I19*T19)</x:f>
        <x:v>10074.647333099401</x:v>
      </x:c>
    </x:row>
    <x:row r="20" ht="18" customHeight="1">
      <x:c r="A20" s="46" t="str">
        <x:v>LME_018</x:v>
      </x:c>
      <x:c r="B20" s="46" t="str">
        <x:v>Canadian Eastern Arctic -West Greenland</x:v>
      </x:c>
      <x:c r="C20" s="46" t="str">
        <x:v>LME</x:v>
      </x:c>
      <x:c r="D20" s="58" t="n">
        <x:v>2019</x:v>
      </x:c>
      <x:c r="E20" s="46" t="str">
        <x:v>Somniosus microcephalus</x:v>
      </x:c>
      <x:c r="F20" s="46" t="str">
        <x:v>Greenland shark</x:v>
      </x:c>
      <x:c r="G20" s="46" t="str">
        <x:v>Large sharks (&gt;=90 cm)</x:v>
      </x:c>
      <x:c r="H20" s="46" t="str">
        <x:v>Sharks &amp; rays</x:v>
      </x:c>
      <x:c r="I20" s="60" t="n">
        <x:v>28.2822813354</x:v>
      </x:c>
      <x:c r="J20" s="60" t="n">
        <x:v>28.2822813354</x:v>
      </x:c>
      <x:c r="K20" s="60" t="n">
        <x:v>0</x:v>
      </x:c>
      <x:c r="L20" s="60" t="n">
        <x:v>28.2822813354</x:v>
      </x:c>
      <x:c r="M20" s="60" t="n">
        <x:v>0</x:v>
      </x:c>
      <x:c r="N20" s="46" t="str">
        <x:v>somniosus microcephalus</x:v>
      </x:c>
      <x:c r="O20" s="62" t="n">
        <x:v>4.22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Somniosus microcephalus</x:v>
      </x:c>
      <x:c r="T20" s="62" t="n">
        <x:f>IF(O20="","",(1/'Metadata'!$B$5)^(O20-1))</x:f>
        <x:v>1659.5869074375596</x:v>
      </x:c>
      <x:c r="U20" s="60" t="n">
        <x:f>IF(T20="","",I20*T20)</x:f>
        <x:v>46936.9038166955</x:v>
      </x:c>
    </x:row>
    <x:row r="21" ht="18" customHeight="1">
      <x:c r="A21" s="46" t="str">
        <x:v>LME_018</x:v>
      </x:c>
      <x:c r="B21" s="46" t="str">
        <x:v>Canadian Eastern Arctic -West Greenland</x:v>
      </x:c>
      <x:c r="C21" s="46" t="str">
        <x:v>LME</x:v>
      </x:c>
      <x:c r="D21" s="58" t="n">
        <x:v>2019</x:v>
      </x:c>
      <x:c r="E21" s="46" t="str">
        <x:v>Coryphaenoides rupestris</x:v>
      </x:c>
      <x:c r="F21" s="46" t="str">
        <x:v>Roundnose grenadier</x:v>
      </x:c>
      <x:c r="G21" s="46" t="str">
        <x:v>Large bathypelagics (&gt;=90 cm)</x:v>
      </x:c>
      <x:c r="H21" s="46" t="str">
        <x:v>Cod-likes</x:v>
      </x:c>
      <x:c r="I21" s="60" t="n">
        <x:v>25.5225360827</x:v>
      </x:c>
      <x:c r="J21" s="60" t="n">
        <x:v>17.99471921</x:v>
      </x:c>
      <x:c r="K21" s="60" t="n">
        <x:v>7.5278168727</x:v>
      </x:c>
      <x:c r="L21" s="60" t="n">
        <x:v>17.99471921</x:v>
      </x:c>
      <x:c r="M21" s="60" t="n">
        <x:v>7.5278168727</x:v>
      </x:c>
      <x:c r="N21" s="46" t="str">
        <x:v>coryphaenoides rupestris</x:v>
      </x:c>
      <x:c r="O21" s="62" t="n">
        <x:v>3.54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Coryphaenoides rupestris</x:v>
      </x:c>
      <x:c r="T21" s="62" t="n">
        <x:f>IF(O21="","",(1/'Metadata'!$B$5)^(O21-1))</x:f>
        <x:v>346.73685045253166</x:v>
      </x:c>
      <x:c r="U21" s="60" t="n">
        <x:f>IF(T21="","",I21*T21)</x:f>
        <x:v>8849.603776876493</x:v>
      </x:c>
    </x:row>
    <x:row r="22" ht="18" customHeight="1">
      <x:c r="A22" s="46" t="str">
        <x:v>LME_018</x:v>
      </x:c>
      <x:c r="B22" s="46" t="str">
        <x:v>Canadian Eastern Arctic -West Greenland</x:v>
      </x:c>
      <x:c r="C22" s="46" t="str">
        <x:v>LME</x:v>
      </x:c>
      <x:c r="D22" s="58" t="n">
        <x:v>2019</x:v>
      </x:c>
      <x:c r="E22" s="46" t="str">
        <x:v>Myoxocephalus</x:v>
      </x:c>
      <x:c r="F22" s="46" t="str">
        <x:v>Grubbies and sculpins</x:v>
      </x:c>
      <x:c r="G22" s="46" t="str">
        <x:v>Large reef assoc. fish (&gt;=90 cm)</x:v>
      </x:c>
      <x:c r="H22" s="46" t="str">
        <x:v>Scorpionfishes</x:v>
      </x:c>
      <x:c r="I22" s="60" t="n">
        <x:v>24.1059429318</x:v>
      </x:c>
      <x:c r="J22" s="60" t="n">
        <x:v>0</x:v>
      </x:c>
      <x:c r="K22" s="60" t="n">
        <x:v>24.1059429318</x:v>
      </x:c>
      <x:c r="L22" s="60" t="n">
        <x:v>0</x:v>
      </x:c>
      <x:c r="M22" s="60" t="n">
        <x:v>24.1059429318</x:v>
      </x:c>
      <x:c r="N22" s="46" t="str">
        <x:v>myoxocephalus</x:v>
      </x:c>
      <x:c r="O22" s="62" t="n">
        <x:v>3.71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Myoxocephalus</x:v>
      </x:c>
      <x:c r="T22" s="62" t="n">
        <x:f>IF(O22="","",(1/'Metadata'!$B$5)^(O22-1))</x:f>
        <x:v>512.8613839913648</x:v>
      </x:c>
      <x:c r="U22" s="60" t="n">
        <x:f>IF(T22="","",I22*T22)</x:f>
        <x:v>12363.007254419808</x:v>
      </x:c>
    </x:row>
    <x:row r="23" ht="18" customHeight="1">
      <x:c r="A23" s="46" t="str">
        <x:v>LME_018</x:v>
      </x:c>
      <x:c r="B23" s="46" t="str">
        <x:v>Canadian Eastern Arctic -West Greenland</x:v>
      </x:c>
      <x:c r="C23" s="46" t="str">
        <x:v>LME</x:v>
      </x:c>
      <x:c r="D23" s="58" t="n">
        <x:v>2019</x:v>
      </x:c>
      <x:c r="E23" s="46" t="str">
        <x:v>Brosme brosme</x:v>
      </x:c>
      <x:c r="F23" s="46" t="str">
        <x:v>Tusk</x:v>
      </x:c>
      <x:c r="G23" s="46" t="str">
        <x:v>Large demersals (&gt;=90 cm)</x:v>
      </x:c>
      <x:c r="H23" s="46" t="str">
        <x:v>Cod-likes</x:v>
      </x:c>
      <x:c r="I23" s="60" t="n">
        <x:v>19.7578552198</x:v>
      </x:c>
      <x:c r="J23" s="60" t="n">
        <x:v>16.2714289634</x:v>
      </x:c>
      <x:c r="K23" s="60" t="n">
        <x:v>3.4864262564</x:v>
      </x:c>
      <x:c r="L23" s="60" t="n">
        <x:v>16.2714289634</x:v>
      </x:c>
      <x:c r="M23" s="60" t="n">
        <x:v>3.4864262564</x:v>
      </x:c>
      <x:c r="N23" s="46" t="str">
        <x:v>brosme brosme</x:v>
      </x:c>
      <x:c r="O23" s="62" t="n">
        <x:v>3.9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Brosme brosme</x:v>
      </x:c>
      <x:c r="T23" s="62" t="n">
        <x:f>IF(O23="","",(1/'Metadata'!$B$5)^(O23-1))</x:f>
        <x:v>794.3282347242813</x:v>
      </x:c>
      <x:c r="U23" s="60" t="n">
        <x:f>IF(T23="","",I23*T23)</x:f>
        <x:v>15694.22225868166</x:v>
      </x:c>
    </x:row>
    <x:row r="24" ht="18" customHeight="1">
      <x:c r="A24" s="46" t="str">
        <x:v>LME_018</x:v>
      </x:c>
      <x:c r="B24" s="46" t="str">
        <x:v>Canadian Eastern Arctic -West Greenland</x:v>
      </x:c>
      <x:c r="C24" s="46" t="str">
        <x:v>LME</x:v>
      </x:c>
      <x:c r="D24" s="58" t="n">
        <x:v>2019</x:v>
      </x:c>
      <x:c r="E24" s="46" t="str">
        <x:v>Lycodes</x:v>
      </x:c>
      <x:c r="F24" s="46" t="str">
        <x:v>Eelpouts</x:v>
      </x:c>
      <x:c r="G24" s="46" t="str">
        <x:v>Medium bathydemersals (30 - 89 cm)</x:v>
      </x:c>
      <x:c r="H24" s="46" t="str">
        <x:v>Perch-likes</x:v>
      </x:c>
      <x:c r="I24" s="60" t="n">
        <x:v>16.4437148834</x:v>
      </x:c>
      <x:c r="J24" s="60" t="n">
        <x:v>0</x:v>
      </x:c>
      <x:c r="K24" s="60" t="n">
        <x:v>16.4437148834</x:v>
      </x:c>
      <x:c r="L24" s="60" t="n">
        <x:v>0</x:v>
      </x:c>
      <x:c r="M24" s="60" t="n">
        <x:v>16.4437148834</x:v>
      </x:c>
      <x:c r="N24" s="46" t="str">
        <x:v>lycodes</x:v>
      </x:c>
      <x:c r="O24" s="62" t="n">
        <x:v>3.3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Lycodes</x:v>
      </x:c>
      <x:c r="T24" s="62" t="n">
        <x:f>IF(O24="","",(1/'Metadata'!$B$5)^(O24-1))</x:f>
        <x:v>199.52623149688787</x:v>
      </x:c>
      <x:c r="U24" s="60" t="n">
        <x:f>IF(T24="","",I24*T24)</x:f>
        <x:v>3280.9524624940886</x:v>
      </x:c>
    </x:row>
    <x:row r="25" ht="18" customHeight="1">
      <x:c r="A25" s="46" t="str">
        <x:v>LME_018</x:v>
      </x:c>
      <x:c r="B25" s="46" t="str">
        <x:v>Canadian Eastern Arctic -West Greenland</x:v>
      </x:c>
      <x:c r="C25" s="46" t="str">
        <x:v>LME</x:v>
      </x:c>
      <x:c r="D25" s="58" t="n">
        <x:v>2019</x:v>
      </x:c>
      <x:c r="E25" s="46" t="str">
        <x:v>Anarhichas denticulatus</x:v>
      </x:c>
      <x:c r="F25" s="46" t="str">
        <x:v>Northern wolffish</x:v>
      </x:c>
      <x:c r="G25" s="46" t="str">
        <x:v>Large benthopelagics (&gt;=90 cm)</x:v>
      </x:c>
      <x:c r="H25" s="46" t="str">
        <x:v>Perch-likes</x:v>
      </x:c>
      <x:c r="I25" s="60" t="n">
        <x:v>15.5632856211</x:v>
      </x:c>
      <x:c r="J25" s="60" t="n">
        <x:v>0</x:v>
      </x:c>
      <x:c r="K25" s="60" t="n">
        <x:v>15.5632856211</x:v>
      </x:c>
      <x:c r="L25" s="60" t="n">
        <x:v>0</x:v>
      </x:c>
      <x:c r="M25" s="60" t="n">
        <x:v>15.5632856211</x:v>
      </x:c>
      <x:c r="N25" s="46" t="str">
        <x:v>anarhichas denticulatus</x:v>
      </x:c>
      <x:c r="O25" s="62" t="n">
        <x:v>3.75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Anarhichas denticulatus</x:v>
      </x:c>
      <x:c r="T25" s="62" t="n">
        <x:f>IF(O25="","",(1/'Metadata'!$B$5)^(O25-1))</x:f>
        <x:v>562.341325190349</x:v>
      </x:c>
      <x:c r="U25" s="60" t="n">
        <x:f>IF(T25="","",I25*T25)</x:f>
        <x:v>8751.87866048528</x:v>
      </x:c>
    </x:row>
    <x:row r="26" ht="18" customHeight="1">
      <x:c r="A26" s="46" t="str">
        <x:v>LME_018</x:v>
      </x:c>
      <x:c r="B26" s="46" t="str">
        <x:v>Canadian Eastern Arctic -West Greenland</x:v>
      </x:c>
      <x:c r="C26" s="46" t="str">
        <x:v>LME</x:v>
      </x:c>
      <x:c r="D26" s="58" t="n">
        <x:v>2019</x:v>
      </x:c>
      <x:c r="E26" s="46" t="str">
        <x:v>Elasmobranchii</x:v>
      </x:c>
      <x:c r="F26" s="46" t="str">
        <x:v>Sharks, rays, skates</x:v>
      </x:c>
      <x:c r="G26" s="46" t="str">
        <x:v>Large sharks (&gt;=90 cm)</x:v>
      </x:c>
      <x:c r="H26" s="46" t="str">
        <x:v>Sharks &amp; rays</x:v>
      </x:c>
      <x:c r="I26" s="60" t="n">
        <x:v>14.7199218463</x:v>
      </x:c>
      <x:c r="J26" s="60" t="n">
        <x:v>0</x:v>
      </x:c>
      <x:c r="K26" s="60" t="n">
        <x:v>14.7199218463</x:v>
      </x:c>
      <x:c r="L26" s="60" t="n">
        <x:v>0</x:v>
      </x:c>
      <x:c r="M26" s="60" t="n">
        <x:v>14.7199218463</x:v>
      </x:c>
      <x:c r="N26" s="46" t="str">
        <x:v>elasmobranchii</x:v>
      </x:c>
      <x:c r="O26" s="62" t="n">
        <x:v>4.05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Elasmobranchii</x:v>
      </x:c>
      <x:c r="T26" s="62" t="n">
        <x:f>IF(O26="","",(1/'Metadata'!$B$5)^(O26-1))</x:f>
        <x:v>1122.018454301963</x:v>
      </x:c>
      <x:c r="U26" s="60" t="n">
        <x:f>IF(T26="","",I26*T26)</x:f>
        <x:v>16516.02395743122</x:v>
      </x:c>
    </x:row>
    <x:row r="27" ht="18" customHeight="1">
      <x:c r="A27" s="46" t="str">
        <x:v>LME_018</x:v>
      </x:c>
      <x:c r="B27" s="46" t="str">
        <x:v>Canadian Eastern Arctic -West Greenland</x:v>
      </x:c>
      <x:c r="C27" s="46" t="str">
        <x:v>LME</x:v>
      </x:c>
      <x:c r="D27" s="58" t="n">
        <x:v>2019</x:v>
      </x:c>
      <x:c r="E27" s="46" t="str">
        <x:v>Chionoecetes</x:v>
      </x:c>
      <x:c r="F27" s="46" t="str">
        <x:v>Tanner, snow crabs</x:v>
      </x:c>
      <x:c r="G27" s="46" t="str">
        <x:v>Lobsters, crabs</x:v>
      </x:c>
      <x:c r="H27" s="46" t="str">
        <x:v>Crustaceans</x:v>
      </x:c>
      <x:c r="I27" s="60" t="n">
        <x:v>10.1729044602</x:v>
      </x:c>
      <x:c r="J27" s="60" t="n">
        <x:v>0</x:v>
      </x:c>
      <x:c r="K27" s="60" t="n">
        <x:v>10.1729044602</x:v>
      </x:c>
      <x:c r="L27" s="60" t="n">
        <x:v>0</x:v>
      </x:c>
      <x:c r="M27" s="60" t="n">
        <x:v>10.1729044602</x:v>
      </x:c>
      <x:c r="N27" s="46" t="str">
        <x:v>chionoecetes</x:v>
      </x:c>
      <x:c r="O27" s="62" t="n">
        <x:v>2.3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Chionoecetes</x:v>
      </x:c>
      <x:c r="T27" s="62" t="n">
        <x:f>IF(O27="","",(1/'Metadata'!$B$5)^(O27-1))</x:f>
        <x:v>19.952623149688787</x:v>
      </x:c>
      <x:c r="U27" s="60" t="n">
        <x:f>IF(T27="","",I27*T27)</x:f>
        <x:v>202.97612903215884</x:v>
      </x:c>
    </x:row>
    <x:row r="28" ht="18" customHeight="1">
      <x:c r="A28" s="46" t="str">
        <x:v>LME_018</x:v>
      </x:c>
      <x:c r="B28" s="46" t="str">
        <x:v>Canadian Eastern Arctic -West Greenland</x:v>
      </x:c>
      <x:c r="C28" s="46" t="str">
        <x:v>LME</x:v>
      </x:c>
      <x:c r="D28" s="58" t="n">
        <x:v>2019</x:v>
      </x:c>
      <x:c r="E28" s="46" t="str">
        <x:v>Macrourus berglax</x:v>
      </x:c>
      <x:c r="F28" s="46" t="str">
        <x:v>Roughhead grenadier</x:v>
      </x:c>
      <x:c r="G28" s="46" t="str">
        <x:v>Large benthopelagics (&gt;=90 cm)</x:v>
      </x:c>
      <x:c r="H28" s="46" t="str">
        <x:v>Cod-likes</x:v>
      </x:c>
      <x:c r="I28" s="60" t="n">
        <x:v>8.2800440985</x:v>
      </x:c>
      <x:c r="J28" s="60" t="n">
        <x:v>2.8764866823</x:v>
      </x:c>
      <x:c r="K28" s="60" t="n">
        <x:v>5.4035574162</x:v>
      </x:c>
      <x:c r="L28" s="60" t="n">
        <x:v>2.8764866823</x:v>
      </x:c>
      <x:c r="M28" s="60" t="n">
        <x:v>5.4035574162</x:v>
      </x:c>
      <x:c r="N28" s="46" t="str">
        <x:v>macrourus berglax</x:v>
      </x:c>
      <x:c r="O28" s="62" t="n">
        <x:v>4.48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Macrourus berglax</x:v>
      </x:c>
      <x:c r="T28" s="62" t="n">
        <x:f>IF(O28="","",(1/'Metadata'!$B$5)^(O28-1))</x:f>
        <x:v>3019.951720402019</x:v>
      </x:c>
      <x:c r="U28" s="60" t="n">
        <x:f>IF(T28="","",I28*T28)</x:f>
        <x:v>25005.333420269657</x:v>
      </x:c>
    </x:row>
    <x:row r="29" ht="18" customHeight="1">
      <x:c r="A29" s="46" t="str">
        <x:v>LME_018</x:v>
      </x:c>
      <x:c r="B29" s="46" t="str">
        <x:v>Canadian Eastern Arctic -West Greenland</x:v>
      </x:c>
      <x:c r="C29" s="46" t="str">
        <x:v>LME</x:v>
      </x:c>
      <x:c r="D29" s="58" t="n">
        <x:v>2019</x:v>
      </x:c>
      <x:c r="E29" s="46" t="str">
        <x:v>Squalus</x:v>
      </x:c>
      <x:c r="F29" s="46" t="str">
        <x:v>Dogfishes</x:v>
      </x:c>
      <x:c r="G29" s="46" t="str">
        <x:v>Large sharks (&gt;=90 cm)</x:v>
      </x:c>
      <x:c r="H29" s="46" t="str">
        <x:v>Sharks &amp; rays</x:v>
      </x:c>
      <x:c r="I29" s="60" t="n">
        <x:v>7.163977217299999</x:v>
      </x:c>
      <x:c r="J29" s="60" t="n">
        <x:v>0</x:v>
      </x:c>
      <x:c r="K29" s="60" t="n">
        <x:v>7.163977217299999</x:v>
      </x:c>
      <x:c r="L29" s="60" t="n">
        <x:v>0</x:v>
      </x:c>
      <x:c r="M29" s="60" t="n">
        <x:v>7.163977217299999</x:v>
      </x:c>
      <x:c r="N29" s="46" t="str">
        <x:v>squalus</x:v>
      </x:c>
      <x:c r="O29" s="62" t="n">
        <x:v>4.23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Squalus</x:v>
      </x:c>
      <x:c r="T29" s="62" t="n">
        <x:f>IF(O29="","",(1/'Metadata'!$B$5)^(O29-1))</x:f>
        <x:v>1698.243652461746</x:v>
      </x:c>
      <x:c r="U29" s="60" t="n">
        <x:f>IF(T29="","",I29*T29)</x:f>
        <x:v>12166.178835660286</x:v>
      </x:c>
    </x:row>
    <x:row r="30" ht="18" customHeight="1">
      <x:c r="A30" s="46" t="str">
        <x:v>LME_018</x:v>
      </x:c>
      <x:c r="B30" s="46" t="str">
        <x:v>Canadian Eastern Arctic -West Greenland</x:v>
      </x:c>
      <x:c r="C30" s="46" t="str">
        <x:v>LME</x:v>
      </x:c>
      <x:c r="D30" s="58" t="n">
        <x:v>2019</x:v>
      </x:c>
      <x:c r="E30" s="46" t="str">
        <x:v>Anarhichas lupus</x:v>
      </x:c>
      <x:c r="F30" s="46" t="str">
        <x:v>Atlantic wolffish</x:v>
      </x:c>
      <x:c r="G30" s="46" t="str">
        <x:v>Large demersals (&gt;=90 cm)</x:v>
      </x:c>
      <x:c r="H30" s="46" t="str">
        <x:v>Perch-likes</x:v>
      </x:c>
      <x:c r="I30" s="60" t="n">
        <x:v>7.144444228</x:v>
      </x:c>
      <x:c r="J30" s="60" t="n">
        <x:v>0</x:v>
      </x:c>
      <x:c r="K30" s="60" t="n">
        <x:v>7.144444228</x:v>
      </x:c>
      <x:c r="L30" s="60" t="n">
        <x:v>0</x:v>
      </x:c>
      <x:c r="M30" s="60" t="n">
        <x:v>7.144444228</x:v>
      </x:c>
      <x:c r="N30" s="46" t="str">
        <x:v>anarhichas lupus</x:v>
      </x:c>
      <x:c r="O30" s="62" t="n">
        <x:v>3.55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Anarhichas lupus</x:v>
      </x:c>
      <x:c r="T30" s="62" t="n">
        <x:f>IF(O30="","",(1/'Metadata'!$B$5)^(O30-1))</x:f>
        <x:v>354.8133892335753</x:v>
      </x:c>
      <x:c r="U30" s="60" t="n">
        <x:f>IF(T30="","",I30*T30)</x:f>
        <x:v>2534.9444707269345</x:v>
      </x:c>
    </x:row>
    <x:row r="31" ht="18" customHeight="1">
      <x:c r="A31" s="46" t="str">
        <x:v>LME_018</x:v>
      </x:c>
      <x:c r="B31" s="46" t="str">
        <x:v>Canadian Eastern Arctic -West Greenland</x:v>
      </x:c>
      <x:c r="C31" s="46" t="str">
        <x:v>LME</x:v>
      </x:c>
      <x:c r="D31" s="58" t="n">
        <x:v>2019</x:v>
      </x:c>
      <x:c r="E31" s="46" t="str">
        <x:v>Centroscyllium fabricii</x:v>
      </x:c>
      <x:c r="F31" s="46" t="str">
        <x:v>Black dogfish</x:v>
      </x:c>
      <x:c r="G31" s="46" t="str">
        <x:v>Small to medium sharks (&lt;90 cm)</x:v>
      </x:c>
      <x:c r="H31" s="46" t="str">
        <x:v>Sharks &amp; rays</x:v>
      </x:c>
      <x:c r="I31" s="60" t="n">
        <x:v>5.3603047153</x:v>
      </x:c>
      <x:c r="J31" s="60" t="n">
        <x:v>0</x:v>
      </x:c>
      <x:c r="K31" s="60" t="n">
        <x:v>5.3603047153</x:v>
      </x:c>
      <x:c r="L31" s="60" t="n">
        <x:v>0</x:v>
      </x:c>
      <x:c r="M31" s="60" t="n">
        <x:v>5.3603047153</x:v>
      </x:c>
      <x:c r="N31" s="46" t="str">
        <x:v>centroscyllium fabricii</x:v>
      </x:c>
      <x:c r="O31" s="62" t="n">
        <x:v>3.84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Centroscyllium fabricii</x:v>
      </x:c>
      <x:c r="T31" s="62" t="n">
        <x:f>IF(O31="","",(1/'Metadata'!$B$5)^(O31-1))</x:f>
        <x:v>691.8309709189363</x:v>
      </x:c>
      <x:c r="U31" s="60" t="n">
        <x:f>IF(T31="","",I31*T31)</x:f>
        <x:v>3708.4248156073513</x:v>
      </x:c>
    </x:row>
    <x:row r="32" ht="18" customHeight="1">
      <x:c r="A32" s="46" t="str">
        <x:v>LME_018</x:v>
      </x:c>
      <x:c r="B32" s="46" t="str">
        <x:v>Canadian Eastern Arctic -West Greenland</x:v>
      </x:c>
      <x:c r="C32" s="46" t="str">
        <x:v>LME</x:v>
      </x:c>
      <x:c r="D32" s="58" t="n">
        <x:v>2019</x:v>
      </x:c>
      <x:c r="E32" s="46" t="str">
        <x:v>Clupea harengus</x:v>
      </x:c>
      <x:c r="F32" s="46" t="str">
        <x:v>Atlantic herring</x:v>
      </x:c>
      <x:c r="G32" s="46" t="str">
        <x:v>Medium pelagics (30 - 89 cm)</x:v>
      </x:c>
      <x:c r="H32" s="46" t="str">
        <x:v>Herring-likes</x:v>
      </x:c>
      <x:c r="I32" s="60" t="n">
        <x:v>5.2252798923</x:v>
      </x:c>
      <x:c r="J32" s="60" t="n">
        <x:v>0</x:v>
      </x:c>
      <x:c r="K32" s="60" t="n">
        <x:v>5.2252798923</x:v>
      </x:c>
      <x:c r="L32" s="60" t="n">
        <x:v>0</x:v>
      </x:c>
      <x:c r="M32" s="60" t="n">
        <x:v>5.2252798923</x:v>
      </x:c>
      <x:c r="N32" s="46" t="str">
        <x:v>clupea harengus</x:v>
      </x:c>
      <x:c r="O32" s="62" t="n">
        <x:v>3.38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Clupea harengus</x:v>
      </x:c>
      <x:c r="T32" s="62" t="n">
        <x:f>IF(O32="","",(1/'Metadata'!$B$5)^(O32-1))</x:f>
        <x:v>239.88329190194898</x:v>
      </x:c>
      <x:c r="U32" s="60" t="n">
        <x:f>IF(T32="","",I32*T32)</x:f>
        <x:v>1253.4573416739854</x:v>
      </x:c>
    </x:row>
    <x:row r="33" ht="18" customHeight="1">
      <x:c r="A33" s="46" t="str">
        <x:v>LME_018</x:v>
      </x:c>
      <x:c r="B33" s="46" t="str">
        <x:v>Canadian Eastern Arctic -West Greenland</x:v>
      </x:c>
      <x:c r="C33" s="46" t="str">
        <x:v>LME</x:v>
      </x:c>
      <x:c r="D33" s="58" t="n">
        <x:v>2019</x:v>
      </x:c>
      <x:c r="E33" s="46" t="str">
        <x:v>Sebastes norvegicus</x:v>
      </x:c>
      <x:c r="F33" s="46" t="str">
        <x:v>Golden redfish</x:v>
      </x:c>
      <x:c r="G33" s="46" t="str">
        <x:v>Medium benthopelagics (30 - 89 cm)</x:v>
      </x:c>
      <x:c r="H33" s="46" t="str">
        <x:v>Scorpionfishes</x:v>
      </x:c>
      <x:c r="I33" s="60" t="n">
        <x:v>3.9071667604</x:v>
      </x:c>
      <x:c r="J33" s="60" t="n">
        <x:v>0.9986015739999999</x:v>
      </x:c>
      <x:c r="K33" s="60" t="n">
        <x:v>2.9085651864</x:v>
      </x:c>
      <x:c r="L33" s="60" t="n">
        <x:v>0.9986015739999999</x:v>
      </x:c>
      <x:c r="M33" s="60" t="n">
        <x:v>2.9085651864</x:v>
      </x:c>
      <x:c r="N33" s="46" t="str">
        <x:v>sebastes norvegicus</x:v>
      </x:c>
      <x:c r="O33" s="62" t="n">
        <x:v>4.04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Sebastes norvegicus</x:v>
      </x:c>
      <x:c r="T33" s="62" t="n">
        <x:f>IF(O33="","",(1/'Metadata'!$B$5)^(O33-1))</x:f>
        <x:v>1096.4781961431852</x:v>
      </x:c>
      <x:c r="U33" s="60" t="n">
        <x:f>IF(T33="","",I33*T33)</x:f>
        <x:v>4284.1231614740045</x:v>
      </x:c>
    </x:row>
    <x:row r="34" ht="18" customHeight="1">
      <x:c r="A34" s="46" t="str">
        <x:v>LME_018</x:v>
      </x:c>
      <x:c r="B34" s="46" t="str">
        <x:v>Canadian Eastern Arctic -West Greenland</x:v>
      </x:c>
      <x:c r="C34" s="46" t="str">
        <x:v>LME</x:v>
      </x:c>
      <x:c r="D34" s="58" t="n">
        <x:v>2019</x:v>
      </x:c>
      <x:c r="E34" s="46" t="str">
        <x:v>Brachyura</x:v>
      </x:c>
      <x:c r="F34" s="46" t="str">
        <x:v>Marine crabs</x:v>
      </x:c>
      <x:c r="G34" s="46" t="str">
        <x:v>Lobsters, crabs</x:v>
      </x:c>
      <x:c r="H34" s="46" t="str">
        <x:v>Crustaceans</x:v>
      </x:c>
      <x:c r="I34" s="60" t="n">
        <x:v>3.1915580009</x:v>
      </x:c>
      <x:c r="J34" s="60" t="n">
        <x:v>0</x:v>
      </x:c>
      <x:c r="K34" s="60" t="n">
        <x:v>3.1915580009</x:v>
      </x:c>
      <x:c r="L34" s="60" t="n">
        <x:v>0</x:v>
      </x:c>
      <x:c r="M34" s="60" t="n">
        <x:v>3.1915580009</x:v>
      </x:c>
      <x:c r="N34" s="46" t="str">
        <x:v>brachyura</x:v>
      </x:c>
      <x:c r="O34" s="62" t="n">
        <x:v>2.6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Brachyura</x:v>
      </x:c>
      <x:c r="T34" s="62" t="n">
        <x:f>IF(O34="","",(1/'Metadata'!$B$5)^(O34-1))</x:f>
        <x:v>39.810717055349734</x:v>
      </x:c>
      <x:c r="U34" s="60" t="n">
        <x:f>IF(T34="","",I34*T34)</x:f>
        <x:v>127.05821253956753</x:v>
      </x:c>
    </x:row>
    <x:row r="35" ht="18" customHeight="1">
      <x:c r="A35" s="46" t="str">
        <x:v>LME_018</x:v>
      </x:c>
      <x:c r="B35" s="46" t="str">
        <x:v>Canadian Eastern Arctic -West Greenland</x:v>
      </x:c>
      <x:c r="C35" s="46" t="str">
        <x:v>LME</x:v>
      </x:c>
      <x:c r="D35" s="58" t="n">
        <x:v>2019</x:v>
      </x:c>
      <x:c r="E35" s="46" t="str">
        <x:v>Glyptocephalus cynoglossus</x:v>
      </x:c>
      <x:c r="F35" s="46" t="str">
        <x:v>Witch flounder</x:v>
      </x:c>
      <x:c r="G35" s="46" t="str">
        <x:v>Small to medium flatfishes (&lt;90 cm)</x:v>
      </x:c>
      <x:c r="H35" s="46" t="str">
        <x:v>Flatfishes</x:v>
      </x:c>
      <x:c r="I35" s="60" t="n">
        <x:v>3.0358902134</x:v>
      </x:c>
      <x:c r="J35" s="60" t="n">
        <x:v>0</x:v>
      </x:c>
      <x:c r="K35" s="60" t="n">
        <x:v>3.0358902134</x:v>
      </x:c>
      <x:c r="L35" s="60" t="n">
        <x:v>0</x:v>
      </x:c>
      <x:c r="M35" s="60" t="n">
        <x:v>3.0358902134</x:v>
      </x:c>
      <x:c r="N35" s="46" t="str">
        <x:v>glyptocephalus cynoglossus</x:v>
      </x:c>
      <x:c r="O35" s="62" t="n">
        <x:v>3.17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Glyptocephalus cynoglossus</x:v>
      </x:c>
      <x:c r="T35" s="62" t="n">
        <x:f>IF(O35="","",(1/'Metadata'!$B$5)^(O35-1))</x:f>
        <x:v>147.91083881682073</x:v>
      </x:c>
      <x:c r="U35" s="60" t="n">
        <x:f>IF(T35="","",I35*T35)</x:f>
        <x:v>449.0410680197709</x:v>
      </x:c>
    </x:row>
    <x:row r="36" ht="18" customHeight="1">
      <x:c r="A36" s="46" t="str">
        <x:v>LME_018</x:v>
      </x:c>
      <x:c r="B36" s="46" t="str">
        <x:v>Canadian Eastern Arctic -West Greenland</x:v>
      </x:c>
      <x:c r="C36" s="46" t="str">
        <x:v>LME</x:v>
      </x:c>
      <x:c r="D36" s="58" t="n">
        <x:v>2019</x:v>
      </x:c>
      <x:c r="E36" s="46" t="str">
        <x:v>Coryphaenoides</x:v>
      </x:c>
      <x:c r="F36" s="46" t="str">
        <x:v>Grenadiers</x:v>
      </x:c>
      <x:c r="G36" s="46" t="str">
        <x:v>Large bathypelagics (&gt;=90 cm)</x:v>
      </x:c>
      <x:c r="H36" s="46" t="str">
        <x:v>Cod-likes</x:v>
      </x:c>
      <x:c r="I36" s="60" t="n">
        <x:v>2.5845535633</x:v>
      </x:c>
      <x:c r="J36" s="60" t="n">
        <x:v>0</x:v>
      </x:c>
      <x:c r="K36" s="60" t="n">
        <x:v>2.5845535633</x:v>
      </x:c>
      <x:c r="L36" s="60" t="n">
        <x:v>0</x:v>
      </x:c>
      <x:c r="M36" s="60" t="n">
        <x:v>2.5845535633</x:v>
      </x:c>
      <x:c r="N36" s="46" t="str">
        <x:v>coryphaenoides</x:v>
      </x:c>
      <x:c r="O36" s="62" t="n">
        <x:v>3.97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Coryphaenoides</x:v>
      </x:c>
      <x:c r="T36" s="62" t="n">
        <x:f>IF(O36="","",(1/'Metadata'!$B$5)^(O36-1))</x:f>
        <x:v>933.2543007969915</x:v>
      </x:c>
      <x:c r="U36" s="60" t="n">
        <x:f>IF(T36="","",I36*T36)</x:f>
        <x:v>2412.0457285899147</x:v>
      </x:c>
    </x:row>
    <x:row r="37" ht="18" customHeight="1">
      <x:c r="A37" s="46" t="str">
        <x:v>LME_018</x:v>
      </x:c>
      <x:c r="B37" s="46" t="str">
        <x:v>Canadian Eastern Arctic -West Greenland</x:v>
      </x:c>
      <x:c r="C37" s="46" t="str">
        <x:v>LME</x:v>
      </x:c>
      <x:c r="D37" s="58" t="n">
        <x:v>2019</x:v>
      </x:c>
      <x:c r="E37" s="46" t="str">
        <x:v>Osmerus mordax</x:v>
      </x:c>
      <x:c r="F37" s="46" t="str">
        <x:v>Rainbow smelt</x:v>
      </x:c>
      <x:c r="G37" s="46" t="str">
        <x:v>Small pelagics (&lt;30 cm)</x:v>
      </x:c>
      <x:c r="H37" s="46" t="str">
        <x:v>Salmon, smelts, etc</x:v>
      </x:c>
      <x:c r="I37" s="60" t="n">
        <x:v>2.4329244832</x:v>
      </x:c>
      <x:c r="J37" s="60" t="n">
        <x:v>0</x:v>
      </x:c>
      <x:c r="K37" s="60" t="n">
        <x:v>2.4329244832</x:v>
      </x:c>
      <x:c r="L37" s="60" t="n">
        <x:v>0</x:v>
      </x:c>
      <x:c r="M37" s="60" t="n">
        <x:v>2.4329244832</x:v>
      </x:c>
      <x:c r="N37" s="46" t="str">
        <x:v>osmerus mordax</x:v>
      </x:c>
      <x:c r="O37" s="62" t="n">
        <x:v>3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Osmerus mordax</x:v>
      </x:c>
      <x:c r="T37" s="62" t="n">
        <x:f>IF(O37="","",(1/'Metadata'!$B$5)^(O37-1))</x:f>
        <x:v>100</x:v>
      </x:c>
      <x:c r="U37" s="60" t="n">
        <x:f>IF(T37="","",I37*T37)</x:f>
        <x:v>243.29244831999998</x:v>
      </x:c>
    </x:row>
    <x:row r="38" ht="18" customHeight="1">
      <x:c r="A38" s="46" t="str">
        <x:v>LME_018</x:v>
      </x:c>
      <x:c r="B38" s="46" t="str">
        <x:v>Canadian Eastern Arctic -West Greenland</x:v>
      </x:c>
      <x:c r="C38" s="46" t="str">
        <x:v>LME</x:v>
      </x:c>
      <x:c r="D38" s="58" t="n">
        <x:v>2019</x:v>
      </x:c>
      <x:c r="E38" s="46" t="str">
        <x:v>Squalidae</x:v>
      </x:c>
      <x:c r="F38" s="46" t="str">
        <x:v>Dogfish sharks</x:v>
      </x:c>
      <x:c r="G38" s="46" t="str">
        <x:v>Large sharks (&gt;=90 cm)</x:v>
      </x:c>
      <x:c r="H38" s="46" t="str">
        <x:v>Sharks &amp; rays</x:v>
      </x:c>
      <x:c r="I38" s="60" t="n">
        <x:v>1.966202682</x:v>
      </x:c>
      <x:c r="J38" s="60" t="n">
        <x:v>1.966202682</x:v>
      </x:c>
      <x:c r="K38" s="60" t="n">
        <x:v>0</x:v>
      </x:c>
      <x:c r="L38" s="60" t="n">
        <x:v>1.966202682</x:v>
      </x:c>
      <x:c r="M38" s="60" t="n">
        <x:v>0</x:v>
      </x:c>
      <x:c r="N38" s="46" t="str">
        <x:v>squalidae</x:v>
      </x:c>
      <x:c r="O38" s="62" t="n">
        <x:v>4.23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Squalidae</x:v>
      </x:c>
      <x:c r="T38" s="62" t="n">
        <x:f>IF(O38="","",(1/'Metadata'!$B$5)^(O38-1))</x:f>
        <x:v>1698.243652461746</x:v>
      </x:c>
      <x:c r="U38" s="60" t="n">
        <x:f>IF(T38="","",I38*T38)</x:f>
        <x:v>3339.091224159761</x:v>
      </x:c>
    </x:row>
    <x:row r="39" ht="18" customHeight="1">
      <x:c r="A39" s="46" t="str">
        <x:v>LME_018</x:v>
      </x:c>
      <x:c r="B39" s="46" t="str">
        <x:v>Canadian Eastern Arctic -West Greenland</x:v>
      </x:c>
      <x:c r="C39" s="46" t="str">
        <x:v>LME</x:v>
      </x:c>
      <x:c r="D39" s="58" t="n">
        <x:v>2019</x:v>
      </x:c>
      <x:c r="E39" s="46" t="str">
        <x:v>Buccinum undatum</x:v>
      </x:c>
      <x:c r="F39" s="46" t="str">
        <x:v>Whelk</x:v>
      </x:c>
      <x:c r="G39" s="46" t="str">
        <x:v>Other demersal invertebrates</x:v>
      </x:c>
      <x:c r="H39" s="46" t="str">
        <x:v>Molluscs</x:v>
      </x:c>
      <x:c r="I39" s="60" t="n">
        <x:v>1.3327000586</x:v>
      </x:c>
      <x:c r="J39" s="60" t="n">
        <x:v>0</x:v>
      </x:c>
      <x:c r="K39" s="60" t="n">
        <x:v>1.3327000586</x:v>
      </x:c>
      <x:c r="L39" s="60" t="n">
        <x:v>0</x:v>
      </x:c>
      <x:c r="M39" s="60" t="n">
        <x:v>1.3327000586</x:v>
      </x:c>
      <x:c r="N39" s="46" t="str">
        <x:v>buccinum undatum</x:v>
      </x:c>
      <x:c r="O39" s="62" t="n">
        <x:v>3.75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Buccinum undatum</x:v>
      </x:c>
      <x:c r="T39" s="62" t="n">
        <x:f>IF(O39="","",(1/'Metadata'!$B$5)^(O39-1))</x:f>
        <x:v>562.341325190349</x:v>
      </x:c>
      <x:c r="U39" s="60" t="n">
        <x:f>IF(T39="","",I39*T39)</x:f>
        <x:v>749.4323170343798</x:v>
      </x:c>
    </x:row>
    <x:row r="40" ht="18" customHeight="1">
      <x:c r="A40" s="46" t="str">
        <x:v>LME_018</x:v>
      </x:c>
      <x:c r="B40" s="46" t="str">
        <x:v>Canadian Eastern Arctic -West Greenland</x:v>
      </x:c>
      <x:c r="C40" s="46" t="str">
        <x:v>LME</x:v>
      </x:c>
      <x:c r="D40" s="58" t="n">
        <x:v>2019</x:v>
      </x:c>
      <x:c r="E40" s="46" t="str">
        <x:v>Pollachius virens</x:v>
      </x:c>
      <x:c r="F40" s="46" t="str">
        <x:v>Saithe</x:v>
      </x:c>
      <x:c r="G40" s="46" t="str">
        <x:v>Large demersals (&gt;=90 cm)</x:v>
      </x:c>
      <x:c r="H40" s="46" t="str">
        <x:v>Cod-likes</x:v>
      </x:c>
      <x:c r="I40" s="60" t="n">
        <x:v>0.9199061134</x:v>
      </x:c>
      <x:c r="J40" s="60" t="n">
        <x:v>0</x:v>
      </x:c>
      <x:c r="K40" s="60" t="n">
        <x:v>0.9199061134</x:v>
      </x:c>
      <x:c r="L40" s="60" t="n">
        <x:v>0</x:v>
      </x:c>
      <x:c r="M40" s="60" t="n">
        <x:v>0.9199061134</x:v>
      </x:c>
      <x:c r="N40" s="46" t="str">
        <x:v>pollachius virens</x:v>
      </x:c>
      <x:c r="O40" s="62" t="n">
        <x:v>4.31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Pollachius virens</x:v>
      </x:c>
      <x:c r="T40" s="62" t="n">
        <x:f>IF(O40="","",(1/'Metadata'!$B$5)^(O40-1))</x:f>
        <x:v>2041.7379446695275</x:v>
      </x:c>
      <x:c r="U40" s="60" t="n">
        <x:f>IF(T40="","",I40*T40)</x:f>
        <x:v>1878.207217262249</x:v>
      </x:c>
    </x:row>
    <x:row r="41" ht="18" customHeight="1">
      <x:c r="A41" s="46" t="str">
        <x:v>LME_018</x:v>
      </x:c>
      <x:c r="B41" s="46" t="str">
        <x:v>Canadian Eastern Arctic -West Greenland</x:v>
      </x:c>
      <x:c r="C41" s="46" t="str">
        <x:v>LME</x:v>
      </x:c>
      <x:c r="D41" s="58" t="n">
        <x:v>2019</x:v>
      </x:c>
      <x:c r="E41" s="46" t="str">
        <x:v>Cottidae</x:v>
      </x:c>
      <x:c r="F41" s="46" t="str">
        <x:v>Sculpins</x:v>
      </x:c>
      <x:c r="G41" s="46" t="str">
        <x:v>Large reef assoc. fish (&gt;=90 cm)</x:v>
      </x:c>
      <x:c r="H41" s="46" t="str">
        <x:v>Scorpionfishes</x:v>
      </x:c>
      <x:c r="I41" s="60" t="n">
        <x:v>0.8042130376000001</x:v>
      </x:c>
      <x:c r="J41" s="60" t="n">
        <x:v>0.0002463184</x:v>
      </x:c>
      <x:c r="K41" s="60" t="n">
        <x:v>0.8039667192</x:v>
      </x:c>
      <x:c r="L41" s="60" t="n">
        <x:v>0</x:v>
      </x:c>
      <x:c r="M41" s="60" t="n">
        <x:v>0.8042130376000001</x:v>
      </x:c>
      <x:c r="N41" s="46" t="str">
        <x:v>cottidae</x:v>
      </x:c>
      <x:c r="O41" s="62" t="n">
        <x:v>3.81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Cottidae</x:v>
      </x:c>
      <x:c r="T41" s="62" t="n">
        <x:f>IF(O41="","",(1/'Metadata'!$B$5)^(O41-1))</x:f>
        <x:v>645.6542290346556</x:v>
      </x:c>
      <x:c r="U41" s="60" t="n">
        <x:f>IF(T41="","",I41*T41)</x:f>
        <x:v>519.2435487712465</x:v>
      </x:c>
    </x:row>
    <x:row r="42" ht="18" customHeight="1">
      <x:c r="A42" s="46" t="str">
        <x:v>LME_018</x:v>
      </x:c>
      <x:c r="B42" s="46" t="str">
        <x:v>Canadian Eastern Arctic -West Greenland</x:v>
      </x:c>
      <x:c r="C42" s="46" t="str">
        <x:v>LME</x:v>
      </x:c>
      <x:c r="D42" s="58" t="n">
        <x:v>2019</x:v>
      </x:c>
      <x:c r="E42" s="46" t="str">
        <x:v>Molva dypterygia</x:v>
      </x:c>
      <x:c r="F42" s="46" t="str">
        <x:v>Blue ling</x:v>
      </x:c>
      <x:c r="G42" s="46" t="str">
        <x:v>Large demersals (&gt;=90 cm)</x:v>
      </x:c>
      <x:c r="H42" s="46" t="str">
        <x:v>Cod-likes</x:v>
      </x:c>
      <x:c r="I42" s="60" t="n">
        <x:v>0.7046986105</x:v>
      </x:c>
      <x:c r="J42" s="60" t="n">
        <x:v>0</x:v>
      </x:c>
      <x:c r="K42" s="60" t="n">
        <x:v>0.7046986105</x:v>
      </x:c>
      <x:c r="L42" s="60" t="n">
        <x:v>0</x:v>
      </x:c>
      <x:c r="M42" s="60" t="n">
        <x:v>0.7046986105</x:v>
      </x:c>
      <x:c r="N42" s="46" t="str">
        <x:v>molva dypterygia</x:v>
      </x:c>
      <x:c r="O42" s="62" t="n">
        <x:v>4.49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Molva dypterygia</x:v>
      </x:c>
      <x:c r="T42" s="62" t="n">
        <x:f>IF(O42="","",(1/'Metadata'!$B$5)^(O42-1))</x:f>
        <x:v>3090.295432513592</x:v>
      </x:c>
      <x:c r="U42" s="60" t="n">
        <x:f>IF(T42="","",I42*T42)</x:f>
        <x:v>2177.726897326825</x:v>
      </x:c>
    </x:row>
    <x:row r="43" ht="18" customHeight="1">
      <x:c r="A43" s="46" t="str">
        <x:v>LME_018</x:v>
      </x:c>
      <x:c r="B43" s="46" t="str">
        <x:v>Canadian Eastern Arctic -West Greenland</x:v>
      </x:c>
      <x:c r="C43" s="46" t="str">
        <x:v>LME</x:v>
      </x:c>
      <x:c r="D43" s="58" t="n">
        <x:v>2019</x:v>
      </x:c>
      <x:c r="E43" s="46" t="str">
        <x:v>Salvelinus</x:v>
      </x:c>
      <x:c r="F43" s="46" t="str">
        <x:v>Chars</x:v>
      </x:c>
      <x:c r="G43" s="46" t="str">
        <x:v>Large benthopelagics (&gt;=90 cm)</x:v>
      </x:c>
      <x:c r="H43" s="46" t="str">
        <x:v>Salmon, smelts, etc</x:v>
      </x:c>
      <x:c r="I43" s="60" t="n">
        <x:v>0.5197307766</x:v>
      </x:c>
      <x:c r="J43" s="60" t="n">
        <x:v>0.5197307766</x:v>
      </x:c>
      <x:c r="K43" s="60" t="n">
        <x:v>0</x:v>
      </x:c>
      <x:c r="L43" s="60" t="n">
        <x:v>0</x:v>
      </x:c>
      <x:c r="M43" s="60" t="n">
        <x:v>0.5197307766</x:v>
      </x:c>
      <x:c r="N43" s="46" t="str">
        <x:v>salvelinus</x:v>
      </x:c>
      <x:c r="O43" s="62" t="n">
        <x:v>4.1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Salvelinus</x:v>
      </x:c>
      <x:c r="T43" s="62" t="n">
        <x:f>IF(O43="","",(1/'Metadata'!$B$5)^(O43-1))</x:f>
        <x:v>1258.9254117941662</x:v>
      </x:c>
      <x:c r="U43" s="60" t="n">
        <x:f>IF(T43="","",I43*T43)</x:f>
        <x:v>654.3022819532567</x:v>
      </x:c>
    </x:row>
    <x:row r="44" ht="18" customHeight="1">
      <x:c r="A44" s="46" t="str">
        <x:v>LME_018</x:v>
      </x:c>
      <x:c r="B44" s="46" t="str">
        <x:v>Canadian Eastern Arctic -West Greenland</x:v>
      </x:c>
      <x:c r="C44" s="46" t="str">
        <x:v>LME</x:v>
      </x:c>
      <x:c r="D44" s="58" t="n">
        <x:v>2019</x:v>
      </x:c>
      <x:c r="E44" s="46" t="str">
        <x:v>Strongylocentrotus droebachiensis</x:v>
      </x:c>
      <x:c r="F44" s="46" t="str">
        <x:v>Green sea urchin</x:v>
      </x:c>
      <x:c r="G44" s="46" t="str">
        <x:v>Other demersal invertebrates</x:v>
      </x:c>
      <x:c r="H44" s="46" t="str">
        <x:v>Other fishes &amp; inverts</x:v>
      </x:c>
      <x:c r="I44" s="60" t="n">
        <x:v>0.5072555494</x:v>
      </x:c>
      <x:c r="J44" s="60" t="n">
        <x:v>0</x:v>
      </x:c>
      <x:c r="K44" s="60" t="n">
        <x:v>0.5072555494</x:v>
      </x:c>
      <x:c r="L44" s="60" t="n">
        <x:v>0</x:v>
      </x:c>
      <x:c r="M44" s="60" t="n">
        <x:v>0.5072555494</x:v>
      </x:c>
      <x:c r="N44" s="46" t="str">
        <x:v>strongylocentrotus droebachiensis</x:v>
      </x:c>
      <x:c r="O44" s="62" t="n">
        <x:v>2.3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Strongylocentrotus droebachiensis</x:v>
      </x:c>
      <x:c r="T44" s="62" t="n">
        <x:f>IF(O44="","",(1/'Metadata'!$B$5)^(O44-1))</x:f>
        <x:v>19.952623149688787</x:v>
      </x:c>
      <x:c r="U44" s="60" t="n">
        <x:f>IF(T44="","",I44*T44)</x:f>
        <x:v>10.121078817766543</x:v>
      </x:c>
    </x:row>
    <x:row r="45" ht="18" customHeight="1">
      <x:c r="A45" s="46" t="str">
        <x:v>LME_018</x:v>
      </x:c>
      <x:c r="B45" s="46" t="str">
        <x:v>Canadian Eastern Arctic -West Greenland</x:v>
      </x:c>
      <x:c r="C45" s="46" t="str">
        <x:v>LME</x:v>
      </x:c>
      <x:c r="D45" s="58" t="n">
        <x:v>2019</x:v>
      </x:c>
      <x:c r="E45" s="46" t="str">
        <x:v>Scorpaeniformes</x:v>
      </x:c>
      <x:c r="F45" s="46" t="str">
        <x:v>Scorpionfishes, flatheads</x:v>
      </x:c>
      <x:c r="G45" s="46" t="str">
        <x:v>Medium demersals (30 - 89 cm)</x:v>
      </x:c>
      <x:c r="H45" s="46" t="str">
        <x:v>Scorpionfishes</x:v>
      </x:c>
      <x:c r="I45" s="60" t="n">
        <x:v>0.3782963897</x:v>
      </x:c>
      <x:c r="J45" s="60" t="n">
        <x:v>0</x:v>
      </x:c>
      <x:c r="K45" s="60" t="n">
        <x:v>0.3782963897</x:v>
      </x:c>
      <x:c r="L45" s="60" t="n">
        <x:v>0</x:v>
      </x:c>
      <x:c r="M45" s="60" t="n">
        <x:v>0.3782963897</x:v>
      </x:c>
      <x:c r="N45" s="46" t="str">
        <x:v>scorpaeniformes</x:v>
      </x:c>
      <x:c r="O45" s="62" t="n">
        <x:v>3.78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Scorpaeniformes</x:v>
      </x:c>
      <x:c r="T45" s="62" t="n">
        <x:f>IF(O45="","",(1/'Metadata'!$B$5)^(O45-1))</x:f>
        <x:v>602.5595860743575</x:v>
      </x:c>
      <x:c r="U45" s="60" t="n">
        <x:f>IF(T45="","",I45*T45)</x:f>
        <x:v>227.94611599105585</x:v>
      </x:c>
    </x:row>
    <x:row r="46" ht="18" customHeight="1">
      <x:c r="A46" s="46" t="str">
        <x:v>LME_018</x:v>
      </x:c>
      <x:c r="B46" s="46" t="str">
        <x:v>Canadian Eastern Arctic -West Greenland</x:v>
      </x:c>
      <x:c r="C46" s="46" t="str">
        <x:v>LME</x:v>
      </x:c>
      <x:c r="D46" s="58" t="n">
        <x:v>2019</x:v>
      </x:c>
      <x:c r="E46" s="46" t="str">
        <x:v>Myxinidae</x:v>
      </x:c>
      <x:c r="F46" s="46" t="str">
        <x:v>Hagfishes</x:v>
      </x:c>
      <x:c r="G46" s="46" t="str">
        <x:v>Medium bathydemersals (30 - 89 cm)</x:v>
      </x:c>
      <x:c r="H46" s="46" t="str">
        <x:v>Other fishes &amp; inverts</x:v>
      </x:c>
      <x:c r="I46" s="60" t="n">
        <x:v>0.2907777922</x:v>
      </x:c>
      <x:c r="J46" s="60" t="n">
        <x:v>0</x:v>
      </x:c>
      <x:c r="K46" s="60" t="n">
        <x:v>0.2907777922</x:v>
      </x:c>
      <x:c r="L46" s="60" t="n">
        <x:v>0</x:v>
      </x:c>
      <x:c r="M46" s="60" t="n">
        <x:v>0.2907777922</x:v>
      </x:c>
      <x:c r="N46" s="46" t="str">
        <x:v>myxinidae</x:v>
      </x:c>
      <x:c r="O46" s="62" t="n">
        <x:v>3.45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Myxinidae</x:v>
      </x:c>
      <x:c r="T46" s="62" t="n">
        <x:f>IF(O46="","",(1/'Metadata'!$B$5)^(O46-1))</x:f>
        <x:v>281.8382931264455</x:v>
      </x:c>
      <x:c r="U46" s="60" t="n">
        <x:f>IF(T46="","",I46*T46)</x:f>
        <x:v>81.95231663272425</x:v>
      </x:c>
    </x:row>
    <x:row r="47" ht="18" customHeight="1">
      <x:c r="A47" s="46" t="str">
        <x:v>LME_018</x:v>
      </x:c>
      <x:c r="B47" s="46" t="str">
        <x:v>Canadian Eastern Arctic -West Greenland</x:v>
      </x:c>
      <x:c r="C47" s="46" t="str">
        <x:v>LME</x:v>
      </x:c>
      <x:c r="D47" s="58" t="n">
        <x:v>2019</x:v>
      </x:c>
      <x:c r="E47" s="46" t="str">
        <x:v>Gadiformes</x:v>
      </x:c>
      <x:c r="F47" s="46" t="str">
        <x:v>Cods</x:v>
      </x:c>
      <x:c r="G47" s="46" t="str">
        <x:v>Medium benthopelagics (30 - 89 cm)</x:v>
      </x:c>
      <x:c r="H47" s="46" t="str">
        <x:v>Cod-likes</x:v>
      </x:c>
      <x:c r="I47" s="60" t="n">
        <x:v>0.236611511</x:v>
      </x:c>
      <x:c r="J47" s="60" t="n">
        <x:v>0</x:v>
      </x:c>
      <x:c r="K47" s="60" t="n">
        <x:v>0.236611511</x:v>
      </x:c>
      <x:c r="L47" s="60" t="n">
        <x:v>0</x:v>
      </x:c>
      <x:c r="M47" s="60" t="n">
        <x:v>0.236611511</x:v>
      </x:c>
      <x:c r="N47" s="46" t="str">
        <x:v>gadiformes</x:v>
      </x:c>
      <x:c r="O47" s="62" t="n">
        <x:v>3.91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Gadiformes</x:v>
      </x:c>
      <x:c r="T47" s="62" t="n">
        <x:f>IF(O47="","",(1/'Metadata'!$B$5)^(O47-1))</x:f>
        <x:v>812.8305161640995</x:v>
      </x:c>
      <x:c r="U47" s="60" t="n">
        <x:f>IF(T47="","",I47*T47)</x:f>
        <x:v>192.3250566164975</x:v>
      </x:c>
    </x:row>
    <x:row r="48" ht="18" customHeight="1">
      <x:c r="A48" s="46" t="str">
        <x:v>LME_018</x:v>
      </x:c>
      <x:c r="B48" s="46" t="str">
        <x:v>Canadian Eastern Arctic -West Greenland</x:v>
      </x:c>
      <x:c r="C48" s="46" t="str">
        <x:v>LME</x:v>
      </x:c>
      <x:c r="D48" s="58" t="n">
        <x:v>2019</x:v>
      </x:c>
      <x:c r="E48" s="46" t="str">
        <x:v>Gadidae</x:v>
      </x:c>
      <x:c r="F48" s="46" t="str">
        <x:v>Cods, haddocks</x:v>
      </x:c>
      <x:c r="G48" s="46" t="str">
        <x:v>Medium demersals (30 - 89 cm)</x:v>
      </x:c>
      <x:c r="H48" s="46" t="str">
        <x:v>Cod-likes</x:v>
      </x:c>
      <x:c r="I48" s="60" t="n">
        <x:v>0.1937720352</x:v>
      </x:c>
      <x:c r="J48" s="60" t="n">
        <x:v>0.0464925229</x:v>
      </x:c>
      <x:c r="K48" s="60" t="n">
        <x:v>0.1472795123</x:v>
      </x:c>
      <x:c r="L48" s="60" t="n">
        <x:v>0</x:v>
      </x:c>
      <x:c r="M48" s="60" t="n">
        <x:v>0.1937720352</x:v>
      </x:c>
      <x:c r="N48" s="46" t="str">
        <x:v>gadidae</x:v>
      </x:c>
      <x:c r="O48" s="62" t="n">
        <x:v>3.84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Gadidae</x:v>
      </x:c>
      <x:c r="T48" s="62" t="n">
        <x:f>IF(O48="","",(1/'Metadata'!$B$5)^(O48-1))</x:f>
        <x:v>691.8309709189363</x:v>
      </x:c>
      <x:c r="U48" s="60" t="n">
        <x:f>IF(T48="","",I48*T48)</x:f>
        <x:v>134.0574952493543</x:v>
      </x:c>
    </x:row>
    <x:row r="49" ht="18" customHeight="1">
      <x:c r="A49" s="46" t="str">
        <x:v>LME_018</x:v>
      </x:c>
      <x:c r="B49" s="46" t="str">
        <x:v>Canadian Eastern Arctic -West Greenland</x:v>
      </x:c>
      <x:c r="C49" s="46" t="str">
        <x:v>LME</x:v>
      </x:c>
      <x:c r="D49" s="58" t="n">
        <x:v>2019</x:v>
      </x:c>
      <x:c r="E49" s="46" t="str">
        <x:v>Coregonus</x:v>
      </x:c>
      <x:c r="F49" s="46" t="str">
        <x:v>Whitefishes</x:v>
      </x:c>
      <x:c r="G49" s="46" t="str">
        <x:v>Medium pelagics (30 - 89 cm)</x:v>
      </x:c>
      <x:c r="H49" s="46" t="str">
        <x:v>Salmon, smelts, etc</x:v>
      </x:c>
      <x:c r="I49" s="60" t="n">
        <x:v>0.1445168056</x:v>
      </x:c>
      <x:c r="J49" s="60" t="n">
        <x:v>0.1445168056</x:v>
      </x:c>
      <x:c r="K49" s="60" t="n">
        <x:v>0</x:v>
      </x:c>
      <x:c r="L49" s="60" t="n">
        <x:v>0</x:v>
      </x:c>
      <x:c r="M49" s="60" t="n">
        <x:v>0.1445168056</x:v>
      </x:c>
      <x:c r="N49" s="46" t="str">
        <x:v>coregonus</x:v>
      </x:c>
      <x:c r="O49" s="62" t="n">
        <x:v>3.3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Coregonus</x:v>
      </x:c>
      <x:c r="T49" s="62" t="n">
        <x:f>IF(O49="","",(1/'Metadata'!$B$5)^(O49-1))</x:f>
        <x:v>199.52623149688787</x:v>
      </x:c>
      <x:c r="U49" s="60" t="n">
        <x:f>IF(T49="","",I49*T49)</x:f>
        <x:v>28.83489360933634</x:v>
      </x:c>
    </x:row>
    <x:row r="50" ht="18" customHeight="1">
      <x:c r="A50" s="46" t="str">
        <x:v>LME_018</x:v>
      </x:c>
      <x:c r="B50" s="46" t="str">
        <x:v>Canadian Eastern Arctic -West Greenland</x:v>
      </x:c>
      <x:c r="C50" s="46" t="str">
        <x:v>LME</x:v>
      </x:c>
      <x:c r="D50" s="58" t="n">
        <x:v>2019</x:v>
      </x:c>
      <x:c r="E50" s="46" t="str">
        <x:v>Melanogrammus aeglefinus</x:v>
      </x:c>
      <x:c r="F50" s="46" t="str">
        <x:v>Haddock</x:v>
      </x:c>
      <x:c r="G50" s="46" t="str">
        <x:v>Medium demersals (30 - 89 cm)</x:v>
      </x:c>
      <x:c r="H50" s="46" t="str">
        <x:v>Cod-likes</x:v>
      </x:c>
      <x:c r="I50" s="60" t="n">
        <x:v>0.0942246716</x:v>
      </x:c>
      <x:c r="J50" s="60" t="n">
        <x:v>0</x:v>
      </x:c>
      <x:c r="K50" s="60" t="n">
        <x:v>0.0942246716</x:v>
      </x:c>
      <x:c r="L50" s="60" t="n">
        <x:v>0</x:v>
      </x:c>
      <x:c r="M50" s="60" t="n">
        <x:v>0.0942246716</x:v>
      </x:c>
      <x:c r="N50" s="46" t="str">
        <x:v>melanogrammus aeglefinus</x:v>
      </x:c>
      <x:c r="O50" s="62" t="n">
        <x:v>4.03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Melanogrammus aeglefinus</x:v>
      </x:c>
      <x:c r="T50" s="62" t="n">
        <x:f>IF(O50="","",(1/'Metadata'!$B$5)^(O50-1))</x:f>
        <x:v>1071.519305237607</x:v>
      </x:c>
      <x:c r="U50" s="60" t="n">
        <x:f>IF(T50="","",I50*T50)</x:f>
        <x:v>100.9635546490737</x:v>
      </x:c>
    </x:row>
    <x:row r="51" ht="18" customHeight="1">
      <x:c r="A51" s="46" t="str">
        <x:v>LME_018</x:v>
      </x:c>
      <x:c r="B51" s="46" t="str">
        <x:v>Canadian Eastern Arctic -West Greenland</x:v>
      </x:c>
      <x:c r="C51" s="46" t="str">
        <x:v>LME</x:v>
      </x:c>
      <x:c r="D51" s="58" t="n">
        <x:v>2019</x:v>
      </x:c>
      <x:c r="E51" s="46" t="str">
        <x:v>Rajidae</x:v>
      </x:c>
      <x:c r="F51" s="46" t="str">
        <x:v>Stingrays</x:v>
      </x:c>
      <x:c r="G51" s="46" t="str">
        <x:v>Large rays (&gt;=90 cm)</x:v>
      </x:c>
      <x:c r="H51" s="46" t="str">
        <x:v>Sharks &amp; rays</x:v>
      </x:c>
      <x:c r="I51" s="60" t="n">
        <x:v>0.0665625482</x:v>
      </x:c>
      <x:c r="J51" s="60" t="n">
        <x:v>0</x:v>
      </x:c>
      <x:c r="K51" s="60" t="n">
        <x:v>0.0665625482</x:v>
      </x:c>
      <x:c r="L51" s="60" t="n">
        <x:v>0</x:v>
      </x:c>
      <x:c r="M51" s="60" t="n">
        <x:v>0.0665625482</x:v>
      </x:c>
      <x:c r="N51" s="46" t="str">
        <x:v>rajidae</x:v>
      </x:c>
      <x:c r="O51" s="62" t="n">
        <x:v>3.82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Rajidae</x:v>
      </x:c>
      <x:c r="T51" s="62" t="n">
        <x:f>IF(O51="","",(1/'Metadata'!$B$5)^(O51-1))</x:f>
        <x:v>660.6934480075957</x:v>
      </x:c>
      <x:c r="U51" s="60" t="n">
        <x:f>IF(T51="","",I51*T51)</x:f>
        <x:v>43.97743947842979</x:v>
      </x:c>
    </x:row>
    <x:row r="52" ht="18" customHeight="1">
      <x:c r="A52" s="46" t="str">
        <x:v>LME_018</x:v>
      </x:c>
      <x:c r="B52" s="46" t="str">
        <x:v>Canadian Eastern Arctic -West Greenland</x:v>
      </x:c>
      <x:c r="C52" s="46" t="str">
        <x:v>LME</x:v>
      </x:c>
      <x:c r="D52" s="58" t="n">
        <x:v>2019</x:v>
      </x:c>
      <x:c r="E52" s="46" t="str">
        <x:v>Miscellaneous aquatic invertebrates</x:v>
      </x:c>
      <x:c r="F52" s="46" t="str">
        <x:v>Aquatic invertebrates</x:v>
      </x:c>
      <x:c r="G52" s="46" t="str">
        <x:v>Other demersal invertebrates</x:v>
      </x:c>
      <x:c r="H52" s="46" t="str">
        <x:v>Other fishes &amp; inverts</x:v>
      </x:c>
      <x:c r="I52" s="60" t="n">
        <x:v>0.0618482539</x:v>
      </x:c>
      <x:c r="J52" s="60" t="n">
        <x:v>0</x:v>
      </x:c>
      <x:c r="K52" s="60" t="n">
        <x:v>0.0618482539</x:v>
      </x:c>
      <x:c r="L52" s="60" t="n">
        <x:v>0</x:v>
      </x:c>
      <x:c r="M52" s="60" t="n">
        <x:v>0.0618482539</x:v>
      </x:c>
      <x:c r="N52" s="46" t="str">
        <x:v>miscellaneous aquatic invertebrates</x:v>
      </x:c>
      <x:c r="O52" s="62" t="n">
        <x:v>2.43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Miscellaneous aquatic invertebrates</x:v>
      </x:c>
      <x:c r="T52" s="62" t="n">
        <x:f>IF(O52="","",(1/'Metadata'!$B$5)^(O52-1))</x:f>
        <x:v>26.915348039269166</x:v>
      </x:c>
      <x:c r="U52" s="60" t="n">
        <x:f>IF(T52="","",I52*T52)</x:f>
        <x:v>1.6646672793395865</x:v>
      </x:c>
    </x:row>
    <x:row r="53" ht="18" customHeight="1">
      <x:c r="A53" s="46" t="str">
        <x:v>LME_018</x:v>
      </x:c>
      <x:c r="B53" s="46" t="str">
        <x:v>Canadian Eastern Arctic -West Greenland</x:v>
      </x:c>
      <x:c r="C53" s="46" t="str">
        <x:v>LME</x:v>
      </x:c>
      <x:c r="D53" s="58" t="n">
        <x:v>2019</x:v>
      </x:c>
      <x:c r="E53" s="46" t="str">
        <x:v>Teuthida</x:v>
      </x:c>
      <x:c r="F53" s="46" t="str">
        <x:v>Squids</x:v>
      </x:c>
      <x:c r="G53" s="46" t="str">
        <x:v>Cephalopods</x:v>
      </x:c>
      <x:c r="H53" s="46" t="str">
        <x:v>Other fishes &amp; inverts</x:v>
      </x:c>
      <x:c r="I53" s="60" t="n">
        <x:v>0.0493171724</x:v>
      </x:c>
      <x:c r="J53" s="60" t="n">
        <x:v>0</x:v>
      </x:c>
      <x:c r="K53" s="60" t="n">
        <x:v>0.0493171724</x:v>
      </x:c>
      <x:c r="L53" s="60" t="n">
        <x:v>0</x:v>
      </x:c>
      <x:c r="M53" s="60" t="n">
        <x:v>0.0493171724</x:v>
      </x:c>
      <x:c r="N53" s="46" t="str">
        <x:v>teuthida</x:v>
      </x:c>
      <x:c r="O53" s="62" t="n">
        <x:v>4.13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Teuthida</x:v>
      </x:c>
      <x:c r="T53" s="62" t="n">
        <x:f>IF(O53="","",(1/'Metadata'!$B$5)^(O53-1))</x:f>
        <x:v>1348.9628825916532</x:v>
      </x:c>
      <x:c r="U53" s="60" t="n">
        <x:f>IF(T53="","",I53*T53)</x:f>
        <x:v>66.52703504197352</x:v>
      </x:c>
    </x:row>
    <x:row r="54" ht="18" customHeight="1">
      <x:c r="A54" s="46" t="str">
        <x:v>LME_018</x:v>
      </x:c>
      <x:c r="B54" s="46" t="str">
        <x:v>Canadian Eastern Arctic -West Greenland</x:v>
      </x:c>
      <x:c r="C54" s="46" t="str">
        <x:v>LME</x:v>
      </x:c>
      <x:c r="D54" s="58" t="n">
        <x:v>2019</x:v>
      </x:c>
      <x:c r="E54" s="46" t="str">
        <x:v>Echinoidea</x:v>
      </x:c>
      <x:c r="F54" s="46" t="str">
        <x:v>Sea urchins, sea hedgehogs</x:v>
      </x:c>
      <x:c r="G54" s="46" t="str">
        <x:v>Other demersal invertebrates</x:v>
      </x:c>
      <x:c r="H54" s="46" t="str">
        <x:v>Other fishes &amp; inverts</x:v>
      </x:c>
      <x:c r="I54" s="60" t="n">
        <x:v>0.0412218229</x:v>
      </x:c>
      <x:c r="J54" s="60" t="n">
        <x:v>0</x:v>
      </x:c>
      <x:c r="K54" s="60" t="n">
        <x:v>0.0412218229</x:v>
      </x:c>
      <x:c r="L54" s="60" t="n">
        <x:v>0</x:v>
      </x:c>
      <x:c r="M54" s="60" t="n">
        <x:v>0.0412218229</x:v>
      </x:c>
      <x:c r="N54" s="46" t="str">
        <x:v>echinoidea</x:v>
      </x:c>
      <x:c r="O54" s="62" t="n">
        <x:v>2.51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Echinoidea</x:v>
      </x:c>
      <x:c r="T54" s="62" t="n">
        <x:f>IF(O54="","",(1/'Metadata'!$B$5)^(O54-1))</x:f>
        <x:v>32.35936569296281</x:v>
      </x:c>
      <x:c r="U54" s="60" t="n">
        <x:f>IF(T54="","",I54*T54)</x:f>
        <x:v>1.3339120417516488</x:v>
      </x:c>
    </x:row>
    <x:row r="55" ht="18" customHeight="1">
      <x:c r="A55" s="46" t="str">
        <x:v>LME_018</x:v>
      </x:c>
      <x:c r="B55" s="46" t="str">
        <x:v>Canadian Eastern Arctic -West Greenland</x:v>
      </x:c>
      <x:c r="C55" s="46" t="str">
        <x:v>LME</x:v>
      </x:c>
      <x:c r="D55" s="58" t="n">
        <x:v>2019</x:v>
      </x:c>
      <x:c r="E55" s="46" t="str">
        <x:v>Coregonus nasus</x:v>
      </x:c>
      <x:c r="F55" s="46" t="str">
        <x:v>Broad whitefish</x:v>
      </x:c>
      <x:c r="G55" s="46" t="str">
        <x:v>Medium demersals (30 - 89 cm)</x:v>
      </x:c>
      <x:c r="H55" s="46" t="str">
        <x:v>Salmon, smelts, etc</x:v>
      </x:c>
      <x:c r="I55" s="60" t="n">
        <x:v>0.0389619584</x:v>
      </x:c>
      <x:c r="J55" s="60" t="n">
        <x:v>0.0389619584</x:v>
      </x:c>
      <x:c r="K55" s="60" t="n">
        <x:v>0</x:v>
      </x:c>
      <x:c r="L55" s="60" t="n">
        <x:v>0</x:v>
      </x:c>
      <x:c r="M55" s="60" t="n">
        <x:v>0.0389619584</x:v>
      </x:c>
      <x:c r="N55" s="46" t="str">
        <x:v>coregonus nasus</x:v>
      </x:c>
      <x:c r="O55" s="62" t="n">
        <x:v>3.45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Coregonus nasus</x:v>
      </x:c>
      <x:c r="T55" s="62" t="n">
        <x:f>IF(O55="","",(1/'Metadata'!$B$5)^(O55-1))</x:f>
        <x:v>281.8382931264455</x:v>
      </x:c>
      <x:c r="U55" s="60" t="n">
        <x:f>IF(T55="","",I55*T55)</x:f>
        <x:v>10.980971852319575</x:v>
      </x:c>
    </x:row>
    <x:row r="56" ht="18" customHeight="1">
      <x:c r="A56" s="46" t="str">
        <x:v>LME_018</x:v>
      </x:c>
      <x:c r="B56" s="46" t="str">
        <x:v>Canadian Eastern Arctic -West Greenland</x:v>
      </x:c>
      <x:c r="C56" s="46" t="str">
        <x:v>LME</x:v>
      </x:c>
      <x:c r="D56" s="58" t="n">
        <x:v>2019</x:v>
      </x:c>
      <x:c r="E56" s="46" t="str">
        <x:v>Miscellaneous marine crustaceans</x:v>
      </x:c>
      <x:c r="F56" s="46" t="str">
        <x:v>Marine crabs, shrimps, lobsters nei</x:v>
      </x:c>
      <x:c r="G56" s="46" t="str">
        <x:v>Shrimps</x:v>
      </x:c>
      <x:c r="H56" s="46" t="str">
        <x:v>Crustaceans</x:v>
      </x:c>
      <x:c r="I56" s="60" t="n">
        <x:v>0.0225869813</x:v>
      </x:c>
      <x:c r="J56" s="60" t="n">
        <x:v>0</x:v>
      </x:c>
      <x:c r="K56" s="60" t="n">
        <x:v>0.0225869813</x:v>
      </x:c>
      <x:c r="L56" s="60" t="n">
        <x:v>0</x:v>
      </x:c>
      <x:c r="M56" s="60" t="n">
        <x:v>0.0225869813</x:v>
      </x:c>
      <x:c r="N56" s="46" t="str">
        <x:v>miscellaneous marine crustaceans</x:v>
      </x:c>
      <x:c r="O56" s="62" t="n">
        <x:v>2.7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Miscellaneous marine crustaceans</x:v>
      </x:c>
      <x:c r="T56" s="62" t="n">
        <x:f>IF(O56="","",(1/'Metadata'!$B$5)^(O56-1))</x:f>
        <x:v>50.11872336272725</x:v>
      </x:c>
      <x:c r="U56" s="60" t="n">
        <x:f>IF(T56="","",I56*T56)</x:f>
        <x:v>1.1320306673737934</x:v>
      </x:c>
    </x:row>
    <x:row r="57" ht="18" customHeight="1">
      <x:c r="A57" s="46" t="str">
        <x:v>LME_018</x:v>
      </x:c>
      <x:c r="B57" s="46" t="str">
        <x:v>Canadian Eastern Arctic -West Greenland</x:v>
      </x:c>
      <x:c r="C57" s="46" t="str">
        <x:v>LME</x:v>
      </x:c>
      <x:c r="D57" s="58" t="n">
        <x:v>2019</x:v>
      </x:c>
      <x:c r="E57" s="46" t="str">
        <x:v>Scyphozoa</x:v>
      </x:c>
      <x:c r="F57" s="46" t="str">
        <x:v>True jellyfishes</x:v>
      </x:c>
      <x:c r="G57" s="46" t="str">
        <x:v>Jellyfish</x:v>
      </x:c>
      <x:c r="H57" s="46" t="str">
        <x:v>Other fishes &amp; inverts</x:v>
      </x:c>
      <x:c r="I57" s="60" t="n">
        <x:v>0.0131508159</x:v>
      </x:c>
      <x:c r="J57" s="60" t="n">
        <x:v>0</x:v>
      </x:c>
      <x:c r="K57" s="60" t="n">
        <x:v>0.0131508159</x:v>
      </x:c>
      <x:c r="L57" s="60" t="n">
        <x:v>0</x:v>
      </x:c>
      <x:c r="M57" s="60" t="n">
        <x:v>0.0131508159</x:v>
      </x:c>
      <x:c r="N57" s="46" t="str">
        <x:v>scyphozoa</x:v>
      </x:c>
      <x:c r="O57" s="62" t="n">
        <x:v>3.46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Scyphozoa</x:v>
      </x:c>
      <x:c r="T57" s="62" t="n">
        <x:f>IF(O57="","",(1/'Metadata'!$B$5)^(O57-1))</x:f>
        <x:v>288.40315031266056</x:v>
      </x:c>
      <x:c r="U57" s="60" t="n">
        <x:f>IF(T57="","",I57*T57)</x:f>
        <x:v>3.792736734741826</x:v>
      </x:c>
    </x:row>
    <x:row r="58" ht="18" customHeight="1">
      <x:c r="A58" s="46" t="str">
        <x:v>LME_018</x:v>
      </x:c>
      <x:c r="B58" s="46" t="str">
        <x:v>Canadian Eastern Arctic -West Greenland</x:v>
      </x:c>
      <x:c r="C58" s="46" t="str">
        <x:v>LME</x:v>
      </x:c>
      <x:c r="D58" s="58" t="n">
        <x:v>2019</x:v>
      </x:c>
      <x:c r="E58" s="46" t="str">
        <x:v>Osmeridae</x:v>
      </x:c>
      <x:c r="F58" s="46" t="str">
        <x:v>Smelts</x:v>
      </x:c>
      <x:c r="G58" s="46" t="str">
        <x:v>Small pelagics (&lt;30 cm)</x:v>
      </x:c>
      <x:c r="H58" s="46" t="str">
        <x:v>Salmon, smelts, etc</x:v>
      </x:c>
      <x:c r="I58" s="60" t="n">
        <x:v>0.0031864925</x:v>
      </x:c>
      <x:c r="J58" s="60" t="n">
        <x:v>0.0031864925</x:v>
      </x:c>
      <x:c r="K58" s="60" t="n">
        <x:v>0</x:v>
      </x:c>
      <x:c r="L58" s="60" t="n">
        <x:v>0</x:v>
      </x:c>
      <x:c r="M58" s="60" t="n">
        <x:v>0.0031864925</x:v>
      </x:c>
      <x:c r="N58" s="46" t="str">
        <x:v>osmeridae</x:v>
      </x:c>
      <x:c r="O58" s="62" t="n">
        <x:v>3.46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Osmeridae</x:v>
      </x:c>
      <x:c r="T58" s="62" t="n">
        <x:f>IF(O58="","",(1/'Metadata'!$B$5)^(O58-1))</x:f>
        <x:v>288.40315031266056</x:v>
      </x:c>
      <x:c r="U58" s="60" t="n">
        <x:f>IF(T58="","",I58*T58)</x:f>
        <x:v>0.9189944754476655</x:v>
      </x:c>
    </x:row>
    <x:row r="59" ht="18" customHeight="1">
      <x:c r="A59" s="46" t="str">
        <x:v>LME_018</x:v>
      </x:c>
      <x:c r="B59" s="46" t="str">
        <x:v>Canadian Eastern Arctic -West Greenland</x:v>
      </x:c>
      <x:c r="C59" s="46" t="str">
        <x:v>LME</x:v>
      </x:c>
      <x:c r="D59" s="58" t="n">
        <x:v>2019</x:v>
      </x:c>
      <x:c r="E59" s="46" t="str">
        <x:v>Ammodytidae</x:v>
      </x:c>
      <x:c r="F59" s="46" t="str">
        <x:v>Sand lances</x:v>
      </x:c>
      <x:c r="G59" s="46" t="str">
        <x:v>Large reef assoc. fish (&gt;=90 cm)</x:v>
      </x:c>
      <x:c r="H59" s="46" t="str">
        <x:v>Perch-likes</x:v>
      </x:c>
      <x:c r="I59" s="60" t="n">
        <x:v>0.0009223944</x:v>
      </x:c>
      <x:c r="J59" s="60" t="n">
        <x:v>0</x:v>
      </x:c>
      <x:c r="K59" s="60" t="n">
        <x:v>0.0009223944</x:v>
      </x:c>
      <x:c r="L59" s="60" t="n">
        <x:v>0</x:v>
      </x:c>
      <x:c r="M59" s="60" t="n">
        <x:v>0.0009223944</x:v>
      </x:c>
      <x:c r="N59" s="46" t="str">
        <x:v>ammodytidae</x:v>
      </x:c>
      <x:c r="O59" s="62" t="n">
        <x:v>3.11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Ammodytidae</x:v>
      </x:c>
      <x:c r="T59" s="62" t="n">
        <x:f>IF(O59="","",(1/'Metadata'!$B$5)^(O59-1))</x:f>
        <x:v>128.82495516931337</x:v>
      </x:c>
      <x:c r="U59" s="60" t="n">
        <x:f>IF(T59="","",I59*T59)</x:f>
        <x:v>0.1188274172284257</x:v>
      </x:c>
    </x:row>
    <x:row r="60" ht="18" customHeight="1">
      <x:c r="A60" s="46" t="str">
        <x:v>LME_018</x:v>
      </x:c>
      <x:c r="B60" s="46" t="str">
        <x:v>Canadian Eastern Arctic -West Greenland</x:v>
      </x:c>
      <x:c r="C60" s="46" t="str">
        <x:v>LME</x:v>
      </x:c>
      <x:c r="D60" s="58" t="n">
        <x:v>2019</x:v>
      </x:c>
      <x:c r="E60" s="46" t="str">
        <x:v>Phycis</x:v>
      </x:c>
      <x:c r="F60" s="46" t="str">
        <x:v>Gunnels, forkbeards</x:v>
      </x:c>
      <x:c r="G60" s="46" t="str">
        <x:v>Medium benthopelagics (30 - 89 cm)</x:v>
      </x:c>
      <x:c r="H60" s="46" t="str">
        <x:v>Cod-likes</x:v>
      </x:c>
      <x:c r="I60" s="60" t="n">
        <x:v>0.0008362692</x:v>
      </x:c>
      <x:c r="J60" s="60" t="n">
        <x:v>0</x:v>
      </x:c>
      <x:c r="K60" s="60" t="n">
        <x:v>0.0008362692</x:v>
      </x:c>
      <x:c r="L60" s="60" t="n">
        <x:v>0</x:v>
      </x:c>
      <x:c r="M60" s="60" t="n">
        <x:v>0.0008362692</x:v>
      </x:c>
      <x:c r="N60" s="46" t="str">
        <x:v>phycis</x:v>
      </x:c>
      <x:c r="O60" s="62" t="n">
        <x:v>3.99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Phycis</x:v>
      </x:c>
      <x:c r="T60" s="62" t="n">
        <x:f>IF(O60="","",(1/'Metadata'!$B$5)^(O60-1))</x:f>
        <x:v>977.2372209558112</x:v>
      </x:c>
      <x:c r="U60" s="60" t="n">
        <x:f>IF(T60="","",I60*T60)</x:f>
        <x:v>0.8172333889789395</x:v>
      </x:c>
    </x:row>
    <x:row r="61" ht="18" customHeight="1">
      <x:c r="A61" s="46" t="str">
        <x:v>LME_018</x:v>
      </x:c>
      <x:c r="B61" s="46" t="str">
        <x:v>Canadian Eastern Arctic -West Greenland</x:v>
      </x:c>
      <x:c r="C61" s="46" t="str">
        <x:v>LME</x:v>
      </x:c>
      <x:c r="D61" s="58" t="n">
        <x:v>2019</x:v>
      </x:c>
      <x:c r="E61" s="46" t="str">
        <x:v>Boreogadus saida</x:v>
      </x:c>
      <x:c r="F61" s="46" t="str">
        <x:v>Polar cod</x:v>
      </x:c>
      <x:c r="G61" s="46" t="str">
        <x:v>Medium demersals (30 - 89 cm)</x:v>
      </x:c>
      <x:c r="H61" s="46" t="str">
        <x:v>Cod-likes</x:v>
      </x:c>
      <x:c r="I61" s="60" t="n">
        <x:v>0.0000555015</x:v>
      </x:c>
      <x:c r="J61" s="60" t="n">
        <x:v>0.0000555015</x:v>
      </x:c>
      <x:c r="K61" s="60" t="n">
        <x:v>0</x:v>
      </x:c>
      <x:c r="L61" s="60" t="n">
        <x:v>0</x:v>
      </x:c>
      <x:c r="M61" s="60" t="n">
        <x:v>0.0000555015</x:v>
      </x:c>
      <x:c r="N61" s="46" t="str">
        <x:v>boreogadus saida</x:v>
      </x:c>
      <x:c r="O61" s="62" t="n">
        <x:v>3.12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Boreogadus saida</x:v>
      </x:c>
      <x:c r="T61" s="62" t="n">
        <x:f>IF(O61="","",(1/'Metadata'!$B$5)^(O61-1))</x:f>
        <x:v>131.82567385564073</x:v>
      </x:c>
      <x:c r="U61" s="60" t="n">
        <x:f>IF(T61="","",I61*T61)</x:f>
        <x:v>0.007316522637498843</x:v>
      </x:c>
    </x:row>
    <x:row r="62" ht="18" customHeight="1">
      <x:c r="A62" s="46" t="str">
        <x:v>LME_018</x:v>
      </x:c>
      <x:c r="B62" s="46" t="str">
        <x:v>Canadian Eastern Arctic -West Greenland</x:v>
      </x:c>
      <x:c r="C62" s="46" t="str">
        <x:v>LME</x:v>
      </x:c>
      <x:c r="D62" s="58" t="n">
        <x:v>2019</x:v>
      </x:c>
      <x:c r="E62" s="46" t="str">
        <x:v>Myoxocephalus quadricornis</x:v>
      </x:c>
      <x:c r="F62" s="46" t="str">
        <x:v>Fourhorn sculpin</x:v>
      </x:c>
      <x:c r="G62" s="46" t="str">
        <x:v>Medium demersals (30 - 89 cm)</x:v>
      </x:c>
      <x:c r="H62" s="46" t="str">
        <x:v>Scorpionfishes</x:v>
      </x:c>
      <x:c r="I62" s="60" t="n">
        <x:v>0.0000093277</x:v>
      </x:c>
      <x:c r="J62" s="60" t="n">
        <x:v>0.0000093277</x:v>
      </x:c>
      <x:c r="K62" s="60" t="n">
        <x:v>0</x:v>
      </x:c>
      <x:c r="L62" s="60" t="n">
        <x:v>0</x:v>
      </x:c>
      <x:c r="M62" s="60" t="n">
        <x:v>0.0000093277</x:v>
      </x:c>
      <x:c r="N62" s="46" t="str">
        <x:v>myoxocephalus quadricornis</x:v>
      </x:c>
      <x:c r="O62" s="62" t="n">
        <x:v>3.69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Myoxocephalus quadricornis</x:v>
      </x:c>
      <x:c r="T62" s="62" t="n">
        <x:f>IF(O62="","",(1/'Metadata'!$B$5)^(O62-1))</x:f>
        <x:v>489.77881936844614</x:v>
      </x:c>
      <x:c r="U62" s="60" t="n">
        <x:f>IF(T62="","",I62*T62)</x:f>
        <x:v>0.004568509893423055</x:v>
      </x:c>
    </x:row>
  </x:sheetData>
  <x:conditionalFormatting sqref="R2:R6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a865dff152044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12</x:v>
      </x:c>
      <x:c r="C2" s="64" t="n">
        <x:v>12</x:v>
      </x:c>
      <x:c r="D2" s="60" t="n">
        <x:v>32323.500216867098</x:v>
      </x:c>
      <x:c r="E2" s="60" t="n">
        <x:v>32323.500216867098</x:v>
      </x:c>
      <x:c r="F2" s="62" t="n">
        <x:v>0</x:v>
      </x:c>
      <x:c r="G2" s="66" t="n">
        <x:v>1</x:v>
      </x:c>
      <x:c r="H2" s="62" t="n">
        <x:f>IF(E2=0,"",I2/E2)</x:f>
        <x:v>1229.7962562893836</x:v>
      </x:c>
      <x:c r="I2" s="60" t="n">
        <x:f>SUMIF('Species'!$H$2:$H$62,A2,'Species'!$U$2:$U$62)</x:f>
        <x:v>39751319.556872234</x:v>
      </x:c>
      <x:c r="J2" s="62" t="n">
        <x:v>4.089551877683279</x:v>
      </x:c>
      <x:c r="K2" s="62" t="n">
        <x:f>IF(J2="","",(1/'Metadata'!$B$5)^(J2-1))</x:f>
        <x:v>1228.9999852756544</x:v>
      </x:c>
      <x:c r="L2" s="60" t="n">
        <x:f>IF(E2=0,"",E2*K2)</x:f>
        <x:v>39725581.290587276</x:v>
      </x:c>
      <x:c r="M2" s="60" t="n">
        <x:f>I2-L2</x:f>
        <x:v>25738.266284957528</x:v>
      </x:c>
      <x:c r="N2" s="62" t="n">
        <x:f>IF(L2=0,"",I2/L2)</x:f>
        <x:v>1.0006479015649057</x:v>
      </x:c>
      <x:c r="O2" s="66" t="n">
        <x:f>IF(L2=0,"",M2/L2)</x:f>
        <x:v>0.0006479015649056354</x:v>
      </x:c>
    </x:row>
    <x:row r="3" ht="18" customHeight="1">
      <x:c r="A3" s="46" t="str">
        <x:v>Crustaceans</x:v>
      </x:c>
      <x:c r="B3" s="64" t="n">
        <x:v>6</x:v>
      </x:c>
      <x:c r="C3" s="64" t="n">
        <x:v>6</x:v>
      </x:c>
      <x:c r="D3" s="60" t="n">
        <x:v>67588.5433126096</x:v>
      </x:c>
      <x:c r="E3" s="60" t="n">
        <x:v>67588.5433126096</x:v>
      </x:c>
      <x:c r="F3" s="62" t="n">
        <x:v>0</x:v>
      </x:c>
      <x:c r="G3" s="66" t="n">
        <x:v>1</x:v>
      </x:c>
      <x:c r="H3" s="62" t="n">
        <x:f>IF(E3=0,"",I3/E3)</x:f>
        <x:v>125.05800714986246</x:v>
      </x:c>
      <x:c r="I3" s="60" t="n">
        <x:f>SUMIF('Species'!$H$2:$H$62,A3,'Species'!$U$2:$U$62)</x:f>
        <x:v>8452488.53283712</x:v>
      </x:c>
      <x:c r="J3" s="62" t="n">
        <x:v>3.0850977823066903</x:v>
      </x:c>
      <x:c r="K3" s="62" t="n">
        <x:f>IF(J3="","",(1/'Metadata'!$B$5)^(J3-1))</x:f>
        <x:v>121.64598582848528</x:v>
      </x:c>
      <x:c r="L3" s="60" t="n">
        <x:f>IF(E3=0,"",E3*K3)</x:f>
        <x:v>8221874.981973671</x:v>
      </x:c>
      <x:c r="M3" s="60" t="n">
        <x:f>I3-L3</x:f>
        <x:v>230613.55086344946</x:v>
      </x:c>
      <x:c r="N3" s="62" t="n">
        <x:f>IF(L3=0,"",I3/L3)</x:f>
        <x:v>1.0280487785777654</x:v>
      </x:c>
      <x:c r="O3" s="66" t="n">
        <x:f>IF(L3=0,"",M3/L3)</x:f>
        <x:v>0.02804877857776553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59779.117859353704</x:v>
      </x:c>
      <x:c r="E4" s="60" t="n">
        <x:v>59779.117859353704</x:v>
      </x:c>
      <x:c r="F4" s="62" t="n">
        <x:v>0</x:v>
      </x:c>
      <x:c r="G4" s="66" t="n">
        <x:v>1</x:v>
      </x:c>
      <x:c r="H4" s="62" t="n">
        <x:f>IF(E4=0,"",I4/E4)</x:f>
        <x:v>2397.7896222729337</x:v>
      </x:c>
      <x:c r="I4" s="60" t="n">
        <x:f>SUMIF('Species'!$H$2:$H$62,A4,'Species'!$U$2:$U$62)</x:f>
        <x:v>143337748.4317889</x:v>
      </x:c>
      <x:c r="J4" s="62" t="n">
        <x:v>4.37968618698544</x:v>
      </x:c>
      <x:c r="K4" s="62" t="n">
        <x:f>IF(J4="","",(1/'Metadata'!$B$5)^(J4-1))</x:f>
        <x:v>2397.100193616643</x:v>
      </x:c>
      <x:c r="L4" s="60" t="n">
        <x:f>IF(E4=0,"",E4*K4)</x:f>
        <x:v>143296534.9948889</x:v>
      </x:c>
      <x:c r="M4" s="60" t="n">
        <x:f>I4-L4</x:f>
        <x:v>41213.43689998984</x:v>
      </x:c>
      <x:c r="N4" s="62" t="n">
        <x:f>IF(L4=0,"",I4/L4)</x:f>
        <x:v>1.0002876094449977</x:v>
      </x:c>
      <x:c r="O4" s="66" t="n">
        <x:f>IF(L4=0,"",M4/L4)</x:f>
        <x:v>0.00028760944499781413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5.2252798923</x:v>
      </x:c>
      <x:c r="E5" s="60" t="n">
        <x:v>5.2252798923</x:v>
      </x:c>
      <x:c r="F5" s="62" t="n">
        <x:v>0</x:v>
      </x:c>
      <x:c r="G5" s="66" t="n">
        <x:v>1</x:v>
      </x:c>
      <x:c r="H5" s="62" t="n">
        <x:f>IF(E5=0,"",I5/E5)</x:f>
        <x:v>239.88329190194898</x:v>
      </x:c>
      <x:c r="I5" s="60" t="n">
        <x:f>SUMIF('Species'!$H$2:$H$62,A5,'Species'!$U$2:$U$62)</x:f>
        <x:v>1253.4573416739854</x:v>
      </x:c>
      <x:c r="J5" s="62" t="n">
        <x:v>3.38</x:v>
      </x:c>
      <x:c r="K5" s="62" t="n">
        <x:f>IF(J5="","",(1/'Metadata'!$B$5)^(J5-1))</x:f>
        <x:v>239.88329190194898</x:v>
      </x:c>
      <x:c r="L5" s="60" t="n">
        <x:f>IF(E5=0,"",E5*K5)</x:f>
        <x:v>1253.4573416739854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2</x:v>
      </x:c>
      <x:c r="C6" s="64" t="n">
        <x:v>2</x:v>
      </x:c>
      <x:c r="D6" s="60" t="n">
        <x:v>38.2558386769</x:v>
      </x:c>
      <x:c r="E6" s="60" t="n">
        <x:v>38.2558386769</x:v>
      </x:c>
      <x:c r="F6" s="62" t="n">
        <x:v>0</x:v>
      </x:c>
      <x:c r="G6" s="66" t="n">
        <x:v>1</x:v>
      </x:c>
      <x:c r="H6" s="62" t="n">
        <x:f>IF(E6=0,"",I6/E6)</x:f>
        <x:v>31.740699823301867</x:v>
      </x:c>
      <x:c r="I6" s="60" t="n">
        <x:f>SUMIF('Species'!$H$2:$H$62,A6,'Species'!$U$2:$U$62)</x:f>
        <x:v>1214.2670919321445</x:v>
      </x:c>
      <x:c r="J6" s="62" t="n">
        <x:v>2.157480248054732</x:v>
      </x:c>
      <x:c r="K6" s="62" t="n">
        <x:f>IF(J6="","",(1/'Metadata'!$B$5)^(J6-1))</x:f>
        <x:v>14.370776928081654</x:v>
      </x:c>
      <x:c r="L6" s="60" t="n">
        <x:f>IF(E6=0,"",E6*K6)</x:f>
        <x:v>549.7661238224083</x:v>
      </x:c>
      <x:c r="M6" s="60" t="n">
        <x:f>I6-L6</x:f>
        <x:v>664.5009681097362</x:v>
      </x:c>
      <x:c r="N6" s="62" t="n">
        <x:f>IF(L6=0,"",I6/L6)</x:f>
        <x:v>2.208697552132897</x:v>
      </x:c>
      <x:c r="O6" s="66" t="n">
        <x:f>IF(L6=0,"",M6/L6)</x:f>
        <x:v>1.208697552132897</x:v>
      </x:c>
    </x:row>
    <x:row r="7" ht="18" customHeight="1">
      <x:c r="A7" s="46" t="str">
        <x:v>Other fishes &amp; inverts</x:v>
      </x:c>
      <x:c r="B7" s="64" t="n">
        <x:v>7</x:v>
      </x:c>
      <x:c r="C7" s="64" t="n">
        <x:v>7</x:v>
      </x:c>
      <x:c r="D7" s="60" t="n">
        <x:v>48630.0576033726</x:v>
      </x:c>
      <x:c r="E7" s="60" t="n">
        <x:v>48630.0576033726</x:v>
      </x:c>
      <x:c r="F7" s="62" t="n">
        <x:v>0</x:v>
      </x:c>
      <x:c r="G7" s="66" t="n">
        <x:v>1</x:v>
      </x:c>
      <x:c r="H7" s="62" t="n">
        <x:f>IF(E7=0,"",I7/E7)</x:f>
        <x:v>190.54569727487035</x:v>
      </x:c>
      <x:c r="I7" s="60" t="n">
        <x:f>SUMIF('Species'!$H$2:$H$62,A7,'Species'!$U$2:$U$62)</x:f>
        <x:v>9266248.234551743</x:v>
      </x:c>
      <x:c r="J7" s="62" t="n">
        <x:v>3.2799899711554157</x:v>
      </x:c>
      <x:c r="K7" s="62" t="n">
        <x:f>IF(J7="","",(1/'Metadata'!$B$5)^(J7-1))</x:f>
        <x:v>190.5416717061651</x:v>
      </x:c>
      <x:c r="L7" s="60" t="n">
        <x:f>IF(E7=0,"",E7*K7)</x:f>
        <x:v>9266052.47091372</x:v>
      </x:c>
      <x:c r="M7" s="60" t="n">
        <x:f>I7-L7</x:f>
        <x:v>195.76363802328706</x:v>
      </x:c>
      <x:c r="N7" s="62" t="n">
        <x:f>IF(L7=0,"",I7/L7)</x:f>
        <x:v>1.0000211269727468</x:v>
      </x:c>
      <x:c r="O7" s="66" t="n">
        <x:f>IF(L7=0,"",M7/L7)</x:f>
        <x:v>0.000021126972746786415</x:v>
      </x:c>
    </x:row>
    <x:row r="8" ht="18" customHeight="1">
      <x:c r="A8" s="46" t="str">
        <x:v>Perch-likes</x:v>
      </x:c>
      <x:c r="B8" s="64" t="n">
        <x:v>7</x:v>
      </x:c>
      <x:c r="C8" s="64" t="n">
        <x:v>7</x:v>
      </x:c>
      <x:c r="D8" s="60" t="n">
        <x:v>300.8004016021</x:v>
      </x:c>
      <x:c r="E8" s="60" t="n">
        <x:v>300.8004016021</x:v>
      </x:c>
      <x:c r="F8" s="62" t="n">
        <x:v>0</x:v>
      </x:c>
      <x:c r="G8" s="66" t="n">
        <x:v>1</x:v>
      </x:c>
      <x:c r="H8" s="62" t="n">
        <x:f>IF(E8=0,"",I8/E8)</x:f>
        <x:v>292.89918245947723</x:v>
      </x:c>
      <x:c r="I8" s="60" t="n">
        <x:f>SUMIF('Species'!$H$2:$H$62,A8,'Species'!$U$2:$U$62)</x:f>
        <x:v>88104.19171273752</x:v>
      </x:c>
      <x:c r="J8" s="62" t="n">
        <x:v>3.456761072756771</x:v>
      </x:c>
      <x:c r="K8" s="62" t="n">
        <x:f>IF(J8="","",(1/'Metadata'!$B$5)^(J8-1))</x:f>
        <x:v>286.26026748768953</x:v>
      </x:c>
      <x:c r="L8" s="60" t="n">
        <x:f>IF(E8=0,"",E8*K8)</x:f>
        <x:v>86107.20342302158</x:v>
      </x:c>
      <x:c r="M8" s="60" t="n">
        <x:f>I8-L8</x:f>
        <x:v>1996.9882897159405</x:v>
      </x:c>
      <x:c r="N8" s="62" t="n">
        <x:f>IF(L8=0,"",I8/L8)</x:f>
        <x:v>1.0231918841900518</x:v>
      </x:c>
      <x:c r="O8" s="66" t="n">
        <x:f>IF(L8=0,"",M8/L8)</x:f>
        <x:v>0.023191884190051706</x:v>
      </x:c>
    </x:row>
    <x:row r="9" ht="18" customHeight="1">
      <x:c r="A9" s="46" t="str">
        <x:v>Salmon, smelts, etc</x:v>
      </x:c>
      <x:c r="B9" s="64" t="n">
        <x:v>9</x:v>
      </x:c>
      <x:c r="C9" s="64" t="n">
        <x:v>9</x:v>
      </x:c>
      <x:c r="D9" s="60" t="n">
        <x:v>1232.4260775125</x:v>
      </x:c>
      <x:c r="E9" s="60" t="n">
        <x:v>1232.4260775125</x:v>
      </x:c>
      <x:c r="F9" s="62" t="n">
        <x:v>0</x:v>
      </x:c>
      <x:c r="G9" s="66" t="n">
        <x:v>1</x:v>
      </x:c>
      <x:c r="H9" s="62" t="n">
        <x:f>IF(E9=0,"",I9/E9)</x:f>
        <x:v>890.5337363045624</x:v>
      </x:c>
      <x:c r="I9" s="60" t="n">
        <x:f>SUMIF('Species'!$H$2:$H$62,A9,'Species'!$U$2:$U$62)</x:f>
        <x:v>1097516.9995263827</x:v>
      </x:c>
      <x:c r="J9" s="62" t="n">
        <x:v>3.5492904992557417</x:v>
      </x:c>
      <x:c r="K9" s="62" t="n">
        <x:f>IF(J9="","",(1/'Metadata'!$B$5)^(J9-1))</x:f>
        <x:v>354.234208852945</x:v>
      </x:c>
      <x:c r="L9" s="60" t="n">
        <x:f>IF(E9=0,"",E9*K9)</x:f>
        <x:v>436567.4765373787</x:v>
      </x:c>
      <x:c r="M9" s="60" t="n">
        <x:f>I9-L9</x:f>
        <x:v>660949.5229890039</x:v>
      </x:c>
      <x:c r="N9" s="62" t="n">
        <x:f>IF(L9=0,"",I9/L9)</x:f>
        <x:v>2.513968764304901</x:v>
      </x:c>
      <x:c r="O9" s="66" t="n">
        <x:f>IF(L9=0,"",M9/L9)</x:f>
        <x:v>1.5139687643049007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9090.138328950101</x:v>
      </x:c>
      <x:c r="E10" s="60" t="n">
        <x:v>9090.138328950101</x:v>
      </x:c>
      <x:c r="F10" s="62" t="n">
        <x:v>0</x:v>
      </x:c>
      <x:c r="G10" s="66" t="n">
        <x:v>1</x:v>
      </x:c>
      <x:c r="H10" s="62" t="n">
        <x:f>IF(E10=0,"",I10/E10)</x:f>
        <x:v>728.053134649895</x:v>
      </x:c>
      <x:c r="I10" s="60" t="n">
        <x:f>SUMIF('Species'!$H$2:$H$62,A10,'Species'!$U$2:$U$62)</x:f>
        <x:v>6618103.704793279</x:v>
      </x:c>
      <x:c r="J10" s="62" t="n">
        <x:v>3.8551311578672043</x:v>
      </x:c>
      <x:c r="K10" s="62" t="n">
        <x:f>IF(J10="","",(1/'Metadata'!$B$5)^(J10-1))</x:f>
        <x:v>716.3597197237143</x:v>
      </x:c>
      <x:c r="L10" s="60" t="n">
        <x:f>IF(E10=0,"",E10*K10)</x:f>
        <x:v>6511808.945576487</x:v>
      </x:c>
      <x:c r="M10" s="60" t="n">
        <x:f>I10-L10</x:f>
        <x:v>106294.75921679195</x:v>
      </x:c>
      <x:c r="N10" s="62" t="n">
        <x:f>IF(L10=0,"",I10/L10)</x:f>
        <x:v>1.016323384194034</x:v>
      </x:c>
      <x:c r="O10" s="66" t="n">
        <x:f>IF(L10=0,"",M10/L10)</x:f>
        <x:v>0.016323384194033924</x:v>
      </x:c>
    </x:row>
    <x:row r="11" ht="18" customHeight="1">
      <x:c r="A11" s="46" t="str">
        <x:v>Sharks &amp; rays</x:v>
      </x:c>
      <x:c r="B11" s="64" t="n">
        <x:v>6</x:v>
      </x:c>
      <x:c r="C11" s="64" t="n">
        <x:v>6</x:v>
      </x:c>
      <x:c r="D11" s="60" t="n">
        <x:v>57.5592503445</x:v>
      </x:c>
      <x:c r="E11" s="60" t="n">
        <x:v>57.5592503445</x:v>
      </x:c>
      <x:c r="F11" s="62" t="n">
        <x:v>0</x:v>
      </x:c>
      <x:c r="G11" s="66" t="n">
        <x:v>1</x:v>
      </x:c>
      <x:c r="H11" s="62" t="n">
        <x:f>IF(E11=0,"",I11/E11)</x:f>
        <x:v>1436.9645121157462</x:v>
      </x:c>
      <x:c r="I11" s="60" t="n">
        <x:f>SUMIF('Species'!$H$2:$H$62,A11,'Species'!$U$2:$U$62)</x:f>
        <x:v>82710.60008903254</x:v>
      </x:c>
      <x:c r="J11" s="62" t="n">
        <x:v>4.142260528078619</x:v>
      </x:c>
      <x:c r="K11" s="62" t="n">
        <x:f>IF(J11="","",(1/'Metadata'!$B$5)^(J11-1))</x:f>
        <x:v>1387.5879767226481</x:v>
      </x:c>
      <x:c r="L11" s="60" t="n">
        <x:f>IF(E11=0,"",E11*K11)</x:f>
        <x:v>79868.52372719714</x:v>
      </x:c>
      <x:c r="M11" s="60" t="n">
        <x:f>I11-L11</x:f>
        <x:v>2842.076361835396</x:v>
      </x:c>
      <x:c r="N11" s="62" t="n">
        <x:f>IF(L11=0,"",I11/L11)</x:f>
        <x:v>1.0355844358854425</x:v>
      </x:c>
      <x:c r="O11" s="66" t="n">
        <x:f>IF(L11=0,"",M11/L11)</x:f>
        <x:v>0.03558443588544258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c6a16a8dde14f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0.0493171724</x:v>
      </x:c>
      <x:c r="E2" s="60" t="n">
        <x:v>0.0493171724</x:v>
      </x:c>
      <x:c r="F2" s="62" t="n">
        <x:v>0</x:v>
      </x:c>
      <x:c r="G2" s="66" t="n">
        <x:v>1</x:v>
      </x:c>
      <x:c r="H2" s="62" t="n">
        <x:f>IF(E2=0,"",I2/E2)</x:f>
        <x:v>1348.9628825916532</x:v>
      </x:c>
      <x:c r="I2" s="60" t="n">
        <x:f>SUMIF('Species'!$G$2:$G$62,A2,'Species'!$U$2:$U$62)</x:f>
        <x:v>66.52703504197352</x:v>
      </x:c>
      <x:c r="J2" s="62" t="n">
        <x:v>4.13</x:v>
      </x:c>
      <x:c r="K2" s="62" t="n">
        <x:f>IF(J2="","",(1/'Metadata'!$B$5)^(J2-1))</x:f>
        <x:v>1348.9628825916532</x:v>
      </x:c>
      <x:c r="L2" s="60" t="n">
        <x:f>IF(E2=0,"",E2*K2)</x:f>
        <x:v>66.52703504197352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0.0131508159</x:v>
      </x:c>
      <x:c r="E3" s="60" t="n">
        <x:v>0.0131508159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SUMIF('Species'!$G$2:$G$62,A3,'Species'!$U$2:$U$62)</x:f>
        <x:v>3.792736734741826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3.792736734741826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28.107089646</x:v>
      </x:c>
      <x:c r="E4" s="60" t="n">
        <x:v>28.107089646</x:v>
      </x:c>
      <x:c r="F4" s="62" t="n">
        <x:v>0</x:v>
      </x:c>
      <x:c r="G4" s="66" t="n">
        <x:v>1</x:v>
      </x:c>
      <x:c r="H4" s="62" t="n">
        <x:f>IF(E4=0,"",I4/E4)</x:f>
        <x:v>400.66935592775206</x:v>
      </x:c>
      <x:c r="I4" s="60" t="n">
        <x:f>SUMIF('Species'!$G$2:$G$62,A4,'Species'!$U$2:$U$62)</x:f>
        <x:v>11261.649505466408</x:v>
      </x:c>
      <x:c r="J4" s="62" t="n">
        <x:v>3.579540131910355</x:v>
      </x:c>
      <x:c r="K4" s="62" t="n">
        <x:f>IF(J4="","",(1/'Metadata'!$B$5)^(J4-1))</x:f>
        <x:v>379.7870323827827</x:v>
      </x:c>
      <x:c r="L4" s="60" t="n">
        <x:f>IF(E4=0,"",E4*K4)</x:f>
        <x:v>10674.708165571177</x:v>
      </x:c>
      <x:c r="M4" s="60" t="n">
        <x:f>I4-L4</x:f>
        <x:v>586.9413398952311</x:v>
      </x:c>
      <x:c r="N4" s="62" t="n">
        <x:f>IF(L4=0,"",I4/L4)</x:f>
        <x:v>1.0549842984736835</x:v>
      </x:c>
      <x:c r="O4" s="66" t="n">
        <x:f>IF(L4=0,"",M4/L4)</x:f>
        <x:v>0.054984298473683406</x:v>
      </x:c>
    </x:row>
    <x:row r="5" ht="18" customHeight="1">
      <x:c r="A5" s="46" t="str">
        <x:v>Large benthopelagics (&gt;=90 cm)</x:v>
      </x:c>
      <x:c r="B5" s="64" t="n">
        <x:v>6</x:v>
      </x:c>
      <x:c r="C5" s="64" t="n">
        <x:v>6</x:v>
      </x:c>
      <x:c r="D5" s="60" t="n">
        <x:v>32550.869795786402</x:v>
      </x:c>
      <x:c r="E5" s="60" t="n">
        <x:v>32550.869795786402</x:v>
      </x:c>
      <x:c r="F5" s="62" t="n">
        <x:v>0</x:v>
      </x:c>
      <x:c r="G5" s="66" t="n">
        <x:v>1</x:v>
      </x:c>
      <x:c r="H5" s="62" t="n">
        <x:f>IF(E5=0,"",I5/E5)</x:f>
        <x:v>1239.0999025353156</x:v>
      </x:c>
      <x:c r="I5" s="60" t="n">
        <x:f>SUMIF('Species'!$G$2:$G$62,A5,'Species'!$U$2:$U$62)</x:f>
        <x:v>40333779.59139868</x:v>
      </x:c>
      <x:c r="J5" s="62" t="n">
        <x:v>4.091652327998517</x:v>
      </x:c>
      <x:c r="K5" s="62" t="n">
        <x:f>IF(J5="","",(1/'Metadata'!$B$5)^(J5-1))</x:f>
        <x:v>1234.9583986236362</x:v>
      </x:c>
      <x:c r="L5" s="60" t="n">
        <x:f>IF(E5=0,"",E5*K5)</x:f>
        <x:v>40198970.03681086</x:v>
      </x:c>
      <x:c r="M5" s="60" t="n">
        <x:f>I5-L5</x:f>
        <x:v>134809.55458781868</x:v>
      </x:c>
      <x:c r="N5" s="62" t="n">
        <x:f>IF(L5=0,"",I5/L5)</x:f>
        <x:v>1.0033535574285701</x:v>
      </x:c>
      <x:c r="O5" s="66" t="n">
        <x:f>IF(L5=0,"",M5/L5)</x:f>
        <x:v>0.0033535574285702184</x:v>
      </x:c>
    </x:row>
    <x:row r="6" ht="18" customHeight="1">
      <x:c r="A6" s="46" t="str">
        <x:v>Large demersals (&gt;=90 cm)</x:v>
      </x:c>
      <x:c r="B6" s="64" t="n">
        <x:v>7</x:v>
      </x:c>
      <x:c r="C6" s="64" t="n">
        <x:v>7</x:v>
      </x:c>
      <x:c r="D6" s="60" t="n">
        <x:v>290.17493864689993</x:v>
      </x:c>
      <x:c r="E6" s="60" t="n">
        <x:v>290.17493864689993</x:v>
      </x:c>
      <x:c r="F6" s="62" t="n">
        <x:v>0</x:v>
      </x:c>
      <x:c r="G6" s="66" t="n">
        <x:v>1</x:v>
      </x:c>
      <x:c r="H6" s="62" t="n">
        <x:f>IF(E6=0,"",I6/E6)</x:f>
        <x:v>330.21941378684033</x:v>
      </x:c>
      <x:c r="I6" s="60" t="n">
        <x:f>SUMIF('Species'!$G$2:$G$62,A6,'Species'!$U$2:$U$62)</x:f>
        <x:v>95821.39813561166</x:v>
      </x:c>
      <x:c r="J6" s="62" t="n">
        <x:v>3.4853120061639675</x:v>
      </x:c>
      <x:c r="K6" s="62" t="n">
        <x:f>IF(J6="","",(1/'Metadata'!$B$5)^(J6-1))</x:f>
        <x:v>305.71166204631896</x:v>
      </x:c>
      <x:c r="L6" s="60" t="n">
        <x:f>IF(E6=0,"",E6*K6)</x:f>
        <x:v>88709.86277793242</x:v>
      </x:c>
      <x:c r="M6" s="60" t="n">
        <x:f>I6-L6</x:f>
        <x:v>7111.53535767924</x:v>
      </x:c>
      <x:c r="N6" s="62" t="n">
        <x:f>IF(L6=0,"",I6/L6)</x:f>
        <x:v>1.0801662310704003</x:v>
      </x:c>
      <x:c r="O6" s="66" t="n">
        <x:f>IF(L6=0,"",M6/L6)</x:f>
        <x:v>0.08016623107040038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39.7001000657</x:v>
      </x:c>
      <x:c r="E7" s="60" t="n">
        <x:v>39.7001000657</x:v>
      </x:c>
      <x:c r="F7" s="62" t="n">
        <x:v>0</x:v>
      </x:c>
      <x:c r="G7" s="66" t="n">
        <x:v>1</x:v>
      </x:c>
      <x:c r="H7" s="62" t="n">
        <x:f>IF(E7=0,"",I7/E7)</x:f>
        <x:v>999.9999999999999</x:v>
      </x:c>
      <x:c r="I7" s="60" t="n">
        <x:f>SUMIF('Species'!$G$2:$G$62,A7,'Species'!$U$2:$U$62)</x:f>
        <x:v>39700.1000657</x:v>
      </x:c>
      <x:c r="J7" s="62" t="n">
        <x:v>4</x:v>
      </x:c>
      <x:c r="K7" s="62" t="n">
        <x:f>IF(J7="","",(1/'Metadata'!$B$5)^(J7-1))</x:f>
        <x:v>1000</x:v>
      </x:c>
      <x:c r="L7" s="60" t="n">
        <x:f>IF(E7=0,"",E7*K7)</x:f>
        <x:v>39700.1000657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rays (&gt;=90 cm)</x:v>
      </x:c>
      <x:c r="B8" s="64" t="n">
        <x:v>1</x:v>
      </x:c>
      <x:c r="C8" s="64" t="n">
        <x:v>1</x:v>
      </x:c>
      <x:c r="D8" s="60" t="n">
        <x:v>0.0665625482</x:v>
      </x:c>
      <x:c r="E8" s="60" t="n">
        <x:v>0.0665625482</x:v>
      </x:c>
      <x:c r="F8" s="62" t="n">
        <x:v>0</x:v>
      </x:c>
      <x:c r="G8" s="66" t="n">
        <x:v>1</x:v>
      </x:c>
      <x:c r="H8" s="62" t="n">
        <x:f>IF(E8=0,"",I8/E8)</x:f>
        <x:v>660.6934480075957</x:v>
      </x:c>
      <x:c r="I8" s="60" t="n">
        <x:f>SUMIF('Species'!$G$2:$G$62,A8,'Species'!$U$2:$U$62)</x:f>
        <x:v>43.97743947842979</x:v>
      </x:c>
      <x:c r="J8" s="62" t="n">
        <x:v>3.8199999999999994</x:v>
      </x:c>
      <x:c r="K8" s="62" t="n">
        <x:f>IF(J8="","",(1/'Metadata'!$B$5)^(J8-1))</x:f>
        <x:v>660.6934480075951</x:v>
      </x:c>
      <x:c r="L8" s="60" t="n">
        <x:f>IF(E8=0,"",E8*K8)</x:f>
        <x:v>43.977439478429744</x:v>
      </x:c>
      <x:c r="M8" s="60" t="n">
        <x:f>I8-L8</x:f>
        <x:v>4.263256414560601e-14</x:v>
      </x:c>
      <x:c r="N8" s="62" t="n">
        <x:f>IF(L8=0,"",I8/L8)</x:f>
        <x:v>1.0000000000000009</x:v>
      </x:c>
      <x:c r="O8" s="66" t="n">
        <x:f>IF(L8=0,"",M8/L8)</x:f>
        <x:v>9.694189714368574e-16</x:v>
      </x:c>
    </x:row>
    <x:row r="9" ht="18" customHeight="1">
      <x:c r="A9" s="46" t="str">
        <x:v>Large reef assoc. fish (&gt;=90 cm)</x:v>
      </x:c>
      <x:c r="B9" s="64" t="n">
        <x:v>4</x:v>
      </x:c>
      <x:c r="C9" s="64" t="n">
        <x:v>4</x:v>
      </x:c>
      <x:c r="D9" s="60" t="n">
        <x:v>153.5567011469</x:v>
      </x:c>
      <x:c r="E9" s="60" t="n">
        <x:v>153.5567011469</x:v>
      </x:c>
      <x:c r="F9" s="62" t="n">
        <x:v>0</x:v>
      </x:c>
      <x:c r="G9" s="66" t="n">
        <x:v>1</x:v>
      </x:c>
      <x:c r="H9" s="62" t="n">
        <x:f>IF(E9=0,"",I9/E9)</x:f>
        <x:v>600.4597452365027</x:v>
      </x:c>
      <x:c r="I9" s="60" t="n">
        <x:f>SUMIF('Species'!$G$2:$G$62,A9,'Species'!$U$2:$U$62)</x:f>
        <x:v>92204.61765002536</x:v>
      </x:c>
      <x:c r="J9" s="62" t="n">
        <x:v>3.7775419412653712</x:v>
      </x:c>
      <x:c r="K9" s="62" t="n">
        <x:f>IF(J9="","",(1/'Metadata'!$B$5)^(J9-1))</x:f>
        <x:v>599.1587985792746</x:v>
      </x:c>
      <x:c r="L9" s="60" t="n">
        <x:f>IF(E9=0,"",E9*K9)</x:f>
        <x:v>92004.84857297332</x:v>
      </x:c>
      <x:c r="M9" s="60" t="n">
        <x:f>I9-L9</x:f>
        <x:v>199.76907705204212</x:v>
      </x:c>
      <x:c r="N9" s="62" t="n">
        <x:f>IF(L9=0,"",I9/L9)</x:f>
        <x:v>1.0021712885804448</x:v>
      </x:c>
      <x:c r="O9" s="66" t="n">
        <x:f>IF(L9=0,"",M9/L9)</x:f>
        <x:v>0.002171288580444714</x:v>
      </x:c>
    </x:row>
    <x:row r="10" ht="18" customHeight="1">
      <x:c r="A10" s="46" t="str">
        <x:v>Large sharks (&gt;=90 cm)</x:v>
      </x:c>
      <x:c r="B10" s="64" t="n">
        <x:v>4</x:v>
      </x:c>
      <x:c r="C10" s="64" t="n">
        <x:v>4</x:v>
      </x:c>
      <x:c r="D10" s="60" t="n">
        <x:v>52.132383081</x:v>
      </x:c>
      <x:c r="E10" s="60" t="n">
        <x:v>52.132383081</x:v>
      </x:c>
      <x:c r="F10" s="62" t="n">
        <x:v>0</x:v>
      </x:c>
      <x:c r="G10" s="66" t="n">
        <x:v>1</x:v>
      </x:c>
      <x:c r="H10" s="62" t="n">
        <x:f>IF(E10=0,"",I10/E10)</x:f>
        <x:v>1514.571043323811</x:v>
      </x:c>
      <x:c r="I10" s="60" t="n">
        <x:f>SUMIF('Species'!$G$2:$G$62,A10,'Species'!$U$2:$U$62)</x:f>
        <x:v>78958.19783394676</x:v>
      </x:c>
      <x:c r="J10" s="62" t="n">
        <x:v>4.173750725127378</x:v>
      </x:c>
      <x:c r="K10" s="62" t="n">
        <x:f>IF(J10="","",(1/'Metadata'!$B$5)^(J10-1))</x:f>
        <x:v>1491.9378263635715</x:v>
      </x:c>
      <x:c r="L10" s="60" t="n">
        <x:f>IF(E10=0,"",E10*K10)</x:f>
        <x:v>77778.27429702017</x:v>
      </x:c>
      <x:c r="M10" s="60" t="n">
        <x:f>I10-L10</x:f>
        <x:v>1179.9235369265953</x:v>
      </x:c>
      <x:c r="N10" s="62" t="n">
        <x:f>IF(L10=0,"",I10/L10)</x:f>
        <x:v>1.0151703486300132</x:v>
      </x:c>
      <x:c r="O10" s="66" t="n">
        <x:f>IF(L10=0,"",M10/L10)</x:f>
        <x:v>0.015170348630013259</x:v>
      </x:c>
    </x:row>
    <x:row r="11" ht="18" customHeight="1">
      <x:c r="A11" s="46" t="str">
        <x:v>Lobsters, crabs</x:v>
      </x:c>
      <x:c r="B11" s="64" t="n">
        <x:v>3</x:v>
      </x:c>
      <x:c r="C11" s="64" t="n">
        <x:v>3</x:v>
      </x:c>
      <x:c r="D11" s="60" t="n">
        <x:v>2266.1593542463997</x:v>
      </x:c>
      <x:c r="E11" s="60" t="n">
        <x:v>2266.1593542463997</x:v>
      </x:c>
      <x:c r="F11" s="62" t="n">
        <x:v>0</x:v>
      </x:c>
      <x:c r="G11" s="66" t="n">
        <x:v>1</x:v>
      </x:c>
      <x:c r="H11" s="62" t="n">
        <x:f>IF(E11=0,"",I11/E11)</x:f>
        <x:v>344.83763834632373</x:v>
      </x:c>
      <x:c r="I11" s="60" t="n">
        <x:f>SUMIF('Species'!$G$2:$G$62,A11,'Species'!$U$2:$U$62)</x:f>
        <x:v>781457.0398347585</x:v>
      </x:c>
      <x:c r="J11" s="62" t="n">
        <x:v>3.533109722834701</x:v>
      </x:c>
      <x:c r="K11" s="62" t="n">
        <x:f>IF(J11="","",(1/'Metadata'!$B$5)^(J11-1))</x:f>
        <x:v>341.2791235921813</x:v>
      </x:c>
      <x:c r="L11" s="60" t="n">
        <x:f>IF(E11=0,"",E11*K11)</x:f>
        <x:v>773392.8783374348</x:v>
      </x:c>
      <x:c r="M11" s="60" t="n">
        <x:f>I11-L11</x:f>
        <x:v>8064.161497323657</x:v>
      </x:c>
      <x:c r="N11" s="62" t="n">
        <x:f>IF(L11=0,"",I11/L11)</x:f>
        <x:v>1.0104269921836613</x:v>
      </x:c>
      <x:c r="O11" s="66" t="n">
        <x:f>IF(L11=0,"",M11/L11)</x:f>
        <x:v>0.010426992183661183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16.7344926756</x:v>
      </x:c>
      <x:c r="E12" s="60" t="n">
        <x:v>16.7344926756</x:v>
      </x:c>
      <x:c r="F12" s="62" t="n">
        <x:v>0</x:v>
      </x:c>
      <x:c r="G12" s="66" t="n">
        <x:v>1</x:v>
      </x:c>
      <x:c r="H12" s="62" t="n">
        <x:f>IF(E12=0,"",I12/E12)</x:f>
        <x:v>200.95648217828267</x:v>
      </x:c>
      <x:c r="I12" s="60" t="n">
        <x:f>SUMIF('Species'!$G$2:$G$62,A12,'Species'!$U$2:$U$62)</x:f>
        <x:v>3362.904779126813</x:v>
      </x:c>
      <x:c r="J12" s="62" t="n">
        <x:v>3.302606393254669</x:v>
      </x:c>
      <x:c r="K12" s="62" t="n">
        <x:f>IF(J12="","",(1/'Metadata'!$B$5)^(J12-1))</x:f>
        <x:v>200.7272770514142</x:v>
      </x:c>
      <x:c r="L12" s="60" t="n">
        <x:f>IF(E12=0,"",E12*K12)</x:f>
        <x:v>3359.069147610023</x:v>
      </x:c>
      <x:c r="M12" s="60" t="n">
        <x:f>I12-L12</x:f>
        <x:v>3.835631516790272</x:v>
      </x:c>
      <x:c r="N12" s="62" t="n">
        <x:f>IF(L12=0,"",I12/L12)</x:f>
        <x:v>1.0011418733429525</x:v>
      </x:c>
      <x:c r="O12" s="66" t="n">
        <x:f>IF(L12=0,"",M12/L12)</x:f>
        <x:v>0.0011418733429525627</x:v>
      </x:c>
    </x:row>
    <x:row r="13" ht="18" customHeight="1">
      <x:c r="A13" s="46" t="str">
        <x:v>Medium bathypelagics (30 - 89 cm)</x:v>
      </x:c>
      <x:c r="B13" s="64" t="n">
        <x:v>1</x:v>
      </x:c>
      <x:c r="C13" s="64" t="n">
        <x:v>1</x:v>
      </x:c>
      <x:c r="D13" s="60" t="n">
        <x:v>1250.9962077252</x:v>
      </x:c>
      <x:c r="E13" s="60" t="n">
        <x:v>1250.9962077252</x:v>
      </x:c>
      <x:c r="F13" s="62" t="n">
        <x:v>0</x:v>
      </x:c>
      <x:c r="G13" s="66" t="n">
        <x:v>1</x:v>
      </x:c>
      <x:c r="H13" s="62" t="n">
        <x:f>IF(E13=0,"",I13/E13)</x:f>
        <x:v>446.683592150963</x:v>
      </x:c>
      <x:c r="I13" s="60" t="n">
        <x:f>SUMIF('Species'!$G$2:$G$62,A13,'Species'!$U$2:$U$62)</x:f>
        <x:v>558799.4798339247</x:v>
      </x:c>
      <x:c r="J13" s="62" t="n">
        <x:v>3.6500000000000004</x:v>
      </x:c>
      <x:c r="K13" s="62" t="n">
        <x:f>IF(J13="","",(1/'Metadata'!$B$5)^(J13-1))</x:f>
        <x:v>446.6835921509635</x:v>
      </x:c>
      <x:c r="L13" s="60" t="n">
        <x:f>IF(E13=0,"",E13*K13)</x:f>
        <x:v>558799.4798339253</x:v>
      </x:c>
      <x:c r="M13" s="60" t="n">
        <x:f>I13-L13</x:f>
        <x:v>-5.820766091346741e-10</x:v>
      </x:c>
      <x:c r="N13" s="62" t="n">
        <x:f>IF(L13=0,"",I13/L13)</x:f>
        <x:v>0.999999999999999</x:v>
      </x:c>
      <x:c r="O13" s="66" t="n">
        <x:f>IF(L13=0,"",M13/L13)</x:f>
        <x:v>-1.0416556030217972e-15</x:v>
      </x:c>
    </x:row>
    <x:row r="14" ht="18" customHeight="1">
      <x:c r="A14" s="46" t="str">
        <x:v>Medium benthopelagics (30 - 89 cm)</x:v>
      </x:c>
      <x:c r="B14" s="64" t="n">
        <x:v>5</x:v>
      </x:c>
      <x:c r="C14" s="64" t="n">
        <x:v>5</x:v>
      </x:c>
      <x:c r="D14" s="60" t="n">
        <x:v>7839.0483335521</x:v>
      </x:c>
      <x:c r="E14" s="60" t="n">
        <x:v>7839.0483335521</x:v>
      </x:c>
      <x:c r="F14" s="62" t="n">
        <x:v>0</x:v>
      </x:c>
      <x:c r="G14" s="66" t="n">
        <x:v>1</x:v>
      </x:c>
      <x:c r="H14" s="62" t="n">
        <x:f>IF(E14=0,"",I14/E14)</x:f>
        <x:v>809.2966047351764</x:v>
      </x:c>
      <x:c r="I14" s="60" t="n">
        <x:f>SUMIF('Species'!$G$2:$G$62,A14,'Species'!$U$2:$U$62)</x:f>
        <x:v>6344115.200698657</x:v>
      </x:c>
      <x:c r="J14" s="62" t="n">
        <x:v>3.899872667202268</x:v>
      </x:c>
      <x:c r="K14" s="62" t="n">
        <x:f>IF(J14="","",(1/'Metadata'!$B$5)^(J14-1))</x:f>
        <x:v>794.0953761118301</x:v>
      </x:c>
      <x:c r="L14" s="60" t="n">
        <x:f>IF(E14=0,"",E14*K14)</x:f>
        <x:v>6224952.03479087</x:v>
      </x:c>
      <x:c r="M14" s="60" t="n">
        <x:f>I14-L14</x:f>
        <x:v>119163.16590778716</x:v>
      </x:c>
      <x:c r="N14" s="62" t="n">
        <x:f>IF(L14=0,"",I14/L14)</x:f>
        <x:v>1.0191428247545993</x:v>
      </x:c>
      <x:c r="O14" s="66" t="n">
        <x:f>IF(L14=0,"",M14/L14)</x:f>
        <x:v>0.019142824754599174</x:v>
      </x:c>
    </x:row>
    <x:row r="15" ht="18" customHeight="1">
      <x:c r="A15" s="46" t="str">
        <x:v>Medium demersals (30 - 89 cm)</x:v>
      </x:c>
      <x:c r="B15" s="64" t="n">
        <x:v>7</x:v>
      </x:c>
      <x:c r="C15" s="64" t="n">
        <x:v>7</x:v>
      </x:c>
      <x:c r="D15" s="60" t="n">
        <x:v>48629.79935185</x:v>
      </x:c>
      <x:c r="E15" s="60" t="n">
        <x:v>48629.79935185</x:v>
      </x:c>
      <x:c r="F15" s="62" t="n">
        <x:v>0</x:v>
      </x:c>
      <x:c r="G15" s="66" t="n">
        <x:v>1</x:v>
      </x:c>
      <x:c r="H15" s="62" t="n">
        <x:f>IF(E15=0,"",I15/E15)</x:f>
        <x:v>190.55305443030676</x:v>
      </x:c>
      <x:c r="I15" s="60" t="n">
        <x:f>SUMIF('Species'!$G$2:$G$62,A15,'Species'!$U$2:$U$62)</x:f>
        <x:v>9266556.80282797</x:v>
      </x:c>
      <x:c r="J15" s="62" t="n">
        <x:v>3.2800077102418737</x:v>
      </x:c>
      <x:c r="K15" s="62" t="n">
        <x:f>IF(J15="","",(1/'Metadata'!$B$5)^(J15-1))</x:f>
        <x:v>190.54945468375305</x:v>
      </x:c>
      <x:c r="L15" s="60" t="n">
        <x:f>IF(E15=0,"",E15*K15)</x:f>
        <x:v>9266381.747875346</x:v>
      </x:c>
      <x:c r="M15" s="60" t="n">
        <x:f>I15-L15</x:f>
        <x:v>175.0549526233226</x:v>
      </x:c>
      <x:c r="N15" s="62" t="n">
        <x:f>IF(L15=0,"",I15/L15)</x:f>
        <x:v>1.0000188914030725</x:v>
      </x:c>
      <x:c r="O15" s="66" t="n">
        <x:f>IF(L15=0,"",M15/L15)</x:f>
        <x:v>0.000018891403072559612</x:v>
      </x:c>
    </x:row>
    <x:row r="16" ht="18" customHeight="1">
      <x:c r="A16" s="46" t="str">
        <x:v>Medium pelagics (30 - 89 cm)</x:v>
      </x:c>
      <x:c r="B16" s="64" t="n">
        <x:v>2</x:v>
      </x:c>
      <x:c r="C16" s="64" t="n">
        <x:v>2</x:v>
      </x:c>
      <x:c r="D16" s="60" t="n">
        <x:v>5.3697966979</x:v>
      </x:c>
      <x:c r="E16" s="60" t="n">
        <x:v>5.3697966979</x:v>
      </x:c>
      <x:c r="F16" s="62" t="n">
        <x:v>0</x:v>
      </x:c>
      <x:c r="G16" s="66" t="n">
        <x:v>1</x:v>
      </x:c>
      <x:c r="H16" s="62" t="n">
        <x:f>IF(E16=0,"",I16/E16)</x:f>
        <x:v>238.79716634054245</x:v>
      </x:c>
      <x:c r="I16" s="60" t="n">
        <x:f>SUMIF('Species'!$G$2:$G$62,A16,'Species'!$U$2:$U$62)</x:f>
        <x:v>1282.2922352833218</x:v>
      </x:c>
      <x:c r="J16" s="62" t="n">
        <x:v>3.377846967939676</x:v>
      </x:c>
      <x:c r="K16" s="62" t="n">
        <x:f>IF(J16="","",(1/'Metadata'!$B$5)^(J16-1))</x:f>
        <x:v>238.6970039648209</x:v>
      </x:c>
      <x:c r="L16" s="60" t="n">
        <x:f>IF(E16=0,"",E16*K16)</x:f>
        <x:v>1281.7543836889186</x:v>
      </x:c>
      <x:c r="M16" s="60" t="n">
        <x:f>I16-L16</x:f>
        <x:v>0.5378515944032642</x:v>
      </x:c>
      <x:c r="N16" s="62" t="n">
        <x:f>IF(L16=0,"",I16/L16)</x:f>
        <x:v>1.0004196214198662</x:v>
      </x:c>
      <x:c r="O16" s="66" t="n">
        <x:f>IF(L16=0,"",M16/L16)</x:f>
        <x:v>0.0004196214198661954</x:v>
      </x:c>
    </x:row>
    <x:row r="17" ht="18" customHeight="1">
      <x:c r="A17" s="46" t="str">
        <x:v>Other demersal invertebrates</x:v>
      </x:c>
      <x:c r="B17" s="64" t="n">
        <x:v>5</x:v>
      </x:c>
      <x:c r="C17" s="64" t="n">
        <x:v>5</x:v>
      </x:c>
      <x:c r="D17" s="60" t="n">
        <x:v>38.8661643031</x:v>
      </x:c>
      <x:c r="E17" s="60" t="n">
        <x:v>38.8661643031</x:v>
      </x:c>
      <x:c r="F17" s="62" t="n">
        <x:v>0</x:v>
      </x:c>
      <x:c r="G17" s="66" t="n">
        <x:v>1</x:v>
      </x:c>
      <x:c r="H17" s="62" t="n">
        <x:f>IF(E17=0,"",I17/E17)</x:f>
        <x:v>31.5798271344493</x:v>
      </x:c>
      <x:c r="I17" s="60" t="n">
        <x:f>SUMIF('Species'!$G$2:$G$62,A17,'Species'!$U$2:$U$62)</x:f>
        <x:v>1227.386750071002</x:v>
      </x:c>
      <x:c r="J17" s="62" t="n">
        <x:v>2.1601478720543454</x:v>
      </x:c>
      <x:c r="K17" s="62" t="n">
        <x:f>IF(J17="","",(1/'Metadata'!$B$5)^(J17-1))</x:f>
        <x:v>14.459320094211755</x:v>
      </x:c>
      <x:c r="L17" s="60" t="n">
        <x:f>IF(E17=0,"",E17*K17)</x:f>
        <x:v>561.9783104927494</x:v>
      </x:c>
      <x:c r="M17" s="60" t="n">
        <x:f>I17-L17</x:f>
        <x:v>665.4084395782527</x:v>
      </x:c>
      <x:c r="N17" s="62" t="n">
        <x:f>IF(L17=0,"",I17/L17)</x:f>
        <x:v>2.1840464785817346</x:v>
      </x:c>
      <x:c r="O17" s="66" t="n">
        <x:f>IF(L17=0,"",M17/L17)</x:f>
        <x:v>1.1840464785817346</x:v>
      </x:c>
    </x:row>
    <x:row r="18" ht="18" customHeight="1">
      <x:c r="A18" s="46" t="str">
        <x:v>Shrimps</x:v>
      </x:c>
      <x:c r="B18" s="64" t="n">
        <x:v>3</x:v>
      </x:c>
      <x:c r="C18" s="64" t="n">
        <x:v>3</x:v>
      </x:c>
      <x:c r="D18" s="60" t="n">
        <x:v>65322.38395836321</x:v>
      </x:c>
      <x:c r="E18" s="60" t="n">
        <x:v>65322.38395836321</x:v>
      </x:c>
      <x:c r="F18" s="62" t="n">
        <x:v>0</x:v>
      </x:c>
      <x:c r="G18" s="66" t="n">
        <x:v>1</x:v>
      </x:c>
      <x:c r="H18" s="62" t="n">
        <x:f>IF(E18=0,"",I18/E18)</x:f>
        <x:v>117.43342830065593</x:v>
      </x:c>
      <x:c r="I18" s="60" t="n">
        <x:f>SUMIF('Species'!$G$2:$G$62,A18,'Species'!$U$2:$U$62)</x:f>
        <x:v>7671031.493002363</x:v>
      </x:c>
      <x:c r="J18" s="62" t="n">
        <x:v>3.0695553849182424</x:v>
      </x:c>
      <x:c r="K18" s="62" t="n">
        <x:f>IF(J18="","",(1/'Metadata'!$B$5)^(J18-1))</x:f>
        <x:v>117.36953525401404</x:v>
      </x:c>
      <x:c r="L18" s="60" t="n">
        <x:f>IF(E18=0,"",E18*K18)</x:f>
        <x:v>7666857.846877351</x:v>
      </x:c>
      <x:c r="M18" s="60" t="n">
        <x:f>I18-L18</x:f>
        <x:v>4173.646125011146</x:v>
      </x:c>
      <x:c r="N18" s="62" t="n">
        <x:f>IF(L18=0,"",I18/L18)</x:f>
        <x:v>1.0005443750501661</x:v>
      </x:c>
      <x:c r="O18" s="66" t="n">
        <x:f>IF(L18=0,"",M18/L18)</x:f>
        <x:v>0.0005443750501662214</x:v>
      </x:c>
    </x:row>
    <x:row r="19" ht="18" customHeight="1">
      <x:c r="A19" s="46" t="str">
        <x:v>Small pelagics (&lt;30 cm)</x:v>
      </x:c>
      <x:c r="B19" s="64" t="n">
        <x:v>3</x:v>
      </x:c>
      <x:c r="C19" s="64" t="n">
        <x:v>3</x:v>
      </x:c>
      <x:c r="D19" s="60" t="n">
        <x:v>816.8184068552001</x:v>
      </x:c>
      <x:c r="E19" s="60" t="n">
        <x:v>816.8184068552001</x:v>
      </x:c>
      <x:c r="F19" s="62" t="n">
        <x:v>0</x:v>
      </x:c>
      <x:c r="G19" s="66" t="n">
        <x:v>1</x:v>
      </x:c>
      <x:c r="H19" s="62" t="n">
        <x:f>IF(E19=0,"",I19/E19)</x:f>
        <x:v>141.13145264100086</x:v>
      </x:c>
      <x:c r="I19" s="60" t="n">
        <x:f>SUMIF('Species'!$G$2:$G$62,A19,'Species'!$U$2:$U$62)</x:f>
        <x:v>115278.76830338246</x:v>
      </x:c>
      <x:c r="J19" s="62" t="n">
        <x:v>3.1495544286750263</x:v>
      </x:c>
      <x:c r="K19" s="62" t="n">
        <x:f>IF(J19="","",(1/'Metadata'!$B$5)^(J19-1))</x:f>
        <x:v>141.10890724511444</x:v>
      </x:c>
      <x:c r="L19" s="60" t="n">
        <x:f>IF(E19=0,"",E19*K19)</x:f>
        <x:v>115260.35280903259</x:v>
      </x:c>
      <x:c r="M19" s="60" t="n">
        <x:f>I19-L19</x:f>
        <x:v>18.41549434987246</x:v>
      </x:c>
      <x:c r="N19" s="62" t="n">
        <x:f>IF(L19=0,"",I19/L19)</x:f>
        <x:v>1.0001597730173566</x:v>
      </x:c>
      <x:c r="O19" s="66" t="n">
        <x:f>IF(L19=0,"",M19/L19)</x:f>
        <x:v>0.0001597730173564877</x:v>
      </x:c>
    </x:row>
    <x:row r="20" ht="18" customHeight="1">
      <x:c r="A20" s="46" t="str">
        <x:v>Small to medium flatfishes (&lt;90 cm)</x:v>
      </x:c>
      <x:c r="B20" s="64" t="n">
        <x:v>2</x:v>
      </x:c>
      <x:c r="C20" s="64" t="n">
        <x:v>2</x:v>
      </x:c>
      <x:c r="D20" s="60" t="n">
        <x:v>59739.41775928801</x:v>
      </x:c>
      <x:c r="E20" s="60" t="n">
        <x:v>59739.41775928801</x:v>
      </x:c>
      <x:c r="F20" s="62" t="n">
        <x:v>0</x:v>
      </x:c>
      <x:c r="G20" s="66" t="n">
        <x:v>1</x:v>
      </x:c>
      <x:c r="H20" s="62" t="n">
        <x:f>IF(E20=0,"",I20/E20)</x:f>
        <x:v>2398.7185296837592</x:v>
      </x:c>
      <x:c r="I20" s="60" t="n">
        <x:f>SUMIF('Species'!$G$2:$G$62,A20,'Species'!$U$2:$U$62)</x:f>
        <x:v>143298048.33172318</x:v>
      </x:c>
      <x:c r="J20" s="62" t="n">
        <x:v>4.379938509157002</x:v>
      </x:c>
      <x:c r="K20" s="62" t="n">
        <x:f>IF(J20="","",(1/'Metadata'!$B$5)^(J20-1))</x:f>
        <x:v>2398.4932973514974</x:v>
      </x:c>
      <x:c r="L20" s="60" t="n">
        <x:f>IF(E20=0,"",E20*K20)</x:f>
        <x:v>143284593.08333328</x:v>
      </x:c>
      <x:c r="M20" s="60" t="n">
        <x:f>I20-L20</x:f>
        <x:v>13455.24838989973</x:v>
      </x:c>
      <x:c r="N20" s="62" t="n">
        <x:f>IF(L20=0,"",I20/L20)</x:f>
        <x:v>1.0000939057584655</x:v>
      </x:c>
      <x:c r="O20" s="66" t="n">
        <x:f>IF(L20=0,"",M20/L20)</x:f>
        <x:v>0.00009390575846542172</x:v>
      </x:c>
    </x:row>
    <x:row r="21" ht="18" customHeight="1">
      <x:c r="A21" s="46" t="str">
        <x:v>Small to medium sharks (&lt;90 cm)</x:v>
      </x:c>
      <x:c r="B21" s="64" t="n">
        <x:v>1</x:v>
      </x:c>
      <x:c r="C21" s="64" t="n">
        <x:v>1</x:v>
      </x:c>
      <x:c r="D21" s="60" t="n">
        <x:v>5.3603047153</x:v>
      </x:c>
      <x:c r="E21" s="60" t="n">
        <x:v>5.3603047153</x:v>
      </x:c>
      <x:c r="F21" s="62" t="n">
        <x:v>0</x:v>
      </x:c>
      <x:c r="G21" s="66" t="n">
        <x:v>1</x:v>
      </x:c>
      <x:c r="H21" s="62" t="n">
        <x:f>IF(E21=0,"",I21/E21)</x:f>
        <x:v>691.8309709189363</x:v>
      </x:c>
      <x:c r="I21" s="60" t="n">
        <x:f>SUMIF('Species'!$G$2:$G$62,A21,'Species'!$U$2:$U$62)</x:f>
        <x:v>3708.4248156073513</x:v>
      </x:c>
      <x:c r="J21" s="62" t="n">
        <x:v>3.84</x:v>
      </x:c>
      <x:c r="K21" s="62" t="n">
        <x:f>IF(J21="","",(1/'Metadata'!$B$5)^(J21-1))</x:f>
        <x:v>691.8309709189363</x:v>
      </x:c>
      <x:c r="L21" s="60" t="n">
        <x:f>IF(E21=0,"",E21*K21)</x:f>
        <x:v>3708.4248156073513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8bf116d0b1b4b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LME_018</x:v>
      </x:c>
      <x:c r="B2" s="46" t="str">
        <x:v>raw_filtered_tonnes</x:v>
      </x:c>
      <x:c r="C2" s="46" t="n">
        <x:v>219045.6241691814</x:v>
      </x:c>
      <x:c r="D2" s="46" t="str">
        <x:v>tonnes</x:v>
      </x:c>
    </x:row>
    <x:row r="3" ht="18" customHeight="1">
      <x:c r="A3" s="46" t="str">
        <x:v>LME_018</x:v>
      </x:c>
      <x:c r="B3" s="46" t="str">
        <x:v>species_catch_tonnes</x:v>
      </x:c>
      <x:c r="C3" s="46" t="n">
        <x:v>219045.62416918142</x:v>
      </x:c>
      <x:c r="D3" s="46" t="str">
        <x:v>tonnes</x:v>
      </x:c>
    </x:row>
    <x:row r="4" ht="18" customHeight="1">
      <x:c r="A4" s="46" t="str">
        <x:v>LME_018</x:v>
      </x:c>
      <x:c r="B4" s="46" t="str">
        <x:v>catch_difference_tonnes</x:v>
      </x:c>
      <x:c r="C4" s="46" t="n">
        <x:v>2.9103830456733704e-11</x:v>
      </x:c>
      <x:c r="D4" s="46" t="str">
        <x:v>tonnes</x:v>
      </x:c>
    </x:row>
    <x:row r="5" ht="18" customHeight="1">
      <x:c r="A5" s="46" t="str">
        <x:v>LME_018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LME_018</x:v>
      </x:c>
      <x:c r="B6" s="46" t="str">
        <x:v>matched_catch_tonnes</x:v>
      </x:c>
      <x:c r="C6" s="46" t="n">
        <x:v>219045.62416918142</x:v>
      </x:c>
      <x:c r="D6" s="46" t="str">
        <x:v>tonnes</x:v>
      </x:c>
    </x:row>
    <x:row r="7" ht="18" customHeight="1">
      <x:c r="A7" s="46" t="str">
        <x:v>LME_018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LME_018</x:v>
      </x:c>
      <x:c r="B8" s="46" t="str">
        <x:v>taxa_count</x:v>
      </x:c>
      <x:c r="C8" s="46" t="n">
        <x:v>61</x:v>
      </x:c>
      <x:c r="D8" s="46" t="str">
        <x:v>count</x:v>
      </x:c>
    </x:row>
    <x:row r="9" ht="18" customHeight="1">
      <x:c r="A9" s="46" t="str">
        <x:v>LME_018</x:v>
      </x:c>
      <x:c r="B9" s="46" t="str">
        <x:v>matched_taxa_count</x:v>
      </x:c>
      <x:c r="C9" s="46" t="n">
        <x:v>61</x:v>
      </x:c>
      <x:c r="D9" s="46" t="str">
        <x:v>count</x:v>
      </x:c>
    </x:row>
    <x:row r="10" ht="18" customHeight="1">
      <x:c r="A10" s="46" t="str">
        <x:v>LME_018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LME_018</x:v>
      </x:c>
      <x:c r="B11" s="46" t="str">
        <x:v>species_ppr</x:v>
      </x:c>
      <x:c r="C11" s="46" t="n">
        <x:v>208696707.97660503</x:v>
      </x:c>
      <x:c r="D11" s="46" t="str">
        <x:v>tonnes_primary_production_equivalent</x:v>
      </x:c>
    </x:row>
    <x:row r="12" ht="18" customHeight="1">
      <x:c r="A12" s="46" t="str">
        <x:v>LME_018</x:v>
      </x:c>
      <x:c r="B12" s="46" t="str">
        <x:v>commercial_ppr</x:v>
      </x:c>
      <x:c r="C12" s="46" t="n">
        <x:v>208696707.97660506</x:v>
      </x:c>
      <x:c r="D12" s="46" t="str">
        <x:v>tonnes_primary_production_equivalent</x:v>
      </x:c>
    </x:row>
    <x:row r="13" ht="18" customHeight="1">
      <x:c r="A13" s="46" t="str">
        <x:v>LME_018</x:v>
      </x:c>
      <x:c r="B13" s="46" t="str">
        <x:v>functional_ppr</x:v>
      </x:c>
      <x:c r="C13" s="46" t="n">
        <x:v>208696707.976605</x:v>
      </x:c>
      <x:c r="D13" s="46" t="str">
        <x:v>tonnes_primary_production_equivalent</x:v>
      </x:c>
    </x:row>
    <x:row r="14" ht="18" customHeight="1">
      <x:c r="A14" s="46" t="str">
        <x:v>LME_018</x:v>
      </x:c>
      <x:c r="B14" s="46" t="str">
        <x:v>commercial_ppr_difference</x:v>
      </x:c>
      <x:c r="C14" s="46" t="n">
        <x:v>2.9802322387695312e-8</x:v>
      </x:c>
      <x:c r="D14" s="46" t="str">
        <x:v>tonnes_primary_production_equivalent</x:v>
      </x:c>
    </x:row>
    <x:row r="15" ht="18" customHeight="1">
      <x:c r="A15" s="46" t="str">
        <x:v>LME_018</x:v>
      </x:c>
      <x:c r="B15" s="46" t="str">
        <x:v>functional_ppr_difference</x:v>
      </x:c>
      <x:c r="C15" s="46" t="n">
        <x:v>-2.9802322387695312e-8</x:v>
      </x:c>
      <x:c r="D15" s="46" t="str">
        <x:v>tonnes_primary_production_equivalent</x:v>
      </x:c>
    </x:row>
    <x:row r="16" ht="18" customHeight="1">
      <x:c r="A16" s="46" t="str">
        <x:v>LME_018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f4af1e2dec240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LME_018 - Canadian Eastern Arctic -West Greenland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