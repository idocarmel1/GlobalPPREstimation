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b086db9b7949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dcc8052c9d4848f1"/>
    <x:sheet xmlns:r="http://schemas.openxmlformats.org/officeDocument/2006/relationships" name="Commercial" sheetId="2" r:id="R19b5bc08169b40bb"/>
    <x:sheet xmlns:r="http://schemas.openxmlformats.org/officeDocument/2006/relationships" name="Functional" sheetId="3" r:id="Rd00752d148584e7d"/>
    <x:sheet xmlns:r="http://schemas.openxmlformats.org/officeDocument/2006/relationships" name="Missing TL" sheetId="4" r:id="R7ef7b4d47fad4167"/>
    <x:sheet xmlns:r="http://schemas.openxmlformats.org/officeDocument/2006/relationships" name="Validation" sheetId="5" r:id="Rc14fbc2efa2d482c"/>
    <x:sheet xmlns:r="http://schemas.openxmlformats.org/officeDocument/2006/relationships" name="Metadata" sheetId="6" r:id="Re026f0a163b140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16c731f0254a81" /><Relationship Type="http://schemas.openxmlformats.org/officeDocument/2006/relationships/theme" Target="/xl/theme/theme1.xml" Id="Rf49b35ebe71e4e39" /><Relationship Type="http://schemas.openxmlformats.org/officeDocument/2006/relationships/sharedStrings" Target="/xl/sharedStrings.xml" Id="Rb8a8ce8da4dc4b6f" /><Relationship Type="http://schemas.openxmlformats.org/officeDocument/2006/relationships/worksheet" Target="/xl/worksheets/sheet1.xml" Id="Rdcc8052c9d4848f1" /><Relationship Type="http://schemas.openxmlformats.org/officeDocument/2006/relationships/worksheet" Target="/xl/worksheets/sheet2.xml" Id="R19b5bc08169b40bb" /><Relationship Type="http://schemas.openxmlformats.org/officeDocument/2006/relationships/worksheet" Target="/xl/worksheets/sheet3.xml" Id="Rd00752d148584e7d" /><Relationship Type="http://schemas.openxmlformats.org/officeDocument/2006/relationships/worksheet" Target="/xl/worksheets/sheet4.xml" Id="R7ef7b4d47fad4167" /><Relationship Type="http://schemas.openxmlformats.org/officeDocument/2006/relationships/worksheet" Target="/xl/worksheets/sheet5.xml" Id="Rc14fbc2efa2d482c" /><Relationship Type="http://schemas.openxmlformats.org/officeDocument/2006/relationships/worksheet" Target="/xl/worksheets/sheet6.xml" Id="Re026f0a163b140ac" /></Relationships>
</file>

<file path=xl/tables/table1.xml><?xml version="1.0" encoding="utf-8"?>
<x:table xmlns:x="http://schemas.openxmlformats.org/spreadsheetml/2006/main" id="1" name="HS047SpeciesTable" displayName="HS047SpeciesTable" ref="A1:U36" headerRowCount="1" totalsRowCount="0" totalsRowShown="0">
  <x:autoFilter ref="A1:U3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047CommercialTable" displayName="HS047CommercialTable" ref="A1:O5" headerRowCount="1" totalsRowCount="0" totalsRowShown="0">
  <x:autoFilter ref="A1:O5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047FunctionalTable" displayName="HS047FunctionalTable" ref="A1:O6" headerRowCount="1" totalsRowCount="0" totalsRowShown="0">
  <x:autoFilter ref="A1:O6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S047ValidationTable" displayName="HS047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76f66df85a4c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0fc2caed9f34d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f968f06ceb74a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4393a56df5344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HS_047</x:v>
      </x:c>
      <x:c r="B2" s="46" t="str">
        <x:v>Atlantic, Southeast</x:v>
      </x:c>
      <x:c r="C2" s="46" t="str">
        <x:v>High Seas</x:v>
      </x:c>
      <x:c r="D2" s="58" t="n">
        <x:v>2019</x:v>
      </x:c>
      <x:c r="E2" s="46" t="str">
        <x:v>Katsuwonus pelamis</x:v>
      </x:c>
      <x:c r="F2" s="46" t="str">
        <x:v>Skipjack tuna</x:v>
      </x:c>
      <x:c r="G2" s="46" t="str">
        <x:v>Large pelagics (&gt;=90 cm)</x:v>
      </x:c>
      <x:c r="H2" s="46" t="str">
        <x:v>Tuna &amp; billfishes</x:v>
      </x:c>
      <x:c r="I2" s="60" t="n">
        <x:v>10353.1792511355</x:v>
      </x:c>
      <x:c r="J2" s="60" t="n">
        <x:v>10353.1792511355</x:v>
      </x:c>
      <x:c r="K2" s="60" t="n">
        <x:v>0</x:v>
      </x:c>
      <x:c r="L2" s="60" t="n">
        <x:v>10353.1792511355</x:v>
      </x:c>
      <x:c r="M2" s="60" t="n">
        <x:v>0</x:v>
      </x:c>
      <x:c r="N2" s="46" t="str">
        <x:v>katsuwonus pelamis</x:v>
      </x:c>
      <x:c r="O2" s="62" t="n">
        <x:v>4.43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Katsuwonus pelamis</x:v>
      </x:c>
      <x:c r="T2" s="62" t="n">
        <x:f>IF(O2="","",(1/'Metadata'!$B$5)^(O2-1))</x:f>
        <x:v>2691.534803926914</x:v>
      </x:c>
      <x:c r="U2" s="60" t="n">
        <x:f>IF(T2="","",I2*T2)</x:f>
        <x:v>27865942.28572518</x:v>
      </x:c>
    </x:row>
    <x:row r="3" ht="18" customHeight="1">
      <x:c r="A3" s="46" t="str">
        <x:v>HS_047</x:v>
      </x:c>
      <x:c r="B3" s="46" t="str">
        <x:v>Atlantic, Southeast</x:v>
      </x:c>
      <x:c r="C3" s="46" t="str">
        <x:v>High Seas</x:v>
      </x:c>
      <x:c r="D3" s="58" t="n">
        <x:v>2019</x:v>
      </x:c>
      <x:c r="E3" s="46" t="str">
        <x:v>Thunnus obesus</x:v>
      </x:c>
      <x:c r="F3" s="46" t="str">
        <x:v>Bigeye tuna</x:v>
      </x:c>
      <x:c r="G3" s="46" t="str">
        <x:v>Large pelagics (&gt;=90 cm)</x:v>
      </x:c>
      <x:c r="H3" s="46" t="str">
        <x:v>Tuna &amp; billfishes</x:v>
      </x:c>
      <x:c r="I3" s="60" t="n">
        <x:v>7940.395791481001</x:v>
      </x:c>
      <x:c r="J3" s="60" t="n">
        <x:v>7940.395791481001</x:v>
      </x:c>
      <x:c r="K3" s="60" t="n">
        <x:v>0</x:v>
      </x:c>
      <x:c r="L3" s="60" t="n">
        <x:v>7940.395791481001</x:v>
      </x:c>
      <x:c r="M3" s="60" t="n">
        <x:v>0</x:v>
      </x:c>
      <x:c r="N3" s="46" t="str">
        <x:v>thunnus obesus</x:v>
      </x:c>
      <x:c r="O3" s="62" t="n">
        <x:v>4.49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Thunnus obesus</x:v>
      </x:c>
      <x:c r="T3" s="62" t="n">
        <x:f>IF(O3="","",(1/'Metadata'!$B$5)^(O3-1))</x:f>
        <x:v>3090.295432513592</x:v>
      </x:c>
      <x:c r="U3" s="60" t="n">
        <x:f>IF(T3="","",I3*T3)</x:f>
        <x:v>24538168.846763887</x:v>
      </x:c>
    </x:row>
    <x:row r="4" ht="18" customHeight="1">
      <x:c r="A4" s="46" t="str">
        <x:v>HS_047</x:v>
      </x:c>
      <x:c r="B4" s="46" t="str">
        <x:v>Atlantic, Southeast</x:v>
      </x:c>
      <x:c r="C4" s="46" t="str">
        <x:v>High Seas</x:v>
      </x:c>
      <x:c r="D4" s="58" t="n">
        <x:v>2019</x:v>
      </x:c>
      <x:c r="E4" s="46" t="str">
        <x:v>Marine fishes not identified</x:v>
      </x:c>
      <x:c r="F4" s="46" t="str">
        <x:v>Marine fishes nei</x:v>
      </x:c>
      <x:c r="G4" s="46" t="str">
        <x:v>Medium demersals (30 - 89 cm)</x:v>
      </x:c>
      <x:c r="H4" s="46" t="str">
        <x:v>Other fishes &amp; inverts</x:v>
      </x:c>
      <x:c r="I4" s="60" t="n">
        <x:v>5191.868409070001</x:v>
      </x:c>
      <x:c r="J4" s="60" t="n">
        <x:v>0.0000203239</x:v>
      </x:c>
      <x:c r="K4" s="60" t="n">
        <x:v>5191.8683887461</x:v>
      </x:c>
      <x:c r="L4" s="60" t="n">
        <x:v>0.0000203239</x:v>
      </x:c>
      <x:c r="M4" s="60" t="n">
        <x:v>5191.8683887461</x:v>
      </x:c>
      <x:c r="N4" s="46" t="str">
        <x:v>marine fishes not identified</x:v>
      </x:c>
      <x:c r="O4" s="62" t="n">
        <x:v>3.28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Marine fishes not identified</x:v>
      </x:c>
      <x:c r="T4" s="62" t="n">
        <x:f>IF(O4="","",(1/'Metadata'!$B$5)^(O4-1))</x:f>
        <x:v>190.54607179632464</x:v>
      </x:c>
      <x:c r="U4" s="60" t="n">
        <x:f>IF(T4="","",I4*T4)</x:f>
        <x:v>989290.1306317222</x:v>
      </x:c>
    </x:row>
    <x:row r="5" ht="18" customHeight="1">
      <x:c r="A5" s="46" t="str">
        <x:v>HS_047</x:v>
      </x:c>
      <x:c r="B5" s="46" t="str">
        <x:v>Atlantic, Southeast</x:v>
      </x:c>
      <x:c r="C5" s="46" t="str">
        <x:v>High Seas</x:v>
      </x:c>
      <x:c r="D5" s="58" t="n">
        <x:v>2019</x:v>
      </x:c>
      <x:c r="E5" s="46" t="str">
        <x:v>Thunnus maccoyii</x:v>
      </x:c>
      <x:c r="F5" s="46" t="str">
        <x:v>Southern bluefin tuna</x:v>
      </x:c>
      <x:c r="G5" s="46" t="str">
        <x:v>Large pelagics (&gt;=90 cm)</x:v>
      </x:c>
      <x:c r="H5" s="46" t="str">
        <x:v>Tuna &amp; billfishes</x:v>
      </x:c>
      <x:c r="I5" s="60" t="n">
        <x:v>4672.538465558</x:v>
      </x:c>
      <x:c r="J5" s="60" t="n">
        <x:v>4672.538465558</x:v>
      </x:c>
      <x:c r="K5" s="60" t="n">
        <x:v>0</x:v>
      </x:c>
      <x:c r="L5" s="60" t="n">
        <x:v>4672.538465558</x:v>
      </x:c>
      <x:c r="M5" s="60" t="n">
        <x:v>0</x:v>
      </x:c>
      <x:c r="N5" s="46" t="str">
        <x:v>thunnus maccoyii</x:v>
      </x:c>
      <x:c r="O5" s="62" t="n">
        <x:v>3.93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Thunnus maccoyii</x:v>
      </x:c>
      <x:c r="T5" s="62" t="n">
        <x:f>IF(O5="","",(1/'Metadata'!$B$5)^(O5-1))</x:f>
        <x:v>851.1380382023768</x:v>
      </x:c>
      <x:c r="U5" s="60" t="n">
        <x:f>IF(T5="","",I5*T5)</x:f>
        <x:v>3976975.2230001804</x:v>
      </x:c>
    </x:row>
    <x:row r="6" ht="18" customHeight="1">
      <x:c r="A6" s="46" t="str">
        <x:v>HS_047</x:v>
      </x:c>
      <x:c r="B6" s="46" t="str">
        <x:v>Atlantic, Southeast</x:v>
      </x:c>
      <x:c r="C6" s="46" t="str">
        <x:v>High Seas</x:v>
      </x:c>
      <x:c r="D6" s="58" t="n">
        <x:v>2019</x:v>
      </x:c>
      <x:c r="E6" s="46" t="str">
        <x:v>Prionace glauca</x:v>
      </x:c>
      <x:c r="F6" s="46" t="str">
        <x:v>Blue shark</x:v>
      </x:c>
      <x:c r="G6" s="46" t="str">
        <x:v>Large sharks (&gt;=90 cm)</x:v>
      </x:c>
      <x:c r="H6" s="46" t="str">
        <x:v>Sharks &amp; rays</x:v>
      </x:c>
      <x:c r="I6" s="60" t="n">
        <x:v>2882.6928530848</x:v>
      </x:c>
      <x:c r="J6" s="60" t="n">
        <x:v>2882.6928530848</x:v>
      </x:c>
      <x:c r="K6" s="60" t="n">
        <x:v>0</x:v>
      </x:c>
      <x:c r="L6" s="60" t="n">
        <x:v>2882.6928530848</x:v>
      </x:c>
      <x:c r="M6" s="60" t="n">
        <x:v>0</x:v>
      </x:c>
      <x:c r="N6" s="46" t="str">
        <x:v>prionace glauca</x:v>
      </x:c>
      <x:c r="O6" s="62" t="n">
        <x:v>4.35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Prionace glauca</x:v>
      </x:c>
      <x:c r="T6" s="62" t="n">
        <x:f>IF(O6="","",(1/'Metadata'!$B$5)^(O6-1))</x:f>
        <x:v>2238.7211385683377</x:v>
      </x:c>
      <x:c r="U6" s="60" t="n">
        <x:f>IF(T6="","",I6*T6)</x:f>
        <x:v>6453545.426200813</x:v>
      </x:c>
    </x:row>
    <x:row r="7" ht="18" customHeight="1">
      <x:c r="A7" s="46" t="str">
        <x:v>HS_047</x:v>
      </x:c>
      <x:c r="B7" s="46" t="str">
        <x:v>Atlantic, Southeast</x:v>
      </x:c>
      <x:c r="C7" s="46" t="str">
        <x:v>High Seas</x:v>
      </x:c>
      <x:c r="D7" s="58" t="n">
        <x:v>2019</x:v>
      </x:c>
      <x:c r="E7" s="46" t="str">
        <x:v>Thunnus alalunga</x:v>
      </x:c>
      <x:c r="F7" s="46" t="str">
        <x:v>Albacore</x:v>
      </x:c>
      <x:c r="G7" s="46" t="str">
        <x:v>Large pelagics (&gt;=90 cm)</x:v>
      </x:c>
      <x:c r="H7" s="46" t="str">
        <x:v>Tuna &amp; billfishes</x:v>
      </x:c>
      <x:c r="I7" s="60" t="n">
        <x:v>2630.4241391477</x:v>
      </x:c>
      <x:c r="J7" s="60" t="n">
        <x:v>2630.4241391477</x:v>
      </x:c>
      <x:c r="K7" s="60" t="n">
        <x:v>0</x:v>
      </x:c>
      <x:c r="L7" s="60" t="n">
        <x:v>2630.4241391477</x:v>
      </x:c>
      <x:c r="M7" s="60" t="n">
        <x:v>0</x:v>
      </x:c>
      <x:c r="N7" s="46" t="str">
        <x:v>thunnus alalunga</x:v>
      </x:c>
      <x:c r="O7" s="62" t="n">
        <x:v>4.3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Thunnus alalunga</x:v>
      </x:c>
      <x:c r="T7" s="62" t="n">
        <x:f>IF(O7="","",(1/'Metadata'!$B$5)^(O7-1))</x:f>
        <x:v>1995.2623149688789</x:v>
      </x:c>
      <x:c r="U7" s="60" t="n">
        <x:f>IF(T7="","",I7*T7)</x:f>
        <x:v>5248386.15722586</x:v>
      </x:c>
    </x:row>
    <x:row r="8" ht="18" customHeight="1">
      <x:c r="A8" s="46" t="str">
        <x:v>HS_047</x:v>
      </x:c>
      <x:c r="B8" s="46" t="str">
        <x:v>Atlantic, Southeast</x:v>
      </x:c>
      <x:c r="C8" s="46" t="str">
        <x:v>High Seas</x:v>
      </x:c>
      <x:c r="D8" s="58" t="n">
        <x:v>2019</x:v>
      </x:c>
      <x:c r="E8" s="46" t="str">
        <x:v>Elasmobranchii</x:v>
      </x:c>
      <x:c r="F8" s="46" t="str">
        <x:v>Sharks, rays, skates</x:v>
      </x:c>
      <x:c r="G8" s="46" t="str">
        <x:v>Large sharks (&gt;=90 cm)</x:v>
      </x:c>
      <x:c r="H8" s="46" t="str">
        <x:v>Sharks &amp; rays</x:v>
      </x:c>
      <x:c r="I8" s="60" t="n">
        <x:v>2452.5817944766</x:v>
      </x:c>
      <x:c r="J8" s="60" t="n">
        <x:v>2452.5817944766</x:v>
      </x:c>
      <x:c r="K8" s="60" t="n">
        <x:v>0</x:v>
      </x:c>
      <x:c r="L8" s="60" t="n">
        <x:v>2452.5817944766</x:v>
      </x:c>
      <x:c r="M8" s="60" t="n">
        <x:v>0</x:v>
      </x:c>
      <x:c r="N8" s="46" t="str">
        <x:v>elasmobranchii</x:v>
      </x:c>
      <x:c r="O8" s="62" t="n">
        <x:v>4.05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Elasmobranchii</x:v>
      </x:c>
      <x:c r="T8" s="62" t="n">
        <x:f>IF(O8="","",(1/'Metadata'!$B$5)^(O8-1))</x:f>
        <x:v>1122.018454301963</x:v>
      </x:c>
      <x:c r="U8" s="60" t="n">
        <x:f>IF(T8="","",I8*T8)</x:f>
        <x:v>2751842.034087769</x:v>
      </x:c>
    </x:row>
    <x:row r="9" ht="18" customHeight="1">
      <x:c r="A9" s="46" t="str">
        <x:v>HS_047</x:v>
      </x:c>
      <x:c r="B9" s="46" t="str">
        <x:v>Atlantic, Southeast</x:v>
      </x:c>
      <x:c r="C9" s="46" t="str">
        <x:v>High Seas</x:v>
      </x:c>
      <x:c r="D9" s="58" t="n">
        <x:v>2019</x:v>
      </x:c>
      <x:c r="E9" s="46" t="str">
        <x:v>Thunnus albacares</x:v>
      </x:c>
      <x:c r="F9" s="46" t="str">
        <x:v>Yellowfin tuna</x:v>
      </x:c>
      <x:c r="G9" s="46" t="str">
        <x:v>Large pelagics (&gt;=90 cm)</x:v>
      </x:c>
      <x:c r="H9" s="46" t="str">
        <x:v>Tuna &amp; billfishes</x:v>
      </x:c>
      <x:c r="I9" s="60" t="n">
        <x:v>2391.4347033179997</x:v>
      </x:c>
      <x:c r="J9" s="60" t="n">
        <x:v>2391.4347033179997</x:v>
      </x:c>
      <x:c r="K9" s="60" t="n">
        <x:v>0</x:v>
      </x:c>
      <x:c r="L9" s="60" t="n">
        <x:v>2391.4347033179997</x:v>
      </x:c>
      <x:c r="M9" s="60" t="n">
        <x:v>0</x:v>
      </x:c>
      <x:c r="N9" s="46" t="str">
        <x:v>thunnus albacares</x:v>
      </x:c>
      <x:c r="O9" s="62" t="n">
        <x:v>4.41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Thunnus albacares</x:v>
      </x:c>
      <x:c r="T9" s="62" t="n">
        <x:f>IF(O9="","",(1/'Metadata'!$B$5)^(O9-1))</x:f>
        <x:v>2570.3957827688646</x:v>
      </x:c>
      <x:c r="U9" s="60" t="n">
        <x:f>IF(T9="","",I9*T9)</x:f>
        <x:v>6146933.676175698</x:v>
      </x:c>
    </x:row>
    <x:row r="10" ht="18" customHeight="1">
      <x:c r="A10" s="46" t="str">
        <x:v>HS_047</x:v>
      </x:c>
      <x:c r="B10" s="46" t="str">
        <x:v>Atlantic, Southeast</x:v>
      </x:c>
      <x:c r="C10" s="46" t="str">
        <x:v>High Seas</x:v>
      </x:c>
      <x:c r="D10" s="58" t="n">
        <x:v>2019</x:v>
      </x:c>
      <x:c r="E10" s="46" t="str">
        <x:v>Xiphias gladius</x:v>
      </x:c>
      <x:c r="F10" s="46" t="str">
        <x:v>Swordfish</x:v>
      </x:c>
      <x:c r="G10" s="46" t="str">
        <x:v>Large pelagics (&gt;=90 cm)</x:v>
      </x:c>
      <x:c r="H10" s="46" t="str">
        <x:v>Tuna &amp; billfishes</x:v>
      </x:c>
      <x:c r="I10" s="60" t="n">
        <x:v>2239.5667225267</x:v>
      </x:c>
      <x:c r="J10" s="60" t="n">
        <x:v>2239.5667225267</x:v>
      </x:c>
      <x:c r="K10" s="60" t="n">
        <x:v>0</x:v>
      </x:c>
      <x:c r="L10" s="60" t="n">
        <x:v>2239.5667225267</x:v>
      </x:c>
      <x:c r="M10" s="60" t="n">
        <x:v>0</x:v>
      </x:c>
      <x:c r="N10" s="46" t="str">
        <x:v>xiphias gladius</x:v>
      </x:c>
      <x:c r="O10" s="62" t="n">
        <x:v>4.53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Xiphias gladius</x:v>
      </x:c>
      <x:c r="T10" s="62" t="n">
        <x:f>IF(O10="","",(1/'Metadata'!$B$5)^(O10-1))</x:f>
        <x:v>3388.4415613920273</x:v>
      </x:c>
      <x:c r="U10" s="60" t="n">
        <x:f>IF(T10="","",I10*T10)</x:f>
        <x:v>7588640.962119996</x:v>
      </x:c>
    </x:row>
    <x:row r="11" ht="18" customHeight="1">
      <x:c r="A11" s="46" t="str">
        <x:v>HS_047</x:v>
      </x:c>
      <x:c r="B11" s="46" t="str">
        <x:v>Atlantic, Southeast</x:v>
      </x:c>
      <x:c r="C11" s="46" t="str">
        <x:v>High Seas</x:v>
      </x:c>
      <x:c r="D11" s="58" t="n">
        <x:v>2019</x:v>
      </x:c>
      <x:c r="E11" s="46" t="str">
        <x:v>Auxis thazard</x:v>
      </x:c>
      <x:c r="F11" s="46" t="str">
        <x:v>Frigate tuna</x:v>
      </x:c>
      <x:c r="G11" s="46" t="str">
        <x:v>Medium pelagics (30 - 89 cm)</x:v>
      </x:c>
      <x:c r="H11" s="46" t="str">
        <x:v>Tuna &amp; billfishes</x:v>
      </x:c>
      <x:c r="I11" s="60" t="n">
        <x:v>313.5744811454</x:v>
      </x:c>
      <x:c r="J11" s="60" t="n">
        <x:v>313.5744811454</x:v>
      </x:c>
      <x:c r="K11" s="60" t="n">
        <x:v>0</x:v>
      </x:c>
      <x:c r="L11" s="60" t="n">
        <x:v>313.5744811454</x:v>
      </x:c>
      <x:c r="M11" s="60" t="n">
        <x:v>0</x:v>
      </x:c>
      <x:c r="N11" s="46" t="str">
        <x:v>auxis thazard</x:v>
      </x:c>
      <x:c r="O11" s="62" t="n">
        <x:v>4.37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Auxis thazard</x:v>
      </x:c>
      <x:c r="T11" s="62" t="n">
        <x:f>IF(O11="","",(1/'Metadata'!$B$5)^(O11-1))</x:f>
        <x:v>2344.228815319923</x:v>
      </x:c>
      <x:c r="U11" s="60" t="n">
        <x:f>IF(T11="","",I11*T11)</x:f>
        <x:v>735090.3344500406</x:v>
      </x:c>
    </x:row>
    <x:row r="12" ht="18" customHeight="1">
      <x:c r="A12" s="46" t="str">
        <x:v>HS_047</x:v>
      </x:c>
      <x:c r="B12" s="46" t="str">
        <x:v>Atlantic, Southeast</x:v>
      </x:c>
      <x:c r="C12" s="46" t="str">
        <x:v>High Seas</x:v>
      </x:c>
      <x:c r="D12" s="58" t="n">
        <x:v>2019</x:v>
      </x:c>
      <x:c r="E12" s="46" t="str">
        <x:v>Marine pelagic fishes not identified</x:v>
      </x:c>
      <x:c r="F12" s="46" t="str">
        <x:v>Pelagic fishes</x:v>
      </x:c>
      <x:c r="G12" s="46" t="str">
        <x:v>Medium pelagics (30 - 89 cm)</x:v>
      </x:c>
      <x:c r="H12" s="46" t="str">
        <x:v>Other fishes &amp; inverts</x:v>
      </x:c>
      <x:c r="I12" s="60" t="n">
        <x:v>194.00988228810002</x:v>
      </x:c>
      <x:c r="J12" s="60" t="n">
        <x:v>194.00988228810002</x:v>
      </x:c>
      <x:c r="K12" s="60" t="n">
        <x:v>0</x:v>
      </x:c>
      <x:c r="L12" s="60" t="n">
        <x:v>194.00988228810002</x:v>
      </x:c>
      <x:c r="M12" s="60" t="n">
        <x:v>0</x:v>
      </x:c>
      <x:c r="N12" s="46" t="str">
        <x:v>marine pelagic fishes not identified</x:v>
      </x:c>
      <x:c r="O12" s="62" t="n">
        <x:v>3.35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Marine pelagic fishes not identified</x:v>
      </x:c>
      <x:c r="T12" s="62" t="n">
        <x:f>IF(O12="","",(1/'Metadata'!$B$5)^(O12-1))</x:f>
        <x:v>223.872113856834</x:v>
      </x:c>
      <x:c r="U12" s="60" t="n">
        <x:f>IF(T12="","",I12*T12)</x:f>
        <x:v>43433.40245695249</x:v>
      </x:c>
    </x:row>
    <x:row r="13" ht="18" customHeight="1">
      <x:c r="A13" s="46" t="str">
        <x:v>HS_047</x:v>
      </x:c>
      <x:c r="B13" s="46" t="str">
        <x:v>Atlantic, Southeast</x:v>
      </x:c>
      <x:c r="C13" s="46" t="str">
        <x:v>High Seas</x:v>
      </x:c>
      <x:c r="D13" s="58" t="n">
        <x:v>2019</x:v>
      </x:c>
      <x:c r="E13" s="46" t="str">
        <x:v>Isurus oxyrinchus</x:v>
      </x:c>
      <x:c r="F13" s="46" t="str">
        <x:v>Shortfin mako</x:v>
      </x:c>
      <x:c r="G13" s="46" t="str">
        <x:v>Large sharks (&gt;=90 cm)</x:v>
      </x:c>
      <x:c r="H13" s="46" t="str">
        <x:v>Sharks &amp; rays</x:v>
      </x:c>
      <x:c r="I13" s="60" t="n">
        <x:v>146.636395889</x:v>
      </x:c>
      <x:c r="J13" s="60" t="n">
        <x:v>146.636395889</x:v>
      </x:c>
      <x:c r="K13" s="60" t="n">
        <x:v>0</x:v>
      </x:c>
      <x:c r="L13" s="60" t="n">
        <x:v>146.636395889</x:v>
      </x:c>
      <x:c r="M13" s="60" t="n">
        <x:v>0</x:v>
      </x:c>
      <x:c r="N13" s="46" t="str">
        <x:v>isurus oxyrinchus</x:v>
      </x:c>
      <x:c r="O13" s="62" t="n">
        <x:v>4.5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Isurus oxyrinchus</x:v>
      </x:c>
      <x:c r="T13" s="62" t="n">
        <x:f>IF(O13="","",(1/'Metadata'!$B$5)^(O13-1))</x:f>
        <x:v>3162.2776601683795</x:v>
      </x:c>
      <x:c r="U13" s="60" t="n">
        <x:f>IF(T13="","",I13*T13)</x:f>
        <x:v>463704.9988873911</x:v>
      </x:c>
    </x:row>
    <x:row r="14" ht="18" customHeight="1">
      <x:c r="A14" s="46" t="str">
        <x:v>HS_047</x:v>
      </x:c>
      <x:c r="B14" s="46" t="str">
        <x:v>Atlantic, Southeast</x:v>
      </x:c>
      <x:c r="C14" s="46" t="str">
        <x:v>High Seas</x:v>
      </x:c>
      <x:c r="D14" s="58" t="n">
        <x:v>2019</x:v>
      </x:c>
      <x:c r="E14" s="46" t="str">
        <x:v>Istiophorus albicans</x:v>
      </x:c>
      <x:c r="F14" s="46" t="str">
        <x:v>Atlantic sailfish</x:v>
      </x:c>
      <x:c r="G14" s="46" t="str">
        <x:v>Large pelagics (&gt;=90 cm)</x:v>
      </x:c>
      <x:c r="H14" s="46" t="str">
        <x:v>Tuna &amp; billfishes</x:v>
      </x:c>
      <x:c r="I14" s="60" t="n">
        <x:v>122.8706140535</x:v>
      </x:c>
      <x:c r="J14" s="60" t="n">
        <x:v>122.8706140535</x:v>
      </x:c>
      <x:c r="K14" s="60" t="n">
        <x:v>0</x:v>
      </x:c>
      <x:c r="L14" s="60" t="n">
        <x:v>122.8706140535</x:v>
      </x:c>
      <x:c r="M14" s="60" t="n">
        <x:v>0</x:v>
      </x:c>
      <x:c r="N14" s="46" t="str">
        <x:v>istiophorus albicans</x:v>
      </x:c>
      <x:c r="O14" s="62" t="n">
        <x:v>4.5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Istiophorus albicans</x:v>
      </x:c>
      <x:c r="T14" s="62" t="n">
        <x:f>IF(O14="","",(1/'Metadata'!$B$5)^(O14-1))</x:f>
        <x:v>3162.2776601683795</x:v>
      </x:c>
      <x:c r="U14" s="60" t="n">
        <x:f>IF(T14="","",I14*T14)</x:f>
        <x:v>388550.997912554</x:v>
      </x:c>
    </x:row>
    <x:row r="15" ht="18" customHeight="1">
      <x:c r="A15" s="46" t="str">
        <x:v>HS_047</x:v>
      </x:c>
      <x:c r="B15" s="46" t="str">
        <x:v>Atlantic, Southeast</x:v>
      </x:c>
      <x:c r="C15" s="46" t="str">
        <x:v>High Seas</x:v>
      </x:c>
      <x:c r="D15" s="58" t="n">
        <x:v>2019</x:v>
      </x:c>
      <x:c r="E15" s="46" t="str">
        <x:v>Scombroidei</x:v>
      </x:c>
      <x:c r="F15" s="46" t="str">
        <x:v>Tunas, bonitos, billfishes</x:v>
      </x:c>
      <x:c r="G15" s="46" t="str">
        <x:v>Large pelagics (&gt;=90 cm)</x:v>
      </x:c>
      <x:c r="H15" s="46" t="str">
        <x:v>Tuna &amp; billfishes</x:v>
      </x:c>
      <x:c r="I15" s="60" t="n">
        <x:v>121.6061795813</x:v>
      </x:c>
      <x:c r="J15" s="60" t="n">
        <x:v>121.6061795813</x:v>
      </x:c>
      <x:c r="K15" s="60" t="n">
        <x:v>0</x:v>
      </x:c>
      <x:c r="L15" s="60" t="n">
        <x:v>121.6061795813</x:v>
      </x:c>
      <x:c r="M15" s="60" t="n">
        <x:v>0</x:v>
      </x:c>
      <x:c r="N15" s="46" t="str">
        <x:v>scombroidei</x:v>
      </x:c>
      <x:c r="O15" s="62" t="n">
        <x:v>4.2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Scombroidei</x:v>
      </x:c>
      <x:c r="T15" s="62" t="n">
        <x:f>IF(O15="","",(1/'Metadata'!$B$5)^(O15-1))</x:f>
        <x:v>1584.893192461114</x:v>
      </x:c>
      <x:c r="U15" s="60" t="n">
        <x:f>IF(T15="","",I15*T15)</x:f>
        <x:v>192732.8061796061</x:v>
      </x:c>
    </x:row>
    <x:row r="16" ht="18" customHeight="1">
      <x:c r="A16" s="46" t="str">
        <x:v>HS_047</x:v>
      </x:c>
      <x:c r="B16" s="46" t="str">
        <x:v>Atlantic, Southeast</x:v>
      </x:c>
      <x:c r="C16" s="46" t="str">
        <x:v>High Seas</x:v>
      </x:c>
      <x:c r="D16" s="58" t="n">
        <x:v>2019</x:v>
      </x:c>
      <x:c r="E16" s="46" t="str">
        <x:v>Makaira nigricans</x:v>
      </x:c>
      <x:c r="F16" s="46" t="str">
        <x:v>Blue marlin</x:v>
      </x:c>
      <x:c r="G16" s="46" t="str">
        <x:v>Large pelagics (&gt;=90 cm)</x:v>
      </x:c>
      <x:c r="H16" s="46" t="str">
        <x:v>Tuna &amp; billfishes</x:v>
      </x:c>
      <x:c r="I16" s="60" t="n">
        <x:v>84.0628002648</x:v>
      </x:c>
      <x:c r="J16" s="60" t="n">
        <x:v>84.0628002648</x:v>
      </x:c>
      <x:c r="K16" s="60" t="n">
        <x:v>0</x:v>
      </x:c>
      <x:c r="L16" s="60" t="n">
        <x:v>84.0628002648</x:v>
      </x:c>
      <x:c r="M16" s="60" t="n">
        <x:v>0</x:v>
      </x:c>
      <x:c r="N16" s="46" t="str">
        <x:v>makaira nigricans</x:v>
      </x:c>
      <x:c r="O16" s="62" t="n">
        <x:v>4.49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Makaira nigricans</x:v>
      </x:c>
      <x:c r="T16" s="62" t="n">
        <x:f>IF(O16="","",(1/'Metadata'!$B$5)^(O16-1))</x:f>
        <x:v>3090.295432513592</x:v>
      </x:c>
      <x:c r="U16" s="60" t="n">
        <x:f>IF(T16="","",I16*T16)</x:f>
        <x:v>259778.88770261384</x:v>
      </x:c>
    </x:row>
    <x:row r="17" ht="18" customHeight="1">
      <x:c r="A17" s="46" t="str">
        <x:v>HS_047</x:v>
      </x:c>
      <x:c r="B17" s="46" t="str">
        <x:v>Atlantic, Southeast</x:v>
      </x:c>
      <x:c r="C17" s="46" t="str">
        <x:v>High Seas</x:v>
      </x:c>
      <x:c r="D17" s="58" t="n">
        <x:v>2019</x:v>
      </x:c>
      <x:c r="E17" s="46" t="str">
        <x:v>Tetrapturus pfluegeri</x:v>
      </x:c>
      <x:c r="F17" s="46" t="str">
        <x:v>Longbill spearfish</x:v>
      </x:c>
      <x:c r="G17" s="46" t="str">
        <x:v>Large pelagics (&gt;=90 cm)</x:v>
      </x:c>
      <x:c r="H17" s="46" t="str">
        <x:v>Tuna &amp; billfishes</x:v>
      </x:c>
      <x:c r="I17" s="60" t="n">
        <x:v>37.6733105121</x:v>
      </x:c>
      <x:c r="J17" s="60" t="n">
        <x:v>37.6733105121</x:v>
      </x:c>
      <x:c r="K17" s="60" t="n">
        <x:v>0</x:v>
      </x:c>
      <x:c r="L17" s="60" t="n">
        <x:v>37.6733105121</x:v>
      </x:c>
      <x:c r="M17" s="60" t="n">
        <x:v>0</x:v>
      </x:c>
      <x:c r="N17" s="46" t="str">
        <x:v>tetrapturus pfluegeri</x:v>
      </x:c>
      <x:c r="O17" s="62" t="n">
        <x:v>4.4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Tetrapturus pfluegeri</x:v>
      </x:c>
      <x:c r="T17" s="62" t="n">
        <x:f>IF(O17="","",(1/'Metadata'!$B$5)^(O17-1))</x:f>
        <x:v>2511.886431509582</x:v>
      </x:c>
      <x:c r="U17" s="60" t="n">
        <x:f>IF(T17="","",I17*T17)</x:f>
        <x:v>94631.0775053913</x:v>
      </x:c>
    </x:row>
    <x:row r="18" ht="18" customHeight="1">
      <x:c r="A18" s="46" t="str">
        <x:v>HS_047</x:v>
      </x:c>
      <x:c r="B18" s="46" t="str">
        <x:v>Atlantic, Southeast</x:v>
      </x:c>
      <x:c r="C18" s="46" t="str">
        <x:v>High Seas</x:v>
      </x:c>
      <x:c r="D18" s="58" t="n">
        <x:v>2019</x:v>
      </x:c>
      <x:c r="E18" s="46" t="str">
        <x:v>Scombridae</x:v>
      </x:c>
      <x:c r="F18" s="46" t="str">
        <x:v>Mackerels, tunas, bonitos</x:v>
      </x:c>
      <x:c r="G18" s="46" t="str">
        <x:v>Medium pelagics (30 - 89 cm)</x:v>
      </x:c>
      <x:c r="H18" s="46" t="str">
        <x:v>Perch-likes</x:v>
      </x:c>
      <x:c r="I18" s="60" t="n">
        <x:v>25.8333290237</x:v>
      </x:c>
      <x:c r="J18" s="60" t="n">
        <x:v>25.8333290237</x:v>
      </x:c>
      <x:c r="K18" s="60" t="n">
        <x:v>0</x:v>
      </x:c>
      <x:c r="L18" s="60" t="n">
        <x:v>25.8333290237</x:v>
      </x:c>
      <x:c r="M18" s="60" t="n">
        <x:v>0</x:v>
      </x:c>
      <x:c r="N18" s="46" t="str">
        <x:v>scombridae</x:v>
      </x:c>
      <x:c r="O18" s="62" t="n">
        <x:v>4.26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Scombridae</x:v>
      </x:c>
      <x:c r="T18" s="62" t="n">
        <x:f>IF(O18="","",(1/'Metadata'!$B$5)^(O18-1))</x:f>
        <x:v>1819.7008586099826</x:v>
      </x:c>
      <x:c r="U18" s="60" t="n">
        <x:f>IF(T18="","",I18*T18)</x:f>
        <x:v>47008.93100518107</x:v>
      </x:c>
    </x:row>
    <x:row r="19" ht="18" customHeight="1">
      <x:c r="A19" s="46" t="str">
        <x:v>HS_047</x:v>
      </x:c>
      <x:c r="B19" s="46" t="str">
        <x:v>Atlantic, Southeast</x:v>
      </x:c>
      <x:c r="C19" s="46" t="str">
        <x:v>High Seas</x:v>
      </x:c>
      <x:c r="D19" s="58" t="n">
        <x:v>2019</x:v>
      </x:c>
      <x:c r="E19" s="46" t="str">
        <x:v>Coryphaena hippurus</x:v>
      </x:c>
      <x:c r="F19" s="46" t="str">
        <x:v>Common dolphinfish</x:v>
      </x:c>
      <x:c r="G19" s="46" t="str">
        <x:v>Large pelagics (&gt;=90 cm)</x:v>
      </x:c>
      <x:c r="H19" s="46" t="str">
        <x:v>Perch-likes</x:v>
      </x:c>
      <x:c r="I19" s="60" t="n">
        <x:v>10.4814215005</x:v>
      </x:c>
      <x:c r="J19" s="60" t="n">
        <x:v>10.4814215005</x:v>
      </x:c>
      <x:c r="K19" s="60" t="n">
        <x:v>0</x:v>
      </x:c>
      <x:c r="L19" s="60" t="n">
        <x:v>10.4814215005</x:v>
      </x:c>
      <x:c r="M19" s="60" t="n">
        <x:v>0</x:v>
      </x:c>
      <x:c r="N19" s="46" t="str">
        <x:v>coryphaena hippurus</x:v>
      </x:c>
      <x:c r="O19" s="62" t="n">
        <x:v>4.37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Coryphaena hippurus</x:v>
      </x:c>
      <x:c r="T19" s="62" t="n">
        <x:f>IF(O19="","",(1/'Metadata'!$B$5)^(O19-1))</x:f>
        <x:v>2344.228815319923</x:v>
      </x:c>
      <x:c r="U19" s="60" t="n">
        <x:f>IF(T19="","",I19*T19)</x:f>
        <x:v>24570.85030698588</x:v>
      </x:c>
    </x:row>
    <x:row r="20" ht="18" customHeight="1">
      <x:c r="A20" s="46" t="str">
        <x:v>HS_047</x:v>
      </x:c>
      <x:c r="B20" s="46" t="str">
        <x:v>Atlantic, Southeast</x:v>
      </x:c>
      <x:c r="C20" s="46" t="str">
        <x:v>High Seas</x:v>
      </x:c>
      <x:c r="D20" s="58" t="n">
        <x:v>2019</x:v>
      </x:c>
      <x:c r="E20" s="46" t="str">
        <x:v>Istiophoridae</x:v>
      </x:c>
      <x:c r="F20" s="46" t="str">
        <x:v>Billfishes</x:v>
      </x:c>
      <x:c r="G20" s="46" t="str">
        <x:v>Large pelagics (&gt;=90 cm)</x:v>
      </x:c>
      <x:c r="H20" s="46" t="str">
        <x:v>Tuna &amp; billfishes</x:v>
      </x:c>
      <x:c r="I20" s="60" t="n">
        <x:v>5.6648087302</x:v>
      </x:c>
      <x:c r="J20" s="60" t="n">
        <x:v>5.6648087302</x:v>
      </x:c>
      <x:c r="K20" s="60" t="n">
        <x:v>0</x:v>
      </x:c>
      <x:c r="L20" s="60" t="n">
        <x:v>5.6648087302</x:v>
      </x:c>
      <x:c r="M20" s="60" t="n">
        <x:v>0</x:v>
      </x:c>
      <x:c r="N20" s="46" t="str">
        <x:v>istiophoridae</x:v>
      </x:c>
      <x:c r="O20" s="62" t="n">
        <x:v>4.48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Istiophoridae</x:v>
      </x:c>
      <x:c r="T20" s="62" t="n">
        <x:f>IF(O20="","",(1/'Metadata'!$B$5)^(O20-1))</x:f>
        <x:v>3019.951720402019</x:v>
      </x:c>
      <x:c r="U20" s="60" t="n">
        <x:f>IF(T20="","",I20*T20)</x:f>
        <x:v>17107.448870515866</x:v>
      </x:c>
    </x:row>
    <x:row r="21" ht="18" customHeight="1">
      <x:c r="A21" s="46" t="str">
        <x:v>HS_047</x:v>
      </x:c>
      <x:c r="B21" s="46" t="str">
        <x:v>Atlantic, Southeast</x:v>
      </x:c>
      <x:c r="C21" s="46" t="str">
        <x:v>High Seas</x:v>
      </x:c>
      <x:c r="D21" s="58" t="n">
        <x:v>2019</x:v>
      </x:c>
      <x:c r="E21" s="46" t="str">
        <x:v>Acanthocybium solandri</x:v>
      </x:c>
      <x:c r="F21" s="46" t="str">
        <x:v>Wahoo</x:v>
      </x:c>
      <x:c r="G21" s="46" t="str">
        <x:v>Large pelagics (&gt;=90 cm)</x:v>
      </x:c>
      <x:c r="H21" s="46" t="str">
        <x:v>Perch-likes</x:v>
      </x:c>
      <x:c r="I21" s="60" t="n">
        <x:v>3.2770061509999997</x:v>
      </x:c>
      <x:c r="J21" s="60" t="n">
        <x:v>3.2770061509999997</x:v>
      </x:c>
      <x:c r="K21" s="60" t="n">
        <x:v>0</x:v>
      </x:c>
      <x:c r="L21" s="60" t="n">
        <x:v>3.2770061509999997</x:v>
      </x:c>
      <x:c r="M21" s="60" t="n">
        <x:v>0</x:v>
      </x:c>
      <x:c r="N21" s="46" t="str">
        <x:v>acanthocybium solandri</x:v>
      </x:c>
      <x:c r="O21" s="62" t="n">
        <x:v>4.26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Acanthocybium solandri</x:v>
      </x:c>
      <x:c r="T21" s="62" t="n">
        <x:f>IF(O21="","",(1/'Metadata'!$B$5)^(O21-1))</x:f>
        <x:v>1819.7008586099826</x:v>
      </x:c>
      <x:c r="U21" s="60" t="n">
        <x:f>IF(T21="","",I21*T21)</x:f>
        <x:v>5963.170906644894</x:v>
      </x:c>
    </x:row>
    <x:row r="22" ht="18" customHeight="1">
      <x:c r="A22" s="46" t="str">
        <x:v>HS_047</x:v>
      </x:c>
      <x:c r="B22" s="46" t="str">
        <x:v>Atlantic, Southeast</x:v>
      </x:c>
      <x:c r="C22" s="46" t="str">
        <x:v>High Seas</x:v>
      </x:c>
      <x:c r="D22" s="58" t="n">
        <x:v>2019</x:v>
      </x:c>
      <x:c r="E22" s="46" t="str">
        <x:v>Isurus</x:v>
      </x:c>
      <x:c r="F22" s="46" t="str">
        <x:v>Mako sharks</x:v>
      </x:c>
      <x:c r="G22" s="46" t="str">
        <x:v>Large sharks (&gt;=90 cm)</x:v>
      </x:c>
      <x:c r="H22" s="46" t="str">
        <x:v>Sharks &amp; rays</x:v>
      </x:c>
      <x:c r="I22" s="60" t="n">
        <x:v>2.9091463965</x:v>
      </x:c>
      <x:c r="J22" s="60" t="n">
        <x:v>2.9091463965</x:v>
      </x:c>
      <x:c r="K22" s="60" t="n">
        <x:v>0</x:v>
      </x:c>
      <x:c r="L22" s="60" t="n">
        <x:v>2.9091463965</x:v>
      </x:c>
      <x:c r="M22" s="60" t="n">
        <x:v>0</x:v>
      </x:c>
      <x:c r="N22" s="46" t="str">
        <x:v>isurus</x:v>
      </x:c>
      <x:c r="O22" s="62" t="n">
        <x:v>4.5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Isurus</x:v>
      </x:c>
      <x:c r="T22" s="62" t="n">
        <x:f>IF(O22="","",(1/'Metadata'!$B$5)^(O22-1))</x:f>
        <x:v>3162.2776601683795</x:v>
      </x:c>
      <x:c r="U22" s="60" t="n">
        <x:f>IF(T22="","",I22*T22)</x:f>
        <x:v>9199.528659811293</x:v>
      </x:c>
    </x:row>
    <x:row r="23" ht="18" customHeight="1">
      <x:c r="A23" s="46" t="str">
        <x:v>HS_047</x:v>
      </x:c>
      <x:c r="B23" s="46" t="str">
        <x:v>Atlantic, Southeast</x:v>
      </x:c>
      <x:c r="C23" s="46" t="str">
        <x:v>High Seas</x:v>
      </x:c>
      <x:c r="D23" s="58" t="n">
        <x:v>2019</x:v>
      </x:c>
      <x:c r="E23" s="46" t="str">
        <x:v>Kajikia albida</x:v>
      </x:c>
      <x:c r="F23" s="46" t="str">
        <x:v>Atlantic white marlin</x:v>
      </x:c>
      <x:c r="G23" s="46" t="str">
        <x:v>Large pelagics (&gt;=90 cm)</x:v>
      </x:c>
      <x:c r="H23" s="46" t="str">
        <x:v>Tuna &amp; billfishes</x:v>
      </x:c>
      <x:c r="I23" s="60" t="n">
        <x:v>2.4330231237</x:v>
      </x:c>
      <x:c r="J23" s="60" t="n">
        <x:v>2.4330231237</x:v>
      </x:c>
      <x:c r="K23" s="60" t="n">
        <x:v>0</x:v>
      </x:c>
      <x:c r="L23" s="60" t="n">
        <x:v>2.4330231237</x:v>
      </x:c>
      <x:c r="M23" s="60" t="n">
        <x:v>0</x:v>
      </x:c>
      <x:c r="N23" s="46" t="str">
        <x:v>kajikia albida</x:v>
      </x:c>
      <x:c r="O23" s="62" t="n">
        <x:v>4.49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Kajikia albida</x:v>
      </x:c>
      <x:c r="T23" s="62" t="n">
        <x:f>IF(O23="","",(1/'Metadata'!$B$5)^(O23-1))</x:f>
        <x:v>3090.295432513592</x:v>
      </x:c>
      <x:c r="U23" s="60" t="n">
        <x:f>IF(T23="","",I23*T23)</x:f>
        <x:v>7518.760246370062</x:v>
      </x:c>
    </x:row>
    <x:row r="24" ht="18" customHeight="1">
      <x:c r="A24" s="46" t="str">
        <x:v>HS_047</x:v>
      </x:c>
      <x:c r="B24" s="46" t="str">
        <x:v>Atlantic, Southeast</x:v>
      </x:c>
      <x:c r="C24" s="46" t="str">
        <x:v>High Seas</x:v>
      </x:c>
      <x:c r="D24" s="58" t="n">
        <x:v>2019</x:v>
      </x:c>
      <x:c r="E24" s="46" t="str">
        <x:v>Thunnus thynnus</x:v>
      </x:c>
      <x:c r="F24" s="46" t="str">
        <x:v>Atlantic bluefin tuna</x:v>
      </x:c>
      <x:c r="G24" s="46" t="str">
        <x:v>Large pelagics (&gt;=90 cm)</x:v>
      </x:c>
      <x:c r="H24" s="46" t="str">
        <x:v>Tuna &amp; billfishes</x:v>
      </x:c>
      <x:c r="I24" s="60" t="n">
        <x:v>2.4317937732</x:v>
      </x:c>
      <x:c r="J24" s="60" t="n">
        <x:v>2.4317937732</x:v>
      </x:c>
      <x:c r="K24" s="60" t="n">
        <x:v>0</x:v>
      </x:c>
      <x:c r="L24" s="60" t="n">
        <x:v>2.4317937732</x:v>
      </x:c>
      <x:c r="M24" s="60" t="n">
        <x:v>0</x:v>
      </x:c>
      <x:c r="N24" s="46" t="str">
        <x:v>thunnus thynnus</x:v>
      </x:c>
      <x:c r="O24" s="62" t="n">
        <x:v>4.45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Thunnus thynnus</x:v>
      </x:c>
      <x:c r="T24" s="62" t="n">
        <x:f>IF(O24="","",(1/'Metadata'!$B$5)^(O24-1))</x:f>
        <x:v>2818.382931264455</x:v>
      </x:c>
      <x:c r="U24" s="60" t="n">
        <x:f>IF(T24="","",I24*T24)</x:f>
        <x:v>6853.726062742065</x:v>
      </x:c>
    </x:row>
    <x:row r="25" ht="18" customHeight="1">
      <x:c r="A25" s="46" t="str">
        <x:v>HS_047</x:v>
      </x:c>
      <x:c r="B25" s="46" t="str">
        <x:v>Atlantic, Southeast</x:v>
      </x:c>
      <x:c r="C25" s="46" t="str">
        <x:v>High Seas</x:v>
      </x:c>
      <x:c r="D25" s="58" t="n">
        <x:v>2019</x:v>
      </x:c>
      <x:c r="E25" s="46" t="str">
        <x:v>Carcharhinidae</x:v>
      </x:c>
      <x:c r="F25" s="46" t="str">
        <x:v>Requiem sharks</x:v>
      </x:c>
      <x:c r="G25" s="46" t="str">
        <x:v>Large sharks (&gt;=90 cm)</x:v>
      </x:c>
      <x:c r="H25" s="46" t="str">
        <x:v>Sharks &amp; rays</x:v>
      </x:c>
      <x:c r="I25" s="60" t="n">
        <x:v>1.0537108133</x:v>
      </x:c>
      <x:c r="J25" s="60" t="n">
        <x:v>1.0537108133</x:v>
      </x:c>
      <x:c r="K25" s="60" t="n">
        <x:v>0</x:v>
      </x:c>
      <x:c r="L25" s="60" t="n">
        <x:v>1.0537108133</x:v>
      </x:c>
      <x:c r="M25" s="60" t="n">
        <x:v>0</x:v>
      </x:c>
      <x:c r="N25" s="46" t="str">
        <x:v>carcharhinidae</x:v>
      </x:c>
      <x:c r="O25" s="62" t="n">
        <x:v>4.24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Carcharhinidae</x:v>
      </x:c>
      <x:c r="T25" s="62" t="n">
        <x:f>IF(O25="","",(1/'Metadata'!$B$5)^(O25-1))</x:f>
        <x:v>1737.8008287493763</x:v>
      </x:c>
      <x:c r="U25" s="60" t="n">
        <x:f>IF(T25="","",I25*T25)</x:f>
        <x:v>1831.139524614919</x:v>
      </x:c>
    </x:row>
    <x:row r="26" ht="18" customHeight="1">
      <x:c r="A26" s="46" t="str">
        <x:v>HS_047</x:v>
      </x:c>
      <x:c r="B26" s="46" t="str">
        <x:v>Atlantic, Southeast</x:v>
      </x:c>
      <x:c r="C26" s="46" t="str">
        <x:v>High Seas</x:v>
      </x:c>
      <x:c r="D26" s="58" t="n">
        <x:v>2019</x:v>
      </x:c>
      <x:c r="E26" s="46" t="str">
        <x:v>Sphyrna</x:v>
      </x:c>
      <x:c r="F26" s="46" t="str">
        <x:v>Hammerhead sharks</x:v>
      </x:c>
      <x:c r="G26" s="46" t="str">
        <x:v>Large sharks (&gt;=90 cm)</x:v>
      </x:c>
      <x:c r="H26" s="46" t="str">
        <x:v>Sharks &amp; rays</x:v>
      </x:c>
      <x:c r="I26" s="60" t="n">
        <x:v>0.589329007</x:v>
      </x:c>
      <x:c r="J26" s="60" t="n">
        <x:v>0.589329007</x:v>
      </x:c>
      <x:c r="K26" s="60" t="n">
        <x:v>0</x:v>
      </x:c>
      <x:c r="L26" s="60" t="n">
        <x:v>0.589329007</x:v>
      </x:c>
      <x:c r="M26" s="60" t="n">
        <x:v>0</x:v>
      </x:c>
      <x:c r="N26" s="46" t="str">
        <x:v>sphyrna</x:v>
      </x:c>
      <x:c r="O26" s="62" t="n">
        <x:v>4.2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Sphyrna</x:v>
      </x:c>
      <x:c r="T26" s="62" t="n">
        <x:f>IF(O26="","",(1/'Metadata'!$B$5)^(O26-1))</x:f>
        <x:v>1584.893192461114</x:v>
      </x:c>
      <x:c r="U26" s="60" t="n">
        <x:f>IF(T26="","",I26*T26)</x:f>
        <x:v>934.0235313141683</x:v>
      </x:c>
    </x:row>
    <x:row r="27" ht="18" customHeight="1">
      <x:c r="A27" s="46" t="str">
        <x:v>HS_047</x:v>
      </x:c>
      <x:c r="B27" s="46" t="str">
        <x:v>Atlantic, Southeast</x:v>
      </x:c>
      <x:c r="C27" s="46" t="str">
        <x:v>High Seas</x:v>
      </x:c>
      <x:c r="D27" s="58" t="n">
        <x:v>2019</x:v>
      </x:c>
      <x:c r="E27" s="46" t="str">
        <x:v>Alopias</x:v>
      </x:c>
      <x:c r="F27" s="46" t="str">
        <x:v>Thresher sharks</x:v>
      </x:c>
      <x:c r="G27" s="46" t="str">
        <x:v>Large sharks (&gt;=90 cm)</x:v>
      </x:c>
      <x:c r="H27" s="46" t="str">
        <x:v>Sharks &amp; rays</x:v>
      </x:c>
      <x:c r="I27" s="60" t="n">
        <x:v>0.4222628027</x:v>
      </x:c>
      <x:c r="J27" s="60" t="n">
        <x:v>0.4222628027</x:v>
      </x:c>
      <x:c r="K27" s="60" t="n">
        <x:v>0</x:v>
      </x:c>
      <x:c r="L27" s="60" t="n">
        <x:v>0.4222628027</x:v>
      </x:c>
      <x:c r="M27" s="60" t="n">
        <x:v>0</x:v>
      </x:c>
      <x:c r="N27" s="46" t="str">
        <x:v>alopias</x:v>
      </x:c>
      <x:c r="O27" s="62" t="n">
        <x:v>4.5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Alopias</x:v>
      </x:c>
      <x:c r="T27" s="62" t="n">
        <x:f>IF(O27="","",(1/'Metadata'!$B$5)^(O27-1))</x:f>
        <x:v>3162.2776601683795</x:v>
      </x:c>
      <x:c r="U27" s="60" t="n">
        <x:f>IF(T27="","",I27*T27)</x:f>
        <x:v>1335.312227698298</x:v>
      </x:c>
    </x:row>
    <x:row r="28" ht="18" customHeight="1">
      <x:c r="A28" s="46" t="str">
        <x:v>HS_047</x:v>
      </x:c>
      <x:c r="B28" s="46" t="str">
        <x:v>Atlantic, Southeast</x:v>
      </x:c>
      <x:c r="C28" s="46" t="str">
        <x:v>High Seas</x:v>
      </x:c>
      <x:c r="D28" s="58" t="n">
        <x:v>2019</x:v>
      </x:c>
      <x:c r="E28" s="46" t="str">
        <x:v>Istiophorus platypterus</x:v>
      </x:c>
      <x:c r="F28" s="46" t="str">
        <x:v>Indo-Pacific sailfish</x:v>
      </x:c>
      <x:c r="G28" s="46" t="str">
        <x:v>Large pelagics (&gt;=90 cm)</x:v>
      </x:c>
      <x:c r="H28" s="46" t="str">
        <x:v>Tuna &amp; billfishes</x:v>
      </x:c>
      <x:c r="I28" s="60" t="n">
        <x:v>0.206635857</x:v>
      </x:c>
      <x:c r="J28" s="60" t="n">
        <x:v>0.206635857</x:v>
      </x:c>
      <x:c r="K28" s="60" t="n">
        <x:v>0</x:v>
      </x:c>
      <x:c r="L28" s="60" t="n">
        <x:v>0.206635857</x:v>
      </x:c>
      <x:c r="M28" s="60" t="n">
        <x:v>0</x:v>
      </x:c>
      <x:c r="N28" s="46" t="str">
        <x:v>istiophorus platypterus</x:v>
      </x:c>
      <x:c r="O28" s="62" t="n">
        <x:v>4.5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Istiophorus platypterus</x:v>
      </x:c>
      <x:c r="T28" s="62" t="n">
        <x:f>IF(O28="","",(1/'Metadata'!$B$5)^(O28-1))</x:f>
        <x:v>3162.2776601683795</x:v>
      </x:c>
      <x:c r="U28" s="60" t="n">
        <x:f>IF(T28="","",I28*T28)</x:f>
        <x:v>653.4399543808479</x:v>
      </x:c>
    </x:row>
    <x:row r="29" ht="18" customHeight="1">
      <x:c r="A29" s="46" t="str">
        <x:v>HS_047</x:v>
      </x:c>
      <x:c r="B29" s="46" t="str">
        <x:v>Atlantic, Southeast</x:v>
      </x:c>
      <x:c r="C29" s="46" t="str">
        <x:v>High Seas</x:v>
      </x:c>
      <x:c r="D29" s="58" t="n">
        <x:v>2019</x:v>
      </x:c>
      <x:c r="E29" s="46" t="str">
        <x:v>Sarda sarda</x:v>
      </x:c>
      <x:c r="F29" s="46" t="str">
        <x:v>Atlantic bonito</x:v>
      </x:c>
      <x:c r="G29" s="46" t="str">
        <x:v>Medium pelagics (30 - 89 cm)</x:v>
      </x:c>
      <x:c r="H29" s="46" t="str">
        <x:v>Tuna &amp; billfishes</x:v>
      </x:c>
      <x:c r="I29" s="60" t="n">
        <x:v>0.1293282791</x:v>
      </x:c>
      <x:c r="J29" s="60" t="n">
        <x:v>0.1293282791</x:v>
      </x:c>
      <x:c r="K29" s="60" t="n">
        <x:v>0</x:v>
      </x:c>
      <x:c r="L29" s="60" t="n">
        <x:v>0.1293282791</x:v>
      </x:c>
      <x:c r="M29" s="60" t="n">
        <x:v>0</x:v>
      </x:c>
      <x:c r="N29" s="46" t="str">
        <x:v>sarda sarda</x:v>
      </x:c>
      <x:c r="O29" s="62" t="n">
        <x:v>4.5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Sarda sarda</x:v>
      </x:c>
      <x:c r="T29" s="62" t="n">
        <x:f>IF(O29="","",(1/'Metadata'!$B$5)^(O29-1))</x:f>
        <x:v>3162.2776601683795</x:v>
      </x:c>
      <x:c r="U29" s="60" t="n">
        <x:f>IF(T29="","",I29*T29)</x:f>
        <x:v>408.9719278259511</x:v>
      </x:c>
    </x:row>
    <x:row r="30" ht="18" customHeight="1">
      <x:c r="A30" s="46" t="str">
        <x:v>HS_047</x:v>
      </x:c>
      <x:c r="B30" s="46" t="str">
        <x:v>Atlantic, Southeast</x:v>
      </x:c>
      <x:c r="C30" s="46" t="str">
        <x:v>High Seas</x:v>
      </x:c>
      <x:c r="D30" s="58" t="n">
        <x:v>2019</x:v>
      </x:c>
      <x:c r="E30" s="46" t="str">
        <x:v>Tetrapturus angustirostris</x:v>
      </x:c>
      <x:c r="F30" s="46" t="str">
        <x:v>Shortbill spearfish</x:v>
      </x:c>
      <x:c r="G30" s="46" t="str">
        <x:v>Large pelagics (&gt;=90 cm)</x:v>
      </x:c>
      <x:c r="H30" s="46" t="str">
        <x:v>Tuna &amp; billfishes</x:v>
      </x:c>
      <x:c r="I30" s="60" t="n">
        <x:v>0.0715045323</x:v>
      </x:c>
      <x:c r="J30" s="60" t="n">
        <x:v>0.0715045323</x:v>
      </x:c>
      <x:c r="K30" s="60" t="n">
        <x:v>0</x:v>
      </x:c>
      <x:c r="L30" s="60" t="n">
        <x:v>0.0715045323</x:v>
      </x:c>
      <x:c r="M30" s="60" t="n">
        <x:v>0</x:v>
      </x:c>
      <x:c r="N30" s="46" t="str">
        <x:v>tetrapturus angustirostris</x:v>
      </x:c>
      <x:c r="O30" s="62" t="n">
        <x:v>4.5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Tetrapturus angustirostris</x:v>
      </x:c>
      <x:c r="T30" s="62" t="n">
        <x:f>IF(O30="","",(1/'Metadata'!$B$5)^(O30-1))</x:f>
        <x:v>3162.2776601683795</x:v>
      </x:c>
      <x:c r="U30" s="60" t="n">
        <x:f>IF(T30="","",I30*T30)</x:f>
        <x:v>226.11718509307835</x:v>
      </x:c>
    </x:row>
    <x:row r="31" ht="18" customHeight="1">
      <x:c r="A31" s="46" t="str">
        <x:v>HS_047</x:v>
      </x:c>
      <x:c r="B31" s="46" t="str">
        <x:v>Atlantic, Southeast</x:v>
      </x:c>
      <x:c r="C31" s="46" t="str">
        <x:v>High Seas</x:v>
      </x:c>
      <x:c r="D31" s="58" t="n">
        <x:v>2019</x:v>
      </x:c>
      <x:c r="E31" s="46" t="str">
        <x:v>Brama brama</x:v>
      </x:c>
      <x:c r="F31" s="46" t="str">
        <x:v>Atlantic pomfret</x:v>
      </x:c>
      <x:c r="G31" s="46" t="str">
        <x:v>Medium bathypelagics (30 - 89 cm)</x:v>
      </x:c>
      <x:c r="H31" s="46" t="str">
        <x:v>Perch-likes</x:v>
      </x:c>
      <x:c r="I31" s="60" t="n">
        <x:v>0.057205364700000004</x:v>
      </x:c>
      <x:c r="J31" s="60" t="n">
        <x:v>0.057205364700000004</x:v>
      </x:c>
      <x:c r="K31" s="60" t="n">
        <x:v>0</x:v>
      </x:c>
      <x:c r="L31" s="60" t="n">
        <x:v>0.057205364700000004</x:v>
      </x:c>
      <x:c r="M31" s="60" t="n">
        <x:v>0</x:v>
      </x:c>
      <x:c r="N31" s="46" t="str">
        <x:v>brama brama</x:v>
      </x:c>
      <x:c r="O31" s="62" t="n">
        <x:v>4.08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Brama brama</x:v>
      </x:c>
      <x:c r="T31" s="62" t="n">
        <x:f>IF(O31="","",(1/'Metadata'!$B$5)^(O31-1))</x:f>
        <x:v>1202.2644346174131</x:v>
      </x:c>
      <x:c r="U31" s="60" t="n">
        <x:f>IF(T31="","",I31*T31)</x:f>
        <x:v>68.77597544812843</x:v>
      </x:c>
    </x:row>
    <x:row r="32" ht="18" customHeight="1">
      <x:c r="A32" s="46" t="str">
        <x:v>HS_047</x:v>
      </x:c>
      <x:c r="B32" s="46" t="str">
        <x:v>Atlantic, Southeast</x:v>
      </x:c>
      <x:c r="C32" s="46" t="str">
        <x:v>High Seas</x:v>
      </x:c>
      <x:c r="D32" s="58" t="n">
        <x:v>2019</x:v>
      </x:c>
      <x:c r="E32" s="46" t="str">
        <x:v>Istiompax indica</x:v>
      </x:c>
      <x:c r="F32" s="46" t="str">
        <x:v>Black marlin</x:v>
      </x:c>
      <x:c r="G32" s="46" t="str">
        <x:v>Large pelagics (&gt;=90 cm)</x:v>
      </x:c>
      <x:c r="H32" s="46" t="str">
        <x:v>Tuna &amp; billfishes</x:v>
      </x:c>
      <x:c r="I32" s="60" t="n">
        <x:v>0.0339547896</x:v>
      </x:c>
      <x:c r="J32" s="60" t="n">
        <x:v>0.0339547896</x:v>
      </x:c>
      <x:c r="K32" s="60" t="n">
        <x:v>0</x:v>
      </x:c>
      <x:c r="L32" s="60" t="n">
        <x:v>0.0339547896</x:v>
      </x:c>
      <x:c r="M32" s="60" t="n">
        <x:v>0</x:v>
      </x:c>
      <x:c r="N32" s="46" t="str">
        <x:v>istiompax indica</x:v>
      </x:c>
      <x:c r="O32" s="62" t="n">
        <x:v>4.5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Istiompax indica</x:v>
      </x:c>
      <x:c r="T32" s="62" t="n">
        <x:f>IF(O32="","",(1/'Metadata'!$B$5)^(O32-1))</x:f>
        <x:v>3162.2776601683795</x:v>
      </x:c>
      <x:c r="U32" s="60" t="n">
        <x:f>IF(T32="","",I32*T32)</x:f>
        <x:v>107.37447260779763</x:v>
      </x:c>
    </x:row>
    <x:row r="33" ht="18" customHeight="1">
      <x:c r="A33" s="46" t="str">
        <x:v>HS_047</x:v>
      </x:c>
      <x:c r="B33" s="46" t="str">
        <x:v>Atlantic, Southeast</x:v>
      </x:c>
      <x:c r="C33" s="46" t="str">
        <x:v>High Seas</x:v>
      </x:c>
      <x:c r="D33" s="58" t="n">
        <x:v>2019</x:v>
      </x:c>
      <x:c r="E33" s="46" t="str">
        <x:v>Auxis rochei</x:v>
      </x:c>
      <x:c r="F33" s="46" t="str">
        <x:v>Bullet tuna</x:v>
      </x:c>
      <x:c r="G33" s="46" t="str">
        <x:v>Medium pelagics (30 - 89 cm)</x:v>
      </x:c>
      <x:c r="H33" s="46" t="str">
        <x:v>Tuna &amp; billfishes</x:v>
      </x:c>
      <x:c r="I33" s="60" t="n">
        <x:v>0.011499279500000001</x:v>
      </x:c>
      <x:c r="J33" s="60" t="n">
        <x:v>0.011499279500000001</x:v>
      </x:c>
      <x:c r="K33" s="60" t="n">
        <x:v>0</x:v>
      </x:c>
      <x:c r="L33" s="60" t="n">
        <x:v>0.011499279500000001</x:v>
      </x:c>
      <x:c r="M33" s="60" t="n">
        <x:v>0</x:v>
      </x:c>
      <x:c r="N33" s="46" t="str">
        <x:v>auxis rochei</x:v>
      </x:c>
      <x:c r="O33" s="62" t="n">
        <x:v>4.13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Auxis rochei</x:v>
      </x:c>
      <x:c r="T33" s="62" t="n">
        <x:f>IF(O33="","",(1/'Metadata'!$B$5)^(O33-1))</x:f>
        <x:v>1348.9628825916532</x:v>
      </x:c>
      <x:c r="U33" s="60" t="n">
        <x:f>IF(T33="","",I33*T33)</x:f>
        <x:v>15.512101222047106</x:v>
      </x:c>
    </x:row>
    <x:row r="34" ht="18" customHeight="1">
      <x:c r="A34" s="46" t="str">
        <x:v>HS_047</x:v>
      </x:c>
      <x:c r="B34" s="46" t="str">
        <x:v>Atlantic, Southeast</x:v>
      </x:c>
      <x:c r="C34" s="46" t="str">
        <x:v>High Seas</x:v>
      </x:c>
      <x:c r="D34" s="58" t="n">
        <x:v>2019</x:v>
      </x:c>
      <x:c r="E34" s="46" t="str">
        <x:v>Kajikia audax</x:v>
      </x:c>
      <x:c r="F34" s="46" t="str">
        <x:v>Striped marlin</x:v>
      </x:c>
      <x:c r="G34" s="46" t="str">
        <x:v>Large pelagics (&gt;=90 cm)</x:v>
      </x:c>
      <x:c r="H34" s="46" t="str">
        <x:v>Tuna &amp; billfishes</x:v>
      </x:c>
      <x:c r="I34" s="60" t="n">
        <x:v>0.0047540344</x:v>
      </x:c>
      <x:c r="J34" s="60" t="n">
        <x:v>0.0047540344</x:v>
      </x:c>
      <x:c r="K34" s="60" t="n">
        <x:v>0</x:v>
      </x:c>
      <x:c r="L34" s="60" t="n">
        <x:v>0.0047540344</x:v>
      </x:c>
      <x:c r="M34" s="60" t="n">
        <x:v>0</x:v>
      </x:c>
      <x:c r="N34" s="46" t="str">
        <x:v>kajikia audax</x:v>
      </x:c>
      <x:c r="O34" s="62" t="n">
        <x:v>4.58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Kajikia audax</x:v>
      </x:c>
      <x:c r="T34" s="62" t="n">
        <x:f>IF(O34="","",(1/'Metadata'!$B$5)^(O34-1))</x:f>
        <x:v>3801.8939632056126</x:v>
      </x:c>
      <x:c r="U34" s="60" t="n">
        <x:f>IF(T34="","",I34*T34)</x:f>
        <x:v>18.07433468623182</x:v>
      </x:c>
    </x:row>
    <x:row r="35" ht="18" customHeight="1">
      <x:c r="A35" s="46" t="str">
        <x:v>HS_047</x:v>
      </x:c>
      <x:c r="B35" s="46" t="str">
        <x:v>Atlantic, Southeast</x:v>
      </x:c>
      <x:c r="C35" s="46" t="str">
        <x:v>High Seas</x:v>
      </x:c>
      <x:c r="D35" s="58" t="n">
        <x:v>2019</x:v>
      </x:c>
      <x:c r="E35" s="46" t="str">
        <x:v>Lamna nasus</x:v>
      </x:c>
      <x:c r="F35" s="46" t="str">
        <x:v>Porbeagle</x:v>
      </x:c>
      <x:c r="G35" s="46" t="str">
        <x:v>Large sharks (&gt;=90 cm)</x:v>
      </x:c>
      <x:c r="H35" s="46" t="str">
        <x:v>Sharks &amp; rays</x:v>
      </x:c>
      <x:c r="I35" s="60" t="n">
        <x:v>0.000273087</x:v>
      </x:c>
      <x:c r="J35" s="60" t="n">
        <x:v>0.000273087</x:v>
      </x:c>
      <x:c r="K35" s="60" t="n">
        <x:v>0</x:v>
      </x:c>
      <x:c r="L35" s="60" t="n">
        <x:v>0.000273087</x:v>
      </x:c>
      <x:c r="M35" s="60" t="n">
        <x:v>0</x:v>
      </x:c>
      <x:c r="N35" s="46" t="str">
        <x:v>lamna nasus</x:v>
      </x:c>
      <x:c r="O35" s="62" t="n">
        <x:v>4.57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Lamna nasus</x:v>
      </x:c>
      <x:c r="T35" s="62" t="n">
        <x:f>IF(O35="","",(1/'Metadata'!$B$5)^(O35-1))</x:f>
        <x:v>3715.3522909717276</x:v>
      </x:c>
      <x:c r="U35" s="60" t="n">
        <x:f>IF(T35="","",I35*T35)</x:f>
        <x:v>1.014614411084596</x:v>
      </x:c>
    </x:row>
    <x:row r="36" ht="18" customHeight="1">
      <x:c r="A36" s="46" t="str">
        <x:v>HS_047</x:v>
      </x:c>
      <x:c r="B36" s="46" t="str">
        <x:v>Atlantic, Southeast</x:v>
      </x:c>
      <x:c r="C36" s="46" t="str">
        <x:v>High Seas</x:v>
      </x:c>
      <x:c r="D36" s="58" t="n">
        <x:v>2019</x:v>
      </x:c>
      <x:c r="E36" s="46" t="str">
        <x:v>Scomberomorus commerson</x:v>
      </x:c>
      <x:c r="F36" s="46" t="str">
        <x:v>Narrow-barred Spanish mackerel</x:v>
      </x:c>
      <x:c r="G36" s="46" t="str">
        <x:v>Large pelagics (&gt;=90 cm)</x:v>
      </x:c>
      <x:c r="H36" s="46" t="str">
        <x:v>Perch-likes</x:v>
      </x:c>
      <x:c r="I36" s="60" t="n">
        <x:v>4.558e-7</x:v>
      </x:c>
      <x:c r="J36" s="60" t="n">
        <x:v>4.558e-7</x:v>
      </x:c>
      <x:c r="K36" s="60" t="n">
        <x:v>0</x:v>
      </x:c>
      <x:c r="L36" s="60" t="n">
        <x:v>4.558e-7</x:v>
      </x:c>
      <x:c r="M36" s="60" t="n">
        <x:v>0</x:v>
      </x:c>
      <x:c r="N36" s="46" t="str">
        <x:v>scomberomorus commerson</x:v>
      </x:c>
      <x:c r="O36" s="62" t="n">
        <x:v>4.5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Scomberomorus commerson</x:v>
      </x:c>
      <x:c r="T36" s="62" t="n">
        <x:f>IF(O36="","",(1/'Metadata'!$B$5)^(O36-1))</x:f>
        <x:v>3162.2776601683795</x:v>
      </x:c>
      <x:c r="U36" s="60" t="n">
        <x:f>IF(T36="","",I36*T36)</x:f>
        <x:v>0.0014413661575047474</x:v>
      </x:c>
    </x:row>
  </x:sheetData>
  <x:conditionalFormatting sqref="R2:R3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e276f66df85a4ce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Other fishes &amp; inverts</x:v>
      </x:c>
      <x:c r="B2" s="64" t="n">
        <x:v>2</x:v>
      </x:c>
      <x:c r="C2" s="64" t="n">
        <x:v>2</x:v>
      </x:c>
      <x:c r="D2" s="60" t="n">
        <x:v>5385.878291358101</x:v>
      </x:c>
      <x:c r="E2" s="60" t="n">
        <x:v>5385.878291358101</x:v>
      </x:c>
      <x:c r="F2" s="62" t="n">
        <x:v>0</x:v>
      </x:c>
      <x:c r="G2" s="66" t="n">
        <x:v>1</x:v>
      </x:c>
      <x:c r="H2" s="62" t="n">
        <x:f>IF(E2=0,"",I2/E2)</x:f>
        <x:v>191.74654108796497</x:v>
      </x:c>
      <x:c r="I2" s="60" t="n">
        <x:f>SUMIF('Species'!$H$2:$H$36,A2,'Species'!$U$2:$U$36)</x:f>
        <x:v>1032723.5330886747</x:v>
      </x:c>
      <x:c r="J2" s="62" t="n">
        <x:v>3.282521537068886</x:v>
      </x:c>
      <x:c r="K2" s="62" t="n">
        <x:f>IF(J2="","",(1/'Metadata'!$B$5)^(J2-1))</x:f>
        <x:v>191.6556104185586</x:v>
      </x:c>
      <x:c r="L2" s="60" t="n">
        <x:f>IF(E2=0,"",E2*K2)</x:f>
        <x:v>1032233.7915703002</x:v>
      </x:c>
      <x:c r="M2" s="60" t="n">
        <x:f>I2-L2</x:f>
        <x:v>489.74151837441605</x:v>
      </x:c>
      <x:c r="N2" s="62" t="n">
        <x:f>IF(L2=0,"",I2/L2)</x:f>
        <x:v>1.000474448252299</x:v>
      </x:c>
      <x:c r="O2" s="66" t="n">
        <x:f>IF(L2=0,"",M2/L2)</x:f>
        <x:v>0.0004744482522989195</x:v>
      </x:c>
    </x:row>
    <x:row r="3" ht="18" customHeight="1">
      <x:c r="A3" s="46" t="str">
        <x:v>Perch-likes</x:v>
      </x:c>
      <x:c r="B3" s="64" t="n">
        <x:v>5</x:v>
      </x:c>
      <x:c r="C3" s="64" t="n">
        <x:v>5</x:v>
      </x:c>
      <x:c r="D3" s="60" t="n">
        <x:v>39.648962495700005</x:v>
      </x:c>
      <x:c r="E3" s="60" t="n">
        <x:v>39.648962495700005</x:v>
      </x:c>
      <x:c r="F3" s="62" t="n">
        <x:v>0</x:v>
      </x:c>
      <x:c r="G3" s="66" t="n">
        <x:v>1</x:v>
      </x:c>
      <x:c r="H3" s="62" t="n">
        <x:f>IF(E3=0,"",I3/E3)</x:f>
        <x:v>1957.471892084017</x:v>
      </x:c>
      <x:c r="I3" s="60" t="n">
        <x:f>SUMIF('Species'!$H$2:$H$36,A3,'Species'!$U$2:$U$36)</x:f>
        <x:v>77611.72963562612</x:v>
      </x:c>
      <x:c r="J3" s="62" t="n">
        <x:v>4.288819405020368</x:v>
      </x:c>
      <x:c r="K3" s="62" t="n">
        <x:f>IF(J3="","",(1/'Metadata'!$B$5)^(J3-1))</x:f>
        <x:v>1944.5513003855585</x:v>
      </x:c>
      <x:c r="L3" s="60" t="n">
        <x:f>IF(E3=0,"",E3*K3)</x:f>
        <x:v>77099.44157995169</x:v>
      </x:c>
      <x:c r="M3" s="60" t="n">
        <x:f>I3-L3</x:f>
        <x:v>512.2880556744349</x:v>
      </x:c>
      <x:c r="N3" s="62" t="n">
        <x:f>IF(L3=0,"",I3/L3)</x:f>
        <x:v>1.0066445105849853</x:v>
      </x:c>
      <x:c r="O3" s="66" t="n">
        <x:f>IF(L3=0,"",M3/L3)</x:f>
        <x:v>0.006644510584985172</x:v>
      </x:c>
    </x:row>
    <x:row r="4" ht="18" customHeight="1">
      <x:c r="A4" s="46" t="str">
        <x:v>Sharks &amp; rays</x:v>
      </x:c>
      <x:c r="B4" s="64" t="n">
        <x:v>8</x:v>
      </x:c>
      <x:c r="C4" s="64" t="n">
        <x:v>8</x:v>
      </x:c>
      <x:c r="D4" s="60" t="n">
        <x:v>5486.885765556901</x:v>
      </x:c>
      <x:c r="E4" s="60" t="n">
        <x:v>5486.885765556901</x:v>
      </x:c>
      <x:c r="F4" s="62" t="n">
        <x:v>0</x:v>
      </x:c>
      <x:c r="G4" s="66" t="n">
        <x:v>1</x:v>
      </x:c>
      <x:c r="H4" s="62" t="n">
        <x:f>IF(E4=0,"",I4/E4)</x:f>
        <x:v>1764.642803120413</x:v>
      </x:c>
      <x:c r="I4" s="60" t="n">
        <x:f>SUMIF('Species'!$H$2:$H$36,A4,'Species'!$U$2:$U$36)</x:f>
        <x:v>9682393.477733823</x:v>
      </x:c>
      <x:c r="J4" s="62" t="n">
        <x:v>4.219965651641608</x:v>
      </x:c>
      <x:c r="K4" s="62" t="n">
        <x:f>IF(J4="","",(1/'Metadata'!$B$5)^(J4-1))</x:f>
        <x:v>1659.4556558695895</x:v>
      </x:c>
      <x:c r="L4" s="60" t="n">
        <x:f>IF(E4=0,"",E4*K4)</x:f>
        <x:v>9105243.61676374</x:v>
      </x:c>
      <x:c r="M4" s="60" t="n">
        <x:f>I4-L4</x:f>
        <x:v>577149.8609700818</x:v>
      </x:c>
      <x:c r="N4" s="62" t="n">
        <x:f>IF(L4=0,"",I4/L4)</x:f>
        <x:v>1.0633865369519038</x:v>
      </x:c>
      <x:c r="O4" s="66" t="n">
        <x:f>IF(L4=0,"",M4/L4)</x:f>
        <x:v>0.06338653695190388</x:v>
      </x:c>
    </x:row>
    <x:row r="5" ht="18" customHeight="1">
      <x:c r="A5" s="46" t="str">
        <x:v>Tuna &amp; billfishes</x:v>
      </x:c>
      <x:c r="B5" s="64" t="n">
        <x:v>20</x:v>
      </x:c>
      <x:c r="C5" s="64" t="n">
        <x:v>20</x:v>
      </x:c>
      <x:c r="D5" s="60" t="n">
        <x:v>30918.313761122998</x:v>
      </x:c>
      <x:c r="E5" s="60" t="n">
        <x:v>30918.313761122998</x:v>
      </x:c>
      <x:c r="F5" s="62" t="n">
        <x:v>0</x:v>
      </x:c>
      <x:c r="G5" s="66" t="n">
        <x:v>1</x:v>
      </x:c>
      <x:c r="H5" s="62" t="n">
        <x:f>IF(E5=0,"",I5/E5)</x:f>
        <x:v>2492.6566589418426</x:v>
      </x:c>
      <x:c r="I5" s="60" t="n">
        <x:f>SUMIF('Species'!$H$2:$H$36,A5,'Species'!$U$2:$U$36)</x:f>
        <x:v>77068740.67991644</x:v>
      </x:c>
      <x:c r="J5" s="62" t="n">
        <x:v>4.363391063337743</x:v>
      </x:c>
      <x:c r="K5" s="62" t="n">
        <x:f>IF(J5="","",(1/'Metadata'!$B$5)^(J5-1))</x:f>
        <x:v>2308.8252499397136</x:v>
      </x:c>
      <x:c r="L5" s="60" t="n">
        <x:f>IF(E5=0,"",E5*K5)</x:f>
        <x:v>71384983.49723929</x:v>
      </x:c>
      <x:c r="M5" s="60" t="n">
        <x:f>I5-L5</x:f>
        <x:v>5683757.18267715</x:v>
      </x:c>
      <x:c r="N5" s="62" t="n">
        <x:f>IF(L5=0,"",I5/L5)</x:f>
        <x:v>1.0796211878776572</x:v>
      </x:c>
      <x:c r="O5" s="66" t="n">
        <x:f>IF(L5=0,"",M5/L5)</x:f>
        <x:v>0.07962118787765722</x:v>
      </x:c>
    </x:row>
  </x:sheetData>
  <x:conditionalFormatting sqref="G2:G5">
    <x:cfRule type="cellIs" dxfId="1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0fc2caed9f34da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Large pelagics (&gt;=90 cm)</x:v>
      </x:c>
      <x:c r="B2" s="64" t="n">
        <x:v>20</x:v>
      </x:c>
      <x:c r="C2" s="64" t="n">
        <x:v>20</x:v>
      </x:c>
      <x:c r="D2" s="60" t="n">
        <x:v>30618.3568805263</x:v>
      </x:c>
      <x:c r="E2" s="60" t="n">
        <x:v>30618.3568805263</x:v>
      </x:c>
      <x:c r="F2" s="62" t="n">
        <x:v>0</x:v>
      </x:c>
      <x:c r="G2" s="66" t="n">
        <x:v>1</x:v>
      </x:c>
      <x:c r="H2" s="62" t="n">
        <x:f>IF(E2=0,"",I2/E2)</x:f>
        <x:v>2494.0515319638453</x:v>
      </x:c>
      <x:c r="I2" s="60" t="n">
        <x:f>SUMIF('Species'!$G$2:$G$36,A2,'Species'!$U$2:$U$36)</x:f>
        <x:v>76363759.88409236</x:v>
      </x:c>
      <x:c r="J2" s="62" t="n">
        <x:v>4.3633140860034905</x:v>
      </x:c>
      <x:c r="K2" s="62" t="n">
        <x:f>IF(J2="","",(1/'Metadata'!$B$5)^(J2-1))</x:f>
        <x:v>2308.4160541738547</x:v>
      </x:c>
      <x:c r="L2" s="60" t="n">
        <x:f>IF(E2=0,"",E2*K2)</x:f>
        <x:v>70679906.5754314</x:v>
      </x:c>
      <x:c r="M2" s="60" t="n">
        <x:f>I2-L2</x:f>
        <x:v>5683853.308660954</x:v>
      </x:c>
      <x:c r="N2" s="62" t="n">
        <x:f>IF(L2=0,"",I2/L2)</x:f>
        <x:v>1.0804168197731698</x:v>
      </x:c>
      <x:c r="O2" s="66" t="n">
        <x:f>IF(L2=0,"",M2/L2)</x:f>
        <x:v>0.0804168197731699</x:v>
      </x:c>
    </x:row>
    <x:row r="3" ht="18" customHeight="1">
      <x:c r="A3" s="46" t="str">
        <x:v>Large sharks (&gt;=90 cm)</x:v>
      </x:c>
      <x:c r="B3" s="64" t="n">
        <x:v>8</x:v>
      </x:c>
      <x:c r="C3" s="64" t="n">
        <x:v>8</x:v>
      </x:c>
      <x:c r="D3" s="60" t="n">
        <x:v>5486.885765556901</x:v>
      </x:c>
      <x:c r="E3" s="60" t="n">
        <x:v>5486.885765556901</x:v>
      </x:c>
      <x:c r="F3" s="62" t="n">
        <x:v>0</x:v>
      </x:c>
      <x:c r="G3" s="66" t="n">
        <x:v>1</x:v>
      </x:c>
      <x:c r="H3" s="62" t="n">
        <x:f>IF(E3=0,"",I3/E3)</x:f>
        <x:v>1764.642803120413</x:v>
      </x:c>
      <x:c r="I3" s="60" t="n">
        <x:f>SUMIF('Species'!$G$2:$G$36,A3,'Species'!$U$2:$U$36)</x:f>
        <x:v>9682393.477733823</x:v>
      </x:c>
      <x:c r="J3" s="62" t="n">
        <x:v>4.219965651641608</x:v>
      </x:c>
      <x:c r="K3" s="62" t="n">
        <x:f>IF(J3="","",(1/'Metadata'!$B$5)^(J3-1))</x:f>
        <x:v>1659.4556558695895</x:v>
      </x:c>
      <x:c r="L3" s="60" t="n">
        <x:f>IF(E3=0,"",E3*K3)</x:f>
        <x:v>9105243.61676374</x:v>
      </x:c>
      <x:c r="M3" s="60" t="n">
        <x:f>I3-L3</x:f>
        <x:v>577149.8609700818</x:v>
      </x:c>
      <x:c r="N3" s="62" t="n">
        <x:f>IF(L3=0,"",I3/L3)</x:f>
        <x:v>1.0633865369519038</x:v>
      </x:c>
      <x:c r="O3" s="66" t="n">
        <x:f>IF(L3=0,"",M3/L3)</x:f>
        <x:v>0.06338653695190388</x:v>
      </x:c>
    </x:row>
    <x:row r="4" ht="18" customHeight="1">
      <x:c r="A4" s="46" t="str">
        <x:v>Medium bathypelagics (30 - 89 cm)</x:v>
      </x:c>
      <x:c r="B4" s="64" t="n">
        <x:v>1</x:v>
      </x:c>
      <x:c r="C4" s="64" t="n">
        <x:v>1</x:v>
      </x:c>
      <x:c r="D4" s="60" t="n">
        <x:v>0.057205364700000004</x:v>
      </x:c>
      <x:c r="E4" s="60" t="n">
        <x:v>0.057205364700000004</x:v>
      </x:c>
      <x:c r="F4" s="62" t="n">
        <x:v>0</x:v>
      </x:c>
      <x:c r="G4" s="66" t="n">
        <x:v>1</x:v>
      </x:c>
      <x:c r="H4" s="62" t="n">
        <x:f>IF(E4=0,"",I4/E4)</x:f>
        <x:v>1202.2644346174131</x:v>
      </x:c>
      <x:c r="I4" s="60" t="n">
        <x:f>SUMIF('Species'!$G$2:$G$36,A4,'Species'!$U$2:$U$36)</x:f>
        <x:v>68.77597544812843</x:v>
      </x:c>
      <x:c r="J4" s="62" t="n">
        <x:v>4.08</x:v>
      </x:c>
      <x:c r="K4" s="62" t="n">
        <x:f>IF(J4="","",(1/'Metadata'!$B$5)^(J4-1))</x:f>
        <x:v>1202.2644346174131</x:v>
      </x:c>
      <x:c r="L4" s="60" t="n">
        <x:f>IF(E4=0,"",E4*K4)</x:f>
        <x:v>68.77597544812843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Medium demersals (30 - 89 cm)</x:v>
      </x:c>
      <x:c r="B5" s="64" t="n">
        <x:v>1</x:v>
      </x:c>
      <x:c r="C5" s="64" t="n">
        <x:v>1</x:v>
      </x:c>
      <x:c r="D5" s="60" t="n">
        <x:v>5191.868409070001</x:v>
      </x:c>
      <x:c r="E5" s="60" t="n">
        <x:v>5191.868409070001</x:v>
      </x:c>
      <x:c r="F5" s="62" t="n">
        <x:v>0</x:v>
      </x:c>
      <x:c r="G5" s="66" t="n">
        <x:v>1</x:v>
      </x:c>
      <x:c r="H5" s="62" t="n">
        <x:f>IF(E5=0,"",I5/E5)</x:f>
        <x:v>190.54607179632464</x:v>
      </x:c>
      <x:c r="I5" s="60" t="n">
        <x:f>SUMIF('Species'!$G$2:$G$36,A5,'Species'!$U$2:$U$36)</x:f>
        <x:v>989290.1306317222</x:v>
      </x:c>
      <x:c r="J5" s="62" t="n">
        <x:v>3.28</x:v>
      </x:c>
      <x:c r="K5" s="62" t="n">
        <x:f>IF(J5="","",(1/'Metadata'!$B$5)^(J5-1))</x:f>
        <x:v>190.54607179632464</x:v>
      </x:c>
      <x:c r="L5" s="60" t="n">
        <x:f>IF(E5=0,"",E5*K5)</x:f>
        <x:v>989290.1306317222</x:v>
      </x:c>
      <x:c r="M5" s="60" t="n">
        <x:f>I5-L5</x:f>
        <x:v>0</x:v>
      </x:c>
      <x:c r="N5" s="62" t="n">
        <x:f>IF(L5=0,"",I5/L5)</x:f>
        <x:v>1</x:v>
      </x:c>
      <x:c r="O5" s="66" t="n">
        <x:f>IF(L5=0,"",M5/L5)</x:f>
        <x:v>0</x:v>
      </x:c>
    </x:row>
    <x:row r="6" ht="18" customHeight="1">
      <x:c r="A6" s="46" t="str">
        <x:v>Medium pelagics (30 - 89 cm)</x:v>
      </x:c>
      <x:c r="B6" s="64" t="n">
        <x:v>5</x:v>
      </x:c>
      <x:c r="C6" s="64" t="n">
        <x:v>5</x:v>
      </x:c>
      <x:c r="D6" s="60" t="n">
        <x:v>533.5585200158</x:v>
      </x:c>
      <x:c r="E6" s="60" t="n">
        <x:v>533.5585200158</x:v>
      </x:c>
      <x:c r="F6" s="62" t="n">
        <x:v>0</x:v>
      </x:c>
      <x:c r="G6" s="66" t="n">
        <x:v>1</x:v>
      </x:c>
      <x:c r="H6" s="62" t="n">
        <x:f>IF(E6=0,"",I6/E6)</x:f>
        <x:v>1548.0160487677406</x:v>
      </x:c>
      <x:c r="I6" s="60" t="n">
        <x:f>SUMIF('Species'!$G$2:$G$36,A6,'Species'!$U$2:$U$36)</x:f>
        <x:v>825957.1519412221</x:v>
      </x:c>
      <x:c r="J6" s="62" t="n">
        <x:v>3.993813160604534</x:v>
      </x:c>
      <x:c r="K6" s="62" t="n">
        <x:f>IF(J6="","",(1/'Metadata'!$B$5)^(J6-1))</x:f>
        <x:v>985.8552660354641</x:v>
      </x:c>
      <x:c r="L6" s="60" t="n">
        <x:f>IF(E6=0,"",E6*K6)</x:f>
        <x:v>526011.476695665</x:v>
      </x:c>
      <x:c r="M6" s="60" t="n">
        <x:f>I6-L6</x:f>
        <x:v>299945.6752455571</x:v>
      </x:c>
      <x:c r="N6" s="62" t="n">
        <x:f>IF(L6=0,"",I6/L6)</x:f>
        <x:v>1.5702264846572862</x:v>
      </x:c>
      <x:c r="O6" s="66" t="n">
        <x:f>IF(L6=0,"",M6/L6)</x:f>
        <x:v>0.5702264846572862</x:v>
      </x:c>
    </x:row>
  </x:sheetData>
  <x:conditionalFormatting sqref="G2:G6">
    <x:cfRule type="cellIs" dxfId="2" priority="1" operator="lessThan">
      <x:formula>0.9</x:formula>
    </x:cfRule>
  </x:conditionalFormatting>
  <x:conditionalFormatting sqref="O2:O6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bf968f06ceb74a6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HS_047</x:v>
      </x:c>
      <x:c r="B2" s="46" t="str">
        <x:v>raw_filtered_tonnes</x:v>
      </x:c>
      <x:c r="C2" s="46" t="n">
        <x:v>41830.7267805337</x:v>
      </x:c>
      <x:c r="D2" s="46" t="str">
        <x:v>tonnes</x:v>
      </x:c>
    </x:row>
    <x:row r="3" ht="18" customHeight="1">
      <x:c r="A3" s="46" t="str">
        <x:v>HS_047</x:v>
      </x:c>
      <x:c r="B3" s="46" t="str">
        <x:v>species_catch_tonnes</x:v>
      </x:c>
      <x:c r="C3" s="46" t="n">
        <x:v>41830.7267805337</x:v>
      </x:c>
      <x:c r="D3" s="46" t="str">
        <x:v>tonnes</x:v>
      </x:c>
    </x:row>
    <x:row r="4" ht="18" customHeight="1">
      <x:c r="A4" s="46" t="str">
        <x:v>HS_047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HS_047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HS_047</x:v>
      </x:c>
      <x:c r="B6" s="46" t="str">
        <x:v>matched_catch_tonnes</x:v>
      </x:c>
      <x:c r="C6" s="46" t="n">
        <x:v>41830.7267805337</x:v>
      </x:c>
      <x:c r="D6" s="46" t="str">
        <x:v>tonnes</x:v>
      </x:c>
    </x:row>
    <x:row r="7" ht="18" customHeight="1">
      <x:c r="A7" s="46" t="str">
        <x:v>HS_047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HS_047</x:v>
      </x:c>
      <x:c r="B8" s="46" t="str">
        <x:v>taxa_count</x:v>
      </x:c>
      <x:c r="C8" s="46" t="n">
        <x:v>35</x:v>
      </x:c>
      <x:c r="D8" s="46" t="str">
        <x:v>count</x:v>
      </x:c>
    </x:row>
    <x:row r="9" ht="18" customHeight="1">
      <x:c r="A9" s="46" t="str">
        <x:v>HS_047</x:v>
      </x:c>
      <x:c r="B9" s="46" t="str">
        <x:v>matched_taxa_count</x:v>
      </x:c>
      <x:c r="C9" s="46" t="n">
        <x:v>35</x:v>
      </x:c>
      <x:c r="D9" s="46" t="str">
        <x:v>count</x:v>
      </x:c>
    </x:row>
    <x:row r="10" ht="18" customHeight="1">
      <x:c r="A10" s="46" t="str">
        <x:v>HS_047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HS_047</x:v>
      </x:c>
      <x:c r="B11" s="46" t="str">
        <x:v>species_ppr</x:v>
      </x:c>
      <x:c r="C11" s="46" t="n">
        <x:v>87861469.42037457</x:v>
      </x:c>
      <x:c r="D11" s="46" t="str">
        <x:v>tonnes_primary_production_equivalent</x:v>
      </x:c>
    </x:row>
    <x:row r="12" ht="18" customHeight="1">
      <x:c r="A12" s="46" t="str">
        <x:v>HS_047</x:v>
      </x:c>
      <x:c r="B12" s="46" t="str">
        <x:v>commercial_ppr</x:v>
      </x:c>
      <x:c r="C12" s="46" t="n">
        <x:v>87861469.42037456</x:v>
      </x:c>
      <x:c r="D12" s="46" t="str">
        <x:v>tonnes_primary_production_equivalent</x:v>
      </x:c>
    </x:row>
    <x:row r="13" ht="18" customHeight="1">
      <x:c r="A13" s="46" t="str">
        <x:v>HS_047</x:v>
      </x:c>
      <x:c r="B13" s="46" t="str">
        <x:v>functional_ppr</x:v>
      </x:c>
      <x:c r="C13" s="46" t="n">
        <x:v>87861469.42037456</x:v>
      </x:c>
      <x:c r="D13" s="46" t="str">
        <x:v>tonnes_primary_production_equivalent</x:v>
      </x:c>
    </x:row>
    <x:row r="14" ht="18" customHeight="1">
      <x:c r="A14" s="46" t="str">
        <x:v>HS_047</x:v>
      </x:c>
      <x:c r="B14" s="46" t="str">
        <x:v>commercial_ppr_difference</x:v>
      </x:c>
      <x:c r="C14" s="46" t="n">
        <x:v>-1.4901161193847656e-8</x:v>
      </x:c>
      <x:c r="D14" s="46" t="str">
        <x:v>tonnes_primary_production_equivalent</x:v>
      </x:c>
    </x:row>
    <x:row r="15" ht="18" customHeight="1">
      <x:c r="A15" s="46" t="str">
        <x:v>HS_047</x:v>
      </x:c>
      <x:c r="B15" s="46" t="str">
        <x:v>functional_ppr_difference</x:v>
      </x:c>
      <x:c r="C15" s="46" t="n">
        <x:v>-1.4901161193847656e-8</x:v>
      </x:c>
      <x:c r="D15" s="46" t="str">
        <x:v>tonnes_primary_production_equivalent</x:v>
      </x:c>
    </x:row>
    <x:row r="16" ht="18" customHeight="1">
      <x:c r="A16" s="46" t="str">
        <x:v>HS_047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HS_047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HS_047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HS_047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f4393a56df5344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HS_047 - Atlantic, Southeast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HS_047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High Seas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raw_data/SAU_downloads/HS_047-catch.zip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