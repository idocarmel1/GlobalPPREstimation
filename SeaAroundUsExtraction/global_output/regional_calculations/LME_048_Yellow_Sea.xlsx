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662aa6b63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89e1ad6cf164fd6"/>
    <x:sheet xmlns:r="http://schemas.openxmlformats.org/officeDocument/2006/relationships" name="Commercial" sheetId="2" r:id="R12054e9fd7964d54"/>
    <x:sheet xmlns:r="http://schemas.openxmlformats.org/officeDocument/2006/relationships" name="Functional" sheetId="3" r:id="R20546d65cf554928"/>
    <x:sheet xmlns:r="http://schemas.openxmlformats.org/officeDocument/2006/relationships" name="Missing TL" sheetId="4" r:id="R6640ea764c99409d"/>
    <x:sheet xmlns:r="http://schemas.openxmlformats.org/officeDocument/2006/relationships" name="Validation" sheetId="5" r:id="R9e46aee9ccf04a4e"/>
    <x:sheet xmlns:r="http://schemas.openxmlformats.org/officeDocument/2006/relationships" name="Metadata" sheetId="6" r:id="R436c73718fc3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13a2e087140dd" /><Relationship Type="http://schemas.openxmlformats.org/officeDocument/2006/relationships/theme" Target="/xl/theme/theme1.xml" Id="R034e167046284a45" /><Relationship Type="http://schemas.openxmlformats.org/officeDocument/2006/relationships/sharedStrings" Target="/xl/sharedStrings.xml" Id="R0283f480e85b43a0" /><Relationship Type="http://schemas.openxmlformats.org/officeDocument/2006/relationships/worksheet" Target="/xl/worksheets/sheet1.xml" Id="Rf89e1ad6cf164fd6" /><Relationship Type="http://schemas.openxmlformats.org/officeDocument/2006/relationships/worksheet" Target="/xl/worksheets/sheet2.xml" Id="R12054e9fd7964d54" /><Relationship Type="http://schemas.openxmlformats.org/officeDocument/2006/relationships/worksheet" Target="/xl/worksheets/sheet3.xml" Id="R20546d65cf554928" /><Relationship Type="http://schemas.openxmlformats.org/officeDocument/2006/relationships/worksheet" Target="/xl/worksheets/sheet4.xml" Id="R6640ea764c99409d" /><Relationship Type="http://schemas.openxmlformats.org/officeDocument/2006/relationships/worksheet" Target="/xl/worksheets/sheet5.xml" Id="R9e46aee9ccf04a4e" /><Relationship Type="http://schemas.openxmlformats.org/officeDocument/2006/relationships/worksheet" Target="/xl/worksheets/sheet6.xml" Id="R436c73718fc34863" /></Relationships>
</file>

<file path=xl/tables/table1.xml><?xml version="1.0" encoding="utf-8"?>
<x:table xmlns:x="http://schemas.openxmlformats.org/spreadsheetml/2006/main" id="1" name="LME048SpeciesTable" displayName="LME048SpeciesTable" ref="A1:U176" headerRowCount="1" totalsRowCount="0" totalsRowShown="0">
  <x:autoFilter ref="A1:U17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8CommercialTable" displayName="LME048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8FunctionalTable" displayName="LME048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8ValidationTable" displayName="LME04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91cca5f7cb43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aecd92eba448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9b3694cfcb48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75211767754f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LME_048</x:v>
      </x:c>
      <x:c r="B2" s="46" t="str">
        <x:v>Yellow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283172.4691119571</x:v>
      </x:c>
      <x:c r="J2" s="60" t="n">
        <x:v>220103.2166857615</x:v>
      </x:c>
      <x:c r="K2" s="60" t="n">
        <x:v>63069.252426195606</x:v>
      </x:c>
      <x:c r="L2" s="60" t="n">
        <x:v>141562.701042111</x:v>
      </x:c>
      <x:c r="M2" s="60" t="n">
        <x:v>141609.7680698461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53957401.630149506</x:v>
      </x:c>
    </x:row>
    <x:row r="3" ht="18" customHeight="1">
      <x:c r="A3" s="46" t="str">
        <x:v>LME_048</x:v>
      </x:c>
      <x:c r="B3" s="46" t="str">
        <x:v>Yellow Sea</x:v>
      </x:c>
      <x:c r="C3" s="46" t="str">
        <x:v>LME</x:v>
      </x:c>
      <x:c r="D3" s="58" t="n">
        <x:v>2019</x:v>
      </x:c>
      <x:c r="E3" s="46" t="str">
        <x:v>Cololabis saira</x:v>
      </x:c>
      <x:c r="F3" s="46" t="str">
        <x:v>Pacific saury</x:v>
      </x:c>
      <x:c r="G3" s="46" t="str">
        <x:v>Medium pelagics (30 - 89 cm)</x:v>
      </x:c>
      <x:c r="H3" s="46" t="str">
        <x:v>Other fishes &amp; inverts</x:v>
      </x:c>
      <x:c r="I3" s="60" t="n">
        <x:v>244341.5772948904</x:v>
      </x:c>
      <x:c r="J3" s="60" t="n">
        <x:v>242345.5423613798</x:v>
      </x:c>
      <x:c r="K3" s="60" t="n">
        <x:v>1996.0349335106</x:v>
      </x:c>
      <x:c r="L3" s="60" t="n">
        <x:v>238498.8204913684</x:v>
      </x:c>
      <x:c r="M3" s="60" t="n">
        <x:v>5842.756803522</x:v>
      </x:c>
      <x:c r="N3" s="46" t="str">
        <x:v>cololabis saira</x:v>
      </x:c>
      <x:c r="O3" s="62" t="n">
        <x:v>3.71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Cololabis saira</x:v>
      </x:c>
      <x:c r="T3" s="62" t="n">
        <x:f>IF(O3="","",(1/'Metadata'!$B$5)^(O3-1))</x:f>
        <x:v>512.8613839913648</x:v>
      </x:c>
      <x:c r="U3" s="60" t="n">
        <x:f>IF(T3="","",I3*T3)</x:f>
        <x:v>125313359.49809054</x:v>
      </x:c>
    </x:row>
    <x:row r="4" ht="18" customHeight="1">
      <x:c r="A4" s="46" t="str">
        <x:v>LME_048</x:v>
      </x:c>
      <x:c r="B4" s="46" t="str">
        <x:v>Yellow Sea</x:v>
      </x:c>
      <x:c r="C4" s="46" t="str">
        <x:v>LME</x:v>
      </x:c>
      <x:c r="D4" s="58" t="n">
        <x:v>2019</x:v>
      </x:c>
      <x:c r="E4" s="46" t="str">
        <x:v>Nemopilema nomurai</x:v>
      </x:c>
      <x:c r="F4" s="46" t="str">
        <x:v>Nomura jelly</x:v>
      </x:c>
      <x:c r="G4" s="46" t="str">
        <x:v>Jellyfish</x:v>
      </x:c>
      <x:c r="H4" s="46" t="str">
        <x:v>Other fishes &amp; inverts</x:v>
      </x:c>
      <x:c r="I4" s="60" t="n">
        <x:v>212639.83585115522</x:v>
      </x:c>
      <x:c r="J4" s="60" t="n">
        <x:v>212639.83585115522</x:v>
      </x:c>
      <x:c r="K4" s="60" t="n">
        <x:v>0</x:v>
      </x:c>
      <x:c r="L4" s="60" t="n">
        <x:v>0</x:v>
      </x:c>
      <x:c r="M4" s="60" t="n">
        <x:v>212639.83585115522</x:v>
      </x:c>
      <x:c r="N4" s="46" t="str">
        <x:v>nemopilema nomurai</x:v>
      </x:c>
      <x:c r="O4" s="62" t="n">
        <x:v>3.57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Nemopilema nomurai</x:v>
      </x:c>
      <x:c r="T4" s="62" t="n">
        <x:f>IF(O4="","",(1/'Metadata'!$B$5)^(O4-1))</x:f>
        <x:v>371.5352290971724</x:v>
      </x:c>
      <x:c r="U4" s="60" t="n">
        <x:f>IF(T4="","",I4*T4)</x:f>
        <x:v>79003190.12814409</x:v>
      </x:c>
    </x:row>
    <x:row r="5" ht="18" customHeight="1">
      <x:c r="A5" s="46" t="str">
        <x:v>LME_048</x:v>
      </x:c>
      <x:c r="B5" s="46" t="str">
        <x:v>Yellow Sea</x:v>
      </x:c>
      <x:c r="C5" s="46" t="str">
        <x:v>LME</x:v>
      </x:c>
      <x:c r="D5" s="58" t="n">
        <x:v>2019</x:v>
      </x:c>
      <x:c r="E5" s="46" t="str">
        <x:v>Engraulis japonicus</x:v>
      </x:c>
      <x:c r="F5" s="46" t="str">
        <x:v>Japanese anchovy</x:v>
      </x:c>
      <x:c r="G5" s="46" t="str">
        <x:v>Small pelagics (&lt;30 cm)</x:v>
      </x:c>
      <x:c r="H5" s="46" t="str">
        <x:v>Anchovies</x:v>
      </x:c>
      <x:c r="I5" s="60" t="n">
        <x:v>187438.5851721876</x:v>
      </x:c>
      <x:c r="J5" s="60" t="n">
        <x:v>187221.8458910073</x:v>
      </x:c>
      <x:c r="K5" s="60" t="n">
        <x:v>216.7392811803</x:v>
      </x:c>
      <x:c r="L5" s="60" t="n">
        <x:v>186419.2646480973</x:v>
      </x:c>
      <x:c r="M5" s="60" t="n">
        <x:v>1019.3205240903001</x:v>
      </x:c>
      <x:c r="N5" s="46" t="str">
        <x:v>engraulis japonicus</x:v>
      </x:c>
      <x:c r="O5" s="62" t="n">
        <x:v>3.14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Engraulis japonicus</x:v>
      </x:c>
      <x:c r="T5" s="62" t="n">
        <x:f>IF(O5="","",(1/'Metadata'!$B$5)^(O5-1))</x:f>
        <x:v>138.03842646028852</x:v>
      </x:c>
      <x:c r="U5" s="60" t="n">
        <x:f>IF(T5="","",I5*T5)</x:f>
        <x:v>25873727.355111543</x:v>
      </x:c>
    </x:row>
    <x:row r="6" ht="18" customHeight="1">
      <x:c r="A6" s="46" t="str">
        <x:v>LME_048</x:v>
      </x:c>
      <x:c r="B6" s="46" t="str">
        <x:v>Yellow Sea</x:v>
      </x:c>
      <x:c r="C6" s="46" t="str">
        <x:v>LME</x:v>
      </x:c>
      <x:c r="D6" s="58" t="n">
        <x:v>2019</x:v>
      </x:c>
      <x:c r="E6" s="46" t="str">
        <x:v>Trichiurus lepturus</x:v>
      </x:c>
      <x:c r="F6" s="46" t="str">
        <x:v>Largehead hairtail</x:v>
      </x:c>
      <x:c r="G6" s="46" t="str">
        <x:v>Large benthopelagics (&gt;=90 cm)</x:v>
      </x:c>
      <x:c r="H6" s="46" t="str">
        <x:v>Perch-likes</x:v>
      </x:c>
      <x:c r="I6" s="60" t="n">
        <x:v>172370.0449399839</x:v>
      </x:c>
      <x:c r="J6" s="60" t="n">
        <x:v>172048.3893020136</x:v>
      </x:c>
      <x:c r="K6" s="60" t="n">
        <x:v>321.6556379703</x:v>
      </x:c>
      <x:c r="L6" s="60" t="n">
        <x:v>171443.4806709055</x:v>
      </x:c>
      <x:c r="M6" s="60" t="n">
        <x:v>926.5642690784</x:v>
      </x:c>
      <x:c r="N6" s="46" t="str">
        <x:v>trichiurus lepturus</x:v>
      </x:c>
      <x:c r="O6" s="62" t="n">
        <x:v>4.42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Trichiurus lepturus</x:v>
      </x:c>
      <x:c r="T6" s="62" t="n">
        <x:f>IF(O6="","",(1/'Metadata'!$B$5)^(O6-1))</x:f>
        <x:v>2630.2679918953813</x:v>
      </x:c>
      <x:c r="U6" s="60" t="n">
        <x:f>IF(T6="","",I6*T6)</x:f>
        <x:v>453379411.9672081</x:v>
      </x:c>
    </x:row>
    <x:row r="7" ht="18" customHeight="1">
      <x:c r="A7" s="46" t="str">
        <x:v>LME_048</x:v>
      </x:c>
      <x:c r="B7" s="46" t="str">
        <x:v>Yellow Sea</x:v>
      </x:c>
      <x:c r="C7" s="46" t="str">
        <x:v>LME</x:v>
      </x:c>
      <x:c r="D7" s="58" t="n">
        <x:v>2019</x:v>
      </x:c>
      <x:c r="E7" s="46" t="str">
        <x:v>Scomber japonicus</x:v>
      </x:c>
      <x:c r="F7" s="46" t="str">
        <x:v>Pacific chub mackerel</x:v>
      </x:c>
      <x:c r="G7" s="46" t="str">
        <x:v>Medium pelagics (30 - 89 cm)</x:v>
      </x:c>
      <x:c r="H7" s="46" t="str">
        <x:v>Perch-likes</x:v>
      </x:c>
      <x:c r="I7" s="60" t="n">
        <x:v>148176.4454650787</x:v>
      </x:c>
      <x:c r="J7" s="60" t="n">
        <x:v>148101.238830317</x:v>
      </x:c>
      <x:c r="K7" s="60" t="n">
        <x:v>75.2066347617</x:v>
      </x:c>
      <x:c r="L7" s="60" t="n">
        <x:v>147987.2677776014</x:v>
      </x:c>
      <x:c r="M7" s="60" t="n">
        <x:v>189.1776874773</x:v>
      </x:c>
      <x:c r="N7" s="46" t="str">
        <x:v>scomber japonicus</x:v>
      </x:c>
      <x:c r="O7" s="62" t="n">
        <x:v>3.38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Scomber japonicus</x:v>
      </x:c>
      <x:c r="T7" s="62" t="n">
        <x:f>IF(O7="","",(1/'Metadata'!$B$5)^(O7-1))</x:f>
        <x:v>239.88329190194898</x:v>
      </x:c>
      <x:c r="U7" s="60" t="n">
        <x:f>IF(T7="","",I7*T7)</x:f>
        <x:v>35545053.520492695</x:v>
      </x:c>
    </x:row>
    <x:row r="8" ht="18" customHeight="1">
      <x:c r="A8" s="46" t="str">
        <x:v>LME_048</x:v>
      </x:c>
      <x:c r="B8" s="46" t="str">
        <x:v>Yellow Sea</x:v>
      </x:c>
      <x:c r="C8" s="46" t="str">
        <x:v>LME</x:v>
      </x:c>
      <x:c r="D8" s="58" t="n">
        <x:v>2019</x:v>
      </x:c>
      <x:c r="E8" s="46" t="str">
        <x:v>Portunus trituberculatus</x:v>
      </x:c>
      <x:c r="F8" s="46" t="str">
        <x:v>Gazami crab</x:v>
      </x:c>
      <x:c r="G8" s="46" t="str">
        <x:v>Lobsters, crabs</x:v>
      </x:c>
      <x:c r="H8" s="46" t="str">
        <x:v>Crustaceans</x:v>
      </x:c>
      <x:c r="I8" s="60" t="n">
        <x:v>102239.64081028721</x:v>
      </x:c>
      <x:c r="J8" s="60" t="n">
        <x:v>101117.3512464607</x:v>
      </x:c>
      <x:c r="K8" s="60" t="n">
        <x:v>1122.2895638265</x:v>
      </x:c>
      <x:c r="L8" s="60" t="n">
        <x:v>100511.24357202889</x:v>
      </x:c>
      <x:c r="M8" s="60" t="n">
        <x:v>1728.3972382583</x:v>
      </x:c>
      <x:c r="N8" s="46" t="str">
        <x:v>portunus trituberculatus</x:v>
      </x:c>
      <x:c r="O8" s="62" t="n">
        <x:v>3.73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Portunus trituberculatus</x:v>
      </x:c>
      <x:c r="T8" s="62" t="n">
        <x:f>IF(O8="","",(1/'Metadata'!$B$5)^(O8-1))</x:f>
        <x:v>537.0317963702527</x:v>
      </x:c>
      <x:c r="U8" s="60" t="n">
        <x:f>IF(T8="","",I8*T8)</x:f>
        <x:v>54905937.96459793</x:v>
      </x:c>
    </x:row>
    <x:row r="9" ht="18" customHeight="1">
      <x:c r="A9" s="46" t="str">
        <x:v>LME_048</x:v>
      </x:c>
      <x:c r="B9" s="46" t="str">
        <x:v>Yellow Sea</x:v>
      </x:c>
      <x:c r="C9" s="46" t="str">
        <x:v>LME</x:v>
      </x:c>
      <x:c r="D9" s="58" t="n">
        <x:v>2019</x:v>
      </x:c>
      <x:c r="E9" s="46" t="str">
        <x:v>Miscellaneous marine crustaceans</x:v>
      </x:c>
      <x:c r="F9" s="46" t="str">
        <x:v>Marine crabs, shrimps, lobsters nei</x:v>
      </x:c>
      <x:c r="G9" s="46" t="str">
        <x:v>Shrimps</x:v>
      </x:c>
      <x:c r="H9" s="46" t="str">
        <x:v>Crustaceans</x:v>
      </x:c>
      <x:c r="I9" s="60" t="n">
        <x:v>83406.2807845949</x:v>
      </x:c>
      <x:c r="J9" s="60" t="n">
        <x:v>82493.8336170398</x:v>
      </x:c>
      <x:c r="K9" s="60" t="n">
        <x:v>912.4471675551001</x:v>
      </x:c>
      <x:c r="L9" s="60" t="n">
        <x:v>81561.9500725426</x:v>
      </x:c>
      <x:c r="M9" s="60" t="n">
        <x:v>1844.3307120523</x:v>
      </x:c>
      <x:c r="N9" s="46" t="str">
        <x:v>miscellaneous marine crustaceans</x:v>
      </x:c>
      <x:c r="O9" s="62" t="n">
        <x:v>2.7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Miscellaneous marine crustaceans</x:v>
      </x:c>
      <x:c r="T9" s="62" t="n">
        <x:f>IF(O9="","",(1/'Metadata'!$B$5)^(O9-1))</x:f>
        <x:v>50.11872336272725</x:v>
      </x:c>
      <x:c r="U9" s="60" t="n">
        <x:f>IF(T9="","",I9*T9)</x:f>
        <x:v>4180216.3133570654</x:v>
      </x:c>
    </x:row>
    <x:row r="10" ht="18" customHeight="1">
      <x:c r="A10" s="46" t="str">
        <x:v>LME_048</x:v>
      </x:c>
      <x:c r="B10" s="46" t="str">
        <x:v>Yellow Sea</x:v>
      </x:c>
      <x:c r="C10" s="46" t="str">
        <x:v>LME</x:v>
      </x:c>
      <x:c r="D10" s="58" t="n">
        <x:v>2019</x:v>
      </x:c>
      <x:c r="E10" s="46" t="str">
        <x:v>Acetes japonicus</x:v>
      </x:c>
      <x:c r="F10" s="46" t="str">
        <x:v>Akiami paste shrimp</x:v>
      </x:c>
      <x:c r="G10" s="46" t="str">
        <x:v>Shrimps</x:v>
      </x:c>
      <x:c r="H10" s="46" t="str">
        <x:v>Crustaceans</x:v>
      </x:c>
      <x:c r="I10" s="60" t="n">
        <x:v>79225.761810338</x:v>
      </x:c>
      <x:c r="J10" s="60" t="n">
        <x:v>78839.7265034851</x:v>
      </x:c>
      <x:c r="K10" s="60" t="n">
        <x:v>386.0353068529</x:v>
      </x:c>
      <x:c r="L10" s="60" t="n">
        <x:v>78411.2042423398</x:v>
      </x:c>
      <x:c r="M10" s="60" t="n">
        <x:v>814.5575679982</x:v>
      </x:c>
      <x:c r="N10" s="46" t="str">
        <x:v>acetes japonicus</x:v>
      </x:c>
      <x:c r="O10" s="62" t="n">
        <x:v>2.54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Acetes japonicus</x:v>
      </x:c>
      <x:c r="T10" s="62" t="n">
        <x:f>IF(O10="","",(1/'Metadata'!$B$5)^(O10-1))</x:f>
        <x:v>34.673685045253166</x:v>
      </x:c>
      <x:c r="U10" s="60" t="n">
        <x:f>IF(T10="","",I10*T10)</x:f>
        <x:v>2747049.112481906</x:v>
      </x:c>
    </x:row>
    <x:row r="11" ht="18" customHeight="1">
      <x:c r="A11" s="46" t="str">
        <x:v>LME_048</x:v>
      </x:c>
      <x:c r="B11" s="46" t="str">
        <x:v>Yellow Sea</x:v>
      </x:c>
      <x:c r="C11" s="46" t="str">
        <x:v>LME</x:v>
      </x:c>
      <x:c r="D11" s="58" t="n">
        <x:v>2019</x:v>
      </x:c>
      <x:c r="E11" s="46" t="str">
        <x:v>Pampus</x:v>
      </x:c>
      <x:c r="F11" s="46" t="str">
        <x:v>Silver pomfrets</x:v>
      </x:c>
      <x:c r="G11" s="46" t="str">
        <x:v>Medium benthopelagics (30 - 89 cm)</x:v>
      </x:c>
      <x:c r="H11" s="46" t="str">
        <x:v>Perch-likes</x:v>
      </x:c>
      <x:c r="I11" s="60" t="n">
        <x:v>78647.4104908986</x:v>
      </x:c>
      <x:c r="J11" s="60" t="n">
        <x:v>78319.1294413399</x:v>
      </x:c>
      <x:c r="K11" s="60" t="n">
        <x:v>328.28104955870003</x:v>
      </x:c>
      <x:c r="L11" s="60" t="n">
        <x:v>78141.9673723776</x:v>
      </x:c>
      <x:c r="M11" s="60" t="n">
        <x:v>505.44311852100003</x:v>
      </x:c>
      <x:c r="N11" s="46" t="str">
        <x:v>pampus</x:v>
      </x:c>
      <x:c r="O11" s="62" t="n">
        <x:v>3.41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Pampus</x:v>
      </x:c>
      <x:c r="T11" s="62" t="n">
        <x:f>IF(O11="","",(1/'Metadata'!$B$5)^(O11-1))</x:f>
        <x:v>257.03957827688646</x:v>
      </x:c>
      <x:c r="U11" s="60" t="n">
        <x:f>IF(T11="","",I11*T11)</x:f>
        <x:v>20215497.225149754</x:v>
      </x:c>
    </x:row>
    <x:row r="12" ht="18" customHeight="1">
      <x:c r="A12" s="46" t="str">
        <x:v>LME_048</x:v>
      </x:c>
      <x:c r="B12" s="46" t="str">
        <x:v>Yellow Sea</x:v>
      </x:c>
      <x:c r="C12" s="46" t="str">
        <x:v>LME</x:v>
      </x:c>
      <x:c r="D12" s="58" t="n">
        <x:v>2019</x:v>
      </x:c>
      <x:c r="E12" s="46" t="str">
        <x:v>Larimichthys polyactis</x:v>
      </x:c>
      <x:c r="F12" s="46" t="str">
        <x:v>Yellow croaker</x:v>
      </x:c>
      <x:c r="G12" s="46" t="str">
        <x:v>Medium benthopelagics (30 - 89 cm)</x:v>
      </x:c>
      <x:c r="H12" s="46" t="str">
        <x:v>Perch-likes</x:v>
      </x:c>
      <x:c r="I12" s="60" t="n">
        <x:v>72997.02864948</x:v>
      </x:c>
      <x:c r="J12" s="60" t="n">
        <x:v>72644.6825411977</x:v>
      </x:c>
      <x:c r="K12" s="60" t="n">
        <x:v>352.34610828229995</x:v>
      </x:c>
      <x:c r="L12" s="60" t="n">
        <x:v>71875.7586289418</x:v>
      </x:c>
      <x:c r="M12" s="60" t="n">
        <x:v>1121.2700205382</x:v>
      </x:c>
      <x:c r="N12" s="46" t="str">
        <x:v>larimichthys polyactis</x:v>
      </x:c>
      <x:c r="O12" s="62" t="n">
        <x:v>3.64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Larimichthys polyactis</x:v>
      </x:c>
      <x:c r="T12" s="62" t="n">
        <x:f>IF(O12="","",(1/'Metadata'!$B$5)^(O12-1))</x:f>
        <x:v>436.5158322401661</x:v>
      </x:c>
      <x:c r="U12" s="60" t="n">
        <x:f>IF(T12="","",I12*T12)</x:f>
        <x:v>31864358.711987007</x:v>
      </x:c>
    </x:row>
    <x:row r="13" ht="18" customHeight="1">
      <x:c r="A13" s="46" t="str">
        <x:v>LME_048</x:v>
      </x:c>
      <x:c r="B13" s="46" t="str">
        <x:v>Yellow Sea</x:v>
      </x:c>
      <x:c r="C13" s="46" t="str">
        <x:v>LME</x:v>
      </x:c>
      <x:c r="D13" s="58" t="n">
        <x:v>2019</x:v>
      </x:c>
      <x:c r="E13" s="46" t="str">
        <x:v>Sciaenidae</x:v>
      </x:c>
      <x:c r="F13" s="46" t="str">
        <x:v>Drums, croakers</x:v>
      </x:c>
      <x:c r="G13" s="46" t="str">
        <x:v>Medium demersals (30 - 89 cm)</x:v>
      </x:c>
      <x:c r="H13" s="46" t="str">
        <x:v>Perch-likes</x:v>
      </x:c>
      <x:c r="I13" s="60" t="n">
        <x:v>66940.3723296075</x:v>
      </x:c>
      <x:c r="J13" s="60" t="n">
        <x:v>66348.2985920751</x:v>
      </x:c>
      <x:c r="K13" s="60" t="n">
        <x:v>592.0737375324</x:v>
      </x:c>
      <x:c r="L13" s="60" t="n">
        <x:v>65044.005374044</x:v>
      </x:c>
      <x:c r="M13" s="60" t="n">
        <x:v>1896.3669555635</x:v>
      </x:c>
      <x:c r="N13" s="46" t="str">
        <x:v>sciaenidae</x:v>
      </x:c>
      <x:c r="O13" s="62" t="n">
        <x:v>3.76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Sciaenidae</x:v>
      </x:c>
      <x:c r="T13" s="62" t="n">
        <x:f>IF(O13="","",(1/'Metadata'!$B$5)^(O13-1))</x:f>
        <x:v>575.4399373371566</x:v>
      </x:c>
      <x:c r="U13" s="60" t="n">
        <x:f>IF(T13="","",I13*T13)</x:f>
        <x:v>38520163.658675276</x:v>
      </x:c>
    </x:row>
    <x:row r="14" ht="18" customHeight="1">
      <x:c r="A14" s="46" t="str">
        <x:v>LME_048</x:v>
      </x:c>
      <x:c r="B14" s="46" t="str">
        <x:v>Yellow Sea</x:v>
      </x:c>
      <x:c r="C14" s="46" t="str">
        <x:v>LME</x:v>
      </x:c>
      <x:c r="D14" s="58" t="n">
        <x:v>2019</x:v>
      </x:c>
      <x:c r="E14" s="46" t="str">
        <x:v>Teuthida</x:v>
      </x:c>
      <x:c r="F14" s="46" t="str">
        <x:v>Squids</x:v>
      </x:c>
      <x:c r="G14" s="46" t="str">
        <x:v>Cephalopods</x:v>
      </x:c>
      <x:c r="H14" s="46" t="str">
        <x:v>Other fishes &amp; inverts</x:v>
      </x:c>
      <x:c r="I14" s="60" t="n">
        <x:v>58499.5120012327</x:v>
      </x:c>
      <x:c r="J14" s="60" t="n">
        <x:v>58250.7059571187</x:v>
      </x:c>
      <x:c r="K14" s="60" t="n">
        <x:v>248.806044114</x:v>
      </x:c>
      <x:c r="L14" s="60" t="n">
        <x:v>57932.9246104416</x:v>
      </x:c>
      <x:c r="M14" s="60" t="n">
        <x:v>566.5873907911</x:v>
      </x:c>
      <x:c r="N14" s="46" t="str">
        <x:v>teuthida</x:v>
      </x:c>
      <x:c r="O14" s="62" t="n">
        <x:v>4.13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Teuthida</x:v>
      </x:c>
      <x:c r="T14" s="62" t="n">
        <x:f>IF(O14="","",(1/'Metadata'!$B$5)^(O14-1))</x:f>
        <x:v>1348.9628825916532</x:v>
      </x:c>
      <x:c r="U14" s="60" t="n">
        <x:f>IF(T14="","",I14*T14)</x:f>
        <x:v>78913670.33938788</x:v>
      </x:c>
    </x:row>
    <x:row r="15" ht="18" customHeight="1">
      <x:c r="A15" s="46" t="str">
        <x:v>LME_048</x:v>
      </x:c>
      <x:c r="B15" s="46" t="str">
        <x:v>Yellow Sea</x:v>
      </x:c>
      <x:c r="C15" s="46" t="str">
        <x:v>LME</x:v>
      </x:c>
      <x:c r="D15" s="58" t="n">
        <x:v>2019</x:v>
      </x:c>
      <x:c r="E15" s="46" t="str">
        <x:v>Muraenesox cinereus</x:v>
      </x:c>
      <x:c r="F15" s="46" t="str">
        <x:v>Daggertooth pike conger</x:v>
      </x:c>
      <x:c r="G15" s="46" t="str">
        <x:v>Large demersals (&gt;=90 cm)</x:v>
      </x:c>
      <x:c r="H15" s="46" t="str">
        <x:v>Other fishes &amp; inverts</x:v>
      </x:c>
      <x:c r="I15" s="60" t="n">
        <x:v>49968.3172994582</x:v>
      </x:c>
      <x:c r="J15" s="60" t="n">
        <x:v>49804.563813509</x:v>
      </x:c>
      <x:c r="K15" s="60" t="n">
        <x:v>163.7534859492</x:v>
      </x:c>
      <x:c r="L15" s="60" t="n">
        <x:v>49616.0880545434</x:v>
      </x:c>
      <x:c r="M15" s="60" t="n">
        <x:v>352.2292449148</x:v>
      </x:c>
      <x:c r="N15" s="46" t="str">
        <x:v>muraenesox cinereus</x:v>
      </x:c>
      <x:c r="O15" s="62" t="n">
        <x:v>4.38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Muraenesox cinereus</x:v>
      </x:c>
      <x:c r="T15" s="62" t="n">
        <x:f>IF(O15="","",(1/'Metadata'!$B$5)^(O15-1))</x:f>
        <x:v>2398.83291901949</x:v>
      </x:c>
      <x:c r="U15" s="60" t="n">
        <x:f>IF(T15="","",I15*T15)</x:f>
        <x:v>119865644.44595139</x:v>
      </x:c>
    </x:row>
    <x:row r="16" ht="18" customHeight="1">
      <x:c r="A16" s="46" t="str">
        <x:v>LME_048</x:v>
      </x:c>
      <x:c r="B16" s="46" t="str">
        <x:v>Yellow Sea</x:v>
      </x:c>
      <x:c r="C16" s="46" t="str">
        <x:v>LME</x:v>
      </x:c>
      <x:c r="D16" s="58" t="n">
        <x:v>2019</x:v>
      </x:c>
      <x:c r="E16" s="46" t="str">
        <x:v>Brachyura</x:v>
      </x:c>
      <x:c r="F16" s="46" t="str">
        <x:v>Marine crabs</x:v>
      </x:c>
      <x:c r="G16" s="46" t="str">
        <x:v>Lobsters, crabs</x:v>
      </x:c>
      <x:c r="H16" s="46" t="str">
        <x:v>Crustaceans</x:v>
      </x:c>
      <x:c r="I16" s="60" t="n">
        <x:v>46300.0192242231</x:v>
      </x:c>
      <x:c r="J16" s="60" t="n">
        <x:v>46101.4825009451</x:v>
      </x:c>
      <x:c r="K16" s="60" t="n">
        <x:v>198.536723278</x:v>
      </x:c>
      <x:c r="L16" s="60" t="n">
        <x:v>45886.0354569022</x:v>
      </x:c>
      <x:c r="M16" s="60" t="n">
        <x:v>413.98376732090003</x:v>
      </x:c>
      <x:c r="N16" s="46" t="str">
        <x:v>brachyura</x:v>
      </x:c>
      <x:c r="O16" s="62" t="n">
        <x:v>2.6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Brachyura</x:v>
      </x:c>
      <x:c r="T16" s="62" t="n">
        <x:f>IF(O16="","",(1/'Metadata'!$B$5)^(O16-1))</x:f>
        <x:v>39.810717055349734</x:v>
      </x:c>
      <x:c r="U16" s="60" t="n">
        <x:f>IF(T16="","",I16*T16)</x:f>
        <x:v>1843236.964992799</x:v>
      </x:c>
    </x:row>
    <x:row r="17" ht="18" customHeight="1">
      <x:c r="A17" s="46" t="str">
        <x:v>LME_048</x:v>
      </x:c>
      <x:c r="B17" s="46" t="str">
        <x:v>Yellow Sea</x:v>
      </x:c>
      <x:c r="C17" s="46" t="str">
        <x:v>LME</x:v>
      </x:c>
      <x:c r="D17" s="58" t="n">
        <x:v>2019</x:v>
      </x:c>
      <x:c r="E17" s="46" t="str">
        <x:v>Chionoecetes</x:v>
      </x:c>
      <x:c r="F17" s="46" t="str">
        <x:v>Tanner, snow crabs</x:v>
      </x:c>
      <x:c r="G17" s="46" t="str">
        <x:v>Lobsters, crabs</x:v>
      </x:c>
      <x:c r="H17" s="46" t="str">
        <x:v>Crustaceans</x:v>
      </x:c>
      <x:c r="I17" s="60" t="n">
        <x:v>46131.8008238769</x:v>
      </x:c>
      <x:c r="J17" s="60" t="n">
        <x:v>45991.3317928462</x:v>
      </x:c>
      <x:c r="K17" s="60" t="n">
        <x:v>140.4690310307</x:v>
      </x:c>
      <x:c r="L17" s="60" t="n">
        <x:v>45991.3317928462</x:v>
      </x:c>
      <x:c r="M17" s="60" t="n">
        <x:v>140.4690310307</x:v>
      </x:c>
      <x:c r="N17" s="46" t="str">
        <x:v>chionoecetes</x:v>
      </x:c>
      <x:c r="O17" s="62" t="n">
        <x:v>2.3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Chionoecetes</x:v>
      </x:c>
      <x:c r="T17" s="62" t="n">
        <x:f>IF(O17="","",(1/'Metadata'!$B$5)^(O17-1))</x:f>
        <x:v>19.952623149688787</x:v>
      </x:c>
      <x:c r="U17" s="60" t="n">
        <x:f>IF(T17="","",I17*T17)</x:f>
        <x:v>920450.4370553185</x:v>
      </x:c>
    </x:row>
    <x:row r="18" ht="18" customHeight="1">
      <x:c r="A18" s="46" t="str">
        <x:v>LME_048</x:v>
      </x:c>
      <x:c r="B18" s="46" t="str">
        <x:v>Yellow Sea</x:v>
      </x:c>
      <x:c r="C18" s="46" t="str">
        <x:v>LME</x:v>
      </x:c>
      <x:c r="D18" s="58" t="n">
        <x:v>2019</x:v>
      </x:c>
      <x:c r="E18" s="46" t="str">
        <x:v>Squillidae</x:v>
      </x:c>
      <x:c r="F18" s="46" t="str">
        <x:v>Squilla mantis shrimps</x:v>
      </x:c>
      <x:c r="G18" s="46" t="str">
        <x:v>Shrimps</x:v>
      </x:c>
      <x:c r="H18" s="46" t="str">
        <x:v>Crustaceans</x:v>
      </x:c>
      <x:c r="I18" s="60" t="n">
        <x:v>42194.884094563204</x:v>
      </x:c>
      <x:c r="J18" s="60" t="n">
        <x:v>42049.7839882265</x:v>
      </x:c>
      <x:c r="K18" s="60" t="n">
        <x:v>145.1001063367</x:v>
      </x:c>
      <x:c r="L18" s="60" t="n">
        <x:v>41950.0449216664</x:v>
      </x:c>
      <x:c r="M18" s="60" t="n">
        <x:v>244.8391728968</x:v>
      </x:c>
      <x:c r="N18" s="46" t="str">
        <x:v>squillidae</x:v>
      </x:c>
      <x:c r="O18" s="62" t="n">
        <x:v>3.5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Squillidae</x:v>
      </x:c>
      <x:c r="T18" s="62" t="n">
        <x:f>IF(O18="","",(1/'Metadata'!$B$5)^(O18-1))</x:f>
        <x:v>316.22776601683796</x:v>
      </x:c>
      <x:c r="U18" s="60" t="n">
        <x:f>IF(T18="","",I18*T18)</x:f>
        <x:v>13343193.93456313</x:v>
      </x:c>
    </x:row>
    <x:row r="19" ht="18" customHeight="1">
      <x:c r="A19" s="46" t="str">
        <x:v>LME_048</x:v>
      </x:c>
      <x:c r="B19" s="46" t="str">
        <x:v>Yellow Sea</x:v>
      </x:c>
      <x:c r="C19" s="46" t="str">
        <x:v>LME</x:v>
      </x:c>
      <x:c r="D19" s="58" t="n">
        <x:v>2019</x:v>
      </x:c>
      <x:c r="E19" s="46" t="str">
        <x:v>Scomberomorus niphonius</x:v>
      </x:c>
      <x:c r="F19" s="46" t="str">
        <x:v>Japanese Spanish mackerel</x:v>
      </x:c>
      <x:c r="G19" s="46" t="str">
        <x:v>Large pelagics (&gt;=90 cm)</x:v>
      </x:c>
      <x:c r="H19" s="46" t="str">
        <x:v>Perch-likes</x:v>
      </x:c>
      <x:c r="I19" s="60" t="n">
        <x:v>37922.588756050296</x:v>
      </x:c>
      <x:c r="J19" s="60" t="n">
        <x:v>37604.6961313723</x:v>
      </x:c>
      <x:c r="K19" s="60" t="n">
        <x:v>317.892624678</x:v>
      </x:c>
      <x:c r="L19" s="60" t="n">
        <x:v>37604.6961313723</x:v>
      </x:c>
      <x:c r="M19" s="60" t="n">
        <x:v>317.892624678</x:v>
      </x:c>
      <x:c r="N19" s="46" t="str">
        <x:v>scomberomorus niphonius</x:v>
      </x:c>
      <x:c r="O19" s="62" t="n">
        <x:v>4.5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Scomberomorus niphonius</x:v>
      </x:c>
      <x:c r="T19" s="62" t="n">
        <x:f>IF(O19="","",(1/'Metadata'!$B$5)^(O19-1))</x:f>
        <x:v>3162.2776601683795</x:v>
      </x:c>
      <x:c r="U19" s="60" t="n">
        <x:f>IF(T19="","",I19*T19)</x:f>
        <x:v>119921755.23901042</x:v>
      </x:c>
    </x:row>
    <x:row r="20" ht="18" customHeight="1">
      <x:c r="A20" s="46" t="str">
        <x:v>LME_048</x:v>
      </x:c>
      <x:c r="B20" s="46" t="str">
        <x:v>Yellow Sea</x:v>
      </x:c>
      <x:c r="C20" s="46" t="str">
        <x:v>LME</x:v>
      </x:c>
      <x:c r="D20" s="58" t="n">
        <x:v>2019</x:v>
      </x:c>
      <x:c r="E20" s="46" t="str">
        <x:v>Sepiida</x:v>
      </x:c>
      <x:c r="F20" s="46" t="str">
        <x:v>Cuttlefishes, bobtail squids</x:v>
      </x:c>
      <x:c r="G20" s="46" t="str">
        <x:v>Cephalopods</x:v>
      </x:c>
      <x:c r="H20" s="46" t="str">
        <x:v>Other fishes &amp; inverts</x:v>
      </x:c>
      <x:c r="I20" s="60" t="n">
        <x:v>37135.5885476698</x:v>
      </x:c>
      <x:c r="J20" s="60" t="n">
        <x:v>36807.1310020356</x:v>
      </x:c>
      <x:c r="K20" s="60" t="n">
        <x:v>328.4575456342</x:v>
      </x:c>
      <x:c r="L20" s="60" t="n">
        <x:v>36693.3497651113</x:v>
      </x:c>
      <x:c r="M20" s="60" t="n">
        <x:v>442.23878255849996</x:v>
      </x:c>
      <x:c r="N20" s="46" t="str">
        <x:v>sepiida</x:v>
      </x:c>
      <x:c r="O20" s="62" t="n">
        <x:v>3.7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Sepiida</x:v>
      </x:c>
      <x:c r="T20" s="62" t="n">
        <x:f>IF(O20="","",(1/'Metadata'!$B$5)^(O20-1))</x:f>
        <x:v>501.18723362727246</x:v>
      </x:c>
      <x:c r="U20" s="60" t="n">
        <x:f>IF(T20="","",I20*T20)</x:f>
        <x:v>18611882.893327247</x:v>
      </x:c>
    </x:row>
    <x:row r="21" ht="18" customHeight="1">
      <x:c r="A21" s="46" t="str">
        <x:v>LME_048</x:v>
      </x:c>
      <x:c r="B21" s="46" t="str">
        <x:v>Yellow Sea</x:v>
      </x:c>
      <x:c r="C21" s="46" t="str">
        <x:v>LME</x:v>
      </x:c>
      <x:c r="D21" s="58" t="n">
        <x:v>2019</x:v>
      </x:c>
      <x:c r="E21" s="46" t="str">
        <x:v>Pseudopleuronectes herzensteini</x:v>
      </x:c>
      <x:c r="F21" s="46" t="str">
        <x:v>Yellow striped flounder</x:v>
      </x:c>
      <x:c r="G21" s="46" t="str">
        <x:v>Small to medium flatfishes (&lt;90 cm)</x:v>
      </x:c>
      <x:c r="H21" s="46" t="str">
        <x:v>Flatfishes</x:v>
      </x:c>
      <x:c r="I21" s="60" t="n">
        <x:v>35164.884172360296</x:v>
      </x:c>
      <x:c r="J21" s="60" t="n">
        <x:v>34911.309130397196</x:v>
      </x:c>
      <x:c r="K21" s="60" t="n">
        <x:v>253.5750419631</x:v>
      </x:c>
      <x:c r="L21" s="60" t="n">
        <x:v>34911.309130397196</x:v>
      </x:c>
      <x:c r="M21" s="60" t="n">
        <x:v>253.5750419631</x:v>
      </x:c>
      <x:c r="N21" s="46" t="str">
        <x:v>pseudopleuronectes herzensteini</x:v>
      </x:c>
      <x:c r="O21" s="62" t="n">
        <x:v>3.15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Pseudopleuronectes herzensteini</x:v>
      </x:c>
      <x:c r="T21" s="62" t="n">
        <x:f>IF(O21="","",(1/'Metadata'!$B$5)^(O21-1))</x:f>
        <x:v>141.2537544622754</x:v>
      </x:c>
      <x:c r="U21" s="60" t="n">
        <x:f>IF(T21="","",I21*T21)</x:f>
        <x:v>4967171.914576936</x:v>
      </x:c>
    </x:row>
    <x:row r="22" ht="18" customHeight="1">
      <x:c r="A22" s="46" t="str">
        <x:v>LME_048</x:v>
      </x:c>
      <x:c r="B22" s="46" t="str">
        <x:v>Yellow Sea</x:v>
      </x:c>
      <x:c r="C22" s="46" t="str">
        <x:v>LME</x:v>
      </x:c>
      <x:c r="D22" s="58" t="n">
        <x:v>2019</x:v>
      </x:c>
      <x:c r="E22" s="46" t="str">
        <x:v>Decapoda</x:v>
      </x:c>
      <x:c r="F22" s="46" t="str">
        <x:v>Crabs, lobsters, shrimps</x:v>
      </x:c>
      <x:c r="G22" s="46" t="str">
        <x:v>Lobsters, crabs</x:v>
      </x:c>
      <x:c r="H22" s="46" t="str">
        <x:v>Crustaceans</x:v>
      </x:c>
      <x:c r="I22" s="60" t="n">
        <x:v>34135.3376339081</x:v>
      </x:c>
      <x:c r="J22" s="60" t="n">
        <x:v>34037.4433217723</x:v>
      </x:c>
      <x:c r="K22" s="60" t="n">
        <x:v>97.8943121358</x:v>
      </x:c>
      <x:c r="L22" s="60" t="n">
        <x:v>33827.9471596889</x:v>
      </x:c>
      <x:c r="M22" s="60" t="n">
        <x:v>307.39047421920003</x:v>
      </x:c>
      <x:c r="N22" s="46" t="str">
        <x:v>decapoda</x:v>
      </x:c>
      <x:c r="O22" s="62" t="n">
        <x:v>3.43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Decapoda</x:v>
      </x:c>
      <x:c r="T22" s="62" t="n">
        <x:f>IF(O22="","",(1/'Metadata'!$B$5)^(O22-1))</x:f>
        <x:v>269.1534803926917</x:v>
      </x:c>
      <x:c r="U22" s="60" t="n">
        <x:f>IF(T22="","",I22*T22)</x:f>
        <x:v>9187644.928545995</x:v>
      </x:c>
    </x:row>
    <x:row r="23" ht="18" customHeight="1">
      <x:c r="A23" s="46" t="str">
        <x:v>LME_048</x:v>
      </x:c>
      <x:c r="B23" s="46" t="str">
        <x:v>Yellow Sea</x:v>
      </x:c>
      <x:c r="C23" s="46" t="str">
        <x:v>LME</x:v>
      </x:c>
      <x:c r="D23" s="58" t="n">
        <x:v>2019</x:v>
      </x:c>
      <x:c r="E23" s="46" t="str">
        <x:v>Octopoda</x:v>
      </x:c>
      <x:c r="F23" s="46" t="str">
        <x:v>Octopuses, argonauts</x:v>
      </x:c>
      <x:c r="G23" s="46" t="str">
        <x:v>Cephalopods</x:v>
      </x:c>
      <x:c r="H23" s="46" t="str">
        <x:v>Other fishes &amp; inverts</x:v>
      </x:c>
      <x:c r="I23" s="60" t="n">
        <x:v>31635.2068474739</x:v>
      </x:c>
      <x:c r="J23" s="60" t="n">
        <x:v>31014.8805002182</x:v>
      </x:c>
      <x:c r="K23" s="60" t="n">
        <x:v>620.3263472557</x:v>
      </x:c>
      <x:c r="L23" s="60" t="n">
        <x:v>30680.8543054637</x:v>
      </x:c>
      <x:c r="M23" s="60" t="n">
        <x:v>954.3525420102</x:v>
      </x:c>
      <x:c r="N23" s="46" t="str">
        <x:v>octopoda</x:v>
      </x:c>
      <x:c r="O23" s="62" t="n">
        <x:v>3.58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Octopoda</x:v>
      </x:c>
      <x:c r="T23" s="62" t="n">
        <x:f>IF(O23="","",(1/'Metadata'!$B$5)^(O23-1))</x:f>
        <x:v>380.1893963205613</x:v>
      </x:c>
      <x:c r="U23" s="60" t="n">
        <x:f>IF(T23="","",I23*T23)</x:f>
        <x:v>12027370.193817189</x:v>
      </x:c>
    </x:row>
    <x:row r="24" ht="18" customHeight="1">
      <x:c r="A24" s="46" t="str">
        <x:v>LME_048</x:v>
      </x:c>
      <x:c r="B24" s="46" t="str">
        <x:v>Yellow Sea</x:v>
      </x:c>
      <x:c r="C24" s="46" t="str">
        <x:v>LME</x:v>
      </x:c>
      <x:c r="D24" s="58" t="n">
        <x:v>2019</x:v>
      </x:c>
      <x:c r="E24" s="46" t="str">
        <x:v>Clupea pallasii</x:v>
      </x:c>
      <x:c r="F24" s="46" t="str">
        <x:v>Pacific herring</x:v>
      </x:c>
      <x:c r="G24" s="46" t="str">
        <x:v>Medium pelagics (30 - 89 cm)</x:v>
      </x:c>
      <x:c r="H24" s="46" t="str">
        <x:v>Herring-likes</x:v>
      </x:c>
      <x:c r="I24" s="60" t="n">
        <x:v>28250.0302146328</x:v>
      </x:c>
      <x:c r="J24" s="60" t="n">
        <x:v>28187.310336343602</x:v>
      </x:c>
      <x:c r="K24" s="60" t="n">
        <x:v>62.7198782892</x:v>
      </x:c>
      <x:c r="L24" s="60" t="n">
        <x:v>28162.7351986727</x:v>
      </x:c>
      <x:c r="M24" s="60" t="n">
        <x:v>87.29501596009999</x:v>
      </x:c>
      <x:c r="N24" s="46" t="str">
        <x:v>clupea pallasii</x:v>
      </x:c>
      <x:c r="O24" s="62" t="n">
        <x:v>3.16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Clupea pallasii</x:v>
      </x:c>
      <x:c r="T24" s="62" t="n">
        <x:f>IF(O24="","",(1/'Metadata'!$B$5)^(O24-1))</x:f>
        <x:v>144.5439770745928</x:v>
      </x:c>
      <x:c r="U24" s="60" t="n">
        <x:f>IF(T24="","",I24*T24)</x:f>
        <x:v>4083371.719700437</x:v>
      </x:c>
    </x:row>
    <x:row r="25" ht="18" customHeight="1">
      <x:c r="A25" s="46" t="str">
        <x:v>LME_048</x:v>
      </x:c>
      <x:c r="B25" s="46" t="str">
        <x:v>Yellow Sea</x:v>
      </x:c>
      <x:c r="C25" s="46" t="str">
        <x:v>LME</x:v>
      </x:c>
      <x:c r="D25" s="58" t="n">
        <x:v>2019</x:v>
      </x:c>
      <x:c r="E25" s="46" t="str">
        <x:v>Trachysalambria curvirostris</x:v>
      </x:c>
      <x:c r="F25" s="46" t="str">
        <x:v>Southern rough shrimp</x:v>
      </x:c>
      <x:c r="G25" s="46" t="str">
        <x:v>Shrimps</x:v>
      </x:c>
      <x:c r="H25" s="46" t="str">
        <x:v>Crustaceans</x:v>
      </x:c>
      <x:c r="I25" s="60" t="n">
        <x:v>27936.6313005178</x:v>
      </x:c>
      <x:c r="J25" s="60" t="n">
        <x:v>27068.8423819657</x:v>
      </x:c>
      <x:c r="K25" s="60" t="n">
        <x:v>867.7889185521</x:v>
      </x:c>
      <x:c r="L25" s="60" t="n">
        <x:v>26994.7858594933</x:v>
      </x:c>
      <x:c r="M25" s="60" t="n">
        <x:v>941.8454410245</x:v>
      </x:c>
      <x:c r="N25" s="46" t="str">
        <x:v>trachysalambria curvirostris</x:v>
      </x:c>
      <x:c r="O25" s="62" t="n">
        <x:v>2.7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Trachysalambria curvirostris</x:v>
      </x:c>
      <x:c r="T25" s="62" t="n">
        <x:f>IF(O25="","",(1/'Metadata'!$B$5)^(O25-1))</x:f>
        <x:v>50.11872336272725</x:v>
      </x:c>
      <x:c r="U25" s="60" t="n">
        <x:f>IF(T25="","",I25*T25)</x:f>
        <x:v>1400148.295837159</x:v>
      </x:c>
    </x:row>
    <x:row r="26" ht="18" customHeight="1">
      <x:c r="A26" s="46" t="str">
        <x:v>LME_048</x:v>
      </x:c>
      <x:c r="B26" s="46" t="str">
        <x:v>Yellow Sea</x:v>
      </x:c>
      <x:c r="C26" s="46" t="str">
        <x:v>LME</x:v>
      </x:c>
      <x:c r="D26" s="58" t="n">
        <x:v>2019</x:v>
      </x:c>
      <x:c r="E26" s="46" t="str">
        <x:v>Sardinops sagax</x:v>
      </x:c>
      <x:c r="F26" s="46" t="str">
        <x:v>South American pilchard</x:v>
      </x:c>
      <x:c r="G26" s="46" t="str">
        <x:v>Medium pelagics (30 - 89 cm)</x:v>
      </x:c>
      <x:c r="H26" s="46" t="str">
        <x:v>Herring-likes</x:v>
      </x:c>
      <x:c r="I26" s="60" t="n">
        <x:v>27124.370890576298</x:v>
      </x:c>
      <x:c r="J26" s="60" t="n">
        <x:v>27028.1789933945</x:v>
      </x:c>
      <x:c r="K26" s="60" t="n">
        <x:v>96.1918971818</x:v>
      </x:c>
      <x:c r="L26" s="60" t="n">
        <x:v>26925.8850022692</x:v>
      </x:c>
      <x:c r="M26" s="60" t="n">
        <x:v>198.4858883071</x:v>
      </x:c>
      <x:c r="N26" s="46" t="str">
        <x:v>sardinops sagax</x:v>
      </x:c>
      <x:c r="O26" s="62" t="n">
        <x:v>2.84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Sardinops sagax</x:v>
      </x:c>
      <x:c r="T26" s="62" t="n">
        <x:f>IF(O26="","",(1/'Metadata'!$B$5)^(O26-1))</x:f>
        <x:v>69.18309709189363</x:v>
      </x:c>
      <x:c r="U26" s="60" t="n">
        <x:f>IF(T26="","",I26*T26)</x:f>
        <x:v>1876547.9848792732</x:v>
      </x:c>
    </x:row>
    <x:row r="27" ht="18" customHeight="1">
      <x:c r="A27" s="46" t="str">
        <x:v>LME_048</x:v>
      </x:c>
      <x:c r="B27" s="46" t="str">
        <x:v>Yellow Sea</x:v>
      </x:c>
      <x:c r="C27" s="46" t="str">
        <x:v>LME</x:v>
      </x:c>
      <x:c r="D27" s="58" t="n">
        <x:v>2019</x:v>
      </x:c>
      <x:c r="E27" s="46" t="str">
        <x:v>Sparidae</x:v>
      </x:c>
      <x:c r="F27" s="46" t="str">
        <x:v>Porgies, seabreams</x:v>
      </x:c>
      <x:c r="G27" s="46" t="str">
        <x:v>Medium benthopelagics (30 - 89 cm)</x:v>
      </x:c>
      <x:c r="H27" s="46" t="str">
        <x:v>Perch-likes</x:v>
      </x:c>
      <x:c r="I27" s="60" t="n">
        <x:v>24229.3514977476</x:v>
      </x:c>
      <x:c r="J27" s="60" t="n">
        <x:v>24146.4277825584</x:v>
      </x:c>
      <x:c r="K27" s="60" t="n">
        <x:v>82.9237151892</x:v>
      </x:c>
      <x:c r="L27" s="60" t="n">
        <x:v>23126.267339279602</x:v>
      </x:c>
      <x:c r="M27" s="60" t="n">
        <x:v>1103.0841584680002</x:v>
      </x:c>
      <x:c r="N27" s="46" t="str">
        <x:v>sparidae</x:v>
      </x:c>
      <x:c r="O27" s="62" t="n">
        <x:v>3.31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Sparidae</x:v>
      </x:c>
      <x:c r="T27" s="62" t="n">
        <x:f>IF(O27="","",(1/'Metadata'!$B$5)^(O27-1))</x:f>
        <x:v>204.17379446695296</x:v>
      </x:c>
      <x:c r="U27" s="60" t="n">
        <x:f>IF(T27="","",I27*T27)</x:f>
        <x:v>4946998.632768678</x:v>
      </x:c>
    </x:row>
    <x:row r="28" ht="18" customHeight="1">
      <x:c r="A28" s="46" t="str">
        <x:v>LME_048</x:v>
      </x:c>
      <x:c r="B28" s="46" t="str">
        <x:v>Yellow Sea</x:v>
      </x:c>
      <x:c r="C28" s="46" t="str">
        <x:v>LME</x:v>
      </x:c>
      <x:c r="D28" s="58" t="n">
        <x:v>2019</x:v>
      </x:c>
      <x:c r="E28" s="46" t="str">
        <x:v>Rhopilema esculentum</x:v>
      </x:c>
      <x:c r="F28" s="46" t="str">
        <x:v>Flame jellyfish</x:v>
      </x:c>
      <x:c r="G28" s="46" t="str">
        <x:v>Jellyfish</x:v>
      </x:c>
      <x:c r="H28" s="46" t="str">
        <x:v>Other fishes &amp; inverts</x:v>
      </x:c>
      <x:c r="I28" s="60" t="n">
        <x:v>23375.6846334874</x:v>
      </x:c>
      <x:c r="J28" s="60" t="n">
        <x:v>23375.6846334874</x:v>
      </x:c>
      <x:c r="K28" s="60" t="n">
        <x:v>0</x:v>
      </x:c>
      <x:c r="L28" s="60" t="n">
        <x:v>22640.0611355613</x:v>
      </x:c>
      <x:c r="M28" s="60" t="n">
        <x:v>735.6234979261001</x:v>
      </x:c>
      <x:c r="N28" s="46" t="str">
        <x:v>rhopilema esculentum</x:v>
      </x:c>
      <x:c r="O28" s="62" t="n">
        <x:v>3.01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Rhopilema esculentum</x:v>
      </x:c>
      <x:c r="T28" s="62" t="n">
        <x:f>IF(O28="","",(1/'Metadata'!$B$5)^(O28-1))</x:f>
        <x:v>102.32929922807536</x:v>
      </x:c>
      <x:c r="U28" s="60" t="n">
        <x:f>IF(T28="","",I28*T28)</x:f>
        <x:v>2392017.427521255</x:v>
      </x:c>
    </x:row>
    <x:row r="29" ht="18" customHeight="1">
      <x:c r="A29" s="46" t="str">
        <x:v>LME_048</x:v>
      </x:c>
      <x:c r="B29" s="46" t="str">
        <x:v>Yellow Sea</x:v>
      </x:c>
      <x:c r="C29" s="46" t="str">
        <x:v>LME</x:v>
      </x:c>
      <x:c r="D29" s="58" t="n">
        <x:v>2019</x:v>
      </x:c>
      <x:c r="E29" s="46" t="str">
        <x:v>Miscellaneous aquatic invertebrates</x:v>
      </x:c>
      <x:c r="F29" s="46" t="str">
        <x:v>Aquatic invertebrates</x:v>
      </x:c>
      <x:c r="G29" s="46" t="str">
        <x:v>Other demersal invertebrates</x:v>
      </x:c>
      <x:c r="H29" s="46" t="str">
        <x:v>Other fishes &amp; inverts</x:v>
      </x:c>
      <x:c r="I29" s="60" t="n">
        <x:v>22552.6832789321</x:v>
      </x:c>
      <x:c r="J29" s="60" t="n">
        <x:v>21984.908425589903</x:v>
      </x:c>
      <x:c r="K29" s="60" t="n">
        <x:v>567.7748533422</x:v>
      </x:c>
      <x:c r="L29" s="60" t="n">
        <x:v>21984.031863752003</x:v>
      </x:c>
      <x:c r="M29" s="60" t="n">
        <x:v>568.6514151801</x:v>
      </x:c>
      <x:c r="N29" s="46" t="str">
        <x:v>miscellaneous aquatic invertebrates</x:v>
      </x:c>
      <x:c r="O29" s="62" t="n">
        <x:v>2.43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Miscellaneous aquatic invertebrates</x:v>
      </x:c>
      <x:c r="T29" s="62" t="n">
        <x:f>IF(O29="","",(1/'Metadata'!$B$5)^(O29-1))</x:f>
        <x:v>26.915348039269166</x:v>
      </x:c>
      <x:c r="U29" s="60" t="n">
        <x:f>IF(T29="","",I29*T29)</x:f>
        <x:v>607013.3196718637</x:v>
      </x:c>
    </x:row>
    <x:row r="30" ht="18" customHeight="1">
      <x:c r="A30" s="46" t="str">
        <x:v>LME_048</x:v>
      </x:c>
      <x:c r="B30" s="46" t="str">
        <x:v>Yellow Sea</x:v>
      </x:c>
      <x:c r="C30" s="46" t="str">
        <x:v>LME</x:v>
      </x:c>
      <x:c r="D30" s="58" t="n">
        <x:v>2019</x:v>
      </x:c>
      <x:c r="E30" s="46" t="str">
        <x:v>Ruditapes philippinarum</x:v>
      </x:c>
      <x:c r="F30" s="46" t="str">
        <x:v>Japanese carpet shell</x:v>
      </x:c>
      <x:c r="G30" s="46" t="str">
        <x:v>Other demersal invertebrates</x:v>
      </x:c>
      <x:c r="H30" s="46" t="str">
        <x:v>Molluscs</x:v>
      </x:c>
      <x:c r="I30" s="60" t="n">
        <x:v>21859.7968463379</x:v>
      </x:c>
      <x:c r="J30" s="60" t="n">
        <x:v>21844.1045768678</x:v>
      </x:c>
      <x:c r="K30" s="60" t="n">
        <x:v>15.6922694701</x:v>
      </x:c>
      <x:c r="L30" s="60" t="n">
        <x:v>21844.1045768678</x:v>
      </x:c>
      <x:c r="M30" s="60" t="n">
        <x:v>15.6922694701</x:v>
      </x:c>
      <x:c r="N30" s="46" t="str">
        <x:v>ruditapes philippinarum</x:v>
      </x:c>
      <x:c r="O30" s="62" t="n">
        <x:v>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Ruditapes philippinarum</x:v>
      </x:c>
      <x:c r="T30" s="62" t="n">
        <x:f>IF(O30="","",(1/'Metadata'!$B$5)^(O30-1))</x:f>
        <x:v>10</x:v>
      </x:c>
      <x:c r="U30" s="60" t="n">
        <x:f>IF(T30="","",I30*T30)</x:f>
        <x:v>218597.96846337902</x:v>
      </x:c>
    </x:row>
    <x:row r="31" ht="18" customHeight="1">
      <x:c r="A31" s="46" t="str">
        <x:v>LME_048</x:v>
      </x:c>
      <x:c r="B31" s="46" t="str">
        <x:v>Yellow Sea</x:v>
      </x:c>
      <x:c r="C31" s="46" t="str">
        <x:v>LME</x:v>
      </x:c>
      <x:c r="D31" s="58" t="n">
        <x:v>2019</x:v>
      </x:c>
      <x:c r="E31" s="46" t="str">
        <x:v>Scomberomorus</x:v>
      </x:c>
      <x:c r="F31" s="46" t="str">
        <x:v>Spanish mackerels</x:v>
      </x:c>
      <x:c r="G31" s="46" t="str">
        <x:v>Large pelagics (&gt;=90 cm)</x:v>
      </x:c>
      <x:c r="H31" s="46" t="str">
        <x:v>Perch-likes</x:v>
      </x:c>
      <x:c r="I31" s="60" t="n">
        <x:v>21799.5124125825</x:v>
      </x:c>
      <x:c r="J31" s="60" t="n">
        <x:v>21703.1206851606</x:v>
      </x:c>
      <x:c r="K31" s="60" t="n">
        <x:v>96.3917274219</x:v>
      </x:c>
      <x:c r="L31" s="60" t="n">
        <x:v>21589.3818867343</x:v>
      </x:c>
      <x:c r="M31" s="60" t="n">
        <x:v>210.1305258482</x:v>
      </x:c>
      <x:c r="N31" s="46" t="str">
        <x:v>scomberomorus</x:v>
      </x:c>
      <x:c r="O31" s="62" t="n">
        <x:v>4.35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Scomberomorus</x:v>
      </x:c>
      <x:c r="T31" s="62" t="n">
        <x:f>IF(O31="","",(1/'Metadata'!$B$5)^(O31-1))</x:f>
        <x:v>2238.7211385683377</x:v>
      </x:c>
      <x:c r="U31" s="60" t="n">
        <x:f>IF(T31="","",I31*T31)</x:f>
        <x:v>48803029.248531304</x:v>
      </x:c>
    </x:row>
    <x:row r="32" ht="18" customHeight="1">
      <x:c r="A32" s="46" t="str">
        <x:v>LME_048</x:v>
      </x:c>
      <x:c r="B32" s="46" t="str">
        <x:v>Yellow Sea</x:v>
      </x:c>
      <x:c r="C32" s="46" t="str">
        <x:v>LME</x:v>
      </x:c>
      <x:c r="D32" s="58" t="n">
        <x:v>2019</x:v>
      </x:c>
      <x:c r="E32" s="46" t="str">
        <x:v>Gadus macrocephalus</x:v>
      </x:c>
      <x:c r="F32" s="46" t="str">
        <x:v>Pacific cod</x:v>
      </x:c>
      <x:c r="G32" s="46" t="str">
        <x:v>Large demersals (&gt;=90 cm)</x:v>
      </x:c>
      <x:c r="H32" s="46" t="str">
        <x:v>Cod-likes</x:v>
      </x:c>
      <x:c r="I32" s="60" t="n">
        <x:v>19960.5288464069</x:v>
      </x:c>
      <x:c r="J32" s="60" t="n">
        <x:v>19912.1198495026</x:v>
      </x:c>
      <x:c r="K32" s="60" t="n">
        <x:v>48.408996904300004</x:v>
      </x:c>
      <x:c r="L32" s="60" t="n">
        <x:v>19859.0738876137</x:v>
      </x:c>
      <x:c r="M32" s="60" t="n">
        <x:v>101.4549587932</x:v>
      </x:c>
      <x:c r="N32" s="46" t="str">
        <x:v>gadus macrocephalus</x:v>
      </x:c>
      <x:c r="O32" s="62" t="n">
        <x:v>4.16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Gadus macrocephalus</x:v>
      </x:c>
      <x:c r="T32" s="62" t="n">
        <x:f>IF(O32="","",(1/'Metadata'!$B$5)^(O32-1))</x:f>
        <x:v>1445.439770745928</x:v>
      </x:c>
      <x:c r="U32" s="60" t="n">
        <x:f>IF(T32="","",I32*T32)</x:f>
        <x:v>28851742.239717875</x:v>
      </x:c>
    </x:row>
    <x:row r="33" ht="18" customHeight="1">
      <x:c r="A33" s="46" t="str">
        <x:v>LME_048</x:v>
      </x:c>
      <x:c r="B33" s="46" t="str">
        <x:v>Yellow Sea</x:v>
      </x:c>
      <x:c r="C33" s="46" t="str">
        <x:v>LME</x:v>
      </x:c>
      <x:c r="D33" s="58" t="n">
        <x:v>2019</x:v>
      </x:c>
      <x:c r="E33" s="46" t="str">
        <x:v>Monacanthidae</x:v>
      </x:c>
      <x:c r="F33" s="46" t="str">
        <x:v>Filefishes</x:v>
      </x:c>
      <x:c r="G33" s="46" t="str">
        <x:v>Medium reef assoc. fish (30 - 89 cm)</x:v>
      </x:c>
      <x:c r="H33" s="46" t="str">
        <x:v>Other fishes &amp; inverts</x:v>
      </x:c>
      <x:c r="I33" s="60" t="n">
        <x:v>19001.9570572423</x:v>
      </x:c>
      <x:c r="J33" s="60" t="n">
        <x:v>18908.3003773348</x:v>
      </x:c>
      <x:c r="K33" s="60" t="n">
        <x:v>93.6566799075</x:v>
      </x:c>
      <x:c r="L33" s="60" t="n">
        <x:v>18840.966670692702</x:v>
      </x:c>
      <x:c r="M33" s="60" t="n">
        <x:v>160.9903865496</x:v>
      </x:c>
      <x:c r="N33" s="46" t="str">
        <x:v>monacanthidae</x:v>
      </x:c>
      <x:c r="O33" s="62" t="n">
        <x:v>3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Monacanthidae</x:v>
      </x:c>
      <x:c r="T33" s="62" t="n">
        <x:f>IF(O33="","",(1/'Metadata'!$B$5)^(O33-1))</x:f>
        <x:v>100</x:v>
      </x:c>
      <x:c r="U33" s="60" t="n">
        <x:f>IF(T33="","",I33*T33)</x:f>
        <x:v>1900195.70572423</x:v>
      </x:c>
    </x:row>
    <x:row r="34" ht="18" customHeight="1">
      <x:c r="A34" s="46" t="str">
        <x:v>LME_048</x:v>
      </x:c>
      <x:c r="B34" s="46" t="str">
        <x:v>Yellow Sea</x:v>
      </x:c>
      <x:c r="C34" s="46" t="str">
        <x:v>LME</x:v>
      </x:c>
      <x:c r="D34" s="58" t="n">
        <x:v>2019</x:v>
      </x:c>
      <x:c r="E34" s="46" t="str">
        <x:v>Epinephelus</x:v>
      </x:c>
      <x:c r="F34" s="46" t="str">
        <x:v>Seabasses, hinds</x:v>
      </x:c>
      <x:c r="G34" s="46" t="str">
        <x:v>Medium reef assoc. fish (30 - 89 cm)</x:v>
      </x:c>
      <x:c r="H34" s="46" t="str">
        <x:v>Perch-likes</x:v>
      </x:c>
      <x:c r="I34" s="60" t="n">
        <x:v>18649.8934311679</x:v>
      </x:c>
      <x:c r="J34" s="60" t="n">
        <x:v>18388.3678210887</x:v>
      </x:c>
      <x:c r="K34" s="60" t="n">
        <x:v>261.5256100792</x:v>
      </x:c>
      <x:c r="L34" s="60" t="n">
        <x:v>17660.9371407765</x:v>
      </x:c>
      <x:c r="M34" s="60" t="n">
        <x:v>988.9562903914</x:v>
      </x:c>
      <x:c r="N34" s="46" t="str">
        <x:v>epinephelus</x:v>
      </x:c>
      <x:c r="O34" s="62" t="n">
        <x:v>3.84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Epinephelus</x:v>
      </x:c>
      <x:c r="T34" s="62" t="n">
        <x:f>IF(O34="","",(1/'Metadata'!$B$5)^(O34-1))</x:f>
        <x:v>691.8309709189363</x:v>
      </x:c>
      <x:c r="U34" s="60" t="n">
        <x:f>IF(T34="","",I34*T34)</x:f>
        <x:v>12902573.880019581</x:v>
      </x:c>
    </x:row>
    <x:row r="35" ht="18" customHeight="1">
      <x:c r="A35" s="46" t="str">
        <x:v>LME_048</x:v>
      </x:c>
      <x:c r="B35" s="46" t="str">
        <x:v>Yellow Sea</x:v>
      </x:c>
      <x:c r="C35" s="46" t="str">
        <x:v>LME</x:v>
      </x:c>
      <x:c r="D35" s="58" t="n">
        <x:v>2019</x:v>
      </x:c>
      <x:c r="E35" s="46" t="str">
        <x:v>Todarodes pacificus</x:v>
      </x:c>
      <x:c r="F35" s="46" t="str">
        <x:v>Japanese flying squid</x:v>
      </x:c>
      <x:c r="G35" s="46" t="str">
        <x:v>Cephalopods</x:v>
      </x:c>
      <x:c r="H35" s="46" t="str">
        <x:v>Other fishes &amp; inverts</x:v>
      </x:c>
      <x:c r="I35" s="60" t="n">
        <x:v>17677.8720061279</x:v>
      </x:c>
      <x:c r="J35" s="60" t="n">
        <x:v>17575.482858622</x:v>
      </x:c>
      <x:c r="K35" s="60" t="n">
        <x:v>102.3891475059</x:v>
      </x:c>
      <x:c r="L35" s="60" t="n">
        <x:v>17575.482831504</x:v>
      </x:c>
      <x:c r="M35" s="60" t="n">
        <x:v>102.3891746239</x:v>
      </x:c>
      <x:c r="N35" s="46" t="str">
        <x:v>todarodes pacificus</x:v>
      </x:c>
      <x:c r="O35" s="62" t="n">
        <x:v>4.28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Todarodes pacificus</x:v>
      </x:c>
      <x:c r="T35" s="62" t="n">
        <x:f>IF(O35="","",(1/'Metadata'!$B$5)^(O35-1))</x:f>
        <x:v>1905.4607179632483</x:v>
      </x:c>
      <x:c r="U35" s="60" t="n">
        <x:f>IF(T35="","",I35*T35)</x:f>
        <x:v>33684490.68485887</x:v>
      </x:c>
    </x:row>
    <x:row r="36" ht="18" customHeight="1">
      <x:c r="A36" s="46" t="str">
        <x:v>LME_048</x:v>
      </x:c>
      <x:c r="B36" s="46" t="str">
        <x:v>Yellow Sea</x:v>
      </x:c>
      <x:c r="C36" s="46" t="str">
        <x:v>LME</x:v>
      </x:c>
      <x:c r="D36" s="58" t="n">
        <x:v>2019</x:v>
      </x:c>
      <x:c r="E36" s="46" t="str">
        <x:v>Mugil cephalus</x:v>
      </x:c>
      <x:c r="F36" s="46" t="str">
        <x:v>Flathead grey mullet</x:v>
      </x:c>
      <x:c r="G36" s="46" t="str">
        <x:v>Large benthopelagics (&gt;=90 cm)</x:v>
      </x:c>
      <x:c r="H36" s="46" t="str">
        <x:v>Perch-likes</x:v>
      </x:c>
      <x:c r="I36" s="60" t="n">
        <x:v>16432.6345791092</x:v>
      </x:c>
      <x:c r="J36" s="60" t="n">
        <x:v>16369.030354117</x:v>
      </x:c>
      <x:c r="K36" s="60" t="n">
        <x:v>63.604224992199995</x:v>
      </x:c>
      <x:c r="L36" s="60" t="n">
        <x:v>16245.0160647512</x:v>
      </x:c>
      <x:c r="M36" s="60" t="n">
        <x:v>187.618514358</x:v>
      </x:c>
      <x:c r="N36" s="46" t="str">
        <x:v>mugil cephalus</x:v>
      </x:c>
      <x:c r="O36" s="62" t="n">
        <x:v>2.14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Mugil cephalus</x:v>
      </x:c>
      <x:c r="T36" s="62" t="n">
        <x:f>IF(O36="","",(1/'Metadata'!$B$5)^(O36-1))</x:f>
        <x:v>13.803842646028853</x:v>
      </x:c>
      <x:c r="U36" s="60" t="n">
        <x:f>IF(T36="","",I36*T36)</x:f>
        <x:v>226833.50198971597</x:v>
      </x:c>
    </x:row>
    <x:row r="37" ht="18" customHeight="1">
      <x:c r="A37" s="46" t="str">
        <x:v>LME_048</x:v>
      </x:c>
      <x:c r="B37" s="46" t="str">
        <x:v>Yellow Sea</x:v>
      </x:c>
      <x:c r="C37" s="46" t="str">
        <x:v>LME</x:v>
      </x:c>
      <x:c r="D37" s="58" t="n">
        <x:v>2019</x:v>
      </x:c>
      <x:c r="E37" s="46" t="str">
        <x:v>Ammodytes personatus</x:v>
      </x:c>
      <x:c r="F37" s="46" t="str">
        <x:v>Pacific sandlance</x:v>
      </x:c>
      <x:c r="G37" s="46" t="str">
        <x:v>Small demersals (&lt;30 cm)</x:v>
      </x:c>
      <x:c r="H37" s="46" t="str">
        <x:v>Perch-likes</x:v>
      </x:c>
      <x:c r="I37" s="60" t="n">
        <x:v>14165.0858319502</x:v>
      </x:c>
      <x:c r="J37" s="60" t="n">
        <x:v>14165.0858319502</x:v>
      </x:c>
      <x:c r="K37" s="60" t="n">
        <x:v>0</x:v>
      </x:c>
      <x:c r="L37" s="60" t="n">
        <x:v>14165.0858319502</x:v>
      </x:c>
      <x:c r="M37" s="60" t="n">
        <x:v>0</x:v>
      </x:c>
      <x:c r="N37" s="46" t="str">
        <x:v>ammodytes personatus</x:v>
      </x:c>
      <x:c r="O37" s="62" t="n">
        <x:v>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Ammodytes personatus</x:v>
      </x:c>
      <x:c r="T37" s="62" t="n">
        <x:f>IF(O37="","",(1/'Metadata'!$B$5)^(O37-1))</x:f>
        <x:v>100</x:v>
      </x:c>
      <x:c r="U37" s="60" t="n">
        <x:f>IF(T37="","",I37*T37)</x:f>
        <x:v>1416508.58319502</x:v>
      </x:c>
    </x:row>
    <x:row r="38" ht="18" customHeight="1">
      <x:c r="A38" s="46" t="str">
        <x:v>LME_048</x:v>
      </x:c>
      <x:c r="B38" s="46" t="str">
        <x:v>Yellow Sea</x:v>
      </x:c>
      <x:c r="C38" s="46" t="str">
        <x:v>LME</x:v>
      </x:c>
      <x:c r="D38" s="58" t="n">
        <x:v>2019</x:v>
      </x:c>
      <x:c r="E38" s="46" t="str">
        <x:v>Portunus pelagicus</x:v>
      </x:c>
      <x:c r="F38" s="46" t="str">
        <x:v>Blue swimming crab</x:v>
      </x:c>
      <x:c r="G38" s="46" t="str">
        <x:v>Lobsters, crabs</x:v>
      </x:c>
      <x:c r="H38" s="46" t="str">
        <x:v>Crustaceans</x:v>
      </x:c>
      <x:c r="I38" s="60" t="n">
        <x:v>13569.6308728547</x:v>
      </x:c>
      <x:c r="J38" s="60" t="n">
        <x:v>13432.1288648517</x:v>
      </x:c>
      <x:c r="K38" s="60" t="n">
        <x:v>137.50200800300001</x:v>
      </x:c>
      <x:c r="L38" s="60" t="n">
        <x:v>13393.3335852286</x:v>
      </x:c>
      <x:c r="M38" s="60" t="n">
        <x:v>176.2972876261</x:v>
      </x:c>
      <x:c r="N38" s="46" t="str">
        <x:v>portunus pelagicus</x:v>
      </x:c>
      <x:c r="O38" s="62" t="n">
        <x:v>2.48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Portunus pelagicus</x:v>
      </x:c>
      <x:c r="T38" s="62" t="n">
        <x:f>IF(O38="","",(1/'Metadata'!$B$5)^(O38-1))</x:f>
        <x:v>30.19951720402016</x:v>
      </x:c>
      <x:c r="U38" s="60" t="n">
        <x:f>IF(T38="","",I38*T38)</x:f>
        <x:v>409796.3009969786</x:v>
      </x:c>
    </x:row>
    <x:row r="39" ht="18" customHeight="1">
      <x:c r="A39" s="46" t="str">
        <x:v>LME_048</x:v>
      </x:c>
      <x:c r="B39" s="46" t="str">
        <x:v>Yellow Sea</x:v>
      </x:c>
      <x:c r="C39" s="46" t="str">
        <x:v>LME</x:v>
      </x:c>
      <x:c r="D39" s="58" t="n">
        <x:v>2019</x:v>
      </x:c>
      <x:c r="E39" s="46" t="str">
        <x:v>Magallana gigas</x:v>
      </x:c>
      <x:c r="F39" s="46" t="str">
        <x:v>Pacific cupped oyster</x:v>
      </x:c>
      <x:c r="G39" s="46" t="str">
        <x:v>Other demersal invertebrates</x:v>
      </x:c>
      <x:c r="H39" s="46" t="str">
        <x:v>Molluscs</x:v>
      </x:c>
      <x:c r="I39" s="60" t="n">
        <x:v>12800.7805705724</x:v>
      </x:c>
      <x:c r="J39" s="60" t="n">
        <x:v>12800.7805705724</x:v>
      </x:c>
      <x:c r="K39" s="60" t="n">
        <x:v>0</x:v>
      </x:c>
      <x:c r="L39" s="60" t="n">
        <x:v>12798.2792756138</x:v>
      </x:c>
      <x:c r="M39" s="60" t="n">
        <x:v>2.5012949586</x:v>
      </x:c>
      <x:c r="N39" s="46" t="str">
        <x:v>magallana gigas</x:v>
      </x:c>
      <x:c r="O39" s="62" t="n">
        <x:v>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Magallana gigas</x:v>
      </x:c>
      <x:c r="T39" s="62" t="n">
        <x:f>IF(O39="","",(1/'Metadata'!$B$5)^(O39-1))</x:f>
        <x:v>10</x:v>
      </x:c>
      <x:c r="U39" s="60" t="n">
        <x:f>IF(T39="","",I39*T39)</x:f>
        <x:v>128007.80570572401</x:v>
      </x:c>
    </x:row>
    <x:row r="40" ht="18" customHeight="1">
      <x:c r="A40" s="46" t="str">
        <x:v>LME_048</x:v>
      </x:c>
      <x:c r="B40" s="46" t="str">
        <x:v>Yellow Sea</x:v>
      </x:c>
      <x:c r="C40" s="46" t="str">
        <x:v>LME</x:v>
      </x:c>
      <x:c r="D40" s="58" t="n">
        <x:v>2019</x:v>
      </x:c>
      <x:c r="E40" s="46" t="str">
        <x:v>Nemipterus</x:v>
      </x:c>
      <x:c r="F40" s="46" t="str">
        <x:v>Threadfin breams</x:v>
      </x:c>
      <x:c r="G40" s="46" t="str">
        <x:v>Small demersals (&lt;30 cm)</x:v>
      </x:c>
      <x:c r="H40" s="46" t="str">
        <x:v>Perch-likes</x:v>
      </x:c>
      <x:c r="I40" s="60" t="n">
        <x:v>12766.1852076214</x:v>
      </x:c>
      <x:c r="J40" s="60" t="n">
        <x:v>12727.6272231152</x:v>
      </x:c>
      <x:c r="K40" s="60" t="n">
        <x:v>38.5579845062</x:v>
      </x:c>
      <x:c r="L40" s="60" t="n">
        <x:v>12635.383281295799</x:v>
      </x:c>
      <x:c r="M40" s="60" t="n">
        <x:v>130.8019263256</x:v>
      </x:c>
      <x:c r="N40" s="46" t="str">
        <x:v>nemipterus</x:v>
      </x:c>
      <x:c r="O40" s="62" t="n">
        <x:v>3.72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Nemipterus</x:v>
      </x:c>
      <x:c r="T40" s="62" t="n">
        <x:f>IF(O40="","",(1/'Metadata'!$B$5)^(O40-1))</x:f>
        <x:v>524.8074602497728</x:v>
      </x:c>
      <x:c r="U40" s="60" t="n">
        <x:f>IF(T40="","",I40*T40)</x:f>
        <x:v>6699789.235890006</x:v>
      </x:c>
    </x:row>
    <x:row r="41" ht="18" customHeight="1">
      <x:c r="A41" s="46" t="str">
        <x:v>LME_048</x:v>
      </x:c>
      <x:c r="B41" s="46" t="str">
        <x:v>Yellow Sea</x:v>
      </x:c>
      <x:c r="C41" s="46" t="str">
        <x:v>LME</x:v>
      </x:c>
      <x:c r="D41" s="58" t="n">
        <x:v>2019</x:v>
      </x:c>
      <x:c r="E41" s="46" t="str">
        <x:v>Seriola</x:v>
      </x:c>
      <x:c r="F41" s="46" t="str">
        <x:v>Amberjacks</x:v>
      </x:c>
      <x:c r="G41" s="46" t="str">
        <x:v>Large benthopelagics (&gt;=90 cm)</x:v>
      </x:c>
      <x:c r="H41" s="46" t="str">
        <x:v>Perch-likes</x:v>
      </x:c>
      <x:c r="I41" s="60" t="n">
        <x:v>11032.8993848461</x:v>
      </x:c>
      <x:c r="J41" s="60" t="n">
        <x:v>10987.5863553114</x:v>
      </x:c>
      <x:c r="K41" s="60" t="n">
        <x:v>45.3130295347</x:v>
      </x:c>
      <x:c r="L41" s="60" t="n">
        <x:v>10966.9523111523</x:v>
      </x:c>
      <x:c r="M41" s="60" t="n">
        <x:v>65.9470736938</x:v>
      </x:c>
      <x:c r="N41" s="46" t="str">
        <x:v>seriola</x:v>
      </x:c>
      <x:c r="O41" s="62" t="n">
        <x:v>4.39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Seriola</x:v>
      </x:c>
      <x:c r="T41" s="62" t="n">
        <x:f>IF(O41="","",(1/'Metadata'!$B$5)^(O41-1))</x:f>
        <x:v>2454.7089156850284</x:v>
      </x:c>
      <x:c r="U41" s="60" t="n">
        <x:f>IF(T41="","",I41*T41)</x:f>
        <x:v>27082556.485837586</x:v>
      </x:c>
    </x:row>
    <x:row r="42" ht="18" customHeight="1">
      <x:c r="A42" s="46" t="str">
        <x:v>LME_048</x:v>
      </x:c>
      <x:c r="B42" s="46" t="str">
        <x:v>Yellow Sea</x:v>
      </x:c>
      <x:c r="C42" s="46" t="str">
        <x:v>LME</x:v>
      </x:c>
      <x:c r="D42" s="58" t="n">
        <x:v>2019</x:v>
      </x:c>
      <x:c r="E42" s="46" t="str">
        <x:v>Cephalopoda</x:v>
      </x:c>
      <x:c r="F42" s="46" t="str">
        <x:v>Squids, cuttlefishes, octopuses</x:v>
      </x:c>
      <x:c r="G42" s="46" t="str">
        <x:v>Cephalopods</x:v>
      </x:c>
      <x:c r="H42" s="46" t="str">
        <x:v>Other fishes &amp; inverts</x:v>
      </x:c>
      <x:c r="I42" s="60" t="n">
        <x:v>10659.2037205119</x:v>
      </x:c>
      <x:c r="J42" s="60" t="n">
        <x:v>10488.322662201399</x:v>
      </x:c>
      <x:c r="K42" s="60" t="n">
        <x:v>170.8810583105</x:v>
      </x:c>
      <x:c r="L42" s="60" t="n">
        <x:v>7680.2381860501</x:v>
      </x:c>
      <x:c r="M42" s="60" t="n">
        <x:v>2978.9655344618</x:v>
      </x:c>
      <x:c r="N42" s="46" t="str">
        <x:v>cephalopoda</x:v>
      </x:c>
      <x:c r="O42" s="62" t="n">
        <x:v>3.81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Cephalopoda</x:v>
      </x:c>
      <x:c r="T42" s="62" t="n">
        <x:f>IF(O42="","",(1/'Metadata'!$B$5)^(O42-1))</x:f>
        <x:v>645.6542290346556</x:v>
      </x:c>
      <x:c r="U42" s="60" t="n">
        <x:f>IF(T42="","",I42*T42)</x:f>
        <x:v>6882159.960290443</x:v>
      </x:c>
    </x:row>
    <x:row r="43" ht="18" customHeight="1">
      <x:c r="A43" s="46" t="str">
        <x:v>LME_048</x:v>
      </x:c>
      <x:c r="B43" s="46" t="str">
        <x:v>Yellow Sea</x:v>
      </x:c>
      <x:c r="C43" s="46" t="str">
        <x:v>LME</x:v>
      </x:c>
      <x:c r="D43" s="58" t="n">
        <x:v>2019</x:v>
      </x:c>
      <x:c r="E43" s="46" t="str">
        <x:v>Arctoscopus japonicus</x:v>
      </x:c>
      <x:c r="F43" s="46" t="str">
        <x:v>Japanese sandfish</x:v>
      </x:c>
      <x:c r="G43" s="46" t="str">
        <x:v>Small bathydemersals (&lt;30 cm)</x:v>
      </x:c>
      <x:c r="H43" s="46" t="str">
        <x:v>Perch-likes</x:v>
      </x:c>
      <x:c r="I43" s="60" t="n">
        <x:v>9917.3769116907</x:v>
      </x:c>
      <x:c r="J43" s="60" t="n">
        <x:v>9887.3763939946</x:v>
      </x:c>
      <x:c r="K43" s="60" t="n">
        <x:v>30.0005176961</x:v>
      </x:c>
      <x:c r="L43" s="60" t="n">
        <x:v>9859.3953891926</x:v>
      </x:c>
      <x:c r="M43" s="60" t="n">
        <x:v>57.9815224981</x:v>
      </x:c>
      <x:c r="N43" s="46" t="str">
        <x:v>arctoscopus japonicus</x:v>
      </x:c>
      <x:c r="O43" s="62" t="n">
        <x:v>3.51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Arctoscopus japonicus</x:v>
      </x:c>
      <x:c r="T43" s="62" t="n">
        <x:f>IF(O43="","",(1/'Metadata'!$B$5)^(O43-1))</x:f>
        <x:v>323.5936569296281</x:v>
      </x:c>
      <x:c r="U43" s="60" t="n">
        <x:f>IF(T43="","",I43*T43)</x:f>
        <x:v>3209200.262003455</x:v>
      </x:c>
    </x:row>
    <x:row r="44" ht="18" customHeight="1">
      <x:c r="A44" s="46" t="str">
        <x:v>LME_048</x:v>
      </x:c>
      <x:c r="B44" s="46" t="str">
        <x:v>Yellow Sea</x:v>
      </x:c>
      <x:c r="C44" s="46" t="str">
        <x:v>LME</x:v>
      </x:c>
      <x:c r="D44" s="58" t="n">
        <x:v>2019</x:v>
      </x:c>
      <x:c r="E44" s="46" t="str">
        <x:v>Clupeiformes</x:v>
      </x:c>
      <x:c r="F44" s="46" t="str">
        <x:v>Herrings, shads, anchovies</x:v>
      </x:c>
      <x:c r="G44" s="46" t="str">
        <x:v>Small pelagics (&lt;30 cm)</x:v>
      </x:c>
      <x:c r="H44" s="46" t="str">
        <x:v>Other fishes &amp; inverts</x:v>
      </x:c>
      <x:c r="I44" s="60" t="n">
        <x:v>9168.4688379244</x:v>
      </x:c>
      <x:c r="J44" s="60" t="n">
        <x:v>9168.4688379244</x:v>
      </x:c>
      <x:c r="K44" s="60" t="n">
        <x:v>0</x:v>
      </x:c>
      <x:c r="L44" s="60" t="n">
        <x:v>9138.167218207</x:v>
      </x:c>
      <x:c r="M44" s="60" t="n">
        <x:v>30.3016197174</x:v>
      </x:c>
      <x:c r="N44" s="46" t="str">
        <x:v>clupeiformes</x:v>
      </x:c>
      <x:c r="O44" s="62" t="n">
        <x:v>3.24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Clupeiformes</x:v>
      </x:c>
      <x:c r="T44" s="62" t="n">
        <x:f>IF(O44="","",(1/'Metadata'!$B$5)^(O44-1))</x:f>
        <x:v>173.78008287493762</x:v>
      </x:c>
      <x:c r="U44" s="60" t="n">
        <x:f>IF(T44="","",I44*T44)</x:f>
        <x:v>1593297.2744907853</x:v>
      </x:c>
    </x:row>
    <x:row r="45" ht="18" customHeight="1">
      <x:c r="A45" s="46" t="str">
        <x:v>LME_048</x:v>
      </x:c>
      <x:c r="B45" s="46" t="str">
        <x:v>Yellow Sea</x:v>
      </x:c>
      <x:c r="C45" s="46" t="str">
        <x:v>LME</x:v>
      </x:c>
      <x:c r="D45" s="58" t="n">
        <x:v>2019</x:v>
      </x:c>
      <x:c r="E45" s="46" t="str">
        <x:v>Ilisha elongata</x:v>
      </x:c>
      <x:c r="F45" s="46" t="str">
        <x:v>Elongate ilisha</x:v>
      </x:c>
      <x:c r="G45" s="46" t="str">
        <x:v>Medium pelagics (30 - 89 cm)</x:v>
      </x:c>
      <x:c r="H45" s="46" t="str">
        <x:v>Herring-likes</x:v>
      </x:c>
      <x:c r="I45" s="60" t="n">
        <x:v>5343.0135974208</x:v>
      </x:c>
      <x:c r="J45" s="60" t="n">
        <x:v>5322.355869214</x:v>
      </x:c>
      <x:c r="K45" s="60" t="n">
        <x:v>20.657728206799998</x:v>
      </x:c>
      <x:c r="L45" s="60" t="n">
        <x:v>5301.3555608438</x:v>
      </x:c>
      <x:c r="M45" s="60" t="n">
        <x:v>41.658036577</x:v>
      </x:c>
      <x:c r="N45" s="46" t="str">
        <x:v>ilisha elongata</x:v>
      </x:c>
      <x:c r="O45" s="62" t="n">
        <x:v>3.79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Ilisha elongata</x:v>
      </x:c>
      <x:c r="T45" s="62" t="n">
        <x:f>IF(O45="","",(1/'Metadata'!$B$5)^(O45-1))</x:f>
        <x:v>616.5950018614822</x:v>
      </x:c>
      <x:c r="U45" s="60" t="n">
        <x:f>IF(T45="","",I45*T45)</x:f>
        <x:v>3294475.4790476025</x:v>
      </x:c>
    </x:row>
    <x:row r="46" ht="18" customHeight="1">
      <x:c r="A46" s="46" t="str">
        <x:v>LME_048</x:v>
      </x:c>
      <x:c r="B46" s="46" t="str">
        <x:v>Yellow Sea</x:v>
      </x:c>
      <x:c r="C46" s="46" t="str">
        <x:v>LME</x:v>
      </x:c>
      <x:c r="D46" s="58" t="n">
        <x:v>2019</x:v>
      </x:c>
      <x:c r="E46" s="46" t="str">
        <x:v>Sepiidae</x:v>
      </x:c>
      <x:c r="F46" s="46" t="str">
        <x:v>Cuttlefishes</x:v>
      </x:c>
      <x:c r="G46" s="46" t="str">
        <x:v>Cephalopods</x:v>
      </x:c>
      <x:c r="H46" s="46" t="str">
        <x:v>Other fishes &amp; inverts</x:v>
      </x:c>
      <x:c r="I46" s="60" t="n">
        <x:v>5143.1177245629</x:v>
      </x:c>
      <x:c r="J46" s="60" t="n">
        <x:v>5143.071785774599</x:v>
      </x:c>
      <x:c r="K46" s="60" t="n">
        <x:v>0.0459387883</x:v>
      </x:c>
      <x:c r="L46" s="60" t="n">
        <x:v>5109.843678292699</x:v>
      </x:c>
      <x:c r="M46" s="60" t="n">
        <x:v>33.2740462702</x:v>
      </x:c>
      <x:c r="N46" s="46" t="str">
        <x:v>sepiidae</x:v>
      </x:c>
      <x:c r="O46" s="62" t="n">
        <x:v>3.6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Sepiidae</x:v>
      </x:c>
      <x:c r="T46" s="62" t="n">
        <x:f>IF(O46="","",(1/'Metadata'!$B$5)^(O46-1))</x:f>
        <x:v>398.1071705534973</x:v>
      </x:c>
      <x:c r="U46" s="60" t="n">
        <x:f>IF(T46="","",I46*T46)</x:f>
        <x:v>2047512.0451492774</x:v>
      </x:c>
    </x:row>
    <x:row r="47" ht="18" customHeight="1">
      <x:c r="A47" s="46" t="str">
        <x:v>LME_048</x:v>
      </x:c>
      <x:c r="B47" s="46" t="str">
        <x:v>Yellow Sea</x:v>
      </x:c>
      <x:c r="C47" s="46" t="str">
        <x:v>LME</x:v>
      </x:c>
      <x:c r="D47" s="58" t="n">
        <x:v>2019</x:v>
      </x:c>
      <x:c r="E47" s="46" t="str">
        <x:v>Mytilidae</x:v>
      </x:c>
      <x:c r="F47" s="46" t="str">
        <x:v>Sea mussels</x:v>
      </x:c>
      <x:c r="G47" s="46" t="str">
        <x:v>Other demersal invertebrates</x:v>
      </x:c>
      <x:c r="H47" s="46" t="str">
        <x:v>Molluscs</x:v>
      </x:c>
      <x:c r="I47" s="60" t="n">
        <x:v>4469.2812075581</x:v>
      </x:c>
      <x:c r="J47" s="60" t="n">
        <x:v>4466.6402097189</x:v>
      </x:c>
      <x:c r="K47" s="60" t="n">
        <x:v>2.6409978392</x:v>
      </x:c>
      <x:c r="L47" s="60" t="n">
        <x:v>4466.6402097189</x:v>
      </x:c>
      <x:c r="M47" s="60" t="n">
        <x:v>2.6409978392</x:v>
      </x:c>
      <x:c r="N47" s="46" t="str">
        <x:v>mytilidae</x:v>
      </x:c>
      <x:c r="O47" s="62" t="n">
        <x:v>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Mytilidae</x:v>
      </x:c>
      <x:c r="T47" s="62" t="n">
        <x:f>IF(O47="","",(1/'Metadata'!$B$5)^(O47-1))</x:f>
        <x:v>10</x:v>
      </x:c>
      <x:c r="U47" s="60" t="n">
        <x:f>IF(T47="","",I47*T47)</x:f>
        <x:v>44692.812075580994</x:v>
      </x:c>
    </x:row>
    <x:row r="48" ht="18" customHeight="1">
      <x:c r="A48" s="46" t="str">
        <x:v>LME_048</x:v>
      </x:c>
      <x:c r="B48" s="46" t="str">
        <x:v>Yellow Sea</x:v>
      </x:c>
      <x:c r="C48" s="46" t="str">
        <x:v>LME</x:v>
      </x:c>
      <x:c r="D48" s="58" t="n">
        <x:v>2019</x:v>
      </x:c>
      <x:c r="E48" s="46" t="str">
        <x:v>Scombridae</x:v>
      </x:c>
      <x:c r="F48" s="46" t="str">
        <x:v>Mackerels, tunas, bonitos</x:v>
      </x:c>
      <x:c r="G48" s="46" t="str">
        <x:v>Medium pelagics (30 - 89 cm)</x:v>
      </x:c>
      <x:c r="H48" s="46" t="str">
        <x:v>Perch-likes</x:v>
      </x:c>
      <x:c r="I48" s="60" t="n">
        <x:v>4424.3614273803</x:v>
      </x:c>
      <x:c r="J48" s="60" t="n">
        <x:v>4412.0089637786</x:v>
      </x:c>
      <x:c r="K48" s="60" t="n">
        <x:v>12.3524636017</x:v>
      </x:c>
      <x:c r="L48" s="60" t="n">
        <x:v>4385.8541434251</x:v>
      </x:c>
      <x:c r="M48" s="60" t="n">
        <x:v>38.5072839552</x:v>
      </x:c>
      <x:c r="N48" s="46" t="str">
        <x:v>scombridae</x:v>
      </x:c>
      <x:c r="O48" s="62" t="n">
        <x:v>4.26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Scombridae</x:v>
      </x:c>
      <x:c r="T48" s="62" t="n">
        <x:f>IF(O48="","",(1/'Metadata'!$B$5)^(O48-1))</x:f>
        <x:v>1819.7008586099826</x:v>
      </x:c>
      <x:c r="U48" s="60" t="n">
        <x:f>IF(T48="","",I48*T48)</x:f>
        <x:v>8051014.288204819</x:v>
      </x:c>
    </x:row>
    <x:row r="49" ht="18" customHeight="1">
      <x:c r="A49" s="46" t="str">
        <x:v>LME_048</x:v>
      </x:c>
      <x:c r="B49" s="46" t="str">
        <x:v>Yellow Sea</x:v>
      </x:c>
      <x:c r="C49" s="46" t="str">
        <x:v>LME</x:v>
      </x:c>
      <x:c r="D49" s="58" t="n">
        <x:v>2019</x:v>
      </x:c>
      <x:c r="E49" s="46" t="str">
        <x:v>Gastropoda</x:v>
      </x:c>
      <x:c r="F49" s="46" t="str">
        <x:v>Sea snails</x:v>
      </x:c>
      <x:c r="G49" s="46" t="str">
        <x:v>Other demersal invertebrates</x:v>
      </x:c>
      <x:c r="H49" s="46" t="str">
        <x:v>Molluscs</x:v>
      </x:c>
      <x:c r="I49" s="60" t="n">
        <x:v>4363.172259918</x:v>
      </x:c>
      <x:c r="J49" s="60" t="n">
        <x:v>4359.044807682</x:v>
      </x:c>
      <x:c r="K49" s="60" t="n">
        <x:v>4.127452236</x:v>
      </x:c>
      <x:c r="L49" s="60" t="n">
        <x:v>4344.5044630680995</x:v>
      </x:c>
      <x:c r="M49" s="60" t="n">
        <x:v>18.667796849899997</x:v>
      </x:c>
      <x:c r="N49" s="46" t="str">
        <x:v>gastropoda</x:v>
      </x:c>
      <x:c r="O49" s="62" t="n">
        <x:v>3.06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Gastropoda</x:v>
      </x:c>
      <x:c r="T49" s="62" t="n">
        <x:f>IF(O49="","",(1/'Metadata'!$B$5)^(O49-1))</x:f>
        <x:v>114.81536214968828</x:v>
      </x:c>
      <x:c r="U49" s="60" t="n">
        <x:f>IF(T49="","",I49*T49)</x:f>
        <x:v>500959.20314395905</x:v>
      </x:c>
    </x:row>
    <x:row r="50" ht="18" customHeight="1">
      <x:c r="A50" s="46" t="str">
        <x:v>LME_048</x:v>
      </x:c>
      <x:c r="B50" s="46" t="str">
        <x:v>Yellow Sea</x:v>
      </x:c>
      <x:c r="C50" s="46" t="str">
        <x:v>LME</x:v>
      </x:c>
      <x:c r="D50" s="58" t="n">
        <x:v>2019</x:v>
      </x:c>
      <x:c r="E50" s="46" t="str">
        <x:v>Oplegnathus fasciatus</x:v>
      </x:c>
      <x:c r="F50" s="46" t="str">
        <x:v>Barred knifejaw</x:v>
      </x:c>
      <x:c r="G50" s="46" t="str">
        <x:v>Medium reef assoc. fish (30 - 89 cm)</x:v>
      </x:c>
      <x:c r="H50" s="46" t="str">
        <x:v>Perch-likes</x:v>
      </x:c>
      <x:c r="I50" s="60" t="n">
        <x:v>4188.4270748054</x:v>
      </x:c>
      <x:c r="J50" s="60" t="n">
        <x:v>4188.4270748054</x:v>
      </x:c>
      <x:c r="K50" s="60" t="n">
        <x:v>0</x:v>
      </x:c>
      <x:c r="L50" s="60" t="n">
        <x:v>0</x:v>
      </x:c>
      <x:c r="M50" s="60" t="n">
        <x:v>4188.4270748054</x:v>
      </x:c>
      <x:c r="N50" s="46" t="str">
        <x:v>oplegnathus fasciatus</x:v>
      </x:c>
      <x:c r="O50" s="62" t="n">
        <x:v>3.55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Oplegnathus fasciatus</x:v>
      </x:c>
      <x:c r="T50" s="62" t="n">
        <x:f>IF(O50="","",(1/'Metadata'!$B$5)^(O50-1))</x:f>
        <x:v>354.8133892335753</x:v>
      </x:c>
      <x:c r="U50" s="60" t="n">
        <x:f>IF(T50="","",I50*T50)</x:f>
        <x:v>1486110.0059693735</x:v>
      </x:c>
    </x:row>
    <x:row r="51" ht="18" customHeight="1">
      <x:c r="A51" s="46" t="str">
        <x:v>LME_048</x:v>
      </x:c>
      <x:c r="B51" s="46" t="str">
        <x:v>Yellow Sea</x:v>
      </x:c>
      <x:c r="C51" s="46" t="str">
        <x:v>LME</x:v>
      </x:c>
      <x:c r="D51" s="58" t="n">
        <x:v>2019</x:v>
      </x:c>
      <x:c r="E51" s="46" t="str">
        <x:v>Acanthopagrus schlegelii</x:v>
      </x:c>
      <x:c r="F51" s="46" t="str">
        <x:v>Blackhead seabream</x:v>
      </x:c>
      <x:c r="G51" s="46" t="str">
        <x:v>Medium demersals (30 - 89 cm)</x:v>
      </x:c>
      <x:c r="H51" s="46" t="str">
        <x:v>Perch-likes</x:v>
      </x:c>
      <x:c r="I51" s="60" t="n">
        <x:v>4131.9696934945005</x:v>
      </x:c>
      <x:c r="J51" s="60" t="n">
        <x:v>4131.3336772339</x:v>
      </x:c>
      <x:c r="K51" s="60" t="n">
        <x:v>0.6360162605999999</x:v>
      </x:c>
      <x:c r="L51" s="60" t="n">
        <x:v>175.6585626518</x:v>
      </x:c>
      <x:c r="M51" s="60" t="n">
        <x:v>3956.3111308427</x:v>
      </x:c>
      <x:c r="N51" s="46" t="str">
        <x:v>acanthopagrus schlegelii</x:v>
      </x:c>
      <x:c r="O51" s="62" t="n">
        <x:v>3.24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Acanthopagrus schlegelii</x:v>
      </x:c>
      <x:c r="T51" s="62" t="n">
        <x:f>IF(O51="","",(1/'Metadata'!$B$5)^(O51-1))</x:f>
        <x:v>173.78008287493762</x:v>
      </x:c>
      <x:c r="U51" s="60" t="n">
        <x:f>IF(T51="","",I51*T51)</x:f>
        <x:v>718054.0357722049</x:v>
      </x:c>
    </x:row>
    <x:row r="52" ht="18" customHeight="1">
      <x:c r="A52" s="46" t="str">
        <x:v>LME_048</x:v>
      </x:c>
      <x:c r="B52" s="46" t="str">
        <x:v>Yellow Sea</x:v>
      </x:c>
      <x:c r="C52" s="46" t="str">
        <x:v>LME</x:v>
      </x:c>
      <x:c r="D52" s="58" t="n">
        <x:v>2019</x:v>
      </x:c>
      <x:c r="E52" s="46" t="str">
        <x:v>Kyphosidae</x:v>
      </x:c>
      <x:c r="F52" s="46" t="str">
        <x:v>Sea chubs, knifefishes, niblers</x:v>
      </x:c>
      <x:c r="G52" s="46" t="str">
        <x:v>Medium reef assoc. fish (30 - 89 cm)</x:v>
      </x:c>
      <x:c r="H52" s="46" t="str">
        <x:v>Perch-likes</x:v>
      </x:c>
      <x:c r="I52" s="60" t="n">
        <x:v>4114.8464568804</x:v>
      </x:c>
      <x:c r="J52" s="60" t="n">
        <x:v>4114.8464568804</x:v>
      </x:c>
      <x:c r="K52" s="60" t="n">
        <x:v>0</x:v>
      </x:c>
      <x:c r="L52" s="60" t="n">
        <x:v>0</x:v>
      </x:c>
      <x:c r="M52" s="60" t="n">
        <x:v>4114.8464568804</x:v>
      </x:c>
      <x:c r="N52" s="46" t="str">
        <x:v>kyphosidae</x:v>
      </x:c>
      <x:c r="O52" s="62" t="n">
        <x:v>2.19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Kyphosidae</x:v>
      </x:c>
      <x:c r="T52" s="62" t="n">
        <x:f>IF(O52="","",(1/'Metadata'!$B$5)^(O52-1))</x:f>
        <x:v>15.488166189124811</x:v>
      </x:c>
      <x:c r="U52" s="60" t="n">
        <x:f>IF(T52="","",I52*T52)</x:f>
        <x:v>63731.42576689504</x:v>
      </x:c>
    </x:row>
    <x:row r="53" ht="18" customHeight="1">
      <x:c r="A53" s="46" t="str">
        <x:v>LME_048</x:v>
      </x:c>
      <x:c r="B53" s="46" t="str">
        <x:v>Yellow Sea</x:v>
      </x:c>
      <x:c r="C53" s="46" t="str">
        <x:v>LME</x:v>
      </x:c>
      <x:c r="D53" s="58" t="n">
        <x:v>2019</x:v>
      </x:c>
      <x:c r="E53" s="46" t="str">
        <x:v>Tetraodontidae</x:v>
      </x:c>
      <x:c r="F53" s="46" t="str">
        <x:v>Puffers, tobies</x:v>
      </x:c>
      <x:c r="G53" s="46" t="str">
        <x:v>Large reef assoc. fish (&gt;=90 cm)</x:v>
      </x:c>
      <x:c r="H53" s="46" t="str">
        <x:v>Other fishes &amp; inverts</x:v>
      </x:c>
      <x:c r="I53" s="60" t="n">
        <x:v>4001.5308195551997</x:v>
      </x:c>
      <x:c r="J53" s="60" t="n">
        <x:v>3672.5989406416998</x:v>
      </x:c>
      <x:c r="K53" s="60" t="n">
        <x:v>328.9318789135</x:v>
      </x:c>
      <x:c r="L53" s="60" t="n">
        <x:v>3669.3969699097997</x:v>
      </x:c>
      <x:c r="M53" s="60" t="n">
        <x:v>332.13384964539995</x:v>
      </x:c>
      <x:c r="N53" s="46" t="str">
        <x:v>tetraodontidae</x:v>
      </x:c>
      <x:c r="O53" s="62" t="n">
        <x:v>3.5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Tetraodontidae</x:v>
      </x:c>
      <x:c r="T53" s="62" t="n">
        <x:f>IF(O53="","",(1/'Metadata'!$B$5)^(O53-1))</x:f>
        <x:v>316.22776601683796</x:v>
      </x:c>
      <x:c r="U53" s="60" t="n">
        <x:f>IF(T53="","",I53*T53)</x:f>
        <x:v>1265395.1517154675</x:v>
      </x:c>
    </x:row>
    <x:row r="54" ht="18" customHeight="1">
      <x:c r="A54" s="46" t="str">
        <x:v>LME_048</x:v>
      </x:c>
      <x:c r="B54" s="46" t="str">
        <x:v>Yellow Sea</x:v>
      </x:c>
      <x:c r="C54" s="46" t="str">
        <x:v>LME</x:v>
      </x:c>
      <x:c r="D54" s="58" t="n">
        <x:v>2019</x:v>
      </x:c>
      <x:c r="E54" s="46" t="str">
        <x:v>Mollusca</x:v>
      </x:c>
      <x:c r="F54" s="46" t="str">
        <x:v>Clams, seasnails, squids, octopuses</x:v>
      </x:c>
      <x:c r="G54" s="46" t="str">
        <x:v>Other demersal invertebrates</x:v>
      </x:c>
      <x:c r="H54" s="46" t="str">
        <x:v>Molluscs</x:v>
      </x:c>
      <x:c r="I54" s="60" t="n">
        <x:v>3945.8916760991997</x:v>
      </x:c>
      <x:c r="J54" s="60" t="n">
        <x:v>1007.3465909784</x:v>
      </x:c>
      <x:c r="K54" s="60" t="n">
        <x:v>2938.5450851207997</x:v>
      </x:c>
      <x:c r="L54" s="60" t="n">
        <x:v>608.2813631493</x:v>
      </x:c>
      <x:c r="M54" s="60" t="n">
        <x:v>3337.6103129498997</x:v>
      </x:c>
      <x:c r="N54" s="46" t="str">
        <x:v>mollusca</x:v>
      </x:c>
      <x:c r="O54" s="62" t="n">
        <x:v>2.1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Mollusca</x:v>
      </x:c>
      <x:c r="T54" s="62" t="n">
        <x:f>IF(O54="","",(1/'Metadata'!$B$5)^(O54-1))</x:f>
        <x:v>12.589254117941675</x:v>
      </x:c>
      <x:c r="U54" s="60" t="n">
        <x:f>IF(T54="","",I54*T54)</x:f>
        <x:v>49675.83303228363</x:v>
      </x:c>
    </x:row>
    <x:row r="55" ht="18" customHeight="1">
      <x:c r="A55" s="46" t="str">
        <x:v>LME_048</x:v>
      </x:c>
      <x:c r="B55" s="46" t="str">
        <x:v>Yellow Sea</x:v>
      </x:c>
      <x:c r="C55" s="46" t="str">
        <x:v>LME</x:v>
      </x:c>
      <x:c r="D55" s="58" t="n">
        <x:v>2019</x:v>
      </x:c>
      <x:c r="E55" s="46" t="str">
        <x:v>Paralichthys olivaceus</x:v>
      </x:c>
      <x:c r="F55" s="46" t="str">
        <x:v>Bastard halibut</x:v>
      </x:c>
      <x:c r="G55" s="46" t="str">
        <x:v>Large flatfishes (&gt;=90 cm)</x:v>
      </x:c>
      <x:c r="H55" s="46" t="str">
        <x:v>Flatfishes</x:v>
      </x:c>
      <x:c r="I55" s="60" t="n">
        <x:v>3592.9103292158</x:v>
      </x:c>
      <x:c r="J55" s="60" t="n">
        <x:v>3584.741933564</x:v>
      </x:c>
      <x:c r="K55" s="60" t="n">
        <x:v>8.168395651800001</x:v>
      </x:c>
      <x:c r="L55" s="60" t="n">
        <x:v>3583.3619045892</x:v>
      </x:c>
      <x:c r="M55" s="60" t="n">
        <x:v>9.5484246266</x:v>
      </x:c>
      <x:c r="N55" s="46" t="str">
        <x:v>paralichthys olivaceus</x:v>
      </x:c>
      <x:c r="O55" s="62" t="n">
        <x:v>4.25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Paralichthys olivaceus</x:v>
      </x:c>
      <x:c r="T55" s="62" t="n">
        <x:f>IF(O55="","",(1/'Metadata'!$B$5)^(O55-1))</x:f>
        <x:v>1778.2794100389228</x:v>
      </x:c>
      <x:c r="U55" s="60" t="n">
        <x:f>IF(T55="","",I55*T55)</x:f>
        <x:v>6389198.460560625</x:v>
      </x:c>
    </x:row>
    <x:row r="56" ht="18" customHeight="1">
      <x:c r="A56" s="46" t="str">
        <x:v>LME_048</x:v>
      </x:c>
      <x:c r="B56" s="46" t="str">
        <x:v>Yellow Sea</x:v>
      </x:c>
      <x:c r="C56" s="46" t="str">
        <x:v>LME</x:v>
      </x:c>
      <x:c r="D56" s="58" t="n">
        <x:v>2019</x:v>
      </x:c>
      <x:c r="E56" s="46" t="str">
        <x:v>Loliginidae</x:v>
      </x:c>
      <x:c r="F56" s="46" t="str">
        <x:v>Common pencil squids</x:v>
      </x:c>
      <x:c r="G56" s="46" t="str">
        <x:v>Cephalopods</x:v>
      </x:c>
      <x:c r="H56" s="46" t="str">
        <x:v>Other fishes &amp; inverts</x:v>
      </x:c>
      <x:c r="I56" s="60" t="n">
        <x:v>3455.9269195386996</x:v>
      </x:c>
      <x:c r="J56" s="60" t="n">
        <x:v>3433.7016693271</x:v>
      </x:c>
      <x:c r="K56" s="60" t="n">
        <x:v>22.2252502116</x:v>
      </x:c>
      <x:c r="L56" s="60" t="n">
        <x:v>3408.4582569381996</x:v>
      </x:c>
      <x:c r="M56" s="60" t="n">
        <x:v>47.468662600500004</x:v>
      </x:c>
      <x:c r="N56" s="46" t="str">
        <x:v>loliginidae</x:v>
      </x:c>
      <x:c r="O56" s="62" t="n">
        <x:v>3.9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Loliginidae</x:v>
      </x:c>
      <x:c r="T56" s="62" t="n">
        <x:f>IF(O56="","",(1/'Metadata'!$B$5)^(O56-1))</x:f>
        <x:v>794.3282347242813</x:v>
      </x:c>
      <x:c r="U56" s="60" t="n">
        <x:f>IF(T56="","",I56*T56)</x:f>
        <x:v>2745140.3293332984</x:v>
      </x:c>
    </x:row>
    <x:row r="57" ht="18" customHeight="1">
      <x:c r="A57" s="46" t="str">
        <x:v>LME_048</x:v>
      </x:c>
      <x:c r="B57" s="46" t="str">
        <x:v>Yellow Sea</x:v>
      </x:c>
      <x:c r="C57" s="46" t="str">
        <x:v>LME</x:v>
      </x:c>
      <x:c r="D57" s="58" t="n">
        <x:v>2019</x:v>
      </x:c>
      <x:c r="E57" s="46" t="str">
        <x:v>Paralichthyidae</x:v>
      </x:c>
      <x:c r="F57" s="46" t="str">
        <x:v>Largetooth flounders</x:v>
      </x:c>
      <x:c r="G57" s="46" t="str">
        <x:v>Small to medium flatfishes (&lt;90 cm)</x:v>
      </x:c>
      <x:c r="H57" s="46" t="str">
        <x:v>Flatfishes</x:v>
      </x:c>
      <x:c r="I57" s="60" t="n">
        <x:v>2966.9085072737003</x:v>
      </x:c>
      <x:c r="J57" s="60" t="n">
        <x:v>2441.3953586216003</x:v>
      </x:c>
      <x:c r="K57" s="60" t="n">
        <x:v>525.5131486521</x:v>
      </x:c>
      <x:c r="L57" s="60" t="n">
        <x:v>0</x:v>
      </x:c>
      <x:c r="M57" s="60" t="n">
        <x:v>2966.9085072737003</x:v>
      </x:c>
      <x:c r="N57" s="46" t="str">
        <x:v>paralichthyidae</x:v>
      </x:c>
      <x:c r="O57" s="62" t="n">
        <x:v>4.06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Paralichthyidae</x:v>
      </x:c>
      <x:c r="T57" s="62" t="n">
        <x:f>IF(O57="","",(1/'Metadata'!$B$5)^(O57-1))</x:f>
        <x:v>1148.1536214968817</x:v>
      </x:c>
      <x:c r="U57" s="60" t="n">
        <x:f>IF(T57="","",I57*T57)</x:f>
        <x:v>3406466.747276206</x:v>
      </x:c>
    </x:row>
    <x:row r="58" ht="18" customHeight="1">
      <x:c r="A58" s="46" t="str">
        <x:v>LME_048</x:v>
      </x:c>
      <x:c r="B58" s="46" t="str">
        <x:v>Yellow Sea</x:v>
      </x:c>
      <x:c r="C58" s="46" t="str">
        <x:v>LME</x:v>
      </x:c>
      <x:c r="D58" s="58" t="n">
        <x:v>2019</x:v>
      </x:c>
      <x:c r="E58" s="46" t="str">
        <x:v>Pleuronectidae</x:v>
      </x:c>
      <x:c r="F58" s="46" t="str">
        <x:v>Righteye flounders</x:v>
      </x:c>
      <x:c r="G58" s="46" t="str">
        <x:v>Small to medium flatfishes (&lt;90 cm)</x:v>
      </x:c>
      <x:c r="H58" s="46" t="str">
        <x:v>Flatfishes</x:v>
      </x:c>
      <x:c r="I58" s="60" t="n">
        <x:v>2873.5013768018</x:v>
      </x:c>
      <x:c r="J58" s="60" t="n">
        <x:v>1739.6465439597</x:v>
      </x:c>
      <x:c r="K58" s="60" t="n">
        <x:v>1133.8548328421</x:v>
      </x:c>
      <x:c r="L58" s="60" t="n">
        <x:v>47.8452485277</x:v>
      </x:c>
      <x:c r="M58" s="60" t="n">
        <x:v>2825.6561282741</x:v>
      </x:c>
      <x:c r="N58" s="46" t="str">
        <x:v>pleuronectidae</x:v>
      </x:c>
      <x:c r="O58" s="62" t="n">
        <x:v>3.49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Pleuronectidae</x:v>
      </x:c>
      <x:c r="T58" s="62" t="n">
        <x:f>IF(O58="","",(1/'Metadata'!$B$5)^(O58-1))</x:f>
        <x:v>309.0295432513592</x:v>
      </x:c>
      <x:c r="U58" s="60" t="n">
        <x:f>IF(T58="","",I58*T58)</x:f>
        <x:v>887996.818005212</x:v>
      </x:c>
    </x:row>
    <x:row r="59" ht="18" customHeight="1">
      <x:c r="A59" s="46" t="str">
        <x:v>LME_048</x:v>
      </x:c>
      <x:c r="B59" s="46" t="str">
        <x:v>Yellow Sea</x:v>
      </x:c>
      <x:c r="C59" s="46" t="str">
        <x:v>LME</x:v>
      </x:c>
      <x:c r="D59" s="58" t="n">
        <x:v>2019</x:v>
      </x:c>
      <x:c r="E59" s="46" t="str">
        <x:v>Clupeidae</x:v>
      </x:c>
      <x:c r="F59" s="46" t="str">
        <x:v>Herrings, sardines, menhadens</x:v>
      </x:c>
      <x:c r="G59" s="46" t="str">
        <x:v>Small pelagics (&lt;30 cm)</x:v>
      </x:c>
      <x:c r="H59" s="46" t="str">
        <x:v>Herring-likes</x:v>
      </x:c>
      <x:c r="I59" s="60" t="n">
        <x:v>2828.5196817942</x:v>
      </x:c>
      <x:c r="J59" s="60" t="n">
        <x:v>2762.135569461</x:v>
      </x:c>
      <x:c r="K59" s="60" t="n">
        <x:v>66.3841123332</x:v>
      </x:c>
      <x:c r="L59" s="60" t="n">
        <x:v>455.04679363500003</x:v>
      </x:c>
      <x:c r="M59" s="60" t="n">
        <x:v>2373.4728881592</x:v>
      </x:c>
      <x:c r="N59" s="46" t="str">
        <x:v>clupeidae</x:v>
      </x:c>
      <x:c r="O59" s="62" t="n">
        <x:v>3.16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Clupeidae</x:v>
      </x:c>
      <x:c r="T59" s="62" t="n">
        <x:f>IF(O59="","",(1/'Metadata'!$B$5)^(O59-1))</x:f>
        <x:v>144.5439770745928</x:v>
      </x:c>
      <x:c r="U59" s="60" t="n">
        <x:f>IF(T59="","",I59*T59)</x:f>
        <x:v>408845.48404029536</x:v>
      </x:c>
    </x:row>
    <x:row r="60" ht="18" customHeight="1">
      <x:c r="A60" s="46" t="str">
        <x:v>LME_048</x:v>
      </x:c>
      <x:c r="B60" s="46" t="str">
        <x:v>Yellow Sea</x:v>
      </x:c>
      <x:c r="C60" s="46" t="str">
        <x:v>LME</x:v>
      </x:c>
      <x:c r="D60" s="58" t="n">
        <x:v>2019</x:v>
      </x:c>
      <x:c r="E60" s="46" t="str">
        <x:v>Serranidae</x:v>
      </x:c>
      <x:c r="F60" s="46" t="str">
        <x:v>Basses, groupers, hinds</x:v>
      </x:c>
      <x:c r="G60" s="46" t="str">
        <x:v>Medium reef assoc. fish (30 - 89 cm)</x:v>
      </x:c>
      <x:c r="H60" s="46" t="str">
        <x:v>Perch-likes</x:v>
      </x:c>
      <x:c r="I60" s="60" t="n">
        <x:v>2685.8064092602</x:v>
      </x:c>
      <x:c r="J60" s="60" t="n">
        <x:v>2680.6606636040997</x:v>
      </x:c>
      <x:c r="K60" s="60" t="n">
        <x:v>5.1457456561</x:v>
      </x:c>
      <x:c r="L60" s="60" t="n">
        <x:v>459.9306933562</x:v>
      </x:c>
      <x:c r="M60" s="60" t="n">
        <x:v>2225.8757159039997</x:v>
      </x:c>
      <x:c r="N60" s="46" t="str">
        <x:v>serranidae</x:v>
      </x:c>
      <x:c r="O60" s="62" t="n">
        <x:v>3.98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Serranidae</x:v>
      </x:c>
      <x:c r="T60" s="62" t="n">
        <x:f>IF(O60="","",(1/'Metadata'!$B$5)^(O60-1))</x:f>
        <x:v>954.992586021436</x:v>
      </x:c>
      <x:c r="U60" s="60" t="n">
        <x:f>IF(T60="","",I60*T60)</x:f>
        <x:v>2564925.2083323454</x:v>
      </x:c>
    </x:row>
    <x:row r="61" ht="18" customHeight="1">
      <x:c r="A61" s="46" t="str">
        <x:v>LME_048</x:v>
      </x:c>
      <x:c r="B61" s="46" t="str">
        <x:v>Yellow Sea</x:v>
      </x:c>
      <x:c r="C61" s="46" t="str">
        <x:v>LME</x:v>
      </x:c>
      <x:c r="D61" s="58" t="n">
        <x:v>2019</x:v>
      </x:c>
      <x:c r="E61" s="46" t="str">
        <x:v>Sebastes</x:v>
      </x:c>
      <x:c r="F61" s="46" t="str">
        <x:v>Redfishes</x:v>
      </x:c>
      <x:c r="G61" s="46" t="str">
        <x:v>Large reef assoc. fish (&gt;=90 cm)</x:v>
      </x:c>
      <x:c r="H61" s="46" t="str">
        <x:v>Scorpionfishes</x:v>
      </x:c>
      <x:c r="I61" s="60" t="n">
        <x:v>2376.1161878273</x:v>
      </x:c>
      <x:c r="J61" s="60" t="n">
        <x:v>2376.1161878273</x:v>
      </x:c>
      <x:c r="K61" s="60" t="n">
        <x:v>0</x:v>
      </x:c>
      <x:c r="L61" s="60" t="n">
        <x:v>38.2633515265</x:v>
      </x:c>
      <x:c r="M61" s="60" t="n">
        <x:v>2337.8528363008</x:v>
      </x:c>
      <x:c r="N61" s="46" t="str">
        <x:v>sebastes</x:v>
      </x:c>
      <x:c r="O61" s="62" t="n">
        <x:v>3.79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Sebastes</x:v>
      </x:c>
      <x:c r="T61" s="62" t="n">
        <x:f>IF(O61="","",(1/'Metadata'!$B$5)^(O61-1))</x:f>
        <x:v>616.5950018614822</x:v>
      </x:c>
      <x:c r="U61" s="60" t="n">
        <x:f>IF(T61="","",I61*T61)</x:f>
        <x:v>1465101.365256472</x:v>
      </x:c>
    </x:row>
    <x:row r="62" ht="18" customHeight="1">
      <x:c r="A62" s="46" t="str">
        <x:v>LME_048</x:v>
      </x:c>
      <x:c r="B62" s="46" t="str">
        <x:v>Yellow Sea</x:v>
      </x:c>
      <x:c r="C62" s="46" t="str">
        <x:v>LME</x:v>
      </x:c>
      <x:c r="D62" s="58" t="n">
        <x:v>2019</x:v>
      </x:c>
      <x:c r="E62" s="46" t="str">
        <x:v>Dendrobranchiata</x:v>
      </x:c>
      <x:c r="F62" s="46" t="str">
        <x:v>Shrimps and prawns</x:v>
      </x:c>
      <x:c r="G62" s="46" t="str">
        <x:v>Shrimps</x:v>
      </x:c>
      <x:c r="H62" s="46" t="str">
        <x:v>Crustaceans</x:v>
      </x:c>
      <x:c r="I62" s="60" t="n">
        <x:v>2354.0516118040996</x:v>
      </x:c>
      <x:c r="J62" s="60" t="n">
        <x:v>2350.4859104437996</x:v>
      </x:c>
      <x:c r="K62" s="60" t="n">
        <x:v>3.5657013603</x:v>
      </x:c>
      <x:c r="L62" s="60" t="n">
        <x:v>691.9911451418</x:v>
      </x:c>
      <x:c r="M62" s="60" t="n">
        <x:v>1662.0604666623</x:v>
      </x:c>
      <x:c r="N62" s="46" t="str">
        <x:v>dendrobranchiata</x:v>
      </x:c>
      <x:c r="O62" s="62" t="n">
        <x:v>3.24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Dendrobranchiata</x:v>
      </x:c>
      <x:c r="T62" s="62" t="n">
        <x:f>IF(O62="","",(1/'Metadata'!$B$5)^(O62-1))</x:f>
        <x:v>173.78008287493762</x:v>
      </x:c>
      <x:c r="U62" s="60" t="n">
        <x:f>IF(T62="","",I62*T62)</x:f>
        <x:v>409087.2841911969</x:v>
      </x:c>
    </x:row>
    <x:row r="63" ht="18" customHeight="1">
      <x:c r="A63" s="46" t="str">
        <x:v>LME_048</x:v>
      </x:c>
      <x:c r="B63" s="46" t="str">
        <x:v>Yellow Sea</x:v>
      </x:c>
      <x:c r="C63" s="46" t="str">
        <x:v>LME</x:v>
      </x:c>
      <x:c r="D63" s="58" t="n">
        <x:v>2019</x:v>
      </x:c>
      <x:c r="E63" s="46" t="str">
        <x:v>Apostichopus japonicus</x:v>
      </x:c>
      <x:c r="F63" s="46" t="str">
        <x:v>Japanese sea cucumber</x:v>
      </x:c>
      <x:c r="G63" s="46" t="str">
        <x:v>Other demersal invertebrates</x:v>
      </x:c>
      <x:c r="H63" s="46" t="str">
        <x:v>Other fishes &amp; inverts</x:v>
      </x:c>
      <x:c r="I63" s="60" t="n">
        <x:v>2350.9427352899997</x:v>
      </x:c>
      <x:c r="J63" s="60" t="n">
        <x:v>2349.2693783021</x:v>
      </x:c>
      <x:c r="K63" s="60" t="n">
        <x:v>1.6733569879</x:v>
      </x:c>
      <x:c r="L63" s="60" t="n">
        <x:v>2349.2693783021</x:v>
      </x:c>
      <x:c r="M63" s="60" t="n">
        <x:v>1.6733569879</x:v>
      </x:c>
      <x:c r="N63" s="46" t="str">
        <x:v>apostichopus japonicus</x:v>
      </x:c>
      <x:c r="O63" s="62" t="n">
        <x:v>2.3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Apostichopus japonicus</x:v>
      </x:c>
      <x:c r="T63" s="62" t="n">
        <x:f>IF(O63="","",(1/'Metadata'!$B$5)^(O63-1))</x:f>
        <x:v>19.952623149688787</x:v>
      </x:c>
      <x:c r="U63" s="60" t="n">
        <x:f>IF(T63="","",I63*T63)</x:f>
        <x:v>46907.47444373993</x:v>
      </x:c>
    </x:row>
    <x:row r="64" ht="18" customHeight="1">
      <x:c r="A64" s="46" t="str">
        <x:v>LME_048</x:v>
      </x:c>
      <x:c r="B64" s="46" t="str">
        <x:v>Yellow Sea</x:v>
      </x:c>
      <x:c r="C64" s="46" t="str">
        <x:v>LME</x:v>
      </x:c>
      <x:c r="D64" s="58" t="n">
        <x:v>2019</x:v>
      </x:c>
      <x:c r="E64" s="46" t="str">
        <x:v>Pleurogrammus azonus</x:v>
      </x:c>
      <x:c r="F64" s="46" t="str">
        <x:v>Okhotsk atka mackerel</x:v>
      </x:c>
      <x:c r="G64" s="46" t="str">
        <x:v>Medium demersals (30 - 89 cm)</x:v>
      </x:c>
      <x:c r="H64" s="46" t="str">
        <x:v>Scorpionfishes</x:v>
      </x:c>
      <x:c r="I64" s="60" t="n">
        <x:v>2270.0082174228</x:v>
      </x:c>
      <x:c r="J64" s="60" t="n">
        <x:v>2270.0082174228</x:v>
      </x:c>
      <x:c r="K64" s="60" t="n">
        <x:v>0</x:v>
      </x:c>
      <x:c r="L64" s="60" t="n">
        <x:v>2270.0082174228</x:v>
      </x:c>
      <x:c r="M64" s="60" t="n">
        <x:v>0</x:v>
      </x:c>
      <x:c r="N64" s="46" t="str">
        <x:v>pleurogrammus azonus</x:v>
      </x:c>
      <x:c r="O64" s="62" t="n">
        <x:v>3.6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Pleurogrammus azonus</x:v>
      </x:c>
      <x:c r="T64" s="62" t="n">
        <x:f>IF(O64="","",(1/'Metadata'!$B$5)^(O64-1))</x:f>
        <x:v>398.1071705534973</x:v>
      </x:c>
      <x:c r="U64" s="60" t="n">
        <x:f>IF(T64="","",I64*T64)</x:f>
        <x:v>903706.548571379</x:v>
      </x:c>
    </x:row>
    <x:row r="65" ht="18" customHeight="1">
      <x:c r="A65" s="46" t="str">
        <x:v>LME_048</x:v>
      </x:c>
      <x:c r="B65" s="46" t="str">
        <x:v>Yellow Sea</x:v>
      </x:c>
      <x:c r="C65" s="46" t="str">
        <x:v>LME</x:v>
      </x:c>
      <x:c r="D65" s="58" t="n">
        <x:v>2019</x:v>
      </x:c>
      <x:c r="E65" s="46" t="str">
        <x:v>Sebastidae</x:v>
      </x:c>
      <x:c r="F65" s="46" t="str">
        <x:v>Rockfishes, rockcods, thornyheads</x:v>
      </x:c>
      <x:c r="G65" s="46" t="str">
        <x:v>Medium demersals (30 - 89 cm)</x:v>
      </x:c>
      <x:c r="H65" s="46" t="str">
        <x:v>Scorpionfishes</x:v>
      </x:c>
      <x:c r="I65" s="60" t="n">
        <x:v>2235.9466788594</x:v>
      </x:c>
      <x:c r="J65" s="60" t="n">
        <x:v>2235.9466788594</x:v>
      </x:c>
      <x:c r="K65" s="60" t="n">
        <x:v>0</x:v>
      </x:c>
      <x:c r="L65" s="60" t="n">
        <x:v>0</x:v>
      </x:c>
      <x:c r="M65" s="60" t="n">
        <x:v>2235.9466788594</x:v>
      </x:c>
      <x:c r="N65" s="46" t="str">
        <x:v>sebastidae</x:v>
      </x:c>
      <x:c r="O65" s="62" t="n">
        <x:v>3.74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Sebastidae</x:v>
      </x:c>
      <x:c r="T65" s="62" t="n">
        <x:f>IF(O65="","",(1/'Metadata'!$B$5)^(O65-1))</x:f>
        <x:v>549.5408738576248</x:v>
      </x:c>
      <x:c r="U65" s="60" t="n">
        <x:f>IF(T65="","",I65*T65)</x:f>
        <x:v>1228744.0917994485</x:v>
      </x:c>
    </x:row>
    <x:row r="66" ht="18" customHeight="1">
      <x:c r="A66" s="46" t="str">
        <x:v>LME_048</x:v>
      </x:c>
      <x:c r="B66" s="46" t="str">
        <x:v>Yellow Sea</x:v>
      </x:c>
      <x:c r="C66" s="46" t="str">
        <x:v>LME</x:v>
      </x:c>
      <x:c r="D66" s="58" t="n">
        <x:v>2019</x:v>
      </x:c>
      <x:c r="E66" s="46" t="str">
        <x:v>Planiliza haematocheilus</x:v>
      </x:c>
      <x:c r="F66" s="46" t="str">
        <x:v>So-iny mullet</x:v>
      </x:c>
      <x:c r="G66" s="46" t="str">
        <x:v>Medium demersals (30 - 89 cm)</x:v>
      </x:c>
      <x:c r="H66" s="46" t="str">
        <x:v>Perch-likes</x:v>
      </x:c>
      <x:c r="I66" s="60" t="n">
        <x:v>2215.5124977951</x:v>
      </x:c>
      <x:c r="J66" s="60" t="n">
        <x:v>2209.9678168589003</x:v>
      </x:c>
      <x:c r="K66" s="60" t="n">
        <x:v>5.544680936200001</x:v>
      </x:c>
      <x:c r="L66" s="60" t="n">
        <x:v>2200.1188880774002</x:v>
      </x:c>
      <x:c r="M66" s="60" t="n">
        <x:v>15.3936097177</x:v>
      </x:c>
      <x:c r="N66" s="46" t="str">
        <x:v>planiliza haematocheilus</x:v>
      </x:c>
      <x:c r="O66" s="62" t="n">
        <x:v>2.5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Planiliza haematocheilus</x:v>
      </x:c>
      <x:c r="T66" s="62" t="n">
        <x:f>IF(O66="","",(1/'Metadata'!$B$5)^(O66-1))</x:f>
        <x:v>31.622776601683793</x:v>
      </x:c>
      <x:c r="U66" s="60" t="n">
        <x:f>IF(T66="","",I66*T66)</x:f>
        <x:v>70060.6567760129</x:v>
      </x:c>
    </x:row>
    <x:row r="67" ht="18" customHeight="1">
      <x:c r="A67" s="46" t="str">
        <x:v>LME_048</x:v>
      </x:c>
      <x:c r="B67" s="46" t="str">
        <x:v>Yellow Sea</x:v>
      </x:c>
      <x:c r="C67" s="46" t="str">
        <x:v>LME</x:v>
      </x:c>
      <x:c r="D67" s="58" t="n">
        <x:v>2019</x:v>
      </x:c>
      <x:c r="E67" s="46" t="str">
        <x:v>Mugilidae</x:v>
      </x:c>
      <x:c r="F67" s="46" t="str">
        <x:v>Mullets, grey mullets</x:v>
      </x:c>
      <x:c r="G67" s="46" t="str">
        <x:v>Medium reef assoc. fish (30 - 89 cm)</x:v>
      </x:c>
      <x:c r="H67" s="46" t="str">
        <x:v>Perch-likes</x:v>
      </x:c>
      <x:c r="I67" s="60" t="n">
        <x:v>2166.2295143234</x:v>
      </x:c>
      <x:c r="J67" s="60" t="n">
        <x:v>2166.2295143234</x:v>
      </x:c>
      <x:c r="K67" s="60" t="n">
        <x:v>0</x:v>
      </x:c>
      <x:c r="L67" s="60" t="n">
        <x:v>0</x:v>
      </x:c>
      <x:c r="M67" s="60" t="n">
        <x:v>2166.2295143234</x:v>
      </x:c>
      <x:c r="N67" s="46" t="str">
        <x:v>mugilidae</x:v>
      </x:c>
      <x:c r="O67" s="62" t="n">
        <x:v>2.53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Mugilidae</x:v>
      </x:c>
      <x:c r="T67" s="62" t="n">
        <x:f>IF(O67="","",(1/'Metadata'!$B$5)^(O67-1))</x:f>
        <x:v>33.88441561392024</x:v>
      </x:c>
      <x:c r="U67" s="60" t="n">
        <x:f>IF(T67="","",I67*T67)</x:f>
        <x:v>73401.42117847467</x:v>
      </x:c>
    </x:row>
    <x:row r="68" ht="18" customHeight="1">
      <x:c r="A68" s="46" t="str">
        <x:v>LME_048</x:v>
      </x:c>
      <x:c r="B68" s="46" t="str">
        <x:v>Yellow Sea</x:v>
      </x:c>
      <x:c r="C68" s="46" t="str">
        <x:v>LME</x:v>
      </x:c>
      <x:c r="D68" s="58" t="n">
        <x:v>2019</x:v>
      </x:c>
      <x:c r="E68" s="46" t="str">
        <x:v>Pleuronectiformes</x:v>
      </x:c>
      <x:c r="F68" s="46" t="str">
        <x:v>Flatfishes</x:v>
      </x:c>
      <x:c r="G68" s="46" t="str">
        <x:v>Small to medium flatfishes (&lt;90 cm)</x:v>
      </x:c>
      <x:c r="H68" s="46" t="str">
        <x:v>Flatfishes</x:v>
      </x:c>
      <x:c r="I68" s="60" t="n">
        <x:v>2062.7283649544997</x:v>
      </x:c>
      <x:c r="J68" s="60" t="n">
        <x:v>2058.9581124689003</x:v>
      </x:c>
      <x:c r="K68" s="60" t="n">
        <x:v>3.7702524856</x:v>
      </x:c>
      <x:c r="L68" s="60" t="n">
        <x:v>2054.5673871279</x:v>
      </x:c>
      <x:c r="M68" s="60" t="n">
        <x:v>8.1609778266</x:v>
      </x:c>
      <x:c r="N68" s="46" t="str">
        <x:v>pleuronectiformes</x:v>
      </x:c>
      <x:c r="O68" s="62" t="n">
        <x:v>3.57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Pleuronectiformes</x:v>
      </x:c>
      <x:c r="T68" s="62" t="n">
        <x:f>IF(O68="","",(1/'Metadata'!$B$5)^(O68-1))</x:f>
        <x:v>371.5352290971724</x:v>
      </x:c>
      <x:c r="U68" s="60" t="n">
        <x:f>IF(T68="","",I68*T68)</x:f>
        <x:v>766376.2556386059</x:v>
      </x:c>
    </x:row>
    <x:row r="69" ht="18" customHeight="1">
      <x:c r="A69" s="46" t="str">
        <x:v>LME_048</x:v>
      </x:c>
      <x:c r="B69" s="46" t="str">
        <x:v>Yellow Sea</x:v>
      </x:c>
      <x:c r="C69" s="46" t="str">
        <x:v>LME</x:v>
      </x:c>
      <x:c r="D69" s="58" t="n">
        <x:v>2019</x:v>
      </x:c>
      <x:c r="E69" s="46" t="str">
        <x:v>Nemipteridae</x:v>
      </x:c>
      <x:c r="F69" s="46" t="str">
        <x:v>Threadfins, whiptail breams</x:v>
      </x:c>
      <x:c r="G69" s="46" t="str">
        <x:v>Small demersals (&lt;30 cm)</x:v>
      </x:c>
      <x:c r="H69" s="46" t="str">
        <x:v>Perch-likes</x:v>
      </x:c>
      <x:c r="I69" s="60" t="n">
        <x:v>2006.3218675435</x:v>
      </x:c>
      <x:c r="J69" s="60" t="n">
        <x:v>2006.3218675435</x:v>
      </x:c>
      <x:c r="K69" s="60" t="n">
        <x:v>0</x:v>
      </x:c>
      <x:c r="L69" s="60" t="n">
        <x:v>517.5066139575</x:v>
      </x:c>
      <x:c r="M69" s="60" t="n">
        <x:v>1488.815253586</x:v>
      </x:c>
      <x:c r="N69" s="46" t="str">
        <x:v>nemipteridae</x:v>
      </x:c>
      <x:c r="O69" s="62" t="n">
        <x:v>3.51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Nemipteridae</x:v>
      </x:c>
      <x:c r="T69" s="62" t="n">
        <x:f>IF(O69="","",(1/'Metadata'!$B$5)^(O69-1))</x:f>
        <x:v>323.5936569296281</x:v>
      </x:c>
      <x:c r="U69" s="60" t="n">
        <x:f>IF(T69="","",I69*T69)</x:f>
        <x:v>649233.030096282</x:v>
      </x:c>
    </x:row>
    <x:row r="70" ht="18" customHeight="1">
      <x:c r="A70" s="46" t="str">
        <x:v>LME_048</x:v>
      </x:c>
      <x:c r="B70" s="46" t="str">
        <x:v>Yellow Sea</x:v>
      </x:c>
      <x:c r="C70" s="46" t="str">
        <x:v>LME</x:v>
      </x:c>
      <x:c r="D70" s="58" t="n">
        <x:v>2019</x:v>
      </x:c>
      <x:c r="E70" s="46" t="str">
        <x:v>Scomber</x:v>
      </x:c>
      <x:c r="F70" s="46" t="str">
        <x:v>Chub mackerels</x:v>
      </x:c>
      <x:c r="G70" s="46" t="str">
        <x:v>Medium pelagics (30 - 89 cm)</x:v>
      </x:c>
      <x:c r="H70" s="46" t="str">
        <x:v>Perch-likes</x:v>
      </x:c>
      <x:c r="I70" s="60" t="n">
        <x:v>1967.7803813351</x:v>
      </x:c>
      <x:c r="J70" s="60" t="n">
        <x:v>1967.7803813351</x:v>
      </x:c>
      <x:c r="K70" s="60" t="n">
        <x:v>0</x:v>
      </x:c>
      <x:c r="L70" s="60" t="n">
        <x:v>1190.1163719817998</x:v>
      </x:c>
      <x:c r="M70" s="60" t="n">
        <x:v>777.6640093533</x:v>
      </x:c>
      <x:c r="N70" s="46" t="str">
        <x:v>scomber</x:v>
      </x:c>
      <x:c r="O70" s="62" t="n">
        <x:v>3.65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Scomber</x:v>
      </x:c>
      <x:c r="T70" s="62" t="n">
        <x:f>IF(O70="","",(1/'Metadata'!$B$5)^(O70-1))</x:f>
        <x:v>446.683592150963</x:v>
      </x:c>
      <x:c r="U70" s="60" t="n">
        <x:f>IF(T70="","",I70*T70)</x:f>
        <x:v>878975.2092989542</x:v>
      </x:c>
    </x:row>
    <x:row r="71" ht="18" customHeight="1">
      <x:c r="A71" s="46" t="str">
        <x:v>LME_048</x:v>
      </x:c>
      <x:c r="B71" s="46" t="str">
        <x:v>Yellow Sea</x:v>
      </x:c>
      <x:c r="C71" s="46" t="str">
        <x:v>LME</x:v>
      </x:c>
      <x:c r="D71" s="58" t="n">
        <x:v>2019</x:v>
      </x:c>
      <x:c r="E71" s="46" t="str">
        <x:v>Scyphozoa</x:v>
      </x:c>
      <x:c r="F71" s="46" t="str">
        <x:v>True jellyfishes</x:v>
      </x:c>
      <x:c r="G71" s="46" t="str">
        <x:v>Jellyfish</x:v>
      </x:c>
      <x:c r="H71" s="46" t="str">
        <x:v>Other fishes &amp; inverts</x:v>
      </x:c>
      <x:c r="I71" s="60" t="n">
        <x:v>1917.8425467214001</x:v>
      </x:c>
      <x:c r="J71" s="60" t="n">
        <x:v>1917.6919866412002</x:v>
      </x:c>
      <x:c r="K71" s="60" t="n">
        <x:v>0.1505600802</x:v>
      </x:c>
      <x:c r="L71" s="60" t="n">
        <x:v>1917.6919866412002</x:v>
      </x:c>
      <x:c r="M71" s="60" t="n">
        <x:v>0.1505600802</x:v>
      </x:c>
      <x:c r="N71" s="46" t="str">
        <x:v>scyphozoa</x:v>
      </x:c>
      <x:c r="O71" s="62" t="n">
        <x:v>3.46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Scyphozoa</x:v>
      </x:c>
      <x:c r="T71" s="62" t="n">
        <x:f>IF(O71="","",(1/'Metadata'!$B$5)^(O71-1))</x:f>
        <x:v>288.40315031266056</x:v>
      </x:c>
      <x:c r="U71" s="60" t="n">
        <x:f>IF(T71="","",I71*T71)</x:f>
        <x:v>553111.8322781076</x:v>
      </x:c>
    </x:row>
    <x:row r="72" ht="18" customHeight="1">
      <x:c r="A72" s="46" t="str">
        <x:v>LME_048</x:v>
      </x:c>
      <x:c r="B72" s="46" t="str">
        <x:v>Yellow Sea</x:v>
      </x:c>
      <x:c r="C72" s="46" t="str">
        <x:v>LME</x:v>
      </x:c>
      <x:c r="D72" s="58" t="n">
        <x:v>2019</x:v>
      </x:c>
      <x:c r="E72" s="46" t="str">
        <x:v>Scorpaenidae</x:v>
      </x:c>
      <x:c r="F72" s="46" t="str">
        <x:v>Scorpionfishes, rockfishes</x:v>
      </x:c>
      <x:c r="G72" s="46" t="str">
        <x:v>Large reef assoc. fish (&gt;=90 cm)</x:v>
      </x:c>
      <x:c r="H72" s="46" t="str">
        <x:v>Scorpionfishes</x:v>
      </x:c>
      <x:c r="I72" s="60" t="n">
        <x:v>1855.6528632562001</x:v>
      </x:c>
      <x:c r="J72" s="60" t="n">
        <x:v>1855.6528632562001</x:v>
      </x:c>
      <x:c r="K72" s="60" t="n">
        <x:v>0</x:v>
      </x:c>
      <x:c r="L72" s="60" t="n">
        <x:v>1855.6528632562001</x:v>
      </x:c>
      <x:c r="M72" s="60" t="n">
        <x:v>0</x:v>
      </x:c>
      <x:c r="N72" s="46" t="str">
        <x:v>scorpaenidae</x:v>
      </x:c>
      <x:c r="O72" s="62" t="n">
        <x:v>3.92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Scorpaenidae</x:v>
      </x:c>
      <x:c r="T72" s="62" t="n">
        <x:f>IF(O72="","",(1/'Metadata'!$B$5)^(O72-1))</x:f>
        <x:v>831.7637711026708</x:v>
      </x:c>
      <x:c r="U72" s="60" t="n">
        <x:f>IF(T72="","",I72*T72)</x:f>
        <x:v>1543464.8233994457</x:v>
      </x:c>
    </x:row>
    <x:row r="73" ht="18" customHeight="1">
      <x:c r="A73" s="46" t="str">
        <x:v>LME_048</x:v>
      </x:c>
      <x:c r="B73" s="46" t="str">
        <x:v>Yellow Sea</x:v>
      </x:c>
      <x:c r="C73" s="46" t="str">
        <x:v>LME</x:v>
      </x:c>
      <x:c r="D73" s="58" t="n">
        <x:v>2019</x:v>
      </x:c>
      <x:c r="E73" s="46" t="str">
        <x:v>Echinoidea</x:v>
      </x:c>
      <x:c r="F73" s="46" t="str">
        <x:v>Sea urchins, sea hedgehogs</x:v>
      </x:c>
      <x:c r="G73" s="46" t="str">
        <x:v>Other demersal invertebrates</x:v>
      </x:c>
      <x:c r="H73" s="46" t="str">
        <x:v>Other fishes &amp; inverts</x:v>
      </x:c>
      <x:c r="I73" s="60" t="n">
        <x:v>1840.8549543965</x:v>
      </x:c>
      <x:c r="J73" s="60" t="n">
        <x:v>1582.5635485496</x:v>
      </x:c>
      <x:c r="K73" s="60" t="n">
        <x:v>258.29140584690003</x:v>
      </x:c>
      <x:c r="L73" s="60" t="n">
        <x:v>1582.423180754</x:v>
      </x:c>
      <x:c r="M73" s="60" t="n">
        <x:v>258.4317736425</x:v>
      </x:c>
      <x:c r="N73" s="46" t="str">
        <x:v>echinoidea</x:v>
      </x:c>
      <x:c r="O73" s="62" t="n">
        <x:v>2.51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Echinoidea</x:v>
      </x:c>
      <x:c r="T73" s="62" t="n">
        <x:f>IF(O73="","",(1/'Metadata'!$B$5)^(O73-1))</x:f>
        <x:v>32.35936569296281</x:v>
      </x:c>
      <x:c r="U73" s="60" t="n">
        <x:f>IF(T73="","",I73*T73)</x:f>
        <x:v>59568.898657018726</x:v>
      </x:c>
    </x:row>
    <x:row r="74" ht="18" customHeight="1">
      <x:c r="A74" s="46" t="str">
        <x:v>LME_048</x:v>
      </x:c>
      <x:c r="B74" s="46" t="str">
        <x:v>Yellow Sea</x:v>
      </x:c>
      <x:c r="C74" s="46" t="str">
        <x:v>LME</x:v>
      </x:c>
      <x:c r="D74" s="58" t="n">
        <x:v>2019</x:v>
      </x:c>
      <x:c r="E74" s="46" t="str">
        <x:v>Bivalvia</x:v>
      </x:c>
      <x:c r="F74" s="46" t="str">
        <x:v>Clams</x:v>
      </x:c>
      <x:c r="G74" s="46" t="str">
        <x:v>Other demersal invertebrates</x:v>
      </x:c>
      <x:c r="H74" s="46" t="str">
        <x:v>Molluscs</x:v>
      </x:c>
      <x:c r="I74" s="60" t="n">
        <x:v>1766.5003874319</x:v>
      </x:c>
      <x:c r="J74" s="60" t="n">
        <x:v>1763.1114727038</x:v>
      </x:c>
      <x:c r="K74" s="60" t="n">
        <x:v>3.3889147281</x:v>
      </x:c>
      <x:c r="L74" s="60" t="n">
        <x:v>1763.1114727038</x:v>
      </x:c>
      <x:c r="M74" s="60" t="n">
        <x:v>3.3889147281</x:v>
      </x:c>
      <x:c r="N74" s="46" t="str">
        <x:v>bivalvia</x:v>
      </x:c>
      <x:c r="O74" s="62" t="n">
        <x:v>2.23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Bivalvia</x:v>
      </x:c>
      <x:c r="T74" s="62" t="n">
        <x:f>IF(O74="","",(1/'Metadata'!$B$5)^(O74-1))</x:f>
        <x:v>16.982436524617444</x:v>
      </x:c>
      <x:c r="U74" s="60" t="n">
        <x:f>IF(T74="","",I74*T74)</x:f>
        <x:v>29999.480700274366</x:v>
      </x:c>
    </x:row>
    <x:row r="75" ht="18" customHeight="1">
      <x:c r="A75" s="46" t="str">
        <x:v>LME_048</x:v>
      </x:c>
      <x:c r="B75" s="46" t="str">
        <x:v>Yellow Sea</x:v>
      </x:c>
      <x:c r="C75" s="46" t="str">
        <x:v>LME</x:v>
      </x:c>
      <x:c r="D75" s="58" t="n">
        <x:v>2019</x:v>
      </x:c>
      <x:c r="E75" s="46" t="str">
        <x:v>Carangidae</x:v>
      </x:c>
      <x:c r="F75" s="46" t="str">
        <x:v>Jacks, pompanos</x:v>
      </x:c>
      <x:c r="G75" s="46" t="str">
        <x:v>Medium pelagics (30 - 89 cm)</x:v>
      </x:c>
      <x:c r="H75" s="46" t="str">
        <x:v>Perch-likes</x:v>
      </x:c>
      <x:c r="I75" s="60" t="n">
        <x:v>1666.7350044284</x:v>
      </x:c>
      <x:c r="J75" s="60" t="n">
        <x:v>1666.2721204303</x:v>
      </x:c>
      <x:c r="K75" s="60" t="n">
        <x:v>0.46288399809999997</x:v>
      </x:c>
      <x:c r="L75" s="60" t="n">
        <x:v>509.2072067763</x:v>
      </x:c>
      <x:c r="M75" s="60" t="n">
        <x:v>1157.5277976521002</x:v>
      </x:c>
      <x:c r="N75" s="46" t="str">
        <x:v>carangidae</x:v>
      </x:c>
      <x:c r="O75" s="62" t="n">
        <x:v>4.05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Carangidae</x:v>
      </x:c>
      <x:c r="T75" s="62" t="n">
        <x:f>IF(O75="","",(1/'Metadata'!$B$5)^(O75-1))</x:f>
        <x:v>1122.018454301963</x:v>
      </x:c>
      <x:c r="U75" s="60" t="n">
        <x:f>IF(T75="","",I75*T75)</x:f>
        <x:v>1870107.4333997287</x:v>
      </x:c>
    </x:row>
    <x:row r="76" ht="18" customHeight="1">
      <x:c r="A76" s="46" t="str">
        <x:v>LME_048</x:v>
      </x:c>
      <x:c r="B76" s="46" t="str">
        <x:v>Yellow Sea</x:v>
      </x:c>
      <x:c r="C76" s="46" t="str">
        <x:v>LME</x:v>
      </x:c>
      <x:c r="D76" s="58" t="n">
        <x:v>2019</x:v>
      </x:c>
      <x:c r="E76" s="46" t="str">
        <x:v>Stromateidae</x:v>
      </x:c>
      <x:c r="F76" s="46" t="str">
        <x:v>Butterfishes</x:v>
      </x:c>
      <x:c r="G76" s="46" t="str">
        <x:v>Small benthopelagics (&lt;30 cm)</x:v>
      </x:c>
      <x:c r="H76" s="46" t="str">
        <x:v>Perch-likes</x:v>
      </x:c>
      <x:c r="I76" s="60" t="n">
        <x:v>1639.3507293853</x:v>
      </x:c>
      <x:c r="J76" s="60" t="n">
        <x:v>1639.3507293853</x:v>
      </x:c>
      <x:c r="K76" s="60" t="n">
        <x:v>0</x:v>
      </x:c>
      <x:c r="L76" s="60" t="n">
        <x:v>1577.6108478055</x:v>
      </x:c>
      <x:c r="M76" s="60" t="n">
        <x:v>61.7398815798</x:v>
      </x:c>
      <x:c r="N76" s="46" t="str">
        <x:v>stromateidae</x:v>
      </x:c>
      <x:c r="O76" s="62" t="n">
        <x:v>3.62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Stromateidae</x:v>
      </x:c>
      <x:c r="T76" s="62" t="n">
        <x:f>IF(O76="","",(1/'Metadata'!$B$5)^(O76-1))</x:f>
        <x:v>416.8693834703355</x:v>
      </x:c>
      <x:c r="U76" s="60" t="n">
        <x:f>IF(T76="","",I76*T76)</x:f>
        <x:v>683395.1278504948</x:v>
      </x:c>
    </x:row>
    <x:row r="77" ht="18" customHeight="1">
      <x:c r="A77" s="46" t="str">
        <x:v>LME_048</x:v>
      </x:c>
      <x:c r="B77" s="46" t="str">
        <x:v>Yellow Sea</x:v>
      </x:c>
      <x:c r="C77" s="46" t="str">
        <x:v>LME</x:v>
      </x:c>
      <x:c r="D77" s="58" t="n">
        <x:v>2019</x:v>
      </x:c>
      <x:c r="E77" s="46" t="str">
        <x:v>Coryphaena hippurus</x:v>
      </x:c>
      <x:c r="F77" s="46" t="str">
        <x:v>Common dolphinfish</x:v>
      </x:c>
      <x:c r="G77" s="46" t="str">
        <x:v>Large pelagics (&gt;=90 cm)</x:v>
      </x:c>
      <x:c r="H77" s="46" t="str">
        <x:v>Perch-likes</x:v>
      </x:c>
      <x:c r="I77" s="60" t="n">
        <x:v>1614.7967471477</x:v>
      </x:c>
      <x:c r="J77" s="60" t="n">
        <x:v>1612.3814548999999</x:v>
      </x:c>
      <x:c r="K77" s="60" t="n">
        <x:v>2.4152922477</x:v>
      </x:c>
      <x:c r="L77" s="60" t="n">
        <x:v>1551.0332079277998</x:v>
      </x:c>
      <x:c r="M77" s="60" t="n">
        <x:v>63.763539219900004</x:v>
      </x:c>
      <x:c r="N77" s="46" t="str">
        <x:v>coryphaena hippurus</x:v>
      </x:c>
      <x:c r="O77" s="62" t="n">
        <x:v>4.37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Coryphaena hippurus</x:v>
      </x:c>
      <x:c r="T77" s="62" t="n">
        <x:f>IF(O77="","",(1/'Metadata'!$B$5)^(O77-1))</x:f>
        <x:v>2344.228815319923</x:v>
      </x:c>
      <x:c r="U77" s="60" t="n">
        <x:f>IF(T77="","",I77*T77)</x:f>
        <x:v>3785453.0655485177</x:v>
      </x:c>
    </x:row>
    <x:row r="78" ht="18" customHeight="1">
      <x:c r="A78" s="46" t="str">
        <x:v>LME_048</x:v>
      </x:c>
      <x:c r="B78" s="46" t="str">
        <x:v>Yellow Sea</x:v>
      </x:c>
      <x:c r="C78" s="46" t="str">
        <x:v>LME</x:v>
      </x:c>
      <x:c r="D78" s="58" t="n">
        <x:v>2019</x:v>
      </x:c>
      <x:c r="E78" s="46" t="str">
        <x:v>Lateolabrax japonicus</x:v>
      </x:c>
      <x:c r="F78" s="46" t="str">
        <x:v>Japanese seabass</x:v>
      </x:c>
      <x:c r="G78" s="46" t="str">
        <x:v>Medium reef assoc. fish (30 - 89 cm)</x:v>
      </x:c>
      <x:c r="H78" s="46" t="str">
        <x:v>Perch-likes</x:v>
      </x:c>
      <x:c r="I78" s="60" t="n">
        <x:v>1536.1899673947</x:v>
      </x:c>
      <x:c r="J78" s="60" t="n">
        <x:v>1536.1899673947</x:v>
      </x:c>
      <x:c r="K78" s="60" t="n">
        <x:v>0</x:v>
      </x:c>
      <x:c r="L78" s="60" t="n">
        <x:v>750.1602049807</x:v>
      </x:c>
      <x:c r="M78" s="60" t="n">
        <x:v>786.029762414</x:v>
      </x:c>
      <x:c r="N78" s="46" t="str">
        <x:v>lateolabrax japonicus</x:v>
      </x:c>
      <x:c r="O78" s="62" t="n">
        <x:v>3.36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Lateolabrax japonicus</x:v>
      </x:c>
      <x:c r="T78" s="62" t="n">
        <x:f>IF(O78="","",(1/'Metadata'!$B$5)^(O78-1))</x:f>
        <x:v>229.08676527677724</x:v>
      </x:c>
      <x:c r="U78" s="60" t="n">
        <x:f>IF(T78="","",I78*T78)</x:f>
        <x:v>351920.79048108973</x:v>
      </x:c>
    </x:row>
    <x:row r="79" ht="18" customHeight="1">
      <x:c r="A79" s="46" t="str">
        <x:v>LME_048</x:v>
      </x:c>
      <x:c r="B79" s="46" t="str">
        <x:v>Yellow Sea</x:v>
      </x:c>
      <x:c r="C79" s="46" t="str">
        <x:v>LME</x:v>
      </x:c>
      <x:c r="D79" s="58" t="n">
        <x:v>2019</x:v>
      </x:c>
      <x:c r="E79" s="46" t="str">
        <x:v>Mytilus coruscus</x:v>
      </x:c>
      <x:c r="F79" s="46" t="str">
        <x:v>Korean mussel</x:v>
      </x:c>
      <x:c r="G79" s="46" t="str">
        <x:v>Other demersal invertebrates</x:v>
      </x:c>
      <x:c r="H79" s="46" t="str">
        <x:v>Molluscs</x:v>
      </x:c>
      <x:c r="I79" s="60" t="n">
        <x:v>1401.3987233139</x:v>
      </x:c>
      <x:c r="J79" s="60" t="n">
        <x:v>1396.4752824723</x:v>
      </x:c>
      <x:c r="K79" s="60" t="n">
        <x:v>4.923440841600001</x:v>
      </x:c>
      <x:c r="L79" s="60" t="n">
        <x:v>1396.4752824723</x:v>
      </x:c>
      <x:c r="M79" s="60" t="n">
        <x:v>4.923440841600001</x:v>
      </x:c>
      <x:c r="N79" s="46" t="str">
        <x:v>mytilus coruscus</x:v>
      </x:c>
      <x:c r="O79" s="62" t="n">
        <x:v>2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Mytilus coruscus</x:v>
      </x:c>
      <x:c r="T79" s="62" t="n">
        <x:f>IF(O79="","",(1/'Metadata'!$B$5)^(O79-1))</x:f>
        <x:v>10</x:v>
      </x:c>
      <x:c r="U79" s="60" t="n">
        <x:f>IF(T79="","",I79*T79)</x:f>
        <x:v>14013.987233139</x:v>
      </x:c>
    </x:row>
    <x:row r="80" ht="18" customHeight="1">
      <x:c r="A80" s="46" t="str">
        <x:v>LME_048</x:v>
      </x:c>
      <x:c r="B80" s="46" t="str">
        <x:v>Yellow Sea</x:v>
      </x:c>
      <x:c r="C80" s="46" t="str">
        <x:v>LME</x:v>
      </x:c>
      <x:c r="D80" s="58" t="n">
        <x:v>2019</x:v>
      </x:c>
      <x:c r="E80" s="46" t="str">
        <x:v>Priacanthus</x:v>
      </x:c>
      <x:c r="F80" s="46" t="str">
        <x:v>Bigeyes</x:v>
      </x:c>
      <x:c r="G80" s="46" t="str">
        <x:v>Medium reef assoc. fish (30 - 89 cm)</x:v>
      </x:c>
      <x:c r="H80" s="46" t="str">
        <x:v>Perch-likes</x:v>
      </x:c>
      <x:c r="I80" s="60" t="n">
        <x:v>1364.0943960500001</x:v>
      </x:c>
      <x:c r="J80" s="60" t="n">
        <x:v>1364.0943960500001</x:v>
      </x:c>
      <x:c r="K80" s="60" t="n">
        <x:v>0</x:v>
      </x:c>
      <x:c r="L80" s="60" t="n">
        <x:v>351.6998480838</x:v>
      </x:c>
      <x:c r="M80" s="60" t="n">
        <x:v>1012.3945479662</x:v>
      </x:c>
      <x:c r="N80" s="46" t="str">
        <x:v>priacanthus</x:v>
      </x:c>
      <x:c r="O80" s="62" t="n">
        <x:v>3.81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Priacanthus</x:v>
      </x:c>
      <x:c r="T80" s="62" t="n">
        <x:f>IF(O80="","",(1/'Metadata'!$B$5)^(O80-1))</x:f>
        <x:v>645.6542290346556</x:v>
      </x:c>
      <x:c r="U80" s="60" t="n">
        <x:f>IF(T80="","",I80*T80)</x:f>
        <x:v>880733.315612157</x:v>
      </x:c>
    </x:row>
    <x:row r="81" ht="18" customHeight="1">
      <x:c r="A81" s="46" t="str">
        <x:v>LME_048</x:v>
      </x:c>
      <x:c r="B81" s="46" t="str">
        <x:v>Yellow Sea</x:v>
      </x:c>
      <x:c r="C81" s="46" t="str">
        <x:v>LME</x:v>
      </x:c>
      <x:c r="D81" s="58" t="n">
        <x:v>2019</x:v>
      </x:c>
      <x:c r="E81" s="46" t="str">
        <x:v>Penaeus chinensis</x:v>
      </x:c>
      <x:c r="F81" s="46" t="str">
        <x:v>Fleshy prawn</x:v>
      </x:c>
      <x:c r="G81" s="46" t="str">
        <x:v>Shrimps</x:v>
      </x:c>
      <x:c r="H81" s="46" t="str">
        <x:v>Crustaceans</x:v>
      </x:c>
      <x:c r="I81" s="60" t="n">
        <x:v>1325.3314093966</x:v>
      </x:c>
      <x:c r="J81" s="60" t="n">
        <x:v>1321.0614391572</x:v>
      </x:c>
      <x:c r="K81" s="60" t="n">
        <x:v>4.2699702394</x:v>
      </x:c>
      <x:c r="L81" s="60" t="n">
        <x:v>1318.3611058691</x:v>
      </x:c>
      <x:c r="M81" s="60" t="n">
        <x:v>6.9703035275000005</x:v>
      </x:c>
      <x:c r="N81" s="46" t="str">
        <x:v>penaeus chinensis</x:v>
      </x:c>
      <x:c r="O81" s="62" t="n">
        <x:v>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Penaeus chinensis</x:v>
      </x:c>
      <x:c r="T81" s="62" t="n">
        <x:f>IF(O81="","",(1/'Metadata'!$B$5)^(O81-1))</x:f>
        <x:v>10</x:v>
      </x:c>
      <x:c r="U81" s="60" t="n">
        <x:f>IF(T81="","",I81*T81)</x:f>
        <x:v>13253.314093966</x:v>
      </x:c>
    </x:row>
    <x:row r="82" ht="18" customHeight="1">
      <x:c r="A82" s="46" t="str">
        <x:v>LME_048</x:v>
      </x:c>
      <x:c r="B82" s="46" t="str">
        <x:v>Yellow Sea</x:v>
      </x:c>
      <x:c r="C82" s="46" t="str">
        <x:v>LME</x:v>
      </x:c>
      <x:c r="D82" s="58" t="n">
        <x:v>2019</x:v>
      </x:c>
      <x:c r="E82" s="46" t="str">
        <x:v>Metapenaeus joyneri</x:v>
      </x:c>
      <x:c r="F82" s="46" t="str">
        <x:v>Shiba shrimp</x:v>
      </x:c>
      <x:c r="G82" s="46" t="str">
        <x:v>Shrimps</x:v>
      </x:c>
      <x:c r="H82" s="46" t="str">
        <x:v>Crustaceans</x:v>
      </x:c>
      <x:c r="I82" s="60" t="n">
        <x:v>1272.6805212534998</x:v>
      </x:c>
      <x:c r="J82" s="60" t="n">
        <x:v>1272.1164847064</x:v>
      </x:c>
      <x:c r="K82" s="60" t="n">
        <x:v>0.5640365471</x:v>
      </x:c>
      <x:c r="L82" s="60" t="n">
        <x:v>1270.7936160104</x:v>
      </x:c>
      <x:c r="M82" s="60" t="n">
        <x:v>1.8869052431</x:v>
      </x:c>
      <x:c r="N82" s="46" t="str">
        <x:v>metapenaeus joyneri</x:v>
      </x:c>
      <x:c r="O82" s="62" t="n">
        <x:v>3.2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Metapenaeus joyneri</x:v>
      </x:c>
      <x:c r="T82" s="62" t="n">
        <x:f>IF(O82="","",(1/'Metadata'!$B$5)^(O82-1))</x:f>
        <x:v>158.48931924611142</x:v>
      </x:c>
      <x:c r="U82" s="60" t="n">
        <x:f>IF(T82="","",I82*T82)</x:f>
        <x:v>201706.26943125343</x:v>
      </x:c>
    </x:row>
    <x:row r="83" ht="18" customHeight="1">
      <x:c r="A83" s="46" t="str">
        <x:v>LME_048</x:v>
      </x:c>
      <x:c r="B83" s="46" t="str">
        <x:v>Yellow Sea</x:v>
      </x:c>
      <x:c r="C83" s="46" t="str">
        <x:v>LME</x:v>
      </x:c>
      <x:c r="D83" s="58" t="n">
        <x:v>2019</x:v>
      </x:c>
      <x:c r="E83" s="46" t="str">
        <x:v>Lateolabracidae</x:v>
      </x:c>
      <x:c r="F83" s="46" t="str">
        <x:v>Asian seaperches</x:v>
      </x:c>
      <x:c r="G83" s="46" t="str">
        <x:v>Large demersals (&gt;=90 cm)</x:v>
      </x:c>
      <x:c r="H83" s="46" t="str">
        <x:v>Perch-likes</x:v>
      </x:c>
      <x:c r="I83" s="60" t="n">
        <x:v>1092.6590277398</x:v>
      </x:c>
      <x:c r="J83" s="60" t="n">
        <x:v>1092.6590277398</x:v>
      </x:c>
      <x:c r="K83" s="60" t="n">
        <x:v>0</x:v>
      </x:c>
      <x:c r="L83" s="60" t="n">
        <x:v>0</x:v>
      </x:c>
      <x:c r="M83" s="60" t="n">
        <x:v>1092.6590277398</x:v>
      </x:c>
      <x:c r="N83" s="46" t="str">
        <x:v>lateolabracidae</x:v>
      </x:c>
      <x:c r="O83" s="62" t="n">
        <x:v>3.78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Lateolabracidae</x:v>
      </x:c>
      <x:c r="T83" s="62" t="n">
        <x:f>IF(O83="","",(1/'Metadata'!$B$5)^(O83-1))</x:f>
        <x:v>602.5595860743575</x:v>
      </x:c>
      <x:c r="U83" s="60" t="n">
        <x:f>IF(T83="","",I83*T83)</x:f>
        <x:v>658392.1714753038</x:v>
      </x:c>
    </x:row>
    <x:row r="84" ht="18" customHeight="1">
      <x:c r="A84" s="46" t="str">
        <x:v>LME_048</x:v>
      </x:c>
      <x:c r="B84" s="46" t="str">
        <x:v>Yellow Sea</x:v>
      </x:c>
      <x:c r="C84" s="46" t="str">
        <x:v>LME</x:v>
      </x:c>
      <x:c r="D84" s="58" t="n">
        <x:v>2019</x:v>
      </x:c>
      <x:c r="E84" s="46" t="str">
        <x:v>Hemiramphidae</x:v>
      </x:c>
      <x:c r="F84" s="46" t="str">
        <x:v>Halfbeaks, garfishes</x:v>
      </x:c>
      <x:c r="G84" s="46" t="str">
        <x:v>Medium pelagics (30 - 89 cm)</x:v>
      </x:c>
      <x:c r="H84" s="46" t="str">
        <x:v>Other fishes &amp; inverts</x:v>
      </x:c>
      <x:c r="I84" s="60" t="n">
        <x:v>1088.2236195438</x:v>
      </x:c>
      <x:c r="J84" s="60" t="n">
        <x:v>1088.2236195438</x:v>
      </x:c>
      <x:c r="K84" s="60" t="n">
        <x:v>0</x:v>
      </x:c>
      <x:c r="L84" s="60" t="n">
        <x:v>0</x:v>
      </x:c>
      <x:c r="M84" s="60" t="n">
        <x:v>1088.2236195438</x:v>
      </x:c>
      <x:c r="N84" s="46" t="str">
        <x:v>hemiramphidae</x:v>
      </x:c>
      <x:c r="O84" s="62" t="n">
        <x:v>2.82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Hemiramphidae</x:v>
      </x:c>
      <x:c r="T84" s="62" t="n">
        <x:f>IF(O84="","",(1/'Metadata'!$B$5)^(O84-1))</x:f>
        <x:v>66.06934480075958</x:v>
      </x:c>
      <x:c r="U84" s="60" t="n">
        <x:f>IF(T84="","",I84*T84)</x:f>
        <x:v>71898.22153996993</x:v>
      </x:c>
    </x:row>
    <x:row r="85" ht="18" customHeight="1">
      <x:c r="A85" s="46" t="str">
        <x:v>LME_048</x:v>
      </x:c>
      <x:c r="B85" s="46" t="str">
        <x:v>Yellow Sea</x:v>
      </x:c>
      <x:c r="C85" s="46" t="str">
        <x:v>LME</x:v>
      </x:c>
      <x:c r="D85" s="58" t="n">
        <x:v>2019</x:v>
      </x:c>
      <x:c r="E85" s="46" t="str">
        <x:v>Gobiidae</x:v>
      </x:c>
      <x:c r="F85" s="46" t="str">
        <x:v>Gobies</x:v>
      </x:c>
      <x:c r="G85" s="46" t="str">
        <x:v>Small reef assoc. fish (&lt;30 cm)</x:v>
      </x:c>
      <x:c r="H85" s="46" t="str">
        <x:v>Perch-likes</x:v>
      </x:c>
      <x:c r="I85" s="60" t="n">
        <x:v>1064.356947855</x:v>
      </x:c>
      <x:c r="J85" s="60" t="n">
        <x:v>563.7742587684</x:v>
      </x:c>
      <x:c r="K85" s="60" t="n">
        <x:v>500.5826890866</x:v>
      </x:c>
      <x:c r="L85" s="60" t="n">
        <x:v>563.412038481</x:v>
      </x:c>
      <x:c r="M85" s="60" t="n">
        <x:v>500.944909374</x:v>
      </x:c>
      <x:c r="N85" s="46" t="str">
        <x:v>gobiidae</x:v>
      </x:c>
      <x:c r="O85" s="62" t="n">
        <x:v>3.11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Gobiidae</x:v>
      </x:c>
      <x:c r="T85" s="62" t="n">
        <x:f>IF(O85="","",(1/'Metadata'!$B$5)^(O85-1))</x:f>
        <x:v>128.82495516931337</x:v>
      </x:c>
      <x:c r="U85" s="60" t="n">
        <x:f>IF(T85="","",I85*T85)</x:f>
        <x:v>137115.73609156758</x:v>
      </x:c>
    </x:row>
    <x:row r="86" ht="18" customHeight="1">
      <x:c r="A86" s="46" t="str">
        <x:v>LME_048</x:v>
      </x:c>
      <x:c r="B86" s="46" t="str">
        <x:v>Yellow Sea</x:v>
      </x:c>
      <x:c r="C86" s="46" t="str">
        <x:v>LME</x:v>
      </x:c>
      <x:c r="D86" s="58" t="n">
        <x:v>2019</x:v>
      </x:c>
      <x:c r="E86" s="46" t="str">
        <x:v>Charybdis</x:v>
      </x:c>
      <x:c r="F86" s="46" t="str">
        <x:v>Whirlpool swimming crabs</x:v>
      </x:c>
      <x:c r="G86" s="46" t="str">
        <x:v>Lobsters, crabs</x:v>
      </x:c>
      <x:c r="H86" s="46" t="str">
        <x:v>Crustaceans</x:v>
      </x:c>
      <x:c r="I86" s="60" t="n">
        <x:v>1058.448082823</x:v>
      </x:c>
      <x:c r="J86" s="60" t="n">
        <x:v>790.3485221282</x:v>
      </x:c>
      <x:c r="K86" s="60" t="n">
        <x:v>268.0995606948</x:v>
      </x:c>
      <x:c r="L86" s="60" t="n">
        <x:v>785.9931779338</x:v>
      </x:c>
      <x:c r="M86" s="60" t="n">
        <x:v>272.4549048892</x:v>
      </x:c>
      <x:c r="N86" s="46" t="str">
        <x:v>charybdis</x:v>
      </x:c>
      <x:c r="O86" s="62" t="n">
        <x:v>2.7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Charybdis</x:v>
      </x:c>
      <x:c r="T86" s="62" t="n">
        <x:f>IF(O86="","",(1/'Metadata'!$B$5)^(O86-1))</x:f>
        <x:v>50.11872336272725</x:v>
      </x:c>
      <x:c r="U86" s="60" t="n">
        <x:f>IF(T86="","",I86*T86)</x:f>
        <x:v>53048.06665681496</x:v>
      </x:c>
    </x:row>
    <x:row r="87" ht="18" customHeight="1">
      <x:c r="A87" s="46" t="str">
        <x:v>LME_048</x:v>
      </x:c>
      <x:c r="B87" s="46" t="str">
        <x:v>Yellow Sea</x:v>
      </x:c>
      <x:c r="C87" s="46" t="str">
        <x:v>LME</x:v>
      </x:c>
      <x:c r="D87" s="58" t="n">
        <x:v>2019</x:v>
      </x:c>
      <x:c r="E87" s="46" t="str">
        <x:v>Congridae</x:v>
      </x:c>
      <x:c r="F87" s="46" t="str">
        <x:v>Conger, garden eels</x:v>
      </x:c>
      <x:c r="G87" s="46" t="str">
        <x:v>Large demersals (&gt;=90 cm)</x:v>
      </x:c>
      <x:c r="H87" s="46" t="str">
        <x:v>Other fishes &amp; inverts</x:v>
      </x:c>
      <x:c r="I87" s="60" t="n">
        <x:v>1049.3348328493</x:v>
      </x:c>
      <x:c r="J87" s="60" t="n">
        <x:v>514.6921622313</x:v>
      </x:c>
      <x:c r="K87" s="60" t="n">
        <x:v>534.642670618</x:v>
      </x:c>
      <x:c r="L87" s="60" t="n">
        <x:v>0</x:v>
      </x:c>
      <x:c r="M87" s="60" t="n">
        <x:v>1049.3348328493</x:v>
      </x:c>
      <x:c r="N87" s="46" t="str">
        <x:v>congridae</x:v>
      </x:c>
      <x:c r="O87" s="62" t="n">
        <x:v>4.18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Congridae</x:v>
      </x:c>
      <x:c r="T87" s="62" t="n">
        <x:f>IF(O87="","",(1/'Metadata'!$B$5)^(O87-1))</x:f>
        <x:v>1513.5612484362073</x:v>
      </x:c>
      <x:c r="U87" s="60" t="n">
        <x:f>IF(T87="","",I87*T87)</x:f>
        <x:v>1588232.5396349854</x:v>
      </x:c>
    </x:row>
    <x:row r="88" ht="18" customHeight="1">
      <x:c r="A88" s="46" t="str">
        <x:v>LME_048</x:v>
      </x:c>
      <x:c r="B88" s="46" t="str">
        <x:v>Yellow Sea</x:v>
      </x:c>
      <x:c r="C88" s="46" t="str">
        <x:v>LME</x:v>
      </x:c>
      <x:c r="D88" s="58" t="n">
        <x:v>2019</x:v>
      </x:c>
      <x:c r="E88" s="46" t="str">
        <x:v>Chanos chanos</x:v>
      </x:c>
      <x:c r="F88" s="46" t="str">
        <x:v>Milkfish</x:v>
      </x:c>
      <x:c r="G88" s="46" t="str">
        <x:v>Large benthopelagics (&gt;=90 cm)</x:v>
      </x:c>
      <x:c r="H88" s="46" t="str">
        <x:v>Other fishes &amp; inverts</x:v>
      </x:c>
      <x:c r="I88" s="60" t="n">
        <x:v>1047.5473493545999</x:v>
      </x:c>
      <x:c r="J88" s="60" t="n">
        <x:v>1047.5336475715</x:v>
      </x:c>
      <x:c r="K88" s="60" t="n">
        <x:v>0.0137017831</x:v>
      </x:c>
      <x:c r="L88" s="60" t="n">
        <x:v>2.6415342581</x:v>
      </x:c>
      <x:c r="M88" s="60" t="n">
        <x:v>1044.9058150965</x:v>
      </x:c>
      <x:c r="N88" s="46" t="str">
        <x:v>chanos chanos</x:v>
      </x:c>
      <x:c r="O88" s="62" t="n">
        <x:v>2.03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Chanos chanos</x:v>
      </x:c>
      <x:c r="T88" s="62" t="n">
        <x:f>IF(O88="","",(1/'Metadata'!$B$5)^(O88-1))</x:f>
        <x:v>10.71519305237606</x:v>
      </x:c>
      <x:c r="U88" s="60" t="n">
        <x:f>IF(T88="","",I88*T88)</x:f>
        <x:v>11224.672079839365</x:v>
      </x:c>
    </x:row>
    <x:row r="89" ht="18" customHeight="1">
      <x:c r="A89" s="46" t="str">
        <x:v>LME_048</x:v>
      </x:c>
      <x:c r="B89" s="46" t="str">
        <x:v>Yellow Sea</x:v>
      </x:c>
      <x:c r="C89" s="46" t="str">
        <x:v>LME</x:v>
      </x:c>
      <x:c r="D89" s="58" t="n">
        <x:v>2019</x:v>
      </x:c>
      <x:c r="E89" s="46" t="str">
        <x:v>Pagrus major</x:v>
      </x:c>
      <x:c r="F89" s="46" t="str">
        <x:v>Japanese seabream</x:v>
      </x:c>
      <x:c r="G89" s="46" t="str">
        <x:v>Large demersals (&gt;=90 cm)</x:v>
      </x:c>
      <x:c r="H89" s="46" t="str">
        <x:v>Perch-likes</x:v>
      </x:c>
      <x:c r="I89" s="60" t="n">
        <x:v>1022.6431060315999</x:v>
      </x:c>
      <x:c r="J89" s="60" t="n">
        <x:v>1022.4100760425999</x:v>
      </x:c>
      <x:c r="K89" s="60" t="n">
        <x:v>0.23302998900000002</x:v>
      </x:c>
      <x:c r="L89" s="60" t="n">
        <x:v>0</x:v>
      </x:c>
      <x:c r="M89" s="60" t="n">
        <x:v>1022.6431060315999</x:v>
      </x:c>
      <x:c r="N89" s="46" t="str">
        <x:v>pagrus major</x:v>
      </x:c>
      <x:c r="O89" s="62" t="n">
        <x:v>3.7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Pagrus major</x:v>
      </x:c>
      <x:c r="T89" s="62" t="n">
        <x:f>IF(O89="","",(1/'Metadata'!$B$5)^(O89-1))</x:f>
        <x:v>501.18723362727246</x:v>
      </x:c>
      <x:c r="U89" s="60" t="n">
        <x:f>IF(T89="","",I89*T89)</x:f>
        <x:v>512535.66929997905</x:v>
      </x:c>
    </x:row>
    <x:row r="90" ht="18" customHeight="1">
      <x:c r="A90" s="46" t="str">
        <x:v>LME_048</x:v>
      </x:c>
      <x:c r="B90" s="46" t="str">
        <x:v>Yellow Sea</x:v>
      </x:c>
      <x:c r="C90" s="46" t="str">
        <x:v>LME</x:v>
      </x:c>
      <x:c r="D90" s="58" t="n">
        <x:v>2019</x:v>
      </x:c>
      <x:c r="E90" s="46" t="str">
        <x:v>Muraenesocidae</x:v>
      </x:c>
      <x:c r="F90" s="46" t="str">
        <x:v>Pike congers</x:v>
      </x:c>
      <x:c r="G90" s="46" t="str">
        <x:v>Large demersals (&gt;=90 cm)</x:v>
      </x:c>
      <x:c r="H90" s="46" t="str">
        <x:v>Other fishes &amp; inverts</x:v>
      </x:c>
      <x:c r="I90" s="60" t="n">
        <x:v>981.8987561112001</x:v>
      </x:c>
      <x:c r="J90" s="60" t="n">
        <x:v>981.8987561112001</x:v>
      </x:c>
      <x:c r="K90" s="60" t="n">
        <x:v>0</x:v>
      </x:c>
      <x:c r="L90" s="60" t="n">
        <x:v>253.557956522</x:v>
      </x:c>
      <x:c r="M90" s="60" t="n">
        <x:v>728.3407995892001</x:v>
      </x:c>
      <x:c r="N90" s="46" t="str">
        <x:v>muraenesocidae</x:v>
      </x:c>
      <x:c r="O90" s="62" t="n">
        <x:v>3.9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Muraenesocidae</x:v>
      </x:c>
      <x:c r="T90" s="62" t="n">
        <x:f>IF(O90="","",(1/'Metadata'!$B$5)^(O90-1))</x:f>
        <x:v>794.3282347242813</x:v>
      </x:c>
      <x:c r="U90" s="60" t="n">
        <x:f>IF(T90="","",I90*T90)</x:f>
        <x:v>779949.9056197772</x:v>
      </x:c>
    </x:row>
    <x:row r="91" ht="18" customHeight="1">
      <x:c r="A91" s="46" t="str">
        <x:v>LME_048</x:v>
      </x:c>
      <x:c r="B91" s="46" t="str">
        <x:v>Yellow Sea</x:v>
      </x:c>
      <x:c r="C91" s="46" t="str">
        <x:v>LME</x:v>
      </x:c>
      <x:c r="D91" s="58" t="n">
        <x:v>2019</x:v>
      </x:c>
      <x:c r="E91" s="46" t="str">
        <x:v>Marine finfishes not identified</x:v>
      </x:c>
      <x:c r="F91" s="46" t="str">
        <x:v>Finfishes</x:v>
      </x:c>
      <x:c r="G91" s="46" t="str">
        <x:v>Medium demersals (30 - 89 cm)</x:v>
      </x:c>
      <x:c r="H91" s="46" t="str">
        <x:v>Other fishes &amp; inverts</x:v>
      </x:c>
      <x:c r="I91" s="60" t="n">
        <x:v>896.6578362422</x:v>
      </x:c>
      <x:c r="J91" s="60" t="n">
        <x:v>896.6578362422</x:v>
      </x:c>
      <x:c r="K91" s="60" t="n">
        <x:v>0</x:v>
      </x:c>
      <x:c r="L91" s="60" t="n">
        <x:v>896.6578362422</x:v>
      </x:c>
      <x:c r="M91" s="60" t="n">
        <x:v>0</x:v>
      </x:c>
      <x:c r="N91" s="46" t="str">
        <x:v>marine finfishes not identified</x:v>
      </x:c>
      <x:c r="O91" s="62" t="n">
        <x:v>3.23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Marine finfishes not identified</x:v>
      </x:c>
      <x:c r="T91" s="62" t="n">
        <x:f>IF(O91="","",(1/'Metadata'!$B$5)^(O91-1))</x:f>
        <x:v>169.82436524617444</x:v>
      </x:c>
      <x:c r="U91" s="60" t="n">
        <x:f>IF(T91="","",I91*T91)</x:f>
        <x:v>152274.34788283985</x:v>
      </x:c>
    </x:row>
    <x:row r="92" ht="18" customHeight="1">
      <x:c r="A92" s="46" t="str">
        <x:v>LME_048</x:v>
      </x:c>
      <x:c r="B92" s="46" t="str">
        <x:v>Yellow Sea</x:v>
      </x:c>
      <x:c r="C92" s="46" t="str">
        <x:v>LME</x:v>
      </x:c>
      <x:c r="D92" s="58" t="n">
        <x:v>2019</x:v>
      </x:c>
      <x:c r="E92" s="46" t="str">
        <x:v>Trichiuridae</x:v>
      </x:c>
      <x:c r="F92" s="46" t="str">
        <x:v>Cutlassfishes</x:v>
      </x:c>
      <x:c r="G92" s="46" t="str">
        <x:v>Large benthopelagics (&gt;=90 cm)</x:v>
      </x:c>
      <x:c r="H92" s="46" t="str">
        <x:v>Perch-likes</x:v>
      </x:c>
      <x:c r="I92" s="60" t="n">
        <x:v>889.8089190222001</x:v>
      </x:c>
      <x:c r="J92" s="60" t="n">
        <x:v>889.8089190222001</x:v>
      </x:c>
      <x:c r="K92" s="60" t="n">
        <x:v>0</x:v>
      </x:c>
      <x:c r="L92" s="60" t="n">
        <x:v>227.33460392</x:v>
      </x:c>
      <x:c r="M92" s="60" t="n">
        <x:v>662.4743151022001</x:v>
      </x:c>
      <x:c r="N92" s="46" t="str">
        <x:v>trichiuridae</x:v>
      </x:c>
      <x:c r="O92" s="62" t="n">
        <x:v>4.15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Trichiuridae</x:v>
      </x:c>
      <x:c r="T92" s="62" t="n">
        <x:f>IF(O92="","",(1/'Metadata'!$B$5)^(O92-1))</x:f>
        <x:v>1412.5375446227554</x:v>
      </x:c>
      <x:c r="U92" s="60" t="n">
        <x:f>IF(T92="","",I92*T92)</x:f>
        <x:v>1256888.5056590468</x:v>
      </x:c>
    </x:row>
    <x:row r="93" ht="18" customHeight="1">
      <x:c r="A93" s="46" t="str">
        <x:v>LME_048</x:v>
      </x:c>
      <x:c r="B93" s="46" t="str">
        <x:v>Yellow Sea</x:v>
      </x:c>
      <x:c r="C93" s="46" t="str">
        <x:v>LME</x:v>
      </x:c>
      <x:c r="D93" s="58" t="n">
        <x:v>2019</x:v>
      </x:c>
      <x:c r="E93" s="46" t="str">
        <x:v>Sardinella zunasi</x:v>
      </x:c>
      <x:c r="F93" s="46" t="str">
        <x:v>Japanese sardinella</x:v>
      </x:c>
      <x:c r="G93" s="46" t="str">
        <x:v>Small pelagics (&lt;30 cm)</x:v>
      </x:c>
      <x:c r="H93" s="46" t="str">
        <x:v>Herring-likes</x:v>
      </x:c>
      <x:c r="I93" s="60" t="n">
        <x:v>888.6571761345</x:v>
      </x:c>
      <x:c r="J93" s="60" t="n">
        <x:v>887.3657522089</x:v>
      </x:c>
      <x:c r="K93" s="60" t="n">
        <x:v>1.2914239256</x:v>
      </x:c>
      <x:c r="L93" s="60" t="n">
        <x:v>887.3054449329</x:v>
      </x:c>
      <x:c r="M93" s="60" t="n">
        <x:v>1.3517312016</x:v>
      </x:c>
      <x:c r="N93" s="46" t="str">
        <x:v>sardinella zunasi</x:v>
      </x:c>
      <x:c r="O93" s="62" t="n">
        <x:v>3.12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Sardinella zunasi</x:v>
      </x:c>
      <x:c r="T93" s="62" t="n">
        <x:f>IF(O93="","",(1/'Metadata'!$B$5)^(O93-1))</x:f>
        <x:v>131.82567385564073</x:v>
      </x:c>
      <x:c r="U93" s="60" t="n">
        <x:f>IF(T93="","",I93*T93)</x:f>
        <x:v>117147.83107058128</x:v>
      </x:c>
    </x:row>
    <x:row r="94" ht="18" customHeight="1">
      <x:c r="A94" s="46" t="str">
        <x:v>LME_048</x:v>
      </x:c>
      <x:c r="B94" s="46" t="str">
        <x:v>Yellow Sea</x:v>
      </x:c>
      <x:c r="C94" s="46" t="str">
        <x:v>LME</x:v>
      </x:c>
      <x:c r="D94" s="58" t="n">
        <x:v>2019</x:v>
      </x:c>
      <x:c r="E94" s="46" t="str">
        <x:v>Portunidae</x:v>
      </x:c>
      <x:c r="F94" s="46" t="str">
        <x:v>Swimming crabs</x:v>
      </x:c>
      <x:c r="G94" s="46" t="str">
        <x:v>Lobsters, crabs</x:v>
      </x:c>
      <x:c r="H94" s="46" t="str">
        <x:v>Crustaceans</x:v>
      </x:c>
      <x:c r="I94" s="60" t="n">
        <x:v>850.8599881488</x:v>
      </x:c>
      <x:c r="J94" s="60" t="n">
        <x:v>439.00495617200005</x:v>
      </x:c>
      <x:c r="K94" s="60" t="n">
        <x:v>411.8550319768</x:v>
      </x:c>
      <x:c r="L94" s="60" t="n">
        <x:v>0</x:v>
      </x:c>
      <x:c r="M94" s="60" t="n">
        <x:v>850.8599881488</x:v>
      </x:c>
      <x:c r="N94" s="46" t="str">
        <x:v>portunidae</x:v>
      </x:c>
      <x:c r="O94" s="62" t="n">
        <x:v>3.56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Portunidae</x:v>
      </x:c>
      <x:c r="T94" s="62" t="n">
        <x:f>IF(O94="","",(1/'Metadata'!$B$5)^(O94-1))</x:f>
        <x:v>363.0780547701014</x:v>
      </x:c>
      <x:c r="U94" s="60" t="n">
        <x:f>IF(T94="","",I94*T94)</x:f>
        <x:v>308928.58937877783</x:v>
      </x:c>
    </x:row>
    <x:row r="95" ht="18" customHeight="1">
      <x:c r="A95" s="46" t="str">
        <x:v>LME_048</x:v>
      </x:c>
      <x:c r="B95" s="46" t="str">
        <x:v>Yellow Sea</x:v>
      </x:c>
      <x:c r="C95" s="46" t="str">
        <x:v>LME</x:v>
      </x:c>
      <x:c r="D95" s="58" t="n">
        <x:v>2019</x:v>
      </x:c>
      <x:c r="E95" s="46" t="str">
        <x:v>Trachurus japonicus</x:v>
      </x:c>
      <x:c r="F95" s="46" t="str">
        <x:v>Japanese jack mackerel</x:v>
      </x:c>
      <x:c r="G95" s="46" t="str">
        <x:v>Medium demersals (30 - 89 cm)</x:v>
      </x:c>
      <x:c r="H95" s="46" t="str">
        <x:v>Perch-likes</x:v>
      </x:c>
      <x:c r="I95" s="60" t="n">
        <x:v>760.4130346457</x:v>
      </x:c>
      <x:c r="J95" s="60" t="n">
        <x:v>760.4130346457</x:v>
      </x:c>
      <x:c r="K95" s="60" t="n">
        <x:v>0</x:v>
      </x:c>
      <x:c r="L95" s="60" t="n">
        <x:v>760.3514490909</x:v>
      </x:c>
      <x:c r="M95" s="60" t="n">
        <x:v>0.0615855548</x:v>
      </x:c>
      <x:c r="N95" s="46" t="str">
        <x:v>trachurus japonicus</x:v>
      </x:c>
      <x:c r="O95" s="62" t="n">
        <x:v>3.4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Trachurus japonicus</x:v>
      </x:c>
      <x:c r="T95" s="62" t="n">
        <x:f>IF(O95="","",(1/'Metadata'!$B$5)^(O95-1))</x:f>
        <x:v>251.18864315095797</x:v>
      </x:c>
      <x:c r="U95" s="60" t="n">
        <x:f>IF(T95="","",I95*T95)</x:f>
        <x:v>191007.1184069558</x:v>
      </x:c>
    </x:row>
    <x:row r="96" ht="18" customHeight="1">
      <x:c r="A96" s="46" t="str">
        <x:v>LME_048</x:v>
      </x:c>
      <x:c r="B96" s="46" t="str">
        <x:v>Yellow Sea</x:v>
      </x:c>
      <x:c r="C96" s="46" t="str">
        <x:v>LME</x:v>
      </x:c>
      <x:c r="D96" s="58" t="n">
        <x:v>2019</x:v>
      </x:c>
      <x:c r="E96" s="46" t="str">
        <x:v>Portunus</x:v>
      </x:c>
      <x:c r="F96" s="46" t="str">
        <x:v>Swimmer crabs</x:v>
      </x:c>
      <x:c r="G96" s="46" t="str">
        <x:v>Lobsters, crabs</x:v>
      </x:c>
      <x:c r="H96" s="46" t="str">
        <x:v>Crustaceans</x:v>
      </x:c>
      <x:c r="I96" s="60" t="n">
        <x:v>754.8464605462</x:v>
      </x:c>
      <x:c r="J96" s="60" t="n">
        <x:v>754.8464605462</x:v>
      </x:c>
      <x:c r="K96" s="60" t="n">
        <x:v>0</x:v>
      </x:c>
      <x:c r="L96" s="60" t="n">
        <x:v>194.396743568</x:v>
      </x:c>
      <x:c r="M96" s="60" t="n">
        <x:v>560.4497169782</x:v>
      </x:c>
      <x:c r="N96" s="46" t="str">
        <x:v>portunus</x:v>
      </x:c>
      <x:c r="O96" s="62" t="n">
        <x:v>3.26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Portunus</x:v>
      </x:c>
      <x:c r="T96" s="62" t="n">
        <x:f>IF(O96="","",(1/'Metadata'!$B$5)^(O96-1))</x:f>
        <x:v>181.97008586099827</x:v>
      </x:c>
      <x:c r="U96" s="60" t="n">
        <x:f>IF(T96="","",I96*T96)</x:f>
        <x:v>137359.47523746264</x:v>
      </x:c>
    </x:row>
    <x:row r="97" ht="18" customHeight="1">
      <x:c r="A97" s="46" t="str">
        <x:v>LME_048</x:v>
      </x:c>
      <x:c r="B97" s="46" t="str">
        <x:v>Yellow Sea</x:v>
      </x:c>
      <x:c r="C97" s="46" t="str">
        <x:v>LME</x:v>
      </x:c>
      <x:c r="D97" s="58" t="n">
        <x:v>2019</x:v>
      </x:c>
      <x:c r="E97" s="46" t="str">
        <x:v>Penaeidae</x:v>
      </x:c>
      <x:c r="F97" s="46" t="str">
        <x:v>Commercial shrimps and prawns</x:v>
      </x:c>
      <x:c r="G97" s="46" t="str">
        <x:v>Shrimps</x:v>
      </x:c>
      <x:c r="H97" s="46" t="str">
        <x:v>Crustaceans</x:v>
      </x:c>
      <x:c r="I97" s="60" t="n">
        <x:v>617.4838209805</x:v>
      </x:c>
      <x:c r="J97" s="60" t="n">
        <x:v>130.5879867769</x:v>
      </x:c>
      <x:c r="K97" s="60" t="n">
        <x:v>486.8958342036</x:v>
      </x:c>
      <x:c r="L97" s="60" t="n">
        <x:v>128.7294585585</x:v>
      </x:c>
      <x:c r="M97" s="60" t="n">
        <x:v>488.754362422</x:v>
      </x:c>
      <x:c r="N97" s="46" t="str">
        <x:v>penaeidae</x:v>
      </x:c>
      <x:c r="O97" s="62" t="n">
        <x:v>3.31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Penaeidae</x:v>
      </x:c>
      <x:c r="T97" s="62" t="n">
        <x:f>IF(O97="","",(1/'Metadata'!$B$5)^(O97-1))</x:f>
        <x:v>204.17379446695296</x:v>
      </x:c>
      <x:c r="U97" s="60" t="n">
        <x:f>IF(T97="","",I97*T97)</x:f>
        <x:v>126074.01475154138</x:v>
      </x:c>
    </x:row>
    <x:row r="98" ht="18" customHeight="1">
      <x:c r="A98" s="46" t="str">
        <x:v>LME_048</x:v>
      </x:c>
      <x:c r="B98" s="46" t="str">
        <x:v>Yellow Sea</x:v>
      </x:c>
      <x:c r="C98" s="46" t="str">
        <x:v>LME</x:v>
      </x:c>
      <x:c r="D98" s="58" t="n">
        <x:v>2019</x:v>
      </x:c>
      <x:c r="E98" s="46" t="str">
        <x:v>Larimichthys crocea</x:v>
      </x:c>
      <x:c r="F98" s="46" t="str">
        <x:v>Large yellow croaker</x:v>
      </x:c>
      <x:c r="G98" s="46" t="str">
        <x:v>Medium benthopelagics (30 - 89 cm)</x:v>
      </x:c>
      <x:c r="H98" s="46" t="str">
        <x:v>Perch-likes</x:v>
      </x:c>
      <x:c r="I98" s="60" t="n">
        <x:v>507.0456120728</x:v>
      </x:c>
      <x:c r="J98" s="60" t="n">
        <x:v>495.2077464263</x:v>
      </x:c>
      <x:c r="K98" s="60" t="n">
        <x:v>11.8378656465</x:v>
      </x:c>
      <x:c r="L98" s="60" t="n">
        <x:v>463.79842151540004</x:v>
      </x:c>
      <x:c r="M98" s="60" t="n">
        <x:v>43.2471905574</x:v>
      </x:c>
      <x:c r="N98" s="46" t="str">
        <x:v>larimichthys crocea</x:v>
      </x:c>
      <x:c r="O98" s="62" t="n">
        <x:v>3.72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Larimichthys crocea</x:v>
      </x:c>
      <x:c r="T98" s="62" t="n">
        <x:f>IF(O98="","",(1/'Metadata'!$B$5)^(O98-1))</x:f>
        <x:v>524.8074602497728</x:v>
      </x:c>
      <x:c r="U98" s="60" t="n">
        <x:f>IF(T98="","",I98*T98)</x:f>
        <x:v>266101.3199027177</x:v>
      </x:c>
    </x:row>
    <x:row r="99" ht="18" customHeight="1">
      <x:c r="A99" s="46" t="str">
        <x:v>LME_048</x:v>
      </x:c>
      <x:c r="B99" s="46" t="str">
        <x:v>Yellow Sea</x:v>
      </x:c>
      <x:c r="C99" s="46" t="str">
        <x:v>LME</x:v>
      </x:c>
      <x:c r="D99" s="58" t="n">
        <x:v>2019</x:v>
      </x:c>
      <x:c r="E99" s="46" t="str">
        <x:v>Pampus argenteus</x:v>
      </x:c>
      <x:c r="F99" s="46" t="str">
        <x:v>Silver pomfret</x:v>
      </x:c>
      <x:c r="G99" s="46" t="str">
        <x:v>Medium benthopelagics (30 - 89 cm)</x:v>
      </x:c>
      <x:c r="H99" s="46" t="str">
        <x:v>Perch-likes</x:v>
      </x:c>
      <x:c r="I99" s="60" t="n">
        <x:v>452.7363621434</x:v>
      </x:c>
      <x:c r="J99" s="60" t="n">
        <x:v>20.3328500404</x:v>
      </x:c>
      <x:c r="K99" s="60" t="n">
        <x:v>432.40351210299997</x:v>
      </x:c>
      <x:c r="L99" s="60" t="n">
        <x:v>19.5569924431</x:v>
      </x:c>
      <x:c r="M99" s="60" t="n">
        <x:v>433.1793697003</x:v>
      </x:c>
      <x:c r="N99" s="46" t="str">
        <x:v>pampus argenteus</x:v>
      </x:c>
      <x:c r="O99" s="62" t="n">
        <x:v>3.3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Pampus argenteus</x:v>
      </x:c>
      <x:c r="T99" s="62" t="n">
        <x:f>IF(O99="","",(1/'Metadata'!$B$5)^(O99-1))</x:f>
        <x:v>199.52623149688787</x:v>
      </x:c>
      <x:c r="U99" s="60" t="n">
        <x:f>IF(T99="","",I99*T99)</x:f>
        <x:v>90332.7802000829</x:v>
      </x:c>
    </x:row>
    <x:row r="100" ht="18" customHeight="1">
      <x:c r="A100" s="46" t="str">
        <x:v>LME_048</x:v>
      </x:c>
      <x:c r="B100" s="46" t="str">
        <x:v>Yellow Sea</x:v>
      </x:c>
      <x:c r="C100" s="46" t="str">
        <x:v>LME</x:v>
      </x:c>
      <x:c r="D100" s="58" t="n">
        <x:v>2019</x:v>
      </x:c>
      <x:c r="E100" s="46" t="str">
        <x:v>Liparis tanakae</x:v>
      </x:c>
      <x:c r="F100" s="46" t="str">
        <x:v>Tanaka's snailfish</x:v>
      </x:c>
      <x:c r="G100" s="46" t="str">
        <x:v>Medium demersals (30 - 89 cm)</x:v>
      </x:c>
      <x:c r="H100" s="46" t="str">
        <x:v>Scorpionfishes</x:v>
      </x:c>
      <x:c r="I100" s="60" t="n">
        <x:v>452.2699749738</x:v>
      </x:c>
      <x:c r="J100" s="60" t="n">
        <x:v>0</x:v>
      </x:c>
      <x:c r="K100" s="60" t="n">
        <x:v>452.2699749738</x:v>
      </x:c>
      <x:c r="L100" s="60" t="n">
        <x:v>0</x:v>
      </x:c>
      <x:c r="M100" s="60" t="n">
        <x:v>452.2699749738</x:v>
      </x:c>
      <x:c r="N100" s="46" t="str">
        <x:v>liparis tanakae</x:v>
      </x:c>
      <x:c r="O100" s="62" t="n">
        <x:v>3.42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Liparis tanakae</x:v>
      </x:c>
      <x:c r="T100" s="62" t="n">
        <x:f>IF(O100="","",(1/'Metadata'!$B$5)^(O100-1))</x:f>
        <x:v>263.02679918953817</x:v>
      </x:c>
      <x:c r="U100" s="60" t="n">
        <x:f>IF(T100="","",I100*T100)</x:f>
        <x:v>118959.12388689115</x:v>
      </x:c>
    </x:row>
    <x:row r="101" ht="18" customHeight="1">
      <x:c r="A101" s="46" t="str">
        <x:v>LME_048</x:v>
      </x:c>
      <x:c r="B101" s="46" t="str">
        <x:v>Yellow Sea</x:v>
      </x:c>
      <x:c r="C101" s="46" t="str">
        <x:v>LME</x:v>
      </x:c>
      <x:c r="D101" s="58" t="n">
        <x:v>2019</x:v>
      </x:c>
      <x:c r="E101" s="46" t="str">
        <x:v>Pectinidae</x:v>
      </x:c>
      <x:c r="F101" s="46" t="str">
        <x:v>Scallops</x:v>
      </x:c>
      <x:c r="G101" s="46" t="str">
        <x:v>Other demersal invertebrates</x:v>
      </x:c>
      <x:c r="H101" s="46" t="str">
        <x:v>Molluscs</x:v>
      </x:c>
      <x:c r="I101" s="60" t="n">
        <x:v>419.05685076660006</x:v>
      </x:c>
      <x:c r="J101" s="60" t="n">
        <x:v>158.0780897268</x:v>
      </x:c>
      <x:c r="K101" s="60" t="n">
        <x:v>260.9787610398</x:v>
      </x:c>
      <x:c r="L101" s="60" t="n">
        <x:v>158.0780897268</x:v>
      </x:c>
      <x:c r="M101" s="60" t="n">
        <x:v>260.9787610398</x:v>
      </x:c>
      <x:c r="N101" s="46" t="str">
        <x:v>pectinidae</x:v>
      </x:c>
      <x:c r="O101" s="62" t="n">
        <x:v>2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Pectinidae</x:v>
      </x:c>
      <x:c r="T101" s="62" t="n">
        <x:f>IF(O101="","",(1/'Metadata'!$B$5)^(O101-1))</x:f>
        <x:v>10</x:v>
      </x:c>
      <x:c r="U101" s="60" t="n">
        <x:f>IF(T101="","",I101*T101)</x:f>
        <x:v>4190.568507666001</x:v>
      </x:c>
    </x:row>
    <x:row r="102" ht="18" customHeight="1">
      <x:c r="A102" s="46" t="str">
        <x:v>LME_048</x:v>
      </x:c>
      <x:c r="B102" s="46" t="str">
        <x:v>Yellow Sea</x:v>
      </x:c>
      <x:c r="C102" s="46" t="str">
        <x:v>LME</x:v>
      </x:c>
      <x:c r="D102" s="58" t="n">
        <x:v>2019</x:v>
      </x:c>
      <x:c r="E102" s="46" t="str">
        <x:v>Octopodidae</x:v>
      </x:c>
      <x:c r="F102" s="46" t="str">
        <x:v>Octopuses</x:v>
      </x:c>
      <x:c r="G102" s="46" t="str">
        <x:v>Cephalopods</x:v>
      </x:c>
      <x:c r="H102" s="46" t="str">
        <x:v>Other fishes &amp; inverts</x:v>
      </x:c>
      <x:c r="I102" s="60" t="n">
        <x:v>413.0247628707</x:v>
      </x:c>
      <x:c r="J102" s="60" t="n">
        <x:v>413.0108835787</x:v>
      </x:c>
      <x:c r="K102" s="60" t="n">
        <x:v>0.013879292</x:v>
      </x:c>
      <x:c r="L102" s="60" t="n">
        <x:v>2.3966763713</x:v>
      </x:c>
      <x:c r="M102" s="60" t="n">
        <x:v>410.6280864994</x:v>
      </x:c>
      <x:c r="N102" s="46" t="str">
        <x:v>octopodidae</x:v>
      </x:c>
      <x:c r="O102" s="62" t="n">
        <x:v>3.59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Octopodidae</x:v>
      </x:c>
      <x:c r="T102" s="62" t="n">
        <x:f>IF(O102="","",(1/'Metadata'!$B$5)^(O102-1))</x:f>
        <x:v>389.04514499428046</x:v>
      </x:c>
      <x:c r="U102" s="60" t="n">
        <x:f>IF(T102="","",I102*T102)</x:f>
        <x:v>160685.27875725977</x:v>
      </x:c>
    </x:row>
    <x:row r="103" ht="18" customHeight="1">
      <x:c r="A103" s="46" t="str">
        <x:v>LME_048</x:v>
      </x:c>
      <x:c r="B103" s="46" t="str">
        <x:v>Yellow Sea</x:v>
      </x:c>
      <x:c r="C103" s="46" t="str">
        <x:v>LME</x:v>
      </x:c>
      <x:c r="D103" s="58" t="n">
        <x:v>2019</x:v>
      </x:c>
      <x:c r="E103" s="46" t="str">
        <x:v>Sepia</x:v>
      </x:c>
      <x:c r="F103" s="46" t="str">
        <x:v>Sepia cuttlefishes</x:v>
      </x:c>
      <x:c r="G103" s="46" t="str">
        <x:v>Cephalopods</x:v>
      </x:c>
      <x:c r="H103" s="46" t="str">
        <x:v>Other fishes &amp; inverts</x:v>
      </x:c>
      <x:c r="I103" s="60" t="n">
        <x:v>394.23931471870003</x:v>
      </x:c>
      <x:c r="J103" s="60" t="n">
        <x:v>394.23931471870003</x:v>
      </x:c>
      <x:c r="K103" s="60" t="n">
        <x:v>0</x:v>
      </x:c>
      <x:c r="L103" s="60" t="n">
        <x:v>102.311329975</x:v>
      </x:c>
      <x:c r="M103" s="60" t="n">
        <x:v>291.9279847437</x:v>
      </x:c>
      <x:c r="N103" s="46" t="str">
        <x:v>sepia</x:v>
      </x:c>
      <x:c r="O103" s="62" t="n">
        <x:v>3.69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Sepia</x:v>
      </x:c>
      <x:c r="T103" s="62" t="n">
        <x:f>IF(O103="","",(1/'Metadata'!$B$5)^(O103-1))</x:f>
        <x:v>489.77881936844614</x:v>
      </x:c>
      <x:c r="U103" s="60" t="n">
        <x:f>IF(T103="","",I103*T103)</x:f>
        <x:v>193090.06611155017</x:v>
      </x:c>
    </x:row>
    <x:row r="104" ht="18" customHeight="1">
      <x:c r="A104" s="46" t="str">
        <x:v>LME_048</x:v>
      </x:c>
      <x:c r="B104" s="46" t="str">
        <x:v>Yellow Sea</x:v>
      </x:c>
      <x:c r="C104" s="46" t="str">
        <x:v>LME</x:v>
      </x:c>
      <x:c r="D104" s="58" t="n">
        <x:v>2019</x:v>
      </x:c>
      <x:c r="E104" s="46" t="str">
        <x:v>Ostreidae</x:v>
      </x:c>
      <x:c r="F104" s="46" t="str">
        <x:v>True oysters</x:v>
      </x:c>
      <x:c r="G104" s="46" t="str">
        <x:v>Other demersal invertebrates</x:v>
      </x:c>
      <x:c r="H104" s="46" t="str">
        <x:v>Molluscs</x:v>
      </x:c>
      <x:c r="I104" s="60" t="n">
        <x:v>392.99955322849996</x:v>
      </x:c>
      <x:c r="J104" s="60" t="n">
        <x:v>392.99955322849996</x:v>
      </x:c>
      <x:c r="K104" s="60" t="n">
        <x:v>0</x:v>
      </x:c>
      <x:c r="L104" s="60" t="n">
        <x:v>0</x:v>
      </x:c>
      <x:c r="M104" s="60" t="n">
        <x:v>392.99955322849996</x:v>
      </x:c>
      <x:c r="N104" s="46" t="str">
        <x:v>ostreidae</x:v>
      </x:c>
      <x:c r="O104" s="62" t="n">
        <x:v>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Ostreidae</x:v>
      </x:c>
      <x:c r="T104" s="62" t="n">
        <x:f>IF(O104="","",(1/'Metadata'!$B$5)^(O104-1))</x:f>
        <x:v>10</x:v>
      </x:c>
      <x:c r="U104" s="60" t="n">
        <x:f>IF(T104="","",I104*T104)</x:f>
        <x:v>3929.9955322849996</x:v>
      </x:c>
    </x:row>
    <x:row r="105" ht="18" customHeight="1">
      <x:c r="A105" s="46" t="str">
        <x:v>LME_048</x:v>
      </x:c>
      <x:c r="B105" s="46" t="str">
        <x:v>Yellow Sea</x:v>
      </x:c>
      <x:c r="C105" s="46" t="str">
        <x:v>LME</x:v>
      </x:c>
      <x:c r="D105" s="58" t="n">
        <x:v>2019</x:v>
      </x:c>
      <x:c r="E105" s="46" t="str">
        <x:v>Hyporhamphus sajori</x:v>
      </x:c>
      <x:c r="F105" s="46" t="str">
        <x:v>Japanese halfbeak</x:v>
      </x:c>
      <x:c r="G105" s="46" t="str">
        <x:v>Medium pelagics (30 - 89 cm)</x:v>
      </x:c>
      <x:c r="H105" s="46" t="str">
        <x:v>Other fishes &amp; inverts</x:v>
      </x:c>
      <x:c r="I105" s="60" t="n">
        <x:v>368.6737175731</x:v>
      </x:c>
      <x:c r="J105" s="60" t="n">
        <x:v>368.6737175731</x:v>
      </x:c>
      <x:c r="K105" s="60" t="n">
        <x:v>0</x:v>
      </x:c>
      <x:c r="L105" s="60" t="n">
        <x:v>368.6175945321</x:v>
      </x:c>
      <x:c r="M105" s="60" t="n">
        <x:v>0.056123041</x:v>
      </x:c>
      <x:c r="N105" s="46" t="str">
        <x:v>hyporhamphus sajori</x:v>
      </x:c>
      <x:c r="O105" s="62" t="n">
        <x:v>3.4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Hyporhamphus sajori</x:v>
      </x:c>
      <x:c r="T105" s="62" t="n">
        <x:f>IF(O105="","",(1/'Metadata'!$B$5)^(O105-1))</x:f>
        <x:v>251.18864315095797</x:v>
      </x:c>
      <x:c r="U105" s="60" t="n">
        <x:f>IF(T105="","",I105*T105)</x:f>
        <x:v>92606.65088260648</x:v>
      </x:c>
    </x:row>
    <x:row r="106" ht="18" customHeight="1">
      <x:c r="A106" s="46" t="str">
        <x:v>LME_048</x:v>
      </x:c>
      <x:c r="B106" s="46" t="str">
        <x:v>Yellow Sea</x:v>
      </x:c>
      <x:c r="C106" s="46" t="str">
        <x:v>LME</x:v>
      </x:c>
      <x:c r="D106" s="58" t="n">
        <x:v>2019</x:v>
      </x:c>
      <x:c r="E106" s="46" t="str">
        <x:v>Malacostraca</x:v>
      </x:c>
      <x:c r="F106" s="46" t="str">
        <x:v>Lobsters, crabs, shrimps, krill</x:v>
      </x:c>
      <x:c r="G106" s="46" t="str">
        <x:v>Shrimps</x:v>
      </x:c>
      <x:c r="H106" s="46" t="str">
        <x:v>Crustaceans</x:v>
      </x:c>
      <x:c r="I106" s="60" t="n">
        <x:v>306.19900446729997</x:v>
      </x:c>
      <x:c r="J106" s="60" t="n">
        <x:v>306.19900446729997</x:v>
      </x:c>
      <x:c r="K106" s="60" t="n">
        <x:v>0</x:v>
      </x:c>
      <x:c r="L106" s="60" t="n">
        <x:v>306.19900446729997</x:v>
      </x:c>
      <x:c r="M106" s="60" t="n">
        <x:v>0</x:v>
      </x:c>
      <x:c r="N106" s="46" t="str">
        <x:v>malacostraca</x:v>
      </x:c>
      <x:c r="O106" s="62" t="n">
        <x:v>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Malacostraca</x:v>
      </x:c>
      <x:c r="T106" s="62" t="n">
        <x:f>IF(O106="","",(1/'Metadata'!$B$5)^(O106-1))</x:f>
        <x:v>100</x:v>
      </x:c>
      <x:c r="U106" s="60" t="n">
        <x:f>IF(T106="","",I106*T106)</x:f>
        <x:v>30619.900446729996</x:v>
      </x:c>
    </x:row>
    <x:row r="107" ht="18" customHeight="1">
      <x:c r="A107" s="46" t="str">
        <x:v>LME_048</x:v>
      </x:c>
      <x:c r="B107" s="46" t="str">
        <x:v>Yellow Sea</x:v>
      </x:c>
      <x:c r="C107" s="46" t="str">
        <x:v>LME</x:v>
      </x:c>
      <x:c r="D107" s="58" t="n">
        <x:v>2019</x:v>
      </x:c>
      <x:c r="E107" s="46" t="str">
        <x:v>Thunnus albacares</x:v>
      </x:c>
      <x:c r="F107" s="46" t="str">
        <x:v>Yellowfin tuna</x:v>
      </x:c>
      <x:c r="G107" s="46" t="str">
        <x:v>Large pelagics (&gt;=90 cm)</x:v>
      </x:c>
      <x:c r="H107" s="46" t="str">
        <x:v>Tuna &amp; billfishes</x:v>
      </x:c>
      <x:c r="I107" s="60" t="n">
        <x:v>296.3211123492</x:v>
      </x:c>
      <x:c r="J107" s="60" t="n">
        <x:v>295.9639382605</x:v>
      </x:c>
      <x:c r="K107" s="60" t="n">
        <x:v>0.3571740887</x:v>
      </x:c>
      <x:c r="L107" s="60" t="n">
        <x:v>295.9639382605</x:v>
      </x:c>
      <x:c r="M107" s="60" t="n">
        <x:v>0.3571740887</x:v>
      </x:c>
      <x:c r="N107" s="46" t="str">
        <x:v>thunnus albacares</x:v>
      </x:c>
      <x:c r="O107" s="62" t="n">
        <x:v>4.41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Thunnus albacares</x:v>
      </x:c>
      <x:c r="T107" s="62" t="n">
        <x:f>IF(O107="","",(1/'Metadata'!$B$5)^(O107-1))</x:f>
        <x:v>2570.3957827688646</x:v>
      </x:c>
      <x:c r="U107" s="60" t="n">
        <x:f>IF(T107="","",I107*T107)</x:f>
        <x:v>761662.5375277626</x:v>
      </x:c>
    </x:row>
    <x:row r="108" ht="18" customHeight="1">
      <x:c r="A108" s="46" t="str">
        <x:v>LME_048</x:v>
      </x:c>
      <x:c r="B108" s="46" t="str">
        <x:v>Yellow Sea</x:v>
      </x:c>
      <x:c r="C108" s="46" t="str">
        <x:v>LME</x:v>
      </x:c>
      <x:c r="D108" s="58" t="n">
        <x:v>2019</x:v>
      </x:c>
      <x:c r="E108" s="46" t="str">
        <x:v>Octopus</x:v>
      </x:c>
      <x:c r="F108" s="46" t="str">
        <x:v>Octopuses, pikas</x:v>
      </x:c>
      <x:c r="G108" s="46" t="str">
        <x:v>Cephalopods</x:v>
      </x:c>
      <x:c r="H108" s="46" t="str">
        <x:v>Other fishes &amp; inverts</x:v>
      </x:c>
      <x:c r="I108" s="60" t="n">
        <x:v>290.519879672</x:v>
      </x:c>
      <x:c r="J108" s="60" t="n">
        <x:v>290.519879672</x:v>
      </x:c>
      <x:c r="K108" s="60" t="n">
        <x:v>0</x:v>
      </x:c>
      <x:c r="L108" s="60" t="n">
        <x:v>15.305295362299999</x:v>
      </x:c>
      <x:c r="M108" s="60" t="n">
        <x:v>275.2145843097</x:v>
      </x:c>
      <x:c r="N108" s="46" t="str">
        <x:v>octopus</x:v>
      </x:c>
      <x:c r="O108" s="62" t="n">
        <x:v>3.8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Octopus</x:v>
      </x:c>
      <x:c r="T108" s="62" t="n">
        <x:f>IF(O108="","",(1/'Metadata'!$B$5)^(O108-1))</x:f>
        <x:v>630.957344480193</x:v>
      </x:c>
      <x:c r="U108" s="60" t="n">
        <x:f>IF(T108="","",I108*T108)</x:f>
        <x:v>183305.65179655032</x:v>
      </x:c>
    </x:row>
    <x:row r="109" ht="18" customHeight="1">
      <x:c r="A109" s="46" t="str">
        <x:v>LME_048</x:v>
      </x:c>
      <x:c r="B109" s="46" t="str">
        <x:v>Yellow Sea</x:v>
      </x:c>
      <x:c r="C109" s="46" t="str">
        <x:v>LME</x:v>
      </x:c>
      <x:c r="D109" s="58" t="n">
        <x:v>2019</x:v>
      </x:c>
      <x:c r="E109" s="46" t="str">
        <x:v>Oratosquilla oratoria</x:v>
      </x:c>
      <x:c r="F109" s="46" t="str">
        <x:v>Japanese squillid mantis shrimp</x:v>
      </x:c>
      <x:c r="G109" s="46" t="str">
        <x:v>Shrimps</x:v>
      </x:c>
      <x:c r="H109" s="46" t="str">
        <x:v>Crustaceans</x:v>
      </x:c>
      <x:c r="I109" s="60" t="n">
        <x:v>259.4914567076</x:v>
      </x:c>
      <x:c r="J109" s="60" t="n">
        <x:v>0</x:v>
      </x:c>
      <x:c r="K109" s="60" t="n">
        <x:v>259.4914567076</x:v>
      </x:c>
      <x:c r="L109" s="60" t="n">
        <x:v>0</x:v>
      </x:c>
      <x:c r="M109" s="60" t="n">
        <x:v>259.4914567076</x:v>
      </x:c>
      <x:c r="N109" s="46" t="str">
        <x:v>oratosquilla oratoria</x:v>
      </x:c>
      <x:c r="O109" s="62" t="n">
        <x:v>3.27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Oratosquilla oratoria</x:v>
      </x:c>
      <x:c r="T109" s="62" t="n">
        <x:f>IF(O109="","",(1/'Metadata'!$B$5)^(O109-1))</x:f>
        <x:v>186.20871366628674</x:v>
      </x:c>
      <x:c r="U109" s="60" t="n">
        <x:f>IF(T109="","",I109*T109)</x:f>
        <x:v>48319.57036091312</x:v>
      </x:c>
    </x:row>
    <x:row r="110" ht="18" customHeight="1">
      <x:c r="A110" s="46" t="str">
        <x:v>LME_048</x:v>
      </x:c>
      <x:c r="B110" s="46" t="str">
        <x:v>Yellow Sea</x:v>
      </x:c>
      <x:c r="C110" s="46" t="str">
        <x:v>LME</x:v>
      </x:c>
      <x:c r="D110" s="58" t="n">
        <x:v>2019</x:v>
      </x:c>
      <x:c r="E110" s="46" t="str">
        <x:v>Mullidae</x:v>
      </x:c>
      <x:c r="F110" s="46" t="str">
        <x:v>Goatfishes</x:v>
      </x:c>
      <x:c r="G110" s="46" t="str">
        <x:v>Medium reef assoc. fish (30 - 89 cm)</x:v>
      </x:c>
      <x:c r="H110" s="46" t="str">
        <x:v>Perch-likes</x:v>
      </x:c>
      <x:c r="I110" s="60" t="n">
        <x:v>247.714745462</x:v>
      </x:c>
      <x:c r="J110" s="60" t="n">
        <x:v>247.59925556410002</x:v>
      </x:c>
      <x:c r="K110" s="60" t="n">
        <x:v>0.1154898979</x:v>
      </x:c>
      <x:c r="L110" s="60" t="n">
        <x:v>85.0486855385</x:v>
      </x:c>
      <x:c r="M110" s="60" t="n">
        <x:v>162.6660599235</x:v>
      </x:c>
      <x:c r="N110" s="46" t="str">
        <x:v>mullidae</x:v>
      </x:c>
      <x:c r="O110" s="62" t="n">
        <x:v>3.46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Mullidae</x:v>
      </x:c>
      <x:c r="T110" s="62" t="n">
        <x:f>IF(O110="","",(1/'Metadata'!$B$5)^(O110-1))</x:f>
        <x:v>288.40315031266056</x:v>
      </x:c>
      <x:c r="U110" s="60" t="n">
        <x:f>IF(T110="","",I110*T110)</x:f>
        <x:v>71441.71297013963</x:v>
      </x:c>
    </x:row>
    <x:row r="111" ht="18" customHeight="1">
      <x:c r="A111" s="46" t="str">
        <x:v>LME_048</x:v>
      </x:c>
      <x:c r="B111" s="46" t="str">
        <x:v>Yellow Sea</x:v>
      </x:c>
      <x:c r="C111" s="46" t="str">
        <x:v>LME</x:v>
      </x:c>
      <x:c r="D111" s="58" t="n">
        <x:v>2019</x:v>
      </x:c>
      <x:c r="E111" s="46" t="str">
        <x:v>Engraulidae</x:v>
      </x:c>
      <x:c r="F111" s="46" t="str">
        <x:v>Anchovies, round herrings</x:v>
      </x:c>
      <x:c r="G111" s="46" t="str">
        <x:v>Small pelagics (&lt;30 cm)</x:v>
      </x:c>
      <x:c r="H111" s="46" t="str">
        <x:v>Anchovies</x:v>
      </x:c>
      <x:c r="I111" s="60" t="n">
        <x:v>243.5767945522</x:v>
      </x:c>
      <x:c r="J111" s="60" t="n">
        <x:v>0</x:v>
      </x:c>
      <x:c r="K111" s="60" t="n">
        <x:v>243.5767945522</x:v>
      </x:c>
      <x:c r="L111" s="60" t="n">
        <x:v>0</x:v>
      </x:c>
      <x:c r="M111" s="60" t="n">
        <x:v>243.5767945522</x:v>
      </x:c>
      <x:c r="N111" s="46" t="str">
        <x:v>engraulidae</x:v>
      </x:c>
      <x:c r="O111" s="62" t="n">
        <x:v>3.2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Engraulidae</x:v>
      </x:c>
      <x:c r="T111" s="62" t="n">
        <x:f>IF(O111="","",(1/'Metadata'!$B$5)^(O111-1))</x:f>
        <x:v>158.48931924611142</x:v>
      </x:c>
      <x:c r="U111" s="60" t="n">
        <x:f>IF(T111="","",I111*T111)</x:f>
        <x:v>38604.32035272812</x:v>
      </x:c>
    </x:row>
    <x:row r="112" ht="18" customHeight="1">
      <x:c r="A112" s="46" t="str">
        <x:v>LME_048</x:v>
      </x:c>
      <x:c r="B112" s="46" t="str">
        <x:v>Yellow Sea</x:v>
      </x:c>
      <x:c r="C112" s="46" t="str">
        <x:v>LME</x:v>
      </x:c>
      <x:c r="D112" s="58" t="n">
        <x:v>2019</x:v>
      </x:c>
      <x:c r="E112" s="46" t="str">
        <x:v>Anadara</x:v>
      </x:c>
      <x:c r="F112" s="46" t="str">
        <x:v>Arks, blood cockles</x:v>
      </x:c>
      <x:c r="G112" s="46" t="str">
        <x:v>Other demersal invertebrates</x:v>
      </x:c>
      <x:c r="H112" s="46" t="str">
        <x:v>Molluscs</x:v>
      </x:c>
      <x:c r="I112" s="60" t="n">
        <x:v>219.4778171794</x:v>
      </x:c>
      <x:c r="J112" s="60" t="n">
        <x:v>219.4778171794</x:v>
      </x:c>
      <x:c r="K112" s="60" t="n">
        <x:v>0</x:v>
      </x:c>
      <x:c r="L112" s="60" t="n">
        <x:v>219.4778171794</x:v>
      </x:c>
      <x:c r="M112" s="60" t="n">
        <x:v>0</x:v>
      </x:c>
      <x:c r="N112" s="46" t="str">
        <x:v>anadara</x:v>
      </x:c>
      <x:c r="O112" s="62" t="n">
        <x:v>2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Anadara</x:v>
      </x:c>
      <x:c r="T112" s="62" t="n">
        <x:f>IF(O112="","",(1/'Metadata'!$B$5)^(O112-1))</x:f>
        <x:v>10</x:v>
      </x:c>
      <x:c r="U112" s="60" t="n">
        <x:f>IF(T112="","",I112*T112)</x:f>
        <x:v>2194.778171794</x:v>
      </x:c>
    </x:row>
    <x:row r="113" ht="18" customHeight="1">
      <x:c r="A113" s="46" t="str">
        <x:v>LME_048</x:v>
      </x:c>
      <x:c r="B113" s="46" t="str">
        <x:v>Yellow Sea</x:v>
      </x:c>
      <x:c r="C113" s="46" t="str">
        <x:v>LME</x:v>
      </x:c>
      <x:c r="D113" s="58" t="n">
        <x:v>2019</x:v>
      </x:c>
      <x:c r="E113" s="46" t="str">
        <x:v>Parastromateus niger</x:v>
      </x:c>
      <x:c r="F113" s="46" t="str">
        <x:v>Black pomfret</x:v>
      </x:c>
      <x:c r="G113" s="46" t="str">
        <x:v>Medium benthopelagics (30 - 89 cm)</x:v>
      </x:c>
      <x:c r="H113" s="46" t="str">
        <x:v>Perch-likes</x:v>
      </x:c>
      <x:c r="I113" s="60" t="n">
        <x:v>160.3666430747</x:v>
      </x:c>
      <x:c r="J113" s="60" t="n">
        <x:v>118.2481674957</x:v>
      </x:c>
      <x:c r="K113" s="60" t="n">
        <x:v>42.118475579000005</x:v>
      </x:c>
      <x:c r="L113" s="60" t="n">
        <x:v>118.2481674957</x:v>
      </x:c>
      <x:c r="M113" s="60" t="n">
        <x:v>42.118475579000005</x:v>
      </x:c>
      <x:c r="N113" s="46" t="str">
        <x:v>parastromateus niger</x:v>
      </x:c>
      <x:c r="O113" s="62" t="n">
        <x:v>2.93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Parastromateus niger</x:v>
      </x:c>
      <x:c r="T113" s="62" t="n">
        <x:f>IF(O113="","",(1/'Metadata'!$B$5)^(O113-1))</x:f>
        <x:v>85.11380382023768</x:v>
      </x:c>
      <x:c r="U113" s="60" t="n">
        <x:f>IF(T113="","",I113*T113)</x:f>
        <x:v>13649.414997970092</x:v>
      </x:c>
    </x:row>
    <x:row r="114" ht="18" customHeight="1">
      <x:c r="A114" s="46" t="str">
        <x:v>LME_048</x:v>
      </x:c>
      <x:c r="B114" s="46" t="str">
        <x:v>Yellow Sea</x:v>
      </x:c>
      <x:c r="C114" s="46" t="str">
        <x:v>LME</x:v>
      </x:c>
      <x:c r="D114" s="58" t="n">
        <x:v>2019</x:v>
      </x:c>
      <x:c r="E114" s="46" t="str">
        <x:v>Chelidonichthys kumu</x:v>
      </x:c>
      <x:c r="F114" s="46" t="str">
        <x:v>Bluefin gurnard</x:v>
      </x:c>
      <x:c r="G114" s="46" t="str">
        <x:v>Medium demersals (30 - 89 cm)</x:v>
      </x:c>
      <x:c r="H114" s="46" t="str">
        <x:v>Scorpionfishes</x:v>
      </x:c>
      <x:c r="I114" s="60" t="n">
        <x:v>158.5856707829</x:v>
      </x:c>
      <x:c r="J114" s="60" t="n">
        <x:v>158.5326950839</x:v>
      </x:c>
      <x:c r="K114" s="60" t="n">
        <x:v>0.052975699</x:v>
      </x:c>
      <x:c r="L114" s="60" t="n">
        <x:v>158.4977941696</x:v>
      </x:c>
      <x:c r="M114" s="60" t="n">
        <x:v>0.0878766133</x:v>
      </x:c>
      <x:c r="N114" s="46" t="str">
        <x:v>chelidonichthys kumu</x:v>
      </x:c>
      <x:c r="O114" s="62" t="n">
        <x:v>3.68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Chelidonichthys kumu</x:v>
      </x:c>
      <x:c r="T114" s="62" t="n">
        <x:f>IF(O114="","",(1/'Metadata'!$B$5)^(O114-1))</x:f>
        <x:v>478.6300923226385</x:v>
      </x:c>
      <x:c r="U114" s="60" t="n">
        <x:f>IF(T114="","",I114*T114)</x:f>
        <x:v>75903.87424786699</x:v>
      </x:c>
    </x:row>
    <x:row r="115" ht="18" customHeight="1">
      <x:c r="A115" s="46" t="str">
        <x:v>LME_048</x:v>
      </x:c>
      <x:c r="B115" s="46" t="str">
        <x:v>Yellow Sea</x:v>
      </x:c>
      <x:c r="C115" s="46" t="str">
        <x:v>LME</x:v>
      </x:c>
      <x:c r="D115" s="58" t="n">
        <x:v>2019</x:v>
      </x:c>
      <x:c r="E115" s="46" t="str">
        <x:v>Erimacrus isenbeckii</x:v>
      </x:c>
      <x:c r="F115" s="46" t="str">
        <x:v>Hair Crab</x:v>
      </x:c>
      <x:c r="G115" s="46" t="str">
        <x:v>Lobsters, crabs</x:v>
      </x:c>
      <x:c r="H115" s="46" t="str">
        <x:v>Crustaceans</x:v>
      </x:c>
      <x:c r="I115" s="60" t="n">
        <x:v>153.42716742890002</x:v>
      </x:c>
      <x:c r="J115" s="60" t="n">
        <x:v>153.42716742890002</x:v>
      </x:c>
      <x:c r="K115" s="60" t="n">
        <x:v>0</x:v>
      </x:c>
      <x:c r="L115" s="60" t="n">
        <x:v>153.42716742890002</x:v>
      </x:c>
      <x:c r="M115" s="60" t="n">
        <x:v>0</x:v>
      </x:c>
      <x:c r="N115" s="46" t="str">
        <x:v>erimacrus isenbeckii</x:v>
      </x:c>
      <x:c r="O115" s="62" t="n">
        <x:v>2.6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Erimacrus isenbeckii</x:v>
      </x:c>
      <x:c r="T115" s="62" t="n">
        <x:f>IF(O115="","",(1/'Metadata'!$B$5)^(O115-1))</x:f>
        <x:v>39.810717055349734</x:v>
      </x:c>
      <x:c r="U115" s="60" t="n">
        <x:f>IF(T115="","",I115*T115)</x:f>
        <x:v>6108.045551115709</x:v>
      </x:c>
    </x:row>
    <x:row r="116" ht="18" customHeight="1">
      <x:c r="A116" s="46" t="str">
        <x:v>LME_048</x:v>
      </x:c>
      <x:c r="B116" s="46" t="str">
        <x:v>Yellow Sea</x:v>
      </x:c>
      <x:c r="C116" s="46" t="str">
        <x:v>LME</x:v>
      </x:c>
      <x:c r="D116" s="58" t="n">
        <x:v>2019</x:v>
      </x:c>
      <x:c r="E116" s="46" t="str">
        <x:v>Holothuroidea</x:v>
      </x:c>
      <x:c r="F116" s="46" t="str">
        <x:v>Sea cucumbers</x:v>
      </x:c>
      <x:c r="G116" s="46" t="str">
        <x:v>Other demersal invertebrates</x:v>
      </x:c>
      <x:c r="H116" s="46" t="str">
        <x:v>Other fishes &amp; inverts</x:v>
      </x:c>
      <x:c r="I116" s="60" t="n">
        <x:v>153.07109746790002</x:v>
      </x:c>
      <x:c r="J116" s="60" t="n">
        <x:v>153.07109746790002</x:v>
      </x:c>
      <x:c r="K116" s="60" t="n">
        <x:v>0</x:v>
      </x:c>
      <x:c r="L116" s="60" t="n">
        <x:v>153.07109746790002</x:v>
      </x:c>
      <x:c r="M116" s="60" t="n">
        <x:v>0</x:v>
      </x:c>
      <x:c r="N116" s="46" t="str">
        <x:v>holothuroidea</x:v>
      </x:c>
      <x:c r="O116" s="62" t="n">
        <x:v>2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Holothuroidea</x:v>
      </x:c>
      <x:c r="T116" s="62" t="n">
        <x:f>IF(O116="","",(1/'Metadata'!$B$5)^(O116-1))</x:f>
        <x:v>10</x:v>
      </x:c>
      <x:c r="U116" s="60" t="n">
        <x:f>IF(T116="","",I116*T116)</x:f>
        <x:v>1530.7109746790002</x:v>
      </x:c>
    </x:row>
    <x:row r="117" ht="18" customHeight="1">
      <x:c r="A117" s="46" t="str">
        <x:v>LME_048</x:v>
      </x:c>
      <x:c r="B117" s="46" t="str">
        <x:v>Yellow Sea</x:v>
      </x:c>
      <x:c r="C117" s="46" t="str">
        <x:v>LME</x:v>
      </x:c>
      <x:c r="D117" s="58" t="n">
        <x:v>2019</x:v>
      </x:c>
      <x:c r="E117" s="46" t="str">
        <x:v>Holothuriidae</x:v>
      </x:c>
      <x:c r="F117" s="46" t="str">
        <x:v>Fleshy sea cucumbers</x:v>
      </x:c>
      <x:c r="G117" s="46" t="str">
        <x:v>Other demersal invertebrates</x:v>
      </x:c>
      <x:c r="H117" s="46" t="str">
        <x:v>Other fishes &amp; inverts</x:v>
      </x:c>
      <x:c r="I117" s="60" t="n">
        <x:v>137.20518824730001</x:v>
      </x:c>
      <x:c r="J117" s="60" t="n">
        <x:v>137.20518824730001</x:v>
      </x:c>
      <x:c r="K117" s="60" t="n">
        <x:v>0</x:v>
      </x:c>
      <x:c r="L117" s="60" t="n">
        <x:v>0</x:v>
      </x:c>
      <x:c r="M117" s="60" t="n">
        <x:v>137.20518824730001</x:v>
      </x:c>
      <x:c r="N117" s="46" t="str">
        <x:v>holothuriidae</x:v>
      </x:c>
      <x:c r="O117" s="62" t="n">
        <x:v>2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Holothuriidae</x:v>
      </x:c>
      <x:c r="T117" s="62" t="n">
        <x:f>IF(O117="","",(1/'Metadata'!$B$5)^(O117-1))</x:f>
        <x:v>10</x:v>
      </x:c>
      <x:c r="U117" s="60" t="n">
        <x:f>IF(T117="","",I117*T117)</x:f>
        <x:v>1372.0518824730002</x:v>
      </x:c>
    </x:row>
    <x:row r="118" ht="18" customHeight="1">
      <x:c r="A118" s="46" t="str">
        <x:v>LME_048</x:v>
      </x:c>
      <x:c r="B118" s="46" t="str">
        <x:v>Yellow Sea</x:v>
      </x:c>
      <x:c r="C118" s="46" t="str">
        <x:v>LME</x:v>
      </x:c>
      <x:c r="D118" s="58" t="n">
        <x:v>2019</x:v>
      </x:c>
      <x:c r="E118" s="46" t="str">
        <x:v>Katsuwonus pelamis</x:v>
      </x:c>
      <x:c r="F118" s="46" t="str">
        <x:v>Skipjack tuna</x:v>
      </x:c>
      <x:c r="G118" s="46" t="str">
        <x:v>Large pelagics (&gt;=90 cm)</x:v>
      </x:c>
      <x:c r="H118" s="46" t="str">
        <x:v>Tuna &amp; billfishes</x:v>
      </x:c>
      <x:c r="I118" s="60" t="n">
        <x:v>119.72167508250001</x:v>
      </x:c>
      <x:c r="J118" s="60" t="n">
        <x:v>118.2074602415</x:v>
      </x:c>
      <x:c r="K118" s="60" t="n">
        <x:v>1.514214841</x:v>
      </x:c>
      <x:c r="L118" s="60" t="n">
        <x:v>118.2074602415</x:v>
      </x:c>
      <x:c r="M118" s="60" t="n">
        <x:v>1.514214841</x:v>
      </x:c>
      <x:c r="N118" s="46" t="str">
        <x:v>katsuwonus pelamis</x:v>
      </x:c>
      <x:c r="O118" s="62" t="n">
        <x:v>4.43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Katsuwonus pelamis</x:v>
      </x:c>
      <x:c r="T118" s="62" t="n">
        <x:f>IF(O118="","",(1/'Metadata'!$B$5)^(O118-1))</x:f>
        <x:v>2691.534803926914</x:v>
      </x:c>
      <x:c r="U118" s="60" t="n">
        <x:f>IF(T118="","",I118*T118)</x:f>
        <x:v>322235.05526897835</x:v>
      </x:c>
    </x:row>
    <x:row r="119" ht="18" customHeight="1">
      <x:c r="A119" s="46" t="str">
        <x:v>LME_048</x:v>
      </x:c>
      <x:c r="B119" s="46" t="str">
        <x:v>Yellow Sea</x:v>
      </x:c>
      <x:c r="C119" s="46" t="str">
        <x:v>LME</x:v>
      </x:c>
      <x:c r="D119" s="58" t="n">
        <x:v>2019</x:v>
      </x:c>
      <x:c r="E119" s="46" t="str">
        <x:v>Rapana</x:v>
      </x:c>
      <x:c r="F119" s="46" t="str">
        <x:v>Rapa whelks</x:v>
      </x:c>
      <x:c r="G119" s="46" t="str">
        <x:v>Other demersal invertebrates</x:v>
      </x:c>
      <x:c r="H119" s="46" t="str">
        <x:v>Molluscs</x:v>
      </x:c>
      <x:c r="I119" s="60" t="n">
        <x:v>112.7071100327</x:v>
      </x:c>
      <x:c r="J119" s="60" t="n">
        <x:v>0</x:v>
      </x:c>
      <x:c r="K119" s="60" t="n">
        <x:v>112.7071100327</x:v>
      </x:c>
      <x:c r="L119" s="60" t="n">
        <x:v>0</x:v>
      </x:c>
      <x:c r="M119" s="60" t="n">
        <x:v>112.7071100327</x:v>
      </x:c>
      <x:c r="N119" s="46" t="str">
        <x:v>rapana</x:v>
      </x:c>
      <x:c r="O119" s="62" t="n">
        <x:v>3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Rapana</x:v>
      </x:c>
      <x:c r="T119" s="62" t="n">
        <x:f>IF(O119="","",(1/'Metadata'!$B$5)^(O119-1))</x:f>
        <x:v>100</x:v>
      </x:c>
      <x:c r="U119" s="60" t="n">
        <x:f>IF(T119="","",I119*T119)</x:f>
        <x:v>11270.71100327</x:v>
      </x:c>
    </x:row>
    <x:row r="120" ht="18" customHeight="1">
      <x:c r="A120" s="46" t="str">
        <x:v>LME_048</x:v>
      </x:c>
      <x:c r="B120" s="46" t="str">
        <x:v>Yellow Sea</x:v>
      </x:c>
      <x:c r="C120" s="46" t="str">
        <x:v>LME</x:v>
      </x:c>
      <x:c r="D120" s="58" t="n">
        <x:v>2019</x:v>
      </x:c>
      <x:c r="E120" s="46" t="str">
        <x:v>Megalaspis cordyla</x:v>
      </x:c>
      <x:c r="F120" s="46" t="str">
        <x:v>Torpedo scad</x:v>
      </x:c>
      <x:c r="G120" s="46" t="str">
        <x:v>Medium pelagics (30 - 89 cm)</x:v>
      </x:c>
      <x:c r="H120" s="46" t="str">
        <x:v>Perch-likes</x:v>
      </x:c>
      <x:c r="I120" s="60" t="n">
        <x:v>104.6127289655</x:v>
      </x:c>
      <x:c r="J120" s="60" t="n">
        <x:v>104.5471851194</x:v>
      </x:c>
      <x:c r="K120" s="60" t="n">
        <x:v>0.0655438461</x:v>
      </x:c>
      <x:c r="L120" s="60" t="n">
        <x:v>93.2940980709</x:v>
      </x:c>
      <x:c r="M120" s="60" t="n">
        <x:v>11.318630894599998</x:v>
      </x:c>
      <x:c r="N120" s="46" t="str">
        <x:v>megalaspis cordyla</x:v>
      </x:c>
      <x:c r="O120" s="62" t="n">
        <x:v>4.24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Megalaspis cordyla</x:v>
      </x:c>
      <x:c r="T120" s="62" t="n">
        <x:f>IF(O120="","",(1/'Metadata'!$B$5)^(O120-1))</x:f>
        <x:v>1737.8008287493763</x:v>
      </x:c>
      <x:c r="U120" s="60" t="n">
        <x:f>IF(T120="","",I120*T120)</x:f>
        <x:v>181796.08709397976</x:v>
      </x:c>
    </x:row>
    <x:row r="121" ht="18" customHeight="1">
      <x:c r="A121" s="46" t="str">
        <x:v>LME_048</x:v>
      </x:c>
      <x:c r="B121" s="46" t="str">
        <x:v>Yellow Sea</x:v>
      </x:c>
      <x:c r="C121" s="46" t="str">
        <x:v>LME</x:v>
      </x:c>
      <x:c r="D121" s="58" t="n">
        <x:v>2019</x:v>
      </x:c>
      <x:c r="E121" s="46" t="str">
        <x:v>Pagrus auratus</x:v>
      </x:c>
      <x:c r="F121" s="46" t="str">
        <x:v>Silver seabream</x:v>
      </x:c>
      <x:c r="G121" s="46" t="str">
        <x:v>Large demersals (&gt;=90 cm)</x:v>
      </x:c>
      <x:c r="H121" s="46" t="str">
        <x:v>Perch-likes</x:v>
      </x:c>
      <x:c r="I121" s="60" t="n">
        <x:v>78.5048117936</x:v>
      </x:c>
      <x:c r="J121" s="60" t="n">
        <x:v>73.2097075125</x:v>
      </x:c>
      <x:c r="K121" s="60" t="n">
        <x:v>5.2951042811</x:v>
      </x:c>
      <x:c r="L121" s="60" t="n">
        <x:v>73.0500193273</x:v>
      </x:c>
      <x:c r="M121" s="60" t="n">
        <x:v>5.4547924663</x:v>
      </x:c>
      <x:c r="N121" s="46" t="str">
        <x:v>pagrus auratus</x:v>
      </x:c>
      <x:c r="O121" s="62" t="n">
        <x:v>3.59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Pagrus auratus</x:v>
      </x:c>
      <x:c r="T121" s="62" t="n">
        <x:f>IF(O121="","",(1/'Metadata'!$B$5)^(O121-1))</x:f>
        <x:v>389.04514499428046</x:v>
      </x:c>
      <x:c r="U121" s="60" t="n">
        <x:f>IF(T121="","",I121*T121)</x:f>
        <x:v>30541.91588698981</x:v>
      </x:c>
    </x:row>
    <x:row r="122" ht="18" customHeight="1">
      <x:c r="A122" s="46" t="str">
        <x:v>LME_048</x:v>
      </x:c>
      <x:c r="B122" s="46" t="str">
        <x:v>Yellow Sea</x:v>
      </x:c>
      <x:c r="C122" s="46" t="str">
        <x:v>LME</x:v>
      </x:c>
      <x:c r="D122" s="58" t="n">
        <x:v>2019</x:v>
      </x:c>
      <x:c r="E122" s="46" t="str">
        <x:v>Konosirus punctatus</x:v>
      </x:c>
      <x:c r="F122" s="46" t="str">
        <x:v>Dotted gizzard shad</x:v>
      </x:c>
      <x:c r="G122" s="46" t="str">
        <x:v>Small pelagics (&lt;30 cm)</x:v>
      </x:c>
      <x:c r="H122" s="46" t="str">
        <x:v>Herring-likes</x:v>
      </x:c>
      <x:c r="I122" s="60" t="n">
        <x:v>76.5090119628</x:v>
      </x:c>
      <x:c r="J122" s="60" t="n">
        <x:v>76.5090119628</x:v>
      </x:c>
      <x:c r="K122" s="60" t="n">
        <x:v>0</x:v>
      </x:c>
      <x:c r="L122" s="60" t="n">
        <x:v>76.5090119628</x:v>
      </x:c>
      <x:c r="M122" s="60" t="n">
        <x:v>0</x:v>
      </x:c>
      <x:c r="N122" s="46" t="str">
        <x:v>konosirus punctatus</x:v>
      </x:c>
      <x:c r="O122" s="62" t="n">
        <x:v>2.87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Konosirus punctatus</x:v>
      </x:c>
      <x:c r="T122" s="62" t="n">
        <x:f>IF(O122="","",(1/'Metadata'!$B$5)^(O122-1))</x:f>
        <x:v>74.13102413009177</x:v>
      </x:c>
      <x:c r="U122" s="60" t="n">
        <x:f>IF(T122="","",I122*T122)</x:f>
        <x:v>5671.6914119838075</x:v>
      </x:c>
    </x:row>
    <x:row r="123" ht="18" customHeight="1">
      <x:c r="A123" s="46" t="str">
        <x:v>LME_048</x:v>
      </x:c>
      <x:c r="B123" s="46" t="str">
        <x:v>Yellow Sea</x:v>
      </x:c>
      <x:c r="C123" s="46" t="str">
        <x:v>LME</x:v>
      </x:c>
      <x:c r="D123" s="58" t="n">
        <x:v>2019</x:v>
      </x:c>
      <x:c r="E123" s="46" t="str">
        <x:v>Sillago</x:v>
      </x:c>
      <x:c r="F123" s="46" t="str">
        <x:v>Smelt-whitings</x:v>
      </x:c>
      <x:c r="G123" s="46" t="str">
        <x:v>Medium demersals (30 - 89 cm)</x:v>
      </x:c>
      <x:c r="H123" s="46" t="str">
        <x:v>Perch-likes</x:v>
      </x:c>
      <x:c r="I123" s="60" t="n">
        <x:v>70.001919327</x:v>
      </x:c>
      <x:c r="J123" s="60" t="n">
        <x:v>67.0569956879</x:v>
      </x:c>
      <x:c r="K123" s="60" t="n">
        <x:v>2.9449236391</x:v>
      </x:c>
      <x:c r="L123" s="60" t="n">
        <x:v>66.6323597785</x:v>
      </x:c>
      <x:c r="M123" s="60" t="n">
        <x:v>3.3695595485</x:v>
      </x:c>
      <x:c r="N123" s="46" t="str">
        <x:v>sillago</x:v>
      </x:c>
      <x:c r="O123" s="62" t="n">
        <x:v>3.33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Sillago</x:v>
      </x:c>
      <x:c r="T123" s="62" t="n">
        <x:f>IF(O123="","",(1/'Metadata'!$B$5)^(O123-1))</x:f>
        <x:v>213.79620895022325</x:v>
      </x:c>
      <x:c r="U123" s="60" t="n">
        <x:f>IF(T123="","",I123*T123)</x:f>
        <x:v>14966.144971351961</x:v>
      </x:c>
    </x:row>
    <x:row r="124" ht="18" customHeight="1">
      <x:c r="A124" s="46" t="str">
        <x:v>LME_048</x:v>
      </x:c>
      <x:c r="B124" s="46" t="str">
        <x:v>Yellow Sea</x:v>
      </x:c>
      <x:c r="C124" s="46" t="str">
        <x:v>LME</x:v>
      </x:c>
      <x:c r="D124" s="58" t="n">
        <x:v>2019</x:v>
      </x:c>
      <x:c r="E124" s="46" t="str">
        <x:v>Haliotidae</x:v>
      </x:c>
      <x:c r="F124" s="46" t="str">
        <x:v>Abalones, ear shells</x:v>
      </x:c>
      <x:c r="G124" s="46" t="str">
        <x:v>Other demersal invertebrates</x:v>
      </x:c>
      <x:c r="H124" s="46" t="str">
        <x:v>Molluscs</x:v>
      </x:c>
      <x:c r="I124" s="60" t="n">
        <x:v>68.9724381258</x:v>
      </x:c>
      <x:c r="J124" s="60" t="n">
        <x:v>68.84062271170001</x:v>
      </x:c>
      <x:c r="K124" s="60" t="n">
        <x:v>0.1318154141</x:v>
      </x:c>
      <x:c r="L124" s="60" t="n">
        <x:v>68.84062271170001</x:v>
      </x:c>
      <x:c r="M124" s="60" t="n">
        <x:v>0.1318154141</x:v>
      </x:c>
      <x:c r="N124" s="46" t="str">
        <x:v>haliotidae</x:v>
      </x:c>
      <x:c r="O124" s="62" t="n">
        <x:v>2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Haliotidae</x:v>
      </x:c>
      <x:c r="T124" s="62" t="n">
        <x:f>IF(O124="","",(1/'Metadata'!$B$5)^(O124-1))</x:f>
        <x:v>10</x:v>
      </x:c>
      <x:c r="U124" s="60" t="n">
        <x:f>IF(T124="","",I124*T124)</x:f>
        <x:v>689.724381258</x:v>
      </x:c>
    </x:row>
    <x:row r="125" ht="18" customHeight="1">
      <x:c r="A125" s="46" t="str">
        <x:v>LME_048</x:v>
      </x:c>
      <x:c r="B125" s="46" t="str">
        <x:v>Yellow Sea</x:v>
      </x:c>
      <x:c r="C125" s="46" t="str">
        <x:v>LME</x:v>
      </x:c>
      <x:c r="D125" s="58" t="n">
        <x:v>2019</x:v>
      </x:c>
      <x:c r="E125" s="46" t="str">
        <x:v>Meretrix lusoria</x:v>
      </x:c>
      <x:c r="F125" s="46" t="str">
        <x:v>Japanese hard clam</x:v>
      </x:c>
      <x:c r="G125" s="46" t="str">
        <x:v>Other demersal invertebrates</x:v>
      </x:c>
      <x:c r="H125" s="46" t="str">
        <x:v>Molluscs</x:v>
      </x:c>
      <x:c r="I125" s="60" t="n">
        <x:v>64.7876756639</x:v>
      </x:c>
      <x:c r="J125" s="60" t="n">
        <x:v>64.2493580502</x:v>
      </x:c>
      <x:c r="K125" s="60" t="n">
        <x:v>0.5383176137000001</x:v>
      </x:c>
      <x:c r="L125" s="60" t="n">
        <x:v>64.2493580502</x:v>
      </x:c>
      <x:c r="M125" s="60" t="n">
        <x:v>0.5383176137000001</x:v>
      </x:c>
      <x:c r="N125" s="46" t="str">
        <x:v>meretrix lusoria</x:v>
      </x:c>
      <x:c r="O125" s="62" t="n">
        <x:v>2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Meretrix lusoria</x:v>
      </x:c>
      <x:c r="T125" s="62" t="n">
        <x:f>IF(O125="","",(1/'Metadata'!$B$5)^(O125-1))</x:f>
        <x:v>10</x:v>
      </x:c>
      <x:c r="U125" s="60" t="n">
        <x:f>IF(T125="","",I125*T125)</x:f>
        <x:v>647.8767566390001</x:v>
      </x:c>
    </x:row>
    <x:row r="126" ht="18" customHeight="1">
      <x:c r="A126" s="46" t="str">
        <x:v>LME_048</x:v>
      </x:c>
      <x:c r="B126" s="46" t="str">
        <x:v>Yellow Sea</x:v>
      </x:c>
      <x:c r="C126" s="46" t="str">
        <x:v>LME</x:v>
      </x:c>
      <x:c r="D126" s="58" t="n">
        <x:v>2019</x:v>
      </x:c>
      <x:c r="E126" s="46" t="str">
        <x:v>Veneridae</x:v>
      </x:c>
      <x:c r="F126" s="46" t="str">
        <x:v>Venus clams</x:v>
      </x:c>
      <x:c r="G126" s="46" t="str">
        <x:v>Other demersal invertebrates</x:v>
      </x:c>
      <x:c r="H126" s="46" t="str">
        <x:v>Molluscs</x:v>
      </x:c>
      <x:c r="I126" s="60" t="n">
        <x:v>64.0301716201</x:v>
      </x:c>
      <x:c r="J126" s="60" t="n">
        <x:v>64.0301716201</x:v>
      </x:c>
      <x:c r="K126" s="60" t="n">
        <x:v>0</x:v>
      </x:c>
      <x:c r="L126" s="60" t="n">
        <x:v>0</x:v>
      </x:c>
      <x:c r="M126" s="60" t="n">
        <x:v>64.0301716201</x:v>
      </x:c>
      <x:c r="N126" s="46" t="str">
        <x:v>veneridae</x:v>
      </x:c>
      <x:c r="O126" s="62" t="n">
        <x:v>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Veneridae</x:v>
      </x:c>
      <x:c r="T126" s="62" t="n">
        <x:f>IF(O126="","",(1/'Metadata'!$B$5)^(O126-1))</x:f>
        <x:v>10</x:v>
      </x:c>
      <x:c r="U126" s="60" t="n">
        <x:f>IF(T126="","",I126*T126)</x:f>
        <x:v>640.3017162010001</x:v>
      </x:c>
    </x:row>
    <x:row r="127" ht="18" customHeight="1">
      <x:c r="A127" s="46" t="str">
        <x:v>LME_048</x:v>
      </x:c>
      <x:c r="B127" s="46" t="str">
        <x:v>Yellow Sea</x:v>
      </x:c>
      <x:c r="C127" s="46" t="str">
        <x:v>LME</x:v>
      </x:c>
      <x:c r="D127" s="58" t="n">
        <x:v>2019</x:v>
      </x:c>
      <x:c r="E127" s="46" t="str">
        <x:v>Lutjanidae</x:v>
      </x:c>
      <x:c r="F127" s="46" t="str">
        <x:v>Snappers</x:v>
      </x:c>
      <x:c r="G127" s="46" t="str">
        <x:v>Medium reef assoc. fish (30 - 89 cm)</x:v>
      </x:c>
      <x:c r="H127" s="46" t="str">
        <x:v>Perch-likes</x:v>
      </x:c>
      <x:c r="I127" s="60" t="n">
        <x:v>63.9686204834</x:v>
      </x:c>
      <x:c r="J127" s="60" t="n">
        <x:v>54.8014522709</x:v>
      </x:c>
      <x:c r="K127" s="60" t="n">
        <x:v>9.1671682125</x:v>
      </x:c>
      <x:c r="L127" s="60" t="n">
        <x:v>48.997636114500004</x:v>
      </x:c>
      <x:c r="M127" s="60" t="n">
        <x:v>14.9709843689</x:v>
      </x:c>
      <x:c r="N127" s="46" t="str">
        <x:v>lutjanidae</x:v>
      </x:c>
      <x:c r="O127" s="62" t="n">
        <x:v>4.02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Lutjanidae</x:v>
      </x:c>
      <x:c r="T127" s="62" t="n">
        <x:f>IF(O127="","",(1/'Metadata'!$B$5)^(O127-1))</x:f>
        <x:v>1047.1285480508984</x:v>
      </x:c>
      <x:c r="U127" s="60" t="n">
        <x:f>IF(T127="","",I127*T127)</x:f>
        <x:v>66983.3686876016</x:v>
      </x:c>
    </x:row>
    <x:row r="128" ht="18" customHeight="1">
      <x:c r="A128" s="46" t="str">
        <x:v>LME_048</x:v>
      </x:c>
      <x:c r="B128" s="46" t="str">
        <x:v>Yellow Sea</x:v>
      </x:c>
      <x:c r="C128" s="46" t="str">
        <x:v>LME</x:v>
      </x:c>
      <x:c r="D128" s="58" t="n">
        <x:v>2019</x:v>
      </x:c>
      <x:c r="E128" s="46" t="str">
        <x:v>Haliotis</x:v>
      </x:c>
      <x:c r="F128" s="46" t="str">
        <x:v>Abalones</x:v>
      </x:c>
      <x:c r="G128" s="46" t="str">
        <x:v>Other demersal invertebrates</x:v>
      </x:c>
      <x:c r="H128" s="46" t="str">
        <x:v>Molluscs</x:v>
      </x:c>
      <x:c r="I128" s="60" t="n">
        <x:v>61.1708321407</x:v>
      </x:c>
      <x:c r="J128" s="60" t="n">
        <x:v>61.1708321407</x:v>
      </x:c>
      <x:c r="K128" s="60" t="n">
        <x:v>0</x:v>
      </x:c>
      <x:c r="L128" s="60" t="n">
        <x:v>61.1708321407</x:v>
      </x:c>
      <x:c r="M128" s="60" t="n">
        <x:v>0</x:v>
      </x:c>
      <x:c r="N128" s="46" t="str">
        <x:v>haliotis</x:v>
      </x:c>
      <x:c r="O128" s="62" t="n">
        <x:v>2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Haliotis</x:v>
      </x:c>
      <x:c r="T128" s="62" t="n">
        <x:f>IF(O128="","",(1/'Metadata'!$B$5)^(O128-1))</x:f>
        <x:v>10</x:v>
      </x:c>
      <x:c r="U128" s="60" t="n">
        <x:f>IF(T128="","",I128*T128)</x:f>
        <x:v>611.708321407</x:v>
      </x:c>
    </x:row>
    <x:row r="129" ht="18" customHeight="1">
      <x:c r="A129" s="46" t="str">
        <x:v>LME_048</x:v>
      </x:c>
      <x:c r="B129" s="46" t="str">
        <x:v>Yellow Sea</x:v>
      </x:c>
      <x:c r="C129" s="46" t="str">
        <x:v>LME</x:v>
      </x:c>
      <x:c r="D129" s="58" t="n">
        <x:v>2019</x:v>
      </x:c>
      <x:c r="E129" s="46" t="str">
        <x:v>Elasmobranchii</x:v>
      </x:c>
      <x:c r="F129" s="46" t="str">
        <x:v>Sharks, rays, skates</x:v>
      </x:c>
      <x:c r="G129" s="46" t="str">
        <x:v>Large sharks (&gt;=90 cm)</x:v>
      </x:c>
      <x:c r="H129" s="46" t="str">
        <x:v>Sharks &amp; rays</x:v>
      </x:c>
      <x:c r="I129" s="60" t="n">
        <x:v>58.1018309896</x:v>
      </x:c>
      <x:c r="J129" s="60" t="n">
        <x:v>55.4000770734</x:v>
      </x:c>
      <x:c r="K129" s="60" t="n">
        <x:v>2.7017539161999995</x:v>
      </x:c>
      <x:c r="L129" s="60" t="n">
        <x:v>55.388624287</x:v>
      </x:c>
      <x:c r="M129" s="60" t="n">
        <x:v>2.7132067025999995</x:v>
      </x:c>
      <x:c r="N129" s="46" t="str">
        <x:v>elasmobranchii</x:v>
      </x:c>
      <x:c r="O129" s="62" t="n">
        <x:v>4.05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Elasmobranchii</x:v>
      </x:c>
      <x:c r="T129" s="62" t="n">
        <x:f>IF(O129="","",(1/'Metadata'!$B$5)^(O129-1))</x:f>
        <x:v>1122.018454301963</x:v>
      </x:c>
      <x:c r="U129" s="60" t="n">
        <x:f>IF(T129="","",I129*T129)</x:f>
        <x:v>65191.32659906489</x:v>
      </x:c>
    </x:row>
    <x:row r="130" ht="18" customHeight="1">
      <x:c r="A130" s="46" t="str">
        <x:v>LME_048</x:v>
      </x:c>
      <x:c r="B130" s="46" t="str">
        <x:v>Yellow Sea</x:v>
      </x:c>
      <x:c r="C130" s="46" t="str">
        <x:v>LME</x:v>
      </x:c>
      <x:c r="D130" s="58" t="n">
        <x:v>2019</x:v>
      </x:c>
      <x:c r="E130" s="46" t="str">
        <x:v>Tegillarca granosa</x:v>
      </x:c>
      <x:c r="F130" s="46" t="str">
        <x:v>Granular ark</x:v>
      </x:c>
      <x:c r="G130" s="46" t="str">
        <x:v>Other demersal invertebrates</x:v>
      </x:c>
      <x:c r="H130" s="46" t="str">
        <x:v>Molluscs</x:v>
      </x:c>
      <x:c r="I130" s="60" t="n">
        <x:v>57.2694217764</x:v>
      </x:c>
      <x:c r="J130" s="60" t="n">
        <x:v>57.2694217764</x:v>
      </x:c>
      <x:c r="K130" s="60" t="n">
        <x:v>0</x:v>
      </x:c>
      <x:c r="L130" s="60" t="n">
        <x:v>57.2694217764</x:v>
      </x:c>
      <x:c r="M130" s="60" t="n">
        <x:v>0</x:v>
      </x:c>
      <x:c r="N130" s="46" t="str">
        <x:v>tegillarca granosa</x:v>
      </x:c>
      <x:c r="O130" s="62" t="n">
        <x:v>2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Tegillarca granosa</x:v>
      </x:c>
      <x:c r="T130" s="62" t="n">
        <x:f>IF(O130="","",(1/'Metadata'!$B$5)^(O130-1))</x:f>
        <x:v>10</x:v>
      </x:c>
      <x:c r="U130" s="60" t="n">
        <x:f>IF(T130="","",I130*T130)</x:f>
        <x:v>572.694217764</x:v>
      </x:c>
    </x:row>
    <x:row r="131" ht="18" customHeight="1">
      <x:c r="A131" s="46" t="str">
        <x:v>LME_048</x:v>
      </x:c>
      <x:c r="B131" s="46" t="str">
        <x:v>Yellow Sea</x:v>
      </x:c>
      <x:c r="C131" s="46" t="str">
        <x:v>LME</x:v>
      </x:c>
      <x:c r="D131" s="58" t="n">
        <x:v>2019</x:v>
      </x:c>
      <x:c r="E131" s="46" t="str">
        <x:v>Nemipterus virgatus</x:v>
      </x:c>
      <x:c r="F131" s="46" t="str">
        <x:v>Golden threadfin bream</x:v>
      </x:c>
      <x:c r="G131" s="46" t="str">
        <x:v>Medium demersals (30 - 89 cm)</x:v>
      </x:c>
      <x:c r="H131" s="46" t="str">
        <x:v>Perch-likes</x:v>
      </x:c>
      <x:c r="I131" s="60" t="n">
        <x:v>55.3948773302</x:v>
      </x:c>
      <x:c r="J131" s="60" t="n">
        <x:v>53.1625003349</x:v>
      </x:c>
      <x:c r="K131" s="60" t="n">
        <x:v>2.2323769953</x:v>
      </x:c>
      <x:c r="L131" s="60" t="n">
        <x:v>53.1476716639</x:v>
      </x:c>
      <x:c r="M131" s="60" t="n">
        <x:v>2.2472056663</x:v>
      </x:c>
      <x:c r="N131" s="46" t="str">
        <x:v>nemipterus virgatus</x:v>
      </x:c>
      <x:c r="O131" s="62" t="n">
        <x:v>3.99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Nemipterus virgatus</x:v>
      </x:c>
      <x:c r="T131" s="62" t="n">
        <x:f>IF(O131="","",(1/'Metadata'!$B$5)^(O131-1))</x:f>
        <x:v>977.2372209558112</x:v>
      </x:c>
      <x:c r="U131" s="60" t="n">
        <x:f>IF(T131="","",I131*T131)</x:f>
        <x:v>54133.93597735272</x:v>
      </x:c>
    </x:row>
    <x:row r="132" ht="18" customHeight="1">
      <x:c r="A132" s="46" t="str">
        <x:v>LME_048</x:v>
      </x:c>
      <x:c r="B132" s="46" t="str">
        <x:v>Yellow Sea</x:v>
      </x:c>
      <x:c r="C132" s="46" t="str">
        <x:v>LME</x:v>
      </x:c>
      <x:c r="D132" s="58" t="n">
        <x:v>2019</x:v>
      </x:c>
      <x:c r="E132" s="46" t="str">
        <x:v>Ammodytes</x:v>
      </x:c>
      <x:c r="F132" s="46" t="str">
        <x:v>Sand eels</x:v>
      </x:c>
      <x:c r="G132" s="46" t="str">
        <x:v>Large reef assoc. fish (&gt;=90 cm)</x:v>
      </x:c>
      <x:c r="H132" s="46" t="str">
        <x:v>Perch-likes</x:v>
      </x:c>
      <x:c r="I132" s="60" t="n">
        <x:v>50.424970148</x:v>
      </x:c>
      <x:c r="J132" s="60" t="n">
        <x:v>0</x:v>
      </x:c>
      <x:c r="K132" s="60" t="n">
        <x:v>50.424970148</x:v>
      </x:c>
      <x:c r="L132" s="60" t="n">
        <x:v>0</x:v>
      </x:c>
      <x:c r="M132" s="60" t="n">
        <x:v>50.424970148</x:v>
      </x:c>
      <x:c r="N132" s="46" t="str">
        <x:v>ammodytes</x:v>
      </x:c>
      <x:c r="O132" s="62" t="n">
        <x:v>3.11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Ammodytes</x:v>
      </x:c>
      <x:c r="T132" s="62" t="n">
        <x:f>IF(O132="","",(1/'Metadata'!$B$5)^(O132-1))</x:f>
        <x:v>128.82495516931337</x:v>
      </x:c>
      <x:c r="U132" s="60" t="n">
        <x:f>IF(T132="","",I132*T132)</x:f>
        <x:v>6495.994518730065</x:v>
      </x:c>
    </x:row>
    <x:row r="133" ht="18" customHeight="1">
      <x:c r="A133" s="46" t="str">
        <x:v>LME_048</x:v>
      </x:c>
      <x:c r="B133" s="46" t="str">
        <x:v>Yellow Sea</x:v>
      </x:c>
      <x:c r="C133" s="46" t="str">
        <x:v>LME</x:v>
      </x:c>
      <x:c r="D133" s="58" t="n">
        <x:v>2019</x:v>
      </x:c>
      <x:c r="E133" s="46" t="str">
        <x:v>Ommastrephidae</x:v>
      </x:c>
      <x:c r="F133" s="46" t="str">
        <x:v>Arrow squids</x:v>
      </x:c>
      <x:c r="G133" s="46" t="str">
        <x:v>Cephalopods</x:v>
      </x:c>
      <x:c r="H133" s="46" t="str">
        <x:v>Other fishes &amp; inverts</x:v>
      </x:c>
      <x:c r="I133" s="60" t="n">
        <x:v>35.1873924977</x:v>
      </x:c>
      <x:c r="J133" s="60" t="n">
        <x:v>35.1463276511</x:v>
      </x:c>
      <x:c r="K133" s="60" t="n">
        <x:v>0.041064846599999996</x:v>
      </x:c>
      <x:c r="L133" s="60" t="n">
        <x:v>0</x:v>
      </x:c>
      <x:c r="M133" s="60" t="n">
        <x:v>35.1873924977</x:v>
      </x:c>
      <x:c r="N133" s="46" t="str">
        <x:v>ommastrephidae</x:v>
      </x:c>
      <x:c r="O133" s="62" t="n">
        <x:v>4.09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Ommastrephidae</x:v>
      </x:c>
      <x:c r="T133" s="62" t="n">
        <x:f>IF(O133="","",(1/'Metadata'!$B$5)^(O133-1))</x:f>
        <x:v>1230.268770812381</x:v>
      </x:c>
      <x:c r="U133" s="60" t="n">
        <x:f>IF(T133="","",I133*T133)</x:f>
        <x:v>43289.95011623818</x:v>
      </x:c>
    </x:row>
    <x:row r="134" ht="18" customHeight="1">
      <x:c r="A134" s="46" t="str">
        <x:v>LME_048</x:v>
      </x:c>
      <x:c r="B134" s="46" t="str">
        <x:v>Yellow Sea</x:v>
      </x:c>
      <x:c r="C134" s="46" t="str">
        <x:v>LME</x:v>
      </x:c>
      <x:c r="D134" s="58" t="n">
        <x:v>2019</x:v>
      </x:c>
      <x:c r="E134" s="46" t="str">
        <x:v>Turbo cornutus</x:v>
      </x:c>
      <x:c r="F134" s="46" t="str">
        <x:v>Horned turban</x:v>
      </x:c>
      <x:c r="G134" s="46" t="str">
        <x:v>Other demersal invertebrates</x:v>
      </x:c>
      <x:c r="H134" s="46" t="str">
        <x:v>Molluscs</x:v>
      </x:c>
      <x:c r="I134" s="60" t="n">
        <x:v>33.9460999317</x:v>
      </x:c>
      <x:c r="J134" s="60" t="n">
        <x:v>33.8955763635</x:v>
      </x:c>
      <x:c r="K134" s="60" t="n">
        <x:v>0.0505235682</x:v>
      </x:c>
      <x:c r="L134" s="60" t="n">
        <x:v>33.7831163358</x:v>
      </x:c>
      <x:c r="M134" s="60" t="n">
        <x:v>0.1629835959</x:v>
      </x:c>
      <x:c r="N134" s="46" t="str">
        <x:v>turbo cornutus</x:v>
      </x:c>
      <x:c r="O134" s="62" t="n">
        <x:v>2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Turbo cornutus</x:v>
      </x:c>
      <x:c r="T134" s="62" t="n">
        <x:f>IF(O134="","",(1/'Metadata'!$B$5)^(O134-1))</x:f>
        <x:v>10</x:v>
      </x:c>
      <x:c r="U134" s="60" t="n">
        <x:f>IF(T134="","",I134*T134)</x:f>
        <x:v>339.46099931699996</x:v>
      </x:c>
    </x:row>
    <x:row r="135" ht="18" customHeight="1">
      <x:c r="A135" s="46" t="str">
        <x:v>LME_048</x:v>
      </x:c>
      <x:c r="B135" s="46" t="str">
        <x:v>Yellow Sea</x:v>
      </x:c>
      <x:c r="C135" s="46" t="str">
        <x:v>LME</x:v>
      </x:c>
      <x:c r="D135" s="58" t="n">
        <x:v>2019</x:v>
      </x:c>
      <x:c r="E135" s="46" t="str">
        <x:v>Lethrinidae</x:v>
      </x:c>
      <x:c r="F135" s="46" t="str">
        <x:v>Emperors, scavengers</x:v>
      </x:c>
      <x:c r="G135" s="46" t="str">
        <x:v>Medium reef assoc. fish (30 - 89 cm)</x:v>
      </x:c>
      <x:c r="H135" s="46" t="str">
        <x:v>Perch-likes</x:v>
      </x:c>
      <x:c r="I135" s="60" t="n">
        <x:v>33.779239571</x:v>
      </x:c>
      <x:c r="J135" s="60" t="n">
        <x:v>33.779239571</x:v>
      </x:c>
      <x:c r="K135" s="60" t="n">
        <x:v>0</x:v>
      </x:c>
      <x:c r="L135" s="60" t="n">
        <x:v>8.6999970249</x:v>
      </x:c>
      <x:c r="M135" s="60" t="n">
        <x:v>25.079242546099998</x:v>
      </x:c>
      <x:c r="N135" s="46" t="str">
        <x:v>lethrinidae</x:v>
      </x:c>
      <x:c r="O135" s="62" t="n">
        <x:v>3.59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Lethrinidae</x:v>
      </x:c>
      <x:c r="T135" s="62" t="n">
        <x:f>IF(O135="","",(1/'Metadata'!$B$5)^(O135-1))</x:f>
        <x:v>389.04514499428046</x:v>
      </x:c>
      <x:c r="U135" s="60" t="n">
        <x:f>IF(T135="","",I135*T135)</x:f>
        <x:v>13141.64915669623</x:v>
      </x:c>
    </x:row>
    <x:row r="136" ht="18" customHeight="1">
      <x:c r="A136" s="46" t="str">
        <x:v>LME_048</x:v>
      </x:c>
      <x:c r="B136" s="46" t="str">
        <x:v>Yellow Sea</x:v>
      </x:c>
      <x:c r="C136" s="46" t="str">
        <x:v>LME</x:v>
      </x:c>
      <x:c r="D136" s="58" t="n">
        <x:v>2019</x:v>
      </x:c>
      <x:c r="E136" s="46" t="str">
        <x:v>Spratelloides gracilis</x:v>
      </x:c>
      <x:c r="F136" s="46" t="str">
        <x:v>Silver-stripe round herring</x:v>
      </x:c>
      <x:c r="G136" s="46" t="str">
        <x:v>Small pelagics (&lt;30 cm)</x:v>
      </x:c>
      <x:c r="H136" s="46" t="str">
        <x:v>Herring-likes</x:v>
      </x:c>
      <x:c r="I136" s="60" t="n">
        <x:v>28.1720501954</x:v>
      </x:c>
      <x:c r="J136" s="60" t="n">
        <x:v>6.0263307369</x:v>
      </x:c>
      <x:c r="K136" s="60" t="n">
        <x:v>22.1457194585</x:v>
      </x:c>
      <x:c r="L136" s="60" t="n">
        <x:v>5.9971631053</x:v>
      </x:c>
      <x:c r="M136" s="60" t="n">
        <x:v>22.1748870901</x:v>
      </x:c>
      <x:c r="N136" s="46" t="str">
        <x:v>spratelloides gracilis</x:v>
      </x:c>
      <x:c r="O136" s="62" t="n">
        <x:v>3.06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Spratelloides gracilis</x:v>
      </x:c>
      <x:c r="T136" s="62" t="n">
        <x:f>IF(O136="","",(1/'Metadata'!$B$5)^(O136-1))</x:f>
        <x:v>114.81536214968828</x:v>
      </x:c>
      <x:c r="U136" s="60" t="n">
        <x:f>IF(T136="","",I136*T136)</x:f>
        <x:v>3234.5841456840476</x:v>
      </x:c>
    </x:row>
    <x:row r="137" ht="18" customHeight="1">
      <x:c r="A137" s="46" t="str">
        <x:v>LME_048</x:v>
      </x:c>
      <x:c r="B137" s="46" t="str">
        <x:v>Yellow Sea</x:v>
      </x:c>
      <x:c r="C137" s="46" t="str">
        <x:v>LME</x:v>
      </x:c>
      <x:c r="D137" s="58" t="n">
        <x:v>2019</x:v>
      </x:c>
      <x:c r="E137" s="46" t="str">
        <x:v>Seriola dumerili</x:v>
      </x:c>
      <x:c r="F137" s="46" t="str">
        <x:v>Greater amberjack</x:v>
      </x:c>
      <x:c r="G137" s="46" t="str">
        <x:v>Large reef assoc. fish (&gt;=90 cm)</x:v>
      </x:c>
      <x:c r="H137" s="46" t="str">
        <x:v>Perch-likes</x:v>
      </x:c>
      <x:c r="I137" s="60" t="n">
        <x:v>26.8278167695</x:v>
      </x:c>
      <x:c r="J137" s="60" t="n">
        <x:v>26.8278167695</x:v>
      </x:c>
      <x:c r="K137" s="60" t="n">
        <x:v>0</x:v>
      </x:c>
      <x:c r="L137" s="60" t="n">
        <x:v>14.1085238761</x:v>
      </x:c>
      <x:c r="M137" s="60" t="n">
        <x:v>12.7192928934</x:v>
      </x:c>
      <x:c r="N137" s="46" t="str">
        <x:v>seriola dumerili</x:v>
      </x:c>
      <x:c r="O137" s="62" t="n">
        <x:v>4.5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Seriola dumerili</x:v>
      </x:c>
      <x:c r="T137" s="62" t="n">
        <x:f>IF(O137="","",(1/'Metadata'!$B$5)^(O137-1))</x:f>
        <x:v>3162.2776601683795</x:v>
      </x:c>
      <x:c r="U137" s="60" t="n">
        <x:f>IF(T137="","",I137*T137)</x:f>
        <x:v>84837.00564128047</x:v>
      </x:c>
    </x:row>
    <x:row r="138" ht="18" customHeight="1">
      <x:c r="A138" s="46" t="str">
        <x:v>LME_048</x:v>
      </x:c>
      <x:c r="B138" s="46" t="str">
        <x:v>Yellow Sea</x:v>
      </x:c>
      <x:c r="C138" s="46" t="str">
        <x:v>LME</x:v>
      </x:c>
      <x:c r="D138" s="58" t="n">
        <x:v>2019</x:v>
      </x:c>
      <x:c r="E138" s="46" t="str">
        <x:v>Scaridae</x:v>
      </x:c>
      <x:c r="F138" s="46" t="str">
        <x:v>Parrotfishes</x:v>
      </x:c>
      <x:c r="G138" s="46" t="str">
        <x:v>Medium reef assoc. fish (30 - 89 cm)</x:v>
      </x:c>
      <x:c r="H138" s="46" t="str">
        <x:v>Perch-likes</x:v>
      </x:c>
      <x:c r="I138" s="60" t="n">
        <x:v>26.4362360438</x:v>
      </x:c>
      <x:c r="J138" s="60" t="n">
        <x:v>25.416299344</x:v>
      </x:c>
      <x:c r="K138" s="60" t="n">
        <x:v>1.0199366998</x:v>
      </x:c>
      <x:c r="L138" s="60" t="n">
        <x:v>23.749606528</x:v>
      </x:c>
      <x:c r="M138" s="60" t="n">
        <x:v>2.6866295158</x:v>
      </x:c>
      <x:c r="N138" s="46" t="str">
        <x:v>scaridae</x:v>
      </x:c>
      <x:c r="O138" s="62" t="n">
        <x:v>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Scaridae</x:v>
      </x:c>
      <x:c r="T138" s="62" t="n">
        <x:f>IF(O138="","",(1/'Metadata'!$B$5)^(O138-1))</x:f>
        <x:v>10</x:v>
      </x:c>
      <x:c r="U138" s="60" t="n">
        <x:f>IF(T138="","",I138*T138)</x:f>
        <x:v>264.362360438</x:v>
      </x:c>
    </x:row>
    <x:row r="139" ht="18" customHeight="1">
      <x:c r="A139" s="46" t="str">
        <x:v>LME_048</x:v>
      </x:c>
      <x:c r="B139" s="46" t="str">
        <x:v>Yellow Sea</x:v>
      </x:c>
      <x:c r="C139" s="46" t="str">
        <x:v>LME</x:v>
      </x:c>
      <x:c r="D139" s="58" t="n">
        <x:v>2019</x:v>
      </x:c>
      <x:c r="E139" s="46" t="str">
        <x:v>Niphon spinosus</x:v>
      </x:c>
      <x:c r="F139" s="46" t="str">
        <x:v>Ara</x:v>
      </x:c>
      <x:c r="G139" s="46" t="str">
        <x:v>Medium demersals (30 - 89 cm)</x:v>
      </x:c>
      <x:c r="H139" s="46" t="str">
        <x:v>Perch-likes</x:v>
      </x:c>
      <x:c r="I139" s="60" t="n">
        <x:v>26.1928222073</x:v>
      </x:c>
      <x:c r="J139" s="60" t="n">
        <x:v>26.1928222073</x:v>
      </x:c>
      <x:c r="K139" s="60" t="n">
        <x:v>0</x:v>
      </x:c>
      <x:c r="L139" s="60" t="n">
        <x:v>0</x:v>
      </x:c>
      <x:c r="M139" s="60" t="n">
        <x:v>26.1928222073</x:v>
      </x:c>
      <x:c r="N139" s="46" t="str">
        <x:v>niphon spinosus</x:v>
      </x:c>
      <x:c r="O139" s="62" t="n">
        <x:v>4.5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Niphon spinosus</x:v>
      </x:c>
      <x:c r="T139" s="62" t="n">
        <x:f>IF(O139="","",(1/'Metadata'!$B$5)^(O139-1))</x:f>
        <x:v>3162.2776601683795</x:v>
      </x:c>
      <x:c r="U139" s="60" t="n">
        <x:f>IF(T139="","",I139*T139)</x:f>
        <x:v>82828.97652290702</x:v>
      </x:c>
    </x:row>
    <x:row r="140" ht="18" customHeight="1">
      <x:c r="A140" s="46" t="str">
        <x:v>LME_048</x:v>
      </x:c>
      <x:c r="B140" s="46" t="str">
        <x:v>Yellow Sea</x:v>
      </x:c>
      <x:c r="C140" s="46" t="str">
        <x:v>LME</x:v>
      </x:c>
      <x:c r="D140" s="58" t="n">
        <x:v>2019</x:v>
      </x:c>
      <x:c r="E140" s="46" t="str">
        <x:v>Metapenaeus</x:v>
      </x:c>
      <x:c r="F140" s="46" t="str">
        <x:v>Indo-Pacific prawns</x:v>
      </x:c>
      <x:c r="G140" s="46" t="str">
        <x:v>Shrimps</x:v>
      </x:c>
      <x:c r="H140" s="46" t="str">
        <x:v>Crustaceans</x:v>
      </x:c>
      <x:c r="I140" s="60" t="n">
        <x:v>23.837871260500002</x:v>
      </x:c>
      <x:c r="J140" s="60" t="n">
        <x:v>19.2731186308</x:v>
      </x:c>
      <x:c r="K140" s="60" t="n">
        <x:v>4.5647526297</x:v>
      </x:c>
      <x:c r="L140" s="60" t="n">
        <x:v>7.6147916497</x:v>
      </x:c>
      <x:c r="M140" s="60" t="n">
        <x:v>16.2230796108</x:v>
      </x:c>
      <x:c r="N140" s="46" t="str">
        <x:v>metapenaeus</x:v>
      </x:c>
      <x:c r="O140" s="62" t="n">
        <x:v>2.7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Metapenaeus</x:v>
      </x:c>
      <x:c r="T140" s="62" t="n">
        <x:f>IF(O140="","",(1/'Metadata'!$B$5)^(O140-1))</x:f>
        <x:v>50.11872336272725</x:v>
      </x:c>
      <x:c r="U140" s="60" t="n">
        <x:f>IF(T140="","",I140*T140)</x:f>
        <x:v>1194.723675261306</x:v>
      </x:c>
    </x:row>
    <x:row r="141" ht="18" customHeight="1">
      <x:c r="A141" s="46" t="str">
        <x:v>LME_048</x:v>
      </x:c>
      <x:c r="B141" s="46" t="str">
        <x:v>Yellow Sea</x:v>
      </x:c>
      <x:c r="C141" s="46" t="str">
        <x:v>LME</x:v>
      </x:c>
      <x:c r="D141" s="58" t="n">
        <x:v>2019</x:v>
      </x:c>
      <x:c r="E141" s="46" t="str">
        <x:v>Berycidae</x:v>
      </x:c>
      <x:c r="F141" s="46" t="str">
        <x:v>Alfonsinos, redfishes</x:v>
      </x:c>
      <x:c r="G141" s="46" t="str">
        <x:v>Medium benthopelagics (30 - 89 cm)</x:v>
      </x:c>
      <x:c r="H141" s="46" t="str">
        <x:v>Other fishes &amp; inverts</x:v>
      </x:c>
      <x:c r="I141" s="60" t="n">
        <x:v>21.6482216027</x:v>
      </x:c>
      <x:c r="J141" s="60" t="n">
        <x:v>21.5721562339</x:v>
      </x:c>
      <x:c r="K141" s="60" t="n">
        <x:v>0.0760653688</x:v>
      </x:c>
      <x:c r="L141" s="60" t="n">
        <x:v>21.5721562339</x:v>
      </x:c>
      <x:c r="M141" s="60" t="n">
        <x:v>0.0760653688</x:v>
      </x:c>
      <x:c r="N141" s="46" t="str">
        <x:v>berycidae</x:v>
      </x:c>
      <x:c r="O141" s="62" t="n">
        <x:v>3.99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Berycidae</x:v>
      </x:c>
      <x:c r="T141" s="62" t="n">
        <x:f>IF(O141="","",(1/'Metadata'!$B$5)^(O141-1))</x:f>
        <x:v>977.2372209558112</x:v>
      </x:c>
      <x:c r="U141" s="60" t="n">
        <x:f>IF(T141="","",I141*T141)</x:f>
        <x:v>21155.447917658104</x:v>
      </x:c>
    </x:row>
    <x:row r="142" ht="18" customHeight="1">
      <x:c r="A142" s="46" t="str">
        <x:v>LME_048</x:v>
      </x:c>
      <x:c r="B142" s="46" t="str">
        <x:v>Yellow Sea</x:v>
      </x:c>
      <x:c r="C142" s="46" t="str">
        <x:v>LME</x:v>
      </x:c>
      <x:c r="D142" s="58" t="n">
        <x:v>2019</x:v>
      </x:c>
      <x:c r="E142" s="46" t="str">
        <x:v>Decapterus</x:v>
      </x:c>
      <x:c r="F142" s="46" t="str">
        <x:v>Scads</x:v>
      </x:c>
      <x:c r="G142" s="46" t="str">
        <x:v>Medium pelagics (30 - 89 cm)</x:v>
      </x:c>
      <x:c r="H142" s="46" t="str">
        <x:v>Perch-likes</x:v>
      </x:c>
      <x:c r="I142" s="60" t="n">
        <x:v>21.4013229173</x:v>
      </x:c>
      <x:c r="J142" s="60" t="n">
        <x:v>21.4013229173</x:v>
      </x:c>
      <x:c r="K142" s="60" t="n">
        <x:v>0</x:v>
      </x:c>
      <x:c r="L142" s="60" t="n">
        <x:v>0</x:v>
      </x:c>
      <x:c r="M142" s="60" t="n">
        <x:v>21.4013229173</x:v>
      </x:c>
      <x:c r="N142" s="46" t="str">
        <x:v>decapterus</x:v>
      </x:c>
      <x:c r="O142" s="62" t="n">
        <x:v>3.63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Decapterus</x:v>
      </x:c>
      <x:c r="T142" s="62" t="n">
        <x:f>IF(O142="","",(1/'Metadata'!$B$5)^(O142-1))</x:f>
        <x:v>426.57951880159254</x:v>
      </x:c>
      <x:c r="U142" s="60" t="n">
        <x:f>IF(T142="","",I142*T142)</x:f>
        <x:v>9129.36603177933</x:v>
      </x:c>
    </x:row>
    <x:row r="143" ht="18" customHeight="1">
      <x:c r="A143" s="46" t="str">
        <x:v>LME_048</x:v>
      </x:c>
      <x:c r="B143" s="46" t="str">
        <x:v>Yellow Sea</x:v>
      </x:c>
      <x:c r="C143" s="46" t="str">
        <x:v>LME</x:v>
      </x:c>
      <x:c r="D143" s="58" t="n">
        <x:v>2019</x:v>
      </x:c>
      <x:c r="E143" s="46" t="str">
        <x:v>Exocoetidae</x:v>
      </x:c>
      <x:c r="F143" s="46" t="str">
        <x:v>Flyingfishes</x:v>
      </x:c>
      <x:c r="G143" s="46" t="str">
        <x:v>Small pelagics (&lt;30 cm)</x:v>
      </x:c>
      <x:c r="H143" s="46" t="str">
        <x:v>Other fishes &amp; inverts</x:v>
      </x:c>
      <x:c r="I143" s="60" t="n">
        <x:v>18.817113874900002</x:v>
      </x:c>
      <x:c r="J143" s="60" t="n">
        <x:v>18.783624928600002</x:v>
      </x:c>
      <x:c r="K143" s="60" t="n">
        <x:v>0.0334889463</x:v>
      </x:c>
      <x:c r="L143" s="60" t="n">
        <x:v>17.4707964894</x:v>
      </x:c>
      <x:c r="M143" s="60" t="n">
        <x:v>1.3463173855</x:v>
      </x:c>
      <x:c r="N143" s="46" t="str">
        <x:v>exocoetidae</x:v>
      </x:c>
      <x:c r="O143" s="62" t="n">
        <x:v>3.57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Exocoetidae</x:v>
      </x:c>
      <x:c r="T143" s="62" t="n">
        <x:f>IF(O143="","",(1/'Metadata'!$B$5)^(O143-1))</x:f>
        <x:v>371.5352290971724</x:v>
      </x:c>
      <x:c r="U143" s="60" t="n">
        <x:f>IF(T143="","",I143*T143)</x:f>
        <x:v>6991.2207144585545</x:v>
      </x:c>
    </x:row>
    <x:row r="144" ht="18" customHeight="1">
      <x:c r="A144" s="46" t="str">
        <x:v>LME_048</x:v>
      </x:c>
      <x:c r="B144" s="46" t="str">
        <x:v>Yellow Sea</x:v>
      </x:c>
      <x:c r="C144" s="46" t="str">
        <x:v>LME</x:v>
      </x:c>
      <x:c r="D144" s="58" t="n">
        <x:v>2019</x:v>
      </x:c>
      <x:c r="E144" s="46" t="str">
        <x:v>Mactridae</x:v>
      </x:c>
      <x:c r="F144" s="46" t="str">
        <x:v>Mactra surf clams</x:v>
      </x:c>
      <x:c r="G144" s="46" t="str">
        <x:v>Other demersal invertebrates</x:v>
      </x:c>
      <x:c r="H144" s="46" t="str">
        <x:v>Molluscs</x:v>
      </x:c>
      <x:c r="I144" s="60" t="n">
        <x:v>18.6640711893</x:v>
      </x:c>
      <x:c r="J144" s="60" t="n">
        <x:v>18.6640711893</x:v>
      </x:c>
      <x:c r="K144" s="60" t="n">
        <x:v>0</x:v>
      </x:c>
      <x:c r="L144" s="60" t="n">
        <x:v>18.6640711893</x:v>
      </x:c>
      <x:c r="M144" s="60" t="n">
        <x:v>0</x:v>
      </x:c>
      <x:c r="N144" s="46" t="str">
        <x:v>mactridae</x:v>
      </x:c>
      <x:c r="O144" s="62" t="n">
        <x:v>2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Mactridae</x:v>
      </x:c>
      <x:c r="T144" s="62" t="n">
        <x:f>IF(O144="","",(1/'Metadata'!$B$5)^(O144-1))</x:f>
        <x:v>10</x:v>
      </x:c>
      <x:c r="U144" s="60" t="n">
        <x:f>IF(T144="","",I144*T144)</x:f>
        <x:v>186.640711893</x:v>
      </x:c>
    </x:row>
    <x:row r="145" ht="18" customHeight="1">
      <x:c r="A145" s="46" t="str">
        <x:v>LME_048</x:v>
      </x:c>
      <x:c r="B145" s="46" t="str">
        <x:v>Yellow Sea</x:v>
      </x:c>
      <x:c r="C145" s="46" t="str">
        <x:v>LME</x:v>
      </x:c>
      <x:c r="D145" s="58" t="n">
        <x:v>2019</x:v>
      </x:c>
      <x:c r="E145" s="46" t="str">
        <x:v>Gadidae</x:v>
      </x:c>
      <x:c r="F145" s="46" t="str">
        <x:v>Cods, haddocks</x:v>
      </x:c>
      <x:c r="G145" s="46" t="str">
        <x:v>Medium demersals (30 - 89 cm)</x:v>
      </x:c>
      <x:c r="H145" s="46" t="str">
        <x:v>Cod-likes</x:v>
      </x:c>
      <x:c r="I145" s="60" t="n">
        <x:v>18.2002059434</x:v>
      </x:c>
      <x:c r="J145" s="60" t="n">
        <x:v>18.2002059434</x:v>
      </x:c>
      <x:c r="K145" s="60" t="n">
        <x:v>0</x:v>
      </x:c>
      <x:c r="L145" s="60" t="n">
        <x:v>0</x:v>
      </x:c>
      <x:c r="M145" s="60" t="n">
        <x:v>18.2002059434</x:v>
      </x:c>
      <x:c r="N145" s="46" t="str">
        <x:v>gadidae</x:v>
      </x:c>
      <x:c r="O145" s="62" t="n">
        <x:v>3.84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Gadidae</x:v>
      </x:c>
      <x:c r="T145" s="62" t="n">
        <x:f>IF(O145="","",(1/'Metadata'!$B$5)^(O145-1))</x:f>
        <x:v>691.8309709189363</x:v>
      </x:c>
      <x:c r="U145" s="60" t="n">
        <x:f>IF(T145="","",I145*T145)</x:f>
        <x:v>12591.466148747017</x:v>
      </x:c>
    </x:row>
    <x:row r="146" ht="18" customHeight="1">
      <x:c r="A146" s="46" t="str">
        <x:v>LME_048</x:v>
      </x:c>
      <x:c r="B146" s="46" t="str">
        <x:v>Yellow Sea</x:v>
      </x:c>
      <x:c r="C146" s="46" t="str">
        <x:v>LME</x:v>
      </x:c>
      <x:c r="D146" s="58" t="n">
        <x:v>2019</x:v>
      </x:c>
      <x:c r="E146" s="46" t="str">
        <x:v>Perciformes</x:v>
      </x:c>
      <x:c r="F146" s="46" t="str">
        <x:v>Perch-likes</x:v>
      </x:c>
      <x:c r="G146" s="46" t="str">
        <x:v>Medium demersals (30 - 89 cm)</x:v>
      </x:c>
      <x:c r="H146" s="46" t="str">
        <x:v>Perch-likes</x:v>
      </x:c>
      <x:c r="I146" s="60" t="n">
        <x:v>14.2017051486</x:v>
      </x:c>
      <x:c r="J146" s="60" t="n">
        <x:v>13.4201257127</x:v>
      </x:c>
      <x:c r="K146" s="60" t="n">
        <x:v>0.7815794359</x:v>
      </x:c>
      <x:c r="L146" s="60" t="n">
        <x:v>13.4201257127</x:v>
      </x:c>
      <x:c r="M146" s="60" t="n">
        <x:v>0.7815794359</x:v>
      </x:c>
      <x:c r="N146" s="46" t="str">
        <x:v>perciformes</x:v>
      </x:c>
      <x:c r="O146" s="62" t="n">
        <x:v>3.53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Perciformes</x:v>
      </x:c>
      <x:c r="T146" s="62" t="n">
        <x:f>IF(O146="","",(1/'Metadata'!$B$5)^(O146-1))</x:f>
        <x:v>338.84415613920237</x:v>
      </x:c>
      <x:c r="U146" s="60" t="n">
        <x:f>IF(T146="","",I146*T146)</x:f>
        <x:v>4812.164796815133</x:v>
      </x:c>
    </x:row>
    <x:row r="147" ht="18" customHeight="1">
      <x:c r="A147" s="46" t="str">
        <x:v>LME_048</x:v>
      </x:c>
      <x:c r="B147" s="46" t="str">
        <x:v>Yellow Sea</x:v>
      </x:c>
      <x:c r="C147" s="46" t="str">
        <x:v>LME</x:v>
      </x:c>
      <x:c r="D147" s="58" t="n">
        <x:v>2019</x:v>
      </x:c>
      <x:c r="E147" s="46" t="str">
        <x:v>Gymnocranius</x:v>
      </x:c>
      <x:c r="F147" s="46" t="str">
        <x:v>Largeeye breams</x:v>
      </x:c>
      <x:c r="G147" s="46" t="str">
        <x:v>Medium reef assoc. fish (30 - 89 cm)</x:v>
      </x:c>
      <x:c r="H147" s="46" t="str">
        <x:v>Perch-likes</x:v>
      </x:c>
      <x:c r="I147" s="60" t="n">
        <x:v>13.2050659639</x:v>
      </x:c>
      <x:c r="J147" s="60" t="n">
        <x:v>13.2050659639</x:v>
      </x:c>
      <x:c r="K147" s="60" t="n">
        <x:v>0</x:v>
      </x:c>
      <x:c r="L147" s="60" t="n">
        <x:v>3.3980398286</x:v>
      </x:c>
      <x:c r="M147" s="60" t="n">
        <x:v>9.8070261353</x:v>
      </x:c>
      <x:c r="N147" s="46" t="str">
        <x:v>gymnocranius</x:v>
      </x:c>
      <x:c r="O147" s="62" t="n">
        <x:v>3.4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Gymnocranius</x:v>
      </x:c>
      <x:c r="T147" s="62" t="n">
        <x:f>IF(O147="","",(1/'Metadata'!$B$5)^(O147-1))</x:f>
        <x:v>251.18864315095797</x:v>
      </x:c>
      <x:c r="U147" s="60" t="n">
        <x:f>IF(T147="","",I147*T147)</x:f>
        <x:v>3316.9626021909376</x:v>
      </x:c>
    </x:row>
    <x:row r="148" ht="18" customHeight="1">
      <x:c r="A148" s="46" t="str">
        <x:v>LME_048</x:v>
      </x:c>
      <x:c r="B148" s="46" t="str">
        <x:v>Yellow Sea</x:v>
      </x:c>
      <x:c r="C148" s="46" t="str">
        <x:v>LME</x:v>
      </x:c>
      <x:c r="D148" s="58" t="n">
        <x:v>2019</x:v>
      </x:c>
      <x:c r="E148" s="46" t="str">
        <x:v>Scomberomorus guttatus</x:v>
      </x:c>
      <x:c r="F148" s="46" t="str">
        <x:v>Indo-Pacific king mackerel</x:v>
      </x:c>
      <x:c r="G148" s="46" t="str">
        <x:v>Medium pelagics (30 - 89 cm)</x:v>
      </x:c>
      <x:c r="H148" s="46" t="str">
        <x:v>Perch-likes</x:v>
      </x:c>
      <x:c r="I148" s="60" t="n">
        <x:v>11.7971738659</x:v>
      </x:c>
      <x:c r="J148" s="60" t="n">
        <x:v>11.7909898236</x:v>
      </x:c>
      <x:c r="K148" s="60" t="n">
        <x:v>0.0061840423</x:v>
      </x:c>
      <x:c r="L148" s="60" t="n">
        <x:v>4.2447456443</x:v>
      </x:c>
      <x:c r="M148" s="60" t="n">
        <x:v>7.5524282216</x:v>
      </x:c>
      <x:c r="N148" s="46" t="str">
        <x:v>scomberomorus guttatus</x:v>
      </x:c>
      <x:c r="O148" s="62" t="n">
        <x:v>4.28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Scomberomorus guttatus</x:v>
      </x:c>
      <x:c r="T148" s="62" t="n">
        <x:f>IF(O148="","",(1/'Metadata'!$B$5)^(O148-1))</x:f>
        <x:v>1905.4607179632483</x:v>
      </x:c>
      <x:c r="U148" s="60" t="n">
        <x:f>IF(T148="","",I148*T148)</x:f>
        <x:v>22479.051384455084</x:v>
      </x:c>
    </x:row>
    <x:row r="149" ht="18" customHeight="1">
      <x:c r="A149" s="46" t="str">
        <x:v>LME_048</x:v>
      </x:c>
      <x:c r="B149" s="46" t="str">
        <x:v>Yellow Sea</x:v>
      </x:c>
      <x:c r="C149" s="46" t="str">
        <x:v>LME</x:v>
      </x:c>
      <x:c r="D149" s="58" t="n">
        <x:v>2019</x:v>
      </x:c>
      <x:c r="E149" s="46" t="str">
        <x:v>Scyllaridae</x:v>
      </x:c>
      <x:c r="F149" s="46" t="str">
        <x:v>Slipper lobsters</x:v>
      </x:c>
      <x:c r="G149" s="46" t="str">
        <x:v>Lobsters, crabs</x:v>
      </x:c>
      <x:c r="H149" s="46" t="str">
        <x:v>Crustaceans</x:v>
      </x:c>
      <x:c r="I149" s="60" t="n">
        <x:v>10.5651894165</x:v>
      </x:c>
      <x:c r="J149" s="60" t="n">
        <x:v>10.2437238348</x:v>
      </x:c>
      <x:c r="K149" s="60" t="n">
        <x:v>0.3214655817</x:v>
      </x:c>
      <x:c r="L149" s="60" t="n">
        <x:v>10.2437238348</x:v>
      </x:c>
      <x:c r="M149" s="60" t="n">
        <x:v>0.3214655817</x:v>
      </x:c>
      <x:c r="N149" s="46" t="str">
        <x:v>scyllaridae</x:v>
      </x:c>
      <x:c r="O149" s="62" t="n">
        <x:v>2.87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Scyllaridae</x:v>
      </x:c>
      <x:c r="T149" s="62" t="n">
        <x:f>IF(O149="","",(1/'Metadata'!$B$5)^(O149-1))</x:f>
        <x:v>74.13102413009177</x:v>
      </x:c>
      <x:c r="U149" s="60" t="n">
        <x:f>IF(T149="","",I149*T149)</x:f>
        <x:v>783.2083115735518</x:v>
      </x:c>
    </x:row>
    <x:row r="150" ht="18" customHeight="1">
      <x:c r="A150" s="46" t="str">
        <x:v>LME_048</x:v>
      </x:c>
      <x:c r="B150" s="46" t="str">
        <x:v>Yellow Sea</x:v>
      </x:c>
      <x:c r="C150" s="46" t="str">
        <x:v>LME</x:v>
      </x:c>
      <x:c r="D150" s="58" t="n">
        <x:v>2019</x:v>
      </x:c>
      <x:c r="E150" s="46" t="str">
        <x:v>Mola mola</x:v>
      </x:c>
      <x:c r="F150" s="46" t="str">
        <x:v>Ocean sunfish</x:v>
      </x:c>
      <x:c r="G150" s="46" t="str">
        <x:v>Large pelagics (&gt;=90 cm)</x:v>
      </x:c>
      <x:c r="H150" s="46" t="str">
        <x:v>Other fishes &amp; inverts</x:v>
      </x:c>
      <x:c r="I150" s="60" t="n">
        <x:v>7.4651848195</x:v>
      </x:c>
      <x:c r="J150" s="60" t="n">
        <x:v>7.4651848195</x:v>
      </x:c>
      <x:c r="K150" s="60" t="n">
        <x:v>0</x:v>
      </x:c>
      <x:c r="L150" s="60" t="n">
        <x:v>6.2625552709</x:v>
      </x:c>
      <x:c r="M150" s="60" t="n">
        <x:v>1.2026295486</x:v>
      </x:c>
      <x:c r="N150" s="46" t="str">
        <x:v>mola mola</x:v>
      </x:c>
      <x:c r="O150" s="62" t="n">
        <x:v>3.68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Mola mola</x:v>
      </x:c>
      <x:c r="T150" s="62" t="n">
        <x:f>IF(O150="","",(1/'Metadata'!$B$5)^(O150-1))</x:f>
        <x:v>478.6300923226385</x:v>
      </x:c>
      <x:c r="U150" s="60" t="n">
        <x:f>IF(T150="","",I150*T150)</x:f>
        <x:v>3573.0620993628445</x:v>
      </x:c>
    </x:row>
    <x:row r="151" ht="18" customHeight="1">
      <x:c r="A151" s="46" t="str">
        <x:v>LME_048</x:v>
      </x:c>
      <x:c r="B151" s="46" t="str">
        <x:v>Yellow Sea</x:v>
      </x:c>
      <x:c r="C151" s="46" t="str">
        <x:v>LME</x:v>
      </x:c>
      <x:c r="D151" s="58" t="n">
        <x:v>2019</x:v>
      </x:c>
      <x:c r="E151" s="46" t="str">
        <x:v>Thunnus alalunga</x:v>
      </x:c>
      <x:c r="F151" s="46" t="str">
        <x:v>Albacore</x:v>
      </x:c>
      <x:c r="G151" s="46" t="str">
        <x:v>Large pelagics (&gt;=90 cm)</x:v>
      </x:c>
      <x:c r="H151" s="46" t="str">
        <x:v>Tuna &amp; billfishes</x:v>
      </x:c>
      <x:c r="I151" s="60" t="n">
        <x:v>7.2549770305</x:v>
      </x:c>
      <x:c r="J151" s="60" t="n">
        <x:v>7.1607509097</x:v>
      </x:c>
      <x:c r="K151" s="60" t="n">
        <x:v>0.09422612080000001</x:v>
      </x:c>
      <x:c r="L151" s="60" t="n">
        <x:v>7.1607509097</x:v>
      </x:c>
      <x:c r="M151" s="60" t="n">
        <x:v>0.09422612080000001</x:v>
      </x:c>
      <x:c r="N151" s="46" t="str">
        <x:v>thunnus alalunga</x:v>
      </x:c>
      <x:c r="O151" s="62" t="n">
        <x:v>4.3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Thunnus alalunga</x:v>
      </x:c>
      <x:c r="T151" s="62" t="n">
        <x:f>IF(O151="","",(1/'Metadata'!$B$5)^(O151-1))</x:f>
        <x:v>1995.2623149688789</x:v>
      </x:c>
      <x:c r="U151" s="60" t="n">
        <x:f>IF(T151="","",I151*T151)</x:f>
        <x:v>14475.582264921473</x:v>
      </x:c>
    </x:row>
    <x:row r="152" ht="18" customHeight="1">
      <x:c r="A152" s="46" t="str">
        <x:v>LME_048</x:v>
      </x:c>
      <x:c r="B152" s="46" t="str">
        <x:v>Yellow Sea</x:v>
      </x:c>
      <x:c r="C152" s="46" t="str">
        <x:v>LME</x:v>
      </x:c>
      <x:c r="D152" s="58" t="n">
        <x:v>2019</x:v>
      </x:c>
      <x:c r="E152" s="46" t="str">
        <x:v>Muraenidae</x:v>
      </x:c>
      <x:c r="F152" s="46" t="str">
        <x:v>Moray eels</x:v>
      </x:c>
      <x:c r="G152" s="46" t="str">
        <x:v>Large reef assoc. fish (&gt;=90 cm)</x:v>
      </x:c>
      <x:c r="H152" s="46" t="str">
        <x:v>Other fishes &amp; inverts</x:v>
      </x:c>
      <x:c r="I152" s="60" t="n">
        <x:v>5.9697917798</x:v>
      </x:c>
      <x:c r="J152" s="60" t="n">
        <x:v>0</x:v>
      </x:c>
      <x:c r="K152" s="60" t="n">
        <x:v>5.9697917798</x:v>
      </x:c>
      <x:c r="L152" s="60" t="n">
        <x:v>0</x:v>
      </x:c>
      <x:c r="M152" s="60" t="n">
        <x:v>5.9697917798</x:v>
      </x:c>
      <x:c r="N152" s="46" t="str">
        <x:v>muraenidae</x:v>
      </x:c>
      <x:c r="O152" s="62" t="n">
        <x:v>4.07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Muraenidae</x:v>
      </x:c>
      <x:c r="T152" s="62" t="n">
        <x:f>IF(O152="","",(1/'Metadata'!$B$5)^(O152-1))</x:f>
        <x:v>1174.8975549395302</x:v>
      </x:c>
      <x:c r="U152" s="60" t="n">
        <x:f>IF(T152="","",I152*T152)</x:f>
        <x:v>7013.893765585127</x:v>
      </x:c>
    </x:row>
    <x:row r="153" ht="18" customHeight="1">
      <x:c r="A153" s="46" t="str">
        <x:v>LME_048</x:v>
      </x:c>
      <x:c r="B153" s="46" t="str">
        <x:v>Yellow Sea</x:v>
      </x:c>
      <x:c r="C153" s="46" t="str">
        <x:v>LME</x:v>
      </x:c>
      <x:c r="D153" s="58" t="n">
        <x:v>2019</x:v>
      </x:c>
      <x:c r="E153" s="46" t="str">
        <x:v>Penaeus monodon</x:v>
      </x:c>
      <x:c r="F153" s="46" t="str">
        <x:v>Giant tiger prawn</x:v>
      </x:c>
      <x:c r="G153" s="46" t="str">
        <x:v>Shrimps</x:v>
      </x:c>
      <x:c r="H153" s="46" t="str">
        <x:v>Crustaceans</x:v>
      </x:c>
      <x:c r="I153" s="60" t="n">
        <x:v>4.9945715791</x:v>
      </x:c>
      <x:c r="J153" s="60" t="n">
        <x:v>3.8085852161</x:v>
      </x:c>
      <x:c r="K153" s="60" t="n">
        <x:v>1.185986363</x:v>
      </x:c>
      <x:c r="L153" s="60" t="n">
        <x:v>3.3325606059</x:v>
      </x:c>
      <x:c r="M153" s="60" t="n">
        <x:v>1.6620109732</x:v>
      </x:c>
      <x:c r="N153" s="46" t="str">
        <x:v>penaeus monodon</x:v>
      </x:c>
      <x:c r="O153" s="62" t="n">
        <x:v>2.6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Penaeus monodon</x:v>
      </x:c>
      <x:c r="T153" s="62" t="n">
        <x:f>IF(O153="","",(1/'Metadata'!$B$5)^(O153-1))</x:f>
        <x:v>39.810717055349734</x:v>
      </x:c>
      <x:c r="U153" s="60" t="n">
        <x:f>IF(T153="","",I153*T153)</x:f>
        <x:v>198.8374759482414</x:v>
      </x:c>
    </x:row>
    <x:row r="154" ht="18" customHeight="1">
      <x:c r="A154" s="46" t="str">
        <x:v>LME_048</x:v>
      </x:c>
      <x:c r="B154" s="46" t="str">
        <x:v>Yellow Sea</x:v>
      </x:c>
      <x:c r="C154" s="46" t="str">
        <x:v>LME</x:v>
      </x:c>
      <x:c r="D154" s="58" t="n">
        <x:v>2019</x:v>
      </x:c>
      <x:c r="E154" s="46" t="str">
        <x:v>Mizuhopecten yessoensis</x:v>
      </x:c>
      <x:c r="F154" s="46" t="str">
        <x:v>Yesso scallop</x:v>
      </x:c>
      <x:c r="G154" s="46" t="str">
        <x:v>Other demersal invertebrates</x:v>
      </x:c>
      <x:c r="H154" s="46" t="str">
        <x:v>Molluscs</x:v>
      </x:c>
      <x:c r="I154" s="60" t="n">
        <x:v>4.9374501021</x:v>
      </x:c>
      <x:c r="J154" s="60" t="n">
        <x:v>4.9189817575</x:v>
      </x:c>
      <x:c r="K154" s="60" t="n">
        <x:v>0.0184683446</x:v>
      </x:c>
      <x:c r="L154" s="60" t="n">
        <x:v>4.9175645872</x:v>
      </x:c>
      <x:c r="M154" s="60" t="n">
        <x:v>0.0198855149</x:v>
      </x:c>
      <x:c r="N154" s="46" t="str">
        <x:v>mizuhopecten yessoensis</x:v>
      </x:c>
      <x:c r="O154" s="62" t="n">
        <x:v>2.1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Mizuhopecten yessoensis</x:v>
      </x:c>
      <x:c r="T154" s="62" t="n">
        <x:f>IF(O154="","",(1/'Metadata'!$B$5)^(O154-1))</x:f>
        <x:v>12.589254117941675</x:v>
      </x:c>
      <x:c r="U154" s="60" t="n">
        <x:f>IF(T154="","",I154*T154)</x:f>
        <x:v>62.15881402999396</x:v>
      </x:c>
    </x:row>
    <x:row r="155" ht="18" customHeight="1">
      <x:c r="A155" s="46" t="str">
        <x:v>LME_048</x:v>
      </x:c>
      <x:c r="B155" s="46" t="str">
        <x:v>Yellow Sea</x:v>
      </x:c>
      <x:c r="C155" s="46" t="str">
        <x:v>LME</x:v>
      </x:c>
      <x:c r="D155" s="58" t="n">
        <x:v>2019</x:v>
      </x:c>
      <x:c r="E155" s="46" t="str">
        <x:v>Platycaranx talamparoides</x:v>
      </x:c>
      <x:c r="F155" s="46" t="str">
        <x:v>Imposter trevally</x:v>
      </x:c>
      <x:c r="G155" s="46" t="str">
        <x:v>Medium pelagics (30 - 89 cm)</x:v>
      </x:c>
      <x:c r="H155" s="46" t="str">
        <x:v>Perch-likes</x:v>
      </x:c>
      <x:c r="I155" s="60" t="n">
        <x:v>4.2961814782</x:v>
      </x:c>
      <x:c r="J155" s="60" t="n">
        <x:v>4.2961814782</x:v>
      </x:c>
      <x:c r="K155" s="60" t="n">
        <x:v>0</x:v>
      </x:c>
      <x:c r="L155" s="60" t="n">
        <x:v>1.1029530131</x:v>
      </x:c>
      <x:c r="M155" s="60" t="n">
        <x:v>3.1932284651</x:v>
      </x:c>
      <x:c r="N155" s="46" t="str">
        <x:v>platycaranx talamparoides</x:v>
      </x:c>
      <x:c r="O155" s="62" t="n">
        <x:v>4.4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Platycaranx talamparoides</x:v>
      </x:c>
      <x:c r="T155" s="62" t="n">
        <x:f>IF(O155="","",(1/'Metadata'!$B$5)^(O155-1))</x:f>
        <x:v>2511.886431509582</x:v>
      </x:c>
      <x:c r="U155" s="60" t="n">
        <x:f>IF(T155="","",I155*T155)</x:f>
        <x:v>10791.51996239336</x:v>
      </x:c>
    </x:row>
    <x:row r="156" ht="18" customHeight="1">
      <x:c r="A156" s="46" t="str">
        <x:v>LME_048</x:v>
      </x:c>
      <x:c r="B156" s="46" t="str">
        <x:v>Yellow Sea</x:v>
      </x:c>
      <x:c r="C156" s="46" t="str">
        <x:v>LME</x:v>
      </x:c>
      <x:c r="D156" s="58" t="n">
        <x:v>2019</x:v>
      </x:c>
      <x:c r="E156" s="46" t="str">
        <x:v>Saurida</x:v>
      </x:c>
      <x:c r="F156" s="46" t="str">
        <x:v>Lizardfishes</x:v>
      </x:c>
      <x:c r="G156" s="46" t="str">
        <x:v>Medium demersals (30 - 89 cm)</x:v>
      </x:c>
      <x:c r="H156" s="46" t="str">
        <x:v>Other fishes &amp; inverts</x:v>
      </x:c>
      <x:c r="I156" s="60" t="n">
        <x:v>4.009439361</x:v>
      </x:c>
      <x:c r="J156" s="60" t="n">
        <x:v>0</x:v>
      </x:c>
      <x:c r="K156" s="60" t="n">
        <x:v>4.009439361</x:v>
      </x:c>
      <x:c r="L156" s="60" t="n">
        <x:v>0</x:v>
      </x:c>
      <x:c r="M156" s="60" t="n">
        <x:v>4.009439361</x:v>
      </x:c>
      <x:c r="N156" s="46" t="str">
        <x:v>saurida</x:v>
      </x:c>
      <x:c r="O156" s="62" t="n">
        <x:v>4.35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Saurida</x:v>
      </x:c>
      <x:c r="T156" s="62" t="n">
        <x:f>IF(O156="","",(1/'Metadata'!$B$5)^(O156-1))</x:f>
        <x:v>2238.7211385683377</x:v>
      </x:c>
      <x:c r="U156" s="60" t="n">
        <x:f>IF(T156="","",I156*T156)</x:f>
        <x:v>8976.016651278629</x:v>
      </x:c>
    </x:row>
    <x:row r="157" ht="18" customHeight="1">
      <x:c r="A157" s="46" t="str">
        <x:v>LME_048</x:v>
      </x:c>
      <x:c r="B157" s="46" t="str">
        <x:v>Yellow Sea</x:v>
      </x:c>
      <x:c r="C157" s="46" t="str">
        <x:v>LME</x:v>
      </x:c>
      <x:c r="D157" s="58" t="n">
        <x:v>2019</x:v>
      </x:c>
      <x:c r="E157" s="46" t="str">
        <x:v>Ariidae</x:v>
      </x:c>
      <x:c r="F157" s="46" t="str">
        <x:v>Sea catfishes, coblers</x:v>
      </x:c>
      <x:c r="G157" s="46" t="str">
        <x:v>Medium demersals (30 - 89 cm)</x:v>
      </x:c>
      <x:c r="H157" s="46" t="str">
        <x:v>Other fishes &amp; inverts</x:v>
      </x:c>
      <x:c r="I157" s="60" t="n">
        <x:v>2.0046153892</x:v>
      </x:c>
      <x:c r="J157" s="60" t="n">
        <x:v>1.9546705951</x:v>
      </x:c>
      <x:c r="K157" s="60" t="n">
        <x:v>0.0499447941</x:v>
      </x:c>
      <x:c r="L157" s="60" t="n">
        <x:v>1.7947226735</x:v>
      </x:c>
      <x:c r="M157" s="60" t="n">
        <x:v>0.2098927157</x:v>
      </x:c>
      <x:c r="N157" s="46" t="str">
        <x:v>ariidae</x:v>
      </x:c>
      <x:c r="O157" s="62" t="n">
        <x:v>3.48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Ariidae</x:v>
      </x:c>
      <x:c r="T157" s="62" t="n">
        <x:f>IF(O157="","",(1/'Metadata'!$B$5)^(O157-1))</x:f>
        <x:v>301.9951720402016</x:v>
      </x:c>
      <x:c r="U157" s="60" t="n">
        <x:f>IF(T157="","",I157*T157)</x:f>
        <x:v>605.3841693358897</x:v>
      </x:c>
    </x:row>
    <x:row r="158" ht="18" customHeight="1">
      <x:c r="A158" s="46" t="str">
        <x:v>LME_048</x:v>
      </x:c>
      <x:c r="B158" s="46" t="str">
        <x:v>Yellow Sea</x:v>
      </x:c>
      <x:c r="C158" s="46" t="str">
        <x:v>LME</x:v>
      </x:c>
      <x:c r="D158" s="58" t="n">
        <x:v>2019</x:v>
      </x:c>
      <x:c r="E158" s="46" t="str">
        <x:v>Panulirus longipes</x:v>
      </x:c>
      <x:c r="F158" s="46" t="str">
        <x:v>Longlegged spiny lobster</x:v>
      </x:c>
      <x:c r="G158" s="46" t="str">
        <x:v>Lobsters, crabs</x:v>
      </x:c>
      <x:c r="H158" s="46" t="str">
        <x:v>Crustaceans</x:v>
      </x:c>
      <x:c r="I158" s="60" t="n">
        <x:v>1.8426340585999998</x:v>
      </x:c>
      <x:c r="J158" s="60" t="n">
        <x:v>1.8349260929</x:v>
      </x:c>
      <x:c r="K158" s="60" t="n">
        <x:v>0.0077079657</x:v>
      </x:c>
      <x:c r="L158" s="60" t="n">
        <x:v>1.8256691958</x:v>
      </x:c>
      <x:c r="M158" s="60" t="n">
        <x:v>0.016964862799999997</x:v>
      </x:c>
      <x:c r="N158" s="46" t="str">
        <x:v>panulirus longipes</x:v>
      </x:c>
      <x:c r="O158" s="62" t="n">
        <x:v>2.6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Panulirus longipes</x:v>
      </x:c>
      <x:c r="T158" s="62" t="n">
        <x:f>IF(O158="","",(1/'Metadata'!$B$5)^(O158-1))</x:f>
        <x:v>39.810717055349734</x:v>
      </x:c>
      <x:c r="U158" s="60" t="n">
        <x:f>IF(T158="","",I158*T158)</x:f>
        <x:v>73.35658314347532</x:v>
      </x:c>
    </x:row>
    <x:row r="159" ht="18" customHeight="1">
      <x:c r="A159" s="46" t="str">
        <x:v>LME_048</x:v>
      </x:c>
      <x:c r="B159" s="46" t="str">
        <x:v>Yellow Sea</x:v>
      </x:c>
      <x:c r="C159" s="46" t="str">
        <x:v>LME</x:v>
      </x:c>
      <x:c r="D159" s="58" t="n">
        <x:v>2019</x:v>
      </x:c>
      <x:c r="E159" s="46" t="str">
        <x:v>Salmonidae</x:v>
      </x:c>
      <x:c r="F159" s="46" t="str">
        <x:v>Salmonids</x:v>
      </x:c>
      <x:c r="G159" s="46" t="str">
        <x:v>Large benthopelagics (&gt;=90 cm)</x:v>
      </x:c>
      <x:c r="H159" s="46" t="str">
        <x:v>Salmon, smelts, etc</x:v>
      </x:c>
      <x:c r="I159" s="60" t="n">
        <x:v>1.5035095232</x:v>
      </x:c>
      <x:c r="J159" s="60" t="n">
        <x:v>1.5035095232</x:v>
      </x:c>
      <x:c r="K159" s="60" t="n">
        <x:v>0</x:v>
      </x:c>
      <x:c r="L159" s="60" t="n">
        <x:v>1.5035095232</x:v>
      </x:c>
      <x:c r="M159" s="60" t="n">
        <x:v>0</x:v>
      </x:c>
      <x:c r="N159" s="46" t="str">
        <x:v>salmonidae</x:v>
      </x:c>
      <x:c r="O159" s="62" t="n">
        <x:v>3.3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Salmonidae</x:v>
      </x:c>
      <x:c r="T159" s="62" t="n">
        <x:f>IF(O159="","",(1/'Metadata'!$B$5)^(O159-1))</x:f>
        <x:v>199.52623149688787</x:v>
      </x:c>
      <x:c r="U159" s="60" t="n">
        <x:f>IF(T159="","",I159*T159)</x:f>
        <x:v>299.9895891837787</x:v>
      </x:c>
    </x:row>
    <x:row r="160" ht="18" customHeight="1">
      <x:c r="A160" s="46" t="str">
        <x:v>LME_048</x:v>
      </x:c>
      <x:c r="B160" s="46" t="str">
        <x:v>Yellow Sea</x:v>
      </x:c>
      <x:c r="C160" s="46" t="str">
        <x:v>LME</x:v>
      </x:c>
      <x:c r="D160" s="58" t="n">
        <x:v>2019</x:v>
      </x:c>
      <x:c r="E160" s="46" t="str">
        <x:v>Atrobucca nibe</x:v>
      </x:c>
      <x:c r="F160" s="46" t="str">
        <x:v>Blackmouth croaker</x:v>
      </x:c>
      <x:c r="G160" s="46" t="str">
        <x:v>Medium demersals (30 - 89 cm)</x:v>
      </x:c>
      <x:c r="H160" s="46" t="str">
        <x:v>Perch-likes</x:v>
      </x:c>
      <x:c r="I160" s="60" t="n">
        <x:v>1.1662437576</x:v>
      </x:c>
      <x:c r="J160" s="60" t="n">
        <x:v>1.1615878824</x:v>
      </x:c>
      <x:c r="K160" s="60" t="n">
        <x:v>0.0046558751999999995</x:v>
      </x:c>
      <x:c r="L160" s="60" t="n">
        <x:v>1.0354875422</x:v>
      </x:c>
      <x:c r="M160" s="60" t="n">
        <x:v>0.1307562154</x:v>
      </x:c>
      <x:c r="N160" s="46" t="str">
        <x:v>atrobucca nibe</x:v>
      </x:c>
      <x:c r="O160" s="62" t="n">
        <x:v>3.03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Atrobucca nibe</x:v>
      </x:c>
      <x:c r="T160" s="62" t="n">
        <x:f>IF(O160="","",(1/'Metadata'!$B$5)^(O160-1))</x:f>
        <x:v>107.1519305237606</x:v>
      </x:c>
      <x:c r="U160" s="60" t="n">
        <x:f>IF(T160="","",I160*T160)</x:f>
        <x:v>124.9652700881247</x:v>
      </x:c>
    </x:row>
    <x:row r="161" ht="18" customHeight="1">
      <x:c r="A161" s="46" t="str">
        <x:v>LME_048</x:v>
      </x:c>
      <x:c r="B161" s="46" t="str">
        <x:v>Yellow Sea</x:v>
      </x:c>
      <x:c r="C161" s="46" t="str">
        <x:v>LME</x:v>
      </x:c>
      <x:c r="D161" s="58" t="n">
        <x:v>2019</x:v>
      </x:c>
      <x:c r="E161" s="46" t="str">
        <x:v>Mierspenaeopsis hardwickii</x:v>
      </x:c>
      <x:c r="F161" s="46" t="str">
        <x:v>Spear shrimp</x:v>
      </x:c>
      <x:c r="G161" s="46" t="str">
        <x:v>Shrimps</x:v>
      </x:c>
      <x:c r="H161" s="46" t="str">
        <x:v>Crustaceans</x:v>
      </x:c>
      <x:c r="I161" s="60" t="n">
        <x:v>1.0911571643</x:v>
      </x:c>
      <x:c r="J161" s="60" t="n">
        <x:v>0</x:v>
      </x:c>
      <x:c r="K161" s="60" t="n">
        <x:v>1.0911571643</x:v>
      </x:c>
      <x:c r="L161" s="60" t="n">
        <x:v>0</x:v>
      </x:c>
      <x:c r="M161" s="60" t="n">
        <x:v>1.0911571643</x:v>
      </x:c>
      <x:c r="N161" s="46" t="str">
        <x:v>mierspenaeopsis hardwickii</x:v>
      </x:c>
      <x:c r="O161" s="62" t="n">
        <x:v>2.71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Mierspenaeopsis hardwickii</x:v>
      </x:c>
      <x:c r="T161" s="62" t="n">
        <x:f>IF(O161="","",(1/'Metadata'!$B$5)^(O161-1))</x:f>
        <x:v>51.28613839913648</x:v>
      </x:c>
      <x:c r="U161" s="60" t="n">
        <x:f>IF(T161="","",I161*T161)</x:f>
        <x:v>55.96123734349911</x:v>
      </x:c>
    </x:row>
    <x:row r="162" ht="18" customHeight="1">
      <x:c r="A162" s="46" t="str">
        <x:v>LME_048</x:v>
      </x:c>
      <x:c r="B162" s="46" t="str">
        <x:v>Yellow Sea</x:v>
      </x:c>
      <x:c r="C162" s="46" t="str">
        <x:v>LME</x:v>
      </x:c>
      <x:c r="D162" s="58" t="n">
        <x:v>2019</x:v>
      </x:c>
      <x:c r="E162" s="46" t="str">
        <x:v>Bramidae</x:v>
      </x:c>
      <x:c r="F162" s="46" t="str">
        <x:v>Pomfrets</x:v>
      </x:c>
      <x:c r="G162" s="46" t="str">
        <x:v>Medium pelagics (30 - 89 cm)</x:v>
      </x:c>
      <x:c r="H162" s="46" t="str">
        <x:v>Perch-likes</x:v>
      </x:c>
      <x:c r="I162" s="60" t="n">
        <x:v>0.9264628896</x:v>
      </x:c>
      <x:c r="J162" s="60" t="n">
        <x:v>0</x:v>
      </x:c>
      <x:c r="K162" s="60" t="n">
        <x:v>0.9264628896</x:v>
      </x:c>
      <x:c r="L162" s="60" t="n">
        <x:v>0</x:v>
      </x:c>
      <x:c r="M162" s="60" t="n">
        <x:v>0.9264628896</x:v>
      </x:c>
      <x:c r="N162" s="46" t="str">
        <x:v>bramidae</x:v>
      </x:c>
      <x:c r="O162" s="62" t="n">
        <x:v>4.14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Bramidae</x:v>
      </x:c>
      <x:c r="T162" s="62" t="n">
        <x:f>IF(O162="","",(1/'Metadata'!$B$5)^(O162-1))</x:f>
        <x:v>1380.3842646028838</x:v>
      </x:c>
      <x:c r="U162" s="60" t="n">
        <x:f>IF(T162="","",I162*T162)</x:f>
        <x:v>1278.8747945423588</x:v>
      </x:c>
    </x:row>
    <x:row r="163" ht="18" customHeight="1">
      <x:c r="A163" s="46" t="str">
        <x:v>LME_048</x:v>
      </x:c>
      <x:c r="B163" s="46" t="str">
        <x:v>Yellow Sea</x:v>
      </x:c>
      <x:c r="C163" s="46" t="str">
        <x:v>LME</x:v>
      </x:c>
      <x:c r="D163" s="58" t="n">
        <x:v>2019</x:v>
      </x:c>
      <x:c r="E163" s="46" t="str">
        <x:v>Thunnus obesus</x:v>
      </x:c>
      <x:c r="F163" s="46" t="str">
        <x:v>Bigeye tuna</x:v>
      </x:c>
      <x:c r="G163" s="46" t="str">
        <x:v>Large pelagics (&gt;=90 cm)</x:v>
      </x:c>
      <x:c r="H163" s="46" t="str">
        <x:v>Tuna &amp; billfishes</x:v>
      </x:c>
      <x:c r="I163" s="60" t="n">
        <x:v>0.3600500696</x:v>
      </x:c>
      <x:c r="J163" s="60" t="n">
        <x:v>0.3563500701</x:v>
      </x:c>
      <x:c r="K163" s="60" t="n">
        <x:v>0.0036999995</x:v>
      </x:c>
      <x:c r="L163" s="60" t="n">
        <x:v>0.3563500701</x:v>
      </x:c>
      <x:c r="M163" s="60" t="n">
        <x:v>0.0036999995</x:v>
      </x:c>
      <x:c r="N163" s="46" t="str">
        <x:v>thunnus obesus</x:v>
      </x:c>
      <x:c r="O163" s="62" t="n">
        <x:v>4.49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Thunnus obesus</x:v>
      </x:c>
      <x:c r="T163" s="62" t="n">
        <x:f>IF(O163="","",(1/'Metadata'!$B$5)^(O163-1))</x:f>
        <x:v>3090.295432513592</x:v>
      </x:c>
      <x:c r="U163" s="60" t="n">
        <x:f>IF(T163="","",I163*T163)</x:f>
        <x:v>1112.6610855610809</x:v>
      </x:c>
    </x:row>
    <x:row r="164" ht="18" customHeight="1">
      <x:c r="A164" s="46" t="str">
        <x:v>LME_048</x:v>
      </x:c>
      <x:c r="B164" s="46" t="str">
        <x:v>Yellow Sea</x:v>
      </x:c>
      <x:c r="C164" s="46" t="str">
        <x:v>LME</x:v>
      </x:c>
      <x:c r="D164" s="58" t="n">
        <x:v>2019</x:v>
      </x:c>
      <x:c r="E164" s="46" t="str">
        <x:v>Scomberomorus commerson</x:v>
      </x:c>
      <x:c r="F164" s="46" t="str">
        <x:v>Narrow-barred Spanish mackerel</x:v>
      </x:c>
      <x:c r="G164" s="46" t="str">
        <x:v>Large pelagics (&gt;=90 cm)</x:v>
      </x:c>
      <x:c r="H164" s="46" t="str">
        <x:v>Perch-likes</x:v>
      </x:c>
      <x:c r="I164" s="60" t="n">
        <x:v>0.2544336665</x:v>
      </x:c>
      <x:c r="J164" s="60" t="n">
        <x:v>0.2532731064</x:v>
      </x:c>
      <x:c r="K164" s="60" t="n">
        <x:v>0.0011605601</x:v>
      </x:c>
      <x:c r="L164" s="60" t="n">
        <x:v>0.2532731064</x:v>
      </x:c>
      <x:c r="M164" s="60" t="n">
        <x:v>0.0011605601</x:v>
      </x:c>
      <x:c r="N164" s="46" t="str">
        <x:v>scomberomorus commerson</x:v>
      </x:c>
      <x:c r="O164" s="62" t="n">
        <x:v>4.5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Scomberomorus commerson</x:v>
      </x:c>
      <x:c r="T164" s="62" t="n">
        <x:f>IF(O164="","",(1/'Metadata'!$B$5)^(O164-1))</x:f>
        <x:v>3162.2776601683795</x:v>
      </x:c>
      <x:c r="U164" s="60" t="n">
        <x:f>IF(T164="","",I164*T164)</x:f>
        <x:v>804.5898995676818</x:v>
      </x:c>
    </x:row>
    <x:row r="165" ht="18" customHeight="1">
      <x:c r="A165" s="46" t="str">
        <x:v>LME_048</x:v>
      </x:c>
      <x:c r="B165" s="46" t="str">
        <x:v>Yellow Sea</x:v>
      </x:c>
      <x:c r="C165" s="46" t="str">
        <x:v>LME</x:v>
      </x:c>
      <x:c r="D165" s="58" t="n">
        <x:v>2019</x:v>
      </x:c>
      <x:c r="E165" s="46" t="str">
        <x:v>Isurus</x:v>
      </x:c>
      <x:c r="F165" s="46" t="str">
        <x:v>Mako sharks</x:v>
      </x:c>
      <x:c r="G165" s="46" t="str">
        <x:v>Large sharks (&gt;=90 cm)</x:v>
      </x:c>
      <x:c r="H165" s="46" t="str">
        <x:v>Sharks &amp; rays</x:v>
      </x:c>
      <x:c r="I165" s="60" t="n">
        <x:v>0.1460217037</x:v>
      </x:c>
      <x:c r="J165" s="60" t="n">
        <x:v>0.1437118054</x:v>
      </x:c>
      <x:c r="K165" s="60" t="n">
        <x:v>0.0023098983</x:v>
      </x:c>
      <x:c r="L165" s="60" t="n">
        <x:v>0.036794214000000006</x:v>
      </x:c>
      <x:c r="M165" s="60" t="n">
        <x:v>0.10922748970000001</x:v>
      </x:c>
      <x:c r="N165" s="46" t="str">
        <x:v>isurus</x:v>
      </x:c>
      <x:c r="O165" s="62" t="n">
        <x:v>4.5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Isurus</x:v>
      </x:c>
      <x:c r="T165" s="62" t="n">
        <x:f>IF(O165="","",(1/'Metadata'!$B$5)^(O165-1))</x:f>
        <x:v>3162.2776601683795</x:v>
      </x:c>
      <x:c r="U165" s="60" t="n">
        <x:f>IF(T165="","",I165*T165)</x:f>
        <x:v>461.7611715102364</x:v>
      </x:c>
    </x:row>
    <x:row r="166" ht="18" customHeight="1">
      <x:c r="A166" s="46" t="str">
        <x:v>LME_048</x:v>
      </x:c>
      <x:c r="B166" s="46" t="str">
        <x:v>Yellow Sea</x:v>
      </x:c>
      <x:c r="C166" s="46" t="str">
        <x:v>LME</x:v>
      </x:c>
      <x:c r="D166" s="58" t="n">
        <x:v>2019</x:v>
      </x:c>
      <x:c r="E166" s="46" t="str">
        <x:v>Sillago sihama</x:v>
      </x:c>
      <x:c r="F166" s="46" t="str">
        <x:v>Silver sillago</x:v>
      </x:c>
      <x:c r="G166" s="46" t="str">
        <x:v>Medium demersals (30 - 89 cm)</x:v>
      </x:c>
      <x:c r="H166" s="46" t="str">
        <x:v>Perch-likes</x:v>
      </x:c>
      <x:c r="I166" s="60" t="n">
        <x:v>0.1186409933</x:v>
      </x:c>
      <x:c r="J166" s="60" t="n">
        <x:v>0</x:v>
      </x:c>
      <x:c r="K166" s="60" t="n">
        <x:v>0.1186409933</x:v>
      </x:c>
      <x:c r="L166" s="60" t="n">
        <x:v>0</x:v>
      </x:c>
      <x:c r="M166" s="60" t="n">
        <x:v>0.1186409933</x:v>
      </x:c>
      <x:c r="N166" s="46" t="str">
        <x:v>sillago sihama</x:v>
      </x:c>
      <x:c r="O166" s="62" t="n">
        <x:v>3.33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Sillago sihama</x:v>
      </x:c>
      <x:c r="T166" s="62" t="n">
        <x:f>IF(O166="","",(1/'Metadata'!$B$5)^(O166-1))</x:f>
        <x:v>213.79620895022325</x:v>
      </x:c>
      <x:c r="U166" s="60" t="n">
        <x:f>IF(T166="","",I166*T166)</x:f>
        <x:v>25.364994593628836</x:v>
      </x:c>
    </x:row>
    <x:row r="167" ht="18" customHeight="1">
      <x:c r="A167" s="46" t="str">
        <x:v>LME_048</x:v>
      </x:c>
      <x:c r="B167" s="46" t="str">
        <x:v>Yellow Sea</x:v>
      </x:c>
      <x:c r="C167" s="46" t="str">
        <x:v>LME</x:v>
      </x:c>
      <x:c r="D167" s="58" t="n">
        <x:v>2019</x:v>
      </x:c>
      <x:c r="E167" s="46" t="str">
        <x:v>Polydactylus sexfilis</x:v>
      </x:c>
      <x:c r="F167" s="46" t="str">
        <x:v>Sixfinger threadfin</x:v>
      </x:c>
      <x:c r="G167" s="46" t="str">
        <x:v>Medium demersals (30 - 89 cm)</x:v>
      </x:c>
      <x:c r="H167" s="46" t="str">
        <x:v>Perch-likes</x:v>
      </x:c>
      <x:c r="I167" s="60" t="n">
        <x:v>0.11786805160000001</x:v>
      </x:c>
      <x:c r="J167" s="60" t="n">
        <x:v>0</x:v>
      </x:c>
      <x:c r="K167" s="60" t="n">
        <x:v>0.11786805160000001</x:v>
      </x:c>
      <x:c r="L167" s="60" t="n">
        <x:v>0</x:v>
      </x:c>
      <x:c r="M167" s="60" t="n">
        <x:v>0.11786805160000001</x:v>
      </x:c>
      <x:c r="N167" s="46" t="str">
        <x:v>polydactylus sexfilis</x:v>
      </x:c>
      <x:c r="O167" s="62" t="n">
        <x:v>3.43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Polydactylus sexfilis</x:v>
      </x:c>
      <x:c r="T167" s="62" t="n">
        <x:f>IF(O167="","",(1/'Metadata'!$B$5)^(O167-1))</x:f>
        <x:v>269.1534803926917</x:v>
      </x:c>
      <x:c r="U167" s="60" t="n">
        <x:f>IF(T167="","",I167*T167)</x:f>
        <x:v>31.724596315245375</x:v>
      </x:c>
    </x:row>
    <x:row r="168" ht="18" customHeight="1">
      <x:c r="A168" s="46" t="str">
        <x:v>LME_048</x:v>
      </x:c>
      <x:c r="B168" s="46" t="str">
        <x:v>Yellow Sea</x:v>
      </x:c>
      <x:c r="C168" s="46" t="str">
        <x:v>LME</x:v>
      </x:c>
      <x:c r="D168" s="58" t="n">
        <x:v>2019</x:v>
      </x:c>
      <x:c r="E168" s="46" t="str">
        <x:v>Ariomma indica</x:v>
      </x:c>
      <x:c r="F168" s="46" t="str">
        <x:v>Indian driftfish</x:v>
      </x:c>
      <x:c r="G168" s="46" t="str">
        <x:v>Small benthopelagics (&lt;30 cm)</x:v>
      </x:c>
      <x:c r="H168" s="46" t="str">
        <x:v>Perch-likes</x:v>
      </x:c>
      <x:c r="I168" s="60" t="n">
        <x:v>0.08470221309999999</x:v>
      </x:c>
      <x:c r="J168" s="60" t="n">
        <x:v>0.08470221309999999</x:v>
      </x:c>
      <x:c r="K168" s="60" t="n">
        <x:v>0</x:v>
      </x:c>
      <x:c r="L168" s="60" t="n">
        <x:v>0.0220002728</x:v>
      </x:c>
      <x:c r="M168" s="60" t="n">
        <x:v>0.0627019403</x:v>
      </x:c>
      <x:c r="N168" s="46" t="str">
        <x:v>ariomma indica</x:v>
      </x:c>
      <x:c r="O168" s="62" t="n">
        <x:v>3.63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Ariomma indica</x:v>
      </x:c>
      <x:c r="T168" s="62" t="n">
        <x:f>IF(O168="","",(1/'Metadata'!$B$5)^(O168-1))</x:f>
        <x:v>426.57951880159254</x:v>
      </x:c>
      <x:c r="U168" s="60" t="n">
        <x:f>IF(T168="","",I168*T168)</x:f>
        <x:v>36.132229305627945</x:v>
      </x:c>
    </x:row>
    <x:row r="169" ht="18" customHeight="1">
      <x:c r="A169" s="46" t="str">
        <x:v>LME_048</x:v>
      </x:c>
      <x:c r="B169" s="46" t="str">
        <x:v>Yellow Sea</x:v>
      </x:c>
      <x:c r="C169" s="46" t="str">
        <x:v>LME</x:v>
      </x:c>
      <x:c r="D169" s="58" t="n">
        <x:v>2019</x:v>
      </x:c>
      <x:c r="E169" s="46" t="str">
        <x:v>Ibacus ciliatus</x:v>
      </x:c>
      <x:c r="F169" s="46" t="str">
        <x:v>Sand Crayfish</x:v>
      </x:c>
      <x:c r="G169" s="46" t="str">
        <x:v>Lobsters, crabs</x:v>
      </x:c>
      <x:c r="H169" s="46" t="str">
        <x:v>Crustaceans</x:v>
      </x:c>
      <x:c r="I169" s="60" t="n">
        <x:v>0.07608084949999999</x:v>
      </x:c>
      <x:c r="J169" s="60" t="n">
        <x:v>0.0001074747</x:v>
      </x:c>
      <x:c r="K169" s="60" t="n">
        <x:v>0.0759733748</x:v>
      </x:c>
      <x:c r="L169" s="60" t="n">
        <x:v>0.0001074747</x:v>
      </x:c>
      <x:c r="M169" s="60" t="n">
        <x:v>0.0759733748</x:v>
      </x:c>
      <x:c r="N169" s="46" t="str">
        <x:v>ibacus ciliatus</x:v>
      </x:c>
      <x:c r="O169" s="62" t="n">
        <x:v>2.6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Ibacus ciliatus</x:v>
      </x:c>
      <x:c r="T169" s="62" t="n">
        <x:f>IF(O169="","",(1/'Metadata'!$B$5)^(O169-1))</x:f>
        <x:v>39.810717055349734</x:v>
      </x:c>
      <x:c r="U169" s="60" t="n">
        <x:f>IF(T169="","",I169*T169)</x:f>
        <x:v>3.028833172775146</x:v>
      </x:c>
    </x:row>
    <x:row r="170" ht="18" customHeight="1">
      <x:c r="A170" s="46" t="str">
        <x:v>LME_048</x:v>
      </x:c>
      <x:c r="B170" s="46" t="str">
        <x:v>Yellow Sea</x:v>
      </x:c>
      <x:c r="C170" s="46" t="str">
        <x:v>LME</x:v>
      </x:c>
      <x:c r="D170" s="58" t="n">
        <x:v>2019</x:v>
      </x:c>
      <x:c r="E170" s="46" t="str">
        <x:v>Dussumieria elopsoides</x:v>
      </x:c>
      <x:c r="F170" s="46" t="str">
        <x:v>Slender rainbow sardine</x:v>
      </x:c>
      <x:c r="G170" s="46" t="str">
        <x:v>Small pelagics (&lt;30 cm)</x:v>
      </x:c>
      <x:c r="H170" s="46" t="str">
        <x:v>Herring-likes</x:v>
      </x:c>
      <x:c r="I170" s="60" t="n">
        <x:v>0.015045672000000001</x:v>
      </x:c>
      <x:c r="J170" s="60" t="n">
        <x:v>0.015045672000000001</x:v>
      </x:c>
      <x:c r="K170" s="60" t="n">
        <x:v>0</x:v>
      </x:c>
      <x:c r="L170" s="60" t="n">
        <x:v>0.0038626557</x:v>
      </x:c>
      <x:c r="M170" s="60" t="n">
        <x:v>0.011183016300000001</x:v>
      </x:c>
      <x:c r="N170" s="46" t="str">
        <x:v>dussumieria elopsoides</x:v>
      </x:c>
      <x:c r="O170" s="62" t="n">
        <x:v>3.4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Dussumieria elopsoides</x:v>
      </x:c>
      <x:c r="T170" s="62" t="n">
        <x:f>IF(O170="","",(1/'Metadata'!$B$5)^(O170-1))</x:f>
        <x:v>251.18864315095797</x:v>
      </x:c>
      <x:c r="U170" s="60" t="n">
        <x:f>IF(T170="","",I170*T170)</x:f>
        <x:v>3.7793019349743604</x:v>
      </x:c>
    </x:row>
    <x:row r="171" ht="18" customHeight="1">
      <x:c r="A171" s="46" t="str">
        <x:v>LME_048</x:v>
      </x:c>
      <x:c r="B171" s="46" t="str">
        <x:v>Yellow Sea</x:v>
      </x:c>
      <x:c r="C171" s="46" t="str">
        <x:v>LME</x:v>
      </x:c>
      <x:c r="D171" s="58" t="n">
        <x:v>2019</x:v>
      </x:c>
      <x:c r="E171" s="46" t="str">
        <x:v>Hemitrygon akajei</x:v>
      </x:c>
      <x:c r="F171" s="46" t="str">
        <x:v>Whip stingray</x:v>
      </x:c>
      <x:c r="G171" s="46" t="str">
        <x:v>Large rays (&gt;=90 cm)</x:v>
      </x:c>
      <x:c r="H171" s="46" t="str">
        <x:v>Sharks &amp; rays</x:v>
      </x:c>
      <x:c r="I171" s="60" t="n">
        <x:v>0.0111412561</x:v>
      </x:c>
      <x:c r="J171" s="60" t="n">
        <x:v>0</x:v>
      </x:c>
      <x:c r="K171" s="60" t="n">
        <x:v>0.0111412561</x:v>
      </x:c>
      <x:c r="L171" s="60" t="n">
        <x:v>0</x:v>
      </x:c>
      <x:c r="M171" s="60" t="n">
        <x:v>0.0111412561</x:v>
      </x:c>
      <x:c r="N171" s="46" t="str">
        <x:v>hemitrygon akajei</x:v>
      </x:c>
      <x:c r="O171" s="62" t="n">
        <x:v>3.84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Hemitrygon akajei</x:v>
      </x:c>
      <x:c r="T171" s="62" t="n">
        <x:f>IF(O171="","",(1/'Metadata'!$B$5)^(O171-1))</x:f>
        <x:v>691.8309709189363</x:v>
      </x:c>
      <x:c r="U171" s="60" t="n">
        <x:f>IF(T171="","",I171*T171)</x:f>
        <x:v>7.707866024919522</x:v>
      </x:c>
    </x:row>
    <x:row r="172" ht="18" customHeight="1">
      <x:c r="A172" s="46" t="str">
        <x:v>LME_048</x:v>
      </x:c>
      <x:c r="B172" s="46" t="str">
        <x:v>Yellow Sea</x:v>
      </x:c>
      <x:c r="C172" s="46" t="str">
        <x:v>LME</x:v>
      </x:c>
      <x:c r="D172" s="58" t="n">
        <x:v>2019</x:v>
      </x:c>
      <x:c r="E172" s="46" t="str">
        <x:v>Prionace glauca</x:v>
      </x:c>
      <x:c r="F172" s="46" t="str">
        <x:v>Blue shark</x:v>
      </x:c>
      <x:c r="G172" s="46" t="str">
        <x:v>Large sharks (&gt;=90 cm)</x:v>
      </x:c>
      <x:c r="H172" s="46" t="str">
        <x:v>Sharks &amp; rays</x:v>
      </x:c>
      <x:c r="I172" s="60" t="n">
        <x:v>0.0009801211999999999</x:v>
      </x:c>
      <x:c r="J172" s="60" t="n">
        <x:v>0.0009801211999999999</x:v>
      </x:c>
      <x:c r="K172" s="60" t="n">
        <x:v>0</x:v>
      </x:c>
      <x:c r="L172" s="60" t="n">
        <x:v>0.0009116863000000001</x:v>
      </x:c>
      <x:c r="M172" s="60" t="n">
        <x:v>0.0000684349</x:v>
      </x:c>
      <x:c r="N172" s="46" t="str">
        <x:v>prionace glauca</x:v>
      </x:c>
      <x:c r="O172" s="62" t="n">
        <x:v>4.35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Prionace glauca</x:v>
      </x:c>
      <x:c r="T172" s="62" t="n">
        <x:f>IF(O172="","",(1/'Metadata'!$B$5)^(O172-1))</x:f>
        <x:v>2238.7211385683377</x:v>
      </x:c>
      <x:c r="U172" s="60" t="n">
        <x:f>IF(T172="","",I172*T172)</x:f>
        <x:v>2.194218048798965</x:v>
      </x:c>
    </x:row>
    <x:row r="173" ht="18" customHeight="1">
      <x:c r="A173" s="46" t="str">
        <x:v>LME_048</x:v>
      </x:c>
      <x:c r="B173" s="46" t="str">
        <x:v>Yellow Sea</x:v>
      </x:c>
      <x:c r="C173" s="46" t="str">
        <x:v>LME</x:v>
      </x:c>
      <x:c r="D173" s="58" t="n">
        <x:v>2019</x:v>
      </x:c>
      <x:c r="E173" s="46" t="str">
        <x:v>Isurus oxyrinchus</x:v>
      </x:c>
      <x:c r="F173" s="46" t="str">
        <x:v>Shortfin mako</x:v>
      </x:c>
      <x:c r="G173" s="46" t="str">
        <x:v>Large sharks (&gt;=90 cm)</x:v>
      </x:c>
      <x:c r="H173" s="46" t="str">
        <x:v>Sharks &amp; rays</x:v>
      </x:c>
      <x:c r="I173" s="60" t="n">
        <x:v>0.0002475213</x:v>
      </x:c>
      <x:c r="J173" s="60" t="n">
        <x:v>0.0002475213</x:v>
      </x:c>
      <x:c r="K173" s="60" t="n">
        <x:v>0</x:v>
      </x:c>
      <x:c r="L173" s="60" t="n">
        <x:v>0</x:v>
      </x:c>
      <x:c r="M173" s="60" t="n">
        <x:v>0.0002475213</x:v>
      </x:c>
      <x:c r="N173" s="46" t="str">
        <x:v>isurus oxyrinchus</x:v>
      </x:c>
      <x:c r="O173" s="62" t="n">
        <x:v>4.5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Isurus oxyrinchus</x:v>
      </x:c>
      <x:c r="T173" s="62" t="n">
        <x:f>IF(O173="","",(1/'Metadata'!$B$5)^(O173-1))</x:f>
        <x:v>3162.2776601683795</x:v>
      </x:c>
      <x:c r="U173" s="60" t="n">
        <x:f>IF(T173="","",I173*T173)</x:f>
        <x:v>0.7827310774058355</x:v>
      </x:c>
    </x:row>
    <x:row r="174" ht="18" customHeight="1">
      <x:c r="A174" s="46" t="str">
        <x:v>LME_048</x:v>
      </x:c>
      <x:c r="B174" s="46" t="str">
        <x:v>Yellow Sea</x:v>
      </x:c>
      <x:c r="C174" s="46" t="str">
        <x:v>LME</x:v>
      </x:c>
      <x:c r="D174" s="58" t="n">
        <x:v>2019</x:v>
      </x:c>
      <x:c r="E174" s="46" t="str">
        <x:v>Thunnus orientalis</x:v>
      </x:c>
      <x:c r="F174" s="46" t="str">
        <x:v>Pacific bluefin tuna</x:v>
      </x:c>
      <x:c r="G174" s="46" t="str">
        <x:v>Large pelagics (&gt;=90 cm)</x:v>
      </x:c>
      <x:c r="H174" s="46" t="str">
        <x:v>Tuna &amp; billfishes</x:v>
      </x:c>
      <x:c r="I174" s="60" t="n">
        <x:v>0.0000856618</x:v>
      </x:c>
      <x:c r="J174" s="60" t="n">
        <x:v>0</x:v>
      </x:c>
      <x:c r="K174" s="60" t="n">
        <x:v>0.0000856618</x:v>
      </x:c>
      <x:c r="L174" s="60" t="n">
        <x:v>0</x:v>
      </x:c>
      <x:c r="M174" s="60" t="n">
        <x:v>0.0000856618</x:v>
      </x:c>
      <x:c r="N174" s="46" t="str">
        <x:v>thunnus orientalis</x:v>
      </x:c>
      <x:c r="O174" s="62" t="n">
        <x:v>4.05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Thunnus orientalis</x:v>
      </x:c>
      <x:c r="T174" s="62" t="n">
        <x:f>IF(O174="","",(1/'Metadata'!$B$5)^(O174-1))</x:f>
        <x:v>1122.018454301963</x:v>
      </x:c>
      <x:c r="U174" s="60" t="n">
        <x:f>IF(T174="","",I174*T174)</x:f>
        <x:v>0.09611412042872389</x:v>
      </x:c>
    </x:row>
    <x:row r="175" ht="18" customHeight="1">
      <x:c r="A175" s="46" t="str">
        <x:v>LME_048</x:v>
      </x:c>
      <x:c r="B175" s="46" t="str">
        <x:v>Yellow Sea</x:v>
      </x:c>
      <x:c r="C175" s="46" t="str">
        <x:v>LME</x:v>
      </x:c>
      <x:c r="D175" s="58" t="n">
        <x:v>2019</x:v>
      </x:c>
      <x:c r="E175" s="46" t="str">
        <x:v>Sphyraena barracuda</x:v>
      </x:c>
      <x:c r="F175" s="46" t="str">
        <x:v>Great barracuda</x:v>
      </x:c>
      <x:c r="G175" s="46" t="str">
        <x:v>Large pelagics (&gt;=90 cm)</x:v>
      </x:c>
      <x:c r="H175" s="46" t="str">
        <x:v>Perch-likes</x:v>
      </x:c>
      <x:c r="I175" s="60" t="n">
        <x:v>0.0000824463</x:v>
      </x:c>
      <x:c r="J175" s="60" t="n">
        <x:v>0</x:v>
      </x:c>
      <x:c r="K175" s="60" t="n">
        <x:v>0.0000824463</x:v>
      </x:c>
      <x:c r="L175" s="60" t="n">
        <x:v>0</x:v>
      </x:c>
      <x:c r="M175" s="60" t="n">
        <x:v>0.0000824463</x:v>
      </x:c>
      <x:c r="N175" s="46" t="str">
        <x:v>sphyraena barracuda</x:v>
      </x:c>
      <x:c r="O175" s="62" t="n">
        <x:v>4.49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Sphyraena barracuda</x:v>
      </x:c>
      <x:c r="T175" s="62" t="n">
        <x:f>IF(O175="","",(1/'Metadata'!$B$5)^(O175-1))</x:f>
        <x:v>3090.295432513592</x:v>
      </x:c>
      <x:c r="U175" s="60" t="n">
        <x:f>IF(T175="","",I175*T175)</x:f>
        <x:v>0.25478342431764534</x:v>
      </x:c>
    </x:row>
    <x:row r="176" ht="18" customHeight="1">
      <x:c r="A176" s="46" t="str">
        <x:v>LME_048</x:v>
      </x:c>
      <x:c r="B176" s="46" t="str">
        <x:v>Yellow Sea</x:v>
      </x:c>
      <x:c r="C176" s="46" t="str">
        <x:v>LME</x:v>
      </x:c>
      <x:c r="D176" s="58" t="n">
        <x:v>2019</x:v>
      </x:c>
      <x:c r="E176" s="46" t="str">
        <x:v>Xiphias gladius</x:v>
      </x:c>
      <x:c r="F176" s="46" t="str">
        <x:v>Swordfish</x:v>
      </x:c>
      <x:c r="G176" s="46" t="str">
        <x:v>Large pelagics (&gt;=90 cm)</x:v>
      </x:c>
      <x:c r="H176" s="46" t="str">
        <x:v>Tuna &amp; billfishes</x:v>
      </x:c>
      <x:c r="I176" s="60" t="n">
        <x:v>0.0000095327</x:v>
      </x:c>
      <x:c r="J176" s="60" t="n">
        <x:v>0</x:v>
      </x:c>
      <x:c r="K176" s="60" t="n">
        <x:v>0.0000095327</x:v>
      </x:c>
      <x:c r="L176" s="60" t="n">
        <x:v>0</x:v>
      </x:c>
      <x:c r="M176" s="60" t="n">
        <x:v>0.0000095327</x:v>
      </x:c>
      <x:c r="N176" s="46" t="str">
        <x:v>xiphias gladius</x:v>
      </x:c>
      <x:c r="O176" s="62" t="n">
        <x:v>4.53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Xiphias gladius</x:v>
      </x:c>
      <x:c r="T176" s="62" t="n">
        <x:f>IF(O176="","",(1/'Metadata'!$B$5)^(O176-1))</x:f>
        <x:v>3388.4415613920273</x:v>
      </x:c>
      <x:c r="U176" s="60" t="n">
        <x:f>IF(T176="","",I176*T176)</x:f>
        <x:v>0.03230099687228178</x:v>
      </x:c>
    </x:row>
  </x:sheetData>
  <x:conditionalFormatting sqref="R2:R17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491cca5f7cb43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187682.1619667398</x:v>
      </x:c>
      <x:c r="E2" s="60" t="n">
        <x:v>187682.1619667398</x:v>
      </x:c>
      <x:c r="F2" s="62" t="n">
        <x:v>0</x:v>
      </x:c>
      <x:c r="G2" s="66" t="n">
        <x:v>1</x:v>
      </x:c>
      <x:c r="H2" s="62" t="n">
        <x:f>IF(E2=0,"",I2/E2)</x:f>
        <x:v>138.06496794328456</x:v>
      </x:c>
      <x:c r="I2" s="60" t="n">
        <x:f>SUMIF('Species'!$H$2:$H$176,A2,'Species'!$U$2:$U$176)</x:f>
        <x:v>25912331.675464272</x:v>
      </x:c>
      <x:c r="J2" s="62" t="n">
        <x:v>3.1400778689222246</x:v>
      </x:c>
      <x:c r="K2" s="62" t="n">
        <x:f>IF(J2="","",(1/'Metadata'!$B$5)^(J2-1))</x:f>
        <x:v>138.06317894423154</x:v>
      </x:c>
      <x:c r="L2" s="60" t="n">
        <x:f>IF(E2=0,"",E2*K2)</x:f>
        <x:v>25911995.912254244</x:v>
      </x:c>
      <x:c r="M2" s="60" t="n">
        <x:f>I2-L2</x:f>
        <x:v>335.76321002840996</x:v>
      </x:c>
      <x:c r="N2" s="62" t="n">
        <x:f>IF(L2=0,"",I2/L2)</x:f>
        <x:v>1.0000129578289207</x:v>
      </x:c>
      <x:c r="O2" s="66" t="n">
        <x:f>IF(L2=0,"",M2/L2)</x:f>
        <x:v>0.000012957828920836683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19978.729052350303</x:v>
      </x:c>
      <x:c r="E3" s="60" t="n">
        <x:v>19978.729052350303</x:v>
      </x:c>
      <x:c r="F3" s="62" t="n">
        <x:v>0</x:v>
      </x:c>
      <x:c r="G3" s="66" t="n">
        <x:v>1</x:v>
      </x:c>
      <x:c r="H3" s="62" t="n">
        <x:f>IF(E3=0,"",I3/E3)</x:f>
        <x:v>1444.75324882946</x:v>
      </x:c>
      <x:c r="I3" s="60" t="n">
        <x:f>SUMIF('Species'!$H$2:$H$176,A3,'Species'!$U$2:$U$176)</x:f>
        <x:v>28864333.70586662</x:v>
      </x:c>
      <x:c r="J3" s="62" t="n">
        <x:v>4.159708486666664</x:v>
      </x:c>
      <x:c r="K3" s="62" t="n">
        <x:f>IF(J3="","",(1/'Metadata'!$B$5)^(J3-1))</x:f>
        <x:v>1444.4698676097014</x:v>
      </x:c>
      <x:c r="L3" s="60" t="n">
        <x:f>IF(E3=0,"",E3*K3)</x:f>
        <x:v>28858672.109258536</x:v>
      </x:c>
      <x:c r="M3" s="60" t="n">
        <x:f>I3-L3</x:f>
        <x:v>5661.596608083695</x:v>
      </x:c>
      <x:c r="N3" s="62" t="n">
        <x:f>IF(L3=0,"",I3/L3)</x:f>
        <x:v>1.000196183545336</x:v>
      </x:c>
      <x:c r="O3" s="66" t="n">
        <x:f>IF(L3=0,"",M3/L3)</x:f>
        <x:v>0.00019618354533600742</x:v>
      </x:c>
    </x:row>
    <x:row r="4" ht="18" customHeight="1">
      <x:c r="A4" s="46" t="str">
        <x:v>Crustaceans</x:v>
      </x:c>
      <x:c r="B4" s="64" t="n">
        <x:v>25</x:v>
      </x:c>
      <x:c r="C4" s="64" t="n">
        <x:v>25</x:v>
      </x:c>
      <x:c r="D4" s="60" t="n">
        <x:v>484135.21438304894</x:v>
      </x:c>
      <x:c r="E4" s="60" t="n">
        <x:v>484135.21438304894</x:v>
      </x:c>
      <x:c r="F4" s="62" t="n">
        <x:v>0</x:v>
      </x:c>
      <x:c r="G4" s="66" t="n">
        <x:v>1</x:v>
      </x:c>
      <x:c r="H4" s="62" t="n">
        <x:f>IF(E4=0,"",I4/E4)</x:f>
        <x:v>186.46544439797577</x:v>
      </x:c>
      <x:c r="I4" s="60" t="n">
        <x:f>SUMIF('Species'!$H$2:$H$176,A4,'Species'!$U$2:$U$176)</x:f>
        <x:v>90274487.89864449</x:v>
      </x:c>
      <x:c r="J4" s="62" t="n">
        <x:v>2.964334889738201</x:v>
      </x:c>
      <x:c r="K4" s="62" t="n">
        <x:f>IF(J4="","",(1/'Metadata'!$B$5)^(J4-1))</x:f>
        <x:v>92.11596152992666</x:v>
      </x:c>
      <x:c r="L4" s="60" t="n">
        <x:f>IF(E4=0,"",E4*K4)</x:f>
        <x:v>44596580.78339174</x:v>
      </x:c>
      <x:c r="M4" s="60" t="n">
        <x:f>I4-L4</x:f>
        <x:v>45677907.115252756</x:v>
      </x:c>
      <x:c r="N4" s="62" t="n">
        <x:f>IF(L4=0,"",I4/L4)</x:f>
        <x:v>2.024246843880545</x:v>
      </x:c>
      <x:c r="O4" s="66" t="n">
        <x:f>IF(L4=0,"",M4/L4)</x:f>
        <x:v>1.0242468438805452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46660.932750606094</x:v>
      </x:c>
      <x:c r="E5" s="60" t="n">
        <x:v>46660.932750606094</x:v>
      </x:c>
      <x:c r="F5" s="62" t="n">
        <x:v>0</x:v>
      </x:c>
      <x:c r="G5" s="66" t="n">
        <x:v>1</x:v>
      </x:c>
      <x:c r="H5" s="62" t="n">
        <x:f>IF(E5=0,"",I5/E5)</x:f>
        <x:v>351.8405918673869</x:v>
      </x:c>
      <x:c r="I5" s="60" t="n">
        <x:f>SUMIF('Species'!$H$2:$H$176,A5,'Species'!$U$2:$U$176)</x:f>
        <x:v>16417210.196057584</x:v>
      </x:c>
      <x:c r="J5" s="62" t="n">
        <x:v>3.332067180923202</x:v>
      </x:c>
      <x:c r="K5" s="62" t="n">
        <x:f>IF(J5="","",(1/'Metadata'!$B$5)^(J5-1))</x:f>
        <x:v>214.81627472794395</x:v>
      </x:c>
      <x:c r="L5" s="60" t="n">
        <x:f>IF(E5=0,"",E5*K5)</x:f>
        <x:v>10023527.748816317</x:v>
      </x:c>
      <x:c r="M5" s="60" t="n">
        <x:f>I5-L5</x:f>
        <x:v>6393682.447241267</x:v>
      </x:c>
      <x:c r="N5" s="62" t="n">
        <x:f>IF(L5=0,"",I5/L5)</x:f>
        <x:v>1.6378674861249622</x:v>
      </x:c>
      <x:c r="O5" s="66" t="n">
        <x:f>IF(L5=0,"",M5/L5)</x:f>
        <x:v>0.6378674861249624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64539.287668388795</x:v>
      </x:c>
      <x:c r="E6" s="60" t="n">
        <x:v>64539.287668388795</x:v>
      </x:c>
      <x:c r="F6" s="62" t="n">
        <x:v>0</x:v>
      </x:c>
      <x:c r="G6" s="66" t="n">
        <x:v>1</x:v>
      </x:c>
      <x:c r="H6" s="62" t="n">
        <x:f>IF(E6=0,"",I6/E6)</x:f>
        <x:v>151.67968081545112</x:v>
      </x:c>
      <x:c r="I6" s="60" t="n">
        <x:f>SUMIF('Species'!$H$2:$H$176,A6,'Species'!$U$2:$U$176)</x:f>
        <x:v>9789298.553597793</x:v>
      </x:c>
      <x:c r="J6" s="62" t="n">
        <x:v>3.076729052839942</x:v>
      </x:c>
      <x:c r="K6" s="62" t="n">
        <x:f>IF(J6="","",(1/'Metadata'!$B$5)^(J6-1))</x:f>
        <x:v>119.32434328055292</x:v>
      </x:c>
      <x:c r="L6" s="60" t="n">
        <x:f>IF(E6=0,"",E6*K6)</x:f>
        <x:v>7701108.116825181</x:v>
      </x:c>
      <x:c r="M6" s="60" t="n">
        <x:f>I6-L6</x:f>
        <x:v>2088190.436772612</x:v>
      </x:c>
      <x:c r="N6" s="62" t="n">
        <x:f>IF(L6=0,"",I6/L6)</x:f>
        <x:v>1.2711545410212315</x:v>
      </x:c>
      <x:c r="O6" s="66" t="n">
        <x:f>IF(L6=0,"",M6/L6)</x:f>
        <x:v>0.27115454102123143</x:v>
      </x:c>
    </x:row>
    <x:row r="7" ht="18" customHeight="1">
      <x:c r="A7" s="46" t="str">
        <x:v>Molluscs</x:v>
      </x:c>
      <x:c r="B7" s="64" t="n">
        <x:v>19</x:v>
      </x:c>
      <x:c r="C7" s="64" t="n">
        <x:v>19</x:v>
      </x:c>
      <x:c r="D7" s="60" t="n">
        <x:v>52124.8411629886</x:v>
      </x:c>
      <x:c r="E7" s="60" t="n">
        <x:v>52124.8411629886</x:v>
      </x:c>
      <x:c r="F7" s="62" t="n">
        <x:v>0</x:v>
      </x:c>
      <x:c r="G7" s="66" t="n">
        <x:v>1</x:v>
      </x:c>
      <x:c r="H7" s="62" t="n">
        <x:f>IF(E7=0,"",I7/E7)</x:f>
        <x:v>19.401185441039367</x:v>
      </x:c>
      <x:c r="I7" s="60" t="n">
        <x:f>SUMIF('Species'!$H$2:$H$176,A7,'Species'!$U$2:$U$176)</x:f>
        <x:v>1011283.7094878639</x:v>
      </x:c>
      <x:c r="J7" s="62" t="n">
        <x:v>2.106265028030594</x:v>
      </x:c>
      <x:c r="K7" s="62" t="n">
        <x:f>IF(J7="","",(1/'Metadata'!$B$5)^(J7-1))</x:f>
        <x:v>12.772179927984096</x:v>
      </x:c>
      <x:c r="L7" s="60" t="n">
        <x:f>IF(E7=0,"",E7*K7)</x:f>
        <x:v>665747.8500512822</x:v>
      </x:c>
      <x:c r="M7" s="60" t="n">
        <x:f>I7-L7</x:f>
        <x:v>345535.8594365817</x:v>
      </x:c>
      <x:c r="N7" s="62" t="n">
        <x:f>IF(L7=0,"",I7/L7)</x:f>
        <x:v>1.5190191142336626</x:v>
      </x:c>
      <x:c r="O7" s="66" t="n">
        <x:f>IF(L7=0,"",M7/L7)</x:f>
        <x:v>0.5190191142336626</x:v>
      </x:c>
    </x:row>
    <x:row r="8" ht="18" customHeight="1">
      <x:c r="A8" s="46" t="str">
        <x:v>Other fishes &amp; inverts</x:v>
      </x:c>
      <x:c r="B8" s="64" t="n">
        <x:v>37</x:v>
      </x:c>
      <x:c r="C8" s="64" t="n">
        <x:v>37</x:v>
      </x:c>
      <x:c r="D8" s="60" t="n">
        <x:v>1045454.0903021037</x:v>
      </x:c>
      <x:c r="E8" s="60" t="n">
        <x:v>1045454.0903021037</x:v>
      </x:c>
      <x:c r="F8" s="62" t="n">
        <x:v>0</x:v>
      </x:c>
      <x:c r="G8" s="66" t="n">
        <x:v>1</x:v>
      </x:c>
      <x:c r="H8" s="62" t="n">
        <x:f>IF(E8=0,"",I8/E8)</x:f>
        <x:v>521.1105005559539</x:v>
      </x:c>
      <x:c r="I8" s="60" t="n">
        <x:f>SUMIF('Species'!$H$2:$H$176,A8,'Species'!$U$2:$U$176)</x:f>
        <x:v>544797104.3055986</x:v>
      </x:c>
      <x:c r="J8" s="62" t="n">
        <x:v>3.5572331632747782</x:v>
      </x:c>
      <x:c r="K8" s="62" t="n">
        <x:f>IF(J8="","",(1/'Metadata'!$B$5)^(J8-1))</x:f>
        <x:v>360.77228183916526</x:v>
      </x:c>
      <x:c r="L8" s="60" t="n">
        <x:f>IF(E8=0,"",E8*K8)</x:f>
        <x:v>377170857.7163787</x:v>
      </x:c>
      <x:c r="M8" s="60" t="n">
        <x:f>I8-L8</x:f>
        <x:v>167626246.58921993</x:v>
      </x:c>
      <x:c r="N8" s="62" t="n">
        <x:f>IF(L8=0,"",I8/L8)</x:f>
        <x:v>1.4444305363466599</x:v>
      </x:c>
      <x:c r="O8" s="66" t="n">
        <x:f>IF(L8=0,"",M8/L8)</x:f>
        <x:v>0.4444305363466599</x:v>
      </x:c>
    </x:row>
    <x:row r="9" ht="18" customHeight="1">
      <x:c r="A9" s="46" t="str">
        <x:v>Perch-likes</x:v>
      </x:c>
      <x:c r="B9" s="64" t="n">
        <x:v>59</x:v>
      </x:c>
      <x:c r="C9" s="64" t="n">
        <x:v>59</x:v>
      </x:c>
      <x:c r="D9" s="60" t="n">
        <x:v>748570.7103791169</x:v>
      </x:c>
      <x:c r="E9" s="60" t="n">
        <x:v>748570.7103791169</x:v>
      </x:c>
      <x:c r="F9" s="62" t="n">
        <x:v>0</x:v>
      </x:c>
      <x:c r="G9" s="66" t="n">
        <x:v>1</x:v>
      </x:c>
      <x:c r="H9" s="62" t="n">
        <x:f>IF(E9=0,"",I9/E9)</x:f>
        <x:v>1109.6441772181115</x:v>
      </x:c>
      <x:c r="I9" s="60" t="n">
        <x:f>SUMIF('Species'!$H$2:$H$176,A9,'Species'!$U$2:$U$176)</x:f>
        <x:v>830647130.0082124</x:v>
      </x:c>
      <x:c r="J9" s="62" t="n">
        <x:v>3.767996098077302</x:v>
      </x:c>
      <x:c r="K9" s="62" t="n">
        <x:f>IF(J9="","",(1/'Metadata'!$B$5)^(J9-1))</x:f>
        <x:v>586.1328983740488</x:v>
      </x:c>
      <x:c r="L9" s="60" t="n">
        <x:f>IF(E9=0,"",E9*K9)</x:f>
        <x:v>438761920.1124324</x:v>
      </x:c>
      <x:c r="M9" s="60" t="n">
        <x:f>I9-L9</x:f>
        <x:v>391885209.89578</x:v>
      </x:c>
      <x:c r="N9" s="62" t="n">
        <x:f>IF(L9=0,"",I9/L9)</x:f>
        <x:v>1.8931613978609623</x:v>
      </x:c>
      <x:c r="O9" s="66" t="n">
        <x:f>IF(L9=0,"",M9/L9)</x:f>
        <x:v>0.8931613978609624</x:v>
      </x:c>
    </x:row>
    <x:row r="10" ht="18" customHeight="1">
      <x:c r="A10" s="46" t="str">
        <x:v>Salmon, smelts, etc</x:v>
      </x:c>
      <x:c r="B10" s="64" t="n">
        <x:v>1</x:v>
      </x:c>
      <x:c r="C10" s="64" t="n">
        <x:v>1</x:v>
      </x:c>
      <x:c r="D10" s="60" t="n">
        <x:v>1.5035095232</x:v>
      </x:c>
      <x:c r="E10" s="60" t="n">
        <x:v>1.5035095232</x:v>
      </x:c>
      <x:c r="F10" s="62" t="n">
        <x:v>0</x:v>
      </x:c>
      <x:c r="G10" s="66" t="n">
        <x:v>1</x:v>
      </x:c>
      <x:c r="H10" s="62" t="n">
        <x:f>IF(E10=0,"",I10/E10)</x:f>
        <x:v>199.52623149688787</x:v>
      </x:c>
      <x:c r="I10" s="60" t="n">
        <x:f>SUMIF('Species'!$H$2:$H$176,A10,'Species'!$U$2:$U$176)</x:f>
        <x:v>299.9895891837787</x:v>
      </x:c>
      <x:c r="J10" s="62" t="n">
        <x:v>3.3</x:v>
      </x:c>
      <x:c r="K10" s="62" t="n">
        <x:f>IF(J10="","",(1/'Metadata'!$B$5)^(J10-1))</x:f>
        <x:v>199.52623149688787</x:v>
      </x:c>
      <x:c r="L10" s="60" t="n">
        <x:f>IF(E10=0,"",E10*K10)</x:f>
        <x:v>299.9895891837787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Scorpionfishes</x:v>
      </x:c>
      <x:c r="B11" s="64" t="n">
        <x:v>6</x:v>
      </x:c>
      <x:c r="C11" s="64" t="n">
        <x:v>6</x:v>
      </x:c>
      <x:c r="D11" s="60" t="n">
        <x:v>9348.579593122402</x:v>
      </x:c>
      <x:c r="E11" s="60" t="n">
        <x:v>9348.579593122402</x:v>
      </x:c>
      <x:c r="F11" s="62" t="n">
        <x:v>0</x:v>
      </x:c>
      <x:c r="G11" s="66" t="n">
        <x:v>1</x:v>
      </x:c>
      <x:c r="H11" s="62" t="n">
        <x:f>IF(E11=0,"",I11/E11)</x:f>
        <x:v>570.7690429342895</x:v>
      </x:c>
      <x:c r="I11" s="60" t="n">
        <x:f>SUMIF('Species'!$H$2:$H$176,A11,'Species'!$U$2:$U$176)</x:f>
        <x:v>5335879.827161503</x:v>
      </x:c>
      <x:c r="J11" s="62" t="n">
        <x:v>3.7379441413843826</x:v>
      </x:c>
      <x:c r="K11" s="62" t="n">
        <x:f>IF(J11="","",(1/'Metadata'!$B$5)^(J11-1))</x:f>
        <x:v>546.9456106543057</x:v>
      </x:c>
      <x:c r="L11" s="60" t="n">
        <x:f>IF(E11=0,"",E11*K11)</x:f>
        <x:v>5113164.5743107125</x:v>
      </x:c>
      <x:c r="M11" s="60" t="n">
        <x:f>I11-L11</x:f>
        <x:v>222715.2528507905</x:v>
      </x:c>
      <x:c r="N11" s="62" t="n">
        <x:f>IF(L11=0,"",I11/L11)</x:f>
        <x:v>1.0435572236359738</x:v>
      </x:c>
      <x:c r="O11" s="66" t="n">
        <x:f>IF(L11=0,"",M11/L11)</x:f>
        <x:v>0.04355722363597381</x:v>
      </x:c>
    </x:row>
    <x:row r="12" ht="18" customHeight="1">
      <x:c r="A12" s="46" t="str">
        <x:v>Sharks &amp; rays</x:v>
      </x:c>
      <x:c r="B12" s="64" t="n">
        <x:v>5</x:v>
      </x:c>
      <x:c r="C12" s="64" t="n">
        <x:v>5</x:v>
      </x:c>
      <x:c r="D12" s="60" t="n">
        <x:v>58.2602215919</x:v>
      </x:c>
      <x:c r="E12" s="60" t="n">
        <x:v>58.2602215919</x:v>
      </x:c>
      <x:c r="F12" s="62" t="n">
        <x:v>0</x:v>
      </x:c>
      <x:c r="G12" s="66" t="n">
        <x:v>1</x:v>
      </x:c>
      <x:c r="H12" s="62" t="n">
        <x:f>IF(E12=0,"",I12/E12)</x:f>
        <x:v>1127.0772886118848</x:v>
      </x:c>
      <x:c r="I12" s="60" t="n">
        <x:f>SUMIF('Species'!$H$2:$H$176,A12,'Species'!$U$2:$U$176)</x:f>
        <x:v>65663.77258572624</x:v>
      </x:c>
      <x:c r="J12" s="62" t="n">
        <x:v>4.051094666688289</x:v>
      </x:c>
      <x:c r="K12" s="62" t="n">
        <x:f>IF(J12="","",(1/'Metadata'!$B$5)^(J12-1))</x:f>
        <x:v>1124.8501399477532</x:v>
      </x:c>
      <x:c r="L12" s="60" t="n">
        <x:f>IF(E12=0,"",E12*K12)</x:f>
        <x:v>65534.018411035824</x:v>
      </x:c>
      <x:c r="M12" s="60" t="n">
        <x:f>I12-L12</x:f>
        <x:v>129.75417469041713</x:v>
      </x:c>
      <x:c r="N12" s="62" t="n">
        <x:f>IF(L12=0,"",I12/L12)</x:f>
        <x:v>1.001979951448675</x:v>
      </x:c>
      <x:c r="O12" s="66" t="n">
        <x:f>IF(L12=0,"",M12/L12)</x:f>
        <x:v>0.0019799514486748874</x:v>
      </x:c>
    </x:row>
    <x:row r="13" ht="18" customHeight="1">
      <x:c r="A13" s="46" t="str">
        <x:v>Tuna &amp; billfishes</x:v>
      </x:c>
      <x:c r="B13" s="64" t="n">
        <x:v>6</x:v>
      </x:c>
      <x:c r="C13" s="64" t="n">
        <x:v>6</x:v>
      </x:c>
      <x:c r="D13" s="60" t="n">
        <x:v>423.65790972630003</x:v>
      </x:c>
      <x:c r="E13" s="60" t="n">
        <x:v>423.65790972630003</x:v>
      </x:c>
      <x:c r="F13" s="62" t="n">
        <x:v>0</x:v>
      </x:c>
      <x:c r="G13" s="66" t="n">
        <x:v>1</x:v>
      </x:c>
      <x:c r="H13" s="62" t="n">
        <x:f>IF(E13=0,"",I13/E13)</x:f>
        <x:v>2595.221142625787</x:v>
      </x:c>
      <x:c r="I13" s="60" t="n">
        <x:f>SUMIF('Species'!$H$2:$H$176,A13,'Species'!$U$2:$U$176)</x:f>
        <x:v>1099485.9645623409</x:v>
      </x:c>
      <x:c r="J13" s="62" t="n">
        <x:v>4.413836020294272</x:v>
      </x:c>
      <x:c r="K13" s="62" t="n">
        <x:f>IF(J13="","",(1/'Metadata'!$B$5)^(J13-1))</x:f>
        <x:v>2593.2000439673648</x:v>
      </x:c>
      <x:c r="L13" s="60" t="n">
        <x:f>IF(E13=0,"",E13*K13)</x:f>
        <x:v>1098629.710129363</x:v>
      </x:c>
      <x:c r="M13" s="60" t="n">
        <x:f>I13-L13</x:f>
        <x:v>856.2544329778757</x:v>
      </x:c>
      <x:c r="N13" s="62" t="n">
        <x:f>IF(L13=0,"",I13/L13)</x:f>
        <x:v>1.0007793840136336</x:v>
      </x:c>
      <x:c r="O13" s="66" t="n">
        <x:f>IF(L13=0,"",M13/L13)</x:f>
        <x:v>0.0007793840136337221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5aecd92eba448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11</x:v>
      </x:c>
      <x:c r="C2" s="64" t="n">
        <x:v>11</x:v>
      </x:c>
      <x:c r="D2" s="60" t="n">
        <x:v>165339.39911687688</x:v>
      </x:c>
      <x:c r="E2" s="60" t="n">
        <x:v>165339.39911687688</x:v>
      </x:c>
      <x:c r="F2" s="62" t="n">
        <x:v>0</x:v>
      </x:c>
      <x:c r="G2" s="66" t="n">
        <x:v>1</x:v>
      </x:c>
      <x:c r="H2" s="62" t="n">
        <x:f>IF(E2=0,"",I2/E2)</x:f>
        <x:v>940.4449164777087</x:v>
      </x:c>
      <x:c r="I2" s="60" t="n">
        <x:f>SUMIF('Species'!$G$2:$G$176,A2,'Species'!$U$2:$U$176)</x:f>
        <x:v>155492597.39294583</x:v>
      </x:c>
      <x:c r="J2" s="62" t="n">
        <x:v>3.899314363382791</x:v>
      </x:c>
      <x:c r="K2" s="62" t="n">
        <x:f>IF(J2="","",(1/'Metadata'!$B$5)^(J2-1))</x:f>
        <x:v>793.0751889996837</x:v>
      </x:c>
      <x:c r="L2" s="60" t="n">
        <x:f>IF(E2=0,"",E2*K2)</x:f>
        <x:v>131126575.20371129</x:v>
      </x:c>
      <x:c r="M2" s="60" t="n">
        <x:f>I2-L2</x:f>
        <x:v>24366022.18923454</x:v>
      </x:c>
      <x:c r="N2" s="62" t="n">
        <x:f>IF(L2=0,"",I2/L2)</x:f>
        <x:v>1.1858206252346695</x:v>
      </x:c>
      <x:c r="O2" s="66" t="n">
        <x:f>IF(L2=0,"",M2/L2)</x:f>
        <x:v>0.1858206252346695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237933.36303136402</x:v>
      </x:c>
      <x:c r="E3" s="60" t="n">
        <x:v>237933.36303136402</x:v>
      </x:c>
      <x:c r="F3" s="62" t="n">
        <x:v>0</x:v>
      </x:c>
      <x:c r="G3" s="66" t="n">
        <x:v>1</x:v>
      </x:c>
      <x:c r="H3" s="62" t="n">
        <x:f>IF(E3=0,"",I3/E3)</x:f>
        <x:v>344.41710209904926</x:v>
      </x:c>
      <x:c r="I3" s="60" t="n">
        <x:f>SUMIF('Species'!$G$2:$G$176,A3,'Species'!$U$2:$U$176)</x:f>
        <x:v>81948319.38794345</x:v>
      </x:c>
      <x:c r="J3" s="62" t="n">
        <x:v>3.5140963389689115</x:v>
      </x:c>
      <x:c r="K3" s="62" t="n">
        <x:f>IF(J3="","",(1/'Metadata'!$B$5)^(J3-1))</x:f>
        <x:v>326.66028675394466</x:v>
      </x:c>
      <x:c r="L3" s="60" t="n">
        <x:f>IF(E3=0,"",E3*K3)</x:f>
        <x:v>77723380.59615579</x:v>
      </x:c>
      <x:c r="M3" s="60" t="n">
        <x:f>I3-L3</x:f>
        <x:v>4224938.791787654</x:v>
      </x:c>
      <x:c r="N3" s="62" t="n">
        <x:f>IF(L3=0,"",I3/L3)</x:f>
        <x:v>1.054358659638598</x:v>
      </x:c>
      <x:c r="O3" s="66" t="n">
        <x:f>IF(L3=0,"",M3/L3)</x:f>
        <x:v>0.05435865963859812</x:v>
      </x:c>
    </x:row>
    <x:row r="4" ht="18" customHeight="1">
      <x:c r="A4" s="46" t="str">
        <x:v>Large benthopelagics (&gt;=90 cm)</x:v>
      </x:c>
      <x:c r="B4" s="64" t="n">
        <x:v>6</x:v>
      </x:c>
      <x:c r="C4" s="64" t="n">
        <x:v>6</x:v>
      </x:c>
      <x:c r="D4" s="60" t="n">
        <x:v>201774.4386818392</x:v>
      </x:c>
      <x:c r="E4" s="60" t="n">
        <x:v>201774.4386818392</x:v>
      </x:c>
      <x:c r="F4" s="62" t="n">
        <x:v>0</x:v>
      </x:c>
      <x:c r="G4" s="66" t="n">
        <x:v>1</x:v>
      </x:c>
      <x:c r="H4" s="62" t="n">
        <x:f>IF(E4=0,"",I4/E4)</x:f>
        <x:v>2388.5940076003403</x:v>
      </x:c>
      <x:c r="I4" s="60" t="n">
        <x:f>SUMIF('Species'!$G$2:$G$176,A4,'Species'!$U$2:$U$176)</x:f>
        <x:v>481957215.12236345</x:v>
      </x:c>
      <x:c r="J4" s="62" t="n">
        <x:v>4.2190678869408105</x:v>
      </x:c>
      <x:c r="K4" s="62" t="n">
        <x:f>IF(J4="","",(1/'Metadata'!$B$5)^(J4-1))</x:f>
        <x:v>1656.028806139605</x:v>
      </x:c>
      <x:c r="L4" s="60" t="n">
        <x:f>IF(E4=0,"",E4*K4)</x:f>
        <x:v>334144282.7997751</x:v>
      </x:c>
      <x:c r="M4" s="60" t="n">
        <x:f>I4-L4</x:f>
        <x:v>147812932.32258832</x:v>
      </x:c>
      <x:c r="N4" s="62" t="n">
        <x:f>IF(L4=0,"",I4/L4)</x:f>
        <x:v>1.4423625958345674</x:v>
      </x:c>
      <x:c r="O4" s="66" t="n">
        <x:f>IF(L4=0,"",M4/L4)</x:f>
        <x:v>0.44236259583456744</x:v>
      </x:c>
    </x:row>
    <x:row r="5" ht="18" customHeight="1">
      <x:c r="A5" s="46" t="str">
        <x:v>Large demersals (&gt;=90 cm)</x:v>
      </x:c>
      <x:c r="B5" s="64" t="n">
        <x:v>7</x:v>
      </x:c>
      <x:c r="C5" s="64" t="n">
        <x:v>7</x:v>
      </x:c>
      <x:c r="D5" s="60" t="n">
        <x:v>74153.8866803906</x:v>
      </x:c>
      <x:c r="E5" s="60" t="n">
        <x:v>74153.8866803906</x:v>
      </x:c>
      <x:c r="F5" s="62" t="n">
        <x:v>0</x:v>
      </x:c>
      <x:c r="G5" s="66" t="n">
        <x:v>1</x:v>
      </x:c>
      <x:c r="H5" s="62" t="n">
        <x:f>IF(E5=0,"",I5/E5)</x:f>
        <x:v>2053.6622651211264</x:v>
      </x:c>
      <x:c r="I5" s="60" t="n">
        <x:f>SUMIF('Species'!$G$2:$G$176,A5,'Species'!$U$2:$U$176)</x:f>
        <x:v>152287038.8875863</x:v>
      </x:c>
      <x:c r="J5" s="62" t="n">
        <x:v>4.2925399013307555</x:v>
      </x:c>
      <x:c r="K5" s="62" t="n">
        <x:f>IF(J5="","",(1/'Metadata'!$B$5)^(J5-1))</x:f>
        <x:v>1961.2813622955912</x:v>
      </x:c>
      <x:c r="L5" s="60" t="n">
        <x:f>IF(E5=0,"",E5*K5)</x:f>
        <x:v>145436635.88802937</x:v>
      </x:c>
      <x:c r="M5" s="60" t="n">
        <x:f>I5-L5</x:f>
        <x:v>6850402.999556929</x:v>
      </x:c>
      <x:c r="N5" s="62" t="n">
        <x:f>IF(L5=0,"",I5/L5)</x:f>
        <x:v>1.0471023202491496</x:v>
      </x:c>
      <x:c r="O5" s="66" t="n">
        <x:f>IF(L5=0,"",M5/L5)</x:f>
        <x:v>0.04710232024914964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3592.9103292158</x:v>
      </x:c>
      <x:c r="E6" s="60" t="n">
        <x:v>3592.9103292158</x:v>
      </x:c>
      <x:c r="F6" s="62" t="n">
        <x:v>0</x:v>
      </x:c>
      <x:c r="G6" s="66" t="n">
        <x:v>1</x:v>
      </x:c>
      <x:c r="H6" s="62" t="n">
        <x:f>IF(E6=0,"",I6/E6)</x:f>
        <x:v>1778.2794100389228</x:v>
      </x:c>
      <x:c r="I6" s="60" t="n">
        <x:f>SUMIF('Species'!$G$2:$G$176,A6,'Species'!$U$2:$U$176)</x:f>
        <x:v>6389198.460560625</x:v>
      </x:c>
      <x:c r="J6" s="62" t="n">
        <x:v>4.25</x:v>
      </x:c>
      <x:c r="K6" s="62" t="n">
        <x:f>IF(J6="","",(1/'Metadata'!$B$5)^(J6-1))</x:f>
        <x:v>1778.2794100389228</x:v>
      </x:c>
      <x:c r="L6" s="60" t="n">
        <x:f>IF(E6=0,"",E6*K6)</x:f>
        <x:v>6389198.460560625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12</x:v>
      </x:c>
      <x:c r="C7" s="64" t="n">
        <x:v>12</x:v>
      </x:c>
      <x:c r="D7" s="60" t="n">
        <x:v>61768.275526439094</x:v>
      </x:c>
      <x:c r="E7" s="60" t="n">
        <x:v>61768.275526439094</x:v>
      </x:c>
      <x:c r="F7" s="62" t="n">
        <x:v>0</x:v>
      </x:c>
      <x:c r="G7" s="66" t="n">
        <x:v>1</x:v>
      </x:c>
      <x:c r="H7" s="62" t="n">
        <x:f>IF(E7=0,"",I7/E7)</x:f>
        <x:v>2810.7325312995304</x:v>
      </x:c>
      <x:c r="I7" s="60" t="n">
        <x:f>SUMIF('Species'!$G$2:$G$176,A7,'Species'!$U$2:$U$176)</x:f>
        <x:v>173614101.424435</x:v>
      </x:c>
      <x:c r="J7" s="62" t="n">
        <x:v>4.4429727329619055</x:v>
      </x:c>
      <x:c r="K7" s="62" t="n">
        <x:f>IF(J7="","",(1/'Metadata'!$B$5)^(J7-1))</x:f>
        <x:v>2773.145988115143</x:v>
      </x:c>
      <x:c r="L7" s="60" t="n">
        <x:f>IF(E7=0,"",E7*K7)</x:f>
        <x:v>171292445.46893537</x:v>
      </x:c>
      <x:c r="M7" s="60" t="n">
        <x:f>I7-L7</x:f>
        <x:v>2321655.9554996192</x:v>
      </x:c>
      <x:c r="N7" s="62" t="n">
        <x:f>IF(L7=0,"",I7/L7)</x:f>
        <x:v>1.0135537556787386</x:v>
      </x:c>
      <x:c r="O7" s="66" t="n">
        <x:f>IF(L7=0,"",M7/L7)</x:f>
        <x:v>0.013553755678738684</x:v>
      </x:c>
    </x:row>
    <x:row r="8" ht="18" customHeight="1">
      <x:c r="A8" s="46" t="str">
        <x:v>Large rays (&gt;=90 cm)</x:v>
      </x:c>
      <x:c r="B8" s="64" t="n">
        <x:v>1</x:v>
      </x:c>
      <x:c r="C8" s="64" t="n">
        <x:v>1</x:v>
      </x:c>
      <x:c r="D8" s="60" t="n">
        <x:v>0.0111412561</x:v>
      </x:c>
      <x:c r="E8" s="60" t="n">
        <x:v>0.0111412561</x:v>
      </x:c>
      <x:c r="F8" s="62" t="n">
        <x:v>0</x:v>
      </x:c>
      <x:c r="G8" s="66" t="n">
        <x:v>1</x:v>
      </x:c>
      <x:c r="H8" s="62" t="n">
        <x:f>IF(E8=0,"",I8/E8)</x:f>
        <x:v>691.8309709189363</x:v>
      </x:c>
      <x:c r="I8" s="60" t="n">
        <x:f>SUMIF('Species'!$G$2:$G$176,A8,'Species'!$U$2:$U$176)</x:f>
        <x:v>7.707866024919522</x:v>
      </x:c>
      <x:c r="J8" s="62" t="n">
        <x:v>3.8400000000000003</x:v>
      </x:c>
      <x:c r="K8" s="62" t="n">
        <x:f>IF(J8="","",(1/'Metadata'!$B$5)^(J8-1))</x:f>
        <x:v>691.8309709189369</x:v>
      </x:c>
      <x:c r="L8" s="60" t="n">
        <x:f>IF(E8=0,"",E8*K8)</x:f>
        <x:v>7.707866024919529</x:v>
      </x:c>
      <x:c r="M8" s="60" t="n">
        <x:f>I8-L8</x:f>
        <x:v>-7.105427357601002e-15</x:v>
      </x:c>
      <x:c r="N8" s="62" t="n">
        <x:f>IF(L8=0,"",I8/L8)</x:f>
        <x:v>0.9999999999999991</x:v>
      </x:c>
      <x:c r="O8" s="66" t="n">
        <x:f>IF(L8=0,"",M8/L8)</x:f>
        <x:v>-9.218410562183044e-16</x:v>
      </x:c>
    </x:row>
    <x:row r="9" ht="18" customHeight="1">
      <x:c r="A9" s="46" t="str">
        <x:v>Large reef assoc. fish (&gt;=90 cm)</x:v>
      </x:c>
      <x:c r="B9" s="64" t="n">
        <x:v>6</x:v>
      </x:c>
      <x:c r="C9" s="64" t="n">
        <x:v>6</x:v>
      </x:c>
      <x:c r="D9" s="60" t="n">
        <x:v>8316.522449336002</x:v>
      </x:c>
      <x:c r="E9" s="60" t="n">
        <x:v>8316.522449336002</x:v>
      </x:c>
      <x:c r="F9" s="62" t="n">
        <x:v>0</x:v>
      </x:c>
      <x:c r="G9" s="66" t="n">
        <x:v>1</x:v>
      </x:c>
      <x:c r="H9" s="62" t="n">
        <x:f>IF(E9=0,"",I9/E9)</x:f>
        <x:v>525.7375616951614</x:v>
      </x:c>
      <x:c r="I9" s="60" t="n">
        <x:f>SUMIF('Species'!$G$2:$G$176,A9,'Species'!$U$2:$U$176)</x:f>
        <x:v>4372308.234296981</x:v>
      </x:c>
      <x:c r="J9" s="62" t="n">
        <x:v>3.677840289108083</x:v>
      </x:c>
      <x:c r="K9" s="62" t="n">
        <x:f>IF(J9="","",(1/'Metadata'!$B$5)^(J9-1))</x:f>
        <x:v>476.2558125134754</x:v>
      </x:c>
      <x:c r="L9" s="60" t="n">
        <x:f>IF(E9=0,"",E9*K9)</x:f>
        <x:v>3960792.1563950763</x:v>
      </x:c>
      <x:c r="M9" s="60" t="n">
        <x:f>I9-L9</x:f>
        <x:v>411516.07790190494</x:v>
      </x:c>
      <x:c r="N9" s="62" t="n">
        <x:f>IF(L9=0,"",I9/L9)</x:f>
        <x:v>1.1038974179035053</x:v>
      </x:c>
      <x:c r="O9" s="66" t="n">
        <x:f>IF(L9=0,"",M9/L9)</x:f>
        <x:v>0.10389741790350525</x:v>
      </x:c>
    </x:row>
    <x:row r="10" ht="18" customHeight="1">
      <x:c r="A10" s="46" t="str">
        <x:v>Large sharks (&gt;=90 cm)</x:v>
      </x:c>
      <x:c r="B10" s="64" t="n">
        <x:v>4</x:v>
      </x:c>
      <x:c r="C10" s="64" t="n">
        <x:v>4</x:v>
      </x:c>
      <x:c r="D10" s="60" t="n">
        <x:v>58.2490803358</x:v>
      </x:c>
      <x:c r="E10" s="60" t="n">
        <x:v>58.2490803358</x:v>
      </x:c>
      <x:c r="F10" s="62" t="n">
        <x:v>0</x:v>
      </x:c>
      <x:c r="G10" s="66" t="n">
        <x:v>1</x:v>
      </x:c>
      <x:c r="H10" s="62" t="n">
        <x:f>IF(E10=0,"",I10/E10)</x:f>
        <x:v>1127.1605378351178</x:v>
      </x:c>
      <x:c r="I10" s="60" t="n">
        <x:f>SUMIF('Species'!$G$2:$G$176,A10,'Species'!$U$2:$U$176)</x:f>
        <x:v>65656.06471970132</x:v>
      </x:c>
      <x:c r="J10" s="62" t="n">
        <x:v>4.051135042600309</x:v>
      </x:c>
      <x:c r="K10" s="62" t="n">
        <x:f>IF(J10="","",(1/'Metadata'!$B$5)^(J10-1))</x:f>
        <x:v>1124.9547209715129</x:v>
      </x:c>
      <x:c r="L10" s="60" t="n">
        <x:f>IF(E10=0,"",E10*K10)</x:f>
        <x:v>65527.577916007125</x:v>
      </x:c>
      <x:c r="M10" s="60" t="n">
        <x:f>I10-L10</x:f>
        <x:v>128.48680369419162</x:v>
      </x:c>
      <x:c r="N10" s="62" t="n">
        <x:f>IF(L10=0,"",I10/L10)</x:f>
        <x:v>1.0019608050195123</x:v>
      </x:c>
      <x:c r="O10" s="66" t="n">
        <x:f>IF(L10=0,"",M10/L10)</x:f>
        <x:v>0.001960805019512323</x:v>
      </x:c>
    </x:row>
    <x:row r="11" ht="18" customHeight="1">
      <x:c r="A11" s="46" t="str">
        <x:v>Lobsters, crabs</x:v>
      </x:c>
      <x:c r="B11" s="64" t="n">
        <x:v>12</x:v>
      </x:c>
      <x:c r="C11" s="64" t="n">
        <x:v>12</x:v>
      </x:c>
      <x:c r="D11" s="60" t="n">
        <x:v>245206.4949684215</x:v>
      </x:c>
      <x:c r="E11" s="60" t="n">
        <x:v>245206.4949684215</x:v>
      </x:c>
      <x:c r="F11" s="62" t="n">
        <x:v>0</x:v>
      </x:c>
      <x:c r="G11" s="66" t="n">
        <x:v>1</x:v>
      </x:c>
      <x:c r="H11" s="62" t="n">
        <x:f>IF(E11=0,"",I11/E11)</x:f>
        <x:v>276.3930473190327</x:v>
      </x:c>
      <x:c r="I11" s="60" t="n">
        <x:f>SUMIF('Species'!$G$2:$G$176,A11,'Species'!$U$2:$U$176)</x:f>
        <x:v>67773370.36674108</x:v>
      </x:c>
      <x:c r="J11" s="62" t="n">
        <x:v>3.1294270450649737</x:v>
      </x:c>
      <x:c r="K11" s="62" t="n">
        <x:f>IF(J11="","",(1/'Metadata'!$B$5)^(J11-1))</x:f>
        <x:v>134.7184399636856</x:v>
      </x:c>
      <x:c r="L11" s="60" t="n">
        <x:f>IF(E11=0,"",E11*K11)</x:f>
        <x:v>33033836.471109066</x:v>
      </x:c>
      <x:c r="M11" s="60" t="n">
        <x:f>I11-L11</x:f>
        <x:v>34739533.89563201</x:v>
      </x:c>
      <x:c r="N11" s="62" t="n">
        <x:f>IF(L11=0,"",I11/L11)</x:f>
        <x:v>2.051634857065867</x:v>
      </x:c>
      <x:c r="O11" s="66" t="n">
        <x:f>IF(L11=0,"",M11/L11)</x:f>
        <x:v>1.0516348570658671</x:v>
      </x:c>
    </x:row>
    <x:row r="12" ht="18" customHeight="1">
      <x:c r="A12" s="46" t="str">
        <x:v>Medium benthopelagics (30 - 89 cm)</x:v>
      </x:c>
      <x:c r="B12" s="64" t="n">
        <x:v>7</x:v>
      </x:c>
      <x:c r="C12" s="64" t="n">
        <x:v>7</x:v>
      </x:c>
      <x:c r="D12" s="60" t="n">
        <x:v>177015.58747701978</x:v>
      </x:c>
      <x:c r="E12" s="60" t="n">
        <x:v>177015.58747701978</x:v>
      </x:c>
      <x:c r="F12" s="62" t="n">
        <x:v>0</x:v>
      </x:c>
      <x:c r="G12" s="66" t="n">
        <x:v>1</x:v>
      </x:c>
      <x:c r="H12" s="62" t="n">
        <x:f>IF(E12=0,"",I12/E12)</x:f>
        <x:v>324.36744329296937</x:v>
      </x:c>
      <x:c r="I12" s="60" t="n">
        <x:f>SUMIF('Species'!$G$2:$G$176,A12,'Species'!$U$2:$U$176)</x:f>
        <x:v>57418093.53292387</x:v>
      </x:c>
      <x:c r="J12" s="62" t="n">
        <x:v>3.491401557708791</x:v>
      </x:c>
      <x:c r="K12" s="62" t="n">
        <x:f>IF(J12="","",(1/'Metadata'!$B$5)^(J12-1))</x:f>
        <x:v>310.0284561945731</x:v>
      </x:c>
      <x:c r="L12" s="60" t="n">
        <x:f>IF(E12=0,"",E12*K12)</x:f>
        <x:v>54879869.30787585</x:v>
      </x:c>
      <x:c r="M12" s="60" t="n">
        <x:f>I12-L12</x:f>
        <x:v>2538224.2250480205</x:v>
      </x:c>
      <x:c r="N12" s="62" t="n">
        <x:f>IF(L12=0,"",I12/L12)</x:f>
        <x:v>1.0462505515603289</x:v>
      </x:c>
      <x:c r="O12" s="66" t="n">
        <x:f>IF(L12=0,"",M12/L12)</x:f>
        <x:v>0.04625055156032885</x:v>
      </x:c>
    </x:row>
    <x:row r="13" ht="18" customHeight="1">
      <x:c r="A13" s="46" t="str">
        <x:v>Medium demersals (30 - 89 cm)</x:v>
      </x:c>
      <x:c r="B13" s="64" t="n">
        <x:v>20</x:v>
      </x:c>
      <x:c r="C13" s="64" t="n">
        <x:v>20</x:v>
      </x:c>
      <x:c r="D13" s="60" t="n">
        <x:v>363425.6133832902</x:v>
      </x:c>
      <x:c r="E13" s="60" t="n">
        <x:v>363425.6133832902</x:v>
      </x:c>
      <x:c r="F13" s="62" t="n">
        <x:v>0</x:v>
      </x:c>
      <x:c r="G13" s="66" t="n">
        <x:v>1</x:v>
      </x:c>
      <x:c r="H13" s="62" t="n">
        <x:f>IF(E13=0,"",I13/E13)</x:f>
        <x:v>264.4705482794308</x:v>
      </x:c>
      <x:c r="I13" s="60" t="n">
        <x:f>SUMIF('Species'!$G$2:$G$176,A13,'Species'!$U$2:$U$176)</x:f>
        <x:v>96115371.23026718</x:v>
      </x:c>
      <x:c r="J13" s="62" t="n">
        <x:v>3.368763854696356</x:v>
      </x:c>
      <x:c r="K13" s="62" t="n">
        <x:f>IF(J13="","",(1/'Metadata'!$B$5)^(J13-1))</x:f>
        <x:v>233.75658540952992</x:v>
      </x:c>
      <x:c r="L13" s="60" t="n">
        <x:f>IF(E13=0,"",E13*K13)</x:f>
        <x:v>84953130.43484187</x:v>
      </x:c>
      <x:c r="M13" s="60" t="n">
        <x:f>I13-L13</x:f>
        <x:v>11162240.79542531</x:v>
      </x:c>
      <x:c r="N13" s="62" t="n">
        <x:f>IF(L13=0,"",I13/L13)</x:f>
        <x:v>1.1313929308818893</x:v>
      </x:c>
      <x:c r="O13" s="66" t="n">
        <x:f>IF(L13=0,"",M13/L13)</x:f>
        <x:v>0.13139293088188939</x:v>
      </x:c>
    </x:row>
    <x:row r="14" ht="18" customHeight="1">
      <x:c r="A14" s="46" t="str">
        <x:v>Medium pelagics (30 - 89 cm)</x:v>
      </x:c>
      <x:c r="B14" s="64" t="n">
        <x:v>15</x:v>
      </x:c>
      <x:c r="C14" s="64" t="n">
        <x:v>15</x:v>
      </x:c>
      <x:c r="D14" s="60" t="n">
        <x:v>462894.2454829762</x:v>
      </x:c>
      <x:c r="E14" s="60" t="n">
        <x:v>462894.2454829762</x:v>
      </x:c>
      <x:c r="F14" s="62" t="n">
        <x:v>0</x:v>
      </x:c>
      <x:c r="G14" s="66" t="n">
        <x:v>1</x:v>
      </x:c>
      <x:c r="H14" s="62" t="n">
        <x:f>IF(E14=0,"",I14/E14)</x:f>
        <x:v>391.67236722857797</x:v>
      </x:c>
      <x:c r="I14" s="60" t="n">
        <x:f>SUMIF('Species'!$G$2:$G$176,A14,'Species'!$U$2:$U$176)</x:f>
        <x:v>181302884.90480378</x:v>
      </x:c>
      <x:c r="J14" s="62" t="n">
        <x:v>3.5247666075318325</x:v>
      </x:c>
      <x:c r="K14" s="62" t="n">
        <x:f>IF(J14="","",(1/'Metadata'!$B$5)^(J14-1))</x:f>
        <x:v>334.7854750762171</x:v>
      </x:c>
      <x:c r="L14" s="60" t="n">
        <x:f>IF(E14=0,"",E14*K14)</x:f>
        <x:v>154970269.88406524</x:v>
      </x:c>
      <x:c r="M14" s="60" t="n">
        <x:f>I14-L14</x:f>
        <x:v>26332615.020738542</x:v>
      </x:c>
      <x:c r="N14" s="62" t="n">
        <x:f>IF(L14=0,"",I14/L14)</x:f>
        <x:v>1.1699204308054585</x:v>
      </x:c>
      <x:c r="O14" s="66" t="n">
        <x:f>IF(L14=0,"",M14/L14)</x:f>
        <x:v>0.16992043080545854</x:v>
      </x:c>
    </x:row>
    <x:row r="15" ht="18" customHeight="1">
      <x:c r="A15" s="46" t="str">
        <x:v>Medium reef assoc. fish (30 - 89 cm)</x:v>
      </x:c>
      <x:c r="B15" s="64" t="n">
        <x:v>13</x:v>
      </x:c>
      <x:c r="C15" s="64" t="n">
        <x:v>13</x:v>
      </x:c>
      <x:c r="D15" s="60" t="n">
        <x:v>54092.5482146484</x:v>
      </x:c>
      <x:c r="E15" s="60" t="n">
        <x:v>54092.5482146484</x:v>
      </x:c>
      <x:c r="F15" s="62" t="n">
        <x:v>0</x:v>
      </x:c>
      <x:c r="G15" s="66" t="n">
        <x:v>1</x:v>
      </x:c>
      <x:c r="H15" s="62" t="n">
        <x:f>IF(E15=0,"",I15/E15)</x:f>
        <x:v>376.7383952405961</x:v>
      </x:c>
      <x:c r="I15" s="60" t="n">
        <x:f>SUMIF('Species'!$G$2:$G$176,A15,'Species'!$U$2:$U$176)</x:f>
        <x:v>20378739.80886121</x:v>
      </x:c>
      <x:c r="J15" s="62" t="n">
        <x:v>3.334360275418728</x:v>
      </x:c>
      <x:c r="K15" s="62" t="n">
        <x:f>IF(J15="","",(1/'Metadata'!$B$5)^(J15-1))</x:f>
        <x:v>215.95351406415307</x:v>
      </x:c>
      <x:c r="L15" s="60" t="n">
        <x:f>IF(E15=0,"",E15*K15)</x:f>
        <x:v>11681475.871637952</x:v>
      </x:c>
      <x:c r="M15" s="60" t="n">
        <x:f>I15-L15</x:f>
        <x:v>8697263.93722326</x:v>
      </x:c>
      <x:c r="N15" s="62" t="n">
        <x:f>IF(L15=0,"",I15/L15)</x:f>
        <x:v>1.7445346831850064</x:v>
      </x:c>
      <x:c r="O15" s="66" t="n">
        <x:f>IF(L15=0,"",M15/L15)</x:f>
        <x:v>0.7445346831850065</x:v>
      </x:c>
    </x:row>
    <x:row r="16" ht="18" customHeight="1">
      <x:c r="A16" s="46" t="str">
        <x:v>Other demersal invertebrates</x:v>
      </x:c>
      <x:c r="B16" s="64" t="n">
        <x:v>24</x:v>
      </x:c>
      <x:c r="C16" s="64" t="n">
        <x:v>24</x:v>
      </x:c>
      <x:c r="D16" s="60" t="n">
        <x:v>79159.5984173224</x:v>
      </x:c>
      <x:c r="E16" s="60" t="n">
        <x:v>79159.5984173224</x:v>
      </x:c>
      <x:c r="F16" s="62" t="n">
        <x:v>0</x:v>
      </x:c>
      <x:c r="G16" s="66" t="n">
        <x:v>1</x:v>
      </x:c>
      <x:c r="H16" s="62" t="n">
        <x:f>IF(E16=0,"",I16/E16)</x:f>
        <x:v>21.825226500133102</x:v>
      </x:c>
      <x:c r="I16" s="60" t="n">
        <x:f>SUMIF('Species'!$G$2:$G$176,A16,'Species'!$U$2:$U$176)</x:f>
        <x:v>1727676.1651176391</x:v>
      </x:c>
      <x:c r="J16" s="62" t="n">
        <x:v>2.2132504548033594</x:v>
      </x:c>
      <x:c r="K16" s="62" t="n">
        <x:f>IF(J16="","",(1/'Metadata'!$B$5)^(J16-1))</x:f>
        <x:v>16.339939899410847</x:v>
      </x:c>
      <x:c r="L16" s="60" t="n">
        <x:f>IF(E16=0,"",E16*K16)</x:f>
        <x:v>1293463.080600546</x:v>
      </x:c>
      <x:c r="M16" s="60" t="n">
        <x:f>I16-L16</x:f>
        <x:v>434213.08451709314</x:v>
      </x:c>
      <x:c r="N16" s="62" t="n">
        <x:f>IF(L16=0,"",I16/L16)</x:f>
        <x:v>1.3356980891294485</x:v>
      </x:c>
      <x:c r="O16" s="66" t="n">
        <x:f>IF(L16=0,"",M16/L16)</x:f>
        <x:v>0.33569808912944854</x:v>
      </x:c>
    </x:row>
    <x:row r="17" ht="18" customHeight="1">
      <x:c r="A17" s="46" t="str">
        <x:v>Shrimps</x:v>
      </x:c>
      <x:c r="B17" s="64" t="n">
        <x:v>13</x:v>
      </x:c>
      <x:c r="C17" s="64" t="n">
        <x:v>13</x:v>
      </x:c>
      <x:c r="D17" s="60" t="n">
        <x:v>238928.71941462738</x:v>
      </x:c>
      <x:c r="E17" s="60" t="n">
        <x:v>238928.71941462738</x:v>
      </x:c>
      <x:c r="F17" s="62" t="n">
        <x:v>0</x:v>
      </x:c>
      <x:c r="G17" s="66" t="n">
        <x:v>1</x:v>
      </x:c>
      <x:c r="H17" s="62" t="n">
        <x:f>IF(E17=0,"",I17/E17)</x:f>
        <x:v>94.1750225214905</x:v>
      </x:c>
      <x:c r="I17" s="60" t="n">
        <x:f>SUMIF('Species'!$G$2:$G$176,A17,'Species'!$U$2:$U$176)</x:f>
        <x:v>22501117.53190342</x:v>
      </x:c>
      <x:c r="J17" s="62" t="n">
        <x:v>2.794904990923026</x:v>
      </x:c>
      <x:c r="K17" s="62" t="n">
        <x:f>IF(J17="","",(1/'Metadata'!$B$5)^(J17-1))</x:f>
        <x:v>62.3598398129805</x:v>
      </x:c>
      <x:c r="L17" s="60" t="n">
        <x:f>IF(E17=0,"",E17*K17)</x:f>
        <x:v>14899556.66941673</x:v>
      </x:c>
      <x:c r="M17" s="60" t="n">
        <x:f>I17-L17</x:f>
        <x:v>7601560.86248669</x:v>
      </x:c>
      <x:c r="N17" s="62" t="n">
        <x:f>IF(L17=0,"",I17/L17)</x:f>
        <x:v>1.5101870499334975</x:v>
      </x:c>
      <x:c r="O17" s="66" t="n">
        <x:f>IF(L17=0,"",M17/L17)</x:f>
        <x:v>0.5101870499334976</x:v>
      </x:c>
    </x:row>
    <x:row r="18" ht="18" customHeight="1">
      <x:c r="A18" s="46" t="str">
        <x:v>Small bathydemersals (&lt;30 cm)</x:v>
      </x:c>
      <x:c r="B18" s="64" t="n">
        <x:v>1</x:v>
      </x:c>
      <x:c r="C18" s="64" t="n">
        <x:v>1</x:v>
      </x:c>
      <x:c r="D18" s="60" t="n">
        <x:v>9917.3769116907</x:v>
      </x:c>
      <x:c r="E18" s="60" t="n">
        <x:v>9917.3769116907</x:v>
      </x:c>
      <x:c r="F18" s="62" t="n">
        <x:v>0</x:v>
      </x:c>
      <x:c r="G18" s="66" t="n">
        <x:v>1</x:v>
      </x:c>
      <x:c r="H18" s="62" t="n">
        <x:f>IF(E18=0,"",I18/E18)</x:f>
        <x:v>323.5936569296281</x:v>
      </x:c>
      <x:c r="I18" s="60" t="n">
        <x:f>SUMIF('Species'!$G$2:$G$176,A18,'Species'!$U$2:$U$176)</x:f>
        <x:v>3209200.262003455</x:v>
      </x:c>
      <x:c r="J18" s="62" t="n">
        <x:v>3.5100000000000002</x:v>
      </x:c>
      <x:c r="K18" s="62" t="n">
        <x:f>IF(J18="","",(1/'Metadata'!$B$5)^(J18-1))</x:f>
        <x:v>323.5936569296284</x:v>
      </x:c>
      <x:c r="L18" s="60" t="n">
        <x:f>IF(E18=0,"",E18*K18)</x:f>
        <x:v>3209200.2620034586</x:v>
      </x:c>
      <x:c r="M18" s="60" t="n">
        <x:f>I18-L18</x:f>
        <x:v>-3.725290298461914e-9</x:v>
      </x:c>
      <x:c r="N18" s="62" t="n">
        <x:f>IF(L18=0,"",I18/L18)</x:f>
        <x:v>0.9999999999999989</x:v>
      </x:c>
      <x:c r="O18" s="66" t="n">
        <x:f>IF(L18=0,"",M18/L18)</x:f>
        <x:v>-1.16081577786494e-15</x:v>
      </x:c>
    </x:row>
    <x:row r="19" ht="18" customHeight="1">
      <x:c r="A19" s="46" t="str">
        <x:v>Small benthopelagics (&lt;30 cm)</x:v>
      </x:c>
      <x:c r="B19" s="64" t="n">
        <x:v>2</x:v>
      </x:c>
      <x:c r="C19" s="64" t="n">
        <x:v>2</x:v>
      </x:c>
      <x:c r="D19" s="60" t="n">
        <x:v>1639.4354315983999</x:v>
      </x:c>
      <x:c r="E19" s="60" t="n">
        <x:v>1639.4354315983999</x:v>
      </x:c>
      <x:c r="F19" s="62" t="n">
        <x:v>0</x:v>
      </x:c>
      <x:c r="G19" s="66" t="n">
        <x:v>1</x:v>
      </x:c>
      <x:c r="H19" s="62" t="n">
        <x:f>IF(E19=0,"",I19/E19)</x:f>
        <x:v>416.86988514910627</x:v>
      </x:c>
      <x:c r="I19" s="60" t="n">
        <x:f>SUMIF('Species'!$G$2:$G$176,A19,'Species'!$U$2:$U$176)</x:f>
        <x:v>683431.2600798004</x:v>
      </x:c>
      <x:c r="J19" s="62" t="n">
        <x:v>3.6200005166547675</x:v>
      </x:c>
      <x:c r="K19" s="62" t="n">
        <x:f>IF(J19="","",(1/'Metadata'!$B$5)^(J19-1))</x:f>
        <x:v>416.86987939577654</x:v>
      </x:c>
      <x:c r="L19" s="60" t="n">
        <x:f>IF(E19=0,"",E19*K19)</x:f>
        <x:v>683431.2506475878</x:v>
      </x:c>
      <x:c r="M19" s="60" t="n">
        <x:f>I19-L19</x:f>
        <x:v>0.009432212566025555</x:v>
      </x:c>
      <x:c r="N19" s="62" t="n">
        <x:f>IF(L19=0,"",I19/L19)</x:f>
        <x:v>1.0000000138012604</x:v>
      </x:c>
      <x:c r="O19" s="66" t="n">
        <x:f>IF(L19=0,"",M19/L19)</x:f>
        <x:v>1.3801260268809814e-8</x:v>
      </x:c>
    </x:row>
    <x:row r="20" ht="18" customHeight="1">
      <x:c r="A20" s="46" t="str">
        <x:v>Small demersals (&lt;30 cm)</x:v>
      </x:c>
      <x:c r="B20" s="64" t="n">
        <x:v>3</x:v>
      </x:c>
      <x:c r="C20" s="64" t="n">
        <x:v>3</x:v>
      </x:c>
      <x:c r="D20" s="60" t="n">
        <x:v>28937.592907115097</x:v>
      </x:c>
      <x:c r="E20" s="60" t="n">
        <x:v>28937.592907115097</x:v>
      </x:c>
      <x:c r="F20" s="62" t="n">
        <x:v>0</x:v>
      </x:c>
      <x:c r="G20" s="66" t="n">
        <x:v>1</x:v>
      </x:c>
      <x:c r="H20" s="62" t="n">
        <x:f>IF(E20=0,"",I20/E20)</x:f>
        <x:v>302.91154061490937</x:v>
      </x:c>
      <x:c r="I20" s="60" t="n">
        <x:f>SUMIF('Species'!$G$2:$G$176,A20,'Species'!$U$2:$U$176)</x:f>
        <x:v>8765530.849181307</x:v>
      </x:c>
      <x:c r="J20" s="62" t="n">
        <x:v>3.3529967932966183</x:v>
      </x:c>
      <x:c r="K20" s="62" t="n">
        <x:f>IF(J20="","",(1/'Metadata'!$B$5)^(J20-1))</x:f>
        <x:v>225.42225675711165</x:v>
      </x:c>
      <x:c r="L20" s="60" t="n">
        <x:f>IF(E20=0,"",E20*K20)</x:f>
        <x:v>6523177.498240473</x:v>
      </x:c>
      <x:c r="M20" s="60" t="n">
        <x:f>I20-L20</x:f>
        <x:v>2242353.3509408347</x:v>
      </x:c>
      <x:c r="N20" s="62" t="n">
        <x:f>IF(L20=0,"",I20/L20)</x:f>
        <x:v>1.343751699466353</x:v>
      </x:c>
      <x:c r="O20" s="66" t="n">
        <x:f>IF(L20=0,"",M20/L20)</x:f>
        <x:v>0.3437516994663529</x:v>
      </x:c>
    </x:row>
    <x:row r="21" ht="18" customHeight="1">
      <x:c r="A21" s="46" t="str">
        <x:v>Small pelagics (&lt;30 cm)</x:v>
      </x:c>
      <x:c r="B21" s="64" t="n">
        <x:v>9</x:v>
      </x:c>
      <x:c r="C21" s="64" t="n">
        <x:v>9</x:v>
      </x:c>
      <x:c r="D21" s="60" t="n">
        <x:v>200691.32088429795</x:v>
      </x:c>
      <x:c r="E21" s="60" t="n">
        <x:v>200691.32088429795</x:v>
      </x:c>
      <x:c r="F21" s="62" t="n">
        <x:v>0</x:v>
      </x:c>
      <x:c r="G21" s="66" t="n">
        <x:v>1</x:v>
      </x:c>
      <x:c r="H21" s="62" t="n">
        <x:f>IF(E21=0,"",I21/E21)</x:f>
        <x:v>139.75454153699988</x:v>
      </x:c>
      <x:c r="I21" s="60" t="n">
        <x:f>SUMIF('Species'!$G$2:$G$176,A21,'Species'!$U$2:$U$176)</x:f>
        <x:v>28047523.54063999</x:v>
      </x:c>
      <x:c r="J21" s="62" t="n">
        <x:v>3.144760758018654</x:v>
      </x:c>
      <x:c r="K21" s="62" t="n">
        <x:f>IF(J21="","",(1/'Metadata'!$B$5)^(J21-1))</x:f>
        <x:v>139.55993484416675</x:v>
      </x:c>
      <x:c r="L21" s="60" t="n">
        <x:f>IF(E21=0,"",E21*K21)</x:f>
        <x:v>28008467.666402385</x:v>
      </x:c>
      <x:c r="M21" s="60" t="n">
        <x:f>I21-L21</x:f>
        <x:v>39055.87423760444</x:v>
      </x:c>
      <x:c r="N21" s="62" t="n">
        <x:f>IF(L21=0,"",I21/L21)</x:f>
        <x:v>1.0013944309521958</x:v>
      </x:c>
      <x:c r="O21" s="66" t="n">
        <x:f>IF(L21=0,"",M21/L21)</x:f>
        <x:v>0.0013944309521957173</x:v>
      </x:c>
    </x:row>
    <x:row r="22" ht="18" customHeight="1">
      <x:c r="A22" s="46" t="str">
        <x:v>Small reef assoc. fish (&lt;30 cm)</x:v>
      </x:c>
      <x:c r="B22" s="64" t="n">
        <x:v>1</x:v>
      </x:c>
      <x:c r="C22" s="64" t="n">
        <x:v>1</x:v>
      </x:c>
      <x:c r="D22" s="60" t="n">
        <x:v>1064.356947855</x:v>
      </x:c>
      <x:c r="E22" s="60" t="n">
        <x:v>1064.356947855</x:v>
      </x:c>
      <x:c r="F22" s="62" t="n">
        <x:v>0</x:v>
      </x:c>
      <x:c r="G22" s="66" t="n">
        <x:v>1</x:v>
      </x:c>
      <x:c r="H22" s="62" t="n">
        <x:f>IF(E22=0,"",I22/E22)</x:f>
        <x:v>128.82495516931337</x:v>
      </x:c>
      <x:c r="I22" s="60" t="n">
        <x:f>SUMIF('Species'!$G$2:$G$176,A22,'Species'!$U$2:$U$176)</x:f>
        <x:v>137115.73609156758</x:v>
      </x:c>
      <x:c r="J22" s="62" t="n">
        <x:v>3.11</x:v>
      </x:c>
      <x:c r="K22" s="62" t="n">
        <x:f>IF(J22="","",(1/'Metadata'!$B$5)^(J22-1))</x:f>
        <x:v>128.82495516931337</x:v>
      </x:c>
      <x:c r="L22" s="60" t="n">
        <x:f>IF(E22=0,"",E22*K22)</x:f>
        <x:v>137115.73609156758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to medium flatfishes (&lt;90 cm)</x:v>
      </x:c>
      <x:c r="B23" s="64" t="n">
        <x:v>4</x:v>
      </x:c>
      <x:c r="C23" s="64" t="n">
        <x:v>4</x:v>
      </x:c>
      <x:c r="D23" s="60" t="n">
        <x:v>43068.0224213903</x:v>
      </x:c>
      <x:c r="E23" s="60" t="n">
        <x:v>43068.0224213903</x:v>
      </x:c>
      <x:c r="F23" s="62" t="n">
        <x:v>0</x:v>
      </x:c>
      <x:c r="G23" s="66" t="n">
        <x:v>1</x:v>
      </x:c>
      <x:c r="H23" s="62" t="n">
        <x:f>IF(E23=0,"",I23/E23)</x:f>
        <x:v>232.841239780641</x:v>
      </x:c>
      <x:c r="I23" s="60" t="n">
        <x:f>SUMIF('Species'!$G$2:$G$176,A23,'Species'!$U$2:$U$176)</x:f>
        <x:v>10028011.73549696</x:v>
      </x:c>
      <x:c r="J23" s="62" t="n">
        <x:v>3.2554894761259368</x:v>
      </x:c>
      <x:c r="K23" s="62" t="n">
        <x:f>IF(J23="","",(1/'Metadata'!$B$5)^(J23-1))</x:f>
        <x:v>180.08994943085577</x:v>
      </x:c>
      <x:c r="L23" s="60" t="n">
        <x:f>IF(E23=0,"",E23*K23)</x:f>
        <x:v>7756117.979955141</x:v>
      </x:c>
      <x:c r="M23" s="60" t="n">
        <x:f>I23-L23</x:f>
        <x:v>2271893.755541819</x:v>
      </x:c>
      <x:c r="N23" s="62" t="n">
        <x:f>IF(L23=0,"",I23/L23)</x:f>
        <x:v>1.29291634828316</x:v>
      </x:c>
      <x:c r="O23" s="66" t="n">
        <x:f>IF(L23=0,"",M23/L23)</x:f>
        <x:v>0.29291634828315993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29b3694cfcb48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LME_048</x:v>
      </x:c>
      <x:c r="B2" s="46" t="str">
        <x:v>raw_filtered_tonnes</x:v>
      </x:c>
      <x:c r="C2" s="46" t="n">
        <x:v>2658977.968899307</x:v>
      </x:c>
      <x:c r="D2" s="46" t="str">
        <x:v>tonnes</x:v>
      </x:c>
    </x:row>
    <x:row r="3" ht="18" customHeight="1">
      <x:c r="A3" s="46" t="str">
        <x:v>LME_048</x:v>
      </x:c>
      <x:c r="B3" s="46" t="str">
        <x:v>species_catch_tonnes</x:v>
      </x:c>
      <x:c r="C3" s="46" t="n">
        <x:v>2658977.968899307</x:v>
      </x:c>
      <x:c r="D3" s="46" t="str">
        <x:v>tonnes</x:v>
      </x:c>
    </x:row>
    <x:row r="4" ht="18" customHeight="1">
      <x:c r="A4" s="46" t="str">
        <x:v>LME_048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LME_048</x:v>
      </x:c>
      <x:c r="B6" s="46" t="str">
        <x:v>matched_catch_tonnes</x:v>
      </x:c>
      <x:c r="C6" s="46" t="n">
        <x:v>2658977.968899307</x:v>
      </x:c>
      <x:c r="D6" s="46" t="str">
        <x:v>tonnes</x:v>
      </x:c>
    </x:row>
    <x:row r="7" ht="18" customHeight="1">
      <x:c r="A7" s="46" t="str">
        <x:v>LME_048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LME_048</x:v>
      </x:c>
      <x:c r="B8" s="46" t="str">
        <x:v>taxa_count</x:v>
      </x:c>
      <x:c r="C8" s="46" t="n">
        <x:v>175</x:v>
      </x:c>
      <x:c r="D8" s="46" t="str">
        <x:v>count</x:v>
      </x:c>
    </x:row>
    <x:row r="9" ht="18" customHeight="1">
      <x:c r="A9" s="46" t="str">
        <x:v>LME_048</x:v>
      </x:c>
      <x:c r="B9" s="46" t="str">
        <x:v>matched_taxa_count</x:v>
      </x:c>
      <x:c r="C9" s="46" t="n">
        <x:v>175</x:v>
      </x:c>
      <x:c r="D9" s="46" t="str">
        <x:v>count</x:v>
      </x:c>
    </x:row>
    <x:row r="10" ht="18" customHeight="1">
      <x:c r="A10" s="46" t="str">
        <x:v>LME_048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LME_048</x:v>
      </x:c>
      <x:c r="B11" s="46" t="str">
        <x:v>species_ppr</x:v>
      </x:c>
      <x:c r="C11" s="46" t="n">
        <x:v>1554214509.6068287</x:v>
      </x:c>
      <x:c r="D11" s="46" t="str">
        <x:v>tonnes_primary_production_equivalent</x:v>
      </x:c>
    </x:row>
    <x:row r="12" ht="18" customHeight="1">
      <x:c r="A12" s="46" t="str">
        <x:v>LME_048</x:v>
      </x:c>
      <x:c r="B12" s="46" t="str">
        <x:v>commercial_ppr</x:v>
      </x:c>
      <x:c r="C12" s="46" t="n">
        <x:v>1554214509.6068282</x:v>
      </x:c>
      <x:c r="D12" s="46" t="str">
        <x:v>tonnes_primary_production_equivalent</x:v>
      </x:c>
    </x:row>
    <x:row r="13" ht="18" customHeight="1">
      <x:c r="A13" s="46" t="str">
        <x:v>LME_048</x:v>
      </x:c>
      <x:c r="B13" s="46" t="str">
        <x:v>functional_ppr</x:v>
      </x:c>
      <x:c r="C13" s="46" t="n">
        <x:v>1554214509.6068285</x:v>
      </x:c>
      <x:c r="D13" s="46" t="str">
        <x:v>tonnes_primary_production_equivalent</x:v>
      </x:c>
    </x:row>
    <x:row r="14" ht="18" customHeight="1">
      <x:c r="A14" s="46" t="str">
        <x:v>LME_048</x:v>
      </x:c>
      <x:c r="B14" s="46" t="str">
        <x:v>commercial_ppr_difference</x:v>
      </x:c>
      <x:c r="C14" s="46" t="n">
        <x:v>-4.76837158203125e-7</x:v>
      </x:c>
      <x:c r="D14" s="46" t="str">
        <x:v>tonnes_primary_production_equivalent</x:v>
      </x:c>
    </x:row>
    <x:row r="15" ht="18" customHeight="1">
      <x:c r="A15" s="46" t="str">
        <x:v>LME_048</x:v>
      </x:c>
      <x:c r="B15" s="46" t="str">
        <x:v>functional_ppr_difference</x:v>
      </x:c>
      <x:c r="C15" s="46" t="n">
        <x:v>-2.384185791015625e-7</x:v>
      </x:c>
      <x:c r="D15" s="46" t="str">
        <x:v>tonnes_primary_production_equivalent</x:v>
      </x:c>
    </x:row>
    <x:row r="16" ht="18" customHeight="1">
      <x:c r="A16" s="46" t="str">
        <x:v>LME_048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375211767754f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LME_048 - Yellow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