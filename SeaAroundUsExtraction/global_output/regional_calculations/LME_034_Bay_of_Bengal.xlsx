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209b612d3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973ed95cdb741f4"/>
    <x:sheet xmlns:r="http://schemas.openxmlformats.org/officeDocument/2006/relationships" name="Commercial" sheetId="2" r:id="Re7edc9ad918f4dcb"/>
    <x:sheet xmlns:r="http://schemas.openxmlformats.org/officeDocument/2006/relationships" name="Functional" sheetId="3" r:id="Red787adcef784878"/>
    <x:sheet xmlns:r="http://schemas.openxmlformats.org/officeDocument/2006/relationships" name="Missing TL" sheetId="4" r:id="R980b9f64c4304935"/>
    <x:sheet xmlns:r="http://schemas.openxmlformats.org/officeDocument/2006/relationships" name="Validation" sheetId="5" r:id="Rec43e8d6b48b4e14"/>
    <x:sheet xmlns:r="http://schemas.openxmlformats.org/officeDocument/2006/relationships" name="Metadata" sheetId="6" r:id="Re27f2e019834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3c03affca469d" /><Relationship Type="http://schemas.openxmlformats.org/officeDocument/2006/relationships/theme" Target="/xl/theme/theme1.xml" Id="Rbb73f701e112469e" /><Relationship Type="http://schemas.openxmlformats.org/officeDocument/2006/relationships/sharedStrings" Target="/xl/sharedStrings.xml" Id="R859c726d74ae4cd5" /><Relationship Type="http://schemas.openxmlformats.org/officeDocument/2006/relationships/worksheet" Target="/xl/worksheets/sheet1.xml" Id="Ra973ed95cdb741f4" /><Relationship Type="http://schemas.openxmlformats.org/officeDocument/2006/relationships/worksheet" Target="/xl/worksheets/sheet2.xml" Id="Re7edc9ad918f4dcb" /><Relationship Type="http://schemas.openxmlformats.org/officeDocument/2006/relationships/worksheet" Target="/xl/worksheets/sheet3.xml" Id="Red787adcef784878" /><Relationship Type="http://schemas.openxmlformats.org/officeDocument/2006/relationships/worksheet" Target="/xl/worksheets/sheet4.xml" Id="R980b9f64c4304935" /><Relationship Type="http://schemas.openxmlformats.org/officeDocument/2006/relationships/worksheet" Target="/xl/worksheets/sheet5.xml" Id="Rec43e8d6b48b4e14" /><Relationship Type="http://schemas.openxmlformats.org/officeDocument/2006/relationships/worksheet" Target="/xl/worksheets/sheet6.xml" Id="Re27f2e0198344609" /></Relationships>
</file>

<file path=xl/tables/table1.xml><?xml version="1.0" encoding="utf-8"?>
<x:table xmlns:x="http://schemas.openxmlformats.org/spreadsheetml/2006/main" id="1" name="LME034SpeciesTable" displayName="LME034SpeciesTable" ref="A1:U289" headerRowCount="1" totalsRowCount="0" totalsRowShown="0">
  <x:autoFilter ref="A1:U28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4CommercialTable" displayName="LME03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4FunctionalTable" displayName="LME034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4ValidationTable" displayName="LME0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36467a198648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d24520aa5e4c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640d368bbb4c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235851c9d042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LME_034</x:v>
      </x:c>
      <x:c r="B2" s="46" t="str">
        <x:v>Bay of Bengal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1362049.264220348</x:v>
      </x:c>
      <x:c r="J2" s="60" t="n">
        <x:v>1291002.1648939208</x:v>
      </x:c>
      <x:c r="K2" s="60" t="n">
        <x:v>71047.0993264272</x:v>
      </x:c>
      <x:c r="L2" s="60" t="n">
        <x:v>1073999.5167839965</x:v>
      </x:c>
      <x:c r="M2" s="60" t="n">
        <x:v>288049.7474363515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259533136.8902616</x:v>
      </x:c>
    </x:row>
    <x:row r="3" ht="18" customHeight="1">
      <x:c r="A3" s="46" t="str">
        <x:v>LME_034</x:v>
      </x:c>
      <x:c r="B3" s="46" t="str">
        <x:v>Bay of Bengal</x:v>
      </x:c>
      <x:c r="C3" s="46" t="str">
        <x:v>LME</x:v>
      </x:c>
      <x:c r="D3" s="58" t="n">
        <x:v>2019</x:v>
      </x:c>
      <x:c r="E3" s="46" t="str">
        <x:v>Tenualosa ilisha</x:v>
      </x:c>
      <x:c r="F3" s="46" t="str">
        <x:v>Hilsa shad</x:v>
      </x:c>
      <x:c r="G3" s="46" t="str">
        <x:v>Medium pelagics (30 - 89 cm)</x:v>
      </x:c>
      <x:c r="H3" s="46" t="str">
        <x:v>Herring-likes</x:v>
      </x:c>
      <x:c r="I3" s="60" t="n">
        <x:v>368500.24330149667</x:v>
      </x:c>
      <x:c r="J3" s="60" t="n">
        <x:v>362424.1626260256</x:v>
      </x:c>
      <x:c r="K3" s="60" t="n">
        <x:v>6076.0806754711</x:v>
      </x:c>
      <x:c r="L3" s="60" t="n">
        <x:v>325951.62594366405</x:v>
      </x:c>
      <x:c r="M3" s="60" t="n">
        <x:v>42548.6173578326</x:v>
      </x:c>
      <x:c r="N3" s="46" t="str">
        <x:v>tenualosa ilisha</x:v>
      </x:c>
      <x:c r="O3" s="62" t="n">
        <x:v>2.2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Tenualosa ilisha</x:v>
      </x:c>
      <x:c r="T3" s="62" t="n">
        <x:f>IF(O3="","",(1/'Metadata'!$B$5)^(O3-1))</x:f>
        <x:v>15.848931924611142</x:v>
      </x:c>
      <x:c r="U3" s="60" t="n">
        <x:f>IF(T3="","",I3*T3)</x:f>
        <x:v>5840335.270288063</x:v>
      </x:c>
    </x:row>
    <x:row r="4" ht="18" customHeight="1">
      <x:c r="A4" s="46" t="str">
        <x:v>LME_034</x:v>
      </x:c>
      <x:c r="B4" s="46" t="str">
        <x:v>Bay of Bengal</x:v>
      </x:c>
      <x:c r="C4" s="46" t="str">
        <x:v>LME</x:v>
      </x:c>
      <x:c r="D4" s="58" t="n">
        <x:v>2019</x:v>
      </x:c>
      <x:c r="E4" s="46" t="str">
        <x:v>Rastrelliger</x:v>
      </x:c>
      <x:c r="F4" s="46" t="str">
        <x:v>Indian mackerels</x:v>
      </x:c>
      <x:c r="G4" s="46" t="str">
        <x:v>Medium pelagics (30 - 89 cm)</x:v>
      </x:c>
      <x:c r="H4" s="46" t="str">
        <x:v>Perch-likes</x:v>
      </x:c>
      <x:c r="I4" s="60" t="n">
        <x:v>295174.5933120328</x:v>
      </x:c>
      <x:c r="J4" s="60" t="n">
        <x:v>295031.9358411422</x:v>
      </x:c>
      <x:c r="K4" s="60" t="n">
        <x:v>142.6574708906</x:v>
      </x:c>
      <x:c r="L4" s="60" t="n">
        <x:v>137284.3032980082</x:v>
      </x:c>
      <x:c r="M4" s="60" t="n">
        <x:v>157890.29001402462</x:v>
      </x:c>
      <x:c r="N4" s="46" t="str">
        <x:v>rastrelliger</x:v>
      </x:c>
      <x:c r="O4" s="62" t="n">
        <x:v>3.1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Rastrelliger</x:v>
      </x:c>
      <x:c r="T4" s="62" t="n">
        <x:f>IF(O4="","",(1/'Metadata'!$B$5)^(O4-1))</x:f>
        <x:v>125.89254117941675</x:v>
      </x:c>
      <x:c r="U4" s="60" t="n">
        <x:f>IF(T4="","",I4*T4)</x:f>
        <x:v>37160279.643652685</x:v>
      </x:c>
    </x:row>
    <x:row r="5" ht="18" customHeight="1">
      <x:c r="A5" s="46" t="str">
        <x:v>LME_034</x:v>
      </x:c>
      <x:c r="B5" s="46" t="str">
        <x:v>Bay of Bengal</x:v>
      </x:c>
      <x:c r="C5" s="46" t="str">
        <x:v>LME</x:v>
      </x:c>
      <x:c r="D5" s="58" t="n">
        <x:v>2019</x:v>
      </x:c>
      <x:c r="E5" s="46" t="str">
        <x:v>Clupeiformes</x:v>
      </x:c>
      <x:c r="F5" s="46" t="str">
        <x:v>Herrings, shads, anchovies</x:v>
      </x:c>
      <x:c r="G5" s="46" t="str">
        <x:v>Small pelagics (&lt;30 cm)</x:v>
      </x:c>
      <x:c r="H5" s="46" t="str">
        <x:v>Other fishes &amp; inverts</x:v>
      </x:c>
      <x:c r="I5" s="60" t="n">
        <x:v>278518.6706600225</x:v>
      </x:c>
      <x:c r="J5" s="60" t="n">
        <x:v>267286.7186529342</x:v>
      </x:c>
      <x:c r="K5" s="60" t="n">
        <x:v>11231.9520070883</x:v>
      </x:c>
      <x:c r="L5" s="60" t="n">
        <x:v>266333.45901458815</x:v>
      </x:c>
      <x:c r="M5" s="60" t="n">
        <x:v>12185.211645434301</x:v>
      </x:c>
      <x:c r="N5" s="46" t="str">
        <x:v>clupeiformes</x:v>
      </x:c>
      <x:c r="O5" s="62" t="n">
        <x:v>3.24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Clupeiformes</x:v>
      </x:c>
      <x:c r="T5" s="62" t="n">
        <x:f>IF(O5="","",(1/'Metadata'!$B$5)^(O5-1))</x:f>
        <x:v>173.78008287493762</x:v>
      </x:c>
      <x:c r="U5" s="60" t="n">
        <x:f>IF(T5="","",I5*T5)</x:f>
        <x:v>48400997.66951616</x:v>
      </x:c>
    </x:row>
    <x:row r="6" ht="18" customHeight="1">
      <x:c r="A6" s="46" t="str">
        <x:v>LME_034</x:v>
      </x:c>
      <x:c r="B6" s="46" t="str">
        <x:v>Bay of Bengal</x:v>
      </x:c>
      <x:c r="C6" s="46" t="str">
        <x:v>LME</x:v>
      </x:c>
      <x:c r="D6" s="58" t="n">
        <x:v>2019</x:v>
      </x:c>
      <x:c r="E6" s="46" t="str">
        <x:v>Carangidae</x:v>
      </x:c>
      <x:c r="F6" s="46" t="str">
        <x:v>Jacks, pompanos</x:v>
      </x:c>
      <x:c r="G6" s="46" t="str">
        <x:v>Medium pelagics (30 - 89 cm)</x:v>
      </x:c>
      <x:c r="H6" s="46" t="str">
        <x:v>Perch-likes</x:v>
      </x:c>
      <x:c r="I6" s="60" t="n">
        <x:v>226129.0580646789</x:v>
      </x:c>
      <x:c r="J6" s="60" t="n">
        <x:v>218221.5254271076</x:v>
      </x:c>
      <x:c r="K6" s="60" t="n">
        <x:v>7907.532637571299</x:v>
      </x:c>
      <x:c r="L6" s="60" t="n">
        <x:v>190405.1849062769</x:v>
      </x:c>
      <x:c r="M6" s="60" t="n">
        <x:v>35723.873158402</x:v>
      </x:c>
      <x:c r="N6" s="46" t="str">
        <x:v>carangidae</x:v>
      </x:c>
      <x:c r="O6" s="62" t="n">
        <x:v>4.05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Carangidae</x:v>
      </x:c>
      <x:c r="T6" s="62" t="n">
        <x:f>IF(O6="","",(1/'Metadata'!$B$5)^(O6-1))</x:f>
        <x:v>1122.018454301963</x:v>
      </x:c>
      <x:c r="U6" s="60" t="n">
        <x:f>IF(T6="","",I6*T6)</x:f>
        <x:v>253720976.20248982</x:v>
      </x:c>
    </x:row>
    <x:row r="7" ht="18" customHeight="1">
      <x:c r="A7" s="46" t="str">
        <x:v>LME_034</x:v>
      </x:c>
      <x:c r="B7" s="46" t="str">
        <x:v>Bay of Bengal</x:v>
      </x:c>
      <x:c r="C7" s="46" t="str">
        <x:v>LME</x:v>
      </x:c>
      <x:c r="D7" s="58" t="n">
        <x:v>2019</x:v>
      </x:c>
      <x:c r="E7" s="46" t="str">
        <x:v>Leiognathidae</x:v>
      </x:c>
      <x:c r="F7" s="46" t="str">
        <x:v>Slipmouths, ponyfishes</x:v>
      </x:c>
      <x:c r="G7" s="46" t="str">
        <x:v>Small benthopelagics (&lt;30 cm)</x:v>
      </x:c>
      <x:c r="H7" s="46" t="str">
        <x:v>Perch-likes</x:v>
      </x:c>
      <x:c r="I7" s="60" t="n">
        <x:v>185985.9478188275</x:v>
      </x:c>
      <x:c r="J7" s="60" t="n">
        <x:v>163780.541224675</x:v>
      </x:c>
      <x:c r="K7" s="60" t="n">
        <x:v>22205.406594152497</x:v>
      </x:c>
      <x:c r="L7" s="60" t="n">
        <x:v>151142.6688524163</x:v>
      </x:c>
      <x:c r="M7" s="60" t="n">
        <x:v>34843.2789664112</x:v>
      </x:c>
      <x:c r="N7" s="46" t="str">
        <x:v>leiognathidae</x:v>
      </x:c>
      <x:c r="O7" s="62" t="n">
        <x:v>3.24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Leiognathidae</x:v>
      </x:c>
      <x:c r="T7" s="62" t="n">
        <x:f>IF(O7="","",(1/'Metadata'!$B$5)^(O7-1))</x:f>
        <x:v>173.78008287493762</x:v>
      </x:c>
      <x:c r="U7" s="60" t="n">
        <x:f>IF(T7="","",I7*T7)</x:f>
        <x:v>32320653.425529666</x:v>
      </x:c>
    </x:row>
    <x:row r="8" ht="18" customHeight="1">
      <x:c r="A8" s="46" t="str">
        <x:v>LME_034</x:v>
      </x:c>
      <x:c r="B8" s="46" t="str">
        <x:v>Bay of Bengal</x:v>
      </x:c>
      <x:c r="C8" s="46" t="str">
        <x:v>LME</x:v>
      </x:c>
      <x:c r="D8" s="58" t="n">
        <x:v>2019</x:v>
      </x:c>
      <x:c r="E8" s="46" t="str">
        <x:v>Clupeidae</x:v>
      </x:c>
      <x:c r="F8" s="46" t="str">
        <x:v>Herrings, sardines, menhadens</x:v>
      </x:c>
      <x:c r="G8" s="46" t="str">
        <x:v>Small pelagics (&lt;30 cm)</x:v>
      </x:c>
      <x:c r="H8" s="46" t="str">
        <x:v>Herring-likes</x:v>
      </x:c>
      <x:c r="I8" s="60" t="n">
        <x:v>182606.874464671</x:v>
      </x:c>
      <x:c r="J8" s="60" t="n">
        <x:v>175068.9498034783</x:v>
      </x:c>
      <x:c r="K8" s="60" t="n">
        <x:v>7537.9246611927</x:v>
      </x:c>
      <x:c r="L8" s="60" t="n">
        <x:v>159442.6118394279</x:v>
      </x:c>
      <x:c r="M8" s="60" t="n">
        <x:v>23164.2626252431</x:v>
      </x:c>
      <x:c r="N8" s="46" t="str">
        <x:v>clupeidae</x:v>
      </x:c>
      <x:c r="O8" s="62" t="n">
        <x:v>3.16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Clupeidae</x:v>
      </x:c>
      <x:c r="T8" s="62" t="n">
        <x:f>IF(O8="","",(1/'Metadata'!$B$5)^(O8-1))</x:f>
        <x:v>144.5439770745928</x:v>
      </x:c>
      <x:c r="U8" s="60" t="n">
        <x:f>IF(T8="","",I8*T8)</x:f>
        <x:v>26394723.87628445</x:v>
      </x:c>
    </x:row>
    <x:row r="9" ht="18" customHeight="1">
      <x:c r="A9" s="46" t="str">
        <x:v>LME_034</x:v>
      </x:c>
      <x:c r="B9" s="46" t="str">
        <x:v>Bay of Bengal</x:v>
      </x:c>
      <x:c r="C9" s="46" t="str">
        <x:v>LME</x:v>
      </x:c>
      <x:c r="D9" s="58" t="n">
        <x:v>2019</x:v>
      </x:c>
      <x:c r="E9" s="46" t="str">
        <x:v>Sciaenidae</x:v>
      </x:c>
      <x:c r="F9" s="46" t="str">
        <x:v>Drums, croakers</x:v>
      </x:c>
      <x:c r="G9" s="46" t="str">
        <x:v>Medium demersals (30 - 89 cm)</x:v>
      </x:c>
      <x:c r="H9" s="46" t="str">
        <x:v>Perch-likes</x:v>
      </x:c>
      <x:c r="I9" s="60" t="n">
        <x:v>169716.7038059385</x:v>
      </x:c>
      <x:c r="J9" s="60" t="n">
        <x:v>159398.4479672588</x:v>
      </x:c>
      <x:c r="K9" s="60" t="n">
        <x:v>10318.2558386797</x:v>
      </x:c>
      <x:c r="L9" s="60" t="n">
        <x:v>136940.5410094348</x:v>
      </x:c>
      <x:c r="M9" s="60" t="n">
        <x:v>32776.162796503704</x:v>
      </x:c>
      <x:c r="N9" s="46" t="str">
        <x:v>sciaenidae</x:v>
      </x:c>
      <x:c r="O9" s="62" t="n">
        <x:v>3.76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Sciaenidae</x:v>
      </x:c>
      <x:c r="T9" s="62" t="n">
        <x:f>IF(O9="","",(1/'Metadata'!$B$5)^(O9-1))</x:f>
        <x:v>575.4399373371566</x:v>
      </x:c>
      <x:c r="U9" s="60" t="n">
        <x:f>IF(T9="","",I9*T9)</x:f>
        <x:v>97661769.40315802</x:v>
      </x:c>
    </x:row>
    <x:row r="10" ht="18" customHeight="1">
      <x:c r="A10" s="46" t="str">
        <x:v>LME_034</x:v>
      </x:c>
      <x:c r="B10" s="46" t="str">
        <x:v>Bay of Bengal</x:v>
      </x:c>
      <x:c r="C10" s="46" t="str">
        <x:v>LME</x:v>
      </x:c>
      <x:c r="D10" s="58" t="n">
        <x:v>2019</x:v>
      </x:c>
      <x:c r="E10" s="46" t="str">
        <x:v>Rastrelliger kanagurta</x:v>
      </x:c>
      <x:c r="F10" s="46" t="str">
        <x:v>Indian mackerel</x:v>
      </x:c>
      <x:c r="G10" s="46" t="str">
        <x:v>Medium pelagics (30 - 89 cm)</x:v>
      </x:c>
      <x:c r="H10" s="46" t="str">
        <x:v>Perch-likes</x:v>
      </x:c>
      <x:c r="I10" s="60" t="n">
        <x:v>162150.9116028434</x:v>
      </x:c>
      <x:c r="J10" s="60" t="n">
        <x:v>155028.4156334477</x:v>
      </x:c>
      <x:c r="K10" s="60" t="n">
        <x:v>7122.4959693957</x:v>
      </x:c>
      <x:c r="L10" s="60" t="n">
        <x:v>143863.6603894</x:v>
      </x:c>
      <x:c r="M10" s="60" t="n">
        <x:v>18287.2512134434</x:v>
      </x:c>
      <x:c r="N10" s="46" t="str">
        <x:v>rastrelliger kanagurta</x:v>
      </x:c>
      <x:c r="O10" s="62" t="n">
        <x:v>3.19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Rastrelliger kanagurta</x:v>
      </x:c>
      <x:c r="T10" s="62" t="n">
        <x:f>IF(O10="","",(1/'Metadata'!$B$5)^(O10-1))</x:f>
        <x:v>154.88166189124811</x:v>
      </x:c>
      <x:c r="U10" s="60" t="n">
        <x:f>IF(T10="","",I10*T10)</x:f>
        <x:v>25114202.66622925</x:v>
      </x:c>
    </x:row>
    <x:row r="11" ht="18" customHeight="1">
      <x:c r="A11" s="46" t="str">
        <x:v>LME_034</x:v>
      </x:c>
      <x:c r="B11" s="46" t="str">
        <x:v>Bay of Bengal</x:v>
      </x:c>
      <x:c r="C11" s="46" t="str">
        <x:v>LME</x:v>
      </x:c>
      <x:c r="D11" s="58" t="n">
        <x:v>2019</x:v>
      </x:c>
      <x:c r="E11" s="46" t="str">
        <x:v>Harpadon nehereus</x:v>
      </x:c>
      <x:c r="F11" s="46" t="str">
        <x:v>Bombay-duck</x:v>
      </x:c>
      <x:c r="G11" s="46" t="str">
        <x:v>Medium benthopelagics (30 - 89 cm)</x:v>
      </x:c>
      <x:c r="H11" s="46" t="str">
        <x:v>Other fishes &amp; inverts</x:v>
      </x:c>
      <x:c r="I11" s="60" t="n">
        <x:v>140397.4670737943</x:v>
      </x:c>
      <x:c r="J11" s="60" t="n">
        <x:v>137365.7526862569</x:v>
      </x:c>
      <x:c r="K11" s="60" t="n">
        <x:v>3031.7143875374004</x:v>
      </x:c>
      <x:c r="L11" s="60" t="n">
        <x:v>94108.7263934165</x:v>
      </x:c>
      <x:c r="M11" s="60" t="n">
        <x:v>46288.7406803778</x:v>
      </x:c>
      <x:c r="N11" s="46" t="str">
        <x:v>harpadon nehereus</x:v>
      </x:c>
      <x:c r="O11" s="62" t="n">
        <x:v>4.2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Harpadon nehereus</x:v>
      </x:c>
      <x:c r="T11" s="62" t="n">
        <x:f>IF(O11="","",(1/'Metadata'!$B$5)^(O11-1))</x:f>
        <x:v>1584.893192461114</x:v>
      </x:c>
      <x:c r="U11" s="60" t="n">
        <x:f>IF(T11="","",I11*T11)</x:f>
        <x:v>222514989.80404</x:v>
      </x:c>
    </x:row>
    <x:row r="12" ht="18" customHeight="1">
      <x:c r="A12" s="46" t="str">
        <x:v>LME_034</x:v>
      </x:c>
      <x:c r="B12" s="46" t="str">
        <x:v>Bay of Bengal</x:v>
      </x:c>
      <x:c r="C12" s="46" t="str">
        <x:v>LME</x:v>
      </x:c>
      <x:c r="D12" s="58" t="n">
        <x:v>2019</x:v>
      </x:c>
      <x:c r="E12" s="46" t="str">
        <x:v>Decapterus</x:v>
      </x:c>
      <x:c r="F12" s="46" t="str">
        <x:v>Scads</x:v>
      </x:c>
      <x:c r="G12" s="46" t="str">
        <x:v>Medium pelagics (30 - 89 cm)</x:v>
      </x:c>
      <x:c r="H12" s="46" t="str">
        <x:v>Perch-likes</x:v>
      </x:c>
      <x:c r="I12" s="60" t="n">
        <x:v>138510.0497247361</x:v>
      </x:c>
      <x:c r="J12" s="60" t="n">
        <x:v>135715.1909103308</x:v>
      </x:c>
      <x:c r="K12" s="60" t="n">
        <x:v>2794.8588144053</x:v>
      </x:c>
      <x:c r="L12" s="60" t="n">
        <x:v>116095.8062883892</x:v>
      </x:c>
      <x:c r="M12" s="60" t="n">
        <x:v>22414.2434363469</x:v>
      </x:c>
      <x:c r="N12" s="46" t="str">
        <x:v>decapterus</x:v>
      </x:c>
      <x:c r="O12" s="62" t="n">
        <x:v>3.63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Decapterus</x:v>
      </x:c>
      <x:c r="T12" s="62" t="n">
        <x:f>IF(O12="","",(1/'Metadata'!$B$5)^(O12-1))</x:f>
        <x:v>426.57951880159254</x:v>
      </x:c>
      <x:c r="U12" s="60" t="n">
        <x:f>IF(T12="","",I12*T12)</x:f>
        <x:v>59085550.36076258</x:v>
      </x:c>
    </x:row>
    <x:row r="13" ht="18" customHeight="1">
      <x:c r="A13" s="46" t="str">
        <x:v>LME_034</x:v>
      </x:c>
      <x:c r="B13" s="46" t="str">
        <x:v>Bay of Bengal</x:v>
      </x:c>
      <x:c r="C13" s="46" t="str">
        <x:v>LME</x:v>
      </x:c>
      <x:c r="D13" s="58" t="n">
        <x:v>2019</x:v>
      </x:c>
      <x:c r="E13" s="46" t="str">
        <x:v>Acetes</x:v>
      </x:c>
      <x:c r="F13" s="46" t="str">
        <x:v>Acetes shrimps</x:v>
      </x:c>
      <x:c r="G13" s="46" t="str">
        <x:v>Shrimps</x:v>
      </x:c>
      <x:c r="H13" s="46" t="str">
        <x:v>Crustaceans</x:v>
      </x:c>
      <x:c r="I13" s="60" t="n">
        <x:v>122640.4028354373</x:v>
      </x:c>
      <x:c r="J13" s="60" t="n">
        <x:v>122640.4028354373</x:v>
      </x:c>
      <x:c r="K13" s="60" t="n">
        <x:v>0</x:v>
      </x:c>
      <x:c r="L13" s="60" t="n">
        <x:v>69270.5842218697</x:v>
      </x:c>
      <x:c r="M13" s="60" t="n">
        <x:v>53369.8186135676</x:v>
      </x:c>
      <x:c r="N13" s="46" t="str">
        <x:v>acetes</x:v>
      </x:c>
      <x:c r="O13" s="62" t="n">
        <x:v>2.7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Acetes</x:v>
      </x:c>
      <x:c r="T13" s="62" t="n">
        <x:f>IF(O13="","",(1/'Metadata'!$B$5)^(O13-1))</x:f>
        <x:v>50.11872336272725</x:v>
      </x:c>
      <x:c r="U13" s="60" t="n">
        <x:f>IF(T13="","",I13*T13)</x:f>
        <x:v>6146580.422802713</x:v>
      </x:c>
    </x:row>
    <x:row r="14" ht="18" customHeight="1">
      <x:c r="A14" s="46" t="str">
        <x:v>LME_034</x:v>
      </x:c>
      <x:c r="B14" s="46" t="str">
        <x:v>Bay of Bengal</x:v>
      </x:c>
      <x:c r="C14" s="46" t="str">
        <x:v>LME</x:v>
      </x:c>
      <x:c r="D14" s="58" t="n">
        <x:v>2019</x:v>
      </x:c>
      <x:c r="E14" s="46" t="str">
        <x:v>Penaeidae</x:v>
      </x:c>
      <x:c r="F14" s="46" t="str">
        <x:v>Commercial shrimps and prawns</x:v>
      </x:c>
      <x:c r="G14" s="46" t="str">
        <x:v>Shrimps</x:v>
      </x:c>
      <x:c r="H14" s="46" t="str">
        <x:v>Crustaceans</x:v>
      </x:c>
      <x:c r="I14" s="60" t="n">
        <x:v>115550.5591611468</x:v>
      </x:c>
      <x:c r="J14" s="60" t="n">
        <x:v>112093.9848669952</x:v>
      </x:c>
      <x:c r="K14" s="60" t="n">
        <x:v>3456.5742941516</x:v>
      </x:c>
      <x:c r="L14" s="60" t="n">
        <x:v>107517.174549201</x:v>
      </x:c>
      <x:c r="M14" s="60" t="n">
        <x:v>8033.3846119458</x:v>
      </x:c>
      <x:c r="N14" s="46" t="str">
        <x:v>penaeidae</x:v>
      </x:c>
      <x:c r="O14" s="62" t="n">
        <x:v>3.31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Penaeidae</x:v>
      </x:c>
      <x:c r="T14" s="62" t="n">
        <x:f>IF(O14="","",(1/'Metadata'!$B$5)^(O14-1))</x:f>
        <x:v>204.17379446695296</x:v>
      </x:c>
      <x:c r="U14" s="60" t="n">
        <x:f>IF(T14="","",I14*T14)</x:f>
        <x:v>23592396.116709474</x:v>
      </x:c>
    </x:row>
    <x:row r="15" ht="18" customHeight="1">
      <x:c r="A15" s="46" t="str">
        <x:v>LME_034</x:v>
      </x:c>
      <x:c r="B15" s="46" t="str">
        <x:v>Bay of Bengal</x:v>
      </x:c>
      <x:c r="C15" s="46" t="str">
        <x:v>LME</x:v>
      </x:c>
      <x:c r="D15" s="58" t="n">
        <x:v>2019</x:v>
      </x:c>
      <x:c r="E15" s="46" t="str">
        <x:v>Nemipteridae</x:v>
      </x:c>
      <x:c r="F15" s="46" t="str">
        <x:v>Threadfins, whiptail breams</x:v>
      </x:c>
      <x:c r="G15" s="46" t="str">
        <x:v>Small demersals (&lt;30 cm)</x:v>
      </x:c>
      <x:c r="H15" s="46" t="str">
        <x:v>Perch-likes</x:v>
      </x:c>
      <x:c r="I15" s="60" t="n">
        <x:v>114396.36677798329</x:v>
      </x:c>
      <x:c r="J15" s="60" t="n">
        <x:v>110229.3380176189</x:v>
      </x:c>
      <x:c r="K15" s="60" t="n">
        <x:v>4167.0287603644</x:v>
      </x:c>
      <x:c r="L15" s="60" t="n">
        <x:v>86752.0256148832</x:v>
      </x:c>
      <x:c r="M15" s="60" t="n">
        <x:v>27644.341163100096</x:v>
      </x:c>
      <x:c r="N15" s="46" t="str">
        <x:v>nemipteridae</x:v>
      </x:c>
      <x:c r="O15" s="62" t="n">
        <x:v>3.51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Nemipteridae</x:v>
      </x:c>
      <x:c r="T15" s="62" t="n">
        <x:f>IF(O15="","",(1/'Metadata'!$B$5)^(O15-1))</x:f>
        <x:v>323.5936569296281</x:v>
      </x:c>
      <x:c r="U15" s="60" t="n">
        <x:f>IF(T15="","",I15*T15)</x:f>
        <x:v>37017938.66515063</x:v>
      </x:c>
    </x:row>
    <x:row r="16" ht="18" customHeight="1">
      <x:c r="A16" s="46" t="str">
        <x:v>LME_034</x:v>
      </x:c>
      <x:c r="B16" s="46" t="str">
        <x:v>Bay of Bengal</x:v>
      </x:c>
      <x:c r="C16" s="46" t="str">
        <x:v>LME</x:v>
      </x:c>
      <x:c r="D16" s="58" t="n">
        <x:v>2019</x:v>
      </x:c>
      <x:c r="E16" s="46" t="str">
        <x:v>Engraulidae</x:v>
      </x:c>
      <x:c r="F16" s="46" t="str">
        <x:v>Anchovies, round herrings</x:v>
      </x:c>
      <x:c r="G16" s="46" t="str">
        <x:v>Small pelagics (&lt;30 cm)</x:v>
      </x:c>
      <x:c r="H16" s="46" t="str">
        <x:v>Anchovies</x:v>
      </x:c>
      <x:c r="I16" s="60" t="n">
        <x:v>96112.3953768238</x:v>
      </x:c>
      <x:c r="J16" s="60" t="n">
        <x:v>91998.2610649172</x:v>
      </x:c>
      <x:c r="K16" s="60" t="n">
        <x:v>4114.1343119066005</x:v>
      </x:c>
      <x:c r="L16" s="60" t="n">
        <x:v>82684.49009932039</x:v>
      </x:c>
      <x:c r="M16" s="60" t="n">
        <x:v>13427.9052775034</x:v>
      </x:c>
      <x:c r="N16" s="46" t="str">
        <x:v>engraulidae</x:v>
      </x:c>
      <x:c r="O16" s="62" t="n">
        <x:v>3.2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Engraulidae</x:v>
      </x:c>
      <x:c r="T16" s="62" t="n">
        <x:f>IF(O16="","",(1/'Metadata'!$B$5)^(O16-1))</x:f>
        <x:v>158.48931924611142</x:v>
      </x:c>
      <x:c r="U16" s="60" t="n">
        <x:f>IF(T16="","",I16*T16)</x:f>
        <x:v>15232788.11438591</x:v>
      </x:c>
    </x:row>
    <x:row r="17" ht="18" customHeight="1">
      <x:c r="A17" s="46" t="str">
        <x:v>LME_034</x:v>
      </x:c>
      <x:c r="B17" s="46" t="str">
        <x:v>Bay of Bengal</x:v>
      </x:c>
      <x:c r="C17" s="46" t="str">
        <x:v>LME</x:v>
      </x:c>
      <x:c r="D17" s="58" t="n">
        <x:v>2019</x:v>
      </x:c>
      <x:c r="E17" s="46" t="str">
        <x:v>Stolephorus</x:v>
      </x:c>
      <x:c r="F17" s="46" t="str">
        <x:v>Garment anchovies</x:v>
      </x:c>
      <x:c r="G17" s="46" t="str">
        <x:v>Small pelagics (&lt;30 cm)</x:v>
      </x:c>
      <x:c r="H17" s="46" t="str">
        <x:v>Anchovies</x:v>
      </x:c>
      <x:c r="I17" s="60" t="n">
        <x:v>96106.81579869949</x:v>
      </x:c>
      <x:c r="J17" s="60" t="n">
        <x:v>93552.20734475741</x:v>
      </x:c>
      <x:c r="K17" s="60" t="n">
        <x:v>2554.6084539421</x:v>
      </x:c>
      <x:c r="L17" s="60" t="n">
        <x:v>84437.3109509563</x:v>
      </x:c>
      <x:c r="M17" s="60" t="n">
        <x:v>11669.504847743201</x:v>
      </x:c>
      <x:c r="N17" s="46" t="str">
        <x:v>stolephorus</x:v>
      </x:c>
      <x:c r="O17" s="62" t="n">
        <x:v>3.44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Stolephorus</x:v>
      </x:c>
      <x:c r="T17" s="62" t="n">
        <x:f>IF(O17="","",(1/'Metadata'!$B$5)^(O17-1))</x:f>
        <x:v>275.4228703338166</x:v>
      </x:c>
      <x:c r="U17" s="60" t="n">
        <x:f>IF(T17="","",I17*T17)</x:f>
        <x:v>26470015.065921206</x:v>
      </x:c>
    </x:row>
    <x:row r="18" ht="18" customHeight="1">
      <x:c r="A18" s="46" t="str">
        <x:v>LME_034</x:v>
      </x:c>
      <x:c r="B18" s="46" t="str">
        <x:v>Bay of Bengal</x:v>
      </x:c>
      <x:c r="C18" s="46" t="str">
        <x:v>LME</x:v>
      </x:c>
      <x:c r="D18" s="58" t="n">
        <x:v>2019</x:v>
      </x:c>
      <x:c r="E18" s="46" t="str">
        <x:v>Sardinella longiceps</x:v>
      </x:c>
      <x:c r="F18" s="46" t="str">
        <x:v>Indian oil sardine</x:v>
      </x:c>
      <x:c r="G18" s="46" t="str">
        <x:v>Small pelagics (&lt;30 cm)</x:v>
      </x:c>
      <x:c r="H18" s="46" t="str">
        <x:v>Herring-likes</x:v>
      </x:c>
      <x:c r="I18" s="60" t="n">
        <x:v>77922.0702195239</x:v>
      </x:c>
      <x:c r="J18" s="60" t="n">
        <x:v>76219.64649087579</x:v>
      </x:c>
      <x:c r="K18" s="60" t="n">
        <x:v>1702.4237286481</x:v>
      </x:c>
      <x:c r="L18" s="60" t="n">
        <x:v>76219.64649087579</x:v>
      </x:c>
      <x:c r="M18" s="60" t="n">
        <x:v>1702.4237286481</x:v>
      </x:c>
      <x:c r="N18" s="46" t="str">
        <x:v>sardinella longiceps</x:v>
      </x:c>
      <x:c r="O18" s="62" t="n">
        <x:v>2.41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Sardinella longiceps</x:v>
      </x:c>
      <x:c r="T18" s="62" t="n">
        <x:f>IF(O18="","",(1/'Metadata'!$B$5)^(O18-1))</x:f>
        <x:v>25.703957827688647</x:v>
      </x:c>
      <x:c r="U18" s="60" t="n">
        <x:f>IF(T18="","",I18*T18)</x:f>
        <x:v>2002905.6067688358</x:v>
      </x:c>
    </x:row>
    <x:row r="19" ht="18" customHeight="1">
      <x:c r="A19" s="46" t="str">
        <x:v>LME_034</x:v>
      </x:c>
      <x:c r="B19" s="46" t="str">
        <x:v>Bay of Bengal</x:v>
      </x:c>
      <x:c r="C19" s="46" t="str">
        <x:v>LME</x:v>
      </x:c>
      <x:c r="D19" s="58" t="n">
        <x:v>2019</x:v>
      </x:c>
      <x:c r="E19" s="46" t="str">
        <x:v>Pampus argenteus</x:v>
      </x:c>
      <x:c r="F19" s="46" t="str">
        <x:v>Silver pomfret</x:v>
      </x:c>
      <x:c r="G19" s="46" t="str">
        <x:v>Medium benthopelagics (30 - 89 cm)</x:v>
      </x:c>
      <x:c r="H19" s="46" t="str">
        <x:v>Perch-likes</x:v>
      </x:c>
      <x:c r="I19" s="60" t="n">
        <x:v>77565.08294392329</x:v>
      </x:c>
      <x:c r="J19" s="60" t="n">
        <x:v>76224.75482928951</x:v>
      </x:c>
      <x:c r="K19" s="60" t="n">
        <x:v>1340.3281146338002</x:v>
      </x:c>
      <x:c r="L19" s="60" t="n">
        <x:v>61379.2551265588</x:v>
      </x:c>
      <x:c r="M19" s="60" t="n">
        <x:v>16185.827817364501</x:v>
      </x:c>
      <x:c r="N19" s="46" t="str">
        <x:v>pampus argenteus</x:v>
      </x:c>
      <x:c r="O19" s="62" t="n">
        <x:v>3.3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Pampus argenteus</x:v>
      </x:c>
      <x:c r="T19" s="62" t="n">
        <x:f>IF(O19="","",(1/'Metadata'!$B$5)^(O19-1))</x:f>
        <x:v>199.52623149688787</x:v>
      </x:c>
      <x:c r="U19" s="60" t="n">
        <x:f>IF(T19="","",I19*T19)</x:f>
        <x:v>15476268.695544548</x:v>
      </x:c>
    </x:row>
    <x:row r="20" ht="18" customHeight="1">
      <x:c r="A20" s="46" t="str">
        <x:v>LME_034</x:v>
      </x:c>
      <x:c r="B20" s="46" t="str">
        <x:v>Bay of Bengal</x:v>
      </x:c>
      <x:c r="C20" s="46" t="str">
        <x:v>LME</x:v>
      </x:c>
      <x:c r="D20" s="58" t="n">
        <x:v>2019</x:v>
      </x:c>
      <x:c r="E20" s="46" t="str">
        <x:v>Ariidae</x:v>
      </x:c>
      <x:c r="F20" s="46" t="str">
        <x:v>Sea catfishes, coblers</x:v>
      </x:c>
      <x:c r="G20" s="46" t="str">
        <x:v>Medium demersals (30 - 89 cm)</x:v>
      </x:c>
      <x:c r="H20" s="46" t="str">
        <x:v>Other fishes &amp; inverts</x:v>
      </x:c>
      <x:c r="I20" s="60" t="n">
        <x:v>68577.9787826305</x:v>
      </x:c>
      <x:c r="J20" s="60" t="n">
        <x:v>64534.1106038919</x:v>
      </x:c>
      <x:c r="K20" s="60" t="n">
        <x:v>4043.8681787386</x:v>
      </x:c>
      <x:c r="L20" s="60" t="n">
        <x:v>48302.4364217713</x:v>
      </x:c>
      <x:c r="M20" s="60" t="n">
        <x:v>20275.5423608592</x:v>
      </x:c>
      <x:c r="N20" s="46" t="str">
        <x:v>ariidae</x:v>
      </x:c>
      <x:c r="O20" s="62" t="n">
        <x:v>3.48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Ariidae</x:v>
      </x:c>
      <x:c r="T20" s="62" t="n">
        <x:f>IF(O20="","",(1/'Metadata'!$B$5)^(O20-1))</x:f>
        <x:v>301.9951720402016</x:v>
      </x:c>
      <x:c r="U20" s="60" t="n">
        <x:f>IF(T20="","",I20*T20)</x:f>
        <x:v>20710218.500629794</x:v>
      </x:c>
    </x:row>
    <x:row r="21" ht="18" customHeight="1">
      <x:c r="A21" s="46" t="str">
        <x:v>LME_034</x:v>
      </x:c>
      <x:c r="B21" s="46" t="str">
        <x:v>Bay of Bengal</x:v>
      </x:c>
      <x:c r="C21" s="46" t="str">
        <x:v>LME</x:v>
      </x:c>
      <x:c r="D21" s="58" t="n">
        <x:v>2019</x:v>
      </x:c>
      <x:c r="E21" s="46" t="str">
        <x:v>Decapoda</x:v>
      </x:c>
      <x:c r="F21" s="46" t="str">
        <x:v>Crabs, lobsters, shrimps</x:v>
      </x:c>
      <x:c r="G21" s="46" t="str">
        <x:v>Lobsters, crabs</x:v>
      </x:c>
      <x:c r="H21" s="46" t="str">
        <x:v>Crustaceans</x:v>
      </x:c>
      <x:c r="I21" s="60" t="n">
        <x:v>63068.482619976705</x:v>
      </x:c>
      <x:c r="J21" s="60" t="n">
        <x:v>60042.2337523864</x:v>
      </x:c>
      <x:c r="K21" s="60" t="n">
        <x:v>3026.2488675903</x:v>
      </x:c>
      <x:c r="L21" s="60" t="n">
        <x:v>56961.609306691</x:v>
      </x:c>
      <x:c r="M21" s="60" t="n">
        <x:v>6106.8733132857</x:v>
      </x:c>
      <x:c r="N21" s="46" t="str">
        <x:v>decapoda</x:v>
      </x:c>
      <x:c r="O21" s="62" t="n">
        <x:v>3.43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Decapoda</x:v>
      </x:c>
      <x:c r="T21" s="62" t="n">
        <x:f>IF(O21="","",(1/'Metadata'!$B$5)^(O21-1))</x:f>
        <x:v>269.1534803926917</x:v>
      </x:c>
      <x:c r="U21" s="60" t="n">
        <x:f>IF(T21="","",I21*T21)</x:f>
        <x:v>16975101.600252714</x:v>
      </x:c>
    </x:row>
    <x:row r="22" ht="18" customHeight="1">
      <x:c r="A22" s="46" t="str">
        <x:v>LME_034</x:v>
      </x:c>
      <x:c r="B22" s="46" t="str">
        <x:v>Bay of Bengal</x:v>
      </x:c>
      <x:c r="C22" s="46" t="str">
        <x:v>LME</x:v>
      </x:c>
      <x:c r="D22" s="58" t="n">
        <x:v>2019</x:v>
      </x:c>
      <x:c r="E22" s="46" t="str">
        <x:v>Anguilliformes</x:v>
      </x:c>
      <x:c r="F22" s="46" t="str">
        <x:v>Eels, morays</x:v>
      </x:c>
      <x:c r="G22" s="46" t="str">
        <x:v>Large demersals (&gt;=90 cm)</x:v>
      </x:c>
      <x:c r="H22" s="46" t="str">
        <x:v>Other fishes &amp; inverts</x:v>
      </x:c>
      <x:c r="I22" s="60" t="n">
        <x:v>62737.999078550405</x:v>
      </x:c>
      <x:c r="J22" s="60" t="n">
        <x:v>62160.4334980437</x:v>
      </x:c>
      <x:c r="K22" s="60" t="n">
        <x:v>577.5655805066999</x:v>
      </x:c>
      <x:c r="L22" s="60" t="n">
        <x:v>13858.070614528</x:v>
      </x:c>
      <x:c r="M22" s="60" t="n">
        <x:v>48879.9284640224</x:v>
      </x:c>
      <x:c r="N22" s="46" t="str">
        <x:v>anguilliformes</x:v>
      </x:c>
      <x:c r="O22" s="62" t="n">
        <x:v>3.89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Anguilliformes</x:v>
      </x:c>
      <x:c r="T22" s="62" t="n">
        <x:f>IF(O22="","",(1/'Metadata'!$B$5)^(O22-1))</x:f>
        <x:v>776.247116628692</x:v>
      </x:c>
      <x:c r="U22" s="60" t="n">
        <x:f>IF(T22="","",I22*T22)</x:f>
        <x:v>48700190.88777828</x:v>
      </x:c>
    </x:row>
    <x:row r="23" ht="18" customHeight="1">
      <x:c r="A23" s="46" t="str">
        <x:v>LME_034</x:v>
      </x:c>
      <x:c r="B23" s="46" t="str">
        <x:v>Bay of Bengal</x:v>
      </x:c>
      <x:c r="C23" s="46" t="str">
        <x:v>LME</x:v>
      </x:c>
      <x:c r="D23" s="58" t="n">
        <x:v>2019</x:v>
      </x:c>
      <x:c r="E23" s="46" t="str">
        <x:v>Megalaspis cordyla</x:v>
      </x:c>
      <x:c r="F23" s="46" t="str">
        <x:v>Torpedo scad</x:v>
      </x:c>
      <x:c r="G23" s="46" t="str">
        <x:v>Medium pelagics (30 - 89 cm)</x:v>
      </x:c>
      <x:c r="H23" s="46" t="str">
        <x:v>Perch-likes</x:v>
      </x:c>
      <x:c r="I23" s="60" t="n">
        <x:v>58922.8952921972</x:v>
      </x:c>
      <x:c r="J23" s="60" t="n">
        <x:v>58903.2551565629</x:v>
      </x:c>
      <x:c r="K23" s="60" t="n">
        <x:v>19.6401356343</x:v>
      </x:c>
      <x:c r="L23" s="60" t="n">
        <x:v>39992.2212766372</x:v>
      </x:c>
      <x:c r="M23" s="60" t="n">
        <x:v>18930.674015560002</x:v>
      </x:c>
      <x:c r="N23" s="46" t="str">
        <x:v>megalaspis cordyla</x:v>
      </x:c>
      <x:c r="O23" s="62" t="n">
        <x:v>4.24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Megalaspis cordyla</x:v>
      </x:c>
      <x:c r="T23" s="62" t="n">
        <x:f>IF(O23="","",(1/'Metadata'!$B$5)^(O23-1))</x:f>
        <x:v>1737.8008287493763</x:v>
      </x:c>
      <x:c r="U23" s="60" t="n">
        <x:f>IF(T23="","",I23*T23)</x:f>
        <x:v>102396256.27109301</x:v>
      </x:c>
    </x:row>
    <x:row r="24" ht="18" customHeight="1">
      <x:c r="A24" s="46" t="str">
        <x:v>LME_034</x:v>
      </x:c>
      <x:c r="B24" s="46" t="str">
        <x:v>Bay of Bengal</x:v>
      </x:c>
      <x:c r="C24" s="46" t="str">
        <x:v>LME</x:v>
      </x:c>
      <x:c r="D24" s="58" t="n">
        <x:v>2019</x:v>
      </x:c>
      <x:c r="E24" s="46" t="str">
        <x:v>Elasmobranchii</x:v>
      </x:c>
      <x:c r="F24" s="46" t="str">
        <x:v>Sharks, rays, skates</x:v>
      </x:c>
      <x:c r="G24" s="46" t="str">
        <x:v>Large sharks (&gt;=90 cm)</x:v>
      </x:c>
      <x:c r="H24" s="46" t="str">
        <x:v>Sharks &amp; rays</x:v>
      </x:c>
      <x:c r="I24" s="60" t="n">
        <x:v>58011.2150356999</x:v>
      </x:c>
      <x:c r="J24" s="60" t="n">
        <x:v>55039.6529710073</x:v>
      </x:c>
      <x:c r="K24" s="60" t="n">
        <x:v>2971.5620646925995</x:v>
      </x:c>
      <x:c r="L24" s="60" t="n">
        <x:v>51865.4596321928</x:v>
      </x:c>
      <x:c r="M24" s="60" t="n">
        <x:v>6145.7554035071</x:v>
      </x:c>
      <x:c r="N24" s="46" t="str">
        <x:v>elasmobranchii</x:v>
      </x:c>
      <x:c r="O24" s="62" t="n">
        <x:v>4.05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Elasmobranchii</x:v>
      </x:c>
      <x:c r="T24" s="62" t="n">
        <x:f>IF(O24="","",(1/'Metadata'!$B$5)^(O24-1))</x:f>
        <x:v>1122.018454301963</x:v>
      </x:c>
      <x:c r="U24" s="60" t="n">
        <x:f>IF(T24="","",I24*T24)</x:f>
        <x:v>65089653.82653479</x:v>
      </x:c>
    </x:row>
    <x:row r="25" ht="18" customHeight="1">
      <x:c r="A25" s="46" t="str">
        <x:v>LME_034</x:v>
      </x:c>
      <x:c r="B25" s="46" t="str">
        <x:v>Bay of Bengal</x:v>
      </x:c>
      <x:c r="C25" s="46" t="str">
        <x:v>LME</x:v>
      </x:c>
      <x:c r="D25" s="58" t="n">
        <x:v>2019</x:v>
      </x:c>
      <x:c r="E25" s="46" t="str">
        <x:v>Scombridae</x:v>
      </x:c>
      <x:c r="F25" s="46" t="str">
        <x:v>Mackerels, tunas, bonitos</x:v>
      </x:c>
      <x:c r="G25" s="46" t="str">
        <x:v>Medium pelagics (30 - 89 cm)</x:v>
      </x:c>
      <x:c r="H25" s="46" t="str">
        <x:v>Perch-likes</x:v>
      </x:c>
      <x:c r="I25" s="60" t="n">
        <x:v>57983.303858372405</x:v>
      </x:c>
      <x:c r="J25" s="60" t="n">
        <x:v>56151.90147488</x:v>
      </x:c>
      <x:c r="K25" s="60" t="n">
        <x:v>1831.4023834924</x:v>
      </x:c>
      <x:c r="L25" s="60" t="n">
        <x:v>42087.9448182982</x:v>
      </x:c>
      <x:c r="M25" s="60" t="n">
        <x:v>15895.3590400742</x:v>
      </x:c>
      <x:c r="N25" s="46" t="str">
        <x:v>scombridae</x:v>
      </x:c>
      <x:c r="O25" s="62" t="n">
        <x:v>4.26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Scombridae</x:v>
      </x:c>
      <x:c r="T25" s="62" t="n">
        <x:f>IF(O25="","",(1/'Metadata'!$B$5)^(O25-1))</x:f>
        <x:v>1819.7008586099826</x:v>
      </x:c>
      <x:c r="U25" s="60" t="n">
        <x:f>IF(T25="","",I25*T25)</x:f>
        <x:v>105512267.81612378</x:v>
      </x:c>
    </x:row>
    <x:row r="26" ht="18" customHeight="1">
      <x:c r="A26" s="46" t="str">
        <x:v>LME_034</x:v>
      </x:c>
      <x:c r="B26" s="46" t="str">
        <x:v>Bay of Bengal</x:v>
      </x:c>
      <x:c r="C26" s="46" t="str">
        <x:v>LME</x:v>
      </x:c>
      <x:c r="D26" s="58" t="n">
        <x:v>2019</x:v>
      </x:c>
      <x:c r="E26" s="46" t="str">
        <x:v>Synodontidae</x:v>
      </x:c>
      <x:c r="F26" s="46" t="str">
        <x:v>Lizardfishes, sauries</x:v>
      </x:c>
      <x:c r="G26" s="46" t="str">
        <x:v>Medium demersals (30 - 89 cm)</x:v>
      </x:c>
      <x:c r="H26" s="46" t="str">
        <x:v>Other fishes &amp; inverts</x:v>
      </x:c>
      <x:c r="I26" s="60" t="n">
        <x:v>52611.6254080406</x:v>
      </x:c>
      <x:c r="J26" s="60" t="n">
        <x:v>48017.7593122005</x:v>
      </x:c>
      <x:c r="K26" s="60" t="n">
        <x:v>4593.8660958401</x:v>
      </x:c>
      <x:c r="L26" s="60" t="n">
        <x:v>39694.7489605203</x:v>
      </x:c>
      <x:c r="M26" s="60" t="n">
        <x:v>12916.876447520299</x:v>
      </x:c>
      <x:c r="N26" s="46" t="str">
        <x:v>synodontidae</x:v>
      </x:c>
      <x:c r="O26" s="62" t="n">
        <x:v>4.3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Synodontidae</x:v>
      </x:c>
      <x:c r="T26" s="62" t="n">
        <x:f>IF(O26="","",(1/'Metadata'!$B$5)^(O26-1))</x:f>
        <x:v>1995.2623149688789</x:v>
      </x:c>
      <x:c r="U26" s="60" t="n">
        <x:f>IF(T26="","",I26*T26)</x:f>
        <x:v>104973993.50592257</x:v>
      </x:c>
    </x:row>
    <x:row r="27" ht="18" customHeight="1">
      <x:c r="A27" s="46" t="str">
        <x:v>LME_034</x:v>
      </x:c>
      <x:c r="B27" s="46" t="str">
        <x:v>Bay of Bengal</x:v>
      </x:c>
      <x:c r="C27" s="46" t="str">
        <x:v>LME</x:v>
      </x:c>
      <x:c r="D27" s="58" t="n">
        <x:v>2019</x:v>
      </x:c>
      <x:c r="E27" s="46" t="str">
        <x:v>Cephalopoda</x:v>
      </x:c>
      <x:c r="F27" s="46" t="str">
        <x:v>Squids, cuttlefishes, octopuses</x:v>
      </x:c>
      <x:c r="G27" s="46" t="str">
        <x:v>Cephalopods</x:v>
      </x:c>
      <x:c r="H27" s="46" t="str">
        <x:v>Other fishes &amp; inverts</x:v>
      </x:c>
      <x:c r="I27" s="60" t="n">
        <x:v>50138.9679605977</x:v>
      </x:c>
      <x:c r="J27" s="60" t="n">
        <x:v>47833.275546492805</x:v>
      </x:c>
      <x:c r="K27" s="60" t="n">
        <x:v>2305.6924141049</x:v>
      </x:c>
      <x:c r="L27" s="60" t="n">
        <x:v>46412.2491114907</x:v>
      </x:c>
      <x:c r="M27" s="60" t="n">
        <x:v>3726.718849107</x:v>
      </x:c>
      <x:c r="N27" s="46" t="str">
        <x:v>cephalopoda</x:v>
      </x:c>
      <x:c r="O27" s="62" t="n">
        <x:v>3.81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Cephalopoda</x:v>
      </x:c>
      <x:c r="T27" s="62" t="n">
        <x:f>IF(O27="","",(1/'Metadata'!$B$5)^(O27-1))</x:f>
        <x:v>645.6542290346556</x:v>
      </x:c>
      <x:c r="U27" s="60" t="n">
        <x:f>IF(T27="","",I27*T27)</x:f>
        <x:v>32372436.703193005</x:v>
      </x:c>
    </x:row>
    <x:row r="28" ht="18" customHeight="1">
      <x:c r="A28" s="46" t="str">
        <x:v>LME_034</x:v>
      </x:c>
      <x:c r="B28" s="46" t="str">
        <x:v>Bay of Bengal</x:v>
      </x:c>
      <x:c r="C28" s="46" t="str">
        <x:v>LME</x:v>
      </x:c>
      <x:c r="D28" s="58" t="n">
        <x:v>2019</x:v>
      </x:c>
      <x:c r="E28" s="46" t="str">
        <x:v>Saurida</x:v>
      </x:c>
      <x:c r="F28" s="46" t="str">
        <x:v>Lizardfishes</x:v>
      </x:c>
      <x:c r="G28" s="46" t="str">
        <x:v>Medium demersals (30 - 89 cm)</x:v>
      </x:c>
      <x:c r="H28" s="46" t="str">
        <x:v>Other fishes &amp; inverts</x:v>
      </x:c>
      <x:c r="I28" s="60" t="n">
        <x:v>48632.3636918514</x:v>
      </x:c>
      <x:c r="J28" s="60" t="n">
        <x:v>48632.2708325744</x:v>
      </x:c>
      <x:c r="K28" s="60" t="n">
        <x:v>0.09285927699999999</x:v>
      </x:c>
      <x:c r="L28" s="60" t="n">
        <x:v>26931.4748276045</x:v>
      </x:c>
      <x:c r="M28" s="60" t="n">
        <x:v>21700.8888642469</x:v>
      </x:c>
      <x:c r="N28" s="46" t="str">
        <x:v>saurida</x:v>
      </x:c>
      <x:c r="O28" s="62" t="n">
        <x:v>4.35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Saurida</x:v>
      </x:c>
      <x:c r="T28" s="62" t="n">
        <x:f>IF(O28="","",(1/'Metadata'!$B$5)^(O28-1))</x:f>
        <x:v>2238.7211385683377</x:v>
      </x:c>
      <x:c r="U28" s="60" t="n">
        <x:f>IF(T28="","",I28*T28)</x:f>
        <x:v>108874300.61549106</x:v>
      </x:c>
    </x:row>
    <x:row r="29" ht="18" customHeight="1">
      <x:c r="A29" s="46" t="str">
        <x:v>LME_034</x:v>
      </x:c>
      <x:c r="B29" s="46" t="str">
        <x:v>Bay of Bengal</x:v>
      </x:c>
      <x:c r="C29" s="46" t="str">
        <x:v>LME</x:v>
      </x:c>
      <x:c r="D29" s="58" t="n">
        <x:v>2019</x:v>
      </x:c>
      <x:c r="E29" s="46" t="str">
        <x:v>Sphyraena</x:v>
      </x:c>
      <x:c r="F29" s="46" t="str">
        <x:v>Barracudas, sennets</x:v>
      </x:c>
      <x:c r="G29" s="46" t="str">
        <x:v>Large pelagics (&gt;=90 cm)</x:v>
      </x:c>
      <x:c r="H29" s="46" t="str">
        <x:v>Perch-likes</x:v>
      </x:c>
      <x:c r="I29" s="60" t="n">
        <x:v>46729.0285067789</x:v>
      </x:c>
      <x:c r="J29" s="60" t="n">
        <x:v>44493.951189945896</x:v>
      </x:c>
      <x:c r="K29" s="60" t="n">
        <x:v>2235.077316833</x:v>
      </x:c>
      <x:c r="L29" s="60" t="n">
        <x:v>41072.7731551595</x:v>
      </x:c>
      <x:c r="M29" s="60" t="n">
        <x:v>5656.2553516194</x:v>
      </x:c>
      <x:c r="N29" s="46" t="str">
        <x:v>sphyraena</x:v>
      </x:c>
      <x:c r="O29" s="62" t="n">
        <x:v>4.4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Sphyraena</x:v>
      </x:c>
      <x:c r="T29" s="62" t="n">
        <x:f>IF(O29="","",(1/'Metadata'!$B$5)^(O29-1))</x:f>
        <x:v>2511.886431509582</x:v>
      </x:c>
      <x:c r="U29" s="60" t="n">
        <x:f>IF(T29="","",I29*T29)</x:f>
        <x:v>117378012.66380239</x:v>
      </x:c>
    </x:row>
    <x:row r="30" ht="18" customHeight="1">
      <x:c r="A30" s="46" t="str">
        <x:v>LME_034</x:v>
      </x:c>
      <x:c r="B30" s="46" t="str">
        <x:v>Bay of Bengal</x:v>
      </x:c>
      <x:c r="C30" s="46" t="str">
        <x:v>LME</x:v>
      </x:c>
      <x:c r="D30" s="58" t="n">
        <x:v>2019</x:v>
      </x:c>
      <x:c r="E30" s="46" t="str">
        <x:v>Miscellaneous marine crustaceans</x:v>
      </x:c>
      <x:c r="F30" s="46" t="str">
        <x:v>Marine crabs, shrimps, lobsters nei</x:v>
      </x:c>
      <x:c r="G30" s="46" t="str">
        <x:v>Shrimps</x:v>
      </x:c>
      <x:c r="H30" s="46" t="str">
        <x:v>Crustaceans</x:v>
      </x:c>
      <x:c r="I30" s="60" t="n">
        <x:v>46032.3505178826</x:v>
      </x:c>
      <x:c r="J30" s="60" t="n">
        <x:v>44938.9912351902</x:v>
      </x:c>
      <x:c r="K30" s="60" t="n">
        <x:v>1093.3592826924</x:v>
      </x:c>
      <x:c r="L30" s="60" t="n">
        <x:v>38492.2145649556</x:v>
      </x:c>
      <x:c r="M30" s="60" t="n">
        <x:v>7540.135952927</x:v>
      </x:c>
      <x:c r="N30" s="46" t="str">
        <x:v>miscellaneous marine crustaceans</x:v>
      </x:c>
      <x:c r="O30" s="62" t="n">
        <x:v>2.7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Miscellaneous marine crustaceans</x:v>
      </x:c>
      <x:c r="T30" s="62" t="n">
        <x:f>IF(O30="","",(1/'Metadata'!$B$5)^(O30-1))</x:f>
        <x:v>50.11872336272725</x:v>
      </x:c>
      <x:c r="U30" s="60" t="n">
        <x:f>IF(T30="","",I30*T30)</x:f>
        <x:v>2307082.6413418525</x:v>
      </x:c>
    </x:row>
    <x:row r="31" ht="18" customHeight="1">
      <x:c r="A31" s="46" t="str">
        <x:v>LME_034</x:v>
      </x:c>
      <x:c r="B31" s="46" t="str">
        <x:v>Bay of Bengal</x:v>
      </x:c>
      <x:c r="C31" s="46" t="str">
        <x:v>LME</x:v>
      </x:c>
      <x:c r="D31" s="58" t="n">
        <x:v>2019</x:v>
      </x:c>
      <x:c r="E31" s="46" t="str">
        <x:v>Decapterus russelli</x:v>
      </x:c>
      <x:c r="F31" s="46" t="str">
        <x:v>Indian scad</x:v>
      </x:c>
      <x:c r="G31" s="46" t="str">
        <x:v>Medium pelagics (30 - 89 cm)</x:v>
      </x:c>
      <x:c r="H31" s="46" t="str">
        <x:v>Perch-likes</x:v>
      </x:c>
      <x:c r="I31" s="60" t="n">
        <x:v>45117.5391616873</x:v>
      </x:c>
      <x:c r="J31" s="60" t="n">
        <x:v>45117.5391616873</x:v>
      </x:c>
      <x:c r="K31" s="60" t="n">
        <x:v>0</x:v>
      </x:c>
      <x:c r="L31" s="60" t="n">
        <x:v>26555.7397033404</x:v>
      </x:c>
      <x:c r="M31" s="60" t="n">
        <x:v>18561.7994583469</x:v>
      </x:c>
      <x:c r="N31" s="46" t="str">
        <x:v>decapterus russelli</x:v>
      </x:c>
      <x:c r="O31" s="62" t="n">
        <x:v>3.68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Decapterus russelli</x:v>
      </x:c>
      <x:c r="T31" s="62" t="n">
        <x:f>IF(O31="","",(1/'Metadata'!$B$5)^(O31-1))</x:f>
        <x:v>478.6300923226385</x:v>
      </x:c>
      <x:c r="U31" s="60" t="n">
        <x:f>IF(T31="","",I31*T31)</x:f>
        <x:v>21594611.934328653</x:v>
      </x:c>
    </x:row>
    <x:row r="32" ht="18" customHeight="1">
      <x:c r="A32" s="46" t="str">
        <x:v>LME_034</x:v>
      </x:c>
      <x:c r="B32" s="46" t="str">
        <x:v>Bay of Bengal</x:v>
      </x:c>
      <x:c r="C32" s="46" t="str">
        <x:v>LME</x:v>
      </x:c>
      <x:c r="D32" s="58" t="n">
        <x:v>2019</x:v>
      </x:c>
      <x:c r="E32" s="46" t="str">
        <x:v>Sardinella</x:v>
      </x:c>
      <x:c r="F32" s="46" t="str">
        <x:v>Sardinellas</x:v>
      </x:c>
      <x:c r="G32" s="46" t="str">
        <x:v>Small pelagics (&lt;30 cm)</x:v>
      </x:c>
      <x:c r="H32" s="46" t="str">
        <x:v>Herring-likes</x:v>
      </x:c>
      <x:c r="I32" s="60" t="n">
        <x:v>44906.57595252</x:v>
      </x:c>
      <x:c r="J32" s="60" t="n">
        <x:v>44906.57595252</x:v>
      </x:c>
      <x:c r="K32" s="60" t="n">
        <x:v>0</x:v>
      </x:c>
      <x:c r="L32" s="60" t="n">
        <x:v>37896.2414486056</x:v>
      </x:c>
      <x:c r="M32" s="60" t="n">
        <x:v>7010.334503914401</x:v>
      </x:c>
      <x:c r="N32" s="46" t="str">
        <x:v>sardinella</x:v>
      </x:c>
      <x:c r="O32" s="62" t="n">
        <x:v>2.77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Sardinella</x:v>
      </x:c>
      <x:c r="T32" s="62" t="n">
        <x:f>IF(O32="","",(1/'Metadata'!$B$5)^(O32-1))</x:f>
        <x:v>58.8843655355589</x:v>
      </x:c>
      <x:c r="U32" s="60" t="n">
        <x:f>IF(T32="","",I32*T32)</x:f>
        <x:v>2644295.2333385265</x:v>
      </x:c>
    </x:row>
    <x:row r="33" ht="18" customHeight="1">
      <x:c r="A33" s="46" t="str">
        <x:v>LME_034</x:v>
      </x:c>
      <x:c r="B33" s="46" t="str">
        <x:v>Bay of Bengal</x:v>
      </x:c>
      <x:c r="C33" s="46" t="str">
        <x:v>LME</x:v>
      </x:c>
      <x:c r="D33" s="58" t="n">
        <x:v>2019</x:v>
      </x:c>
      <x:c r="E33" s="46" t="str">
        <x:v>Perciformes</x:v>
      </x:c>
      <x:c r="F33" s="46" t="str">
        <x:v>Perch-likes</x:v>
      </x:c>
      <x:c r="G33" s="46" t="str">
        <x:v>Medium demersals (30 - 89 cm)</x:v>
      </x:c>
      <x:c r="H33" s="46" t="str">
        <x:v>Perch-likes</x:v>
      </x:c>
      <x:c r="I33" s="60" t="n">
        <x:v>44079.1193548306</x:v>
      </x:c>
      <x:c r="J33" s="60" t="n">
        <x:v>40651.450363846394</x:v>
      </x:c>
      <x:c r="K33" s="60" t="n">
        <x:v>3427.6689909842</x:v>
      </x:c>
      <x:c r="L33" s="60" t="n">
        <x:v>38946.7909082177</x:v>
      </x:c>
      <x:c r="M33" s="60" t="n">
        <x:v>5132.3284466129</x:v>
      </x:c>
      <x:c r="N33" s="46" t="str">
        <x:v>perciformes</x:v>
      </x:c>
      <x:c r="O33" s="62" t="n">
        <x:v>3.53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Perciformes</x:v>
      </x:c>
      <x:c r="T33" s="62" t="n">
        <x:f>IF(O33="","",(1/'Metadata'!$B$5)^(O33-1))</x:f>
        <x:v>338.84415613920237</x:v>
      </x:c>
      <x:c r="U33" s="60" t="n">
        <x:f>IF(T33="","",I33*T33)</x:f>
        <x:v>14935952.001146756</x:v>
      </x:c>
    </x:row>
    <x:row r="34" ht="18" customHeight="1">
      <x:c r="A34" s="46" t="str">
        <x:v>LME_034</x:v>
      </x:c>
      <x:c r="B34" s="46" t="str">
        <x:v>Bay of Bengal</x:v>
      </x:c>
      <x:c r="C34" s="46" t="str">
        <x:v>LME</x:v>
      </x:c>
      <x:c r="D34" s="58" t="n">
        <x:v>2019</x:v>
      </x:c>
      <x:c r="E34" s="46" t="str">
        <x:v>Katsuwonus pelamis</x:v>
      </x:c>
      <x:c r="F34" s="46" t="str">
        <x:v>Skipjack tuna</x:v>
      </x:c>
      <x:c r="G34" s="46" t="str">
        <x:v>Large pelagics (&gt;=90 cm)</x:v>
      </x:c>
      <x:c r="H34" s="46" t="str">
        <x:v>Tuna &amp; billfishes</x:v>
      </x:c>
      <x:c r="I34" s="60" t="n">
        <x:v>42747.1430681394</x:v>
      </x:c>
      <x:c r="J34" s="60" t="n">
        <x:v>42728.739915102095</x:v>
      </x:c>
      <x:c r="K34" s="60" t="n">
        <x:v>18.4031530373</x:v>
      </x:c>
      <x:c r="L34" s="60" t="n">
        <x:v>42489.895263324994</x:v>
      </x:c>
      <x:c r="M34" s="60" t="n">
        <x:v>257.2478048144</x:v>
      </x:c>
      <x:c r="N34" s="46" t="str">
        <x:v>katsuwonus pelamis</x:v>
      </x:c>
      <x:c r="O34" s="62" t="n">
        <x:v>4.43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Katsuwonus pelamis</x:v>
      </x:c>
      <x:c r="T34" s="62" t="n">
        <x:f>IF(O34="","",(1/'Metadata'!$B$5)^(O34-1))</x:f>
        <x:v>2691.534803926914</x:v>
      </x:c>
      <x:c r="U34" s="60" t="n">
        <x:f>IF(T34="","",I34*T34)</x:f>
        <x:v>115055423.33634031</x:v>
      </x:c>
    </x:row>
    <x:row r="35" ht="18" customHeight="1">
      <x:c r="A35" s="46" t="str">
        <x:v>LME_034</x:v>
      </x:c>
      <x:c r="B35" s="46" t="str">
        <x:v>Bay of Bengal</x:v>
      </x:c>
      <x:c r="C35" s="46" t="str">
        <x:v>LME</x:v>
      </x:c>
      <x:c r="D35" s="58" t="n">
        <x:v>2019</x:v>
      </x:c>
      <x:c r="E35" s="46" t="str">
        <x:v>Scomberomorus guttatus</x:v>
      </x:c>
      <x:c r="F35" s="46" t="str">
        <x:v>Indo-Pacific king mackerel</x:v>
      </x:c>
      <x:c r="G35" s="46" t="str">
        <x:v>Medium pelagics (30 - 89 cm)</x:v>
      </x:c>
      <x:c r="H35" s="46" t="str">
        <x:v>Perch-likes</x:v>
      </x:c>
      <x:c r="I35" s="60" t="n">
        <x:v>40281.7025423673</x:v>
      </x:c>
      <x:c r="J35" s="60" t="n">
        <x:v>40281.7025423673</x:v>
      </x:c>
      <x:c r="K35" s="60" t="n">
        <x:v>0</x:v>
      </x:c>
      <x:c r="L35" s="60" t="n">
        <x:v>39443.2893675242</x:v>
      </x:c>
      <x:c r="M35" s="60" t="n">
        <x:v>838.4131748431</x:v>
      </x:c>
      <x:c r="N35" s="46" t="str">
        <x:v>scomberomorus guttatus</x:v>
      </x:c>
      <x:c r="O35" s="62" t="n">
        <x:v>4.28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Scomberomorus guttatus</x:v>
      </x:c>
      <x:c r="T35" s="62" t="n">
        <x:f>IF(O35="","",(1/'Metadata'!$B$5)^(O35-1))</x:f>
        <x:v>1905.4607179632483</x:v>
      </x:c>
      <x:c r="U35" s="60" t="n">
        <x:f>IF(T35="","",I35*T35)</x:f>
        <x:v>76755201.84716119</x:v>
      </x:c>
    </x:row>
    <x:row r="36" ht="18" customHeight="1">
      <x:c r="A36" s="46" t="str">
        <x:v>LME_034</x:v>
      </x:c>
      <x:c r="B36" s="46" t="str">
        <x:v>Bay of Bengal</x:v>
      </x:c>
      <x:c r="C36" s="46" t="str">
        <x:v>LME</x:v>
      </x:c>
      <x:c r="D36" s="58" t="n">
        <x:v>2019</x:v>
      </x:c>
      <x:c r="E36" s="46" t="str">
        <x:v>Siluriformes</x:v>
      </x:c>
      <x:c r="F36" s="46" t="str">
        <x:v>Catfishes</x:v>
      </x:c>
      <x:c r="G36" s="46" t="str">
        <x:v>Medium demersals (30 - 89 cm)</x:v>
      </x:c>
      <x:c r="H36" s="46" t="str">
        <x:v>Other fishes &amp; inverts</x:v>
      </x:c>
      <x:c r="I36" s="60" t="n">
        <x:v>35969.9994042041</x:v>
      </x:c>
      <x:c r="J36" s="60" t="n">
        <x:v>33904.6812181223</x:v>
      </x:c>
      <x:c r="K36" s="60" t="n">
        <x:v>2065.3181860818</x:v>
      </x:c>
      <x:c r="L36" s="60" t="n">
        <x:v>28886.9056282177</x:v>
      </x:c>
      <x:c r="M36" s="60" t="n">
        <x:v>7083.0937759864</x:v>
      </x:c>
      <x:c r="N36" s="46" t="str">
        <x:v>siluriformes</x:v>
      </x:c>
      <x:c r="O36" s="62" t="n">
        <x:v>3.48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Siluriformes</x:v>
      </x:c>
      <x:c r="T36" s="62" t="n">
        <x:f>IF(O36="","",(1/'Metadata'!$B$5)^(O36-1))</x:f>
        <x:v>301.9951720402016</x:v>
      </x:c>
      <x:c r="U36" s="60" t="n">
        <x:f>IF(T36="","",I36*T36)</x:f>
        <x:v>10862766.158358566</x:v>
      </x:c>
    </x:row>
    <x:row r="37" ht="18" customHeight="1">
      <x:c r="A37" s="46" t="str">
        <x:v>LME_034</x:v>
      </x:c>
      <x:c r="B37" s="46" t="str">
        <x:v>Bay of Bengal</x:v>
      </x:c>
      <x:c r="C37" s="46" t="str">
        <x:v>LME</x:v>
      </x:c>
      <x:c r="D37" s="58" t="n">
        <x:v>2019</x:v>
      </x:c>
      <x:c r="E37" s="46" t="str">
        <x:v>Nemipterus</x:v>
      </x:c>
      <x:c r="F37" s="46" t="str">
        <x:v>Threadfin breams</x:v>
      </x:c>
      <x:c r="G37" s="46" t="str">
        <x:v>Small demersals (&lt;30 cm)</x:v>
      </x:c>
      <x:c r="H37" s="46" t="str">
        <x:v>Perch-likes</x:v>
      </x:c>
      <x:c r="I37" s="60" t="n">
        <x:v>35965.3196229817</x:v>
      </x:c>
      <x:c r="J37" s="60" t="n">
        <x:v>35793.1777811151</x:v>
      </x:c>
      <x:c r="K37" s="60" t="n">
        <x:v>172.1418418666</x:v>
      </x:c>
      <x:c r="L37" s="60" t="n">
        <x:v>20593.504493995</x:v>
      </x:c>
      <x:c r="M37" s="60" t="n">
        <x:v>15371.815128986698</x:v>
      </x:c>
      <x:c r="N37" s="46" t="str">
        <x:v>nemipterus</x:v>
      </x:c>
      <x:c r="O37" s="62" t="n">
        <x:v>3.72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Nemipterus</x:v>
      </x:c>
      <x:c r="T37" s="62" t="n">
        <x:f>IF(O37="","",(1/'Metadata'!$B$5)^(O37-1))</x:f>
        <x:v>524.8074602497728</x:v>
      </x:c>
      <x:c r="U37" s="60" t="n">
        <x:f>IF(T37="","",I37*T37)</x:f>
        <x:v>18874868.04840834</x:v>
      </x:c>
    </x:row>
    <x:row r="38" ht="18" customHeight="1">
      <x:c r="A38" s="46" t="str">
        <x:v>LME_034</x:v>
      </x:c>
      <x:c r="B38" s="46" t="str">
        <x:v>Bay of Bengal</x:v>
      </x:c>
      <x:c r="C38" s="46" t="str">
        <x:v>LME</x:v>
      </x:c>
      <x:c r="D38" s="58" t="n">
        <x:v>2019</x:v>
      </x:c>
      <x:c r="E38" s="46" t="str">
        <x:v>Chirocentrus</x:v>
      </x:c>
      <x:c r="F38" s="46" t="str">
        <x:v>Wolf herrings</x:v>
      </x:c>
      <x:c r="G38" s="46" t="str">
        <x:v>Large pelagics (&gt;=90 cm)</x:v>
      </x:c>
      <x:c r="H38" s="46" t="str">
        <x:v>Herring-likes</x:v>
      </x:c>
      <x:c r="I38" s="60" t="n">
        <x:v>35323.4562725162</x:v>
      </x:c>
      <x:c r="J38" s="60" t="n">
        <x:v>34047.50279422</x:v>
      </x:c>
      <x:c r="K38" s="60" t="n">
        <x:v>1275.9534782962</x:v>
      </x:c>
      <x:c r="L38" s="60" t="n">
        <x:v>29345.4437519627</x:v>
      </x:c>
      <x:c r="M38" s="60" t="n">
        <x:v>5978.0125205535</x:v>
      </x:c>
      <x:c r="N38" s="46" t="str">
        <x:v>chirocentrus</x:v>
      </x:c>
      <x:c r="O38" s="62" t="n">
        <x:v>4.3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Chirocentrus</x:v>
      </x:c>
      <x:c r="T38" s="62" t="n">
        <x:f>IF(O38="","",(1/'Metadata'!$B$5)^(O38-1))</x:f>
        <x:v>1995.2623149688789</x:v>
      </x:c>
      <x:c r="U38" s="60" t="n">
        <x:f>IF(T38="","",I38*T38)</x:f>
        <x:v>70479561.13500264</x:v>
      </x:c>
    </x:row>
    <x:row r="39" ht="18" customHeight="1">
      <x:c r="A39" s="46" t="str">
        <x:v>LME_034</x:v>
      </x:c>
      <x:c r="B39" s="46" t="str">
        <x:v>Bay of Bengal</x:v>
      </x:c>
      <x:c r="C39" s="46" t="str">
        <x:v>LME</x:v>
      </x:c>
      <x:c r="D39" s="58" t="n">
        <x:v>2019</x:v>
      </x:c>
      <x:c r="E39" s="46" t="str">
        <x:v>Scomberomorus commerson</x:v>
      </x:c>
      <x:c r="F39" s="46" t="str">
        <x:v>Narrow-barred Spanish mackerel</x:v>
      </x:c>
      <x:c r="G39" s="46" t="str">
        <x:v>Large pelagics (&gt;=90 cm)</x:v>
      </x:c>
      <x:c r="H39" s="46" t="str">
        <x:v>Perch-likes</x:v>
      </x:c>
      <x:c r="I39" s="60" t="n">
        <x:v>35082.4195260546</x:v>
      </x:c>
      <x:c r="J39" s="60" t="n">
        <x:v>35082.4195260546</x:v>
      </x:c>
      <x:c r="K39" s="60" t="n">
        <x:v>0</x:v>
      </x:c>
      <x:c r="L39" s="60" t="n">
        <x:v>34817.3682890397</x:v>
      </x:c>
      <x:c r="M39" s="60" t="n">
        <x:v>265.05123701490004</x:v>
      </x:c>
      <x:c r="N39" s="46" t="str">
        <x:v>scomberomorus commerson</x:v>
      </x:c>
      <x:c r="O39" s="62" t="n">
        <x:v>4.5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Scomberomorus commerson</x:v>
      </x:c>
      <x:c r="T39" s="62" t="n">
        <x:f>IF(O39="","",(1/'Metadata'!$B$5)^(O39-1))</x:f>
        <x:v>3162.2776601683795</x:v>
      </x:c>
      <x:c r="U39" s="60" t="n">
        <x:f>IF(T39="","",I39*T39)</x:f>
        <x:v>110940351.5318974</x:v>
      </x:c>
    </x:row>
    <x:row r="40" ht="18" customHeight="1">
      <x:c r="A40" s="46" t="str">
        <x:v>LME_034</x:v>
      </x:c>
      <x:c r="B40" s="46" t="str">
        <x:v>Bay of Bengal</x:v>
      </x:c>
      <x:c r="C40" s="46" t="str">
        <x:v>LME</x:v>
      </x:c>
      <x:c r="D40" s="58" t="n">
        <x:v>2019</x:v>
      </x:c>
      <x:c r="E40" s="46" t="str">
        <x:v>Thryssa</x:v>
      </x:c>
      <x:c r="F40" s="46" t="str">
        <x:v>Thryssas</x:v>
      </x:c>
      <x:c r="G40" s="46" t="str">
        <x:v>Small pelagics (&lt;30 cm)</x:v>
      </x:c>
      <x:c r="H40" s="46" t="str">
        <x:v>Anchovies</x:v>
      </x:c>
      <x:c r="I40" s="60" t="n">
        <x:v>34917.7253286275</x:v>
      </x:c>
      <x:c r="J40" s="60" t="n">
        <x:v>33639.7338191441</x:v>
      </x:c>
      <x:c r="K40" s="60" t="n">
        <x:v>1277.9915094834</x:v>
      </x:c>
      <x:c r="L40" s="60" t="n">
        <x:v>29313.806267297</x:v>
      </x:c>
      <x:c r="M40" s="60" t="n">
        <x:v>5603.9190613305</x:v>
      </x:c>
      <x:c r="N40" s="46" t="str">
        <x:v>thryssa</x:v>
      </x:c>
      <x:c r="O40" s="62" t="n">
        <x:v>3.34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Thryssa</x:v>
      </x:c>
      <x:c r="T40" s="62" t="n">
        <x:f>IF(O40="","",(1/'Metadata'!$B$5)^(O40-1))</x:f>
        <x:v>218.77616239495518</x:v>
      </x:c>
      <x:c r="U40" s="60" t="n">
        <x:f>IF(T40="","",I40*T40)</x:f>
        <x:v>7639165.946958249</x:v>
      </x:c>
    </x:row>
    <x:row r="41" ht="18" customHeight="1">
      <x:c r="A41" s="46" t="str">
        <x:v>LME_034</x:v>
      </x:c>
      <x:c r="B41" s="46" t="str">
        <x:v>Bay of Bengal</x:v>
      </x:c>
      <x:c r="C41" s="46" t="str">
        <x:v>LME</x:v>
      </x:c>
      <x:c r="D41" s="58" t="n">
        <x:v>2019</x:v>
      </x:c>
      <x:c r="E41" s="46" t="str">
        <x:v>Sepiidae</x:v>
      </x:c>
      <x:c r="F41" s="46" t="str">
        <x:v>Cuttlefishes</x:v>
      </x:c>
      <x:c r="G41" s="46" t="str">
        <x:v>Cephalopods</x:v>
      </x:c>
      <x:c r="H41" s="46" t="str">
        <x:v>Other fishes &amp; inverts</x:v>
      </x:c>
      <x:c r="I41" s="60" t="n">
        <x:v>33552.8347897933</x:v>
      </x:c>
      <x:c r="J41" s="60" t="n">
        <x:v>33552.8347897933</x:v>
      </x:c>
      <x:c r="K41" s="60" t="n">
        <x:v>0</x:v>
      </x:c>
      <x:c r="L41" s="60" t="n">
        <x:v>32449.0800601462</x:v>
      </x:c>
      <x:c r="M41" s="60" t="n">
        <x:v>1103.7547296471</x:v>
      </x:c>
      <x:c r="N41" s="46" t="str">
        <x:v>sepiidae</x:v>
      </x:c>
      <x:c r="O41" s="62" t="n">
        <x:v>3.6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Sepiidae</x:v>
      </x:c>
      <x:c r="T41" s="62" t="n">
        <x:f>IF(O41="","",(1/'Metadata'!$B$5)^(O41-1))</x:f>
        <x:v>398.1071705534973</x:v>
      </x:c>
      <x:c r="U41" s="60" t="n">
        <x:f>IF(T41="","",I41*T41)</x:f>
        <x:v>13357624.12221356</x:v>
      </x:c>
    </x:row>
    <x:row r="42" ht="18" customHeight="1">
      <x:c r="A42" s="46" t="str">
        <x:v>LME_034</x:v>
      </x:c>
      <x:c r="B42" s="46" t="str">
        <x:v>Bay of Bengal</x:v>
      </x:c>
      <x:c r="C42" s="46" t="str">
        <x:v>LME</x:v>
      </x:c>
      <x:c r="D42" s="58" t="n">
        <x:v>2019</x:v>
      </x:c>
      <x:c r="E42" s="46" t="str">
        <x:v>Parastromateus niger</x:v>
      </x:c>
      <x:c r="F42" s="46" t="str">
        <x:v>Black pomfret</x:v>
      </x:c>
      <x:c r="G42" s="46" t="str">
        <x:v>Medium benthopelagics (30 - 89 cm)</x:v>
      </x:c>
      <x:c r="H42" s="46" t="str">
        <x:v>Perch-likes</x:v>
      </x:c>
      <x:c r="I42" s="60" t="n">
        <x:v>33347.2429501791</x:v>
      </x:c>
      <x:c r="J42" s="60" t="n">
        <x:v>32658.8674033379</x:v>
      </x:c>
      <x:c r="K42" s="60" t="n">
        <x:v>688.3755468411999</x:v>
      </x:c>
      <x:c r="L42" s="60" t="n">
        <x:v>29452.5029053361</x:v>
      </x:c>
      <x:c r="M42" s="60" t="n">
        <x:v>3894.740044843</x:v>
      </x:c>
      <x:c r="N42" s="46" t="str">
        <x:v>parastromateus niger</x:v>
      </x:c>
      <x:c r="O42" s="62" t="n">
        <x:v>2.93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Parastromateus niger</x:v>
      </x:c>
      <x:c r="T42" s="62" t="n">
        <x:f>IF(O42="","",(1/'Metadata'!$B$5)^(O42-1))</x:f>
        <x:v>85.11380382023768</x:v>
      </x:c>
      <x:c r="U42" s="60" t="n">
        <x:f>IF(T42="","",I42*T42)</x:f>
        <x:v>2838310.6944073476</x:v>
      </x:c>
    </x:row>
    <x:row r="43" ht="18" customHeight="1">
      <x:c r="A43" s="46" t="str">
        <x:v>LME_034</x:v>
      </x:c>
      <x:c r="B43" s="46" t="str">
        <x:v>Bay of Bengal</x:v>
      </x:c>
      <x:c r="C43" s="46" t="str">
        <x:v>LME</x:v>
      </x:c>
      <x:c r="D43" s="58" t="n">
        <x:v>2019</x:v>
      </x:c>
      <x:c r="E43" s="46" t="str">
        <x:v>Sepia</x:v>
      </x:c>
      <x:c r="F43" s="46" t="str">
        <x:v>Sepia cuttlefishes</x:v>
      </x:c>
      <x:c r="G43" s="46" t="str">
        <x:v>Cephalopods</x:v>
      </x:c>
      <x:c r="H43" s="46" t="str">
        <x:v>Other fishes &amp; inverts</x:v>
      </x:c>
      <x:c r="I43" s="60" t="n">
        <x:v>33119.0729729305</x:v>
      </x:c>
      <x:c r="J43" s="60" t="n">
        <x:v>32573.6032334191</x:v>
      </x:c>
      <x:c r="K43" s="60" t="n">
        <x:v>545.4697395114</x:v>
      </x:c>
      <x:c r="L43" s="60" t="n">
        <x:v>18351.4710401476</x:v>
      </x:c>
      <x:c r="M43" s="60" t="n">
        <x:v>14767.6019327829</x:v>
      </x:c>
      <x:c r="N43" s="46" t="str">
        <x:v>sepia</x:v>
      </x:c>
      <x:c r="O43" s="62" t="n">
        <x:v>3.69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Sepia</x:v>
      </x:c>
      <x:c r="T43" s="62" t="n">
        <x:f>IF(O43="","",(1/'Metadata'!$B$5)^(O43-1))</x:f>
        <x:v>489.77881936844614</x:v>
      </x:c>
      <x:c r="U43" s="60" t="n">
        <x:f>IF(T43="","",I43*T43)</x:f>
        <x:v>16221020.459259314</x:v>
      </x:c>
    </x:row>
    <x:row r="44" ht="18" customHeight="1">
      <x:c r="A44" s="46" t="str">
        <x:v>LME_034</x:v>
      </x:c>
      <x:c r="B44" s="46" t="str">
        <x:v>Bay of Bengal</x:v>
      </x:c>
      <x:c r="C44" s="46" t="str">
        <x:v>LME</x:v>
      </x:c>
      <x:c r="D44" s="58" t="n">
        <x:v>2019</x:v>
      </x:c>
      <x:c r="E44" s="46" t="str">
        <x:v>Pennahia</x:v>
      </x:c>
      <x:c r="F44" s="46" t="str">
        <x:v>Pennah croakers</x:v>
      </x:c>
      <x:c r="G44" s="46" t="str">
        <x:v>Medium benthopelagics (30 - 89 cm)</x:v>
      </x:c>
      <x:c r="H44" s="46" t="str">
        <x:v>Perch-likes</x:v>
      </x:c>
      <x:c r="I44" s="60" t="n">
        <x:v>32363.8300364072</x:v>
      </x:c>
      <x:c r="J44" s="60" t="n">
        <x:v>32363.8300364072</x:v>
      </x:c>
      <x:c r="K44" s="60" t="n">
        <x:v>0</x:v>
      </x:c>
      <x:c r="L44" s="60" t="n">
        <x:v>18765.9982394316</x:v>
      </x:c>
      <x:c r="M44" s="60" t="n">
        <x:v>13597.831796975599</x:v>
      </x:c>
      <x:c r="N44" s="46" t="str">
        <x:v>pennahia</x:v>
      </x:c>
      <x:c r="O44" s="62" t="n">
        <x:v>3.73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Pennahia</x:v>
      </x:c>
      <x:c r="T44" s="62" t="n">
        <x:f>IF(O44="","",(1/'Metadata'!$B$5)^(O44-1))</x:f>
        <x:v>537.0317963702527</x:v>
      </x:c>
      <x:c r="U44" s="60" t="n">
        <x:f>IF(T44="","",I44*T44)</x:f>
        <x:v>17380405.781873297</x:v>
      </x:c>
    </x:row>
    <x:row r="45" ht="18" customHeight="1">
      <x:c r="A45" s="46" t="str">
        <x:v>LME_034</x:v>
      </x:c>
      <x:c r="B45" s="46" t="str">
        <x:v>Bay of Bengal</x:v>
      </x:c>
      <x:c r="C45" s="46" t="str">
        <x:v>LME</x:v>
      </x:c>
      <x:c r="D45" s="58" t="n">
        <x:v>2019</x:v>
      </x:c>
      <x:c r="E45" s="46" t="str">
        <x:v>Selaroides leptolepis</x:v>
      </x:c>
      <x:c r="F45" s="46" t="str">
        <x:v>Yellowstripe scad</x:v>
      </x:c>
      <x:c r="G45" s="46" t="str">
        <x:v>Small pelagics (&lt;30 cm)</x:v>
      </x:c>
      <x:c r="H45" s="46" t="str">
        <x:v>Perch-likes</x:v>
      </x:c>
      <x:c r="I45" s="60" t="n">
        <x:v>31908.568919319703</x:v>
      </x:c>
      <x:c r="J45" s="60" t="n">
        <x:v>28959.1237464739</x:v>
      </x:c>
      <x:c r="K45" s="60" t="n">
        <x:v>2949.4451728458</x:v>
      </x:c>
      <x:c r="L45" s="60" t="n">
        <x:v>27175.330932338402</x:v>
      </x:c>
      <x:c r="M45" s="60" t="n">
        <x:v>4733.237986981299</x:v>
      </x:c>
      <x:c r="N45" s="46" t="str">
        <x:v>selaroides leptolepis</x:v>
      </x:c>
      <x:c r="O45" s="62" t="n">
        <x:v>3.84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Selaroides leptolepis</x:v>
      </x:c>
      <x:c r="T45" s="62" t="n">
        <x:f>IF(O45="","",(1/'Metadata'!$B$5)^(O45-1))</x:f>
        <x:v>691.8309709189363</x:v>
      </x:c>
      <x:c r="U45" s="60" t="n">
        <x:f>IF(T45="","",I45*T45)</x:f>
        <x:v>22075336.21608674</x:v>
      </x:c>
    </x:row>
    <x:row r="46" ht="18" customHeight="1">
      <x:c r="A46" s="46" t="str">
        <x:v>LME_034</x:v>
      </x:c>
      <x:c r="B46" s="46" t="str">
        <x:v>Bay of Bengal</x:v>
      </x:c>
      <x:c r="C46" s="46" t="str">
        <x:v>LME</x:v>
      </x:c>
      <x:c r="D46" s="58" t="n">
        <x:v>2019</x:v>
      </x:c>
      <x:c r="E46" s="46" t="str">
        <x:v>Mullidae</x:v>
      </x:c>
      <x:c r="F46" s="46" t="str">
        <x:v>Goatfishes</x:v>
      </x:c>
      <x:c r="G46" s="46" t="str">
        <x:v>Medium reef assoc. fish (30 - 89 cm)</x:v>
      </x:c>
      <x:c r="H46" s="46" t="str">
        <x:v>Perch-likes</x:v>
      </x:c>
      <x:c r="I46" s="60" t="n">
        <x:v>31803.112460210003</x:v>
      </x:c>
      <x:c r="J46" s="60" t="n">
        <x:v>30552.2718990153</x:v>
      </x:c>
      <x:c r="K46" s="60" t="n">
        <x:v>1250.8405611947</x:v>
      </x:c>
      <x:c r="L46" s="60" t="n">
        <x:v>25852.4100119686</x:v>
      </x:c>
      <x:c r="M46" s="60" t="n">
        <x:v>5950.7024482414</x:v>
      </x:c>
      <x:c r="N46" s="46" t="str">
        <x:v>mullidae</x:v>
      </x:c>
      <x:c r="O46" s="62" t="n">
        <x:v>3.46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Mullidae</x:v>
      </x:c>
      <x:c r="T46" s="62" t="n">
        <x:f>IF(O46="","",(1/'Metadata'!$B$5)^(O46-1))</x:f>
        <x:v>288.40315031266056</x:v>
      </x:c>
      <x:c r="U46" s="60" t="n">
        <x:f>IF(T46="","",I46*T46)</x:f>
        <x:v>9172117.823272394</x:v>
      </x:c>
    </x:row>
    <x:row r="47" ht="18" customHeight="1">
      <x:c r="A47" s="46" t="str">
        <x:v>LME_034</x:v>
      </x:c>
      <x:c r="B47" s="46" t="str">
        <x:v>Bay of Bengal</x:v>
      </x:c>
      <x:c r="C47" s="46" t="str">
        <x:v>LME</x:v>
      </x:c>
      <x:c r="D47" s="58" t="n">
        <x:v>2019</x:v>
      </x:c>
      <x:c r="E47" s="46" t="str">
        <x:v>Metapenaeus</x:v>
      </x:c>
      <x:c r="F47" s="46" t="str">
        <x:v>Indo-Pacific prawns</x:v>
      </x:c>
      <x:c r="G47" s="46" t="str">
        <x:v>Shrimps</x:v>
      </x:c>
      <x:c r="H47" s="46" t="str">
        <x:v>Crustaceans</x:v>
      </x:c>
      <x:c r="I47" s="60" t="n">
        <x:v>31476.823141367702</x:v>
      </x:c>
      <x:c r="J47" s="60" t="n">
        <x:v>31476.823141367702</x:v>
      </x:c>
      <x:c r="K47" s="60" t="n">
        <x:v>0</x:v>
      </x:c>
      <x:c r="L47" s="60" t="n">
        <x:v>28015.6351538083</x:v>
      </x:c>
      <x:c r="M47" s="60" t="n">
        <x:v>3461.1879875593995</x:v>
      </x:c>
      <x:c r="N47" s="46" t="str">
        <x:v>metapenaeus</x:v>
      </x:c>
      <x:c r="O47" s="62" t="n">
        <x:v>2.7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Metapenaeus</x:v>
      </x:c>
      <x:c r="T47" s="62" t="n">
        <x:f>IF(O47="","",(1/'Metadata'!$B$5)^(O47-1))</x:f>
        <x:v>50.11872336272725</x:v>
      </x:c>
      <x:c r="U47" s="60" t="n">
        <x:f>IF(T47="","",I47*T47)</x:f>
        <x:v>1577578.1913596992</x:v>
      </x:c>
    </x:row>
    <x:row r="48" ht="18" customHeight="1">
      <x:c r="A48" s="46" t="str">
        <x:v>LME_034</x:v>
      </x:c>
      <x:c r="B48" s="46" t="str">
        <x:v>Bay of Bengal</x:v>
      </x:c>
      <x:c r="C48" s="46" t="str">
        <x:v>LME</x:v>
      </x:c>
      <x:c r="D48" s="58" t="n">
        <x:v>2019</x:v>
      </x:c>
      <x:c r="E48" s="46" t="str">
        <x:v>Trichiuridae</x:v>
      </x:c>
      <x:c r="F48" s="46" t="str">
        <x:v>Cutlassfishes</x:v>
      </x:c>
      <x:c r="G48" s="46" t="str">
        <x:v>Large benthopelagics (&gt;=90 cm)</x:v>
      </x:c>
      <x:c r="H48" s="46" t="str">
        <x:v>Perch-likes</x:v>
      </x:c>
      <x:c r="I48" s="60" t="n">
        <x:v>30354.486973714098</x:v>
      </x:c>
      <x:c r="J48" s="60" t="n">
        <x:v>29174.323329556097</x:v>
      </x:c>
      <x:c r="K48" s="60" t="n">
        <x:v>1180.1636441580001</x:v>
      </x:c>
      <x:c r="L48" s="60" t="n">
        <x:v>18385.0249381085</x:v>
      </x:c>
      <x:c r="M48" s="60" t="n">
        <x:v>11969.462035605598</x:v>
      </x:c>
      <x:c r="N48" s="46" t="str">
        <x:v>trichiuridae</x:v>
      </x:c>
      <x:c r="O48" s="62" t="n">
        <x:v>4.15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Trichiuridae</x:v>
      </x:c>
      <x:c r="T48" s="62" t="n">
        <x:f>IF(O48="","",(1/'Metadata'!$B$5)^(O48-1))</x:f>
        <x:v>1412.5375446227554</x:v>
      </x:c>
      <x:c r="U48" s="60" t="n">
        <x:f>IF(T48="","",I48*T48)</x:f>
        <x:v>42876852.498133525</x:v>
      </x:c>
    </x:row>
    <x:row r="49" ht="18" customHeight="1">
      <x:c r="A49" s="46" t="str">
        <x:v>LME_034</x:v>
      </x:c>
      <x:c r="B49" s="46" t="str">
        <x:v>Bay of Bengal</x:v>
      </x:c>
      <x:c r="C49" s="46" t="str">
        <x:v>LME</x:v>
      </x:c>
      <x:c r="D49" s="58" t="n">
        <x:v>2019</x:v>
      </x:c>
      <x:c r="E49" s="46" t="str">
        <x:v>Rastrelliger brachysoma</x:v>
      </x:c>
      <x:c r="F49" s="46" t="str">
        <x:v>Short mackerel</x:v>
      </x:c>
      <x:c r="G49" s="46" t="str">
        <x:v>Medium pelagics (30 - 89 cm)</x:v>
      </x:c>
      <x:c r="H49" s="46" t="str">
        <x:v>Perch-likes</x:v>
      </x:c>
      <x:c r="I49" s="60" t="n">
        <x:v>29743.4579555472</x:v>
      </x:c>
      <x:c r="J49" s="60" t="n">
        <x:v>29729.422792430003</x:v>
      </x:c>
      <x:c r="K49" s="60" t="n">
        <x:v>14.0351631172</x:v>
      </x:c>
      <x:c r="L49" s="60" t="n">
        <x:v>28781.5377404155</x:v>
      </x:c>
      <x:c r="M49" s="60" t="n">
        <x:v>961.9202151317</x:v>
      </x:c>
      <x:c r="N49" s="46" t="str">
        <x:v>rastrelliger brachysoma</x:v>
      </x:c>
      <x:c r="O49" s="62" t="n">
        <x:v>2.72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Rastrelliger brachysoma</x:v>
      </x:c>
      <x:c r="T49" s="62" t="n">
        <x:f>IF(O49="","",(1/'Metadata'!$B$5)^(O49-1))</x:f>
        <x:v>52.480746024977286</x:v>
      </x:c>
      <x:c r="U49" s="60" t="n">
        <x:f>IF(T49="","",I49*T49)</x:f>
        <x:v>1560958.8628696627</x:v>
      </x:c>
    </x:row>
    <x:row r="50" ht="18" customHeight="1">
      <x:c r="A50" s="46" t="str">
        <x:v>LME_034</x:v>
      </x:c>
      <x:c r="B50" s="46" t="str">
        <x:v>Bay of Bengal</x:v>
      </x:c>
      <x:c r="C50" s="46" t="str">
        <x:v>LME</x:v>
      </x:c>
      <x:c r="D50" s="58" t="n">
        <x:v>2019</x:v>
      </x:c>
      <x:c r="E50" s="46" t="str">
        <x:v>Polynemidae</x:v>
      </x:c>
      <x:c r="F50" s="46" t="str">
        <x:v>Threadfins</x:v>
      </x:c>
      <x:c r="G50" s="46" t="str">
        <x:v>Small demersals (&lt;30 cm)</x:v>
      </x:c>
      <x:c r="H50" s="46" t="str">
        <x:v>Perch-likes</x:v>
      </x:c>
      <x:c r="I50" s="60" t="n">
        <x:v>29389.1431565727</x:v>
      </x:c>
      <x:c r="J50" s="60" t="n">
        <x:v>24744.6062335817</x:v>
      </x:c>
      <x:c r="K50" s="60" t="n">
        <x:v>4644.536922991</x:v>
      </x:c>
      <x:c r="L50" s="60" t="n">
        <x:v>16718.4455126508</x:v>
      </x:c>
      <x:c r="M50" s="60" t="n">
        <x:v>12670.6976439219</x:v>
      </x:c>
      <x:c r="N50" s="46" t="str">
        <x:v>polynemidae</x:v>
      </x:c>
      <x:c r="O50" s="62" t="n">
        <x:v>3.62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Polynemidae</x:v>
      </x:c>
      <x:c r="T50" s="62" t="n">
        <x:f>IF(O50="","",(1/'Metadata'!$B$5)^(O50-1))</x:f>
        <x:v>416.8693834703355</x:v>
      </x:c>
      <x:c r="U50" s="60" t="n">
        <x:f>IF(T50="","",I50*T50)</x:f>
        <x:v>12251433.988401892</x:v>
      </x:c>
    </x:row>
    <x:row r="51" ht="18" customHeight="1">
      <x:c r="A51" s="46" t="str">
        <x:v>LME_034</x:v>
      </x:c>
      <x:c r="B51" s="46" t="str">
        <x:v>Bay of Bengal</x:v>
      </x:c>
      <x:c r="C51" s="46" t="str">
        <x:v>LME</x:v>
      </x:c>
      <x:c r="D51" s="58" t="n">
        <x:v>2019</x:v>
      </x:c>
      <x:c r="E51" s="46" t="str">
        <x:v>Bivalvia</x:v>
      </x:c>
      <x:c r="F51" s="46" t="str">
        <x:v>Clams</x:v>
      </x:c>
      <x:c r="G51" s="46" t="str">
        <x:v>Other demersal invertebrates</x:v>
      </x:c>
      <x:c r="H51" s="46" t="str">
        <x:v>Molluscs</x:v>
      </x:c>
      <x:c r="I51" s="60" t="n">
        <x:v>29024.287390769</x:v>
      </x:c>
      <x:c r="J51" s="60" t="n">
        <x:v>28983.264431619602</x:v>
      </x:c>
      <x:c r="K51" s="60" t="n">
        <x:v>41.0229591494</x:v>
      </x:c>
      <x:c r="L51" s="60" t="n">
        <x:v>2840.4458213517</x:v>
      </x:c>
      <x:c r="M51" s="60" t="n">
        <x:v>26183.8415694173</x:v>
      </x:c>
      <x:c r="N51" s="46" t="str">
        <x:v>bivalvia</x:v>
      </x:c>
      <x:c r="O51" s="62" t="n">
        <x:v>2.23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Bivalvia</x:v>
      </x:c>
      <x:c r="T51" s="62" t="n">
        <x:f>IF(O51="","",(1/'Metadata'!$B$5)^(O51-1))</x:f>
        <x:v>16.982436524617444</x:v>
      </x:c>
      <x:c r="U51" s="60" t="n">
        <x:f>IF(T51="","",I51*T51)</x:f>
        <x:v>492903.11828598904</x:v>
      </x:c>
    </x:row>
    <x:row r="52" ht="18" customHeight="1">
      <x:c r="A52" s="46" t="str">
        <x:v>LME_034</x:v>
      </x:c>
      <x:c r="B52" s="46" t="str">
        <x:v>Bay of Bengal</x:v>
      </x:c>
      <x:c r="C52" s="46" t="str">
        <x:v>LME</x:v>
      </x:c>
      <x:c r="D52" s="58" t="n">
        <x:v>2019</x:v>
      </x:c>
      <x:c r="E52" s="46" t="str">
        <x:v>Portunidae</x:v>
      </x:c>
      <x:c r="F52" s="46" t="str">
        <x:v>Swimming crabs</x:v>
      </x:c>
      <x:c r="G52" s="46" t="str">
        <x:v>Lobsters, crabs</x:v>
      </x:c>
      <x:c r="H52" s="46" t="str">
        <x:v>Crustaceans</x:v>
      </x:c>
      <x:c r="I52" s="60" t="n">
        <x:v>28990.9809226889</x:v>
      </x:c>
      <x:c r="J52" s="60" t="n">
        <x:v>27351.3639140431</x:v>
      </x:c>
      <x:c r="K52" s="60" t="n">
        <x:v>1639.6170086457998</x:v>
      </x:c>
      <x:c r="L52" s="60" t="n">
        <x:v>25540.566006133602</x:v>
      </x:c>
      <x:c r="M52" s="60" t="n">
        <x:v>3450.4149165553</x:v>
      </x:c>
      <x:c r="N52" s="46" t="str">
        <x:v>portunidae</x:v>
      </x:c>
      <x:c r="O52" s="62" t="n">
        <x:v>3.56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Portunidae</x:v>
      </x:c>
      <x:c r="T52" s="62" t="n">
        <x:f>IF(O52="","",(1/'Metadata'!$B$5)^(O52-1))</x:f>
        <x:v>363.0780547701014</x:v>
      </x:c>
      <x:c r="U52" s="60" t="n">
        <x:f>IF(T52="","",I52*T52)</x:f>
        <x:v>10525988.959287006</x:v>
      </x:c>
    </x:row>
    <x:row r="53" ht="18" customHeight="1">
      <x:c r="A53" s="46" t="str">
        <x:v>LME_034</x:v>
      </x:c>
      <x:c r="B53" s="46" t="str">
        <x:v>Bay of Bengal</x:v>
      </x:c>
      <x:c r="C53" s="46" t="str">
        <x:v>LME</x:v>
      </x:c>
      <x:c r="D53" s="58" t="n">
        <x:v>2019</x:v>
      </x:c>
      <x:c r="E53" s="46" t="str">
        <x:v>Dendrobranchiata</x:v>
      </x:c>
      <x:c r="F53" s="46" t="str">
        <x:v>Shrimps and prawns</x:v>
      </x:c>
      <x:c r="G53" s="46" t="str">
        <x:v>Shrimps</x:v>
      </x:c>
      <x:c r="H53" s="46" t="str">
        <x:v>Crustaceans</x:v>
      </x:c>
      <x:c r="I53" s="60" t="n">
        <x:v>26414.9422076452</x:v>
      </x:c>
      <x:c r="J53" s="60" t="n">
        <x:v>24940.694620994298</x:v>
      </x:c>
      <x:c r="K53" s="60" t="n">
        <x:v>1474.2475866509</x:v>
      </x:c>
      <x:c r="L53" s="60" t="n">
        <x:v>12787.9173565505</x:v>
      </x:c>
      <x:c r="M53" s="60" t="n">
        <x:v>13627.024851094699</x:v>
      </x:c>
      <x:c r="N53" s="46" t="str">
        <x:v>dendrobranchiata</x:v>
      </x:c>
      <x:c r="O53" s="62" t="n">
        <x:v>3.24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Dendrobranchiata</x:v>
      </x:c>
      <x:c r="T53" s="62" t="n">
        <x:f>IF(O53="","",(1/'Metadata'!$B$5)^(O53-1))</x:f>
        <x:v>173.78008287493762</x:v>
      </x:c>
      <x:c r="U53" s="60" t="n">
        <x:f>IF(T53="","",I53*T53)</x:f>
        <x:v>4590390.84598127</x:v>
      </x:c>
    </x:row>
    <x:row r="54" ht="18" customHeight="1">
      <x:c r="A54" s="46" t="str">
        <x:v>LME_034</x:v>
      </x:c>
      <x:c r="B54" s="46" t="str">
        <x:v>Bay of Bengal</x:v>
      </x:c>
      <x:c r="C54" s="46" t="str">
        <x:v>LME</x:v>
      </x:c>
      <x:c r="D54" s="58" t="n">
        <x:v>2019</x:v>
      </x:c>
      <x:c r="E54" s="46" t="str">
        <x:v>Euthynnus affinis</x:v>
      </x:c>
      <x:c r="F54" s="46" t="str">
        <x:v>Kawakawa</x:v>
      </x:c>
      <x:c r="G54" s="46" t="str">
        <x:v>Large pelagics (&gt;=90 cm)</x:v>
      </x:c>
      <x:c r="H54" s="46" t="str">
        <x:v>Tuna &amp; billfishes</x:v>
      </x:c>
      <x:c r="I54" s="60" t="n">
        <x:v>25826.1962193654</x:v>
      </x:c>
      <x:c r="J54" s="60" t="n">
        <x:v>25785.1288087165</x:v>
      </x:c>
      <x:c r="K54" s="60" t="n">
        <x:v>41.0674106489</x:v>
      </x:c>
      <x:c r="L54" s="60" t="n">
        <x:v>21452.7142918711</x:v>
      </x:c>
      <x:c r="M54" s="60" t="n">
        <x:v>4373.4819274943</x:v>
      </x:c>
      <x:c r="N54" s="46" t="str">
        <x:v>euthynnus affinis</x:v>
      </x:c>
      <x:c r="O54" s="62" t="n">
        <x:v>4.5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Euthynnus affinis</x:v>
      </x:c>
      <x:c r="T54" s="62" t="n">
        <x:f>IF(O54="","",(1/'Metadata'!$B$5)^(O54-1))</x:f>
        <x:v>3162.2776601683795</x:v>
      </x:c>
      <x:c r="U54" s="60" t="n">
        <x:f>IF(T54="","",I54*T54)</x:f>
        <x:v>81669603.35162427</x:v>
      </x:c>
    </x:row>
    <x:row r="55" ht="18" customHeight="1">
      <x:c r="A55" s="46" t="str">
        <x:v>LME_034</x:v>
      </x:c>
      <x:c r="B55" s="46" t="str">
        <x:v>Bay of Bengal</x:v>
      </x:c>
      <x:c r="C55" s="46" t="str">
        <x:v>LME</x:v>
      </x:c>
      <x:c r="D55" s="58" t="n">
        <x:v>2019</x:v>
      </x:c>
      <x:c r="E55" s="46" t="str">
        <x:v>Mugilidae</x:v>
      </x:c>
      <x:c r="F55" s="46" t="str">
        <x:v>Mullets, grey mullets</x:v>
      </x:c>
      <x:c r="G55" s="46" t="str">
        <x:v>Medium reef assoc. fish (30 - 89 cm)</x:v>
      </x:c>
      <x:c r="H55" s="46" t="str">
        <x:v>Perch-likes</x:v>
      </x:c>
      <x:c r="I55" s="60" t="n">
        <x:v>25626.6281455744</x:v>
      </x:c>
      <x:c r="J55" s="60" t="n">
        <x:v>24148.5311736906</x:v>
      </x:c>
      <x:c r="K55" s="60" t="n">
        <x:v>1478.0969718838</x:v>
      </x:c>
      <x:c r="L55" s="60" t="n">
        <x:v>20445.5809901062</x:v>
      </x:c>
      <x:c r="M55" s="60" t="n">
        <x:v>5181.0471554682</x:v>
      </x:c>
      <x:c r="N55" s="46" t="str">
        <x:v>mugilidae</x:v>
      </x:c>
      <x:c r="O55" s="62" t="n">
        <x:v>2.53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Mugilidae</x:v>
      </x:c>
      <x:c r="T55" s="62" t="n">
        <x:f>IF(O55="","",(1/'Metadata'!$B$5)^(O55-1))</x:f>
        <x:v>33.88441561392024</x:v>
      </x:c>
      <x:c r="U55" s="60" t="n">
        <x:f>IF(T55="","",I55*T55)</x:f>
        <x:v>868343.318868029</x:v>
      </x:c>
    </x:row>
    <x:row r="56" ht="18" customHeight="1">
      <x:c r="A56" s="46" t="str">
        <x:v>LME_034</x:v>
      </x:c>
      <x:c r="B56" s="46" t="str">
        <x:v>Bay of Bengal</x:v>
      </x:c>
      <x:c r="C56" s="46" t="str">
        <x:v>LME</x:v>
      </x:c>
      <x:c r="D56" s="58" t="n">
        <x:v>2019</x:v>
      </x:c>
      <x:c r="E56" s="46" t="str">
        <x:v>Teuthida</x:v>
      </x:c>
      <x:c r="F56" s="46" t="str">
        <x:v>Squids</x:v>
      </x:c>
      <x:c r="G56" s="46" t="str">
        <x:v>Cephalopods</x:v>
      </x:c>
      <x:c r="H56" s="46" t="str">
        <x:v>Other fishes &amp; inverts</x:v>
      </x:c>
      <x:c r="I56" s="60" t="n">
        <x:v>25324.553716693998</x:v>
      </x:c>
      <x:c r="J56" s="60" t="n">
        <x:v>25324.553716693998</x:v>
      </x:c>
      <x:c r="K56" s="60" t="n">
        <x:v>0</x:v>
      </x:c>
      <x:c r="L56" s="60" t="n">
        <x:v>25324.553716693998</x:v>
      </x:c>
      <x:c r="M56" s="60" t="n">
        <x:v>0</x:v>
      </x:c>
      <x:c r="N56" s="46" t="str">
        <x:v>teuthida</x:v>
      </x:c>
      <x:c r="O56" s="62" t="n">
        <x:v>4.13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Teuthida</x:v>
      </x:c>
      <x:c r="T56" s="62" t="n">
        <x:f>IF(O56="","",(1/'Metadata'!$B$5)^(O56-1))</x:f>
        <x:v>1348.9628825916532</x:v>
      </x:c>
      <x:c r="U56" s="60" t="n">
        <x:f>IF(T56="","",I56*T56)</x:f>
        <x:v>34161882.9820187</x:v>
      </x:c>
    </x:row>
    <x:row r="57" ht="18" customHeight="1">
      <x:c r="A57" s="46" t="str">
        <x:v>LME_034</x:v>
      </x:c>
      <x:c r="B57" s="46" t="str">
        <x:v>Bay of Bengal</x:v>
      </x:c>
      <x:c r="C57" s="46" t="str">
        <x:v>LME</x:v>
      </x:c>
      <x:c r="D57" s="58" t="n">
        <x:v>2019</x:v>
      </x:c>
      <x:c r="E57" s="46" t="str">
        <x:v>Apogonidae</x:v>
      </x:c>
      <x:c r="F57" s="46" t="str">
        <x:v>Cardinalfishes</x:v>
      </x:c>
      <x:c r="G57" s="46" t="str">
        <x:v>Small reef assoc. fish (&lt;30 cm)</x:v>
      </x:c>
      <x:c r="H57" s="46" t="str">
        <x:v>Perch-likes</x:v>
      </x:c>
      <x:c r="I57" s="60" t="n">
        <x:v>25003.8694453693</x:v>
      </x:c>
      <x:c r="J57" s="60" t="n">
        <x:v>24173.097768854</x:v>
      </x:c>
      <x:c r="K57" s="60" t="n">
        <x:v>830.7716765153</x:v>
      </x:c>
      <x:c r="L57" s="60" t="n">
        <x:v>24173.097768854</x:v>
      </x:c>
      <x:c r="M57" s="60" t="n">
        <x:v>830.7716765153</x:v>
      </x:c>
      <x:c r="N57" s="46" t="str">
        <x:v>apogonidae</x:v>
      </x:c>
      <x:c r="O57" s="62" t="n">
        <x:v>3.54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Apogonidae</x:v>
      </x:c>
      <x:c r="T57" s="62" t="n">
        <x:f>IF(O57="","",(1/'Metadata'!$B$5)^(O57-1))</x:f>
        <x:v>346.73685045253166</x:v>
      </x:c>
      <x:c r="U57" s="60" t="n">
        <x:f>IF(T57="","",I57*T57)</x:f>
        <x:v>8669762.94061364</x:v>
      </x:c>
    </x:row>
    <x:row r="58" ht="18" customHeight="1">
      <x:c r="A58" s="46" t="str">
        <x:v>LME_034</x:v>
      </x:c>
      <x:c r="B58" s="46" t="str">
        <x:v>Bay of Bengal</x:v>
      </x:c>
      <x:c r="C58" s="46" t="str">
        <x:v>LME</x:v>
      </x:c>
      <x:c r="D58" s="58" t="n">
        <x:v>2019</x:v>
      </x:c>
      <x:c r="E58" s="46" t="str">
        <x:v>Lutjanidae</x:v>
      </x:c>
      <x:c r="F58" s="46" t="str">
        <x:v>Snappers</x:v>
      </x:c>
      <x:c r="G58" s="46" t="str">
        <x:v>Medium reef assoc. fish (30 - 89 cm)</x:v>
      </x:c>
      <x:c r="H58" s="46" t="str">
        <x:v>Perch-likes</x:v>
      </x:c>
      <x:c r="I58" s="60" t="n">
        <x:v>24507.3576190657</x:v>
      </x:c>
      <x:c r="J58" s="60" t="n">
        <x:v>23467.3958734497</x:v>
      </x:c>
      <x:c r="K58" s="60" t="n">
        <x:v>1039.961745616</x:v>
      </x:c>
      <x:c r="L58" s="60" t="n">
        <x:v>19157.9480481126</x:v>
      </x:c>
      <x:c r="M58" s="60" t="n">
        <x:v>5349.409570953099</x:v>
      </x:c>
      <x:c r="N58" s="46" t="str">
        <x:v>lutjanidae</x:v>
      </x:c>
      <x:c r="O58" s="62" t="n">
        <x:v>4.02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Lutjanidae</x:v>
      </x:c>
      <x:c r="T58" s="62" t="n">
        <x:f>IF(O58="","",(1/'Metadata'!$B$5)^(O58-1))</x:f>
        <x:v>1047.1285480508984</x:v>
      </x:c>
      <x:c r="U58" s="60" t="n">
        <x:f>IF(T58="","",I58*T58)</x:f>
        <x:v>25662353.800216388</x:v>
      </x:c>
    </x:row>
    <x:row r="59" ht="18" customHeight="1">
      <x:c r="A59" s="46" t="str">
        <x:v>LME_034</x:v>
      </x:c>
      <x:c r="B59" s="46" t="str">
        <x:v>Bay of Bengal</x:v>
      </x:c>
      <x:c r="C59" s="46" t="str">
        <x:v>LME</x:v>
      </x:c>
      <x:c r="D59" s="58" t="n">
        <x:v>2019</x:v>
      </x:c>
      <x:c r="E59" s="46" t="str">
        <x:v>Parapenaeopsis</x:v>
      </x:c>
      <x:c r="F59" s="46" t="str">
        <x:v>Leafy-legged shrimps</x:v>
      </x:c>
      <x:c r="G59" s="46" t="str">
        <x:v>Shrimps</x:v>
      </x:c>
      <x:c r="H59" s="46" t="str">
        <x:v>Crustaceans</x:v>
      </x:c>
      <x:c r="I59" s="60" t="n">
        <x:v>22947.1281571554</x:v>
      </x:c>
      <x:c r="J59" s="60" t="n">
        <x:v>22947.1281571554</x:v>
      </x:c>
      <x:c r="K59" s="60" t="n">
        <x:v>0</x:v>
      </x:c>
      <x:c r="L59" s="60" t="n">
        <x:v>13252.244422992999</x:v>
      </x:c>
      <x:c r="M59" s="60" t="n">
        <x:v>9694.8837341624</x:v>
      </x:c>
      <x:c r="N59" s="46" t="str">
        <x:v>parapenaeopsis</x:v>
      </x:c>
      <x:c r="O59" s="62" t="n">
        <x:v>2.72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Parapenaeopsis</x:v>
      </x:c>
      <x:c r="T59" s="62" t="n">
        <x:f>IF(O59="","",(1/'Metadata'!$B$5)^(O59-1))</x:f>
        <x:v>52.480746024977286</x:v>
      </x:c>
      <x:c r="U59" s="60" t="n">
        <x:f>IF(T59="","",I59*T59)</x:f>
        <x:v>1204282.4048182776</x:v>
      </x:c>
    </x:row>
    <x:row r="60" ht="18" customHeight="1">
      <x:c r="A60" s="46" t="str">
        <x:v>LME_034</x:v>
      </x:c>
      <x:c r="B60" s="46" t="str">
        <x:v>Bay of Bengal</x:v>
      </x:c>
      <x:c r="C60" s="46" t="str">
        <x:v>LME</x:v>
      </x:c>
      <x:c r="D60" s="58" t="n">
        <x:v>2019</x:v>
      </x:c>
      <x:c r="E60" s="46" t="str">
        <x:v>Scomberomorus</x:v>
      </x:c>
      <x:c r="F60" s="46" t="str">
        <x:v>Spanish mackerels</x:v>
      </x:c>
      <x:c r="G60" s="46" t="str">
        <x:v>Large pelagics (&gt;=90 cm)</x:v>
      </x:c>
      <x:c r="H60" s="46" t="str">
        <x:v>Perch-likes</x:v>
      </x:c>
      <x:c r="I60" s="60" t="n">
        <x:v>22550.810785890102</x:v>
      </x:c>
      <x:c r="J60" s="60" t="n">
        <x:v>21345.4544186307</x:v>
      </x:c>
      <x:c r="K60" s="60" t="n">
        <x:v>1205.3563672594</x:v>
      </x:c>
      <x:c r="L60" s="60" t="n">
        <x:v>15514.380531321</x:v>
      </x:c>
      <x:c r="M60" s="60" t="n">
        <x:v>7036.430254569101</x:v>
      </x:c>
      <x:c r="N60" s="46" t="str">
        <x:v>scomberomorus</x:v>
      </x:c>
      <x:c r="O60" s="62" t="n">
        <x:v>4.35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Scomberomorus</x:v>
      </x:c>
      <x:c r="T60" s="62" t="n">
        <x:f>IF(O60="","",(1/'Metadata'!$B$5)^(O60-1))</x:f>
        <x:v>2238.7211385683377</x:v>
      </x:c>
      <x:c r="U60" s="60" t="n">
        <x:f>IF(T60="","",I60*T60)</x:f>
        <x:v>50484976.79822704</x:v>
      </x:c>
    </x:row>
    <x:row r="61" ht="18" customHeight="1">
      <x:c r="A61" s="46" t="str">
        <x:v>LME_034</x:v>
      </x:c>
      <x:c r="B61" s="46" t="str">
        <x:v>Bay of Bengal</x:v>
      </x:c>
      <x:c r="C61" s="46" t="str">
        <x:v>LME</x:v>
      </x:c>
      <x:c r="D61" s="58" t="n">
        <x:v>2019</x:v>
      </x:c>
      <x:c r="E61" s="46" t="str">
        <x:v>Selar crumenophthalmus</x:v>
      </x:c>
      <x:c r="F61" s="46" t="str">
        <x:v>Bigeye scad</x:v>
      </x:c>
      <x:c r="G61" s="46" t="str">
        <x:v>Medium pelagics (30 - 89 cm)</x:v>
      </x:c>
      <x:c r="H61" s="46" t="str">
        <x:v>Perch-likes</x:v>
      </x:c>
      <x:c r="I61" s="60" t="n">
        <x:v>22423.4970705782</x:v>
      </x:c>
      <x:c r="J61" s="60" t="n">
        <x:v>22423.4970705782</x:v>
      </x:c>
      <x:c r="K61" s="60" t="n">
        <x:v>0</x:v>
      </x:c>
      <x:c r="L61" s="60" t="n">
        <x:v>16271.0477150214</x:v>
      </x:c>
      <x:c r="M61" s="60" t="n">
        <x:v>6152.449355556801</x:v>
      </x:c>
      <x:c r="N61" s="46" t="str">
        <x:v>selar crumenophthalmus</x:v>
      </x:c>
      <x:c r="O61" s="62" t="n">
        <x:v>3.81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Selar crumenophthalmus</x:v>
      </x:c>
      <x:c r="T61" s="62" t="n">
        <x:f>IF(O61="","",(1/'Metadata'!$B$5)^(O61-1))</x:f>
        <x:v>645.6542290346556</x:v>
      </x:c>
      <x:c r="U61" s="60" t="n">
        <x:f>IF(T61="","",I61*T61)</x:f>
        <x:v>14477825.713365026</x:v>
      </x:c>
    </x:row>
    <x:row r="62" ht="18" customHeight="1">
      <x:c r="A62" s="46" t="str">
        <x:v>LME_034</x:v>
      </x:c>
      <x:c r="B62" s="46" t="str">
        <x:v>Bay of Bengal</x:v>
      </x:c>
      <x:c r="C62" s="46" t="str">
        <x:v>LME</x:v>
      </x:c>
      <x:c r="D62" s="58" t="n">
        <x:v>2019</x:v>
      </x:c>
      <x:c r="E62" s="46" t="str">
        <x:v>Thunnus albacares</x:v>
      </x:c>
      <x:c r="F62" s="46" t="str">
        <x:v>Yellowfin tuna</x:v>
      </x:c>
      <x:c r="G62" s="46" t="str">
        <x:v>Large pelagics (&gt;=90 cm)</x:v>
      </x:c>
      <x:c r="H62" s="46" t="str">
        <x:v>Tuna &amp; billfishes</x:v>
      </x:c>
      <x:c r="I62" s="60" t="n">
        <x:v>21709.1791419282</x:v>
      </x:c>
      <x:c r="J62" s="60" t="n">
        <x:v>21709.1791419282</x:v>
      </x:c>
      <x:c r="K62" s="60" t="n">
        <x:v>0</x:v>
      </x:c>
      <x:c r="L62" s="60" t="n">
        <x:v>18382.0751027853</x:v>
      </x:c>
      <x:c r="M62" s="60" t="n">
        <x:v>3327.1040391429</x:v>
      </x:c>
      <x:c r="N62" s="46" t="str">
        <x:v>thunnus albacares</x:v>
      </x:c>
      <x:c r="O62" s="62" t="n">
        <x:v>4.41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Thunnus albacares</x:v>
      </x:c>
      <x:c r="T62" s="62" t="n">
        <x:f>IF(O62="","",(1/'Metadata'!$B$5)^(O62-1))</x:f>
        <x:v>2570.3957827688646</x:v>
      </x:c>
      <x:c r="U62" s="60" t="n">
        <x:f>IF(T62="","",I62*T62)</x:f>
        <x:v>55801182.51378605</x:v>
      </x:c>
    </x:row>
    <x:row r="63" ht="18" customHeight="1">
      <x:c r="A63" s="46" t="str">
        <x:v>LME_034</x:v>
      </x:c>
      <x:c r="B63" s="46" t="str">
        <x:v>Bay of Bengal</x:v>
      </x:c>
      <x:c r="C63" s="46" t="str">
        <x:v>LME</x:v>
      </x:c>
      <x:c r="D63" s="58" t="n">
        <x:v>2019</x:v>
      </x:c>
      <x:c r="E63" s="46" t="str">
        <x:v>Loliginidae</x:v>
      </x:c>
      <x:c r="F63" s="46" t="str">
        <x:v>Common pencil squids</x:v>
      </x:c>
      <x:c r="G63" s="46" t="str">
        <x:v>Cephalopods</x:v>
      </x:c>
      <x:c r="H63" s="46" t="str">
        <x:v>Other fishes &amp; inverts</x:v>
      </x:c>
      <x:c r="I63" s="60" t="n">
        <x:v>21324.3445801643</x:v>
      </x:c>
      <x:c r="J63" s="60" t="n">
        <x:v>21324.3445801643</x:v>
      </x:c>
      <x:c r="K63" s="60" t="n">
        <x:v>0</x:v>
      </x:c>
      <x:c r="L63" s="60" t="n">
        <x:v>17284.1317273005</x:v>
      </x:c>
      <x:c r="M63" s="60" t="n">
        <x:v>4040.2128528637995</x:v>
      </x:c>
      <x:c r="N63" s="46" t="str">
        <x:v>loliginidae</x:v>
      </x:c>
      <x:c r="O63" s="62" t="n">
        <x:v>3.9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Loliginidae</x:v>
      </x:c>
      <x:c r="T63" s="62" t="n">
        <x:f>IF(O63="","",(1/'Metadata'!$B$5)^(O63-1))</x:f>
        <x:v>794.3282347242813</x:v>
      </x:c>
      <x:c r="U63" s="60" t="n">
        <x:f>IF(T63="","",I63*T63)</x:f>
        <x:v>16938528.987014204</x:v>
      </x:c>
    </x:row>
    <x:row r="64" ht="18" customHeight="1">
      <x:c r="A64" s="46" t="str">
        <x:v>LME_034</x:v>
      </x:c>
      <x:c r="B64" s="46" t="str">
        <x:v>Bay of Bengal</x:v>
      </x:c>
      <x:c r="C64" s="46" t="str">
        <x:v>LME</x:v>
      </x:c>
      <x:c r="D64" s="58" t="n">
        <x:v>2019</x:v>
      </x:c>
      <x:c r="E64" s="46" t="str">
        <x:v>Serranidae</x:v>
      </x:c>
      <x:c r="F64" s="46" t="str">
        <x:v>Basses, groupers, hinds</x:v>
      </x:c>
      <x:c r="G64" s="46" t="str">
        <x:v>Medium reef assoc. fish (30 - 89 cm)</x:v>
      </x:c>
      <x:c r="H64" s="46" t="str">
        <x:v>Perch-likes</x:v>
      </x:c>
      <x:c r="I64" s="60" t="n">
        <x:v>20670.0255757887</x:v>
      </x:c>
      <x:c r="J64" s="60" t="n">
        <x:v>19885.313980803</x:v>
      </x:c>
      <x:c r="K64" s="60" t="n">
        <x:v>784.7115949857</x:v>
      </x:c>
      <x:c r="L64" s="60" t="n">
        <x:v>12103.6901813669</x:v>
      </x:c>
      <x:c r="M64" s="60" t="n">
        <x:v>8566.3353944218</x:v>
      </x:c>
      <x:c r="N64" s="46" t="str">
        <x:v>serranidae</x:v>
      </x:c>
      <x:c r="O64" s="62" t="n">
        <x:v>3.98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Serranidae</x:v>
      </x:c>
      <x:c r="T64" s="62" t="n">
        <x:f>IF(O64="","",(1/'Metadata'!$B$5)^(O64-1))</x:f>
        <x:v>954.992586021436</x:v>
      </x:c>
      <x:c r="U64" s="60" t="n">
        <x:f>IF(T64="","",I64*T64)</x:f>
        <x:v>19739721.17775167</x:v>
      </x:c>
    </x:row>
    <x:row r="65" ht="18" customHeight="1">
      <x:c r="A65" s="46" t="str">
        <x:v>LME_034</x:v>
      </x:c>
      <x:c r="B65" s="46" t="str">
        <x:v>Bay of Bengal</x:v>
      </x:c>
      <x:c r="C65" s="46" t="str">
        <x:v>LME</x:v>
      </x:c>
      <x:c r="D65" s="58" t="n">
        <x:v>2019</x:v>
      </x:c>
      <x:c r="E65" s="46" t="str">
        <x:v>Saurida tumbil</x:v>
      </x:c>
      <x:c r="F65" s="46" t="str">
        <x:v>Greater lizardfish</x:v>
      </x:c>
      <x:c r="G65" s="46" t="str">
        <x:v>Medium demersals (30 - 89 cm)</x:v>
      </x:c>
      <x:c r="H65" s="46" t="str">
        <x:v>Other fishes &amp; inverts</x:v>
      </x:c>
      <x:c r="I65" s="60" t="n">
        <x:v>20589.4332110165</x:v>
      </x:c>
      <x:c r="J65" s="60" t="n">
        <x:v>19905.0518364371</x:v>
      </x:c>
      <x:c r="K65" s="60" t="n">
        <x:v>684.3813745794</x:v>
      </x:c>
      <x:c r="L65" s="60" t="n">
        <x:v>19905.0518364371</x:v>
      </x:c>
      <x:c r="M65" s="60" t="n">
        <x:v>684.3813745794</x:v>
      </x:c>
      <x:c r="N65" s="46" t="str">
        <x:v>saurida tumbil</x:v>
      </x:c>
      <x:c r="O65" s="62" t="n">
        <x:v>4.4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Saurida tumbil</x:v>
      </x:c>
      <x:c r="T65" s="62" t="n">
        <x:f>IF(O65="","",(1/'Metadata'!$B$5)^(O65-1))</x:f>
        <x:v>2511.886431509582</x:v>
      </x:c>
      <x:c r="U65" s="60" t="n">
        <x:f>IF(T65="","",I65*T65)</x:f>
        <x:v>51718317.91522512</x:v>
      </x:c>
    </x:row>
    <x:row r="66" ht="18" customHeight="1">
      <x:c r="A66" s="46" t="str">
        <x:v>LME_034</x:v>
      </x:c>
      <x:c r="B66" s="46" t="str">
        <x:v>Bay of Bengal</x:v>
      </x:c>
      <x:c r="C66" s="46" t="str">
        <x:v>LME</x:v>
      </x:c>
      <x:c r="D66" s="58" t="n">
        <x:v>2019</x:v>
      </x:c>
      <x:c r="E66" s="46" t="str">
        <x:v>Penaeus merguiensis</x:v>
      </x:c>
      <x:c r="F66" s="46" t="str">
        <x:v>Banana prawn</x:v>
      </x:c>
      <x:c r="G66" s="46" t="str">
        <x:v>Shrimps</x:v>
      </x:c>
      <x:c r="H66" s="46" t="str">
        <x:v>Crustaceans</x:v>
      </x:c>
      <x:c r="I66" s="60" t="n">
        <x:v>20326.4384563789</x:v>
      </x:c>
      <x:c r="J66" s="60" t="n">
        <x:v>20326.4384563789</x:v>
      </x:c>
      <x:c r="K66" s="60" t="n">
        <x:v>0</x:v>
      </x:c>
      <x:c r="L66" s="60" t="n">
        <x:v>12932.8221182517</x:v>
      </x:c>
      <x:c r="M66" s="60" t="n">
        <x:v>7393.6163381272</x:v>
      </x:c>
      <x:c r="N66" s="46" t="str">
        <x:v>penaeus merguiensis</x:v>
      </x:c>
      <x:c r="O66" s="62" t="n">
        <x:v>3.77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Penaeus merguiensis</x:v>
      </x:c>
      <x:c r="T66" s="62" t="n">
        <x:f>IF(O66="","",(1/'Metadata'!$B$5)^(O66-1))</x:f>
        <x:v>588.843655355589</x:v>
      </x:c>
      <x:c r="U66" s="60" t="n">
        <x:f>IF(T66="","",I66*T66)</x:f>
        <x:v>11969094.321014568</x:v>
      </x:c>
    </x:row>
    <x:row r="67" ht="18" customHeight="1">
      <x:c r="A67" s="46" t="str">
        <x:v>LME_034</x:v>
      </x:c>
      <x:c r="B67" s="46" t="str">
        <x:v>Bay of Bengal</x:v>
      </x:c>
      <x:c r="C67" s="46" t="str">
        <x:v>LME</x:v>
      </x:c>
      <x:c r="D67" s="58" t="n">
        <x:v>2019</x:v>
      </x:c>
      <x:c r="E67" s="46" t="str">
        <x:v>Priacanthus</x:v>
      </x:c>
      <x:c r="F67" s="46" t="str">
        <x:v>Bigeyes</x:v>
      </x:c>
      <x:c r="G67" s="46" t="str">
        <x:v>Medium reef assoc. fish (30 - 89 cm)</x:v>
      </x:c>
      <x:c r="H67" s="46" t="str">
        <x:v>Perch-likes</x:v>
      </x:c>
      <x:c r="I67" s="60" t="n">
        <x:v>19266.4966688015</x:v>
      </x:c>
      <x:c r="J67" s="60" t="n">
        <x:v>19134.578905033</x:v>
      </x:c>
      <x:c r="K67" s="60" t="n">
        <x:v>131.91776376849998</x:v>
      </x:c>
      <x:c r="L67" s="60" t="n">
        <x:v>13379.0203816867</x:v>
      </x:c>
      <x:c r="M67" s="60" t="n">
        <x:v>5887.4762871148</x:v>
      </x:c>
      <x:c r="N67" s="46" t="str">
        <x:v>priacanthus</x:v>
      </x:c>
      <x:c r="O67" s="62" t="n">
        <x:v>3.81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Priacanthus</x:v>
      </x:c>
      <x:c r="T67" s="62" t="n">
        <x:f>IF(O67="","",(1/'Metadata'!$B$5)^(O67-1))</x:f>
        <x:v>645.6542290346556</x:v>
      </x:c>
      <x:c r="U67" s="60" t="n">
        <x:f>IF(T67="","",I67*T67)</x:f>
        <x:v>12439495.052893793</x:v>
      </x:c>
    </x:row>
    <x:row r="68" ht="18" customHeight="1">
      <x:c r="A68" s="46" t="str">
        <x:v>LME_034</x:v>
      </x:c>
      <x:c r="B68" s="46" t="str">
        <x:v>Bay of Bengal</x:v>
      </x:c>
      <x:c r="C68" s="46" t="str">
        <x:v>LME</x:v>
      </x:c>
      <x:c r="D68" s="58" t="n">
        <x:v>2019</x:v>
      </x:c>
      <x:c r="E68" s="46" t="str">
        <x:v>Odontamblyopus rubicundus</x:v>
      </x:c>
      <x:c r="F68" s="46" t="str">
        <x:v>Rubicundus eelgoby</x:v>
      </x:c>
      <x:c r="G68" s="46" t="str">
        <x:v>Small pelagics (&lt;30 cm)</x:v>
      </x:c>
      <x:c r="H68" s="46" t="str">
        <x:v>Perch-likes</x:v>
      </x:c>
      <x:c r="I68" s="60" t="n">
        <x:v>19262.0424358007</x:v>
      </x:c>
      <x:c r="J68" s="60" t="n">
        <x:v>19262.0424358007</x:v>
      </x:c>
      <x:c r="K68" s="60" t="n">
        <x:v>0</x:v>
      </x:c>
      <x:c r="L68" s="60" t="n">
        <x:v>0</x:v>
      </x:c>
      <x:c r="M68" s="60" t="n">
        <x:v>19262.0424358007</x:v>
      </x:c>
      <x:c r="N68" s="46" t="str">
        <x:v>odontamblyopus rubicundus</x:v>
      </x:c>
      <x:c r="O68" s="62" t="n">
        <x:v>3.9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Odontamblyopus rubicundus</x:v>
      </x:c>
      <x:c r="T68" s="62" t="n">
        <x:f>IF(O68="","",(1/'Metadata'!$B$5)^(O68-1))</x:f>
        <x:v>794.3282347242813</x:v>
      </x:c>
      <x:c r="U68" s="60" t="n">
        <x:f>IF(T68="","",I68*T68)</x:f>
        <x:v>15300384.165213766</x:v>
      </x:c>
    </x:row>
    <x:row r="69" ht="18" customHeight="1">
      <x:c r="A69" s="46" t="str">
        <x:v>LME_034</x:v>
      </x:c>
      <x:c r="B69" s="46" t="str">
        <x:v>Bay of Bengal</x:v>
      </x:c>
      <x:c r="C69" s="46" t="str">
        <x:v>LME</x:v>
      </x:c>
      <x:c r="D69" s="58" t="n">
        <x:v>2019</x:v>
      </x:c>
      <x:c r="E69" s="46" t="str">
        <x:v>Trichiurus</x:v>
      </x:c>
      <x:c r="F69" s="46" t="str">
        <x:v>Hairtails</x:v>
      </x:c>
      <x:c r="G69" s="46" t="str">
        <x:v>Large benthopelagics (&gt;=90 cm)</x:v>
      </x:c>
      <x:c r="H69" s="46" t="str">
        <x:v>Perch-likes</x:v>
      </x:c>
      <x:c r="I69" s="60" t="n">
        <x:v>19060.8405286189</x:v>
      </x:c>
      <x:c r="J69" s="60" t="n">
        <x:v>17503.1181412441</x:v>
      </x:c>
      <x:c r="K69" s="60" t="n">
        <x:v>1557.7223873747998</x:v>
      </x:c>
      <x:c r="L69" s="60" t="n">
        <x:v>14139.9372344295</x:v>
      </x:c>
      <x:c r="M69" s="60" t="n">
        <x:v>4920.9032941894</x:v>
      </x:c>
      <x:c r="N69" s="46" t="str">
        <x:v>trichiurus</x:v>
      </x:c>
      <x:c r="O69" s="62" t="n">
        <x:v>4.42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Trichiurus</x:v>
      </x:c>
      <x:c r="T69" s="62" t="n">
        <x:f>IF(O69="","",(1/'Metadata'!$B$5)^(O69-1))</x:f>
        <x:v>2630.2679918953813</x:v>
      </x:c>
      <x:c r="U69" s="60" t="n">
        <x:f>IF(T69="","",I69*T69)</x:f>
        <x:v>50135118.74104854</x:v>
      </x:c>
    </x:row>
    <x:row r="70" ht="18" customHeight="1">
      <x:c r="A70" s="46" t="str">
        <x:v>LME_034</x:v>
      </x:c>
      <x:c r="B70" s="46" t="str">
        <x:v>Bay of Bengal</x:v>
      </x:c>
      <x:c r="C70" s="46" t="str">
        <x:v>LME</x:v>
      </x:c>
      <x:c r="D70" s="58" t="n">
        <x:v>2019</x:v>
      </x:c>
      <x:c r="E70" s="46" t="str">
        <x:v>Batoidea</x:v>
      </x:c>
      <x:c r="F70" s="46" t="str">
        <x:v>Batoids, skates, rays, sawfishes</x:v>
      </x:c>
      <x:c r="G70" s="46" t="str">
        <x:v>Large rays (&gt;=90 cm)</x:v>
      </x:c>
      <x:c r="H70" s="46" t="str">
        <x:v>Sharks &amp; rays</x:v>
      </x:c>
      <x:c r="I70" s="60" t="n">
        <x:v>18135.5614195455</x:v>
      </x:c>
      <x:c r="J70" s="60" t="n">
        <x:v>17166.6017726736</x:v>
      </x:c>
      <x:c r="K70" s="60" t="n">
        <x:v>968.9596468719</x:v>
      </x:c>
      <x:c r="L70" s="60" t="n">
        <x:v>16936.753983030998</x:v>
      </x:c>
      <x:c r="M70" s="60" t="n">
        <x:v>1198.8074365145</x:v>
      </x:c>
      <x:c r="N70" s="46" t="str">
        <x:v>batoidea</x:v>
      </x:c>
      <x:c r="O70" s="62" t="n">
        <x:v>3.72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Batoidea</x:v>
      </x:c>
      <x:c r="T70" s="62" t="n">
        <x:f>IF(O70="","",(1/'Metadata'!$B$5)^(O70-1))</x:f>
        <x:v>524.8074602497728</x:v>
      </x:c>
      <x:c r="U70" s="60" t="n">
        <x:f>IF(T70="","",I70*T70)</x:f>
        <x:v>9517677.928795438</x:v>
      </x:c>
    </x:row>
    <x:row r="71" ht="18" customHeight="1">
      <x:c r="A71" s="46" t="str">
        <x:v>LME_034</x:v>
      </x:c>
      <x:c r="B71" s="46" t="str">
        <x:v>Bay of Bengal</x:v>
      </x:c>
      <x:c r="C71" s="46" t="str">
        <x:v>LME</x:v>
      </x:c>
      <x:c r="D71" s="58" t="n">
        <x:v>2019</x:v>
      </x:c>
      <x:c r="E71" s="46" t="str">
        <x:v>Lethrinidae</x:v>
      </x:c>
      <x:c r="F71" s="46" t="str">
        <x:v>Emperors, scavengers</x:v>
      </x:c>
      <x:c r="G71" s="46" t="str">
        <x:v>Medium reef assoc. fish (30 - 89 cm)</x:v>
      </x:c>
      <x:c r="H71" s="46" t="str">
        <x:v>Perch-likes</x:v>
      </x:c>
      <x:c r="I71" s="60" t="n">
        <x:v>18079.5847534609</x:v>
      </x:c>
      <x:c r="J71" s="60" t="n">
        <x:v>17252.3851282328</x:v>
      </x:c>
      <x:c r="K71" s="60" t="n">
        <x:v>827.1996252281</x:v>
      </x:c>
      <x:c r="L71" s="60" t="n">
        <x:v>13101.8829285151</x:v>
      </x:c>
      <x:c r="M71" s="60" t="n">
        <x:v>4977.7018249458</x:v>
      </x:c>
      <x:c r="N71" s="46" t="str">
        <x:v>lethrinidae</x:v>
      </x:c>
      <x:c r="O71" s="62" t="n">
        <x:v>3.59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Lethrinidae</x:v>
      </x:c>
      <x:c r="T71" s="62" t="n">
        <x:f>IF(O71="","",(1/'Metadata'!$B$5)^(O71-1))</x:f>
        <x:v>389.04514499428046</x:v>
      </x:c>
      <x:c r="U71" s="60" t="n">
        <x:f>IF(T71="","",I71*T71)</x:f>
        <x:v>7033774.671846578</x:v>
      </x:c>
    </x:row>
    <x:row r="72" ht="18" customHeight="1">
      <x:c r="A72" s="46" t="str">
        <x:v>LME_034</x:v>
      </x:c>
      <x:c r="B72" s="46" t="str">
        <x:v>Bay of Bengal</x:v>
      </x:c>
      <x:c r="C72" s="46" t="str">
        <x:v>LME</x:v>
      </x:c>
      <x:c r="D72" s="58" t="n">
        <x:v>2019</x:v>
      </x:c>
      <x:c r="E72" s="46" t="str">
        <x:v>Leiognathus</x:v>
      </x:c>
      <x:c r="F72" s="46" t="str">
        <x:v>Ponyfishes</x:v>
      </x:c>
      <x:c r="G72" s="46" t="str">
        <x:v>Small benthopelagics (&lt;30 cm)</x:v>
      </x:c>
      <x:c r="H72" s="46" t="str">
        <x:v>Perch-likes</x:v>
      </x:c>
      <x:c r="I72" s="60" t="n">
        <x:v>17449.6457702247</x:v>
      </x:c>
      <x:c r="J72" s="60" t="n">
        <x:v>15538.3723829536</x:v>
      </x:c>
      <x:c r="K72" s="60" t="n">
        <x:v>1911.2733872711</x:v>
      </x:c>
      <x:c r="L72" s="60" t="n">
        <x:v>14607.1950117745</x:v>
      </x:c>
      <x:c r="M72" s="60" t="n">
        <x:v>2842.4507584502</x:v>
      </x:c>
      <x:c r="N72" s="46" t="str">
        <x:v>leiognathus</x:v>
      </x:c>
      <x:c r="O72" s="62" t="n">
        <x:v>3.22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Leiognathus</x:v>
      </x:c>
      <x:c r="T72" s="62" t="n">
        <x:f>IF(O72="","",(1/'Metadata'!$B$5)^(O72-1))</x:f>
        <x:v>165.95869074375614</x:v>
      </x:c>
      <x:c r="U72" s="60" t="n">
        <x:f>IF(T72="","",I72*T72)</x:f>
        <x:v>2895920.365968813</x:v>
      </x:c>
    </x:row>
    <x:row r="73" ht="18" customHeight="1">
      <x:c r="A73" s="46" t="str">
        <x:v>LME_034</x:v>
      </x:c>
      <x:c r="B73" s="46" t="str">
        <x:v>Bay of Bengal</x:v>
      </x:c>
      <x:c r="C73" s="46" t="str">
        <x:v>LME</x:v>
      </x:c>
      <x:c r="D73" s="58" t="n">
        <x:v>2019</x:v>
      </x:c>
      <x:c r="E73" s="46" t="str">
        <x:v>Alepes</x:v>
      </x:c>
      <x:c r="F73" s="46" t="str">
        <x:v>Crevalles</x:v>
      </x:c>
      <x:c r="G73" s="46" t="str">
        <x:v>Medium reef assoc. fish (30 - 89 cm)</x:v>
      </x:c>
      <x:c r="H73" s="46" t="str">
        <x:v>Perch-likes</x:v>
      </x:c>
      <x:c r="I73" s="60" t="n">
        <x:v>17233.097438307002</x:v>
      </x:c>
      <x:c r="J73" s="60" t="n">
        <x:v>17223.8118473592</x:v>
      </x:c>
      <x:c r="K73" s="60" t="n">
        <x:v>9.2855909478</x:v>
      </x:c>
      <x:c r="L73" s="60" t="n">
        <x:v>10722.6185804343</x:v>
      </x:c>
      <x:c r="M73" s="60" t="n">
        <x:v>6510.4788578727</x:v>
      </x:c>
      <x:c r="N73" s="46" t="str">
        <x:v>alepes</x:v>
      </x:c>
      <x:c r="O73" s="62" t="n">
        <x:v>3.32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Alepes</x:v>
      </x:c>
      <x:c r="T73" s="62" t="n">
        <x:f>IF(O73="","",(1/'Metadata'!$B$5)^(O73-1))</x:f>
        <x:v>208.92961308540387</x:v>
      </x:c>
      <x:c r="U73" s="60" t="n">
        <x:f>IF(T73="","",I73*T73)</x:f>
        <x:v>3600504.3800485465</x:v>
      </x:c>
    </x:row>
    <x:row r="74" ht="18" customHeight="1">
      <x:c r="A74" s="46" t="str">
        <x:v>LME_034</x:v>
      </x:c>
      <x:c r="B74" s="46" t="str">
        <x:v>Bay of Bengal</x:v>
      </x:c>
      <x:c r="C74" s="46" t="str">
        <x:v>LME</x:v>
      </x:c>
      <x:c r="D74" s="58" t="n">
        <x:v>2019</x:v>
      </x:c>
      <x:c r="E74" s="46" t="str">
        <x:v>Pomadasys</x:v>
      </x:c>
      <x:c r="F74" s="46" t="str">
        <x:v>Grunters</x:v>
      </x:c>
      <x:c r="G74" s="46" t="str">
        <x:v>Medium demersals (30 - 89 cm)</x:v>
      </x:c>
      <x:c r="H74" s="46" t="str">
        <x:v>Perch-likes</x:v>
      </x:c>
      <x:c r="I74" s="60" t="n">
        <x:v>16850.5326200974</x:v>
      </x:c>
      <x:c r="J74" s="60" t="n">
        <x:v>16613.875624953</x:v>
      </x:c>
      <x:c r="K74" s="60" t="n">
        <x:v>236.6569951444</x:v>
      </x:c>
      <x:c r="L74" s="60" t="n">
        <x:v>15247.9465019549</x:v>
      </x:c>
      <x:c r="M74" s="60" t="n">
        <x:v>1602.5861181425</x:v>
      </x:c>
      <x:c r="N74" s="46" t="str">
        <x:v>pomadasys</x:v>
      </x:c>
      <x:c r="O74" s="62" t="n">
        <x:v>3.59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Pomadasys</x:v>
      </x:c>
      <x:c r="T74" s="62" t="n">
        <x:f>IF(O74="","",(1/'Metadata'!$B$5)^(O74-1))</x:f>
        <x:v>389.04514499428046</x:v>
      </x:c>
      <x:c r="U74" s="60" t="n">
        <x:f>IF(T74="","",I74*T74)</x:f>
        <x:v>6555617.906416646</x:v>
      </x:c>
    </x:row>
    <x:row r="75" ht="18" customHeight="1">
      <x:c r="A75" s="46" t="str">
        <x:v>LME_034</x:v>
      </x:c>
      <x:c r="B75" s="46" t="str">
        <x:v>Bay of Bengal</x:v>
      </x:c>
      <x:c r="C75" s="46" t="str">
        <x:v>LME</x:v>
      </x:c>
      <x:c r="D75" s="58" t="n">
        <x:v>2019</x:v>
      </x:c>
      <x:c r="E75" s="46" t="str">
        <x:v>Pterotolithus maculatus</x:v>
      </x:c>
      <x:c r="F75" s="46" t="str">
        <x:v>Blotched tiger-toothed croaker</x:v>
      </x:c>
      <x:c r="G75" s="46" t="str">
        <x:v>Small pelagics (&lt;30 cm)</x:v>
      </x:c>
      <x:c r="H75" s="46" t="str">
        <x:v>Perch-likes</x:v>
      </x:c>
      <x:c r="I75" s="60" t="n">
        <x:v>16786.7452720625</x:v>
      </x:c>
      <x:c r="J75" s="60" t="n">
        <x:v>16786.7452720625</x:v>
      </x:c>
      <x:c r="K75" s="60" t="n">
        <x:v>0</x:v>
      </x:c>
      <x:c r="L75" s="60" t="n">
        <x:v>2408.2875023647002</x:v>
      </x:c>
      <x:c r="M75" s="60" t="n">
        <x:v>14378.457769697801</x:v>
      </x:c>
      <x:c r="N75" s="46" t="str">
        <x:v>pterotolithus maculatus</x:v>
      </x:c>
      <x:c r="O75" s="62" t="n">
        <x:v>3.7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Pterotolithus maculatus</x:v>
      </x:c>
      <x:c r="T75" s="62" t="n">
        <x:f>IF(O75="","",(1/'Metadata'!$B$5)^(O75-1))</x:f>
        <x:v>501.18723362727246</x:v>
      </x:c>
      <x:c r="U75" s="60" t="n">
        <x:f>IF(T75="","",I75*T75)</x:f>
        <x:v>8413302.4245107</x:v>
      </x:c>
    </x:row>
    <x:row r="76" ht="18" customHeight="1">
      <x:c r="A76" s="46" t="str">
        <x:v>LME_034</x:v>
      </x:c>
      <x:c r="B76" s="46" t="str">
        <x:v>Bay of Bengal</x:v>
      </x:c>
      <x:c r="C76" s="46" t="str">
        <x:v>LME</x:v>
      </x:c>
      <x:c r="D76" s="58" t="n">
        <x:v>2019</x:v>
      </x:c>
      <x:c r="E76" s="46" t="str">
        <x:v>Cephea</x:v>
      </x:c>
      <x:c r="F76" s="46" t="str">
        <x:v>Cepheid jellyfishes</x:v>
      </x:c>
      <x:c r="G76" s="46" t="str">
        <x:v>Jellyfish</x:v>
      </x:c>
      <x:c r="H76" s="46" t="str">
        <x:v>Other fishes &amp; inverts</x:v>
      </x:c>
      <x:c r="I76" s="60" t="n">
        <x:v>16065.474963262</x:v>
      </x:c>
      <x:c r="J76" s="60" t="n">
        <x:v>16065.474963262</x:v>
      </x:c>
      <x:c r="K76" s="60" t="n">
        <x:v>0</x:v>
      </x:c>
      <x:c r="L76" s="60" t="n">
        <x:v>5687.3961643678</x:v>
      </x:c>
      <x:c r="M76" s="60" t="n">
        <x:v>10378.0787988942</x:v>
      </x:c>
      <x:c r="N76" s="46" t="str">
        <x:v>cephea</x:v>
      </x:c>
      <x:c r="O76" s="62" t="n">
        <x:v>3.46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Cephea</x:v>
      </x:c>
      <x:c r="T76" s="62" t="n">
        <x:f>IF(O76="","",(1/'Metadata'!$B$5)^(O76-1))</x:f>
        <x:v>288.40315031266056</x:v>
      </x:c>
      <x:c r="U76" s="60" t="n">
        <x:f>IF(T76="","",I76*T76)</x:f>
        <x:v>4633333.590673936</x:v>
      </x:c>
    </x:row>
    <x:row r="77" ht="18" customHeight="1">
      <x:c r="A77" s="46" t="str">
        <x:v>LME_034</x:v>
      </x:c>
      <x:c r="B77" s="46" t="str">
        <x:v>Bay of Bengal</x:v>
      </x:c>
      <x:c r="C77" s="46" t="str">
        <x:v>LME</x:v>
      </x:c>
      <x:c r="D77" s="58" t="n">
        <x:v>2019</x:v>
      </x:c>
      <x:c r="E77" s="46" t="str">
        <x:v>Tegillarca granosa</x:v>
      </x:c>
      <x:c r="F77" s="46" t="str">
        <x:v>Granular ark</x:v>
      </x:c>
      <x:c r="G77" s="46" t="str">
        <x:v>Other demersal invertebrates</x:v>
      </x:c>
      <x:c r="H77" s="46" t="str">
        <x:v>Molluscs</x:v>
      </x:c>
      <x:c r="I77" s="60" t="n">
        <x:v>15927.187657753</x:v>
      </x:c>
      <x:c r="J77" s="60" t="n">
        <x:v>14138.386848400298</x:v>
      </x:c>
      <x:c r="K77" s="60" t="n">
        <x:v>1788.8008093526998</x:v>
      </x:c>
      <x:c r="L77" s="60" t="n">
        <x:v>14107.8608283767</x:v>
      </x:c>
      <x:c r="M77" s="60" t="n">
        <x:v>1819.3268293762999</x:v>
      </x:c>
      <x:c r="N77" s="46" t="str">
        <x:v>tegillarca granosa</x:v>
      </x:c>
      <x:c r="O77" s="62" t="n">
        <x:v>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Tegillarca granosa</x:v>
      </x:c>
      <x:c r="T77" s="62" t="n">
        <x:f>IF(O77="","",(1/'Metadata'!$B$5)^(O77-1))</x:f>
        <x:v>10</x:v>
      </x:c>
      <x:c r="U77" s="60" t="n">
        <x:f>IF(T77="","",I77*T77)</x:f>
        <x:v>159271.87657753</x:v>
      </x:c>
    </x:row>
    <x:row r="78" ht="18" customHeight="1">
      <x:c r="A78" s="46" t="str">
        <x:v>LME_034</x:v>
      </x:c>
      <x:c r="B78" s="46" t="str">
        <x:v>Bay of Bengal</x:v>
      </x:c>
      <x:c r="C78" s="46" t="str">
        <x:v>LME</x:v>
      </x:c>
      <x:c r="D78" s="58" t="n">
        <x:v>2019</x:v>
      </x:c>
      <x:c r="E78" s="46" t="str">
        <x:v>Portunus pelagicus</x:v>
      </x:c>
      <x:c r="F78" s="46" t="str">
        <x:v>Blue swimming crab</x:v>
      </x:c>
      <x:c r="G78" s="46" t="str">
        <x:v>Lobsters, crabs</x:v>
      </x:c>
      <x:c r="H78" s="46" t="str">
        <x:v>Crustaceans</x:v>
      </x:c>
      <x:c r="I78" s="60" t="n">
        <x:v>15906.1204198132</x:v>
      </x:c>
      <x:c r="J78" s="60" t="n">
        <x:v>15906.1204198132</x:v>
      </x:c>
      <x:c r="K78" s="60" t="n">
        <x:v>0</x:v>
      </x:c>
      <x:c r="L78" s="60" t="n">
        <x:v>11958.9836417194</x:v>
      </x:c>
      <x:c r="M78" s="60" t="n">
        <x:v>3947.1367780938</x:v>
      </x:c>
      <x:c r="N78" s="46" t="str">
        <x:v>portunus pelagicus</x:v>
      </x:c>
      <x:c r="O78" s="62" t="n">
        <x:v>2.48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Portunus pelagicus</x:v>
      </x:c>
      <x:c r="T78" s="62" t="n">
        <x:f>IF(O78="","",(1/'Metadata'!$B$5)^(O78-1))</x:f>
        <x:v>30.19951720402016</x:v>
      </x:c>
      <x:c r="U78" s="60" t="n">
        <x:f>IF(T78="","",I78*T78)</x:f>
        <x:v>480357.15726736514</x:v>
      </x:c>
    </x:row>
    <x:row r="79" ht="18" customHeight="1">
      <x:c r="A79" s="46" t="str">
        <x:v>LME_034</x:v>
      </x:c>
      <x:c r="B79" s="46" t="str">
        <x:v>Bay of Bengal</x:v>
      </x:c>
      <x:c r="C79" s="46" t="str">
        <x:v>LME</x:v>
      </x:c>
      <x:c r="D79" s="58" t="n">
        <x:v>2019</x:v>
      </x:c>
      <x:c r="E79" s="46" t="str">
        <x:v>Pampus</x:v>
      </x:c>
      <x:c r="F79" s="46" t="str">
        <x:v>Silver pomfrets</x:v>
      </x:c>
      <x:c r="G79" s="46" t="str">
        <x:v>Medium benthopelagics (30 - 89 cm)</x:v>
      </x:c>
      <x:c r="H79" s="46" t="str">
        <x:v>Perch-likes</x:v>
      </x:c>
      <x:c r="I79" s="60" t="n">
        <x:v>15689.0901902102</x:v>
      </x:c>
      <x:c r="J79" s="60" t="n">
        <x:v>15689.0901902102</x:v>
      </x:c>
      <x:c r="K79" s="60" t="n">
        <x:v>0</x:v>
      </x:c>
      <x:c r="L79" s="60" t="n">
        <x:v>14716.5643790438</x:v>
      </x:c>
      <x:c r="M79" s="60" t="n">
        <x:v>972.5258111664</x:v>
      </x:c>
      <x:c r="N79" s="46" t="str">
        <x:v>pampus</x:v>
      </x:c>
      <x:c r="O79" s="62" t="n">
        <x:v>3.41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Pampus</x:v>
      </x:c>
      <x:c r="T79" s="62" t="n">
        <x:f>IF(O79="","",(1/'Metadata'!$B$5)^(O79-1))</x:f>
        <x:v>257.03957827688646</x:v>
      </x:c>
      <x:c r="U79" s="60" t="n">
        <x:f>IF(T79="","",I79*T79)</x:f>
        <x:v>4032717.126039666</x:v>
      </x:c>
    </x:row>
    <x:row r="80" ht="18" customHeight="1">
      <x:c r="A80" s="46" t="str">
        <x:v>LME_034</x:v>
      </x:c>
      <x:c r="B80" s="46" t="str">
        <x:v>Bay of Bengal</x:v>
      </x:c>
      <x:c r="C80" s="46" t="str">
        <x:v>LME</x:v>
      </x:c>
      <x:c r="D80" s="58" t="n">
        <x:v>2019</x:v>
      </x:c>
      <x:c r="E80" s="46" t="str">
        <x:v>Platycephalidae</x:v>
      </x:c>
      <x:c r="F80" s="46" t="str">
        <x:v>Flatheads</x:v>
      </x:c>
      <x:c r="G80" s="46" t="str">
        <x:v>Medium demersals (30 - 89 cm)</x:v>
      </x:c>
      <x:c r="H80" s="46" t="str">
        <x:v>Scorpionfishes</x:v>
      </x:c>
      <x:c r="I80" s="60" t="n">
        <x:v>15562.8037612551</x:v>
      </x:c>
      <x:c r="J80" s="60" t="n">
        <x:v>14891.073348629101</x:v>
      </x:c>
      <x:c r="K80" s="60" t="n">
        <x:v>671.730412626</x:v>
      </x:c>
      <x:c r="L80" s="60" t="n">
        <x:v>12842.755496365</x:v>
      </x:c>
      <x:c r="M80" s="60" t="n">
        <x:v>2720.0482648901</x:v>
      </x:c>
      <x:c r="N80" s="46" t="str">
        <x:v>platycephalidae</x:v>
      </x:c>
      <x:c r="O80" s="62" t="n">
        <x:v>3.9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Platycephalidae</x:v>
      </x:c>
      <x:c r="T80" s="62" t="n">
        <x:f>IF(O80="","",(1/'Metadata'!$B$5)^(O80-1))</x:f>
        <x:v>794.3282347242813</x:v>
      </x:c>
      <x:c r="U80" s="60" t="n">
        <x:f>IF(T80="","",I80*T80)</x:f>
        <x:v>12361974.439038169</x:v>
      </x:c>
    </x:row>
    <x:row r="81" ht="18" customHeight="1">
      <x:c r="A81" s="46" t="str">
        <x:v>LME_034</x:v>
      </x:c>
      <x:c r="B81" s="46" t="str">
        <x:v>Bay of Bengal</x:v>
      </x:c>
      <x:c r="C81" s="46" t="str">
        <x:v>LME</x:v>
      </x:c>
      <x:c r="D81" s="58" t="n">
        <x:v>2019</x:v>
      </x:c>
      <x:c r="E81" s="46" t="str">
        <x:v>Auxis thazard</x:v>
      </x:c>
      <x:c r="F81" s="46" t="str">
        <x:v>Frigate tuna</x:v>
      </x:c>
      <x:c r="G81" s="46" t="str">
        <x:v>Medium pelagics (30 - 89 cm)</x:v>
      </x:c>
      <x:c r="H81" s="46" t="str">
        <x:v>Tuna &amp; billfishes</x:v>
      </x:c>
      <x:c r="I81" s="60" t="n">
        <x:v>15387.0046506252</x:v>
      </x:c>
      <x:c r="J81" s="60" t="n">
        <x:v>15387.0046506252</x:v>
      </x:c>
      <x:c r="K81" s="60" t="n">
        <x:v>0</x:v>
      </x:c>
      <x:c r="L81" s="60" t="n">
        <x:v>11498.887071454099</x:v>
      </x:c>
      <x:c r="M81" s="60" t="n">
        <x:v>3888.1175791711003</x:v>
      </x:c>
      <x:c r="N81" s="46" t="str">
        <x:v>auxis thazard</x:v>
      </x:c>
      <x:c r="O81" s="62" t="n">
        <x:v>4.37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Auxis thazard</x:v>
      </x:c>
      <x:c r="T81" s="62" t="n">
        <x:f>IF(O81="","",(1/'Metadata'!$B$5)^(O81-1))</x:f>
        <x:v>2344.228815319923</x:v>
      </x:c>
      <x:c r="U81" s="60" t="n">
        <x:f>IF(T81="","",I81*T81)</x:f>
        <x:v>36070659.683457255</x:v>
      </x:c>
    </x:row>
    <x:row r="82" ht="18" customHeight="1">
      <x:c r="A82" s="46" t="str">
        <x:v>LME_034</x:v>
      </x:c>
      <x:c r="B82" s="46" t="str">
        <x:v>Bay of Bengal</x:v>
      </x:c>
      <x:c r="C82" s="46" t="str">
        <x:v>LME</x:v>
      </x:c>
      <x:c r="D82" s="58" t="n">
        <x:v>2019</x:v>
      </x:c>
      <x:c r="E82" s="46" t="str">
        <x:v>Trichiurus lepturus</x:v>
      </x:c>
      <x:c r="F82" s="46" t="str">
        <x:v>Largehead hairtail</x:v>
      </x:c>
      <x:c r="G82" s="46" t="str">
        <x:v>Large benthopelagics (&gt;=90 cm)</x:v>
      </x:c>
      <x:c r="H82" s="46" t="str">
        <x:v>Perch-likes</x:v>
      </x:c>
      <x:c r="I82" s="60" t="n">
        <x:v>15265.8420457041</x:v>
      </x:c>
      <x:c r="J82" s="60" t="n">
        <x:v>14850.509596870299</x:v>
      </x:c>
      <x:c r="K82" s="60" t="n">
        <x:v>415.33244883379996</x:v>
      </x:c>
      <x:c r="L82" s="60" t="n">
        <x:v>13950.6253672599</x:v>
      </x:c>
      <x:c r="M82" s="60" t="n">
        <x:v>1315.2166784442</x:v>
      </x:c>
      <x:c r="N82" s="46" t="str">
        <x:v>trichiurus lepturus</x:v>
      </x:c>
      <x:c r="O82" s="62" t="n">
        <x:v>4.42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Trichiurus lepturus</x:v>
      </x:c>
      <x:c r="T82" s="62" t="n">
        <x:f>IF(O82="","",(1/'Metadata'!$B$5)^(O82-1))</x:f>
        <x:v>2630.2679918953813</x:v>
      </x:c>
      <x:c r="U82" s="60" t="n">
        <x:f>IF(T82="","",I82*T82)</x:f>
        <x:v>40153255.7021462</x:v>
      </x:c>
    </x:row>
    <x:row r="83" ht="18" customHeight="1">
      <x:c r="A83" s="46" t="str">
        <x:v>LME_034</x:v>
      </x:c>
      <x:c r="B83" s="46" t="str">
        <x:v>Bay of Bengal</x:v>
      </x:c>
      <x:c r="C83" s="46" t="str">
        <x:v>LME</x:v>
      </x:c>
      <x:c r="D83" s="58" t="n">
        <x:v>2019</x:v>
      </x:c>
      <x:c r="E83" s="46" t="str">
        <x:v>Sardinella lemuru</x:v>
      </x:c>
      <x:c r="F83" s="46" t="str">
        <x:v>Bali sardinella</x:v>
      </x:c>
      <x:c r="G83" s="46" t="str">
        <x:v>Small pelagics (&lt;30 cm)</x:v>
      </x:c>
      <x:c r="H83" s="46" t="str">
        <x:v>Herring-likes</x:v>
      </x:c>
      <x:c r="I83" s="60" t="n">
        <x:v>13522.8486218374</x:v>
      </x:c>
      <x:c r="J83" s="60" t="n">
        <x:v>13522.8486218374</x:v>
      </x:c>
      <x:c r="K83" s="60" t="n">
        <x:v>0</x:v>
      </x:c>
      <x:c r="L83" s="60" t="n">
        <x:v>13129.5135498048</x:v>
      </x:c>
      <x:c r="M83" s="60" t="n">
        <x:v>393.3350720326</x:v>
      </x:c>
      <x:c r="N83" s="46" t="str">
        <x:v>sardinella lemuru</x:v>
      </x:c>
      <x:c r="O83" s="62" t="n">
        <x:v>2.48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Sardinella lemuru</x:v>
      </x:c>
      <x:c r="T83" s="62" t="n">
        <x:f>IF(O83="","",(1/'Metadata'!$B$5)^(O83-1))</x:f>
        <x:v>30.19951720402016</x:v>
      </x:c>
      <x:c r="U83" s="60" t="n">
        <x:f>IF(T83="","",I83*T83)</x:f>
        <x:v>408383.4996025389</x:v>
      </x:c>
    </x:row>
    <x:row r="84" ht="18" customHeight="1">
      <x:c r="A84" s="46" t="str">
        <x:v>LME_034</x:v>
      </x:c>
      <x:c r="B84" s="46" t="str">
        <x:v>Bay of Bengal</x:v>
      </x:c>
      <x:c r="C84" s="46" t="str">
        <x:v>LME</x:v>
      </x:c>
      <x:c r="D84" s="58" t="n">
        <x:v>2019</x:v>
      </x:c>
      <x:c r="E84" s="46" t="str">
        <x:v>Sphyraenidae</x:v>
      </x:c>
      <x:c r="F84" s="46" t="str">
        <x:v>Barracudas</x:v>
      </x:c>
      <x:c r="G84" s="46" t="str">
        <x:v>Medium reef assoc. fish (30 - 89 cm)</x:v>
      </x:c>
      <x:c r="H84" s="46" t="str">
        <x:v>Perch-likes</x:v>
      </x:c>
      <x:c r="I84" s="60" t="n">
        <x:v>12538.9271528266</x:v>
      </x:c>
      <x:c r="J84" s="60" t="n">
        <x:v>12018.9341032169</x:v>
      </x:c>
      <x:c r="K84" s="60" t="n">
        <x:v>519.9930496096999</x:v>
      </x:c>
      <x:c r="L84" s="60" t="n">
        <x:v>8832.4243004707</x:v>
      </x:c>
      <x:c r="M84" s="60" t="n">
        <x:v>3706.5028523559</x:v>
      </x:c>
      <x:c r="N84" s="46" t="str">
        <x:v>sphyraenidae</x:v>
      </x:c>
      <x:c r="O84" s="62" t="n">
        <x:v>4.4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Sphyraenidae</x:v>
      </x:c>
      <x:c r="T84" s="62" t="n">
        <x:f>IF(O84="","",(1/'Metadata'!$B$5)^(O84-1))</x:f>
        <x:v>2511.886431509582</x:v>
      </x:c>
      <x:c r="U84" s="60" t="n">
        <x:f>IF(T84="","",I84*T84)</x:f>
        <x:v>31496360.98087221</x:v>
      </x:c>
    </x:row>
    <x:row r="85" ht="18" customHeight="1">
      <x:c r="A85" s="46" t="str">
        <x:v>LME_034</x:v>
      </x:c>
      <x:c r="B85" s="46" t="str">
        <x:v>Bay of Bengal</x:v>
      </x:c>
      <x:c r="C85" s="46" t="str">
        <x:v>LME</x:v>
      </x:c>
      <x:c r="D85" s="58" t="n">
        <x:v>2019</x:v>
      </x:c>
      <x:c r="E85" s="46" t="str">
        <x:v>Upeneus</x:v>
      </x:c>
      <x:c r="F85" s="46" t="str">
        <x:v>Upeneid goatfishes</x:v>
      </x:c>
      <x:c r="G85" s="46" t="str">
        <x:v>Small reef assoc. fish (&lt;30 cm)</x:v>
      </x:c>
      <x:c r="H85" s="46" t="str">
        <x:v>Perch-likes</x:v>
      </x:c>
      <x:c r="I85" s="60" t="n">
        <x:v>12527.2245139229</x:v>
      </x:c>
      <x:c r="J85" s="60" t="n">
        <x:v>12244.6709832956</x:v>
      </x:c>
      <x:c r="K85" s="60" t="n">
        <x:v>282.5535306273</x:v>
      </x:c>
      <x:c r="L85" s="60" t="n">
        <x:v>7786.7155140362</x:v>
      </x:c>
      <x:c r="M85" s="60" t="n">
        <x:v>4740.5089998867</x:v>
      </x:c>
      <x:c r="N85" s="46" t="str">
        <x:v>upeneus</x:v>
      </x:c>
      <x:c r="O85" s="62" t="n">
        <x:v>3.54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Upeneus</x:v>
      </x:c>
      <x:c r="T85" s="62" t="n">
        <x:f>IF(O85="","",(1/'Metadata'!$B$5)^(O85-1))</x:f>
        <x:v>346.73685045253166</x:v>
      </x:c>
      <x:c r="U85" s="60" t="n">
        <x:f>IF(T85="","",I85*T85)</x:f>
        <x:v>4343650.372869373</x:v>
      </x:c>
    </x:row>
    <x:row r="86" ht="18" customHeight="1">
      <x:c r="A86" s="46" t="str">
        <x:v>LME_034</x:v>
      </x:c>
      <x:c r="B86" s="46" t="str">
        <x:v>Bay of Bengal</x:v>
      </x:c>
      <x:c r="C86" s="46" t="str">
        <x:v>LME</x:v>
      </x:c>
      <x:c r="D86" s="58" t="n">
        <x:v>2019</x:v>
      </x:c>
      <x:c r="E86" s="46" t="str">
        <x:v>Setipinna taty</x:v>
      </x:c>
      <x:c r="F86" s="46" t="str">
        <x:v>Scaly hairfin anchovy</x:v>
      </x:c>
      <x:c r="G86" s="46" t="str">
        <x:v>Small pelagics (&lt;30 cm)</x:v>
      </x:c>
      <x:c r="H86" s="46" t="str">
        <x:v>Anchovies</x:v>
      </x:c>
      <x:c r="I86" s="60" t="n">
        <x:v>11524.5443293928</x:v>
      </x:c>
      <x:c r="J86" s="60" t="n">
        <x:v>11524.5443293928</x:v>
      </x:c>
      <x:c r="K86" s="60" t="n">
        <x:v>0</x:v>
      </x:c>
      <x:c r="L86" s="60" t="n">
        <x:v>1154.7931843492</x:v>
      </x:c>
      <x:c r="M86" s="60" t="n">
        <x:v>10369.751145043601</x:v>
      </x:c>
      <x:c r="N86" s="46" t="str">
        <x:v>setipinna taty</x:v>
      </x:c>
      <x:c r="O86" s="62" t="n">
        <x:v>3.2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Setipinna taty</x:v>
      </x:c>
      <x:c r="T86" s="62" t="n">
        <x:f>IF(O86="","",(1/'Metadata'!$B$5)^(O86-1))</x:f>
        <x:v>158.48931924611142</x:v>
      </x:c>
      <x:c r="U86" s="60" t="n">
        <x:f>IF(T86="","",I86*T86)</x:f>
        <x:v>1826517.1853870985</x:v>
      </x:c>
    </x:row>
    <x:row r="87" ht="18" customHeight="1">
      <x:c r="A87" s="46" t="str">
        <x:v>LME_034</x:v>
      </x:c>
      <x:c r="B87" s="46" t="str">
        <x:v>Bay of Bengal</x:v>
      </x:c>
      <x:c r="C87" s="46" t="str">
        <x:v>LME</x:v>
      </x:c>
      <x:c r="D87" s="58" t="n">
        <x:v>2019</x:v>
      </x:c>
      <x:c r="E87" s="46" t="str">
        <x:v>Setipinna phasa</x:v>
      </x:c>
      <x:c r="F87" s="46" t="str">
        <x:v>Gangetic hairfin anchovy</x:v>
      </x:c>
      <x:c r="G87" s="46" t="str">
        <x:v>Medium pelagics (30 - 89 cm)</x:v>
      </x:c>
      <x:c r="H87" s="46" t="str">
        <x:v>Anchovies</x:v>
      </x:c>
      <x:c r="I87" s="60" t="n">
        <x:v>10208.3687328832</x:v>
      </x:c>
      <x:c r="J87" s="60" t="n">
        <x:v>10208.3687328832</x:v>
      </x:c>
      <x:c r="K87" s="60" t="n">
        <x:v>0</x:v>
      </x:c>
      <x:c r="L87" s="60" t="n">
        <x:v>0</x:v>
      </x:c>
      <x:c r="M87" s="60" t="n">
        <x:v>10208.3687328832</x:v>
      </x:c>
      <x:c r="N87" s="46" t="str">
        <x:v>setipinna phasa</x:v>
      </x:c>
      <x:c r="O87" s="62" t="n">
        <x:v>3.25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Setipinna phasa</x:v>
      </x:c>
      <x:c r="T87" s="62" t="n">
        <x:f>IF(O87="","",(1/'Metadata'!$B$5)^(O87-1))</x:f>
        <x:v>177.82794100389228</x:v>
      </x:c>
      <x:c r="U87" s="60" t="n">
        <x:f>IF(T87="","",I87*T87)</x:f>
        <x:v>1815333.1927771324</x:v>
      </x:c>
    </x:row>
    <x:row r="88" ht="18" customHeight="1">
      <x:c r="A88" s="46" t="str">
        <x:v>LME_034</x:v>
      </x:c>
      <x:c r="B88" s="46" t="str">
        <x:v>Bay of Bengal</x:v>
      </x:c>
      <x:c r="C88" s="46" t="str">
        <x:v>LME</x:v>
      </x:c>
      <x:c r="D88" s="58" t="n">
        <x:v>2019</x:v>
      </x:c>
      <x:c r="E88" s="46" t="str">
        <x:v>Netuma thalassina</x:v>
      </x:c>
      <x:c r="F88" s="46" t="str">
        <x:v>Giant catfish</x:v>
      </x:c>
      <x:c r="G88" s="46" t="str">
        <x:v>Large demersals (&gt;=90 cm)</x:v>
      </x:c>
      <x:c r="H88" s="46" t="str">
        <x:v>Other fishes &amp; inverts</x:v>
      </x:c>
      <x:c r="I88" s="60" t="n">
        <x:v>10048.1868346956</x:v>
      </x:c>
      <x:c r="J88" s="60" t="n">
        <x:v>9133.6995095899</x:v>
      </x:c>
      <x:c r="K88" s="60" t="n">
        <x:v>914.4873251056999</x:v>
      </x:c>
      <x:c r="L88" s="60" t="n">
        <x:v>8866.7696956672</x:v>
      </x:c>
      <x:c r="M88" s="60" t="n">
        <x:v>1181.4171390284</x:v>
      </x:c>
      <x:c r="N88" s="46" t="str">
        <x:v>netuma thalassina</x:v>
      </x:c>
      <x:c r="O88" s="62" t="n">
        <x:v>3.54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Netuma thalassina</x:v>
      </x:c>
      <x:c r="T88" s="62" t="n">
        <x:f>IF(O88="","",(1/'Metadata'!$B$5)^(O88-1))</x:f>
        <x:v>346.73685045253166</x:v>
      </x:c>
      <x:c r="U88" s="60" t="n">
        <x:f>IF(T88="","",I88*T88)</x:f>
        <x:v>3484076.6558209457</x:v>
      </x:c>
    </x:row>
    <x:row r="89" ht="18" customHeight="1">
      <x:c r="A89" s="46" t="str">
        <x:v>LME_034</x:v>
      </x:c>
      <x:c r="B89" s="46" t="str">
        <x:v>Bay of Bengal</x:v>
      </x:c>
      <x:c r="C89" s="46" t="str">
        <x:v>LME</x:v>
      </x:c>
      <x:c r="D89" s="58" t="n">
        <x:v>2019</x:v>
      </x:c>
      <x:c r="E89" s="46" t="str">
        <x:v>Lutjanus</x:v>
      </x:c>
      <x:c r="F89" s="46" t="str">
        <x:v>Snappers</x:v>
      </x:c>
      <x:c r="G89" s="46" t="str">
        <x:v>Medium reef assoc. fish (30 - 89 cm)</x:v>
      </x:c>
      <x:c r="H89" s="46" t="str">
        <x:v>Perch-likes</x:v>
      </x:c>
      <x:c r="I89" s="60" t="n">
        <x:v>10034.137246121501</x:v>
      </x:c>
      <x:c r="J89" s="60" t="n">
        <x:v>10034.137246121501</x:v>
      </x:c>
      <x:c r="K89" s="60" t="n">
        <x:v>0</x:v>
      </x:c>
      <x:c r="L89" s="60" t="n">
        <x:v>9085.2998713763</x:v>
      </x:c>
      <x:c r="M89" s="60" t="n">
        <x:v>948.8373747452</x:v>
      </x:c>
      <x:c r="N89" s="46" t="str">
        <x:v>lutjanus</x:v>
      </x:c>
      <x:c r="O89" s="62" t="n">
        <x:v>4.02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Lutjanus</x:v>
      </x:c>
      <x:c r="T89" s="62" t="n">
        <x:f>IF(O89="","",(1/'Metadata'!$B$5)^(O89-1))</x:f>
        <x:v>1047.1285480508984</x:v>
      </x:c>
      <x:c r="U89" s="60" t="n">
        <x:f>IF(T89="","",I89*T89)</x:f>
        <x:v>10507031.565474648</x:v>
      </x:c>
    </x:row>
    <x:row r="90" ht="18" customHeight="1">
      <x:c r="A90" s="46" t="str">
        <x:v>LME_034</x:v>
      </x:c>
      <x:c r="B90" s="46" t="str">
        <x:v>Bay of Bengal</x:v>
      </x:c>
      <x:c r="C90" s="46" t="str">
        <x:v>LME</x:v>
      </x:c>
      <x:c r="D90" s="58" t="n">
        <x:v>2019</x:v>
      </x:c>
      <x:c r="E90" s="46" t="str">
        <x:v>Lactarius lactarius</x:v>
      </x:c>
      <x:c r="F90" s="46" t="str">
        <x:v>False trevally</x:v>
      </x:c>
      <x:c r="G90" s="46" t="str">
        <x:v>Medium pelagics (30 - 89 cm)</x:v>
      </x:c>
      <x:c r="H90" s="46" t="str">
        <x:v>Perch-likes</x:v>
      </x:c>
      <x:c r="I90" s="60" t="n">
        <x:v>9675.134689003</x:v>
      </x:c>
      <x:c r="J90" s="60" t="n">
        <x:v>9508.2292854253</x:v>
      </x:c>
      <x:c r="K90" s="60" t="n">
        <x:v>166.90540357769999</x:v>
      </x:c>
      <x:c r="L90" s="60" t="n">
        <x:v>7770.3179089312</x:v>
      </x:c>
      <x:c r="M90" s="60" t="n">
        <x:v>1904.8167800718</x:v>
      </x:c>
      <x:c r="N90" s="46" t="str">
        <x:v>lactarius lactarius</x:v>
      </x:c>
      <x:c r="O90" s="62" t="n">
        <x:v>3.97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Lactarius lactarius</x:v>
      </x:c>
      <x:c r="T90" s="62" t="n">
        <x:f>IF(O90="","",(1/'Metadata'!$B$5)^(O90-1))</x:f>
        <x:v>933.2543007969915</x:v>
      </x:c>
      <x:c r="U90" s="60" t="n">
        <x:f>IF(T90="","",I90*T90)</x:f>
        <x:v>9029361.059302213</x:v>
      </x:c>
    </x:row>
    <x:row r="91" ht="18" customHeight="1">
      <x:c r="A91" s="46" t="str">
        <x:v>LME_034</x:v>
      </x:c>
      <x:c r="B91" s="46" t="str">
        <x:v>Bay of Bengal</x:v>
      </x:c>
      <x:c r="C91" s="46" t="str">
        <x:v>LME</x:v>
      </x:c>
      <x:c r="D91" s="58" t="n">
        <x:v>2019</x:v>
      </x:c>
      <x:c r="E91" s="46" t="str">
        <x:v>Auxis</x:v>
      </x:c>
      <x:c r="F91" s="46" t="str">
        <x:v>Bullet and frigate tunas</x:v>
      </x:c>
      <x:c r="G91" s="46" t="str">
        <x:v>Medium pelagics (30 - 89 cm)</x:v>
      </x:c>
      <x:c r="H91" s="46" t="str">
        <x:v>Tuna &amp; billfishes</x:v>
      </x:c>
      <x:c r="I91" s="60" t="n">
        <x:v>9671.1224667647</x:v>
      </x:c>
      <x:c r="J91" s="60" t="n">
        <x:v>9599.4937426858</x:v>
      </x:c>
      <x:c r="K91" s="60" t="n">
        <x:v>71.6287240789</x:v>
      </x:c>
      <x:c r="L91" s="60" t="n">
        <x:v>8681.2891321684</x:v>
      </x:c>
      <x:c r="M91" s="60" t="n">
        <x:v>989.8333345963</x:v>
      </x:c>
      <x:c r="N91" s="46" t="str">
        <x:v>auxis</x:v>
      </x:c>
      <x:c r="O91" s="62" t="n">
        <x:v>4.24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Auxis</x:v>
      </x:c>
      <x:c r="T91" s="62" t="n">
        <x:f>IF(O91="","",(1/'Metadata'!$B$5)^(O91-1))</x:f>
        <x:v>1737.8008287493763</x:v>
      </x:c>
      <x:c r="U91" s="60" t="n">
        <x:f>IF(T91="","",I91*T91)</x:f>
        <x:v>16806484.637680408</x:v>
      </x:c>
    </x:row>
    <x:row r="92" ht="18" customHeight="1">
      <x:c r="A92" s="46" t="str">
        <x:v>LME_034</x:v>
      </x:c>
      <x:c r="B92" s="46" t="str">
        <x:v>Bay of Bengal</x:v>
      </x:c>
      <x:c r="C92" s="46" t="str">
        <x:v>LME</x:v>
      </x:c>
      <x:c r="D92" s="58" t="n">
        <x:v>2019</x:v>
      </x:c>
      <x:c r="E92" s="46" t="str">
        <x:v>Leptomelanosoma indicum</x:v>
      </x:c>
      <x:c r="F92" s="46" t="str">
        <x:v>Indian threadfin</x:v>
      </x:c>
      <x:c r="G92" s="46" t="str">
        <x:v>Large demersals (&gt;=90 cm)</x:v>
      </x:c>
      <x:c r="H92" s="46" t="str">
        <x:v>Perch-likes</x:v>
      </x:c>
      <x:c r="I92" s="60" t="n">
        <x:v>9030.0288063549</x:v>
      </x:c>
      <x:c r="J92" s="60" t="n">
        <x:v>9030.0288063549</x:v>
      </x:c>
      <x:c r="K92" s="60" t="n">
        <x:v>0</x:v>
      </x:c>
      <x:c r="L92" s="60" t="n">
        <x:v>7725.378978782899</x:v>
      </x:c>
      <x:c r="M92" s="60" t="n">
        <x:v>1304.649827572</x:v>
      </x:c>
      <x:c r="N92" s="46" t="str">
        <x:v>leptomelanosoma indicum</x:v>
      </x:c>
      <x:c r="O92" s="62" t="n">
        <x:v>3.86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Leptomelanosoma indicum</x:v>
      </x:c>
      <x:c r="T92" s="62" t="n">
        <x:f>IF(O92="","",(1/'Metadata'!$B$5)^(O92-1))</x:f>
        <x:v>724.4359600749899</x:v>
      </x:c>
      <x:c r="U92" s="60" t="n">
        <x:f>IF(T92="","",I92*T92)</x:f>
        <x:v>6541677.587836527</x:v>
      </x:c>
    </x:row>
    <x:row r="93" ht="18" customHeight="1">
      <x:c r="A93" s="46" t="str">
        <x:v>LME_034</x:v>
      </x:c>
      <x:c r="B93" s="46" t="str">
        <x:v>Bay of Bengal</x:v>
      </x:c>
      <x:c r="C93" s="46" t="str">
        <x:v>LME</x:v>
      </x:c>
      <x:c r="D93" s="58" t="n">
        <x:v>2019</x:v>
      </x:c>
      <x:c r="E93" s="46" t="str">
        <x:v>Soleidae</x:v>
      </x:c>
      <x:c r="F93" s="46" t="str">
        <x:v>Soles</x:v>
      </x:c>
      <x:c r="G93" s="46" t="str">
        <x:v>Small to medium flatfishes (&lt;90 cm)</x:v>
      </x:c>
      <x:c r="H93" s="46" t="str">
        <x:v>Flatfishes</x:v>
      </x:c>
      <x:c r="I93" s="60" t="n">
        <x:v>8930.7569873751</x:v>
      </x:c>
      <x:c r="J93" s="60" t="n">
        <x:v>8119.815471905</x:v>
      </x:c>
      <x:c r="K93" s="60" t="n">
        <x:v>810.9415154701001</x:v>
      </x:c>
      <x:c r="L93" s="60" t="n">
        <x:v>8119.815471905</x:v>
      </x:c>
      <x:c r="M93" s="60" t="n">
        <x:v>810.9415154701001</x:v>
      </x:c>
      <x:c r="N93" s="46" t="str">
        <x:v>soleidae</x:v>
      </x:c>
      <x:c r="O93" s="62" t="n">
        <x:v>3.15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Soleidae</x:v>
      </x:c>
      <x:c r="T93" s="62" t="n">
        <x:f>IF(O93="","",(1/'Metadata'!$B$5)^(O93-1))</x:f>
        <x:v>141.2537544622754</x:v>
      </x:c>
      <x:c r="U93" s="60" t="n">
        <x:f>IF(T93="","",I93*T93)</x:f>
        <x:v>1261502.9546569327</x:v>
      </x:c>
    </x:row>
    <x:row r="94" ht="18" customHeight="1">
      <x:c r="A94" s="46" t="str">
        <x:v>LME_034</x:v>
      </x:c>
      <x:c r="B94" s="46" t="str">
        <x:v>Bay of Bengal</x:v>
      </x:c>
      <x:c r="C94" s="46" t="str">
        <x:v>LME</x:v>
      </x:c>
      <x:c r="D94" s="58" t="n">
        <x:v>2019</x:v>
      </x:c>
      <x:c r="E94" s="46" t="str">
        <x:v>Sillaginidae</x:v>
      </x:c>
      <x:c r="F94" s="46" t="str">
        <x:v>Smelt-whitings</x:v>
      </x:c>
      <x:c r="G94" s="46" t="str">
        <x:v>Medium demersals (30 - 89 cm)</x:v>
      </x:c>
      <x:c r="H94" s="46" t="str">
        <x:v>Perch-likes</x:v>
      </x:c>
      <x:c r="I94" s="60" t="n">
        <x:v>8919.6169046847</x:v>
      </x:c>
      <x:c r="J94" s="60" t="n">
        <x:v>8919.6169046847</x:v>
      </x:c>
      <x:c r="K94" s="60" t="n">
        <x:v>0</x:v>
      </x:c>
      <x:c r="L94" s="60" t="n">
        <x:v>0</x:v>
      </x:c>
      <x:c r="M94" s="60" t="n">
        <x:v>8919.6169046847</x:v>
      </x:c>
      <x:c r="N94" s="46" t="str">
        <x:v>sillaginidae</x:v>
      </x:c>
      <x:c r="O94" s="62" t="n">
        <x:v>3.25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Sillaginidae</x:v>
      </x:c>
      <x:c r="T94" s="62" t="n">
        <x:f>IF(O94="","",(1/'Metadata'!$B$5)^(O94-1))</x:f>
        <x:v>177.82794100389228</x:v>
      </x:c>
      <x:c r="U94" s="60" t="n">
        <x:f>IF(T94="","",I94*T94)</x:f>
        <x:v>1586157.1087035912</x:v>
      </x:c>
    </x:row>
    <x:row r="95" ht="18" customHeight="1">
      <x:c r="A95" s="46" t="str">
        <x:v>LME_034</x:v>
      </x:c>
      <x:c r="B95" s="46" t="str">
        <x:v>Bay of Bengal</x:v>
      </x:c>
      <x:c r="C95" s="46" t="str">
        <x:v>LME</x:v>
      </x:c>
      <x:c r="D95" s="58" t="n">
        <x:v>2019</x:v>
      </x:c>
      <x:c r="E95" s="46" t="str">
        <x:v>Lates calcarifer</x:v>
      </x:c>
      <x:c r="F95" s="46" t="str">
        <x:v>Barramundi</x:v>
      </x:c>
      <x:c r="G95" s="46" t="str">
        <x:v>Large demersals (&gt;=90 cm)</x:v>
      </x:c>
      <x:c r="H95" s="46" t="str">
        <x:v>Perch-likes</x:v>
      </x:c>
      <x:c r="I95" s="60" t="n">
        <x:v>8765.8048646382</x:v>
      </x:c>
      <x:c r="J95" s="60" t="n">
        <x:v>8765.8048646382</x:v>
      </x:c>
      <x:c r="K95" s="60" t="n">
        <x:v>0</x:v>
      </x:c>
      <x:c r="L95" s="60" t="n">
        <x:v>5061.4121354153995</x:v>
      </x:c>
      <x:c r="M95" s="60" t="n">
        <x:v>3704.3927292228004</x:v>
      </x:c>
      <x:c r="N95" s="46" t="str">
        <x:v>lates calcarifer</x:v>
      </x:c>
      <x:c r="O95" s="62" t="n">
        <x:v>4.35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Lates calcarifer</x:v>
      </x:c>
      <x:c r="T95" s="62" t="n">
        <x:f>IF(O95="","",(1/'Metadata'!$B$5)^(O95-1))</x:f>
        <x:v>2238.7211385683377</x:v>
      </x:c>
      <x:c r="U95" s="60" t="n">
        <x:f>IF(T95="","",I95*T95)</x:f>
        <x:v>19624192.647030704</x:v>
      </x:c>
    </x:row>
    <x:row r="96" ht="18" customHeight="1">
      <x:c r="A96" s="46" t="str">
        <x:v>LME_034</x:v>
      </x:c>
      <x:c r="B96" s="46" t="str">
        <x:v>Bay of Bengal</x:v>
      </x:c>
      <x:c r="C96" s="46" t="str">
        <x:v>LME</x:v>
      </x:c>
      <x:c r="D96" s="58" t="n">
        <x:v>2019</x:v>
      </x:c>
      <x:c r="E96" s="46" t="str">
        <x:v>Thunnus obesus</x:v>
      </x:c>
      <x:c r="F96" s="46" t="str">
        <x:v>Bigeye tuna</x:v>
      </x:c>
      <x:c r="G96" s="46" t="str">
        <x:v>Large pelagics (&gt;=90 cm)</x:v>
      </x:c>
      <x:c r="H96" s="46" t="str">
        <x:v>Tuna &amp; billfishes</x:v>
      </x:c>
      <x:c r="I96" s="60" t="n">
        <x:v>8594.539670702301</x:v>
      </x:c>
      <x:c r="J96" s="60" t="n">
        <x:v>8594.539670702301</x:v>
      </x:c>
      <x:c r="K96" s="60" t="n">
        <x:v>0</x:v>
      </x:c>
      <x:c r="L96" s="60" t="n">
        <x:v>8521.8660012957</x:v>
      </x:c>
      <x:c r="M96" s="60" t="n">
        <x:v>72.6736694066</x:v>
      </x:c>
      <x:c r="N96" s="46" t="str">
        <x:v>thunnus obesus</x:v>
      </x:c>
      <x:c r="O96" s="62" t="n">
        <x:v>4.49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Thunnus obesus</x:v>
      </x:c>
      <x:c r="T96" s="62" t="n">
        <x:f>IF(O96="","",(1/'Metadata'!$B$5)^(O96-1))</x:f>
        <x:v>3090.295432513592</x:v>
      </x:c>
      <x:c r="U96" s="60" t="n">
        <x:f>IF(T96="","",I96*T96)</x:f>
        <x:v>26559666.68892819</x:v>
      </x:c>
    </x:row>
    <x:row r="97" ht="18" customHeight="1">
      <x:c r="A97" s="46" t="str">
        <x:v>LME_034</x:v>
      </x:c>
      <x:c r="B97" s="46" t="str">
        <x:v>Bay of Bengal</x:v>
      </x:c>
      <x:c r="C97" s="46" t="str">
        <x:v>LME</x:v>
      </x:c>
      <x:c r="D97" s="58" t="n">
        <x:v>2019</x:v>
      </x:c>
      <x:c r="E97" s="46" t="str">
        <x:v>Pampus chinensis</x:v>
      </x:c>
      <x:c r="F97" s="46" t="str">
        <x:v>Chinese silver pomfret</x:v>
      </x:c>
      <x:c r="G97" s="46" t="str">
        <x:v>Medium benthopelagics (30 - 89 cm)</x:v>
      </x:c>
      <x:c r="H97" s="46" t="str">
        <x:v>Perch-likes</x:v>
      </x:c>
      <x:c r="I97" s="60" t="n">
        <x:v>8538.9723339646</x:v>
      </x:c>
      <x:c r="J97" s="60" t="n">
        <x:v>8538.9723339646</x:v>
      </x:c>
      <x:c r="K97" s="60" t="n">
        <x:v>0</x:v>
      </x:c>
      <x:c r="L97" s="60" t="n">
        <x:v>5476.1187241001</x:v>
      </x:c>
      <x:c r="M97" s="60" t="n">
        <x:v>3062.8536098645</x:v>
      </x:c>
      <x:c r="N97" s="46" t="str">
        <x:v>pampus chinensis</x:v>
      </x:c>
      <x:c r="O97" s="62" t="n">
        <x:v>3.6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Pampus chinensis</x:v>
      </x:c>
      <x:c r="T97" s="62" t="n">
        <x:f>IF(O97="","",(1/'Metadata'!$B$5)^(O97-1))</x:f>
        <x:v>398.1071705534973</x:v>
      </x:c>
      <x:c r="U97" s="60" t="n">
        <x:f>IF(T97="","",I97*T97)</x:f>
        <x:v>3399426.1153092403</x:v>
      </x:c>
    </x:row>
    <x:row r="98" ht="18" customHeight="1">
      <x:c r="A98" s="46" t="str">
        <x:v>LME_034</x:v>
      </x:c>
      <x:c r="B98" s="46" t="str">
        <x:v>Bay of Bengal</x:v>
      </x:c>
      <x:c r="C98" s="46" t="str">
        <x:v>LME</x:v>
      </x:c>
      <x:c r="D98" s="58" t="n">
        <x:v>2019</x:v>
      </x:c>
      <x:c r="E98" s="46" t="str">
        <x:v>Penaeus latisulcatus</x:v>
      </x:c>
      <x:c r="F98" s="46" t="str">
        <x:v>Western king prawn</x:v>
      </x:c>
      <x:c r="G98" s="46" t="str">
        <x:v>Shrimps</x:v>
      </x:c>
      <x:c r="H98" s="46" t="str">
        <x:v>Crustaceans</x:v>
      </x:c>
      <x:c r="I98" s="60" t="n">
        <x:v>8444.3697822672</x:v>
      </x:c>
      <x:c r="J98" s="60" t="n">
        <x:v>8444.3697822672</x:v>
      </x:c>
      <x:c r="K98" s="60" t="n">
        <x:v>0</x:v>
      </x:c>
      <x:c r="L98" s="60" t="n">
        <x:v>4775.1288943471</x:v>
      </x:c>
      <x:c r="M98" s="60" t="n">
        <x:v>3669.2408879201</x:v>
      </x:c>
      <x:c r="N98" s="46" t="str">
        <x:v>penaeus latisulcatus</x:v>
      </x:c>
      <x:c r="O98" s="62" t="n">
        <x:v>2.7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Penaeus latisulcatus</x:v>
      </x:c>
      <x:c r="T98" s="62" t="n">
        <x:f>IF(O98="","",(1/'Metadata'!$B$5)^(O98-1))</x:f>
        <x:v>50.11872336272725</x:v>
      </x:c>
      <x:c r="U98" s="60" t="n">
        <x:f>IF(T98="","",I98*T98)</x:f>
        <x:v>423221.03309002315</x:v>
      </x:c>
    </x:row>
    <x:row r="99" ht="18" customHeight="1">
      <x:c r="A99" s="46" t="str">
        <x:v>LME_034</x:v>
      </x:c>
      <x:c r="B99" s="46" t="str">
        <x:v>Bay of Bengal</x:v>
      </x:c>
      <x:c r="C99" s="46" t="str">
        <x:v>LME</x:v>
      </x:c>
      <x:c r="D99" s="58" t="n">
        <x:v>2019</x:v>
      </x:c>
      <x:c r="E99" s="46" t="str">
        <x:v>Monacanthidae</x:v>
      </x:c>
      <x:c r="F99" s="46" t="str">
        <x:v>Filefishes</x:v>
      </x:c>
      <x:c r="G99" s="46" t="str">
        <x:v>Medium reef assoc. fish (30 - 89 cm)</x:v>
      </x:c>
      <x:c r="H99" s="46" t="str">
        <x:v>Other fishes &amp; inverts</x:v>
      </x:c>
      <x:c r="I99" s="60" t="n">
        <x:v>7752.623691062499</x:v>
      </x:c>
      <x:c r="J99" s="60" t="n">
        <x:v>7350.9590850483</x:v>
      </x:c>
      <x:c r="K99" s="60" t="n">
        <x:v>401.66460601420005</x:v>
      </x:c>
      <x:c r="L99" s="60" t="n">
        <x:v>7350.9590850483</x:v>
      </x:c>
      <x:c r="M99" s="60" t="n">
        <x:v>401.66460601420005</x:v>
      </x:c>
      <x:c r="N99" s="46" t="str">
        <x:v>monacanthidae</x:v>
      </x:c>
      <x:c r="O99" s="62" t="n">
        <x:v>3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Monacanthidae</x:v>
      </x:c>
      <x:c r="T99" s="62" t="n">
        <x:f>IF(O99="","",(1/'Metadata'!$B$5)^(O99-1))</x:f>
        <x:v>100</x:v>
      </x:c>
      <x:c r="U99" s="60" t="n">
        <x:f>IF(T99="","",I99*T99)</x:f>
        <x:v>775262.3691062499</x:v>
      </x:c>
    </x:row>
    <x:row r="100" ht="18" customHeight="1">
      <x:c r="A100" s="46" t="str">
        <x:v>LME_034</x:v>
      </x:c>
      <x:c r="B100" s="46" t="str">
        <x:v>Bay of Bengal</x:v>
      </x:c>
      <x:c r="C100" s="46" t="str">
        <x:v>LME</x:v>
      </x:c>
      <x:c r="D100" s="58" t="n">
        <x:v>2019</x:v>
      </x:c>
      <x:c r="E100" s="46" t="str">
        <x:v>Cynoglossus cynoglossus</x:v>
      </x:c>
      <x:c r="F100" s="46" t="str">
        <x:v>Bengal tongue sole</x:v>
      </x:c>
      <x:c r="G100" s="46" t="str">
        <x:v>Small to medium flatfishes (&lt;90 cm)</x:v>
      </x:c>
      <x:c r="H100" s="46" t="str">
        <x:v>Flatfishes</x:v>
      </x:c>
      <x:c r="I100" s="60" t="n">
        <x:v>7462.7599504647005</x:v>
      </x:c>
      <x:c r="J100" s="60" t="n">
        <x:v>5441.7707514259</x:v>
      </x:c>
      <x:c r="K100" s="60" t="n">
        <x:v>2020.9891990388</x:v>
      </x:c>
      <x:c r="L100" s="60" t="n">
        <x:v>0</x:v>
      </x:c>
      <x:c r="M100" s="60" t="n">
        <x:v>7462.7599504647005</x:v>
      </x:c>
      <x:c r="N100" s="46" t="str">
        <x:v>cynoglossus cynoglossus</x:v>
      </x:c>
      <x:c r="O100" s="62" t="n">
        <x:v>3.5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Cynoglossus cynoglossus</x:v>
      </x:c>
      <x:c r="T100" s="62" t="n">
        <x:f>IF(O100="","",(1/'Metadata'!$B$5)^(O100-1))</x:f>
        <x:v>316.22776601683796</x:v>
      </x:c>
      <x:c r="U100" s="60" t="n">
        <x:f>IF(T100="","",I100*T100)</x:f>
        <x:v>2359931.9074553805</x:v>
      </x:c>
    </x:row>
    <x:row r="101" ht="18" customHeight="1">
      <x:c r="A101" s="46" t="str">
        <x:v>LME_034</x:v>
      </x:c>
      <x:c r="B101" s="46" t="str">
        <x:v>Bay of Bengal</x:v>
      </x:c>
      <x:c r="C101" s="46" t="str">
        <x:v>LME</x:v>
      </x:c>
      <x:c r="D101" s="58" t="n">
        <x:v>2019</x:v>
      </x:c>
      <x:c r="E101" s="46" t="str">
        <x:v>Miscellaneous aquatic invertebrates</x:v>
      </x:c>
      <x:c r="F101" s="46" t="str">
        <x:v>Aquatic invertebrates</x:v>
      </x:c>
      <x:c r="G101" s="46" t="str">
        <x:v>Other demersal invertebrates</x:v>
      </x:c>
      <x:c r="H101" s="46" t="str">
        <x:v>Other fishes &amp; inverts</x:v>
      </x:c>
      <x:c r="I101" s="60" t="n">
        <x:v>7232.9495214182</x:v>
      </x:c>
      <x:c r="J101" s="60" t="n">
        <x:v>7232.9495214182</x:v>
      </x:c>
      <x:c r="K101" s="60" t="n">
        <x:v>0</x:v>
      </x:c>
      <x:c r="L101" s="60" t="n">
        <x:v>293.5530380391</x:v>
      </x:c>
      <x:c r="M101" s="60" t="n">
        <x:v>6939.3964833791</x:v>
      </x:c>
      <x:c r="N101" s="46" t="str">
        <x:v>miscellaneous aquatic invertebrates</x:v>
      </x:c>
      <x:c r="O101" s="62" t="n">
        <x:v>2.43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Miscellaneous aquatic invertebrates</x:v>
      </x:c>
      <x:c r="T101" s="62" t="n">
        <x:f>IF(O101="","",(1/'Metadata'!$B$5)^(O101-1))</x:f>
        <x:v>26.915348039269166</x:v>
      </x:c>
      <x:c r="U101" s="60" t="n">
        <x:f>IF(T101="","",I101*T101)</x:f>
        <x:v>194677.35371943619</x:v>
      </x:c>
    </x:row>
    <x:row r="102" ht="18" customHeight="1">
      <x:c r="A102" s="46" t="str">
        <x:v>LME_034</x:v>
      </x:c>
      <x:c r="B102" s="46" t="str">
        <x:v>Bay of Bengal</x:v>
      </x:c>
      <x:c r="C102" s="46" t="str">
        <x:v>LME</x:v>
      </x:c>
      <x:c r="D102" s="58" t="n">
        <x:v>2019</x:v>
      </x:c>
      <x:c r="E102" s="46" t="str">
        <x:v>Lepturacanthus savala</x:v>
      </x:c>
      <x:c r="F102" s="46" t="str">
        <x:v>Savalai hairtail</x:v>
      </x:c>
      <x:c r="G102" s="46" t="str">
        <x:v>Large benthopelagics (&gt;=90 cm)</x:v>
      </x:c>
      <x:c r="H102" s="46" t="str">
        <x:v>Perch-likes</x:v>
      </x:c>
      <x:c r="I102" s="60" t="n">
        <x:v>7116.9161554614</x:v>
      </x:c>
      <x:c r="J102" s="60" t="n">
        <x:v>7116.9161554614</x:v>
      </x:c>
      <x:c r="K102" s="60" t="n">
        <x:v>0</x:v>
      </x:c>
      <x:c r="L102" s="60" t="n">
        <x:v>0</x:v>
      </x:c>
      <x:c r="M102" s="60" t="n">
        <x:v>7116.9161554614</x:v>
      </x:c>
      <x:c r="N102" s="46" t="str">
        <x:v>lepturacanthus savala</x:v>
      </x:c>
      <x:c r="O102" s="62" t="n">
        <x:v>4.31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Lepturacanthus savala</x:v>
      </x:c>
      <x:c r="T102" s="62" t="n">
        <x:f>IF(O102="","",(1/'Metadata'!$B$5)^(O102-1))</x:f>
        <x:v>2041.7379446695275</x:v>
      </x:c>
      <x:c r="U102" s="60" t="n">
        <x:f>IF(T102="","",I102*T102)</x:f>
        <x:v>14530877.763637114</x:v>
      </x:c>
    </x:row>
    <x:row r="103" ht="18" customHeight="1">
      <x:c r="A103" s="46" t="str">
        <x:v>LME_034</x:v>
      </x:c>
      <x:c r="B103" s="46" t="str">
        <x:v>Bay of Bengal</x:v>
      </x:c>
      <x:c r="C103" s="46" t="str">
        <x:v>LME</x:v>
      </x:c>
      <x:c r="D103" s="58" t="n">
        <x:v>2019</x:v>
      </x:c>
      <x:c r="E103" s="46" t="str">
        <x:v>Marine pelagic fishes not identified</x:v>
      </x:c>
      <x:c r="F103" s="46" t="str">
        <x:v>Pelagic fishes</x:v>
      </x:c>
      <x:c r="G103" s="46" t="str">
        <x:v>Medium pelagics (30 - 89 cm)</x:v>
      </x:c>
      <x:c r="H103" s="46" t="str">
        <x:v>Other fishes &amp; inverts</x:v>
      </x:c>
      <x:c r="I103" s="60" t="n">
        <x:v>7107.6613613311</x:v>
      </x:c>
      <x:c r="J103" s="60" t="n">
        <x:v>7107.6613613311</x:v>
      </x:c>
      <x:c r="K103" s="60" t="n">
        <x:v>0</x:v>
      </x:c>
      <x:c r="L103" s="60" t="n">
        <x:v>1834.8302754555998</x:v>
      </x:c>
      <x:c r="M103" s="60" t="n">
        <x:v>5272.8310858755</x:v>
      </x:c>
      <x:c r="N103" s="46" t="str">
        <x:v>marine pelagic fishes not identified</x:v>
      </x:c>
      <x:c r="O103" s="62" t="n">
        <x:v>3.35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Marine pelagic fishes not identified</x:v>
      </x:c>
      <x:c r="T103" s="62" t="n">
        <x:f>IF(O103="","",(1/'Metadata'!$B$5)^(O103-1))</x:f>
        <x:v>223.872113856834</x:v>
      </x:c>
      <x:c r="U103" s="60" t="n">
        <x:f>IF(T103="","",I103*T103)</x:f>
        <x:v>1591207.1735397358</x:v>
      </x:c>
    </x:row>
    <x:row r="104" ht="18" customHeight="1">
      <x:c r="A104" s="46" t="str">
        <x:v>LME_034</x:v>
      </x:c>
      <x:c r="B104" s="46" t="str">
        <x:v>Bay of Bengal</x:v>
      </x:c>
      <x:c r="C104" s="46" t="str">
        <x:v>LME</x:v>
      </x:c>
      <x:c r="D104" s="58" t="n">
        <x:v>2019</x:v>
      </x:c>
      <x:c r="E104" s="46" t="str">
        <x:v>Upeneus vittatus</x:v>
      </x:c>
      <x:c r="F104" s="46" t="str">
        <x:v>Yellowstriped goatfish</x:v>
      </x:c>
      <x:c r="G104" s="46" t="str">
        <x:v>Small reef assoc. fish (&lt;30 cm)</x:v>
      </x:c>
      <x:c r="H104" s="46" t="str">
        <x:v>Perch-likes</x:v>
      </x:c>
      <x:c r="I104" s="60" t="n">
        <x:v>7047.6059818433005</x:v>
      </x:c>
      <x:c r="J104" s="60" t="n">
        <x:v>6687.3510569909</x:v>
      </x:c>
      <x:c r="K104" s="60" t="n">
        <x:v>360.2549248524</x:v>
      </x:c>
      <x:c r="L104" s="60" t="n">
        <x:v>6687.3510569909</x:v>
      </x:c>
      <x:c r="M104" s="60" t="n">
        <x:v>360.2549248524</x:v>
      </x:c>
      <x:c r="N104" s="46" t="str">
        <x:v>upeneus vittatus</x:v>
      </x:c>
      <x:c r="O104" s="62" t="n">
        <x:v>3.62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Upeneus vittatus</x:v>
      </x:c>
      <x:c r="T104" s="62" t="n">
        <x:f>IF(O104="","",(1/'Metadata'!$B$5)^(O104-1))</x:f>
        <x:v>416.8693834703355</x:v>
      </x:c>
      <x:c r="U104" s="60" t="n">
        <x:f>IF(T104="","",I104*T104)</x:f>
        <x:v>2937931.160592865</x:v>
      </x:c>
    </x:row>
    <x:row r="105" ht="18" customHeight="1">
      <x:c r="A105" s="46" t="str">
        <x:v>LME_034</x:v>
      </x:c>
      <x:c r="B105" s="46" t="str">
        <x:v>Bay of Bengal</x:v>
      </x:c>
      <x:c r="C105" s="46" t="str">
        <x:v>LME</x:v>
      </x:c>
      <x:c r="D105" s="58" t="n">
        <x:v>2019</x:v>
      </x:c>
      <x:c r="E105" s="46" t="str">
        <x:v>Coilia dussumieri</x:v>
      </x:c>
      <x:c r="F105" s="46" t="str">
        <x:v>Goldspotted grenadier anchovy</x:v>
      </x:c>
      <x:c r="G105" s="46" t="str">
        <x:v>Small pelagics (&lt;30 cm)</x:v>
      </x:c>
      <x:c r="H105" s="46" t="str">
        <x:v>Anchovies</x:v>
      </x:c>
      <x:c r="I105" s="60" t="n">
        <x:v>6971.0463079846995</x:v>
      </x:c>
      <x:c r="J105" s="60" t="n">
        <x:v>6971.0463079846995</x:v>
      </x:c>
      <x:c r="K105" s="60" t="n">
        <x:v>0</x:v>
      </x:c>
      <x:c r="L105" s="60" t="n">
        <x:v>1154.7503621495</x:v>
      </x:c>
      <x:c r="M105" s="60" t="n">
        <x:v>5816.2959458352</x:v>
      </x:c>
      <x:c r="N105" s="46" t="str">
        <x:v>coilia dussumieri</x:v>
      </x:c>
      <x:c r="O105" s="62" t="n">
        <x:v>3.3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Coilia dussumieri</x:v>
      </x:c>
      <x:c r="T105" s="62" t="n">
        <x:f>IF(O105="","",(1/'Metadata'!$B$5)^(O105-1))</x:f>
        <x:v>199.52623149688787</x:v>
      </x:c>
      <x:c r="U105" s="60" t="n">
        <x:f>IF(T105="","",I105*T105)</x:f>
        <x:v>1390906.5994224807</x:v>
      </x:c>
    </x:row>
    <x:row r="106" ht="18" customHeight="1">
      <x:c r="A106" s="46" t="str">
        <x:v>LME_034</x:v>
      </x:c>
      <x:c r="B106" s="46" t="str">
        <x:v>Bay of Bengal</x:v>
      </x:c>
      <x:c r="C106" s="46" t="str">
        <x:v>LME</x:v>
      </x:c>
      <x:c r="D106" s="58" t="n">
        <x:v>2019</x:v>
      </x:c>
      <x:c r="E106" s="46" t="str">
        <x:v>Mollusca</x:v>
      </x:c>
      <x:c r="F106" s="46" t="str">
        <x:v>Clams, seasnails, squids, octopuses</x:v>
      </x:c>
      <x:c r="G106" s="46" t="str">
        <x:v>Other demersal invertebrates</x:v>
      </x:c>
      <x:c r="H106" s="46" t="str">
        <x:v>Molluscs</x:v>
      </x:c>
      <x:c r="I106" s="60" t="n">
        <x:v>6611.8037233366995</x:v>
      </x:c>
      <x:c r="J106" s="60" t="n">
        <x:v>6497.4024441877</x:v>
      </x:c>
      <x:c r="K106" s="60" t="n">
        <x:v>114.401279149</x:v>
      </x:c>
      <x:c r="L106" s="60" t="n">
        <x:v>5379.6108861331</x:v>
      </x:c>
      <x:c r="M106" s="60" t="n">
        <x:v>1232.1928372036</x:v>
      </x:c>
      <x:c r="N106" s="46" t="str">
        <x:v>mollusca</x:v>
      </x:c>
      <x:c r="O106" s="62" t="n">
        <x:v>2.1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Mollusca</x:v>
      </x:c>
      <x:c r="T106" s="62" t="n">
        <x:f>IF(O106="","",(1/'Metadata'!$B$5)^(O106-1))</x:f>
        <x:v>12.589254117941675</x:v>
      </x:c>
      <x:c r="U106" s="60" t="n">
        <x:f>IF(T106="","",I106*T106)</x:f>
        <x:v>83237.67725103864</x:v>
      </x:c>
    </x:row>
    <x:row r="107" ht="18" customHeight="1">
      <x:c r="A107" s="46" t="str">
        <x:v>LME_034</x:v>
      </x:c>
      <x:c r="B107" s="46" t="str">
        <x:v>Bay of Bengal</x:v>
      </x:c>
      <x:c r="C107" s="46" t="str">
        <x:v>LME</x:v>
      </x:c>
      <x:c r="D107" s="58" t="n">
        <x:v>2019</x:v>
      </x:c>
      <x:c r="E107" s="46" t="str">
        <x:v>Himantura</x:v>
      </x:c>
      <x:c r="F107" s="46" t="str">
        <x:v>Whiprays</x:v>
      </x:c>
      <x:c r="G107" s="46" t="str">
        <x:v>Large rays (&gt;=90 cm)</x:v>
      </x:c>
      <x:c r="H107" s="46" t="str">
        <x:v>Sharks &amp; rays</x:v>
      </x:c>
      <x:c r="I107" s="60" t="n">
        <x:v>6555.0626188103</x:v>
      </x:c>
      <x:c r="J107" s="60" t="n">
        <x:v>6555.0626188103</x:v>
      </x:c>
      <x:c r="K107" s="60" t="n">
        <x:v>0</x:v>
      </x:c>
      <x:c r="L107" s="60" t="n">
        <x:v>3820.8739350552</x:v>
      </x:c>
      <x:c r="M107" s="60" t="n">
        <x:v>2734.1886837551</x:v>
      </x:c>
      <x:c r="N107" s="46" t="str">
        <x:v>himantura</x:v>
      </x:c>
      <x:c r="O107" s="62" t="n">
        <x:v>3.85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Himantura</x:v>
      </x:c>
      <x:c r="T107" s="62" t="n">
        <x:f>IF(O107="","",(1/'Metadata'!$B$5)^(O107-1))</x:f>
        <x:v>707.945784384138</x:v>
      </x:c>
      <x:c r="U107" s="60" t="n">
        <x:f>IF(T107="","",I107*T107)</x:f>
        <x:v>4640628.9473608</x:v>
      </x:c>
    </x:row>
    <x:row r="108" ht="18" customHeight="1">
      <x:c r="A108" s="46" t="str">
        <x:v>LME_034</x:v>
      </x:c>
      <x:c r="B108" s="46" t="str">
        <x:v>Bay of Bengal</x:v>
      </x:c>
      <x:c r="C108" s="46" t="str">
        <x:v>LME</x:v>
      </x:c>
      <x:c r="D108" s="58" t="n">
        <x:v>2019</x:v>
      </x:c>
      <x:c r="E108" s="46" t="str">
        <x:v>Thunnus tonggol</x:v>
      </x:c>
      <x:c r="F108" s="46" t="str">
        <x:v>Longtail tuna</x:v>
      </x:c>
      <x:c r="G108" s="46" t="str">
        <x:v>Large pelagics (&gt;=90 cm)</x:v>
      </x:c>
      <x:c r="H108" s="46" t="str">
        <x:v>Tuna &amp; billfishes</x:v>
      </x:c>
      <x:c r="I108" s="60" t="n">
        <x:v>6407.8277599316</x:v>
      </x:c>
      <x:c r="J108" s="60" t="n">
        <x:v>6399.8168991715</x:v>
      </x:c>
      <x:c r="K108" s="60" t="n">
        <x:v>8.0108607601</x:v>
      </x:c>
      <x:c r="L108" s="60" t="n">
        <x:v>4766.6415380695</x:v>
      </x:c>
      <x:c r="M108" s="60" t="n">
        <x:v>1641.1862218621</x:v>
      </x:c>
      <x:c r="N108" s="46" t="str">
        <x:v>thunnus tonggol</x:v>
      </x:c>
      <x:c r="O108" s="62" t="n">
        <x:v>4.5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Thunnus tonggol</x:v>
      </x:c>
      <x:c r="T108" s="62" t="n">
        <x:f>IF(O108="","",(1/'Metadata'!$B$5)^(O108-1))</x:f>
        <x:v>3162.2776601683795</x:v>
      </x:c>
      <x:c r="U108" s="60" t="n">
        <x:f>IF(T108="","",I108*T108)</x:f>
        <x:v>20263330.57543849</x:v>
      </x:c>
    </x:row>
    <x:row r="109" ht="18" customHeight="1">
      <x:c r="A109" s="46" t="str">
        <x:v>LME_034</x:v>
      </x:c>
      <x:c r="B109" s="46" t="str">
        <x:v>Bay of Bengal</x:v>
      </x:c>
      <x:c r="C109" s="46" t="str">
        <x:v>LME</x:v>
      </x:c>
      <x:c r="D109" s="58" t="n">
        <x:v>2019</x:v>
      </x:c>
      <x:c r="E109" s="46" t="str">
        <x:v>Cephalopholis boenak</x:v>
      </x:c>
      <x:c r="F109" s="46" t="str">
        <x:v>Chocolate hind</x:v>
      </x:c>
      <x:c r="G109" s="46" t="str">
        <x:v>Small reef assoc. fish (&lt;30 cm)</x:v>
      </x:c>
      <x:c r="H109" s="46" t="str">
        <x:v>Perch-likes</x:v>
      </x:c>
      <x:c r="I109" s="60" t="n">
        <x:v>5752.165299947201</x:v>
      </x:c>
      <x:c r="J109" s="60" t="n">
        <x:v>5035.0993571741</x:v>
      </x:c>
      <x:c r="K109" s="60" t="n">
        <x:v>717.0659427731</x:v>
      </x:c>
      <x:c r="L109" s="60" t="n">
        <x:v>4905.3165802093</x:v>
      </x:c>
      <x:c r="M109" s="60" t="n">
        <x:v>846.8487197379001</x:v>
      </x:c>
      <x:c r="N109" s="46" t="str">
        <x:v>cephalopholis boenak</x:v>
      </x:c>
      <x:c r="O109" s="62" t="n">
        <x:v>4.07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Cephalopholis boenak</x:v>
      </x:c>
      <x:c r="T109" s="62" t="n">
        <x:f>IF(O109="","",(1/'Metadata'!$B$5)^(O109-1))</x:f>
        <x:v>1174.8975549395302</x:v>
      </x:c>
      <x:c r="U109" s="60" t="n">
        <x:f>IF(T109="","",I109*T109)</x:f>
        <x:v>6758204.9465159755</x:v>
      </x:c>
    </x:row>
    <x:row r="110" ht="18" customHeight="1">
      <x:c r="A110" s="46" t="str">
        <x:v>LME_034</x:v>
      </x:c>
      <x:c r="B110" s="46" t="str">
        <x:v>Bay of Bengal</x:v>
      </x:c>
      <x:c r="C110" s="46" t="str">
        <x:v>LME</x:v>
      </x:c>
      <x:c r="D110" s="58" t="n">
        <x:v>2019</x:v>
      </x:c>
      <x:c r="E110" s="46" t="str">
        <x:v>Octopus</x:v>
      </x:c>
      <x:c r="F110" s="46" t="str">
        <x:v>Octopuses, pikas</x:v>
      </x:c>
      <x:c r="G110" s="46" t="str">
        <x:v>Cephalopods</x:v>
      </x:c>
      <x:c r="H110" s="46" t="str">
        <x:v>Other fishes &amp; inverts</x:v>
      </x:c>
      <x:c r="I110" s="60" t="n">
        <x:v>5731.7159349803</x:v>
      </x:c>
      <x:c r="J110" s="60" t="n">
        <x:v>5727.0382128487</x:v>
      </x:c>
      <x:c r="K110" s="60" t="n">
        <x:v>4.6777221316</x:v>
      </x:c>
      <x:c r="L110" s="60" t="n">
        <x:v>5727.0382128487</x:v>
      </x:c>
      <x:c r="M110" s="60" t="n">
        <x:v>4.6777221316</x:v>
      </x:c>
      <x:c r="N110" s="46" t="str">
        <x:v>octopus</x:v>
      </x:c>
      <x:c r="O110" s="62" t="n">
        <x:v>3.8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Octopus</x:v>
      </x:c>
      <x:c r="T110" s="62" t="n">
        <x:f>IF(O110="","",(1/'Metadata'!$B$5)^(O110-1))</x:f>
        <x:v>630.957344480193</x:v>
      </x:c>
      <x:c r="U110" s="60" t="n">
        <x:f>IF(T110="","",I110*T110)</x:f>
        <x:v>3616468.265649976</x:v>
      </x:c>
    </x:row>
    <x:row r="111" ht="18" customHeight="1">
      <x:c r="A111" s="46" t="str">
        <x:v>LME_034</x:v>
      </x:c>
      <x:c r="B111" s="46" t="str">
        <x:v>Bay of Bengal</x:v>
      </x:c>
      <x:c r="C111" s="46" t="str">
        <x:v>LME</x:v>
      </x:c>
      <x:c r="D111" s="58" t="n">
        <x:v>2019</x:v>
      </x:c>
      <x:c r="E111" s="46" t="str">
        <x:v>Prionace glauca</x:v>
      </x:c>
      <x:c r="F111" s="46" t="str">
        <x:v>Blue shark</x:v>
      </x:c>
      <x:c r="G111" s="46" t="str">
        <x:v>Large sharks (&gt;=90 cm)</x:v>
      </x:c>
      <x:c r="H111" s="46" t="str">
        <x:v>Sharks &amp; rays</x:v>
      </x:c>
      <x:c r="I111" s="60" t="n">
        <x:v>5716.2678865266</x:v>
      </x:c>
      <x:c r="J111" s="60" t="n">
        <x:v>5716.2678865266</x:v>
      </x:c>
      <x:c r="K111" s="60" t="n">
        <x:v>0</x:v>
      </x:c>
      <x:c r="L111" s="60" t="n">
        <x:v>5716.2678865266</x:v>
      </x:c>
      <x:c r="M111" s="60" t="n">
        <x:v>0</x:v>
      </x:c>
      <x:c r="N111" s="46" t="str">
        <x:v>prionace glauca</x:v>
      </x:c>
      <x:c r="O111" s="62" t="n">
        <x:v>4.35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Prionace glauca</x:v>
      </x:c>
      <x:c r="T111" s="62" t="n">
        <x:f>IF(O111="","",(1/'Metadata'!$B$5)^(O111-1))</x:f>
        <x:v>2238.7211385683377</x:v>
      </x:c>
      <x:c r="U111" s="60" t="n">
        <x:f>IF(T111="","",I111*T111)</x:f>
        <x:v>12797129.751286454</x:v>
      </x:c>
    </x:row>
    <x:row r="112" ht="18" customHeight="1">
      <x:c r="A112" s="46" t="str">
        <x:v>LME_034</x:v>
      </x:c>
      <x:c r="B112" s="46" t="str">
        <x:v>Bay of Bengal</x:v>
      </x:c>
      <x:c r="C112" s="46" t="str">
        <x:v>LME</x:v>
      </x:c>
      <x:c r="D112" s="58" t="n">
        <x:v>2019</x:v>
      </x:c>
      <x:c r="E112" s="46" t="str">
        <x:v>Cynoglossus</x:v>
      </x:c>
      <x:c r="F112" s="46" t="str">
        <x:v>Tonguesoles</x:v>
      </x:c>
      <x:c r="G112" s="46" t="str">
        <x:v>Small to medium flatfishes (&lt;90 cm)</x:v>
      </x:c>
      <x:c r="H112" s="46" t="str">
        <x:v>Flatfishes</x:v>
      </x:c>
      <x:c r="I112" s="60" t="n">
        <x:v>5675.684109829</x:v>
      </x:c>
      <x:c r="J112" s="60" t="n">
        <x:v>5597.1040094777</x:v>
      </x:c>
      <x:c r="K112" s="60" t="n">
        <x:v>78.5801003513</x:v>
      </x:c>
      <x:c r="L112" s="60" t="n">
        <x:v>3980.7284417892</x:v>
      </x:c>
      <x:c r="M112" s="60" t="n">
        <x:v>1694.9556680398</x:v>
      </x:c>
      <x:c r="N112" s="46" t="str">
        <x:v>cynoglossus</x:v>
      </x:c>
      <x:c r="O112" s="62" t="n">
        <x:v>3.36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Cynoglossus</x:v>
      </x:c>
      <x:c r="T112" s="62" t="n">
        <x:f>IF(O112="","",(1/'Metadata'!$B$5)^(O112-1))</x:f>
        <x:v>229.08676527677724</x:v>
      </x:c>
      <x:c r="U112" s="60" t="n">
        <x:f>IF(T112="","",I112*T112)</x:f>
        <x:v>1300224.1134535305</x:v>
      </x:c>
    </x:row>
    <x:row r="113" ht="18" customHeight="1">
      <x:c r="A113" s="46" t="str">
        <x:v>LME_034</x:v>
      </x:c>
      <x:c r="B113" s="46" t="str">
        <x:v>Bay of Bengal</x:v>
      </x:c>
      <x:c r="C113" s="46" t="str">
        <x:v>LME</x:v>
      </x:c>
      <x:c r="D113" s="58" t="n">
        <x:v>2019</x:v>
      </x:c>
      <x:c r="E113" s="46" t="str">
        <x:v>Terapon</x:v>
      </x:c>
      <x:c r="F113" s="46" t="str">
        <x:v>Terapons</x:v>
      </x:c>
      <x:c r="G113" s="46" t="str">
        <x:v>Medium demersals (30 - 89 cm)</x:v>
      </x:c>
      <x:c r="H113" s="46" t="str">
        <x:v>Perch-likes</x:v>
      </x:c>
      <x:c r="I113" s="60" t="n">
        <x:v>5443.04579238</x:v>
      </x:c>
      <x:c r="J113" s="60" t="n">
        <x:v>5261.5376316114</x:v>
      </x:c>
      <x:c r="K113" s="60" t="n">
        <x:v>181.5081607686</x:v>
      </x:c>
      <x:c r="L113" s="60" t="n">
        <x:v>5261.5376316114</x:v>
      </x:c>
      <x:c r="M113" s="60" t="n">
        <x:v>181.5081607686</x:v>
      </x:c>
      <x:c r="N113" s="46" t="str">
        <x:v>terapon</x:v>
      </x:c>
      <x:c r="O113" s="62" t="n">
        <x:v>3.5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Terapon</x:v>
      </x:c>
      <x:c r="T113" s="62" t="n">
        <x:f>IF(O113="","",(1/'Metadata'!$B$5)^(O113-1))</x:f>
        <x:v>316.22776601683796</x:v>
      </x:c>
      <x:c r="U113" s="60" t="n">
        <x:f>IF(T113="","",I113*T113)</x:f>
        <x:v>1721242.2112516772</x:v>
      </x:c>
    </x:row>
    <x:row r="114" ht="18" customHeight="1">
      <x:c r="A114" s="46" t="str">
        <x:v>LME_034</x:v>
      </x:c>
      <x:c r="B114" s="46" t="str">
        <x:v>Bay of Bengal</x:v>
      </x:c>
      <x:c r="C114" s="46" t="str">
        <x:v>LME</x:v>
      </x:c>
      <x:c r="D114" s="58" t="n">
        <x:v>2019</x:v>
      </x:c>
      <x:c r="E114" s="46" t="str">
        <x:v>Carcharhinus</x:v>
      </x:c>
      <x:c r="F114" s="46" t="str">
        <x:v>Sharp-nosed sharks</x:v>
      </x:c>
      <x:c r="G114" s="46" t="str">
        <x:v>Large sharks (&gt;=90 cm)</x:v>
      </x:c>
      <x:c r="H114" s="46" t="str">
        <x:v>Sharks &amp; rays</x:v>
      </x:c>
      <x:c r="I114" s="60" t="n">
        <x:v>5442.3259134158</x:v>
      </x:c>
      <x:c r="J114" s="60" t="n">
        <x:v>2842.0105653286</x:v>
      </x:c>
      <x:c r="K114" s="60" t="n">
        <x:v>2600.3153480872</x:v>
      </x:c>
      <x:c r="L114" s="60" t="n">
        <x:v>1933.1982981688</x:v>
      </x:c>
      <x:c r="M114" s="60" t="n">
        <x:v>3509.127615247</x:v>
      </x:c>
      <x:c r="N114" s="46" t="str">
        <x:v>carcharhinus</x:v>
      </x:c>
      <x:c r="O114" s="62" t="n">
        <x:v>4.26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Carcharhinus</x:v>
      </x:c>
      <x:c r="T114" s="62" t="n">
        <x:f>IF(O114="","",(1/'Metadata'!$B$5)^(O114-1))</x:f>
        <x:v>1819.7008586099826</x:v>
      </x:c>
      <x:c r="U114" s="60" t="n">
        <x:f>IF(T114="","",I114*T114)</x:f>
        <x:v>9903405.137478089</x:v>
      </x:c>
    </x:row>
    <x:row r="115" ht="18" customHeight="1">
      <x:c r="A115" s="46" t="str">
        <x:v>LME_034</x:v>
      </x:c>
      <x:c r="B115" s="46" t="str">
        <x:v>Bay of Bengal</x:v>
      </x:c>
      <x:c r="C115" s="46" t="str">
        <x:v>LME</x:v>
      </x:c>
      <x:c r="D115" s="58" t="n">
        <x:v>2019</x:v>
      </x:c>
      <x:c r="E115" s="46" t="str">
        <x:v>Psettodidae</x:v>
      </x:c>
      <x:c r="F115" s="46" t="str">
        <x:v>Turbots, Indian halibuts</x:v>
      </x:c>
      <x:c r="G115" s="46" t="str">
        <x:v>Small to medium flatfishes (&lt;90 cm)</x:v>
      </x:c>
      <x:c r="H115" s="46" t="str">
        <x:v>Flatfishes</x:v>
      </x:c>
      <x:c r="I115" s="60" t="n">
        <x:v>5355.2712030843</x:v>
      </x:c>
      <x:c r="J115" s="60" t="n">
        <x:v>4772.4135980811</x:v>
      </x:c>
      <x:c r="K115" s="60" t="n">
        <x:v>582.8576050032</x:v>
      </x:c>
      <x:c r="L115" s="60" t="n">
        <x:v>4567.5882042778</x:v>
      </x:c>
      <x:c r="M115" s="60" t="n">
        <x:v>787.6829988065</x:v>
      </x:c>
      <x:c r="N115" s="46" t="str">
        <x:v>psettodidae</x:v>
      </x:c>
      <x:c r="O115" s="62" t="n">
        <x:v>3.83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Psettodidae</x:v>
      </x:c>
      <x:c r="T115" s="62" t="n">
        <x:f>IF(O115="","",(1/'Metadata'!$B$5)^(O115-1))</x:f>
        <x:v>676.0829753919819</x:v>
      </x:c>
      <x:c r="U115" s="60" t="n">
        <x:f>IF(T115="","",I115*T115)</x:f>
        <x:v>3620607.6890122322</x:v>
      </x:c>
    </x:row>
    <x:row r="116" ht="18" customHeight="1">
      <x:c r="A116" s="46" t="str">
        <x:v>LME_034</x:v>
      </x:c>
      <x:c r="B116" s="46" t="str">
        <x:v>Bay of Bengal</x:v>
      </x:c>
      <x:c r="C116" s="46" t="str">
        <x:v>LME</x:v>
      </x:c>
      <x:c r="D116" s="58" t="n">
        <x:v>2019</x:v>
      </x:c>
      <x:c r="E116" s="46" t="str">
        <x:v>Anodontostoma chacunda</x:v>
      </x:c>
      <x:c r="F116" s="46" t="str">
        <x:v>Chacunda gizzard shad</x:v>
      </x:c>
      <x:c r="G116" s="46" t="str">
        <x:v>Small pelagics (&lt;30 cm)</x:v>
      </x:c>
      <x:c r="H116" s="46" t="str">
        <x:v>Herring-likes</x:v>
      </x:c>
      <x:c r="I116" s="60" t="n">
        <x:v>5339.327487583</x:v>
      </x:c>
      <x:c r="J116" s="60" t="n">
        <x:v>5339.327487583</x:v>
      </x:c>
      <x:c r="K116" s="60" t="n">
        <x:v>0</x:v>
      </x:c>
      <x:c r="L116" s="60" t="n">
        <x:v>2532.2494780448</x:v>
      </x:c>
      <x:c r="M116" s="60" t="n">
        <x:v>2807.0780095382</x:v>
      </x:c>
      <x:c r="N116" s="46" t="str">
        <x:v>anodontostoma chacunda</x:v>
      </x:c>
      <x:c r="O116" s="62" t="n">
        <x:v>2.84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Anodontostoma chacunda</x:v>
      </x:c>
      <x:c r="T116" s="62" t="n">
        <x:f>IF(O116="","",(1/'Metadata'!$B$5)^(O116-1))</x:f>
        <x:v>69.18309709189363</x:v>
      </x:c>
      <x:c r="U116" s="60" t="n">
        <x:f>IF(T116="","",I116*T116)</x:f>
        <x:v>369391.2119788712</x:v>
      </x:c>
    </x:row>
    <x:row r="117" ht="18" customHeight="1">
      <x:c r="A117" s="46" t="str">
        <x:v>LME_034</x:v>
      </x:c>
      <x:c r="B117" s="46" t="str">
        <x:v>Bay of Bengal</x:v>
      </x:c>
      <x:c r="C117" s="46" t="str">
        <x:v>LME</x:v>
      </x:c>
      <x:c r="D117" s="58" t="n">
        <x:v>2019</x:v>
      </x:c>
      <x:c r="E117" s="46" t="str">
        <x:v>Scylla serrata</x:v>
      </x:c>
      <x:c r="F117" s="46" t="str">
        <x:v>Indo-Pacific swamp crab</x:v>
      </x:c>
      <x:c r="G117" s="46" t="str">
        <x:v>Lobsters, crabs</x:v>
      </x:c>
      <x:c r="H117" s="46" t="str">
        <x:v>Crustaceans</x:v>
      </x:c>
      <x:c r="I117" s="60" t="n">
        <x:v>5253.540521720701</x:v>
      </x:c>
      <x:c r="J117" s="60" t="n">
        <x:v>5253.540521720701</x:v>
      </x:c>
      <x:c r="K117" s="60" t="n">
        <x:v>0</x:v>
      </x:c>
      <x:c r="L117" s="60" t="n">
        <x:v>1421.2903517891002</x:v>
      </x:c>
      <x:c r="M117" s="60" t="n">
        <x:v>3832.2501699316003</x:v>
      </x:c>
      <x:c r="N117" s="46" t="str">
        <x:v>scylla serrata</x:v>
      </x:c>
      <x:c r="O117" s="62" t="n">
        <x:v>3.17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Scylla serrata</x:v>
      </x:c>
      <x:c r="T117" s="62" t="n">
        <x:f>IF(O117="","",(1/'Metadata'!$B$5)^(O117-1))</x:f>
        <x:v>147.91083881682073</x:v>
      </x:c>
      <x:c r="U117" s="60" t="n">
        <x:f>IF(T117="","",I117*T117)</x:f>
        <x:v>777055.5853258668</x:v>
      </x:c>
    </x:row>
    <x:row r="118" ht="18" customHeight="1">
      <x:c r="A118" s="46" t="str">
        <x:v>LME_034</x:v>
      </x:c>
      <x:c r="B118" s="46" t="str">
        <x:v>Bay of Bengal</x:v>
      </x:c>
      <x:c r="C118" s="46" t="str">
        <x:v>LME</x:v>
      </x:c>
      <x:c r="D118" s="58" t="n">
        <x:v>2019</x:v>
      </x:c>
      <x:c r="E118" s="46" t="str">
        <x:v>Stromateidae</x:v>
      </x:c>
      <x:c r="F118" s="46" t="str">
        <x:v>Butterfishes</x:v>
      </x:c>
      <x:c r="G118" s="46" t="str">
        <x:v>Small benthopelagics (&lt;30 cm)</x:v>
      </x:c>
      <x:c r="H118" s="46" t="str">
        <x:v>Perch-likes</x:v>
      </x:c>
      <x:c r="I118" s="60" t="n">
        <x:v>5050.614587523901</x:v>
      </x:c>
      <x:c r="J118" s="60" t="n">
        <x:v>5050.614587523901</x:v>
      </x:c>
      <x:c r="K118" s="60" t="n">
        <x:v>0</x:v>
      </x:c>
      <x:c r="L118" s="60" t="n">
        <x:v>30.2270775343</x:v>
      </x:c>
      <x:c r="M118" s="60" t="n">
        <x:v>5020.3875099896</x:v>
      </x:c>
      <x:c r="N118" s="46" t="str">
        <x:v>stromateidae</x:v>
      </x:c>
      <x:c r="O118" s="62" t="n">
        <x:v>3.62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Stromateidae</x:v>
      </x:c>
      <x:c r="T118" s="62" t="n">
        <x:f>IF(O118="","",(1/'Metadata'!$B$5)^(O118-1))</x:f>
        <x:v>416.8693834703355</x:v>
      </x:c>
      <x:c r="U118" s="60" t="n">
        <x:f>IF(T118="","",I118*T118)</x:f>
        <x:v>2105446.5892473715</x:v>
      </x:c>
    </x:row>
    <x:row r="119" ht="18" customHeight="1">
      <x:c r="A119" s="46" t="str">
        <x:v>LME_034</x:v>
      </x:c>
      <x:c r="B119" s="46" t="str">
        <x:v>Bay of Bengal</x:v>
      </x:c>
      <x:c r="C119" s="46" t="str">
        <x:v>LME</x:v>
      </x:c>
      <x:c r="D119" s="58" t="n">
        <x:v>2019</x:v>
      </x:c>
      <x:c r="E119" s="46" t="str">
        <x:v>Penaeus</x:v>
      </x:c>
      <x:c r="F119" s="46" t="str">
        <x:v>Tiger prawns</x:v>
      </x:c>
      <x:c r="G119" s="46" t="str">
        <x:v>Shrimps</x:v>
      </x:c>
      <x:c r="H119" s="46" t="str">
        <x:v>Crustaceans</x:v>
      </x:c>
      <x:c r="I119" s="60" t="n">
        <x:v>5001.9755586407</x:v>
      </x:c>
      <x:c r="J119" s="60" t="n">
        <x:v>5001.9755586407</x:v>
      </x:c>
      <x:c r="K119" s="60" t="n">
        <x:v>0</x:v>
      </x:c>
      <x:c r="L119" s="60" t="n">
        <x:v>4558.1788294211</x:v>
      </x:c>
      <x:c r="M119" s="60" t="n">
        <x:v>443.7967292196</x:v>
      </x:c>
      <x:c r="N119" s="46" t="str">
        <x:v>penaeus</x:v>
      </x:c>
      <x:c r="O119" s="62" t="n">
        <x:v>2.7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Penaeus</x:v>
      </x:c>
      <x:c r="T119" s="62" t="n">
        <x:f>IF(O119="","",(1/'Metadata'!$B$5)^(O119-1))</x:f>
        <x:v>50.11872336272725</x:v>
      </x:c>
      <x:c r="U119" s="60" t="n">
        <x:f>IF(T119="","",I119*T119)</x:f>
        <x:v>250692.62929063634</x:v>
      </x:c>
    </x:row>
    <x:row r="120" ht="18" customHeight="1">
      <x:c r="A120" s="46" t="str">
        <x:v>LME_034</x:v>
      </x:c>
      <x:c r="B120" s="46" t="str">
        <x:v>Bay of Bengal</x:v>
      </x:c>
      <x:c r="C120" s="46" t="str">
        <x:v>LME</x:v>
      </x:c>
      <x:c r="D120" s="58" t="n">
        <x:v>2019</x:v>
      </x:c>
      <x:c r="E120" s="46" t="str">
        <x:v>Istiophoridae</x:v>
      </x:c>
      <x:c r="F120" s="46" t="str">
        <x:v>Billfishes</x:v>
      </x:c>
      <x:c r="G120" s="46" t="str">
        <x:v>Large pelagics (&gt;=90 cm)</x:v>
      </x:c>
      <x:c r="H120" s="46" t="str">
        <x:v>Tuna &amp; billfishes</x:v>
      </x:c>
      <x:c r="I120" s="60" t="n">
        <x:v>4922.843879691301</x:v>
      </x:c>
      <x:c r="J120" s="60" t="n">
        <x:v>4921.0436635848</x:v>
      </x:c>
      <x:c r="K120" s="60" t="n">
        <x:v>1.8002161065</x:v>
      </x:c>
      <x:c r="L120" s="60" t="n">
        <x:v>3897.9127190298</x:v>
      </x:c>
      <x:c r="M120" s="60" t="n">
        <x:v>1024.9311606615001</x:v>
      </x:c>
      <x:c r="N120" s="46" t="str">
        <x:v>istiophoridae</x:v>
      </x:c>
      <x:c r="O120" s="62" t="n">
        <x:v>4.48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Istiophoridae</x:v>
      </x:c>
      <x:c r="T120" s="62" t="n">
        <x:f>IF(O120="","",(1/'Metadata'!$B$5)^(O120-1))</x:f>
        <x:v>3019.951720402019</x:v>
      </x:c>
      <x:c r="U120" s="60" t="n">
        <x:f>IF(T120="","",I120*T120)</x:f>
        <x:v>14866750.843744293</x:v>
      </x:c>
    </x:row>
    <x:row r="121" ht="18" customHeight="1">
      <x:c r="A121" s="46" t="str">
        <x:v>LME_034</x:v>
      </x:c>
      <x:c r="B121" s="46" t="str">
        <x:v>Bay of Bengal</x:v>
      </x:c>
      <x:c r="C121" s="46" t="str">
        <x:v>LME</x:v>
      </x:c>
      <x:c r="D121" s="58" t="n">
        <x:v>2019</x:v>
      </x:c>
      <x:c r="E121" s="46" t="str">
        <x:v>Chirocentrus dorab</x:v>
      </x:c>
      <x:c r="F121" s="46" t="str">
        <x:v>Dorab wolf-herring</x:v>
      </x:c>
      <x:c r="G121" s="46" t="str">
        <x:v>Large benthopelagics (&gt;=90 cm)</x:v>
      </x:c>
      <x:c r="H121" s="46" t="str">
        <x:v>Herring-likes</x:v>
      </x:c>
      <x:c r="I121" s="60" t="n">
        <x:v>4882.9378997444</x:v>
      </x:c>
      <x:c r="J121" s="60" t="n">
        <x:v>4268.5327683223995</x:v>
      </x:c>
      <x:c r="K121" s="60" t="n">
        <x:v>614.4051314220001</x:v>
      </x:c>
      <x:c r="L121" s="60" t="n">
        <x:v>3594.1899212035</x:v>
      </x:c>
      <x:c r="M121" s="60" t="n">
        <x:v>1288.7479785409</x:v>
      </x:c>
      <x:c r="N121" s="46" t="str">
        <x:v>chirocentrus dorab</x:v>
      </x:c>
      <x:c r="O121" s="62" t="n">
        <x:v>4.2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Chirocentrus dorab</x:v>
      </x:c>
      <x:c r="T121" s="62" t="n">
        <x:f>IF(O121="","",(1/'Metadata'!$B$5)^(O121-1))</x:f>
        <x:v>1584.893192461114</x:v>
      </x:c>
      <x:c r="U121" s="60" t="n">
        <x:f>IF(T121="","",I121*T121)</x:f>
        <x:v>7738935.036515269</x:v>
      </x:c>
    </x:row>
    <x:row r="122" ht="18" customHeight="1">
      <x:c r="A122" s="46" t="str">
        <x:v>LME_034</x:v>
      </x:c>
      <x:c r="B122" s="46" t="str">
        <x:v>Bay of Bengal</x:v>
      </x:c>
      <x:c r="C122" s="46" t="str">
        <x:v>LME</x:v>
      </x:c>
      <x:c r="D122" s="58" t="n">
        <x:v>2019</x:v>
      </x:c>
      <x:c r="E122" s="46" t="str">
        <x:v>Plotosidae</x:v>
      </x:c>
      <x:c r="F122" s="46" t="str">
        <x:v>Eeltail catfishes</x:v>
      </x:c>
      <x:c r="G122" s="46" t="str">
        <x:v>Medium reef assoc. fish (30 - 89 cm)</x:v>
      </x:c>
      <x:c r="H122" s="46" t="str">
        <x:v>Other fishes &amp; inverts</x:v>
      </x:c>
      <x:c r="I122" s="60" t="n">
        <x:v>4834.1124710239</x:v>
      </x:c>
      <x:c r="J122" s="60" t="n">
        <x:v>4638.5238326179</x:v>
      </x:c>
      <x:c r="K122" s="60" t="n">
        <x:v>195.588638406</x:v>
      </x:c>
      <x:c r="L122" s="60" t="n">
        <x:v>3841.285510295</x:v>
      </x:c>
      <x:c r="M122" s="60" t="n">
        <x:v>992.8269607289</x:v>
      </x:c>
      <x:c r="N122" s="46" t="str">
        <x:v>plotosidae</x:v>
      </x:c>
      <x:c r="O122" s="62" t="n">
        <x:v>3.49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Plotosidae</x:v>
      </x:c>
      <x:c r="T122" s="62" t="n">
        <x:f>IF(O122="","",(1/'Metadata'!$B$5)^(O122-1))</x:f>
        <x:v>309.0295432513592</x:v>
      </x:c>
      <x:c r="U122" s="60" t="n">
        <x:f>IF(T122="","",I122*T122)</x:f>
        <x:v>1493883.5689462153</x:v>
      </x:c>
    </x:row>
    <x:row r="123" ht="18" customHeight="1">
      <x:c r="A123" s="46" t="str">
        <x:v>LME_034</x:v>
      </x:c>
      <x:c r="B123" s="46" t="str">
        <x:v>Bay of Bengal</x:v>
      </x:c>
      <x:c r="C123" s="46" t="str">
        <x:v>LME</x:v>
      </x:c>
      <x:c r="D123" s="58" t="n">
        <x:v>2019</x:v>
      </x:c>
      <x:c r="E123" s="46" t="str">
        <x:v>Xiphias gladius</x:v>
      </x:c>
      <x:c r="F123" s="46" t="str">
        <x:v>Swordfish</x:v>
      </x:c>
      <x:c r="G123" s="46" t="str">
        <x:v>Large pelagics (&gt;=90 cm)</x:v>
      </x:c>
      <x:c r="H123" s="46" t="str">
        <x:v>Tuna &amp; billfishes</x:v>
      </x:c>
      <x:c r="I123" s="60" t="n">
        <x:v>4648.0272446884</x:v>
      </x:c>
      <x:c r="J123" s="60" t="n">
        <x:v>4647.7536924009</x:v>
      </x:c>
      <x:c r="K123" s="60" t="n">
        <x:v>0.2735522875</x:v>
      </x:c>
      <x:c r="L123" s="60" t="n">
        <x:v>4521.1141637861</x:v>
      </x:c>
      <x:c r="M123" s="60" t="n">
        <x:v>126.91308090230001</x:v>
      </x:c>
      <x:c r="N123" s="46" t="str">
        <x:v>xiphias gladius</x:v>
      </x:c>
      <x:c r="O123" s="62" t="n">
        <x:v>4.53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Xiphias gladius</x:v>
      </x:c>
      <x:c r="T123" s="62" t="n">
        <x:f>IF(O123="","",(1/'Metadata'!$B$5)^(O123-1))</x:f>
        <x:v>3388.4415613920273</x:v>
      </x:c>
      <x:c r="U123" s="60" t="n">
        <x:f>IF(T123="","",I123*T123)</x:f>
        <x:v>15749568.694384646</x:v>
      </x:c>
    </x:row>
    <x:row r="124" ht="18" customHeight="1">
      <x:c r="A124" s="46" t="str">
        <x:v>LME_034</x:v>
      </x:c>
      <x:c r="B124" s="46" t="str">
        <x:v>Bay of Bengal</x:v>
      </x:c>
      <x:c r="C124" s="46" t="str">
        <x:v>LME</x:v>
      </x:c>
      <x:c r="D124" s="58" t="n">
        <x:v>2019</x:v>
      </x:c>
      <x:c r="E124" s="46" t="str">
        <x:v>Tetraodontidae</x:v>
      </x:c>
      <x:c r="F124" s="46" t="str">
        <x:v>Puffers, tobies</x:v>
      </x:c>
      <x:c r="G124" s="46" t="str">
        <x:v>Large reef assoc. fish (&gt;=90 cm)</x:v>
      </x:c>
      <x:c r="H124" s="46" t="str">
        <x:v>Other fishes &amp; inverts</x:v>
      </x:c>
      <x:c r="I124" s="60" t="n">
        <x:v>4598.533174554001</x:v>
      </x:c>
      <x:c r="J124" s="60" t="n">
        <x:v>4446.0588318233</x:v>
      </x:c>
      <x:c r="K124" s="60" t="n">
        <x:v>152.47434273070002</x:v>
      </x:c>
      <x:c r="L124" s="60" t="n">
        <x:v>4438.5300847299</x:v>
      </x:c>
      <x:c r="M124" s="60" t="n">
        <x:v>160.00308982410002</x:v>
      </x:c>
      <x:c r="N124" s="46" t="str">
        <x:v>tetraodontidae</x:v>
      </x:c>
      <x:c r="O124" s="62" t="n">
        <x:v>3.5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Tetraodontidae</x:v>
      </x:c>
      <x:c r="T124" s="62" t="n">
        <x:f>IF(O124="","",(1/'Metadata'!$B$5)^(O124-1))</x:f>
        <x:v>316.22776601683796</x:v>
      </x:c>
      <x:c r="U124" s="60" t="n">
        <x:f>IF(T124="","",I124*T124)</x:f>
        <x:v>1454183.8727435295</x:v>
      </x:c>
    </x:row>
    <x:row r="125" ht="18" customHeight="1">
      <x:c r="A125" s="46" t="str">
        <x:v>LME_034</x:v>
      </x:c>
      <x:c r="B125" s="46" t="str">
        <x:v>Bay of Bengal</x:v>
      </x:c>
      <x:c r="C125" s="46" t="str">
        <x:v>LME</x:v>
      </x:c>
      <x:c r="D125" s="58" t="n">
        <x:v>2019</x:v>
      </x:c>
      <x:c r="E125" s="46" t="str">
        <x:v>Thunnus</x:v>
      </x:c>
      <x:c r="F125" s="46" t="str">
        <x:v>Tunas</x:v>
      </x:c>
      <x:c r="G125" s="46" t="str">
        <x:v>Large pelagics (&gt;=90 cm)</x:v>
      </x:c>
      <x:c r="H125" s="46" t="str">
        <x:v>Tuna &amp; billfishes</x:v>
      </x:c>
      <x:c r="I125" s="60" t="n">
        <x:v>4567.1775332503</x:v>
      </x:c>
      <x:c r="J125" s="60" t="n">
        <x:v>4549.8745084897</x:v>
      </x:c>
      <x:c r="K125" s="60" t="n">
        <x:v>17.3030247606</x:v>
      </x:c>
      <x:c r="L125" s="60" t="n">
        <x:v>3463.5754380815</x:v>
      </x:c>
      <x:c r="M125" s="60" t="n">
        <x:v>1103.6020951688001</x:v>
      </x:c>
      <x:c r="N125" s="46" t="str">
        <x:v>thunnus</x:v>
      </x:c>
      <x:c r="O125" s="62" t="n">
        <x:v>4.34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Thunnus</x:v>
      </x:c>
      <x:c r="T125" s="62" t="n">
        <x:f>IF(O125="","",(1/'Metadata'!$B$5)^(O125-1))</x:f>
        <x:v>2187.761623949552</x:v>
      </x:c>
      <x:c r="U125" s="60" t="n">
        <x:f>IF(T125="","",I125*T125)</x:f>
        <x:v>9991895.737009585</x:v>
      </x:c>
    </x:row>
    <x:row r="126" ht="18" customHeight="1">
      <x:c r="A126" s="46" t="str">
        <x:v>LME_034</x:v>
      </x:c>
      <x:c r="B126" s="46" t="str">
        <x:v>Bay of Bengal</x:v>
      </x:c>
      <x:c r="C126" s="46" t="str">
        <x:v>LME</x:v>
      </x:c>
      <x:c r="D126" s="58" t="n">
        <x:v>2019</x:v>
      </x:c>
      <x:c r="E126" s="46" t="str">
        <x:v>Penaeus semisulcatus</x:v>
      </x:c>
      <x:c r="F126" s="46" t="str">
        <x:v>Green tiger prawn</x:v>
      </x:c>
      <x:c r="G126" s="46" t="str">
        <x:v>Shrimps</x:v>
      </x:c>
      <x:c r="H126" s="46" t="str">
        <x:v>Crustaceans</x:v>
      </x:c>
      <x:c r="I126" s="60" t="n">
        <x:v>4498.9659912103</x:v>
      </x:c>
      <x:c r="J126" s="60" t="n">
        <x:v>4498.9659912103</x:v>
      </x:c>
      <x:c r="K126" s="60" t="n">
        <x:v>0</x:v>
      </x:c>
      <x:c r="L126" s="60" t="n">
        <x:v>3377.6850246579997</x:v>
      </x:c>
      <x:c r="M126" s="60" t="n">
        <x:v>1121.2809665523</x:v>
      </x:c>
      <x:c r="N126" s="46" t="str">
        <x:v>penaeus semisulcatus</x:v>
      </x:c>
      <x:c r="O126" s="62" t="n">
        <x:v>2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Penaeus semisulcatus</x:v>
      </x:c>
      <x:c r="T126" s="62" t="n">
        <x:f>IF(O126="","",(1/'Metadata'!$B$5)^(O126-1))</x:f>
        <x:v>10</x:v>
      </x:c>
      <x:c r="U126" s="60" t="n">
        <x:f>IF(T126="","",I126*T126)</x:f>
        <x:v>44989.659912103</x:v>
      </x:c>
    </x:row>
    <x:row r="127" ht="18" customHeight="1">
      <x:c r="A127" s="46" t="str">
        <x:v>LME_034</x:v>
      </x:c>
      <x:c r="B127" s="46" t="str">
        <x:v>Bay of Bengal</x:v>
      </x:c>
      <x:c r="C127" s="46" t="str">
        <x:v>LME</x:v>
      </x:c>
      <x:c r="D127" s="58" t="n">
        <x:v>2019</x:v>
      </x:c>
      <x:c r="E127" s="46" t="str">
        <x:v>Hemiramphus</x:v>
      </x:c>
      <x:c r="F127" s="46" t="str">
        <x:v>Halfbeaks</x:v>
      </x:c>
      <x:c r="G127" s="46" t="str">
        <x:v>Medium pelagics (30 - 89 cm)</x:v>
      </x:c>
      <x:c r="H127" s="46" t="str">
        <x:v>Other fishes &amp; inverts</x:v>
      </x:c>
      <x:c r="I127" s="60" t="n">
        <x:v>4448.8061434500005</x:v>
      </x:c>
      <x:c r="J127" s="60" t="n">
        <x:v>4099.0555382056</x:v>
      </x:c>
      <x:c r="K127" s="60" t="n">
        <x:v>349.7506052444</x:v>
      </x:c>
      <x:c r="L127" s="60" t="n">
        <x:v>4080.8380258495</x:v>
      </x:c>
      <x:c r="M127" s="60" t="n">
        <x:v>367.9681176005</x:v>
      </x:c>
      <x:c r="N127" s="46" t="str">
        <x:v>hemiramphus</x:v>
      </x:c>
      <x:c r="O127" s="62" t="n">
        <x:v>3.05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Hemiramphus</x:v>
      </x:c>
      <x:c r="T127" s="62" t="n">
        <x:f>IF(O127="","",(1/'Metadata'!$B$5)^(O127-1))</x:f>
        <x:v>112.2018454301963</x:v>
      </x:c>
      <x:c r="U127" s="60" t="n">
        <x:f>IF(T127="","",I127*T127)</x:f>
        <x:v>499164.2592562847</x:v>
      </x:c>
    </x:row>
    <x:row r="128" ht="18" customHeight="1">
      <x:c r="A128" s="46" t="str">
        <x:v>LME_034</x:v>
      </x:c>
      <x:c r="B128" s="46" t="str">
        <x:v>Bay of Bengal</x:v>
      </x:c>
      <x:c r="C128" s="46" t="str">
        <x:v>LME</x:v>
      </x:c>
      <x:c r="D128" s="58" t="n">
        <x:v>2019</x:v>
      </x:c>
      <x:c r="E128" s="46" t="str">
        <x:v>Nemipterus hexodon</x:v>
      </x:c>
      <x:c r="F128" s="46" t="str">
        <x:v>Ornate threadfin bream</x:v>
      </x:c>
      <x:c r="G128" s="46" t="str">
        <x:v>Small demersals (&lt;30 cm)</x:v>
      </x:c>
      <x:c r="H128" s="46" t="str">
        <x:v>Perch-likes</x:v>
      </x:c>
      <x:c r="I128" s="60" t="n">
        <x:v>4361.5180944335</x:v>
      </x:c>
      <x:c r="J128" s="60" t="n">
        <x:v>3639.2019435615</x:v>
      </x:c>
      <x:c r="K128" s="60" t="n">
        <x:v>722.316150872</x:v>
      </x:c>
      <x:c r="L128" s="60" t="n">
        <x:v>3450.8119781740997</x:v>
      </x:c>
      <x:c r="M128" s="60" t="n">
        <x:v>910.7061162594</x:v>
      </x:c>
      <x:c r="N128" s="46" t="str">
        <x:v>nemipterus hexodon</x:v>
      </x:c>
      <x:c r="O128" s="62" t="n">
        <x:v>3.93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Nemipterus hexodon</x:v>
      </x:c>
      <x:c r="T128" s="62" t="n">
        <x:f>IF(O128="","",(1/'Metadata'!$B$5)^(O128-1))</x:f>
        <x:v>851.1380382023768</x:v>
      </x:c>
      <x:c r="U128" s="60" t="n">
        <x:f>IF(T128="","",I128*T128)</x:f>
        <x:v>3712253.954480298</x:v>
      </x:c>
    </x:row>
    <x:row r="129" ht="18" customHeight="1">
      <x:c r="A129" s="46" t="str">
        <x:v>LME_034</x:v>
      </x:c>
      <x:c r="B129" s="46" t="str">
        <x:v>Bay of Bengal</x:v>
      </x:c>
      <x:c r="C129" s="46" t="str">
        <x:v>LME</x:v>
      </x:c>
      <x:c r="D129" s="58" t="n">
        <x:v>2019</x:v>
      </x:c>
      <x:c r="E129" s="46" t="str">
        <x:v>Dussumieria</x:v>
      </x:c>
      <x:c r="F129" s="46" t="str">
        <x:v>Rainbow sardines</x:v>
      </x:c>
      <x:c r="G129" s="46" t="str">
        <x:v>Small pelagics (&lt;30 cm)</x:v>
      </x:c>
      <x:c r="H129" s="46" t="str">
        <x:v>Herring-likes</x:v>
      </x:c>
      <x:c r="I129" s="60" t="n">
        <x:v>4330.7489980522</x:v>
      </x:c>
      <x:c r="J129" s="60" t="n">
        <x:v>4330.7489980522</x:v>
      </x:c>
      <x:c r="K129" s="60" t="n">
        <x:v>0</x:v>
      </x:c>
      <x:c r="L129" s="60" t="n">
        <x:v>2580.5725258442</x:v>
      </x:c>
      <x:c r="M129" s="60" t="n">
        <x:v>1750.176472208</x:v>
      </x:c>
      <x:c r="N129" s="46" t="str">
        <x:v>dussumieria</x:v>
      </x:c>
      <x:c r="O129" s="62" t="n">
        <x:v>3.4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Dussumieria</x:v>
      </x:c>
      <x:c r="T129" s="62" t="n">
        <x:f>IF(O129="","",(1/'Metadata'!$B$5)^(O129-1))</x:f>
        <x:v>251.18864315095797</x:v>
      </x:c>
      <x:c r="U129" s="60" t="n">
        <x:f>IF(T129="","",I129*T129)</x:f>
        <x:v>1087834.9646481026</x:v>
      </x:c>
    </x:row>
    <x:row r="130" ht="18" customHeight="1">
      <x:c r="A130" s="46" t="str">
        <x:v>LME_034</x:v>
      </x:c>
      <x:c r="B130" s="46" t="str">
        <x:v>Bay of Bengal</x:v>
      </x:c>
      <x:c r="C130" s="46" t="str">
        <x:v>LME</x:v>
      </x:c>
      <x:c r="D130" s="58" t="n">
        <x:v>2019</x:v>
      </x:c>
      <x:c r="E130" s="46" t="str">
        <x:v>Penaeus monodon</x:v>
      </x:c>
      <x:c r="F130" s="46" t="str">
        <x:v>Giant tiger prawn</x:v>
      </x:c>
      <x:c r="G130" s="46" t="str">
        <x:v>Shrimps</x:v>
      </x:c>
      <x:c r="H130" s="46" t="str">
        <x:v>Crustaceans</x:v>
      </x:c>
      <x:c r="I130" s="60" t="n">
        <x:v>4255.8180520171</x:v>
      </x:c>
      <x:c r="J130" s="60" t="n">
        <x:v>4255.8180520171</x:v>
      </x:c>
      <x:c r="K130" s="60" t="n">
        <x:v>0</x:v>
      </x:c>
      <x:c r="L130" s="60" t="n">
        <x:v>3270.3776703635</x:v>
      </x:c>
      <x:c r="M130" s="60" t="n">
        <x:v>985.4403816536</x:v>
      </x:c>
      <x:c r="N130" s="46" t="str">
        <x:v>penaeus monodon</x:v>
      </x:c>
      <x:c r="O130" s="62" t="n">
        <x:v>2.6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Penaeus monodon</x:v>
      </x:c>
      <x:c r="T130" s="62" t="n">
        <x:f>IF(O130="","",(1/'Metadata'!$B$5)^(O130-1))</x:f>
        <x:v>39.810717055349734</x:v>
      </x:c>
      <x:c r="U130" s="60" t="n">
        <x:f>IF(T130="","",I130*T130)</x:f>
        <x:v>169427.16830790244</x:v>
      </x:c>
    </x:row>
    <x:row r="131" ht="18" customHeight="1">
      <x:c r="A131" s="46" t="str">
        <x:v>LME_034</x:v>
      </x:c>
      <x:c r="B131" s="46" t="str">
        <x:v>Bay of Bengal</x:v>
      </x:c>
      <x:c r="C131" s="46" t="str">
        <x:v>LME</x:v>
      </x:c>
      <x:c r="D131" s="58" t="n">
        <x:v>2019</x:v>
      </x:c>
      <x:c r="E131" s="46" t="str">
        <x:v>Epinephelus</x:v>
      </x:c>
      <x:c r="F131" s="46" t="str">
        <x:v>Seabasses, hinds</x:v>
      </x:c>
      <x:c r="G131" s="46" t="str">
        <x:v>Medium reef assoc. fish (30 - 89 cm)</x:v>
      </x:c>
      <x:c r="H131" s="46" t="str">
        <x:v>Perch-likes</x:v>
      </x:c>
      <x:c r="I131" s="60" t="n">
        <x:v>4224.2023690859</x:v>
      </x:c>
      <x:c r="J131" s="60" t="n">
        <x:v>4215.785120726499</x:v>
      </x:c>
      <x:c r="K131" s="60" t="n">
        <x:v>8.4172483594</x:v>
      </x:c>
      <x:c r="L131" s="60" t="n">
        <x:v>1651.1744053024</x:v>
      </x:c>
      <x:c r="M131" s="60" t="n">
        <x:v>2573.0279637834997</x:v>
      </x:c>
      <x:c r="N131" s="46" t="str">
        <x:v>epinephelus</x:v>
      </x:c>
      <x:c r="O131" s="62" t="n">
        <x:v>3.84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Epinephelus</x:v>
      </x:c>
      <x:c r="T131" s="62" t="n">
        <x:f>IF(O131="","",(1/'Metadata'!$B$5)^(O131-1))</x:f>
        <x:v>691.8309709189363</x:v>
      </x:c>
      <x:c r="U131" s="60" t="n">
        <x:f>IF(T131="","",I131*T131)</x:f>
        <x:v>2922434.026362769</x:v>
      </x:c>
    </x:row>
    <x:row r="132" ht="18" customHeight="1">
      <x:c r="A132" s="46" t="str">
        <x:v>LME_034</x:v>
      </x:c>
      <x:c r="B132" s="46" t="str">
        <x:v>Bay of Bengal</x:v>
      </x:c>
      <x:c r="C132" s="46" t="str">
        <x:v>LME</x:v>
      </x:c>
      <x:c r="D132" s="58" t="n">
        <x:v>2019</x:v>
      </x:c>
      <x:c r="E132" s="46" t="str">
        <x:v>Escualosa thoracata</x:v>
      </x:c>
      <x:c r="F132" s="46" t="str">
        <x:v>White sardine</x:v>
      </x:c>
      <x:c r="G132" s="46" t="str">
        <x:v>Small pelagics (&lt;30 cm)</x:v>
      </x:c>
      <x:c r="H132" s="46" t="str">
        <x:v>Herring-likes</x:v>
      </x:c>
      <x:c r="I132" s="60" t="n">
        <x:v>4059.4558427626</x:v>
      </x:c>
      <x:c r="J132" s="60" t="n">
        <x:v>4059.4558427626</x:v>
      </x:c>
      <x:c r="K132" s="60" t="n">
        <x:v>0</x:v>
      </x:c>
      <x:c r="L132" s="60" t="n">
        <x:v>0</x:v>
      </x:c>
      <x:c r="M132" s="60" t="n">
        <x:v>4059.4558427626</x:v>
      </x:c>
      <x:c r="N132" s="46" t="str">
        <x:v>escualosa thoracata</x:v>
      </x:c>
      <x:c r="O132" s="62" t="n">
        <x:v>3.16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Escualosa thoracata</x:v>
      </x:c>
      <x:c r="T132" s="62" t="n">
        <x:f>IF(O132="","",(1/'Metadata'!$B$5)^(O132-1))</x:f>
        <x:v>144.5439770745928</x:v>
      </x:c>
      <x:c r="U132" s="60" t="n">
        <x:f>IF(T132="","",I132*T132)</x:f>
        <x:v>586769.8922715989</x:v>
      </x:c>
    </x:row>
    <x:row r="133" ht="18" customHeight="1">
      <x:c r="A133" s="46" t="str">
        <x:v>LME_034</x:v>
      </x:c>
      <x:c r="B133" s="46" t="str">
        <x:v>Bay of Bengal</x:v>
      </x:c>
      <x:c r="C133" s="46" t="str">
        <x:v>LME</x:v>
      </x:c>
      <x:c r="D133" s="58" t="n">
        <x:v>2019</x:v>
      </x:c>
      <x:c r="E133" s="46" t="str">
        <x:v>Psettodes erumei</x:v>
      </x:c>
      <x:c r="F133" s="46" t="str">
        <x:v>Indian halibut</x:v>
      </x:c>
      <x:c r="G133" s="46" t="str">
        <x:v>Small to medium flatfishes (&lt;90 cm)</x:v>
      </x:c>
      <x:c r="H133" s="46" t="str">
        <x:v>Flatfishes</x:v>
      </x:c>
      <x:c r="I133" s="60" t="n">
        <x:v>4037.6517066304</x:v>
      </x:c>
      <x:c r="J133" s="60" t="n">
        <x:v>3839.6781381471</x:v>
      </x:c>
      <x:c r="K133" s="60" t="n">
        <x:v>197.9735684833</x:v>
      </x:c>
      <x:c r="L133" s="60" t="n">
        <x:v>3173.8138210663</x:v>
      </x:c>
      <x:c r="M133" s="60" t="n">
        <x:v>863.8378855641</x:v>
      </x:c>
      <x:c r="N133" s="46" t="str">
        <x:v>psettodes erumei</x:v>
      </x:c>
      <x:c r="O133" s="62" t="n">
        <x:v>4.39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Psettodes erumei</x:v>
      </x:c>
      <x:c r="T133" s="62" t="n">
        <x:f>IF(O133="","",(1/'Metadata'!$B$5)^(O133-1))</x:f>
        <x:v>2454.7089156850284</x:v>
      </x:c>
      <x:c r="U133" s="60" t="n">
        <x:f>IF(T133="","",I133*T133)</x:f>
        <x:v>9911259.642696513</x:v>
      </x:c>
    </x:row>
    <x:row r="134" ht="18" customHeight="1">
      <x:c r="A134" s="46" t="str">
        <x:v>LME_034</x:v>
      </x:c>
      <x:c r="B134" s="46" t="str">
        <x:v>Bay of Bengal</x:v>
      </x:c>
      <x:c r="C134" s="46" t="str">
        <x:v>LME</x:v>
      </x:c>
      <x:c r="D134" s="58" t="n">
        <x:v>2019</x:v>
      </x:c>
      <x:c r="E134" s="46" t="str">
        <x:v>Parapenaeopsis stylifera</x:v>
      </x:c>
      <x:c r="F134" s="46" t="str">
        <x:v>Kiddi shrimp</x:v>
      </x:c>
      <x:c r="G134" s="46" t="str">
        <x:v>Shrimps</x:v>
      </x:c>
      <x:c r="H134" s="46" t="str">
        <x:v>Crustaceans</x:v>
      </x:c>
      <x:c r="I134" s="60" t="n">
        <x:v>4001.4874770436</x:v>
      </x:c>
      <x:c r="J134" s="60" t="n">
        <x:v>4001.4874770436</x:v>
      </x:c>
      <x:c r="K134" s="60" t="n">
        <x:v>0</x:v>
      </x:c>
      <x:c r="L134" s="60" t="n">
        <x:v>0</x:v>
      </x:c>
      <x:c r="M134" s="60" t="n">
        <x:v>4001.4874770436</x:v>
      </x:c>
      <x:c r="N134" s="46" t="str">
        <x:v>parapenaeopsis stylifera</x:v>
      </x:c>
      <x:c r="O134" s="62" t="n">
        <x:v>2.66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Parapenaeopsis stylifera</x:v>
      </x:c>
      <x:c r="T134" s="62" t="n">
        <x:f>IF(O134="","",(1/'Metadata'!$B$5)^(O134-1))</x:f>
        <x:v>45.708818961487516</x:v>
      </x:c>
      <x:c r="U134" s="60" t="n">
        <x:f>IF(T134="","",I134*T134)</x:f>
        <x:v>182903.26666484535</x:v>
      </x:c>
    </x:row>
    <x:row r="135" ht="18" customHeight="1">
      <x:c r="A135" s="46" t="str">
        <x:v>LME_034</x:v>
      </x:c>
      <x:c r="B135" s="46" t="str">
        <x:v>Bay of Bengal</x:v>
      </x:c>
      <x:c r="C135" s="46" t="str">
        <x:v>LME</x:v>
      </x:c>
      <x:c r="D135" s="58" t="n">
        <x:v>2019</x:v>
      </x:c>
      <x:c r="E135" s="46" t="str">
        <x:v>Metapenaeus tenuipes</x:v>
      </x:c>
      <x:c r="F135" s="46" t="str">
        <x:v>Stork shrimp</x:v>
      </x:c>
      <x:c r="G135" s="46" t="str">
        <x:v>Shrimps</x:v>
      </x:c>
      <x:c r="H135" s="46" t="str">
        <x:v>Crustaceans</x:v>
      </x:c>
      <x:c r="I135" s="60" t="n">
        <x:v>3981.9460208921</x:v>
      </x:c>
      <x:c r="J135" s="60" t="n">
        <x:v>3981.9460208921</x:v>
      </x:c>
      <x:c r="K135" s="60" t="n">
        <x:v>0</x:v>
      </x:c>
      <x:c r="L135" s="60" t="n">
        <x:v>0</x:v>
      </x:c>
      <x:c r="M135" s="60" t="n">
        <x:v>3981.9460208921</x:v>
      </x:c>
      <x:c r="N135" s="46" t="str">
        <x:v>metapenaeus tenuipes</x:v>
      </x:c>
      <x:c r="O135" s="62" t="n">
        <x:v>3.39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Metapenaeus tenuipes</x:v>
      </x:c>
      <x:c r="T135" s="62" t="n">
        <x:f>IF(O135="","",(1/'Metadata'!$B$5)^(O135-1))</x:f>
        <x:v>245.4708915685031</x:v>
      </x:c>
      <x:c r="U135" s="60" t="n">
        <x:f>IF(T135="","",I135*T135)</x:f>
        <x:v>977451.8399260371</x:v>
      </x:c>
    </x:row>
    <x:row r="136" ht="18" customHeight="1">
      <x:c r="A136" s="46" t="str">
        <x:v>LME_034</x:v>
      </x:c>
      <x:c r="B136" s="46" t="str">
        <x:v>Bay of Bengal</x:v>
      </x:c>
      <x:c r="C136" s="46" t="str">
        <x:v>LME</x:v>
      </x:c>
      <x:c r="D136" s="58" t="n">
        <x:v>2019</x:v>
      </x:c>
      <x:c r="E136" s="46" t="str">
        <x:v>Haemulidae</x:v>
      </x:c>
      <x:c r="F136" s="46" t="str">
        <x:v>Grunts, sweetlips, bonnetmouths</x:v>
      </x:c>
      <x:c r="G136" s="46" t="str">
        <x:v>Medium demersals (30 - 89 cm)</x:v>
      </x:c>
      <x:c r="H136" s="46" t="str">
        <x:v>Perch-likes</x:v>
      </x:c>
      <x:c r="I136" s="60" t="n">
        <x:v>3916.3973380172</x:v>
      </x:c>
      <x:c r="J136" s="60" t="n">
        <x:v>1687.5248073087</x:v>
      </x:c>
      <x:c r="K136" s="60" t="n">
        <x:v>2228.8725307085</x:v>
      </x:c>
      <x:c r="L136" s="60" t="n">
        <x:v>0</x:v>
      </x:c>
      <x:c r="M136" s="60" t="n">
        <x:v>3916.3973380172</x:v>
      </x:c>
      <x:c r="N136" s="46" t="str">
        <x:v>haemulidae</x:v>
      </x:c>
      <x:c r="O136" s="62" t="n">
        <x:v>3.36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Haemulidae</x:v>
      </x:c>
      <x:c r="T136" s="62" t="n">
        <x:f>IF(O136="","",(1/'Metadata'!$B$5)^(O136-1))</x:f>
        <x:v>229.08676527677724</x:v>
      </x:c>
      <x:c r="U136" s="60" t="n">
        <x:f>IF(T136="","",I136*T136)</x:f>
        <x:v>897194.7977049416</x:v>
      </x:c>
    </x:row>
    <x:row r="137" ht="18" customHeight="1">
      <x:c r="A137" s="46" t="str">
        <x:v>LME_034</x:v>
      </x:c>
      <x:c r="B137" s="46" t="str">
        <x:v>Bay of Bengal</x:v>
      </x:c>
      <x:c r="C137" s="46" t="str">
        <x:v>LME</x:v>
      </x:c>
      <x:c r="D137" s="58" t="n">
        <x:v>2019</x:v>
      </x:c>
      <x:c r="E137" s="46" t="str">
        <x:v>Chondrichthyes</x:v>
      </x:c>
      <x:c r="F137" s="46" t="str">
        <x:v>Sharks, rays, chimaeras</x:v>
      </x:c>
      <x:c r="G137" s="46" t="str">
        <x:v>Large sharks (&gt;=90 cm)</x:v>
      </x:c>
      <x:c r="H137" s="46" t="str">
        <x:v>Sharks &amp; rays</x:v>
      </x:c>
      <x:c r="I137" s="60" t="n">
        <x:v>3862.2095808044</x:v>
      </x:c>
      <x:c r="J137" s="60" t="n">
        <x:v>2641.7510664606</x:v>
      </x:c>
      <x:c r="K137" s="60" t="n">
        <x:v>1220.4585143438</x:v>
      </x:c>
      <x:c r="L137" s="60" t="n">
        <x:v>2234.6156746982</x:v>
      </x:c>
      <x:c r="M137" s="60" t="n">
        <x:v>1627.5939061062002</x:v>
      </x:c>
      <x:c r="N137" s="46" t="str">
        <x:v>chondrichthyes</x:v>
      </x:c>
      <x:c r="O137" s="62" t="n">
        <x:v>4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Chondrichthyes</x:v>
      </x:c>
      <x:c r="T137" s="62" t="n">
        <x:f>IF(O137="","",(1/'Metadata'!$B$5)^(O137-1))</x:f>
        <x:v>1000</x:v>
      </x:c>
      <x:c r="U137" s="60" t="n">
        <x:f>IF(T137="","",I137*T137)</x:f>
        <x:v>3862209.5808044</x:v>
      </x:c>
    </x:row>
    <x:row r="138" ht="18" customHeight="1">
      <x:c r="A138" s="46" t="str">
        <x:v>LME_034</x:v>
      </x:c>
      <x:c r="B138" s="46" t="str">
        <x:v>Bay of Bengal</x:v>
      </x:c>
      <x:c r="C138" s="46" t="str">
        <x:v>LME</x:v>
      </x:c>
      <x:c r="D138" s="58" t="n">
        <x:v>2019</x:v>
      </x:c>
      <x:c r="E138" s="46" t="str">
        <x:v>Terapon jarbua</x:v>
      </x:c>
      <x:c r="F138" s="46" t="str">
        <x:v>Jarbua terapon</x:v>
      </x:c>
      <x:c r="G138" s="46" t="str">
        <x:v>Medium demersals (30 - 89 cm)</x:v>
      </x:c>
      <x:c r="H138" s="46" t="str">
        <x:v>Perch-likes</x:v>
      </x:c>
      <x:c r="I138" s="60" t="n">
        <x:v>3605.0885194846</x:v>
      </x:c>
      <x:c r="J138" s="60" t="n">
        <x:v>3605.0885194846</x:v>
      </x:c>
      <x:c r="K138" s="60" t="n">
        <x:v>0</x:v>
      </x:c>
      <x:c r="L138" s="60" t="n">
        <x:v>0</x:v>
      </x:c>
      <x:c r="M138" s="60" t="n">
        <x:v>3605.0885194846</x:v>
      </x:c>
      <x:c r="N138" s="46" t="str">
        <x:v>terapon jarbua</x:v>
      </x:c>
      <x:c r="O138" s="62" t="n">
        <x:v>3.93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Terapon jarbua</x:v>
      </x:c>
      <x:c r="T138" s="62" t="n">
        <x:f>IF(O138="","",(1/'Metadata'!$B$5)^(O138-1))</x:f>
        <x:v>851.1380382023768</x:v>
      </x:c>
      <x:c r="U138" s="60" t="n">
        <x:f>IF(T138="","",I138*T138)</x:f>
        <x:v>3068427.970020034</x:v>
      </x:c>
    </x:row>
    <x:row r="139" ht="18" customHeight="1">
      <x:c r="A139" s="46" t="str">
        <x:v>LME_034</x:v>
      </x:c>
      <x:c r="B139" s="46" t="str">
        <x:v>Bay of Bengal</x:v>
      </x:c>
      <x:c r="C139" s="46" t="str">
        <x:v>LME</x:v>
      </x:c>
      <x:c r="D139" s="58" t="n">
        <x:v>2019</x:v>
      </x:c>
      <x:c r="E139" s="46" t="str">
        <x:v>Amblygaster sirm</x:v>
      </x:c>
      <x:c r="F139" s="46" t="str">
        <x:v>Spotted sardinella</x:v>
      </x:c>
      <x:c r="G139" s="46" t="str">
        <x:v>Small pelagics (&lt;30 cm)</x:v>
      </x:c>
      <x:c r="H139" s="46" t="str">
        <x:v>Herring-likes</x:v>
      </x:c>
      <x:c r="I139" s="60" t="n">
        <x:v>3512.1974600901</x:v>
      </x:c>
      <x:c r="J139" s="60" t="n">
        <x:v>3512.1974600901</x:v>
      </x:c>
      <x:c r="K139" s="60" t="n">
        <x:v>0</x:v>
      </x:c>
      <x:c r="L139" s="60" t="n">
        <x:v>0</x:v>
      </x:c>
      <x:c r="M139" s="60" t="n">
        <x:v>3512.1974600901</x:v>
      </x:c>
      <x:c r="N139" s="46" t="str">
        <x:v>amblygaster sirm</x:v>
      </x:c>
      <x:c r="O139" s="62" t="n">
        <x:v>3.2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Amblygaster sirm</x:v>
      </x:c>
      <x:c r="T139" s="62" t="n">
        <x:f>IF(O139="","",(1/'Metadata'!$B$5)^(O139-1))</x:f>
        <x:v>158.48931924611142</x:v>
      </x:c>
      <x:c r="U139" s="60" t="n">
        <x:f>IF(T139="","",I139*T139)</x:f>
        <x:v>556645.7845076015</x:v>
      </x:c>
    </x:row>
    <x:row r="140" ht="18" customHeight="1">
      <x:c r="A140" s="46" t="str">
        <x:v>LME_034</x:v>
      </x:c>
      <x:c r="B140" s="46" t="str">
        <x:v>Bay of Bengal</x:v>
      </x:c>
      <x:c r="C140" s="46" t="str">
        <x:v>LME</x:v>
      </x:c>
      <x:c r="D140" s="58" t="n">
        <x:v>2019</x:v>
      </x:c>
      <x:c r="E140" s="46" t="str">
        <x:v>Sardinella gibbosa</x:v>
      </x:c>
      <x:c r="F140" s="46" t="str">
        <x:v>Goldstripe sardinella</x:v>
      </x:c>
      <x:c r="G140" s="46" t="str">
        <x:v>Small pelagics (&lt;30 cm)</x:v>
      </x:c>
      <x:c r="H140" s="46" t="str">
        <x:v>Herring-likes</x:v>
      </x:c>
      <x:c r="I140" s="60" t="n">
        <x:v>3511.32040027</x:v>
      </x:c>
      <x:c r="J140" s="60" t="n">
        <x:v>3511.32040027</x:v>
      </x:c>
      <x:c r="K140" s="60" t="n">
        <x:v>0</x:v>
      </x:c>
      <x:c r="L140" s="60" t="n">
        <x:v>0</x:v>
      </x:c>
      <x:c r="M140" s="60" t="n">
        <x:v>3511.32040027</x:v>
      </x:c>
      <x:c r="N140" s="46" t="str">
        <x:v>sardinella gibbosa</x:v>
      </x:c>
      <x:c r="O140" s="62" t="n">
        <x:v>2.85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Sardinella gibbosa</x:v>
      </x:c>
      <x:c r="T140" s="62" t="n">
        <x:f>IF(O140="","",(1/'Metadata'!$B$5)^(O140-1))</x:f>
        <x:v>70.79457843841381</x:v>
      </x:c>
      <x:c r="U140" s="60" t="n">
        <x:f>IF(T140="","",I140*T140)</x:f>
        <x:v>248582.4474993171</x:v>
      </x:c>
    </x:row>
    <x:row r="141" ht="18" customHeight="1">
      <x:c r="A141" s="46" t="str">
        <x:v>LME_034</x:v>
      </x:c>
      <x:c r="B141" s="46" t="str">
        <x:v>Bay of Bengal</x:v>
      </x:c>
      <x:c r="C141" s="46" t="str">
        <x:v>LME</x:v>
      </x:c>
      <x:c r="D141" s="58" t="n">
        <x:v>2019</x:v>
      </x:c>
      <x:c r="E141" s="46" t="str">
        <x:v>Penaeus indicus</x:v>
      </x:c>
      <x:c r="F141" s="46" t="str">
        <x:v>Indian white prawn</x:v>
      </x:c>
      <x:c r="G141" s="46" t="str">
        <x:v>Shrimps</x:v>
      </x:c>
      <x:c r="H141" s="46" t="str">
        <x:v>Crustaceans</x:v>
      </x:c>
      <x:c r="I141" s="60" t="n">
        <x:v>3484.8888138356997</x:v>
      </x:c>
      <x:c r="J141" s="60" t="n">
        <x:v>3484.8888138356997</x:v>
      </x:c>
      <x:c r="K141" s="60" t="n">
        <x:v>0</x:v>
      </x:c>
      <x:c r="L141" s="60" t="n">
        <x:v>2877.1685266082</x:v>
      </x:c>
      <x:c r="M141" s="60" t="n">
        <x:v>607.7202872275</x:v>
      </x:c>
      <x:c r="N141" s="46" t="str">
        <x:v>penaeus indicus</x:v>
      </x:c>
      <x:c r="O141" s="62" t="n">
        <x:v>2.7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Penaeus indicus</x:v>
      </x:c>
      <x:c r="T141" s="62" t="n">
        <x:f>IF(O141="","",(1/'Metadata'!$B$5)^(O141-1))</x:f>
        <x:v>50.11872336272725</x:v>
      </x:c>
      <x:c r="U141" s="60" t="n">
        <x:f>IF(T141="","",I141*T141)</x:f>
        <x:v>174658.17841049415</x:v>
      </x:c>
    </x:row>
    <x:row r="142" ht="18" customHeight="1">
      <x:c r="A142" s="46" t="str">
        <x:v>LME_034</x:v>
      </x:c>
      <x:c r="B142" s="46" t="str">
        <x:v>Bay of Bengal</x:v>
      </x:c>
      <x:c r="C142" s="46" t="str">
        <x:v>LME</x:v>
      </x:c>
      <x:c r="D142" s="58" t="n">
        <x:v>2019</x:v>
      </x:c>
      <x:c r="E142" s="46" t="str">
        <x:v>Caranx</x:v>
      </x:c>
      <x:c r="F142" s="46" t="str">
        <x:v>Jacks</x:v>
      </x:c>
      <x:c r="G142" s="46" t="str">
        <x:v>Medium reef assoc. fish (30 - 89 cm)</x:v>
      </x:c>
      <x:c r="H142" s="46" t="str">
        <x:v>Perch-likes</x:v>
      </x:c>
      <x:c r="I142" s="60" t="n">
        <x:v>3355.2785056267</x:v>
      </x:c>
      <x:c r="J142" s="60" t="n">
        <x:v>3107.393417796</x:v>
      </x:c>
      <x:c r="K142" s="60" t="n">
        <x:v>247.8850878307</x:v>
      </x:c>
      <x:c r="L142" s="60" t="n">
        <x:v>2998.4507334208</x:v>
      </x:c>
      <x:c r="M142" s="60" t="n">
        <x:v>356.8277722059</x:v>
      </x:c>
      <x:c r="N142" s="46" t="str">
        <x:v>caranx</x:v>
      </x:c>
      <x:c r="O142" s="62" t="n">
        <x:v>4.12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Caranx</x:v>
      </x:c>
      <x:c r="T142" s="62" t="n">
        <x:f>IF(O142="","",(1/'Metadata'!$B$5)^(O142-1))</x:f>
        <x:v>1318.2567385564075</x:v>
      </x:c>
      <x:c r="U142" s="60" t="n">
        <x:f>IF(T142="","",I142*T142)</x:f>
        <x:v>4423118.49977587</x:v>
      </x:c>
    </x:row>
    <x:row r="143" ht="18" customHeight="1">
      <x:c r="A143" s="46" t="str">
        <x:v>LME_034</x:v>
      </x:c>
      <x:c r="B143" s="46" t="str">
        <x:v>Bay of Bengal</x:v>
      </x:c>
      <x:c r="C143" s="46" t="str">
        <x:v>LME</x:v>
      </x:c>
      <x:c r="D143" s="58" t="n">
        <x:v>2019</x:v>
      </x:c>
      <x:c r="E143" s="46" t="str">
        <x:v>Nemipterus japonicus</x:v>
      </x:c>
      <x:c r="F143" s="46" t="str">
        <x:v>Japanese threadfin bream</x:v>
      </x:c>
      <x:c r="G143" s="46" t="str">
        <x:v>Small demersals (&lt;30 cm)</x:v>
      </x:c>
      <x:c r="H143" s="46" t="str">
        <x:v>Perch-likes</x:v>
      </x:c>
      <x:c r="I143" s="60" t="n">
        <x:v>3183.0587325175998</x:v>
      </x:c>
      <x:c r="J143" s="60" t="n">
        <x:v>3077.6024687517997</x:v>
      </x:c>
      <x:c r="K143" s="60" t="n">
        <x:v>105.4562637658</x:v>
      </x:c>
      <x:c r="L143" s="60" t="n">
        <x:v>3077.6024687517997</x:v>
      </x:c>
      <x:c r="M143" s="60" t="n">
        <x:v>105.4562637658</x:v>
      </x:c>
      <x:c r="N143" s="46" t="str">
        <x:v>nemipterus japonicus</x:v>
      </x:c>
      <x:c r="O143" s="62" t="n">
        <x:v>3.77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Nemipterus japonicus</x:v>
      </x:c>
      <x:c r="T143" s="62" t="n">
        <x:f>IF(O143="","",(1/'Metadata'!$B$5)^(O143-1))</x:f>
        <x:v>588.843655355589</x:v>
      </x:c>
      <x:c r="U143" s="60" t="n">
        <x:f>IF(T143="","",I143*T143)</x:f>
        <x:v>1874323.9392671916</x:v>
      </x:c>
    </x:row>
    <x:row r="144" ht="18" customHeight="1">
      <x:c r="A144" s="46" t="str">
        <x:v>LME_034</x:v>
      </x:c>
      <x:c r="B144" s="46" t="str">
        <x:v>Bay of Bengal</x:v>
      </x:c>
      <x:c r="C144" s="46" t="str">
        <x:v>LME</x:v>
      </x:c>
      <x:c r="D144" s="58" t="n">
        <x:v>2019</x:v>
      </x:c>
      <x:c r="E144" s="46" t="str">
        <x:v>Gudusia chapra</x:v>
      </x:c>
      <x:c r="F144" s="46" t="str">
        <x:v>Indian river shad</x:v>
      </x:c>
      <x:c r="G144" s="46" t="str">
        <x:v>Small pelagics (&lt;30 cm)</x:v>
      </x:c>
      <x:c r="H144" s="46" t="str">
        <x:v>Herring-likes</x:v>
      </x:c>
      <x:c r="I144" s="60" t="n">
        <x:v>3091.2349815581</x:v>
      </x:c>
      <x:c r="J144" s="60" t="n">
        <x:v>3091.2349815581</x:v>
      </x:c>
      <x:c r="K144" s="60" t="n">
        <x:v>0</x:v>
      </x:c>
      <x:c r="L144" s="60" t="n">
        <x:v>0</x:v>
      </x:c>
      <x:c r="M144" s="60" t="n">
        <x:v>3091.2349815581</x:v>
      </x:c>
      <x:c r="N144" s="46" t="str">
        <x:v>gudusia chapra</x:v>
      </x:c>
      <x:c r="O144" s="62" t="n">
        <x:v>2.31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Gudusia chapra</x:v>
      </x:c>
      <x:c r="T144" s="62" t="n">
        <x:f>IF(O144="","",(1/'Metadata'!$B$5)^(O144-1))</x:f>
        <x:v>20.417379446695296</x:v>
      </x:c>
      <x:c r="U144" s="60" t="n">
        <x:f>IF(T144="","",I144*T144)</x:f>
        <x:v>63114.917577369866</x:v>
      </x:c>
    </x:row>
    <x:row r="145" ht="18" customHeight="1">
      <x:c r="A145" s="46" t="str">
        <x:v>LME_034</x:v>
      </x:c>
      <x:c r="B145" s="46" t="str">
        <x:v>Bay of Bengal</x:v>
      </x:c>
      <x:c r="C145" s="46" t="str">
        <x:v>LME</x:v>
      </x:c>
      <x:c r="D145" s="58" t="n">
        <x:v>2019</x:v>
      </x:c>
      <x:c r="E145" s="46" t="str">
        <x:v>Scombroidei</x:v>
      </x:c>
      <x:c r="F145" s="46" t="str">
        <x:v>Tunas, bonitos, billfishes</x:v>
      </x:c>
      <x:c r="G145" s="46" t="str">
        <x:v>Large pelagics (&gt;=90 cm)</x:v>
      </x:c>
      <x:c r="H145" s="46" t="str">
        <x:v>Tuna &amp; billfishes</x:v>
      </x:c>
      <x:c r="I145" s="60" t="n">
        <x:v>2978.2210833812</x:v>
      </x:c>
      <x:c r="J145" s="60" t="n">
        <x:v>2978.2210833812</x:v>
      </x:c>
      <x:c r="K145" s="60" t="n">
        <x:v>0</x:v>
      </x:c>
      <x:c r="L145" s="60" t="n">
        <x:v>2978.2210833812</x:v>
      </x:c>
      <x:c r="M145" s="60" t="n">
        <x:v>0</x:v>
      </x:c>
      <x:c r="N145" s="46" t="str">
        <x:v>scombroidei</x:v>
      </x:c>
      <x:c r="O145" s="62" t="n">
        <x:v>4.2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Scombroidei</x:v>
      </x:c>
      <x:c r="T145" s="62" t="n">
        <x:f>IF(O145="","",(1/'Metadata'!$B$5)^(O145-1))</x:f>
        <x:v>1584.893192461114</x:v>
      </x:c>
      <x:c r="U145" s="60" t="n">
        <x:f>IF(T145="","",I145*T145)</x:f>
        <x:v>4720162.320695028</x:v>
      </x:c>
    </x:row>
    <x:row r="146" ht="18" customHeight="1">
      <x:c r="A146" s="46" t="str">
        <x:v>LME_034</x:v>
      </x:c>
      <x:c r="B146" s="46" t="str">
        <x:v>Bay of Bengal</x:v>
      </x:c>
      <x:c r="C146" s="46" t="str">
        <x:v>LME</x:v>
      </x:c>
      <x:c r="D146" s="58" t="n">
        <x:v>2019</x:v>
      </x:c>
      <x:c r="E146" s="46" t="str">
        <x:v>Caesio</x:v>
      </x:c>
      <x:c r="F146" s="46" t="str">
        <x:v>Caesios</x:v>
      </x:c>
      <x:c r="G146" s="46" t="str">
        <x:v>Medium reef assoc. fish (30 - 89 cm)</x:v>
      </x:c>
      <x:c r="H146" s="46" t="str">
        <x:v>Perch-likes</x:v>
      </x:c>
      <x:c r="I146" s="60" t="n">
        <x:v>2977.2049051112</x:v>
      </x:c>
      <x:c r="J146" s="60" t="n">
        <x:v>2977.2049051112</x:v>
      </x:c>
      <x:c r="K146" s="60" t="n">
        <x:v>0</x:v>
      </x:c>
      <x:c r="L146" s="60" t="n">
        <x:v>2958.5449284891</x:v>
      </x:c>
      <x:c r="M146" s="60" t="n">
        <x:v>18.6599766221</x:v>
      </x:c>
      <x:c r="N146" s="46" t="str">
        <x:v>caesio</x:v>
      </x:c>
      <x:c r="O146" s="62" t="n">
        <x:v>3.4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Caesio</x:v>
      </x:c>
      <x:c r="T146" s="62" t="n">
        <x:f>IF(O146="","",(1/'Metadata'!$B$5)^(O146-1))</x:f>
        <x:v>251.18864315095797</x:v>
      </x:c>
      <x:c r="U146" s="60" t="n">
        <x:f>IF(T146="","",I146*T146)</x:f>
        <x:v>747840.0604972589</x:v>
      </x:c>
    </x:row>
    <x:row r="147" ht="18" customHeight="1">
      <x:c r="A147" s="46" t="str">
        <x:v>LME_034</x:v>
      </x:c>
      <x:c r="B147" s="46" t="str">
        <x:v>Bay of Bengal</x:v>
      </x:c>
      <x:c r="C147" s="46" t="str">
        <x:v>LME</x:v>
      </x:c>
      <x:c r="D147" s="58" t="n">
        <x:v>2019</x:v>
      </x:c>
      <x:c r="E147" s="46" t="str">
        <x:v>Gobiidae</x:v>
      </x:c>
      <x:c r="F147" s="46" t="str">
        <x:v>Gobies</x:v>
      </x:c>
      <x:c r="G147" s="46" t="str">
        <x:v>Small reef assoc. fish (&lt;30 cm)</x:v>
      </x:c>
      <x:c r="H147" s="46" t="str">
        <x:v>Perch-likes</x:v>
      </x:c>
      <x:c r="I147" s="60" t="n">
        <x:v>2975.9674453284997</x:v>
      </x:c>
      <x:c r="J147" s="60" t="n">
        <x:v>2876.8567269706</x:v>
      </x:c>
      <x:c r="K147" s="60" t="n">
        <x:v>99.1107183579</x:v>
      </x:c>
      <x:c r="L147" s="60" t="n">
        <x:v>2876.8567269706</x:v>
      </x:c>
      <x:c r="M147" s="60" t="n">
        <x:v>99.1107183579</x:v>
      </x:c>
      <x:c r="N147" s="46" t="str">
        <x:v>gobiidae</x:v>
      </x:c>
      <x:c r="O147" s="62" t="n">
        <x:v>3.11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Gobiidae</x:v>
      </x:c>
      <x:c r="T147" s="62" t="n">
        <x:f>IF(O147="","",(1/'Metadata'!$B$5)^(O147-1))</x:f>
        <x:v>128.82495516931337</x:v>
      </x:c>
      <x:c r="U147" s="60" t="n">
        <x:f>IF(T147="","",I147*T147)</x:f>
        <x:v>383378.87272978004</x:v>
      </x:c>
    </x:row>
    <x:row r="148" ht="18" customHeight="1">
      <x:c r="A148" s="46" t="str">
        <x:v>LME_034</x:v>
      </x:c>
      <x:c r="B148" s="46" t="str">
        <x:v>Bay of Bengal</x:v>
      </x:c>
      <x:c r="C148" s="46" t="str">
        <x:v>LME</x:v>
      </x:c>
      <x:c r="D148" s="58" t="n">
        <x:v>2019</x:v>
      </x:c>
      <x:c r="E148" s="46" t="str">
        <x:v>Ilisha elongata</x:v>
      </x:c>
      <x:c r="F148" s="46" t="str">
        <x:v>Elongate ilisha</x:v>
      </x:c>
      <x:c r="G148" s="46" t="str">
        <x:v>Medium pelagics (30 - 89 cm)</x:v>
      </x:c>
      <x:c r="H148" s="46" t="str">
        <x:v>Herring-likes</x:v>
      </x:c>
      <x:c r="I148" s="60" t="n">
        <x:v>2937.0300911658</x:v>
      </x:c>
      <x:c r="J148" s="60" t="n">
        <x:v>2864.7576707414</x:v>
      </x:c>
      <x:c r="K148" s="60" t="n">
        <x:v>72.2724204244</x:v>
      </x:c>
      <x:c r="L148" s="60" t="n">
        <x:v>2111.7218343306004</x:v>
      </x:c>
      <x:c r="M148" s="60" t="n">
        <x:v>825.3082568351999</x:v>
      </x:c>
      <x:c r="N148" s="46" t="str">
        <x:v>ilisha elongata</x:v>
      </x:c>
      <x:c r="O148" s="62" t="n">
        <x:v>3.79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Ilisha elongata</x:v>
      </x:c>
      <x:c r="T148" s="62" t="n">
        <x:f>IF(O148="","",(1/'Metadata'!$B$5)^(O148-1))</x:f>
        <x:v>616.5950018614822</x:v>
      </x:c>
      <x:c r="U148" s="60" t="n">
        <x:f>IF(T148="","",I148*T148)</x:f>
        <x:v>1810958.0745296057</x:v>
      </x:c>
    </x:row>
    <x:row r="149" ht="18" customHeight="1">
      <x:c r="A149" s="46" t="str">
        <x:v>LME_034</x:v>
      </x:c>
      <x:c r="B149" s="46" t="str">
        <x:v>Bay of Bengal</x:v>
      </x:c>
      <x:c r="C149" s="46" t="str">
        <x:v>LME</x:v>
      </x:c>
      <x:c r="D149" s="58" t="n">
        <x:v>2019</x:v>
      </x:c>
      <x:c r="E149" s="46" t="str">
        <x:v>Mytilidae</x:v>
      </x:c>
      <x:c r="F149" s="46" t="str">
        <x:v>Sea mussels</x:v>
      </x:c>
      <x:c r="G149" s="46" t="str">
        <x:v>Other demersal invertebrates</x:v>
      </x:c>
      <x:c r="H149" s="46" t="str">
        <x:v>Molluscs</x:v>
      </x:c>
      <x:c r="I149" s="60" t="n">
        <x:v>2851.2632598891</x:v>
      </x:c>
      <x:c r="J149" s="60" t="n">
        <x:v>2851.2632598891</x:v>
      </x:c>
      <x:c r="K149" s="60" t="n">
        <x:v>0</x:v>
      </x:c>
      <x:c r="L149" s="60" t="n">
        <x:v>0</x:v>
      </x:c>
      <x:c r="M149" s="60" t="n">
        <x:v>2851.2632598891</x:v>
      </x:c>
      <x:c r="N149" s="46" t="str">
        <x:v>mytilidae</x:v>
      </x:c>
      <x:c r="O149" s="62" t="n">
        <x:v>2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Mytilidae</x:v>
      </x:c>
      <x:c r="T149" s="62" t="n">
        <x:f>IF(O149="","",(1/'Metadata'!$B$5)^(O149-1))</x:f>
        <x:v>10</x:v>
      </x:c>
      <x:c r="U149" s="60" t="n">
        <x:f>IF(T149="","",I149*T149)</x:f>
        <x:v>28512.632598891</x:v>
      </x:c>
    </x:row>
    <x:row r="150" ht="18" customHeight="1">
      <x:c r="A150" s="46" t="str">
        <x:v>LME_034</x:v>
      </x:c>
      <x:c r="B150" s="46" t="str">
        <x:v>Bay of Bengal</x:v>
      </x:c>
      <x:c r="C150" s="46" t="str">
        <x:v>LME</x:v>
      </x:c>
      <x:c r="D150" s="58" t="n">
        <x:v>2019</x:v>
      </x:c>
      <x:c r="E150" s="46" t="str">
        <x:v>Metapenaeus brevicornis</x:v>
      </x:c>
      <x:c r="F150" s="46" t="str">
        <x:v>Yellow shrimp</x:v>
      </x:c>
      <x:c r="G150" s="46" t="str">
        <x:v>Shrimps</x:v>
      </x:c>
      <x:c r="H150" s="46" t="str">
        <x:v>Crustaceans</x:v>
      </x:c>
      <x:c r="I150" s="60" t="n">
        <x:v>2759.8083518778</x:v>
      </x:c>
      <x:c r="J150" s="60" t="n">
        <x:v>2759.8083518778</x:v>
      </x:c>
      <x:c r="K150" s="60" t="n">
        <x:v>0</x:v>
      </x:c>
      <x:c r="L150" s="60" t="n">
        <x:v>0</x:v>
      </x:c>
      <x:c r="M150" s="60" t="n">
        <x:v>2759.8083518778</x:v>
      </x:c>
      <x:c r="N150" s="46" t="str">
        <x:v>metapenaeus brevicornis</x:v>
      </x:c>
      <x:c r="O150" s="62" t="n">
        <x:v>3.39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Metapenaeus brevicornis</x:v>
      </x:c>
      <x:c r="T150" s="62" t="n">
        <x:f>IF(O150="","",(1/'Metadata'!$B$5)^(O150-1))</x:f>
        <x:v>245.4708915685031</x:v>
      </x:c>
      <x:c r="U150" s="60" t="n">
        <x:f>IF(T150="","",I150*T150)</x:f>
        <x:v>677452.6166936447</x:v>
      </x:c>
    </x:row>
    <x:row r="151" ht="18" customHeight="1">
      <x:c r="A151" s="46" t="str">
        <x:v>LME_034</x:v>
      </x:c>
      <x:c r="B151" s="46" t="str">
        <x:v>Bay of Bengal</x:v>
      </x:c>
      <x:c r="C151" s="46" t="str">
        <x:v>LME</x:v>
      </x:c>
      <x:c r="D151" s="58" t="n">
        <x:v>2019</x:v>
      </x:c>
      <x:c r="E151" s="46" t="str">
        <x:v>Muraenesox</x:v>
      </x:c>
      <x:c r="F151" s="46" t="str">
        <x:v>Congers</x:v>
      </x:c>
      <x:c r="G151" s="46" t="str">
        <x:v>Large demersals (&gt;=90 cm)</x:v>
      </x:c>
      <x:c r="H151" s="46" t="str">
        <x:v>Other fishes &amp; inverts</x:v>
      </x:c>
      <x:c r="I151" s="60" t="n">
        <x:v>2697.5851861282</x:v>
      </x:c>
      <x:c r="J151" s="60" t="n">
        <x:v>2697.5851861282</x:v>
      </x:c>
      <x:c r="K151" s="60" t="n">
        <x:v>0</x:v>
      </x:c>
      <x:c r="L151" s="60" t="n">
        <x:v>1551.7068287129</x:v>
      </x:c>
      <x:c r="M151" s="60" t="n">
        <x:v>1145.8783574153</x:v>
      </x:c>
      <x:c r="N151" s="46" t="str">
        <x:v>muraenesox</x:v>
      </x:c>
      <x:c r="O151" s="62" t="n">
        <x:v>3.99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Muraenesox</x:v>
      </x:c>
      <x:c r="T151" s="62" t="n">
        <x:f>IF(O151="","",(1/'Metadata'!$B$5)^(O151-1))</x:f>
        <x:v>977.2372209558112</x:v>
      </x:c>
      <x:c r="U151" s="60" t="n">
        <x:f>IF(T151="","",I151*T151)</x:f>
        <x:v>2636180.6505834865</x:v>
      </x:c>
    </x:row>
    <x:row r="152" ht="18" customHeight="1">
      <x:c r="A152" s="46" t="str">
        <x:v>LME_034</x:v>
      </x:c>
      <x:c r="B152" s="46" t="str">
        <x:v>Bay of Bengal</x:v>
      </x:c>
      <x:c r="C152" s="46" t="str">
        <x:v>LME</x:v>
      </x:c>
      <x:c r="D152" s="58" t="n">
        <x:v>2019</x:v>
      </x:c>
      <x:c r="E152" s="46" t="str">
        <x:v>Bothidae</x:v>
      </x:c>
      <x:c r="F152" s="46" t="str">
        <x:v>Lefteye flounders</x:v>
      </x:c>
      <x:c r="G152" s="46" t="str">
        <x:v>Small to medium flatfishes (&lt;90 cm)</x:v>
      </x:c>
      <x:c r="H152" s="46" t="str">
        <x:v>Flatfishes</x:v>
      </x:c>
      <x:c r="I152" s="60" t="n">
        <x:v>2680.155637271</x:v>
      </x:c>
      <x:c r="J152" s="60" t="n">
        <x:v>2590.3422459757</x:v>
      </x:c>
      <x:c r="K152" s="60" t="n">
        <x:v>89.81339129530001</x:v>
      </x:c>
      <x:c r="L152" s="60" t="n">
        <x:v>2590.3422459757</x:v>
      </x:c>
      <x:c r="M152" s="60" t="n">
        <x:v>89.81339129530001</x:v>
      </x:c>
      <x:c r="N152" s="46" t="str">
        <x:v>bothidae</x:v>
      </x:c>
      <x:c r="O152" s="62" t="n">
        <x:v>3.77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Bothidae</x:v>
      </x:c>
      <x:c r="T152" s="62" t="n">
        <x:f>IF(O152="","",(1/'Metadata'!$B$5)^(O152-1))</x:f>
        <x:v>588.843655355589</x:v>
      </x:c>
      <x:c r="U152" s="60" t="n">
        <x:f>IF(T152="","",I152*T152)</x:f>
        <x:v>1578192.642372544</x:v>
      </x:c>
    </x:row>
    <x:row r="153" ht="18" customHeight="1">
      <x:c r="A153" s="46" t="str">
        <x:v>LME_034</x:v>
      </x:c>
      <x:c r="B153" s="46" t="str">
        <x:v>Bay of Bengal</x:v>
      </x:c>
      <x:c r="C153" s="46" t="str">
        <x:v>LME</x:v>
      </x:c>
      <x:c r="D153" s="58" t="n">
        <x:v>2019</x:v>
      </x:c>
      <x:c r="E153" s="46" t="str">
        <x:v>Octopodidae</x:v>
      </x:c>
      <x:c r="F153" s="46" t="str">
        <x:v>Octopuses</x:v>
      </x:c>
      <x:c r="G153" s="46" t="str">
        <x:v>Cephalopods</x:v>
      </x:c>
      <x:c r="H153" s="46" t="str">
        <x:v>Other fishes &amp; inverts</x:v>
      </x:c>
      <x:c r="I153" s="60" t="n">
        <x:v>2667.8948307588</x:v>
      </x:c>
      <x:c r="J153" s="60" t="n">
        <x:v>2667.8948307588</x:v>
      </x:c>
      <x:c r="K153" s="60" t="n">
        <x:v>0</x:v>
      </x:c>
      <x:c r="L153" s="60" t="n">
        <x:v>1909.0066517327</x:v>
      </x:c>
      <x:c r="M153" s="60" t="n">
        <x:v>758.8881790260999</x:v>
      </x:c>
      <x:c r="N153" s="46" t="str">
        <x:v>octopodidae</x:v>
      </x:c>
      <x:c r="O153" s="62" t="n">
        <x:v>3.59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Octopodidae</x:v>
      </x:c>
      <x:c r="T153" s="62" t="n">
        <x:f>IF(O153="","",(1/'Metadata'!$B$5)^(O153-1))</x:f>
        <x:v>389.04514499428046</x:v>
      </x:c>
      <x:c r="U153" s="60" t="n">
        <x:f>IF(T153="","",I153*T153)</x:f>
        <x:v>1037931.5312620486</x:v>
      </x:c>
    </x:row>
    <x:row r="154" ht="18" customHeight="1">
      <x:c r="A154" s="46" t="str">
        <x:v>LME_034</x:v>
      </x:c>
      <x:c r="B154" s="46" t="str">
        <x:v>Bay of Bengal</x:v>
      </x:c>
      <x:c r="C154" s="46" t="str">
        <x:v>LME</x:v>
      </x:c>
      <x:c r="D154" s="58" t="n">
        <x:v>2019</x:v>
      </x:c>
      <x:c r="E154" s="46" t="str">
        <x:v>Coryphaena</x:v>
      </x:c>
      <x:c r="F154" s="46" t="str">
        <x:v>Dolphinfishes</x:v>
      </x:c>
      <x:c r="G154" s="46" t="str">
        <x:v>Large pelagics (&gt;=90 cm)</x:v>
      </x:c>
      <x:c r="H154" s="46" t="str">
        <x:v>Perch-likes</x:v>
      </x:c>
      <x:c r="I154" s="60" t="n">
        <x:v>2603.8089587444</x:v>
      </x:c>
      <x:c r="J154" s="60" t="n">
        <x:v>2603.8089587444</x:v>
      </x:c>
      <x:c r="K154" s="60" t="n">
        <x:v>0</x:v>
      </x:c>
      <x:c r="L154" s="60" t="n">
        <x:v>2595.6932824208</x:v>
      </x:c>
      <x:c r="M154" s="60" t="n">
        <x:v>8.1156763236</x:v>
      </x:c>
      <x:c r="N154" s="46" t="str">
        <x:v>coryphaena</x:v>
      </x:c>
      <x:c r="O154" s="62" t="n">
        <x:v>4.49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Coryphaena</x:v>
      </x:c>
      <x:c r="T154" s="62" t="n">
        <x:f>IF(O154="","",(1/'Metadata'!$B$5)^(O154-1))</x:f>
        <x:v>3090.295432513592</x:v>
      </x:c>
      <x:c r="U154" s="60" t="n">
        <x:f>IF(T154="","",I154*T154)</x:f>
        <x:v>8046538.932345792</x:v>
      </x:c>
    </x:row>
    <x:row r="155" ht="18" customHeight="1">
      <x:c r="A155" s="46" t="str">
        <x:v>LME_034</x:v>
      </x:c>
      <x:c r="B155" s="46" t="str">
        <x:v>Bay of Bengal</x:v>
      </x:c>
      <x:c r="C155" s="46" t="str">
        <x:v>LME</x:v>
      </x:c>
      <x:c r="D155" s="58" t="n">
        <x:v>2019</x:v>
      </x:c>
      <x:c r="E155" s="46" t="str">
        <x:v>Polynemus paradiseus</x:v>
      </x:c>
      <x:c r="F155" s="46" t="str">
        <x:v>Paradise threadfin</x:v>
      </x:c>
      <x:c r="G155" s="46" t="str">
        <x:v>Medium demersals (30 - 89 cm)</x:v>
      </x:c>
      <x:c r="H155" s="46" t="str">
        <x:v>Perch-likes</x:v>
      </x:c>
      <x:c r="I155" s="60" t="n">
        <x:v>2592.1047389163</x:v>
      </x:c>
      <x:c r="J155" s="60" t="n">
        <x:v>2592.1047389163</x:v>
      </x:c>
      <x:c r="K155" s="60" t="n">
        <x:v>0</x:v>
      </x:c>
      <x:c r="L155" s="60" t="n">
        <x:v>0</x:v>
      </x:c>
      <x:c r="M155" s="60" t="n">
        <x:v>2592.1047389163</x:v>
      </x:c>
      <x:c r="N155" s="46" t="str">
        <x:v>polynemus paradiseus</x:v>
      </x:c>
      <x:c r="O155" s="62" t="n">
        <x:v>3.86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Polynemus paradiseus</x:v>
      </x:c>
      <x:c r="T155" s="62" t="n">
        <x:f>IF(O155="","",(1/'Metadata'!$B$5)^(O155-1))</x:f>
        <x:v>724.4359600749899</x:v>
      </x:c>
      <x:c r="U155" s="60" t="n">
        <x:f>IF(T155="","",I155*T155)</x:f>
        <x:v>1877813.885151761</x:v>
      </x:c>
    </x:row>
    <x:row r="156" ht="18" customHeight="1">
      <x:c r="A156" s="46" t="str">
        <x:v>LME_034</x:v>
      </x:c>
      <x:c r="B156" s="46" t="str">
        <x:v>Bay of Bengal</x:v>
      </x:c>
      <x:c r="C156" s="46" t="str">
        <x:v>LME</x:v>
      </x:c>
      <x:c r="D156" s="58" t="n">
        <x:v>2019</x:v>
      </x:c>
      <x:c r="E156" s="46" t="str">
        <x:v>Scolopsis</x:v>
      </x:c>
      <x:c r="F156" s="46" t="str">
        <x:v>Monocle breams</x:v>
      </x:c>
      <x:c r="G156" s="46" t="str">
        <x:v>Small reef assoc. fish (&lt;30 cm)</x:v>
      </x:c>
      <x:c r="H156" s="46" t="str">
        <x:v>Perch-likes</x:v>
      </x:c>
      <x:c r="I156" s="60" t="n">
        <x:v>2552.8648301601997</x:v>
      </x:c>
      <x:c r="J156" s="60" t="n">
        <x:v>2552.8648301601997</x:v>
      </x:c>
      <x:c r="K156" s="60" t="n">
        <x:v>0</x:v>
      </x:c>
      <x:c r="L156" s="60" t="n">
        <x:v>1566.4691957759</x:v>
      </x:c>
      <x:c r="M156" s="60" t="n">
        <x:v>986.3956343843</x:v>
      </x:c>
      <x:c r="N156" s="46" t="str">
        <x:v>scolopsis</x:v>
      </x:c>
      <x:c r="O156" s="62" t="n">
        <x:v>3.3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Scolopsis</x:v>
      </x:c>
      <x:c r="T156" s="62" t="n">
        <x:f>IF(O156="","",(1/'Metadata'!$B$5)^(O156-1))</x:f>
        <x:v>199.52623149688787</x:v>
      </x:c>
      <x:c r="U156" s="60" t="n">
        <x:f>IF(T156="","",I156*T156)</x:f>
        <x:v>509363.49908280734</x:v>
      </x:c>
    </x:row>
    <x:row r="157" ht="18" customHeight="1">
      <x:c r="A157" s="46" t="str">
        <x:v>LME_034</x:v>
      </x:c>
      <x:c r="B157" s="46" t="str">
        <x:v>Bay of Bengal</x:v>
      </x:c>
      <x:c r="C157" s="46" t="str">
        <x:v>LME</x:v>
      </x:c>
      <x:c r="D157" s="58" t="n">
        <x:v>2019</x:v>
      </x:c>
      <x:c r="E157" s="46" t="str">
        <x:v>Palinuridae</x:v>
      </x:c>
      <x:c r="F157" s="46" t="str">
        <x:v>Spiny lobsters</x:v>
      </x:c>
      <x:c r="G157" s="46" t="str">
        <x:v>Lobsters, crabs</x:v>
      </x:c>
      <x:c r="H157" s="46" t="str">
        <x:v>Crustaceans</x:v>
      </x:c>
      <x:c r="I157" s="60" t="n">
        <x:v>2443.9310856235</x:v>
      </x:c>
      <x:c r="J157" s="60" t="n">
        <x:v>2337.4751387224</x:v>
      </x:c>
      <x:c r="K157" s="60" t="n">
        <x:v>106.4559469011</x:v>
      </x:c>
      <x:c r="L157" s="60" t="n">
        <x:v>1658.5054748453</x:v>
      </x:c>
      <x:c r="M157" s="60" t="n">
        <x:v>785.4256107781999</x:v>
      </x:c>
      <x:c r="N157" s="46" t="str">
        <x:v>palinuridae</x:v>
      </x:c>
      <x:c r="O157" s="62" t="n">
        <x:v>3.14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Palinuridae</x:v>
      </x:c>
      <x:c r="T157" s="62" t="n">
        <x:f>IF(O157="","",(1/'Metadata'!$B$5)^(O157-1))</x:f>
        <x:v>138.03842646028852</x:v>
      </x:c>
      <x:c r="U157" s="60" t="n">
        <x:f>IF(T157="","",I157*T157)</x:f>
        <x:v>337356.40143685264</x:v>
      </x:c>
    </x:row>
    <x:row r="158" ht="18" customHeight="1">
      <x:c r="A158" s="46" t="str">
        <x:v>LME_034</x:v>
      </x:c>
      <x:c r="B158" s="46" t="str">
        <x:v>Bay of Bengal</x:v>
      </x:c>
      <x:c r="C158" s="46" t="str">
        <x:v>LME</x:v>
      </x:c>
      <x:c r="D158" s="58" t="n">
        <x:v>2019</x:v>
      </x:c>
      <x:c r="E158" s="46" t="str">
        <x:v>Coryphaena hippurus</x:v>
      </x:c>
      <x:c r="F158" s="46" t="str">
        <x:v>Common dolphinfish</x:v>
      </x:c>
      <x:c r="G158" s="46" t="str">
        <x:v>Large pelagics (&gt;=90 cm)</x:v>
      </x:c>
      <x:c r="H158" s="46" t="str">
        <x:v>Perch-likes</x:v>
      </x:c>
      <x:c r="I158" s="60" t="n">
        <x:v>2441.6545971562</x:v>
      </x:c>
      <x:c r="J158" s="60" t="n">
        <x:v>2441.6545971562</x:v>
      </x:c>
      <x:c r="K158" s="60" t="n">
        <x:v>0</x:v>
      </x:c>
      <x:c r="L158" s="60" t="n">
        <x:v>2411.5103682448002</x:v>
      </x:c>
      <x:c r="M158" s="60" t="n">
        <x:v>30.144228911400003</x:v>
      </x:c>
      <x:c r="N158" s="46" t="str">
        <x:v>coryphaena hippurus</x:v>
      </x:c>
      <x:c r="O158" s="62" t="n">
        <x:v>4.37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Coryphaena hippurus</x:v>
      </x:c>
      <x:c r="T158" s="62" t="n">
        <x:f>IF(O158="","",(1/'Metadata'!$B$5)^(O158-1))</x:f>
        <x:v>2344.228815319923</x:v>
      </x:c>
      <x:c r="U158" s="60" t="n">
        <x:f>IF(T158="","",I158*T158)</x:f>
        <x:v>5723797.063711923</x:v>
      </x:c>
    </x:row>
    <x:row r="159" ht="18" customHeight="1">
      <x:c r="A159" s="46" t="str">
        <x:v>LME_034</x:v>
      </x:c>
      <x:c r="B159" s="46" t="str">
        <x:v>Bay of Bengal</x:v>
      </x:c>
      <x:c r="C159" s="46" t="str">
        <x:v>LME</x:v>
      </x:c>
      <x:c r="D159" s="58" t="n">
        <x:v>2019</x:v>
      </x:c>
      <x:c r="E159" s="46" t="str">
        <x:v>Plotosus</x:v>
      </x:c>
      <x:c r="F159" s="46" t="str">
        <x:v>Eel catfishes</x:v>
      </x:c>
      <x:c r="G159" s="46" t="str">
        <x:v>Medium reef assoc. fish (30 - 89 cm)</x:v>
      </x:c>
      <x:c r="H159" s="46" t="str">
        <x:v>Other fishes &amp; inverts</x:v>
      </x:c>
      <x:c r="I159" s="60" t="n">
        <x:v>2270.1643828759998</x:v>
      </x:c>
      <x:c r="J159" s="60" t="n">
        <x:v>2270.1643828759998</x:v>
      </x:c>
      <x:c r="K159" s="60" t="n">
        <x:v>0</x:v>
      </x:c>
      <x:c r="L159" s="60" t="n">
        <x:v>1275.3184585088</x:v>
      </x:c>
      <x:c r="M159" s="60" t="n">
        <x:v>994.8459243671999</x:v>
      </x:c>
      <x:c r="N159" s="46" t="str">
        <x:v>plotosus</x:v>
      </x:c>
      <x:c r="O159" s="62" t="n">
        <x:v>3.49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Plotosus</x:v>
      </x:c>
      <x:c r="T159" s="62" t="n">
        <x:f>IF(O159="","",(1/'Metadata'!$B$5)^(O159-1))</x:f>
        <x:v>309.0295432513592</x:v>
      </x:c>
      <x:c r="U159" s="60" t="n">
        <x:f>IF(T159="","",I159*T159)</x:f>
        <x:v>701547.862345674</x:v>
      </x:c>
    </x:row>
    <x:row r="160" ht="18" customHeight="1">
      <x:c r="A160" s="46" t="str">
        <x:v>LME_034</x:v>
      </x:c>
      <x:c r="B160" s="46" t="str">
        <x:v>Bay of Bengal</x:v>
      </x:c>
      <x:c r="C160" s="46" t="str">
        <x:v>LME</x:v>
      </x:c>
      <x:c r="D160" s="58" t="n">
        <x:v>2019</x:v>
      </x:c>
      <x:c r="E160" s="46" t="str">
        <x:v>Sillago</x:v>
      </x:c>
      <x:c r="F160" s="46" t="str">
        <x:v>Smelt-whitings</x:v>
      </x:c>
      <x:c r="G160" s="46" t="str">
        <x:v>Medium demersals (30 - 89 cm)</x:v>
      </x:c>
      <x:c r="H160" s="46" t="str">
        <x:v>Perch-likes</x:v>
      </x:c>
      <x:c r="I160" s="60" t="n">
        <x:v>2237.7805089526</x:v>
      </x:c>
      <x:c r="J160" s="60" t="n">
        <x:v>2237.7805089526</x:v>
      </x:c>
      <x:c r="K160" s="60" t="n">
        <x:v>0</x:v>
      </x:c>
      <x:c r="L160" s="60" t="n">
        <x:v>1496.9158023878</x:v>
      </x:c>
      <x:c r="M160" s="60" t="n">
        <x:v>740.8647065648</x:v>
      </x:c>
      <x:c r="N160" s="46" t="str">
        <x:v>sillago</x:v>
      </x:c>
      <x:c r="O160" s="62" t="n">
        <x:v>3.33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Sillago</x:v>
      </x:c>
      <x:c r="T160" s="62" t="n">
        <x:f>IF(O160="","",(1/'Metadata'!$B$5)^(O160-1))</x:f>
        <x:v>213.79620895022325</x:v>
      </x:c>
      <x:c r="U160" s="60" t="n">
        <x:f>IF(T160="","",I160*T160)</x:f>
        <x:v>478428.989276767</x:v>
      </x:c>
    </x:row>
    <x:row r="161" ht="18" customHeight="1">
      <x:c r="A161" s="46" t="str">
        <x:v>LME_034</x:v>
      </x:c>
      <x:c r="B161" s="46" t="str">
        <x:v>Bay of Bengal</x:v>
      </x:c>
      <x:c r="C161" s="46" t="str">
        <x:v>LME</x:v>
      </x:c>
      <x:c r="D161" s="58" t="n">
        <x:v>2019</x:v>
      </x:c>
      <x:c r="E161" s="46" t="str">
        <x:v>Myliobatidae</x:v>
      </x:c>
      <x:c r="F161" s="46" t="str">
        <x:v>Eagle/manta rays</x:v>
      </x:c>
      <x:c r="G161" s="46" t="str">
        <x:v>Large rays (&gt;=90 cm)</x:v>
      </x:c>
      <x:c r="H161" s="46" t="str">
        <x:v>Sharks &amp; rays</x:v>
      </x:c>
      <x:c r="I161" s="60" t="n">
        <x:v>2189.5082785996</x:v>
      </x:c>
      <x:c r="J161" s="60" t="n">
        <x:v>2189.5082785996</x:v>
      </x:c>
      <x:c r="K161" s="60" t="n">
        <x:v>0</x:v>
      </x:c>
      <x:c r="L161" s="60" t="n">
        <x:v>785.2177042893</x:v>
      </x:c>
      <x:c r="M161" s="60" t="n">
        <x:v>1404.2905743103</x:v>
      </x:c>
      <x:c r="N161" s="46" t="str">
        <x:v>myliobatidae</x:v>
      </x:c>
      <x:c r="O161" s="62" t="n">
        <x:v>3.36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Myliobatidae</x:v>
      </x:c>
      <x:c r="T161" s="62" t="n">
        <x:f>IF(O161="","",(1/'Metadata'!$B$5)^(O161-1))</x:f>
        <x:v>229.08676527677724</x:v>
      </x:c>
      <x:c r="U161" s="60" t="n">
        <x:f>IF(T161="","",I161*T161)</x:f>
        <x:v>501587.36909110716</x:v>
      </x:c>
    </x:row>
    <x:row r="162" ht="18" customHeight="1">
      <x:c r="A162" s="46" t="str">
        <x:v>LME_034</x:v>
      </x:c>
      <x:c r="B162" s="46" t="str">
        <x:v>Bay of Bengal</x:v>
      </x:c>
      <x:c r="C162" s="46" t="str">
        <x:v>LME</x:v>
      </x:c>
      <x:c r="D162" s="58" t="n">
        <x:v>2019</x:v>
      </x:c>
      <x:c r="E162" s="46" t="str">
        <x:v>Mugil</x:v>
      </x:c>
      <x:c r="F162" s="46" t="str">
        <x:v>Grey mullets</x:v>
      </x:c>
      <x:c r="G162" s="46" t="str">
        <x:v>Medium demersals (30 - 89 cm)</x:v>
      </x:c>
      <x:c r="H162" s="46" t="str">
        <x:v>Perch-likes</x:v>
      </x:c>
      <x:c r="I162" s="60" t="n">
        <x:v>2179.517816378</x:v>
      </x:c>
      <x:c r="J162" s="60" t="n">
        <x:v>2179.517816378</x:v>
      </x:c>
      <x:c r="K162" s="60" t="n">
        <x:v>0</x:v>
      </x:c>
      <x:c r="L162" s="60" t="n">
        <x:v>1080.0043312207001</x:v>
      </x:c>
      <x:c r="M162" s="60" t="n">
        <x:v>1099.5134851573</x:v>
      </x:c>
      <x:c r="N162" s="46" t="str">
        <x:v>mugil</x:v>
      </x:c>
      <x:c r="O162" s="62" t="n">
        <x:v>2.26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Mugil</x:v>
      </x:c>
      <x:c r="T162" s="62" t="n">
        <x:f>IF(O162="","",(1/'Metadata'!$B$5)^(O162-1))</x:f>
        <x:v>18.197008586099827</x:v>
      </x:c>
      <x:c r="U162" s="60" t="n">
        <x:f>IF(T162="","",I162*T162)</x:f>
        <x:v>39660.70441818801</x:v>
      </x:c>
    </x:row>
    <x:row r="163" ht="18" customHeight="1">
      <x:c r="A163" s="46" t="str">
        <x:v>LME_034</x:v>
      </x:c>
      <x:c r="B163" s="46" t="str">
        <x:v>Bay of Bengal</x:v>
      </x:c>
      <x:c r="C163" s="46" t="str">
        <x:v>LME</x:v>
      </x:c>
      <x:c r="D163" s="58" t="n">
        <x:v>2019</x:v>
      </x:c>
      <x:c r="E163" s="46" t="str">
        <x:v>Anchoviella</x:v>
      </x:c>
      <x:c r="F163" s="46" t="str">
        <x:v>Anchovies</x:v>
      </x:c>
      <x:c r="G163" s="46" t="str">
        <x:v>Small pelagics (&lt;30 cm)</x:v>
      </x:c>
      <x:c r="H163" s="46" t="str">
        <x:v>Anchovies</x:v>
      </x:c>
      <x:c r="I163" s="60" t="n">
        <x:v>2163.1083468751</x:v>
      </x:c>
      <x:c r="J163" s="60" t="n">
        <x:v>2150.7491225343</x:v>
      </x:c>
      <x:c r="K163" s="60" t="n">
        <x:v>12.359224340799999</x:v>
      </x:c>
      <x:c r="L163" s="60" t="n">
        <x:v>2150.7491225343</x:v>
      </x:c>
      <x:c r="M163" s="60" t="n">
        <x:v>12.359224340799999</x:v>
      </x:c>
      <x:c r="N163" s="46" t="str">
        <x:v>anchoviella</x:v>
      </x:c>
      <x:c r="O163" s="62" t="n">
        <x:v>3.18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Anchoviella</x:v>
      </x:c>
      <x:c r="T163" s="62" t="n">
        <x:f>IF(O163="","",(1/'Metadata'!$B$5)^(O163-1))</x:f>
        <x:v>151.35612484362088</x:v>
      </x:c>
      <x:c r="U163" s="60" t="n">
        <x:f>IF(T163="","",I163*T163)</x:f>
        <x:v>327399.696999906</x:v>
      </x:c>
    </x:row>
    <x:row r="164" ht="18" customHeight="1">
      <x:c r="A164" s="46" t="str">
        <x:v>LME_034</x:v>
      </x:c>
      <x:c r="B164" s="46" t="str">
        <x:v>Bay of Bengal</x:v>
      </x:c>
      <x:c r="C164" s="46" t="str">
        <x:v>LME</x:v>
      </x:c>
      <x:c r="D164" s="58" t="n">
        <x:v>2019</x:v>
      </x:c>
      <x:c r="E164" s="46" t="str">
        <x:v>Deveximentum insidiator</x:v>
      </x:c>
      <x:c r="F164" s="46" t="str">
        <x:v>Pugnose ponyfish</x:v>
      </x:c>
      <x:c r="G164" s="46" t="str">
        <x:v>Small pelagics (&lt;30 cm)</x:v>
      </x:c>
      <x:c r="H164" s="46" t="str">
        <x:v>Perch-likes</x:v>
      </x:c>
      <x:c r="I164" s="60" t="n">
        <x:v>2132.8165174186</x:v>
      </x:c>
      <x:c r="J164" s="60" t="n">
        <x:v>2132.8165174186</x:v>
      </x:c>
      <x:c r="K164" s="60" t="n">
        <x:v>0</x:v>
      </x:c>
      <x:c r="L164" s="60" t="n">
        <x:v>0</x:v>
      </x:c>
      <x:c r="M164" s="60" t="n">
        <x:v>2132.8165174186</x:v>
      </x:c>
      <x:c r="N164" s="46" t="str">
        <x:v>deveximentum insidiator</x:v>
      </x:c>
      <x:c r="O164" s="62" t="n">
        <x:v>2.86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Deveximentum insidiator</x:v>
      </x:c>
      <x:c r="T164" s="62" t="n">
        <x:f>IF(O164="","",(1/'Metadata'!$B$5)^(O164-1))</x:f>
        <x:v>72.44359600749898</x:v>
      </x:c>
      <x:c r="U164" s="60" t="n">
        <x:f>IF(T164="","",I164*T164)</x:f>
        <x:v>154508.898145994</x:v>
      </x:c>
    </x:row>
    <x:row r="165" ht="18" customHeight="1">
      <x:c r="A165" s="46" t="str">
        <x:v>LME_034</x:v>
      </x:c>
      <x:c r="B165" s="46" t="str">
        <x:v>Bay of Bengal</x:v>
      </x:c>
      <x:c r="C165" s="46" t="str">
        <x:v>LME</x:v>
      </x:c>
      <x:c r="D165" s="58" t="n">
        <x:v>2019</x:v>
      </x:c>
      <x:c r="E165" s="46" t="str">
        <x:v>Siganus</x:v>
      </x:c>
      <x:c r="F165" s="46" t="str">
        <x:v>Spinefoots</x:v>
      </x:c>
      <x:c r="G165" s="46" t="str">
        <x:v>Medium reef assoc. fish (30 - 89 cm)</x:v>
      </x:c>
      <x:c r="H165" s="46" t="str">
        <x:v>Perch-likes</x:v>
      </x:c>
      <x:c r="I165" s="60" t="n">
        <x:v>2132.235650232</x:v>
      </x:c>
      <x:c r="J165" s="60" t="n">
        <x:v>2132.235650232</x:v>
      </x:c>
      <x:c r="K165" s="60" t="n">
        <x:v>0</x:v>
      </x:c>
      <x:c r="L165" s="60" t="n">
        <x:v>2066.8770072021</x:v>
      </x:c>
      <x:c r="M165" s="60" t="n">
        <x:v>65.3586430299</x:v>
      </x:c>
      <x:c r="N165" s="46" t="str">
        <x:v>siganus</x:v>
      </x:c>
      <x:c r="O165" s="62" t="n">
        <x:v>2.11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Siganus</x:v>
      </x:c>
      <x:c r="T165" s="62" t="n">
        <x:f>IF(O165="","",(1/'Metadata'!$B$5)^(O165-1))</x:f>
        <x:v>12.882495516931336</x:v>
      </x:c>
      <x:c r="U165" s="60" t="n">
        <x:f>IF(T165="","",I165*T165)</x:f>
        <x:v>27468.51620515491</x:v>
      </x:c>
    </x:row>
    <x:row r="166" ht="18" customHeight="1">
      <x:c r="A166" s="46" t="str">
        <x:v>LME_034</x:v>
      </x:c>
      <x:c r="B166" s="46" t="str">
        <x:v>Bay of Bengal</x:v>
      </x:c>
      <x:c r="C166" s="46" t="str">
        <x:v>LME</x:v>
      </x:c>
      <x:c r="D166" s="58" t="n">
        <x:v>2019</x:v>
      </x:c>
      <x:c r="E166" s="46" t="str">
        <x:v>Holothuroidea</x:v>
      </x:c>
      <x:c r="F166" s="46" t="str">
        <x:v>Sea cucumbers</x:v>
      </x:c>
      <x:c r="G166" s="46" t="str">
        <x:v>Other demersal invertebrates</x:v>
      </x:c>
      <x:c r="H166" s="46" t="str">
        <x:v>Other fishes &amp; inverts</x:v>
      </x:c>
      <x:c r="I166" s="60" t="n">
        <x:v>2078.9516299581</x:v>
      </x:c>
      <x:c r="J166" s="60" t="n">
        <x:v>2078.9516299581</x:v>
      </x:c>
      <x:c r="K166" s="60" t="n">
        <x:v>0</x:v>
      </x:c>
      <x:c r="L166" s="60" t="n">
        <x:v>1969.7356946616</x:v>
      </x:c>
      <x:c r="M166" s="60" t="n">
        <x:v>109.2159352965</x:v>
      </x:c>
      <x:c r="N166" s="46" t="str">
        <x:v>holothuroidea</x:v>
      </x:c>
      <x:c r="O166" s="62" t="n">
        <x:v>2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Holothuroidea</x:v>
      </x:c>
      <x:c r="T166" s="62" t="n">
        <x:f>IF(O166="","",(1/'Metadata'!$B$5)^(O166-1))</x:f>
        <x:v>10</x:v>
      </x:c>
      <x:c r="U166" s="60" t="n">
        <x:f>IF(T166="","",I166*T166)</x:f>
        <x:v>20789.516299581002</x:v>
      </x:c>
    </x:row>
    <x:row r="167" ht="18" customHeight="1">
      <x:c r="A167" s="46" t="str">
        <x:v>LME_034</x:v>
      </x:c>
      <x:c r="B167" s="46" t="str">
        <x:v>Bay of Bengal</x:v>
      </x:c>
      <x:c r="C167" s="46" t="str">
        <x:v>LME</x:v>
      </x:c>
      <x:c r="D167" s="58" t="n">
        <x:v>2019</x:v>
      </x:c>
      <x:c r="E167" s="46" t="str">
        <x:v>Ganjampenaeopsis uncta</x:v>
      </x:c>
      <x:c r="F167" s="46" t="str">
        <x:v>Uncta shrimp</x:v>
      </x:c>
      <x:c r="G167" s="46" t="str">
        <x:v>Shrimps</x:v>
      </x:c>
      <x:c r="H167" s="46" t="str">
        <x:v>Crustaceans</x:v>
      </x:c>
      <x:c r="I167" s="60" t="n">
        <x:v>1941.885077762</x:v>
      </x:c>
      <x:c r="J167" s="60" t="n">
        <x:v>1941.885077762</x:v>
      </x:c>
      <x:c r="K167" s="60" t="n">
        <x:v>0</x:v>
      </x:c>
      <x:c r="L167" s="60" t="n">
        <x:v>0</x:v>
      </x:c>
      <x:c r="M167" s="60" t="n">
        <x:v>1941.885077762</x:v>
      </x:c>
      <x:c r="N167" s="46" t="str">
        <x:v>ganjampenaeopsis uncta</x:v>
      </x:c>
      <x:c r="O167" s="62" t="n">
        <x:v>3.01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Ganjampenaeopsis uncta</x:v>
      </x:c>
      <x:c r="T167" s="62" t="n">
        <x:f>IF(O167="","",(1/'Metadata'!$B$5)^(O167-1))</x:f>
        <x:v>102.32929922807536</x:v>
      </x:c>
      <x:c r="U167" s="60" t="n">
        <x:f>IF(T167="","",I167*T167)</x:f>
        <x:v>198711.7391888421</x:v>
      </x:c>
    </x:row>
    <x:row r="168" ht="18" customHeight="1">
      <x:c r="A168" s="46" t="str">
        <x:v>LME_034</x:v>
      </x:c>
      <x:c r="B168" s="46" t="str">
        <x:v>Bay of Bengal</x:v>
      </x:c>
      <x:c r="C168" s="46" t="str">
        <x:v>LME</x:v>
      </x:c>
      <x:c r="D168" s="58" t="n">
        <x:v>2019</x:v>
      </x:c>
      <x:c r="E168" s="46" t="str">
        <x:v>Caesio cuning</x:v>
      </x:c>
      <x:c r="F168" s="46" t="str">
        <x:v>Redbelly yellowtail fusilier</x:v>
      </x:c>
      <x:c r="G168" s="46" t="str">
        <x:v>Medium reef assoc. fish (30 - 89 cm)</x:v>
      </x:c>
      <x:c r="H168" s="46" t="str">
        <x:v>Perch-likes</x:v>
      </x:c>
      <x:c r="I168" s="60" t="n">
        <x:v>1915.8470518692002</x:v>
      </x:c>
      <x:c r="J168" s="60" t="n">
        <x:v>1508.0164708503</x:v>
      </x:c>
      <x:c r="K168" s="60" t="n">
        <x:v>407.83058101890003</x:v>
      </x:c>
      <x:c r="L168" s="60" t="n">
        <x:v>1429.5781102549001</x:v>
      </x:c>
      <x:c r="M168" s="60" t="n">
        <x:v>486.26894161430005</x:v>
      </x:c>
      <x:c r="N168" s="46" t="str">
        <x:v>caesio cuning</x:v>
      </x:c>
      <x:c r="O168" s="62" t="n">
        <x:v>3.4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Caesio cuning</x:v>
      </x:c>
      <x:c r="T168" s="62" t="n">
        <x:f>IF(O168="","",(1/'Metadata'!$B$5)^(O168-1))</x:f>
        <x:v>251.18864315095797</x:v>
      </x:c>
      <x:c r="U168" s="60" t="n">
        <x:f>IF(T168="","",I168*T168)</x:f>
        <x:v>481239.0214437874</x:v>
      </x:c>
    </x:row>
    <x:row r="169" ht="18" customHeight="1">
      <x:c r="A169" s="46" t="str">
        <x:v>LME_034</x:v>
      </x:c>
      <x:c r="B169" s="46" t="str">
        <x:v>Bay of Bengal</x:v>
      </x:c>
      <x:c r="C169" s="46" t="str">
        <x:v>LME</x:v>
      </x:c>
      <x:c r="D169" s="58" t="n">
        <x:v>2019</x:v>
      </x:c>
      <x:c r="E169" s="46" t="str">
        <x:v>Sparidae</x:v>
      </x:c>
      <x:c r="F169" s="46" t="str">
        <x:v>Porgies, seabreams</x:v>
      </x:c>
      <x:c r="G169" s="46" t="str">
        <x:v>Medium benthopelagics (30 - 89 cm)</x:v>
      </x:c>
      <x:c r="H169" s="46" t="str">
        <x:v>Perch-likes</x:v>
      </x:c>
      <x:c r="I169" s="60" t="n">
        <x:v>1840.2659137953</x:v>
      </x:c>
      <x:c r="J169" s="60" t="n">
        <x:v>0</x:v>
      </x:c>
      <x:c r="K169" s="60" t="n">
        <x:v>1840.2659137953</x:v>
      </x:c>
      <x:c r="L169" s="60" t="n">
        <x:v>0</x:v>
      </x:c>
      <x:c r="M169" s="60" t="n">
        <x:v>1840.2659137953</x:v>
      </x:c>
      <x:c r="N169" s="46" t="str">
        <x:v>sparidae</x:v>
      </x:c>
      <x:c r="O169" s="62" t="n">
        <x:v>3.31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Sparidae</x:v>
      </x:c>
      <x:c r="T169" s="62" t="n">
        <x:f>IF(O169="","",(1/'Metadata'!$B$5)^(O169-1))</x:f>
        <x:v>204.17379446695296</x:v>
      </x:c>
      <x:c r="U169" s="60" t="n">
        <x:f>IF(T169="","",I169*T169)</x:f>
        <x:v>375734.07444778096</x:v>
      </x:c>
    </x:row>
    <x:row r="170" ht="18" customHeight="1">
      <x:c r="A170" s="46" t="str">
        <x:v>LME_034</x:v>
      </x:c>
      <x:c r="B170" s="46" t="str">
        <x:v>Bay of Bengal</x:v>
      </x:c>
      <x:c r="C170" s="46" t="str">
        <x:v>LME</x:v>
      </x:c>
      <x:c r="D170" s="58" t="n">
        <x:v>2019</x:v>
      </x:c>
      <x:c r="E170" s="46" t="str">
        <x:v>Isurus</x:v>
      </x:c>
      <x:c r="F170" s="46" t="str">
        <x:v>Mako sharks</x:v>
      </x:c>
      <x:c r="G170" s="46" t="str">
        <x:v>Large sharks (&gt;=90 cm)</x:v>
      </x:c>
      <x:c r="H170" s="46" t="str">
        <x:v>Sharks &amp; rays</x:v>
      </x:c>
      <x:c r="I170" s="60" t="n">
        <x:v>1762.7924511437</x:v>
      </x:c>
      <x:c r="J170" s="60" t="n">
        <x:v>1762.7924511437</x:v>
      </x:c>
      <x:c r="K170" s="60" t="n">
        <x:v>0</x:v>
      </x:c>
      <x:c r="L170" s="60" t="n">
        <x:v>1762.7924511437</x:v>
      </x:c>
      <x:c r="M170" s="60" t="n">
        <x:v>0</x:v>
      </x:c>
      <x:c r="N170" s="46" t="str">
        <x:v>isurus</x:v>
      </x:c>
      <x:c r="O170" s="62" t="n">
        <x:v>4.5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Isurus</x:v>
      </x:c>
      <x:c r="T170" s="62" t="n">
        <x:f>IF(O170="","",(1/'Metadata'!$B$5)^(O170-1))</x:f>
        <x:v>3162.2776601683795</x:v>
      </x:c>
      <x:c r="U170" s="60" t="n">
        <x:f>IF(T170="","",I170*T170)</x:f>
        <x:v>5574439.187765182</x:v>
      </x:c>
    </x:row>
    <x:row r="171" ht="18" customHeight="1">
      <x:c r="A171" s="46" t="str">
        <x:v>LME_034</x:v>
      </x:c>
      <x:c r="B171" s="46" t="str">
        <x:v>Bay of Bengal</x:v>
      </x:c>
      <x:c r="C171" s="46" t="str">
        <x:v>LME</x:v>
      </x:c>
      <x:c r="D171" s="58" t="n">
        <x:v>2019</x:v>
      </x:c>
      <x:c r="E171" s="46" t="str">
        <x:v>Elagatis bipinnulata</x:v>
      </x:c>
      <x:c r="F171" s="46" t="str">
        <x:v>Rainbow runner</x:v>
      </x:c>
      <x:c r="G171" s="46" t="str">
        <x:v>Large pelagics (&gt;=90 cm)</x:v>
      </x:c>
      <x:c r="H171" s="46" t="str">
        <x:v>Perch-likes</x:v>
      </x:c>
      <x:c r="I171" s="60" t="n">
        <x:v>1740.4533589231</x:v>
      </x:c>
      <x:c r="J171" s="60" t="n">
        <x:v>1740.4533589231</x:v>
      </x:c>
      <x:c r="K171" s="60" t="n">
        <x:v>0</x:v>
      </x:c>
      <x:c r="L171" s="60" t="n">
        <x:v>1685.8441557301999</x:v>
      </x:c>
      <x:c r="M171" s="60" t="n">
        <x:v>54.609203192900004</x:v>
      </x:c>
      <x:c r="N171" s="46" t="str">
        <x:v>elagatis bipinnulata</x:v>
      </x:c>
      <x:c r="O171" s="62" t="n">
        <x:v>4.27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Elagatis bipinnulata</x:v>
      </x:c>
      <x:c r="T171" s="62" t="n">
        <x:f>IF(O171="","",(1/'Metadata'!$B$5)^(O171-1))</x:f>
        <x:v>1862.0871366628655</x:v>
      </x:c>
      <x:c r="U171" s="60" t="n">
        <x:f>IF(T171="","",I171*T171)</x:f>
        <x:v>3240875.811612382</x:v>
      </x:c>
    </x:row>
    <x:row r="172" ht="18" customHeight="1">
      <x:c r="A172" s="46" t="str">
        <x:v>LME_034</x:v>
      </x:c>
      <x:c r="B172" s="46" t="str">
        <x:v>Bay of Bengal</x:v>
      </x:c>
      <x:c r="C172" s="46" t="str">
        <x:v>LME</x:v>
      </x:c>
      <x:c r="D172" s="58" t="n">
        <x:v>2019</x:v>
      </x:c>
      <x:c r="E172" s="46" t="str">
        <x:v>Malacostraca</x:v>
      </x:c>
      <x:c r="F172" s="46" t="str">
        <x:v>Lobsters, crabs, shrimps, krill</x:v>
      </x:c>
      <x:c r="G172" s="46" t="str">
        <x:v>Shrimps</x:v>
      </x:c>
      <x:c r="H172" s="46" t="str">
        <x:v>Crustaceans</x:v>
      </x:c>
      <x:c r="I172" s="60" t="n">
        <x:v>1697.1209470063</x:v>
      </x:c>
      <x:c r="J172" s="60" t="n">
        <x:v>1697.1209470063</x:v>
      </x:c>
      <x:c r="K172" s="60" t="n">
        <x:v>0</x:v>
      </x:c>
      <x:c r="L172" s="60" t="n">
        <x:v>1051.1663218816002</x:v>
      </x:c>
      <x:c r="M172" s="60" t="n">
        <x:v>645.9546251247</x:v>
      </x:c>
      <x:c r="N172" s="46" t="str">
        <x:v>malacostraca</x:v>
      </x:c>
      <x:c r="O172" s="62" t="n">
        <x:v>3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Malacostraca</x:v>
      </x:c>
      <x:c r="T172" s="62" t="n">
        <x:f>IF(O172="","",(1/'Metadata'!$B$5)^(O172-1))</x:f>
        <x:v>100</x:v>
      </x:c>
      <x:c r="U172" s="60" t="n">
        <x:f>IF(T172="","",I172*T172)</x:f>
        <x:v>169712.09470063</x:v>
      </x:c>
    </x:row>
    <x:row r="173" ht="18" customHeight="1">
      <x:c r="A173" s="46" t="str">
        <x:v>LME_034</x:v>
      </x:c>
      <x:c r="B173" s="46" t="str">
        <x:v>Bay of Bengal</x:v>
      </x:c>
      <x:c r="C173" s="46" t="str">
        <x:v>LME</x:v>
      </x:c>
      <x:c r="D173" s="58" t="n">
        <x:v>2019</x:v>
      </x:c>
      <x:c r="E173" s="46" t="str">
        <x:v>Pristipomoides</x:v>
      </x:c>
      <x:c r="F173" s="46" t="str">
        <x:v>Jobfishes</x:v>
      </x:c>
      <x:c r="G173" s="46" t="str">
        <x:v>Medium demersals (30 - 89 cm)</x:v>
      </x:c>
      <x:c r="H173" s="46" t="str">
        <x:v>Perch-likes</x:v>
      </x:c>
      <x:c r="I173" s="60" t="n">
        <x:v>1632.0148838864</x:v>
      </x:c>
      <x:c r="J173" s="60" t="n">
        <x:v>1632.0148838864</x:v>
      </x:c>
      <x:c r="K173" s="60" t="n">
        <x:v>0</x:v>
      </x:c>
      <x:c r="L173" s="60" t="n">
        <x:v>1009.9811719074</x:v>
      </x:c>
      <x:c r="M173" s="60" t="n">
        <x:v>622.033711979</x:v>
      </x:c>
      <x:c r="N173" s="46" t="str">
        <x:v>pristipomoides</x:v>
      </x:c>
      <x:c r="O173" s="62" t="n">
        <x:v>3.91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Pristipomoides</x:v>
      </x:c>
      <x:c r="T173" s="62" t="n">
        <x:f>IF(O173="","",(1/'Metadata'!$B$5)^(O173-1))</x:f>
        <x:v>812.8305161640995</x:v>
      </x:c>
      <x:c r="U173" s="60" t="n">
        <x:f>IF(T173="","",I173*T173)</x:f>
        <x:v>1326551.5004568754</x:v>
      </x:c>
    </x:row>
    <x:row r="174" ht="18" customHeight="1">
      <x:c r="A174" s="46" t="str">
        <x:v>LME_034</x:v>
      </x:c>
      <x:c r="B174" s="46" t="str">
        <x:v>Bay of Bengal</x:v>
      </x:c>
      <x:c r="C174" s="46" t="str">
        <x:v>LME</x:v>
      </x:c>
      <x:c r="D174" s="58" t="n">
        <x:v>2019</x:v>
      </x:c>
      <x:c r="E174" s="46" t="str">
        <x:v>Caranx sexfasciatus</x:v>
      </x:c>
      <x:c r="F174" s="46" t="str">
        <x:v>Bigeye trevally</x:v>
      </x:c>
      <x:c r="G174" s="46" t="str">
        <x:v>Large reef assoc. fish (&gt;=90 cm)</x:v>
      </x:c>
      <x:c r="H174" s="46" t="str">
        <x:v>Perch-likes</x:v>
      </x:c>
      <x:c r="I174" s="60" t="n">
        <x:v>1593.9925253886</x:v>
      </x:c>
      <x:c r="J174" s="60" t="n">
        <x:v>1593.9925253886</x:v>
      </x:c>
      <x:c r="K174" s="60" t="n">
        <x:v>0</x:v>
      </x:c>
      <x:c r="L174" s="60" t="n">
        <x:v>109.9313396213</x:v>
      </x:c>
      <x:c r="M174" s="60" t="n">
        <x:v>1484.0611857673</x:v>
      </x:c>
      <x:c r="N174" s="46" t="str">
        <x:v>caranx sexfasciatus</x:v>
      </x:c>
      <x:c r="O174" s="62" t="n">
        <x:v>4.5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Caranx sexfasciatus</x:v>
      </x:c>
      <x:c r="T174" s="62" t="n">
        <x:f>IF(O174="","",(1/'Metadata'!$B$5)^(O174-1))</x:f>
        <x:v>3162.2776601683795</x:v>
      </x:c>
      <x:c r="U174" s="60" t="n">
        <x:f>IF(T174="","",I174*T174)</x:f>
        <x:v>5040646.9535117475</x:v>
      </x:c>
    </x:row>
    <x:row r="175" ht="18" customHeight="1">
      <x:c r="A175" s="46" t="str">
        <x:v>LME_034</x:v>
      </x:c>
      <x:c r="B175" s="46" t="str">
        <x:v>Bay of Bengal</x:v>
      </x:c>
      <x:c r="C175" s="46" t="str">
        <x:v>LME</x:v>
      </x:c>
      <x:c r="D175" s="58" t="n">
        <x:v>2019</x:v>
      </x:c>
      <x:c r="E175" s="46" t="str">
        <x:v>Acanthuridae</x:v>
      </x:c>
      <x:c r="F175" s="46" t="str">
        <x:v>Surgeons, tangs, unicornfishes</x:v>
      </x:c>
      <x:c r="G175" s="46" t="str">
        <x:v>Small reef assoc. fish (&lt;30 cm)</x:v>
      </x:c>
      <x:c r="H175" s="46" t="str">
        <x:v>Perch-likes</x:v>
      </x:c>
      <x:c r="I175" s="60" t="n">
        <x:v>1516.8910204436</x:v>
      </x:c>
      <x:c r="J175" s="60" t="n">
        <x:v>1516.8910204436</x:v>
      </x:c>
      <x:c r="K175" s="60" t="n">
        <x:v>0</x:v>
      </x:c>
      <x:c r="L175" s="60" t="n">
        <x:v>0</x:v>
      </x:c>
      <x:c r="M175" s="60" t="n">
        <x:v>1516.8910204436</x:v>
      </x:c>
      <x:c r="N175" s="46" t="str">
        <x:v>acanthuridae</x:v>
      </x:c>
      <x:c r="O175" s="62" t="n">
        <x:v>2.28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Acanthuridae</x:v>
      </x:c>
      <x:c r="T175" s="62" t="n">
        <x:f>IF(O175="","",(1/'Metadata'!$B$5)^(O175-1))</x:f>
        <x:v>19.054607179632463</x:v>
      </x:c>
      <x:c r="U175" s="60" t="n">
        <x:f>IF(T175="","",I175*T175)</x:f>
        <x:v>28903.76252886463</x:v>
      </x:c>
    </x:row>
    <x:row r="176" ht="18" customHeight="1">
      <x:c r="A176" s="46" t="str">
        <x:v>LME_034</x:v>
      </x:c>
      <x:c r="B176" s="46" t="str">
        <x:v>Bay of Bengal</x:v>
      </x:c>
      <x:c r="C176" s="46" t="str">
        <x:v>LME</x:v>
      </x:c>
      <x:c r="D176" s="58" t="n">
        <x:v>2019</x:v>
      </x:c>
      <x:c r="E176" s="46" t="str">
        <x:v>Lethrinus nebulosus</x:v>
      </x:c>
      <x:c r="F176" s="46" t="str">
        <x:v>Spangled emperor</x:v>
      </x:c>
      <x:c r="G176" s="46" t="str">
        <x:v>Medium demersals (30 - 89 cm)</x:v>
      </x:c>
      <x:c r="H176" s="46" t="str">
        <x:v>Perch-likes</x:v>
      </x:c>
      <x:c r="I176" s="60" t="n">
        <x:v>1407.2938373368</x:v>
      </x:c>
      <x:c r="J176" s="60" t="n">
        <x:v>1407.2938373368</x:v>
      </x:c>
      <x:c r="K176" s="60" t="n">
        <x:v>0</x:v>
      </x:c>
      <x:c r="L176" s="60" t="n">
        <x:v>0</x:v>
      </x:c>
      <x:c r="M176" s="60" t="n">
        <x:v>1407.2938373368</x:v>
      </x:c>
      <x:c r="N176" s="46" t="str">
        <x:v>lethrinus nebulosus</x:v>
      </x:c>
      <x:c r="O176" s="62" t="n">
        <x:v>3.76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Lethrinus nebulosus</x:v>
      </x:c>
      <x:c r="T176" s="62" t="n">
        <x:f>IF(O176="","",(1/'Metadata'!$B$5)^(O176-1))</x:f>
        <x:v>575.4399373371566</x:v>
      </x:c>
      <x:c r="U176" s="60" t="n">
        <x:f>IF(T176="","",I176*T176)</x:f>
        <x:v>809813.0775720548</x:v>
      </x:c>
    </x:row>
    <x:row r="177" ht="18" customHeight="1">
      <x:c r="A177" s="46" t="str">
        <x:v>LME_034</x:v>
      </x:c>
      <x:c r="B177" s="46" t="str">
        <x:v>Bay of Bengal</x:v>
      </x:c>
      <x:c r="C177" s="46" t="str">
        <x:v>LME</x:v>
      </x:c>
      <x:c r="D177" s="58" t="n">
        <x:v>2019</x:v>
      </x:c>
      <x:c r="E177" s="46" t="str">
        <x:v>Caranx ignobilis</x:v>
      </x:c>
      <x:c r="F177" s="46" t="str">
        <x:v>Giant trevally</x:v>
      </x:c>
      <x:c r="G177" s="46" t="str">
        <x:v>Large reef assoc. fish (&gt;=90 cm)</x:v>
      </x:c>
      <x:c r="H177" s="46" t="str">
        <x:v>Perch-likes</x:v>
      </x:c>
      <x:c r="I177" s="60" t="n">
        <x:v>1406.4931678504</x:v>
      </x:c>
      <x:c r="J177" s="60" t="n">
        <x:v>1406.4931678504</x:v>
      </x:c>
      <x:c r="K177" s="60" t="n">
        <x:v>0</x:v>
      </x:c>
      <x:c r="L177" s="60" t="n">
        <x:v>0</x:v>
      </x:c>
      <x:c r="M177" s="60" t="n">
        <x:v>1406.4931678504</x:v>
      </x:c>
      <x:c r="N177" s="46" t="str">
        <x:v>caranx ignobilis</x:v>
      </x:c>
      <x:c r="O177" s="62" t="n">
        <x:v>4.22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Caranx ignobilis</x:v>
      </x:c>
      <x:c r="T177" s="62" t="n">
        <x:f>IF(O177="","",(1/'Metadata'!$B$5)^(O177-1))</x:f>
        <x:v>1659.5869074375596</x:v>
      </x:c>
      <x:c r="U177" s="60" t="n">
        <x:f>IF(T177="","",I177*T177)</x:f>
        <x:v>2334197.6467649015</x:v>
      </x:c>
    </x:row>
    <x:row r="178" ht="18" customHeight="1">
      <x:c r="A178" s="46" t="str">
        <x:v>LME_034</x:v>
      </x:c>
      <x:c r="B178" s="46" t="str">
        <x:v>Bay of Bengal</x:v>
      </x:c>
      <x:c r="C178" s="46" t="str">
        <x:v>LME</x:v>
      </x:c>
      <x:c r="D178" s="58" t="n">
        <x:v>2019</x:v>
      </x:c>
      <x:c r="E178" s="46" t="str">
        <x:v>Caranx melampygus</x:v>
      </x:c>
      <x:c r="F178" s="46" t="str">
        <x:v>Bluefin trevally</x:v>
      </x:c>
      <x:c r="G178" s="46" t="str">
        <x:v>Large reef assoc. fish (&gt;=90 cm)</x:v>
      </x:c>
      <x:c r="H178" s="46" t="str">
        <x:v>Perch-likes</x:v>
      </x:c>
      <x:c r="I178" s="60" t="n">
        <x:v>1404.232655169</x:v>
      </x:c>
      <x:c r="J178" s="60" t="n">
        <x:v>1404.232655169</x:v>
      </x:c>
      <x:c r="K178" s="60" t="n">
        <x:v>0</x:v>
      </x:c>
      <x:c r="L178" s="60" t="n">
        <x:v>0</x:v>
      </x:c>
      <x:c r="M178" s="60" t="n">
        <x:v>1404.232655169</x:v>
      </x:c>
      <x:c r="N178" s="46" t="str">
        <x:v>caranx melampygus</x:v>
      </x:c>
      <x:c r="O178" s="62" t="n">
        <x:v>4.49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Caranx melampygus</x:v>
      </x:c>
      <x:c r="T178" s="62" t="n">
        <x:f>IF(O178="","",(1/'Metadata'!$B$5)^(O178-1))</x:f>
        <x:v>3090.295432513592</x:v>
      </x:c>
      <x:c r="U178" s="60" t="n">
        <x:f>IF(T178="","",I178*T178)</x:f>
        <x:v>4339493.760455195</x:v>
      </x:c>
    </x:row>
    <x:row r="179" ht="18" customHeight="1">
      <x:c r="A179" s="46" t="str">
        <x:v>LME_034</x:v>
      </x:c>
      <x:c r="B179" s="46" t="str">
        <x:v>Bay of Bengal</x:v>
      </x:c>
      <x:c r="C179" s="46" t="str">
        <x:v>LME</x:v>
      </x:c>
      <x:c r="D179" s="58" t="n">
        <x:v>2019</x:v>
      </x:c>
      <x:c r="E179" s="46" t="str">
        <x:v>Gastropoda</x:v>
      </x:c>
      <x:c r="F179" s="46" t="str">
        <x:v>Sea snails</x:v>
      </x:c>
      <x:c r="G179" s="46" t="str">
        <x:v>Other demersal invertebrates</x:v>
      </x:c>
      <x:c r="H179" s="46" t="str">
        <x:v>Molluscs</x:v>
      </x:c>
      <x:c r="I179" s="60" t="n">
        <x:v>1397.4310064648</x:v>
      </x:c>
      <x:c r="J179" s="60" t="n">
        <x:v>1297.8153231508</x:v>
      </x:c>
      <x:c r="K179" s="60" t="n">
        <x:v>99.615683314</x:v>
      </x:c>
      <x:c r="L179" s="60" t="n">
        <x:v>1297.8153231508</x:v>
      </x:c>
      <x:c r="M179" s="60" t="n">
        <x:v>99.615683314</x:v>
      </x:c>
      <x:c r="N179" s="46" t="str">
        <x:v>gastropoda</x:v>
      </x:c>
      <x:c r="O179" s="62" t="n">
        <x:v>3.06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Gastropoda</x:v>
      </x:c>
      <x:c r="T179" s="62" t="n">
        <x:f>IF(O179="","",(1/'Metadata'!$B$5)^(O179-1))</x:f>
        <x:v>114.81536214968828</x:v>
      </x:c>
      <x:c r="U179" s="60" t="n">
        <x:f>IF(T179="","",I179*T179)</x:f>
        <x:v>160446.5470864594</x:v>
      </x:c>
    </x:row>
    <x:row r="180" ht="18" customHeight="1">
      <x:c r="A180" s="46" t="str">
        <x:v>LME_034</x:v>
      </x:c>
      <x:c r="B180" s="46" t="str">
        <x:v>Bay of Bengal</x:v>
      </x:c>
      <x:c r="C180" s="46" t="str">
        <x:v>LME</x:v>
      </x:c>
      <x:c r="D180" s="58" t="n">
        <x:v>2019</x:v>
      </x:c>
      <x:c r="E180" s="46" t="str">
        <x:v>Scorpaenidae</x:v>
      </x:c>
      <x:c r="F180" s="46" t="str">
        <x:v>Scorpionfishes, rockfishes</x:v>
      </x:c>
      <x:c r="G180" s="46" t="str">
        <x:v>Large reef assoc. fish (&gt;=90 cm)</x:v>
      </x:c>
      <x:c r="H180" s="46" t="str">
        <x:v>Scorpionfishes</x:v>
      </x:c>
      <x:c r="I180" s="60" t="n">
        <x:v>1369.3376133371</x:v>
      </x:c>
      <x:c r="J180" s="60" t="n">
        <x:v>1323.4987731854</x:v>
      </x:c>
      <x:c r="K180" s="60" t="n">
        <x:v>45.8388401517</x:v>
      </x:c>
      <x:c r="L180" s="60" t="n">
        <x:v>1323.4987731854</x:v>
      </x:c>
      <x:c r="M180" s="60" t="n">
        <x:v>45.8388401517</x:v>
      </x:c>
      <x:c r="N180" s="46" t="str">
        <x:v>scorpaenidae</x:v>
      </x:c>
      <x:c r="O180" s="62" t="n">
        <x:v>3.92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Scorpaenidae</x:v>
      </x:c>
      <x:c r="T180" s="62" t="n">
        <x:f>IF(O180="","",(1/'Metadata'!$B$5)^(O180-1))</x:f>
        <x:v>831.7637711026708</x:v>
      </x:c>
      <x:c r="U180" s="60" t="n">
        <x:f>IF(T180="","",I180*T180)</x:f>
        <x:v>1138965.4171819973</x:v>
      </x:c>
    </x:row>
    <x:row r="181" ht="18" customHeight="1">
      <x:c r="A181" s="46" t="str">
        <x:v>LME_034</x:v>
      </x:c>
      <x:c r="B181" s="46" t="str">
        <x:v>Bay of Bengal</x:v>
      </x:c>
      <x:c r="C181" s="46" t="str">
        <x:v>LME</x:v>
      </x:c>
      <x:c r="D181" s="58" t="n">
        <x:v>2019</x:v>
      </x:c>
      <x:c r="E181" s="46" t="str">
        <x:v>Scomberoides</x:v>
      </x:c>
      <x:c r="F181" s="46" t="str">
        <x:v>Queenfishes</x:v>
      </x:c>
      <x:c r="G181" s="46" t="str">
        <x:v>Medium pelagics (30 - 89 cm)</x:v>
      </x:c>
      <x:c r="H181" s="46" t="str">
        <x:v>Perch-likes</x:v>
      </x:c>
      <x:c r="I181" s="60" t="n">
        <x:v>1364.5380149172</x:v>
      </x:c>
      <x:c r="J181" s="60" t="n">
        <x:v>1364.5380149172</x:v>
      </x:c>
      <x:c r="K181" s="60" t="n">
        <x:v>0</x:v>
      </x:c>
      <x:c r="L181" s="60" t="n">
        <x:v>787.9599020833</x:v>
      </x:c>
      <x:c r="M181" s="60" t="n">
        <x:v>576.5781128339</x:v>
      </x:c>
      <x:c r="N181" s="46" t="str">
        <x:v>scomberoides</x:v>
      </x:c>
      <x:c r="O181" s="62" t="n">
        <x:v>4.47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Scomberoides</x:v>
      </x:c>
      <x:c r="T181" s="62" t="n">
        <x:f>IF(O181="","",(1/'Metadata'!$B$5)^(O181-1))</x:f>
        <x:v>2951.209226666384</x:v>
      </x:c>
      <x:c r="U181" s="60" t="n">
        <x:f>IF(T181="","",I181*T181)</x:f>
        <x:v>4027037.179760672</x:v>
      </x:c>
    </x:row>
    <x:row r="182" ht="18" customHeight="1">
      <x:c r="A182" s="46" t="str">
        <x:v>LME_034</x:v>
      </x:c>
      <x:c r="B182" s="46" t="str">
        <x:v>Bay of Bengal</x:v>
      </x:c>
      <x:c r="C182" s="46" t="str">
        <x:v>LME</x:v>
      </x:c>
      <x:c r="D182" s="58" t="n">
        <x:v>2019</x:v>
      </x:c>
      <x:c r="E182" s="46" t="str">
        <x:v>Lutjanus johnii</x:v>
      </x:c>
      <x:c r="F182" s="46" t="str">
        <x:v>John's snapper</x:v>
      </x:c>
      <x:c r="G182" s="46" t="str">
        <x:v>Medium reef assoc. fish (30 - 89 cm)</x:v>
      </x:c>
      <x:c r="H182" s="46" t="str">
        <x:v>Perch-likes</x:v>
      </x:c>
      <x:c r="I182" s="60" t="n">
        <x:v>1356.4634206692</x:v>
      </x:c>
      <x:c r="J182" s="60" t="n">
        <x:v>1356.4634206692</x:v>
      </x:c>
      <x:c r="K182" s="60" t="n">
        <x:v>0</x:v>
      </x:c>
      <x:c r="L182" s="60" t="n">
        <x:v>617.2745713292001</x:v>
      </x:c>
      <x:c r="M182" s="60" t="n">
        <x:v>739.18884934</x:v>
      </x:c>
      <x:c r="N182" s="46" t="str">
        <x:v>lutjanus johnii</x:v>
      </x:c>
      <x:c r="O182" s="62" t="n">
        <x:v>4.2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Lutjanus johnii</x:v>
      </x:c>
      <x:c r="T182" s="62" t="n">
        <x:f>IF(O182="","",(1/'Metadata'!$B$5)^(O182-1))</x:f>
        <x:v>1584.893192461114</x:v>
      </x:c>
      <x:c r="U182" s="60" t="n">
        <x:f>IF(T182="","",I182*T182)</x:f>
        <x:v>2149849.641241132</x:v>
      </x:c>
    </x:row>
    <x:row r="183" ht="18" customHeight="1">
      <x:c r="A183" s="46" t="str">
        <x:v>LME_034</x:v>
      </x:c>
      <x:c r="B183" s="46" t="str">
        <x:v>Bay of Bengal</x:v>
      </x:c>
      <x:c r="C183" s="46" t="str">
        <x:v>LME</x:v>
      </x:c>
      <x:c r="D183" s="58" t="n">
        <x:v>2019</x:v>
      </x:c>
      <x:c r="E183" s="46" t="str">
        <x:v>Mierspenaeopsis sculptilis</x:v>
      </x:c>
      <x:c r="F183" s="46" t="str">
        <x:v>Rainbow shrimp</x:v>
      </x:c>
      <x:c r="G183" s="46" t="str">
        <x:v>Shrimps</x:v>
      </x:c>
      <x:c r="H183" s="46" t="str">
        <x:v>Crustaceans</x:v>
      </x:c>
      <x:c r="I183" s="60" t="n">
        <x:v>1254.3298854179</x:v>
      </x:c>
      <x:c r="J183" s="60" t="n">
        <x:v>1254.3298854179</x:v>
      </x:c>
      <x:c r="K183" s="60" t="n">
        <x:v>0</x:v>
      </x:c>
      <x:c r="L183" s="60" t="n">
        <x:v>658.7090730586</x:v>
      </x:c>
      <x:c r="M183" s="60" t="n">
        <x:v>595.6208123593</x:v>
      </x:c>
      <x:c r="N183" s="46" t="str">
        <x:v>mierspenaeopsis sculptilis</x:v>
      </x:c>
      <x:c r="O183" s="62" t="n">
        <x:v>2.71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Mierspenaeopsis sculptilis</x:v>
      </x:c>
      <x:c r="T183" s="62" t="n">
        <x:f>IF(O183="","",(1/'Metadata'!$B$5)^(O183-1))</x:f>
        <x:v>51.28613839913648</x:v>
      </x:c>
      <x:c r="U183" s="60" t="n">
        <x:f>IF(T183="","",I183*T183)</x:f>
        <x:v>64329.736101715425</x:v>
      </x:c>
    </x:row>
    <x:row r="184" ht="18" customHeight="1">
      <x:c r="A184" s="46" t="str">
        <x:v>LME_034</x:v>
      </x:c>
      <x:c r="B184" s="46" t="str">
        <x:v>Bay of Bengal</x:v>
      </x:c>
      <x:c r="C184" s="46" t="str">
        <x:v>LME</x:v>
      </x:c>
      <x:c r="D184" s="58" t="n">
        <x:v>2019</x:v>
      </x:c>
      <x:c r="E184" s="46" t="str">
        <x:v>Sepioteuthis lessoniana</x:v>
      </x:c>
      <x:c r="F184" s="46" t="str">
        <x:v>Bigfin reef squid</x:v>
      </x:c>
      <x:c r="G184" s="46" t="str">
        <x:v>Cephalopods</x:v>
      </x:c>
      <x:c r="H184" s="46" t="str">
        <x:v>Other fishes &amp; inverts</x:v>
      </x:c>
      <x:c r="I184" s="60" t="n">
        <x:v>1253.9520300205002</x:v>
      </x:c>
      <x:c r="J184" s="60" t="n">
        <x:v>1253.9520300205002</x:v>
      </x:c>
      <x:c r="K184" s="60" t="n">
        <x:v>0</x:v>
      </x:c>
      <x:c r="L184" s="60" t="n">
        <x:v>722.3055217539</x:v>
      </x:c>
      <x:c r="M184" s="60" t="n">
        <x:v>531.6465082666</x:v>
      </x:c>
      <x:c r="N184" s="46" t="str">
        <x:v>sepioteuthis lessoniana</x:v>
      </x:c>
      <x:c r="O184" s="62" t="n">
        <x:v>3.98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Sepioteuthis lessoniana</x:v>
      </x:c>
      <x:c r="T184" s="62" t="n">
        <x:f>IF(O184="","",(1/'Metadata'!$B$5)^(O184-1))</x:f>
        <x:v>954.992586021436</x:v>
      </x:c>
      <x:c r="U184" s="60" t="n">
        <x:f>IF(T184="","",I184*T184)</x:f>
        <x:v>1197514.8918961068</x:v>
      </x:c>
    </x:row>
    <x:row r="185" ht="18" customHeight="1">
      <x:c r="A185" s="46" t="str">
        <x:v>LME_034</x:v>
      </x:c>
      <x:c r="B185" s="46" t="str">
        <x:v>Bay of Bengal</x:v>
      </x:c>
      <x:c r="C185" s="46" t="str">
        <x:v>LME</x:v>
      </x:c>
      <x:c r="D185" s="58" t="n">
        <x:v>2019</x:v>
      </x:c>
      <x:c r="E185" s="46" t="str">
        <x:v>Metapenaeus monoceros</x:v>
      </x:c>
      <x:c r="F185" s="46" t="str">
        <x:v>Speckled shrimp</x:v>
      </x:c>
      <x:c r="G185" s="46" t="str">
        <x:v>Shrimps</x:v>
      </x:c>
      <x:c r="H185" s="46" t="str">
        <x:v>Crustaceans</x:v>
      </x:c>
      <x:c r="I185" s="60" t="n">
        <x:v>1245.2763255322</x:v>
      </x:c>
      <x:c r="J185" s="60" t="n">
        <x:v>1245.2763255322</x:v>
      </x:c>
      <x:c r="K185" s="60" t="n">
        <x:v>0</x:v>
      </x:c>
      <x:c r="L185" s="60" t="n">
        <x:v>0</x:v>
      </x:c>
      <x:c r="M185" s="60" t="n">
        <x:v>1245.2763255322</x:v>
      </x:c>
      <x:c r="N185" s="46" t="str">
        <x:v>metapenaeus monoceros</x:v>
      </x:c>
      <x:c r="O185" s="62" t="n">
        <x:v>2.7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Metapenaeus monoceros</x:v>
      </x:c>
      <x:c r="T185" s="62" t="n">
        <x:f>IF(O185="","",(1/'Metadata'!$B$5)^(O185-1))</x:f>
        <x:v>50.11872336272725</x:v>
      </x:c>
      <x:c r="U185" s="60" t="n">
        <x:f>IF(T185="","",I185*T185)</x:f>
        <x:v>62411.659669501816</x:v>
      </x:c>
    </x:row>
    <x:row r="186" ht="18" customHeight="1">
      <x:c r="A186" s="46" t="str">
        <x:v>LME_034</x:v>
      </x:c>
      <x:c r="B186" s="46" t="str">
        <x:v>Bay of Bengal</x:v>
      </x:c>
      <x:c r="C186" s="46" t="str">
        <x:v>LME</x:v>
      </x:c>
      <x:c r="D186" s="58" t="n">
        <x:v>2019</x:v>
      </x:c>
      <x:c r="E186" s="46" t="str">
        <x:v>Gerreidae</x:v>
      </x:c>
      <x:c r="F186" s="46" t="str">
        <x:v>Mojarras, silverbellies</x:v>
      </x:c>
      <x:c r="G186" s="46" t="str">
        <x:v>Small benthopelagics (&lt;30 cm)</x:v>
      </x:c>
      <x:c r="H186" s="46" t="str">
        <x:v>Perch-likes</x:v>
      </x:c>
      <x:c r="I186" s="60" t="n">
        <x:v>1236.3502312529</x:v>
      </x:c>
      <x:c r="J186" s="60" t="n">
        <x:v>1200.8056573535</x:v>
      </x:c>
      <x:c r="K186" s="60" t="n">
        <x:v>35.5445738994</x:v>
      </x:c>
      <x:c r="L186" s="60" t="n">
        <x:v>1036.1423632547</x:v>
      </x:c>
      <x:c r="M186" s="60" t="n">
        <x:v>200.20786799820002</x:v>
      </x:c>
      <x:c r="N186" s="46" t="str">
        <x:v>gerreidae</x:v>
      </x:c>
      <x:c r="O186" s="62" t="n">
        <x:v>3.03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Gerreidae</x:v>
      </x:c>
      <x:c r="T186" s="62" t="n">
        <x:f>IF(O186="","",(1/'Metadata'!$B$5)^(O186-1))</x:f>
        <x:v>107.1519305237606</x:v>
      </x:c>
      <x:c r="U186" s="60" t="n">
        <x:f>IF(T186="","",I186*T186)</x:f>
        <x:v>132477.31408224607</x:v>
      </x:c>
    </x:row>
    <x:row r="187" ht="18" customHeight="1">
      <x:c r="A187" s="46" t="str">
        <x:v>LME_034</x:v>
      </x:c>
      <x:c r="B187" s="46" t="str">
        <x:v>Bay of Bengal</x:v>
      </x:c>
      <x:c r="C187" s="46" t="str">
        <x:v>LME</x:v>
      </x:c>
      <x:c r="D187" s="58" t="n">
        <x:v>2019</x:v>
      </x:c>
      <x:c r="E187" s="46" t="str">
        <x:v>Dasyatidae</x:v>
      </x:c>
      <x:c r="F187" s="46" t="str">
        <x:v>Whiptail stingrays</x:v>
      </x:c>
      <x:c r="G187" s="46" t="str">
        <x:v>Large rays (&gt;=90 cm)</x:v>
      </x:c>
      <x:c r="H187" s="46" t="str">
        <x:v>Sharks &amp; rays</x:v>
      </x:c>
      <x:c r="I187" s="60" t="n">
        <x:v>1116.5163831107</x:v>
      </x:c>
      <x:c r="J187" s="60" t="n">
        <x:v>1116.5163831107</x:v>
      </x:c>
      <x:c r="K187" s="60" t="n">
        <x:v>0</x:v>
      </x:c>
      <x:c r="L187" s="60" t="n">
        <x:v>0</x:v>
      </x:c>
      <x:c r="M187" s="60" t="n">
        <x:v>1116.5163831107</x:v>
      </x:c>
      <x:c r="N187" s="46" t="str">
        <x:v>dasyatidae</x:v>
      </x:c>
      <x:c r="O187" s="62" t="n">
        <x:v>3.38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Dasyatidae</x:v>
      </x:c>
      <x:c r="T187" s="62" t="n">
        <x:f>IF(O187="","",(1/'Metadata'!$B$5)^(O187-1))</x:f>
        <x:v>239.88329190194898</x:v>
      </x:c>
      <x:c r="U187" s="60" t="n">
        <x:f>IF(T187="","",I187*T187)</x:f>
        <x:v>267833.6254430523</x:v>
      </x:c>
    </x:row>
    <x:row r="188" ht="18" customHeight="1">
      <x:c r="A188" s="46" t="str">
        <x:v>LME_034</x:v>
      </x:c>
      <x:c r="B188" s="46" t="str">
        <x:v>Bay of Bengal</x:v>
      </x:c>
      <x:c r="C188" s="46" t="str">
        <x:v>LME</x:v>
      </x:c>
      <x:c r="D188" s="58" t="n">
        <x:v>2019</x:v>
      </x:c>
      <x:c r="E188" s="46" t="str">
        <x:v>Holocentridae</x:v>
      </x:c>
      <x:c r="F188" s="46" t="str">
        <x:v>Squirrel-, soldierfishes</x:v>
      </x:c>
      <x:c r="G188" s="46" t="str">
        <x:v>Small reef assoc. fish (&lt;30 cm)</x:v>
      </x:c>
      <x:c r="H188" s="46" t="str">
        <x:v>Other fishes &amp; inverts</x:v>
      </x:c>
      <x:c r="I188" s="60" t="n">
        <x:v>1060.8012534173</x:v>
      </x:c>
      <x:c r="J188" s="60" t="n">
        <x:v>1060.8012534173</x:v>
      </x:c>
      <x:c r="K188" s="60" t="n">
        <x:v>0</x:v>
      </x:c>
      <x:c r="L188" s="60" t="n">
        <x:v>0</x:v>
      </x:c>
      <x:c r="M188" s="60" t="n">
        <x:v>1060.8012534173</x:v>
      </x:c>
      <x:c r="N188" s="46" t="str">
        <x:v>holocentridae</x:v>
      </x:c>
      <x:c r="O188" s="62" t="n">
        <x:v>3.49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Holocentridae</x:v>
      </x:c>
      <x:c r="T188" s="62" t="n">
        <x:f>IF(O188="","",(1/'Metadata'!$B$5)^(O188-1))</x:f>
        <x:v>309.0295432513592</x:v>
      </x:c>
      <x:c r="U188" s="60" t="n">
        <x:f>IF(T188="","",I188*T188)</x:f>
        <x:v>327818.92682401754</x:v>
      </x:c>
    </x:row>
    <x:row r="189" ht="18" customHeight="1">
      <x:c r="A189" s="46" t="str">
        <x:v>LME_034</x:v>
      </x:c>
      <x:c r="B189" s="46" t="str">
        <x:v>Bay of Bengal</x:v>
      </x:c>
      <x:c r="C189" s="46" t="str">
        <x:v>LME</x:v>
      </x:c>
      <x:c r="D189" s="58" t="n">
        <x:v>2019</x:v>
      </x:c>
      <x:c r="E189" s="46" t="str">
        <x:v>Seriolina nigrofasciata</x:v>
      </x:c>
      <x:c r="F189" s="46" t="str">
        <x:v>Blackbanded trevally</x:v>
      </x:c>
      <x:c r="G189" s="46" t="str">
        <x:v>Medium reef assoc. fish (30 - 89 cm)</x:v>
      </x:c>
      <x:c r="H189" s="46" t="str">
        <x:v>Perch-likes</x:v>
      </x:c>
      <x:c r="I189" s="60" t="n">
        <x:v>951.5457506828001</x:v>
      </x:c>
      <x:c r="J189" s="60" t="n">
        <x:v>951.5457506828001</x:v>
      </x:c>
      <x:c r="K189" s="60" t="n">
        <x:v>0</x:v>
      </x:c>
      <x:c r="L189" s="60" t="n">
        <x:v>611.5427656342</x:v>
      </x:c>
      <x:c r="M189" s="60" t="n">
        <x:v>340.0029850486</x:v>
      </x:c>
      <x:c r="N189" s="46" t="str">
        <x:v>seriolina nigrofasciata</x:v>
      </x:c>
      <x:c r="O189" s="62" t="n">
        <x:v>4.17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Seriolina nigrofasciata</x:v>
      </x:c>
      <x:c r="T189" s="62" t="n">
        <x:f>IF(O189="","",(1/'Metadata'!$B$5)^(O189-1))</x:f>
        <x:v>1479.1083881682073</x:v>
      </x:c>
      <x:c r="U189" s="60" t="n">
        <x:f>IF(T189="","",I189*T189)</x:f>
        <x:v>1407439.3015607432</x:v>
      </x:c>
    </x:row>
    <x:row r="190" ht="18" customHeight="1">
      <x:c r="A190" s="46" t="str">
        <x:v>LME_034</x:v>
      </x:c>
      <x:c r="B190" s="46" t="str">
        <x:v>Bay of Bengal</x:v>
      </x:c>
      <x:c r="C190" s="46" t="str">
        <x:v>LME</x:v>
      </x:c>
      <x:c r="D190" s="58" t="n">
        <x:v>2019</x:v>
      </x:c>
      <x:c r="E190" s="46" t="str">
        <x:v>Istiophorus platypterus</x:v>
      </x:c>
      <x:c r="F190" s="46" t="str">
        <x:v>Indo-Pacific sailfish</x:v>
      </x:c>
      <x:c r="G190" s="46" t="str">
        <x:v>Large pelagics (&gt;=90 cm)</x:v>
      </x:c>
      <x:c r="H190" s="46" t="str">
        <x:v>Tuna &amp; billfishes</x:v>
      </x:c>
      <x:c r="I190" s="60" t="n">
        <x:v>832.7610306837</x:v>
      </x:c>
      <x:c r="J190" s="60" t="n">
        <x:v>832.7610306837</x:v>
      </x:c>
      <x:c r="K190" s="60" t="n">
        <x:v>0</x:v>
      </x:c>
      <x:c r="L190" s="60" t="n">
        <x:v>703.5391038493</x:v>
      </x:c>
      <x:c r="M190" s="60" t="n">
        <x:v>129.2219268344</x:v>
      </x:c>
      <x:c r="N190" s="46" t="str">
        <x:v>istiophorus platypterus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Istiophorus platypterus</x:v>
      </x:c>
      <x:c r="T190" s="62" t="n">
        <x:f>IF(O190="","",(1/'Metadata'!$B$5)^(O190-1))</x:f>
        <x:v>3162.2776601683795</x:v>
      </x:c>
      <x:c r="U190" s="60" t="n">
        <x:f>IF(T190="","",I190*T190)</x:f>
        <x:v>2633421.603589859</x:v>
      </x:c>
    </x:row>
    <x:row r="191" ht="18" customHeight="1">
      <x:c r="A191" s="46" t="str">
        <x:v>LME_034</x:v>
      </x:c>
      <x:c r="B191" s="46" t="str">
        <x:v>Bay of Bengal</x:v>
      </x:c>
      <x:c r="C191" s="46" t="str">
        <x:v>LME</x:v>
      </x:c>
      <x:c r="D191" s="58" t="n">
        <x:v>2019</x:v>
      </x:c>
      <x:c r="E191" s="46" t="str">
        <x:v>Auxis rochei</x:v>
      </x:c>
      <x:c r="F191" s="46" t="str">
        <x:v>Bullet tuna</x:v>
      </x:c>
      <x:c r="G191" s="46" t="str">
        <x:v>Medium pelagics (30 - 89 cm)</x:v>
      </x:c>
      <x:c r="H191" s="46" t="str">
        <x:v>Tuna &amp; billfishes</x:v>
      </x:c>
      <x:c r="I191" s="60" t="n">
        <x:v>818.0484582044</x:v>
      </x:c>
      <x:c r="J191" s="60" t="n">
        <x:v>818.0484582044</x:v>
      </x:c>
      <x:c r="K191" s="60" t="n">
        <x:v>0</x:v>
      </x:c>
      <x:c r="L191" s="60" t="n">
        <x:v>818.0484582044</x:v>
      </x:c>
      <x:c r="M191" s="60" t="n">
        <x:v>0</x:v>
      </x:c>
      <x:c r="N191" s="46" t="str">
        <x:v>auxis rochei</x:v>
      </x:c>
      <x:c r="O191" s="62" t="n">
        <x:v>4.13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Auxis rochei</x:v>
      </x:c>
      <x:c r="T191" s="62" t="n">
        <x:f>IF(O191="","",(1/'Metadata'!$B$5)^(O191-1))</x:f>
        <x:v>1348.9628825916532</x:v>
      </x:c>
      <x:c r="U191" s="60" t="n">
        <x:f>IF(T191="","",I191*T191)</x:f>
        <x:v>1103517.006279065</x:v>
      </x:c>
    </x:row>
    <x:row r="192" ht="18" customHeight="1">
      <x:c r="A192" s="46" t="str">
        <x:v>LME_034</x:v>
      </x:c>
      <x:c r="B192" s="46" t="str">
        <x:v>Bay of Bengal</x:v>
      </x:c>
      <x:c r="C192" s="46" t="str">
        <x:v>LME</x:v>
      </x:c>
      <x:c r="D192" s="58" t="n">
        <x:v>2019</x:v>
      </x:c>
      <x:c r="E192" s="46" t="str">
        <x:v>Istiompax indica</x:v>
      </x:c>
      <x:c r="F192" s="46" t="str">
        <x:v>Black marlin</x:v>
      </x:c>
      <x:c r="G192" s="46" t="str">
        <x:v>Large pelagics (&gt;=90 cm)</x:v>
      </x:c>
      <x:c r="H192" s="46" t="str">
        <x:v>Tuna &amp; billfishes</x:v>
      </x:c>
      <x:c r="I192" s="60" t="n">
        <x:v>795.1248734044</x:v>
      </x:c>
      <x:c r="J192" s="60" t="n">
        <x:v>795.1248734044</x:v>
      </x:c>
      <x:c r="K192" s="60" t="n">
        <x:v>0</x:v>
      </x:c>
      <x:c r="L192" s="60" t="n">
        <x:v>708.7680383217</x:v>
      </x:c>
      <x:c r="M192" s="60" t="n">
        <x:v>86.3568350827</x:v>
      </x:c>
      <x:c r="N192" s="46" t="str">
        <x:v>istiompax indica</x:v>
      </x:c>
      <x:c r="O192" s="62" t="n">
        <x:v>4.5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Istiompax indica</x:v>
      </x:c>
      <x:c r="T192" s="62" t="n">
        <x:f>IF(O192="","",(1/'Metadata'!$B$5)^(O192-1))</x:f>
        <x:v>3162.2776601683795</x:v>
      </x:c>
      <x:c r="U192" s="60" t="n">
        <x:f>IF(T192="","",I192*T192)</x:f>
        <x:v>2514405.624210945</x:v>
      </x:c>
    </x:row>
    <x:row r="193" ht="18" customHeight="1">
      <x:c r="A193" s="46" t="str">
        <x:v>LME_034</x:v>
      </x:c>
      <x:c r="B193" s="46" t="str">
        <x:v>Bay of Bengal</x:v>
      </x:c>
      <x:c r="C193" s="46" t="str">
        <x:v>LME</x:v>
      </x:c>
      <x:c r="D193" s="58" t="n">
        <x:v>2019</x:v>
      </x:c>
      <x:c r="E193" s="46" t="str">
        <x:v>Balistidae</x:v>
      </x:c>
      <x:c r="F193" s="46" t="str">
        <x:v>Triggerfishes</x:v>
      </x:c>
      <x:c r="G193" s="46" t="str">
        <x:v>Medium reef assoc. fish (30 - 89 cm)</x:v>
      </x:c>
      <x:c r="H193" s="46" t="str">
        <x:v>Other fishes &amp; inverts</x:v>
      </x:c>
      <x:c r="I193" s="60" t="n">
        <x:v>778.0363042804</x:v>
      </x:c>
      <x:c r="J193" s="60" t="n">
        <x:v>778.0363042804</x:v>
      </x:c>
      <x:c r="K193" s="60" t="n">
        <x:v>0</x:v>
      </x:c>
      <x:c r="L193" s="60" t="n">
        <x:v>676.3567985272</x:v>
      </x:c>
      <x:c r="M193" s="60" t="n">
        <x:v>101.67950575319999</x:v>
      </x:c>
      <x:c r="N193" s="46" t="str">
        <x:v>balistidae</x:v>
      </x:c>
      <x:c r="O193" s="62" t="n">
        <x:v>3.25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Balistidae</x:v>
      </x:c>
      <x:c r="T193" s="62" t="n">
        <x:f>IF(O193="","",(1/'Metadata'!$B$5)^(O193-1))</x:f>
        <x:v>177.82794100389228</x:v>
      </x:c>
      <x:c r="U193" s="60" t="n">
        <x:f>IF(T193="","",I193*T193)</x:f>
        <x:v>138356.59401646137</x:v>
      </x:c>
    </x:row>
    <x:row r="194" ht="18" customHeight="1">
      <x:c r="A194" s="46" t="str">
        <x:v>LME_034</x:v>
      </x:c>
      <x:c r="B194" s="46" t="str">
        <x:v>Bay of Bengal</x:v>
      </x:c>
      <x:c r="C194" s="46" t="str">
        <x:v>LME</x:v>
      </x:c>
      <x:c r="D194" s="58" t="n">
        <x:v>2019</x:v>
      </x:c>
      <x:c r="E194" s="46" t="str">
        <x:v>Thunnus alalunga</x:v>
      </x:c>
      <x:c r="F194" s="46" t="str">
        <x:v>Albacore</x:v>
      </x:c>
      <x:c r="G194" s="46" t="str">
        <x:v>Large pelagics (&gt;=90 cm)</x:v>
      </x:c>
      <x:c r="H194" s="46" t="str">
        <x:v>Tuna &amp; billfishes</x:v>
      </x:c>
      <x:c r="I194" s="60" t="n">
        <x:v>774.7543949041</x:v>
      </x:c>
      <x:c r="J194" s="60" t="n">
        <x:v>774.7543949041</x:v>
      </x:c>
      <x:c r="K194" s="60" t="n">
        <x:v>0</x:v>
      </x:c>
      <x:c r="L194" s="60" t="n">
        <x:v>747.377694705</x:v>
      </x:c>
      <x:c r="M194" s="60" t="n">
        <x:v>27.3767001991</x:v>
      </x:c>
      <x:c r="N194" s="46" t="str">
        <x:v>thunnus alalunga</x:v>
      </x:c>
      <x:c r="O194" s="62" t="n">
        <x:v>4.3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Thunnus alalunga</x:v>
      </x:c>
      <x:c r="T194" s="62" t="n">
        <x:f>IF(O194="","",(1/'Metadata'!$B$5)^(O194-1))</x:f>
        <x:v>1995.2623149688789</x:v>
      </x:c>
      <x:c r="U194" s="60" t="n">
        <x:f>IF(T194="","",I194*T194)</x:f>
        <x:v>1545838.2475086674</x:v>
      </x:c>
    </x:row>
    <x:row r="195" ht="18" customHeight="1">
      <x:c r="A195" s="46" t="str">
        <x:v>LME_034</x:v>
      </x:c>
      <x:c r="B195" s="46" t="str">
        <x:v>Bay of Bengal</x:v>
      </x:c>
      <x:c r="C195" s="46" t="str">
        <x:v>LME</x:v>
      </x:c>
      <x:c r="D195" s="58" t="n">
        <x:v>2019</x:v>
      </x:c>
      <x:c r="E195" s="46" t="str">
        <x:v>Penaeus japonicus</x:v>
      </x:c>
      <x:c r="F195" s="46" t="str">
        <x:v>Kuruma prawn</x:v>
      </x:c>
      <x:c r="G195" s="46" t="str">
        <x:v>Shrimps</x:v>
      </x:c>
      <x:c r="H195" s="46" t="str">
        <x:v>Crustaceans</x:v>
      </x:c>
      <x:c r="I195" s="60" t="n">
        <x:v>768.9233799576</x:v>
      </x:c>
      <x:c r="J195" s="60" t="n">
        <x:v>768.9233799576</x:v>
      </x:c>
      <x:c r="K195" s="60" t="n">
        <x:v>0</x:v>
      </x:c>
      <x:c r="L195" s="60" t="n">
        <x:v>0</x:v>
      </x:c>
      <x:c r="M195" s="60" t="n">
        <x:v>768.9233799576</x:v>
      </x:c>
      <x:c r="N195" s="46" t="str">
        <x:v>penaeus japonicus</x:v>
      </x:c>
      <x:c r="O195" s="62" t="n">
        <x:v>2.7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Penaeus japonicus</x:v>
      </x:c>
      <x:c r="T195" s="62" t="n">
        <x:f>IF(O195="","",(1/'Metadata'!$B$5)^(O195-1))</x:f>
        <x:v>50.11872336272725</x:v>
      </x:c>
      <x:c r="U195" s="60" t="n">
        <x:f>IF(T195="","",I195*T195)</x:f>
        <x:v>38537.45816722817</x:v>
      </x:c>
    </x:row>
    <x:row r="196" ht="18" customHeight="1">
      <x:c r="A196" s="46" t="str">
        <x:v>LME_034</x:v>
      </x:c>
      <x:c r="B196" s="46" t="str">
        <x:v>Bay of Bengal</x:v>
      </x:c>
      <x:c r="C196" s="46" t="str">
        <x:v>LME</x:v>
      </x:c>
      <x:c r="D196" s="58" t="n">
        <x:v>2019</x:v>
      </x:c>
      <x:c r="E196" s="46" t="str">
        <x:v>Carcharhinus falciformis</x:v>
      </x:c>
      <x:c r="F196" s="46" t="str">
        <x:v>Silky shark</x:v>
      </x:c>
      <x:c r="G196" s="46" t="str">
        <x:v>Large sharks (&gt;=90 cm)</x:v>
      </x:c>
      <x:c r="H196" s="46" t="str">
        <x:v>Sharks &amp; rays</x:v>
      </x:c>
      <x:c r="I196" s="60" t="n">
        <x:v>760.0015824761</x:v>
      </x:c>
      <x:c r="J196" s="60" t="n">
        <x:v>760.0015824761</x:v>
      </x:c>
      <x:c r="K196" s="60" t="n">
        <x:v>0</x:v>
      </x:c>
      <x:c r="L196" s="60" t="n">
        <x:v>760.0015824761</x:v>
      </x:c>
      <x:c r="M196" s="60" t="n">
        <x:v>0</x:v>
      </x:c>
      <x:c r="N196" s="46" t="str">
        <x:v>carcharhinus falciformis</x:v>
      </x:c>
      <x:c r="O196" s="62" t="n">
        <x:v>4.51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Carcharhinus falciformis</x:v>
      </x:c>
      <x:c r="T196" s="62" t="n">
        <x:f>IF(O196="","",(1/'Metadata'!$B$5)^(O196-1))</x:f>
        <x:v>3235.936569296281</x:v>
      </x:c>
      <x:c r="U196" s="60" t="n">
        <x:f>IF(T196="","",I196*T196)</x:f>
        <x:v>2459316.9134574556</x:v>
      </x:c>
    </x:row>
    <x:row r="197" ht="18" customHeight="1">
      <x:c r="A197" s="46" t="str">
        <x:v>LME_034</x:v>
      </x:c>
      <x:c r="B197" s="46" t="str">
        <x:v>Bay of Bengal</x:v>
      </x:c>
      <x:c r="C197" s="46" t="str">
        <x:v>LME</x:v>
      </x:c>
      <x:c r="D197" s="58" t="n">
        <x:v>2019</x:v>
      </x:c>
      <x:c r="E197" s="46" t="str">
        <x:v>Panulirus longipes</x:v>
      </x:c>
      <x:c r="F197" s="46" t="str">
        <x:v>Longlegged spiny lobster</x:v>
      </x:c>
      <x:c r="G197" s="46" t="str">
        <x:v>Lobsters, crabs</x:v>
      </x:c>
      <x:c r="H197" s="46" t="str">
        <x:v>Crustaceans</x:v>
      </x:c>
      <x:c r="I197" s="60" t="n">
        <x:v>755.7893184913</x:v>
      </x:c>
      <x:c r="J197" s="60" t="n">
        <x:v>755.7893184913</x:v>
      </x:c>
      <x:c r="K197" s="60" t="n">
        <x:v>0</x:v>
      </x:c>
      <x:c r="L197" s="60" t="n">
        <x:v>740.7203855818</x:v>
      </x:c>
      <x:c r="M197" s="60" t="n">
        <x:v>15.0689329095</x:v>
      </x:c>
      <x:c r="N197" s="46" t="str">
        <x:v>panulirus longipes</x:v>
      </x:c>
      <x:c r="O197" s="62" t="n">
        <x:v>2.6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Panulirus longipes</x:v>
      </x:c>
      <x:c r="T197" s="62" t="n">
        <x:f>IF(O197="","",(1/'Metadata'!$B$5)^(O197-1))</x:f>
        <x:v>39.810717055349734</x:v>
      </x:c>
      <x:c r="U197" s="60" t="n">
        <x:f>IF(T197="","",I197*T197)</x:f>
        <x:v>30088.51471191275</x:v>
      </x:c>
    </x:row>
    <x:row r="198" ht="18" customHeight="1">
      <x:c r="A198" s="46" t="str">
        <x:v>LME_034</x:v>
      </x:c>
      <x:c r="B198" s="46" t="str">
        <x:v>Bay of Bengal</x:v>
      </x:c>
      <x:c r="C198" s="46" t="str">
        <x:v>LME</x:v>
      </x:c>
      <x:c r="D198" s="58" t="n">
        <x:v>2019</x:v>
      </x:c>
      <x:c r="E198" s="46" t="str">
        <x:v>Panulirus homarus</x:v>
      </x:c>
      <x:c r="F198" s="46" t="str">
        <x:v>Scalloped spiny lobster</x:v>
      </x:c>
      <x:c r="G198" s="46" t="str">
        <x:v>Lobsters, crabs</x:v>
      </x:c>
      <x:c r="H198" s="46" t="str">
        <x:v>Crustaceans</x:v>
      </x:c>
      <x:c r="I198" s="60" t="n">
        <x:v>716.0492212604</x:v>
      </x:c>
      <x:c r="J198" s="60" t="n">
        <x:v>716.0492212604</x:v>
      </x:c>
      <x:c r="K198" s="60" t="n">
        <x:v>0</x:v>
      </x:c>
      <x:c r="L198" s="60" t="n">
        <x:v>716.0492212604</x:v>
      </x:c>
      <x:c r="M198" s="60" t="n">
        <x:v>0</x:v>
      </x:c>
      <x:c r="N198" s="46" t="str">
        <x:v>panulirus homarus</x:v>
      </x:c>
      <x:c r="O198" s="62" t="n">
        <x:v>3.33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Panulirus homarus</x:v>
      </x:c>
      <x:c r="T198" s="62" t="n">
        <x:f>IF(O198="","",(1/'Metadata'!$B$5)^(O198-1))</x:f>
        <x:v>213.79620895022325</x:v>
      </x:c>
      <x:c r="U198" s="60" t="n">
        <x:f>IF(T198="","",I198*T198)</x:f>
        <x:v>153088.60892723312</x:v>
      </x:c>
    </x:row>
    <x:row r="199" ht="18" customHeight="1">
      <x:c r="A199" s="46" t="str">
        <x:v>LME_034</x:v>
      </x:c>
      <x:c r="B199" s="46" t="str">
        <x:v>Bay of Bengal</x:v>
      </x:c>
      <x:c r="C199" s="46" t="str">
        <x:v>LME</x:v>
      </x:c>
      <x:c r="D199" s="58" t="n">
        <x:v>2019</x:v>
      </x:c>
      <x:c r="E199" s="46" t="str">
        <x:v>Portunus</x:v>
      </x:c>
      <x:c r="F199" s="46" t="str">
        <x:v>Swimmer crabs</x:v>
      </x:c>
      <x:c r="G199" s="46" t="str">
        <x:v>Lobsters, crabs</x:v>
      </x:c>
      <x:c r="H199" s="46" t="str">
        <x:v>Crustaceans</x:v>
      </x:c>
      <x:c r="I199" s="60" t="n">
        <x:v>702.5277003321</x:v>
      </x:c>
      <x:c r="J199" s="60" t="n">
        <x:v>702.5277003321</x:v>
      </x:c>
      <x:c r="K199" s="60" t="n">
        <x:v>0</x:v>
      </x:c>
      <x:c r="L199" s="60" t="n">
        <x:v>0</x:v>
      </x:c>
      <x:c r="M199" s="60" t="n">
        <x:v>702.5277003321</x:v>
      </x:c>
      <x:c r="N199" s="46" t="str">
        <x:v>portunus</x:v>
      </x:c>
      <x:c r="O199" s="62" t="n">
        <x:v>3.26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Portunus</x:v>
      </x:c>
      <x:c r="T199" s="62" t="n">
        <x:f>IF(O199="","",(1/'Metadata'!$B$5)^(O199-1))</x:f>
        <x:v>181.97008586099827</x:v>
      </x:c>
      <x:c r="U199" s="60" t="n">
        <x:f>IF(T199="","",I199*T199)</x:f>
        <x:v>127839.0259491619</x:v>
      </x:c>
    </x:row>
    <x:row r="200" ht="18" customHeight="1">
      <x:c r="A200" s="46" t="str">
        <x:v>LME_034</x:v>
      </x:c>
      <x:c r="B200" s="46" t="str">
        <x:v>Bay of Bengal</x:v>
      </x:c>
      <x:c r="C200" s="46" t="str">
        <x:v>LME</x:v>
      </x:c>
      <x:c r="D200" s="58" t="n">
        <x:v>2019</x:v>
      </x:c>
      <x:c r="E200" s="46" t="str">
        <x:v>Gerres</x:v>
      </x:c>
      <x:c r="F200" s="46" t="str">
        <x:v>Silver biddies</x:v>
      </x:c>
      <x:c r="G200" s="46" t="str">
        <x:v>Small benthopelagics (&lt;30 cm)</x:v>
      </x:c>
      <x:c r="H200" s="46" t="str">
        <x:v>Perch-likes</x:v>
      </x:c>
      <x:c r="I200" s="60" t="n">
        <x:v>698.3199866376001</x:v>
      </x:c>
      <x:c r="J200" s="60" t="n">
        <x:v>698.3199866376001</x:v>
      </x:c>
      <x:c r="K200" s="60" t="n">
        <x:v>0</x:v>
      </x:c>
      <x:c r="L200" s="60" t="n">
        <x:v>100.7267485049</x:v>
      </x:c>
      <x:c r="M200" s="60" t="n">
        <x:v>597.5932381327001</x:v>
      </x:c>
      <x:c r="N200" s="46" t="str">
        <x:v>gerres</x:v>
      </x:c>
      <x:c r="O200" s="62" t="n">
        <x:v>3.27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Gerres</x:v>
      </x:c>
      <x:c r="T200" s="62" t="n">
        <x:f>IF(O200="","",(1/'Metadata'!$B$5)^(O200-1))</x:f>
        <x:v>186.20871366628674</x:v>
      </x:c>
      <x:c r="U200" s="60" t="n">
        <x:f>IF(T200="","",I200*T200)</x:f>
        <x:v>130033.26643924606</x:v>
      </x:c>
    </x:row>
    <x:row r="201" ht="18" customHeight="1">
      <x:c r="A201" s="46" t="str">
        <x:v>LME_034</x:v>
      </x:c>
      <x:c r="B201" s="46" t="str">
        <x:v>Bay of Bengal</x:v>
      </x:c>
      <x:c r="C201" s="46" t="str">
        <x:v>LME</x:v>
      </x:c>
      <x:c r="D201" s="58" t="n">
        <x:v>2019</x:v>
      </x:c>
      <x:c r="E201" s="46" t="str">
        <x:v>Muraenesox cinereus</x:v>
      </x:c>
      <x:c r="F201" s="46" t="str">
        <x:v>Daggertooth pike conger</x:v>
      </x:c>
      <x:c r="G201" s="46" t="str">
        <x:v>Large demersals (&gt;=90 cm)</x:v>
      </x:c>
      <x:c r="H201" s="46" t="str">
        <x:v>Other fishes &amp; inverts</x:v>
      </x:c>
      <x:c r="I201" s="60" t="n">
        <x:v>677.723820753</x:v>
      </x:c>
      <x:c r="J201" s="60" t="n">
        <x:v>668.3696349366</x:v>
      </x:c>
      <x:c r="K201" s="60" t="n">
        <x:v>9.3541858164</x:v>
      </x:c>
      <x:c r="L201" s="60" t="n">
        <x:v>520.9827637693</x:v>
      </x:c>
      <x:c r="M201" s="60" t="n">
        <x:v>156.74105698370002</x:v>
      </x:c>
      <x:c r="N201" s="46" t="str">
        <x:v>muraenesox cinereus</x:v>
      </x:c>
      <x:c r="O201" s="62" t="n">
        <x:v>4.38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Muraenesox cinereus</x:v>
      </x:c>
      <x:c r="T201" s="62" t="n">
        <x:f>IF(O201="","",(1/'Metadata'!$B$5)^(O201-1))</x:f>
        <x:v>2398.83291901949</x:v>
      </x:c>
      <x:c r="U201" s="60" t="n">
        <x:f>IF(T201="","",I201*T201)</x:f>
        <x:v>1625746.2112259606</x:v>
      </x:c>
    </x:row>
    <x:row r="202" ht="18" customHeight="1">
      <x:c r="A202" s="46" t="str">
        <x:v>LME_034</x:v>
      </x:c>
      <x:c r="B202" s="46" t="str">
        <x:v>Bay of Bengal</x:v>
      </x:c>
      <x:c r="C202" s="46" t="str">
        <x:v>LME</x:v>
      </x:c>
      <x:c r="D202" s="58" t="n">
        <x:v>2019</x:v>
      </x:c>
      <x:c r="E202" s="46" t="str">
        <x:v>Alopias</x:v>
      </x:c>
      <x:c r="F202" s="46" t="str">
        <x:v>Thresher sharks</x:v>
      </x:c>
      <x:c r="G202" s="46" t="str">
        <x:v>Large sharks (&gt;=90 cm)</x:v>
      </x:c>
      <x:c r="H202" s="46" t="str">
        <x:v>Sharks &amp; rays</x:v>
      </x:c>
      <x:c r="I202" s="60" t="n">
        <x:v>618.9631157274</x:v>
      </x:c>
      <x:c r="J202" s="60" t="n">
        <x:v>618.9631157274</x:v>
      </x:c>
      <x:c r="K202" s="60" t="n">
        <x:v>0</x:v>
      </x:c>
      <x:c r="L202" s="60" t="n">
        <x:v>618.9631157274</x:v>
      </x:c>
      <x:c r="M202" s="60" t="n">
        <x:v>0</x:v>
      </x:c>
      <x:c r="N202" s="46" t="str">
        <x:v>alopias</x:v>
      </x:c>
      <x:c r="O202" s="62" t="n">
        <x:v>4.5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Alopias</x:v>
      </x:c>
      <x:c r="T202" s="62" t="n">
        <x:f>IF(O202="","",(1/'Metadata'!$B$5)^(O202-1))</x:f>
        <x:v>3162.2776601683795</x:v>
      </x:c>
      <x:c r="U202" s="60" t="n">
        <x:f>IF(T202="","",I202*T202)</x:f>
        <x:v>1957333.2333329725</x:v>
      </x:c>
    </x:row>
    <x:row r="203" ht="18" customHeight="1">
      <x:c r="A203" s="46" t="str">
        <x:v>LME_034</x:v>
      </x:c>
      <x:c r="B203" s="46" t="str">
        <x:v>Bay of Bengal</x:v>
      </x:c>
      <x:c r="C203" s="46" t="str">
        <x:v>LME</x:v>
      </x:c>
      <x:c r="D203" s="58" t="n">
        <x:v>2019</x:v>
      </x:c>
      <x:c r="E203" s="46" t="str">
        <x:v>Siganus canaliculatus</x:v>
      </x:c>
      <x:c r="F203" s="46" t="str">
        <x:v>White-spotted spinefoot</x:v>
      </x:c>
      <x:c r="G203" s="46" t="str">
        <x:v>Small reef assoc. fish (&lt;30 cm)</x:v>
      </x:c>
      <x:c r="H203" s="46" t="str">
        <x:v>Perch-likes</x:v>
      </x:c>
      <x:c r="I203" s="60" t="n">
        <x:v>604.0343157654</x:v>
      </x:c>
      <x:c r="J203" s="60" t="n">
        <x:v>517.6555444087</x:v>
      </x:c>
      <x:c r="K203" s="60" t="n">
        <x:v>86.3787713567</x:v>
      </x:c>
      <x:c r="L203" s="60" t="n">
        <x:v>517.6555444087</x:v>
      </x:c>
      <x:c r="M203" s="60" t="n">
        <x:v>86.3787713567</x:v>
      </x:c>
      <x:c r="N203" s="46" t="str">
        <x:v>siganus canaliculatus</x:v>
      </x:c>
      <x:c r="O203" s="62" t="n">
        <x:v>2.76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Siganus canaliculatus</x:v>
      </x:c>
      <x:c r="T203" s="62" t="n">
        <x:f>IF(O203="","",(1/'Metadata'!$B$5)^(O203-1))</x:f>
        <x:v>57.543993733715666</x:v>
      </x:c>
      <x:c r="U203" s="60" t="n">
        <x:f>IF(T203="","",I203*T203)</x:f>
        <x:v>34758.54688135341</x:v>
      </x:c>
    </x:row>
    <x:row r="204" ht="18" customHeight="1">
      <x:c r="A204" s="46" t="str">
        <x:v>LME_034</x:v>
      </x:c>
      <x:c r="B204" s="46" t="str">
        <x:v>Bay of Bengal</x:v>
      </x:c>
      <x:c r="C204" s="46" t="str">
        <x:v>LME</x:v>
      </x:c>
      <x:c r="D204" s="58" t="n">
        <x:v>2019</x:v>
      </x:c>
      <x:c r="E204" s="46" t="str">
        <x:v>Chirocentrus nudus</x:v>
      </x:c>
      <x:c r="F204" s="46" t="str">
        <x:v>Whitefin wolf-herring</x:v>
      </x:c>
      <x:c r="G204" s="46" t="str">
        <x:v>Large pelagics (&gt;=90 cm)</x:v>
      </x:c>
      <x:c r="H204" s="46" t="str">
        <x:v>Herring-likes</x:v>
      </x:c>
      <x:c r="I204" s="60" t="n">
        <x:v>601.2382501651</x:v>
      </x:c>
      <x:c r="J204" s="60" t="n">
        <x:v>601.2382501651</x:v>
      </x:c>
      <x:c r="K204" s="60" t="n">
        <x:v>0</x:v>
      </x:c>
      <x:c r="L204" s="60" t="n">
        <x:v>0</x:v>
      </x:c>
      <x:c r="M204" s="60" t="n">
        <x:v>601.2382501651</x:v>
      </x:c>
      <x:c r="N204" s="46" t="str">
        <x:v>chirocentrus nudus</x:v>
      </x:c>
      <x:c r="O204" s="62" t="n">
        <x:v>4.19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Chirocentrus nudus</x:v>
      </x:c>
      <x:c r="T204" s="62" t="n">
        <x:f>IF(O204="","",(1/'Metadata'!$B$5)^(O204-1))</x:f>
        <x:v>1548.8166189124827</x:v>
      </x:c>
      <x:c r="U204" s="60" t="n">
        <x:f>IF(T204="","",I204*T204)</x:f>
        <x:v>931207.7937815676</x:v>
      </x:c>
    </x:row>
    <x:row r="205" ht="18" customHeight="1">
      <x:c r="A205" s="46" t="str">
        <x:v>LME_034</x:v>
      </x:c>
      <x:c r="B205" s="46" t="str">
        <x:v>Bay of Bengal</x:v>
      </x:c>
      <x:c r="C205" s="46" t="str">
        <x:v>LME</x:v>
      </x:c>
      <x:c r="D205" s="58" t="n">
        <x:v>2019</x:v>
      </x:c>
      <x:c r="E205" s="46" t="str">
        <x:v>Platycephalus indicus</x:v>
      </x:c>
      <x:c r="F205" s="46" t="str">
        <x:v>Bartail flathead</x:v>
      </x:c>
      <x:c r="G205" s="46" t="str">
        <x:v>Medium demersals (30 - 89 cm)</x:v>
      </x:c>
      <x:c r="H205" s="46" t="str">
        <x:v>Scorpionfishes</x:v>
      </x:c>
      <x:c r="I205" s="60" t="n">
        <x:v>535.1343469814</x:v>
      </x:c>
      <x:c r="J205" s="60" t="n">
        <x:v>535.1343469814</x:v>
      </x:c>
      <x:c r="K205" s="60" t="n">
        <x:v>0</x:v>
      </x:c>
      <x:c r="L205" s="60" t="n">
        <x:v>0</x:v>
      </x:c>
      <x:c r="M205" s="60" t="n">
        <x:v>535.1343469814</x:v>
      </x:c>
      <x:c r="N205" s="46" t="str">
        <x:v>platycephalus indicus</x:v>
      </x:c>
      <x:c r="O205" s="62" t="n">
        <x:v>3.6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Platycephalus indicus</x:v>
      </x:c>
      <x:c r="T205" s="62" t="n">
        <x:f>IF(O205="","",(1/'Metadata'!$B$5)^(O205-1))</x:f>
        <x:v>398.1071705534973</x:v>
      </x:c>
      <x:c r="U205" s="60" t="n">
        <x:f>IF(T205="","",I205*T205)</x:f>
        <x:v>213040.8207427586</x:v>
      </x:c>
    </x:row>
    <x:row r="206" ht="18" customHeight="1">
      <x:c r="A206" s="46" t="str">
        <x:v>LME_034</x:v>
      </x:c>
      <x:c r="B206" s="46" t="str">
        <x:v>Bay of Bengal</x:v>
      </x:c>
      <x:c r="C206" s="46" t="str">
        <x:v>LME</x:v>
      </x:c>
      <x:c r="D206" s="58" t="n">
        <x:v>2019</x:v>
      </x:c>
      <x:c r="E206" s="46" t="str">
        <x:v>Carcharhinidae</x:v>
      </x:c>
      <x:c r="F206" s="46" t="str">
        <x:v>Requiem sharks</x:v>
      </x:c>
      <x:c r="G206" s="46" t="str">
        <x:v>Large sharks (&gt;=90 cm)</x:v>
      </x:c>
      <x:c r="H206" s="46" t="str">
        <x:v>Sharks &amp; rays</x:v>
      </x:c>
      <x:c r="I206" s="60" t="n">
        <x:v>485.8412349833</x:v>
      </x:c>
      <x:c r="J206" s="60" t="n">
        <x:v>485.8412349833</x:v>
      </x:c>
      <x:c r="K206" s="60" t="n">
        <x:v>0</x:v>
      </x:c>
      <x:c r="L206" s="60" t="n">
        <x:v>200.2611719155</x:v>
      </x:c>
      <x:c r="M206" s="60" t="n">
        <x:v>285.58006306780004</x:v>
      </x:c>
      <x:c r="N206" s="46" t="str">
        <x:v>carcharhinidae</x:v>
      </x:c>
      <x:c r="O206" s="62" t="n">
        <x:v>4.24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Carcharhinidae</x:v>
      </x:c>
      <x:c r="T206" s="62" t="n">
        <x:f>IF(O206="","",(1/'Metadata'!$B$5)^(O206-1))</x:f>
        <x:v>1737.8008287493763</x:v>
      </x:c>
      <x:c r="U206" s="60" t="n">
        <x:f>IF(T206="","",I206*T206)</x:f>
        <x:v>844295.3007945992</x:v>
      </x:c>
    </x:row>
    <x:row r="207" ht="18" customHeight="1">
      <x:c r="A207" s="46" t="str">
        <x:v>LME_034</x:v>
      </x:c>
      <x:c r="B207" s="46" t="str">
        <x:v>Bay of Bengal</x:v>
      </x:c>
      <x:c r="C207" s="46" t="str">
        <x:v>LME</x:v>
      </x:c>
      <x:c r="D207" s="58" t="n">
        <x:v>2019</x:v>
      </x:c>
      <x:c r="E207" s="46" t="str">
        <x:v>Dussumieria elopsoides</x:v>
      </x:c>
      <x:c r="F207" s="46" t="str">
        <x:v>Slender rainbow sardine</x:v>
      </x:c>
      <x:c r="G207" s="46" t="str">
        <x:v>Small pelagics (&lt;30 cm)</x:v>
      </x:c>
      <x:c r="H207" s="46" t="str">
        <x:v>Herring-likes</x:v>
      </x:c>
      <x:c r="I207" s="60" t="n">
        <x:v>475.84734416159995</x:v>
      </x:c>
      <x:c r="J207" s="60" t="n">
        <x:v>460.8749649436</x:v>
      </x:c>
      <x:c r="K207" s="60" t="n">
        <x:v>14.972379218</x:v>
      </x:c>
      <x:c r="L207" s="60" t="n">
        <x:v>460.8749649436</x:v>
      </x:c>
      <x:c r="M207" s="60" t="n">
        <x:v>14.972379218</x:v>
      </x:c>
      <x:c r="N207" s="46" t="str">
        <x:v>dussumieria elopsoides</x:v>
      </x:c>
      <x:c r="O207" s="62" t="n">
        <x:v>3.4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Dussumieria elopsoides</x:v>
      </x:c>
      <x:c r="T207" s="62" t="n">
        <x:f>IF(O207="","",(1/'Metadata'!$B$5)^(O207-1))</x:f>
        <x:v>251.18864315095797</x:v>
      </x:c>
      <x:c r="U207" s="60" t="n">
        <x:f>IF(T207="","",I207*T207)</x:f>
        <x:v>119527.44872693921</x:v>
      </x:c>
    </x:row>
    <x:row r="208" ht="18" customHeight="1">
      <x:c r="A208" s="46" t="str">
        <x:v>LME_034</x:v>
      </x:c>
      <x:c r="B208" s="46" t="str">
        <x:v>Bay of Bengal</x:v>
      </x:c>
      <x:c r="C208" s="46" t="str">
        <x:v>LME</x:v>
      </x:c>
      <x:c r="D208" s="58" t="n">
        <x:v>2019</x:v>
      </x:c>
      <x:c r="E208" s="46" t="str">
        <x:v>Acanthocybium solandri</x:v>
      </x:c>
      <x:c r="F208" s="46" t="str">
        <x:v>Wahoo</x:v>
      </x:c>
      <x:c r="G208" s="46" t="str">
        <x:v>Large pelagics (&gt;=90 cm)</x:v>
      </x:c>
      <x:c r="H208" s="46" t="str">
        <x:v>Perch-likes</x:v>
      </x:c>
      <x:c r="I208" s="60" t="n">
        <x:v>459.059475269</x:v>
      </x:c>
      <x:c r="J208" s="60" t="n">
        <x:v>459.059475269</x:v>
      </x:c>
      <x:c r="K208" s="60" t="n">
        <x:v>0</x:v>
      </x:c>
      <x:c r="L208" s="60" t="n">
        <x:v>428.91838263430003</x:v>
      </x:c>
      <x:c r="M208" s="60" t="n">
        <x:v>30.141092634699998</x:v>
      </x:c>
      <x:c r="N208" s="46" t="str">
        <x:v>acanthocybium solandri</x:v>
      </x:c>
      <x:c r="O208" s="62" t="n">
        <x:v>4.26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Acanthocybium solandri</x:v>
      </x:c>
      <x:c r="T208" s="62" t="n">
        <x:f>IF(O208="","",(1/'Metadata'!$B$5)^(O208-1))</x:f>
        <x:v>1819.7008586099826</x:v>
      </x:c>
      <x:c r="U208" s="60" t="n">
        <x:f>IF(T208="","",I208*T208)</x:f>
        <x:v>835350.9213000474</x:v>
      </x:c>
    </x:row>
    <x:row r="209" ht="18" customHeight="1">
      <x:c r="A209" s="46" t="str">
        <x:v>LME_034</x:v>
      </x:c>
      <x:c r="B209" s="46" t="str">
        <x:v>Bay of Bengal</x:v>
      </x:c>
      <x:c r="C209" s="46" t="str">
        <x:v>LME</x:v>
      </x:c>
      <x:c r="D209" s="58" t="n">
        <x:v>2019</x:v>
      </x:c>
      <x:c r="E209" s="46" t="str">
        <x:v>Carangoides</x:v>
      </x:c>
      <x:c r="F209" s="46" t="str">
        <x:v>Trevallies</x:v>
      </x:c>
      <x:c r="G209" s="46" t="str">
        <x:v>Medium reef assoc. fish (30 - 89 cm)</x:v>
      </x:c>
      <x:c r="H209" s="46" t="str">
        <x:v>Perch-likes</x:v>
      </x:c>
      <x:c r="I209" s="60" t="n">
        <x:v>448.3471557763</x:v>
      </x:c>
      <x:c r="J209" s="60" t="n">
        <x:v>448.3471557763</x:v>
      </x:c>
      <x:c r="K209" s="60" t="n">
        <x:v>0</x:v>
      </x:c>
      <x:c r="L209" s="60" t="n">
        <x:v>276.9974864263</x:v>
      </x:c>
      <x:c r="M209" s="60" t="n">
        <x:v>171.34966935</x:v>
      </x:c>
      <x:c r="N209" s="46" t="str">
        <x:v>carangoides</x:v>
      </x:c>
      <x:c r="O209" s="62" t="n">
        <x:v>4.34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Carangoides</x:v>
      </x:c>
      <x:c r="T209" s="62" t="n">
        <x:f>IF(O209="","",(1/'Metadata'!$B$5)^(O209-1))</x:f>
        <x:v>2187.761623949552</x:v>
      </x:c>
      <x:c r="U209" s="60" t="n">
        <x:f>IF(T209="","",I209*T209)</x:f>
        <x:v>980876.7016143207</x:v>
      </x:c>
    </x:row>
    <x:row r="210" ht="18" customHeight="1">
      <x:c r="A210" s="46" t="str">
        <x:v>LME_034</x:v>
      </x:c>
      <x:c r="B210" s="46" t="str">
        <x:v>Bay of Bengal</x:v>
      </x:c>
      <x:c r="C210" s="46" t="str">
        <x:v>LME</x:v>
      </x:c>
      <x:c r="D210" s="58" t="n">
        <x:v>2019</x:v>
      </x:c>
      <x:c r="E210" s="46" t="str">
        <x:v>Drepane</x:v>
      </x:c>
      <x:c r="F210" s="46" t="str">
        <x:v>Sicklefishes</x:v>
      </x:c>
      <x:c r="G210" s="46" t="str">
        <x:v>Medium benthopelagics (30 - 89 cm)</x:v>
      </x:c>
      <x:c r="H210" s="46" t="str">
        <x:v>Perch-likes</x:v>
      </x:c>
      <x:c r="I210" s="60" t="n">
        <x:v>399.1592387312</x:v>
      </x:c>
      <x:c r="J210" s="60" t="n">
        <x:v>399.1592387312</x:v>
      </x:c>
      <x:c r="K210" s="60" t="n">
        <x:v>0</x:v>
      </x:c>
      <x:c r="L210" s="60" t="n">
        <x:v>221.9247755823</x:v>
      </x:c>
      <x:c r="M210" s="60" t="n">
        <x:v>177.2344631489</x:v>
      </x:c>
      <x:c r="N210" s="46" t="str">
        <x:v>drepane</x:v>
      </x:c>
      <x:c r="O210" s="62" t="n">
        <x:v>3.32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Drepane</x:v>
      </x:c>
      <x:c r="T210" s="62" t="n">
        <x:f>IF(O210="","",(1/'Metadata'!$B$5)^(O210-1))</x:f>
        <x:v>208.92961308540387</x:v>
      </x:c>
      <x:c r="U210" s="60" t="n">
        <x:f>IF(T210="","",I210*T210)</x:f>
        <x:v>83396.18530757396</x:v>
      </x:c>
    </x:row>
    <x:row r="211" ht="18" customHeight="1">
      <x:c r="A211" s="46" t="str">
        <x:v>LME_034</x:v>
      </x:c>
      <x:c r="B211" s="46" t="str">
        <x:v>Bay of Bengal</x:v>
      </x:c>
      <x:c r="C211" s="46" t="str">
        <x:v>LME</x:v>
      </x:c>
      <x:c r="D211" s="58" t="n">
        <x:v>2019</x:v>
      </x:c>
      <x:c r="E211" s="46" t="str">
        <x:v>Eleutheronema tetradactylum</x:v>
      </x:c>
      <x:c r="F211" s="46" t="str">
        <x:v>Fourfinger threadfin</x:v>
      </x:c>
      <x:c r="G211" s="46" t="str">
        <x:v>Large demersals (&gt;=90 cm)</x:v>
      </x:c>
      <x:c r="H211" s="46" t="str">
        <x:v>Perch-likes</x:v>
      </x:c>
      <x:c r="I211" s="60" t="n">
        <x:v>382.2721724532</x:v>
      </x:c>
      <x:c r="J211" s="60" t="n">
        <x:v>382.2721724532</x:v>
      </x:c>
      <x:c r="K211" s="60" t="n">
        <x:v>0</x:v>
      </x:c>
      <x:c r="L211" s="60" t="n">
        <x:v>0</x:v>
      </x:c>
      <x:c r="M211" s="60" t="n">
        <x:v>382.2721724532</x:v>
      </x:c>
      <x:c r="N211" s="46" t="str">
        <x:v>eleutheronema tetradactylum</x:v>
      </x:c>
      <x:c r="O211" s="62" t="n">
        <x:v>4.06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Eleutheronema tetradactylum</x:v>
      </x:c>
      <x:c r="T211" s="62" t="n">
        <x:f>IF(O211="","",(1/'Metadata'!$B$5)^(O211-1))</x:f>
        <x:v>1148.1536214968817</x:v>
      </x:c>
      <x:c r="U211" s="60" t="n">
        <x:f>IF(T211="","",I211*T211)</x:f>
        <x:v>438907.1791996221</x:v>
      </x:c>
    </x:row>
    <x:row r="212" ht="18" customHeight="1">
      <x:c r="A212" s="46" t="str">
        <x:v>LME_034</x:v>
      </x:c>
      <x:c r="B212" s="46" t="str">
        <x:v>Bay of Bengal</x:v>
      </x:c>
      <x:c r="C212" s="46" t="str">
        <x:v>LME</x:v>
      </x:c>
      <x:c r="D212" s="58" t="n">
        <x:v>2019</x:v>
      </x:c>
      <x:c r="E212" s="46" t="str">
        <x:v>Panulirus</x:v>
      </x:c>
      <x:c r="F212" s="46" t="str">
        <x:v>Spiny lobsters</x:v>
      </x:c>
      <x:c r="G212" s="46" t="str">
        <x:v>Lobsters, crabs</x:v>
      </x:c>
      <x:c r="H212" s="46" t="str">
        <x:v>Crustaceans</x:v>
      </x:c>
      <x:c r="I212" s="60" t="n">
        <x:v>382.0206050472</x:v>
      </x:c>
      <x:c r="J212" s="60" t="n">
        <x:v>382.0206050472</x:v>
      </x:c>
      <x:c r="K212" s="60" t="n">
        <x:v>0</x:v>
      </x:c>
      <x:c r="L212" s="60" t="n">
        <x:v>382.0206050472</x:v>
      </x:c>
      <x:c r="M212" s="60" t="n">
        <x:v>0</x:v>
      </x:c>
      <x:c r="N212" s="46" t="str">
        <x:v>panulirus</x:v>
      </x:c>
      <x:c r="O212" s="62" t="n">
        <x:v>2.6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Panulirus</x:v>
      </x:c>
      <x:c r="T212" s="62" t="n">
        <x:f>IF(O212="","",(1/'Metadata'!$B$5)^(O212-1))</x:f>
        <x:v>39.810717055349734</x:v>
      </x:c>
      <x:c r="U212" s="60" t="n">
        <x:f>IF(T212="","",I212*T212)</x:f>
        <x:v>15208.514216847589</x:v>
      </x:c>
    </x:row>
    <x:row r="213" ht="18" customHeight="1">
      <x:c r="A213" s="46" t="str">
        <x:v>LME_034</x:v>
      </x:c>
      <x:c r="B213" s="46" t="str">
        <x:v>Bay of Bengal</x:v>
      </x:c>
      <x:c r="C213" s="46" t="str">
        <x:v>LME</x:v>
      </x:c>
      <x:c r="D213" s="58" t="n">
        <x:v>2019</x:v>
      </x:c>
      <x:c r="E213" s="46" t="str">
        <x:v>Octopoda</x:v>
      </x:c>
      <x:c r="F213" s="46" t="str">
        <x:v>Octopuses, argonauts</x:v>
      </x:c>
      <x:c r="G213" s="46" t="str">
        <x:v>Cephalopods</x:v>
      </x:c>
      <x:c r="H213" s="46" t="str">
        <x:v>Other fishes &amp; inverts</x:v>
      </x:c>
      <x:c r="I213" s="60" t="n">
        <x:v>379.3003830056</x:v>
      </x:c>
      <x:c r="J213" s="60" t="n">
        <x:v>379.3003830056</x:v>
      </x:c>
      <x:c r="K213" s="60" t="n">
        <x:v>0</x:v>
      </x:c>
      <x:c r="L213" s="60" t="n">
        <x:v>0</x:v>
      </x:c>
      <x:c r="M213" s="60" t="n">
        <x:v>379.3003830056</x:v>
      </x:c>
      <x:c r="N213" s="46" t="str">
        <x:v>octopoda</x:v>
      </x:c>
      <x:c r="O213" s="62" t="n">
        <x:v>3.58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Octopoda</x:v>
      </x:c>
      <x:c r="T213" s="62" t="n">
        <x:f>IF(O213="","",(1/'Metadata'!$B$5)^(O213-1))</x:f>
        <x:v>380.1893963205613</x:v>
      </x:c>
      <x:c r="U213" s="60" t="n">
        <x:f>IF(T213="","",I213*T213)</x:f>
        <x:v>144205.98363905674</x:v>
      </x:c>
    </x:row>
    <x:row r="214" ht="18" customHeight="1">
      <x:c r="A214" s="46" t="str">
        <x:v>LME_034</x:v>
      </x:c>
      <x:c r="B214" s="46" t="str">
        <x:v>Bay of Bengal</x:v>
      </x:c>
      <x:c r="C214" s="46" t="str">
        <x:v>LME</x:v>
      </x:c>
      <x:c r="D214" s="58" t="n">
        <x:v>2019</x:v>
      </x:c>
      <x:c r="E214" s="46" t="str">
        <x:v>Rachycentron canadum</x:v>
      </x:c>
      <x:c r="F214" s="46" t="str">
        <x:v>Cobia</x:v>
      </x:c>
      <x:c r="G214" s="46" t="str">
        <x:v>Large pelagics (&gt;=90 cm)</x:v>
      </x:c>
      <x:c r="H214" s="46" t="str">
        <x:v>Perch-likes</x:v>
      </x:c>
      <x:c r="I214" s="60" t="n">
        <x:v>365.9251927209</x:v>
      </x:c>
      <x:c r="J214" s="60" t="n">
        <x:v>365.9251927209</x:v>
      </x:c>
      <x:c r="K214" s="60" t="n">
        <x:v>0</x:v>
      </x:c>
      <x:c r="L214" s="60" t="n">
        <x:v>224.7602415283</x:v>
      </x:c>
      <x:c r="M214" s="60" t="n">
        <x:v>141.1649511926</x:v>
      </x:c>
      <x:c r="N214" s="46" t="str">
        <x:v>rachycentron canadum</x:v>
      </x:c>
      <x:c r="O214" s="62" t="n">
        <x:v>3.96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Rachycentron canadum</x:v>
      </x:c>
      <x:c r="T214" s="62" t="n">
        <x:f>IF(O214="","",(1/'Metadata'!$B$5)^(O214-1))</x:f>
        <x:v>912.0108393559096</x:v>
      </x:c>
      <x:c r="U214" s="60" t="n">
        <x:f>IF(T214="","",I214*T214)</x:f>
        <x:v>333727.742154861</x:v>
      </x:c>
    </x:row>
    <x:row r="215" ht="18" customHeight="1">
      <x:c r="A215" s="46" t="str">
        <x:v>LME_034</x:v>
      </x:c>
      <x:c r="B215" s="46" t="str">
        <x:v>Bay of Bengal</x:v>
      </x:c>
      <x:c r="C215" s="46" t="str">
        <x:v>LME</x:v>
      </x:c>
      <x:c r="D215" s="58" t="n">
        <x:v>2019</x:v>
      </x:c>
      <x:c r="E215" s="46" t="str">
        <x:v>Gazza minuta</x:v>
      </x:c>
      <x:c r="F215" s="46" t="str">
        <x:v>Toothpony</x:v>
      </x:c>
      <x:c r="G215" s="46" t="str">
        <x:v>Small demersals (&lt;30 cm)</x:v>
      </x:c>
      <x:c r="H215" s="46" t="str">
        <x:v>Perch-likes</x:v>
      </x:c>
      <x:c r="I215" s="60" t="n">
        <x:v>358.2236818355</x:v>
      </x:c>
      <x:c r="J215" s="60" t="n">
        <x:v>346.06273033279996</x:v>
      </x:c>
      <x:c r="K215" s="60" t="n">
        <x:v>12.1609515027</x:v>
      </x:c>
      <x:c r="L215" s="60" t="n">
        <x:v>346.06273033279996</x:v>
      </x:c>
      <x:c r="M215" s="60" t="n">
        <x:v>12.1609515027</x:v>
      </x:c>
      <x:c r="N215" s="46" t="str">
        <x:v>gazza minuta</x:v>
      </x:c>
      <x:c r="O215" s="62" t="n">
        <x:v>4.19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Gazza minuta</x:v>
      </x:c>
      <x:c r="T215" s="62" t="n">
        <x:f>IF(O215="","",(1/'Metadata'!$B$5)^(O215-1))</x:f>
        <x:v>1548.8166189124827</x:v>
      </x:c>
      <x:c r="U215" s="60" t="n">
        <x:f>IF(T215="","",I215*T215)</x:f>
        <x:v>554822.79171484</x:v>
      </x:c>
    </x:row>
    <x:row r="216" ht="18" customHeight="1">
      <x:c r="A216" s="46" t="str">
        <x:v>LME_034</x:v>
      </x:c>
      <x:c r="B216" s="46" t="str">
        <x:v>Bay of Bengal</x:v>
      </x:c>
      <x:c r="C216" s="46" t="str">
        <x:v>LME</x:v>
      </x:c>
      <x:c r="D216" s="58" t="n">
        <x:v>2019</x:v>
      </x:c>
      <x:c r="E216" s="46" t="str">
        <x:v>Sardinella fimbriata</x:v>
      </x:c>
      <x:c r="F216" s="46" t="str">
        <x:v>Fringescale sardinella</x:v>
      </x:c>
      <x:c r="G216" s="46" t="str">
        <x:v>Small pelagics (&lt;30 cm)</x:v>
      </x:c>
      <x:c r="H216" s="46" t="str">
        <x:v>Herring-likes</x:v>
      </x:c>
      <x:c r="I216" s="60" t="n">
        <x:v>358.2179892254</x:v>
      </x:c>
      <x:c r="J216" s="60" t="n">
        <x:v>346.0572339465</x:v>
      </x:c>
      <x:c r="K216" s="60" t="n">
        <x:v>12.160755278900002</x:v>
      </x:c>
      <x:c r="L216" s="60" t="n">
        <x:v>346.0572339465</x:v>
      </x:c>
      <x:c r="M216" s="60" t="n">
        <x:v>12.160755278900002</x:v>
      </x:c>
      <x:c r="N216" s="46" t="str">
        <x:v>sardinella fimbriata</x:v>
      </x:c>
      <x:c r="O216" s="62" t="n">
        <x:v>2.7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Sardinella fimbriata</x:v>
      </x:c>
      <x:c r="T216" s="62" t="n">
        <x:f>IF(O216="","",(1/'Metadata'!$B$5)^(O216-1))</x:f>
        <x:v>50.11872336272725</x:v>
      </x:c>
      <x:c r="U216" s="60" t="n">
        <x:f>IF(T216="","",I216*T216)</x:f>
        <x:v>17953.428305540234</x:v>
      </x:c>
    </x:row>
    <x:row r="217" ht="18" customHeight="1">
      <x:c r="A217" s="46" t="str">
        <x:v>LME_034</x:v>
      </x:c>
      <x:c r="B217" s="46" t="str">
        <x:v>Bay of Bengal</x:v>
      </x:c>
      <x:c r="C217" s="46" t="str">
        <x:v>LME</x:v>
      </x:c>
      <x:c r="D217" s="58" t="n">
        <x:v>2019</x:v>
      </x:c>
      <x:c r="E217" s="46" t="str">
        <x:v>Placuna placenta</x:v>
      </x:c>
      <x:c r="F217" s="46" t="str">
        <x:v>Windowpane oyster</x:v>
      </x:c>
      <x:c r="G217" s="46" t="str">
        <x:v>Other demersal invertebrates</x:v>
      </x:c>
      <x:c r="H217" s="46" t="str">
        <x:v>Molluscs</x:v>
      </x:c>
      <x:c r="I217" s="60" t="n">
        <x:v>340.19378795430003</x:v>
      </x:c>
      <x:c r="J217" s="60" t="n">
        <x:v>340.19378795430003</x:v>
      </x:c>
      <x:c r="K217" s="60" t="n">
        <x:v>0</x:v>
      </x:c>
      <x:c r="L217" s="60" t="n">
        <x:v>0</x:v>
      </x:c>
      <x:c r="M217" s="60" t="n">
        <x:v>340.19378795430003</x:v>
      </x:c>
      <x:c r="N217" s="46" t="str">
        <x:v>placuna placenta</x:v>
      </x:c>
      <x:c r="O217" s="62" t="n">
        <x:v>2.41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Placuna placenta</x:v>
      </x:c>
      <x:c r="T217" s="62" t="n">
        <x:f>IF(O217="","",(1/'Metadata'!$B$5)^(O217-1))</x:f>
        <x:v>25.703957827688647</x:v>
      </x:c>
      <x:c r="U217" s="60" t="n">
        <x:f>IF(T217="","",I217*T217)</x:f>
        <x:v>8744.326778818982</x:v>
      </x:c>
    </x:row>
    <x:row r="218" ht="18" customHeight="1">
      <x:c r="A218" s="46" t="str">
        <x:v>LME_034</x:v>
      </x:c>
      <x:c r="B218" s="46" t="str">
        <x:v>Bay of Bengal</x:v>
      </x:c>
      <x:c r="C218" s="46" t="str">
        <x:v>LME</x:v>
      </x:c>
      <x:c r="D218" s="58" t="n">
        <x:v>2019</x:v>
      </x:c>
      <x:c r="E218" s="46" t="str">
        <x:v>Stichopus</x:v>
      </x:c>
      <x:c r="F218" s="46" t="str">
        <x:v>Boxed sea cucumbers</x:v>
      </x:c>
      <x:c r="G218" s="46" t="str">
        <x:v>Other demersal invertebrates</x:v>
      </x:c>
      <x:c r="H218" s="46" t="str">
        <x:v>Other fishes &amp; inverts</x:v>
      </x:c>
      <x:c r="I218" s="60" t="n">
        <x:v>334.940115182</x:v>
      </x:c>
      <x:c r="J218" s="60" t="n">
        <x:v>317.7915662362</x:v>
      </x:c>
      <x:c r="K218" s="60" t="n">
        <x:v>17.148548945799998</x:v>
      </x:c>
      <x:c r="L218" s="60" t="n">
        <x:v>309.63314174</x:v>
      </x:c>
      <x:c r="M218" s="60" t="n">
        <x:v>25.306973442</x:v>
      </x:c>
      <x:c r="N218" s="46" t="str">
        <x:v>stichopus</x:v>
      </x:c>
      <x:c r="O218" s="62" t="n">
        <x:v>2.3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Stichopus</x:v>
      </x:c>
      <x:c r="T218" s="62" t="n">
        <x:f>IF(O218="","",(1/'Metadata'!$B$5)^(O218-1))</x:f>
        <x:v>19.952623149688787</x:v>
      </x:c>
      <x:c r="U218" s="60" t="n">
        <x:f>IF(T218="","",I218*T218)</x:f>
        <x:v>6682.933895939802</x:v>
      </x:c>
    </x:row>
    <x:row r="219" ht="18" customHeight="1">
      <x:c r="A219" s="46" t="str">
        <x:v>LME_034</x:v>
      </x:c>
      <x:c r="B219" s="46" t="str">
        <x:v>Bay of Bengal</x:v>
      </x:c>
      <x:c r="C219" s="46" t="str">
        <x:v>LME</x:v>
      </x:c>
      <x:c r="D219" s="58" t="n">
        <x:v>2019</x:v>
      </x:c>
      <x:c r="E219" s="46" t="str">
        <x:v>Arcidae</x:v>
      </x:c>
      <x:c r="F219" s="46" t="str">
        <x:v>Ark clams</x:v>
      </x:c>
      <x:c r="G219" s="46" t="str">
        <x:v>Other demersal invertebrates</x:v>
      </x:c>
      <x:c r="H219" s="46" t="str">
        <x:v>Molluscs</x:v>
      </x:c>
      <x:c r="I219" s="60" t="n">
        <x:v>333.7095506853</x:v>
      </x:c>
      <x:c r="J219" s="60" t="n">
        <x:v>333.7095506853</x:v>
      </x:c>
      <x:c r="K219" s="60" t="n">
        <x:v>0</x:v>
      </x:c>
      <x:c r="L219" s="60" t="n">
        <x:v>0</x:v>
      </x:c>
      <x:c r="M219" s="60" t="n">
        <x:v>333.7095506853</x:v>
      </x:c>
      <x:c r="N219" s="46" t="str">
        <x:v>arcidae</x:v>
      </x:c>
      <x:c r="O219" s="62" t="n">
        <x:v>2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Arcidae</x:v>
      </x:c>
      <x:c r="T219" s="62" t="n">
        <x:f>IF(O219="","",(1/'Metadata'!$B$5)^(O219-1))</x:f>
        <x:v>10</x:v>
      </x:c>
      <x:c r="U219" s="60" t="n">
        <x:f>IF(T219="","",I219*T219)</x:f>
        <x:v>3337.0955068529997</x:v>
      </x:c>
    </x:row>
    <x:row r="220" ht="18" customHeight="1">
      <x:c r="A220" s="46" t="str">
        <x:v>LME_034</x:v>
      </x:c>
      <x:c r="B220" s="46" t="str">
        <x:v>Bay of Bengal</x:v>
      </x:c>
      <x:c r="C220" s="46" t="str">
        <x:v>LME</x:v>
      </x:c>
      <x:c r="D220" s="58" t="n">
        <x:v>2019</x:v>
      </x:c>
      <x:c r="E220" s="46" t="str">
        <x:v>Acanthurus</x:v>
      </x:c>
      <x:c r="F220" s="46" t="str">
        <x:v>Surgeonfishes</x:v>
      </x:c>
      <x:c r="G220" s="46" t="str">
        <x:v>Small reef assoc. fish (&lt;30 cm)</x:v>
      </x:c>
      <x:c r="H220" s="46" t="str">
        <x:v>Perch-likes</x:v>
      </x:c>
      <x:c r="I220" s="60" t="n">
        <x:v>286.6215450862</x:v>
      </x:c>
      <x:c r="J220" s="60" t="n">
        <x:v>286.6215450862</x:v>
      </x:c>
      <x:c r="K220" s="60" t="n">
        <x:v>0</x:v>
      </x:c>
      <x:c r="L220" s="60" t="n">
        <x:v>177.3987701545</x:v>
      </x:c>
      <x:c r="M220" s="60" t="n">
        <x:v>109.22277493169999</x:v>
      </x:c>
      <x:c r="N220" s="46" t="str">
        <x:v>acanthurus</x:v>
      </x:c>
      <x:c r="O220" s="62" t="n">
        <x:v>2.03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Acanthurus</x:v>
      </x:c>
      <x:c r="T220" s="62" t="n">
        <x:f>IF(O220="","",(1/'Metadata'!$B$5)^(O220-1))</x:f>
        <x:v>10.71519305237606</x:v>
      </x:c>
      <x:c r="U220" s="60" t="n">
        <x:f>IF(T220="","",I220*T220)</x:f>
        <x:v>3071.205188568942</x:v>
      </x:c>
    </x:row>
    <x:row r="221" ht="18" customHeight="1">
      <x:c r="A221" s="46" t="str">
        <x:v>LME_034</x:v>
      </x:c>
      <x:c r="B221" s="46" t="str">
        <x:v>Bay of Bengal</x:v>
      </x:c>
      <x:c r="C221" s="46" t="str">
        <x:v>LME</x:v>
      </x:c>
      <x:c r="D221" s="58" t="n">
        <x:v>2019</x:v>
      </x:c>
      <x:c r="E221" s="46" t="str">
        <x:v>Latidae</x:v>
      </x:c>
      <x:c r="F221" s="46" t="str">
        <x:v>Lates perches</x:v>
      </x:c>
      <x:c r="G221" s="46" t="str">
        <x:v>Large demersals (&gt;=90 cm)</x:v>
      </x:c>
      <x:c r="H221" s="46" t="str">
        <x:v>Perch-likes</x:v>
      </x:c>
      <x:c r="I221" s="60" t="n">
        <x:v>286.215891433</x:v>
      </x:c>
      <x:c r="J221" s="60" t="n">
        <x:v>286.215891433</x:v>
      </x:c>
      <x:c r="K221" s="60" t="n">
        <x:v>0</x:v>
      </x:c>
      <x:c r="L221" s="60" t="n">
        <x:v>0</x:v>
      </x:c>
      <x:c r="M221" s="60" t="n">
        <x:v>286.215891433</x:v>
      </x:c>
      <x:c r="N221" s="46" t="str">
        <x:v>latidae</x:v>
      </x:c>
      <x:c r="O221" s="62" t="n">
        <x:v>4.35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Latidae</x:v>
      </x:c>
      <x:c r="T221" s="62" t="n">
        <x:f>IF(O221="","",(1/'Metadata'!$B$5)^(O221-1))</x:f>
        <x:v>2238.7211385683377</x:v>
      </x:c>
      <x:c r="U221" s="60" t="n">
        <x:f>IF(T221="","",I221*T221)</x:f>
        <x:v>640757.5663452375</x:v>
      </x:c>
    </x:row>
    <x:row r="222" ht="18" customHeight="1">
      <x:c r="A222" s="46" t="str">
        <x:v>LME_034</x:v>
      </x:c>
      <x:c r="B222" s="46" t="str">
        <x:v>Bay of Bengal</x:v>
      </x:c>
      <x:c r="C222" s="46" t="str">
        <x:v>LME</x:v>
      </x:c>
      <x:c r="D222" s="58" t="n">
        <x:v>2019</x:v>
      </x:c>
      <x:c r="E222" s="46" t="str">
        <x:v>Pellona ditchela</x:v>
      </x:c>
      <x:c r="F222" s="46" t="str">
        <x:v>Indian pellona</x:v>
      </x:c>
      <x:c r="G222" s="46" t="str">
        <x:v>Small pelagics (&lt;30 cm)</x:v>
      </x:c>
      <x:c r="H222" s="46" t="str">
        <x:v>Herring-likes</x:v>
      </x:c>
      <x:c r="I222" s="60" t="n">
        <x:v>259.1780346349</x:v>
      </x:c>
      <x:c r="J222" s="60" t="n">
        <x:v>259.1780346349</x:v>
      </x:c>
      <x:c r="K222" s="60" t="n">
        <x:v>0</x:v>
      </x:c>
      <x:c r="L222" s="60" t="n">
        <x:v>259.1780346349</x:v>
      </x:c>
      <x:c r="M222" s="60" t="n">
        <x:v>0</x:v>
      </x:c>
      <x:c r="N222" s="46" t="str">
        <x:v>pellona ditchela</x:v>
      </x:c>
      <x:c r="O222" s="62" t="n">
        <x:v>3.37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Pellona ditchela</x:v>
      </x:c>
      <x:c r="T222" s="62" t="n">
        <x:f>IF(O222="","",(1/'Metadata'!$B$5)^(O222-1))</x:f>
        <x:v>234.42288153199226</x:v>
      </x:c>
      <x:c r="U222" s="60" t="n">
        <x:f>IF(T222="","",I222*T222)</x:f>
        <x:v>60757.26170891174</x:v>
      </x:c>
    </x:row>
    <x:row r="223" ht="18" customHeight="1">
      <x:c r="A223" s="46" t="str">
        <x:v>LME_034</x:v>
      </x:c>
      <x:c r="B223" s="46" t="str">
        <x:v>Bay of Bengal</x:v>
      </x:c>
      <x:c r="C223" s="46" t="str">
        <x:v>LME</x:v>
      </x:c>
      <x:c r="D223" s="58" t="n">
        <x:v>2019</x:v>
      </x:c>
      <x:c r="E223" s="46" t="str">
        <x:v>Lethrinus</x:v>
      </x:c>
      <x:c r="F223" s="46" t="str">
        <x:v>Emperors</x:v>
      </x:c>
      <x:c r="G223" s="46" t="str">
        <x:v>Medium reef assoc. fish (30 - 89 cm)</x:v>
      </x:c>
      <x:c r="H223" s="46" t="str">
        <x:v>Perch-likes</x:v>
      </x:c>
      <x:c r="I223" s="60" t="n">
        <x:v>255.2989769339</x:v>
      </x:c>
      <x:c r="J223" s="60" t="n">
        <x:v>255.2989769339</x:v>
      </x:c>
      <x:c r="K223" s="60" t="n">
        <x:v>0</x:v>
      </x:c>
      <x:c r="L223" s="60" t="n">
        <x:v>156.5022324951</x:v>
      </x:c>
      <x:c r="M223" s="60" t="n">
        <x:v>98.7967444388</x:v>
      </x:c>
      <x:c r="N223" s="46" t="str">
        <x:v>lethrinus</x:v>
      </x:c>
      <x:c r="O223" s="62" t="n">
        <x:v>3.75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Lethrinus</x:v>
      </x:c>
      <x:c r="T223" s="62" t="n">
        <x:f>IF(O223="","",(1/'Metadata'!$B$5)^(O223-1))</x:f>
        <x:v>562.341325190349</x:v>
      </x:c>
      <x:c r="U223" s="60" t="n">
        <x:f>IF(T223="","",I223*T223)</x:f>
        <x:v>143565.1650087497</x:v>
      </x:c>
    </x:row>
    <x:row r="224" ht="18" customHeight="1">
      <x:c r="A224" s="46" t="str">
        <x:v>LME_034</x:v>
      </x:c>
      <x:c r="B224" s="46" t="str">
        <x:v>Bay of Bengal</x:v>
      </x:c>
      <x:c r="C224" s="46" t="str">
        <x:v>LME</x:v>
      </x:c>
      <x:c r="D224" s="58" t="n">
        <x:v>2019</x:v>
      </x:c>
      <x:c r="E224" s="46" t="str">
        <x:v>Lutjanus quinquelineatus</x:v>
      </x:c>
      <x:c r="F224" s="46" t="str">
        <x:v>Five-lined snapper</x:v>
      </x:c>
      <x:c r="G224" s="46" t="str">
        <x:v>Medium reef assoc. fish (30 - 89 cm)</x:v>
      </x:c>
      <x:c r="H224" s="46" t="str">
        <x:v>Perch-likes</x:v>
      </x:c>
      <x:c r="I224" s="60" t="n">
        <x:v>250.5902974437</x:v>
      </x:c>
      <x:c r="J224" s="60" t="n">
        <x:v>250.5902974437</x:v>
      </x:c>
      <x:c r="K224" s="60" t="n">
        <x:v>0</x:v>
      </x:c>
      <x:c r="L224" s="60" t="n">
        <x:v>155.3020098398</x:v>
      </x:c>
      <x:c r="M224" s="60" t="n">
        <x:v>95.2882876039</x:v>
      </x:c>
      <x:c r="N224" s="46" t="str">
        <x:v>lutjanus quinquelineatus</x:v>
      </x:c>
      <x:c r="O224" s="62" t="n">
        <x:v>3.68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Lutjanus quinquelineatus</x:v>
      </x:c>
      <x:c r="T224" s="62" t="n">
        <x:f>IF(O224="","",(1/'Metadata'!$B$5)^(O224-1))</x:f>
        <x:v>478.6300923226385</x:v>
      </x:c>
      <x:c r="U224" s="60" t="n">
        <x:f>IF(T224="","",I224*T224)</x:f>
        <x:v>119940.05720063558</x:v>
      </x:c>
    </x:row>
    <x:row r="225" ht="18" customHeight="1">
      <x:c r="A225" s="46" t="str">
        <x:v>LME_034</x:v>
      </x:c>
      <x:c r="B225" s="46" t="str">
        <x:v>Bay of Bengal</x:v>
      </x:c>
      <x:c r="C225" s="46" t="str">
        <x:v>LME</x:v>
      </x:c>
      <x:c r="D225" s="58" t="n">
        <x:v>2019</x:v>
      </x:c>
      <x:c r="E225" s="46" t="str">
        <x:v>Scatophagus</x:v>
      </x:c>
      <x:c r="F225" s="46" t="str">
        <x:v>Scats</x:v>
      </x:c>
      <x:c r="G225" s="46" t="str">
        <x:v>Medium demersals (30 - 89 cm)</x:v>
      </x:c>
      <x:c r="H225" s="46" t="str">
        <x:v>Perch-likes</x:v>
      </x:c>
      <x:c r="I225" s="60" t="n">
        <x:v>250.14889349039998</x:v>
      </x:c>
      <x:c r="J225" s="60" t="n">
        <x:v>250.14889349039998</x:v>
      </x:c>
      <x:c r="K225" s="60" t="n">
        <x:v>0</x:v>
      </x:c>
      <x:c r="L225" s="60" t="n">
        <x:v>79.9980465301</x:v>
      </x:c>
      <x:c r="M225" s="60" t="n">
        <x:v>170.1508469603</x:v>
      </x:c>
      <x:c r="N225" s="46" t="str">
        <x:v>scatophagus</x:v>
      </x:c>
      <x:c r="O225" s="62" t="n">
        <x:v>2.75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Scatophagus</x:v>
      </x:c>
      <x:c r="T225" s="62" t="n">
        <x:f>IF(O225="","",(1/'Metadata'!$B$5)^(O225-1))</x:f>
        <x:v>56.23413251903491</x:v>
      </x:c>
      <x:c r="U225" s="60" t="n">
        <x:f>IF(T225="","",I225*T225)</x:f>
        <x:v>14066.9060260291</x:v>
      </x:c>
    </x:row>
    <x:row r="226" ht="18" customHeight="1">
      <x:c r="A226" s="46" t="str">
        <x:v>LME_034</x:v>
      </x:c>
      <x:c r="B226" s="46" t="str">
        <x:v>Bay of Bengal</x:v>
      </x:c>
      <x:c r="C226" s="46" t="str">
        <x:v>LME</x:v>
      </x:c>
      <x:c r="D226" s="58" t="n">
        <x:v>2019</x:v>
      </x:c>
      <x:c r="E226" s="46" t="str">
        <x:v>Sphyrna</x:v>
      </x:c>
      <x:c r="F226" s="46" t="str">
        <x:v>Hammerhead sharks</x:v>
      </x:c>
      <x:c r="G226" s="46" t="str">
        <x:v>Large sharks (&gt;=90 cm)</x:v>
      </x:c>
      <x:c r="H226" s="46" t="str">
        <x:v>Sharks &amp; rays</x:v>
      </x:c>
      <x:c r="I226" s="60" t="n">
        <x:v>231.8887820111</x:v>
      </x:c>
      <x:c r="J226" s="60" t="n">
        <x:v>231.8887820111</x:v>
      </x:c>
      <x:c r="K226" s="60" t="n">
        <x:v>0</x:v>
      </x:c>
      <x:c r="L226" s="60" t="n">
        <x:v>231.8887820111</x:v>
      </x:c>
      <x:c r="M226" s="60" t="n">
        <x:v>0</x:v>
      </x:c>
      <x:c r="N226" s="46" t="str">
        <x:v>sphyrna</x:v>
      </x:c>
      <x:c r="O226" s="62" t="n">
        <x:v>4.2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Sphyrna</x:v>
      </x:c>
      <x:c r="T226" s="62" t="n">
        <x:f>IF(O226="","",(1/'Metadata'!$B$5)^(O226-1))</x:f>
        <x:v>1584.893192461114</x:v>
      </x:c>
      <x:c r="U226" s="60" t="n">
        <x:f>IF(T226="","",I226*T226)</x:f>
        <x:v>367518.9520174916</x:v>
      </x:c>
    </x:row>
    <x:row r="227" ht="18" customHeight="1">
      <x:c r="A227" s="46" t="str">
        <x:v>LME_034</x:v>
      </x:c>
      <x:c r="B227" s="46" t="str">
        <x:v>Bay of Bengal</x:v>
      </x:c>
      <x:c r="C227" s="46" t="str">
        <x:v>LME</x:v>
      </x:c>
      <x:c r="D227" s="58" t="n">
        <x:v>2019</x:v>
      </x:c>
      <x:c r="E227" s="46" t="str">
        <x:v>Mierspenaeopsis hardwickii</x:v>
      </x:c>
      <x:c r="F227" s="46" t="str">
        <x:v>Spear shrimp</x:v>
      </x:c>
      <x:c r="G227" s="46" t="str">
        <x:v>Shrimps</x:v>
      </x:c>
      <x:c r="H227" s="46" t="str">
        <x:v>Crustaceans</x:v>
      </x:c>
      <x:c r="I227" s="60" t="n">
        <x:v>221.1933720674</x:v>
      </x:c>
      <x:c r="J227" s="60" t="n">
        <x:v>221.1933720674</x:v>
      </x:c>
      <x:c r="K227" s="60" t="n">
        <x:v>0</x:v>
      </x:c>
      <x:c r="L227" s="60" t="n">
        <x:v>116.2678102533</x:v>
      </x:c>
      <x:c r="M227" s="60" t="n">
        <x:v>104.9255618141</x:v>
      </x:c>
      <x:c r="N227" s="46" t="str">
        <x:v>mierspenaeopsis hardwickii</x:v>
      </x:c>
      <x:c r="O227" s="62" t="n">
        <x:v>2.71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Mierspenaeopsis hardwickii</x:v>
      </x:c>
      <x:c r="T227" s="62" t="n">
        <x:f>IF(O227="","",(1/'Metadata'!$B$5)^(O227-1))</x:f>
        <x:v>51.28613839913648</x:v>
      </x:c>
      <x:c r="U227" s="60" t="n">
        <x:f>IF(T227="","",I227*T227)</x:f>
        <x:v>11344.153892820366</x:v>
      </x:c>
    </x:row>
    <x:row r="228" ht="18" customHeight="1">
      <x:c r="A228" s="46" t="str">
        <x:v>LME_034</x:v>
      </x:c>
      <x:c r="B228" s="46" t="str">
        <x:v>Bay of Bengal</x:v>
      </x:c>
      <x:c r="C228" s="46" t="str">
        <x:v>LME</x:v>
      </x:c>
      <x:c r="D228" s="58" t="n">
        <x:v>2019</x:v>
      </x:c>
      <x:c r="E228" s="46" t="str">
        <x:v>Hyporhamphus</x:v>
      </x:c>
      <x:c r="F228" s="46" t="str">
        <x:v>Sea garfishes</x:v>
      </x:c>
      <x:c r="G228" s="46" t="str">
        <x:v>Small reef assoc. fish (&lt;30 cm)</x:v>
      </x:c>
      <x:c r="H228" s="46" t="str">
        <x:v>Other fishes &amp; inverts</x:v>
      </x:c>
      <x:c r="I228" s="60" t="n">
        <x:v>215.5462792069</x:v>
      </x:c>
      <x:c r="J228" s="60" t="n">
        <x:v>215.5462792069</x:v>
      </x:c>
      <x:c r="K228" s="60" t="n">
        <x:v>0</x:v>
      </x:c>
      <x:c r="L228" s="60" t="n">
        <x:v>113.87607798450001</x:v>
      </x:c>
      <x:c r="M228" s="60" t="n">
        <x:v>101.6702012224</x:v>
      </x:c>
      <x:c r="N228" s="46" t="str">
        <x:v>hyporhamphus</x:v>
      </x:c>
      <x:c r="O228" s="62" t="n">
        <x:v>3.3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Hyporhamphus</x:v>
      </x:c>
      <x:c r="T228" s="62" t="n">
        <x:f>IF(O228="","",(1/'Metadata'!$B$5)^(O228-1))</x:f>
        <x:v>199.52623149688787</x:v>
      </x:c>
      <x:c r="U228" s="60" t="n">
        <x:f>IF(T228="","",I228*T228)</x:f>
        <x:v>43007.13680332876</x:v>
      </x:c>
    </x:row>
    <x:row r="229" ht="18" customHeight="1">
      <x:c r="A229" s="46" t="str">
        <x:v>LME_034</x:v>
      </x:c>
      <x:c r="B229" s="46" t="str">
        <x:v>Bay of Bengal</x:v>
      </x:c>
      <x:c r="C229" s="46" t="str">
        <x:v>LME</x:v>
      </x:c>
      <x:c r="D229" s="58" t="n">
        <x:v>2019</x:v>
      </x:c>
      <x:c r="E229" s="46" t="str">
        <x:v>Sphyrnidae</x:v>
      </x:c>
      <x:c r="F229" s="46" t="str">
        <x:v>Hammer, bonnet, scoophead sharks</x:v>
      </x:c>
      <x:c r="G229" s="46" t="str">
        <x:v>Large sharks (&gt;=90 cm)</x:v>
      </x:c>
      <x:c r="H229" s="46" t="str">
        <x:v>Sharks &amp; rays</x:v>
      </x:c>
      <x:c r="I229" s="60" t="n">
        <x:v>202.5816072699</x:v>
      </x:c>
      <x:c r="J229" s="60" t="n">
        <x:v>202.5816072699</x:v>
      </x:c>
      <x:c r="K229" s="60" t="n">
        <x:v>0</x:v>
      </x:c>
      <x:c r="L229" s="60" t="n">
        <x:v>202.5816072699</x:v>
      </x:c>
      <x:c r="M229" s="60" t="n">
        <x:v>0</x:v>
      </x:c>
      <x:c r="N229" s="46" t="str">
        <x:v>sphyrnidae</x:v>
      </x:c>
      <x:c r="O229" s="62" t="n">
        <x:v>4.19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Sphyrnidae</x:v>
      </x:c>
      <x:c r="T229" s="62" t="n">
        <x:f>IF(O229="","",(1/'Metadata'!$B$5)^(O229-1))</x:f>
        <x:v>1548.8166189124827</x:v>
      </x:c>
      <x:c r="U229" s="60" t="n">
        <x:f>IF(T229="","",I229*T229)</x:f>
        <x:v>313761.7600256229</x:v>
      </x:c>
    </x:row>
    <x:row r="230" ht="18" customHeight="1">
      <x:c r="A230" s="46" t="str">
        <x:v>LME_034</x:v>
      </x:c>
      <x:c r="B230" s="46" t="str">
        <x:v>Bay of Bengal</x:v>
      </x:c>
      <x:c r="C230" s="46" t="str">
        <x:v>LME</x:v>
      </x:c>
      <x:c r="D230" s="58" t="n">
        <x:v>2019</x:v>
      </x:c>
      <x:c r="E230" s="46" t="str">
        <x:v>Panulirus penicillatus</x:v>
      </x:c>
      <x:c r="F230" s="46" t="str">
        <x:v>Pronghorn spiny lobster</x:v>
      </x:c>
      <x:c r="G230" s="46" t="str">
        <x:v>Lobsters, crabs</x:v>
      </x:c>
      <x:c r="H230" s="46" t="str">
        <x:v>Crustaceans</x:v>
      </x:c>
      <x:c r="I230" s="60" t="n">
        <x:v>191.7989766309</x:v>
      </x:c>
      <x:c r="J230" s="60" t="n">
        <x:v>191.7989766309</x:v>
      </x:c>
      <x:c r="K230" s="60" t="n">
        <x:v>0</x:v>
      </x:c>
      <x:c r="L230" s="60" t="n">
        <x:v>191.7989766309</x:v>
      </x:c>
      <x:c r="M230" s="60" t="n">
        <x:v>0</x:v>
      </x:c>
      <x:c r="N230" s="46" t="str">
        <x:v>panulirus penicillatus</x:v>
      </x:c>
      <x:c r="O230" s="62" t="n">
        <x:v>3.57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Panulirus penicillatus</x:v>
      </x:c>
      <x:c r="T230" s="62" t="n">
        <x:f>IF(O230="","",(1/'Metadata'!$B$5)^(O230-1))</x:f>
        <x:v>371.5352290971724</x:v>
      </x:c>
      <x:c r="U230" s="60" t="n">
        <x:f>IF(T230="","",I230*T230)</x:f>
        <x:v>71260.07672316465</x:v>
      </x:c>
    </x:row>
    <x:row r="231" ht="18" customHeight="1">
      <x:c r="A231" s="46" t="str">
        <x:v>LME_034</x:v>
      </x:c>
      <x:c r="B231" s="46" t="str">
        <x:v>Bay of Bengal</x:v>
      </x:c>
      <x:c r="C231" s="46" t="str">
        <x:v>LME</x:v>
      </x:c>
      <x:c r="D231" s="58" t="n">
        <x:v>2019</x:v>
      </x:c>
      <x:c r="E231" s="46" t="str">
        <x:v>Kajikia audax</x:v>
      </x:c>
      <x:c r="F231" s="46" t="str">
        <x:v>Striped marlin</x:v>
      </x:c>
      <x:c r="G231" s="46" t="str">
        <x:v>Large pelagics (&gt;=90 cm)</x:v>
      </x:c>
      <x:c r="H231" s="46" t="str">
        <x:v>Tuna &amp; billfishes</x:v>
      </x:c>
      <x:c r="I231" s="60" t="n">
        <x:v>190.99805696319999</x:v>
      </x:c>
      <x:c r="J231" s="60" t="n">
        <x:v>190.99805696319999</x:v>
      </x:c>
      <x:c r="K231" s="60" t="n">
        <x:v>0</x:v>
      </x:c>
      <x:c r="L231" s="60" t="n">
        <x:v>104.572603493</x:v>
      </x:c>
      <x:c r="M231" s="60" t="n">
        <x:v>86.4254534702</x:v>
      </x:c>
      <x:c r="N231" s="46" t="str">
        <x:v>kajikia audax</x:v>
      </x:c>
      <x:c r="O231" s="62" t="n">
        <x:v>4.58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Kajikia audax</x:v>
      </x:c>
      <x:c r="T231" s="62" t="n">
        <x:f>IF(O231="","",(1/'Metadata'!$B$5)^(O231-1))</x:f>
        <x:v>3801.8939632056126</x:v>
      </x:c>
      <x:c r="U231" s="60" t="n">
        <x:f>IF(T231="","",I231*T231)</x:f>
        <x:v>726154.3597523917</x:v>
      </x:c>
    </x:row>
    <x:row r="232" ht="18" customHeight="1">
      <x:c r="A232" s="46" t="str">
        <x:v>LME_034</x:v>
      </x:c>
      <x:c r="B232" s="46" t="str">
        <x:v>Bay of Bengal</x:v>
      </x:c>
      <x:c r="C232" s="46" t="str">
        <x:v>LME</x:v>
      </x:c>
      <x:c r="D232" s="58" t="n">
        <x:v>2019</x:v>
      </x:c>
      <x:c r="E232" s="46" t="str">
        <x:v>Panulirus versicolor</x:v>
      </x:c>
      <x:c r="F232" s="46" t="str">
        <x:v>Painted spiny lobster</x:v>
      </x:c>
      <x:c r="G232" s="46" t="str">
        <x:v>Lobsters, crabs</x:v>
      </x:c>
      <x:c r="H232" s="46" t="str">
        <x:v>Crustaceans</x:v>
      </x:c>
      <x:c r="I232" s="60" t="n">
        <x:v>190.6415415684</x:v>
      </x:c>
      <x:c r="J232" s="60" t="n">
        <x:v>190.6415415684</x:v>
      </x:c>
      <x:c r="K232" s="60" t="n">
        <x:v>0</x:v>
      </x:c>
      <x:c r="L232" s="60" t="n">
        <x:v>190.6415415684</x:v>
      </x:c>
      <x:c r="M232" s="60" t="n">
        <x:v>0</x:v>
      </x:c>
      <x:c r="N232" s="46" t="str">
        <x:v>panulirus versicolor</x:v>
      </x:c>
      <x:c r="O232" s="62" t="n">
        <x:v>3.57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Panulirus versicolor</x:v>
      </x:c>
      <x:c r="T232" s="62" t="n">
        <x:f>IF(O232="","",(1/'Metadata'!$B$5)^(O232-1))</x:f>
        <x:v>371.5352290971724</x:v>
      </x:c>
      <x:c r="U232" s="60" t="n">
        <x:f>IF(T232="","",I232*T232)</x:f>
        <x:v>70830.0488220536</x:v>
      </x:c>
    </x:row>
    <x:row r="233" ht="18" customHeight="1">
      <x:c r="A233" s="46" t="str">
        <x:v>LME_034</x:v>
      </x:c>
      <x:c r="B233" s="46" t="str">
        <x:v>Bay of Bengal</x:v>
      </x:c>
      <x:c r="C233" s="46" t="str">
        <x:v>LME</x:v>
      </x:c>
      <x:c r="D233" s="58" t="n">
        <x:v>2019</x:v>
      </x:c>
      <x:c r="E233" s="46" t="str">
        <x:v>Sarda orientalis</x:v>
      </x:c>
      <x:c r="F233" s="46" t="str">
        <x:v>Striped bonito</x:v>
      </x:c>
      <x:c r="G233" s="46" t="str">
        <x:v>Large pelagics (&gt;=90 cm)</x:v>
      </x:c>
      <x:c r="H233" s="46" t="str">
        <x:v>Tuna &amp; billfishes</x:v>
      </x:c>
      <x:c r="I233" s="60" t="n">
        <x:v>184.52468580709998</x:v>
      </x:c>
      <x:c r="J233" s="60" t="n">
        <x:v>184.52468580709998</x:v>
      </x:c>
      <x:c r="K233" s="60" t="n">
        <x:v>0</x:v>
      </x:c>
      <x:c r="L233" s="60" t="n">
        <x:v>184.52468580709998</x:v>
      </x:c>
      <x:c r="M233" s="60" t="n">
        <x:v>0</x:v>
      </x:c>
      <x:c r="N233" s="46" t="str">
        <x:v>sarda orientalis</x:v>
      </x:c>
      <x:c r="O233" s="62" t="n">
        <x:v>4.21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Sarda orientalis</x:v>
      </x:c>
      <x:c r="T233" s="62" t="n">
        <x:f>IF(O233="","",(1/'Metadata'!$B$5)^(O233-1))</x:f>
        <x:v>1621.8100973589299</x:v>
      </x:c>
      <x:c r="U233" s="60" t="n">
        <x:f>IF(T233="","",I233*T233)</x:f>
        <x:v>299263.99865393876</x:v>
      </x:c>
    </x:row>
    <x:row r="234" ht="18" customHeight="1">
      <x:c r="A234" s="46" t="str">
        <x:v>LME_034</x:v>
      </x:c>
      <x:c r="B234" s="46" t="str">
        <x:v>Bay of Bengal</x:v>
      </x:c>
      <x:c r="C234" s="46" t="str">
        <x:v>LME</x:v>
      </x:c>
      <x:c r="D234" s="58" t="n">
        <x:v>2019</x:v>
      </x:c>
      <x:c r="E234" s="46" t="str">
        <x:v>Veneridae</x:v>
      </x:c>
      <x:c r="F234" s="46" t="str">
        <x:v>Venus clams</x:v>
      </x:c>
      <x:c r="G234" s="46" t="str">
        <x:v>Other demersal invertebrates</x:v>
      </x:c>
      <x:c r="H234" s="46" t="str">
        <x:v>Molluscs</x:v>
      </x:c>
      <x:c r="I234" s="60" t="n">
        <x:v>180.2418007866</x:v>
      </x:c>
      <x:c r="J234" s="60" t="n">
        <x:v>180.2418007866</x:v>
      </x:c>
      <x:c r="K234" s="60" t="n">
        <x:v>0</x:v>
      </x:c>
      <x:c r="L234" s="60" t="n">
        <x:v>0</x:v>
      </x:c>
      <x:c r="M234" s="60" t="n">
        <x:v>180.2418007866</x:v>
      </x:c>
      <x:c r="N234" s="46" t="str">
        <x:v>veneridae</x:v>
      </x:c>
      <x:c r="O234" s="62" t="n">
        <x:v>2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Veneridae</x:v>
      </x:c>
      <x:c r="T234" s="62" t="n">
        <x:f>IF(O234="","",(1/'Metadata'!$B$5)^(O234-1))</x:f>
        <x:v>10</x:v>
      </x:c>
      <x:c r="U234" s="60" t="n">
        <x:f>IF(T234="","",I234*T234)</x:f>
        <x:v>1802.4180078660002</x:v>
      </x:c>
    </x:row>
    <x:row r="235" ht="18" customHeight="1">
      <x:c r="A235" s="46" t="str">
        <x:v>LME_034</x:v>
      </x:c>
      <x:c r="B235" s="46" t="str">
        <x:v>Bay of Bengal</x:v>
      </x:c>
      <x:c r="C235" s="46" t="str">
        <x:v>LME</x:v>
      </x:c>
      <x:c r="D235" s="58" t="n">
        <x:v>2019</x:v>
      </x:c>
      <x:c r="E235" s="46" t="str">
        <x:v>Sillago sihama</x:v>
      </x:c>
      <x:c r="F235" s="46" t="str">
        <x:v>Silver sillago</x:v>
      </x:c>
      <x:c r="G235" s="46" t="str">
        <x:v>Medium demersals (30 - 89 cm)</x:v>
      </x:c>
      <x:c r="H235" s="46" t="str">
        <x:v>Perch-likes</x:v>
      </x:c>
      <x:c r="I235" s="60" t="n">
        <x:v>165.5420465888</x:v>
      </x:c>
      <x:c r="J235" s="60" t="n">
        <x:v>165.5420465888</x:v>
      </x:c>
      <x:c r="K235" s="60" t="n">
        <x:v>0</x:v>
      </x:c>
      <x:c r="L235" s="60" t="n">
        <x:v>0</x:v>
      </x:c>
      <x:c r="M235" s="60" t="n">
        <x:v>165.5420465888</x:v>
      </x:c>
      <x:c r="N235" s="46" t="str">
        <x:v>sillago sihama</x:v>
      </x:c>
      <x:c r="O235" s="62" t="n">
        <x:v>3.33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Sillago sihama</x:v>
      </x:c>
      <x:c r="T235" s="62" t="n">
        <x:f>IF(O235="","",(1/'Metadata'!$B$5)^(O235-1))</x:f>
        <x:v>213.79620895022325</x:v>
      </x:c>
      <x:c r="U235" s="60" t="n">
        <x:f>IF(T235="","",I235*T235)</x:f>
        <x:v>35392.261982546675</x:v>
      </x:c>
    </x:row>
    <x:row r="236" ht="18" customHeight="1">
      <x:c r="A236" s="46" t="str">
        <x:v>LME_034</x:v>
      </x:c>
      <x:c r="B236" s="46" t="str">
        <x:v>Bay of Bengal</x:v>
      </x:c>
      <x:c r="C236" s="46" t="str">
        <x:v>LME</x:v>
      </x:c>
      <x:c r="D236" s="58" t="n">
        <x:v>2019</x:v>
      </x:c>
      <x:c r="E236" s="46" t="str">
        <x:v>Perna viridis</x:v>
      </x:c>
      <x:c r="F236" s="46" t="str">
        <x:v>Brown mussel</x:v>
      </x:c>
      <x:c r="G236" s="46" t="str">
        <x:v>Other demersal invertebrates</x:v>
      </x:c>
      <x:c r="H236" s="46" t="str">
        <x:v>Molluscs</x:v>
      </x:c>
      <x:c r="I236" s="60" t="n">
        <x:v>164.7650451003</x:v>
      </x:c>
      <x:c r="J236" s="60" t="n">
        <x:v>164.7650451003</x:v>
      </x:c>
      <x:c r="K236" s="60" t="n">
        <x:v>0</x:v>
      </x:c>
      <x:c r="L236" s="60" t="n">
        <x:v>86.0457741579</x:v>
      </x:c>
      <x:c r="M236" s="60" t="n">
        <x:v>78.7192709424</x:v>
      </x:c>
      <x:c r="N236" s="46" t="str">
        <x:v>perna viridis</x:v>
      </x:c>
      <x:c r="O236" s="62" t="n">
        <x:v>2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Perna viridis</x:v>
      </x:c>
      <x:c r="T236" s="62" t="n">
        <x:f>IF(O236="","",(1/'Metadata'!$B$5)^(O236-1))</x:f>
        <x:v>10</x:v>
      </x:c>
      <x:c r="U236" s="60" t="n">
        <x:f>IF(T236="","",I236*T236)</x:f>
        <x:v>1647.650451003</x:v>
      </x:c>
    </x:row>
    <x:row r="237" ht="18" customHeight="1">
      <x:c r="A237" s="46" t="str">
        <x:v>LME_034</x:v>
      </x:c>
      <x:c r="B237" s="46" t="str">
        <x:v>Bay of Bengal</x:v>
      </x:c>
      <x:c r="C237" s="46" t="str">
        <x:v>LME</x:v>
      </x:c>
      <x:c r="D237" s="58" t="n">
        <x:v>2019</x:v>
      </x:c>
      <x:c r="E237" s="46" t="str">
        <x:v>Holothuriidae</x:v>
      </x:c>
      <x:c r="F237" s="46" t="str">
        <x:v>Fleshy sea cucumbers</x:v>
      </x:c>
      <x:c r="G237" s="46" t="str">
        <x:v>Other demersal invertebrates</x:v>
      </x:c>
      <x:c r="H237" s="46" t="str">
        <x:v>Other fishes &amp; inverts</x:v>
      </x:c>
      <x:c r="I237" s="60" t="n">
        <x:v>164.6102441232</x:v>
      </x:c>
      <x:c r="J237" s="60" t="n">
        <x:v>164.6102441232</x:v>
      </x:c>
      <x:c r="K237" s="60" t="n">
        <x:v>0</x:v>
      </x:c>
      <x:c r="L237" s="60" t="n">
        <x:v>0</x:v>
      </x:c>
      <x:c r="M237" s="60" t="n">
        <x:v>164.6102441232</x:v>
      </x:c>
      <x:c r="N237" s="46" t="str">
        <x:v>holothuriidae</x:v>
      </x:c>
      <x:c r="O237" s="62" t="n">
        <x:v>2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Holothuriidae</x:v>
      </x:c>
      <x:c r="T237" s="62" t="n">
        <x:f>IF(O237="","",(1/'Metadata'!$B$5)^(O237-1))</x:f>
        <x:v>10</x:v>
      </x:c>
      <x:c r="U237" s="60" t="n">
        <x:f>IF(T237="","",I237*T237)</x:f>
        <x:v>1646.102441232</x:v>
      </x:c>
    </x:row>
    <x:row r="238" ht="18" customHeight="1">
      <x:c r="A238" s="46" t="str">
        <x:v>LME_034</x:v>
      </x:c>
      <x:c r="B238" s="46" t="str">
        <x:v>Bay of Bengal</x:v>
      </x:c>
      <x:c r="C238" s="46" t="str">
        <x:v>LME</x:v>
      </x:c>
      <x:c r="D238" s="58" t="n">
        <x:v>2019</x:v>
      </x:c>
      <x:c r="E238" s="46" t="str">
        <x:v>Holothuria leucospilota</x:v>
      </x:c>
      <x:c r="F238" s="46" t="str">
        <x:v>White threads fish</x:v>
      </x:c>
      <x:c r="G238" s="46" t="str">
        <x:v>Other demersal invertebrates</x:v>
      </x:c>
      <x:c r="H238" s="46" t="str">
        <x:v>Other fishes &amp; inverts</x:v>
      </x:c>
      <x:c r="I238" s="60" t="n">
        <x:v>164.1416535526</x:v>
      </x:c>
      <x:c r="J238" s="60" t="n">
        <x:v>164.1416535526</x:v>
      </x:c>
      <x:c r="K238" s="60" t="n">
        <x:v>0</x:v>
      </x:c>
      <x:c r="L238" s="60" t="n">
        <x:v>0</x:v>
      </x:c>
      <x:c r="M238" s="60" t="n">
        <x:v>164.1416535526</x:v>
      </x:c>
      <x:c r="N238" s="46" t="str">
        <x:v>holothuria leucospilota</x:v>
      </x:c>
      <x:c r="O238" s="62" t="n">
        <x:v>2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Holothuria leucospilota</x:v>
      </x:c>
      <x:c r="T238" s="62" t="n">
        <x:f>IF(O238="","",(1/'Metadata'!$B$5)^(O238-1))</x:f>
        <x:v>10</x:v>
      </x:c>
      <x:c r="U238" s="60" t="n">
        <x:f>IF(T238="","",I238*T238)</x:f>
        <x:v>1641.416535526</x:v>
      </x:c>
    </x:row>
    <x:row r="239" ht="18" customHeight="1">
      <x:c r="A239" s="46" t="str">
        <x:v>LME_034</x:v>
      </x:c>
      <x:c r="B239" s="46" t="str">
        <x:v>Bay of Bengal</x:v>
      </x:c>
      <x:c r="C239" s="46" t="str">
        <x:v>LME</x:v>
      </x:c>
      <x:c r="D239" s="58" t="n">
        <x:v>2019</x:v>
      </x:c>
      <x:c r="E239" s="46" t="str">
        <x:v>Siganidae</x:v>
      </x:c>
      <x:c r="F239" s="46" t="str">
        <x:v>Rabbitfishes</x:v>
      </x:c>
      <x:c r="G239" s="46" t="str">
        <x:v>Medium reef assoc. fish (30 - 89 cm)</x:v>
      </x:c>
      <x:c r="H239" s="46" t="str">
        <x:v>Perch-likes</x:v>
      </x:c>
      <x:c r="I239" s="60" t="n">
        <x:v>164.1336514994</x:v>
      </x:c>
      <x:c r="J239" s="60" t="n">
        <x:v>164.1336514994</x:v>
      </x:c>
      <x:c r="K239" s="60" t="n">
        <x:v>0</x:v>
      </x:c>
      <x:c r="L239" s="60" t="n">
        <x:v>0</x:v>
      </x:c>
      <x:c r="M239" s="60" t="n">
        <x:v>164.1336514994</x:v>
      </x:c>
      <x:c r="N239" s="46" t="str">
        <x:v>siganidae</x:v>
      </x:c>
      <x:c r="O239" s="62" t="n">
        <x:v>2.11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Siganidae</x:v>
      </x:c>
      <x:c r="T239" s="62" t="n">
        <x:f>IF(O239="","",(1/'Metadata'!$B$5)^(O239-1))</x:f>
        <x:v>12.882495516931336</x:v>
      </x:c>
      <x:c r="U239" s="60" t="n">
        <x:f>IF(T239="","",I239*T239)</x:f>
        <x:v>2114.451029618591</x:v>
      </x:c>
    </x:row>
    <x:row r="240" ht="18" customHeight="1">
      <x:c r="A240" s="46" t="str">
        <x:v>LME_034</x:v>
      </x:c>
      <x:c r="B240" s="46" t="str">
        <x:v>Bay of Bengal</x:v>
      </x:c>
      <x:c r="C240" s="46" t="str">
        <x:v>LME</x:v>
      </x:c>
      <x:c r="D240" s="58" t="n">
        <x:v>2019</x:v>
      </x:c>
      <x:c r="E240" s="46" t="str">
        <x:v>Isurus oxyrinchus</x:v>
      </x:c>
      <x:c r="F240" s="46" t="str">
        <x:v>Shortfin mako</x:v>
      </x:c>
      <x:c r="G240" s="46" t="str">
        <x:v>Large sharks (&gt;=90 cm)</x:v>
      </x:c>
      <x:c r="H240" s="46" t="str">
        <x:v>Sharks &amp; rays</x:v>
      </x:c>
      <x:c r="I240" s="60" t="n">
        <x:v>160.6204642231</x:v>
      </x:c>
      <x:c r="J240" s="60" t="n">
        <x:v>160.6204642231</x:v>
      </x:c>
      <x:c r="K240" s="60" t="n">
        <x:v>0</x:v>
      </x:c>
      <x:c r="L240" s="60" t="n">
        <x:v>21.1661722905</x:v>
      </x:c>
      <x:c r="M240" s="60" t="n">
        <x:v>139.4542919326</x:v>
      </x:c>
      <x:c r="N240" s="46" t="str">
        <x:v>isurus oxyrinchus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Isurus oxyrinchus</x:v>
      </x:c>
      <x:c r="T240" s="62" t="n">
        <x:f>IF(O240="","",(1/'Metadata'!$B$5)^(O240-1))</x:f>
        <x:v>3162.2776601683795</x:v>
      </x:c>
      <x:c r="U240" s="60" t="n">
        <x:f>IF(T240="","",I240*T240)</x:f>
        <x:v>507926.5057785835</x:v>
      </x:c>
    </x:row>
    <x:row r="241" ht="18" customHeight="1">
      <x:c r="A241" s="46" t="str">
        <x:v>LME_034</x:v>
      </x:c>
      <x:c r="B241" s="46" t="str">
        <x:v>Bay of Bengal</x:v>
      </x:c>
      <x:c r="C241" s="46" t="str">
        <x:v>LME</x:v>
      </x:c>
      <x:c r="D241" s="58" t="n">
        <x:v>2019</x:v>
      </x:c>
      <x:c r="E241" s="46" t="str">
        <x:v>Carcharhinus longimanus</x:v>
      </x:c>
      <x:c r="F241" s="46" t="str">
        <x:v>Oceanic whitetip shark</x:v>
      </x:c>
      <x:c r="G241" s="46" t="str">
        <x:v>Large sharks (&gt;=90 cm)</x:v>
      </x:c>
      <x:c r="H241" s="46" t="str">
        <x:v>Sharks &amp; rays</x:v>
      </x:c>
      <x:c r="I241" s="60" t="n">
        <x:v>155.7199160197</x:v>
      </x:c>
      <x:c r="J241" s="60" t="n">
        <x:v>155.7199160197</x:v>
      </x:c>
      <x:c r="K241" s="60" t="n">
        <x:v>0</x:v>
      </x:c>
      <x:c r="L241" s="60" t="n">
        <x:v>16.2635749929</x:v>
      </x:c>
      <x:c r="M241" s="60" t="n">
        <x:v>139.4563410268</x:v>
      </x:c>
      <x:c r="N241" s="46" t="str">
        <x:v>carcharhinus longimanus</x:v>
      </x:c>
      <x:c r="O241" s="62" t="n">
        <x:v>4.16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Carcharhinus longimanus</x:v>
      </x:c>
      <x:c r="T241" s="62" t="n">
        <x:f>IF(O241="","",(1/'Metadata'!$B$5)^(O241-1))</x:f>
        <x:v>1445.439770745928</x:v>
      </x:c>
      <x:c r="U241" s="60" t="n">
        <x:f>IF(T241="","",I241*T241)</x:f>
        <x:v>225083.75971209034</x:v>
      </x:c>
    </x:row>
    <x:row r="242" ht="18" customHeight="1">
      <x:c r="A242" s="46" t="str">
        <x:v>LME_034</x:v>
      </x:c>
      <x:c r="B242" s="46" t="str">
        <x:v>Bay of Bengal</x:v>
      </x:c>
      <x:c r="C242" s="46" t="str">
        <x:v>LME</x:v>
      </x:c>
      <x:c r="D242" s="58" t="n">
        <x:v>2019</x:v>
      </x:c>
      <x:c r="E242" s="46" t="str">
        <x:v>Sphyrna lewini</x:v>
      </x:c>
      <x:c r="F242" s="46" t="str">
        <x:v>Scalloped hammerhead</x:v>
      </x:c>
      <x:c r="G242" s="46" t="str">
        <x:v>Large sharks (&gt;=90 cm)</x:v>
      </x:c>
      <x:c r="H242" s="46" t="str">
        <x:v>Sharks &amp; rays</x:v>
      </x:c>
      <x:c r="I242" s="60" t="n">
        <x:v>151.9345039673</x:v>
      </x:c>
      <x:c r="J242" s="60" t="n">
        <x:v>151.9345039673</x:v>
      </x:c>
      <x:c r="K242" s="60" t="n">
        <x:v>0</x:v>
      </x:c>
      <x:c r="L242" s="60" t="n">
        <x:v>16.8406164488</x:v>
      </x:c>
      <x:c r="M242" s="60" t="n">
        <x:v>135.0938875185</x:v>
      </x:c>
      <x:c r="N242" s="46" t="str">
        <x:v>sphyrna lewini</x:v>
      </x:c>
      <x:c r="O242" s="62" t="n">
        <x:v>4.08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Sphyrna lewini</x:v>
      </x:c>
      <x:c r="T242" s="62" t="n">
        <x:f>IF(O242="","",(1/'Metadata'!$B$5)^(O242-1))</x:f>
        <x:v>1202.2644346174131</x:v>
      </x:c>
      <x:c r="U242" s="60" t="n">
        <x:f>IF(T242="","",I242*T242)</x:f>
        <x:v>182665.45051112305</x:v>
      </x:c>
    </x:row>
    <x:row r="243" ht="18" customHeight="1">
      <x:c r="A243" s="46" t="str">
        <x:v>LME_034</x:v>
      </x:c>
      <x:c r="B243" s="46" t="str">
        <x:v>Bay of Bengal</x:v>
      </x:c>
      <x:c r="C243" s="46" t="str">
        <x:v>LME</x:v>
      </x:c>
      <x:c r="D243" s="58" t="n">
        <x:v>2019</x:v>
      </x:c>
      <x:c r="E243" s="46" t="str">
        <x:v>Alopias pelagicus</x:v>
      </x:c>
      <x:c r="F243" s="46" t="str">
        <x:v>Pelagic thresher</x:v>
      </x:c>
      <x:c r="G243" s="46" t="str">
        <x:v>Large sharks (&gt;=90 cm)</x:v>
      </x:c>
      <x:c r="H243" s="46" t="str">
        <x:v>Sharks &amp; rays</x:v>
      </x:c>
      <x:c r="I243" s="60" t="n">
        <x:v>139.4582803631</x:v>
      </x:c>
      <x:c r="J243" s="60" t="n">
        <x:v>139.4582803631</x:v>
      </x:c>
      <x:c r="K243" s="60" t="n">
        <x:v>0</x:v>
      </x:c>
      <x:c r="L243" s="60" t="n">
        <x:v>0</x:v>
      </x:c>
      <x:c r="M243" s="60" t="n">
        <x:v>139.4582803631</x:v>
      </x:c>
      <x:c r="N243" s="46" t="str">
        <x:v>alopias pelagicus</x:v>
      </x:c>
      <x:c r="O243" s="62" t="n">
        <x:v>4.5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Alopias pelagicus</x:v>
      </x:c>
      <x:c r="T243" s="62" t="n">
        <x:f>IF(O243="","",(1/'Metadata'!$B$5)^(O243-1))</x:f>
        <x:v>3162.2776601683795</x:v>
      </x:c>
      <x:c r="U243" s="60" t="n">
        <x:f>IF(T243="","",I243*T243)</x:f>
        <x:v>441005.8045177297</x:v>
      </x:c>
    </x:row>
    <x:row r="244" ht="18" customHeight="1">
      <x:c r="A244" s="46" t="str">
        <x:v>LME_034</x:v>
      </x:c>
      <x:c r="B244" s="46" t="str">
        <x:v>Bay of Bengal</x:v>
      </x:c>
      <x:c r="C244" s="46" t="str">
        <x:v>LME</x:v>
      </x:c>
      <x:c r="D244" s="58" t="n">
        <x:v>2019</x:v>
      </x:c>
      <x:c r="E244" s="46" t="str">
        <x:v>Alopias superciliosus</x:v>
      </x:c>
      <x:c r="F244" s="46" t="str">
        <x:v>Bigeye thresher</x:v>
      </x:c>
      <x:c r="G244" s="46" t="str">
        <x:v>Large sharks (&gt;=90 cm)</x:v>
      </x:c>
      <x:c r="H244" s="46" t="str">
        <x:v>Sharks &amp; rays</x:v>
      </x:c>
      <x:c r="I244" s="60" t="n">
        <x:v>139.4542919326</x:v>
      </x:c>
      <x:c r="J244" s="60" t="n">
        <x:v>139.4542919326</x:v>
      </x:c>
      <x:c r="K244" s="60" t="n">
        <x:v>0</x:v>
      </x:c>
      <x:c r="L244" s="60" t="n">
        <x:v>0</x:v>
      </x:c>
      <x:c r="M244" s="60" t="n">
        <x:v>139.4542919326</x:v>
      </x:c>
      <x:c r="N244" s="46" t="str">
        <x:v>alopias superciliosus</x:v>
      </x:c>
      <x:c r="O244" s="62" t="n">
        <x:v>4.51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Alopias superciliosus</x:v>
      </x:c>
      <x:c r="T244" s="62" t="n">
        <x:f>IF(O244="","",(1/'Metadata'!$B$5)^(O244-1))</x:f>
        <x:v>3235.936569296281</x:v>
      </x:c>
      <x:c r="U244" s="60" t="n">
        <x:f>IF(T244="","",I244*T244)</x:f>
        <x:v>451265.2430100197</x:v>
      </x:c>
    </x:row>
    <x:row r="245" ht="18" customHeight="1">
      <x:c r="A245" s="46" t="str">
        <x:v>LME_034</x:v>
      </x:c>
      <x:c r="B245" s="46" t="str">
        <x:v>Bay of Bengal</x:v>
      </x:c>
      <x:c r="C245" s="46" t="str">
        <x:v>LME</x:v>
      </x:c>
      <x:c r="D245" s="58" t="n">
        <x:v>2019</x:v>
      </x:c>
      <x:c r="E245" s="46" t="str">
        <x:v>Alopias vulpinus</x:v>
      </x:c>
      <x:c r="F245" s="46" t="str">
        <x:v>Thresher</x:v>
      </x:c>
      <x:c r="G245" s="46" t="str">
        <x:v>Large sharks (&gt;=90 cm)</x:v>
      </x:c>
      <x:c r="H245" s="46" t="str">
        <x:v>Sharks &amp; rays</x:v>
      </x:c>
      <x:c r="I245" s="60" t="n">
        <x:v>139.4542919326</x:v>
      </x:c>
      <x:c r="J245" s="60" t="n">
        <x:v>139.4542919326</x:v>
      </x:c>
      <x:c r="K245" s="60" t="n">
        <x:v>0</x:v>
      </x:c>
      <x:c r="L245" s="60" t="n">
        <x:v>0</x:v>
      </x:c>
      <x:c r="M245" s="60" t="n">
        <x:v>139.4542919326</x:v>
      </x:c>
      <x:c r="N245" s="46" t="str">
        <x:v>alopias vulpinus</x:v>
      </x:c>
      <x:c r="O245" s="62" t="n">
        <x:v>4.5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Alopias vulpinus</x:v>
      </x:c>
      <x:c r="T245" s="62" t="n">
        <x:f>IF(O245="","",(1/'Metadata'!$B$5)^(O245-1))</x:f>
        <x:v>3162.2776601683795</x:v>
      </x:c>
      <x:c r="U245" s="60" t="n">
        <x:f>IF(T245="","",I245*T245)</x:f>
        <x:v>440993.19199306046</x:v>
      </x:c>
    </x:row>
    <x:row r="246" ht="18" customHeight="1">
      <x:c r="A246" s="46" t="str">
        <x:v>LME_034</x:v>
      </x:c>
      <x:c r="B246" s="46" t="str">
        <x:v>Bay of Bengal</x:v>
      </x:c>
      <x:c r="C246" s="46" t="str">
        <x:v>LME</x:v>
      </x:c>
      <x:c r="D246" s="58" t="n">
        <x:v>2019</x:v>
      </x:c>
      <x:c r="E246" s="46" t="str">
        <x:v>Sphyrna zygaena</x:v>
      </x:c>
      <x:c r="F246" s="46" t="str">
        <x:v>Smooth hammerhead</x:v>
      </x:c>
      <x:c r="G246" s="46" t="str">
        <x:v>Large sharks (&gt;=90 cm)</x:v>
      </x:c>
      <x:c r="H246" s="46" t="str">
        <x:v>Sharks &amp; rays</x:v>
      </x:c>
      <x:c r="I246" s="60" t="n">
        <x:v>139.45277872379998</x:v>
      </x:c>
      <x:c r="J246" s="60" t="n">
        <x:v>139.45277872379998</x:v>
      </x:c>
      <x:c r="K246" s="60" t="n">
        <x:v>0</x:v>
      </x:c>
      <x:c r="L246" s="60" t="n">
        <x:v>0</x:v>
      </x:c>
      <x:c r="M246" s="60" t="n">
        <x:v>139.45277872379998</x:v>
      </x:c>
      <x:c r="N246" s="46" t="str">
        <x:v>sphyrna zygaena</x:v>
      </x:c>
      <x:c r="O246" s="62" t="n">
        <x:v>4.94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Sphyrna zygaena</x:v>
      </x:c>
      <x:c r="T246" s="62" t="n">
        <x:f>IF(O246="","",(1/'Metadata'!$B$5)^(O246-1))</x:f>
        <x:v>8709.635899560813</x:v>
      </x:c>
      <x:c r="U246" s="60" t="n">
        <x:f>IF(T246="","",I246*T246)</x:f>
        <x:v>1214582.9278663187</x:v>
      </x:c>
    </x:row>
    <x:row r="247" ht="18" customHeight="1">
      <x:c r="A247" s="46" t="str">
        <x:v>LME_034</x:v>
      </x:c>
      <x:c r="B247" s="46" t="str">
        <x:v>Bay of Bengal</x:v>
      </x:c>
      <x:c r="C247" s="46" t="str">
        <x:v>LME</x:v>
      </x:c>
      <x:c r="D247" s="58" t="n">
        <x:v>2019</x:v>
      </x:c>
      <x:c r="E247" s="46" t="str">
        <x:v>Carcharhinus sorrah</x:v>
      </x:c>
      <x:c r="F247" s="46" t="str">
        <x:v>Spottail shark</x:v>
      </x:c>
      <x:c r="G247" s="46" t="str">
        <x:v>Large sharks (&gt;=90 cm)</x:v>
      </x:c>
      <x:c r="H247" s="46" t="str">
        <x:v>Sharks &amp; rays</x:v>
      </x:c>
      <x:c r="I247" s="60" t="n">
        <x:v>137.76239761</x:v>
      </x:c>
      <x:c r="J247" s="60" t="n">
        <x:v>137.76239761</x:v>
      </x:c>
      <x:c r="K247" s="60" t="n">
        <x:v>0</x:v>
      </x:c>
      <x:c r="L247" s="60" t="n">
        <x:v>0</x:v>
      </x:c>
      <x:c r="M247" s="60" t="n">
        <x:v>137.76239761</x:v>
      </x:c>
      <x:c r="N247" s="46" t="str">
        <x:v>carcharhinus sorrah</x:v>
      </x:c>
      <x:c r="O247" s="62" t="n">
        <x:v>4.15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Carcharhinus sorrah</x:v>
      </x:c>
      <x:c r="T247" s="62" t="n">
        <x:f>IF(O247="","",(1/'Metadata'!$B$5)^(O247-1))</x:f>
        <x:v>1412.5375446227554</x:v>
      </x:c>
      <x:c r="U247" s="60" t="n">
        <x:f>IF(T247="","",I247*T247)</x:f>
        <x:v>194594.55886137314</x:v>
      </x:c>
    </x:row>
    <x:row r="248" ht="18" customHeight="1">
      <x:c r="A248" s="46" t="str">
        <x:v>LME_034</x:v>
      </x:c>
      <x:c r="B248" s="46" t="str">
        <x:v>Bay of Bengal</x:v>
      </x:c>
      <x:c r="C248" s="46" t="str">
        <x:v>LME</x:v>
      </x:c>
      <x:c r="D248" s="58" t="n">
        <x:v>2019</x:v>
      </x:c>
      <x:c r="E248" s="46" t="str">
        <x:v>Carcharhinus limbatus</x:v>
      </x:c>
      <x:c r="F248" s="46" t="str">
        <x:v>Blacktip shark</x:v>
      </x:c>
      <x:c r="G248" s="46" t="str">
        <x:v>Large sharks (&gt;=90 cm)</x:v>
      </x:c>
      <x:c r="H248" s="46" t="str">
        <x:v>Sharks &amp; rays</x:v>
      </x:c>
      <x:c r="I248" s="60" t="n">
        <x:v>137.31228524850002</x:v>
      </x:c>
      <x:c r="J248" s="60" t="n">
        <x:v>137.31228524850002</x:v>
      </x:c>
      <x:c r="K248" s="60" t="n">
        <x:v>0</x:v>
      </x:c>
      <x:c r="L248" s="60" t="n">
        <x:v>0</x:v>
      </x:c>
      <x:c r="M248" s="60" t="n">
        <x:v>137.31228524850002</x:v>
      </x:c>
      <x:c r="N248" s="46" t="str">
        <x:v>carcharhinus limbatus</x:v>
      </x:c>
      <x:c r="O248" s="62" t="n">
        <x:v>4.37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Carcharhinus limbatus</x:v>
      </x:c>
      <x:c r="T248" s="62" t="n">
        <x:f>IF(O248="","",(1/'Metadata'!$B$5)^(O248-1))</x:f>
        <x:v>2344.228815319923</x:v>
      </x:c>
      <x:c r="U248" s="60" t="n">
        <x:f>IF(T248="","",I248*T248)</x:f>
        <x:v>321891.41577696253</x:v>
      </x:c>
    </x:row>
    <x:row r="249" ht="18" customHeight="1">
      <x:c r="A249" s="46" t="str">
        <x:v>LME_034</x:v>
      </x:c>
      <x:c r="B249" s="46" t="str">
        <x:v>Bay of Bengal</x:v>
      </x:c>
      <x:c r="C249" s="46" t="str">
        <x:v>LME</x:v>
      </x:c>
      <x:c r="D249" s="58" t="n">
        <x:v>2019</x:v>
      </x:c>
      <x:c r="E249" s="46" t="str">
        <x:v>Carcharhinus melanopterus</x:v>
      </x:c>
      <x:c r="F249" s="46" t="str">
        <x:v>Blacktip reef shark</x:v>
      </x:c>
      <x:c r="G249" s="46" t="str">
        <x:v>Large sharks (&gt;=90 cm)</x:v>
      </x:c>
      <x:c r="H249" s="46" t="str">
        <x:v>Sharks &amp; rays</x:v>
      </x:c>
      <x:c r="I249" s="60" t="n">
        <x:v>137.30581353559998</x:v>
      </x:c>
      <x:c r="J249" s="60" t="n">
        <x:v>137.30581353559998</x:v>
      </x:c>
      <x:c r="K249" s="60" t="n">
        <x:v>0</x:v>
      </x:c>
      <x:c r="L249" s="60" t="n">
        <x:v>0</x:v>
      </x:c>
      <x:c r="M249" s="60" t="n">
        <x:v>137.30581353559998</x:v>
      </x:c>
      <x:c r="N249" s="46" t="str">
        <x:v>carcharhinus melanopterus</x:v>
      </x:c>
      <x:c r="O249" s="62" t="n">
        <x:v>3.94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Carcharhinus melanopterus</x:v>
      </x:c>
      <x:c r="T249" s="62" t="n">
        <x:f>IF(O249="","",(1/'Metadata'!$B$5)^(O249-1))</x:f>
        <x:v>870.9635899560806</x:v>
      </x:c>
      <x:c r="U249" s="60" t="n">
        <x:f>IF(T249="","",I249*T249)</x:f>
        <x:v>119588.36427880636</x:v>
      </x:c>
    </x:row>
    <x:row r="250" ht="18" customHeight="1">
      <x:c r="A250" s="46" t="str">
        <x:v>LME_034</x:v>
      </x:c>
      <x:c r="B250" s="46" t="str">
        <x:v>Bay of Bengal</x:v>
      </x:c>
      <x:c r="C250" s="46" t="str">
        <x:v>LME</x:v>
      </x:c>
      <x:c r="D250" s="58" t="n">
        <x:v>2019</x:v>
      </x:c>
      <x:c r="E250" s="46" t="str">
        <x:v>Carcharhinus amblyrhynchos</x:v>
      </x:c>
      <x:c r="F250" s="46" t="str">
        <x:v>Blacktail reef shark</x:v>
      </x:c>
      <x:c r="G250" s="46" t="str">
        <x:v>Large sharks (&gt;=90 cm)</x:v>
      </x:c>
      <x:c r="H250" s="46" t="str">
        <x:v>Sharks &amp; rays</x:v>
      </x:c>
      <x:c r="I250" s="60" t="n">
        <x:v>137.2953291957</x:v>
      </x:c>
      <x:c r="J250" s="60" t="n">
        <x:v>137.2953291957</x:v>
      </x:c>
      <x:c r="K250" s="60" t="n">
        <x:v>0</x:v>
      </x:c>
      <x:c r="L250" s="60" t="n">
        <x:v>0</x:v>
      </x:c>
      <x:c r="M250" s="60" t="n">
        <x:v>137.2953291957</x:v>
      </x:c>
      <x:c r="N250" s="46" t="str">
        <x:v>carcharhinus amblyrhynchos</x:v>
      </x:c>
      <x:c r="O250" s="62" t="n">
        <x:v>4.11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Carcharhinus amblyrhynchos</x:v>
      </x:c>
      <x:c r="T250" s="62" t="n">
        <x:f>IF(O250="","",(1/'Metadata'!$B$5)^(O250-1))</x:f>
        <x:v>1288.249551693135</x:v>
      </x:c>
      <x:c r="U250" s="60" t="n">
        <x:f>IF(T250="","",I250*T250)</x:f>
        <x:v>176870.6462859219</x:v>
      </x:c>
    </x:row>
    <x:row r="251" ht="18" customHeight="1">
      <x:c r="A251" s="46" t="str">
        <x:v>LME_034</x:v>
      </x:c>
      <x:c r="B251" s="46" t="str">
        <x:v>Bay of Bengal</x:v>
      </x:c>
      <x:c r="C251" s="46" t="str">
        <x:v>LME</x:v>
      </x:c>
      <x:c r="D251" s="58" t="n">
        <x:v>2019</x:v>
      </x:c>
      <x:c r="E251" s="46" t="str">
        <x:v>Carcharhinus albimarginatus</x:v>
      </x:c>
      <x:c r="F251" s="46" t="str">
        <x:v>Silvertip shark</x:v>
      </x:c>
      <x:c r="G251" s="46" t="str">
        <x:v>Large sharks (&gt;=90 cm)</x:v>
      </x:c>
      <x:c r="H251" s="46" t="str">
        <x:v>Sharks &amp; rays</x:v>
      </x:c>
      <x:c r="I251" s="60" t="n">
        <x:v>137.2935119226</x:v>
      </x:c>
      <x:c r="J251" s="60" t="n">
        <x:v>137.2935119226</x:v>
      </x:c>
      <x:c r="K251" s="60" t="n">
        <x:v>0</x:v>
      </x:c>
      <x:c r="L251" s="60" t="n">
        <x:v>0</x:v>
      </x:c>
      <x:c r="M251" s="60" t="n">
        <x:v>137.2935119226</x:v>
      </x:c>
      <x:c r="N251" s="46" t="str">
        <x:v>carcharhinus albimarginatus</x:v>
      </x:c>
      <x:c r="O251" s="62" t="n">
        <x:v>4.21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Carcharhinus albimarginatus</x:v>
      </x:c>
      <x:c r="T251" s="62" t="n">
        <x:f>IF(O251="","",(1/'Metadata'!$B$5)^(O251-1))</x:f>
        <x:v>1621.8100973589299</x:v>
      </x:c>
      <x:c r="U251" s="60" t="n">
        <x:f>IF(T251="","",I251*T251)</x:f>
        <x:v>222664.0039379413</x:v>
      </x:c>
    </x:row>
    <x:row r="252" ht="18" customHeight="1">
      <x:c r="A252" s="46" t="str">
        <x:v>LME_034</x:v>
      </x:c>
      <x:c r="B252" s="46" t="str">
        <x:v>Bay of Bengal</x:v>
      </x:c>
      <x:c r="C252" s="46" t="str">
        <x:v>LME</x:v>
      </x:c>
      <x:c r="D252" s="58" t="n">
        <x:v>2019</x:v>
      </x:c>
      <x:c r="E252" s="46" t="str">
        <x:v>Sphyrna mokarran</x:v>
      </x:c>
      <x:c r="F252" s="46" t="str">
        <x:v>Great hammerhead</x:v>
      </x:c>
      <x:c r="G252" s="46" t="str">
        <x:v>Large sharks (&gt;=90 cm)</x:v>
      </x:c>
      <x:c r="H252" s="46" t="str">
        <x:v>Sharks &amp; rays</x:v>
      </x:c>
      <x:c r="I252" s="60" t="n">
        <x:v>135.091781476</x:v>
      </x:c>
      <x:c r="J252" s="60" t="n">
        <x:v>135.091781476</x:v>
      </x:c>
      <x:c r="K252" s="60" t="n">
        <x:v>0</x:v>
      </x:c>
      <x:c r="L252" s="60" t="n">
        <x:v>0</x:v>
      </x:c>
      <x:c r="M252" s="60" t="n">
        <x:v>135.091781476</x:v>
      </x:c>
      <x:c r="N252" s="46" t="str">
        <x:v>sphyrna mokarran</x:v>
      </x:c>
      <x:c r="O252" s="62" t="n">
        <x:v>4.32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Sphyrna mokarran</x:v>
      </x:c>
      <x:c r="T252" s="62" t="n">
        <x:f>IF(O252="","",(1/'Metadata'!$B$5)^(O252-1))</x:f>
        <x:v>2089.2961308540407</x:v>
      </x:c>
      <x:c r="U252" s="60" t="n">
        <x:f>IF(T252="","",I252*T252)</x:f>
        <x:v>282246.7363479864</x:v>
      </x:c>
    </x:row>
    <x:row r="253" ht="18" customHeight="1">
      <x:c r="A253" s="46" t="str">
        <x:v>LME_034</x:v>
      </x:c>
      <x:c r="B253" s="46" t="str">
        <x:v>Bay of Bengal</x:v>
      </x:c>
      <x:c r="C253" s="46" t="str">
        <x:v>LME</x:v>
      </x:c>
      <x:c r="D253" s="58" t="n">
        <x:v>2019</x:v>
      </x:c>
      <x:c r="E253" s="46" t="str">
        <x:v>Galeocerdo cuvier</x:v>
      </x:c>
      <x:c r="F253" s="46" t="str">
        <x:v>Tiger shark</x:v>
      </x:c>
      <x:c r="G253" s="46" t="str">
        <x:v>Large sharks (&gt;=90 cm)</x:v>
      </x:c>
      <x:c r="H253" s="46" t="str">
        <x:v>Sharks &amp; rays</x:v>
      </x:c>
      <x:c r="I253" s="60" t="n">
        <x:v>133.02127698040002</x:v>
      </x:c>
      <x:c r="J253" s="60" t="n">
        <x:v>133.02127698040002</x:v>
      </x:c>
      <x:c r="K253" s="60" t="n">
        <x:v>0</x:v>
      </x:c>
      <x:c r="L253" s="60" t="n">
        <x:v>0</x:v>
      </x:c>
      <x:c r="M253" s="60" t="n">
        <x:v>133.02127698040002</x:v>
      </x:c>
      <x:c r="N253" s="46" t="str">
        <x:v>galeocerdo cuvier</x:v>
      </x:c>
      <x:c r="O253" s="62" t="n">
        <x:v>4.54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Galeocerdo cuvier</x:v>
      </x:c>
      <x:c r="T253" s="62" t="n">
        <x:f>IF(O253="","",(1/'Metadata'!$B$5)^(O253-1))</x:f>
        <x:v>3467.368504525317</x:v>
      </x:c>
      <x:c r="U253" s="60" t="n">
        <x:f>IF(T253="","",I253*T253)</x:f>
        <x:v>461233.7862335776</x:v>
      </x:c>
    </x:row>
    <x:row r="254" ht="18" customHeight="1">
      <x:c r="A254" s="46" t="str">
        <x:v>LME_034</x:v>
      </x:c>
      <x:c r="B254" s="46" t="str">
        <x:v>Bay of Bengal</x:v>
      </x:c>
      <x:c r="C254" s="46" t="str">
        <x:v>LME</x:v>
      </x:c>
      <x:c r="D254" s="58" t="n">
        <x:v>2019</x:v>
      </x:c>
      <x:c r="E254" s="46" t="str">
        <x:v>Pleuronectiformes</x:v>
      </x:c>
      <x:c r="F254" s="46" t="str">
        <x:v>Flatfishes</x:v>
      </x:c>
      <x:c r="G254" s="46" t="str">
        <x:v>Small to medium flatfishes (&lt;90 cm)</x:v>
      </x:c>
      <x:c r="H254" s="46" t="str">
        <x:v>Flatfishes</x:v>
      </x:c>
      <x:c r="I254" s="60" t="n">
        <x:v>127.0299170024</x:v>
      </x:c>
      <x:c r="J254" s="60" t="n">
        <x:v>125.4458955179</x:v>
      </x:c>
      <x:c r="K254" s="60" t="n">
        <x:v>1.5840214844999998</x:v>
      </x:c>
      <x:c r="L254" s="60" t="n">
        <x:v>125.4458955179</x:v>
      </x:c>
      <x:c r="M254" s="60" t="n">
        <x:v>1.5840214844999998</x:v>
      </x:c>
      <x:c r="N254" s="46" t="str">
        <x:v>pleuronectiformes</x:v>
      </x:c>
      <x:c r="O254" s="62" t="n">
        <x:v>3.57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Pleuronectiformes</x:v>
      </x:c>
      <x:c r="T254" s="62" t="n">
        <x:f>IF(O254="","",(1/'Metadata'!$B$5)^(O254-1))</x:f>
        <x:v>371.5352290971724</x:v>
      </x:c>
      <x:c r="U254" s="60" t="n">
        <x:f>IF(T254="","",I254*T254)</x:f>
        <x:v>47196.08931568148</x:v>
      </x:c>
    </x:row>
    <x:row r="255" ht="18" customHeight="1">
      <x:c r="A255" s="46" t="str">
        <x:v>LME_034</x:v>
      </x:c>
      <x:c r="B255" s="46" t="str">
        <x:v>Bay of Bengal</x:v>
      </x:c>
      <x:c r="C255" s="46" t="str">
        <x:v>LME</x:v>
      </x:c>
      <x:c r="D255" s="58" t="n">
        <x:v>2019</x:v>
      </x:c>
      <x:c r="E255" s="46" t="str">
        <x:v>Platycaranx malabaricus</x:v>
      </x:c>
      <x:c r="F255" s="46" t="str">
        <x:v>Malabar trevally</x:v>
      </x:c>
      <x:c r="G255" s="46" t="str">
        <x:v>Medium reef assoc. fish (30 - 89 cm)</x:v>
      </x:c>
      <x:c r="H255" s="46" t="str">
        <x:v>Perch-likes</x:v>
      </x:c>
      <x:c r="I255" s="60" t="n">
        <x:v>119.4233166469</x:v>
      </x:c>
      <x:c r="J255" s="60" t="n">
        <x:v>115.681375778</x:v>
      </x:c>
      <x:c r="K255" s="60" t="n">
        <x:v>3.7419408689</x:v>
      </x:c>
      <x:c r="L255" s="60" t="n">
        <x:v>115.681375778</x:v>
      </x:c>
      <x:c r="M255" s="60" t="n">
        <x:v>3.7419408689</x:v>
      </x:c>
      <x:c r="N255" s="46" t="str">
        <x:v>platycaranx malabaricus</x:v>
      </x:c>
      <x:c r="O255" s="62" t="n">
        <x:v>3.88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Platycaranx malabaricus</x:v>
      </x:c>
      <x:c r="T255" s="62" t="n">
        <x:f>IF(O255="","",(1/'Metadata'!$B$5)^(O255-1))</x:f>
        <x:v>758.5775750291835</x:v>
      </x:c>
      <x:c r="U255" s="60" t="n">
        <x:f>IF(T255="","",I255*T255)</x:f>
        <x:v>90591.84994394773</x:v>
      </x:c>
    </x:row>
    <x:row r="256" ht="18" customHeight="1">
      <x:c r="A256" s="46" t="str">
        <x:v>LME_034</x:v>
      </x:c>
      <x:c r="B256" s="46" t="str">
        <x:v>Bay of Bengal</x:v>
      </x:c>
      <x:c r="C256" s="46" t="str">
        <x:v>LME</x:v>
      </x:c>
      <x:c r="D256" s="58" t="n">
        <x:v>2019</x:v>
      </x:c>
      <x:c r="E256" s="46" t="str">
        <x:v>Scatophagus argus</x:v>
      </x:c>
      <x:c r="F256" s="46" t="str">
        <x:v>Spotted scat</x:v>
      </x:c>
      <x:c r="G256" s="46" t="str">
        <x:v>Medium demersals (30 - 89 cm)</x:v>
      </x:c>
      <x:c r="H256" s="46" t="str">
        <x:v>Perch-likes</x:v>
      </x:c>
      <x:c r="I256" s="60" t="n">
        <x:v>118.98090376020001</x:v>
      </x:c>
      <x:c r="J256" s="60" t="n">
        <x:v>118.98090376020001</x:v>
      </x:c>
      <x:c r="K256" s="60" t="n">
        <x:v>0</x:v>
      </x:c>
      <x:c r="L256" s="60" t="n">
        <x:v>62.0986230601</x:v>
      </x:c>
      <x:c r="M256" s="60" t="n">
        <x:v>56.8822807001</x:v>
      </x:c>
      <x:c r="N256" s="46" t="str">
        <x:v>scatophagus argus</x:v>
      </x:c>
      <x:c r="O256" s="62" t="n">
        <x:v>2.99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Scatophagus argus</x:v>
      </x:c>
      <x:c r="T256" s="62" t="n">
        <x:f>IF(O256="","",(1/'Metadata'!$B$5)^(O256-1))</x:f>
        <x:v>97.72372209558111</x:v>
      </x:c>
      <x:c r="U256" s="60" t="n">
        <x:f>IF(T256="","",I256*T256)</x:f>
        <x:v>11627.256773742867</x:v>
      </x:c>
    </x:row>
    <x:row r="257" ht="18" customHeight="1">
      <x:c r="A257" s="46" t="str">
        <x:v>LME_034</x:v>
      </x:c>
      <x:c r="B257" s="46" t="str">
        <x:v>Bay of Bengal</x:v>
      </x:c>
      <x:c r="C257" s="46" t="str">
        <x:v>LME</x:v>
      </x:c>
      <x:c r="D257" s="58" t="n">
        <x:v>2019</x:v>
      </x:c>
      <x:c r="E257" s="46" t="str">
        <x:v>Lobotes surinamensis</x:v>
      </x:c>
      <x:c r="F257" s="46" t="str">
        <x:v>Tripletail</x:v>
      </x:c>
      <x:c r="G257" s="46" t="str">
        <x:v>Large benthopelagics (&gt;=90 cm)</x:v>
      </x:c>
      <x:c r="H257" s="46" t="str">
        <x:v>Perch-likes</x:v>
      </x:c>
      <x:c r="I257" s="60" t="n">
        <x:v>115.5086810926</x:v>
      </x:c>
      <x:c r="J257" s="60" t="n">
        <x:v>115.5086810926</x:v>
      </x:c>
      <x:c r="K257" s="60" t="n">
        <x:v>0</x:v>
      </x:c>
      <x:c r="L257" s="60" t="n">
        <x:v>61.7958467288</x:v>
      </x:c>
      <x:c r="M257" s="60" t="n">
        <x:v>53.7128343638</x:v>
      </x:c>
      <x:c r="N257" s="46" t="str">
        <x:v>lobotes surinamensis</x:v>
      </x:c>
      <x:c r="O257" s="62" t="n">
        <x:v>4.04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Lobotes surinamensis</x:v>
      </x:c>
      <x:c r="T257" s="62" t="n">
        <x:f>IF(O257="","",(1/'Metadata'!$B$5)^(O257-1))</x:f>
        <x:v>1096.4781961431852</x:v>
      </x:c>
      <x:c r="U257" s="60" t="n">
        <x:f>IF(T257="","",I257*T257)</x:f>
        <x:v>126652.7502832925</x:v>
      </x:c>
    </x:row>
    <x:row r="258" ht="18" customHeight="1">
      <x:c r="A258" s="46" t="str">
        <x:v>LME_034</x:v>
      </x:c>
      <x:c r="B258" s="46" t="str">
        <x:v>Bay of Bengal</x:v>
      </x:c>
      <x:c r="C258" s="46" t="str">
        <x:v>LME</x:v>
      </x:c>
      <x:c r="D258" s="58" t="n">
        <x:v>2019</x:v>
      </x:c>
      <x:c r="E258" s="46" t="str">
        <x:v>Caesionidae</x:v>
      </x:c>
      <x:c r="F258" s="46" t="str">
        <x:v>Fusiliers</x:v>
      </x:c>
      <x:c r="G258" s="46" t="str">
        <x:v>Medium reef assoc. fish (30 - 89 cm)</x:v>
      </x:c>
      <x:c r="H258" s="46" t="str">
        <x:v>Perch-likes</x:v>
      </x:c>
      <x:c r="I258" s="60" t="n">
        <x:v>113.2915502952</x:v>
      </x:c>
      <x:c r="J258" s="60" t="n">
        <x:v>113.2915502952</x:v>
      </x:c>
      <x:c r="K258" s="60" t="n">
        <x:v>0</x:v>
      </x:c>
      <x:c r="L258" s="60" t="n">
        <x:v>0</x:v>
      </x:c>
      <x:c r="M258" s="60" t="n">
        <x:v>113.2915502952</x:v>
      </x:c>
      <x:c r="N258" s="46" t="str">
        <x:v>caesionidae</x:v>
      </x:c>
      <x:c r="O258" s="62" t="n">
        <x:v>3.39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Caesionidae</x:v>
      </x:c>
      <x:c r="T258" s="62" t="n">
        <x:f>IF(O258="","",(1/'Metadata'!$B$5)^(O258-1))</x:f>
        <x:v>245.4708915685031</x:v>
      </x:c>
      <x:c r="U258" s="60" t="n">
        <x:f>IF(T258="","",I258*T258)</x:f>
        <x:v>27809.777858140653</x:v>
      </x:c>
    </x:row>
    <x:row r="259" ht="18" customHeight="1">
      <x:c r="A259" s="46" t="str">
        <x:v>LME_034</x:v>
      </x:c>
      <x:c r="B259" s="46" t="str">
        <x:v>Bay of Bengal</x:v>
      </x:c>
      <x:c r="C259" s="46" t="str">
        <x:v>LME</x:v>
      </x:c>
      <x:c r="D259" s="58" t="n">
        <x:v>2019</x:v>
      </x:c>
      <x:c r="E259" s="46" t="str">
        <x:v>Holothuria atra</x:v>
      </x:c>
      <x:c r="F259" s="46" t="str">
        <x:v>Lollyfish</x:v>
      </x:c>
      <x:c r="G259" s="46" t="str">
        <x:v>Other demersal invertebrates</x:v>
      </x:c>
      <x:c r="H259" s="46" t="str">
        <x:v>Other fishes &amp; inverts</x:v>
      </x:c>
      <x:c r="I259" s="60" t="n">
        <x:v>113.0321706307</x:v>
      </x:c>
      <x:c r="J259" s="60" t="n">
        <x:v>113.0321706307</x:v>
      </x:c>
      <x:c r="K259" s="60" t="n">
        <x:v>0</x:v>
      </x:c>
      <x:c r="L259" s="60" t="n">
        <x:v>113.0321706307</x:v>
      </x:c>
      <x:c r="M259" s="60" t="n">
        <x:v>0</x:v>
      </x:c>
      <x:c r="N259" s="46" t="str">
        <x:v>holothuria atra</x:v>
      </x:c>
      <x:c r="O259" s="62" t="n">
        <x:v>2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Holothuria atra</x:v>
      </x:c>
      <x:c r="T259" s="62" t="n">
        <x:f>IF(O259="","",(1/'Metadata'!$B$5)^(O259-1))</x:f>
        <x:v>10</x:v>
      </x:c>
      <x:c r="U259" s="60" t="n">
        <x:f>IF(T259="","",I259*T259)</x:f>
        <x:v>1130.3217063069999</x:v>
      </x:c>
    </x:row>
    <x:row r="260" ht="18" customHeight="1">
      <x:c r="A260" s="46" t="str">
        <x:v>LME_034</x:v>
      </x:c>
      <x:c r="B260" s="46" t="str">
        <x:v>Bay of Bengal</x:v>
      </x:c>
      <x:c r="C260" s="46" t="str">
        <x:v>LME</x:v>
      </x:c>
      <x:c r="D260" s="58" t="n">
        <x:v>2019</x:v>
      </x:c>
      <x:c r="E260" s="46" t="str">
        <x:v>Holothuria edulis</x:v>
      </x:c>
      <x:c r="F260" s="46" t="str">
        <x:v>Pinkfish</x:v>
      </x:c>
      <x:c r="G260" s="46" t="str">
        <x:v>Other demersal invertebrates</x:v>
      </x:c>
      <x:c r="H260" s="46" t="str">
        <x:v>Other fishes &amp; inverts</x:v>
      </x:c>
      <x:c r="I260" s="60" t="n">
        <x:v>111.7908017446</x:v>
      </x:c>
      <x:c r="J260" s="60" t="n">
        <x:v>111.7908017446</x:v>
      </x:c>
      <x:c r="K260" s="60" t="n">
        <x:v>0</x:v>
      </x:c>
      <x:c r="L260" s="60" t="n">
        <x:v>111.7908017446</x:v>
      </x:c>
      <x:c r="M260" s="60" t="n">
        <x:v>0</x:v>
      </x:c>
      <x:c r="N260" s="46" t="str">
        <x:v>holothuria edulis</x:v>
      </x:c>
      <x:c r="O260" s="62" t="n">
        <x:v>2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Holothuria edulis</x:v>
      </x:c>
      <x:c r="T260" s="62" t="n">
        <x:f>IF(O260="","",(1/'Metadata'!$B$5)^(O260-1))</x:f>
        <x:v>10</x:v>
      </x:c>
      <x:c r="U260" s="60" t="n">
        <x:f>IF(T260="","",I260*T260)</x:f>
        <x:v>1117.908017446</x:v>
      </x:c>
    </x:row>
    <x:row r="261" ht="18" customHeight="1">
      <x:c r="A261" s="46" t="str">
        <x:v>LME_034</x:v>
      </x:c>
      <x:c r="B261" s="46" t="str">
        <x:v>Bay of Bengal</x:v>
      </x:c>
      <x:c r="C261" s="46" t="str">
        <x:v>LME</x:v>
      </x:c>
      <x:c r="D261" s="58" t="n">
        <x:v>2019</x:v>
      </x:c>
      <x:c r="E261" s="46" t="str">
        <x:v>Bohadschia marmorata</x:v>
      </x:c>
      <x:c r="F261" s="46" t="str">
        <x:v>Chalky cucumber</x:v>
      </x:c>
      <x:c r="G261" s="46" t="str">
        <x:v>Other demersal invertebrates</x:v>
      </x:c>
      <x:c r="H261" s="46" t="str">
        <x:v>Other fishes &amp; inverts</x:v>
      </x:c>
      <x:c r="I261" s="60" t="n">
        <x:v>111.005906861</x:v>
      </x:c>
      <x:c r="J261" s="60" t="n">
        <x:v>111.005906861</x:v>
      </x:c>
      <x:c r="K261" s="60" t="n">
        <x:v>0</x:v>
      </x:c>
      <x:c r="L261" s="60" t="n">
        <x:v>111.005906861</x:v>
      </x:c>
      <x:c r="M261" s="60" t="n">
        <x:v>0</x:v>
      </x:c>
      <x:c r="N261" s="46" t="str">
        <x:v>bohadschia marmorata</x:v>
      </x:c>
      <x:c r="O261" s="62" t="n">
        <x:v>2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Bohadschia marmorata</x:v>
      </x:c>
      <x:c r="T261" s="62" t="n">
        <x:f>IF(O261="","",(1/'Metadata'!$B$5)^(O261-1))</x:f>
        <x:v>10</x:v>
      </x:c>
      <x:c r="U261" s="60" t="n">
        <x:f>IF(T261="","",I261*T261)</x:f>
        <x:v>1110.05906861</x:v>
      </x:c>
    </x:row>
    <x:row r="262" ht="18" customHeight="1">
      <x:c r="A262" s="46" t="str">
        <x:v>LME_034</x:v>
      </x:c>
      <x:c r="B262" s="46" t="str">
        <x:v>Bay of Bengal</x:v>
      </x:c>
      <x:c r="C262" s="46" t="str">
        <x:v>LME</x:v>
      </x:c>
      <x:c r="D262" s="58" t="n">
        <x:v>2019</x:v>
      </x:c>
      <x:c r="E262" s="46" t="str">
        <x:v>Chanos chanos</x:v>
      </x:c>
      <x:c r="F262" s="46" t="str">
        <x:v>Milkfish</x:v>
      </x:c>
      <x:c r="G262" s="46" t="str">
        <x:v>Large benthopelagics (&gt;=90 cm)</x:v>
      </x:c>
      <x:c r="H262" s="46" t="str">
        <x:v>Other fishes &amp; inverts</x:v>
      </x:c>
      <x:c r="I262" s="60" t="n">
        <x:v>109.7518727729</x:v>
      </x:c>
      <x:c r="J262" s="60" t="n">
        <x:v>109.7518727729</x:v>
      </x:c>
      <x:c r="K262" s="60" t="n">
        <x:v>0</x:v>
      </x:c>
      <x:c r="L262" s="60" t="n">
        <x:v>0</x:v>
      </x:c>
      <x:c r="M262" s="60" t="n">
        <x:v>109.7518727729</x:v>
      </x:c>
      <x:c r="N262" s="46" t="str">
        <x:v>chanos chanos</x:v>
      </x:c>
      <x:c r="O262" s="62" t="n">
        <x:v>2.03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Chanos chanos</x:v>
      </x:c>
      <x:c r="T262" s="62" t="n">
        <x:f>IF(O262="","",(1/'Metadata'!$B$5)^(O262-1))</x:f>
        <x:v>10.71519305237606</x:v>
      </x:c>
      <x:c r="U262" s="60" t="n">
        <x:f>IF(T262="","",I262*T262)</x:f>
        <x:v>1176.0125046214393</x:v>
      </x:c>
    </x:row>
    <x:row r="263" ht="18" customHeight="1">
      <x:c r="A263" s="46" t="str">
        <x:v>LME_034</x:v>
      </x:c>
      <x:c r="B263" s="46" t="str">
        <x:v>Bay of Bengal</x:v>
      </x:c>
      <x:c r="C263" s="46" t="str">
        <x:v>LME</x:v>
      </x:c>
      <x:c r="D263" s="58" t="n">
        <x:v>2019</x:v>
      </x:c>
      <x:c r="E263" s="46" t="str">
        <x:v>Tridacna</x:v>
      </x:c>
      <x:c r="F263" s="46" t="str">
        <x:v>Tridacnid clams</x:v>
      </x:c>
      <x:c r="G263" s="46" t="str">
        <x:v>Other demersal invertebrates</x:v>
      </x:c>
      <x:c r="H263" s="46" t="str">
        <x:v>Molluscs</x:v>
      </x:c>
      <x:c r="I263" s="60" t="n">
        <x:v>109.473219279</x:v>
      </x:c>
      <x:c r="J263" s="60" t="n">
        <x:v>109.473219279</x:v>
      </x:c>
      <x:c r="K263" s="60" t="n">
        <x:v>0</x:v>
      </x:c>
      <x:c r="L263" s="60" t="n">
        <x:v>0</x:v>
      </x:c>
      <x:c r="M263" s="60" t="n">
        <x:v>109.473219279</x:v>
      </x:c>
      <x:c r="N263" s="46" t="str">
        <x:v>tridacna</x:v>
      </x:c>
      <x:c r="O263" s="62" t="n">
        <x:v>2.12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Tridacna</x:v>
      </x:c>
      <x:c r="T263" s="62" t="n">
        <x:f>IF(O263="","",(1/'Metadata'!$B$5)^(O263-1))</x:f>
        <x:v>13.182567385564074</x:v>
      </x:c>
      <x:c r="U263" s="60" t="n">
        <x:f>IF(T263="","",I263*T263)</x:f>
        <x:v>1443.1380900600498</x:v>
      </x:c>
    </x:row>
    <x:row r="264" ht="18" customHeight="1">
      <x:c r="A264" s="46" t="str">
        <x:v>LME_034</x:v>
      </x:c>
      <x:c r="B264" s="46" t="str">
        <x:v>Bay of Bengal</x:v>
      </x:c>
      <x:c r="C264" s="46" t="str">
        <x:v>LME</x:v>
      </x:c>
      <x:c r="D264" s="58" t="n">
        <x:v>2019</x:v>
      </x:c>
      <x:c r="E264" s="46" t="str">
        <x:v>Muraenesocidae</x:v>
      </x:c>
      <x:c r="F264" s="46" t="str">
        <x:v>Pike congers</x:v>
      </x:c>
      <x:c r="G264" s="46" t="str">
        <x:v>Large demersals (&gt;=90 cm)</x:v>
      </x:c>
      <x:c r="H264" s="46" t="str">
        <x:v>Other fishes &amp; inverts</x:v>
      </x:c>
      <x:c r="I264" s="60" t="n">
        <x:v>109.3991880484</x:v>
      </x:c>
      <x:c r="J264" s="60" t="n">
        <x:v>109.3920594994</x:v>
      </x:c>
      <x:c r="K264" s="60" t="n">
        <x:v>0.0071285490000000005</x:v>
      </x:c>
      <x:c r="L264" s="60" t="n">
        <x:v>0</x:v>
      </x:c>
      <x:c r="M264" s="60" t="n">
        <x:v>109.3991880484</x:v>
      </x:c>
      <x:c r="N264" s="46" t="str">
        <x:v>muraenesocidae</x:v>
      </x:c>
      <x:c r="O264" s="62" t="n">
        <x:v>3.9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Muraenesocidae</x:v>
      </x:c>
      <x:c r="T264" s="62" t="n">
        <x:f>IF(O264="","",(1/'Metadata'!$B$5)^(O264-1))</x:f>
        <x:v>794.3282347242813</x:v>
      </x:c>
      <x:c r="U264" s="60" t="n">
        <x:f>IF(T264="","",I264*T264)</x:f>
        <x:v>86898.86392275526</x:v>
      </x:c>
    </x:row>
    <x:row r="265" ht="18" customHeight="1">
      <x:c r="A265" s="46" t="str">
        <x:v>LME_034</x:v>
      </x:c>
      <x:c r="B265" s="46" t="str">
        <x:v>Bay of Bengal</x:v>
      </x:c>
      <x:c r="C265" s="46" t="str">
        <x:v>LME</x:v>
      </x:c>
      <x:c r="D265" s="58" t="n">
        <x:v>2019</x:v>
      </x:c>
      <x:c r="E265" s="46" t="str">
        <x:v>Makaira</x:v>
      </x:c>
      <x:c r="F265" s="46" t="str">
        <x:v>Blue marlins</x:v>
      </x:c>
      <x:c r="G265" s="46" t="str">
        <x:v>Large pelagics (&gt;=90 cm)</x:v>
      </x:c>
      <x:c r="H265" s="46" t="str">
        <x:v>Tuna &amp; billfishes</x:v>
      </x:c>
      <x:c r="I265" s="60" t="n">
        <x:v>97.0476121435</x:v>
      </x:c>
      <x:c r="J265" s="60" t="n">
        <x:v>97.0476121435</x:v>
      </x:c>
      <x:c r="K265" s="60" t="n">
        <x:v>0</x:v>
      </x:c>
      <x:c r="L265" s="60" t="n">
        <x:v>51.09580815380001</x:v>
      </x:c>
      <x:c r="M265" s="60" t="n">
        <x:v>45.9518039897</x:v>
      </x:c>
      <x:c r="N265" s="46" t="str">
        <x:v>makaira</x:v>
      </x:c>
      <x:c r="O265" s="62" t="n">
        <x:v>4.47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Makaira</x:v>
      </x:c>
      <x:c r="T265" s="62" t="n">
        <x:f>IF(O265="","",(1/'Metadata'!$B$5)^(O265-1))</x:f>
        <x:v>2951.209226666384</x:v>
      </x:c>
      <x:c r="U265" s="60" t="n">
        <x:f>IF(T265="","",I265*T265)</x:f>
        <x:v>286407.8083838378</x:v>
      </x:c>
    </x:row>
    <x:row r="266" ht="18" customHeight="1">
      <x:c r="A266" s="46" t="str">
        <x:v>LME_034</x:v>
      </x:c>
      <x:c r="B266" s="46" t="str">
        <x:v>Bay of Bengal</x:v>
      </x:c>
      <x:c r="C266" s="46" t="str">
        <x:v>LME</x:v>
      </x:c>
      <x:c r="D266" s="58" t="n">
        <x:v>2019</x:v>
      </x:c>
      <x:c r="E266" s="46" t="str">
        <x:v>Aluterus</x:v>
      </x:c>
      <x:c r="F266" s="46" t="str">
        <x:v>Aluterid filefishes</x:v>
      </x:c>
      <x:c r="G266" s="46" t="str">
        <x:v>Large reef assoc. fish (&gt;=90 cm)</x:v>
      </x:c>
      <x:c r="H266" s="46" t="str">
        <x:v>Other fishes &amp; inverts</x:v>
      </x:c>
      <x:c r="I266" s="60" t="n">
        <x:v>95.68947190600001</x:v>
      </x:c>
      <x:c r="J266" s="60" t="n">
        <x:v>91.9486088368</x:v>
      </x:c>
      <x:c r="K266" s="60" t="n">
        <x:v>3.7408630692</x:v>
      </x:c>
      <x:c r="L266" s="60" t="n">
        <x:v>91.9486088368</x:v>
      </x:c>
      <x:c r="M266" s="60" t="n">
        <x:v>3.7408630692</x:v>
      </x:c>
      <x:c r="N266" s="46" t="str">
        <x:v>aluterus</x:v>
      </x:c>
      <x:c r="O266" s="62" t="n">
        <x:v>2.81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Aluterus</x:v>
      </x:c>
      <x:c r="T266" s="62" t="n">
        <x:f>IF(O266="","",(1/'Metadata'!$B$5)^(O266-1))</x:f>
        <x:v>64.56542290346556</x:v>
      </x:c>
      <x:c r="U266" s="60" t="n">
        <x:f>IF(T266="","",I266*T266)</x:f>
        <x:v>6178.231221020177</x:v>
      </x:c>
    </x:row>
    <x:row r="267" ht="18" customHeight="1">
      <x:c r="A267" s="46" t="str">
        <x:v>LME_034</x:v>
      </x:c>
      <x:c r="B267" s="46" t="str">
        <x:v>Bay of Bengal</x:v>
      </x:c>
      <x:c r="C267" s="46" t="str">
        <x:v>LME</x:v>
      </x:c>
      <x:c r="D267" s="58" t="n">
        <x:v>2019</x:v>
      </x:c>
      <x:c r="E267" s="46" t="str">
        <x:v>Solenocera crassicornis</x:v>
      </x:c>
      <x:c r="F267" s="46" t="str">
        <x:v>Coastal mud shrimp</x:v>
      </x:c>
      <x:c r="G267" s="46" t="str">
        <x:v>Shrimps</x:v>
      </x:c>
      <x:c r="H267" s="46" t="str">
        <x:v>Crustaceans</x:v>
      </x:c>
      <x:c r="I267" s="60" t="n">
        <x:v>90.90045547849999</x:v>
      </x:c>
      <x:c r="J267" s="60" t="n">
        <x:v>90.90045547849999</x:v>
      </x:c>
      <x:c r="K267" s="60" t="n">
        <x:v>0</x:v>
      </x:c>
      <x:c r="L267" s="60" t="n">
        <x:v>47.9960736334</x:v>
      </x:c>
      <x:c r="M267" s="60" t="n">
        <x:v>42.9043818451</x:v>
      </x:c>
      <x:c r="N267" s="46" t="str">
        <x:v>solenocera crassicornis</x:v>
      </x:c>
      <x:c r="O267" s="62" t="n">
        <x:v>2.2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Solenocera crassicornis</x:v>
      </x:c>
      <x:c r="T267" s="62" t="n">
        <x:f>IF(O267="","",(1/'Metadata'!$B$5)^(O267-1))</x:f>
        <x:v>15.848931924611142</x:v>
      </x:c>
      <x:c r="U267" s="60" t="n">
        <x:f>IF(T267="","",I267*T267)</x:f>
        <x:v>1440.6751307948923</x:v>
      </x:c>
    </x:row>
    <x:row r="268" ht="18" customHeight="1">
      <x:c r="A268" s="46" t="str">
        <x:v>LME_034</x:v>
      </x:c>
      <x:c r="B268" s="46" t="str">
        <x:v>Bay of Bengal</x:v>
      </x:c>
      <x:c r="C268" s="46" t="str">
        <x:v>LME</x:v>
      </x:c>
      <x:c r="D268" s="58" t="n">
        <x:v>2019</x:v>
      </x:c>
      <x:c r="E268" s="46" t="str">
        <x:v>Makaira mazara</x:v>
      </x:c>
      <x:c r="F268" s="46" t="str">
        <x:v>Indo-Pacific blue marlin</x:v>
      </x:c>
      <x:c r="G268" s="46" t="str">
        <x:v>Large pelagics (&gt;=90 cm)</x:v>
      </x:c>
      <x:c r="H268" s="46" t="str">
        <x:v>Tuna &amp; billfishes</x:v>
      </x:c>
      <x:c r="I268" s="60" t="n">
        <x:v>86.47208615950001</x:v>
      </x:c>
      <x:c r="J268" s="60" t="n">
        <x:v>86.47208615950001</x:v>
      </x:c>
      <x:c r="K268" s="60" t="n">
        <x:v>0</x:v>
      </x:c>
      <x:c r="L268" s="60" t="n">
        <x:v>0</x:v>
      </x:c>
      <x:c r="M268" s="60" t="n">
        <x:v>86.47208615950001</x:v>
      </x:c>
      <x:c r="N268" s="46" t="str">
        <x:v>makaira mazara</x:v>
      </x:c>
      <x:c r="O268" s="62" t="n">
        <x:v>4.46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Makaira mazara</x:v>
      </x:c>
      <x:c r="T268" s="62" t="n">
        <x:f>IF(O268="","",(1/'Metadata'!$B$5)^(O268-1))</x:f>
        <x:v>2884.031503126606</x:v>
      </x:c>
      <x:c r="U268" s="60" t="n">
        <x:f>IF(T268="","",I268*T268)</x:f>
        <x:v>249388.22062507618</x:v>
      </x:c>
    </x:row>
    <x:row r="269" ht="18" customHeight="1">
      <x:c r="A269" s="46" t="str">
        <x:v>LME_034</x:v>
      </x:c>
      <x:c r="B269" s="46" t="str">
        <x:v>Bay of Bengal</x:v>
      </x:c>
      <x:c r="C269" s="46" t="str">
        <x:v>LME</x:v>
      </x:c>
      <x:c r="D269" s="58" t="n">
        <x:v>2019</x:v>
      </x:c>
      <x:c r="E269" s="46" t="str">
        <x:v>Paphia</x:v>
      </x:c>
      <x:c r="F269" s="46" t="str">
        <x:v>Indo-Pacific venus clams</x:v>
      </x:c>
      <x:c r="G269" s="46" t="str">
        <x:v>Other demersal invertebrates</x:v>
      </x:c>
      <x:c r="H269" s="46" t="str">
        <x:v>Molluscs</x:v>
      </x:c>
      <x:c r="I269" s="60" t="n">
        <x:v>84.935483756</x:v>
      </x:c>
      <x:c r="J269" s="60" t="n">
        <x:v>84.935483756</x:v>
      </x:c>
      <x:c r="K269" s="60" t="n">
        <x:v>0</x:v>
      </x:c>
      <x:c r="L269" s="60" t="n">
        <x:v>46.425821444</x:v>
      </x:c>
      <x:c r="M269" s="60" t="n">
        <x:v>38.509662311999996</x:v>
      </x:c>
      <x:c r="N269" s="46" t="str">
        <x:v>paphia</x:v>
      </x:c>
      <x:c r="O269" s="62" t="n">
        <x:v>2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Paphia</x:v>
      </x:c>
      <x:c r="T269" s="62" t="n">
        <x:f>IF(O269="","",(1/'Metadata'!$B$5)^(O269-1))</x:f>
        <x:v>10</x:v>
      </x:c>
      <x:c r="U269" s="60" t="n">
        <x:f>IF(T269="","",I269*T269)</x:f>
        <x:v>849.35483756</x:v>
      </x:c>
    </x:row>
    <x:row r="270" ht="18" customHeight="1">
      <x:c r="A270" s="46" t="str">
        <x:v>LME_034</x:v>
      </x:c>
      <x:c r="B270" s="46" t="str">
        <x:v>Bay of Bengal</x:v>
      </x:c>
      <x:c r="C270" s="46" t="str">
        <x:v>LME</x:v>
      </x:c>
      <x:c r="D270" s="58" t="n">
        <x:v>2019</x:v>
      </x:c>
      <x:c r="E270" s="46" t="str">
        <x:v>Thenus orientalis</x:v>
      </x:c>
      <x:c r="F270" s="46" t="str">
        <x:v>Flathead lobster</x:v>
      </x:c>
      <x:c r="G270" s="46" t="str">
        <x:v>Lobsters, crabs</x:v>
      </x:c>
      <x:c r="H270" s="46" t="str">
        <x:v>Crustaceans</x:v>
      </x:c>
      <x:c r="I270" s="60" t="n">
        <x:v>74.2974546321</x:v>
      </x:c>
      <x:c r="J270" s="60" t="n">
        <x:v>74.2974546321</x:v>
      </x:c>
      <x:c r="K270" s="60" t="n">
        <x:v>0</x:v>
      </x:c>
      <x:c r="L270" s="60" t="n">
        <x:v>74.2974546321</x:v>
      </x:c>
      <x:c r="M270" s="60" t="n">
        <x:v>0</x:v>
      </x:c>
      <x:c r="N270" s="46" t="str">
        <x:v>thenus orientalis</x:v>
      </x:c>
      <x:c r="O270" s="62" t="n">
        <x:v>2.5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Thenus orientalis</x:v>
      </x:c>
      <x:c r="T270" s="62" t="n">
        <x:f>IF(O270="","",(1/'Metadata'!$B$5)^(O270-1))</x:f>
        <x:v>31.622776601683793</x:v>
      </x:c>
      <x:c r="U270" s="60" t="n">
        <x:f>IF(T270="","",I270*T270)</x:f>
        <x:v>2349.491809904635</x:v>
      </x:c>
    </x:row>
    <x:row r="271" ht="18" customHeight="1">
      <x:c r="A271" s="46" t="str">
        <x:v>LME_034</x:v>
      </x:c>
      <x:c r="B271" s="46" t="str">
        <x:v>Bay of Bengal</x:v>
      </x:c>
      <x:c r="C271" s="46" t="str">
        <x:v>LME</x:v>
      </x:c>
      <x:c r="D271" s="58" t="n">
        <x:v>2019</x:v>
      </x:c>
      <x:c r="E271" s="46" t="str">
        <x:v>Pteriomorphia</x:v>
      </x:c>
      <x:c r="F271" s="46" t="str">
        <x:v>Clams, cockles, arkshells</x:v>
      </x:c>
      <x:c r="G271" s="46" t="str">
        <x:v>Other demersal invertebrates</x:v>
      </x:c>
      <x:c r="H271" s="46" t="str">
        <x:v>Molluscs</x:v>
      </x:c>
      <x:c r="I271" s="60" t="n">
        <x:v>64.3625534902</x:v>
      </x:c>
      <x:c r="J271" s="60" t="n">
        <x:v>64.3625534902</x:v>
      </x:c>
      <x:c r="K271" s="60" t="n">
        <x:v>0</x:v>
      </x:c>
      <x:c r="L271" s="60" t="n">
        <x:v>0</x:v>
      </x:c>
      <x:c r="M271" s="60" t="n">
        <x:v>64.3625534902</x:v>
      </x:c>
      <x:c r="N271" s="46" t="str">
        <x:v>pteriomorphia</x:v>
      </x:c>
      <x:c r="O271" s="62" t="n">
        <x:v>2.27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Pteriomorphia</x:v>
      </x:c>
      <x:c r="T271" s="62" t="n">
        <x:f>IF(O271="","",(1/'Metadata'!$B$5)^(O271-1))</x:f>
        <x:v>18.620871366628677</x:v>
      </x:c>
      <x:c r="U271" s="60" t="n">
        <x:f>IF(T271="","",I271*T271)</x:f>
        <x:v>1198.4868293687719</x:v>
      </x:c>
    </x:row>
    <x:row r="272" ht="18" customHeight="1">
      <x:c r="A272" s="46" t="str">
        <x:v>LME_034</x:v>
      </x:c>
      <x:c r="B272" s="46" t="str">
        <x:v>Bay of Bengal</x:v>
      </x:c>
      <x:c r="C272" s="46" t="str">
        <x:v>LME</x:v>
      </x:c>
      <x:c r="D272" s="58" t="n">
        <x:v>2019</x:v>
      </x:c>
      <x:c r="E272" s="46" t="str">
        <x:v>Plectorhinchus</x:v>
      </x:c>
      <x:c r="F272" s="46" t="str">
        <x:v>Sweetlips</x:v>
      </x:c>
      <x:c r="G272" s="46" t="str">
        <x:v>Medium reef assoc. fish (30 - 89 cm)</x:v>
      </x:c>
      <x:c r="H272" s="46" t="str">
        <x:v>Perch-likes</x:v>
      </x:c>
      <x:c r="I272" s="60" t="n">
        <x:v>59.4872909971</x:v>
      </x:c>
      <x:c r="J272" s="60" t="n">
        <x:v>59.4872909971</x:v>
      </x:c>
      <x:c r="K272" s="60" t="n">
        <x:v>0</x:v>
      </x:c>
      <x:c r="L272" s="60" t="n">
        <x:v>35.0573301531</x:v>
      </x:c>
      <x:c r="M272" s="60" t="n">
        <x:v>24.429960844</x:v>
      </x:c>
      <x:c r="N272" s="46" t="str">
        <x:v>plectorhinchus</x:v>
      </x:c>
      <x:c r="O272" s="62" t="n">
        <x:v>3.43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Plectorhinchus</x:v>
      </x:c>
      <x:c r="T272" s="62" t="n">
        <x:f>IF(O272="","",(1/'Metadata'!$B$5)^(O272-1))</x:f>
        <x:v>269.1534803926917</x:v>
      </x:c>
      <x:c r="U272" s="60" t="n">
        <x:f>IF(T272="","",I272*T272)</x:f>
        <x:v>16011.211411002298</x:v>
      </x:c>
    </x:row>
    <x:row r="273" ht="18" customHeight="1">
      <x:c r="A273" s="46" t="str">
        <x:v>LME_034</x:v>
      </x:c>
      <x:c r="B273" s="46" t="str">
        <x:v>Bay of Bengal</x:v>
      </x:c>
      <x:c r="C273" s="46" t="str">
        <x:v>LME</x:v>
      </x:c>
      <x:c r="D273" s="58" t="n">
        <x:v>2019</x:v>
      </x:c>
      <x:c r="E273" s="46" t="str">
        <x:v>Istiophorus</x:v>
      </x:c>
      <x:c r="F273" s="46" t="str">
        <x:v>Sailfishes</x:v>
      </x:c>
      <x:c r="G273" s="46" t="str">
        <x:v>Large pelagics (&gt;=90 cm)</x:v>
      </x:c>
      <x:c r="H273" s="46" t="str">
        <x:v>Tuna &amp; billfishes</x:v>
      </x:c>
      <x:c r="I273" s="60" t="n">
        <x:v>54.7533866303</x:v>
      </x:c>
      <x:c r="J273" s="60" t="n">
        <x:v>54.7533866303</x:v>
      </x:c>
      <x:c r="K273" s="60" t="n">
        <x:v>0</x:v>
      </x:c>
      <x:c r="L273" s="60" t="n">
        <x:v>28.442747619400002</x:v>
      </x:c>
      <x:c r="M273" s="60" t="n">
        <x:v>26.310639010899997</x:v>
      </x:c>
      <x:c r="N273" s="46" t="str">
        <x:v>istiophorus</x:v>
      </x:c>
      <x:c r="O273" s="62" t="n">
        <x:v>4.5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Istiophorus</x:v>
      </x:c>
      <x:c r="T273" s="62" t="n">
        <x:f>IF(O273="","",(1/'Metadata'!$B$5)^(O273-1))</x:f>
        <x:v>3162.2776601683795</x:v>
      </x:c>
      <x:c r="U273" s="60" t="n">
        <x:f>IF(T273="","",I273*T273)</x:f>
        <x:v>173145.41135955972</x:v>
      </x:c>
    </x:row>
    <x:row r="274" ht="18" customHeight="1">
      <x:c r="A274" s="46" t="str">
        <x:v>LME_034</x:v>
      </x:c>
      <x:c r="B274" s="46" t="str">
        <x:v>Bay of Bengal</x:v>
      </x:c>
      <x:c r="C274" s="46" t="str">
        <x:v>LME</x:v>
      </x:c>
      <x:c r="D274" s="58" t="n">
        <x:v>2019</x:v>
      </x:c>
      <x:c r="E274" s="46" t="str">
        <x:v>Tetrapturus angustirostris</x:v>
      </x:c>
      <x:c r="F274" s="46" t="str">
        <x:v>Shortbill spearfish</x:v>
      </x:c>
      <x:c r="G274" s="46" t="str">
        <x:v>Large pelagics (&gt;=90 cm)</x:v>
      </x:c>
      <x:c r="H274" s="46" t="str">
        <x:v>Tuna &amp; billfishes</x:v>
      </x:c>
      <x:c r="I274" s="60" t="n">
        <x:v>49.8622011698</x:v>
      </x:c>
      <x:c r="J274" s="60" t="n">
        <x:v>49.8622011698</x:v>
      </x:c>
      <x:c r="K274" s="60" t="n">
        <x:v>0</x:v>
      </x:c>
      <x:c r="L274" s="60" t="n">
        <x:v>49.8622011698</x:v>
      </x:c>
      <x:c r="M274" s="60" t="n">
        <x:v>0</x:v>
      </x:c>
      <x:c r="N274" s="46" t="str">
        <x:v>tetrapturus angustirostris</x:v>
      </x:c>
      <x:c r="O274" s="62" t="n">
        <x:v>4.5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Tetrapturus angustirostris</x:v>
      </x:c>
      <x:c r="T274" s="62" t="n">
        <x:f>IF(O274="","",(1/'Metadata'!$B$5)^(O274-1))</x:f>
        <x:v>3162.2776601683795</x:v>
      </x:c>
      <x:c r="U274" s="60" t="n">
        <x:f>IF(T274="","",I274*T274)</x:f>
        <x:v>157678.12484608017</x:v>
      </x:c>
    </x:row>
    <x:row r="275" ht="18" customHeight="1">
      <x:c r="A275" s="46" t="str">
        <x:v>LME_034</x:v>
      </x:c>
      <x:c r="B275" s="46" t="str">
        <x:v>Bay of Bengal</x:v>
      </x:c>
      <x:c r="C275" s="46" t="str">
        <x:v>LME</x:v>
      </x:c>
      <x:c r="D275" s="58" t="n">
        <x:v>2019</x:v>
      </x:c>
      <x:c r="E275" s="46" t="str">
        <x:v>Scyris indica</x:v>
      </x:c>
      <x:c r="F275" s="46" t="str">
        <x:v>Indian threadfish</x:v>
      </x:c>
      <x:c r="G275" s="46" t="str">
        <x:v>Large reef assoc. fish (&gt;=90 cm)</x:v>
      </x:c>
      <x:c r="H275" s="46" t="str">
        <x:v>Perch-likes</x:v>
      </x:c>
      <x:c r="I275" s="60" t="n">
        <x:v>45.0146168207</x:v>
      </x:c>
      <x:c r="J275" s="60" t="n">
        <x:v>45.0146168207</x:v>
      </x:c>
      <x:c r="K275" s="60" t="n">
        <x:v>0</x:v>
      </x:c>
      <x:c r="L275" s="60" t="n">
        <x:v>0</x:v>
      </x:c>
      <x:c r="M275" s="60" t="n">
        <x:v>45.0146168207</x:v>
      </x:c>
      <x:c r="N275" s="46" t="str">
        <x:v>scyris indica</x:v>
      </x:c>
      <x:c r="O275" s="62" t="n">
        <x:v>4.09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Scyris indica</x:v>
      </x:c>
      <x:c r="T275" s="62" t="n">
        <x:f>IF(O275="","",(1/'Metadata'!$B$5)^(O275-1))</x:f>
        <x:v>1230.268770812381</x:v>
      </x:c>
      <x:c r="U275" s="60" t="n">
        <x:f>IF(T275="","",I275*T275)</x:f>
        <x:v>55380.077304592916</x:v>
      </x:c>
    </x:row>
    <x:row r="276" ht="18" customHeight="1">
      <x:c r="A276" s="46" t="str">
        <x:v>LME_034</x:v>
      </x:c>
      <x:c r="B276" s="46" t="str">
        <x:v>Bay of Bengal</x:v>
      </x:c>
      <x:c r="C276" s="46" t="str">
        <x:v>LME</x:v>
      </x:c>
      <x:c r="D276" s="58" t="n">
        <x:v>2019</x:v>
      </x:c>
      <x:c r="E276" s="46" t="str">
        <x:v>Megalops cyprinoides</x:v>
      </x:c>
      <x:c r="F276" s="46" t="str">
        <x:v>Indo-Pacific tarpon</x:v>
      </x:c>
      <x:c r="G276" s="46" t="str">
        <x:v>Large pelagics (&gt;=90 cm)</x:v>
      </x:c>
      <x:c r="H276" s="46" t="str">
        <x:v>Other fishes &amp; inverts</x:v>
      </x:c>
      <x:c r="I276" s="60" t="n">
        <x:v>43.6023369336</x:v>
      </x:c>
      <x:c r="J276" s="60" t="n">
        <x:v>43.6023369336</x:v>
      </x:c>
      <x:c r="K276" s="60" t="n">
        <x:v>0</x:v>
      </x:c>
      <x:c r="L276" s="60" t="n">
        <x:v>24.7318773537</x:v>
      </x:c>
      <x:c r="M276" s="60" t="n">
        <x:v>18.8704595799</x:v>
      </x:c>
      <x:c r="N276" s="46" t="str">
        <x:v>megalops cyprinoides</x:v>
      </x:c>
      <x:c r="O276" s="62" t="n">
        <x:v>3.48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Megalops cyprinoides</x:v>
      </x:c>
      <x:c r="T276" s="62" t="n">
        <x:f>IF(O276="","",(1/'Metadata'!$B$5)^(O276-1))</x:f>
        <x:v>301.9951720402016</x:v>
      </x:c>
      <x:c r="U276" s="60" t="n">
        <x:f>IF(T276="","",I276*T276)</x:f>
        <x:v>13167.695243617369</x:v>
      </x:c>
    </x:row>
    <x:row r="277" ht="18" customHeight="1">
      <x:c r="A277" s="46" t="str">
        <x:v>LME_034</x:v>
      </x:c>
      <x:c r="B277" s="46" t="str">
        <x:v>Bay of Bengal</x:v>
      </x:c>
      <x:c r="C277" s="46" t="str">
        <x:v>LME</x:v>
      </x:c>
      <x:c r="D277" s="58" t="n">
        <x:v>2019</x:v>
      </x:c>
      <x:c r="E277" s="46" t="str">
        <x:v>Scarus</x:v>
      </x:c>
      <x:c r="F277" s="46" t="str">
        <x:v>Parrots</x:v>
      </x:c>
      <x:c r="G277" s="46" t="str">
        <x:v>Medium reef assoc. fish (30 - 89 cm)</x:v>
      </x:c>
      <x:c r="H277" s="46" t="str">
        <x:v>Perch-likes</x:v>
      </x:c>
      <x:c r="I277" s="60" t="n">
        <x:v>34.7667670135</x:v>
      </x:c>
      <x:c r="J277" s="60" t="n">
        <x:v>34.7667670135</x:v>
      </x:c>
      <x:c r="K277" s="60" t="n">
        <x:v>0</x:v>
      </x:c>
      <x:c r="L277" s="60" t="n">
        <x:v>19.7979713646</x:v>
      </x:c>
      <x:c r="M277" s="60" t="n">
        <x:v>14.9687956489</x:v>
      </x:c>
      <x:c r="N277" s="46" t="str">
        <x:v>scarus</x:v>
      </x:c>
      <x:c r="O277" s="62" t="n">
        <x:v>2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Scarus</x:v>
      </x:c>
      <x:c r="T277" s="62" t="n">
        <x:f>IF(O277="","",(1/'Metadata'!$B$5)^(O277-1))</x:f>
        <x:v>10</x:v>
      </x:c>
      <x:c r="U277" s="60" t="n">
        <x:f>IF(T277="","",I277*T277)</x:f>
        <x:v>347.667670135</x:v>
      </x:c>
    </x:row>
    <x:row r="278" ht="18" customHeight="1">
      <x:c r="A278" s="46" t="str">
        <x:v>LME_034</x:v>
      </x:c>
      <x:c r="B278" s="46" t="str">
        <x:v>Bay of Bengal</x:v>
      </x:c>
      <x:c r="C278" s="46" t="str">
        <x:v>LME</x:v>
      </x:c>
      <x:c r="D278" s="58" t="n">
        <x:v>2019</x:v>
      </x:c>
      <x:c r="E278" s="46" t="str">
        <x:v>Sphyraena jello</x:v>
      </x:c>
      <x:c r="F278" s="46" t="str">
        <x:v>Pickhandle barracuda</x:v>
      </x:c>
      <x:c r="G278" s="46" t="str">
        <x:v>Large reef assoc. fish (&gt;=90 cm)</x:v>
      </x:c>
      <x:c r="H278" s="46" t="str">
        <x:v>Perch-likes</x:v>
      </x:c>
      <x:c r="I278" s="60" t="n">
        <x:v>30.0469315301</x:v>
      </x:c>
      <x:c r="J278" s="60" t="n">
        <x:v>30.0469315301</x:v>
      </x:c>
      <x:c r="K278" s="60" t="n">
        <x:v>0</x:v>
      </x:c>
      <x:c r="L278" s="60" t="n">
        <x:v>0</x:v>
      </x:c>
      <x:c r="M278" s="60" t="n">
        <x:v>30.0469315301</x:v>
      </x:c>
      <x:c r="N278" s="46" t="str">
        <x:v>sphyraena jello</x:v>
      </x:c>
      <x:c r="O278" s="62" t="n">
        <x:v>4.5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Sphyraena jello</x:v>
      </x:c>
      <x:c r="T278" s="62" t="n">
        <x:f>IF(O278="","",(1/'Metadata'!$B$5)^(O278-1))</x:f>
        <x:v>3162.2776601683795</x:v>
      </x:c>
      <x:c r="U278" s="60" t="n">
        <x:f>IF(T278="","",I278*T278)</x:f>
        <x:v>95016.74033424414</x:v>
      </x:c>
    </x:row>
    <x:row r="279" ht="18" customHeight="1">
      <x:c r="A279" s="46" t="str">
        <x:v>LME_034</x:v>
      </x:c>
      <x:c r="B279" s="46" t="str">
        <x:v>Bay of Bengal</x:v>
      </x:c>
      <x:c r="C279" s="46" t="str">
        <x:v>LME</x:v>
      </x:c>
      <x:c r="D279" s="58" t="n">
        <x:v>2019</x:v>
      </x:c>
      <x:c r="E279" s="46" t="str">
        <x:v>Scomberomorus lineolatus</x:v>
      </x:c>
      <x:c r="F279" s="46" t="str">
        <x:v>Streaked seerfish</x:v>
      </x:c>
      <x:c r="G279" s="46" t="str">
        <x:v>Large pelagics (&gt;=90 cm)</x:v>
      </x:c>
      <x:c r="H279" s="46" t="str">
        <x:v>Perch-likes</x:v>
      </x:c>
      <x:c r="I279" s="60" t="n">
        <x:v>27.5770056654</x:v>
      </x:c>
      <x:c r="J279" s="60" t="n">
        <x:v>27.5770056654</x:v>
      </x:c>
      <x:c r="K279" s="60" t="n">
        <x:v>0</x:v>
      </x:c>
      <x:c r="L279" s="60" t="n">
        <x:v>27.5770056654</x:v>
      </x:c>
      <x:c r="M279" s="60" t="n">
        <x:v>0</x:v>
      </x:c>
      <x:c r="N279" s="46" t="str">
        <x:v>scomberomorus lineolatus</x:v>
      </x:c>
      <x:c r="O279" s="62" t="n">
        <x:v>4.5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Scomberomorus lineolatus</x:v>
      </x:c>
      <x:c r="T279" s="62" t="n">
        <x:f>IF(O279="","",(1/'Metadata'!$B$5)^(O279-1))</x:f>
        <x:v>3162.2776601683795</x:v>
      </x:c>
      <x:c r="U279" s="60" t="n">
        <x:f>IF(T279="","",I279*T279)</x:f>
        <x:v>87206.14895003126</x:v>
      </x:c>
    </x:row>
    <x:row r="280" ht="18" customHeight="1">
      <x:c r="A280" s="46" t="str">
        <x:v>LME_034</x:v>
      </x:c>
      <x:c r="B280" s="46" t="str">
        <x:v>Bay of Bengal</x:v>
      </x:c>
      <x:c r="C280" s="46" t="str">
        <x:v>LME</x:v>
      </x:c>
      <x:c r="D280" s="58" t="n">
        <x:v>2019</x:v>
      </x:c>
      <x:c r="E280" s="46" t="str">
        <x:v>Tenualosa toli</x:v>
      </x:c>
      <x:c r="F280" s="46" t="str">
        <x:v>Toli shad</x:v>
      </x:c>
      <x:c r="G280" s="46" t="str">
        <x:v>Medium pelagics (30 - 89 cm)</x:v>
      </x:c>
      <x:c r="H280" s="46" t="str">
        <x:v>Herring-likes</x:v>
      </x:c>
      <x:c r="I280" s="60" t="n">
        <x:v>25.5930005499</x:v>
      </x:c>
      <x:c r="J280" s="60" t="n">
        <x:v>25.5930005499</x:v>
      </x:c>
      <x:c r="K280" s="60" t="n">
        <x:v>0</x:v>
      </x:c>
      <x:c r="L280" s="60" t="n">
        <x:v>0</x:v>
      </x:c>
      <x:c r="M280" s="60" t="n">
        <x:v>25.5930005499</x:v>
      </x:c>
      <x:c r="N280" s="46" t="str">
        <x:v>tenualosa toli</x:v>
      </x:c>
      <x:c r="O280" s="62" t="n">
        <x:v>2.48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Tenualosa toli</x:v>
      </x:c>
      <x:c r="T280" s="62" t="n">
        <x:f>IF(O280="","",(1/'Metadata'!$B$5)^(O280-1))</x:f>
        <x:v>30.19951720402016</x:v>
      </x:c>
      <x:c r="U280" s="60" t="n">
        <x:f>IF(T280="","",I280*T280)</x:f>
        <x:v>772.8962604092026</x:v>
      </x:c>
    </x:row>
    <x:row r="281" ht="18" customHeight="1">
      <x:c r="A281" s="46" t="str">
        <x:v>LME_034</x:v>
      </x:c>
      <x:c r="B281" s="46" t="str">
        <x:v>Bay of Bengal</x:v>
      </x:c>
      <x:c r="C281" s="46" t="str">
        <x:v>LME</x:v>
      </x:c>
      <x:c r="D281" s="58" t="n">
        <x:v>2019</x:v>
      </x:c>
      <x:c r="E281" s="46" t="str">
        <x:v>Echinodermata</x:v>
      </x:c>
      <x:c r="F281" s="46" t="str">
        <x:v>Sea urchins, stars, cucumbers</x:v>
      </x:c>
      <x:c r="G281" s="46" t="str">
        <x:v>Other demersal invertebrates</x:v>
      </x:c>
      <x:c r="H281" s="46" t="str">
        <x:v>Other fishes &amp; inverts</x:v>
      </x:c>
      <x:c r="I281" s="60" t="n">
        <x:v>12.3084418692</x:v>
      </x:c>
      <x:c r="J281" s="60" t="n">
        <x:v>12.3084418692</x:v>
      </x:c>
      <x:c r="K281" s="60" t="n">
        <x:v>0</x:v>
      </x:c>
      <x:c r="L281" s="60" t="n">
        <x:v>6.6551857027</x:v>
      </x:c>
      <x:c r="M281" s="60" t="n">
        <x:v>5.6532561665</x:v>
      </x:c>
      <x:c r="N281" s="46" t="str">
        <x:v>echinodermata</x:v>
      </x:c>
      <x:c r="O281" s="62" t="n">
        <x:v>2.3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Echinodermata</x:v>
      </x:c>
      <x:c r="T281" s="62" t="n">
        <x:f>IF(O281="","",(1/'Metadata'!$B$5)^(O281-1))</x:f>
        <x:v>19.952623149688787</x:v>
      </x:c>
      <x:c r="U281" s="60" t="n">
        <x:f>IF(T281="","",I281*T281)</x:f>
        <x:v>245.58570217599862</x:v>
      </x:c>
    </x:row>
    <x:row r="282" ht="18" customHeight="1">
      <x:c r="A282" s="46" t="str">
        <x:v>LME_034</x:v>
      </x:c>
      <x:c r="B282" s="46" t="str">
        <x:v>Bay of Bengal</x:v>
      </x:c>
      <x:c r="C282" s="46" t="str">
        <x:v>LME</x:v>
      </x:c>
      <x:c r="D282" s="58" t="n">
        <x:v>2019</x:v>
      </x:c>
      <x:c r="E282" s="46" t="str">
        <x:v>Gnathanodon speciosus</x:v>
      </x:c>
      <x:c r="F282" s="46" t="str">
        <x:v>Golden trevally</x:v>
      </x:c>
      <x:c r="G282" s="46" t="str">
        <x:v>Large reef assoc. fish (&gt;=90 cm)</x:v>
      </x:c>
      <x:c r="H282" s="46" t="str">
        <x:v>Perch-likes</x:v>
      </x:c>
      <x:c r="I282" s="60" t="n">
        <x:v>12.1993510069</x:v>
      </x:c>
      <x:c r="J282" s="60" t="n">
        <x:v>12.1993510069</x:v>
      </x:c>
      <x:c r="K282" s="60" t="n">
        <x:v>0</x:v>
      </x:c>
      <x:c r="L282" s="60" t="n">
        <x:v>7.5289070074</x:v>
      </x:c>
      <x:c r="M282" s="60" t="n">
        <x:v>4.670443999500001</x:v>
      </x:c>
      <x:c r="N282" s="46" t="str">
        <x:v>gnathanodon speciosus</x:v>
      </x:c>
      <x:c r="O282" s="62" t="n">
        <x:v>3.84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Gnathanodon speciosus</x:v>
      </x:c>
      <x:c r="T282" s="62" t="n">
        <x:f>IF(O282="","",(1/'Metadata'!$B$5)^(O282-1))</x:f>
        <x:v>691.8309709189363</x:v>
      </x:c>
      <x:c r="U282" s="60" t="n">
        <x:f>IF(T282="","",I282*T282)</x:f>
        <x:v>8439.88885168453</x:v>
      </x:c>
    </x:row>
    <x:row r="283" ht="18" customHeight="1">
      <x:c r="A283" s="46" t="str">
        <x:v>LME_034</x:v>
      </x:c>
      <x:c r="B283" s="46" t="str">
        <x:v>Bay of Bengal</x:v>
      </x:c>
      <x:c r="C283" s="46" t="str">
        <x:v>LME</x:v>
      </x:c>
      <x:c r="D283" s="58" t="n">
        <x:v>2019</x:v>
      </x:c>
      <x:c r="E283" s="46" t="str">
        <x:v>Sergestidae</x:v>
      </x:c>
      <x:c r="F283" s="46" t="str">
        <x:v>Sergestid shrimp</x:v>
      </x:c>
      <x:c r="G283" s="46" t="str">
        <x:v>Shrimps</x:v>
      </x:c>
      <x:c r="H283" s="46" t="str">
        <x:v>Crustaceans</x:v>
      </x:c>
      <x:c r="I283" s="60" t="n">
        <x:v>8.7315311845</x:v>
      </x:c>
      <x:c r="J283" s="60" t="n">
        <x:v>8.7315311845</x:v>
      </x:c>
      <x:c r="K283" s="60" t="n">
        <x:v>0</x:v>
      </x:c>
      <x:c r="L283" s="60" t="n">
        <x:v>8.7315311845</x:v>
      </x:c>
      <x:c r="M283" s="60" t="n">
        <x:v>0</x:v>
      </x:c>
      <x:c r="N283" s="46" t="str">
        <x:v>sergestidae</x:v>
      </x:c>
      <x:c r="O283" s="62" t="n">
        <x:v>2.93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Sergestidae</x:v>
      </x:c>
      <x:c r="T283" s="62" t="n">
        <x:f>IF(O283="","",(1/'Metadata'!$B$5)^(O283-1))</x:f>
        <x:v>85.11380382023768</x:v>
      </x:c>
      <x:c r="U283" s="60" t="n">
        <x:f>IF(T283="","",I283*T283)</x:f>
        <x:v>743.1738322878205</x:v>
      </x:c>
    </x:row>
    <x:row r="284" ht="18" customHeight="1">
      <x:c r="A284" s="46" t="str">
        <x:v>LME_034</x:v>
      </x:c>
      <x:c r="B284" s="46" t="str">
        <x:v>Bay of Bengal</x:v>
      </x:c>
      <x:c r="C284" s="46" t="str">
        <x:v>LME</x:v>
      </x:c>
      <x:c r="D284" s="58" t="n">
        <x:v>2019</x:v>
      </x:c>
      <x:c r="E284" s="46" t="str">
        <x:v>Hemiramphidae</x:v>
      </x:c>
      <x:c r="F284" s="46" t="str">
        <x:v>Halfbeaks, garfishes</x:v>
      </x:c>
      <x:c r="G284" s="46" t="str">
        <x:v>Medium pelagics (30 - 89 cm)</x:v>
      </x:c>
      <x:c r="H284" s="46" t="str">
        <x:v>Other fishes &amp; inverts</x:v>
      </x:c>
      <x:c r="I284" s="60" t="n">
        <x:v>8.2545398417</x:v>
      </x:c>
      <x:c r="J284" s="60" t="n">
        <x:v>8.2545398417</x:v>
      </x:c>
      <x:c r="K284" s="60" t="n">
        <x:v>0</x:v>
      </x:c>
      <x:c r="L284" s="60" t="n">
        <x:v>0</x:v>
      </x:c>
      <x:c r="M284" s="60" t="n">
        <x:v>8.2545398417</x:v>
      </x:c>
      <x:c r="N284" s="46" t="str">
        <x:v>hemiramphidae</x:v>
      </x:c>
      <x:c r="O284" s="62" t="n">
        <x:v>2.82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Hemiramphidae</x:v>
      </x:c>
      <x:c r="T284" s="62" t="n">
        <x:f>IF(O284="","",(1/'Metadata'!$B$5)^(O284-1))</x:f>
        <x:v>66.06934480075958</x:v>
      </x:c>
      <x:c r="U284" s="60" t="n">
        <x:f>IF(T284="","",I284*T284)</x:f>
        <x:v>545.3720389728846</x:v>
      </x:c>
    </x:row>
    <x:row r="285" ht="18" customHeight="1">
      <x:c r="A285" s="46" t="str">
        <x:v>LME_034</x:v>
      </x:c>
      <x:c r="B285" s="46" t="str">
        <x:v>Bay of Bengal</x:v>
      </x:c>
      <x:c r="C285" s="46" t="str">
        <x:v>LME</x:v>
      </x:c>
      <x:c r="D285" s="58" t="n">
        <x:v>2019</x:v>
      </x:c>
      <x:c r="E285" s="46" t="str">
        <x:v>Trochus</x:v>
      </x:c>
      <x:c r="F285" s="46" t="str">
        <x:v>Trochus</x:v>
      </x:c>
      <x:c r="G285" s="46" t="str">
        <x:v>Other demersal invertebrates</x:v>
      </x:c>
      <x:c r="H285" s="46" t="str">
        <x:v>Molluscs</x:v>
      </x:c>
      <x:c r="I285" s="60" t="n">
        <x:v>5.4716054232</x:v>
      </x:c>
      <x:c r="J285" s="60" t="n">
        <x:v>5.4716054232</x:v>
      </x:c>
      <x:c r="K285" s="60" t="n">
        <x:v>0</x:v>
      </x:c>
      <x:c r="L285" s="60" t="n">
        <x:v>0</x:v>
      </x:c>
      <x:c r="M285" s="60" t="n">
        <x:v>5.4716054232</x:v>
      </x:c>
      <x:c r="N285" s="46" t="str">
        <x:v>trochus</x:v>
      </x:c>
      <x:c r="O285" s="62" t="n">
        <x:v>2.1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Trochus</x:v>
      </x:c>
      <x:c r="T285" s="62" t="n">
        <x:f>IF(O285="","",(1/'Metadata'!$B$5)^(O285-1))</x:f>
        <x:v>12.589254117941675</x:v>
      </x:c>
      <x:c r="U285" s="60" t="n">
        <x:f>IF(T285="","",I285*T285)</x:f>
        <x:v>68.8834311057726</x:v>
      </x:c>
    </x:row>
    <x:row r="286" ht="18" customHeight="1">
      <x:c r="A286" s="46" t="str">
        <x:v>LME_034</x:v>
      </x:c>
      <x:c r="B286" s="46" t="str">
        <x:v>Bay of Bengal</x:v>
      </x:c>
      <x:c r="C286" s="46" t="str">
        <x:v>LME</x:v>
      </x:c>
      <x:c r="D286" s="58" t="n">
        <x:v>2019</x:v>
      </x:c>
      <x:c r="E286" s="46" t="str">
        <x:v>Labridae</x:v>
      </x:c>
      <x:c r="F286" s="46" t="str">
        <x:v>Wrasses, gropers, tuskfishes</x:v>
      </x:c>
      <x:c r="G286" s="46" t="str">
        <x:v>Medium reef assoc. fish (30 - 89 cm)</x:v>
      </x:c>
      <x:c r="H286" s="46" t="str">
        <x:v>Perch-likes</x:v>
      </x:c>
      <x:c r="I286" s="60" t="n">
        <x:v>4.5545661830999995</x:v>
      </x:c>
      <x:c r="J286" s="60" t="n">
        <x:v>4.5545661830999995</x:v>
      </x:c>
      <x:c r="K286" s="60" t="n">
        <x:v>0</x:v>
      </x:c>
      <x:c r="L286" s="60" t="n">
        <x:v>4.5545661830999995</x:v>
      </x:c>
      <x:c r="M286" s="60" t="n">
        <x:v>0</x:v>
      </x:c>
      <x:c r="N286" s="46" t="str">
        <x:v>labridae</x:v>
      </x:c>
      <x:c r="O286" s="62" t="n">
        <x:v>3.46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Labridae</x:v>
      </x:c>
      <x:c r="T286" s="62" t="n">
        <x:f>IF(O286="","",(1/'Metadata'!$B$5)^(O286-1))</x:f>
        <x:v>288.40315031266056</x:v>
      </x:c>
      <x:c r="U286" s="60" t="n">
        <x:f>IF(T286="","",I286*T286)</x:f>
        <x:v>1313.5512355135497</x:v>
      </x:c>
    </x:row>
    <x:row r="287" ht="18" customHeight="1">
      <x:c r="A287" s="46" t="str">
        <x:v>LME_034</x:v>
      </x:c>
      <x:c r="B287" s="46" t="str">
        <x:v>Bay of Bengal</x:v>
      </x:c>
      <x:c r="C287" s="46" t="str">
        <x:v>LME</x:v>
      </x:c>
      <x:c r="D287" s="58" t="n">
        <x:v>2019</x:v>
      </x:c>
      <x:c r="E287" s="46" t="str">
        <x:v>Bregmaceros mcclellandi</x:v>
      </x:c>
      <x:c r="F287" s="46" t="str">
        <x:v>Unicorn cod</x:v>
      </x:c>
      <x:c r="G287" s="46" t="str">
        <x:v>Small pelagics (&lt;30 cm)</x:v>
      </x:c>
      <x:c r="H287" s="46" t="str">
        <x:v>Cod-likes</x:v>
      </x:c>
      <x:c r="I287" s="60" t="n">
        <x:v>2.1549629116</x:v>
      </x:c>
      <x:c r="J287" s="60" t="n">
        <x:v>2.0247972412</x:v>
      </x:c>
      <x:c r="K287" s="60" t="n">
        <x:v>0.1301656704</x:v>
      </x:c>
      <x:c r="L287" s="60" t="n">
        <x:v>2.0247972412</x:v>
      </x:c>
      <x:c r="M287" s="60" t="n">
        <x:v>0.1301656704</x:v>
      </x:c>
      <x:c r="N287" s="46" t="str">
        <x:v>bregmaceros mcclellandi</x:v>
      </x:c>
      <x:c r="O287" s="62" t="n">
        <x:v>3.3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Bregmaceros mcclellandi</x:v>
      </x:c>
      <x:c r="T287" s="62" t="n">
        <x:f>IF(O287="","",(1/'Metadata'!$B$5)^(O287-1))</x:f>
        <x:v>199.52623149688787</x:v>
      </x:c>
      <x:c r="U287" s="60" t="n">
        <x:f>IF(T287="","",I287*T287)</x:f>
        <x:v>429.97162876710917</x:v>
      </x:c>
    </x:row>
    <x:row r="288" ht="18" customHeight="1">
      <x:c r="A288" s="46" t="str">
        <x:v>LME_034</x:v>
      </x:c>
      <x:c r="B288" s="46" t="str">
        <x:v>Bay of Bengal</x:v>
      </x:c>
      <x:c r="C288" s="46" t="str">
        <x:v>LME</x:v>
      </x:c>
      <x:c r="D288" s="58" t="n">
        <x:v>2019</x:v>
      </x:c>
      <x:c r="E288" s="46" t="str">
        <x:v>Pomadasys argenteus</x:v>
      </x:c>
      <x:c r="F288" s="46" t="str">
        <x:v>Silver grunt</x:v>
      </x:c>
      <x:c r="G288" s="46" t="str">
        <x:v>Medium demersals (30 - 89 cm)</x:v>
      </x:c>
      <x:c r="H288" s="46" t="str">
        <x:v>Perch-likes</x:v>
      </x:c>
      <x:c r="I288" s="60" t="n">
        <x:v>1.5752988601</x:v>
      </x:c>
      <x:c r="J288" s="60" t="n">
        <x:v>1.5752988601</x:v>
      </x:c>
      <x:c r="K288" s="60" t="n">
        <x:v>0</x:v>
      </x:c>
      <x:c r="L288" s="60" t="n">
        <x:v>1.5752988601</x:v>
      </x:c>
      <x:c r="M288" s="60" t="n">
        <x:v>0</x:v>
      </x:c>
      <x:c r="N288" s="46" t="str">
        <x:v>pomadasys argenteus</x:v>
      </x:c>
      <x:c r="O288" s="62" t="n">
        <x:v>3.47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Pomadasys argenteus</x:v>
      </x:c>
      <x:c r="T288" s="62" t="n">
        <x:f>IF(O288="","",(1/'Metadata'!$B$5)^(O288-1))</x:f>
        <x:v>295.1209226666387</x:v>
      </x:c>
      <x:c r="U288" s="60" t="n">
        <x:f>IF(T288="","",I288*T288)</x:f>
        <x:v>464.9036530684162</x:v>
      </x:c>
    </x:row>
    <x:row r="289" ht="18" customHeight="1">
      <x:c r="A289" s="46" t="str">
        <x:v>LME_034</x:v>
      </x:c>
      <x:c r="B289" s="46" t="str">
        <x:v>Bay of Bengal</x:v>
      </x:c>
      <x:c r="C289" s="46" t="str">
        <x:v>LME</x:v>
      </x:c>
      <x:c r="D289" s="58" t="n">
        <x:v>2019</x:v>
      </x:c>
      <x:c r="E289" s="46" t="str">
        <x:v>Mobula birostris</x:v>
      </x:c>
      <x:c r="F289" s="46" t="str">
        <x:v>Giant manta</x:v>
      </x:c>
      <x:c r="G289" s="46" t="str">
        <x:v>Large rays (&gt;=90 cm)</x:v>
      </x:c>
      <x:c r="H289" s="46" t="str">
        <x:v>Sharks &amp; rays</x:v>
      </x:c>
      <x:c r="I289" s="60" t="n">
        <x:v>0.0223424577</x:v>
      </x:c>
      <x:c r="J289" s="60" t="n">
        <x:v>0.0223424577</x:v>
      </x:c>
      <x:c r="K289" s="60" t="n">
        <x:v>0</x:v>
      </x:c>
      <x:c r="L289" s="60" t="n">
        <x:v>0.0223424577</x:v>
      </x:c>
      <x:c r="M289" s="60" t="n">
        <x:v>0</x:v>
      </x:c>
      <x:c r="N289" s="46" t="str">
        <x:v>mobula birostris</x:v>
      </x:c>
      <x:c r="O289" s="62" t="n">
        <x:v>3.46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Mobula birostris</x:v>
      </x:c>
      <x:c r="T289" s="62" t="n">
        <x:f>IF(O289="","",(1/'Metadata'!$B$5)^(O289-1))</x:f>
        <x:v>288.40315031266056</x:v>
      </x:c>
      <x:c r="U289" s="60" t="n">
        <x:f>IF(T289="","",I289*T289)</x:f>
        <x:v>6.44363518640736</x:v>
      </x:c>
    </x:row>
  </x:sheetData>
  <x:conditionalFormatting sqref="R2:R28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b36467a198648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7</x:v>
      </x:c>
      <x:c r="C2" s="64" t="n">
        <x:v>7</x:v>
      </x:c>
      <x:c r="D2" s="60" t="n">
        <x:v>258004.0042212866</x:v>
      </x:c>
      <x:c r="E2" s="60" t="n">
        <x:v>258004.0042212866</x:v>
      </x:c>
      <x:c r="F2" s="62" t="n">
        <x:v>0</x:v>
      </x:c>
      <x:c r="G2" s="66" t="n">
        <x:v>1</x:v>
      </x:c>
      <x:c r="H2" s="62" t="n">
        <x:f>IF(E2=0,"",I2/E2)</x:f>
        <x:v>212.02045281023896</x:v>
      </x:c>
      <x:c r="I2" s="60" t="n">
        <x:f>SUMIF('Species'!$H$2:$H$289,A2,'Species'!$U$2:$U$289)</x:f>
        <x:v>54702125.80185199</x:v>
      </x:c>
      <x:c r="J2" s="62" t="n">
        <x:v>3.3128601795390216</x:v>
      </x:c>
      <x:c r="K2" s="62" t="n">
        <x:f>IF(J2="","",(1/'Metadata'!$B$5)^(J2-1))</x:f>
        <x:v>205.52288116077634</x:v>
      </x:c>
      <x:c r="L2" s="60" t="n">
        <x:f>IF(E2=0,"",E2*K2)</x:f>
        <x:v>53025726.29857592</x:v>
      </x:c>
      <x:c r="M2" s="60" t="n">
        <x:f>I2-L2</x:f>
        <x:v>1676399.503276065</x:v>
      </x:c>
      <x:c r="N2" s="62" t="n">
        <x:f>IF(L2=0,"",I2/L2)</x:f>
        <x:v>1.031614833408158</x:v>
      </x:c>
      <x:c r="O2" s="66" t="n">
        <x:f>IF(L2=0,"",M2/L2)</x:f>
        <x:v>0.031614833408158086</x:v>
      </x:c>
    </x:row>
    <x:row r="3" ht="18" customHeight="1">
      <x:c r="A3" s="46" t="str">
        <x:v>Cod-likes</x:v>
      </x:c>
      <x:c r="B3" s="64" t="n">
        <x:v>1</x:v>
      </x:c>
      <x:c r="C3" s="64" t="n">
        <x:v>1</x:v>
      </x:c>
      <x:c r="D3" s="60" t="n">
        <x:v>2.1549629116</x:v>
      </x:c>
      <x:c r="E3" s="60" t="n">
        <x:v>2.1549629116</x:v>
      </x:c>
      <x:c r="F3" s="62" t="n">
        <x:v>0</x:v>
      </x:c>
      <x:c r="G3" s="66" t="n">
        <x:v>1</x:v>
      </x:c>
      <x:c r="H3" s="62" t="n">
        <x:f>IF(E3=0,"",I3/E3)</x:f>
        <x:v>199.52623149688787</x:v>
      </x:c>
      <x:c r="I3" s="60" t="n">
        <x:f>SUMIF('Species'!$H$2:$H$289,A3,'Species'!$U$2:$U$289)</x:f>
        <x:v>429.97162876710917</x:v>
      </x:c>
      <x:c r="J3" s="62" t="n">
        <x:v>3.3</x:v>
      </x:c>
      <x:c r="K3" s="62" t="n">
        <x:f>IF(J3="","",(1/'Metadata'!$B$5)^(J3-1))</x:f>
        <x:v>199.52623149688787</x:v>
      </x:c>
      <x:c r="L3" s="60" t="n">
        <x:f>IF(E3=0,"",E3*K3)</x:f>
        <x:v>429.97162876710917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Crustaceans</x:v>
      </x:c>
      <x:c r="B4" s="64" t="n">
        <x:v>35</x:v>
      </x:c>
      <x:c r="C4" s="64" t="n">
        <x:v>35</x:v>
      </x:c>
      <x:c r="D4" s="60" t="n">
        <x:v>547722.4458869903</x:v>
      </x:c>
      <x:c r="E4" s="60" t="n">
        <x:v>547722.4458869903</x:v>
      </x:c>
      <x:c r="F4" s="62" t="n">
        <x:v>0</x:v>
      </x:c>
      <x:c r="G4" s="66" t="n">
        <x:v>1</x:v>
      </x:c>
      <x:c r="H4" s="62" t="n">
        <x:f>IF(E4=0,"",I4/E4)</x:f>
        <x:v>154.09621541993883</x:v>
      </x:c>
      <x:c r="I4" s="60" t="n">
        <x:f>SUMIF('Species'!$H$2:$H$289,A4,'Species'!$U$2:$U$289)</x:f>
        <x:v>84401956.01173745</x:v>
      </x:c>
      <x:c r="J4" s="62" t="n">
        <x:v>3.0305021773551633</x:v>
      </x:c>
      <x:c r="K4" s="62" t="n">
        <x:f>IF(J4="","",(1/'Metadata'!$B$5)^(J4-1))</x:f>
        <x:v>107.27590261482797</x:v>
      </x:c>
      <x:c r="L4" s="60" t="n">
        <x:f>IF(E4=0,"",E4*K4)</x:f>
        <x:v>58757419.764928155</x:v>
      </x:c>
      <x:c r="M4" s="60" t="n">
        <x:f>I4-L4</x:f>
        <x:v>25644536.246809296</x:v>
      </x:c>
      <x:c r="N4" s="62" t="n">
        <x:f>IF(L4=0,"",I4/L4)</x:f>
        <x:v>1.4364476239665704</x:v>
      </x:c>
      <x:c r="O4" s="66" t="n">
        <x:f>IF(L4=0,"",M4/L4)</x:f>
        <x:v>0.43644762396657044</x:v>
      </x:c>
    </x:row>
    <x:row r="5" ht="18" customHeight="1">
      <x:c r="A5" s="46" t="str">
        <x:v>Flatfishes</x:v>
      </x:c>
      <x:c r="B5" s="64" t="n">
        <x:v>7</x:v>
      </x:c>
      <x:c r="C5" s="64" t="n">
        <x:v>7</x:v>
      </x:c>
      <x:c r="D5" s="60" t="n">
        <x:v>34269.309511656895</x:v>
      </x:c>
      <x:c r="E5" s="60" t="n">
        <x:v>34269.309511656895</x:v>
      </x:c>
      <x:c r="F5" s="62" t="n">
        <x:v>0</x:v>
      </x:c>
      <x:c r="G5" s="66" t="n">
        <x:v>1</x:v>
      </x:c>
      <x:c r="H5" s="62" t="n">
        <x:f>IF(E5=0,"",I5/E5)</x:f>
        <x:v>585.9153664048254</x:v>
      </x:c>
      <x:c r="I5" s="60" t="n">
        <x:f>SUMIF('Species'!$H$2:$H$289,A5,'Species'!$U$2:$U$289)</x:f>
        <x:v>20078915.038962815</x:v>
      </x:c>
      <x:c r="J5" s="62" t="n">
        <x:v>3.563407256877345</x:v>
      </x:c>
      <x:c r="K5" s="62" t="n">
        <x:f>IF(J5="","",(1/'Metadata'!$B$5)^(J5-1))</x:f>
        <x:v>365.937786590102</x:v>
      </x:c>
      <x:c r="L5" s="60" t="n">
        <x:f>IF(E5=0,"",E5*K5)</x:f>
        <x:v>12540435.270666854</x:v>
      </x:c>
      <x:c r="M5" s="60" t="n">
        <x:f>I5-L5</x:f>
        <x:v>7538479.7682959605</x:v>
      </x:c>
      <x:c r="N5" s="62" t="n">
        <x:f>IF(L5=0,"",I5/L5)</x:f>
        <x:v>1.6011338207637105</x:v>
      </x:c>
      <x:c r="O5" s="66" t="n">
        <x:f>IF(L5=0,"",M5/L5)</x:f>
        <x:v>0.6011338207637104</x:v>
      </x:c>
    </x:row>
    <x:row r="6" ht="18" customHeight="1">
      <x:c r="A6" s="46" t="str">
        <x:v>Herring-likes</x:v>
      </x:c>
      <x:c r="B6" s="64" t="n">
        <x:v>19</x:v>
      </x:c>
      <x:c r="C6" s="64" t="n">
        <x:v>19</x:v>
      </x:c>
      <x:c r="D6" s="60" t="n">
        <x:v>756166.3966125282</x:v>
      </x:c>
      <x:c r="E6" s="60" t="n">
        <x:v>756166.3966125282</x:v>
      </x:c>
      <x:c r="F6" s="62" t="n">
        <x:v>0</x:v>
      </x:c>
      <x:c r="G6" s="66" t="n">
        <x:v>1</x:v>
      </x:c>
      <x:c r="H6" s="62" t="n">
        <x:f>IF(E6=0,"",I6/E6)</x:f>
        <x:v>160.4972877970724</x:v>
      </x:c>
      <x:c r="I6" s="60" t="n">
        <x:f>SUMIF('Species'!$H$2:$H$289,A6,'Species'!$U$2:$U$289)</x:f>
        <x:v>121362655.77959615</x:v>
      </x:c>
      <x:c r="J6" s="62" t="n">
        <x:v>2.637161880334741</x:v>
      </x:c>
      <x:c r="K6" s="62" t="n">
        <x:f>IF(J6="","",(1/'Metadata'!$B$5)^(J6-1))</x:f>
        <x:v>43.367249675855895</x:v>
      </x:c>
      <x:c r="L6" s="60" t="n">
        <x:f>IF(E6=0,"",E6*K6)</x:f>
        <x:v>32792856.918387786</x:v>
      </x:c>
      <x:c r="M6" s="60" t="n">
        <x:f>I6-L6</x:f>
        <x:v>88569798.86120836</x:v>
      </x:c>
      <x:c r="N6" s="62" t="n">
        <x:f>IF(L6=0,"",I6/L6)</x:f>
        <x:v>3.700886936494546</x:v>
      </x:c>
      <x:c r="O6" s="66" t="n">
        <x:f>IF(L6=0,"",M6/L6)</x:f>
        <x:v>2.700886936494546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57095.1260846875</x:v>
      </x:c>
      <x:c r="E7" s="60" t="n">
        <x:v>57095.1260846875</x:v>
      </x:c>
      <x:c r="F7" s="62" t="n">
        <x:v>0</x:v>
      </x:c>
      <x:c r="G7" s="66" t="n">
        <x:v>1</x:v>
      </x:c>
      <x:c r="H7" s="62" t="n">
        <x:f>IF(E7=0,"",I7/E7)</x:f>
        <x:v>16.52440883190507</x:v>
      </x:c>
      <x:c r="I7" s="60" t="n">
        <x:f>SUMIF('Species'!$H$2:$H$289,A7,'Species'!$U$2:$U$289)</x:f>
        <x:v>943463.2057325436</x:v>
      </x:c>
      <x:c r="J7" s="62" t="n">
        <x:v>2.157431732703246</x:v>
      </x:c>
      <x:c r="K7" s="62" t="n">
        <x:f>IF(J7="","",(1/'Metadata'!$B$5)^(J7-1))</x:f>
        <x:v>14.36917164783576</x:v>
      </x:c>
      <x:c r="L7" s="60" t="n">
        <x:f>IF(E7=0,"",E7*K7)</x:f>
        <x:v>820409.6669656995</x:v>
      </x:c>
      <x:c r="M7" s="60" t="n">
        <x:f>I7-L7</x:f>
        <x:v>123053.53876684408</x:v>
      </x:c>
      <x:c r="N7" s="62" t="n">
        <x:f>IF(L7=0,"",I7/L7)</x:f>
        <x:v>1.1499903569176115</x:v>
      </x:c>
      <x:c r="O7" s="66" t="n">
        <x:f>IF(L7=0,"",M7/L7)</x:f>
        <x:v>0.14999035691761153</x:v>
      </x:c>
    </x:row>
    <x:row r="8" ht="18" customHeight="1">
      <x:c r="A8" s="46" t="str">
        <x:v>Other fishes &amp; inverts</x:v>
      </x:c>
      <x:c r="B8" s="64" t="n">
        <x:v>45</x:v>
      </x:c>
      <x:c r="C8" s="64" t="n">
        <x:v>45</x:v>
      </x:c>
      <x:c r="D8" s="60" t="n">
        <x:v>2316823.122490286</x:v>
      </x:c>
      <x:c r="E8" s="60" t="n">
        <x:v>2316823.122490286</x:v>
      </x:c>
      <x:c r="F8" s="62" t="n">
        <x:v>0</x:v>
      </x:c>
      <x:c r="G8" s="66" t="n">
        <x:v>1</x:v>
      </x:c>
      <x:c r="H8" s="62" t="n">
        <x:f>IF(E8=0,"",I8/E8)</x:f>
        <x:v>438.1332749418068</x:v>
      </x:c>
      <x:c r="I8" s="60" t="n">
        <x:f>SUMIF('Species'!$H$2:$H$289,A8,'Species'!$U$2:$U$289)</x:f>
        <x:v>1015077302.1175718</x:v>
      </x:c>
      <x:c r="J8" s="62" t="n">
        <x:v>3.450262169495891</x:v>
      </x:c>
      <x:c r="K8" s="62" t="n">
        <x:f>IF(J8="","",(1/'Metadata'!$B$5)^(J8-1))</x:f>
        <x:v>282.0084811281778</x:v>
      </x:c>
      <x:c r="L8" s="60" t="n">
        <x:f>IF(E8=0,"",E8*K8)</x:f>
        <x:v>653363769.8161277</x:v>
      </x:c>
      <x:c r="M8" s="60" t="n">
        <x:f>I8-L8</x:f>
        <x:v>361713532.3014442</x:v>
      </x:c>
      <x:c r="N8" s="62" t="n">
        <x:f>IF(L8=0,"",I8/L8)</x:f>
        <x:v>1.5536173706161256</x:v>
      </x:c>
      <x:c r="O8" s="66" t="n">
        <x:f>IF(L8=0,"",M8/L8)</x:f>
        <x:v>0.5536173706161257</x:v>
      </x:c>
    </x:row>
    <x:row r="9" ht="18" customHeight="1">
      <x:c r="A9" s="46" t="str">
        <x:v>Perch-likes</x:v>
      </x:c>
      <x:c r="B9" s="64" t="n">
        <x:v>108</x:v>
      </x:c>
      <x:c r="C9" s="64" t="n">
        <x:v>108</x:v>
      </x:c>
      <x:c r="D9" s="60" t="n">
        <x:v>2451760.3852236946</x:v>
      </x:c>
      <x:c r="E9" s="60" t="n">
        <x:v>2451760.3852236946</x:v>
      </x:c>
      <x:c r="F9" s="62" t="n">
        <x:v>0</x:v>
      </x:c>
      <x:c r="G9" s="66" t="n">
        <x:v>1</x:v>
      </x:c>
      <x:c r="H9" s="62" t="n">
        <x:f>IF(E9=0,"",I9/E9)</x:f>
        <x:v>687.0971878061081</x:v>
      </x:c>
      <x:c r="I9" s="60" t="n">
        <x:f>SUMIF('Species'!$H$2:$H$289,A9,'Species'!$U$2:$U$289)</x:f>
        <x:v>1684597665.8616207</x:v>
      </x:c>
      <x:c r="J9" s="62" t="n">
        <x:v>3.616569628417665</x:v>
      </x:c>
      <x:c r="K9" s="62" t="n">
        <x:f>IF(J9="","",(1/'Metadata'!$B$5)^(J9-1))</x:f>
        <x:v>413.5896179353574</x:v>
      </x:c>
      <x:c r="L9" s="60" t="n">
        <x:f>IF(E9=0,"",E9*K9)</x:f>
        <x:v>1014022640.9937125</x:v>
      </x:c>
      <x:c r="M9" s="60" t="n">
        <x:f>I9-L9</x:f>
        <x:v>670575024.8679081</x:v>
      </x:c>
      <x:c r="N9" s="62" t="n">
        <x:f>IF(L9=0,"",I9/L9)</x:f>
        <x:v>1.6613018267627282</x:v>
      </x:c>
      <x:c r="O9" s="66" t="n">
        <x:f>IF(L9=0,"",M9/L9)</x:f>
        <x:v>0.6613018267627281</x:v>
      </x:c>
    </x:row>
    <x:row r="10" ht="18" customHeight="1">
      <x:c r="A10" s="46" t="str">
        <x:v>Scorpionfishes</x:v>
      </x:c>
      <x:c r="B10" s="64" t="n">
        <x:v>3</x:v>
      </x:c>
      <x:c r="C10" s="64" t="n">
        <x:v>3</x:v>
      </x:c>
      <x:c r="D10" s="60" t="n">
        <x:v>17467.2757215736</x:v>
      </x:c>
      <x:c r="E10" s="60" t="n">
        <x:v>17467.2757215736</x:v>
      </x:c>
      <x:c r="F10" s="62" t="n">
        <x:v>0</x:v>
      </x:c>
      <x:c r="G10" s="66" t="n">
        <x:v>1</x:v>
      </x:c>
      <x:c r="H10" s="62" t="n">
        <x:f>IF(E10=0,"",I10/E10)</x:f>
        <x:v>785.124188543321</x:v>
      </x:c>
      <x:c r="I10" s="60" t="n">
        <x:f>SUMIF('Species'!$H$2:$H$289,A10,'Species'!$U$2:$U$289)</x:f>
        <x:v>13713980.676962923</x:v>
      </x:c>
      <x:c r="J10" s="62" t="n">
        <x:v>3.8923769708596736</x:v>
      </x:c>
      <x:c r="K10" s="62" t="n">
        <x:f>IF(J10="","",(1/'Metadata'!$B$5)^(J10-1))</x:f>
        <x:v>780.5073027553079</x:v>
      </x:c>
      <x:c r="L10" s="60" t="n">
        <x:f>IF(E10=0,"",E10*K10)</x:f>
        <x:v>13633336.259928685</x:v>
      </x:c>
      <x:c r="M10" s="60" t="n">
        <x:f>I10-L10</x:f>
        <x:v>80644.41703423858</x:v>
      </x:c>
      <x:c r="N10" s="62" t="n">
        <x:f>IF(L10=0,"",I10/L10)</x:f>
        <x:v>1.0059152371434767</x:v>
      </x:c>
      <x:c r="O10" s="66" t="n">
        <x:f>IF(L10=0,"",M10/L10)</x:f>
        <x:v>0.005915237143476752</x:v>
      </x:c>
    </x:row>
    <x:row r="11" ht="18" customHeight="1">
      <x:c r="A11" s="46" t="str">
        <x:v>Sharks &amp; rays</x:v>
      </x:c>
      <x:c r="B11" s="64" t="n">
        <x:v>29</x:v>
      </x:c>
      <x:c r="C11" s="64" t="n">
        <x:v>29</x:v>
      </x:c>
      <x:c r="D11" s="60" t="n">
        <x:v>107071.935155713</x:v>
      </x:c>
      <x:c r="E11" s="60" t="n">
        <x:v>107071.935155713</x:v>
      </x:c>
      <x:c r="F11" s="62" t="n">
        <x:v>0</x:v>
      </x:c>
      <x:c r="G11" s="66" t="n">
        <x:v>1</x:v>
      </x:c>
      <x:c r="H11" s="62" t="n">
        <x:f>IF(E11=0,"",I11/E11)</x:f>
        <x:v>1151.9303370539033</x:v>
      </x:c>
      <x:c r="I11" s="60" t="n">
        <x:f>SUMIF('Species'!$H$2:$H$289,A11,'Species'!$U$2:$U$289)</x:f>
        <x:v>123339410.35293415</x:v>
      </x:c>
      <x:c r="J11" s="62" t="n">
        <x:v>4.005815942263769</x:v>
      </x:c>
      <x:c r="K11" s="62" t="n">
        <x:f>IF(J11="","",(1/'Metadata'!$B$5)^(J11-1))</x:f>
        <x:v>1013.481772415416</x:v>
      </x:c>
      <x:c r="L11" s="60" t="n">
        <x:f>IF(E11=0,"",E11*K11)</x:f>
        <x:v>108515454.6175605</x:v>
      </x:c>
      <x:c r="M11" s="60" t="n">
        <x:f>I11-L11</x:f>
        <x:v>14823955.735373646</x:v>
      </x:c>
      <x:c r="N11" s="62" t="n">
        <x:f>IF(L11=0,"",I11/L11)</x:f>
        <x:v>1.1366068620144247</x:v>
      </x:c>
      <x:c r="O11" s="66" t="n">
        <x:f>IF(L11=0,"",M11/L11)</x:f>
        <x:v>0.13660686201442462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151343.629504538</x:v>
      </x:c>
      <x:c r="E12" s="60" t="n">
        <x:v>151343.629504538</x:v>
      </x:c>
      <x:c r="F12" s="62" t="n">
        <x:v>0</x:v>
      </x:c>
      <x:c r="G12" s="66" t="n">
        <x:v>1</x:v>
      </x:c>
      <x:c r="H12" s="62" t="n">
        <x:f>IF(E12=0,"",I12/E12)</x:f>
        <x:v>2690.8562330738</x:v>
      </x:c>
      <x:c r="I12" s="60" t="n">
        <x:f>SUMIF('Species'!$H$2:$H$289,A12,'Species'!$U$2:$U$289)</x:f>
        <x:v>407243948.78829795</x:v>
      </x:c>
      <x:c r="J12" s="62" t="n">
        <x:v>4.423139571559678</x:v>
      </x:c>
      <x:c r="K12" s="62" t="n">
        <x:f>IF(J12="","",(1/'Metadata'!$B$5)^(J12-1))</x:f>
        <x:v>2649.351438164902</x:v>
      </x:c>
      <x:c r="L12" s="60" t="n">
        <x:f>IF(E12=0,"",E12*K12)</x:f>
        <x:v>400962462.4849438</x:v>
      </x:c>
      <x:c r="M12" s="60" t="n">
        <x:f>I12-L12</x:f>
        <x:v>6281486.303354144</x:v>
      </x:c>
      <x:c r="N12" s="62" t="n">
        <x:f>IF(L12=0,"",I12/L12)</x:f>
        <x:v>1.0156660208649582</x:v>
      </x:c>
      <x:c r="O12" s="66" t="n">
        <x:f>IF(L12=0,"",M12/L12)</x:f>
        <x:v>0.015666020864958188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3d24520aa5e4c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173492.637198945</x:v>
      </x:c>
      <x:c r="E2" s="60" t="n">
        <x:v>173492.637198945</x:v>
      </x:c>
      <x:c r="F2" s="62" t="n">
        <x:v>0</x:v>
      </x:c>
      <x:c r="G2" s="66" t="n">
        <x:v>1</x:v>
      </x:c>
      <x:c r="H2" s="62" t="n">
        <x:f>IF(E2=0,"",I2/E2)</x:f>
        <x:v>686.1825138413996</x:v>
      </x:c>
      <x:c r="I2" s="60" t="n">
        <x:f>SUMIF('Species'!$G$2:$G$289,A2,'Species'!$U$2:$U$289)</x:f>
        <x:v>119047613.926146</x:v>
      </x:c>
      <x:c r="J2" s="62" t="n">
        <x:v>3.8012638533218093</x:v>
      </x:c>
      <x:c r="K2" s="62" t="n">
        <x:f>IF(J2="","",(1/'Metadata'!$B$5)^(J2-1))</x:f>
        <x:v>632.796186599486</x:v>
      </x:c>
      <x:c r="L2" s="60" t="n">
        <x:f>IF(E2=0,"",E2*K2)</x:f>
        <x:v>109785479.22258052</x:v>
      </x:c>
      <x:c r="M2" s="60" t="n">
        <x:f>I2-L2</x:f>
        <x:v>9262134.703565478</x:v>
      </x:c>
      <x:c r="N2" s="62" t="n">
        <x:f>IF(L2=0,"",I2/L2)</x:f>
        <x:v>1.0843657537331262</x:v>
      </x:c>
      <x:c r="O2" s="66" t="n">
        <x:f>IF(L2=0,"",M2/L2)</x:f>
        <x:v>0.08436575373312626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16065.474963262</x:v>
      </x:c>
      <x:c r="E3" s="60" t="n">
        <x:v>16065.474963262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SUMIF('Species'!$G$2:$G$289,A3,'Species'!$U$2:$U$289)</x:f>
        <x:v>4633333.590673936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4633333.590673936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7</x:v>
      </x:c>
      <x:c r="C4" s="64" t="n">
        <x:v>7</x:v>
      </x:c>
      <x:c r="D4" s="60" t="n">
        <x:v>76906.2841571084</x:v>
      </x:c>
      <x:c r="E4" s="60" t="n">
        <x:v>76906.2841571084</x:v>
      </x:c>
      <x:c r="F4" s="62" t="n">
        <x:v>0</x:v>
      </x:c>
      <x:c r="G4" s="66" t="n">
        <x:v>1</x:v>
      </x:c>
      <x:c r="H4" s="62" t="n">
        <x:f>IF(E4=0,"",I4/E4)</x:f>
        <x:v>2022.7588708677713</x:v>
      </x:c>
      <x:c r="I4" s="60" t="n">
        <x:f>SUMIF('Species'!$G$2:$G$289,A4,'Species'!$U$2:$U$289)</x:f>
        <x:v>155562868.50426856</x:v>
      </x:c>
      <x:c r="J4" s="62" t="n">
        <x:v>4.285303349573777</x:v>
      </x:c>
      <x:c r="K4" s="62" t="n">
        <x:f>IF(J4="","",(1/'Metadata'!$B$5)^(J4-1))</x:f>
        <x:v>1928.8717369261108</x:v>
      </x:c>
      <x:c r="L4" s="60" t="n">
        <x:f>IF(E4=0,"",E4*K4)</x:f>
        <x:v>148342357.9026547</x:v>
      </x:c>
      <x:c r="M4" s="60" t="n">
        <x:f>I4-L4</x:f>
        <x:v>7220510.601613849</x:v>
      </x:c>
      <x:c r="N4" s="62" t="n">
        <x:f>IF(L4=0,"",I4/L4)</x:f>
        <x:v>1.0486746382065202</x:v>
      </x:c>
      <x:c r="O4" s="66" t="n">
        <x:f>IF(L4=0,"",M4/L4)</x:f>
        <x:v>0.04867463820652019</x:v>
      </x:c>
    </x:row>
    <x:row r="5" ht="18" customHeight="1">
      <x:c r="A5" s="46" t="str">
        <x:v>Large demersals (&gt;=90 cm)</x:v>
      </x:c>
      <x:c r="B5" s="64" t="n">
        <x:v>9</x:v>
      </x:c>
      <x:c r="C5" s="64" t="n">
        <x:v>9</x:v>
      </x:c>
      <x:c r="D5" s="60" t="n">
        <x:v>94735.2158430549</x:v>
      </x:c>
      <x:c r="E5" s="60" t="n">
        <x:v>94735.2158430549</x:v>
      </x:c>
      <x:c r="F5" s="62" t="n">
        <x:v>0</x:v>
      </x:c>
      <x:c r="G5" s="66" t="n">
        <x:v>1</x:v>
      </x:c>
      <x:c r="H5" s="62" t="n">
        <x:f>IF(E5=0,"",I5/E5)</x:f>
        <x:v>884.3451456165695</x:v>
      </x:c>
      <x:c r="I5" s="60" t="n">
        <x:f>SUMIF('Species'!$G$2:$G$289,A5,'Species'!$U$2:$U$289)</x:f>
        <x:v>83778628.24974354</x:v>
      </x:c>
      <x:c r="J5" s="62" t="n">
        <x:v>3.9010211048145775</x:v>
      </x:c>
      <x:c r="K5" s="62" t="n">
        <x:f>IF(J5="","",(1/'Metadata'!$B$5)^(J5-1))</x:f>
        <x:v>796.1980412237709</x:v>
      </x:c>
      <x:c r="L5" s="60" t="n">
        <x:f>IF(E5=0,"",E5*K5)</x:f>
        <x:v>75427993.28915146</x:v>
      </x:c>
      <x:c r="M5" s="60" t="n">
        <x:f>I5-L5</x:f>
        <x:v>8350634.960592076</x:v>
      </x:c>
      <x:c r="N5" s="62" t="n">
        <x:f>IF(L5=0,"",I5/L5)</x:f>
        <x:v>1.110710024176039</x:v>
      </x:c>
      <x:c r="O5" s="66" t="n">
        <x:f>IF(L5=0,"",M5/L5)</x:f>
        <x:v>0.11071002417603915</x:v>
      </x:c>
    </x:row>
    <x:row r="6" ht="18" customHeight="1">
      <x:c r="A6" s="46" t="str">
        <x:v>Large pelagics (&gt;=90 cm)</x:v>
      </x:c>
      <x:c r="B6" s="64" t="n">
        <x:v>30</x:v>
      </x:c>
      <x:c r="C6" s="64" t="n">
        <x:v>30</x:v>
      </x:c>
      <x:c r="D6" s="60" t="n">
        <x:v>273436.4881957612</x:v>
      </x:c>
      <x:c r="E6" s="60" t="n">
        <x:v>273436.4881957612</x:v>
      </x:c>
      <x:c r="F6" s="62" t="n">
        <x:v>0</x:v>
      </x:c>
      <x:c r="G6" s="66" t="n">
        <x:v>1</x:v>
      </x:c>
      <x:c r="H6" s="62" t="n">
        <x:f>IF(E6=0,"",I6/E6)</x:f>
        <x:v>2639.5821072064928</x:v>
      </x:c>
      <x:c r="I6" s="60" t="n">
        <x:f>SUMIF('Species'!$G$2:$G$289,A6,'Species'!$U$2:$U$289)</x:f>
        <x:v>721758061.6989107</x:v>
      </x:c>
      <x:c r="J6" s="62" t="n">
        <x:v>4.415090113666444</x:v>
      </x:c>
      <x:c r="K6" s="62" t="n">
        <x:f>IF(J6="","",(1/'Metadata'!$B$5)^(J6-1))</x:f>
        <x:v>2600.6991376522133</x:v>
      </x:c>
      <x:c r="L6" s="60" t="n">
        <x:f>IF(E6=0,"",E6*K6)</x:f>
        <x:v>711126039.0533658</x:v>
      </x:c>
      <x:c r="M6" s="60" t="n">
        <x:f>I6-L6</x:f>
        <x:v>10632022.645544887</x:v>
      </x:c>
      <x:c r="N6" s="62" t="n">
        <x:f>IF(L6=0,"",I6/L6)</x:f>
        <x:v>1.0149509679883162</x:v>
      </x:c>
      <x:c r="O6" s="66" t="n">
        <x:f>IF(L6=0,"",M6/L6)</x:f>
        <x:v>0.014950967988316084</x:v>
      </x:c>
    </x:row>
    <x:row r="7" ht="18" customHeight="1">
      <x:c r="A7" s="46" t="str">
        <x:v>Large rays (&gt;=90 cm)</x:v>
      </x:c>
      <x:c r="B7" s="64" t="n">
        <x:v>5</x:v>
      </x:c>
      <x:c r="C7" s="64" t="n">
        <x:v>5</x:v>
      </x:c>
      <x:c r="D7" s="60" t="n">
        <x:v>27996.671042523794</x:v>
      </x:c>
      <x:c r="E7" s="60" t="n">
        <x:v>27996.671042523794</x:v>
      </x:c>
      <x:c r="F7" s="62" t="n">
        <x:v>0</x:v>
      </x:c>
      <x:c r="G7" s="66" t="n">
        <x:v>1</x:v>
      </x:c>
      <x:c r="H7" s="62" t="n">
        <x:f>IF(E7=0,"",I7/E7)</x:f>
        <x:v>533.1967608453174</x:v>
      </x:c>
      <x:c r="I7" s="60" t="n">
        <x:f>SUMIF('Species'!$G$2:$G$289,A7,'Species'!$U$2:$U$289)</x:f>
        <x:v>14927734.314325582</x:v>
      </x:c>
      <x:c r="J7" s="62" t="n">
        <x:v>3.708724151572605</x:v>
      </x:c>
      <x:c r="K7" s="62" t="n">
        <x:f>IF(J7="","",(1/'Metadata'!$B$5)^(J7-1))</x:f>
        <x:v>511.3569366079783</x:v>
      </x:c>
      <x:c r="L7" s="60" t="n">
        <x:f>IF(E7=0,"",E7*K7)</x:f>
        <x:v>14316291.939526262</x:v>
      </x:c>
      <x:c r="M7" s="60" t="n">
        <x:f>I7-L7</x:f>
        <x:v>611442.3747993205</x:v>
      </x:c>
      <x:c r="N7" s="62" t="n">
        <x:f>IF(L7=0,"",I7/L7)</x:f>
        <x:v>1.0427095491892822</x:v>
      </x:c>
      <x:c r="O7" s="66" t="n">
        <x:f>IF(L7=0,"",M7/L7)</x:f>
        <x:v>0.04270954918928215</x:v>
      </x:c>
    </x:row>
    <x:row r="8" ht="18" customHeight="1">
      <x:c r="A8" s="46" t="str">
        <x:v>Large reef assoc. fish (&gt;=90 cm)</x:v>
      </x:c>
      <x:c r="B8" s="64" t="n">
        <x:v>9</x:v>
      </x:c>
      <x:c r="C8" s="64" t="n">
        <x:v>9</x:v>
      </x:c>
      <x:c r="D8" s="60" t="n">
        <x:v>10555.5395075628</x:v>
      </x:c>
      <x:c r="E8" s="60" t="n">
        <x:v>10555.5395075628</x:v>
      </x:c>
      <x:c r="F8" s="62" t="n">
        <x:v>0</x:v>
      </x:c>
      <x:c r="G8" s="66" t="n">
        <x:v>1</x:v>
      </x:c>
      <x:c r="H8" s="62" t="n">
        <x:f>IF(E8=0,"",I8/E8)</x:f>
        <x:v>1371.081277086756</x:v>
      </x:c>
      <x:c r="I8" s="60" t="n">
        <x:f>SUMIF('Species'!$G$2:$G$289,A8,'Species'!$U$2:$U$289)</x:f>
        <x:v>14472502.588368911</x:v>
      </x:c>
      <x:c r="J8" s="62" t="n">
        <x:v>3.932636089170938</x:v>
      </x:c>
      <x:c r="K8" s="62" t="n">
        <x:f>IF(J8="","",(1/'Metadata'!$B$5)^(J8-1))</x:f>
        <x:v>856.3200034609072</x:v>
      </x:c>
      <x:c r="L8" s="60" t="n">
        <x:f>IF(E8=0,"",E8*K8)</x:f>
        <x:v>9038919.62764792</x:v>
      </x:c>
      <x:c r="M8" s="60" t="n">
        <x:f>I8-L8</x:f>
        <x:v>5433582.960720992</x:v>
      </x:c>
      <x:c r="N8" s="62" t="n">
        <x:f>IF(L8=0,"",I8/L8)</x:f>
        <x:v>1.6011319034302447</x:v>
      </x:c>
      <x:c r="O8" s="66" t="n">
        <x:f>IF(L8=0,"",M8/L8)</x:f>
        <x:v>0.6011319034302446</x:v>
      </x:c>
    </x:row>
    <x:row r="9" ht="18" customHeight="1">
      <x:c r="A9" s="46" t="str">
        <x:v>Large sharks (&gt;=90 cm)</x:v>
      </x:c>
      <x:c r="B9" s="64" t="n">
        <x:v>24</x:v>
      </x:c>
      <x:c r="C9" s="64" t="n">
        <x:v>24</x:v>
      </x:c>
      <x:c r="D9" s="60" t="n">
        <x:v>79075.26411318919</x:v>
      </x:c>
      <x:c r="E9" s="60" t="n">
        <x:v>79075.26411318919</x:v>
      </x:c>
      <x:c r="F9" s="62" t="n">
        <x:v>0</x:v>
      </x:c>
      <x:c r="G9" s="66" t="n">
        <x:v>1</x:v>
      </x:c>
      <x:c r="H9" s="62" t="n">
        <x:f>IF(E9=0,"",I9/E9)</x:f>
        <x:v>1370.9935370361447</x:v>
      </x:c>
      <x:c r="I9" s="60" t="n">
        <x:f>SUMIF('Species'!$G$2:$G$289,A9,'Species'!$U$2:$U$289)</x:f>
        <x:v>108411676.03860857</x:v>
      </x:c>
      <x:c r="J9" s="62" t="n">
        <x:v>4.111001567967264</x:v>
      </x:c>
      <x:c r="K9" s="62" t="n">
        <x:f>IF(J9="","",(1/'Metadata'!$B$5)^(J9-1))</x:f>
        <x:v>1291.2239354116714</x:v>
      </x:c>
      <x:c r="L9" s="60" t="n">
        <x:f>IF(E9=0,"",E9*K9)</x:f>
        <x:v>102103873.72194946</x:v>
      </x:c>
      <x:c r="M9" s="60" t="n">
        <x:f>I9-L9</x:f>
        <x:v>6307802.316659108</x:v>
      </x:c>
      <x:c r="N9" s="62" t="n">
        <x:f>IF(L9=0,"",I9/L9)</x:f>
        <x:v>1.06177828604071</x:v>
      </x:c>
      <x:c r="O9" s="66" t="n">
        <x:f>IF(L9=0,"",M9/L9)</x:f>
        <x:v>0.06177828604070981</x:v>
      </x:c>
    </x:row>
    <x:row r="10" ht="18" customHeight="1">
      <x:c r="A10" s="46" t="str">
        <x:v>Lobsters, crabs</x:v>
      </x:c>
      <x:c r="B10" s="64" t="n">
        <x:v>12</x:v>
      </x:c>
      <x:c r="C10" s="64" t="n">
        <x:v>12</x:v>
      </x:c>
      <x:c r="D10" s="60" t="n">
        <x:v>118676.18038778543</x:v>
      </x:c>
      <x:c r="E10" s="60" t="n">
        <x:v>118676.18038778543</x:v>
      </x:c>
      <x:c r="F10" s="62" t="n">
        <x:v>0</x:v>
      </x:c>
      <x:c r="G10" s="66" t="n">
        <x:v>1</x:v>
      </x:c>
      <x:c r="H10" s="62" t="n">
        <x:f>IF(E10=0,"",I10/E10)</x:f>
        <x:v>249.1361273013567</x:v>
      </x:c>
      <x:c r="I10" s="60" t="n">
        <x:f>SUMIF('Species'!$G$2:$G$289,A10,'Species'!$U$2:$U$289)</x:f>
        <x:v>29566523.984730083</x:v>
      </x:c>
      <x:c r="J10" s="62" t="n">
        <x:v>3.3072490047309446</x:v>
      </x:c>
      <x:c r="K10" s="62" t="n">
        <x:f>IF(J10="","",(1/'Metadata'!$B$5)^(J10-1))</x:f>
        <x:v>202.8845634047794</x:v>
      </x:c>
      <x:c r="L10" s="60" t="n">
        <x:f>IF(E10=0,"",E10*K10)</x:f>
        <x:v>24077565.04452269</x:v>
      </x:c>
      <x:c r="M10" s="60" t="n">
        <x:f>I10-L10</x:f>
        <x:v>5488958.940207392</x:v>
      </x:c>
      <x:c r="N10" s="62" t="n">
        <x:f>IF(L10=0,"",I10/L10)</x:f>
        <x:v>1.2279698520202338</x:v>
      </x:c>
      <x:c r="O10" s="66" t="n">
        <x:f>IF(L10=0,"",M10/L10)</x:f>
        <x:v>0.2279698520202338</x:v>
      </x:c>
    </x:row>
    <x:row r="11" ht="18" customHeight="1">
      <x:c r="A11" s="46" t="str">
        <x:v>Medium benthopelagics (30 - 89 cm)</x:v>
      </x:c>
      <x:c r="B11" s="64" t="n">
        <x:v>8</x:v>
      </x:c>
      <x:c r="C11" s="64" t="n">
        <x:v>8</x:v>
      </x:c>
      <x:c r="D11" s="60" t="n">
        <x:v>310141.1106810052</x:v>
      </x:c>
      <x:c r="E11" s="60" t="n">
        <x:v>310141.1106810052</x:v>
      </x:c>
      <x:c r="F11" s="62" t="n">
        <x:v>0</x:v>
      </x:c>
      <x:c r="G11" s="66" t="n">
        <x:v>1</x:v>
      </x:c>
      <x:c r="H11" s="62" t="n">
        <x:f>IF(E11=0,"",I11/E11)</x:f>
        <x:v>858.0005659122926</x:v>
      </x:c>
      <x:c r="I11" s="60" t="n">
        <x:f>SUMIF('Species'!$G$2:$G$289,A11,'Species'!$U$2:$U$289)</x:f>
        <x:v>266101248.47696942</x:v>
      </x:c>
      <x:c r="J11" s="62" t="n">
        <x:v>3.726417396149567</x:v>
      </x:c>
      <x:c r="K11" s="62" t="n">
        <x:f>IF(J11="","",(1/'Metadata'!$B$5)^(J11-1))</x:f>
        <x:v>532.619909105929</x:v>
      </x:c>
      <x:c r="L11" s="60" t="n">
        <x:f>IF(E11=0,"",E11*K11)</x:f>
        <x:v>165187330.18092883</x:v>
      </x:c>
      <x:c r="M11" s="60" t="n">
        <x:f>I11-L11</x:f>
        <x:v>100913918.2960406</x:v>
      </x:c>
      <x:c r="N11" s="62" t="n">
        <x:f>IF(L11=0,"",I11/L11)</x:f>
        <x:v>1.6109059222974915</x:v>
      </x:c>
      <x:c r="O11" s="66" t="n">
        <x:f>IF(L11=0,"",M11/L11)</x:f>
        <x:v>0.6109059222974916</x:v>
      </x:c>
    </x:row>
    <x:row r="12" ht="18" customHeight="1">
      <x:c r="A12" s="46" t="str">
        <x:v>Medium demersals (30 - 89 cm)</x:v>
      </x:c>
      <x:c r="B12" s="64" t="n">
        <x:v>24</x:v>
      </x:c>
      <x:c r="C12" s="64" t="n">
        <x:v>24</x:v>
      </x:c>
      <x:c r="D12" s="60" t="n">
        <x:v>1867644.0660899305</x:v>
      </x:c>
      <x:c r="E12" s="60" t="n">
        <x:v>1867644.0660899305</x:v>
      </x:c>
      <x:c r="F12" s="62" t="n">
        <x:v>0</x:v>
      </x:c>
      <x:c r="G12" s="66" t="n">
        <x:v>1</x:v>
      </x:c>
      <x:c r="H12" s="62" t="n">
        <x:f>IF(E12=0,"",I12/E12)</x:f>
        <x:v>374.94720886268874</x:v>
      </x:c>
      <x:c r="I12" s="60" t="n">
        <x:f>SUMIF('Species'!$G$2:$G$289,A12,'Species'!$U$2:$U$289)</x:f>
        <x:v>700267929.7293824</x:v>
      </x:c>
      <x:c r="J12" s="62" t="n">
        <x:v>3.4201347091227987</x:v>
      </x:c>
      <x:c r="K12" s="62" t="n">
        <x:f>IF(J12="","",(1/'Metadata'!$B$5)^(J12-1))</x:f>
        <x:v>263.10839729079953</x:v>
      </x:c>
      <x:c r="L12" s="60" t="n">
        <x:f>IF(E12=0,"",E12*K12)</x:f>
        <x:v>491392836.9385937</x:v>
      </x:c>
      <x:c r="M12" s="60" t="n">
        <x:f>I12-L12</x:f>
        <x:v>208875092.7907887</x:v>
      </x:c>
      <x:c r="N12" s="62" t="n">
        <x:f>IF(L12=0,"",I12/L12)</x:f>
        <x:v>1.4250674350324128</x:v>
      </x:c>
      <x:c r="O12" s="66" t="n">
        <x:f>IF(L12=0,"",M12/L12)</x:f>
        <x:v>0.42506743503241284</x:v>
      </x:c>
    </x:row>
    <x:row r="13" ht="18" customHeight="1">
      <x:c r="A13" s="46" t="str">
        <x:v>Medium pelagics (30 - 89 cm)</x:v>
      </x:c>
      <x:c r="B13" s="64" t="n">
        <x:v>22</x:v>
      </x:c>
      <x:c r="C13" s="64" t="n">
        <x:v>22</x:v>
      </x:c>
      <x:c r="D13" s="60" t="n">
        <x:v>1506588.8140352736</x:v>
      </x:c>
      <x:c r="E13" s="60" t="n">
        <x:v>1506588.8140352736</x:v>
      </x:c>
      <x:c r="F13" s="62" t="n">
        <x:v>0</x:v>
      </x:c>
      <x:c r="G13" s="66" t="n">
        <x:v>1</x:v>
      </x:c>
      <x:c r="H13" s="62" t="n">
        <x:f>IF(E13=0,"",I13/E13)</x:f>
        <x:v>515.0532779045828</x:v>
      </x:c>
      <x:c r="I13" s="60" t="n">
        <x:f>SUMIF('Species'!$G$2:$G$289,A13,'Species'!$U$2:$U$289)</x:f>
        <x:v>775973507.1232456</x:v>
      </x:c>
      <x:c r="J13" s="62" t="n">
        <x:v>3.253139216236992</x:v>
      </x:c>
      <x:c r="K13" s="62" t="n">
        <x:f>IF(J13="","",(1/'Metadata'!$B$5)^(J13-1))</x:f>
        <x:v>179.11799376998866</x:v>
      </x:c>
      <x:c r="L13" s="60" t="n">
        <x:f>IF(E13=0,"",E13*K13)</x:f>
        <x:v>269857165.80630475</x:v>
      </x:c>
      <x:c r="M13" s="60" t="n">
        <x:f>I13-L13</x:f>
        <x:v>506116341.31694084</x:v>
      </x:c>
      <x:c r="N13" s="62" t="n">
        <x:f>IF(L13=0,"",I13/L13)</x:f>
        <x:v>2.8754971349555185</x:v>
      </x:c>
      <x:c r="O13" s="66" t="n">
        <x:f>IF(L13=0,"",M13/L13)</x:f>
        <x:v>1.8754971349555183</x:v>
      </x:c>
    </x:row>
    <x:row r="14" ht="18" customHeight="1">
      <x:c r="A14" s="46" t="str">
        <x:v>Medium reef assoc. fish (30 - 89 cm)</x:v>
      </x:c>
      <x:c r="B14" s="64" t="n">
        <x:v>29</x:v>
      </x:c>
      <x:c r="C14" s="64" t="n">
        <x:v>29</x:v>
      </x:c>
      <x:c r="D14" s="60" t="n">
        <x:v>213756.97513546518</x:v>
      </x:c>
      <x:c r="E14" s="60" t="n">
        <x:v>213756.97513546518</x:v>
      </x:c>
      <x:c r="F14" s="62" t="n">
        <x:v>0</x:v>
      </x:c>
      <x:c r="G14" s="66" t="n">
        <x:v>1</x:v>
      </x:c>
      <x:c r="H14" s="62" t="n">
        <x:f>IF(E14=0,"",I14/E14)</x:f>
        <x:v>641.7133877329047</x:v>
      </x:c>
      <x:c r="I14" s="60" t="n">
        <x:f>SUMIF('Species'!$G$2:$G$289,A14,'Species'!$U$2:$U$289)</x:f>
        <x:v>137170712.66571763</x:v>
      </x:c>
      <x:c r="J14" s="62" t="n">
        <x:v>3.5714760000547665</x:v>
      </x:c>
      <x:c r="K14" s="62" t="n">
        <x:f>IF(J14="","",(1/'Metadata'!$B$5)^(J14-1))</x:f>
        <x:v>372.800082726799</x:v>
      </x:c>
      <x:c r="L14" s="60" t="n">
        <x:f>IF(E14=0,"",E14*K14)</x:f>
        <x:v>79688618.01393174</x:v>
      </x:c>
      <x:c r="M14" s="60" t="n">
        <x:f>I14-L14</x:f>
        <x:v>57482094.651785895</x:v>
      </x:c>
      <x:c r="N14" s="62" t="n">
        <x:f>IF(L14=0,"",I14/L14)</x:f>
        <x:v>1.7213338125870932</x:v>
      </x:c>
      <x:c r="O14" s="66" t="n">
        <x:f>IF(L14=0,"",M14/L14)</x:f>
        <x:v>0.7213338125870932</x:v>
      </x:c>
    </x:row>
    <x:row r="15" ht="18" customHeight="1">
      <x:c r="A15" s="46" t="str">
        <x:v>Other demersal invertebrates</x:v>
      </x:c>
      <x:c r="B15" s="64" t="n">
        <x:v>22</x:v>
      </x:c>
      <x:c r="C15" s="64" t="n">
        <x:v>22</x:v>
      </x:c>
      <x:c r="D15" s="60" t="n">
        <x:v>67418.85657002708</x:v>
      </x:c>
      <x:c r="E15" s="60" t="n">
        <x:v>67418.85657002708</x:v>
      </x:c>
      <x:c r="F15" s="62" t="n">
        <x:v>0</x:v>
      </x:c>
      <x:c r="G15" s="66" t="n">
        <x:v>1</x:v>
      </x:c>
      <x:c r="H15" s="62" t="n">
        <x:f>IF(E15=0,"",I15/E15)</x:f>
        <x:v>17.391342167023154</x:v>
      </x:c>
      <x:c r="I15" s="60" t="n">
        <x:f>SUMIF('Species'!$G$2:$G$289,A15,'Species'!$U$2:$U$289)</x:f>
        <x:v>1172504.403118798</x:v>
      </x:c>
      <x:c r="J15" s="62" t="n">
        <x:v>2.181001697604777</x:v>
      </x:c>
      <x:c r="K15" s="62" t="n">
        <x:f>IF(J15="","",(1/'Metadata'!$B$5)^(J15-1))</x:f>
        <x:v>15.170562974379367</x:v>
      </x:c>
      <x:c r="L15" s="60" t="n">
        <x:f>IF(E15=0,"",E15*K15)</x:f>
        <x:v>1022782.009256246</x:v>
      </x:c>
      <x:c r="M15" s="60" t="n">
        <x:f>I15-L15</x:f>
        <x:v>149722.393862552</x:v>
      </x:c>
      <x:c r="N15" s="62" t="n">
        <x:f>IF(L15=0,"",I15/L15)</x:f>
        <x:v>1.1463873948774561</x:v>
      </x:c>
      <x:c r="O15" s="66" t="n">
        <x:f>IF(L15=0,"",M15/L15)</x:f>
        <x:v>0.14638739487745606</x:v>
      </x:c>
    </x:row>
    <x:row r="16" ht="18" customHeight="1">
      <x:c r="A16" s="46" t="str">
        <x:v>Shrimps</x:v>
      </x:c>
      <x:c r="B16" s="64" t="n">
        <x:v>23</x:v>
      </x:c>
      <x:c r="C16" s="64" t="n">
        <x:v>23</x:v>
      </x:c>
      <x:c r="D16" s="60" t="n">
        <x:v>429046.2654992048</x:v>
      </x:c>
      <x:c r="E16" s="60" t="n">
        <x:v>429046.2654992048</x:v>
      </x:c>
      <x:c r="F16" s="62" t="n">
        <x:v>0</x:v>
      </x:c>
      <x:c r="G16" s="66" t="n">
        <x:v>1</x:v>
      </x:c>
      <x:c r="H16" s="62" t="n">
        <x:f>IF(E16=0,"",I16/E16)</x:f>
        <x:v>127.80773645286277</x:v>
      </x:c>
      <x:c r="I16" s="60" t="n">
        <x:f>SUMIF('Species'!$G$2:$G$289,A16,'Species'!$U$2:$U$289)</x:f>
        <x:v>54835432.02700736</x:v>
      </x:c>
      <x:c r="J16" s="62" t="n">
        <x:v>2.9539527255864098</x:v>
      </x:c>
      <x:c r="K16" s="62" t="n">
        <x:f>IF(J16="","",(1/'Metadata'!$B$5)^(J16-1))</x:f>
        <x:v>89.93996735248665</x:v>
      </x:c>
      <x:c r="L16" s="60" t="n">
        <x:f>IF(E16=0,"",E16*K16)</x:f>
        <x:v>38588407.1117048</x:v>
      </x:c>
      <x:c r="M16" s="60" t="n">
        <x:f>I16-L16</x:f>
        <x:v>16247024.91530256</x:v>
      </x:c>
      <x:c r="N16" s="62" t="n">
        <x:f>IF(L16=0,"",I16/L16)</x:f>
        <x:v>1.421033831955568</x:v>
      </x:c>
      <x:c r="O16" s="66" t="n">
        <x:f>IF(L16=0,"",M16/L16)</x:f>
        <x:v>0.4210338319555679</x:v>
      </x:c>
    </x:row>
    <x:row r="17" ht="18" customHeight="1">
      <x:c r="A17" s="46" t="str">
        <x:v>Small benthopelagics (&lt;30 cm)</x:v>
      </x:c>
      <x:c r="B17" s="64" t="n">
        <x:v>5</x:v>
      </x:c>
      <x:c r="C17" s="64" t="n">
        <x:v>5</x:v>
      </x:c>
      <x:c r="D17" s="60" t="n">
        <x:v>210420.8783944666</x:v>
      </x:c>
      <x:c r="E17" s="60" t="n">
        <x:v>210420.8783944666</x:v>
      </x:c>
      <x:c r="F17" s="62" t="n">
        <x:v>0</x:v>
      </x:c>
      <x:c r="G17" s="66" t="n">
        <x:v>1</x:v>
      </x:c>
      <x:c r="H17" s="62" t="n">
        <x:f>IF(E17=0,"",I17/E17)</x:f>
        <x:v>178.61597788223895</x:v>
      </x:c>
      <x:c r="I17" s="60" t="n">
        <x:f>SUMIF('Species'!$G$2:$G$289,A17,'Species'!$U$2:$U$289)</x:f>
        <x:v>37584530.96126734</x:v>
      </x:c>
      <x:c r="J17" s="62" t="n">
        <x:v>3.2463280634937495</x:v>
      </x:c>
      <x:c r="K17" s="62" t="n">
        <x:f>IF(J17="","",(1/'Metadata'!$B$5)^(J17-1))</x:f>
        <x:v>176.33075355757347</x:v>
      </x:c>
      <x:c r="L17" s="60" t="n">
        <x:f>IF(E17=0,"",E17*K17)</x:f>
        <x:v>37103672.051542826</x:v>
      </x:c>
      <x:c r="M17" s="60" t="n">
        <x:f>I17-L17</x:f>
        <x:v>480858.9097245112</x:v>
      </x:c>
      <x:c r="N17" s="62" t="n">
        <x:f>IF(L17=0,"",I17/L17)</x:f>
        <x:v>1.0129598738652208</x:v>
      </x:c>
      <x:c r="O17" s="66" t="n">
        <x:f>IF(L17=0,"",M17/L17)</x:f>
        <x:v>0.012959873865220744</x:v>
      </x:c>
    </x:row>
    <x:row r="18" ht="18" customHeight="1">
      <x:c r="A18" s="46" t="str">
        <x:v>Small demersals (&lt;30 cm)</x:v>
      </x:c>
      <x:c r="B18" s="64" t="n">
        <x:v>6</x:v>
      </x:c>
      <x:c r="C18" s="64" t="n">
        <x:v>6</x:v>
      </x:c>
      <x:c r="D18" s="60" t="n">
        <x:v>187653.63006632426</x:v>
      </x:c>
      <x:c r="E18" s="60" t="n">
        <x:v>187653.63006632426</x:v>
      </x:c>
      <x:c r="F18" s="62" t="n">
        <x:v>0</x:v>
      </x:c>
      <x:c r="G18" s="66" t="n">
        <x:v>1</x:v>
      </x:c>
      <x:c r="H18" s="62" t="n">
        <x:f>IF(E18=0,"",I18/E18)</x:f>
        <x:v>395.8657307144428</x:v>
      </x:c>
      <x:c r="I18" s="60" t="n">
        <x:f>SUMIF('Species'!$G$2:$G$289,A18,'Species'!$U$2:$U$289)</x:f>
        <x:v>74285641.38742319</x:v>
      </x:c>
      <x:c r="J18" s="62" t="n">
        <x:v>3.582945819577143</x:v>
      </x:c>
      <x:c r="K18" s="62" t="n">
        <x:f>IF(J18="","",(1/'Metadata'!$B$5)^(J18-1))</x:f>
        <x:v>382.7769869819367</x:v>
      </x:c>
      <x:c r="L18" s="60" t="n">
        <x:f>IF(E18=0,"",E18*K18)</x:f>
        <x:v>71829491.11301057</x:v>
      </x:c>
      <x:c r="M18" s="60" t="n">
        <x:f>I18-L18</x:f>
        <x:v>2456150.274412617</x:v>
      </x:c>
      <x:c r="N18" s="62" t="n">
        <x:f>IF(L18=0,"",I18/L18)</x:f>
        <x:v>1.034194176185215</x:v>
      </x:c>
      <x:c r="O18" s="66" t="n">
        <x:f>IF(L18=0,"",M18/L18)</x:f>
        <x:v>0.03419417618521498</x:v>
      </x:c>
    </x:row>
    <x:row r="19" ht="18" customHeight="1">
      <x:c r="A19" s="46" t="str">
        <x:v>Small pelagics (&lt;30 cm)</x:v>
      </x:c>
      <x:c r="B19" s="64" t="n">
        <x:v>25</x:v>
      </x:c>
      <x:c r="C19" s="64" t="n">
        <x:v>25</x:v>
      </x:c>
      <x:c r="D19" s="60" t="n">
        <x:v>940302.5320528293</x:v>
      </x:c>
      <x:c r="E19" s="60" t="n">
        <x:v>940302.5320528293</x:v>
      </x:c>
      <x:c r="F19" s="62" t="n">
        <x:v>0</x:v>
      </x:c>
      <x:c r="G19" s="66" t="n">
        <x:v>1</x:v>
      </x:c>
      <x:c r="H19" s="62" t="n">
        <x:f>IF(E19=0,"",I19/E19)</x:f>
        <x:v>193.33419971816244</x:v>
      </x:c>
      <x:c r="I19" s="60" t="n">
        <x:f>SUMIF('Species'!$G$2:$G$289,A19,'Species'!$U$2:$U$289)</x:f>
        <x:v>181792637.52739555</x:v>
      </x:c>
      <x:c r="J19" s="62" t="n">
        <x:v>3.1767889968592447</x:v>
      </x:c>
      <x:c r="K19" s="62" t="n">
        <x:f>IF(J19="","",(1/'Metadata'!$B$5)^(J19-1))</x:f>
        <x:v>150.24118379093707</x:v>
      </x:c>
      <x:c r="L19" s="60" t="n">
        <x:f>IF(E19=0,"",E19*K19)</x:f>
        <x:v>141272165.5372326</x:v>
      </x:c>
      <x:c r="M19" s="60" t="n">
        <x:f>I19-L19</x:f>
        <x:v>40520471.99016294</x:v>
      </x:c>
      <x:c r="N19" s="62" t="n">
        <x:f>IF(L19=0,"",I19/L19)</x:f>
        <x:v>1.2868255882966817</x:v>
      </x:c>
      <x:c r="O19" s="66" t="n">
        <x:f>IF(L19=0,"",M19/L19)</x:f>
        <x:v>0.28682558829668164</x:v>
      </x:c>
    </x:row>
    <x:row r="20" ht="18" customHeight="1">
      <x:c r="A20" s="46" t="str">
        <x:v>Small reef assoc. fish (&lt;30 cm)</x:v>
      </x:c>
      <x:c r="B20" s="64" t="n">
        <x:v>11</x:v>
      </x:c>
      <x:c r="C20" s="64" t="n">
        <x:v>11</x:v>
      </x:c>
      <x:c r="D20" s="60" t="n">
        <x:v>59543.5919304908</x:v>
      </x:c>
      <x:c r="E20" s="60" t="n">
        <x:v>59543.5919304908</x:v>
      </x:c>
      <x:c r="F20" s="62" t="n">
        <x:v>0</x:v>
      </x:c>
      <x:c r="G20" s="66" t="n">
        <x:v>1</x:v>
      </x:c>
      <x:c r="H20" s="62" t="n">
        <x:f>IF(E20=0,"",I20/E20)</x:f>
        <x:v>403.73532383961464</x:v>
      </x:c>
      <x:c r="I20" s="60" t="n">
        <x:f>SUMIF('Species'!$G$2:$G$289,A20,'Species'!$U$2:$U$289)</x:f>
        <x:v>24039851.37063057</x:v>
      </x:c>
      <x:c r="J20" s="62" t="n">
        <x:v>3.519848433909939</x:v>
      </x:c>
      <x:c r="K20" s="62" t="n">
        <x:f>IF(J20="","",(1/'Metadata'!$B$5)^(J20-1))</x:f>
        <x:v>331.0155789307149</x:v>
      </x:c>
      <x:c r="L20" s="60" t="n">
        <x:f>IF(E20=0,"",E20*K20)</x:f>
        <x:v>19709856.55448566</x:v>
      </x:c>
      <x:c r="M20" s="60" t="n">
        <x:f>I20-L20</x:f>
        <x:v>4329994.81614491</x:v>
      </x:c>
      <x:c r="N20" s="62" t="n">
        <x:f>IF(L20=0,"",I20/L20)</x:f>
        <x:v>1.2196867746944342</x:v>
      </x:c>
      <x:c r="O20" s="66" t="n">
        <x:f>IF(L20=0,"",M20/L20)</x:f>
        <x:v>0.21968677469443426</x:v>
      </x:c>
    </x:row>
    <x:row r="21" ht="18" customHeight="1">
      <x:c r="A21" s="46" t="str">
        <x:v>Small to medium flatfishes (&lt;90 cm)</x:v>
      </x:c>
      <x:c r="B21" s="64" t="n">
        <x:v>7</x:v>
      </x:c>
      <x:c r="C21" s="64" t="n">
        <x:v>7</x:v>
      </x:c>
      <x:c r="D21" s="60" t="n">
        <x:v>34269.309511656895</x:v>
      </x:c>
      <x:c r="E21" s="60" t="n">
        <x:v>34269.309511656895</x:v>
      </x:c>
      <x:c r="F21" s="62" t="n">
        <x:v>0</x:v>
      </x:c>
      <x:c r="G21" s="66" t="n">
        <x:v>1</x:v>
      </x:c>
      <x:c r="H21" s="62" t="n">
        <x:f>IF(E21=0,"",I21/E21)</x:f>
        <x:v>585.9153664048254</x:v>
      </x:c>
      <x:c r="I21" s="60" t="n">
        <x:f>SUMIF('Species'!$G$2:$G$289,A21,'Species'!$U$2:$U$289)</x:f>
        <x:v>20078915.038962815</x:v>
      </x:c>
      <x:c r="J21" s="62" t="n">
        <x:v>3.563407256877345</x:v>
      </x:c>
      <x:c r="K21" s="62" t="n">
        <x:f>IF(J21="","",(1/'Metadata'!$B$5)^(J21-1))</x:f>
        <x:v>365.937786590102</x:v>
      </x:c>
      <x:c r="L21" s="60" t="n">
        <x:f>IF(E21=0,"",E21*K21)</x:f>
        <x:v>12540435.270666854</x:v>
      </x:c>
      <x:c r="M21" s="60" t="n">
        <x:f>I21-L21</x:f>
        <x:v>7538479.7682959605</x:v>
      </x:c>
      <x:c r="N21" s="62" t="n">
        <x:f>IF(L21=0,"",I21/L21)</x:f>
        <x:v>1.6011338207637105</x:v>
      </x:c>
      <x:c r="O21" s="66" t="n">
        <x:f>IF(L21=0,"",M21/L21)</x:f>
        <x:v>0.6011338207637104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6640d368bbb4c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LME_034</x:v>
      </x:c>
      <x:c r="B2" s="46" t="str">
        <x:v>raw_filtered_tonnes</x:v>
      </x:c>
      <x:c r="C2" s="46" t="n">
        <x:v>6697725.785375867</x:v>
      </x:c>
      <x:c r="D2" s="46" t="str">
        <x:v>tonnes</x:v>
      </x:c>
    </x:row>
    <x:row r="3" ht="18" customHeight="1">
      <x:c r="A3" s="46" t="str">
        <x:v>LME_034</x:v>
      </x:c>
      <x:c r="B3" s="46" t="str">
        <x:v>species_catch_tonnes</x:v>
      </x:c>
      <x:c r="C3" s="46" t="n">
        <x:v>6697725.785375867</x:v>
      </x:c>
      <x:c r="D3" s="46" t="str">
        <x:v>tonnes</x:v>
      </x:c>
    </x:row>
    <x:row r="4" ht="18" customHeight="1">
      <x:c r="A4" s="46" t="str">
        <x:v>LME_034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LME_034</x:v>
      </x:c>
      <x:c r="B6" s="46" t="str">
        <x:v>matched_catch_tonnes</x:v>
      </x:c>
      <x:c r="C6" s="46" t="n">
        <x:v>6697725.785375867</x:v>
      </x:c>
      <x:c r="D6" s="46" t="str">
        <x:v>tonnes</x:v>
      </x:c>
    </x:row>
    <x:row r="7" ht="18" customHeight="1">
      <x:c r="A7" s="46" t="str">
        <x:v>LME_034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LME_034</x:v>
      </x:c>
      <x:c r="B8" s="46" t="str">
        <x:v>taxa_count</x:v>
      </x:c>
      <x:c r="C8" s="46" t="n">
        <x:v>288</x:v>
      </x:c>
      <x:c r="D8" s="46" t="str">
        <x:v>count</x:v>
      </x:c>
    </x:row>
    <x:row r="9" ht="18" customHeight="1">
      <x:c r="A9" s="46" t="str">
        <x:v>LME_034</x:v>
      </x:c>
      <x:c r="B9" s="46" t="str">
        <x:v>matched_taxa_count</x:v>
      </x:c>
      <x:c r="C9" s="46" t="n">
        <x:v>288</x:v>
      </x:c>
      <x:c r="D9" s="46" t="str">
        <x:v>count</x:v>
      </x:c>
    </x:row>
    <x:row r="10" ht="18" customHeight="1">
      <x:c r="A10" s="46" t="str">
        <x:v>LME_034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LME_034</x:v>
      </x:c>
      <x:c r="B11" s="46" t="str">
        <x:v>species_ppr</x:v>
      </x:c>
      <x:c r="C11" s="46" t="n">
        <x:v>3525461853.606897</x:v>
      </x:c>
      <x:c r="D11" s="46" t="str">
        <x:v>tonnes_primary_production_equivalent</x:v>
      </x:c>
    </x:row>
    <x:row r="12" ht="18" customHeight="1">
      <x:c r="A12" s="46" t="str">
        <x:v>LME_034</x:v>
      </x:c>
      <x:c r="B12" s="46" t="str">
        <x:v>commercial_ppr</x:v>
      </x:c>
      <x:c r="C12" s="46" t="n">
        <x:v>3525461853.606897</x:v>
      </x:c>
      <x:c r="D12" s="46" t="str">
        <x:v>tonnes_primary_production_equivalent</x:v>
      </x:c>
    </x:row>
    <x:row r="13" ht="18" customHeight="1">
      <x:c r="A13" s="46" t="str">
        <x:v>LME_034</x:v>
      </x:c>
      <x:c r="B13" s="46" t="str">
        <x:v>functional_ppr</x:v>
      </x:c>
      <x:c r="C13" s="46" t="n">
        <x:v>3525461853.6068964</x:v>
      </x:c>
      <x:c r="D13" s="46" t="str">
        <x:v>tonnes_primary_production_equivalent</x:v>
      </x:c>
    </x:row>
    <x:row r="14" ht="18" customHeight="1">
      <x:c r="A14" s="46" t="str">
        <x:v>LME_034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LME_034</x:v>
      </x:c>
      <x:c r="B15" s="46" t="str">
        <x:v>functional_ppr_difference</x:v>
      </x:c>
      <x:c r="C15" s="46" t="n">
        <x:v>-4.76837158203125e-7</x:v>
      </x:c>
      <x:c r="D15" s="46" t="str">
        <x:v>tonnes_primary_production_equivalent</x:v>
      </x:c>
    </x:row>
    <x:row r="16" ht="18" customHeight="1">
      <x:c r="A16" s="46" t="str">
        <x:v>LME_034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5235851c9d042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LME_034 - Bay of Bengal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