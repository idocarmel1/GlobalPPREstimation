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dc6bc1bae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7cd7fe0f4674c1e"/>
    <x:sheet xmlns:r="http://schemas.openxmlformats.org/officeDocument/2006/relationships" name="Commercial" sheetId="2" r:id="Rb507438954c74e09"/>
    <x:sheet xmlns:r="http://schemas.openxmlformats.org/officeDocument/2006/relationships" name="Functional" sheetId="3" r:id="R3beb13d8d2cf4edf"/>
    <x:sheet xmlns:r="http://schemas.openxmlformats.org/officeDocument/2006/relationships" name="Missing TL" sheetId="4" r:id="Rb6f90498b5514a5b"/>
    <x:sheet xmlns:r="http://schemas.openxmlformats.org/officeDocument/2006/relationships" name="Validation" sheetId="5" r:id="Rd8748ad52b7a403d"/>
    <x:sheet xmlns:r="http://schemas.openxmlformats.org/officeDocument/2006/relationships" name="Metadata" sheetId="6" r:id="R462152216104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4eb4c47c347ac" /><Relationship Type="http://schemas.openxmlformats.org/officeDocument/2006/relationships/theme" Target="/xl/theme/theme1.xml" Id="R87f693bb0e9a4791" /><Relationship Type="http://schemas.microsoft.com/office/2022/11/relationships/FeaturePropertyBag" Target="/xl/featurePropertyBag/featurePropertyBag.xml" Id="R4e5bdc89e058481b" /><Relationship Type="http://schemas.openxmlformats.org/officeDocument/2006/relationships/sharedStrings" Target="/xl/sharedStrings.xml" Id="R575b5fc55933490b" /><Relationship Type="http://schemas.openxmlformats.org/officeDocument/2006/relationships/worksheet" Target="/xl/worksheets/sheet1.xml" Id="Ra7cd7fe0f4674c1e" /><Relationship Type="http://schemas.openxmlformats.org/officeDocument/2006/relationships/worksheet" Target="/xl/worksheets/sheet2.xml" Id="Rb507438954c74e09" /><Relationship Type="http://schemas.openxmlformats.org/officeDocument/2006/relationships/worksheet" Target="/xl/worksheets/sheet3.xml" Id="R3beb13d8d2cf4edf" /><Relationship Type="http://schemas.openxmlformats.org/officeDocument/2006/relationships/worksheet" Target="/xl/worksheets/sheet4.xml" Id="Rb6f90498b5514a5b" /><Relationship Type="http://schemas.openxmlformats.org/officeDocument/2006/relationships/worksheet" Target="/xl/worksheets/sheet5.xml" Id="Rd8748ad52b7a403d" /><Relationship Type="http://schemas.openxmlformats.org/officeDocument/2006/relationships/worksheet" Target="/xl/worksheets/sheet6.xml" Id="R4621522161044e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55SpeciesTable" displayName="LME055SpeciesTable" ref="A1:U20" headerRowCount="1" totalsRowCount="0" totalsRowShown="0">
  <x:autoFilter ref="A1:U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5CommercialTable" displayName="LME055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5FunctionalTable" displayName="LME055FunctionalTable" ref="A1:E8" headerRowCount="1" totalsRowCount="0" totalsRowShown="0">
  <x:autoFilter ref="A1:E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5ValidationTable" displayName="LME05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4d4ad3219845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529b5abe141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b2acb4828841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a36bf7a3d04a9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LME_055</x:v>
      </x:c>
      <x:c r="B2" s="24" t="str">
        <x:v>Beaufort Sea</x:v>
      </x:c>
      <x:c r="C2" s="24" t="str">
        <x:v>LME</x:v>
      </x:c>
      <x:c r="D2" s="30" t="n">
        <x:v>2019</x:v>
      </x:c>
      <x:c r="E2" s="24" t="str">
        <x:v>Salvelinus alpinus</x:v>
      </x:c>
      <x:c r="F2" s="24" t="str">
        <x:v>Arctic char</x:v>
      </x:c>
      <x:c r="G2" s="24" t="str">
        <x:v>Medium benthopelagics (30 - 89 cm)</x:v>
      </x:c>
      <x:c r="H2" s="24" t="str">
        <x:v>Salmon, smelts, etc</x:v>
      </x:c>
      <x:c r="I2" s="31" t="n">
        <x:v>162.08282598070002</x:v>
      </x:c>
      <x:c r="J2" s="31" t="n">
        <x:v>162.08282598070002</x:v>
      </x:c>
      <x:c r="K2" s="31" t="n">
        <x:v>0</x:v>
      </x:c>
      <x:c r="L2" s="31" t="n">
        <x:v>0</x:v>
      </x:c>
      <x:c r="M2" s="31" t="n">
        <x:v>162.08282598070002</x:v>
      </x:c>
      <x:c r="N2" s="24" t="str">
        <x:v>salvelinus alpinus</x:v>
      </x:c>
      <x:c r="O2" s="32" t="n">
        <x:v>4.39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Salvelinus alpinus</x:v>
      </x:c>
      <x:c r="T2" s="32" t="n">
        <x:f>IF(O2="","",(1/'Metadata'!$B$5)^(O2-1))</x:f>
        <x:v>2454.7089156850284</x:v>
      </x:c>
      <x:c r="U2" s="31" t="n">
        <x:f>IF(T2="","",I2*T2)</x:f>
        <x:v>397866.1580142493</x:v>
      </x:c>
    </x:row>
    <x:row r="3" ht="18" customHeight="1">
      <x:c r="A3" s="24" t="str">
        <x:v>LME_055</x:v>
      </x:c>
      <x:c r="B3" s="24" t="str">
        <x:v>Beaufort Sea</x:v>
      </x:c>
      <x:c r="C3" s="24" t="str">
        <x:v>LME</x:v>
      </x:c>
      <x:c r="D3" s="30" t="n">
        <x:v>2019</x:v>
      </x:c>
      <x:c r="E3" s="24" t="str">
        <x:v>Stenodus leucichthys</x:v>
      </x:c>
      <x:c r="F3" s="24" t="str">
        <x:v>Sheefish</x:v>
      </x:c>
      <x:c r="G3" s="24" t="str">
        <x:v>Large demersals (&gt;=90 cm)</x:v>
      </x:c>
      <x:c r="H3" s="24" t="str">
        <x:v>Salmon, smelts, etc</x:v>
      </x:c>
      <x:c r="I3" s="31" t="n">
        <x:v>18.6184566574</x:v>
      </x:c>
      <x:c r="J3" s="31" t="n">
        <x:v>18.6184566574</x:v>
      </x:c>
      <x:c r="K3" s="31" t="n">
        <x:v>0</x:v>
      </x:c>
      <x:c r="L3" s="31" t="n">
        <x:v>0</x:v>
      </x:c>
      <x:c r="M3" s="31" t="n">
        <x:v>18.6184566574</x:v>
      </x:c>
      <x:c r="N3" s="24" t="str">
        <x:v>stenodus leucichthys</x:v>
      </x:c>
      <x:c r="O3" s="32" t="n">
        <x:v>4.15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Stenodus leucichthys</x:v>
      </x:c>
      <x:c r="T3" s="32" t="n">
        <x:f>IF(O3="","",(1/'Metadata'!$B$5)^(O3-1))</x:f>
        <x:v>1412.5375446227554</x:v>
      </x:c>
      <x:c r="U3" s="31" t="n">
        <x:f>IF(T3="","",I3*T3)</x:f>
        <x:v>26299.26905150899</x:v>
      </x:c>
    </x:row>
    <x:row r="4" ht="18" customHeight="1">
      <x:c r="A4" s="24" t="str">
        <x:v>LME_055</x:v>
      </x:c>
      <x:c r="B4" s="24" t="str">
        <x:v>Beaufort Sea</x:v>
      </x:c>
      <x:c r="C4" s="24" t="str">
        <x:v>LME</x:v>
      </x:c>
      <x:c r="D4" s="30" t="n">
        <x:v>2019</x:v>
      </x:c>
      <x:c r="E4" s="24" t="str">
        <x:v>Coregonus nasus</x:v>
      </x:c>
      <x:c r="F4" s="24" t="str">
        <x:v>Broad whitefish</x:v>
      </x:c>
      <x:c r="G4" s="24" t="str">
        <x:v>Medium demersals (30 - 89 cm)</x:v>
      </x:c>
      <x:c r="H4" s="24" t="str">
        <x:v>Salmon, smelts, etc</x:v>
      </x:c>
      <x:c r="I4" s="31" t="n">
        <x:v>16.0184532282</x:v>
      </x:c>
      <x:c r="J4" s="31" t="n">
        <x:v>16.0184532282</x:v>
      </x:c>
      <x:c r="K4" s="31" t="n">
        <x:v>0</x:v>
      </x:c>
      <x:c r="L4" s="31" t="n">
        <x:v>0</x:v>
      </x:c>
      <x:c r="M4" s="31" t="n">
        <x:v>16.0184532282</x:v>
      </x:c>
      <x:c r="N4" s="24" t="str">
        <x:v>coregonus nasus</x:v>
      </x:c>
      <x:c r="O4" s="32" t="n">
        <x:v>3.45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Coregonus nasus</x:v>
      </x:c>
      <x:c r="T4" s="32" t="n">
        <x:f>IF(O4="","",(1/'Metadata'!$B$5)^(O4-1))</x:f>
        <x:v>281.8382931264455</x:v>
      </x:c>
      <x:c r="U4" s="31" t="n">
        <x:f>IF(T4="","",I4*T4)</x:f>
        <x:v>4514.613516361688</x:v>
      </x:c>
    </x:row>
    <x:row r="5" ht="18" customHeight="1">
      <x:c r="A5" s="24" t="str">
        <x:v>LME_055</x:v>
      </x:c>
      <x:c r="B5" s="24" t="str">
        <x:v>Beaufort Sea</x:v>
      </x:c>
      <x:c r="C5" s="24" t="str">
        <x:v>LME</x:v>
      </x:c>
      <x:c r="D5" s="30" t="n">
        <x:v>2019</x:v>
      </x:c>
      <x:c r="E5" s="24" t="str">
        <x:v>Gadidae</x:v>
      </x:c>
      <x:c r="F5" s="24" t="str">
        <x:v>Cods, haddocks</x:v>
      </x:c>
      <x:c r="G5" s="24" t="str">
        <x:v>Medium demersals (30 - 89 cm)</x:v>
      </x:c>
      <x:c r="H5" s="24" t="str">
        <x:v>Cod-likes</x:v>
      </x:c>
      <x:c r="I5" s="31" t="n">
        <x:v>4.7276061189</x:v>
      </x:c>
      <x:c r="J5" s="31" t="n">
        <x:v>4.7276061189</x:v>
      </x:c>
      <x:c r="K5" s="31" t="n">
        <x:v>0</x:v>
      </x:c>
      <x:c r="L5" s="31" t="n">
        <x:v>0</x:v>
      </x:c>
      <x:c r="M5" s="31" t="n">
        <x:v>4.7276061189</x:v>
      </x:c>
      <x:c r="N5" s="24" t="str">
        <x:v>gadidae</x:v>
      </x:c>
      <x:c r="O5" s="32" t="n">
        <x:v>3.84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Gadidae</x:v>
      </x:c>
      <x:c r="T5" s="32" t="n">
        <x:f>IF(O5="","",(1/'Metadata'!$B$5)^(O5-1))</x:f>
        <x:v>691.8309709189363</x:v>
      </x:c>
      <x:c r="U5" s="31" t="n">
        <x:f>IF(T5="","",I5*T5)</x:f>
        <x:v>3270.704331360891</x:v>
      </x:c>
    </x:row>
    <x:row r="6" ht="18" customHeight="1">
      <x:c r="A6" s="24" t="str">
        <x:v>LME_055</x:v>
      </x:c>
      <x:c r="B6" s="24" t="str">
        <x:v>Beaufort Sea</x:v>
      </x:c>
      <x:c r="C6" s="24" t="str">
        <x:v>LME</x:v>
      </x:c>
      <x:c r="D6" s="30" t="n">
        <x:v>2019</x:v>
      </x:c>
      <x:c r="E6" s="24" t="str">
        <x:v>Coregonus</x:v>
      </x:c>
      <x:c r="F6" s="24" t="str">
        <x:v>Whitefishes</x:v>
      </x:c>
      <x:c r="G6" s="24" t="str">
        <x:v>Medium pelagics (30 - 89 cm)</x:v>
      </x:c>
      <x:c r="H6" s="24" t="str">
        <x:v>Salmon, smelts, etc</x:v>
      </x:c>
      <x:c r="I6" s="31" t="n">
        <x:v>4.6581454935</x:v>
      </x:c>
      <x:c r="J6" s="31" t="n">
        <x:v>4.6581454935</x:v>
      </x:c>
      <x:c r="K6" s="31" t="n">
        <x:v>0</x:v>
      </x:c>
      <x:c r="L6" s="31" t="n">
        <x:v>0</x:v>
      </x:c>
      <x:c r="M6" s="31" t="n">
        <x:v>4.6581454935</x:v>
      </x:c>
      <x:c r="N6" s="24" t="str">
        <x:v>coregonus</x:v>
      </x:c>
      <x:c r="O6" s="32" t="n">
        <x:v>3.3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Coregonus</x:v>
      </x:c>
      <x:c r="T6" s="32" t="n">
        <x:f>IF(O6="","",(1/'Metadata'!$B$5)^(O6-1))</x:f>
        <x:v>199.52623149688787</x:v>
      </x:c>
      <x:c r="U6" s="31" t="n">
        <x:f>IF(T6="","",I6*T6)</x:f>
        <x:v>929.422216082266</x:v>
      </x:c>
    </x:row>
    <x:row r="7" ht="18" customHeight="1">
      <x:c r="A7" s="24" t="str">
        <x:v>LME_055</x:v>
      </x:c>
      <x:c r="B7" s="24" t="str">
        <x:v>Beaufort Sea</x:v>
      </x:c>
      <x:c r="C7" s="24" t="str">
        <x:v>LME</x:v>
      </x:c>
      <x:c r="D7" s="30" t="n">
        <x:v>2019</x:v>
      </x:c>
      <x:c r="E7" s="24" t="str">
        <x:v>Clupea pallasii</x:v>
      </x:c>
      <x:c r="F7" s="24" t="str">
        <x:v>Pacific herring</x:v>
      </x:c>
      <x:c r="G7" s="24" t="str">
        <x:v>Medium pelagics (30 - 89 cm)</x:v>
      </x:c>
      <x:c r="H7" s="24" t="str">
        <x:v>Herring-likes</x:v>
      </x:c>
      <x:c r="I7" s="31" t="n">
        <x:v>3.2151142473</x:v>
      </x:c>
      <x:c r="J7" s="31" t="n">
        <x:v>3.2151142473</x:v>
      </x:c>
      <x:c r="K7" s="31" t="n">
        <x:v>0</x:v>
      </x:c>
      <x:c r="L7" s="31" t="n">
        <x:v>0</x:v>
      </x:c>
      <x:c r="M7" s="31" t="n">
        <x:v>3.2151142473</x:v>
      </x:c>
      <x:c r="N7" s="24" t="str">
        <x:v>clupea pallasii</x:v>
      </x:c>
      <x:c r="O7" s="32" t="n">
        <x:v>3.16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Clupea pallasii</x:v>
      </x:c>
      <x:c r="T7" s="32" t="n">
        <x:f>IF(O7="","",(1/'Metadata'!$B$5)^(O7-1))</x:f>
        <x:v>144.5439770745928</x:v>
      </x:c>
      <x:c r="U7" s="31" t="n">
        <x:f>IF(T7="","",I7*T7)</x:f>
        <x:v>464.72540005392784</x:v>
      </x:c>
    </x:row>
    <x:row r="8" ht="18" customHeight="1">
      <x:c r="A8" s="24" t="str">
        <x:v>LME_055</x:v>
      </x:c>
      <x:c r="B8" s="24" t="str">
        <x:v>Beaufort Sea</x:v>
      </x:c>
      <x:c r="C8" s="24" t="str">
        <x:v>LME</x:v>
      </x:c>
      <x:c r="D8" s="30" t="n">
        <x:v>2019</x:v>
      </x:c>
      <x:c r="E8" s="24" t="str">
        <x:v>Salvelinus malma</x:v>
      </x:c>
      <x:c r="F8" s="24" t="str">
        <x:v>Dolly varden</x:v>
      </x:c>
      <x:c r="G8" s="24" t="str">
        <x:v>Large benthopelagics (&gt;=90 cm)</x:v>
      </x:c>
      <x:c r="H8" s="24" t="str">
        <x:v>Salmon, smelts, etc</x:v>
      </x:c>
      <x:c r="I8" s="31" t="n">
        <x:v>2.0638098669</x:v>
      </x:c>
      <x:c r="J8" s="31" t="n">
        <x:v>2.0638098669</x:v>
      </x:c>
      <x:c r="K8" s="31" t="n">
        <x:v>0</x:v>
      </x:c>
      <x:c r="L8" s="31" t="n">
        <x:v>0</x:v>
      </x:c>
      <x:c r="M8" s="31" t="n">
        <x:v>2.0638098669</x:v>
      </x:c>
      <x:c r="N8" s="24" t="str">
        <x:v>salvelinus malma</x:v>
      </x:c>
      <x:c r="O8" s="32" t="n">
        <x:v>4.4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Salvelinus malma</x:v>
      </x:c>
      <x:c r="T8" s="32" t="n">
        <x:f>IF(O8="","",(1/'Metadata'!$B$5)^(O8-1))</x:f>
        <x:v>2511.886431509582</x:v>
      </x:c>
      <x:c r="U8" s="31" t="n">
        <x:f>IF(T8="","",I8*T8)</x:f>
        <x:v>5184.056001881706</x:v>
      </x:c>
    </x:row>
    <x:row r="9" ht="18" customHeight="1">
      <x:c r="A9" s="24" t="str">
        <x:v>LME_055</x:v>
      </x:c>
      <x:c r="B9" s="24" t="str">
        <x:v>Beaufort Sea</x:v>
      </x:c>
      <x:c r="C9" s="24" t="str">
        <x:v>LME</x:v>
      </x:c>
      <x:c r="D9" s="30" t="n">
        <x:v>2019</x:v>
      </x:c>
      <x:c r="E9" s="24" t="str">
        <x:v>Osmeridae</x:v>
      </x:c>
      <x:c r="F9" s="24" t="str">
        <x:v>Smelts</x:v>
      </x:c>
      <x:c r="G9" s="24" t="str">
        <x:v>Small pelagics (&lt;30 cm)</x:v>
      </x:c>
      <x:c r="H9" s="24" t="str">
        <x:v>Salmon, smelts, etc</x:v>
      </x:c>
      <x:c r="I9" s="31" t="n">
        <x:v>0.3013019341</x:v>
      </x:c>
      <x:c r="J9" s="31" t="n">
        <x:v>0.3013019341</x:v>
      </x:c>
      <x:c r="K9" s="31" t="n">
        <x:v>0</x:v>
      </x:c>
      <x:c r="L9" s="31" t="n">
        <x:v>0</x:v>
      </x:c>
      <x:c r="M9" s="31" t="n">
        <x:v>0.3013019341</x:v>
      </x:c>
      <x:c r="N9" s="24" t="str">
        <x:v>osmeridae</x:v>
      </x:c>
      <x:c r="O9" s="32" t="n">
        <x:v>3.46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Osmeridae</x:v>
      </x:c>
      <x:c r="T9" s="32" t="n">
        <x:f>IF(O9="","",(1/'Metadata'!$B$5)^(O9-1))</x:f>
        <x:v>288.40315031266056</x:v>
      </x:c>
      <x:c r="U9" s="31" t="n">
        <x:f>IF(T9="","",I9*T9)</x:f>
        <x:v>86.89642698973765</x:v>
      </x:c>
    </x:row>
    <x:row r="10" ht="18" customHeight="1">
      <x:c r="A10" s="24" t="str">
        <x:v>LME_055</x:v>
      </x:c>
      <x:c r="B10" s="24" t="str">
        <x:v>Beaufort Sea</x:v>
      </x:c>
      <x:c r="C10" s="24" t="str">
        <x:v>LME</x:v>
      </x:c>
      <x:c r="D10" s="30" t="n">
        <x:v>2019</x:v>
      </x:c>
      <x:c r="E10" s="24" t="str">
        <x:v>Oncorhynchus gorbuscha</x:v>
      </x:c>
      <x:c r="F10" s="24" t="str">
        <x:v>Pink salmon</x:v>
      </x:c>
      <x:c r="G10" s="24" t="str">
        <x:v>Medium demersals (30 - 89 cm)</x:v>
      </x:c>
      <x:c r="H10" s="24" t="str">
        <x:v>Salmon, smelts, etc</x:v>
      </x:c>
      <x:c r="I10" s="31" t="n">
        <x:v>0.2774264905</x:v>
      </x:c>
      <x:c r="J10" s="31" t="n">
        <x:v>0.2774264905</x:v>
      </x:c>
      <x:c r="K10" s="31" t="n">
        <x:v>0</x:v>
      </x:c>
      <x:c r="L10" s="31" t="n">
        <x:v>0</x:v>
      </x:c>
      <x:c r="M10" s="31" t="n">
        <x:v>0.2774264905</x:v>
      </x:c>
      <x:c r="N10" s="24" t="str">
        <x:v>oncorhynchus gorbuscha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Oncorhynchus gorbuscha</x:v>
      </x:c>
      <x:c r="T10" s="32" t="n">
        <x:f>IF(O10="","",(1/'Metadata'!$B$5)^(O10-1))</x:f>
        <x:v>3090.295432513592</x:v>
      </x:c>
      <x:c r="U10" s="31" t="n">
        <x:f>IF(T10="","",I10*T10)</x:f>
        <x:v>857.3298164504255</x:v>
      </x:c>
    </x:row>
    <x:row r="11" ht="18" customHeight="1">
      <x:c r="A11" s="24" t="str">
        <x:v>LME_055</x:v>
      </x:c>
      <x:c r="B11" s="24" t="str">
        <x:v>Beaufort Sea</x:v>
      </x:c>
      <x:c r="C11" s="24" t="str">
        <x:v>LME</x:v>
      </x:c>
      <x:c r="D11" s="30" t="n">
        <x:v>2019</x:v>
      </x:c>
      <x:c r="E11" s="24" t="str">
        <x:v>Coregonus sardinella</x:v>
      </x:c>
      <x:c r="F11" s="24" t="str">
        <x:v>Sardine cisco</x:v>
      </x:c>
      <x:c r="G11" s="24" t="str">
        <x:v>Medium pelagics (30 - 89 cm)</x:v>
      </x:c>
      <x:c r="H11" s="24" t="str">
        <x:v>Salmon, smelts, etc</x:v>
      </x:c>
      <x:c r="I11" s="31" t="n">
        <x:v>0.1808016234</x:v>
      </x:c>
      <x:c r="J11" s="31" t="n">
        <x:v>0.1808016234</x:v>
      </x:c>
      <x:c r="K11" s="31" t="n">
        <x:v>0</x:v>
      </x:c>
      <x:c r="L11" s="31" t="n">
        <x:v>0</x:v>
      </x:c>
      <x:c r="M11" s="31" t="n">
        <x:v>0.1808016234</x:v>
      </x:c>
      <x:c r="N11" s="24" t="str">
        <x:v>coregonus sardinella</x:v>
      </x:c>
      <x:c r="O11" s="32" t="n">
        <x:v>3.21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Coregonus sardinella</x:v>
      </x:c>
      <x:c r="T11" s="32" t="n">
        <x:f>IF(O11="","",(1/'Metadata'!$B$5)^(O11-1))</x:f>
        <x:v>162.18100973589299</x:v>
      </x:c>
      <x:c r="U11" s="31" t="n">
        <x:f>IF(T11="","",I11*T11)</x:f>
        <x:v>29.32258984490066</x:v>
      </x:c>
    </x:row>
    <x:row r="12" ht="18" customHeight="1">
      <x:c r="A12" s="24" t="str">
        <x:v>LME_055</x:v>
      </x:c>
      <x:c r="B12" s="24" t="str">
        <x:v>Beaufort Sea</x:v>
      </x:c>
      <x:c r="C12" s="24" t="str">
        <x:v>LME</x:v>
      </x:c>
      <x:c r="D12" s="30" t="n">
        <x:v>2019</x:v>
      </x:c>
      <x:c r="E12" s="24" t="str">
        <x:v>Eleginus gracilis</x:v>
      </x:c>
      <x:c r="F12" s="24" t="str">
        <x:v>Saffron cod</x:v>
      </x:c>
      <x:c r="G12" s="24" t="str">
        <x:v>Medium demersals (30 - 89 cm)</x:v>
      </x:c>
      <x:c r="H12" s="24" t="str">
        <x:v>Cod-likes</x:v>
      </x:c>
      <x:c r="I12" s="31" t="n">
        <x:v>0.1580462577</x:v>
      </x:c>
      <x:c r="J12" s="31" t="n">
        <x:v>0.1580462577</x:v>
      </x:c>
      <x:c r="K12" s="31" t="n">
        <x:v>0</x:v>
      </x:c>
      <x:c r="L12" s="31" t="n">
        <x:v>0</x:v>
      </x:c>
      <x:c r="M12" s="31" t="n">
        <x:v>0.1580462577</x:v>
      </x:c>
      <x:c r="N12" s="24" t="str">
        <x:v>eleginus gracilis</x:v>
      </x:c>
      <x:c r="O12" s="32" t="n">
        <x:v>4.1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Eleginus gracilis</x:v>
      </x:c>
      <x:c r="T12" s="32" t="n">
        <x:f>IF(O12="","",(1/'Metadata'!$B$5)^(O12-1))</x:f>
        <x:v>1258.9254117941662</x:v>
      </x:c>
      <x:c r="U12" s="31" t="n">
        <x:f>IF(T12="","",I12*T12)</x:f>
        <x:v>198.9684500574994</x:v>
      </x:c>
    </x:row>
    <x:row r="13" ht="18" customHeight="1">
      <x:c r="A13" s="24" t="str">
        <x:v>LME_055</x:v>
      </x:c>
      <x:c r="B13" s="24" t="str">
        <x:v>Beaufort Sea</x:v>
      </x:c>
      <x:c r="C13" s="24" t="str">
        <x:v>LME</x:v>
      </x:c>
      <x:c r="D13" s="30" t="n">
        <x:v>2019</x:v>
      </x:c>
      <x:c r="E13" s="24" t="str">
        <x:v>Coregonus autumnalis</x:v>
      </x:c>
      <x:c r="F13" s="24" t="str">
        <x:v>Arctic cisco</x:v>
      </x:c>
      <x:c r="G13" s="24" t="str">
        <x:v>Medium pelagics (30 - 89 cm)</x:v>
      </x:c>
      <x:c r="H13" s="24" t="str">
        <x:v>Salmon, smelts, etc</x:v>
      </x:c>
      <x:c r="I13" s="31" t="n">
        <x:v>0.1502992299</x:v>
      </x:c>
      <x:c r="J13" s="31" t="n">
        <x:v>0.1502992299</x:v>
      </x:c>
      <x:c r="K13" s="31" t="n">
        <x:v>0</x:v>
      </x:c>
      <x:c r="L13" s="31" t="n">
        <x:v>0</x:v>
      </x:c>
      <x:c r="M13" s="31" t="n">
        <x:v>0.1502992299</x:v>
      </x:c>
      <x:c r="N13" s="24" t="str">
        <x:v>coregonus autumnalis</x:v>
      </x:c>
      <x:c r="O13" s="32" t="n">
        <x:v>3.67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Coregonus autumnalis</x:v>
      </x:c>
      <x:c r="T13" s="32" t="n">
        <x:f>IF(O13="","",(1/'Metadata'!$B$5)^(O13-1))</x:f>
        <x:v>467.73514128719813</x:v>
      </x:c>
      <x:c r="U13" s="31" t="n">
        <x:f>IF(T13="","",I13*T13)</x:f>
        <x:v>70.30023153263357</x:v>
      </x:c>
    </x:row>
    <x:row r="14" ht="18" customHeight="1">
      <x:c r="A14" s="24" t="str">
        <x:v>LME_055</x:v>
      </x:c>
      <x:c r="B14" s="24" t="str">
        <x:v>Beaufort Sea</x:v>
      </x:c>
      <x:c r="C14" s="24" t="str">
        <x:v>LME</x:v>
      </x:c>
      <x:c r="D14" s="30" t="n">
        <x:v>2019</x:v>
      </x:c>
      <x:c r="E14" s="24" t="str">
        <x:v>Marine fishes not identified</x:v>
      </x:c>
      <x:c r="F14" s="24" t="str">
        <x:v>Marine fishes nei</x:v>
      </x:c>
      <x:c r="G14" s="24" t="str">
        <x:v>Medium demersals (30 - 89 cm)</x:v>
      </x:c>
      <x:c r="H14" s="24" t="str">
        <x:v>Other fishes &amp; inverts</x:v>
      </x:c>
      <x:c r="I14" s="31" t="n">
        <x:v>0.11589701059999999</x:v>
      </x:c>
      <x:c r="J14" s="31" t="n">
        <x:v>0.11589701059999999</x:v>
      </x:c>
      <x:c r="K14" s="31" t="n">
        <x:v>0</x:v>
      </x:c>
      <x:c r="L14" s="31" t="n">
        <x:v>0</x:v>
      </x:c>
      <x:c r="M14" s="31" t="n">
        <x:v>0.11589701059999999</x:v>
      </x:c>
      <x:c r="N14" s="24" t="str">
        <x:v>marine fishes not identified</x:v>
      </x:c>
      <x:c r="O14" s="32" t="n">
        <x:v>3.28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fishes not identified</x:v>
      </x:c>
      <x:c r="T14" s="32" t="n">
        <x:f>IF(O14="","",(1/'Metadata'!$B$5)^(O14-1))</x:f>
        <x:v>190.54607179632464</x:v>
      </x:c>
      <x:c r="U14" s="31" t="n">
        <x:f>IF(T14="","",I14*T14)</x:f>
        <x:v>22.083720102766996</x:v>
      </x:c>
    </x:row>
    <x:row r="15" ht="18" customHeight="1">
      <x:c r="A15" s="24" t="str">
        <x:v>LME_055</x:v>
      </x:c>
      <x:c r="B15" s="24" t="str">
        <x:v>Beaufort Sea</x:v>
      </x:c>
      <x:c r="C15" s="24" t="str">
        <x:v>LME</x:v>
      </x:c>
      <x:c r="D15" s="30" t="n">
        <x:v>2019</x:v>
      </x:c>
      <x:c r="E15" s="24" t="str">
        <x:v>Boreogadus saida</x:v>
      </x:c>
      <x:c r="F15" s="24" t="str">
        <x:v>Polar cod</x:v>
      </x:c>
      <x:c r="G15" s="24" t="str">
        <x:v>Medium demersals (30 - 89 cm)</x:v>
      </x:c>
      <x:c r="H15" s="24" t="str">
        <x:v>Cod-likes</x:v>
      </x:c>
      <x:c r="I15" s="31" t="n">
        <x:v>0.1093732634</x:v>
      </x:c>
      <x:c r="J15" s="31" t="n">
        <x:v>0.1093732634</x:v>
      </x:c>
      <x:c r="K15" s="31" t="n">
        <x:v>0</x:v>
      </x:c>
      <x:c r="L15" s="31" t="n">
        <x:v>0</x:v>
      </x:c>
      <x:c r="M15" s="31" t="n">
        <x:v>0.1093732634</x:v>
      </x:c>
      <x:c r="N15" s="24" t="str">
        <x:v>boreogadus saida</x:v>
      </x:c>
      <x:c r="O15" s="32" t="n">
        <x:v>3.12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Boreogadus saida</x:v>
      </x:c>
      <x:c r="T15" s="32" t="n">
        <x:f>IF(O15="","",(1/'Metadata'!$B$5)^(O15-1))</x:f>
        <x:v>131.82567385564073</x:v>
      </x:c>
      <x:c r="U15" s="31" t="n">
        <x:f>IF(T15="","",I15*T15)</x:f>
        <x:v>14.418204149495487</x:v>
      </x:c>
    </x:row>
    <x:row r="16" ht="18" customHeight="1">
      <x:c r="A16" s="24" t="str">
        <x:v>LME_055</x:v>
      </x:c>
      <x:c r="B16" s="24" t="str">
        <x:v>Beaufort Sea</x:v>
      </x:c>
      <x:c r="C16" s="24" t="str">
        <x:v>LME</x:v>
      </x:c>
      <x:c r="D16" s="30" t="n">
        <x:v>2019</x:v>
      </x:c>
      <x:c r="E16" s="24" t="str">
        <x:v>Coregonus laurettae</x:v>
      </x:c>
      <x:c r="F16" s="24" t="str">
        <x:v>Bering cisco</x:v>
      </x:c>
      <x:c r="G16" s="24" t="str">
        <x:v>Medium pelagics (30 - 89 cm)</x:v>
      </x:c>
      <x:c r="H16" s="24" t="str">
        <x:v>Salmon, smelts, etc</x:v>
      </x:c>
      <x:c r="I16" s="31" t="n">
        <x:v>0.0652172438</x:v>
      </x:c>
      <x:c r="J16" s="31" t="n">
        <x:v>0.0652172438</x:v>
      </x:c>
      <x:c r="K16" s="31" t="n">
        <x:v>0</x:v>
      </x:c>
      <x:c r="L16" s="31" t="n">
        <x:v>0</x:v>
      </x:c>
      <x:c r="M16" s="31" t="n">
        <x:v>0.0652172438</x:v>
      </x:c>
      <x:c r="N16" s="24" t="str">
        <x:v>coregonus laurettae</x:v>
      </x:c>
      <x:c r="O16" s="32" t="n">
        <x:v>3.79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Coregonus laurettae</x:v>
      </x:c>
      <x:c r="T16" s="32" t="n">
        <x:f>IF(O16="","",(1/'Metadata'!$B$5)^(O16-1))</x:f>
        <x:v>616.5950018614822</x:v>
      </x:c>
      <x:c r="U16" s="31" t="n">
        <x:f>IF(T16="","",I16*T16)</x:f>
        <x:v>40.21262656226174</x:v>
      </x:c>
    </x:row>
    <x:row r="17" ht="18" customHeight="1">
      <x:c r="A17" s="24" t="str">
        <x:v>LME_055</x:v>
      </x:c>
      <x:c r="B17" s="24" t="str">
        <x:v>Beaufort Sea</x:v>
      </x:c>
      <x:c r="C17" s="24" t="str">
        <x:v>LME</x:v>
      </x:c>
      <x:c r="D17" s="30" t="n">
        <x:v>2019</x:v>
      </x:c>
      <x:c r="E17" s="24" t="str">
        <x:v>Cottidae</x:v>
      </x:c>
      <x:c r="F17" s="24" t="str">
        <x:v>Sculpins</x:v>
      </x:c>
      <x:c r="G17" s="24" t="str">
        <x:v>Large reef assoc. fish (&gt;=90 cm)</x:v>
      </x:c>
      <x:c r="H17" s="24" t="str">
        <x:v>Scorpionfishes</x:v>
      </x:c>
      <x:c r="I17" s="31" t="n">
        <x:v>0.0238986163</x:v>
      </x:c>
      <x:c r="J17" s="31" t="n">
        <x:v>0.0238986163</x:v>
      </x:c>
      <x:c r="K17" s="31" t="n">
        <x:v>0</x:v>
      </x:c>
      <x:c r="L17" s="31" t="n">
        <x:v>0</x:v>
      </x:c>
      <x:c r="M17" s="31" t="n">
        <x:v>0.0238986163</x:v>
      </x:c>
      <x:c r="N17" s="24" t="str">
        <x:v>cottidae</x:v>
      </x:c>
      <x:c r="O17" s="32" t="n">
        <x:v>3.81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Cottidae</x:v>
      </x:c>
      <x:c r="T17" s="32" t="n">
        <x:f>IF(O17="","",(1/'Metadata'!$B$5)^(O17-1))</x:f>
        <x:v>645.6542290346556</x:v>
      </x:c>
      <x:c r="U17" s="31" t="n">
        <x:f>IF(T17="","",I17*T17)</x:f>
        <x:v>15.430242682171555</x:v>
      </x:c>
    </x:row>
    <x:row r="18" ht="18" customHeight="1">
      <x:c r="A18" s="24" t="str">
        <x:v>LME_055</x:v>
      </x:c>
      <x:c r="B18" s="24" t="str">
        <x:v>Beaufort Sea</x:v>
      </x:c>
      <x:c r="C18" s="24" t="str">
        <x:v>LME</x:v>
      </x:c>
      <x:c r="D18" s="30" t="n">
        <x:v>2019</x:v>
      </x:c>
      <x:c r="E18" s="24" t="str">
        <x:v>Myoxocephalus quadricornis</x:v>
      </x:c>
      <x:c r="F18" s="24" t="str">
        <x:v>Fourhorn sculpin</x:v>
      </x:c>
      <x:c r="G18" s="24" t="str">
        <x:v>Medium demersals (30 - 89 cm)</x:v>
      </x:c>
      <x:c r="H18" s="24" t="str">
        <x:v>Scorpionfishes</x:v>
      </x:c>
      <x:c r="I18" s="31" t="n">
        <x:v>0.0214613214</x:v>
      </x:c>
      <x:c r="J18" s="31" t="n">
        <x:v>0.0214613214</x:v>
      </x:c>
      <x:c r="K18" s="31" t="n">
        <x:v>0</x:v>
      </x:c>
      <x:c r="L18" s="31" t="n">
        <x:v>0</x:v>
      </x:c>
      <x:c r="M18" s="31" t="n">
        <x:v>0.0214613214</x:v>
      </x:c>
      <x:c r="N18" s="24" t="str">
        <x:v>myoxocephalus quadricornis</x:v>
      </x:c>
      <x:c r="O18" s="32" t="n">
        <x:v>3.69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Myoxocephalus quadricornis</x:v>
      </x:c>
      <x:c r="T18" s="32" t="n">
        <x:f>IF(O18="","",(1/'Metadata'!$B$5)^(O18-1))</x:f>
        <x:v>489.77881936844614</x:v>
      </x:c>
      <x:c r="U18" s="31" t="n">
        <x:f>IF(T18="","",I18*T18)</x:f>
        <x:v>10.511300657378767</x:v>
      </x:c>
    </x:row>
    <x:row r="19" ht="18" customHeight="1">
      <x:c r="A19" s="24" t="str">
        <x:v>LME_055</x:v>
      </x:c>
      <x:c r="B19" s="24" t="str">
        <x:v>Beaufort Sea</x:v>
      </x:c>
      <x:c r="C19" s="24" t="str">
        <x:v>LME</x:v>
      </x:c>
      <x:c r="D19" s="30" t="n">
        <x:v>2019</x:v>
      </x:c>
      <x:c r="E19" s="24" t="str">
        <x:v>Coregonus pidschian</x:v>
      </x:c>
      <x:c r="F19" s="24" t="str">
        <x:v>Humpback whitefish</x:v>
      </x:c>
      <x:c r="G19" s="24" t="str">
        <x:v>Medium demersals (30 - 89 cm)</x:v>
      </x:c>
      <x:c r="H19" s="24" t="str">
        <x:v>Salmon, smelts, etc</x:v>
      </x:c>
      <x:c r="I19" s="31" t="n">
        <x:v>0.000375642</x:v>
      </x:c>
      <x:c r="J19" s="31" t="n">
        <x:v>0.000375642</x:v>
      </x:c>
      <x:c r="K19" s="31" t="n">
        <x:v>0</x:v>
      </x:c>
      <x:c r="L19" s="31" t="n">
        <x:v>0</x:v>
      </x:c>
      <x:c r="M19" s="31" t="n">
        <x:v>0.000375642</x:v>
      </x:c>
      <x:c r="N19" s="24" t="str">
        <x:v>coregonus pidschian</x:v>
      </x:c>
      <x:c r="O19" s="32" t="n">
        <x:v>3.31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Coregonus pidschian</x:v>
      </x:c>
      <x:c r="T19" s="32" t="n">
        <x:f>IF(O19="","",(1/'Metadata'!$B$5)^(O19-1))</x:f>
        <x:v>204.17379446695296</x:v>
      </x:c>
      <x:c r="U19" s="31" t="n">
        <x:f>IF(T19="","",I19*T19)</x:f>
        <x:v>0.07669625250115514</x:v>
      </x:c>
    </x:row>
    <x:row r="20" ht="18" customHeight="1">
      <x:c r="A20" s="24" t="str">
        <x:v>LME_055</x:v>
      </x:c>
      <x:c r="B20" s="24" t="str">
        <x:v>Beaufort Sea</x:v>
      </x:c>
      <x:c r="C20" s="24" t="str">
        <x:v>LME</x:v>
      </x:c>
      <x:c r="D20" s="30" t="n">
        <x:v>2019</x:v>
      </x:c>
      <x:c r="E20" s="24" t="str">
        <x:v>Oncorhynchus</x:v>
      </x:c>
      <x:c r="F20" s="24" t="str">
        <x:v>Salmons, trouts</x:v>
      </x:c>
      <x:c r="G20" s="24" t="str">
        <x:v>Large benthopelagics (&gt;=90 cm)</x:v>
      </x:c>
      <x:c r="H20" s="24" t="str">
        <x:v>Salmon, smelts, etc</x:v>
      </x:c>
      <x:c r="I20" s="31" t="n">
        <x:v>0.000012802</x:v>
      </x:c>
      <x:c r="J20" s="31" t="n">
        <x:v>0.000012802</x:v>
      </x:c>
      <x:c r="K20" s="31" t="n">
        <x:v>0</x:v>
      </x:c>
      <x:c r="L20" s="31" t="n">
        <x:v>0</x:v>
      </x:c>
      <x:c r="M20" s="31" t="n">
        <x:v>0.000012802</x:v>
      </x:c>
      <x:c r="N20" s="24" t="str">
        <x:v>oncorhynchus</x:v>
      </x:c>
      <x:c r="O20" s="32" t="n">
        <x:v>3.95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Oncorhynchus</x:v>
      </x:c>
      <x:c r="T20" s="32" t="n">
        <x:f>IF(O20="","",(1/'Metadata'!$B$5)^(O20-1))</x:f>
        <x:v>891.2509381337459</x:v>
      </x:c>
      <x:c r="U20" s="31" t="n">
        <x:f>IF(T20="","",I20*T20)</x:f>
        <x:v>0.011409794509988216</x:v>
      </x:c>
    </x:row>
  </x:sheetData>
  <x:conditionalFormatting sqref="R2:R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84d4ad32198457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4.99502564</x:v>
      </x:c>
      <x:c r="C2" s="32" t="n">
        <x:v>3.832461155285281</x:v>
      </x:c>
      <x:c r="D2" s="32" t="n">
        <x:f>IF(C2="","",(1/'Metadata'!$B$5)^(C2-1))</x:f>
        <x:v>679.9252275538823</x:v>
      </x:c>
      <x:c r="E2" s="31" t="n">
        <x:f>IF(B2=0,"",B2*D2)</x:f>
        <x:v>3396.2439449144767</x:v>
      </x:c>
    </x:row>
    <x:row r="3" ht="18" customHeight="1">
      <x:c r="A3" s="24" t="str">
        <x:v>Herring-likes</x:v>
      </x:c>
      <x:c r="B3" s="31" t="n">
        <x:v>3.2151142473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464.72540005392784</x:v>
      </x:c>
    </x:row>
    <x:row r="4" ht="18" customHeight="1">
      <x:c r="A4" s="24" t="str">
        <x:v>Other fishes &amp; inverts</x:v>
      </x:c>
      <x:c r="B4" s="31" t="n">
        <x:v>0.11589701059999999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22.083720102766996</x:v>
      </x:c>
    </x:row>
    <x:row r="5" ht="18" customHeight="1">
      <x:c r="A5" s="24" t="str">
        <x:v>Salmon, smelts, etc</x:v>
      </x:c>
      <x:c r="B5" s="31" t="n">
        <x:v>204.41712619240002</x:v>
      </x:c>
      <x:c r="C5" s="32" t="n">
        <x:v>4.266741798624357</x:v>
      </x:c>
      <x:c r="D5" s="32" t="n">
        <x:f>IF(C5="","",(1/'Metadata'!$B$5)^(C5-1))</x:f>
        <x:v>1848.1694988878553</x:v>
      </x:c>
      <x:c r="E5" s="31" t="n">
        <x:f>IF(B5=0,"",B5*D5)</x:f>
        <x:v>377797.4976791034</x:v>
      </x:c>
    </x:row>
    <x:row r="6" ht="18" customHeight="1">
      <x:c r="A6" s="24" t="str">
        <x:v>Scorpionfishes</x:v>
      </x:c>
      <x:c r="B6" s="31" t="n">
        <x:v>0.045359937700000005</x:v>
      </x:c>
      <x:c r="C6" s="32" t="n">
        <x:v>3.7532239394808515</x:v>
      </x:c>
      <x:c r="D6" s="32" t="n">
        <x:f>IF(C6="","",(1/'Metadata'!$B$5)^(C6-1))</x:f>
        <x:v>566.5313397912489</x:v>
      </x:c>
      <x:c r="E6" s="31" t="n">
        <x:f>IF(B6=0,"",B6*D6)</x:f>
        <x:v>25.697826278028586</x:v>
      </x:c>
    </x:row>
  </x:sheetData>
  <x:pageMargins left="0.7" right="0.7" top="0.75" bottom="0.75" header="0.3" footer="0.3"/>
  <x:tableParts count="1">
    <x:tablePart xmlns:r="http://schemas.openxmlformats.org/officeDocument/2006/relationships" r:id="Re6e529b5abe1412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2.0638226689</x:v>
      </x:c>
      <x:c r="C2" s="32" t="n">
        <x:v>4.399997208626456</x:v>
      </x:c>
      <x:c r="D2" s="32" t="n">
        <x:f>IF(C2="","",(1/'Metadata'!$B$5)^(C2-1))</x:f>
        <x:v>2511.8702867251295</x:v>
      </x:c>
      <x:c r="E2" s="31" t="n">
        <x:f>IF(B2=0,"",B2*D2)</x:f>
        <x:v>5184.054839079665</x:v>
      </x:c>
    </x:row>
    <x:row r="3" ht="18" customHeight="1">
      <x:c r="A3" s="24" t="str">
        <x:v>Large demersals (&gt;=90 cm)</x:v>
      </x:c>
      <x:c r="B3" s="31" t="n">
        <x:v>18.6184566574</x:v>
      </x:c>
      <x:c r="C3" s="32" t="n">
        <x:v>4.15</x:v>
      </x:c>
      <x:c r="D3" s="32" t="n">
        <x:f>IF(C3="","",(1/'Metadata'!$B$5)^(C3-1))</x:f>
        <x:v>1412.5375446227554</x:v>
      </x:c>
      <x:c r="E3" s="31" t="n">
        <x:f>IF(B3=0,"",B3*D3)</x:f>
        <x:v>26299.26905150899</x:v>
      </x:c>
    </x:row>
    <x:row r="4" ht="18" customHeight="1">
      <x:c r="A4" s="24" t="str">
        <x:v>Large reef assoc. fish (&gt;=90 cm)</x:v>
      </x:c>
      <x:c r="B4" s="31" t="n">
        <x:v>0.0238986163</x:v>
      </x:c>
      <x:c r="C4" s="32" t="n">
        <x:v>3.81</x:v>
      </x:c>
      <x:c r="D4" s="32" t="n">
        <x:f>IF(C4="","",(1/'Metadata'!$B$5)^(C4-1))</x:f>
        <x:v>645.6542290346556</x:v>
      </x:c>
      <x:c r="E4" s="31" t="n">
        <x:f>IF(B4=0,"",B4*D4)</x:f>
        <x:v>15.430242682171555</x:v>
      </x:c>
    </x:row>
    <x:row r="5" ht="18" customHeight="1">
      <x:c r="A5" s="24" t="str">
        <x:v>Medium benthopelagics (30 - 89 cm)</x:v>
      </x:c>
      <x:c r="B5" s="31" t="n">
        <x:v>162.08282598070002</x:v>
      </x:c>
      <x:c r="C5" s="32" t="n">
        <x:v>4.39</x:v>
      </x:c>
      <x:c r="D5" s="32" t="n">
        <x:f>IF(C5="","",(1/'Metadata'!$B$5)^(C5-1))</x:f>
        <x:v>2454.7089156850284</x:v>
      </x:c>
      <x:c r="E5" s="31" t="n">
        <x:f>IF(B5=0,"",B5*D5)</x:f>
        <x:v>397866.1580142493</x:v>
      </x:c>
    </x:row>
    <x:row r="6" ht="18" customHeight="1">
      <x:c r="A6" s="24" t="str">
        <x:v>Medium demersals (30 - 89 cm)</x:v>
      </x:c>
      <x:c r="B6" s="31" t="n">
        <x:v>21.428639332699998</x:v>
      </x:c>
      <x:c r="C6" s="32" t="n">
        <x:v>3.5519347252345015</x:v>
      </x:c>
      <x:c r="D6" s="32" t="n">
        <x:f>IF(C6="","",(1/'Metadata'!$B$5)^(C6-1))</x:f>
        <x:v>356.3975625966342</x:v>
      </x:c>
      <x:c r="E6" s="31" t="n">
        <x:f>IF(B6=0,"",B6*D6)</x:f>
        <x:v>7637.114827936645</x:v>
      </x:c>
    </x:row>
    <x:row r="7" ht="18" customHeight="1">
      <x:c r="A7" s="24" t="str">
        <x:v>Medium pelagics (30 - 89 cm)</x:v>
      </x:c>
      <x:c r="B7" s="31" t="n">
        <x:v>8.2695778379</x:v>
      </x:c>
      <x:c r="C7" s="32" t="n">
        <x:v>3.254191013903172</x:v>
      </x:c>
      <x:c r="D7" s="32" t="n">
        <x:f>IF(C7="","",(1/'Metadata'!$B$5)^(C7-1))</x:f>
        <x:v>179.5523170542817</x:v>
      </x:c>
      <x:c r="E7" s="31" t="n">
        <x:f>IF(B7=0,"",B7*D7)</x:f>
        <x:v>1484.821861855682</x:v>
      </x:c>
    </x:row>
    <x:row r="8" ht="18" customHeight="1">
      <x:c r="A8" s="24" t="str">
        <x:v>Small pelagics (&lt;30 cm)</x:v>
      </x:c>
      <x:c r="B8" s="31" t="n">
        <x:v>0.3013019341</x:v>
      </x:c>
      <x:c r="C8" s="32" t="n">
        <x:v>3.46</x:v>
      </x:c>
      <x:c r="D8" s="32" t="n">
        <x:f>IF(C8="","",(1/'Metadata'!$B$5)^(C8-1))</x:f>
        <x:v>288.40315031266056</x:v>
      </x:c>
      <x:c r="E8" s="31" t="n">
        <x:f>IF(B8=0,"",B8*D8)</x:f>
        <x:v>86.89642698973765</x:v>
      </x:c>
    </x:row>
  </x:sheetData>
  <x:pageMargins left="0.7" right="0.7" top="0.75" bottom="0.75" header="0.3" footer="0.3"/>
  <x:tableParts count="1">
    <x:tablePart xmlns:r="http://schemas.openxmlformats.org/officeDocument/2006/relationships" r:id="R5fb2acb48288414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LME_055</x:v>
      </x:c>
      <x:c r="B2" s="24" t="str">
        <x:v>raw_filtered_tonnes</x:v>
      </x:c>
      <x:c r="C2" s="24" t="n">
        <x:v>212.78852302800001</x:v>
      </x:c>
      <x:c r="D2" s="24" t="str">
        <x:v>tonnes</x:v>
      </x:c>
    </x:row>
    <x:row r="3" ht="18" customHeight="1">
      <x:c r="A3" s="24" t="str">
        <x:v>LME_055</x:v>
      </x:c>
      <x:c r="B3" s="24" t="str">
        <x:v>species_catch_tonnes</x:v>
      </x:c>
      <x:c r="C3" s="24" t="n">
        <x:v>212.78852302800001</x:v>
      </x:c>
      <x:c r="D3" s="24" t="str">
        <x:v>tonnes</x:v>
      </x:c>
    </x:row>
    <x:row r="4" ht="18" customHeight="1">
      <x:c r="A4" s="24" t="str">
        <x:v>LME_055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LME_055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LME_055</x:v>
      </x:c>
      <x:c r="B6" s="24" t="str">
        <x:v>matched_catch_tonnes</x:v>
      </x:c>
      <x:c r="C6" s="24" t="n">
        <x:v>212.78852302800001</x:v>
      </x:c>
      <x:c r="D6" s="24" t="str">
        <x:v>tonnes</x:v>
      </x:c>
    </x:row>
    <x:row r="7" ht="18" customHeight="1">
      <x:c r="A7" s="24" t="str">
        <x:v>LME_055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LME_055</x:v>
      </x:c>
      <x:c r="B8" s="24" t="str">
        <x:v>taxa_count</x:v>
      </x:c>
      <x:c r="C8" s="24" t="n">
        <x:v>19</x:v>
      </x:c>
      <x:c r="D8" s="24" t="str">
        <x:v>count</x:v>
      </x:c>
    </x:row>
    <x:row r="9" ht="18" customHeight="1">
      <x:c r="A9" s="24" t="str">
        <x:v>LME_055</x:v>
      </x:c>
      <x:c r="B9" s="24" t="str">
        <x:v>matched_taxa_count</x:v>
      </x:c>
      <x:c r="C9" s="24" t="n">
        <x:v>19</x:v>
      </x:c>
      <x:c r="D9" s="24" t="str">
        <x:v>count</x:v>
      </x:c>
    </x:row>
    <x:row r="10" ht="18" customHeight="1">
      <x:c r="A10" s="24" t="str">
        <x:v>LME_055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LME_055</x:v>
      </x:c>
      <x:c r="B11" s="24" t="str">
        <x:v>species_ppr</x:v>
      </x:c>
      <x:c r="C11" s="24" t="n">
        <x:v>439874.51024657505</x:v>
      </x:c>
      <x:c r="D11" s="24" t="str">
        <x:v>tonnes_primary_production_equivalent</x:v>
      </x:c>
    </x:row>
    <x:row r="12" ht="18" customHeight="1">
      <x:c r="A12" s="24" t="str">
        <x:v>LME_055</x:v>
      </x:c>
      <x:c r="B12" s="24" t="str">
        <x:v>commercial_ppr</x:v>
      </x:c>
      <x:c r="C12" s="24" t="n">
        <x:v>381706.2485704526</x:v>
      </x:c>
      <x:c r="D12" s="24" t="str">
        <x:v>tonnes_primary_production_equivalent</x:v>
      </x:c>
    </x:row>
    <x:row r="13" ht="18" customHeight="1">
      <x:c r="A13" s="24" t="str">
        <x:v>LME_055</x:v>
      </x:c>
      <x:c r="B13" s="24" t="str">
        <x:v>functional_ppr</x:v>
      </x:c>
      <x:c r="C13" s="24" t="n">
        <x:v>438573.7452643022</x:v>
      </x:c>
      <x:c r="D13" s="24" t="str">
        <x:v>tonnes_primary_production_equivalent</x:v>
      </x:c>
    </x:row>
    <x:row r="14" ht="18" customHeight="1">
      <x:c r="A14" s="24" t="str">
        <x:v>LME_055</x:v>
      </x:c>
      <x:c r="B14" s="24" t="str">
        <x:v>commercial_ppr_difference</x:v>
      </x:c>
      <x:c r="C14" s="24" t="n">
        <x:v>-58168.261676122434</x:v>
      </x:c>
      <x:c r="D14" s="24" t="str">
        <x:v>tonnes_primary_production_equivalent</x:v>
      </x:c>
    </x:row>
    <x:row r="15" ht="18" customHeight="1">
      <x:c r="A15" s="24" t="str">
        <x:v>LME_055</x:v>
      </x:c>
      <x:c r="B15" s="24" t="str">
        <x:v>functional_ppr_difference</x:v>
      </x:c>
      <x:c r="C15" s="24" t="n">
        <x:v>-1300.7649822728708</x:v>
      </x:c>
      <x:c r="D15" s="24" t="str">
        <x:v>tonnes_primary_production_equivalent</x:v>
      </x:c>
    </x:row>
    <x:row r="16" ht="18" customHeight="1">
      <x:c r="A16" s="24" t="str">
        <x:v>LME_055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LME_055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9a36bf7a3d04a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LME_055 - Beaufort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LME_055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raw_data/SAU_downloads/LME_055-catch.zip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