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4e75f12fd040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881155dce184a40"/>
    <x:sheet xmlns:r="http://schemas.openxmlformats.org/officeDocument/2006/relationships" name="Commercial" sheetId="2" r:id="R675c87ab42924b23"/>
    <x:sheet xmlns:r="http://schemas.openxmlformats.org/officeDocument/2006/relationships" name="Functional" sheetId="3" r:id="Ra7baf4aea83444c4"/>
    <x:sheet xmlns:r="http://schemas.openxmlformats.org/officeDocument/2006/relationships" name="Missing TL" sheetId="4" r:id="R4c1385ca1c8b4608"/>
    <x:sheet xmlns:r="http://schemas.openxmlformats.org/officeDocument/2006/relationships" name="Validation" sheetId="5" r:id="Rfb11647d6c314dcd"/>
    <x:sheet xmlns:r="http://schemas.openxmlformats.org/officeDocument/2006/relationships" name="Metadata" sheetId="6" r:id="R7c8d64f30bfd46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68fd06de6e4330" /><Relationship Type="http://schemas.openxmlformats.org/officeDocument/2006/relationships/theme" Target="/xl/theme/theme1.xml" Id="R71ef2d9a21aa4ca7" /><Relationship Type="http://schemas.openxmlformats.org/officeDocument/2006/relationships/sharedStrings" Target="/xl/sharedStrings.xml" Id="Rce67ff9334e947cf" /><Relationship Type="http://schemas.openxmlformats.org/officeDocument/2006/relationships/worksheet" Target="/xl/worksheets/sheet1.xml" Id="R3881155dce184a40" /><Relationship Type="http://schemas.openxmlformats.org/officeDocument/2006/relationships/worksheet" Target="/xl/worksheets/sheet2.xml" Id="R675c87ab42924b23" /><Relationship Type="http://schemas.openxmlformats.org/officeDocument/2006/relationships/worksheet" Target="/xl/worksheets/sheet3.xml" Id="Ra7baf4aea83444c4" /><Relationship Type="http://schemas.openxmlformats.org/officeDocument/2006/relationships/worksheet" Target="/xl/worksheets/sheet4.xml" Id="R4c1385ca1c8b4608" /><Relationship Type="http://schemas.openxmlformats.org/officeDocument/2006/relationships/worksheet" Target="/xl/worksheets/sheet5.xml" Id="Rfb11647d6c314dcd" /><Relationship Type="http://schemas.openxmlformats.org/officeDocument/2006/relationships/worksheet" Target="/xl/worksheets/sheet6.xml" Id="R7c8d64f30bfd4687" /></Relationships>
</file>

<file path=xl/tables/table1.xml><?xml version="1.0" encoding="utf-8"?>
<x:table xmlns:x="http://schemas.openxmlformats.org/spreadsheetml/2006/main" id="1" name="LME055SpeciesTable" displayName="LME055SpeciesTable" ref="A1:U20" headerRowCount="1" totalsRowCount="0" totalsRowShown="0">
  <x:autoFilter ref="A1:U2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55CommercialTable" displayName="LME055CommercialTable" ref="A1:O6" headerRowCount="1" totalsRowCount="0" totalsRowShown="0">
  <x:autoFilter ref="A1:O6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55FunctionalTable" displayName="LME055FunctionalTable" ref="A1:O8" headerRowCount="1" totalsRowCount="0" totalsRowShown="0">
  <x:autoFilter ref="A1:O8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55ValidationTable" displayName="LME055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504e77c0984e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840f5b018547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f934e1c462240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fa73638d6c54b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LME_055</x:v>
      </x:c>
      <x:c r="B2" s="46" t="str">
        <x:v>Beaufort Sea</x:v>
      </x:c>
      <x:c r="C2" s="46" t="str">
        <x:v>LME</x:v>
      </x:c>
      <x:c r="D2" s="58" t="n">
        <x:v>2019</x:v>
      </x:c>
      <x:c r="E2" s="46" t="str">
        <x:v>Salvelinus alpinus</x:v>
      </x:c>
      <x:c r="F2" s="46" t="str">
        <x:v>Arctic char</x:v>
      </x:c>
      <x:c r="G2" s="46" t="str">
        <x:v>Medium benthopelagics (30 - 89 cm)</x:v>
      </x:c>
      <x:c r="H2" s="46" t="str">
        <x:v>Salmon, smelts, etc</x:v>
      </x:c>
      <x:c r="I2" s="60" t="n">
        <x:v>162.08282598070002</x:v>
      </x:c>
      <x:c r="J2" s="60" t="n">
        <x:v>162.08282598070002</x:v>
      </x:c>
      <x:c r="K2" s="60" t="n">
        <x:v>0</x:v>
      </x:c>
      <x:c r="L2" s="60" t="n">
        <x:v>0</x:v>
      </x:c>
      <x:c r="M2" s="60" t="n">
        <x:v>162.08282598070002</x:v>
      </x:c>
      <x:c r="N2" s="46" t="str">
        <x:v>salvelinus alpinus</x:v>
      </x:c>
      <x:c r="O2" s="62" t="n">
        <x:v>4.39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Salvelinus alpinus</x:v>
      </x:c>
      <x:c r="T2" s="62" t="n">
        <x:f>IF(O2="","",(1/'Metadata'!$B$5)^(O2-1))</x:f>
        <x:v>2454.7089156850284</x:v>
      </x:c>
      <x:c r="U2" s="60" t="n">
        <x:f>IF(T2="","",I2*T2)</x:f>
        <x:v>397866.1580142493</x:v>
      </x:c>
    </x:row>
    <x:row r="3" ht="18" customHeight="1">
      <x:c r="A3" s="46" t="str">
        <x:v>LME_055</x:v>
      </x:c>
      <x:c r="B3" s="46" t="str">
        <x:v>Beaufort Sea</x:v>
      </x:c>
      <x:c r="C3" s="46" t="str">
        <x:v>LME</x:v>
      </x:c>
      <x:c r="D3" s="58" t="n">
        <x:v>2019</x:v>
      </x:c>
      <x:c r="E3" s="46" t="str">
        <x:v>Stenodus leucichthys</x:v>
      </x:c>
      <x:c r="F3" s="46" t="str">
        <x:v>Sheefish</x:v>
      </x:c>
      <x:c r="G3" s="46" t="str">
        <x:v>Large demersals (&gt;=90 cm)</x:v>
      </x:c>
      <x:c r="H3" s="46" t="str">
        <x:v>Salmon, smelts, etc</x:v>
      </x:c>
      <x:c r="I3" s="60" t="n">
        <x:v>18.6184566574</x:v>
      </x:c>
      <x:c r="J3" s="60" t="n">
        <x:v>18.6184566574</x:v>
      </x:c>
      <x:c r="K3" s="60" t="n">
        <x:v>0</x:v>
      </x:c>
      <x:c r="L3" s="60" t="n">
        <x:v>0</x:v>
      </x:c>
      <x:c r="M3" s="60" t="n">
        <x:v>18.6184566574</x:v>
      </x:c>
      <x:c r="N3" s="46" t="str">
        <x:v>stenodus leucichthys</x:v>
      </x:c>
      <x:c r="O3" s="62" t="n">
        <x:v>4.15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Stenodus leucichthys</x:v>
      </x:c>
      <x:c r="T3" s="62" t="n">
        <x:f>IF(O3="","",(1/'Metadata'!$B$5)^(O3-1))</x:f>
        <x:v>1412.5375446227554</x:v>
      </x:c>
      <x:c r="U3" s="60" t="n">
        <x:f>IF(T3="","",I3*T3)</x:f>
        <x:v>26299.26905150899</x:v>
      </x:c>
    </x:row>
    <x:row r="4" ht="18" customHeight="1">
      <x:c r="A4" s="46" t="str">
        <x:v>LME_055</x:v>
      </x:c>
      <x:c r="B4" s="46" t="str">
        <x:v>Beaufort Sea</x:v>
      </x:c>
      <x:c r="C4" s="46" t="str">
        <x:v>LME</x:v>
      </x:c>
      <x:c r="D4" s="58" t="n">
        <x:v>2019</x:v>
      </x:c>
      <x:c r="E4" s="46" t="str">
        <x:v>Coregonus nasus</x:v>
      </x:c>
      <x:c r="F4" s="46" t="str">
        <x:v>Broad whitefish</x:v>
      </x:c>
      <x:c r="G4" s="46" t="str">
        <x:v>Medium demersals (30 - 89 cm)</x:v>
      </x:c>
      <x:c r="H4" s="46" t="str">
        <x:v>Salmon, smelts, etc</x:v>
      </x:c>
      <x:c r="I4" s="60" t="n">
        <x:v>16.0184532282</x:v>
      </x:c>
      <x:c r="J4" s="60" t="n">
        <x:v>16.0184532282</x:v>
      </x:c>
      <x:c r="K4" s="60" t="n">
        <x:v>0</x:v>
      </x:c>
      <x:c r="L4" s="60" t="n">
        <x:v>0</x:v>
      </x:c>
      <x:c r="M4" s="60" t="n">
        <x:v>16.0184532282</x:v>
      </x:c>
      <x:c r="N4" s="46" t="str">
        <x:v>coregonus nasus</x:v>
      </x:c>
      <x:c r="O4" s="62" t="n">
        <x:v>3.45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Coregonus nasus</x:v>
      </x:c>
      <x:c r="T4" s="62" t="n">
        <x:f>IF(O4="","",(1/'Metadata'!$B$5)^(O4-1))</x:f>
        <x:v>281.8382931264455</x:v>
      </x:c>
      <x:c r="U4" s="60" t="n">
        <x:f>IF(T4="","",I4*T4)</x:f>
        <x:v>4514.613516361688</x:v>
      </x:c>
    </x:row>
    <x:row r="5" ht="18" customHeight="1">
      <x:c r="A5" s="46" t="str">
        <x:v>LME_055</x:v>
      </x:c>
      <x:c r="B5" s="46" t="str">
        <x:v>Beaufort Sea</x:v>
      </x:c>
      <x:c r="C5" s="46" t="str">
        <x:v>LME</x:v>
      </x:c>
      <x:c r="D5" s="58" t="n">
        <x:v>2019</x:v>
      </x:c>
      <x:c r="E5" s="46" t="str">
        <x:v>Gadidae</x:v>
      </x:c>
      <x:c r="F5" s="46" t="str">
        <x:v>Cods, haddocks</x:v>
      </x:c>
      <x:c r="G5" s="46" t="str">
        <x:v>Medium demersals (30 - 89 cm)</x:v>
      </x:c>
      <x:c r="H5" s="46" t="str">
        <x:v>Cod-likes</x:v>
      </x:c>
      <x:c r="I5" s="60" t="n">
        <x:v>4.7276061189</x:v>
      </x:c>
      <x:c r="J5" s="60" t="n">
        <x:v>4.7276061189</x:v>
      </x:c>
      <x:c r="K5" s="60" t="n">
        <x:v>0</x:v>
      </x:c>
      <x:c r="L5" s="60" t="n">
        <x:v>0</x:v>
      </x:c>
      <x:c r="M5" s="60" t="n">
        <x:v>4.7276061189</x:v>
      </x:c>
      <x:c r="N5" s="46" t="str">
        <x:v>gadidae</x:v>
      </x:c>
      <x:c r="O5" s="62" t="n">
        <x:v>3.84</x:v>
      </x:c>
      <x:c r="P5" s="46" t="str">
        <x:v>exact_sea_around_us</x:v>
      </x:c>
      <x:c r="Q5" s="62" t="str">
        <x:v>Sea Around Us exploited organisms</x:v>
      </x:c>
      <x:c r="R5" s="46" t="str">
        <x:v>high</x:v>
      </x:c>
      <x:c r="S5" s="46" t="str">
        <x:v>Gadidae</x:v>
      </x:c>
      <x:c r="T5" s="62" t="n">
        <x:f>IF(O5="","",(1/'Metadata'!$B$5)^(O5-1))</x:f>
        <x:v>691.8309709189363</x:v>
      </x:c>
      <x:c r="U5" s="60" t="n">
        <x:f>IF(T5="","",I5*T5)</x:f>
        <x:v>3270.704331360891</x:v>
      </x:c>
    </x:row>
    <x:row r="6" ht="18" customHeight="1">
      <x:c r="A6" s="46" t="str">
        <x:v>LME_055</x:v>
      </x:c>
      <x:c r="B6" s="46" t="str">
        <x:v>Beaufort Sea</x:v>
      </x:c>
      <x:c r="C6" s="46" t="str">
        <x:v>LME</x:v>
      </x:c>
      <x:c r="D6" s="58" t="n">
        <x:v>2019</x:v>
      </x:c>
      <x:c r="E6" s="46" t="str">
        <x:v>Coregonus</x:v>
      </x:c>
      <x:c r="F6" s="46" t="str">
        <x:v>Whitefishes</x:v>
      </x:c>
      <x:c r="G6" s="46" t="str">
        <x:v>Medium pelagics (30 - 89 cm)</x:v>
      </x:c>
      <x:c r="H6" s="46" t="str">
        <x:v>Salmon, smelts, etc</x:v>
      </x:c>
      <x:c r="I6" s="60" t="n">
        <x:v>4.6581454935</x:v>
      </x:c>
      <x:c r="J6" s="60" t="n">
        <x:v>4.6581454935</x:v>
      </x:c>
      <x:c r="K6" s="60" t="n">
        <x:v>0</x:v>
      </x:c>
      <x:c r="L6" s="60" t="n">
        <x:v>0</x:v>
      </x:c>
      <x:c r="M6" s="60" t="n">
        <x:v>4.6581454935</x:v>
      </x:c>
      <x:c r="N6" s="46" t="str">
        <x:v>coregonus</x:v>
      </x:c>
      <x:c r="O6" s="62" t="n">
        <x:v>3.3</x:v>
      </x:c>
      <x:c r="P6" s="46" t="str">
        <x:v>exact_sea_around_us</x:v>
      </x:c>
      <x:c r="Q6" s="62" t="str">
        <x:v>Sea Around Us exploited organisms</x:v>
      </x:c>
      <x:c r="R6" s="46" t="str">
        <x:v>high</x:v>
      </x:c>
      <x:c r="S6" s="46" t="str">
        <x:v>Coregonus</x:v>
      </x:c>
      <x:c r="T6" s="62" t="n">
        <x:f>IF(O6="","",(1/'Metadata'!$B$5)^(O6-1))</x:f>
        <x:v>199.52623149688787</x:v>
      </x:c>
      <x:c r="U6" s="60" t="n">
        <x:f>IF(T6="","",I6*T6)</x:f>
        <x:v>929.422216082266</x:v>
      </x:c>
    </x:row>
    <x:row r="7" ht="18" customHeight="1">
      <x:c r="A7" s="46" t="str">
        <x:v>LME_055</x:v>
      </x:c>
      <x:c r="B7" s="46" t="str">
        <x:v>Beaufort Sea</x:v>
      </x:c>
      <x:c r="C7" s="46" t="str">
        <x:v>LME</x:v>
      </x:c>
      <x:c r="D7" s="58" t="n">
        <x:v>2019</x:v>
      </x:c>
      <x:c r="E7" s="46" t="str">
        <x:v>Clupea pallasii</x:v>
      </x:c>
      <x:c r="F7" s="46" t="str">
        <x:v>Pacific herring</x:v>
      </x:c>
      <x:c r="G7" s="46" t="str">
        <x:v>Medium pelagics (30 - 89 cm)</x:v>
      </x:c>
      <x:c r="H7" s="46" t="str">
        <x:v>Herring-likes</x:v>
      </x:c>
      <x:c r="I7" s="60" t="n">
        <x:v>3.2151142473</x:v>
      </x:c>
      <x:c r="J7" s="60" t="n">
        <x:v>3.2151142473</x:v>
      </x:c>
      <x:c r="K7" s="60" t="n">
        <x:v>0</x:v>
      </x:c>
      <x:c r="L7" s="60" t="n">
        <x:v>0</x:v>
      </x:c>
      <x:c r="M7" s="60" t="n">
        <x:v>3.2151142473</x:v>
      </x:c>
      <x:c r="N7" s="46" t="str">
        <x:v>clupea pallasii</x:v>
      </x:c>
      <x:c r="O7" s="62" t="n">
        <x:v>3.16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Clupea pallasii</x:v>
      </x:c>
      <x:c r="T7" s="62" t="n">
        <x:f>IF(O7="","",(1/'Metadata'!$B$5)^(O7-1))</x:f>
        <x:v>144.5439770745928</x:v>
      </x:c>
      <x:c r="U7" s="60" t="n">
        <x:f>IF(T7="","",I7*T7)</x:f>
        <x:v>464.72540005392784</x:v>
      </x:c>
    </x:row>
    <x:row r="8" ht="18" customHeight="1">
      <x:c r="A8" s="46" t="str">
        <x:v>LME_055</x:v>
      </x:c>
      <x:c r="B8" s="46" t="str">
        <x:v>Beaufort Sea</x:v>
      </x:c>
      <x:c r="C8" s="46" t="str">
        <x:v>LME</x:v>
      </x:c>
      <x:c r="D8" s="58" t="n">
        <x:v>2019</x:v>
      </x:c>
      <x:c r="E8" s="46" t="str">
        <x:v>Salvelinus malma</x:v>
      </x:c>
      <x:c r="F8" s="46" t="str">
        <x:v>Dolly varden</x:v>
      </x:c>
      <x:c r="G8" s="46" t="str">
        <x:v>Large benthopelagics (&gt;=90 cm)</x:v>
      </x:c>
      <x:c r="H8" s="46" t="str">
        <x:v>Salmon, smelts, etc</x:v>
      </x:c>
      <x:c r="I8" s="60" t="n">
        <x:v>2.0638098669</x:v>
      </x:c>
      <x:c r="J8" s="60" t="n">
        <x:v>2.0638098669</x:v>
      </x:c>
      <x:c r="K8" s="60" t="n">
        <x:v>0</x:v>
      </x:c>
      <x:c r="L8" s="60" t="n">
        <x:v>0</x:v>
      </x:c>
      <x:c r="M8" s="60" t="n">
        <x:v>2.0638098669</x:v>
      </x:c>
      <x:c r="N8" s="46" t="str">
        <x:v>salvelinus malma</x:v>
      </x:c>
      <x:c r="O8" s="62" t="n">
        <x:v>4.4</x:v>
      </x:c>
      <x:c r="P8" s="46" t="str">
        <x:v>exact_2020_supplement</x:v>
      </x:c>
      <x:c r="Q8" s="62" t="str">
        <x:v>2020 supplement MeanTL</x:v>
      </x:c>
      <x:c r="R8" s="46" t="str">
        <x:v>high</x:v>
      </x:c>
      <x:c r="S8" s="46" t="str">
        <x:v>Salvelinus malma</x:v>
      </x:c>
      <x:c r="T8" s="62" t="n">
        <x:f>IF(O8="","",(1/'Metadata'!$B$5)^(O8-1))</x:f>
        <x:v>2511.886431509582</x:v>
      </x:c>
      <x:c r="U8" s="60" t="n">
        <x:f>IF(T8="","",I8*T8)</x:f>
        <x:v>5184.056001881706</x:v>
      </x:c>
    </x:row>
    <x:row r="9" ht="18" customHeight="1">
      <x:c r="A9" s="46" t="str">
        <x:v>LME_055</x:v>
      </x:c>
      <x:c r="B9" s="46" t="str">
        <x:v>Beaufort Sea</x:v>
      </x:c>
      <x:c r="C9" s="46" t="str">
        <x:v>LME</x:v>
      </x:c>
      <x:c r="D9" s="58" t="n">
        <x:v>2019</x:v>
      </x:c>
      <x:c r="E9" s="46" t="str">
        <x:v>Osmeridae</x:v>
      </x:c>
      <x:c r="F9" s="46" t="str">
        <x:v>Smelts</x:v>
      </x:c>
      <x:c r="G9" s="46" t="str">
        <x:v>Small pelagics (&lt;30 cm)</x:v>
      </x:c>
      <x:c r="H9" s="46" t="str">
        <x:v>Salmon, smelts, etc</x:v>
      </x:c>
      <x:c r="I9" s="60" t="n">
        <x:v>0.3013019341</x:v>
      </x:c>
      <x:c r="J9" s="60" t="n">
        <x:v>0.3013019341</x:v>
      </x:c>
      <x:c r="K9" s="60" t="n">
        <x:v>0</x:v>
      </x:c>
      <x:c r="L9" s="60" t="n">
        <x:v>0</x:v>
      </x:c>
      <x:c r="M9" s="60" t="n">
        <x:v>0.3013019341</x:v>
      </x:c>
      <x:c r="N9" s="46" t="str">
        <x:v>osmeridae</x:v>
      </x:c>
      <x:c r="O9" s="62" t="n">
        <x:v>3.46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Osmeridae</x:v>
      </x:c>
      <x:c r="T9" s="62" t="n">
        <x:f>IF(O9="","",(1/'Metadata'!$B$5)^(O9-1))</x:f>
        <x:v>288.40315031266056</x:v>
      </x:c>
      <x:c r="U9" s="60" t="n">
        <x:f>IF(T9="","",I9*T9)</x:f>
        <x:v>86.89642698973765</x:v>
      </x:c>
    </x:row>
    <x:row r="10" ht="18" customHeight="1">
      <x:c r="A10" s="46" t="str">
        <x:v>LME_055</x:v>
      </x:c>
      <x:c r="B10" s="46" t="str">
        <x:v>Beaufort Sea</x:v>
      </x:c>
      <x:c r="C10" s="46" t="str">
        <x:v>LME</x:v>
      </x:c>
      <x:c r="D10" s="58" t="n">
        <x:v>2019</x:v>
      </x:c>
      <x:c r="E10" s="46" t="str">
        <x:v>Oncorhynchus gorbuscha</x:v>
      </x:c>
      <x:c r="F10" s="46" t="str">
        <x:v>Pink salmon</x:v>
      </x:c>
      <x:c r="G10" s="46" t="str">
        <x:v>Medium demersals (30 - 89 cm)</x:v>
      </x:c>
      <x:c r="H10" s="46" t="str">
        <x:v>Salmon, smelts, etc</x:v>
      </x:c>
      <x:c r="I10" s="60" t="n">
        <x:v>0.2774264905</x:v>
      </x:c>
      <x:c r="J10" s="60" t="n">
        <x:v>0.2774264905</x:v>
      </x:c>
      <x:c r="K10" s="60" t="n">
        <x:v>0</x:v>
      </x:c>
      <x:c r="L10" s="60" t="n">
        <x:v>0</x:v>
      </x:c>
      <x:c r="M10" s="60" t="n">
        <x:v>0.2774264905</x:v>
      </x:c>
      <x:c r="N10" s="46" t="str">
        <x:v>oncorhynchus gorbuscha</x:v>
      </x:c>
      <x:c r="O10" s="62" t="n">
        <x:v>4.49</x:v>
      </x:c>
      <x:c r="P10" s="46" t="str">
        <x:v>exact_2020_supplement</x:v>
      </x:c>
      <x:c r="Q10" s="62" t="str">
        <x:v>2020 supplement MeanTL</x:v>
      </x:c>
      <x:c r="R10" s="46" t="str">
        <x:v>high</x:v>
      </x:c>
      <x:c r="S10" s="46" t="str">
        <x:v>Oncorhynchus gorbuscha</x:v>
      </x:c>
      <x:c r="T10" s="62" t="n">
        <x:f>IF(O10="","",(1/'Metadata'!$B$5)^(O10-1))</x:f>
        <x:v>3090.295432513592</x:v>
      </x:c>
      <x:c r="U10" s="60" t="n">
        <x:f>IF(T10="","",I10*T10)</x:f>
        <x:v>857.3298164504255</x:v>
      </x:c>
    </x:row>
    <x:row r="11" ht="18" customHeight="1">
      <x:c r="A11" s="46" t="str">
        <x:v>LME_055</x:v>
      </x:c>
      <x:c r="B11" s="46" t="str">
        <x:v>Beaufort Sea</x:v>
      </x:c>
      <x:c r="C11" s="46" t="str">
        <x:v>LME</x:v>
      </x:c>
      <x:c r="D11" s="58" t="n">
        <x:v>2019</x:v>
      </x:c>
      <x:c r="E11" s="46" t="str">
        <x:v>Coregonus sardinella</x:v>
      </x:c>
      <x:c r="F11" s="46" t="str">
        <x:v>Sardine cisco</x:v>
      </x:c>
      <x:c r="G11" s="46" t="str">
        <x:v>Medium pelagics (30 - 89 cm)</x:v>
      </x:c>
      <x:c r="H11" s="46" t="str">
        <x:v>Salmon, smelts, etc</x:v>
      </x:c>
      <x:c r="I11" s="60" t="n">
        <x:v>0.1808016234</x:v>
      </x:c>
      <x:c r="J11" s="60" t="n">
        <x:v>0.1808016234</x:v>
      </x:c>
      <x:c r="K11" s="60" t="n">
        <x:v>0</x:v>
      </x:c>
      <x:c r="L11" s="60" t="n">
        <x:v>0</x:v>
      </x:c>
      <x:c r="M11" s="60" t="n">
        <x:v>0.1808016234</x:v>
      </x:c>
      <x:c r="N11" s="46" t="str">
        <x:v>coregonus sardinella</x:v>
      </x:c>
      <x:c r="O11" s="62" t="n">
        <x:v>3.21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Coregonus sardinella</x:v>
      </x:c>
      <x:c r="T11" s="62" t="n">
        <x:f>IF(O11="","",(1/'Metadata'!$B$5)^(O11-1))</x:f>
        <x:v>162.18100973589299</x:v>
      </x:c>
      <x:c r="U11" s="60" t="n">
        <x:f>IF(T11="","",I11*T11)</x:f>
        <x:v>29.32258984490066</x:v>
      </x:c>
    </x:row>
    <x:row r="12" ht="18" customHeight="1">
      <x:c r="A12" s="46" t="str">
        <x:v>LME_055</x:v>
      </x:c>
      <x:c r="B12" s="46" t="str">
        <x:v>Beaufort Sea</x:v>
      </x:c>
      <x:c r="C12" s="46" t="str">
        <x:v>LME</x:v>
      </x:c>
      <x:c r="D12" s="58" t="n">
        <x:v>2019</x:v>
      </x:c>
      <x:c r="E12" s="46" t="str">
        <x:v>Eleginus gracilis</x:v>
      </x:c>
      <x:c r="F12" s="46" t="str">
        <x:v>Saffron cod</x:v>
      </x:c>
      <x:c r="G12" s="46" t="str">
        <x:v>Medium demersals (30 - 89 cm)</x:v>
      </x:c>
      <x:c r="H12" s="46" t="str">
        <x:v>Cod-likes</x:v>
      </x:c>
      <x:c r="I12" s="60" t="n">
        <x:v>0.1580462577</x:v>
      </x:c>
      <x:c r="J12" s="60" t="n">
        <x:v>0.1580462577</x:v>
      </x:c>
      <x:c r="K12" s="60" t="n">
        <x:v>0</x:v>
      </x:c>
      <x:c r="L12" s="60" t="n">
        <x:v>0</x:v>
      </x:c>
      <x:c r="M12" s="60" t="n">
        <x:v>0.1580462577</x:v>
      </x:c>
      <x:c r="N12" s="46" t="str">
        <x:v>eleginus gracilis</x:v>
      </x:c>
      <x:c r="O12" s="62" t="n">
        <x:v>4.1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Eleginus gracilis</x:v>
      </x:c>
      <x:c r="T12" s="62" t="n">
        <x:f>IF(O12="","",(1/'Metadata'!$B$5)^(O12-1))</x:f>
        <x:v>1258.9254117941662</x:v>
      </x:c>
      <x:c r="U12" s="60" t="n">
        <x:f>IF(T12="","",I12*T12)</x:f>
        <x:v>198.9684500574994</x:v>
      </x:c>
    </x:row>
    <x:row r="13" ht="18" customHeight="1">
      <x:c r="A13" s="46" t="str">
        <x:v>LME_055</x:v>
      </x:c>
      <x:c r="B13" s="46" t="str">
        <x:v>Beaufort Sea</x:v>
      </x:c>
      <x:c r="C13" s="46" t="str">
        <x:v>LME</x:v>
      </x:c>
      <x:c r="D13" s="58" t="n">
        <x:v>2019</x:v>
      </x:c>
      <x:c r="E13" s="46" t="str">
        <x:v>Coregonus autumnalis</x:v>
      </x:c>
      <x:c r="F13" s="46" t="str">
        <x:v>Arctic cisco</x:v>
      </x:c>
      <x:c r="G13" s="46" t="str">
        <x:v>Medium pelagics (30 - 89 cm)</x:v>
      </x:c>
      <x:c r="H13" s="46" t="str">
        <x:v>Salmon, smelts, etc</x:v>
      </x:c>
      <x:c r="I13" s="60" t="n">
        <x:v>0.1502992299</x:v>
      </x:c>
      <x:c r="J13" s="60" t="n">
        <x:v>0.1502992299</x:v>
      </x:c>
      <x:c r="K13" s="60" t="n">
        <x:v>0</x:v>
      </x:c>
      <x:c r="L13" s="60" t="n">
        <x:v>0</x:v>
      </x:c>
      <x:c r="M13" s="60" t="n">
        <x:v>0.1502992299</x:v>
      </x:c>
      <x:c r="N13" s="46" t="str">
        <x:v>coregonus autumnalis</x:v>
      </x:c>
      <x:c r="O13" s="62" t="n">
        <x:v>3.67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Coregonus autumnalis</x:v>
      </x:c>
      <x:c r="T13" s="62" t="n">
        <x:f>IF(O13="","",(1/'Metadata'!$B$5)^(O13-1))</x:f>
        <x:v>467.73514128719813</x:v>
      </x:c>
      <x:c r="U13" s="60" t="n">
        <x:f>IF(T13="","",I13*T13)</x:f>
        <x:v>70.30023153263357</x:v>
      </x:c>
    </x:row>
    <x:row r="14" ht="18" customHeight="1">
      <x:c r="A14" s="46" t="str">
        <x:v>LME_055</x:v>
      </x:c>
      <x:c r="B14" s="46" t="str">
        <x:v>Beaufort Sea</x:v>
      </x:c>
      <x:c r="C14" s="46" t="str">
        <x:v>LME</x:v>
      </x:c>
      <x:c r="D14" s="58" t="n">
        <x:v>2019</x:v>
      </x:c>
      <x:c r="E14" s="46" t="str">
        <x:v>Marine fishes not identified</x:v>
      </x:c>
      <x:c r="F14" s="46" t="str">
        <x:v>Marine fishes nei</x:v>
      </x:c>
      <x:c r="G14" s="46" t="str">
        <x:v>Medium demersals (30 - 89 cm)</x:v>
      </x:c>
      <x:c r="H14" s="46" t="str">
        <x:v>Other fishes &amp; inverts</x:v>
      </x:c>
      <x:c r="I14" s="60" t="n">
        <x:v>0.11589701059999999</x:v>
      </x:c>
      <x:c r="J14" s="60" t="n">
        <x:v>0.11589701059999999</x:v>
      </x:c>
      <x:c r="K14" s="60" t="n">
        <x:v>0</x:v>
      </x:c>
      <x:c r="L14" s="60" t="n">
        <x:v>0</x:v>
      </x:c>
      <x:c r="M14" s="60" t="n">
        <x:v>0.11589701059999999</x:v>
      </x:c>
      <x:c r="N14" s="46" t="str">
        <x:v>marine fishes not identified</x:v>
      </x:c>
      <x:c r="O14" s="62" t="n">
        <x:v>3.28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Marine fishes not identified</x:v>
      </x:c>
      <x:c r="T14" s="62" t="n">
        <x:f>IF(O14="","",(1/'Metadata'!$B$5)^(O14-1))</x:f>
        <x:v>190.54607179632464</x:v>
      </x:c>
      <x:c r="U14" s="60" t="n">
        <x:f>IF(T14="","",I14*T14)</x:f>
        <x:v>22.083720102766996</x:v>
      </x:c>
    </x:row>
    <x:row r="15" ht="18" customHeight="1">
      <x:c r="A15" s="46" t="str">
        <x:v>LME_055</x:v>
      </x:c>
      <x:c r="B15" s="46" t="str">
        <x:v>Beaufort Sea</x:v>
      </x:c>
      <x:c r="C15" s="46" t="str">
        <x:v>LME</x:v>
      </x:c>
      <x:c r="D15" s="58" t="n">
        <x:v>2019</x:v>
      </x:c>
      <x:c r="E15" s="46" t="str">
        <x:v>Boreogadus saida</x:v>
      </x:c>
      <x:c r="F15" s="46" t="str">
        <x:v>Polar cod</x:v>
      </x:c>
      <x:c r="G15" s="46" t="str">
        <x:v>Medium demersals (30 - 89 cm)</x:v>
      </x:c>
      <x:c r="H15" s="46" t="str">
        <x:v>Cod-likes</x:v>
      </x:c>
      <x:c r="I15" s="60" t="n">
        <x:v>0.1093732634</x:v>
      </x:c>
      <x:c r="J15" s="60" t="n">
        <x:v>0.1093732634</x:v>
      </x:c>
      <x:c r="K15" s="60" t="n">
        <x:v>0</x:v>
      </x:c>
      <x:c r="L15" s="60" t="n">
        <x:v>0</x:v>
      </x:c>
      <x:c r="M15" s="60" t="n">
        <x:v>0.1093732634</x:v>
      </x:c>
      <x:c r="N15" s="46" t="str">
        <x:v>boreogadus saida</x:v>
      </x:c>
      <x:c r="O15" s="62" t="n">
        <x:v>3.12</x:v>
      </x:c>
      <x:c r="P15" s="46" t="str">
        <x:v>exact_2020_supplement</x:v>
      </x:c>
      <x:c r="Q15" s="62" t="str">
        <x:v>2020 supplement MeanTL</x:v>
      </x:c>
      <x:c r="R15" s="46" t="str">
        <x:v>high</x:v>
      </x:c>
      <x:c r="S15" s="46" t="str">
        <x:v>Boreogadus saida</x:v>
      </x:c>
      <x:c r="T15" s="62" t="n">
        <x:f>IF(O15="","",(1/'Metadata'!$B$5)^(O15-1))</x:f>
        <x:v>131.82567385564073</x:v>
      </x:c>
      <x:c r="U15" s="60" t="n">
        <x:f>IF(T15="","",I15*T15)</x:f>
        <x:v>14.418204149495487</x:v>
      </x:c>
    </x:row>
    <x:row r="16" ht="18" customHeight="1">
      <x:c r="A16" s="46" t="str">
        <x:v>LME_055</x:v>
      </x:c>
      <x:c r="B16" s="46" t="str">
        <x:v>Beaufort Sea</x:v>
      </x:c>
      <x:c r="C16" s="46" t="str">
        <x:v>LME</x:v>
      </x:c>
      <x:c r="D16" s="58" t="n">
        <x:v>2019</x:v>
      </x:c>
      <x:c r="E16" s="46" t="str">
        <x:v>Coregonus laurettae</x:v>
      </x:c>
      <x:c r="F16" s="46" t="str">
        <x:v>Bering cisco</x:v>
      </x:c>
      <x:c r="G16" s="46" t="str">
        <x:v>Medium pelagics (30 - 89 cm)</x:v>
      </x:c>
      <x:c r="H16" s="46" t="str">
        <x:v>Salmon, smelts, etc</x:v>
      </x:c>
      <x:c r="I16" s="60" t="n">
        <x:v>0.0652172438</x:v>
      </x:c>
      <x:c r="J16" s="60" t="n">
        <x:v>0.0652172438</x:v>
      </x:c>
      <x:c r="K16" s="60" t="n">
        <x:v>0</x:v>
      </x:c>
      <x:c r="L16" s="60" t="n">
        <x:v>0</x:v>
      </x:c>
      <x:c r="M16" s="60" t="n">
        <x:v>0.0652172438</x:v>
      </x:c>
      <x:c r="N16" s="46" t="str">
        <x:v>coregonus laurettae</x:v>
      </x:c>
      <x:c r="O16" s="62" t="n">
        <x:v>3.79</x:v>
      </x:c>
      <x:c r="P16" s="46" t="str">
        <x:v>exact_2020_supplement</x:v>
      </x:c>
      <x:c r="Q16" s="62" t="str">
        <x:v>2020 supplement MeanTL</x:v>
      </x:c>
      <x:c r="R16" s="46" t="str">
        <x:v>high</x:v>
      </x:c>
      <x:c r="S16" s="46" t="str">
        <x:v>Coregonus laurettae</x:v>
      </x:c>
      <x:c r="T16" s="62" t="n">
        <x:f>IF(O16="","",(1/'Metadata'!$B$5)^(O16-1))</x:f>
        <x:v>616.5950018614822</x:v>
      </x:c>
      <x:c r="U16" s="60" t="n">
        <x:f>IF(T16="","",I16*T16)</x:f>
        <x:v>40.21262656226174</x:v>
      </x:c>
    </x:row>
    <x:row r="17" ht="18" customHeight="1">
      <x:c r="A17" s="46" t="str">
        <x:v>LME_055</x:v>
      </x:c>
      <x:c r="B17" s="46" t="str">
        <x:v>Beaufort Sea</x:v>
      </x:c>
      <x:c r="C17" s="46" t="str">
        <x:v>LME</x:v>
      </x:c>
      <x:c r="D17" s="58" t="n">
        <x:v>2019</x:v>
      </x:c>
      <x:c r="E17" s="46" t="str">
        <x:v>Cottidae</x:v>
      </x:c>
      <x:c r="F17" s="46" t="str">
        <x:v>Sculpins</x:v>
      </x:c>
      <x:c r="G17" s="46" t="str">
        <x:v>Large reef assoc. fish (&gt;=90 cm)</x:v>
      </x:c>
      <x:c r="H17" s="46" t="str">
        <x:v>Scorpionfishes</x:v>
      </x:c>
      <x:c r="I17" s="60" t="n">
        <x:v>0.0238986163</x:v>
      </x:c>
      <x:c r="J17" s="60" t="n">
        <x:v>0.0238986163</x:v>
      </x:c>
      <x:c r="K17" s="60" t="n">
        <x:v>0</x:v>
      </x:c>
      <x:c r="L17" s="60" t="n">
        <x:v>0</x:v>
      </x:c>
      <x:c r="M17" s="60" t="n">
        <x:v>0.0238986163</x:v>
      </x:c>
      <x:c r="N17" s="46" t="str">
        <x:v>cottidae</x:v>
      </x:c>
      <x:c r="O17" s="62" t="n">
        <x:v>3.81</x:v>
      </x:c>
      <x:c r="P17" s="46" t="str">
        <x:v>exact_sea_around_us</x:v>
      </x:c>
      <x:c r="Q17" s="62" t="str">
        <x:v>Sea Around Us exploited organisms</x:v>
      </x:c>
      <x:c r="R17" s="46" t="str">
        <x:v>high</x:v>
      </x:c>
      <x:c r="S17" s="46" t="str">
        <x:v>Cottidae</x:v>
      </x:c>
      <x:c r="T17" s="62" t="n">
        <x:f>IF(O17="","",(1/'Metadata'!$B$5)^(O17-1))</x:f>
        <x:v>645.6542290346556</x:v>
      </x:c>
      <x:c r="U17" s="60" t="n">
        <x:f>IF(T17="","",I17*T17)</x:f>
        <x:v>15.430242682171555</x:v>
      </x:c>
    </x:row>
    <x:row r="18" ht="18" customHeight="1">
      <x:c r="A18" s="46" t="str">
        <x:v>LME_055</x:v>
      </x:c>
      <x:c r="B18" s="46" t="str">
        <x:v>Beaufort Sea</x:v>
      </x:c>
      <x:c r="C18" s="46" t="str">
        <x:v>LME</x:v>
      </x:c>
      <x:c r="D18" s="58" t="n">
        <x:v>2019</x:v>
      </x:c>
      <x:c r="E18" s="46" t="str">
        <x:v>Myoxocephalus quadricornis</x:v>
      </x:c>
      <x:c r="F18" s="46" t="str">
        <x:v>Fourhorn sculpin</x:v>
      </x:c>
      <x:c r="G18" s="46" t="str">
        <x:v>Medium demersals (30 - 89 cm)</x:v>
      </x:c>
      <x:c r="H18" s="46" t="str">
        <x:v>Scorpionfishes</x:v>
      </x:c>
      <x:c r="I18" s="60" t="n">
        <x:v>0.0214613214</x:v>
      </x:c>
      <x:c r="J18" s="60" t="n">
        <x:v>0.0214613214</x:v>
      </x:c>
      <x:c r="K18" s="60" t="n">
        <x:v>0</x:v>
      </x:c>
      <x:c r="L18" s="60" t="n">
        <x:v>0</x:v>
      </x:c>
      <x:c r="M18" s="60" t="n">
        <x:v>0.0214613214</x:v>
      </x:c>
      <x:c r="N18" s="46" t="str">
        <x:v>myoxocephalus quadricornis</x:v>
      </x:c>
      <x:c r="O18" s="62" t="n">
        <x:v>3.69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Myoxocephalus quadricornis</x:v>
      </x:c>
      <x:c r="T18" s="62" t="n">
        <x:f>IF(O18="","",(1/'Metadata'!$B$5)^(O18-1))</x:f>
        <x:v>489.77881936844614</x:v>
      </x:c>
      <x:c r="U18" s="60" t="n">
        <x:f>IF(T18="","",I18*T18)</x:f>
        <x:v>10.511300657378767</x:v>
      </x:c>
    </x:row>
    <x:row r="19" ht="18" customHeight="1">
      <x:c r="A19" s="46" t="str">
        <x:v>LME_055</x:v>
      </x:c>
      <x:c r="B19" s="46" t="str">
        <x:v>Beaufort Sea</x:v>
      </x:c>
      <x:c r="C19" s="46" t="str">
        <x:v>LME</x:v>
      </x:c>
      <x:c r="D19" s="58" t="n">
        <x:v>2019</x:v>
      </x:c>
      <x:c r="E19" s="46" t="str">
        <x:v>Coregonus pidschian</x:v>
      </x:c>
      <x:c r="F19" s="46" t="str">
        <x:v>Humpback whitefish</x:v>
      </x:c>
      <x:c r="G19" s="46" t="str">
        <x:v>Medium demersals (30 - 89 cm)</x:v>
      </x:c>
      <x:c r="H19" s="46" t="str">
        <x:v>Salmon, smelts, etc</x:v>
      </x:c>
      <x:c r="I19" s="60" t="n">
        <x:v>0.000375642</x:v>
      </x:c>
      <x:c r="J19" s="60" t="n">
        <x:v>0.000375642</x:v>
      </x:c>
      <x:c r="K19" s="60" t="n">
        <x:v>0</x:v>
      </x:c>
      <x:c r="L19" s="60" t="n">
        <x:v>0</x:v>
      </x:c>
      <x:c r="M19" s="60" t="n">
        <x:v>0.000375642</x:v>
      </x:c>
      <x:c r="N19" s="46" t="str">
        <x:v>coregonus pidschian</x:v>
      </x:c>
      <x:c r="O19" s="62" t="n">
        <x:v>3.31</x:v>
      </x:c>
      <x:c r="P19" s="46" t="str">
        <x:v>exact_2020_supplement</x:v>
      </x:c>
      <x:c r="Q19" s="62" t="str">
        <x:v>2020 supplement MeanTL</x:v>
      </x:c>
      <x:c r="R19" s="46" t="str">
        <x:v>high</x:v>
      </x:c>
      <x:c r="S19" s="46" t="str">
        <x:v>Coregonus pidschian</x:v>
      </x:c>
      <x:c r="T19" s="62" t="n">
        <x:f>IF(O19="","",(1/'Metadata'!$B$5)^(O19-1))</x:f>
        <x:v>204.17379446695296</x:v>
      </x:c>
      <x:c r="U19" s="60" t="n">
        <x:f>IF(T19="","",I19*T19)</x:f>
        <x:v>0.07669625250115514</x:v>
      </x:c>
    </x:row>
    <x:row r="20" ht="18" customHeight="1">
      <x:c r="A20" s="46" t="str">
        <x:v>LME_055</x:v>
      </x:c>
      <x:c r="B20" s="46" t="str">
        <x:v>Beaufort Sea</x:v>
      </x:c>
      <x:c r="C20" s="46" t="str">
        <x:v>LME</x:v>
      </x:c>
      <x:c r="D20" s="58" t="n">
        <x:v>2019</x:v>
      </x:c>
      <x:c r="E20" s="46" t="str">
        <x:v>Oncorhynchus</x:v>
      </x:c>
      <x:c r="F20" s="46" t="str">
        <x:v>Salmons, trouts</x:v>
      </x:c>
      <x:c r="G20" s="46" t="str">
        <x:v>Large benthopelagics (&gt;=90 cm)</x:v>
      </x:c>
      <x:c r="H20" s="46" t="str">
        <x:v>Salmon, smelts, etc</x:v>
      </x:c>
      <x:c r="I20" s="60" t="n">
        <x:v>0.000012802</x:v>
      </x:c>
      <x:c r="J20" s="60" t="n">
        <x:v>0.000012802</x:v>
      </x:c>
      <x:c r="K20" s="60" t="n">
        <x:v>0</x:v>
      </x:c>
      <x:c r="L20" s="60" t="n">
        <x:v>0</x:v>
      </x:c>
      <x:c r="M20" s="60" t="n">
        <x:v>0.000012802</x:v>
      </x:c>
      <x:c r="N20" s="46" t="str">
        <x:v>oncorhynchus</x:v>
      </x:c>
      <x:c r="O20" s="62" t="n">
        <x:v>3.95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Oncorhynchus</x:v>
      </x:c>
      <x:c r="T20" s="62" t="n">
        <x:f>IF(O20="","",(1/'Metadata'!$B$5)^(O20-1))</x:f>
        <x:v>891.2509381337459</x:v>
      </x:c>
      <x:c r="U20" s="60" t="n">
        <x:f>IF(T20="","",I20*T20)</x:f>
        <x:v>0.011409794509988216</x:v>
      </x:c>
    </x:row>
  </x:sheetData>
  <x:conditionalFormatting sqref="R2:R2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8504e77c0984e1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Cod-likes</x:v>
      </x:c>
      <x:c r="B2" s="64" t="n">
        <x:v>3</x:v>
      </x:c>
      <x:c r="C2" s="64" t="n">
        <x:v>3</x:v>
      </x:c>
      <x:c r="D2" s="60" t="n">
        <x:v>4.99502564</x:v>
      </x:c>
      <x:c r="E2" s="60" t="n">
        <x:v>4.99502564</x:v>
      </x:c>
      <x:c r="F2" s="62" t="n">
        <x:v>0</x:v>
      </x:c>
      <x:c r="G2" s="66" t="n">
        <x:v>1</x:v>
      </x:c>
      <x:c r="H2" s="62" t="n">
        <x:f>IF(E2=0,"",I2/E2)</x:f>
        <x:v>697.512132403766</x:v>
      </x:c>
      <x:c r="I2" s="60" t="n">
        <x:f>SUMIF('Species'!$H$2:$H$20,A2,'Species'!$U$2:$U$20)</x:f>
        <x:v>3484.090985567886</x:v>
      </x:c>
      <x:c r="J2" s="62" t="n">
        <x:v>3.832461155285281</x:v>
      </x:c>
      <x:c r="K2" s="62" t="n">
        <x:f>IF(J2="","",(1/'Metadata'!$B$5)^(J2-1))</x:f>
        <x:v>679.9252275538823</x:v>
      </x:c>
      <x:c r="L2" s="60" t="n">
        <x:f>IF(E2=0,"",E2*K2)</x:f>
        <x:v>3396.2439449144767</x:v>
      </x:c>
      <x:c r="M2" s="60" t="n">
        <x:f>I2-L2</x:f>
        <x:v>87.8470406534093</x:v>
      </x:c>
      <x:c r="N2" s="62" t="n">
        <x:f>IF(L2=0,"",I2/L2)</x:f>
        <x:v>1.0258659395727303</x:v>
      </x:c>
      <x:c r="O2" s="66" t="n">
        <x:f>IF(L2=0,"",M2/L2)</x:f>
        <x:v>0.025865939572730378</x:v>
      </x:c>
    </x:row>
    <x:row r="3" ht="18" customHeight="1">
      <x:c r="A3" s="46" t="str">
        <x:v>Herring-likes</x:v>
      </x:c>
      <x:c r="B3" s="64" t="n">
        <x:v>1</x:v>
      </x:c>
      <x:c r="C3" s="64" t="n">
        <x:v>1</x:v>
      </x:c>
      <x:c r="D3" s="60" t="n">
        <x:v>3.2151142473</x:v>
      </x:c>
      <x:c r="E3" s="60" t="n">
        <x:v>3.2151142473</x:v>
      </x:c>
      <x:c r="F3" s="62" t="n">
        <x:v>0</x:v>
      </x:c>
      <x:c r="G3" s="66" t="n">
        <x:v>1</x:v>
      </x:c>
      <x:c r="H3" s="62" t="n">
        <x:f>IF(E3=0,"",I3/E3)</x:f>
        <x:v>144.5439770745928</x:v>
      </x:c>
      <x:c r="I3" s="60" t="n">
        <x:f>SUMIF('Species'!$H$2:$H$20,A3,'Species'!$U$2:$U$20)</x:f>
        <x:v>464.72540005392784</x:v>
      </x:c>
      <x:c r="J3" s="62" t="n">
        <x:v>3.16</x:v>
      </x:c>
      <x:c r="K3" s="62" t="n">
        <x:f>IF(J3="","",(1/'Metadata'!$B$5)^(J3-1))</x:f>
        <x:v>144.5439770745928</x:v>
      </x:c>
      <x:c r="L3" s="60" t="n">
        <x:f>IF(E3=0,"",E3*K3)</x:f>
        <x:v>464.72540005392784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Other fishes &amp; inverts</x:v>
      </x:c>
      <x:c r="B4" s="64" t="n">
        <x:v>1</x:v>
      </x:c>
      <x:c r="C4" s="64" t="n">
        <x:v>1</x:v>
      </x:c>
      <x:c r="D4" s="60" t="n">
        <x:v>0.11589701059999999</x:v>
      </x:c>
      <x:c r="E4" s="60" t="n">
        <x:v>0.11589701059999999</x:v>
      </x:c>
      <x:c r="F4" s="62" t="n">
        <x:v>0</x:v>
      </x:c>
      <x:c r="G4" s="66" t="n">
        <x:v>1</x:v>
      </x:c>
      <x:c r="H4" s="62" t="n">
        <x:f>IF(E4=0,"",I4/E4)</x:f>
        <x:v>190.54607179632464</x:v>
      </x:c>
      <x:c r="I4" s="60" t="n">
        <x:f>SUMIF('Species'!$H$2:$H$20,A4,'Species'!$U$2:$U$20)</x:f>
        <x:v>22.083720102766996</x:v>
      </x:c>
      <x:c r="J4" s="62" t="n">
        <x:v>3.28</x:v>
      </x:c>
      <x:c r="K4" s="62" t="n">
        <x:f>IF(J4="","",(1/'Metadata'!$B$5)^(J4-1))</x:f>
        <x:v>190.54607179632464</x:v>
      </x:c>
      <x:c r="L4" s="60" t="n">
        <x:f>IF(E4=0,"",E4*K4)</x:f>
        <x:v>22.083720102766996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Salmon, smelts, etc</x:v>
      </x:c>
      <x:c r="B5" s="64" t="n">
        <x:v>12</x:v>
      </x:c>
      <x:c r="C5" s="64" t="n">
        <x:v>12</x:v>
      </x:c>
      <x:c r="D5" s="60" t="n">
        <x:v>204.41712619240002</x:v>
      </x:c>
      <x:c r="E5" s="60" t="n">
        <x:v>204.41712619240002</x:v>
      </x:c>
      <x:c r="F5" s="62" t="n">
        <x:v>0</x:v>
      </x:c>
      <x:c r="G5" s="66" t="n">
        <x:v>1</x:v>
      </x:c>
      <x:c r="H5" s="62" t="n">
        <x:f>IF(E5=0,"",I5/E5)</x:f>
        <x:v>2132.295256842899</x:v>
      </x:c>
      <x:c r="I5" s="60" t="n">
        <x:f>SUMIF('Species'!$H$2:$H$20,A5,'Species'!$U$2:$U$20)</x:f>
        <x:v>435877.66859751096</x:v>
      </x:c>
      <x:c r="J5" s="62" t="n">
        <x:v>4.266741798624357</x:v>
      </x:c>
      <x:c r="K5" s="62" t="n">
        <x:f>IF(J5="","",(1/'Metadata'!$B$5)^(J5-1))</x:f>
        <x:v>1848.1694988878553</x:v>
      </x:c>
      <x:c r="L5" s="60" t="n">
        <x:f>IF(E5=0,"",E5*K5)</x:f>
        <x:v>377797.4976791034</x:v>
      </x:c>
      <x:c r="M5" s="60" t="n">
        <x:f>I5-L5</x:f>
        <x:v>58080.17091840756</x:v>
      </x:c>
      <x:c r="N5" s="62" t="n">
        <x:f>IF(L5=0,"",I5/L5)</x:f>
        <x:v>1.1537336040476904</x:v>
      </x:c>
      <x:c r="O5" s="66" t="n">
        <x:f>IF(L5=0,"",M5/L5)</x:f>
        <x:v>0.15373360404769051</x:v>
      </x:c>
    </x:row>
    <x:row r="6" ht="18" customHeight="1">
      <x:c r="A6" s="46" t="str">
        <x:v>Scorpionfishes</x:v>
      </x:c>
      <x:c r="B6" s="64" t="n">
        <x:v>2</x:v>
      </x:c>
      <x:c r="C6" s="64" t="n">
        <x:v>2</x:v>
      </x:c>
      <x:c r="D6" s="60" t="n">
        <x:v>0.045359937700000005</x:v>
      </x:c>
      <x:c r="E6" s="60" t="n">
        <x:v>0.045359937700000005</x:v>
      </x:c>
      <x:c r="F6" s="62" t="n">
        <x:v>0</x:v>
      </x:c>
      <x:c r="G6" s="66" t="n">
        <x:v>1</x:v>
      </x:c>
      <x:c r="H6" s="62" t="n">
        <x:f>IF(E6=0,"",I6/E6)</x:f>
        <x:v>571.9042982625242</x:v>
      </x:c>
      <x:c r="I6" s="60" t="n">
        <x:f>SUMIF('Species'!$H$2:$H$20,A6,'Species'!$U$2:$U$20)</x:f>
        <x:v>25.94154333955032</x:v>
      </x:c>
      <x:c r="J6" s="62" t="n">
        <x:v>3.7532239394808515</x:v>
      </x:c>
      <x:c r="K6" s="62" t="n">
        <x:f>IF(J6="","",(1/'Metadata'!$B$5)^(J6-1))</x:f>
        <x:v>566.5313397912489</x:v>
      </x:c>
      <x:c r="L6" s="60" t="n">
        <x:f>IF(E6=0,"",E6*K6)</x:f>
        <x:v>25.697826278028586</x:v>
      </x:c>
      <x:c r="M6" s="60" t="n">
        <x:f>I6-L6</x:f>
        <x:v>0.24371706152173545</x:v>
      </x:c>
      <x:c r="N6" s="62" t="n">
        <x:f>IF(L6=0,"",I6/L6)</x:f>
        <x:v>1.0094839563037326</x:v>
      </x:c>
      <x:c r="O6" s="66" t="n">
        <x:f>IF(L6=0,"",M6/L6)</x:f>
        <x:v>0.009483956303732638</x:v>
      </x:c>
    </x:row>
  </x:sheetData>
  <x:conditionalFormatting sqref="G2:G6">
    <x:cfRule type="cellIs" dxfId="1" priority="1" operator="lessThan">
      <x:formula>0.9</x:formula>
    </x:cfRule>
  </x:conditionalFormatting>
  <x:conditionalFormatting sqref="O2:O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b840f5b0185471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Large benthopelagics (&gt;=90 cm)</x:v>
      </x:c>
      <x:c r="B2" s="64" t="n">
        <x:v>2</x:v>
      </x:c>
      <x:c r="C2" s="64" t="n">
        <x:v>2</x:v>
      </x:c>
      <x:c r="D2" s="60" t="n">
        <x:v>2.0638226689</x:v>
      </x:c>
      <x:c r="E2" s="60" t="n">
        <x:v>2.0638226689</x:v>
      </x:c>
      <x:c r="F2" s="62" t="n">
        <x:v>0</x:v>
      </x:c>
      <x:c r="G2" s="66" t="n">
        <x:v>1</x:v>
      </x:c>
      <x:c r="H2" s="62" t="n">
        <x:f>IF(E2=0,"",I2/E2)</x:f>
        <x:v>2511.8763786228205</x:v>
      </x:c>
      <x:c r="I2" s="60" t="n">
        <x:f>SUMIF('Species'!$G$2:$G$20,A2,'Species'!$U$2:$U$20)</x:f>
        <x:v>5184.067411676216</x:v>
      </x:c>
      <x:c r="J2" s="62" t="n">
        <x:v>4.399997208626456</x:v>
      </x:c>
      <x:c r="K2" s="62" t="n">
        <x:f>IF(J2="","",(1/'Metadata'!$B$5)^(J2-1))</x:f>
        <x:v>2511.8702867251295</x:v>
      </x:c>
      <x:c r="L2" s="60" t="n">
        <x:f>IF(E2=0,"",E2*K2)</x:f>
        <x:v>5184.054839079665</x:v>
      </x:c>
      <x:c r="M2" s="60" t="n">
        <x:f>I2-L2</x:f>
        <x:v>0.012572596550853632</x:v>
      </x:c>
      <x:c r="N2" s="62" t="n">
        <x:f>IF(L2=0,"",I2/L2)</x:f>
        <x:v>1.000002425243741</x:v>
      </x:c>
      <x:c r="O2" s="66" t="n">
        <x:f>IF(L2=0,"",M2/L2)</x:f>
        <x:v>0.0000024252437408794213</x:v>
      </x:c>
    </x:row>
    <x:row r="3" ht="18" customHeight="1">
      <x:c r="A3" s="46" t="str">
        <x:v>Large demersals (&gt;=90 cm)</x:v>
      </x:c>
      <x:c r="B3" s="64" t="n">
        <x:v>1</x:v>
      </x:c>
      <x:c r="C3" s="64" t="n">
        <x:v>1</x:v>
      </x:c>
      <x:c r="D3" s="60" t="n">
        <x:v>18.6184566574</x:v>
      </x:c>
      <x:c r="E3" s="60" t="n">
        <x:v>18.6184566574</x:v>
      </x:c>
      <x:c r="F3" s="62" t="n">
        <x:v>0</x:v>
      </x:c>
      <x:c r="G3" s="66" t="n">
        <x:v>1</x:v>
      </x:c>
      <x:c r="H3" s="62" t="n">
        <x:f>IF(E3=0,"",I3/E3)</x:f>
        <x:v>1412.5375446227554</x:v>
      </x:c>
      <x:c r="I3" s="60" t="n">
        <x:f>SUMIF('Species'!$G$2:$G$20,A3,'Species'!$U$2:$U$20)</x:f>
        <x:v>26299.26905150899</x:v>
      </x:c>
      <x:c r="J3" s="62" t="n">
        <x:v>4.15</x:v>
      </x:c>
      <x:c r="K3" s="62" t="n">
        <x:f>IF(J3="","",(1/'Metadata'!$B$5)^(J3-1))</x:f>
        <x:v>1412.5375446227554</x:v>
      </x:c>
      <x:c r="L3" s="60" t="n">
        <x:f>IF(E3=0,"",E3*K3)</x:f>
        <x:v>26299.26905150899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Large reef assoc. fish (&gt;=90 cm)</x:v>
      </x:c>
      <x:c r="B4" s="64" t="n">
        <x:v>1</x:v>
      </x:c>
      <x:c r="C4" s="64" t="n">
        <x:v>1</x:v>
      </x:c>
      <x:c r="D4" s="60" t="n">
        <x:v>0.0238986163</x:v>
      </x:c>
      <x:c r="E4" s="60" t="n">
        <x:v>0.0238986163</x:v>
      </x:c>
      <x:c r="F4" s="62" t="n">
        <x:v>0</x:v>
      </x:c>
      <x:c r="G4" s="66" t="n">
        <x:v>1</x:v>
      </x:c>
      <x:c r="H4" s="62" t="n">
        <x:f>IF(E4=0,"",I4/E4)</x:f>
        <x:v>645.6542290346556</x:v>
      </x:c>
      <x:c r="I4" s="60" t="n">
        <x:f>SUMIF('Species'!$G$2:$G$20,A4,'Species'!$U$2:$U$20)</x:f>
        <x:v>15.430242682171555</x:v>
      </x:c>
      <x:c r="J4" s="62" t="n">
        <x:v>3.81</x:v>
      </x:c>
      <x:c r="K4" s="62" t="n">
        <x:f>IF(J4="","",(1/'Metadata'!$B$5)^(J4-1))</x:f>
        <x:v>645.6542290346556</x:v>
      </x:c>
      <x:c r="L4" s="60" t="n">
        <x:f>IF(E4=0,"",E4*K4)</x:f>
        <x:v>15.430242682171555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Medium benthopelagics (30 - 89 cm)</x:v>
      </x:c>
      <x:c r="B5" s="64" t="n">
        <x:v>1</x:v>
      </x:c>
      <x:c r="C5" s="64" t="n">
        <x:v>1</x:v>
      </x:c>
      <x:c r="D5" s="60" t="n">
        <x:v>162.08282598070002</x:v>
      </x:c>
      <x:c r="E5" s="60" t="n">
        <x:v>162.08282598070002</x:v>
      </x:c>
      <x:c r="F5" s="62" t="n">
        <x:v>0</x:v>
      </x:c>
      <x:c r="G5" s="66" t="n">
        <x:v>1</x:v>
      </x:c>
      <x:c r="H5" s="62" t="n">
        <x:f>IF(E5=0,"",I5/E5)</x:f>
        <x:v>2454.7089156850284</x:v>
      </x:c>
      <x:c r="I5" s="60" t="n">
        <x:f>SUMIF('Species'!$G$2:$G$20,A5,'Species'!$U$2:$U$20)</x:f>
        <x:v>397866.1580142493</x:v>
      </x:c>
      <x:c r="J5" s="62" t="n">
        <x:v>4.39</x:v>
      </x:c>
      <x:c r="K5" s="62" t="n">
        <x:f>IF(J5="","",(1/'Metadata'!$B$5)^(J5-1))</x:f>
        <x:v>2454.7089156850284</x:v>
      </x:c>
      <x:c r="L5" s="60" t="n">
        <x:f>IF(E5=0,"",E5*K5)</x:f>
        <x:v>397866.1580142493</x:v>
      </x:c>
      <x:c r="M5" s="60" t="n">
        <x:f>I5-L5</x:f>
        <x:v>0</x:v>
      </x:c>
      <x:c r="N5" s="62" t="n">
        <x:f>IF(L5=0,"",I5/L5)</x:f>
        <x:v>1</x:v>
      </x:c>
      <x:c r="O5" s="66" t="n">
        <x:f>IF(L5=0,"",M5/L5)</x:f>
        <x:v>0</x:v>
      </x:c>
    </x:row>
    <x:row r="6" ht="18" customHeight="1">
      <x:c r="A6" s="46" t="str">
        <x:v>Medium demersals (30 - 89 cm)</x:v>
      </x:c>
      <x:c r="B6" s="64" t="n">
        <x:v>8</x:v>
      </x:c>
      <x:c r="C6" s="64" t="n">
        <x:v>8</x:v>
      </x:c>
      <x:c r="D6" s="60" t="n">
        <x:v>21.428639332699998</x:v>
      </x:c>
      <x:c r="E6" s="60" t="n">
        <x:v>21.428639332699998</x:v>
      </x:c>
      <x:c r="F6" s="62" t="n">
        <x:v>0</x:v>
      </x:c>
      <x:c r="G6" s="66" t="n">
        <x:v>1</x:v>
      </x:c>
      <x:c r="H6" s="62" t="n">
        <x:f>IF(E6=0,"",I6/E6)</x:f>
        <x:v>414.804967193065</x:v>
      </x:c>
      <x:c r="I6" s="60" t="n">
        <x:f>SUMIF('Species'!$G$2:$G$20,A6,'Species'!$U$2:$U$20)</x:f>
        <x:v>8888.706035392644</x:v>
      </x:c>
      <x:c r="J6" s="62" t="n">
        <x:v>3.5519347252345015</x:v>
      </x:c>
      <x:c r="K6" s="62" t="n">
        <x:f>IF(J6="","",(1/'Metadata'!$B$5)^(J6-1))</x:f>
        <x:v>356.3975625966342</x:v>
      </x:c>
      <x:c r="L6" s="60" t="n">
        <x:f>IF(E6=0,"",E6*K6)</x:f>
        <x:v>7637.114827936645</x:v>
      </x:c>
      <x:c r="M6" s="60" t="n">
        <x:f>I6-L6</x:f>
        <x:v>1251.5912074559992</x:v>
      </x:c>
      <x:c r="N6" s="62" t="n">
        <x:f>IF(L6=0,"",I6/L6)</x:f>
        <x:v>1.1638827273982664</x:v>
      </x:c>
      <x:c r="O6" s="66" t="n">
        <x:f>IF(L6=0,"",M6/L6)</x:f>
        <x:v>0.16388272739826637</x:v>
      </x:c>
    </x:row>
    <x:row r="7" ht="18" customHeight="1">
      <x:c r="A7" s="46" t="str">
        <x:v>Medium pelagics (30 - 89 cm)</x:v>
      </x:c>
      <x:c r="B7" s="64" t="n">
        <x:v>5</x:v>
      </x:c>
      <x:c r="C7" s="64" t="n">
        <x:v>5</x:v>
      </x:c>
      <x:c r="D7" s="60" t="n">
        <x:v>8.2695778379</x:v>
      </x:c>
      <x:c r="E7" s="60" t="n">
        <x:v>8.2695778379</x:v>
      </x:c>
      <x:c r="F7" s="62" t="n">
        <x:v>0</x:v>
      </x:c>
      <x:c r="G7" s="66" t="n">
        <x:v>1</x:v>
      </x:c>
      <x:c r="H7" s="62" t="n">
        <x:f>IF(E7=0,"",I7/E7)</x:f>
        <x:v>185.49714316076066</x:v>
      </x:c>
      <x:c r="I7" s="60" t="n">
        <x:f>SUMIF('Species'!$G$2:$G$20,A7,'Species'!$U$2:$U$20)</x:f>
        <x:v>1533.98306407599</x:v>
      </x:c>
      <x:c r="J7" s="62" t="n">
        <x:v>3.254191013903172</x:v>
      </x:c>
      <x:c r="K7" s="62" t="n">
        <x:f>IF(J7="","",(1/'Metadata'!$B$5)^(J7-1))</x:f>
        <x:v>179.5523170542817</x:v>
      </x:c>
      <x:c r="L7" s="60" t="n">
        <x:f>IF(E7=0,"",E7*K7)</x:f>
        <x:v>1484.821861855682</x:v>
      </x:c>
      <x:c r="M7" s="60" t="n">
        <x:f>I7-L7</x:f>
        <x:v>49.161202220307814</x:v>
      </x:c>
      <x:c r="N7" s="62" t="n">
        <x:f>IF(L7=0,"",I7/L7)</x:f>
        <x:v>1.0331091584002325</x:v>
      </x:c>
      <x:c r="O7" s="66" t="n">
        <x:f>IF(L7=0,"",M7/L7)</x:f>
        <x:v>0.03310915840023243</x:v>
      </x:c>
    </x:row>
    <x:row r="8" ht="18" customHeight="1">
      <x:c r="A8" s="46" t="str">
        <x:v>Small pelagics (&lt;30 cm)</x:v>
      </x:c>
      <x:c r="B8" s="64" t="n">
        <x:v>1</x:v>
      </x:c>
      <x:c r="C8" s="64" t="n">
        <x:v>1</x:v>
      </x:c>
      <x:c r="D8" s="60" t="n">
        <x:v>0.3013019341</x:v>
      </x:c>
      <x:c r="E8" s="60" t="n">
        <x:v>0.3013019341</x:v>
      </x:c>
      <x:c r="F8" s="62" t="n">
        <x:v>0</x:v>
      </x:c>
      <x:c r="G8" s="66" t="n">
        <x:v>1</x:v>
      </x:c>
      <x:c r="H8" s="62" t="n">
        <x:f>IF(E8=0,"",I8/E8)</x:f>
        <x:v>288.40315031266056</x:v>
      </x:c>
      <x:c r="I8" s="60" t="n">
        <x:f>SUMIF('Species'!$G$2:$G$20,A8,'Species'!$U$2:$U$20)</x:f>
        <x:v>86.89642698973765</x:v>
      </x:c>
      <x:c r="J8" s="62" t="n">
        <x:v>3.46</x:v>
      </x:c>
      <x:c r="K8" s="62" t="n">
        <x:f>IF(J8="","",(1/'Metadata'!$B$5)^(J8-1))</x:f>
        <x:v>288.40315031266056</x:v>
      </x:c>
      <x:c r="L8" s="60" t="n">
        <x:f>IF(E8=0,"",E8*K8)</x:f>
        <x:v>86.89642698973765</x:v>
      </x:c>
      <x:c r="M8" s="60" t="n">
        <x:f>I8-L8</x:f>
        <x:v>0</x:v>
      </x:c>
      <x:c r="N8" s="62" t="n">
        <x:f>IF(L8=0,"",I8/L8)</x:f>
        <x:v>1</x:v>
      </x:c>
      <x:c r="O8" s="66" t="n">
        <x:f>IF(L8=0,"",M8/L8)</x:f>
        <x:v>0</x:v>
      </x:c>
    </x:row>
  </x:sheetData>
  <x:conditionalFormatting sqref="G2:G8">
    <x:cfRule type="cellIs" dxfId="2" priority="1" operator="lessThan">
      <x:formula>0.9</x:formula>
    </x:cfRule>
  </x:conditionalFormatting>
  <x:conditionalFormatting sqref="O2:O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f934e1c4622403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LME_055</x:v>
      </x:c>
      <x:c r="B2" s="46" t="str">
        <x:v>raw_filtered_tonnes</x:v>
      </x:c>
      <x:c r="C2" s="46" t="n">
        <x:v>212.78852302800001</x:v>
      </x:c>
      <x:c r="D2" s="46" t="str">
        <x:v>tonnes</x:v>
      </x:c>
    </x:row>
    <x:row r="3" ht="18" customHeight="1">
      <x:c r="A3" s="46" t="str">
        <x:v>LME_055</x:v>
      </x:c>
      <x:c r="B3" s="46" t="str">
        <x:v>species_catch_tonnes</x:v>
      </x:c>
      <x:c r="C3" s="46" t="n">
        <x:v>212.78852302800001</x:v>
      </x:c>
      <x:c r="D3" s="46" t="str">
        <x:v>tonnes</x:v>
      </x:c>
    </x:row>
    <x:row r="4" ht="18" customHeight="1">
      <x:c r="A4" s="46" t="str">
        <x:v>LME_055</x:v>
      </x:c>
      <x:c r="B4" s="46" t="str">
        <x:v>catch_difference_tonnes</x:v>
      </x:c>
      <x:c r="C4" s="46" t="n">
        <x:v>0</x:v>
      </x:c>
      <x:c r="D4" s="46" t="str">
        <x:v>tonnes</x:v>
      </x:c>
    </x:row>
    <x:row r="5" ht="18" customHeight="1">
      <x:c r="A5" s="46" t="str">
        <x:v>LME_055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LME_055</x:v>
      </x:c>
      <x:c r="B6" s="46" t="str">
        <x:v>matched_catch_tonnes</x:v>
      </x:c>
      <x:c r="C6" s="46" t="n">
        <x:v>212.78852302800001</x:v>
      </x:c>
      <x:c r="D6" s="46" t="str">
        <x:v>tonnes</x:v>
      </x:c>
    </x:row>
    <x:row r="7" ht="18" customHeight="1">
      <x:c r="A7" s="46" t="str">
        <x:v>LME_055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LME_055</x:v>
      </x:c>
      <x:c r="B8" s="46" t="str">
        <x:v>taxa_count</x:v>
      </x:c>
      <x:c r="C8" s="46" t="n">
        <x:v>19</x:v>
      </x:c>
      <x:c r="D8" s="46" t="str">
        <x:v>count</x:v>
      </x:c>
    </x:row>
    <x:row r="9" ht="18" customHeight="1">
      <x:c r="A9" s="46" t="str">
        <x:v>LME_055</x:v>
      </x:c>
      <x:c r="B9" s="46" t="str">
        <x:v>matched_taxa_count</x:v>
      </x:c>
      <x:c r="C9" s="46" t="n">
        <x:v>19</x:v>
      </x:c>
      <x:c r="D9" s="46" t="str">
        <x:v>count</x:v>
      </x:c>
    </x:row>
    <x:row r="10" ht="18" customHeight="1">
      <x:c r="A10" s="46" t="str">
        <x:v>LME_055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LME_055</x:v>
      </x:c>
      <x:c r="B11" s="46" t="str">
        <x:v>species_ppr</x:v>
      </x:c>
      <x:c r="C11" s="46" t="n">
        <x:v>439874.51024657505</x:v>
      </x:c>
      <x:c r="D11" s="46" t="str">
        <x:v>tonnes_primary_production_equivalent</x:v>
      </x:c>
    </x:row>
    <x:row r="12" ht="18" customHeight="1">
      <x:c r="A12" s="46" t="str">
        <x:v>LME_055</x:v>
      </x:c>
      <x:c r="B12" s="46" t="str">
        <x:v>commercial_ppr</x:v>
      </x:c>
      <x:c r="C12" s="46" t="n">
        <x:v>439874.5102465751</x:v>
      </x:c>
      <x:c r="D12" s="46" t="str">
        <x:v>tonnes_primary_production_equivalent</x:v>
      </x:c>
    </x:row>
    <x:row r="13" ht="18" customHeight="1">
      <x:c r="A13" s="46" t="str">
        <x:v>LME_055</x:v>
      </x:c>
      <x:c r="B13" s="46" t="str">
        <x:v>functional_ppr</x:v>
      </x:c>
      <x:c r="C13" s="46" t="n">
        <x:v>439874.51024657505</x:v>
      </x:c>
      <x:c r="D13" s="46" t="str">
        <x:v>tonnes_primary_production_equivalent</x:v>
      </x:c>
    </x:row>
    <x:row r="14" ht="18" customHeight="1">
      <x:c r="A14" s="46" t="str">
        <x:v>LME_055</x:v>
      </x:c>
      <x:c r="B14" s="46" t="str">
        <x:v>commercial_ppr_difference</x:v>
      </x:c>
      <x:c r="C14" s="46" t="n">
        <x:v>5.820766091346741e-11</x:v>
      </x:c>
      <x:c r="D14" s="46" t="str">
        <x:v>tonnes_primary_production_equivalent</x:v>
      </x:c>
    </x:row>
    <x:row r="15" ht="18" customHeight="1">
      <x:c r="A15" s="46" t="str">
        <x:v>LME_055</x:v>
      </x:c>
      <x:c r="B15" s="46" t="str">
        <x:v>functional_ppr_difference</x:v>
      </x:c>
      <x:c r="C15" s="46" t="n">
        <x:v>0</x:v>
      </x:c>
      <x:c r="D15" s="46" t="str">
        <x:v>tonnes_primary_production_equivalent</x:v>
      </x:c>
    </x:row>
    <x:row r="16" ht="18" customHeight="1">
      <x:c r="A16" s="46" t="str">
        <x:v>LME_055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LME_055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LME_055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LME_055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7fa73638d6c54b8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LME_055 - Beaufort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LME_055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raw_data/SAU_downloads/LME_055-catch.zip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