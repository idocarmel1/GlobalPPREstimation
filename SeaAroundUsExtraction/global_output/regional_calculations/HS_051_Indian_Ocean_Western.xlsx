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7182a13c3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7892ec5fe004181"/>
    <x:sheet xmlns:r="http://schemas.openxmlformats.org/officeDocument/2006/relationships" name="Commercial" sheetId="2" r:id="R27b1116a6b544f2e"/>
    <x:sheet xmlns:r="http://schemas.openxmlformats.org/officeDocument/2006/relationships" name="Functional" sheetId="3" r:id="R066ff50907194d23"/>
    <x:sheet xmlns:r="http://schemas.openxmlformats.org/officeDocument/2006/relationships" name="Missing TL" sheetId="4" r:id="Ra50460dce5614106"/>
    <x:sheet xmlns:r="http://schemas.openxmlformats.org/officeDocument/2006/relationships" name="Validation" sheetId="5" r:id="R1c40a7b0e9834708"/>
    <x:sheet xmlns:r="http://schemas.openxmlformats.org/officeDocument/2006/relationships" name="Metadata" sheetId="6" r:id="R49fd7d43d9db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6e532889249d7" /><Relationship Type="http://schemas.openxmlformats.org/officeDocument/2006/relationships/theme" Target="/xl/theme/theme1.xml" Id="R010b311c8be5436f" /><Relationship Type="http://schemas.openxmlformats.org/officeDocument/2006/relationships/sharedStrings" Target="/xl/sharedStrings.xml" Id="Rcdad0669e1d4418e" /><Relationship Type="http://schemas.openxmlformats.org/officeDocument/2006/relationships/worksheet" Target="/xl/worksheets/sheet1.xml" Id="Rc7892ec5fe004181" /><Relationship Type="http://schemas.openxmlformats.org/officeDocument/2006/relationships/worksheet" Target="/xl/worksheets/sheet2.xml" Id="R27b1116a6b544f2e" /><Relationship Type="http://schemas.openxmlformats.org/officeDocument/2006/relationships/worksheet" Target="/xl/worksheets/sheet3.xml" Id="R066ff50907194d23" /><Relationship Type="http://schemas.openxmlformats.org/officeDocument/2006/relationships/worksheet" Target="/xl/worksheets/sheet4.xml" Id="Ra50460dce5614106" /><Relationship Type="http://schemas.openxmlformats.org/officeDocument/2006/relationships/worksheet" Target="/xl/worksheets/sheet5.xml" Id="R1c40a7b0e9834708" /><Relationship Type="http://schemas.openxmlformats.org/officeDocument/2006/relationships/worksheet" Target="/xl/worksheets/sheet6.xml" Id="R49fd7d43d9db4dab" /></Relationships>
</file>

<file path=xl/tables/table1.xml><?xml version="1.0" encoding="utf-8"?>
<x:table xmlns:x="http://schemas.openxmlformats.org/spreadsheetml/2006/main" id="1" name="HS051SpeciesTable" displayName="HS051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1CommercialTable" displayName="HS05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1FunctionalTable" displayName="HS051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1ValidationTable" displayName="HS05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becfa85e1b4a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84906f695243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4a8da999cb4d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d37765b28643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HS_051</x:v>
      </x:c>
      <x:c r="B2" s="46" t="str">
        <x:v>Indian Ocean, Western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199245.4945859515</x:v>
      </x:c>
      <x:c r="J2" s="60" t="n">
        <x:v>199245.4945859515</x:v>
      </x:c>
      <x:c r="K2" s="60" t="n">
        <x:v>0</x:v>
      </x:c>
      <x:c r="L2" s="60" t="n">
        <x:v>199245.4945859515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536276183.2037199</x:v>
      </x:c>
    </x:row>
    <x:row r="3" ht="18" customHeight="1">
      <x:c r="A3" s="46" t="str">
        <x:v>HS_051</x:v>
      </x:c>
      <x:c r="B3" s="46" t="str">
        <x:v>Indian Ocean, Western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85261.61390728361</x:v>
      </x:c>
      <x:c r="J3" s="60" t="n">
        <x:v>85261.61390728361</x:v>
      </x:c>
      <x:c r="K3" s="60" t="n">
        <x:v>0</x:v>
      </x:c>
      <x:c r="L3" s="60" t="n">
        <x:v>85261.61390728361</x:v>
      </x:c>
      <x:c r="M3" s="60" t="n">
        <x:v>0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219156092.81934896</x:v>
      </x:c>
    </x:row>
    <x:row r="4" ht="18" customHeight="1">
      <x:c r="A4" s="46" t="str">
        <x:v>HS_051</x:v>
      </x:c>
      <x:c r="B4" s="46" t="str">
        <x:v>Indian Ocean, Western</x:v>
      </x:c>
      <x:c r="C4" s="46" t="str">
        <x:v>High Seas</x:v>
      </x:c>
      <x:c r="D4" s="58" t="n">
        <x:v>2019</x:v>
      </x:c>
      <x:c r="E4" s="46" t="str">
        <x:v>Marine pelagic fishes not identified</x:v>
      </x:c>
      <x:c r="F4" s="46" t="str">
        <x:v>Pelagic fishes</x:v>
      </x:c>
      <x:c r="G4" s="46" t="str">
        <x:v>Medium pelagics (30 - 89 cm)</x:v>
      </x:c>
      <x:c r="H4" s="46" t="str">
        <x:v>Other fishes &amp; inverts</x:v>
      </x:c>
      <x:c r="I4" s="60" t="n">
        <x:v>23963.6263892427</x:v>
      </x:c>
      <x:c r="J4" s="60" t="n">
        <x:v>23963.6263892427</x:v>
      </x:c>
      <x:c r="K4" s="60" t="n">
        <x:v>0</x:v>
      </x:c>
      <x:c r="L4" s="60" t="n">
        <x:v>23963.6263892427</x:v>
      </x:c>
      <x:c r="M4" s="60" t="n">
        <x:v>0</x:v>
      </x:c>
      <x:c r="N4" s="46" t="str">
        <x:v>marine pelagic fishes not identified</x:v>
      </x:c>
      <x:c r="O4" s="62" t="n">
        <x:v>3.35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pelagic fishes not identified</x:v>
      </x:c>
      <x:c r="T4" s="62" t="n">
        <x:f>IF(O4="","",(1/'Metadata'!$B$5)^(O4-1))</x:f>
        <x:v>223.872113856834</x:v>
      </x:c>
      <x:c r="U4" s="60" t="n">
        <x:f>IF(T4="","",I4*T4)</x:f>
        <x:v>5364787.695435174</x:v>
      </x:c>
    </x:row>
    <x:row r="5" ht="18" customHeight="1">
      <x:c r="A5" s="46" t="str">
        <x:v>HS_051</x:v>
      </x:c>
      <x:c r="B5" s="46" t="str">
        <x:v>Indian Ocean, Western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22819.531361405</x:v>
      </x:c>
      <x:c r="J5" s="60" t="n">
        <x:v>22819.531361405</x:v>
      </x:c>
      <x:c r="K5" s="60" t="n">
        <x:v>0</x:v>
      </x:c>
      <x:c r="L5" s="60" t="n">
        <x:v>22819.531361405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3090.295432513592</x:v>
      </x:c>
      <x:c r="U5" s="60" t="n">
        <x:f>IF(T5="","",I5*T5)</x:f>
        <x:v>70519093.53825054</x:v>
      </x:c>
    </x:row>
    <x:row r="6" ht="18" customHeight="1">
      <x:c r="A6" s="46" t="str">
        <x:v>HS_051</x:v>
      </x:c>
      <x:c r="B6" s="46" t="str">
        <x:v>Indian Ocean, Western</x:v>
      </x:c>
      <x:c r="C6" s="46" t="str">
        <x:v>High Seas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14385.8709648595</x:v>
      </x:c>
      <x:c r="J6" s="60" t="n">
        <x:v>372.64390697389996</x:v>
      </x:c>
      <x:c r="K6" s="60" t="n">
        <x:v>14013.2270578856</x:v>
      </x:c>
      <x:c r="L6" s="60" t="n">
        <x:v>372.64390697389996</x:v>
      </x:c>
      <x:c r="M6" s="60" t="n">
        <x:v>14013.2270578856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190.54607179632464</x:v>
      </x:c>
      <x:c r="U6" s="60" t="n">
        <x:f>IF(T6="","",I6*T6)</x:f>
        <x:v>2741171.2017227802</x:v>
      </x:c>
    </x:row>
    <x:row r="7" ht="18" customHeight="1">
      <x:c r="A7" s="46" t="str">
        <x:v>HS_051</x:v>
      </x:c>
      <x:c r="B7" s="46" t="str">
        <x:v>Indian Ocean, Western</x:v>
      </x:c>
      <x:c r="C7" s="46" t="str">
        <x:v>High Seas</x:v>
      </x:c>
      <x:c r="D7" s="58" t="n">
        <x:v>2019</x:v>
      </x:c>
      <x:c r="E7" s="46" t="str">
        <x:v>Euthynnus affinis</x:v>
      </x:c>
      <x:c r="F7" s="46" t="str">
        <x:v>Kawakawa</x:v>
      </x:c>
      <x:c r="G7" s="46" t="str">
        <x:v>Large pelagics (&gt;=90 cm)</x:v>
      </x:c>
      <x:c r="H7" s="46" t="str">
        <x:v>Tuna &amp; billfishes</x:v>
      </x:c>
      <x:c r="I7" s="60" t="n">
        <x:v>6312.4838045969</x:v>
      </x:c>
      <x:c r="J7" s="60" t="n">
        <x:v>6312.4838045969</x:v>
      </x:c>
      <x:c r="K7" s="60" t="n">
        <x:v>0</x:v>
      </x:c>
      <x:c r="L7" s="60" t="n">
        <x:v>6312.4838045969</x:v>
      </x:c>
      <x:c r="M7" s="60" t="n">
        <x:v>0</x:v>
      </x:c>
      <x:c r="N7" s="46" t="str">
        <x:v>euthynnus affinis</x:v>
      </x:c>
      <x:c r="O7" s="62" t="n">
        <x:v>4.5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Euthynnus affinis</x:v>
      </x:c>
      <x:c r="T7" s="62" t="n">
        <x:f>IF(O7="","",(1/'Metadata'!$B$5)^(O7-1))</x:f>
        <x:v>3162.2776601683795</x:v>
      </x:c>
      <x:c r="U7" s="60" t="n">
        <x:f>IF(T7="","",I7*T7)</x:f>
        <x:v>19961826.515451476</x:v>
      </x:c>
    </x:row>
    <x:row r="8" ht="18" customHeight="1">
      <x:c r="A8" s="46" t="str">
        <x:v>HS_051</x:v>
      </x:c>
      <x:c r="B8" s="46" t="str">
        <x:v>Indian Ocean, Western</x:v>
      </x:c>
      <x:c r="C8" s="46" t="str">
        <x:v>High Seas</x:v>
      </x:c>
      <x:c r="D8" s="58" t="n">
        <x:v>2019</x:v>
      </x:c>
      <x:c r="E8" s="46" t="str">
        <x:v>Auxis rochei</x:v>
      </x:c>
      <x:c r="F8" s="46" t="str">
        <x:v>Bullet tuna</x:v>
      </x:c>
      <x:c r="G8" s="46" t="str">
        <x:v>Medium pelagics (30 - 89 cm)</x:v>
      </x:c>
      <x:c r="H8" s="46" t="str">
        <x:v>Tuna &amp; billfishes</x:v>
      </x:c>
      <x:c r="I8" s="60" t="n">
        <x:v>5300.5579285691</x:v>
      </x:c>
      <x:c r="J8" s="60" t="n">
        <x:v>5300.5579285691</x:v>
      </x:c>
      <x:c r="K8" s="60" t="n">
        <x:v>0</x:v>
      </x:c>
      <x:c r="L8" s="60" t="n">
        <x:v>5300.5579285691</x:v>
      </x:c>
      <x:c r="M8" s="60" t="n">
        <x:v>0</x:v>
      </x:c>
      <x:c r="N8" s="46" t="str">
        <x:v>auxis rochei</x:v>
      </x:c>
      <x:c r="O8" s="62" t="n">
        <x:v>4.13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Auxis rochei</x:v>
      </x:c>
      <x:c r="T8" s="62" t="n">
        <x:f>IF(O8="","",(1/'Metadata'!$B$5)^(O8-1))</x:f>
        <x:v>1348.9628825916532</x:v>
      </x:c>
      <x:c r="U8" s="60" t="n">
        <x:f>IF(T8="","",I8*T8)</x:f>
        <x:v>7150255.902666615</x:v>
      </x:c>
    </x:row>
    <x:row r="9" ht="18" customHeight="1">
      <x:c r="A9" s="46" t="str">
        <x:v>HS_051</x:v>
      </x:c>
      <x:c r="B9" s="46" t="str">
        <x:v>Indian Ocean, Western</x:v>
      </x:c>
      <x:c r="C9" s="46" t="str">
        <x:v>High Seas</x:v>
      </x:c>
      <x:c r="D9" s="58" t="n">
        <x:v>2019</x:v>
      </x:c>
      <x:c r="E9" s="46" t="str">
        <x:v>Thunnus alalunga</x:v>
      </x:c>
      <x:c r="F9" s="46" t="str">
        <x:v>Albacore</x:v>
      </x:c>
      <x:c r="G9" s="46" t="str">
        <x:v>Large pelagics (&gt;=90 cm)</x:v>
      </x:c>
      <x:c r="H9" s="46" t="str">
        <x:v>Tuna &amp; billfishes</x:v>
      </x:c>
      <x:c r="I9" s="60" t="n">
        <x:v>3922.4550887424</x:v>
      </x:c>
      <x:c r="J9" s="60" t="n">
        <x:v>3922.4550887424</x:v>
      </x:c>
      <x:c r="K9" s="60" t="n">
        <x:v>0</x:v>
      </x:c>
      <x:c r="L9" s="60" t="n">
        <x:v>3922.4550887424</x:v>
      </x:c>
      <x:c r="M9" s="60" t="n">
        <x:v>0</x:v>
      </x:c>
      <x:c r="N9" s="46" t="str">
        <x:v>thunnus alalunga</x:v>
      </x:c>
      <x:c r="O9" s="62" t="n">
        <x:v>4.3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alalunga</x:v>
      </x:c>
      <x:c r="T9" s="62" t="n">
        <x:f>IF(O9="","",(1/'Metadata'!$B$5)^(O9-1))</x:f>
        <x:v>1995.2623149688789</x:v>
      </x:c>
      <x:c r="U9" s="60" t="n">
        <x:f>IF(T9="","",I9*T9)</x:f>
        <x:v>7826326.820725621</x:v>
      </x:c>
    </x:row>
    <x:row r="10" ht="18" customHeight="1">
      <x:c r="A10" s="46" t="str">
        <x:v>HS_051</x:v>
      </x:c>
      <x:c r="B10" s="46" t="str">
        <x:v>Indian Ocean, Western</x:v>
      </x:c>
      <x:c r="C10" s="46" t="str">
        <x:v>High Seas</x:v>
      </x:c>
      <x:c r="D10" s="58" t="n">
        <x:v>2019</x:v>
      </x:c>
      <x:c r="E10" s="46" t="str">
        <x:v>Thunnus maccoyii</x:v>
      </x:c>
      <x:c r="F10" s="46" t="str">
        <x:v>Southern bluefin tuna</x:v>
      </x:c>
      <x:c r="G10" s="46" t="str">
        <x:v>Large pelagics (&gt;=90 cm)</x:v>
      </x:c>
      <x:c r="H10" s="46" t="str">
        <x:v>Tuna &amp; billfishes</x:v>
      </x:c>
      <x:c r="I10" s="60" t="n">
        <x:v>3750.6063975788998</x:v>
      </x:c>
      <x:c r="J10" s="60" t="n">
        <x:v>3750.6063975788998</x:v>
      </x:c>
      <x:c r="K10" s="60" t="n">
        <x:v>0</x:v>
      </x:c>
      <x:c r="L10" s="60" t="n">
        <x:v>3750.6063975788998</x:v>
      </x:c>
      <x:c r="M10" s="60" t="n">
        <x:v>0</x:v>
      </x:c>
      <x:c r="N10" s="46" t="str">
        <x:v>thunnus maccoyii</x:v>
      </x:c>
      <x:c r="O10" s="62" t="n">
        <x:v>3.93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maccoyii</x:v>
      </x:c>
      <x:c r="T10" s="62" t="n">
        <x:f>IF(O10="","",(1/'Metadata'!$B$5)^(O10-1))</x:f>
        <x:v>851.1380382023768</x:v>
      </x:c>
      <x:c r="U10" s="60" t="n">
        <x:f>IF(T10="","",I10*T10)</x:f>
        <x:v>3192283.7713045888</x:v>
      </x:c>
    </x:row>
    <x:row r="11" ht="18" customHeight="1">
      <x:c r="A11" s="46" t="str">
        <x:v>HS_051</x:v>
      </x:c>
      <x:c r="B11" s="46" t="str">
        <x:v>Indian Ocean, Western</x:v>
      </x:c>
      <x:c r="C11" s="46" t="str">
        <x:v>High Seas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3389.7276803252</x:v>
      </x:c>
      <x:c r="J11" s="60" t="n">
        <x:v>3389.7276803252</x:v>
      </x:c>
      <x:c r="K11" s="60" t="n">
        <x:v>0</x:v>
      </x:c>
      <x:c r="L11" s="60" t="n">
        <x:v>3389.7276803252</x:v>
      </x:c>
      <x:c r="M11" s="60" t="n">
        <x:v>0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2344.228815319923</x:v>
      </x:c>
      <x:c r="U11" s="60" t="n">
        <x:f>IF(T11="","",I11*T11)</x:f>
        <x:v>7946297.304305893</x:v>
      </x:c>
    </x:row>
    <x:row r="12" ht="18" customHeight="1">
      <x:c r="A12" s="46" t="str">
        <x:v>HS_051</x:v>
      </x:c>
      <x:c r="B12" s="46" t="str">
        <x:v>Indian Ocean, Western</x:v>
      </x:c>
      <x:c r="C12" s="46" t="str">
        <x:v>High Seas</x:v>
      </x:c>
      <x:c r="D12" s="58" t="n">
        <x:v>2019</x:v>
      </x:c>
      <x:c r="E12" s="46" t="str">
        <x:v>Thunnus tonggol</x:v>
      </x:c>
      <x:c r="F12" s="46" t="str">
        <x:v>Longtail tuna</x:v>
      </x:c>
      <x:c r="G12" s="46" t="str">
        <x:v>Large pelagics (&gt;=90 cm)</x:v>
      </x:c>
      <x:c r="H12" s="46" t="str">
        <x:v>Tuna &amp; billfishes</x:v>
      </x:c>
      <x:c r="I12" s="60" t="n">
        <x:v>3198.1873860709</x:v>
      </x:c>
      <x:c r="J12" s="60" t="n">
        <x:v>3198.1873860709</x:v>
      </x:c>
      <x:c r="K12" s="60" t="n">
        <x:v>0</x:v>
      </x:c>
      <x:c r="L12" s="60" t="n">
        <x:v>3198.1873860709</x:v>
      </x:c>
      <x:c r="M12" s="60" t="n">
        <x:v>0</x:v>
      </x:c>
      <x:c r="N12" s="46" t="str">
        <x:v>thunnus tonggol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Thunnus tonggol</x:v>
      </x:c>
      <x:c r="T12" s="62" t="n">
        <x:f>IF(O12="","",(1/'Metadata'!$B$5)^(O12-1))</x:f>
        <x:v>3162.2776601683795</x:v>
      </x:c>
      <x:c r="U12" s="60" t="n">
        <x:f>IF(T12="","",I12*T12)</x:f>
        <x:v>10113556.524004312</x:v>
      </x:c>
    </x:row>
    <x:row r="13" ht="18" customHeight="1">
      <x:c r="A13" s="46" t="str">
        <x:v>HS_051</x:v>
      </x:c>
      <x:c r="B13" s="46" t="str">
        <x:v>Indian Ocean, Western</x:v>
      </x:c>
      <x:c r="C13" s="46" t="str">
        <x:v>High Seas</x:v>
      </x:c>
      <x:c r="D13" s="58" t="n">
        <x:v>2019</x:v>
      </x:c>
      <x:c r="E13" s="46" t="str">
        <x:v>Prionace glauca</x:v>
      </x:c>
      <x:c r="F13" s="46" t="str">
        <x:v>Blue shark</x:v>
      </x:c>
      <x:c r="G13" s="46" t="str">
        <x:v>Large sharks (&gt;=90 cm)</x:v>
      </x:c>
      <x:c r="H13" s="46" t="str">
        <x:v>Sharks &amp; rays</x:v>
      </x:c>
      <x:c r="I13" s="60" t="n">
        <x:v>2652.22391509</x:v>
      </x:c>
      <x:c r="J13" s="60" t="n">
        <x:v>2652.22391509</x:v>
      </x:c>
      <x:c r="K13" s="60" t="n">
        <x:v>0</x:v>
      </x:c>
      <x:c r="L13" s="60" t="n">
        <x:v>2652.22391509</x:v>
      </x:c>
      <x:c r="M13" s="60" t="n">
        <x:v>0</x:v>
      </x:c>
      <x:c r="N13" s="46" t="str">
        <x:v>prionace glauca</x:v>
      </x:c>
      <x:c r="O13" s="62" t="n">
        <x:v>4.35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Prionace glauca</x:v>
      </x:c>
      <x:c r="T13" s="62" t="n">
        <x:f>IF(O13="","",(1/'Metadata'!$B$5)^(O13-1))</x:f>
        <x:v>2238.7211385683377</x:v>
      </x:c>
      <x:c r="U13" s="60" t="n">
        <x:f>IF(T13="","",I13*T13)</x:f>
        <x:v>5937589.742928459</x:v>
      </x:c>
    </x:row>
    <x:row r="14" ht="18" customHeight="1">
      <x:c r="A14" s="46" t="str">
        <x:v>HS_051</x:v>
      </x:c>
      <x:c r="B14" s="46" t="str">
        <x:v>Indian Ocean, Western</x:v>
      </x:c>
      <x:c r="C14" s="46" t="str">
        <x:v>High Seas</x:v>
      </x:c>
      <x:c r="D14" s="58" t="n">
        <x:v>2019</x:v>
      </x:c>
      <x:c r="E14" s="46" t="str">
        <x:v>Xiphias gladius</x:v>
      </x:c>
      <x:c r="F14" s="46" t="str">
        <x:v>Swordfish</x:v>
      </x:c>
      <x:c r="G14" s="46" t="str">
        <x:v>Large pelagics (&gt;=90 cm)</x:v>
      </x:c>
      <x:c r="H14" s="46" t="str">
        <x:v>Tuna &amp; billfishes</x:v>
      </x:c>
      <x:c r="I14" s="60" t="n">
        <x:v>2311.5398316055002</x:v>
      </x:c>
      <x:c r="J14" s="60" t="n">
        <x:v>2311.5398316055002</x:v>
      </x:c>
      <x:c r="K14" s="60" t="n">
        <x:v>0</x:v>
      </x:c>
      <x:c r="L14" s="60" t="n">
        <x:v>2311.5398316055002</x:v>
      </x:c>
      <x:c r="M14" s="60" t="n">
        <x:v>0</x:v>
      </x:c>
      <x:c r="N14" s="46" t="str">
        <x:v>xiphias gladius</x:v>
      </x:c>
      <x:c r="O14" s="62" t="n">
        <x:v>4.53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Xiphias gladius</x:v>
      </x:c>
      <x:c r="T14" s="62" t="n">
        <x:f>IF(O14="","",(1/'Metadata'!$B$5)^(O14-1))</x:f>
        <x:v>3388.4415613920273</x:v>
      </x:c>
      <x:c r="U14" s="60" t="n">
        <x:f>IF(T14="","",I14*T14)</x:f>
        <x:v>7832517.636225205</x:v>
      </x:c>
    </x:row>
    <x:row r="15" ht="18" customHeight="1">
      <x:c r="A15" s="46" t="str">
        <x:v>HS_051</x:v>
      </x:c>
      <x:c r="B15" s="46" t="str">
        <x:v>Indian Ocean, Western</x:v>
      </x:c>
      <x:c r="C15" s="46" t="str">
        <x:v>High Seas</x:v>
      </x:c>
      <x:c r="D15" s="58" t="n">
        <x:v>2019</x:v>
      </x:c>
      <x:c r="E15" s="46" t="str">
        <x:v>Scombroidei</x:v>
      </x:c>
      <x:c r="F15" s="46" t="str">
        <x:v>Tunas, bonitos, billfishes</x:v>
      </x:c>
      <x:c r="G15" s="46" t="str">
        <x:v>Large pelagics (&gt;=90 cm)</x:v>
      </x:c>
      <x:c r="H15" s="46" t="str">
        <x:v>Tuna &amp; billfishes</x:v>
      </x:c>
      <x:c r="I15" s="60" t="n">
        <x:v>405.964273469</x:v>
      </x:c>
      <x:c r="J15" s="60" t="n">
        <x:v>405.964273469</x:v>
      </x:c>
      <x:c r="K15" s="60" t="n">
        <x:v>0</x:v>
      </x:c>
      <x:c r="L15" s="60" t="n">
        <x:v>405.964273469</x:v>
      </x:c>
      <x:c r="M15" s="60" t="n">
        <x:v>0</x:v>
      </x:c>
      <x:c r="N15" s="46" t="str">
        <x:v>scombroidei</x:v>
      </x:c>
      <x:c r="O15" s="62" t="n">
        <x:v>4.2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Scombroidei</x:v>
      </x:c>
      <x:c r="T15" s="62" t="n">
        <x:f>IF(O15="","",(1/'Metadata'!$B$5)^(O15-1))</x:f>
        <x:v>1584.893192461114</x:v>
      </x:c>
      <x:c r="U15" s="60" t="n">
        <x:f>IF(T15="","",I15*T15)</x:f>
        <x:v>643410.0134034401</x:v>
      </x:c>
    </x:row>
    <x:row r="16" ht="18" customHeight="1">
      <x:c r="A16" s="46" t="str">
        <x:v>HS_051</x:v>
      </x:c>
      <x:c r="B16" s="46" t="str">
        <x:v>Indian Ocean, Western</x:v>
      </x:c>
      <x:c r="C16" s="46" t="str">
        <x:v>High Seas</x:v>
      </x:c>
      <x:c r="D16" s="58" t="n">
        <x:v>2019</x:v>
      </x:c>
      <x:c r="E16" s="46" t="str">
        <x:v>Istiompax indica</x:v>
      </x:c>
      <x:c r="F16" s="46" t="str">
        <x:v>Black marlin</x:v>
      </x:c>
      <x:c r="G16" s="46" t="str">
        <x:v>Large pelagics (&gt;=90 cm)</x:v>
      </x:c>
      <x:c r="H16" s="46" t="str">
        <x:v>Tuna &amp; billfishes</x:v>
      </x:c>
      <x:c r="I16" s="60" t="n">
        <x:v>214.1496959971</x:v>
      </x:c>
      <x:c r="J16" s="60" t="n">
        <x:v>214.1496959971</x:v>
      </x:c>
      <x:c r="K16" s="60" t="n">
        <x:v>0</x:v>
      </x:c>
      <x:c r="L16" s="60" t="n">
        <x:v>214.1496959971</x:v>
      </x:c>
      <x:c r="M16" s="60" t="n">
        <x:v>0</x:v>
      </x:c>
      <x:c r="N16" s="46" t="str">
        <x:v>istiompax indica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Istiompax indica</x:v>
      </x:c>
      <x:c r="T16" s="62" t="n">
        <x:f>IF(O16="","",(1/'Metadata'!$B$5)^(O16-1))</x:f>
        <x:v>3162.2776601683795</x:v>
      </x:c>
      <x:c r="U16" s="60" t="n">
        <x:f>IF(T16="","",I16*T16)</x:f>
        <x:v>677200.7995834792</x:v>
      </x:c>
    </x:row>
    <x:row r="17" ht="18" customHeight="1">
      <x:c r="A17" s="46" t="str">
        <x:v>HS_051</x:v>
      </x:c>
      <x:c r="B17" s="46" t="str">
        <x:v>Indian Ocean, Western</x:v>
      </x:c>
      <x:c r="C17" s="46" t="str">
        <x:v>High Seas</x:v>
      </x:c>
      <x:c r="D17" s="58" t="n">
        <x:v>2019</x:v>
      </x:c>
      <x:c r="E17" s="46" t="str">
        <x:v>Scomberomorus commerson</x:v>
      </x:c>
      <x:c r="F17" s="46" t="str">
        <x:v>Narrow-barred Spanish mackerel</x:v>
      </x:c>
      <x:c r="G17" s="46" t="str">
        <x:v>Large pelagics (&gt;=90 cm)</x:v>
      </x:c>
      <x:c r="H17" s="46" t="str">
        <x:v>Perch-likes</x:v>
      </x:c>
      <x:c r="I17" s="60" t="n">
        <x:v>204.39599492690002</x:v>
      </x:c>
      <x:c r="J17" s="60" t="n">
        <x:v>204.39599492690002</x:v>
      </x:c>
      <x:c r="K17" s="60" t="n">
        <x:v>0</x:v>
      </x:c>
      <x:c r="L17" s="60" t="n">
        <x:v>204.39599492690002</x:v>
      </x:c>
      <x:c r="M17" s="60" t="n">
        <x:v>0</x:v>
      </x:c>
      <x:c r="N17" s="46" t="str">
        <x:v>scomberomorus commerson</x:v>
      </x:c>
      <x:c r="O17" s="62" t="n">
        <x:v>4.5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Scomberomorus commerson</x:v>
      </x:c>
      <x:c r="T17" s="62" t="n">
        <x:f>IF(O17="","",(1/'Metadata'!$B$5)^(O17-1))</x:f>
        <x:v>3162.2776601683795</x:v>
      </x:c>
      <x:c r="U17" s="60" t="n">
        <x:f>IF(T17="","",I17*T17)</x:f>
        <x:v>646356.8885852253</x:v>
      </x:c>
    </x:row>
    <x:row r="18" ht="18" customHeight="1">
      <x:c r="A18" s="46" t="str">
        <x:v>HS_051</x:v>
      </x:c>
      <x:c r="B18" s="46" t="str">
        <x:v>Indian Ocean, Western</x:v>
      </x:c>
      <x:c r="C18" s="46" t="str">
        <x:v>High Seas</x:v>
      </x:c>
      <x:c r="D18" s="58" t="n">
        <x:v>2019</x:v>
      </x:c>
      <x:c r="E18" s="46" t="str">
        <x:v>Istiophorus platypterus</x:v>
      </x:c>
      <x:c r="F18" s="46" t="str">
        <x:v>Indo-Pacific sailfish</x:v>
      </x:c>
      <x:c r="G18" s="46" t="str">
        <x:v>Large pelagics (&gt;=90 cm)</x:v>
      </x:c>
      <x:c r="H18" s="46" t="str">
        <x:v>Tuna &amp; billfishes</x:v>
      </x:c>
      <x:c r="I18" s="60" t="n">
        <x:v>167.0644910289</x:v>
      </x:c>
      <x:c r="J18" s="60" t="n">
        <x:v>167.0644910289</x:v>
      </x:c>
      <x:c r="K18" s="60" t="n">
        <x:v>0</x:v>
      </x:c>
      <x:c r="L18" s="60" t="n">
        <x:v>167.0644910289</x:v>
      </x:c>
      <x:c r="M18" s="60" t="n">
        <x:v>0</x:v>
      </x:c>
      <x:c r="N18" s="46" t="str">
        <x:v>istiophorus platypterus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Istiophorus platypterus</x:v>
      </x:c>
      <x:c r="T18" s="62" t="n">
        <x:f>IF(O18="","",(1/'Metadata'!$B$5)^(O18-1))</x:f>
        <x:v>3162.2776601683795</x:v>
      </x:c>
      <x:c r="U18" s="60" t="n">
        <x:f>IF(T18="","",I18*T18)</x:f>
        <x:v>528304.3077880911</x:v>
      </x:c>
    </x:row>
    <x:row r="19" ht="18" customHeight="1">
      <x:c r="A19" s="46" t="str">
        <x:v>HS_051</x:v>
      </x:c>
      <x:c r="B19" s="46" t="str">
        <x:v>Indian Ocean, Western</x:v>
      </x:c>
      <x:c r="C19" s="46" t="str">
        <x:v>High Seas</x:v>
      </x:c>
      <x:c r="D19" s="58" t="n">
        <x:v>2019</x:v>
      </x:c>
      <x:c r="E19" s="46" t="str">
        <x:v>Isurus</x:v>
      </x:c>
      <x:c r="F19" s="46" t="str">
        <x:v>Mako sharks</x:v>
      </x:c>
      <x:c r="G19" s="46" t="str">
        <x:v>Large sharks (&gt;=90 cm)</x:v>
      </x:c>
      <x:c r="H19" s="46" t="str">
        <x:v>Sharks &amp; rays</x:v>
      </x:c>
      <x:c r="I19" s="60" t="n">
        <x:v>151.817662406</x:v>
      </x:c>
      <x:c r="J19" s="60" t="n">
        <x:v>151.817662406</x:v>
      </x:c>
      <x:c r="K19" s="60" t="n">
        <x:v>0</x:v>
      </x:c>
      <x:c r="L19" s="60" t="n">
        <x:v>151.817662406</x:v>
      </x:c>
      <x:c r="M19" s="60" t="n">
        <x:v>0</x:v>
      </x:c>
      <x:c r="N19" s="46" t="str">
        <x:v>isurus</x:v>
      </x:c>
      <x:c r="O19" s="62" t="n">
        <x:v>4.5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Isurus</x:v>
      </x:c>
      <x:c r="T19" s="62" t="n">
        <x:f>IF(O19="","",(1/'Metadata'!$B$5)^(O19-1))</x:f>
        <x:v>3162.2776601683795</x:v>
      </x:c>
      <x:c r="U19" s="60" t="n">
        <x:f>IF(T19="","",I19*T19)</x:f>
        <x:v>480089.60224547866</x:v>
      </x:c>
    </x:row>
    <x:row r="20" ht="18" customHeight="1">
      <x:c r="A20" s="46" t="str">
        <x:v>HS_051</x:v>
      </x:c>
      <x:c r="B20" s="46" t="str">
        <x:v>Indian Ocean, Western</x:v>
      </x:c>
      <x:c r="C20" s="46" t="str">
        <x:v>High Seas</x:v>
      </x:c>
      <x:c r="D20" s="58" t="n">
        <x:v>2019</x:v>
      </x:c>
      <x:c r="E20" s="46" t="str">
        <x:v>Kajikia audax</x:v>
      </x:c>
      <x:c r="F20" s="46" t="str">
        <x:v>Striped marlin</x:v>
      </x:c>
      <x:c r="G20" s="46" t="str">
        <x:v>Large pelagics (&gt;=90 cm)</x:v>
      </x:c>
      <x:c r="H20" s="46" t="str">
        <x:v>Tuna &amp; billfishes</x:v>
      </x:c>
      <x:c r="I20" s="60" t="n">
        <x:v>61.4291546812</x:v>
      </x:c>
      <x:c r="J20" s="60" t="n">
        <x:v>61.4291546812</x:v>
      </x:c>
      <x:c r="K20" s="60" t="n">
        <x:v>0</x:v>
      </x:c>
      <x:c r="L20" s="60" t="n">
        <x:v>61.4291546812</x:v>
      </x:c>
      <x:c r="M20" s="60" t="n">
        <x:v>0</x:v>
      </x:c>
      <x:c r="N20" s="46" t="str">
        <x:v>kajikia audax</x:v>
      </x:c>
      <x:c r="O20" s="62" t="n">
        <x:v>4.58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Kajikia audax</x:v>
      </x:c>
      <x:c r="T20" s="62" t="n">
        <x:f>IF(O20="","",(1/'Metadata'!$B$5)^(O20-1))</x:f>
        <x:v>3801.8939632056126</x:v>
      </x:c>
      <x:c r="U20" s="60" t="n">
        <x:f>IF(T20="","",I20*T20)</x:f>
        <x:v>233547.1323472781</x:v>
      </x:c>
    </x:row>
    <x:row r="21" ht="18" customHeight="1">
      <x:c r="A21" s="46" t="str">
        <x:v>HS_051</x:v>
      </x:c>
      <x:c r="B21" s="46" t="str">
        <x:v>Indian Ocean, Western</x:v>
      </x:c>
      <x:c r="C21" s="46" t="str">
        <x:v>High Seas</x:v>
      </x:c>
      <x:c r="D21" s="58" t="n">
        <x:v>2019</x:v>
      </x:c>
      <x:c r="E21" s="46" t="str">
        <x:v>Decapterus macarellus</x:v>
      </x:c>
      <x:c r="F21" s="46" t="str">
        <x:v>Mackerel scad</x:v>
      </x:c>
      <x:c r="G21" s="46" t="str">
        <x:v>Medium pelagics (30 - 89 cm)</x:v>
      </x:c>
      <x:c r="H21" s="46" t="str">
        <x:v>Perch-likes</x:v>
      </x:c>
      <x:c r="I21" s="60" t="n">
        <x:v>43.0115681633</x:v>
      </x:c>
      <x:c r="J21" s="60" t="n">
        <x:v>43.0115681633</x:v>
      </x:c>
      <x:c r="K21" s="60" t="n">
        <x:v>0</x:v>
      </x:c>
      <x:c r="L21" s="60" t="n">
        <x:v>43.0115681633</x:v>
      </x:c>
      <x:c r="M21" s="60" t="n">
        <x:v>0</x:v>
      </x:c>
      <x:c r="N21" s="46" t="str">
        <x:v>decapterus macarellus</x:v>
      </x:c>
      <x:c r="O21" s="62" t="n">
        <x:v>3.96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Decapterus macarellus</x:v>
      </x:c>
      <x:c r="T21" s="62" t="n">
        <x:f>IF(O21="","",(1/'Metadata'!$B$5)^(O21-1))</x:f>
        <x:v>912.0108393559096</x:v>
      </x:c>
      <x:c r="U21" s="60" t="n">
        <x:f>IF(T21="","",I21*T21)</x:f>
        <x:v>39227.01638262515</x:v>
      </x:c>
    </x:row>
    <x:row r="22" ht="18" customHeight="1">
      <x:c r="A22" s="46" t="str">
        <x:v>HS_051</x:v>
      </x:c>
      <x:c r="B22" s="46" t="str">
        <x:v>Indian Ocean, Western</x:v>
      </x:c>
      <x:c r="C22" s="46" t="str">
        <x:v>High Seas</x:v>
      </x:c>
      <x:c r="D22" s="58" t="n">
        <x:v>2019</x:v>
      </x:c>
      <x:c r="E22" s="46" t="str">
        <x:v>Elasmobranchii</x:v>
      </x:c>
      <x:c r="F22" s="46" t="str">
        <x:v>Sharks, rays, skates</x:v>
      </x:c>
      <x:c r="G22" s="46" t="str">
        <x:v>Large sharks (&gt;=90 cm)</x:v>
      </x:c>
      <x:c r="H22" s="46" t="str">
        <x:v>Sharks &amp; rays</x:v>
      </x:c>
      <x:c r="I22" s="60" t="n">
        <x:v>29.4204211334</x:v>
      </x:c>
      <x:c r="J22" s="60" t="n">
        <x:v>29.4204211334</x:v>
      </x:c>
      <x:c r="K22" s="60" t="n">
        <x:v>0</x:v>
      </x:c>
      <x:c r="L22" s="60" t="n">
        <x:v>29.4204211334</x:v>
      </x:c>
      <x:c r="M22" s="60" t="n">
        <x:v>0</x:v>
      </x:c>
      <x:c r="N22" s="46" t="str">
        <x:v>elasmobranchii</x:v>
      </x:c>
      <x:c r="O22" s="62" t="n">
        <x:v>4.05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Elasmobranchii</x:v>
      </x:c>
      <x:c r="T22" s="62" t="n">
        <x:f>IF(O22="","",(1/'Metadata'!$B$5)^(O22-1))</x:f>
        <x:v>1122.018454301963</x:v>
      </x:c>
      <x:c r="U22" s="60" t="n">
        <x:f>IF(T22="","",I22*T22)</x:f>
        <x:v>33010.255445010276</x:v>
      </x:c>
    </x:row>
    <x:row r="23" ht="18" customHeight="1">
      <x:c r="A23" s="46" t="str">
        <x:v>HS_051</x:v>
      </x:c>
      <x:c r="B23" s="46" t="str">
        <x:v>Indian Ocean, Western</x:v>
      </x:c>
      <x:c r="C23" s="46" t="str">
        <x:v>High Seas</x:v>
      </x:c>
      <x:c r="D23" s="58" t="n">
        <x:v>2019</x:v>
      </x:c>
      <x:c r="E23" s="46" t="str">
        <x:v>Isurus oxyrinchus</x:v>
      </x:c>
      <x:c r="F23" s="46" t="str">
        <x:v>Shortfin mako</x:v>
      </x:c>
      <x:c r="G23" s="46" t="str">
        <x:v>Large sharks (&gt;=90 cm)</x:v>
      </x:c>
      <x:c r="H23" s="46" t="str">
        <x:v>Sharks &amp; rays</x:v>
      </x:c>
      <x:c r="I23" s="60" t="n">
        <x:v>23.6600843724</x:v>
      </x:c>
      <x:c r="J23" s="60" t="n">
        <x:v>23.6600843724</x:v>
      </x:c>
      <x:c r="K23" s="60" t="n">
        <x:v>0</x:v>
      </x:c>
      <x:c r="L23" s="60" t="n">
        <x:v>23.6600843724</x:v>
      </x:c>
      <x:c r="M23" s="60" t="n">
        <x:v>0</x:v>
      </x:c>
      <x:c r="N23" s="46" t="str">
        <x:v>isurus oxyrinchus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Isurus oxyrinchus</x:v>
      </x:c>
      <x:c r="T23" s="62" t="n">
        <x:f>IF(O23="","",(1/'Metadata'!$B$5)^(O23-1))</x:f>
        <x:v>3162.2776601683795</x:v>
      </x:c>
      <x:c r="U23" s="60" t="n">
        <x:f>IF(T23="","",I23*T23)</x:f>
        <x:v>74819.75624853952</x:v>
      </x:c>
    </x:row>
    <x:row r="24" ht="18" customHeight="1">
      <x:c r="A24" s="46" t="str">
        <x:v>HS_051</x:v>
      </x:c>
      <x:c r="B24" s="46" t="str">
        <x:v>Indian Ocean, Western</x:v>
      </x:c>
      <x:c r="C24" s="46" t="str">
        <x:v>High Seas</x:v>
      </x:c>
      <x:c r="D24" s="58" t="n">
        <x:v>2019</x:v>
      </x:c>
      <x:c r="E24" s="46" t="str">
        <x:v>Carcharhinus falciformis</x:v>
      </x:c>
      <x:c r="F24" s="46" t="str">
        <x:v>Silky shark</x:v>
      </x:c>
      <x:c r="G24" s="46" t="str">
        <x:v>Large sharks (&gt;=90 cm)</x:v>
      </x:c>
      <x:c r="H24" s="46" t="str">
        <x:v>Sharks &amp; rays</x:v>
      </x:c>
      <x:c r="I24" s="60" t="n">
        <x:v>12.1527374839</x:v>
      </x:c>
      <x:c r="J24" s="60" t="n">
        <x:v>12.1527374839</x:v>
      </x:c>
      <x:c r="K24" s="60" t="n">
        <x:v>0</x:v>
      </x:c>
      <x:c r="L24" s="60" t="n">
        <x:v>12.1527374839</x:v>
      </x:c>
      <x:c r="M24" s="60" t="n">
        <x:v>0</x:v>
      </x:c>
      <x:c r="N24" s="46" t="str">
        <x:v>carcharhinus falciformis</x:v>
      </x:c>
      <x:c r="O24" s="62" t="n">
        <x:v>4.51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Carcharhinus falciformis</x:v>
      </x:c>
      <x:c r="T24" s="62" t="n">
        <x:f>IF(O24="","",(1/'Metadata'!$B$5)^(O24-1))</x:f>
        <x:v>3235.936569296281</x:v>
      </x:c>
      <x:c r="U24" s="60" t="n">
        <x:f>IF(T24="","",I24*T24)</x:f>
        <x:v>39325.487641209686</x:v>
      </x:c>
    </x:row>
    <x:row r="25" ht="18" customHeight="1">
      <x:c r="A25" s="46" t="str">
        <x:v>HS_051</x:v>
      </x:c>
      <x:c r="B25" s="46" t="str">
        <x:v>Indian Ocean, Western</x:v>
      </x:c>
      <x:c r="C25" s="46" t="str">
        <x:v>High Seas</x:v>
      </x:c>
      <x:c r="D25" s="58" t="n">
        <x:v>2019</x:v>
      </x:c>
      <x:c r="E25" s="46" t="str">
        <x:v>Tetrapturus angustirostris</x:v>
      </x:c>
      <x:c r="F25" s="46" t="str">
        <x:v>Shortbill spearfish</x:v>
      </x:c>
      <x:c r="G25" s="46" t="str">
        <x:v>Large pelagics (&gt;=90 cm)</x:v>
      </x:c>
      <x:c r="H25" s="46" t="str">
        <x:v>Tuna &amp; billfishes</x:v>
      </x:c>
      <x:c r="I25" s="60" t="n">
        <x:v>9.9829960154</x:v>
      </x:c>
      <x:c r="J25" s="60" t="n">
        <x:v>9.9829960154</x:v>
      </x:c>
      <x:c r="K25" s="60" t="n">
        <x:v>0</x:v>
      </x:c>
      <x:c r="L25" s="60" t="n">
        <x:v>9.9829960154</x:v>
      </x:c>
      <x:c r="M25" s="60" t="n">
        <x:v>0</x:v>
      </x:c>
      <x:c r="N25" s="46" t="str">
        <x:v>tetrapturus angustirostris</x:v>
      </x:c>
      <x:c r="O25" s="62" t="n">
        <x:v>4.5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Tetrapturus angustirostris</x:v>
      </x:c>
      <x:c r="T25" s="62" t="n">
        <x:f>IF(O25="","",(1/'Metadata'!$B$5)^(O25-1))</x:f>
        <x:v>3162.2776601683795</x:v>
      </x:c>
      <x:c r="U25" s="60" t="n">
        <x:f>IF(T25="","",I25*T25)</x:f>
        <x:v>31569.005281049365</x:v>
      </x:c>
    </x:row>
    <x:row r="26" ht="18" customHeight="1">
      <x:c r="A26" s="46" t="str">
        <x:v>HS_051</x:v>
      </x:c>
      <x:c r="B26" s="46" t="str">
        <x:v>Indian Ocean, Western</x:v>
      </x:c>
      <x:c r="C26" s="46" t="str">
        <x:v>High Seas</x:v>
      </x:c>
      <x:c r="D26" s="58" t="n">
        <x:v>2019</x:v>
      </x:c>
      <x:c r="E26" s="46" t="str">
        <x:v>Makaira</x:v>
      </x:c>
      <x:c r="F26" s="46" t="str">
        <x:v>Blue marlins</x:v>
      </x:c>
      <x:c r="G26" s="46" t="str">
        <x:v>Large pelagics (&gt;=90 cm)</x:v>
      </x:c>
      <x:c r="H26" s="46" t="str">
        <x:v>Tuna &amp; billfishes</x:v>
      </x:c>
      <x:c r="I26" s="60" t="n">
        <x:v>3.337168214</x:v>
      </x:c>
      <x:c r="J26" s="60" t="n">
        <x:v>3.337168214</x:v>
      </x:c>
      <x:c r="K26" s="60" t="n">
        <x:v>0</x:v>
      </x:c>
      <x:c r="L26" s="60" t="n">
        <x:v>3.337168214</x:v>
      </x:c>
      <x:c r="M26" s="60" t="n">
        <x:v>0</x:v>
      </x:c>
      <x:c r="N26" s="46" t="str">
        <x:v>makaira</x:v>
      </x:c>
      <x:c r="O26" s="62" t="n">
        <x:v>4.47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Makaira</x:v>
      </x:c>
      <x:c r="T26" s="62" t="n">
        <x:f>IF(O26="","",(1/'Metadata'!$B$5)^(O26-1))</x:f>
        <x:v>2951.209226666384</x:v>
      </x:c>
      <x:c r="U26" s="60" t="n">
        <x:f>IF(T26="","",I26*T26)</x:f>
        <x:v>9848.681624094577</x:v>
      </x:c>
    </x:row>
    <x:row r="27" ht="18" customHeight="1">
      <x:c r="A27" s="46" t="str">
        <x:v>HS_051</x:v>
      </x:c>
      <x:c r="B27" s="46" t="str">
        <x:v>Indian Ocean, Western</x:v>
      </x:c>
      <x:c r="C27" s="46" t="str">
        <x:v>High Seas</x:v>
      </x:c>
      <x:c r="D27" s="58" t="n">
        <x:v>2019</x:v>
      </x:c>
      <x:c r="E27" s="46" t="str">
        <x:v>Istiophoridae</x:v>
      </x:c>
      <x:c r="F27" s="46" t="str">
        <x:v>Billfishes</x:v>
      </x:c>
      <x:c r="G27" s="46" t="str">
        <x:v>Large pelagics (&gt;=90 cm)</x:v>
      </x:c>
      <x:c r="H27" s="46" t="str">
        <x:v>Tuna &amp; billfishes</x:v>
      </x:c>
      <x:c r="I27" s="60" t="n">
        <x:v>2.8782416964</x:v>
      </x:c>
      <x:c r="J27" s="60" t="n">
        <x:v>2.8782416964</x:v>
      </x:c>
      <x:c r="K27" s="60" t="n">
        <x:v>0</x:v>
      </x:c>
      <x:c r="L27" s="60" t="n">
        <x:v>2.8782416964</x:v>
      </x:c>
      <x:c r="M27" s="60" t="n">
        <x:v>0</x:v>
      </x:c>
      <x:c r="N27" s="46" t="str">
        <x:v>istiophoridae</x:v>
      </x:c>
      <x:c r="O27" s="62" t="n">
        <x:v>4.48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Istiophoridae</x:v>
      </x:c>
      <x:c r="T27" s="62" t="n">
        <x:f>IF(O27="","",(1/'Metadata'!$B$5)^(O27-1))</x:f>
        <x:v>3019.951720402019</x:v>
      </x:c>
      <x:c r="U27" s="60" t="n">
        <x:f>IF(T27="","",I27*T27)</x:f>
        <x:v>8692.150962776006</x:v>
      </x:c>
    </x:row>
    <x:row r="28" ht="18" customHeight="1">
      <x:c r="A28" s="46" t="str">
        <x:v>HS_051</x:v>
      </x:c>
      <x:c r="B28" s="46" t="str">
        <x:v>Indian Ocean, Western</x:v>
      </x:c>
      <x:c r="C28" s="46" t="str">
        <x:v>High Seas</x:v>
      </x:c>
      <x:c r="D28" s="58" t="n">
        <x:v>2019</x:v>
      </x:c>
      <x:c r="E28" s="46" t="str">
        <x:v>Rajiformes</x:v>
      </x:c>
      <x:c r="F28" s="46" t="str">
        <x:v>Skates and rays</x:v>
      </x:c>
      <x:c r="G28" s="46" t="str">
        <x:v>Large rays (&gt;=90 cm)</x:v>
      </x:c>
      <x:c r="H28" s="46" t="str">
        <x:v>Sharks &amp; rays</x:v>
      </x:c>
      <x:c r="I28" s="60" t="n">
        <x:v>2.4930363256</x:v>
      </x:c>
      <x:c r="J28" s="60" t="n">
        <x:v>2.4930363256</x:v>
      </x:c>
      <x:c r="K28" s="60" t="n">
        <x:v>0</x:v>
      </x:c>
      <x:c r="L28" s="60" t="n">
        <x:v>2.4930363256</x:v>
      </x:c>
      <x:c r="M28" s="60" t="n">
        <x:v>0</x:v>
      </x:c>
      <x:c r="N28" s="46" t="str">
        <x:v>rajiformes</x:v>
      </x:c>
      <x:c r="O28" s="62" t="n">
        <x:v>3.61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Rajiformes</x:v>
      </x:c>
      <x:c r="T28" s="62" t="n">
        <x:f>IF(O28="","",(1/'Metadata'!$B$5)^(O28-1))</x:f>
        <x:v>407.3802778041126</x:v>
      </x:c>
      <x:c r="U28" s="60" t="n">
        <x:f>IF(T28="","",I28*T28)</x:f>
        <x:v>1015.6138308986721</x:v>
      </x:c>
    </x:row>
    <x:row r="29" ht="18" customHeight="1">
      <x:c r="A29" s="46" t="str">
        <x:v>HS_051</x:v>
      </x:c>
      <x:c r="B29" s="46" t="str">
        <x:v>Indian Ocean, Western</x:v>
      </x:c>
      <x:c r="C29" s="46" t="str">
        <x:v>High Seas</x:v>
      </x:c>
      <x:c r="D29" s="58" t="n">
        <x:v>2019</x:v>
      </x:c>
      <x:c r="E29" s="46" t="str">
        <x:v>Coryphaena hippurus</x:v>
      </x:c>
      <x:c r="F29" s="46" t="str">
        <x:v>Common dolphinfish</x:v>
      </x:c>
      <x:c r="G29" s="46" t="str">
        <x:v>Large pelagics (&gt;=90 cm)</x:v>
      </x:c>
      <x:c r="H29" s="46" t="str">
        <x:v>Perch-likes</x:v>
      </x:c>
      <x:c r="I29" s="60" t="n">
        <x:v>2.1213477334</x:v>
      </x:c>
      <x:c r="J29" s="60" t="n">
        <x:v>2.1213477334</x:v>
      </x:c>
      <x:c r="K29" s="60" t="n">
        <x:v>0</x:v>
      </x:c>
      <x:c r="L29" s="60" t="n">
        <x:v>2.1213477334</x:v>
      </x:c>
      <x:c r="M29" s="60" t="n">
        <x:v>0</x:v>
      </x:c>
      <x:c r="N29" s="46" t="str">
        <x:v>coryphaena hippurus</x:v>
      </x:c>
      <x:c r="O29" s="62" t="n">
        <x:v>4.37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Coryphaena hippurus</x:v>
      </x:c>
      <x:c r="T29" s="62" t="n">
        <x:f>IF(O29="","",(1/'Metadata'!$B$5)^(O29-1))</x:f>
        <x:v>2344.228815319923</x:v>
      </x:c>
      <x:c r="U29" s="60" t="n">
        <x:f>IF(T29="","",I29*T29)</x:f>
        <x:v>4972.924483949885</x:v>
      </x:c>
    </x:row>
    <x:row r="30" ht="18" customHeight="1">
      <x:c r="A30" s="46" t="str">
        <x:v>HS_051</x:v>
      </x:c>
      <x:c r="B30" s="46" t="str">
        <x:v>Indian Ocean, Western</x:v>
      </x:c>
      <x:c r="C30" s="46" t="str">
        <x:v>High Seas</x:v>
      </x:c>
      <x:c r="D30" s="58" t="n">
        <x:v>2019</x:v>
      </x:c>
      <x:c r="E30" s="46" t="str">
        <x:v>Sphyrna lewini</x:v>
      </x:c>
      <x:c r="F30" s="46" t="str">
        <x:v>Scalloped hammerhead</x:v>
      </x:c>
      <x:c r="G30" s="46" t="str">
        <x:v>Large sharks (&gt;=90 cm)</x:v>
      </x:c>
      <x:c r="H30" s="46" t="str">
        <x:v>Sharks &amp; rays</x:v>
      </x:c>
      <x:c r="I30" s="60" t="n">
        <x:v>2.1146216455999998</x:v>
      </x:c>
      <x:c r="J30" s="60" t="n">
        <x:v>2.1146216455999998</x:v>
      </x:c>
      <x:c r="K30" s="60" t="n">
        <x:v>0</x:v>
      </x:c>
      <x:c r="L30" s="60" t="n">
        <x:v>2.1146216455999998</x:v>
      </x:c>
      <x:c r="M30" s="60" t="n">
        <x:v>0</x:v>
      </x:c>
      <x:c r="N30" s="46" t="str">
        <x:v>sphyrna lewini</x:v>
      </x:c>
      <x:c r="O30" s="62" t="n">
        <x:v>4.08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Sphyrna lewini</x:v>
      </x:c>
      <x:c r="T30" s="62" t="n">
        <x:f>IF(O30="","",(1/'Metadata'!$B$5)^(O30-1))</x:f>
        <x:v>1202.2644346174131</x:v>
      </x:c>
      <x:c r="U30" s="60" t="n">
        <x:f>IF(T30="","",I30*T30)</x:f>
        <x:v>2542.3343971770273</x:v>
      </x:c>
    </x:row>
    <x:row r="31" ht="18" customHeight="1">
      <x:c r="A31" s="46" t="str">
        <x:v>HS_051</x:v>
      </x:c>
      <x:c r="B31" s="46" t="str">
        <x:v>Indian Ocean, Western</x:v>
      </x:c>
      <x:c r="C31" s="46" t="str">
        <x:v>High Seas</x:v>
      </x:c>
      <x:c r="D31" s="58" t="n">
        <x:v>2019</x:v>
      </x:c>
      <x:c r="E31" s="46" t="str">
        <x:v>Acanthocybium solandri</x:v>
      </x:c>
      <x:c r="F31" s="46" t="str">
        <x:v>Wahoo</x:v>
      </x:c>
      <x:c r="G31" s="46" t="str">
        <x:v>Large pelagics (&gt;=90 cm)</x:v>
      </x:c>
      <x:c r="H31" s="46" t="str">
        <x:v>Perch-likes</x:v>
      </x:c>
      <x:c r="I31" s="60" t="n">
        <x:v>1.8804658197</x:v>
      </x:c>
      <x:c r="J31" s="60" t="n">
        <x:v>1.8804658197</x:v>
      </x:c>
      <x:c r="K31" s="60" t="n">
        <x:v>0</x:v>
      </x:c>
      <x:c r="L31" s="60" t="n">
        <x:v>1.8804658197</x:v>
      </x:c>
      <x:c r="M31" s="60" t="n">
        <x:v>0</x:v>
      </x:c>
      <x:c r="N31" s="46" t="str">
        <x:v>acanthocybium solandri</x:v>
      </x:c>
      <x:c r="O31" s="62" t="n">
        <x:v>4.26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Acanthocybium solandri</x:v>
      </x:c>
      <x:c r="T31" s="62" t="n">
        <x:f>IF(O31="","",(1/'Metadata'!$B$5)^(O31-1))</x:f>
        <x:v>1819.7008586099826</x:v>
      </x:c>
      <x:c r="U31" s="60" t="n">
        <x:f>IF(T31="","",I31*T31)</x:f>
        <x:v>3421.8852666948146</x:v>
      </x:c>
    </x:row>
    <x:row r="32" ht="18" customHeight="1">
      <x:c r="A32" s="46" t="str">
        <x:v>HS_051</x:v>
      </x:c>
      <x:c r="B32" s="46" t="str">
        <x:v>Indian Ocean, Western</x:v>
      </x:c>
      <x:c r="C32" s="46" t="str">
        <x:v>High Seas</x:v>
      </x:c>
      <x:c r="D32" s="58" t="n">
        <x:v>2019</x:v>
      </x:c>
      <x:c r="E32" s="46" t="str">
        <x:v>Isurus paucus</x:v>
      </x:c>
      <x:c r="F32" s="46" t="str">
        <x:v>Longfin mako</x:v>
      </x:c>
      <x:c r="G32" s="46" t="str">
        <x:v>Large sharks (&gt;=90 cm)</x:v>
      </x:c>
      <x:c r="H32" s="46" t="str">
        <x:v>Sharks &amp; rays</x:v>
      </x:c>
      <x:c r="I32" s="60" t="n">
        <x:v>1.7811161592</x:v>
      </x:c>
      <x:c r="J32" s="60" t="n">
        <x:v>1.7811161592</x:v>
      </x:c>
      <x:c r="K32" s="60" t="n">
        <x:v>0</x:v>
      </x:c>
      <x:c r="L32" s="60" t="n">
        <x:v>1.7811161592</x:v>
      </x:c>
      <x:c r="M32" s="60" t="n">
        <x:v>0</x:v>
      </x:c>
      <x:c r="N32" s="46" t="str">
        <x:v>isurus paucus</x:v>
      </x:c>
      <x:c r="O32" s="62" t="n">
        <x:v>4.51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Isurus paucus</x:v>
      </x:c>
      <x:c r="T32" s="62" t="n">
        <x:f>IF(O32="","",(1/'Metadata'!$B$5)^(O32-1))</x:f>
        <x:v>3235.936569296281</x:v>
      </x:c>
      <x:c r="U32" s="60" t="n">
        <x:f>IF(T32="","",I32*T32)</x:f>
        <x:v>5763.578913719817</x:v>
      </x:c>
    </x:row>
    <x:row r="33" ht="18" customHeight="1">
      <x:c r="A33" s="46" t="str">
        <x:v>HS_051</x:v>
      </x:c>
      <x:c r="B33" s="46" t="str">
        <x:v>Indian Ocean, Western</x:v>
      </x:c>
      <x:c r="C33" s="46" t="str">
        <x:v>High Seas</x:v>
      </x:c>
      <x:c r="D33" s="58" t="n">
        <x:v>2019</x:v>
      </x:c>
      <x:c r="E33" s="46" t="str">
        <x:v>Scomberomorus guttatus</x:v>
      </x:c>
      <x:c r="F33" s="46" t="str">
        <x:v>Indo-Pacific king mackerel</x:v>
      </x:c>
      <x:c r="G33" s="46" t="str">
        <x:v>Medium pelagics (30 - 89 cm)</x:v>
      </x:c>
      <x:c r="H33" s="46" t="str">
        <x:v>Perch-likes</x:v>
      </x:c>
      <x:c r="I33" s="60" t="n">
        <x:v>0.275021709</x:v>
      </x:c>
      <x:c r="J33" s="60" t="n">
        <x:v>0.275021709</x:v>
      </x:c>
      <x:c r="K33" s="60" t="n">
        <x:v>0</x:v>
      </x:c>
      <x:c r="L33" s="60" t="n">
        <x:v>0.275021709</x:v>
      </x:c>
      <x:c r="M33" s="60" t="n">
        <x:v>0</x:v>
      </x:c>
      <x:c r="N33" s="46" t="str">
        <x:v>scomberomorus guttatus</x:v>
      </x:c>
      <x:c r="O33" s="62" t="n">
        <x:v>4.28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Scomberomorus guttatus</x:v>
      </x:c>
      <x:c r="T33" s="62" t="n">
        <x:f>IF(O33="","",(1/'Metadata'!$B$5)^(O33-1))</x:f>
        <x:v>1905.4607179632483</x:v>
      </x:c>
      <x:c r="U33" s="60" t="n">
        <x:f>IF(T33="","",I33*T33)</x:f>
        <x:v>524.0430630866196</x:v>
      </x:c>
    </x:row>
    <x:row r="34" ht="18" customHeight="1">
      <x:c r="A34" s="46" t="str">
        <x:v>HS_051</x:v>
      </x:c>
      <x:c r="B34" s="46" t="str">
        <x:v>Indian Ocean, Western</x:v>
      </x:c>
      <x:c r="C34" s="46" t="str">
        <x:v>High Seas</x:v>
      </x:c>
      <x:c r="D34" s="58" t="n">
        <x:v>2019</x:v>
      </x:c>
      <x:c r="E34" s="46" t="str">
        <x:v>Sphyrna</x:v>
      </x:c>
      <x:c r="F34" s="46" t="str">
        <x:v>Hammerhead sharks</x:v>
      </x:c>
      <x:c r="G34" s="46" t="str">
        <x:v>Large sharks (&gt;=90 cm)</x:v>
      </x:c>
      <x:c r="H34" s="46" t="str">
        <x:v>Sharks &amp; rays</x:v>
      </x:c>
      <x:c r="I34" s="60" t="n">
        <x:v>0.1309717526</x:v>
      </x:c>
      <x:c r="J34" s="60" t="n">
        <x:v>0.1309717526</x:v>
      </x:c>
      <x:c r="K34" s="60" t="n">
        <x:v>0</x:v>
      </x:c>
      <x:c r="L34" s="60" t="n">
        <x:v>0.1309717526</x:v>
      </x:c>
      <x:c r="M34" s="60" t="n">
        <x:v>0</x:v>
      </x:c>
      <x:c r="N34" s="46" t="str">
        <x:v>sphyrna</x:v>
      </x:c>
      <x:c r="O34" s="62" t="n">
        <x:v>4.2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Sphyrna</x:v>
      </x:c>
      <x:c r="T34" s="62" t="n">
        <x:f>IF(O34="","",(1/'Metadata'!$B$5)^(O34-1))</x:f>
        <x:v>1584.893192461114</x:v>
      </x:c>
      <x:c r="U34" s="60" t="n">
        <x:f>IF(T34="","",I34*T34)</x:f>
        <x:v>207.5762391004412</x:v>
      </x:c>
    </x:row>
    <x:row r="35" ht="18" customHeight="1">
      <x:c r="A35" s="46" t="str">
        <x:v>HS_051</x:v>
      </x:c>
      <x:c r="B35" s="46" t="str">
        <x:v>Indian Ocean, Western</x:v>
      </x:c>
      <x:c r="C35" s="46" t="str">
        <x:v>High Seas</x:v>
      </x:c>
      <x:c r="D35" s="58" t="n">
        <x:v>2019</x:v>
      </x:c>
      <x:c r="E35" s="46" t="str">
        <x:v>Ruvettus pretiosus</x:v>
      </x:c>
      <x:c r="F35" s="46" t="str">
        <x:v>Oilfish</x:v>
      </x:c>
      <x:c r="G35" s="46" t="str">
        <x:v>Large benthopelagics (&gt;=90 cm)</x:v>
      </x:c>
      <x:c r="H35" s="46" t="str">
        <x:v>Perch-likes</x:v>
      </x:c>
      <x:c r="I35" s="60" t="n">
        <x:v>0.0267831636</x:v>
      </x:c>
      <x:c r="J35" s="60" t="n">
        <x:v>0.0267831636</x:v>
      </x:c>
      <x:c r="K35" s="60" t="n">
        <x:v>0</x:v>
      </x:c>
      <x:c r="L35" s="60" t="n">
        <x:v>0.0267831636</x:v>
      </x:c>
      <x:c r="M35" s="60" t="n">
        <x:v>0</x:v>
      </x:c>
      <x:c r="N35" s="46" t="str">
        <x:v>ruvettus pretiosus</x:v>
      </x:c>
      <x:c r="O35" s="62" t="n">
        <x:v>4.18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Ruvettus pretiosus</x:v>
      </x:c>
      <x:c r="T35" s="62" t="n">
        <x:f>IF(O35="","",(1/'Metadata'!$B$5)^(O35-1))</x:f>
        <x:v>1513.5612484362073</x:v>
      </x:c>
      <x:c r="U35" s="60" t="n">
        <x:f>IF(T35="","",I35*T35)</x:f>
        <x:v>40.537958535487185</x:v>
      </x:c>
    </x:row>
    <x:row r="36" ht="18" customHeight="1">
      <x:c r="A36" s="46" t="str">
        <x:v>HS_051</x:v>
      </x:c>
      <x:c r="B36" s="46" t="str">
        <x:v>Indian Ocean, Western</x:v>
      </x:c>
      <x:c r="C36" s="46" t="str">
        <x:v>High Seas</x:v>
      </x:c>
      <x:c r="D36" s="58" t="n">
        <x:v>2019</x:v>
      </x:c>
      <x:c r="E36" s="46" t="str">
        <x:v>Lamna nasus</x:v>
      </x:c>
      <x:c r="F36" s="46" t="str">
        <x:v>Porbeagle</x:v>
      </x:c>
      <x:c r="G36" s="46" t="str">
        <x:v>Large sharks (&gt;=90 cm)</x:v>
      </x:c>
      <x:c r="H36" s="46" t="str">
        <x:v>Sharks &amp; rays</x:v>
      </x:c>
      <x:c r="I36" s="60" t="n">
        <x:v>0.0012124092</x:v>
      </x:c>
      <x:c r="J36" s="60" t="n">
        <x:v>0.0012124092</x:v>
      </x:c>
      <x:c r="K36" s="60" t="n">
        <x:v>0</x:v>
      </x:c>
      <x:c r="L36" s="60" t="n">
        <x:v>0.0012124092</x:v>
      </x:c>
      <x:c r="M36" s="60" t="n">
        <x:v>0</x:v>
      </x:c>
      <x:c r="N36" s="46" t="str">
        <x:v>lamna nasus</x:v>
      </x:c>
      <x:c r="O36" s="62" t="n">
        <x:v>4.57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Lamna nasus</x:v>
      </x:c>
      <x:c r="T36" s="62" t="n">
        <x:f>IF(O36="","",(1/'Metadata'!$B$5)^(O36-1))</x:f>
        <x:v>3715.3522909717276</x:v>
      </x:c>
      <x:c r="U36" s="60" t="n">
        <x:f>IF(T36="","",I36*T36)</x:f>
        <x:v>4.5045272988152</x:v>
      </x:c>
    </x:row>
    <x:row r="37" ht="18" customHeight="1">
      <x:c r="A37" s="46" t="str">
        <x:v>HS_051</x:v>
      </x:c>
      <x:c r="B37" s="46" t="str">
        <x:v>Indian Ocean, Western</x:v>
      </x:c>
      <x:c r="C37" s="46" t="str">
        <x:v>High Seas</x:v>
      </x:c>
      <x:c r="D37" s="58" t="n">
        <x:v>2019</x:v>
      </x:c>
      <x:c r="E37" s="46" t="str">
        <x:v>Coryphaena</x:v>
      </x:c>
      <x:c r="F37" s="46" t="str">
        <x:v>Dolphinfishes</x:v>
      </x:c>
      <x:c r="G37" s="46" t="str">
        <x:v>Large pelagics (&gt;=90 cm)</x:v>
      </x:c>
      <x:c r="H37" s="46" t="str">
        <x:v>Perch-likes</x:v>
      </x:c>
      <x:c r="I37" s="60" t="n">
        <x:v>0.0000209171</x:v>
      </x:c>
      <x:c r="J37" s="60" t="n">
        <x:v>0.0000209171</x:v>
      </x:c>
      <x:c r="K37" s="60" t="n">
        <x:v>0</x:v>
      </x:c>
      <x:c r="L37" s="60" t="n">
        <x:v>0.0000209171</x:v>
      </x:c>
      <x:c r="M37" s="60" t="n">
        <x:v>0</x:v>
      </x:c>
      <x:c r="N37" s="46" t="str">
        <x:v>coryphaena</x:v>
      </x:c>
      <x:c r="O37" s="62" t="n">
        <x:v>4.49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Coryphaena</x:v>
      </x:c>
      <x:c r="T37" s="62" t="n">
        <x:f>IF(O37="","",(1/'Metadata'!$B$5)^(O37-1))</x:f>
        <x:v>3090.295432513592</x:v>
      </x:c>
      <x:c r="U37" s="60" t="n">
        <x:f>IF(T37="","",I37*T37)</x:f>
        <x:v>0.06464001859143005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dbecfa85e1b4a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38349.497354102205</x:v>
      </x:c>
      <x:c r="E2" s="60" t="n">
        <x:v>38349.497354102205</x:v>
      </x:c>
      <x:c r="F2" s="62" t="n">
        <x:v>0</x:v>
      </x:c>
      <x:c r="G2" s="66" t="n">
        <x:v>1</x:v>
      </x:c>
      <x:c r="H2" s="62" t="n">
        <x:f>IF(E2=0,"",I2/E2)</x:f>
        <x:v>211.37066862470542</x:v>
      </x:c>
      <x:c r="I2" s="60" t="n">
        <x:f>SUMIF('Species'!$H$2:$H$37,A2,'Species'!$U$2:$U$37)</x:f>
        <x:v>8105958.897157954</x:v>
      </x:c>
      <x:c r="J2" s="62" t="n">
        <x:v>3.3237412212149255</x:v>
      </x:c>
      <x:c r="K2" s="62" t="n">
        <x:f>IF(J2="","",(1/'Metadata'!$B$5)^(J2-1))</x:f>
        <x:v>210.7372076658481</x:v>
      </x:c>
      <x:c r="L2" s="60" t="n">
        <x:f>IF(E2=0,"",E2*K2)</x:f>
        <x:v>8081665.987792329</x:v>
      </x:c>
      <x:c r="M2" s="60" t="n">
        <x:f>I2-L2</x:f>
        <x:v>24292.90936562512</x:v>
      </x:c>
      <x:c r="N2" s="62" t="n">
        <x:f>IF(L2=0,"",I2/L2)</x:f>
        <x:v>1.003005928406633</x:v>
      </x:c>
      <x:c r="O2" s="66" t="n">
        <x:f>IF(L2=0,"",M2/L2)</x:f>
        <x:v>0.0030059284066330516</x:v>
      </x:c>
    </x:row>
    <x:row r="3" ht="18" customHeight="1">
      <x:c r="A3" s="46" t="str">
        <x:v>Perch-likes</x:v>
      </x:c>
      <x:c r="B3" s="64" t="n">
        <x:v>7</x:v>
      </x:c>
      <x:c r="C3" s="64" t="n">
        <x:v>7</x:v>
      </x:c>
      <x:c r="D3" s="60" t="n">
        <x:v>251.71120243299998</x:v>
      </x:c>
      <x:c r="E3" s="60" t="n">
        <x:v>251.71120243299998</x:v>
      </x:c>
      <x:c r="F3" s="62" t="n">
        <x:v>0</x:v>
      </x:c>
      <x:c r="G3" s="66" t="n">
        <x:v>1</x:v>
      </x:c>
      <x:c r="H3" s="62" t="n">
        <x:f>IF(E3=0,"",I3/E3)</x:f>
        <x:v>2759.2866494092896</x:v>
      </x:c>
      <x:c r="I3" s="60" t="n">
        <x:f>SUMIF('Species'!$H$2:$H$37,A3,'Species'!$U$2:$U$37)</x:f>
        <x:v>694543.360380136</x:v>
      </x:c>
      <x:c r="J3" s="62" t="n">
        <x:v>4.404563606325193</x:v>
      </x:c>
      <x:c r="K3" s="62" t="n">
        <x:f>IF(J3="","",(1/'Metadata'!$B$5)^(J3-1))</x:f>
        <x:v>2538.4207332420333</x:v>
      </x:c>
      <x:c r="L3" s="60" t="n">
        <x:f>IF(E3=0,"",E3*K3)</x:f>
        <x:v>638948.9350452097</x:v>
      </x:c>
      <x:c r="M3" s="60" t="n">
        <x:f>I3-L3</x:f>
        <x:v>55594.42533492623</x:v>
      </x:c>
      <x:c r="N3" s="62" t="n">
        <x:f>IF(L3=0,"",I3/L3)</x:f>
        <x:v>1.087009183810585</x:v>
      </x:c>
      <x:c r="O3" s="66" t="n">
        <x:f>IF(L3=0,"",M3/L3)</x:f>
        <x:v>0.08700918381058506</x:v>
      </x:c>
    </x:row>
    <x:row r="4" ht="18" customHeight="1">
      <x:c r="A4" s="46" t="str">
        <x:v>Sharks &amp; rays</x:v>
      </x:c>
      <x:c r="B4" s="64" t="n">
        <x:v>10</x:v>
      </x:c>
      <x:c r="C4" s="64" t="n">
        <x:v>10</x:v>
      </x:c>
      <x:c r="D4" s="60" t="n">
        <x:v>2875.7957787779</x:v>
      </x:c>
      <x:c r="E4" s="60" t="n">
        <x:v>2875.7957787779</x:v>
      </x:c>
      <x:c r="F4" s="62" t="n">
        <x:v>0</x:v>
      </x:c>
      <x:c r="G4" s="66" t="n">
        <x:v>1</x:v>
      </x:c>
      <x:c r="H4" s="62" t="n">
        <x:f>IF(E4=0,"",I4/E4)</x:f>
        <x:v>2286.1040762813623</x:v>
      </x:c>
      <x:c r="I4" s="60" t="n">
        <x:f>SUMIF('Species'!$H$2:$H$37,A4,'Species'!$U$2:$U$37)</x:f>
        <x:v>6574368.452416892</x:v>
      </x:c>
      <x:c r="J4" s="62" t="n">
        <x:v>4.356012171875731</x:v>
      </x:c>
      <x:c r="K4" s="62" t="n">
        <x:f>IF(J4="","",(1/'Metadata'!$B$5)^(J4-1))</x:f>
        <x:v>2269.9284697772737</x:v>
      </x:c>
      <x:c r="L4" s="60" t="n">
        <x:f>IF(E4=0,"",E4*K4)</x:f>
        <x:v>6527850.711513261</x:v>
      </x:c>
      <x:c r="M4" s="60" t="n">
        <x:f>I4-L4</x:f>
        <x:v>46517.74090363085</x:v>
      </x:c>
      <x:c r="N4" s="62" t="n">
        <x:f>IF(L4=0,"",I4/L4)</x:f>
        <x:v>1.0071260423927262</x:v>
      </x:c>
      <x:c r="O4" s="66" t="n">
        <x:f>IF(L4=0,"",M4/L4)</x:f>
        <x:v>0.007126042392726118</x:v>
      </x:c>
    </x:row>
    <x:row r="5" ht="18" customHeight="1">
      <x:c r="A5" s="46" t="str">
        <x:v>Tuna &amp; billfishes</x:v>
      </x:c>
      <x:c r="B5" s="64" t="n">
        <x:v>17</x:v>
      </x:c>
      <x:c r="C5" s="64" t="n">
        <x:v>17</x:v>
      </x:c>
      <x:c r="D5" s="60" t="n">
        <x:v>336377.00399323105</x:v>
      </x:c>
      <x:c r="E5" s="60" t="n">
        <x:v>336377.00399323105</x:v>
      </x:c>
      <x:c r="F5" s="62" t="n">
        <x:v>0</x:v>
      </x:c>
      <x:c r="G5" s="66" t="n">
        <x:v>1</x:v>
      </x:c>
      <x:c r="H5" s="62" t="n">
        <x:f>IF(E5=0,"",I5/E5)</x:f>
        <x:v>2652.104619330474</x:v>
      </x:c>
      <x:c r="I5" s="60" t="n">
        <x:f>SUMIF('Species'!$H$2:$H$37,A5,'Species'!$U$2:$U$37)</x:f>
        <x:v>892107006.1269934</x:v>
      </x:c>
      <x:c r="J5" s="62" t="n">
        <x:v>4.4190764558988285</x:v>
      </x:c>
      <x:c r="K5" s="62" t="n">
        <x:f>IF(J5="","",(1/'Metadata'!$B$5)^(J5-1))</x:f>
        <x:v>2624.680567788493</x:v>
      </x:c>
      <x:c r="L5" s="60" t="n">
        <x:f>IF(E5=0,"",E5*K5)</x:f>
        <x:v>882882185.8319459</x:v>
      </x:c>
      <x:c r="M5" s="60" t="n">
        <x:f>I5-L5</x:f>
        <x:v>9224820.295047522</x:v>
      </x:c>
      <x:c r="N5" s="62" t="n">
        <x:f>IF(L5=0,"",I5/L5)</x:f>
        <x:v>1.0104485291957215</x:v>
      </x:c>
      <x:c r="O5" s="66" t="n">
        <x:f>IF(L5=0,"",M5/L5)</x:f>
        <x:v>0.010448529195721522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184906f695243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benthopelagics (&gt;=90 cm)</x:v>
      </x:c>
      <x:c r="B2" s="64" t="n">
        <x:v>1</x:v>
      </x:c>
      <x:c r="C2" s="64" t="n">
        <x:v>1</x:v>
      </x:c>
      <x:c r="D2" s="60" t="n">
        <x:v>0.0267831636</x:v>
      </x:c>
      <x:c r="E2" s="60" t="n">
        <x:v>0.0267831636</x:v>
      </x:c>
      <x:c r="F2" s="62" t="n">
        <x:v>0</x:v>
      </x:c>
      <x:c r="G2" s="66" t="n">
        <x:v>1</x:v>
      </x:c>
      <x:c r="H2" s="62" t="n">
        <x:f>IF(E2=0,"",I2/E2)</x:f>
        <x:v>1513.5612484362073</x:v>
      </x:c>
      <x:c r="I2" s="60" t="n">
        <x:f>SUMIF('Species'!$G$2:$G$37,A2,'Species'!$U$2:$U$37)</x:f>
        <x:v>40.537958535487185</x:v>
      </x:c>
      <x:c r="J2" s="62" t="n">
        <x:v>4.18</x:v>
      </x:c>
      <x:c r="K2" s="62" t="n">
        <x:f>IF(J2="","",(1/'Metadata'!$B$5)^(J2-1))</x:f>
        <x:v>1513.5612484362073</x:v>
      </x:c>
      <x:c r="L2" s="60" t="n">
        <x:f>IF(E2=0,"",E2*K2)</x:f>
        <x:v>40.537958535487185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pelagics (&gt;=90 cm)</x:v>
      </x:c>
      <x:c r="B3" s="64" t="n">
        <x:v>19</x:v>
      </x:c>
      <x:c r="C3" s="64" t="n">
        <x:v>19</x:v>
      </x:c>
      <x:c r="D3" s="60" t="n">
        <x:v>327895.1162137338</x:v>
      </x:c>
      <x:c r="E3" s="60" t="n">
        <x:v>327895.1162137338</x:v>
      </x:c>
      <x:c r="F3" s="62" t="n">
        <x:v>0</x:v>
      </x:c>
      <x:c r="G3" s="66" t="n">
        <x:v>1</x:v>
      </x:c>
      <x:c r="H3" s="62" t="n">
        <x:f>IF(E3=0,"",I3/E3)</x:f>
        <x:v>2676.66446154356</x:v>
      </x:c>
      <x:c r="I3" s="60" t="n">
        <x:f>SUMIF('Species'!$G$2:$G$37,A3,'Species'!$U$2:$U$37)</x:f>
        <x:v>877665204.6829967</x:v>
      </x:c>
      <x:c r="J3" s="62" t="n">
        <x:v>4.424306053536078</x:v>
      </x:c>
      <x:c r="K3" s="62" t="n">
        <x:f>IF(J3="","",(1/'Metadata'!$B$5)^(J3-1))</x:f>
        <x:v>2656.476959824997</x:v>
      </x:c>
      <x:c r="L3" s="60" t="n">
        <x:f>IF(E3=0,"",E3*K3)</x:f>
        <x:v>871045821.4609236</x:v>
      </x:c>
      <x:c r="M3" s="60" t="n">
        <x:f>I3-L3</x:f>
        <x:v>6619383.222073197</x:v>
      </x:c>
      <x:c r="N3" s="62" t="n">
        <x:f>IF(L3=0,"",I3/L3)</x:f>
        <x:v>1.007599351330302</x:v>
      </x:c>
      <x:c r="O3" s="66" t="n">
        <x:f>IF(L3=0,"",M3/L3)</x:f>
        <x:v>0.007599351330302149</x:v>
      </x:c>
    </x:row>
    <x:row r="4" ht="18" customHeight="1">
      <x:c r="A4" s="46" t="str">
        <x:v>Large rays (&gt;=90 cm)</x:v>
      </x:c>
      <x:c r="B4" s="64" t="n">
        <x:v>1</x:v>
      </x:c>
      <x:c r="C4" s="64" t="n">
        <x:v>1</x:v>
      </x:c>
      <x:c r="D4" s="60" t="n">
        <x:v>2.4930363256</x:v>
      </x:c>
      <x:c r="E4" s="60" t="n">
        <x:v>2.4930363256</x:v>
      </x:c>
      <x:c r="F4" s="62" t="n">
        <x:v>0</x:v>
      </x:c>
      <x:c r="G4" s="66" t="n">
        <x:v>1</x:v>
      </x:c>
      <x:c r="H4" s="62" t="n">
        <x:f>IF(E4=0,"",I4/E4)</x:f>
        <x:v>407.3802778041126</x:v>
      </x:c>
      <x:c r="I4" s="60" t="n">
        <x:f>SUMIF('Species'!$G$2:$G$37,A4,'Species'!$U$2:$U$37)</x:f>
        <x:v>1015.6138308986721</x:v>
      </x:c>
      <x:c r="J4" s="62" t="n">
        <x:v>3.61</x:v>
      </x:c>
      <x:c r="K4" s="62" t="n">
        <x:f>IF(J4="","",(1/'Metadata'!$B$5)^(J4-1))</x:f>
        <x:v>407.3802778041126</x:v>
      </x:c>
      <x:c r="L4" s="60" t="n">
        <x:f>IF(E4=0,"",E4*K4)</x:f>
        <x:v>1015.6138308986721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sharks (&gt;=90 cm)</x:v>
      </x:c>
      <x:c r="B5" s="64" t="n">
        <x:v>9</x:v>
      </x:c>
      <x:c r="C5" s="64" t="n">
        <x:v>9</x:v>
      </x:c>
      <x:c r="D5" s="60" t="n">
        <x:v>2873.3027424523</x:v>
      </x:c>
      <x:c r="E5" s="60" t="n">
        <x:v>2873.3027424523</x:v>
      </x:c>
      <x:c r="F5" s="62" t="n">
        <x:v>0</x:v>
      </x:c>
      <x:c r="G5" s="66" t="n">
        <x:v>1</x:v>
      </x:c>
      <x:c r="H5" s="62" t="n">
        <x:f>IF(E5=0,"",I5/E5)</x:f>
        <x:v>2287.734160924436</x:v>
      </x:c>
      <x:c r="I5" s="60" t="n">
        <x:f>SUMIF('Species'!$G$2:$G$37,A5,'Species'!$U$2:$U$37)</x:f>
        <x:v>6573352.838585993</x:v>
      </x:c>
      <x:c r="J5" s="62" t="n">
        <x:v>4.35665945328341</x:v>
      </x:c>
      <x:c r="K5" s="62" t="n">
        <x:f>IF(J5="","",(1/'Metadata'!$B$5)^(J5-1))</x:f>
        <x:v>2273.3141401578046</x:v>
      </x:c>
      <x:c r="L5" s="60" t="n">
        <x:f>IF(E5=0,"",E5*K5)</x:f>
        <x:v>6531919.753371012</x:v>
      </x:c>
      <x:c r="M5" s="60" t="n">
        <x:f>I5-L5</x:f>
        <x:v>41433.08521498088</x:v>
      </x:c>
      <x:c r="N5" s="62" t="n">
        <x:f>IF(L5=0,"",I5/L5)</x:f>
        <x:v>1.0063431711930628</x:v>
      </x:c>
      <x:c r="O5" s="66" t="n">
        <x:f>IF(L5=0,"",M5/L5)</x:f>
        <x:v>0.006343171193062801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14385.8709648595</x:v>
      </x:c>
      <x:c r="E6" s="60" t="n">
        <x:v>14385.8709648595</x:v>
      </x:c>
      <x:c r="F6" s="62" t="n">
        <x:v>0</x:v>
      </x:c>
      <x:c r="G6" s="66" t="n">
        <x:v>1</x:v>
      </x:c>
      <x:c r="H6" s="62" t="n">
        <x:f>IF(E6=0,"",I6/E6)</x:f>
        <x:v>190.54607179632464</x:v>
      </x:c>
      <x:c r="I6" s="60" t="n">
        <x:f>SUMIF('Species'!$G$2:$G$37,A6,'Species'!$U$2:$U$37)</x:f>
        <x:v>2741171.2017227802</x:v>
      </x:c>
      <x:c r="J6" s="62" t="n">
        <x:v>3.28</x:v>
      </x:c>
      <x:c r="K6" s="62" t="n">
        <x:f>IF(J6="","",(1/'Metadata'!$B$5)^(J6-1))</x:f>
        <x:v>190.54607179632464</x:v>
      </x:c>
      <x:c r="L6" s="60" t="n">
        <x:f>IF(E6=0,"",E6*K6)</x:f>
        <x:v>2741171.2017227802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Medium pelagics (30 - 89 cm)</x:v>
      </x:c>
      <x:c r="B7" s="64" t="n">
        <x:v>5</x:v>
      </x:c>
      <x:c r="C7" s="64" t="n">
        <x:v>5</x:v>
      </x:c>
      <x:c r="D7" s="60" t="n">
        <x:v>32697.198588009298</x:v>
      </x:c>
      <x:c r="E7" s="60" t="n">
        <x:v>32697.198588009298</x:v>
      </x:c>
      <x:c r="F7" s="62" t="n">
        <x:v>0</x:v>
      </x:c>
      <x:c r="G7" s="66" t="n">
        <x:v>1</x:v>
      </x:c>
      <x:c r="H7" s="62" t="n">
        <x:f>IF(E7=0,"",I7/E7)</x:f>
        <x:v>626.9984233258302</x:v>
      </x:c>
      <x:c r="I7" s="60" t="n">
        <x:f>SUMIF('Species'!$G$2:$G$37,A7,'Species'!$U$2:$U$37)</x:f>
        <x:v>20501091.961853392</x:v>
      </x:c>
      <x:c r="J7" s="62" t="n">
        <x:v>3.5830000909551445</x:v>
      </x:c>
      <x:c r="K7" s="62" t="n">
        <x:f>IF(J7="","",(1/'Metadata'!$B$5)^(J7-1))</x:f>
        <x:v>382.8248234925673</x:v>
      </x:c>
      <x:c r="L7" s="60" t="n">
        <x:f>IF(E7=0,"",E7*K7)</x:f>
        <x:v>12517299.278156081</x:v>
      </x:c>
      <x:c r="M7" s="60" t="n">
        <x:f>I7-L7</x:f>
        <x:v>7983792.683697311</x:v>
      </x:c>
      <x:c r="N7" s="62" t="n">
        <x:f>IF(L7=0,"",I7/L7)</x:f>
        <x:v>1.637820707668931</x:v>
      </x:c>
      <x:c r="O7" s="66" t="n">
        <x:f>IF(L7=0,"",M7/L7)</x:f>
        <x:v>0.6378207076689311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4a8da999cb4d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HS_051</x:v>
      </x:c>
      <x:c r="B2" s="46" t="str">
        <x:v>raw_filtered_tonnes</x:v>
      </x:c>
      <x:c r="C2" s="46" t="n">
        <x:v>377854.0083285441</x:v>
      </x:c>
      <x:c r="D2" s="46" t="str">
        <x:v>tonnes</x:v>
      </x:c>
    </x:row>
    <x:row r="3" ht="18" customHeight="1">
      <x:c r="A3" s="46" t="str">
        <x:v>HS_051</x:v>
      </x:c>
      <x:c r="B3" s="46" t="str">
        <x:v>species_catch_tonnes</x:v>
      </x:c>
      <x:c r="C3" s="46" t="n">
        <x:v>377854.0083285441</x:v>
      </x:c>
      <x:c r="D3" s="46" t="str">
        <x:v>tonnes</x:v>
      </x:c>
    </x:row>
    <x:row r="4" ht="18" customHeight="1">
      <x:c r="A4" s="46" t="str">
        <x:v>HS_051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HS_051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HS_051</x:v>
      </x:c>
      <x:c r="B6" s="46" t="str">
        <x:v>matched_catch_tonnes</x:v>
      </x:c>
      <x:c r="C6" s="46" t="n">
        <x:v>377854.0083285441</x:v>
      </x:c>
      <x:c r="D6" s="46" t="str">
        <x:v>tonnes</x:v>
      </x:c>
    </x:row>
    <x:row r="7" ht="18" customHeight="1">
      <x:c r="A7" s="46" t="str">
        <x:v>HS_051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HS_051</x:v>
      </x:c>
      <x:c r="B8" s="46" t="str">
        <x:v>taxa_count</x:v>
      </x:c>
      <x:c r="C8" s="46" t="n">
        <x:v>36</x:v>
      </x:c>
      <x:c r="D8" s="46" t="str">
        <x:v>count</x:v>
      </x:c>
    </x:row>
    <x:row r="9" ht="18" customHeight="1">
      <x:c r="A9" s="46" t="str">
        <x:v>HS_051</x:v>
      </x:c>
      <x:c r="B9" s="46" t="str">
        <x:v>matched_taxa_count</x:v>
      </x:c>
      <x:c r="C9" s="46" t="n">
        <x:v>36</x:v>
      </x:c>
      <x:c r="D9" s="46" t="str">
        <x:v>count</x:v>
      </x:c>
    </x:row>
    <x:row r="10" ht="18" customHeight="1">
      <x:c r="A10" s="46" t="str">
        <x:v>HS_051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HS_051</x:v>
      </x:c>
      <x:c r="B11" s="46" t="str">
        <x:v>species_ppr</x:v>
      </x:c>
      <x:c r="C11" s="46" t="n">
        <x:v>907481876.8369483</x:v>
      </x:c>
      <x:c r="D11" s="46" t="str">
        <x:v>tonnes_primary_production_equivalent</x:v>
      </x:c>
    </x:row>
    <x:row r="12" ht="18" customHeight="1">
      <x:c r="A12" s="46" t="str">
        <x:v>HS_051</x:v>
      </x:c>
      <x:c r="B12" s="46" t="str">
        <x:v>commercial_ppr</x:v>
      </x:c>
      <x:c r="C12" s="46" t="n">
        <x:v>907481876.8369484</x:v>
      </x:c>
      <x:c r="D12" s="46" t="str">
        <x:v>tonnes_primary_production_equivalent</x:v>
      </x:c>
    </x:row>
    <x:row r="13" ht="18" customHeight="1">
      <x:c r="A13" s="46" t="str">
        <x:v>HS_051</x:v>
      </x:c>
      <x:c r="B13" s="46" t="str">
        <x:v>functional_ppr</x:v>
      </x:c>
      <x:c r="C13" s="46" t="n">
        <x:v>907481876.8369482</x:v>
      </x:c>
      <x:c r="D13" s="46" t="str">
        <x:v>tonnes_primary_production_equivalent</x:v>
      </x:c>
    </x:row>
    <x:row r="14" ht="18" customHeight="1">
      <x:c r="A14" s="46" t="str">
        <x:v>HS_051</x:v>
      </x:c>
      <x:c r="B14" s="46" t="str">
        <x:v>commercial_ppr_difference</x:v>
      </x:c>
      <x:c r="C14" s="46" t="n">
        <x:v>1.1920928955078125e-7</x:v>
      </x:c>
      <x:c r="D14" s="46" t="str">
        <x:v>tonnes_primary_production_equivalent</x:v>
      </x:c>
    </x:row>
    <x:row r="15" ht="18" customHeight="1">
      <x:c r="A15" s="46" t="str">
        <x:v>HS_051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HS_051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HS_051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HS_051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HS_051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7d37765b28643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HS_051 - Indian Ocean, Western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HS_051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raw_data/SAU_downloads/HS_051-catch.zip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