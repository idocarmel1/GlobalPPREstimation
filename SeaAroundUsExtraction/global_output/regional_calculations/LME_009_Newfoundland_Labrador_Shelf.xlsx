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a951ed8f0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cd92ad33da540e7"/>
    <x:sheet xmlns:r="http://schemas.openxmlformats.org/officeDocument/2006/relationships" name="Commercial" sheetId="2" r:id="R1e67612629de437f"/>
    <x:sheet xmlns:r="http://schemas.openxmlformats.org/officeDocument/2006/relationships" name="Functional" sheetId="3" r:id="R8920b687973e4f82"/>
    <x:sheet xmlns:r="http://schemas.openxmlformats.org/officeDocument/2006/relationships" name="Missing TL" sheetId="4" r:id="R59af518b24d34629"/>
    <x:sheet xmlns:r="http://schemas.openxmlformats.org/officeDocument/2006/relationships" name="Validation" sheetId="5" r:id="Rf1eaeb5c623243ca"/>
    <x:sheet xmlns:r="http://schemas.openxmlformats.org/officeDocument/2006/relationships" name="Metadata" sheetId="6" r:id="R731e506869ca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51d60eee8413d" /><Relationship Type="http://schemas.openxmlformats.org/officeDocument/2006/relationships/theme" Target="/xl/theme/theme1.xml" Id="R923a48e00ce54c98" /><Relationship Type="http://schemas.openxmlformats.org/officeDocument/2006/relationships/sharedStrings" Target="/xl/sharedStrings.xml" Id="Rafac3ab4757440a7" /><Relationship Type="http://schemas.openxmlformats.org/officeDocument/2006/relationships/worksheet" Target="/xl/worksheets/sheet1.xml" Id="R2cd92ad33da540e7" /><Relationship Type="http://schemas.openxmlformats.org/officeDocument/2006/relationships/worksheet" Target="/xl/worksheets/sheet2.xml" Id="R1e67612629de437f" /><Relationship Type="http://schemas.openxmlformats.org/officeDocument/2006/relationships/worksheet" Target="/xl/worksheets/sheet3.xml" Id="R8920b687973e4f82" /><Relationship Type="http://schemas.openxmlformats.org/officeDocument/2006/relationships/worksheet" Target="/xl/worksheets/sheet4.xml" Id="R59af518b24d34629" /><Relationship Type="http://schemas.openxmlformats.org/officeDocument/2006/relationships/worksheet" Target="/xl/worksheets/sheet5.xml" Id="Rf1eaeb5c623243ca" /><Relationship Type="http://schemas.openxmlformats.org/officeDocument/2006/relationships/worksheet" Target="/xl/worksheets/sheet6.xml" Id="R731e506869ca496b" /></Relationships>
</file>

<file path=xl/tables/table1.xml><?xml version="1.0" encoding="utf-8"?>
<x:table xmlns:x="http://schemas.openxmlformats.org/spreadsheetml/2006/main" id="1" name="LME009SpeciesTable" displayName="LME009SpeciesTable" ref="A1:U112" headerRowCount="1" totalsRowCount="0" totalsRowShown="0">
  <x:autoFilter ref="A1:U1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9CommercialTable" displayName="LME009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9FunctionalTable" displayName="LME009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9ValidationTable" displayName="LME00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36bf05128143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1e6592cc4345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990067188b48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24bd6f945c4f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LME_009</x:v>
      </x:c>
      <x:c r="B2" s="46" t="str">
        <x:v>Newfoundland-Labrador Shelf</x:v>
      </x:c>
      <x:c r="C2" s="46" t="str">
        <x:v>LME</x:v>
      </x:c>
      <x:c r="D2" s="58" t="n">
        <x:v>2019</x:v>
      </x:c>
      <x:c r="E2" s="46" t="str">
        <x:v>Homarus americanus</x:v>
      </x:c>
      <x:c r="F2" s="46" t="str">
        <x:v>American lobster</x:v>
      </x:c>
      <x:c r="G2" s="46" t="str">
        <x:v>Lobsters, crabs</x:v>
      </x:c>
      <x:c r="H2" s="46" t="str">
        <x:v>Crustaceans</x:v>
      </x:c>
      <x:c r="I2" s="60" t="n">
        <x:v>76193.2485894133</x:v>
      </x:c>
      <x:c r="J2" s="60" t="n">
        <x:v>76193.2485894133</x:v>
      </x:c>
      <x:c r="K2" s="60" t="n">
        <x:v>0</x:v>
      </x:c>
      <x:c r="L2" s="60" t="n">
        <x:v>72716.76903646761</x:v>
      </x:c>
      <x:c r="M2" s="60" t="n">
        <x:v>3476.4795529457</x:v>
      </x:c>
      <x:c r="N2" s="46" t="str">
        <x:v>homarus americanus</x:v>
      </x:c>
      <x:c r="O2" s="62" t="n">
        <x:v>3.7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Homarus americanus</x:v>
      </x:c>
      <x:c r="T2" s="62" t="n">
        <x:f>IF(O2="","",(1/'Metadata'!$B$5)^(O2-1))</x:f>
        <x:v>501.18723362727246</x:v>
      </x:c>
      <x:c r="U2" s="60" t="n">
        <x:f>IF(T2="","",I2*T2)</x:f>
        <x:v>38187083.48160313</x:v>
      </x:c>
    </x:row>
    <x:row r="3" ht="18" customHeight="1">
      <x:c r="A3" s="46" t="str">
        <x:v>LME_009</x:v>
      </x:c>
      <x:c r="B3" s="46" t="str">
        <x:v>Newfoundland-Labrador Shelf</x:v>
      </x:c>
      <x:c r="C3" s="46" t="str">
        <x:v>LME</x:v>
      </x:c>
      <x:c r="D3" s="58" t="n">
        <x:v>2019</x:v>
      </x:c>
      <x:c r="E3" s="46" t="str">
        <x:v>Chionoecetes opilio</x:v>
      </x:c>
      <x:c r="F3" s="46" t="str">
        <x:v>Snow crab</x:v>
      </x:c>
      <x:c r="G3" s="46" t="str">
        <x:v>Lobsters, crabs</x:v>
      </x:c>
      <x:c r="H3" s="46" t="str">
        <x:v>Crustaceans</x:v>
      </x:c>
      <x:c r="I3" s="60" t="n">
        <x:v>63401.282328524496</x:v>
      </x:c>
      <x:c r="J3" s="60" t="n">
        <x:v>63401.282328524496</x:v>
      </x:c>
      <x:c r="K3" s="60" t="n">
        <x:v>0</x:v>
      </x:c>
      <x:c r="L3" s="60" t="n">
        <x:v>63401.282328524496</x:v>
      </x:c>
      <x:c r="M3" s="60" t="n">
        <x:v>0</x:v>
      </x:c>
      <x:c r="N3" s="46" t="str">
        <x:v>chionoecetes opilio</x:v>
      </x:c>
      <x:c r="O3" s="62" t="n">
        <x:v>3.54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Chionoecetes opilio</x:v>
      </x:c>
      <x:c r="T3" s="62" t="n">
        <x:f>IF(O3="","",(1/'Metadata'!$B$5)^(O3-1))</x:f>
        <x:v>346.73685045253166</x:v>
      </x:c>
      <x:c r="U3" s="60" t="n">
        <x:f>IF(T3="","",I3*T3)</x:f>
        <x:v>21983560.949244335</x:v>
      </x:c>
    </x:row>
    <x:row r="4" ht="18" customHeight="1">
      <x:c r="A4" s="46" t="str">
        <x:v>LME_009</x:v>
      </x:c>
      <x:c r="B4" s="46" t="str">
        <x:v>Newfoundland-Labrador Shelf</x:v>
      </x:c>
      <x:c r="C4" s="46" t="str">
        <x:v>LME</x:v>
      </x:c>
      <x:c r="D4" s="58" t="n">
        <x:v>2019</x:v>
      </x:c>
      <x:c r="E4" s="46" t="str">
        <x:v>Sebastes</x:v>
      </x:c>
      <x:c r="F4" s="46" t="str">
        <x:v>Redfishes</x:v>
      </x:c>
      <x:c r="G4" s="46" t="str">
        <x:v>Large reef assoc. fish (&gt;=90 cm)</x:v>
      </x:c>
      <x:c r="H4" s="46" t="str">
        <x:v>Scorpionfishes</x:v>
      </x:c>
      <x:c r="I4" s="60" t="n">
        <x:v>60572.9367378329</x:v>
      </x:c>
      <x:c r="J4" s="60" t="n">
        <x:v>37029.7012204982</x:v>
      </x:c>
      <x:c r="K4" s="60" t="n">
        <x:v>23543.2355173347</x:v>
      </x:c>
      <x:c r="L4" s="60" t="n">
        <x:v>36191.7286927241</x:v>
      </x:c>
      <x:c r="M4" s="60" t="n">
        <x:v>24381.2080451088</x:v>
      </x:c>
      <x:c r="N4" s="46" t="str">
        <x:v>sebastes</x:v>
      </x:c>
      <x:c r="O4" s="62" t="n">
        <x:v>3.79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Sebastes</x:v>
      </x:c>
      <x:c r="T4" s="62" t="n">
        <x:f>IF(O4="","",(1/'Metadata'!$B$5)^(O4-1))</x:f>
        <x:v>616.5950018614822</x:v>
      </x:c>
      <x:c r="U4" s="60" t="n">
        <x:f>IF(T4="","",I4*T4)</x:f>
        <x:v>37348970.040619515</x:v>
      </x:c>
    </x:row>
    <x:row r="5" ht="18" customHeight="1">
      <x:c r="A5" s="46" t="str">
        <x:v>LME_009</x:v>
      </x:c>
      <x:c r="B5" s="46" t="str">
        <x:v>Newfoundland-Labrador Shelf</x:v>
      </x:c>
      <x:c r="C5" s="46" t="str">
        <x:v>LME</x:v>
      </x:c>
      <x:c r="D5" s="58" t="n">
        <x:v>2019</x:v>
      </x:c>
      <x:c r="E5" s="46" t="str">
        <x:v>Pandalus</x:v>
      </x:c>
      <x:c r="F5" s="46" t="str">
        <x:v>Seabed shrimps</x:v>
      </x:c>
      <x:c r="G5" s="46" t="str">
        <x:v>Shrimps</x:v>
      </x:c>
      <x:c r="H5" s="46" t="str">
        <x:v>Crustaceans</x:v>
      </x:c>
      <x:c r="I5" s="60" t="n">
        <x:v>55774.036099542005</x:v>
      </x:c>
      <x:c r="J5" s="60" t="n">
        <x:v>55774.036099542005</x:v>
      </x:c>
      <x:c r="K5" s="60" t="n">
        <x:v>0</x:v>
      </x:c>
      <x:c r="L5" s="60" t="n">
        <x:v>55774.036099542005</x:v>
      </x:c>
      <x:c r="M5" s="60" t="n">
        <x:v>0</x:v>
      </x:c>
      <x:c r="N5" s="46" t="str">
        <x:v>pandalus</x:v>
      </x:c>
      <x:c r="O5" s="62" t="n">
        <x:v>2.6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Pandalus</x:v>
      </x:c>
      <x:c r="T5" s="62" t="n">
        <x:f>IF(O5="","",(1/'Metadata'!$B$5)^(O5-1))</x:f>
        <x:v>39.810717055349734</x:v>
      </x:c>
      <x:c r="U5" s="60" t="n">
        <x:f>IF(T5="","",I5*T5)</x:f>
        <x:v>2220404.3701937287</x:v>
      </x:c>
    </x:row>
    <x:row r="6" ht="18" customHeight="1">
      <x:c r="A6" s="46" t="str">
        <x:v>LME_009</x:v>
      </x:c>
      <x:c r="B6" s="46" t="str">
        <x:v>Newfoundland-Labrador Shelf</x:v>
      </x:c>
      <x:c r="C6" s="46" t="str">
        <x:v>LME</x:v>
      </x:c>
      <x:c r="D6" s="58" t="n">
        <x:v>2019</x:v>
      </x:c>
      <x:c r="E6" s="46" t="str">
        <x:v>Placopecten magellanicus</x:v>
      </x:c>
      <x:c r="F6" s="46" t="str">
        <x:v>American sea scallop</x:v>
      </x:c>
      <x:c r="G6" s="46" t="str">
        <x:v>Other demersal invertebrates</x:v>
      </x:c>
      <x:c r="H6" s="46" t="str">
        <x:v>Molluscs</x:v>
      </x:c>
      <x:c r="I6" s="60" t="n">
        <x:v>55302.6729063821</x:v>
      </x:c>
      <x:c r="J6" s="60" t="n">
        <x:v>55302.6729063821</x:v>
      </x:c>
      <x:c r="K6" s="60" t="n">
        <x:v>0</x:v>
      </x:c>
      <x:c r="L6" s="60" t="n">
        <x:v>55302.6729063821</x:v>
      </x:c>
      <x:c r="M6" s="60" t="n">
        <x:v>0</x:v>
      </x:c>
      <x:c r="N6" s="46" t="str">
        <x:v>placopecten magellanicus</x:v>
      </x:c>
      <x:c r="O6" s="62" t="n">
        <x:v>2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Placopecten magellanicus</x:v>
      </x:c>
      <x:c r="T6" s="62" t="n">
        <x:f>IF(O6="","",(1/'Metadata'!$B$5)^(O6-1))</x:f>
        <x:v>10</x:v>
      </x:c>
      <x:c r="U6" s="60" t="n">
        <x:f>IF(T6="","",I6*T6)</x:f>
        <x:v>553026.729063821</x:v>
      </x:c>
    </x:row>
    <x:row r="7" ht="18" customHeight="1">
      <x:c r="A7" s="46" t="str">
        <x:v>LME_009</x:v>
      </x:c>
      <x:c r="B7" s="46" t="str">
        <x:v>Newfoundland-Labrador Shelf</x:v>
      </x:c>
      <x:c r="C7" s="46" t="str">
        <x:v>LME</x:v>
      </x:c>
      <x:c r="D7" s="58" t="n">
        <x:v>2019</x:v>
      </x:c>
      <x:c r="E7" s="46" t="str">
        <x:v>Gadus morhua</x:v>
      </x:c>
      <x:c r="F7" s="46" t="str">
        <x:v>Atlantic cod</x:v>
      </x:c>
      <x:c r="G7" s="46" t="str">
        <x:v>Large benthopelagics (&gt;=90 cm)</x:v>
      </x:c>
      <x:c r="H7" s="46" t="str">
        <x:v>Cod-likes</x:v>
      </x:c>
      <x:c r="I7" s="60" t="n">
        <x:v>50873.2290397295</x:v>
      </x:c>
      <x:c r="J7" s="60" t="n">
        <x:v>45633.0471478157</x:v>
      </x:c>
      <x:c r="K7" s="60" t="n">
        <x:v>5240.1818919137995</x:v>
      </x:c>
      <x:c r="L7" s="60" t="n">
        <x:v>14965.4892747015</x:v>
      </x:c>
      <x:c r="M7" s="60" t="n">
        <x:v>35907.739765027996</x:v>
      </x:c>
      <x:c r="N7" s="46" t="str">
        <x:v>gadus morhua</x:v>
      </x:c>
      <x:c r="O7" s="62" t="n">
        <x:v>4.09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Gadus morhua</x:v>
      </x:c>
      <x:c r="T7" s="62" t="n">
        <x:f>IF(O7="","",(1/'Metadata'!$B$5)^(O7-1))</x:f>
        <x:v>1230.268770812381</x:v>
      </x:c>
      <x:c r="U7" s="60" t="n">
        <x:f>IF(T7="","",I7*T7)</x:f>
        <x:v>62587744.95796474</x:v>
      </x:c>
    </x:row>
    <x:row r="8" ht="18" customHeight="1">
      <x:c r="A8" s="46" t="str">
        <x:v>LME_009</x:v>
      </x:c>
      <x:c r="B8" s="46" t="str">
        <x:v>Newfoundland-Labrador Shelf</x:v>
      </x:c>
      <x:c r="C8" s="46" t="str">
        <x:v>LME</x:v>
      </x:c>
      <x:c r="D8" s="58" t="n">
        <x:v>2019</x:v>
      </x:c>
      <x:c r="E8" s="46" t="str">
        <x:v>Bivalvia</x:v>
      </x:c>
      <x:c r="F8" s="46" t="str">
        <x:v>Clams</x:v>
      </x:c>
      <x:c r="G8" s="46" t="str">
        <x:v>Other demersal invertebrates</x:v>
      </x:c>
      <x:c r="H8" s="46" t="str">
        <x:v>Molluscs</x:v>
      </x:c>
      <x:c r="I8" s="60" t="n">
        <x:v>26669.9917998327</x:v>
      </x:c>
      <x:c r="J8" s="60" t="n">
        <x:v>26669.9917998327</x:v>
      </x:c>
      <x:c r="K8" s="60" t="n">
        <x:v>0</x:v>
      </x:c>
      <x:c r="L8" s="60" t="n">
        <x:v>26641.742447782697</x:v>
      </x:c>
      <x:c r="M8" s="60" t="n">
        <x:v>28.24935205</x:v>
      </x:c>
      <x:c r="N8" s="46" t="str">
        <x:v>bivalvia</x:v>
      </x:c>
      <x:c r="O8" s="62" t="n">
        <x:v>2.23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Bivalvia</x:v>
      </x:c>
      <x:c r="T8" s="62" t="n">
        <x:f>IF(O8="","",(1/'Metadata'!$B$5)^(O8-1))</x:f>
        <x:v>16.982436524617444</x:v>
      </x:c>
      <x:c r="U8" s="60" t="n">
        <x:f>IF(T8="","",I8*T8)</x:f>
        <x:v>452921.44285272656</x:v>
      </x:c>
    </x:row>
    <x:row r="9" ht="18" customHeight="1">
      <x:c r="A9" s="46" t="str">
        <x:v>LME_009</x:v>
      </x:c>
      <x:c r="B9" s="46" t="str">
        <x:v>Newfoundland-Labrador Shelf</x:v>
      </x:c>
      <x:c r="C9" s="46" t="str">
        <x:v>LME</x:v>
      </x:c>
      <x:c r="D9" s="58" t="n">
        <x:v>2019</x:v>
      </x:c>
      <x:c r="E9" s="46" t="str">
        <x:v>Reinhardtius hippoglossoides</x:v>
      </x:c>
      <x:c r="F9" s="46" t="str">
        <x:v>Greenland halibut</x:v>
      </x:c>
      <x:c r="G9" s="46" t="str">
        <x:v>Small to medium flatfishes (&lt;90 cm)</x:v>
      </x:c>
      <x:c r="H9" s="46" t="str">
        <x:v>Flatfishes</x:v>
      </x:c>
      <x:c r="I9" s="60" t="n">
        <x:v>25168.837212255497</x:v>
      </x:c>
      <x:c r="J9" s="60" t="n">
        <x:v>15635.7030179567</x:v>
      </x:c>
      <x:c r="K9" s="60" t="n">
        <x:v>9533.1341942988</x:v>
      </x:c>
      <x:c r="L9" s="60" t="n">
        <x:v>15193.0776582458</x:v>
      </x:c>
      <x:c r="M9" s="60" t="n">
        <x:v>9975.7595540097</x:v>
      </x:c>
      <x:c r="N9" s="46" t="str">
        <x:v>reinhardtius hippoglossoides</x:v>
      </x:c>
      <x:c r="O9" s="62" t="n">
        <x:v>4.38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Reinhardtius hippoglossoides</x:v>
      </x:c>
      <x:c r="T9" s="62" t="n">
        <x:f>IF(O9="","",(1/'Metadata'!$B$5)^(O9-1))</x:f>
        <x:v>2398.83291901949</x:v>
      </x:c>
      <x:c r="U9" s="60" t="n">
        <x:f>IF(T9="","",I9*T9)</x:f>
        <x:v>60375835.238201216</x:v>
      </x:c>
    </x:row>
    <x:row r="10" ht="18" customHeight="1">
      <x:c r="A10" s="46" t="str">
        <x:v>LME_009</x:v>
      </x:c>
      <x:c r="B10" s="46" t="str">
        <x:v>Newfoundland-Labrador Shelf</x:v>
      </x:c>
      <x:c r="C10" s="46" t="str">
        <x:v>LME</x:v>
      </x:c>
      <x:c r="D10" s="58" t="n">
        <x:v>2019</x:v>
      </x:c>
      <x:c r="E10" s="46" t="str">
        <x:v>Mallotus villosus</x:v>
      </x:c>
      <x:c r="F10" s="46" t="str">
        <x:v>Capelin</x:v>
      </x:c>
      <x:c r="G10" s="46" t="str">
        <x:v>Small pelagics (&lt;30 cm)</x:v>
      </x:c>
      <x:c r="H10" s="46" t="str">
        <x:v>Salmon, smelts, etc</x:v>
      </x:c>
      <x:c r="I10" s="60" t="n">
        <x:v>24420.009236423895</x:v>
      </x:c>
      <x:c r="J10" s="60" t="n">
        <x:v>24324.6052423601</x:v>
      </x:c>
      <x:c r="K10" s="60" t="n">
        <x:v>95.4039940638</x:v>
      </x:c>
      <x:c r="L10" s="60" t="n">
        <x:v>22839.0778754754</x:v>
      </x:c>
      <x:c r="M10" s="60" t="n">
        <x:v>1580.9313609485</x:v>
      </x:c>
      <x:c r="N10" s="46" t="str">
        <x:v>mallotus villosus</x:v>
      </x:c>
      <x:c r="O10" s="62" t="n">
        <x:v>3.15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Mallotus villosus</x:v>
      </x:c>
      <x:c r="T10" s="62" t="n">
        <x:f>IF(O10="","",(1/'Metadata'!$B$5)^(O10-1))</x:f>
        <x:v>141.2537544622754</x:v>
      </x:c>
      <x:c r="U10" s="60" t="n">
        <x:f>IF(T10="","",I10*T10)</x:f>
        <x:v>3449417.988648318</x:v>
      </x:c>
    </x:row>
    <x:row r="11" ht="18" customHeight="1">
      <x:c r="A11" s="46" t="str">
        <x:v>LME_009</x:v>
      </x:c>
      <x:c r="B11" s="46" t="str">
        <x:v>Newfoundland-Labrador Shelf</x:v>
      </x:c>
      <x:c r="C11" s="46" t="str">
        <x:v>LME</x:v>
      </x:c>
      <x:c r="D11" s="58" t="n">
        <x:v>2019</x:v>
      </x:c>
      <x:c r="E11" s="46" t="str">
        <x:v>Marine fishes not identified</x:v>
      </x:c>
      <x:c r="F11" s="46" t="str">
        <x:v>Marine fishes nei</x:v>
      </x:c>
      <x:c r="G11" s="46" t="str">
        <x:v>Medium demersals (30 - 89 cm)</x:v>
      </x:c>
      <x:c r="H11" s="46" t="str">
        <x:v>Other fishes &amp; inverts</x:v>
      </x:c>
      <x:c r="I11" s="60" t="n">
        <x:v>22191.747491926497</x:v>
      </x:c>
      <x:c r="J11" s="60" t="n">
        <x:v>17914.122424623398</x:v>
      </x:c>
      <x:c r="K11" s="60" t="n">
        <x:v>4277.6250673031</x:v>
      </x:c>
      <x:c r="L11" s="60" t="n">
        <x:v>15270.489702265299</x:v>
      </x:c>
      <x:c r="M11" s="60" t="n">
        <x:v>6921.257789661199</x:v>
      </x:c>
      <x:c r="N11" s="46" t="str">
        <x:v>marine fishes not identified</x:v>
      </x:c>
      <x:c r="O11" s="62" t="n">
        <x:v>3.28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Marine fishes not identified</x:v>
      </x:c>
      <x:c r="T11" s="62" t="n">
        <x:f>IF(O11="","",(1/'Metadata'!$B$5)^(O11-1))</x:f>
        <x:v>190.54607179632464</x:v>
      </x:c>
      <x:c r="U11" s="60" t="n">
        <x:f>IF(T11="","",I11*T11)</x:f>
        <x:v>4228550.310882534</x:v>
      </x:c>
    </x:row>
    <x:row r="12" ht="18" customHeight="1">
      <x:c r="A12" s="46" t="str">
        <x:v>LME_009</x:v>
      </x:c>
      <x:c r="B12" s="46" t="str">
        <x:v>Newfoundland-Labrador Shelf</x:v>
      </x:c>
      <x:c r="C12" s="46" t="str">
        <x:v>LME</x:v>
      </x:c>
      <x:c r="D12" s="58" t="n">
        <x:v>2019</x:v>
      </x:c>
      <x:c r="E12" s="46" t="str">
        <x:v>Clupea harengus</x:v>
      </x:c>
      <x:c r="F12" s="46" t="str">
        <x:v>Atlantic herring</x:v>
      </x:c>
      <x:c r="G12" s="46" t="str">
        <x:v>Medium pelagics (30 - 89 cm)</x:v>
      </x:c>
      <x:c r="H12" s="46" t="str">
        <x:v>Herring-likes</x:v>
      </x:c>
      <x:c r="I12" s="60" t="n">
        <x:v>11271.336688848</x:v>
      </x:c>
      <x:c r="J12" s="60" t="n">
        <x:v>11026.9622593814</x:v>
      </x:c>
      <x:c r="K12" s="60" t="n">
        <x:v>244.3744294666</x:v>
      </x:c>
      <x:c r="L12" s="60" t="n">
        <x:v>10095.460166135601</x:v>
      </x:c>
      <x:c r="M12" s="60" t="n">
        <x:v>1175.8765227124</x:v>
      </x:c>
      <x:c r="N12" s="46" t="str">
        <x:v>clupea harengus</x:v>
      </x:c>
      <x:c r="O12" s="62" t="n">
        <x:v>3.38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Clupea harengus</x:v>
      </x:c>
      <x:c r="T12" s="62" t="n">
        <x:f>IF(O12="","",(1/'Metadata'!$B$5)^(O12-1))</x:f>
        <x:v>239.88329190194898</x:v>
      </x:c>
      <x:c r="U12" s="60" t="n">
        <x:f>IF(T12="","",I12*T12)</x:f>
        <x:v>2703805.3490560716</x:v>
      </x:c>
    </x:row>
    <x:row r="13" ht="18" customHeight="1">
      <x:c r="A13" s="46" t="str">
        <x:v>LME_009</x:v>
      </x:c>
      <x:c r="B13" s="46" t="str">
        <x:v>Newfoundland-Labrador Shelf</x:v>
      </x:c>
      <x:c r="C13" s="46" t="str">
        <x:v>LME</x:v>
      </x:c>
      <x:c r="D13" s="58" t="n">
        <x:v>2019</x:v>
      </x:c>
      <x:c r="E13" s="46" t="str">
        <x:v>Salmo salar</x:v>
      </x:c>
      <x:c r="F13" s="46" t="str">
        <x:v>Atlantic salmon</x:v>
      </x:c>
      <x:c r="G13" s="46" t="str">
        <x:v>Large benthopelagics (&gt;=90 cm)</x:v>
      </x:c>
      <x:c r="H13" s="46" t="str">
        <x:v>Salmon, smelts, etc</x:v>
      </x:c>
      <x:c r="I13" s="60" t="n">
        <x:v>4562.9088355636</x:v>
      </x:c>
      <x:c r="J13" s="60" t="n">
        <x:v>4562.9088355636</x:v>
      </x:c>
      <x:c r="K13" s="60" t="n">
        <x:v>0</x:v>
      </x:c>
      <x:c r="L13" s="60" t="n">
        <x:v>2.2001323697</x:v>
      </x:c>
      <x:c r="M13" s="60" t="n">
        <x:v>4560.7087031939</x:v>
      </x:c>
      <x:c r="N13" s="46" t="str">
        <x:v>salmo salar</x:v>
      </x:c>
      <x:c r="O13" s="62" t="n">
        <x:v>4.5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Salmo salar</x:v>
      </x:c>
      <x:c r="T13" s="62" t="n">
        <x:f>IF(O13="","",(1/'Metadata'!$B$5)^(O13-1))</x:f>
        <x:v>3162.2776601683795</x:v>
      </x:c>
      <x:c r="U13" s="60" t="n">
        <x:f>IF(T13="","",I13*T13)</x:f>
        <x:v>14429184.676087687</x:v>
      </x:c>
    </x:row>
    <x:row r="14" ht="18" customHeight="1">
      <x:c r="A14" s="46" t="str">
        <x:v>LME_009</x:v>
      </x:c>
      <x:c r="B14" s="46" t="str">
        <x:v>Newfoundland-Labrador Shelf</x:v>
      </x:c>
      <x:c r="C14" s="46" t="str">
        <x:v>LME</x:v>
      </x:c>
      <x:c r="D14" s="58" t="n">
        <x:v>2019</x:v>
      </x:c>
      <x:c r="E14" s="46" t="str">
        <x:v>Hippoglossus hippoglossus</x:v>
      </x:c>
      <x:c r="F14" s="46" t="str">
        <x:v>Atlantic halibut</x:v>
      </x:c>
      <x:c r="G14" s="46" t="str">
        <x:v>Large flatfishes (&gt;=90 cm)</x:v>
      </x:c>
      <x:c r="H14" s="46" t="str">
        <x:v>Flatfishes</x:v>
      </x:c>
      <x:c r="I14" s="60" t="n">
        <x:v>4039.2908569585</x:v>
      </x:c>
      <x:c r="J14" s="60" t="n">
        <x:v>2567.6641868908</x:v>
      </x:c>
      <x:c r="K14" s="60" t="n">
        <x:v>1471.6266700677</x:v>
      </x:c>
      <x:c r="L14" s="60" t="n">
        <x:v>2565.6479178836003</x:v>
      </x:c>
      <x:c r="M14" s="60" t="n">
        <x:v>1473.6429390749</x:v>
      </x:c>
      <x:c r="N14" s="46" t="str">
        <x:v>hippoglossus hippoglossus</x:v>
      </x:c>
      <x:c r="O14" s="62" t="n">
        <x:v>4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Hippoglossus hippoglossus</x:v>
      </x:c>
      <x:c r="T14" s="62" t="n">
        <x:f>IF(O14="","",(1/'Metadata'!$B$5)^(O14-1))</x:f>
        <x:v>1000</x:v>
      </x:c>
      <x:c r="U14" s="60" t="n">
        <x:f>IF(T14="","",I14*T14)</x:f>
        <x:v>4039290.8569585</x:v>
      </x:c>
    </x:row>
    <x:row r="15" ht="18" customHeight="1">
      <x:c r="A15" s="46" t="str">
        <x:v>LME_009</x:v>
      </x:c>
      <x:c r="B15" s="46" t="str">
        <x:v>Newfoundland-Labrador Shelf</x:v>
      </x:c>
      <x:c r="C15" s="46" t="str">
        <x:v>LME</x:v>
      </x:c>
      <x:c r="D15" s="58" t="n">
        <x:v>2019</x:v>
      </x:c>
      <x:c r="E15" s="46" t="str">
        <x:v>Hippoglossoides platessoides</x:v>
      </x:c>
      <x:c r="F15" s="46" t="str">
        <x:v>American plaice</x:v>
      </x:c>
      <x:c r="G15" s="46" t="str">
        <x:v>Small to medium flatfishes (&lt;90 cm)</x:v>
      </x:c>
      <x:c r="H15" s="46" t="str">
        <x:v>Flatfishes</x:v>
      </x:c>
      <x:c r="I15" s="60" t="n">
        <x:v>3331.4629272245998</x:v>
      </x:c>
      <x:c r="J15" s="60" t="n">
        <x:v>1804.3399387264997</x:v>
      </x:c>
      <x:c r="K15" s="60" t="n">
        <x:v>1527.1229884981</x:v>
      </x:c>
      <x:c r="L15" s="60" t="n">
        <x:v>736.4774413828</x:v>
      </x:c>
      <x:c r="M15" s="60" t="n">
        <x:v>2594.9854858418</x:v>
      </x:c>
      <x:c r="N15" s="46" t="str">
        <x:v>hippoglossoides platessoides</x:v>
      </x:c>
      <x:c r="O15" s="62" t="n">
        <x:v>4.08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Hippoglossoides platessoides</x:v>
      </x:c>
      <x:c r="T15" s="62" t="n">
        <x:f>IF(O15="","",(1/'Metadata'!$B$5)^(O15-1))</x:f>
        <x:v>1202.2644346174131</x:v>
      </x:c>
      <x:c r="U15" s="60" t="n">
        <x:f>IF(T15="","",I15*T15)</x:f>
        <x:v>4005299.392648556</x:v>
      </x:c>
    </x:row>
    <x:row r="16" ht="18" customHeight="1">
      <x:c r="A16" s="46" t="str">
        <x:v>LME_009</x:v>
      </x:c>
      <x:c r="B16" s="46" t="str">
        <x:v>Newfoundland-Labrador Shelf</x:v>
      </x:c>
      <x:c r="C16" s="46" t="str">
        <x:v>LME</x:v>
      </x:c>
      <x:c r="D16" s="58" t="n">
        <x:v>2019</x:v>
      </x:c>
      <x:c r="E16" s="46" t="str">
        <x:v>Brachyura</x:v>
      </x:c>
      <x:c r="F16" s="46" t="str">
        <x:v>Marine crabs</x:v>
      </x:c>
      <x:c r="G16" s="46" t="str">
        <x:v>Lobsters, crabs</x:v>
      </x:c>
      <x:c r="H16" s="46" t="str">
        <x:v>Crustaceans</x:v>
      </x:c>
      <x:c r="I16" s="60" t="n">
        <x:v>2243.4342289625</x:v>
      </x:c>
      <x:c r="J16" s="60" t="n">
        <x:v>2198.0573020315</x:v>
      </x:c>
      <x:c r="K16" s="60" t="n">
        <x:v>45.376926931</x:v>
      </x:c>
      <x:c r="L16" s="60" t="n">
        <x:v>2198.0573020315</x:v>
      </x:c>
      <x:c r="M16" s="60" t="n">
        <x:v>45.376926931</x:v>
      </x:c>
      <x:c r="N16" s="46" t="str">
        <x:v>brachyura</x:v>
      </x:c>
      <x:c r="O16" s="62" t="n">
        <x:v>2.6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Brachyura</x:v>
      </x:c>
      <x:c r="T16" s="62" t="n">
        <x:f>IF(O16="","",(1/'Metadata'!$B$5)^(O16-1))</x:f>
        <x:v>39.810717055349734</x:v>
      </x:c>
      <x:c r="U16" s="60" t="n">
        <x:f>IF(T16="","",I16*T16)</x:f>
        <x:v>89312.72532151279</x:v>
      </x:c>
    </x:row>
    <x:row r="17" ht="18" customHeight="1">
      <x:c r="A17" s="46" t="str">
        <x:v>LME_009</x:v>
      </x:c>
      <x:c r="B17" s="46" t="str">
        <x:v>Newfoundland-Labrador Shelf</x:v>
      </x:c>
      <x:c r="C17" s="46" t="str">
        <x:v>LME</x:v>
      </x:c>
      <x:c r="D17" s="58" t="n">
        <x:v>2019</x:v>
      </x:c>
      <x:c r="E17" s="46" t="str">
        <x:v>Myzopsetta ferruginea</x:v>
      </x:c>
      <x:c r="F17" s="46" t="str">
        <x:v>Yellowtail flounder</x:v>
      </x:c>
      <x:c r="G17" s="46" t="str">
        <x:v>Small to medium flatfishes (&lt;90 cm)</x:v>
      </x:c>
      <x:c r="H17" s="46" t="str">
        <x:v>Flatfishes</x:v>
      </x:c>
      <x:c r="I17" s="60" t="n">
        <x:v>2200.2265620722</x:v>
      </x:c>
      <x:c r="J17" s="60" t="n">
        <x:v>452.66208592209995</x:v>
      </x:c>
      <x:c r="K17" s="60" t="n">
        <x:v>1747.5644761501</x:v>
      </x:c>
      <x:c r="L17" s="60" t="n">
        <x:v>444.32208593269996</x:v>
      </x:c>
      <x:c r="M17" s="60" t="n">
        <x:v>1755.9044761395</x:v>
      </x:c>
      <x:c r="N17" s="46" t="str">
        <x:v>myzopsetta ferruginea</x:v>
      </x:c>
      <x:c r="O17" s="62" t="n">
        <x:v>3.28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Myzopsetta ferruginea</x:v>
      </x:c>
      <x:c r="T17" s="62" t="n">
        <x:f>IF(O17="","",(1/'Metadata'!$B$5)^(O17-1))</x:f>
        <x:v>190.54607179632464</x:v>
      </x:c>
      <x:c r="U17" s="60" t="n">
        <x:f>IF(T17="","",I17*T17)</x:f>
        <x:v>419244.52846478997</x:v>
      </x:c>
    </x:row>
    <x:row r="18" ht="18" customHeight="1">
      <x:c r="A18" s="46" t="str">
        <x:v>LME_009</x:v>
      </x:c>
      <x:c r="B18" s="46" t="str">
        <x:v>Newfoundland-Labrador Shelf</x:v>
      </x:c>
      <x:c r="C18" s="46" t="str">
        <x:v>LME</x:v>
      </x:c>
      <x:c r="D18" s="58" t="n">
        <x:v>2019</x:v>
      </x:c>
      <x:c r="E18" s="46" t="str">
        <x:v>Salmo</x:v>
      </x:c>
      <x:c r="F18" s="46" t="str">
        <x:v>Trouts</x:v>
      </x:c>
      <x:c r="G18" s="46" t="str">
        <x:v>Large benthopelagics (&gt;=90 cm)</x:v>
      </x:c>
      <x:c r="H18" s="46" t="str">
        <x:v>Salmon, smelts, etc</x:v>
      </x:c>
      <x:c r="I18" s="60" t="n">
        <x:v>2163.0748853869</x:v>
      </x:c>
      <x:c r="J18" s="60" t="n">
        <x:v>2163.0748853869</x:v>
      </x:c>
      <x:c r="K18" s="60" t="n">
        <x:v>0</x:v>
      </x:c>
      <x:c r="L18" s="60" t="n">
        <x:v>0</x:v>
      </x:c>
      <x:c r="M18" s="60" t="n">
        <x:v>2163.0748853869</x:v>
      </x:c>
      <x:c r="N18" s="46" t="str">
        <x:v>salmo</x:v>
      </x:c>
      <x:c r="O18" s="62" t="n">
        <x:v>4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Salmo</x:v>
      </x:c>
      <x:c r="T18" s="62" t="n">
        <x:f>IF(O18="","",(1/'Metadata'!$B$5)^(O18-1))</x:f>
        <x:v>1000</x:v>
      </x:c>
      <x:c r="U18" s="60" t="n">
        <x:f>IF(T18="","",I18*T18)</x:f>
        <x:v>2163074.8853869</x:v>
      </x:c>
    </x:row>
    <x:row r="19" ht="18" customHeight="1">
      <x:c r="A19" s="46" t="str">
        <x:v>LME_009</x:v>
      </x:c>
      <x:c r="B19" s="46" t="str">
        <x:v>Newfoundland-Labrador Shelf</x:v>
      </x:c>
      <x:c r="C19" s="46" t="str">
        <x:v>LME</x:v>
      </x:c>
      <x:c r="D19" s="58" t="n">
        <x:v>2019</x:v>
      </x:c>
      <x:c r="E19" s="46" t="str">
        <x:v>Busycon</x:v>
      </x:c>
      <x:c r="F19" s="46" t="str">
        <x:v>Whelks</x:v>
      </x:c>
      <x:c r="G19" s="46" t="str">
        <x:v>Other demersal invertebrates</x:v>
      </x:c>
      <x:c r="H19" s="46" t="str">
        <x:v>Molluscs</x:v>
      </x:c>
      <x:c r="I19" s="60" t="n">
        <x:v>1951.8537480611</x:v>
      </x:c>
      <x:c r="J19" s="60" t="n">
        <x:v>1951.8537480611</x:v>
      </x:c>
      <x:c r="K19" s="60" t="n">
        <x:v>0</x:v>
      </x:c>
      <x:c r="L19" s="60" t="n">
        <x:v>1951.8537480611</x:v>
      </x:c>
      <x:c r="M19" s="60" t="n">
        <x:v>0</x:v>
      </x:c>
      <x:c r="N19" s="46" t="str">
        <x:v>busycon</x:v>
      </x:c>
      <x:c r="O19" s="62" t="n">
        <x:v>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Busycon</x:v>
      </x:c>
      <x:c r="T19" s="62" t="n">
        <x:f>IF(O19="","",(1/'Metadata'!$B$5)^(O19-1))</x:f>
        <x:v>100</x:v>
      </x:c>
      <x:c r="U19" s="60" t="n">
        <x:f>IF(T19="","",I19*T19)</x:f>
        <x:v>195185.37480611002</x:v>
      </x:c>
    </x:row>
    <x:row r="20" ht="18" customHeight="1">
      <x:c r="A20" s="46" t="str">
        <x:v>LME_009</x:v>
      </x:c>
      <x:c r="B20" s="46" t="str">
        <x:v>Newfoundland-Labrador Shelf</x:v>
      </x:c>
      <x:c r="C20" s="46" t="str">
        <x:v>LME</x:v>
      </x:c>
      <x:c r="D20" s="58" t="n">
        <x:v>2019</x:v>
      </x:c>
      <x:c r="E20" s="46" t="str">
        <x:v>Glyptocephalus cynoglossus</x:v>
      </x:c>
      <x:c r="F20" s="46" t="str">
        <x:v>Witch flounder</x:v>
      </x:c>
      <x:c r="G20" s="46" t="str">
        <x:v>Small to medium flatfishes (&lt;90 cm)</x:v>
      </x:c>
      <x:c r="H20" s="46" t="str">
        <x:v>Flatfishes</x:v>
      </x:c>
      <x:c r="I20" s="60" t="n">
        <x:v>1726.3389639666</x:v>
      </x:c>
      <x:c r="J20" s="60" t="n">
        <x:v>557.9507201136</x:v>
      </x:c>
      <x:c r="K20" s="60" t="n">
        <x:v>1168.388243853</x:v>
      </x:c>
      <x:c r="L20" s="60" t="n">
        <x:v>556.110918668</x:v>
      </x:c>
      <x:c r="M20" s="60" t="n">
        <x:v>1170.2280452986001</x:v>
      </x:c>
      <x:c r="N20" s="46" t="str">
        <x:v>glyptocephalus cynoglossus</x:v>
      </x:c>
      <x:c r="O20" s="62" t="n">
        <x:v>3.17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Glyptocephalus cynoglossus</x:v>
      </x:c>
      <x:c r="T20" s="62" t="n">
        <x:f>IF(O20="","",(1/'Metadata'!$B$5)^(O20-1))</x:f>
        <x:v>147.91083881682073</x:v>
      </x:c>
      <x:c r="U20" s="60" t="n">
        <x:f>IF(T20="","",I20*T20)</x:f>
        <x:v>255344.24424246105</x:v>
      </x:c>
    </x:row>
    <x:row r="21" ht="18" customHeight="1">
      <x:c r="A21" s="46" t="str">
        <x:v>LME_009</x:v>
      </x:c>
      <x:c r="B21" s="46" t="str">
        <x:v>Newfoundland-Labrador Shelf</x:v>
      </x:c>
      <x:c r="C21" s="46" t="str">
        <x:v>LME</x:v>
      </x:c>
      <x:c r="D21" s="58" t="n">
        <x:v>2019</x:v>
      </x:c>
      <x:c r="E21" s="46" t="str">
        <x:v>Strongylocentrotus</x:v>
      </x:c>
      <x:c r="F21" s="46" t="str">
        <x:v>Sickle-arched sea urchins</x:v>
      </x:c>
      <x:c r="G21" s="46" t="str">
        <x:v>Other demersal invertebrates</x:v>
      </x:c>
      <x:c r="H21" s="46" t="str">
        <x:v>Other fishes &amp; inverts</x:v>
      </x:c>
      <x:c r="I21" s="60" t="n">
        <x:v>1312.6511830454</x:v>
      </x:c>
      <x:c r="J21" s="60" t="n">
        <x:v>1312.6511830454</x:v>
      </x:c>
      <x:c r="K21" s="60" t="n">
        <x:v>0</x:v>
      </x:c>
      <x:c r="L21" s="60" t="n">
        <x:v>1312.6511830454</x:v>
      </x:c>
      <x:c r="M21" s="60" t="n">
        <x:v>0</x:v>
      </x:c>
      <x:c r="N21" s="46" t="str">
        <x:v>strongylocentrotus</x:v>
      </x:c>
      <x:c r="O21" s="62" t="n">
        <x:v>2.1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Strongylocentrotus</x:v>
      </x:c>
      <x:c r="T21" s="62" t="n">
        <x:f>IF(O21="","",(1/'Metadata'!$B$5)^(O21-1))</x:f>
        <x:v>12.589254117941675</x:v>
      </x:c>
      <x:c r="U21" s="60" t="n">
        <x:f>IF(T21="","",I21*T21)</x:f>
        <x:v>16525.299311575312</x:v>
      </x:c>
    </x:row>
    <x:row r="22" ht="18" customHeight="1">
      <x:c r="A22" s="46" t="str">
        <x:v>LME_009</x:v>
      </x:c>
      <x:c r="B22" s="46" t="str">
        <x:v>Newfoundland-Labrador Shelf</x:v>
      </x:c>
      <x:c r="C22" s="46" t="str">
        <x:v>LME</x:v>
      </x:c>
      <x:c r="D22" s="58" t="n">
        <x:v>2019</x:v>
      </x:c>
      <x:c r="E22" s="46" t="str">
        <x:v>Merluccius bilinearis</x:v>
      </x:c>
      <x:c r="F22" s="46" t="str">
        <x:v>Silver hake</x:v>
      </x:c>
      <x:c r="G22" s="46" t="str">
        <x:v>Medium demersals (30 - 89 cm)</x:v>
      </x:c>
      <x:c r="H22" s="46" t="str">
        <x:v>Cod-likes</x:v>
      </x:c>
      <x:c r="I22" s="60" t="n">
        <x:v>1227.0876457373</x:v>
      </x:c>
      <x:c r="J22" s="60" t="n">
        <x:v>510.3499996648</x:v>
      </x:c>
      <x:c r="K22" s="60" t="n">
        <x:v>716.7376460725</x:v>
      </x:c>
      <x:c r="L22" s="60" t="n">
        <x:v>509.4299996655</x:v>
      </x:c>
      <x:c r="M22" s="60" t="n">
        <x:v>717.6576460718</x:v>
      </x:c>
      <x:c r="N22" s="46" t="str">
        <x:v>merluccius bilinearis</x:v>
      </x:c>
      <x:c r="O22" s="62" t="n">
        <x:v>4.49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Merluccius bilinearis</x:v>
      </x:c>
      <x:c r="T22" s="62" t="n">
        <x:f>IF(O22="","",(1/'Metadata'!$B$5)^(O22-1))</x:f>
        <x:v>3090.295432513592</x:v>
      </x:c>
      <x:c r="U22" s="60" t="n">
        <x:f>IF(T22="","",I22*T22)</x:f>
        <x:v>3792063.3469158346</x:v>
      </x:c>
    </x:row>
    <x:row r="23" ht="18" customHeight="1">
      <x:c r="A23" s="46" t="str">
        <x:v>LME_009</x:v>
      </x:c>
      <x:c r="B23" s="46" t="str">
        <x:v>Newfoundland-Labrador Shelf</x:v>
      </x:c>
      <x:c r="C23" s="46" t="str">
        <x:v>LME</x:v>
      </x:c>
      <x:c r="D23" s="58" t="n">
        <x:v>2019</x:v>
      </x:c>
      <x:c r="E23" s="46" t="str">
        <x:v>Salvelinus</x:v>
      </x:c>
      <x:c r="F23" s="46" t="str">
        <x:v>Chars</x:v>
      </x:c>
      <x:c r="G23" s="46" t="str">
        <x:v>Large benthopelagics (&gt;=90 cm)</x:v>
      </x:c>
      <x:c r="H23" s="46" t="str">
        <x:v>Salmon, smelts, etc</x:v>
      </x:c>
      <x:c r="I23" s="60" t="n">
        <x:v>1042.7146233151</x:v>
      </x:c>
      <x:c r="J23" s="60" t="n">
        <x:v>1042.7146233151</x:v>
      </x:c>
      <x:c r="K23" s="60" t="n">
        <x:v>0</x:v>
      </x:c>
      <x:c r="L23" s="60" t="n">
        <x:v>0</x:v>
      </x:c>
      <x:c r="M23" s="60" t="n">
        <x:v>1042.7146233151</x:v>
      </x:c>
      <x:c r="N23" s="46" t="str">
        <x:v>salvelinus</x:v>
      </x:c>
      <x:c r="O23" s="62" t="n">
        <x:v>4.1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Salvelinus</x:v>
      </x:c>
      <x:c r="T23" s="62" t="n">
        <x:f>IF(O23="","",(1/'Metadata'!$B$5)^(O23-1))</x:f>
        <x:v>1258.9254117941662</x:v>
      </x:c>
      <x:c r="U23" s="60" t="n">
        <x:f>IF(T23="","",I23*T23)</x:f>
        <x:v>1312699.936540761</x:v>
      </x:c>
    </x:row>
    <x:row r="24" ht="18" customHeight="1">
      <x:c r="A24" s="46" t="str">
        <x:v>LME_009</x:v>
      </x:c>
      <x:c r="B24" s="46" t="str">
        <x:v>Newfoundland-Labrador Shelf</x:v>
      </x:c>
      <x:c r="C24" s="46" t="str">
        <x:v>LME</x:v>
      </x:c>
      <x:c r="D24" s="58" t="n">
        <x:v>2019</x:v>
      </x:c>
      <x:c r="E24" s="46" t="str">
        <x:v>Melanogrammus aeglefinus</x:v>
      </x:c>
      <x:c r="F24" s="46" t="str">
        <x:v>Haddock</x:v>
      </x:c>
      <x:c r="G24" s="46" t="str">
        <x:v>Medium demersals (30 - 89 cm)</x:v>
      </x:c>
      <x:c r="H24" s="46" t="str">
        <x:v>Cod-likes</x:v>
      </x:c>
      <x:c r="I24" s="60" t="n">
        <x:v>889.3582555162</x:v>
      </x:c>
      <x:c r="J24" s="60" t="n">
        <x:v>778.8124540077</x:v>
      </x:c>
      <x:c r="K24" s="60" t="n">
        <x:v>110.5458015085</x:v>
      </x:c>
      <x:c r="L24" s="60" t="n">
        <x:v>778.592454008</x:v>
      </x:c>
      <x:c r="M24" s="60" t="n">
        <x:v>110.7658015082</x:v>
      </x:c>
      <x:c r="N24" s="46" t="str">
        <x:v>melanogrammus aeglefinus</x:v>
      </x:c>
      <x:c r="O24" s="62" t="n">
        <x:v>4.03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Melanogrammus aeglefinus</x:v>
      </x:c>
      <x:c r="T24" s="62" t="n">
        <x:f>IF(O24="","",(1/'Metadata'!$B$5)^(O24-1))</x:f>
        <x:v>1071.519305237607</x:v>
      </x:c>
      <x:c r="U24" s="60" t="n">
        <x:f>IF(T24="","",I24*T24)</x:f>
        <x:v>952964.5400580488</x:v>
      </x:c>
    </x:row>
    <x:row r="25" ht="18" customHeight="1">
      <x:c r="A25" s="46" t="str">
        <x:v>LME_009</x:v>
      </x:c>
      <x:c r="B25" s="46" t="str">
        <x:v>Newfoundland-Labrador Shelf</x:v>
      </x:c>
      <x:c r="C25" s="46" t="str">
        <x:v>LME</x:v>
      </x:c>
      <x:c r="D25" s="58" t="n">
        <x:v>2019</x:v>
      </x:c>
      <x:c r="E25" s="46" t="str">
        <x:v>Scomber scombrus</x:v>
      </x:c>
      <x:c r="F25" s="46" t="str">
        <x:v>Atlantic mackerel</x:v>
      </x:c>
      <x:c r="G25" s="46" t="str">
        <x:v>Medium pelagics (30 - 89 cm)</x:v>
      </x:c>
      <x:c r="H25" s="46" t="str">
        <x:v>Perch-likes</x:v>
      </x:c>
      <x:c r="I25" s="60" t="n">
        <x:v>606.7127597036999</x:v>
      </x:c>
      <x:c r="J25" s="60" t="n">
        <x:v>545.2993322758</x:v>
      </x:c>
      <x:c r="K25" s="60" t="n">
        <x:v>61.4134274279</x:v>
      </x:c>
      <x:c r="L25" s="60" t="n">
        <x:v>441.6939039682</x:v>
      </x:c>
      <x:c r="M25" s="60" t="n">
        <x:v>165.01885573549998</x:v>
      </x:c>
      <x:c r="N25" s="46" t="str">
        <x:v>scomber scombrus</x:v>
      </x:c>
      <x:c r="O25" s="62" t="n">
        <x:v>3.63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Scomber scombrus</x:v>
      </x:c>
      <x:c r="T25" s="62" t="n">
        <x:f>IF(O25="","",(1/'Metadata'!$B$5)^(O25-1))</x:f>
        <x:v>426.57951880159254</x:v>
      </x:c>
      <x:c r="U25" s="60" t="n">
        <x:f>IF(T25="","",I25*T25)</x:f>
        <x:v>258811.23708519057</x:v>
      </x:c>
    </x:row>
    <x:row r="26" ht="18" customHeight="1">
      <x:c r="A26" s="46" t="str">
        <x:v>LME_009</x:v>
      </x:c>
      <x:c r="B26" s="46" t="str">
        <x:v>Newfoundland-Labrador Shelf</x:v>
      </x:c>
      <x:c r="C26" s="46" t="str">
        <x:v>LME</x:v>
      </x:c>
      <x:c r="D26" s="58" t="n">
        <x:v>2019</x:v>
      </x:c>
      <x:c r="E26" s="46" t="str">
        <x:v>Lithodidae</x:v>
      </x:c>
      <x:c r="F26" s="46" t="str">
        <x:v>Stone/king crabs</x:v>
      </x:c>
      <x:c r="G26" s="46" t="str">
        <x:v>Lobsters, crabs</x:v>
      </x:c>
      <x:c r="H26" s="46" t="str">
        <x:v>Crustaceans</x:v>
      </x:c>
      <x:c r="I26" s="60" t="n">
        <x:v>597.4593679236</x:v>
      </x:c>
      <x:c r="J26" s="60" t="n">
        <x:v>0</x:v>
      </x:c>
      <x:c r="K26" s="60" t="n">
        <x:v>597.4593679236</x:v>
      </x:c>
      <x:c r="L26" s="60" t="n">
        <x:v>0</x:v>
      </x:c>
      <x:c r="M26" s="60" t="n">
        <x:v>597.4593679236</x:v>
      </x:c>
      <x:c r="N26" s="46" t="str">
        <x:v>lithodidae</x:v>
      </x:c>
      <x:c r="O26" s="62" t="n">
        <x:v>2.82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Lithodidae</x:v>
      </x:c>
      <x:c r="T26" s="62" t="n">
        <x:f>IF(O26="","",(1/'Metadata'!$B$5)^(O26-1))</x:f>
        <x:v>66.06934480075958</x:v>
      </x:c>
      <x:c r="U26" s="60" t="n">
        <x:f>IF(T26="","",I26*T26)</x:f>
        <x:v>39473.74898378821</x:v>
      </x:c>
    </x:row>
    <x:row r="27" ht="18" customHeight="1">
      <x:c r="A27" s="46" t="str">
        <x:v>LME_009</x:v>
      </x:c>
      <x:c r="B27" s="46" t="str">
        <x:v>Newfoundland-Labrador Shelf</x:v>
      </x:c>
      <x:c r="C27" s="46" t="str">
        <x:v>LME</x:v>
      </x:c>
      <x:c r="D27" s="58" t="n">
        <x:v>2019</x:v>
      </x:c>
      <x:c r="E27" s="46" t="str">
        <x:v>Squalus</x:v>
      </x:c>
      <x:c r="F27" s="46" t="str">
        <x:v>Dogfishes</x:v>
      </x:c>
      <x:c r="G27" s="46" t="str">
        <x:v>Large sharks (&gt;=90 cm)</x:v>
      </x:c>
      <x:c r="H27" s="46" t="str">
        <x:v>Sharks &amp; rays</x:v>
      </x:c>
      <x:c r="I27" s="60" t="n">
        <x:v>397.72213320540004</x:v>
      </x:c>
      <x:c r="J27" s="60" t="n">
        <x:v>0</x:v>
      </x:c>
      <x:c r="K27" s="60" t="n">
        <x:v>397.72213320540004</x:v>
      </x:c>
      <x:c r="L27" s="60" t="n">
        <x:v>0</x:v>
      </x:c>
      <x:c r="M27" s="60" t="n">
        <x:v>397.72213320540004</x:v>
      </x:c>
      <x:c r="N27" s="46" t="str">
        <x:v>squalus</x:v>
      </x:c>
      <x:c r="O27" s="62" t="n">
        <x:v>4.23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Squalus</x:v>
      </x:c>
      <x:c r="T27" s="62" t="n">
        <x:f>IF(O27="","",(1/'Metadata'!$B$5)^(O27-1))</x:f>
        <x:v>1698.243652461746</x:v>
      </x:c>
      <x:c r="U27" s="60" t="n">
        <x:f>IF(T27="","",I27*T27)</x:f>
        <x:v>675429.0881596156</x:v>
      </x:c>
    </x:row>
    <x:row r="28" ht="18" customHeight="1">
      <x:c r="A28" s="46" t="str">
        <x:v>LME_009</x:v>
      </x:c>
      <x:c r="B28" s="46" t="str">
        <x:v>Newfoundland-Labrador Shelf</x:v>
      </x:c>
      <x:c r="C28" s="46" t="str">
        <x:v>LME</x:v>
      </x:c>
      <x:c r="D28" s="58" t="n">
        <x:v>2019</x:v>
      </x:c>
      <x:c r="E28" s="46" t="str">
        <x:v>Urophycis tenuis</x:v>
      </x:c>
      <x:c r="F28" s="46" t="str">
        <x:v>White hake</x:v>
      </x:c>
      <x:c r="G28" s="46" t="str">
        <x:v>Large demersals (&gt;=90 cm)</x:v>
      </x:c>
      <x:c r="H28" s="46" t="str">
        <x:v>Cod-likes</x:v>
      </x:c>
      <x:c r="I28" s="60" t="n">
        <x:v>376.4145767251</x:v>
      </x:c>
      <x:c r="J28" s="60" t="n">
        <x:v>90.922242922</x:v>
      </x:c>
      <x:c r="K28" s="60" t="n">
        <x:v>285.4923338031</x:v>
      </x:c>
      <x:c r="L28" s="60" t="n">
        <x:v>90.0823454665</x:v>
      </x:c>
      <x:c r="M28" s="60" t="n">
        <x:v>286.33223125859996</x:v>
      </x:c>
      <x:c r="N28" s="46" t="str">
        <x:v>urophycis tenuis</x:v>
      </x:c>
      <x:c r="O28" s="62" t="n">
        <x:v>4.27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Urophycis tenuis</x:v>
      </x:c>
      <x:c r="T28" s="62" t="n">
        <x:f>IF(O28="","",(1/'Metadata'!$B$5)^(O28-1))</x:f>
        <x:v>1862.0871366628655</x:v>
      </x:c>
      <x:c r="U28" s="60" t="n">
        <x:f>IF(T28="","",I28*T28)</x:f>
        <x:v>700916.741372206</x:v>
      </x:c>
    </x:row>
    <x:row r="29" ht="18" customHeight="1">
      <x:c r="A29" s="46" t="str">
        <x:v>LME_009</x:v>
      </x:c>
      <x:c r="B29" s="46" t="str">
        <x:v>Newfoundland-Labrador Shelf</x:v>
      </x:c>
      <x:c r="C29" s="46" t="str">
        <x:v>LME</x:v>
      </x:c>
      <x:c r="D29" s="58" t="n">
        <x:v>2019</x:v>
      </x:c>
      <x:c r="E29" s="46" t="str">
        <x:v>Pollachius virens</x:v>
      </x:c>
      <x:c r="F29" s="46" t="str">
        <x:v>Saithe</x:v>
      </x:c>
      <x:c r="G29" s="46" t="str">
        <x:v>Large demersals (&gt;=90 cm)</x:v>
      </x:c>
      <x:c r="H29" s="46" t="str">
        <x:v>Cod-likes</x:v>
      </x:c>
      <x:c r="I29" s="60" t="n">
        <x:v>375.15008652800003</x:v>
      </x:c>
      <x:c r="J29" s="60" t="n">
        <x:v>227.3986065374</x:v>
      </x:c>
      <x:c r="K29" s="60" t="n">
        <x:v>147.7514799906</x:v>
      </x:c>
      <x:c r="L29" s="60" t="n">
        <x:v>227.3986065374</x:v>
      </x:c>
      <x:c r="M29" s="60" t="n">
        <x:v>147.7514799906</x:v>
      </x:c>
      <x:c r="N29" s="46" t="str">
        <x:v>pollachius virens</x:v>
      </x:c>
      <x:c r="O29" s="62" t="n">
        <x:v>4.31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Pollachius virens</x:v>
      </x:c>
      <x:c r="T29" s="62" t="n">
        <x:f>IF(O29="","",(1/'Metadata'!$B$5)^(O29-1))</x:f>
        <x:v>2041.7379446695275</x:v>
      </x:c>
      <x:c r="U29" s="60" t="n">
        <x:f>IF(T29="","",I29*T29)</x:f>
        <x:v>765958.1666102741</x:v>
      </x:c>
    </x:row>
    <x:row r="30" ht="18" customHeight="1">
      <x:c r="A30" s="46" t="str">
        <x:v>LME_009</x:v>
      </x:c>
      <x:c r="B30" s="46" t="str">
        <x:v>Newfoundland-Labrador Shelf</x:v>
      </x:c>
      <x:c r="C30" s="46" t="str">
        <x:v>LME</x:v>
      </x:c>
      <x:c r="D30" s="58" t="n">
        <x:v>2019</x:v>
      </x:c>
      <x:c r="E30" s="46" t="str">
        <x:v>Anarhichas lupus</x:v>
      </x:c>
      <x:c r="F30" s="46" t="str">
        <x:v>Atlantic wolffish</x:v>
      </x:c>
      <x:c r="G30" s="46" t="str">
        <x:v>Large demersals (&gt;=90 cm)</x:v>
      </x:c>
      <x:c r="H30" s="46" t="str">
        <x:v>Perch-likes</x:v>
      </x:c>
      <x:c r="I30" s="60" t="n">
        <x:v>360.2588110291</x:v>
      </x:c>
      <x:c r="J30" s="60" t="n">
        <x:v>0.9999999985000001</x:v>
      </x:c>
      <x:c r="K30" s="60" t="n">
        <x:v>359.2588110306</x:v>
      </x:c>
      <x:c r="L30" s="60" t="n">
        <x:v>0.9999999985000001</x:v>
      </x:c>
      <x:c r="M30" s="60" t="n">
        <x:v>359.2588110306</x:v>
      </x:c>
      <x:c r="N30" s="46" t="str">
        <x:v>anarhichas lupus</x:v>
      </x:c>
      <x:c r="O30" s="62" t="n">
        <x:v>3.55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Anarhichas lupus</x:v>
      </x:c>
      <x:c r="T30" s="62" t="n">
        <x:f>IF(O30="","",(1/'Metadata'!$B$5)^(O30-1))</x:f>
        <x:v>354.8133892335753</x:v>
      </x:c>
      <x:c r="U30" s="60" t="n">
        <x:f>IF(T30="","",I30*T30)</x:f>
        <x:v>127824.64974249311</x:v>
      </x:c>
    </x:row>
    <x:row r="31" ht="18" customHeight="1">
      <x:c r="A31" s="46" t="str">
        <x:v>LME_009</x:v>
      </x:c>
      <x:c r="B31" s="46" t="str">
        <x:v>Newfoundland-Labrador Shelf</x:v>
      </x:c>
      <x:c r="C31" s="46" t="str">
        <x:v>LME</x:v>
      </x:c>
      <x:c r="D31" s="58" t="n">
        <x:v>2019</x:v>
      </x:c>
      <x:c r="E31" s="46" t="str">
        <x:v>Centroscyllium fabricii</x:v>
      </x:c>
      <x:c r="F31" s="46" t="str">
        <x:v>Black dogfish</x:v>
      </x:c>
      <x:c r="G31" s="46" t="str">
        <x:v>Small to medium sharks (&lt;90 cm)</x:v>
      </x:c>
      <x:c r="H31" s="46" t="str">
        <x:v>Sharks &amp; rays</x:v>
      </x:c>
      <x:c r="I31" s="60" t="n">
        <x:v>332.3150818777</x:v>
      </x:c>
      <x:c r="J31" s="60" t="n">
        <x:v>0</x:v>
      </x:c>
      <x:c r="K31" s="60" t="n">
        <x:v>332.3150818777</x:v>
      </x:c>
      <x:c r="L31" s="60" t="n">
        <x:v>0</x:v>
      </x:c>
      <x:c r="M31" s="60" t="n">
        <x:v>332.3150818777</x:v>
      </x:c>
      <x:c r="N31" s="46" t="str">
        <x:v>centroscyllium fabricii</x:v>
      </x:c>
      <x:c r="O31" s="62" t="n">
        <x:v>3.84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Centroscyllium fabricii</x:v>
      </x:c>
      <x:c r="T31" s="62" t="n">
        <x:f>IF(O31="","",(1/'Metadata'!$B$5)^(O31-1))</x:f>
        <x:v>691.8309709189363</x:v>
      </x:c>
      <x:c r="U31" s="60" t="n">
        <x:f>IF(T31="","",I31*T31)</x:f>
        <x:v>229905.86574645498</x:v>
      </x:c>
    </x:row>
    <x:row r="32" ht="18" customHeight="1">
      <x:c r="A32" s="46" t="str">
        <x:v>LME_009</x:v>
      </x:c>
      <x:c r="B32" s="46" t="str">
        <x:v>Newfoundland-Labrador Shelf</x:v>
      </x:c>
      <x:c r="C32" s="46" t="str">
        <x:v>LME</x:v>
      </x:c>
      <x:c r="D32" s="58" t="n">
        <x:v>2019</x:v>
      </x:c>
      <x:c r="E32" s="46" t="str">
        <x:v>Pandalus borealis</x:v>
      </x:c>
      <x:c r="F32" s="46" t="str">
        <x:v>Northern prawn</x:v>
      </x:c>
      <x:c r="G32" s="46" t="str">
        <x:v>Shrimps</x:v>
      </x:c>
      <x:c r="H32" s="46" t="str">
        <x:v>Crustaceans</x:v>
      </x:c>
      <x:c r="I32" s="60" t="n">
        <x:v>319.4361642797</x:v>
      </x:c>
      <x:c r="J32" s="60" t="n">
        <x:v>0</x:v>
      </x:c>
      <x:c r="K32" s="60" t="n">
        <x:v>319.4361642797</x:v>
      </x:c>
      <x:c r="L32" s="60" t="n">
        <x:v>0</x:v>
      </x:c>
      <x:c r="M32" s="60" t="n">
        <x:v>319.4361642797</x:v>
      </x:c>
      <x:c r="N32" s="46" t="str">
        <x:v>pandalus borealis</x:v>
      </x:c>
      <x:c r="O32" s="62" t="n">
        <x:v>3.07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Pandalus borealis</x:v>
      </x:c>
      <x:c r="T32" s="62" t="n">
        <x:f>IF(O32="","",(1/'Metadata'!$B$5)^(O32-1))</x:f>
        <x:v>117.48975549395291</x:v>
      </x:c>
      <x:c r="U32" s="60" t="n">
        <x:f>IF(T32="","",I32*T32)</x:f>
        <x:v>37530.476837148126</x:v>
      </x:c>
    </x:row>
    <x:row r="33" ht="18" customHeight="1">
      <x:c r="A33" s="46" t="str">
        <x:v>LME_009</x:v>
      </x:c>
      <x:c r="B33" s="46" t="str">
        <x:v>Newfoundland-Labrador Shelf</x:v>
      </x:c>
      <x:c r="C33" s="46" t="str">
        <x:v>LME</x:v>
      </x:c>
      <x:c r="D33" s="58" t="n">
        <x:v>2019</x:v>
      </x:c>
      <x:c r="E33" s="46" t="str">
        <x:v>Anarhichas</x:v>
      </x:c>
      <x:c r="F33" s="46" t="str">
        <x:v>Wolffishes</x:v>
      </x:c>
      <x:c r="G33" s="46" t="str">
        <x:v>Large demersals (&gt;=90 cm)</x:v>
      </x:c>
      <x:c r="H33" s="46" t="str">
        <x:v>Perch-likes</x:v>
      </x:c>
      <x:c r="I33" s="60" t="n">
        <x:v>293.5267195558</x:v>
      </x:c>
      <x:c r="J33" s="60" t="n">
        <x:v>74.5167327629</x:v>
      </x:c>
      <x:c r="K33" s="60" t="n">
        <x:v>219.00998679289998</x:v>
      </x:c>
      <x:c r="L33" s="60" t="n">
        <x:v>74.3369174853</x:v>
      </x:c>
      <x:c r="M33" s="60" t="n">
        <x:v>219.18980207049998</x:v>
      </x:c>
      <x:c r="N33" s="46" t="str">
        <x:v>anarhichas</x:v>
      </x:c>
      <x:c r="O33" s="62" t="n">
        <x:v>3.35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Anarhichas</x:v>
      </x:c>
      <x:c r="T33" s="62" t="n">
        <x:f>IF(O33="","",(1/'Metadata'!$B$5)^(O33-1))</x:f>
        <x:v>223.872113856834</x:v>
      </x:c>
      <x:c r="U33" s="60" t="n">
        <x:f>IF(T33="","",I33*T33)</x:f>
        <x:v>65712.44718041904</x:v>
      </x:c>
    </x:row>
    <x:row r="34" ht="18" customHeight="1">
      <x:c r="A34" s="46" t="str">
        <x:v>LME_009</x:v>
      </x:c>
      <x:c r="B34" s="46" t="str">
        <x:v>Newfoundland-Labrador Shelf</x:v>
      </x:c>
      <x:c r="C34" s="46" t="str">
        <x:v>LME</x:v>
      </x:c>
      <x:c r="D34" s="58" t="n">
        <x:v>2019</x:v>
      </x:c>
      <x:c r="E34" s="46" t="str">
        <x:v>Chionoecetes</x:v>
      </x:c>
      <x:c r="F34" s="46" t="str">
        <x:v>Tanner, snow crabs</x:v>
      </x:c>
      <x:c r="G34" s="46" t="str">
        <x:v>Lobsters, crabs</x:v>
      </x:c>
      <x:c r="H34" s="46" t="str">
        <x:v>Crustaceans</x:v>
      </x:c>
      <x:c r="I34" s="60" t="n">
        <x:v>272.00368109730005</x:v>
      </x:c>
      <x:c r="J34" s="60" t="n">
        <x:v>0</x:v>
      </x:c>
      <x:c r="K34" s="60" t="n">
        <x:v>272.00368109730005</x:v>
      </x:c>
      <x:c r="L34" s="60" t="n">
        <x:v>0</x:v>
      </x:c>
      <x:c r="M34" s="60" t="n">
        <x:v>272.00368109730005</x:v>
      </x:c>
      <x:c r="N34" s="46" t="str">
        <x:v>chionoecetes</x:v>
      </x:c>
      <x:c r="O34" s="62" t="n">
        <x:v>2.3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Chionoecetes</x:v>
      </x:c>
      <x:c r="T34" s="62" t="n">
        <x:f>IF(O34="","",(1/'Metadata'!$B$5)^(O34-1))</x:f>
        <x:v>19.952623149688787</x:v>
      </x:c>
      <x:c r="U34" s="60" t="n">
        <x:f>IF(T34="","",I34*T34)</x:f>
        <x:v>5427.186944262555</x:v>
      </x:c>
    </x:row>
    <x:row r="35" ht="18" customHeight="1">
      <x:c r="A35" s="46" t="str">
        <x:v>LME_009</x:v>
      </x:c>
      <x:c r="B35" s="46" t="str">
        <x:v>Newfoundland-Labrador Shelf</x:v>
      </x:c>
      <x:c r="C35" s="46" t="str">
        <x:v>LME</x:v>
      </x:c>
      <x:c r="D35" s="58" t="n">
        <x:v>2019</x:v>
      </x:c>
      <x:c r="E35" s="46" t="str">
        <x:v>Elasmobranchii</x:v>
      </x:c>
      <x:c r="F35" s="46" t="str">
        <x:v>Sharks, rays, skates</x:v>
      </x:c>
      <x:c r="G35" s="46" t="str">
        <x:v>Large sharks (&gt;=90 cm)</x:v>
      </x:c>
      <x:c r="H35" s="46" t="str">
        <x:v>Sharks &amp; rays</x:v>
      </x:c>
      <x:c r="I35" s="60" t="n">
        <x:v>249.5949971092</x:v>
      </x:c>
      <x:c r="J35" s="60" t="n">
        <x:v>8.2372065165</x:v>
      </x:c>
      <x:c r="K35" s="60" t="n">
        <x:v>241.35779059269998</x:v>
      </x:c>
      <x:c r="L35" s="60" t="n">
        <x:v>8.2372065165</x:v>
      </x:c>
      <x:c r="M35" s="60" t="n">
        <x:v>241.35779059269998</x:v>
      </x:c>
      <x:c r="N35" s="46" t="str">
        <x:v>elasmobranchii</x:v>
      </x:c>
      <x:c r="O35" s="62" t="n">
        <x:v>4.05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Elasmobranchii</x:v>
      </x:c>
      <x:c r="T35" s="62" t="n">
        <x:f>IF(O35="","",(1/'Metadata'!$B$5)^(O35-1))</x:f>
        <x:v>1122.018454301963</x:v>
      </x:c>
      <x:c r="U35" s="60" t="n">
        <x:f>IF(T35="","",I35*T35)</x:f>
        <x:v>280050.1928579675</x:v>
      </x:c>
    </x:row>
    <x:row r="36" ht="18" customHeight="1">
      <x:c r="A36" s="46" t="str">
        <x:v>LME_009</x:v>
      </x:c>
      <x:c r="B36" s="46" t="str">
        <x:v>Newfoundland-Labrador Shelf</x:v>
      </x:c>
      <x:c r="C36" s="46" t="str">
        <x:v>LME</x:v>
      </x:c>
      <x:c r="D36" s="58" t="n">
        <x:v>2019</x:v>
      </x:c>
      <x:c r="E36" s="46" t="str">
        <x:v>Marine pelagic fishes not identified</x:v>
      </x:c>
      <x:c r="F36" s="46" t="str">
        <x:v>Pelagic fishes</x:v>
      </x:c>
      <x:c r="G36" s="46" t="str">
        <x:v>Medium pelagics (30 - 89 cm)</x:v>
      </x:c>
      <x:c r="H36" s="46" t="str">
        <x:v>Other fishes &amp; inverts</x:v>
      </x:c>
      <x:c r="I36" s="60" t="n">
        <x:v>223.50340089280002</x:v>
      </x:c>
      <x:c r="J36" s="60" t="n">
        <x:v>223.50340089280002</x:v>
      </x:c>
      <x:c r="K36" s="60" t="n">
        <x:v>0</x:v>
      </x:c>
      <x:c r="L36" s="60" t="n">
        <x:v>223.50340089280002</x:v>
      </x:c>
      <x:c r="M36" s="60" t="n">
        <x:v>0</x:v>
      </x:c>
      <x:c r="N36" s="46" t="str">
        <x:v>marine pelagic fishes not identified</x:v>
      </x:c>
      <x:c r="O36" s="62" t="n">
        <x:v>3.35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Marine pelagic fishes not identified</x:v>
      </x:c>
      <x:c r="T36" s="62" t="n">
        <x:f>IF(O36="","",(1/'Metadata'!$B$5)^(O36-1))</x:f>
        <x:v>223.872113856834</x:v>
      </x:c>
      <x:c r="U36" s="60" t="n">
        <x:f>IF(T36="","",I36*T36)</x:f>
        <x:v>50036.17881206254</x:v>
      </x:c>
    </x:row>
    <x:row r="37" ht="18" customHeight="1">
      <x:c r="A37" s="46" t="str">
        <x:v>LME_009</x:v>
      </x:c>
      <x:c r="B37" s="46" t="str">
        <x:v>Newfoundland-Labrador Shelf</x:v>
      </x:c>
      <x:c r="C37" s="46" t="str">
        <x:v>LME</x:v>
      </x:c>
      <x:c r="D37" s="58" t="n">
        <x:v>2019</x:v>
      </x:c>
      <x:c r="E37" s="46" t="str">
        <x:v>Teuthida</x:v>
      </x:c>
      <x:c r="F37" s="46" t="str">
        <x:v>Squids</x:v>
      </x:c>
      <x:c r="G37" s="46" t="str">
        <x:v>Cephalopods</x:v>
      </x:c>
      <x:c r="H37" s="46" t="str">
        <x:v>Other fishes &amp; inverts</x:v>
      </x:c>
      <x:c r="I37" s="60" t="n">
        <x:v>213.3316101558</x:v>
      </x:c>
      <x:c r="J37" s="60" t="n">
        <x:v>14.1609599725</x:v>
      </x:c>
      <x:c r="K37" s="60" t="n">
        <x:v>199.1706501833</x:v>
      </x:c>
      <x:c r="L37" s="60" t="n">
        <x:v>0</x:v>
      </x:c>
      <x:c r="M37" s="60" t="n">
        <x:v>213.3316101558</x:v>
      </x:c>
      <x:c r="N37" s="46" t="str">
        <x:v>teuthida</x:v>
      </x:c>
      <x:c r="O37" s="62" t="n">
        <x:v>4.13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Teuthida</x:v>
      </x:c>
      <x:c r="T37" s="62" t="n">
        <x:f>IF(O37="","",(1/'Metadata'!$B$5)^(O37-1))</x:f>
        <x:v>1348.9628825916532</x:v>
      </x:c>
      <x:c r="U37" s="60" t="n">
        <x:f>IF(T37="","",I37*T37)</x:f>
        <x:v>287776.42378368677</x:v>
      </x:c>
    </x:row>
    <x:row r="38" ht="18" customHeight="1">
      <x:c r="A38" s="46" t="str">
        <x:v>LME_009</x:v>
      </x:c>
      <x:c r="B38" s="46" t="str">
        <x:v>Newfoundland-Labrador Shelf</x:v>
      </x:c>
      <x:c r="C38" s="46" t="str">
        <x:v>LME</x:v>
      </x:c>
      <x:c r="D38" s="58" t="n">
        <x:v>2019</x:v>
      </x:c>
      <x:c r="E38" s="46" t="str">
        <x:v>Sebastes mentella</x:v>
      </x:c>
      <x:c r="F38" s="46" t="str">
        <x:v>Beaked redfish</x:v>
      </x:c>
      <x:c r="G38" s="46" t="str">
        <x:v>Medium bathypelagics (30 - 89 cm)</x:v>
      </x:c>
      <x:c r="H38" s="46" t="str">
        <x:v>Scorpionfishes</x:v>
      </x:c>
      <x:c r="I38" s="60" t="n">
        <x:v>208.77385146479998</x:v>
      </x:c>
      <x:c r="J38" s="60" t="n">
        <x:v>4.0399999972</x:v>
      </x:c>
      <x:c r="K38" s="60" t="n">
        <x:v>204.73385146759998</x:v>
      </x:c>
      <x:c r="L38" s="60" t="n">
        <x:v>3.9999999971999998</x:v>
      </x:c>
      <x:c r="M38" s="60" t="n">
        <x:v>204.77385146759997</x:v>
      </x:c>
      <x:c r="N38" s="46" t="str">
        <x:v>sebastes mentella</x:v>
      </x:c>
      <x:c r="O38" s="62" t="n">
        <x:v>3.65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Sebastes mentella</x:v>
      </x:c>
      <x:c r="T38" s="62" t="n">
        <x:f>IF(O38="","",(1/'Metadata'!$B$5)^(O38-1))</x:f>
        <x:v>446.683592150963</x:v>
      </x:c>
      <x:c r="U38" s="60" t="n">
        <x:f>IF(T38="","",I38*T38)</x:f>
        <x:v>93255.85391948845</x:v>
      </x:c>
    </x:row>
    <x:row r="39" ht="18" customHeight="1">
      <x:c r="A39" s="46" t="str">
        <x:v>LME_009</x:v>
      </x:c>
      <x:c r="B39" s="46" t="str">
        <x:v>Newfoundland-Labrador Shelf</x:v>
      </x:c>
      <x:c r="C39" s="46" t="str">
        <x:v>LME</x:v>
      </x:c>
      <x:c r="D39" s="58" t="n">
        <x:v>2019</x:v>
      </x:c>
      <x:c r="E39" s="46" t="str">
        <x:v>Lycodes</x:v>
      </x:c>
      <x:c r="F39" s="46" t="str">
        <x:v>Eelpouts</x:v>
      </x:c>
      <x:c r="G39" s="46" t="str">
        <x:v>Medium bathydemersals (30 - 89 cm)</x:v>
      </x:c>
      <x:c r="H39" s="46" t="str">
        <x:v>Perch-likes</x:v>
      </x:c>
      <x:c r="I39" s="60" t="n">
        <x:v>206.0535658149</x:v>
      </x:c>
      <x:c r="J39" s="60" t="n">
        <x:v>0</x:v>
      </x:c>
      <x:c r="K39" s="60" t="n">
        <x:v>206.0535658149</x:v>
      </x:c>
      <x:c r="L39" s="60" t="n">
        <x:v>0</x:v>
      </x:c>
      <x:c r="M39" s="60" t="n">
        <x:v>206.0535658149</x:v>
      </x:c>
      <x:c r="N39" s="46" t="str">
        <x:v>lycodes</x:v>
      </x:c>
      <x:c r="O39" s="62" t="n">
        <x:v>3.3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Lycodes</x:v>
      </x:c>
      <x:c r="T39" s="62" t="n">
        <x:f>IF(O39="","",(1/'Metadata'!$B$5)^(O39-1))</x:f>
        <x:v>199.52623149688787</x:v>
      </x:c>
      <x:c r="U39" s="60" t="n">
        <x:f>IF(T39="","",I39*T39)</x:f>
        <x:v>41113.09147354296</x:v>
      </x:c>
    </x:row>
    <x:row r="40" ht="18" customHeight="1">
      <x:c r="A40" s="46" t="str">
        <x:v>LME_009</x:v>
      </x:c>
      <x:c r="B40" s="46" t="str">
        <x:v>Newfoundland-Labrador Shelf</x:v>
      </x:c>
      <x:c r="C40" s="46" t="str">
        <x:v>LME</x:v>
      </x:c>
      <x:c r="D40" s="58" t="n">
        <x:v>2019</x:v>
      </x:c>
      <x:c r="E40" s="46" t="str">
        <x:v>Myoxocephalus</x:v>
      </x:c>
      <x:c r="F40" s="46" t="str">
        <x:v>Grubbies and sculpins</x:v>
      </x:c>
      <x:c r="G40" s="46" t="str">
        <x:v>Large reef assoc. fish (&gt;=90 cm)</x:v>
      </x:c>
      <x:c r="H40" s="46" t="str">
        <x:v>Scorpionfishes</x:v>
      </x:c>
      <x:c r="I40" s="60" t="n">
        <x:v>187.17473563520002</x:v>
      </x:c>
      <x:c r="J40" s="60" t="n">
        <x:v>0</x:v>
      </x:c>
      <x:c r="K40" s="60" t="n">
        <x:v>187.17473563520002</x:v>
      </x:c>
      <x:c r="L40" s="60" t="n">
        <x:v>0</x:v>
      </x:c>
      <x:c r="M40" s="60" t="n">
        <x:v>187.17473563520002</x:v>
      </x:c>
      <x:c r="N40" s="46" t="str">
        <x:v>myoxocephalus</x:v>
      </x:c>
      <x:c r="O40" s="62" t="n">
        <x:v>3.71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Myoxocephalus</x:v>
      </x:c>
      <x:c r="T40" s="62" t="n">
        <x:f>IF(O40="","",(1/'Metadata'!$B$5)^(O40-1))</x:f>
        <x:v>512.8613839913648</x:v>
      </x:c>
      <x:c r="U40" s="60" t="n">
        <x:f>IF(T40="","",I40*T40)</x:f>
        <x:v>95994.69396608652</x:v>
      </x:c>
    </x:row>
    <x:row r="41" ht="18" customHeight="1">
      <x:c r="A41" s="46" t="str">
        <x:v>LME_009</x:v>
      </x:c>
      <x:c r="B41" s="46" t="str">
        <x:v>Newfoundland-Labrador Shelf</x:v>
      </x:c>
      <x:c r="C41" s="46" t="str">
        <x:v>LME</x:v>
      </x:c>
      <x:c r="D41" s="58" t="n">
        <x:v>2019</x:v>
      </x:c>
      <x:c r="E41" s="46" t="str">
        <x:v>Macrourus berglax</x:v>
      </x:c>
      <x:c r="F41" s="46" t="str">
        <x:v>Roughhead grenadier</x:v>
      </x:c>
      <x:c r="G41" s="46" t="str">
        <x:v>Large benthopelagics (&gt;=90 cm)</x:v>
      </x:c>
      <x:c r="H41" s="46" t="str">
        <x:v>Cod-likes</x:v>
      </x:c>
      <x:c r="I41" s="60" t="n">
        <x:v>155.6941945961</x:v>
      </x:c>
      <x:c r="J41" s="60" t="n">
        <x:v>132.5560014744</x:v>
      </x:c>
      <x:c r="K41" s="60" t="n">
        <x:v>23.1381931217</x:v>
      </x:c>
      <x:c r="L41" s="60" t="n">
        <x:v>131.5167350439</x:v>
      </x:c>
      <x:c r="M41" s="60" t="n">
        <x:v>24.177459552200002</x:v>
      </x:c>
      <x:c r="N41" s="46" t="str">
        <x:v>macrourus berglax</x:v>
      </x:c>
      <x:c r="O41" s="62" t="n">
        <x:v>4.48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Macrourus berglax</x:v>
      </x:c>
      <x:c r="T41" s="62" t="n">
        <x:f>IF(O41="","",(1/'Metadata'!$B$5)^(O41-1))</x:f>
        <x:v>3019.951720402019</x:v>
      </x:c>
      <x:c r="U41" s="60" t="n">
        <x:f>IF(T41="","",I41*T41)</x:f>
        <x:v>470188.9508270989</x:v>
      </x:c>
    </x:row>
    <x:row r="42" ht="18" customHeight="1">
      <x:c r="A42" s="46" t="str">
        <x:v>LME_009</x:v>
      </x:c>
      <x:c r="B42" s="46" t="str">
        <x:v>Newfoundland-Labrador Shelf</x:v>
      </x:c>
      <x:c r="C42" s="46" t="str">
        <x:v>LME</x:v>
      </x:c>
      <x:c r="D42" s="58" t="n">
        <x:v>2019</x:v>
      </x:c>
      <x:c r="E42" s="46" t="str">
        <x:v>Strongylocentrotus droebachiensis</x:v>
      </x:c>
      <x:c r="F42" s="46" t="str">
        <x:v>Green sea urchin</x:v>
      </x:c>
      <x:c r="G42" s="46" t="str">
        <x:v>Other demersal invertebrates</x:v>
      </x:c>
      <x:c r="H42" s="46" t="str">
        <x:v>Other fishes &amp; inverts</x:v>
      </x:c>
      <x:c r="I42" s="60" t="n">
        <x:v>128.4942468328</x:v>
      </x:c>
      <x:c r="J42" s="60" t="n">
        <x:v>0</x:v>
      </x:c>
      <x:c r="K42" s="60" t="n">
        <x:v>128.4942468328</x:v>
      </x:c>
      <x:c r="L42" s="60" t="n">
        <x:v>0</x:v>
      </x:c>
      <x:c r="M42" s="60" t="n">
        <x:v>128.4942468328</x:v>
      </x:c>
      <x:c r="N42" s="46" t="str">
        <x:v>strongylocentrotus droebachiensis</x:v>
      </x:c>
      <x:c r="O42" s="62" t="n">
        <x:v>2.3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Strongylocentrotus droebachiensis</x:v>
      </x:c>
      <x:c r="T42" s="62" t="n">
        <x:f>IF(O42="","",(1/'Metadata'!$B$5)^(O42-1))</x:f>
        <x:v>19.952623149688787</x:v>
      </x:c>
      <x:c r="U42" s="60" t="n">
        <x:f>IF(T42="","",I42*T42)</x:f>
        <x:v>2563.79728395795</x:v>
      </x:c>
    </x:row>
    <x:row r="43" ht="18" customHeight="1">
      <x:c r="A43" s="46" t="str">
        <x:v>LME_009</x:v>
      </x:c>
      <x:c r="B43" s="46" t="str">
        <x:v>Newfoundland-Labrador Shelf</x:v>
      </x:c>
      <x:c r="C43" s="46" t="str">
        <x:v>LME</x:v>
      </x:c>
      <x:c r="D43" s="58" t="n">
        <x:v>2019</x:v>
      </x:c>
      <x:c r="E43" s="46" t="str">
        <x:v>Scorpaeniformes</x:v>
      </x:c>
      <x:c r="F43" s="46" t="str">
        <x:v>Scorpionfishes, flatheads</x:v>
      </x:c>
      <x:c r="G43" s="46" t="str">
        <x:v>Medium demersals (30 - 89 cm)</x:v>
      </x:c>
      <x:c r="H43" s="46" t="str">
        <x:v>Scorpionfishes</x:v>
      </x:c>
      <x:c r="I43" s="60" t="n">
        <x:v>120.7501747787</x:v>
      </x:c>
      <x:c r="J43" s="60" t="n">
        <x:v>26.6309514583</x:v>
      </x:c>
      <x:c r="K43" s="60" t="n">
        <x:v>94.1192233204</x:v>
      </x:c>
      <x:c r="L43" s="60" t="n">
        <x:v>26.6309514583</x:v>
      </x:c>
      <x:c r="M43" s="60" t="n">
        <x:v>94.1192233204</x:v>
      </x:c>
      <x:c r="N43" s="46" t="str">
        <x:v>scorpaeniformes</x:v>
      </x:c>
      <x:c r="O43" s="62" t="n">
        <x:v>3.78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Scorpaeniformes</x:v>
      </x:c>
      <x:c r="T43" s="62" t="n">
        <x:f>IF(O43="","",(1/'Metadata'!$B$5)^(O43-1))</x:f>
        <x:v>602.5595860743575</x:v>
      </x:c>
      <x:c r="U43" s="60" t="n">
        <x:f>IF(T43="","",I43*T43)</x:f>
        <x:v>72759.1753330598</x:v>
      </x:c>
    </x:row>
    <x:row r="44" ht="18" customHeight="1">
      <x:c r="A44" s="46" t="str">
        <x:v>LME_009</x:v>
      </x:c>
      <x:c r="B44" s="46" t="str">
        <x:v>Newfoundland-Labrador Shelf</x:v>
      </x:c>
      <x:c r="C44" s="46" t="str">
        <x:v>LME</x:v>
      </x:c>
      <x:c r="D44" s="58" t="n">
        <x:v>2019</x:v>
      </x:c>
      <x:c r="E44" s="46" t="str">
        <x:v>Rajidae</x:v>
      </x:c>
      <x:c r="F44" s="46" t="str">
        <x:v>Stingrays</x:v>
      </x:c>
      <x:c r="G44" s="46" t="str">
        <x:v>Large rays (&gt;=90 cm)</x:v>
      </x:c>
      <x:c r="H44" s="46" t="str">
        <x:v>Sharks &amp; rays</x:v>
      </x:c>
      <x:c r="I44" s="60" t="n">
        <x:v>120.7214059783</x:v>
      </x:c>
      <x:c r="J44" s="60" t="n">
        <x:v>0</x:v>
      </x:c>
      <x:c r="K44" s="60" t="n">
        <x:v>120.7214059783</x:v>
      </x:c>
      <x:c r="L44" s="60" t="n">
        <x:v>0</x:v>
      </x:c>
      <x:c r="M44" s="60" t="n">
        <x:v>120.7214059783</x:v>
      </x:c>
      <x:c r="N44" s="46" t="str">
        <x:v>rajidae</x:v>
      </x:c>
      <x:c r="O44" s="62" t="n">
        <x:v>3.82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Rajidae</x:v>
      </x:c>
      <x:c r="T44" s="62" t="n">
        <x:f>IF(O44="","",(1/'Metadata'!$B$5)^(O44-1))</x:f>
        <x:v>660.6934480075957</x:v>
      </x:c>
      <x:c r="U44" s="60" t="n">
        <x:f>IF(T44="","",I44*T44)</x:f>
        <x:v>79759.8419641278</x:v>
      </x:c>
    </x:row>
    <x:row r="45" ht="18" customHeight="1">
      <x:c r="A45" s="46" t="str">
        <x:v>LME_009</x:v>
      </x:c>
      <x:c r="B45" s="46" t="str">
        <x:v>Newfoundland-Labrador Shelf</x:v>
      </x:c>
      <x:c r="C45" s="46" t="str">
        <x:v>LME</x:v>
      </x:c>
      <x:c r="D45" s="58" t="n">
        <x:v>2019</x:v>
      </x:c>
      <x:c r="E45" s="46" t="str">
        <x:v>Cottidae</x:v>
      </x:c>
      <x:c r="F45" s="46" t="str">
        <x:v>Sculpins</x:v>
      </x:c>
      <x:c r="G45" s="46" t="str">
        <x:v>Large reef assoc. fish (&gt;=90 cm)</x:v>
      </x:c>
      <x:c r="H45" s="46" t="str">
        <x:v>Scorpionfishes</x:v>
      </x:c>
      <x:c r="I45" s="60" t="n">
        <x:v>119.50559747339999</x:v>
      </x:c>
      <x:c r="J45" s="60" t="n">
        <x:v>0</x:v>
      </x:c>
      <x:c r="K45" s="60" t="n">
        <x:v>119.50559747339999</x:v>
      </x:c>
      <x:c r="L45" s="60" t="n">
        <x:v>0</x:v>
      </x:c>
      <x:c r="M45" s="60" t="n">
        <x:v>119.50559747339999</x:v>
      </x:c>
      <x:c r="N45" s="46" t="str">
        <x:v>cottidae</x:v>
      </x:c>
      <x:c r="O45" s="62" t="n">
        <x:v>3.81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Cottidae</x:v>
      </x:c>
      <x:c r="T45" s="62" t="n">
        <x:f>IF(O45="","",(1/'Metadata'!$B$5)^(O45-1))</x:f>
        <x:v>645.6542290346556</x:v>
      </x:c>
      <x:c r="U45" s="60" t="n">
        <x:f>IF(T45="","",I45*T45)</x:f>
        <x:v>77159.29440201395</x:v>
      </x:c>
    </x:row>
    <x:row r="46" ht="18" customHeight="1">
      <x:c r="A46" s="46" t="str">
        <x:v>LME_009</x:v>
      </x:c>
      <x:c r="B46" s="46" t="str">
        <x:v>Newfoundland-Labrador Shelf</x:v>
      </x:c>
      <x:c r="C46" s="46" t="str">
        <x:v>LME</x:v>
      </x:c>
      <x:c r="D46" s="58" t="n">
        <x:v>2019</x:v>
      </x:c>
      <x:c r="E46" s="46" t="str">
        <x:v>Cyclopterus lumpus</x:v>
      </x:c>
      <x:c r="F46" s="46" t="str">
        <x:v>Lumpfish</x:v>
      </x:c>
      <x:c r="G46" s="46" t="str">
        <x:v>Medium benthopelagics (30 - 89 cm)</x:v>
      </x:c>
      <x:c r="H46" s="46" t="str">
        <x:v>Scorpionfishes</x:v>
      </x:c>
      <x:c r="I46" s="60" t="n">
        <x:v>107.5288164573</x:v>
      </x:c>
      <x:c r="J46" s="60" t="n">
        <x:v>3.9487405816</x:v>
      </x:c>
      <x:c r="K46" s="60" t="n">
        <x:v>103.5800758757</x:v>
      </x:c>
      <x:c r="L46" s="60" t="n">
        <x:v>3.9487405816</x:v>
      </x:c>
      <x:c r="M46" s="60" t="n">
        <x:v>103.5800758757</x:v>
      </x:c>
      <x:c r="N46" s="46" t="str">
        <x:v>cyclopterus lumpus</x:v>
      </x:c>
      <x:c r="O46" s="62" t="n">
        <x:v>3.89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Cyclopterus lumpus</x:v>
      </x:c>
      <x:c r="T46" s="62" t="n">
        <x:f>IF(O46="","",(1/'Metadata'!$B$5)^(O46-1))</x:f>
        <x:v>776.247116628692</x:v>
      </x:c>
      <x:c r="U46" s="60" t="n">
        <x:f>IF(T46="","",I46*T46)</x:f>
        <x:v>83468.93372947496</x:v>
      </x:c>
    </x:row>
    <x:row r="47" ht="18" customHeight="1">
      <x:c r="A47" s="46" t="str">
        <x:v>LME_009</x:v>
      </x:c>
      <x:c r="B47" s="46" t="str">
        <x:v>Newfoundland-Labrador Shelf</x:v>
      </x:c>
      <x:c r="C47" s="46" t="str">
        <x:v>LME</x:v>
      </x:c>
      <x:c r="D47" s="58" t="n">
        <x:v>2019</x:v>
      </x:c>
      <x:c r="E47" s="46" t="str">
        <x:v>Merluccius</x:v>
      </x:c>
      <x:c r="F47" s="46" t="str">
        <x:v>Hakes</x:v>
      </x:c>
      <x:c r="G47" s="46" t="str">
        <x:v>Medium bathydemersals (30 - 89 cm)</x:v>
      </x:c>
      <x:c r="H47" s="46" t="str">
        <x:v>Cod-likes</x:v>
      </x:c>
      <x:c r="I47" s="60" t="n">
        <x:v>105.0631133445</x:v>
      </x:c>
      <x:c r="J47" s="60" t="n">
        <x:v>0</x:v>
      </x:c>
      <x:c r="K47" s="60" t="n">
        <x:v>105.0631133445</x:v>
      </x:c>
      <x:c r="L47" s="60" t="n">
        <x:v>0</x:v>
      </x:c>
      <x:c r="M47" s="60" t="n">
        <x:v>105.0631133445</x:v>
      </x:c>
      <x:c r="N47" s="46" t="str">
        <x:v>merluccius</x:v>
      </x:c>
      <x:c r="O47" s="62" t="n">
        <x:v>4.27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Merluccius</x:v>
      </x:c>
      <x:c r="T47" s="62" t="n">
        <x:f>IF(O47="","",(1/'Metadata'!$B$5)^(O47-1))</x:f>
        <x:v>1862.0871366628655</x:v>
      </x:c>
      <x:c r="U47" s="60" t="n">
        <x:f>IF(T47="","",I47*T47)</x:f>
        <x:v>195636.6718965461</x:v>
      </x:c>
    </x:row>
    <x:row r="48" ht="18" customHeight="1">
      <x:c r="A48" s="46" t="str">
        <x:v>LME_009</x:v>
      </x:c>
      <x:c r="B48" s="46" t="str">
        <x:v>Newfoundland-Labrador Shelf</x:v>
      </x:c>
      <x:c r="C48" s="46" t="str">
        <x:v>LME</x:v>
      </x:c>
      <x:c r="D48" s="58" t="n">
        <x:v>2019</x:v>
      </x:c>
      <x:c r="E48" s="46" t="str">
        <x:v>Mollusca</x:v>
      </x:c>
      <x:c r="F48" s="46" t="str">
        <x:v>Clams, seasnails, squids, octopuses</x:v>
      </x:c>
      <x:c r="G48" s="46" t="str">
        <x:v>Other demersal invertebrates</x:v>
      </x:c>
      <x:c r="H48" s="46" t="str">
        <x:v>Molluscs</x:v>
      </x:c>
      <x:c r="I48" s="60" t="n">
        <x:v>104.95569474429999</x:v>
      </x:c>
      <x:c r="J48" s="60" t="n">
        <x:v>70.6164715331</x:v>
      </x:c>
      <x:c r="K48" s="60" t="n">
        <x:v>34.3392232112</x:v>
      </x:c>
      <x:c r="L48" s="60" t="n">
        <x:v>0.5310405061</x:v>
      </x:c>
      <x:c r="M48" s="60" t="n">
        <x:v>104.42465423819999</x:v>
      </x:c>
      <x:c r="N48" s="46" t="str">
        <x:v>mollusca</x:v>
      </x:c>
      <x:c r="O48" s="62" t="n">
        <x:v>2.1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Mollusca</x:v>
      </x:c>
      <x:c r="T48" s="62" t="n">
        <x:f>IF(O48="","",(1/'Metadata'!$B$5)^(O48-1))</x:f>
        <x:v>12.589254117941675</x:v>
      </x:c>
      <x:c r="U48" s="60" t="n">
        <x:f>IF(T48="","",I48*T48)</x:f>
        <x:v>1321.313912261108</x:v>
      </x:c>
    </x:row>
    <x:row r="49" ht="18" customHeight="1">
      <x:c r="A49" s="46" t="str">
        <x:v>LME_009</x:v>
      </x:c>
      <x:c r="B49" s="46" t="str">
        <x:v>Newfoundland-Labrador Shelf</x:v>
      </x:c>
      <x:c r="C49" s="46" t="str">
        <x:v>LME</x:v>
      </x:c>
      <x:c r="D49" s="58" t="n">
        <x:v>2019</x:v>
      </x:c>
      <x:c r="E49" s="46" t="str">
        <x:v>Osmeridae</x:v>
      </x:c>
      <x:c r="F49" s="46" t="str">
        <x:v>Smelts</x:v>
      </x:c>
      <x:c r="G49" s="46" t="str">
        <x:v>Small pelagics (&lt;30 cm)</x:v>
      </x:c>
      <x:c r="H49" s="46" t="str">
        <x:v>Salmon, smelts, etc</x:v>
      </x:c>
      <x:c r="I49" s="60" t="n">
        <x:v>101.9724353183</x:v>
      </x:c>
      <x:c r="J49" s="60" t="n">
        <x:v>101.9724353183</x:v>
      </x:c>
      <x:c r="K49" s="60" t="n">
        <x:v>0</x:v>
      </x:c>
      <x:c r="L49" s="60" t="n">
        <x:v>0</x:v>
      </x:c>
      <x:c r="M49" s="60" t="n">
        <x:v>101.9724353183</x:v>
      </x:c>
      <x:c r="N49" s="46" t="str">
        <x:v>osmeridae</x:v>
      </x:c>
      <x:c r="O49" s="62" t="n">
        <x:v>3.46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Osmeridae</x:v>
      </x:c>
      <x:c r="T49" s="62" t="n">
        <x:f>IF(O49="","",(1/'Metadata'!$B$5)^(O49-1))</x:f>
        <x:v>288.40315031266056</x:v>
      </x:c>
      <x:c r="U49" s="60" t="n">
        <x:f>IF(T49="","",I49*T49)</x:f>
        <x:v>29409.171590851733</x:v>
      </x:c>
    </x:row>
    <x:row r="50" ht="18" customHeight="1">
      <x:c r="A50" s="46" t="str">
        <x:v>LME_009</x:v>
      </x:c>
      <x:c r="B50" s="46" t="str">
        <x:v>Newfoundland-Labrador Shelf</x:v>
      </x:c>
      <x:c r="C50" s="46" t="str">
        <x:v>LME</x:v>
      </x:c>
      <x:c r="D50" s="58" t="n">
        <x:v>2019</x:v>
      </x:c>
      <x:c r="E50" s="46" t="str">
        <x:v>Zoarces americanus</x:v>
      </x:c>
      <x:c r="F50" s="46" t="str">
        <x:v>Ocean pout</x:v>
      </x:c>
      <x:c r="G50" s="46" t="str">
        <x:v>Large demersals (&gt;=90 cm)</x:v>
      </x:c>
      <x:c r="H50" s="46" t="str">
        <x:v>Perch-likes</x:v>
      </x:c>
      <x:c r="I50" s="60" t="n">
        <x:v>100.1840820278</x:v>
      </x:c>
      <x:c r="J50" s="60" t="n">
        <x:v>0</x:v>
      </x:c>
      <x:c r="K50" s="60" t="n">
        <x:v>100.1840820278</x:v>
      </x:c>
      <x:c r="L50" s="60" t="n">
        <x:v>0</x:v>
      </x:c>
      <x:c r="M50" s="60" t="n">
        <x:v>100.1840820278</x:v>
      </x:c>
      <x:c r="N50" s="46" t="str">
        <x:v>zoarces americanus</x:v>
      </x:c>
      <x:c r="O50" s="62" t="n">
        <x:v>4.24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Zoarces americanus</x:v>
      </x:c>
      <x:c r="T50" s="62" t="n">
        <x:f>IF(O50="","",(1/'Metadata'!$B$5)^(O50-1))</x:f>
        <x:v>1737.8008287493763</x:v>
      </x:c>
      <x:c r="U50" s="60" t="n">
        <x:f>IF(T50="","",I50*T50)</x:f>
        <x:v>174099.98077540632</x:v>
      </x:c>
    </x:row>
    <x:row r="51" ht="18" customHeight="1">
      <x:c r="A51" s="46" t="str">
        <x:v>LME_009</x:v>
      </x:c>
      <x:c r="B51" s="46" t="str">
        <x:v>Newfoundland-Labrador Shelf</x:v>
      </x:c>
      <x:c r="C51" s="46" t="str">
        <x:v>LME</x:v>
      </x:c>
      <x:c r="D51" s="58" t="n">
        <x:v>2019</x:v>
      </x:c>
      <x:c r="E51" s="46" t="str">
        <x:v>Anarhichas denticulatus</x:v>
      </x:c>
      <x:c r="F51" s="46" t="str">
        <x:v>Northern wolffish</x:v>
      </x:c>
      <x:c r="G51" s="46" t="str">
        <x:v>Large benthopelagics (&gt;=90 cm)</x:v>
      </x:c>
      <x:c r="H51" s="46" t="str">
        <x:v>Perch-likes</x:v>
      </x:c>
      <x:c r="I51" s="60" t="n">
        <x:v>90.800095724</x:v>
      </x:c>
      <x:c r="J51" s="60" t="n">
        <x:v>0</x:v>
      </x:c>
      <x:c r="K51" s="60" t="n">
        <x:v>90.800095724</x:v>
      </x:c>
      <x:c r="L51" s="60" t="n">
        <x:v>0</x:v>
      </x:c>
      <x:c r="M51" s="60" t="n">
        <x:v>90.800095724</x:v>
      </x:c>
      <x:c r="N51" s="46" t="str">
        <x:v>anarhichas denticulatus</x:v>
      </x:c>
      <x:c r="O51" s="62" t="n">
        <x:v>3.75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Anarhichas denticulatus</x:v>
      </x:c>
      <x:c r="T51" s="62" t="n">
        <x:f>IF(O51="","",(1/'Metadata'!$B$5)^(O51-1))</x:f>
        <x:v>562.341325190349</x:v>
      </x:c>
      <x:c r="U51" s="60" t="n">
        <x:f>IF(T51="","",I51*T51)</x:f>
        <x:v>51060.646156844705</x:v>
      </x:c>
    </x:row>
    <x:row r="52" ht="18" customHeight="1">
      <x:c r="A52" s="46" t="str">
        <x:v>LME_009</x:v>
      </x:c>
      <x:c r="B52" s="46" t="str">
        <x:v>Newfoundland-Labrador Shelf</x:v>
      </x:c>
      <x:c r="C52" s="46" t="str">
        <x:v>LME</x:v>
      </x:c>
      <x:c r="D52" s="58" t="n">
        <x:v>2019</x:v>
      </x:c>
      <x:c r="E52" s="46" t="str">
        <x:v>Acipenser oxyrinchus</x:v>
      </x:c>
      <x:c r="F52" s="46" t="str">
        <x:v>Atlantic sturgeon</x:v>
      </x:c>
      <x:c r="G52" s="46" t="str">
        <x:v>Large demersals (&gt;=90 cm)</x:v>
      </x:c>
      <x:c r="H52" s="46" t="str">
        <x:v>Other fishes &amp; inverts</x:v>
      </x:c>
      <x:c r="I52" s="60" t="n">
        <x:v>84.6960447724</x:v>
      </x:c>
      <x:c r="J52" s="60" t="n">
        <x:v>84.6960447724</x:v>
      </x:c>
      <x:c r="K52" s="60" t="n">
        <x:v>0</x:v>
      </x:c>
      <x:c r="L52" s="60" t="n">
        <x:v>0</x:v>
      </x:c>
      <x:c r="M52" s="60" t="n">
        <x:v>84.6960447724</x:v>
      </x:c>
      <x:c r="N52" s="46" t="str">
        <x:v>acipenser oxyrinchus</x:v>
      </x:c>
      <x:c r="O52" s="62" t="n">
        <x:v>3.325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Acipenser oxyrinchus</x:v>
      </x:c>
      <x:c r="T52" s="62" t="n">
        <x:f>IF(O52="","",(1/'Metadata'!$B$5)^(O52-1))</x:f>
        <x:v>211.34890398366477</x:v>
      </x:c>
      <x:c r="U52" s="60" t="n">
        <x:f>IF(T52="","",I52*T52)</x:f>
        <x:v>17900.41623439814</x:v>
      </x:c>
    </x:row>
    <x:row r="53" ht="18" customHeight="1">
      <x:c r="A53" s="46" t="str">
        <x:v>LME_009</x:v>
      </x:c>
      <x:c r="B53" s="46" t="str">
        <x:v>Newfoundland-Labrador Shelf</x:v>
      </x:c>
      <x:c r="C53" s="46" t="str">
        <x:v>LME</x:v>
      </x:c>
      <x:c r="D53" s="58" t="n">
        <x:v>2019</x:v>
      </x:c>
      <x:c r="E53" s="46" t="str">
        <x:v>Gadidae</x:v>
      </x:c>
      <x:c r="F53" s="46" t="str">
        <x:v>Cods, haddocks</x:v>
      </x:c>
      <x:c r="G53" s="46" t="str">
        <x:v>Medium demersals (30 - 89 cm)</x:v>
      </x:c>
      <x:c r="H53" s="46" t="str">
        <x:v>Cod-likes</x:v>
      </x:c>
      <x:c r="I53" s="60" t="n">
        <x:v>84.2411688144</x:v>
      </x:c>
      <x:c r="J53" s="60" t="n">
        <x:v>0</x:v>
      </x:c>
      <x:c r="K53" s="60" t="n">
        <x:v>84.2411688144</x:v>
      </x:c>
      <x:c r="L53" s="60" t="n">
        <x:v>0</x:v>
      </x:c>
      <x:c r="M53" s="60" t="n">
        <x:v>84.2411688144</x:v>
      </x:c>
      <x:c r="N53" s="46" t="str">
        <x:v>gadidae</x:v>
      </x:c>
      <x:c r="O53" s="62" t="n">
        <x:v>3.84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Gadidae</x:v>
      </x:c>
      <x:c r="T53" s="62" t="n">
        <x:f>IF(O53="","",(1/'Metadata'!$B$5)^(O53-1))</x:f>
        <x:v>691.8309709189363</x:v>
      </x:c>
      <x:c r="U53" s="60" t="n">
        <x:f>IF(T53="","",I53*T53)</x:f>
        <x:v>58280.649612212364</x:v>
      </x:c>
    </x:row>
    <x:row r="54" ht="18" customHeight="1">
      <x:c r="A54" s="46" t="str">
        <x:v>LME_009</x:v>
      </x:c>
      <x:c r="B54" s="46" t="str">
        <x:v>Newfoundland-Labrador Shelf</x:v>
      </x:c>
      <x:c r="C54" s="46" t="str">
        <x:v>LME</x:v>
      </x:c>
      <x:c r="D54" s="58" t="n">
        <x:v>2019</x:v>
      </x:c>
      <x:c r="E54" s="46" t="str">
        <x:v>Coryphaenoides rupestris</x:v>
      </x:c>
      <x:c r="F54" s="46" t="str">
        <x:v>Roundnose grenadier</x:v>
      </x:c>
      <x:c r="G54" s="46" t="str">
        <x:v>Large bathypelagics (&gt;=90 cm)</x:v>
      </x:c>
      <x:c r="H54" s="46" t="str">
        <x:v>Cod-likes</x:v>
      </x:c>
      <x:c r="I54" s="60" t="n">
        <x:v>83.9211330178</x:v>
      </x:c>
      <x:c r="J54" s="60" t="n">
        <x:v>48.0139601218</x:v>
      </x:c>
      <x:c r="K54" s="60" t="n">
        <x:v>35.907172896</x:v>
      </x:c>
      <x:c r="L54" s="60" t="n">
        <x:v>47.6553225826</x:v>
      </x:c>
      <x:c r="M54" s="60" t="n">
        <x:v>36.2658104352</x:v>
      </x:c>
      <x:c r="N54" s="46" t="str">
        <x:v>coryphaenoides rupestris</x:v>
      </x:c>
      <x:c r="O54" s="62" t="n">
        <x:v>3.54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Coryphaenoides rupestris</x:v>
      </x:c>
      <x:c r="T54" s="62" t="n">
        <x:f>IF(O54="","",(1/'Metadata'!$B$5)^(O54-1))</x:f>
        <x:v>346.73685045253166</x:v>
      </x:c>
      <x:c r="U54" s="60" t="n">
        <x:f>IF(T54="","",I54*T54)</x:f>
        <x:v>29098.549348999935</x:v>
      </x:c>
    </x:row>
    <x:row r="55" ht="18" customHeight="1">
      <x:c r="A55" s="46" t="str">
        <x:v>LME_009</x:v>
      </x:c>
      <x:c r="B55" s="46" t="str">
        <x:v>Newfoundland-Labrador Shelf</x:v>
      </x:c>
      <x:c r="C55" s="46" t="str">
        <x:v>LME</x:v>
      </x:c>
      <x:c r="D55" s="58" t="n">
        <x:v>2019</x:v>
      </x:c>
      <x:c r="E55" s="46" t="str">
        <x:v>Salvelinus alpinus</x:v>
      </x:c>
      <x:c r="F55" s="46" t="str">
        <x:v>Arctic char</x:v>
      </x:c>
      <x:c r="G55" s="46" t="str">
        <x:v>Medium benthopelagics (30 - 89 cm)</x:v>
      </x:c>
      <x:c r="H55" s="46" t="str">
        <x:v>Salmon, smelts, etc</x:v>
      </x:c>
      <x:c r="I55" s="60" t="n">
        <x:v>80.79806068670001</x:v>
      </x:c>
      <x:c r="J55" s="60" t="n">
        <x:v>80.79806068670001</x:v>
      </x:c>
      <x:c r="K55" s="60" t="n">
        <x:v>0</x:v>
      </x:c>
      <x:c r="L55" s="60" t="n">
        <x:v>0</x:v>
      </x:c>
      <x:c r="M55" s="60" t="n">
        <x:v>80.79806068670001</x:v>
      </x:c>
      <x:c r="N55" s="46" t="str">
        <x:v>salvelinus alpinus</x:v>
      </x:c>
      <x:c r="O55" s="62" t="n">
        <x:v>4.39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Salvelinus alpinus</x:v>
      </x:c>
      <x:c r="T55" s="62" t="n">
        <x:f>IF(O55="","",(1/'Metadata'!$B$5)^(O55-1))</x:f>
        <x:v>2454.7089156850284</x:v>
      </x:c>
      <x:c r="U55" s="60" t="n">
        <x:f>IF(T55="","",I55*T55)</x:f>
        <x:v>198335.7199377025</x:v>
      </x:c>
    </x:row>
    <x:row r="56" ht="18" customHeight="1">
      <x:c r="A56" s="46" t="str">
        <x:v>LME_009</x:v>
      </x:c>
      <x:c r="B56" s="46" t="str">
        <x:v>Newfoundland-Labrador Shelf</x:v>
      </x:c>
      <x:c r="C56" s="46" t="str">
        <x:v>LME</x:v>
      </x:c>
      <x:c r="D56" s="58" t="n">
        <x:v>2019</x:v>
      </x:c>
      <x:c r="E56" s="46" t="str">
        <x:v>Crassostrea virginica</x:v>
      </x:c>
      <x:c r="F56" s="46" t="str">
        <x:v>American cupped oyster</x:v>
      </x:c>
      <x:c r="G56" s="46" t="str">
        <x:v>Other demersal invertebrates</x:v>
      </x:c>
      <x:c r="H56" s="46" t="str">
        <x:v>Molluscs</x:v>
      </x:c>
      <x:c r="I56" s="60" t="n">
        <x:v>80.2889773659</x:v>
      </x:c>
      <x:c r="J56" s="60" t="n">
        <x:v>80.2889773659</x:v>
      </x:c>
      <x:c r="K56" s="60" t="n">
        <x:v>0</x:v>
      </x:c>
      <x:c r="L56" s="60" t="n">
        <x:v>80.2889773659</x:v>
      </x:c>
      <x:c r="M56" s="60" t="n">
        <x:v>0</x:v>
      </x:c>
      <x:c r="N56" s="46" t="str">
        <x:v>crassostrea virginica</x:v>
      </x:c>
      <x:c r="O56" s="62" t="n">
        <x:v>2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Crassostrea virginica</x:v>
      </x:c>
      <x:c r="T56" s="62" t="n">
        <x:f>IF(O56="","",(1/'Metadata'!$B$5)^(O56-1))</x:f>
        <x:v>10</x:v>
      </x:c>
      <x:c r="U56" s="60" t="n">
        <x:f>IF(T56="","",I56*T56)</x:f>
        <x:v>802.889773659</x:v>
      </x:c>
    </x:row>
    <x:row r="57" ht="18" customHeight="1">
      <x:c r="A57" s="46" t="str">
        <x:v>LME_009</x:v>
      </x:c>
      <x:c r="B57" s="46" t="str">
        <x:v>Newfoundland-Labrador Shelf</x:v>
      </x:c>
      <x:c r="C57" s="46" t="str">
        <x:v>LME</x:v>
      </x:c>
      <x:c r="D57" s="58" t="n">
        <x:v>2019</x:v>
      </x:c>
      <x:c r="E57" s="46" t="str">
        <x:v>Enchelyopus cimbrius</x:v>
      </x:c>
      <x:c r="F57" s="46" t="str">
        <x:v>Fourbeard rockling</x:v>
      </x:c>
      <x:c r="G57" s="46" t="str">
        <x:v>Medium demersals (30 - 89 cm)</x:v>
      </x:c>
      <x:c r="H57" s="46" t="str">
        <x:v>Cod-likes</x:v>
      </x:c>
      <x:c r="I57" s="60" t="n">
        <x:v>76.8287244999</x:v>
      </x:c>
      <x:c r="J57" s="60" t="n">
        <x:v>0</x:v>
      </x:c>
      <x:c r="K57" s="60" t="n">
        <x:v>76.8287244999</x:v>
      </x:c>
      <x:c r="L57" s="60" t="n">
        <x:v>0</x:v>
      </x:c>
      <x:c r="M57" s="60" t="n">
        <x:v>76.8287244999</x:v>
      </x:c>
      <x:c r="N57" s="46" t="str">
        <x:v>enchelyopus cimbrius</x:v>
      </x:c>
      <x:c r="O57" s="62" t="n">
        <x:v>3.53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Enchelyopus cimbrius</x:v>
      </x:c>
      <x:c r="T57" s="62" t="n">
        <x:f>IF(O57="","",(1/'Metadata'!$B$5)^(O57-1))</x:f>
        <x:v>338.84415613920237</x:v>
      </x:c>
      <x:c r="U57" s="60" t="n">
        <x:f>IF(T57="","",I57*T57)</x:f>
        <x:v>26032.96432041988</x:v>
      </x:c>
    </x:row>
    <x:row r="58" ht="18" customHeight="1">
      <x:c r="A58" s="46" t="str">
        <x:v>LME_009</x:v>
      </x:c>
      <x:c r="B58" s="46" t="str">
        <x:v>Newfoundland-Labrador Shelf</x:v>
      </x:c>
      <x:c r="C58" s="46" t="str">
        <x:v>LME</x:v>
      </x:c>
      <x:c r="D58" s="58" t="n">
        <x:v>2019</x:v>
      </x:c>
      <x:c r="E58" s="46" t="str">
        <x:v>Brosme brosme</x:v>
      </x:c>
      <x:c r="F58" s="46" t="str">
        <x:v>Tusk</x:v>
      </x:c>
      <x:c r="G58" s="46" t="str">
        <x:v>Large demersals (&gt;=90 cm)</x:v>
      </x:c>
      <x:c r="H58" s="46" t="str">
        <x:v>Cod-likes</x:v>
      </x:c>
      <x:c r="I58" s="60" t="n">
        <x:v>73.9649598547</x:v>
      </x:c>
      <x:c r="J58" s="60" t="n">
        <x:v>3.9222836099999996</x:v>
      </x:c>
      <x:c r="K58" s="60" t="n">
        <x:v>70.0426762447</x:v>
      </x:c>
      <x:c r="L58" s="60" t="n">
        <x:v>3.9222836099999996</x:v>
      </x:c>
      <x:c r="M58" s="60" t="n">
        <x:v>70.0426762447</x:v>
      </x:c>
      <x:c r="N58" s="46" t="str">
        <x:v>brosme brosme</x:v>
      </x:c>
      <x:c r="O58" s="62" t="n">
        <x:v>3.9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Brosme brosme</x:v>
      </x:c>
      <x:c r="T58" s="62" t="n">
        <x:f>IF(O58="","",(1/'Metadata'!$B$5)^(O58-1))</x:f>
        <x:v>794.3282347242813</x:v>
      </x:c>
      <x:c r="U58" s="60" t="n">
        <x:f>IF(T58="","",I58*T58)</x:f>
        <x:v>58752.455992836185</x:v>
      </x:c>
    </x:row>
    <x:row r="59" ht="18" customHeight="1">
      <x:c r="A59" s="46" t="str">
        <x:v>LME_009</x:v>
      </x:c>
      <x:c r="B59" s="46" t="str">
        <x:v>Newfoundland-Labrador Shelf</x:v>
      </x:c>
      <x:c r="C59" s="46" t="str">
        <x:v>LME</x:v>
      </x:c>
      <x:c r="D59" s="58" t="n">
        <x:v>2019</x:v>
      </x:c>
      <x:c r="E59" s="46" t="str">
        <x:v>Pleuronectidae</x:v>
      </x:c>
      <x:c r="F59" s="46" t="str">
        <x:v>Righteye flounders</x:v>
      </x:c>
      <x:c r="G59" s="46" t="str">
        <x:v>Small to medium flatfishes (&lt;90 cm)</x:v>
      </x:c>
      <x:c r="H59" s="46" t="str">
        <x:v>Flatfishes</x:v>
      </x:c>
      <x:c r="I59" s="60" t="n">
        <x:v>73.6145496715</x:v>
      </x:c>
      <x:c r="J59" s="60" t="n">
        <x:v>73.6145496715</x:v>
      </x:c>
      <x:c r="K59" s="60" t="n">
        <x:v>0</x:v>
      </x:c>
      <x:c r="L59" s="60" t="n">
        <x:v>0</x:v>
      </x:c>
      <x:c r="M59" s="60" t="n">
        <x:v>73.6145496715</x:v>
      </x:c>
      <x:c r="N59" s="46" t="str">
        <x:v>pleuronectidae</x:v>
      </x:c>
      <x:c r="O59" s="62" t="n">
        <x:v>3.49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Pleuronectidae</x:v>
      </x:c>
      <x:c r="T59" s="62" t="n">
        <x:f>IF(O59="","",(1/'Metadata'!$B$5)^(O59-1))</x:f>
        <x:v>309.0295432513592</x:v>
      </x:c>
      <x:c r="U59" s="60" t="n">
        <x:f>IF(T59="","",I59*T59)</x:f>
        <x:v>22749.07066163814</x:v>
      </x:c>
    </x:row>
    <x:row r="60" ht="18" customHeight="1">
      <x:c r="A60" s="46" t="str">
        <x:v>LME_009</x:v>
      </x:c>
      <x:c r="B60" s="46" t="str">
        <x:v>Newfoundland-Labrador Shelf</x:v>
      </x:c>
      <x:c r="C60" s="46" t="str">
        <x:v>LME</x:v>
      </x:c>
      <x:c r="D60" s="58" t="n">
        <x:v>2019</x:v>
      </x:c>
      <x:c r="E60" s="46" t="str">
        <x:v>Miscellaneous marine crustaceans</x:v>
      </x:c>
      <x:c r="F60" s="46" t="str">
        <x:v>Marine crabs, shrimps, lobsters nei</x:v>
      </x:c>
      <x:c r="G60" s="46" t="str">
        <x:v>Shrimps</x:v>
      </x:c>
      <x:c r="H60" s="46" t="str">
        <x:v>Crustaceans</x:v>
      </x:c>
      <x:c r="I60" s="60" t="n">
        <x:v>73.5488779837</x:v>
      </x:c>
      <x:c r="J60" s="60" t="n">
        <x:v>0</x:v>
      </x:c>
      <x:c r="K60" s="60" t="n">
        <x:v>73.5488779837</x:v>
      </x:c>
      <x:c r="L60" s="60" t="n">
        <x:v>0</x:v>
      </x:c>
      <x:c r="M60" s="60" t="n">
        <x:v>73.5488779837</x:v>
      </x:c>
      <x:c r="N60" s="46" t="str">
        <x:v>miscellaneous marine crustaceans</x:v>
      </x:c>
      <x:c r="O60" s="62" t="n">
        <x:v>2.7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Miscellaneous marine crustaceans</x:v>
      </x:c>
      <x:c r="T60" s="62" t="n">
        <x:f>IF(O60="","",(1/'Metadata'!$B$5)^(O60-1))</x:f>
        <x:v>50.11872336272725</x:v>
      </x:c>
      <x:c r="U60" s="60" t="n">
        <x:f>IF(T60="","",I60*T60)</x:f>
        <x:v>3686.175869304041</x:v>
      </x:c>
    </x:row>
    <x:row r="61" ht="18" customHeight="1">
      <x:c r="A61" s="46" t="str">
        <x:v>LME_009</x:v>
      </x:c>
      <x:c r="B61" s="46" t="str">
        <x:v>Newfoundland-Labrador Shelf</x:v>
      </x:c>
      <x:c r="C61" s="46" t="str">
        <x:v>LME</x:v>
      </x:c>
      <x:c r="D61" s="58" t="n">
        <x:v>2019</x:v>
      </x:c>
      <x:c r="E61" s="46" t="str">
        <x:v>Xiphias gladius</x:v>
      </x:c>
      <x:c r="F61" s="46" t="str">
        <x:v>Swordfish</x:v>
      </x:c>
      <x:c r="G61" s="46" t="str">
        <x:v>Large pelagics (&gt;=90 cm)</x:v>
      </x:c>
      <x:c r="H61" s="46" t="str">
        <x:v>Tuna &amp; billfishes</x:v>
      </x:c>
      <x:c r="I61" s="60" t="n">
        <x:v>69.0447406802</x:v>
      </x:c>
      <x:c r="J61" s="60" t="n">
        <x:v>69.0447406802</x:v>
      </x:c>
      <x:c r="K61" s="60" t="n">
        <x:v>0</x:v>
      </x:c>
      <x:c r="L61" s="60" t="n">
        <x:v>69.0447406802</x:v>
      </x:c>
      <x:c r="M61" s="60" t="n">
        <x:v>0</x:v>
      </x:c>
      <x:c r="N61" s="46" t="str">
        <x:v>xiphias gladius</x:v>
      </x:c>
      <x:c r="O61" s="62" t="n">
        <x:v>4.53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Xiphias gladius</x:v>
      </x:c>
      <x:c r="T61" s="62" t="n">
        <x:f>IF(O61="","",(1/'Metadata'!$B$5)^(O61-1))</x:f>
        <x:v>3388.4415613920273</x:v>
      </x:c>
      <x:c r="U61" s="60" t="n">
        <x:f>IF(T61="","",I61*T61)</x:f>
        <x:v>233954.0689163245</x:v>
      </x:c>
    </x:row>
    <x:row r="62" ht="18" customHeight="1">
      <x:c r="A62" s="46" t="str">
        <x:v>LME_009</x:v>
      </x:c>
      <x:c r="B62" s="46" t="str">
        <x:v>Newfoundland-Labrador Shelf</x:v>
      </x:c>
      <x:c r="C62" s="46" t="str">
        <x:v>LME</x:v>
      </x:c>
      <x:c r="D62" s="58" t="n">
        <x:v>2019</x:v>
      </x:c>
      <x:c r="E62" s="46" t="str">
        <x:v>Echinoidea</x:v>
      </x:c>
      <x:c r="F62" s="46" t="str">
        <x:v>Sea urchins, sea hedgehogs</x:v>
      </x:c>
      <x:c r="G62" s="46" t="str">
        <x:v>Other demersal invertebrates</x:v>
      </x:c>
      <x:c r="H62" s="46" t="str">
        <x:v>Other fishes &amp; inverts</x:v>
      </x:c>
      <x:c r="I62" s="60" t="n">
        <x:v>67.2223282485</x:v>
      </x:c>
      <x:c r="J62" s="60" t="n">
        <x:v>0</x:v>
      </x:c>
      <x:c r="K62" s="60" t="n">
        <x:v>67.2223282485</x:v>
      </x:c>
      <x:c r="L62" s="60" t="n">
        <x:v>0</x:v>
      </x:c>
      <x:c r="M62" s="60" t="n">
        <x:v>67.2223282485</x:v>
      </x:c>
      <x:c r="N62" s="46" t="str">
        <x:v>echinoidea</x:v>
      </x:c>
      <x:c r="O62" s="62" t="n">
        <x:v>2.51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Echinoidea</x:v>
      </x:c>
      <x:c r="T62" s="62" t="n">
        <x:f>IF(O62="","",(1/'Metadata'!$B$5)^(O62-1))</x:f>
        <x:v>32.35936569296281</x:v>
      </x:c>
      <x:c r="U62" s="60" t="n">
        <x:f>IF(T62="","",I62*T62)</x:f>
        <x:v>2175.271902525596</x:v>
      </x:c>
    </x:row>
    <x:row r="63" ht="18" customHeight="1">
      <x:c r="A63" s="46" t="str">
        <x:v>LME_009</x:v>
      </x:c>
      <x:c r="B63" s="46" t="str">
        <x:v>Newfoundland-Labrador Shelf</x:v>
      </x:c>
      <x:c r="C63" s="46" t="str">
        <x:v>LME</x:v>
      </x:c>
      <x:c r="D63" s="58" t="n">
        <x:v>2019</x:v>
      </x:c>
      <x:c r="E63" s="46" t="str">
        <x:v>Alosa pseudoharengus</x:v>
      </x:c>
      <x:c r="F63" s="46" t="str">
        <x:v>Alewife</x:v>
      </x:c>
      <x:c r="G63" s="46" t="str">
        <x:v>Medium pelagics (30 - 89 cm)</x:v>
      </x:c>
      <x:c r="H63" s="46" t="str">
        <x:v>Herring-likes</x:v>
      </x:c>
      <x:c r="I63" s="60" t="n">
        <x:v>66.0657970928</x:v>
      </x:c>
      <x:c r="J63" s="60" t="n">
        <x:v>66.0657970928</x:v>
      </x:c>
      <x:c r="K63" s="60" t="n">
        <x:v>0</x:v>
      </x:c>
      <x:c r="L63" s="60" t="n">
        <x:v>0.3996838429</x:v>
      </x:c>
      <x:c r="M63" s="60" t="n">
        <x:v>65.6661132499</x:v>
      </x:c>
      <x:c r="N63" s="46" t="str">
        <x:v>alosa pseudoharengus</x:v>
      </x:c>
      <x:c r="O63" s="62" t="n">
        <x:v>3.39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Alosa pseudoharengus</x:v>
      </x:c>
      <x:c r="T63" s="62" t="n">
        <x:f>IF(O63="","",(1/'Metadata'!$B$5)^(O63-1))</x:f>
        <x:v>245.4708915685031</x:v>
      </x:c>
      <x:c r="U63" s="60" t="n">
        <x:f>IF(T63="","",I63*T63)</x:f>
        <x:v>16217.230114553437</x:v>
      </x:c>
    </x:row>
    <x:row r="64" ht="18" customHeight="1">
      <x:c r="A64" s="46" t="str">
        <x:v>LME_009</x:v>
      </x:c>
      <x:c r="B64" s="46" t="str">
        <x:v>Newfoundland-Labrador Shelf</x:v>
      </x:c>
      <x:c r="C64" s="46" t="str">
        <x:v>LME</x:v>
      </x:c>
      <x:c r="D64" s="58" t="n">
        <x:v>2019</x:v>
      </x:c>
      <x:c r="E64" s="46" t="str">
        <x:v>Ammodytidae</x:v>
      </x:c>
      <x:c r="F64" s="46" t="str">
        <x:v>Sand lances</x:v>
      </x:c>
      <x:c r="G64" s="46" t="str">
        <x:v>Large reef assoc. fish (&gt;=90 cm)</x:v>
      </x:c>
      <x:c r="H64" s="46" t="str">
        <x:v>Perch-likes</x:v>
      </x:c>
      <x:c r="I64" s="60" t="n">
        <x:v>64.6891709829</x:v>
      </x:c>
      <x:c r="J64" s="60" t="n">
        <x:v>14.8948877483</x:v>
      </x:c>
      <x:c r="K64" s="60" t="n">
        <x:v>49.7942832346</x:v>
      </x:c>
      <x:c r="L64" s="60" t="n">
        <x:v>0</x:v>
      </x:c>
      <x:c r="M64" s="60" t="n">
        <x:v>64.6891709829</x:v>
      </x:c>
      <x:c r="N64" s="46" t="str">
        <x:v>ammodytidae</x:v>
      </x:c>
      <x:c r="O64" s="62" t="n">
        <x:v>3.11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Ammodytidae</x:v>
      </x:c>
      <x:c r="T64" s="62" t="n">
        <x:f>IF(O64="","",(1/'Metadata'!$B$5)^(O64-1))</x:f>
        <x:v>128.82495516931337</x:v>
      </x:c>
      <x:c r="U64" s="60" t="n">
        <x:f>IF(T64="","",I64*T64)</x:f>
        <x:v>8333.57955181214</x:v>
      </x:c>
    </x:row>
    <x:row r="65" ht="18" customHeight="1">
      <x:c r="A65" s="46" t="str">
        <x:v>LME_009</x:v>
      </x:c>
      <x:c r="B65" s="46" t="str">
        <x:v>Newfoundland-Labrador Shelf</x:v>
      </x:c>
      <x:c r="C65" s="46" t="str">
        <x:v>LME</x:v>
      </x:c>
      <x:c r="D65" s="58" t="n">
        <x:v>2019</x:v>
      </x:c>
      <x:c r="E65" s="46" t="str">
        <x:v>Cancer irroratus</x:v>
      </x:c>
      <x:c r="F65" s="46" t="str">
        <x:v>Atlantic rock crab</x:v>
      </x:c>
      <x:c r="G65" s="46" t="str">
        <x:v>Lobsters, crabs</x:v>
      </x:c>
      <x:c r="H65" s="46" t="str">
        <x:v>Crustaceans</x:v>
      </x:c>
      <x:c r="I65" s="60" t="n">
        <x:v>63.6642067363</x:v>
      </x:c>
      <x:c r="J65" s="60" t="n">
        <x:v>0</x:v>
      </x:c>
      <x:c r="K65" s="60" t="n">
        <x:v>63.6642067363</x:v>
      </x:c>
      <x:c r="L65" s="60" t="n">
        <x:v>0</x:v>
      </x:c>
      <x:c r="M65" s="60" t="n">
        <x:v>63.6642067363</x:v>
      </x:c>
      <x:c r="N65" s="46" t="str">
        <x:v>cancer irroratus</x:v>
      </x:c>
      <x:c r="O65" s="62" t="n">
        <x:v>3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Cancer irroratus</x:v>
      </x:c>
      <x:c r="T65" s="62" t="n">
        <x:f>IF(O65="","",(1/'Metadata'!$B$5)^(O65-1))</x:f>
        <x:v>100</x:v>
      </x:c>
      <x:c r="U65" s="60" t="n">
        <x:f>IF(T65="","",I65*T65)</x:f>
        <x:v>6366.42067363</x:v>
      </x:c>
    </x:row>
    <x:row r="66" ht="18" customHeight="1">
      <x:c r="A66" s="46" t="str">
        <x:v>LME_009</x:v>
      </x:c>
      <x:c r="B66" s="46" t="str">
        <x:v>Newfoundland-Labrador Shelf</x:v>
      </x:c>
      <x:c r="C66" s="46" t="str">
        <x:v>LME</x:v>
      </x:c>
      <x:c r="D66" s="58" t="n">
        <x:v>2019</x:v>
      </x:c>
      <x:c r="E66" s="46" t="str">
        <x:v>Anguilla rostrata</x:v>
      </x:c>
      <x:c r="F66" s="46" t="str">
        <x:v>American eel</x:v>
      </x:c>
      <x:c r="G66" s="46" t="str">
        <x:v>Large demersals (&gt;=90 cm)</x:v>
      </x:c>
      <x:c r="H66" s="46" t="str">
        <x:v>Other fishes &amp; inverts</x:v>
      </x:c>
      <x:c r="I66" s="60" t="n">
        <x:v>57.9272370646</x:v>
      </x:c>
      <x:c r="J66" s="60" t="n">
        <x:v>57.9272370646</x:v>
      </x:c>
      <x:c r="K66" s="60" t="n">
        <x:v>0</x:v>
      </x:c>
      <x:c r="L66" s="60" t="n">
        <x:v>57.9272370646</x:v>
      </x:c>
      <x:c r="M66" s="60" t="n">
        <x:v>0</x:v>
      </x:c>
      <x:c r="N66" s="46" t="str">
        <x:v>anguilla rostrata</x:v>
      </x:c>
      <x:c r="O66" s="62" t="n">
        <x:v>3.83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Anguilla rostrata</x:v>
      </x:c>
      <x:c r="T66" s="62" t="n">
        <x:f>IF(O66="","",(1/'Metadata'!$B$5)^(O66-1))</x:f>
        <x:v>676.0829753919819</x:v>
      </x:c>
      <x:c r="U66" s="60" t="n">
        <x:f>IF(T66="","",I66*T66)</x:f>
        <x:v>39163.618790871464</x:v>
      </x:c>
    </x:row>
    <x:row r="67" ht="18" customHeight="1">
      <x:c r="A67" s="46" t="str">
        <x:v>LME_009</x:v>
      </x:c>
      <x:c r="B67" s="46" t="str">
        <x:v>Newfoundland-Labrador Shelf</x:v>
      </x:c>
      <x:c r="C67" s="46" t="str">
        <x:v>LME</x:v>
      </x:c>
      <x:c r="D67" s="58" t="n">
        <x:v>2019</x:v>
      </x:c>
      <x:c r="E67" s="46" t="str">
        <x:v>Morone saxatilis</x:v>
      </x:c>
      <x:c r="F67" s="46" t="str">
        <x:v>Striped bass</x:v>
      </x:c>
      <x:c r="G67" s="46" t="str">
        <x:v>Large demersals (&gt;=90 cm)</x:v>
      </x:c>
      <x:c r="H67" s="46" t="str">
        <x:v>Perch-likes</x:v>
      </x:c>
      <x:c r="I67" s="60" t="n">
        <x:v>48.200373265500005</x:v>
      </x:c>
      <x:c r="J67" s="60" t="n">
        <x:v>48.200373265500005</x:v>
      </x:c>
      <x:c r="K67" s="60" t="n">
        <x:v>0</x:v>
      </x:c>
      <x:c r="L67" s="60" t="n">
        <x:v>0</x:v>
      </x:c>
      <x:c r="M67" s="60" t="n">
        <x:v>48.200373265500005</x:v>
      </x:c>
      <x:c r="N67" s="46" t="str">
        <x:v>morone saxatilis</x:v>
      </x:c>
      <x:c r="O67" s="62" t="n">
        <x:v>4.65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Morone saxatilis</x:v>
      </x:c>
      <x:c r="T67" s="62" t="n">
        <x:f>IF(O67="","",(1/'Metadata'!$B$5)^(O67-1))</x:f>
        <x:v>4466.835921509635</x:v>
      </x:c>
      <x:c r="U67" s="60" t="n">
        <x:f>IF(T67="","",I67*T67)</x:f>
        <x:v>215303.1587325081</x:v>
      </x:c>
    </x:row>
    <x:row r="68" ht="18" customHeight="1">
      <x:c r="A68" s="46" t="str">
        <x:v>LME_009</x:v>
      </x:c>
      <x:c r="B68" s="46" t="str">
        <x:v>Newfoundland-Labrador Shelf</x:v>
      </x:c>
      <x:c r="C68" s="46" t="str">
        <x:v>LME</x:v>
      </x:c>
      <x:c r="D68" s="58" t="n">
        <x:v>2019</x:v>
      </x:c>
      <x:c r="E68" s="46" t="str">
        <x:v>Tautogolabrus adspersus</x:v>
      </x:c>
      <x:c r="F68" s="46" t="str">
        <x:v>Cunner</x:v>
      </x:c>
      <x:c r="G68" s="46" t="str">
        <x:v>Medium reef assoc. fish (30 - 89 cm)</x:v>
      </x:c>
      <x:c r="H68" s="46" t="str">
        <x:v>Perch-likes</x:v>
      </x:c>
      <x:c r="I68" s="60" t="n">
        <x:v>47.4953185185</x:v>
      </x:c>
      <x:c r="J68" s="60" t="n">
        <x:v>0</x:v>
      </x:c>
      <x:c r="K68" s="60" t="n">
        <x:v>47.4953185185</x:v>
      </x:c>
      <x:c r="L68" s="60" t="n">
        <x:v>0</x:v>
      </x:c>
      <x:c r="M68" s="60" t="n">
        <x:v>47.4953185185</x:v>
      </x:c>
      <x:c r="N68" s="46" t="str">
        <x:v>tautogolabrus adspersus</x:v>
      </x:c>
      <x:c r="O68" s="62" t="n">
        <x:v>3.72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Tautogolabrus adspersus</x:v>
      </x:c>
      <x:c r="T68" s="62" t="n">
        <x:f>IF(O68="","",(1/'Metadata'!$B$5)^(O68-1))</x:f>
        <x:v>524.8074602497728</x:v>
      </x:c>
      <x:c r="U68" s="60" t="n">
        <x:f>IF(T68="","",I68*T68)</x:f>
        <x:v>24925.897485447986</x:v>
      </x:c>
    </x:row>
    <x:row r="69" ht="18" customHeight="1">
      <x:c r="A69" s="46" t="str">
        <x:v>LME_009</x:v>
      </x:c>
      <x:c r="B69" s="46" t="str">
        <x:v>Newfoundland-Labrador Shelf</x:v>
      </x:c>
      <x:c r="C69" s="46" t="str">
        <x:v>LME</x:v>
      </x:c>
      <x:c r="D69" s="58" t="n">
        <x:v>2019</x:v>
      </x:c>
      <x:c r="E69" s="46" t="str">
        <x:v>Buccinum undatum</x:v>
      </x:c>
      <x:c r="F69" s="46" t="str">
        <x:v>Whelk</x:v>
      </x:c>
      <x:c r="G69" s="46" t="str">
        <x:v>Other demersal invertebrates</x:v>
      </x:c>
      <x:c r="H69" s="46" t="str">
        <x:v>Molluscs</x:v>
      </x:c>
      <x:c r="I69" s="60" t="n">
        <x:v>47.0266302338</x:v>
      </x:c>
      <x:c r="J69" s="60" t="n">
        <x:v>14.9629861545</x:v>
      </x:c>
      <x:c r="K69" s="60" t="n">
        <x:v>32.0636440793</x:v>
      </x:c>
      <x:c r="L69" s="60" t="n">
        <x:v>0</x:v>
      </x:c>
      <x:c r="M69" s="60" t="n">
        <x:v>47.0266302338</x:v>
      </x:c>
      <x:c r="N69" s="46" t="str">
        <x:v>buccinum undatum</x:v>
      </x:c>
      <x:c r="O69" s="62" t="n">
        <x:v>3.75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Buccinum undatum</x:v>
      </x:c>
      <x:c r="T69" s="62" t="n">
        <x:f>IF(O69="","",(1/'Metadata'!$B$5)^(O69-1))</x:f>
        <x:v>562.341325190349</x:v>
      </x:c>
      <x:c r="U69" s="60" t="n">
        <x:f>IF(T69="","",I69*T69)</x:f>
        <x:v>26445.017564911625</x:v>
      </x:c>
    </x:row>
    <x:row r="70" ht="18" customHeight="1">
      <x:c r="A70" s="46" t="str">
        <x:v>LME_009</x:v>
      </x:c>
      <x:c r="B70" s="46" t="str">
        <x:v>Newfoundland-Labrador Shelf</x:v>
      </x:c>
      <x:c r="C70" s="46" t="str">
        <x:v>LME</x:v>
      </x:c>
      <x:c r="D70" s="58" t="n">
        <x:v>2019</x:v>
      </x:c>
      <x:c r="E70" s="46" t="str">
        <x:v>Osmerus mordax</x:v>
      </x:c>
      <x:c r="F70" s="46" t="str">
        <x:v>Rainbow smelt</x:v>
      </x:c>
      <x:c r="G70" s="46" t="str">
        <x:v>Small pelagics (&lt;30 cm)</x:v>
      </x:c>
      <x:c r="H70" s="46" t="str">
        <x:v>Salmon, smelts, etc</x:v>
      </x:c>
      <x:c r="I70" s="60" t="n">
        <x:v>45.288838288099996</x:v>
      </x:c>
      <x:c r="J70" s="60" t="n">
        <x:v>1.0484977955</x:v>
      </x:c>
      <x:c r="K70" s="60" t="n">
        <x:v>44.2403404926</x:v>
      </x:c>
      <x:c r="L70" s="60" t="n">
        <x:v>1.0484977955</x:v>
      </x:c>
      <x:c r="M70" s="60" t="n">
        <x:v>44.2403404926</x:v>
      </x:c>
      <x:c r="N70" s="46" t="str">
        <x:v>osmerus mordax</x:v>
      </x:c>
      <x:c r="O70" s="62" t="n">
        <x:v>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Osmerus mordax</x:v>
      </x:c>
      <x:c r="T70" s="62" t="n">
        <x:f>IF(O70="","",(1/'Metadata'!$B$5)^(O70-1))</x:f>
        <x:v>100</x:v>
      </x:c>
      <x:c r="U70" s="60" t="n">
        <x:f>IF(T70="","",I70*T70)</x:f>
        <x:v>4528.88382881</x:v>
      </x:c>
    </x:row>
    <x:row r="71" ht="18" customHeight="1">
      <x:c r="A71" s="46" t="str">
        <x:v>LME_009</x:v>
      </x:c>
      <x:c r="B71" s="46" t="str">
        <x:v>Newfoundland-Labrador Shelf</x:v>
      </x:c>
      <x:c r="C71" s="46" t="str">
        <x:v>LME</x:v>
      </x:c>
      <x:c r="D71" s="58" t="n">
        <x:v>2019</x:v>
      </x:c>
      <x:c r="E71" s="46" t="str">
        <x:v>Octopoda</x:v>
      </x:c>
      <x:c r="F71" s="46" t="str">
        <x:v>Octopuses, argonauts</x:v>
      </x:c>
      <x:c r="G71" s="46" t="str">
        <x:v>Cephalopods</x:v>
      </x:c>
      <x:c r="H71" s="46" t="str">
        <x:v>Other fishes &amp; inverts</x:v>
      </x:c>
      <x:c r="I71" s="60" t="n">
        <x:v>41.903469038</x:v>
      </x:c>
      <x:c r="J71" s="60" t="n">
        <x:v>0</x:v>
      </x:c>
      <x:c r="K71" s="60" t="n">
        <x:v>41.903469038</x:v>
      </x:c>
      <x:c r="L71" s="60" t="n">
        <x:v>0</x:v>
      </x:c>
      <x:c r="M71" s="60" t="n">
        <x:v>41.903469038</x:v>
      </x:c>
      <x:c r="N71" s="46" t="str">
        <x:v>octopoda</x:v>
      </x:c>
      <x:c r="O71" s="62" t="n">
        <x:v>3.58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Octopoda</x:v>
      </x:c>
      <x:c r="T71" s="62" t="n">
        <x:f>IF(O71="","",(1/'Metadata'!$B$5)^(O71-1))</x:f>
        <x:v>380.1893963205613</x:v>
      </x:c>
      <x:c r="U71" s="60" t="n">
        <x:f>IF(T71="","",I71*T71)</x:f>
        <x:v>15931.25459729455</x:v>
      </x:c>
    </x:row>
    <x:row r="72" ht="18" customHeight="1">
      <x:c r="A72" s="46" t="str">
        <x:v>LME_009</x:v>
      </x:c>
      <x:c r="B72" s="46" t="str">
        <x:v>Newfoundland-Labrador Shelf</x:v>
      </x:c>
      <x:c r="C72" s="46" t="str">
        <x:v>LME</x:v>
      </x:c>
      <x:c r="D72" s="58" t="n">
        <x:v>2019</x:v>
      </x:c>
      <x:c r="E72" s="46" t="str">
        <x:v>Thunnus thynnus</x:v>
      </x:c>
      <x:c r="F72" s="46" t="str">
        <x:v>Atlantic bluefin tuna</x:v>
      </x:c>
      <x:c r="G72" s="46" t="str">
        <x:v>Large pelagics (&gt;=90 cm)</x:v>
      </x:c>
      <x:c r="H72" s="46" t="str">
        <x:v>Tuna &amp; billfishes</x:v>
      </x:c>
      <x:c r="I72" s="60" t="n">
        <x:v>38.576011307200005</x:v>
      </x:c>
      <x:c r="J72" s="60" t="n">
        <x:v>38.576011307200005</x:v>
      </x:c>
      <x:c r="K72" s="60" t="n">
        <x:v>0</x:v>
      </x:c>
      <x:c r="L72" s="60" t="n">
        <x:v>38.576011307200005</x:v>
      </x:c>
      <x:c r="M72" s="60" t="n">
        <x:v>0</x:v>
      </x:c>
      <x:c r="N72" s="46" t="str">
        <x:v>thunnus thynnus</x:v>
      </x:c>
      <x:c r="O72" s="62" t="n">
        <x:v>4.45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Thunnus thynnus</x:v>
      </x:c>
      <x:c r="T72" s="62" t="n">
        <x:f>IF(O72="","",(1/'Metadata'!$B$5)^(O72-1))</x:f>
        <x:v>2818.382931264455</x:v>
      </x:c>
      <x:c r="U72" s="60" t="n">
        <x:f>IF(T72="","",I72*T72)</x:f>
        <x:v>108721.9718244771</x:v>
      </x:c>
    </x:row>
    <x:row r="73" ht="18" customHeight="1">
      <x:c r="A73" s="46" t="str">
        <x:v>LME_009</x:v>
      </x:c>
      <x:c r="B73" s="46" t="str">
        <x:v>Newfoundland-Labrador Shelf</x:v>
      </x:c>
      <x:c r="C73" s="46" t="str">
        <x:v>LME</x:v>
      </x:c>
      <x:c r="D73" s="58" t="n">
        <x:v>2019</x:v>
      </x:c>
      <x:c r="E73" s="46" t="str">
        <x:v>Scyphozoa</x:v>
      </x:c>
      <x:c r="F73" s="46" t="str">
        <x:v>True jellyfishes</x:v>
      </x:c>
      <x:c r="G73" s="46" t="str">
        <x:v>Jellyfish</x:v>
      </x:c>
      <x:c r="H73" s="46" t="str">
        <x:v>Other fishes &amp; inverts</x:v>
      </x:c>
      <x:c r="I73" s="60" t="n">
        <x:v>33.9163761684</x:v>
      </x:c>
      <x:c r="J73" s="60" t="n">
        <x:v>0</x:v>
      </x:c>
      <x:c r="K73" s="60" t="n">
        <x:v>33.9163761684</x:v>
      </x:c>
      <x:c r="L73" s="60" t="n">
        <x:v>0</x:v>
      </x:c>
      <x:c r="M73" s="60" t="n">
        <x:v>33.9163761684</x:v>
      </x:c>
      <x:c r="N73" s="46" t="str">
        <x:v>scyphozoa</x:v>
      </x:c>
      <x:c r="O73" s="62" t="n">
        <x:v>3.46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Scyphozoa</x:v>
      </x:c>
      <x:c r="T73" s="62" t="n">
        <x:f>IF(O73="","",(1/'Metadata'!$B$5)^(O73-1))</x:f>
        <x:v>288.40315031266056</x:v>
      </x:c>
      <x:c r="U73" s="60" t="n">
        <x:f>IF(T73="","",I73*T73)</x:f>
        <x:v>9781.589734155803</x:v>
      </x:c>
    </x:row>
    <x:row r="74" ht="18" customHeight="1">
      <x:c r="A74" s="46" t="str">
        <x:v>LME_009</x:v>
      </x:c>
      <x:c r="B74" s="46" t="str">
        <x:v>Newfoundland-Labrador Shelf</x:v>
      </x:c>
      <x:c r="C74" s="46" t="str">
        <x:v>LME</x:v>
      </x:c>
      <x:c r="D74" s="58" t="n">
        <x:v>2019</x:v>
      </x:c>
      <x:c r="E74" s="46" t="str">
        <x:v>Prionace glauca</x:v>
      </x:c>
      <x:c r="F74" s="46" t="str">
        <x:v>Blue shark</x:v>
      </x:c>
      <x:c r="G74" s="46" t="str">
        <x:v>Large sharks (&gt;=90 cm)</x:v>
      </x:c>
      <x:c r="H74" s="46" t="str">
        <x:v>Sharks &amp; rays</x:v>
      </x:c>
      <x:c r="I74" s="60" t="n">
        <x:v>33.9128981127</x:v>
      </x:c>
      <x:c r="J74" s="60" t="n">
        <x:v>11.357992337899999</x:v>
      </x:c>
      <x:c r="K74" s="60" t="n">
        <x:v>22.5549057748</x:v>
      </x:c>
      <x:c r="L74" s="60" t="n">
        <x:v>10.935201705599999</x:v>
      </x:c>
      <x:c r="M74" s="60" t="n">
        <x:v>22.9776964071</x:v>
      </x:c>
      <x:c r="N74" s="46" t="str">
        <x:v>prionace glauca</x:v>
      </x:c>
      <x:c r="O74" s="62" t="n">
        <x:v>4.35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Prionace glauca</x:v>
      </x:c>
      <x:c r="T74" s="62" t="n">
        <x:f>IF(O74="","",(1/'Metadata'!$B$5)^(O74-1))</x:f>
        <x:v>2238.7211385683377</x:v>
      </x:c>
      <x:c r="U74" s="60" t="n">
        <x:f>IF(T74="","",I74*T74)</x:f>
        <x:v>75921.52187501577</x:v>
      </x:c>
    </x:row>
    <x:row r="75" ht="18" customHeight="1">
      <x:c r="A75" s="46" t="str">
        <x:v>LME_009</x:v>
      </x:c>
      <x:c r="B75" s="46" t="str">
        <x:v>Newfoundland-Labrador Shelf</x:v>
      </x:c>
      <x:c r="C75" s="46" t="str">
        <x:v>LME</x:v>
      </x:c>
      <x:c r="D75" s="58" t="n">
        <x:v>2019</x:v>
      </x:c>
      <x:c r="E75" s="46" t="str">
        <x:v>Lophius americanus</x:v>
      </x:c>
      <x:c r="F75" s="46" t="str">
        <x:v>American angler</x:v>
      </x:c>
      <x:c r="G75" s="46" t="str">
        <x:v>Large demersals (&gt;=90 cm)</x:v>
      </x:c>
      <x:c r="H75" s="46" t="str">
        <x:v>Other fishes &amp; inverts</x:v>
      </x:c>
      <x:c r="I75" s="60" t="n">
        <x:v>30.833343917</x:v>
      </x:c>
      <x:c r="J75" s="60" t="n">
        <x:v>5.1599999948</x:v>
      </x:c>
      <x:c r="K75" s="60" t="n">
        <x:v>25.6733439222</x:v>
      </x:c>
      <x:c r="L75" s="60" t="n">
        <x:v>4.999999995</x:v>
      </x:c>
      <x:c r="M75" s="60" t="n">
        <x:v>25.833343922</x:v>
      </x:c>
      <x:c r="N75" s="46" t="str">
        <x:v>lophius americanus</x:v>
      </x:c>
      <x:c r="O75" s="62" t="n">
        <x:v>4.51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Lophius americanus</x:v>
      </x:c>
      <x:c r="T75" s="62" t="n">
        <x:f>IF(O75="","",(1/'Metadata'!$B$5)^(O75-1))</x:f>
        <x:v>3235.936569296281</x:v>
      </x:c>
      <x:c r="U75" s="60" t="n">
        <x:f>IF(T75="","",I75*T75)</x:f>
        <x:v>99774.74513470934</x:v>
      </x:c>
    </x:row>
    <x:row r="76" ht="18" customHeight="1">
      <x:c r="A76" s="46" t="str">
        <x:v>LME_009</x:v>
      </x:c>
      <x:c r="B76" s="46" t="str">
        <x:v>Newfoundland-Labrador Shelf</x:v>
      </x:c>
      <x:c r="C76" s="46" t="str">
        <x:v>LME</x:v>
      </x:c>
      <x:c r="D76" s="58" t="n">
        <x:v>2019</x:v>
      </x:c>
      <x:c r="E76" s="46" t="str">
        <x:v>Isurus oxyrinchus</x:v>
      </x:c>
      <x:c r="F76" s="46" t="str">
        <x:v>Shortfin mako</x:v>
      </x:c>
      <x:c r="G76" s="46" t="str">
        <x:v>Large sharks (&gt;=90 cm)</x:v>
      </x:c>
      <x:c r="H76" s="46" t="str">
        <x:v>Sharks &amp; rays</x:v>
      </x:c>
      <x:c r="I76" s="60" t="n">
        <x:v>30.305116396</x:v>
      </x:c>
      <x:c r="J76" s="60" t="n">
        <x:v>17.7383410782</x:v>
      </x:c>
      <x:c r="K76" s="60" t="n">
        <x:v>12.5667753178</x:v>
      </x:c>
      <x:c r="L76" s="60" t="n">
        <x:v>17.6692626263</x:v>
      </x:c>
      <x:c r="M76" s="60" t="n">
        <x:v>12.635853769699999</x:v>
      </x:c>
      <x:c r="N76" s="46" t="str">
        <x:v>isurus oxyrinchus</x:v>
      </x:c>
      <x:c r="O76" s="62" t="n">
        <x:v>4.5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Isurus oxyrinchus</x:v>
      </x:c>
      <x:c r="T76" s="62" t="n">
        <x:f>IF(O76="","",(1/'Metadata'!$B$5)^(O76-1))</x:f>
        <x:v>3162.2776601683795</x:v>
      </x:c>
      <x:c r="U76" s="60" t="n">
        <x:f>IF(T76="","",I76*T76)</x:f>
        <x:v>95833.19256787327</x:v>
      </x:c>
    </x:row>
    <x:row r="77" ht="18" customHeight="1">
      <x:c r="A77" s="46" t="str">
        <x:v>LME_009</x:v>
      </x:c>
      <x:c r="B77" s="46" t="str">
        <x:v>Newfoundland-Labrador Shelf</x:v>
      </x:c>
      <x:c r="C77" s="46" t="str">
        <x:v>LME</x:v>
      </x:c>
      <x:c r="D77" s="58" t="n">
        <x:v>2019</x:v>
      </x:c>
      <x:c r="E77" s="46" t="str">
        <x:v>Myxinidae</x:v>
      </x:c>
      <x:c r="F77" s="46" t="str">
        <x:v>Hagfishes</x:v>
      </x:c>
      <x:c r="G77" s="46" t="str">
        <x:v>Medium bathydemersals (30 - 89 cm)</x:v>
      </x:c>
      <x:c r="H77" s="46" t="str">
        <x:v>Other fishes &amp; inverts</x:v>
      </x:c>
      <x:c r="I77" s="60" t="n">
        <x:v>29.2588268251</x:v>
      </x:c>
      <x:c r="J77" s="60" t="n">
        <x:v>0</x:v>
      </x:c>
      <x:c r="K77" s="60" t="n">
        <x:v>29.2588268251</x:v>
      </x:c>
      <x:c r="L77" s="60" t="n">
        <x:v>0</x:v>
      </x:c>
      <x:c r="M77" s="60" t="n">
        <x:v>29.2588268251</x:v>
      </x:c>
      <x:c r="N77" s="46" t="str">
        <x:v>myxinidae</x:v>
      </x:c>
      <x:c r="O77" s="62" t="n">
        <x:v>3.45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Myxinidae</x:v>
      </x:c>
      <x:c r="T77" s="62" t="n">
        <x:f>IF(O77="","",(1/'Metadata'!$B$5)^(O77-1))</x:f>
        <x:v>281.8382931264455</x:v>
      </x:c>
      <x:c r="U77" s="60" t="n">
        <x:f>IF(T77="","",I77*T77)</x:f>
        <x:v>8246.25781126844</x:v>
      </x:c>
    </x:row>
    <x:row r="78" ht="18" customHeight="1">
      <x:c r="A78" s="46" t="str">
        <x:v>LME_009</x:v>
      </x:c>
      <x:c r="B78" s="46" t="str">
        <x:v>Newfoundland-Labrador Shelf</x:v>
      </x:c>
      <x:c r="C78" s="46" t="str">
        <x:v>LME</x:v>
      </x:c>
      <x:c r="D78" s="58" t="n">
        <x:v>2019</x:v>
      </x:c>
      <x:c r="E78" s="46" t="str">
        <x:v>Pseudopleuronectes americanus</x:v>
      </x:c>
      <x:c r="F78" s="46" t="str">
        <x:v>Winter flounder</x:v>
      </x:c>
      <x:c r="G78" s="46" t="str">
        <x:v>Small to medium flatfishes (&lt;90 cm)</x:v>
      </x:c>
      <x:c r="H78" s="46" t="str">
        <x:v>Flatfishes</x:v>
      </x:c>
      <x:c r="I78" s="60" t="n">
        <x:v>27.3003459027</x:v>
      </x:c>
      <x:c r="J78" s="60" t="n">
        <x:v>0</x:v>
      </x:c>
      <x:c r="K78" s="60" t="n">
        <x:v>27.3003459027</x:v>
      </x:c>
      <x:c r="L78" s="60" t="n">
        <x:v>0</x:v>
      </x:c>
      <x:c r="M78" s="60" t="n">
        <x:v>27.3003459027</x:v>
      </x:c>
      <x:c r="N78" s="46" t="str">
        <x:v>pseudopleuronectes americanus</x:v>
      </x:c>
      <x:c r="O78" s="62" t="n">
        <x:v>3.62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Pseudopleuronectes americanus</x:v>
      </x:c>
      <x:c r="T78" s="62" t="n">
        <x:f>IF(O78="","",(1/'Metadata'!$B$5)^(O78-1))</x:f>
        <x:v>416.8693834703355</x:v>
      </x:c>
      <x:c r="U78" s="60" t="n">
        <x:f>IF(T78="","",I78*T78)</x:f>
        <x:v>11380.678364985448</x:v>
      </x:c>
    </x:row>
    <x:row r="79" ht="18" customHeight="1">
      <x:c r="A79" s="46" t="str">
        <x:v>LME_009</x:v>
      </x:c>
      <x:c r="B79" s="46" t="str">
        <x:v>Newfoundland-Labrador Shelf</x:v>
      </x:c>
      <x:c r="C79" s="46" t="str">
        <x:v>LME</x:v>
      </x:c>
      <x:c r="D79" s="58" t="n">
        <x:v>2019</x:v>
      </x:c>
      <x:c r="E79" s="46" t="str">
        <x:v>Lamna nasus</x:v>
      </x:c>
      <x:c r="F79" s="46" t="str">
        <x:v>Porbeagle</x:v>
      </x:c>
      <x:c r="G79" s="46" t="str">
        <x:v>Large sharks (&gt;=90 cm)</x:v>
      </x:c>
      <x:c r="H79" s="46" t="str">
        <x:v>Sharks &amp; rays</x:v>
      </x:c>
      <x:c r="I79" s="60" t="n">
        <x:v>24.7818859303</x:v>
      </x:c>
      <x:c r="J79" s="60" t="n">
        <x:v>0.0941634081</x:v>
      </x:c>
      <x:c r="K79" s="60" t="n">
        <x:v>24.6877225222</x:v>
      </x:c>
      <x:c r="L79" s="60" t="n">
        <x:v>0.0941634081</x:v>
      </x:c>
      <x:c r="M79" s="60" t="n">
        <x:v>24.6877225222</x:v>
      </x:c>
      <x:c r="N79" s="46" t="str">
        <x:v>lamna nasus</x:v>
      </x:c>
      <x:c r="O79" s="62" t="n">
        <x:v>4.57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Lamna nasus</x:v>
      </x:c>
      <x:c r="T79" s="62" t="n">
        <x:f>IF(O79="","",(1/'Metadata'!$B$5)^(O79-1))</x:f>
        <x:v>3715.3522909717276</x:v>
      </x:c>
      <x:c r="U79" s="60" t="n">
        <x:f>IF(T79="","",I79*T79)</x:f>
        <x:v>92073.43666574013</x:v>
      </x:c>
    </x:row>
    <x:row r="80" ht="18" customHeight="1">
      <x:c r="A80" s="46" t="str">
        <x:v>LME_009</x:v>
      </x:c>
      <x:c r="B80" s="46" t="str">
        <x:v>Newfoundland-Labrador Shelf</x:v>
      </x:c>
      <x:c r="C80" s="46" t="str">
        <x:v>LME</x:v>
      </x:c>
      <x:c r="D80" s="58" t="n">
        <x:v>2019</x:v>
      </x:c>
      <x:c r="E80" s="46" t="str">
        <x:v>Miscellaneous aquatic invertebrates</x:v>
      </x:c>
      <x:c r="F80" s="46" t="str">
        <x:v>Aquatic invertebrates</x:v>
      </x:c>
      <x:c r="G80" s="46" t="str">
        <x:v>Other demersal invertebrates</x:v>
      </x:c>
      <x:c r="H80" s="46" t="str">
        <x:v>Other fishes &amp; inverts</x:v>
      </x:c>
      <x:c r="I80" s="60" t="n">
        <x:v>19.873623119</x:v>
      </x:c>
      <x:c r="J80" s="60" t="n">
        <x:v>0</x:v>
      </x:c>
      <x:c r="K80" s="60" t="n">
        <x:v>19.873623119</x:v>
      </x:c>
      <x:c r="L80" s="60" t="n">
        <x:v>0</x:v>
      </x:c>
      <x:c r="M80" s="60" t="n">
        <x:v>19.873623119</x:v>
      </x:c>
      <x:c r="N80" s="46" t="str">
        <x:v>miscellaneous aquatic invertebrates</x:v>
      </x:c>
      <x:c r="O80" s="62" t="n">
        <x:v>2.43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Miscellaneous aquatic invertebrates</x:v>
      </x:c>
      <x:c r="T80" s="62" t="n">
        <x:f>IF(O80="","",(1/'Metadata'!$B$5)^(O80-1))</x:f>
        <x:v>26.915348039269166</x:v>
      </x:c>
      <x:c r="U80" s="60" t="n">
        <x:f>IF(T80="","",I80*T80)</x:f>
        <x:v>534.905483049151</x:v>
      </x:c>
    </x:row>
    <x:row r="81" ht="18" customHeight="1">
      <x:c r="A81" s="46" t="str">
        <x:v>LME_009</x:v>
      </x:c>
      <x:c r="B81" s="46" t="str">
        <x:v>Newfoundland-Labrador Shelf</x:v>
      </x:c>
      <x:c r="C81" s="46" t="str">
        <x:v>LME</x:v>
      </x:c>
      <x:c r="D81" s="58" t="n">
        <x:v>2019</x:v>
      </x:c>
      <x:c r="E81" s="46" t="str">
        <x:v>Anarhichas minor</x:v>
      </x:c>
      <x:c r="F81" s="46" t="str">
        <x:v>Spotted wolffish</x:v>
      </x:c>
      <x:c r="G81" s="46" t="str">
        <x:v>Large demersals (&gt;=90 cm)</x:v>
      </x:c>
      <x:c r="H81" s="46" t="str">
        <x:v>Perch-likes</x:v>
      </x:c>
      <x:c r="I81" s="60" t="n">
        <x:v>18.5978363862</x:v>
      </x:c>
      <x:c r="J81" s="60" t="n">
        <x:v>0.9999999985000001</x:v>
      </x:c>
      <x:c r="K81" s="60" t="n">
        <x:v>17.5978363877</x:v>
      </x:c>
      <x:c r="L81" s="60" t="n">
        <x:v>0.9999999985000001</x:v>
      </x:c>
      <x:c r="M81" s="60" t="n">
        <x:v>17.5978363877</x:v>
      </x:c>
      <x:c r="N81" s="46" t="str">
        <x:v>anarhichas minor</x:v>
      </x:c>
      <x:c r="O81" s="62" t="n">
        <x:v>3.45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Anarhichas minor</x:v>
      </x:c>
      <x:c r="T81" s="62" t="n">
        <x:f>IF(O81="","",(1/'Metadata'!$B$5)^(O81-1))</x:f>
        <x:v>281.8382931264455</x:v>
      </x:c>
      <x:c r="U81" s="60" t="n">
        <x:f>IF(T81="","",I81*T81)</x:f>
        <x:v>5241.582462931509</x:v>
      </x:c>
    </x:row>
    <x:row r="82" ht="18" customHeight="1">
      <x:c r="A82" s="46" t="str">
        <x:v>LME_009</x:v>
      </x:c>
      <x:c r="B82" s="46" t="str">
        <x:v>Newfoundland-Labrador Shelf</x:v>
      </x:c>
      <x:c r="C82" s="46" t="str">
        <x:v>LME</x:v>
      </x:c>
      <x:c r="D82" s="58" t="n">
        <x:v>2019</x:v>
      </x:c>
      <x:c r="E82" s="46" t="str">
        <x:v>Illex illecebrosus</x:v>
      </x:c>
      <x:c r="F82" s="46" t="str">
        <x:v>Northern shortfin squid</x:v>
      </x:c>
      <x:c r="G82" s="46" t="str">
        <x:v>Cephalopods</x:v>
      </x:c>
      <x:c r="H82" s="46" t="str">
        <x:v>Other fishes &amp; inverts</x:v>
      </x:c>
      <x:c r="I82" s="60" t="n">
        <x:v>12.3139012614</x:v>
      </x:c>
      <x:c r="J82" s="60" t="n">
        <x:v>12.3139012614</x:v>
      </x:c>
      <x:c r="K82" s="60" t="n">
        <x:v>0</x:v>
      </x:c>
      <x:c r="L82" s="60" t="n">
        <x:v>12.3127887028</x:v>
      </x:c>
      <x:c r="M82" s="60" t="n">
        <x:v>0.0011125586</x:v>
      </x:c>
      <x:c r="N82" s="46" t="str">
        <x:v>illex illecebrosus</x:v>
      </x:c>
      <x:c r="O82" s="62" t="n">
        <x:v>3.98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Illex illecebrosus</x:v>
      </x:c>
      <x:c r="T82" s="62" t="n">
        <x:f>IF(O82="","",(1/'Metadata'!$B$5)^(O82-1))</x:f>
        <x:v>954.992586021436</x:v>
      </x:c>
      <x:c r="U82" s="60" t="n">
        <x:f>IF(T82="","",I82*T82)</x:f>
        <x:v>11759.684409637008</x:v>
      </x:c>
    </x:row>
    <x:row r="83" ht="18" customHeight="1">
      <x:c r="A83" s="46" t="str">
        <x:v>LME_009</x:v>
      </x:c>
      <x:c r="B83" s="46" t="str">
        <x:v>Newfoundland-Labrador Shelf</x:v>
      </x:c>
      <x:c r="C83" s="46" t="str">
        <x:v>LME</x:v>
      </x:c>
      <x:c r="D83" s="58" t="n">
        <x:v>2019</x:v>
      </x:c>
      <x:c r="E83" s="46" t="str">
        <x:v>Menidia menidia</x:v>
      </x:c>
      <x:c r="F83" s="46" t="str">
        <x:v>Atlantic silverside</x:v>
      </x:c>
      <x:c r="G83" s="46" t="str">
        <x:v>Small pelagics (&lt;30 cm)</x:v>
      </x:c>
      <x:c r="H83" s="46" t="str">
        <x:v>Other fishes &amp; inverts</x:v>
      </x:c>
      <x:c r="I83" s="60" t="n">
        <x:v>7.8603449434</x:v>
      </x:c>
      <x:c r="J83" s="60" t="n">
        <x:v>7.8603449434</x:v>
      </x:c>
      <x:c r="K83" s="60" t="n">
        <x:v>0</x:v>
      </x:c>
      <x:c r="L83" s="60" t="n">
        <x:v>7.8603449434</x:v>
      </x:c>
      <x:c r="M83" s="60" t="n">
        <x:v>0</x:v>
      </x:c>
      <x:c r="N83" s="46" t="str">
        <x:v>menidia menidia</x:v>
      </x:c>
      <x:c r="O83" s="62" t="n">
        <x:v>3.19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Menidia menidia</x:v>
      </x:c>
      <x:c r="T83" s="62" t="n">
        <x:f>IF(O83="","",(1/'Metadata'!$B$5)^(O83-1))</x:f>
        <x:v>154.88166189124811</x:v>
      </x:c>
      <x:c r="U83" s="60" t="n">
        <x:f>IF(T83="","",I83*T83)</x:f>
        <x:v>1217.4232878722607</x:v>
      </x:c>
    </x:row>
    <x:row r="84" ht="18" customHeight="1">
      <x:c r="A84" s="46" t="str">
        <x:v>LME_009</x:v>
      </x:c>
      <x:c r="B84" s="46" t="str">
        <x:v>Newfoundland-Labrador Shelf</x:v>
      </x:c>
      <x:c r="C84" s="46" t="str">
        <x:v>LME</x:v>
      </x:c>
      <x:c r="D84" s="58" t="n">
        <x:v>2019</x:v>
      </x:c>
      <x:c r="E84" s="46" t="str">
        <x:v>Urophycis chuss</x:v>
      </x:c>
      <x:c r="F84" s="46" t="str">
        <x:v>Red hake</x:v>
      </x:c>
      <x:c r="G84" s="46" t="str">
        <x:v>Medium demersals (30 - 89 cm)</x:v>
      </x:c>
      <x:c r="H84" s="46" t="str">
        <x:v>Cod-likes</x:v>
      </x:c>
      <x:c r="I84" s="60" t="n">
        <x:v>7.2</x:v>
      </x:c>
      <x:c r="J84" s="60" t="n">
        <x:v>7.2</x:v>
      </x:c>
      <x:c r="K84" s="60" t="n">
        <x:v>0</x:v>
      </x:c>
      <x:c r="L84" s="60" t="n">
        <x:v>7.16</x:v>
      </x:c>
      <x:c r="M84" s="60" t="n">
        <x:v>0.04</x:v>
      </x:c>
      <x:c r="N84" s="46" t="str">
        <x:v>urophycis chuss</x:v>
      </x:c>
      <x:c r="O84" s="62" t="n">
        <x:v>3.72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Urophycis chuss</x:v>
      </x:c>
      <x:c r="T84" s="62" t="n">
        <x:f>IF(O84="","",(1/'Metadata'!$B$5)^(O84-1))</x:f>
        <x:v>524.8074602497728</x:v>
      </x:c>
      <x:c r="U84" s="60" t="n">
        <x:f>IF(T84="","",I84*T84)</x:f>
        <x:v>3778.613713798364</x:v>
      </x:c>
    </x:row>
    <x:row r="85" ht="18" customHeight="1">
      <x:c r="A85" s="46" t="str">
        <x:v>LME_009</x:v>
      </x:c>
      <x:c r="B85" s="46" t="str">
        <x:v>Newfoundland-Labrador Shelf</x:v>
      </x:c>
      <x:c r="C85" s="46" t="str">
        <x:v>LME</x:v>
      </x:c>
      <x:c r="D85" s="58" t="n">
        <x:v>2019</x:v>
      </x:c>
      <x:c r="E85" s="46" t="str">
        <x:v>Clupeidae</x:v>
      </x:c>
      <x:c r="F85" s="46" t="str">
        <x:v>Herrings, sardines, menhadens</x:v>
      </x:c>
      <x:c r="G85" s="46" t="str">
        <x:v>Small pelagics (&lt;30 cm)</x:v>
      </x:c>
      <x:c r="H85" s="46" t="str">
        <x:v>Herring-likes</x:v>
      </x:c>
      <x:c r="I85" s="60" t="n">
        <x:v>6.8615354465000005</x:v>
      </x:c>
      <x:c r="J85" s="60" t="n">
        <x:v>6.8615354465000005</x:v>
      </x:c>
      <x:c r="K85" s="60" t="n">
        <x:v>0</x:v>
      </x:c>
      <x:c r="L85" s="60" t="n">
        <x:v>0</x:v>
      </x:c>
      <x:c r="M85" s="60" t="n">
        <x:v>6.8615354465000005</x:v>
      </x:c>
      <x:c r="N85" s="46" t="str">
        <x:v>clupeidae</x:v>
      </x:c>
      <x:c r="O85" s="62" t="n">
        <x:v>3.16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Clupeidae</x:v>
      </x:c>
      <x:c r="T85" s="62" t="n">
        <x:f>IF(O85="","",(1/'Metadata'!$B$5)^(O85-1))</x:f>
        <x:v>144.5439770745928</x:v>
      </x:c>
      <x:c r="U85" s="60" t="n">
        <x:f>IF(T85="","",I85*T85)</x:f>
        <x:v>991.7936222754018</x:v>
      </x:c>
    </x:row>
    <x:row r="86" ht="18" customHeight="1">
      <x:c r="A86" s="46" t="str">
        <x:v>LME_009</x:v>
      </x:c>
      <x:c r="B86" s="46" t="str">
        <x:v>Newfoundland-Labrador Shelf</x:v>
      </x:c>
      <x:c r="C86" s="46" t="str">
        <x:v>LME</x:v>
      </x:c>
      <x:c r="D86" s="58" t="n">
        <x:v>2019</x:v>
      </x:c>
      <x:c r="E86" s="46" t="str">
        <x:v>Scombridae</x:v>
      </x:c>
      <x:c r="F86" s="46" t="str">
        <x:v>Mackerels, tunas, bonitos</x:v>
      </x:c>
      <x:c r="G86" s="46" t="str">
        <x:v>Medium pelagics (30 - 89 cm)</x:v>
      </x:c>
      <x:c r="H86" s="46" t="str">
        <x:v>Perch-likes</x:v>
      </x:c>
      <x:c r="I86" s="60" t="n">
        <x:v>6.8380696919</x:v>
      </x:c>
      <x:c r="J86" s="60" t="n">
        <x:v>6.8380696919</x:v>
      </x:c>
      <x:c r="K86" s="60" t="n">
        <x:v>0</x:v>
      </x:c>
      <x:c r="L86" s="60" t="n">
        <x:v>0.0265658156</x:v>
      </x:c>
      <x:c r="M86" s="60" t="n">
        <x:v>6.8115038763</x:v>
      </x:c>
      <x:c r="N86" s="46" t="str">
        <x:v>scombridae</x:v>
      </x:c>
      <x:c r="O86" s="62" t="n">
        <x:v>4.26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Scombridae</x:v>
      </x:c>
      <x:c r="T86" s="62" t="n">
        <x:f>IF(O86="","",(1/'Metadata'!$B$5)^(O86-1))</x:f>
        <x:v>1819.7008586099826</x:v>
      </x:c>
      <x:c r="U86" s="60" t="n">
        <x:f>IF(T86="","",I86*T86)</x:f>
        <x:v>12443.24128958533</x:v>
      </x:c>
    </x:row>
    <x:row r="87" ht="18" customHeight="1">
      <x:c r="A87" s="46" t="str">
        <x:v>LME_009</x:v>
      </x:c>
      <x:c r="B87" s="46" t="str">
        <x:v>Newfoundland-Labrador Shelf</x:v>
      </x:c>
      <x:c r="C87" s="46" t="str">
        <x:v>LME</x:v>
      </x:c>
      <x:c r="D87" s="58" t="n">
        <x:v>2019</x:v>
      </x:c>
      <x:c r="E87" s="46" t="str">
        <x:v>Anguilliformes</x:v>
      </x:c>
      <x:c r="F87" s="46" t="str">
        <x:v>Eels, morays</x:v>
      </x:c>
      <x:c r="G87" s="46" t="str">
        <x:v>Large demersals (&gt;=90 cm)</x:v>
      </x:c>
      <x:c r="H87" s="46" t="str">
        <x:v>Other fishes &amp; inverts</x:v>
      </x:c>
      <x:c r="I87" s="60" t="n">
        <x:v>6.4023718154</x:v>
      </x:c>
      <x:c r="J87" s="60" t="n">
        <x:v>6.4023718154</x:v>
      </x:c>
      <x:c r="K87" s="60" t="n">
        <x:v>0</x:v>
      </x:c>
      <x:c r="L87" s="60" t="n">
        <x:v>0</x:v>
      </x:c>
      <x:c r="M87" s="60" t="n">
        <x:v>6.4023718154</x:v>
      </x:c>
      <x:c r="N87" s="46" t="str">
        <x:v>anguilliformes</x:v>
      </x:c>
      <x:c r="O87" s="62" t="n">
        <x:v>3.89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Anguilliformes</x:v>
      </x:c>
      <x:c r="T87" s="62" t="n">
        <x:f>IF(O87="","",(1/'Metadata'!$B$5)^(O87-1))</x:f>
        <x:v>776.247116628692</x:v>
      </x:c>
      <x:c r="U87" s="60" t="n">
        <x:f>IF(T87="","",I87*T87)</x:f>
        <x:v>4969.822661289055</x:v>
      </x:c>
    </x:row>
    <x:row r="88" ht="18" customHeight="1">
      <x:c r="A88" s="46" t="str">
        <x:v>LME_009</x:v>
      </x:c>
      <x:c r="B88" s="46" t="str">
        <x:v>Newfoundland-Labrador Shelf</x:v>
      </x:c>
      <x:c r="C88" s="46" t="str">
        <x:v>LME</x:v>
      </x:c>
      <x:c r="D88" s="58" t="n">
        <x:v>2019</x:v>
      </x:c>
      <x:c r="E88" s="46" t="str">
        <x:v>Marine groundfishes not identified</x:v>
      </x:c>
      <x:c r="F88" s="46" t="str">
        <x:v>Groundfishes</x:v>
      </x:c>
      <x:c r="G88" s="46" t="str">
        <x:v>Medium demersals (30 - 89 cm)</x:v>
      </x:c>
      <x:c r="H88" s="46" t="str">
        <x:v>Other fishes &amp; inverts</x:v>
      </x:c>
      <x:c r="I88" s="60" t="n">
        <x:v>3.5309103037000003</x:v>
      </x:c>
      <x:c r="J88" s="60" t="n">
        <x:v>3.5309103037000003</x:v>
      </x:c>
      <x:c r="K88" s="60" t="n">
        <x:v>0</x:v>
      </x:c>
      <x:c r="L88" s="60" t="n">
        <x:v>3.5309103037000003</x:v>
      </x:c>
      <x:c r="M88" s="60" t="n">
        <x:v>0</x:v>
      </x:c>
      <x:c r="N88" s="46" t="str">
        <x:v>marine groundfishes not identified</x:v>
      </x:c>
      <x:c r="O88" s="62" t="n">
        <x:v>3.22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Marine groundfishes not identified</x:v>
      </x:c>
      <x:c r="T88" s="62" t="n">
        <x:f>IF(O88="","",(1/'Metadata'!$B$5)^(O88-1))</x:f>
        <x:v>165.95869074375614</x:v>
      </x:c>
      <x:c r="U88" s="60" t="n">
        <x:f>IF(T88="","",I88*T88)</x:f>
        <x:v>585.9852511356904</x:v>
      </x:c>
    </x:row>
    <x:row r="89" ht="18" customHeight="1">
      <x:c r="A89" s="46" t="str">
        <x:v>LME_009</x:v>
      </x:c>
      <x:c r="B89" s="46" t="str">
        <x:v>Newfoundland-Labrador Shelf</x:v>
      </x:c>
      <x:c r="C89" s="46" t="str">
        <x:v>LME</x:v>
      </x:c>
      <x:c r="D89" s="58" t="n">
        <x:v>2019</x:v>
      </x:c>
      <x:c r="E89" s="46" t="str">
        <x:v>Gaidropsarus ensis</x:v>
      </x:c>
      <x:c r="F89" s="46" t="str">
        <x:v>Threadfin rockling</x:v>
      </x:c>
      <x:c r="G89" s="46" t="str">
        <x:v>Medium benthopelagics (30 - 89 cm)</x:v>
      </x:c>
      <x:c r="H89" s="46" t="str">
        <x:v>Cod-likes</x:v>
      </x:c>
      <x:c r="I89" s="60" t="n">
        <x:v>3.3755958837</x:v>
      </x:c>
      <x:c r="J89" s="60" t="n">
        <x:v>1.7699999986</x:v>
      </x:c>
      <x:c r="K89" s="60" t="n">
        <x:v>1.6055958851</x:v>
      </x:c>
      <x:c r="L89" s="60" t="n">
        <x:v>1.7499999985999999</x:v>
      </x:c>
      <x:c r="M89" s="60" t="n">
        <x:v>1.6255958851</x:v>
      </x:c>
      <x:c r="N89" s="46" t="str">
        <x:v>gaidropsarus ensis</x:v>
      </x:c>
      <x:c r="O89" s="62" t="n">
        <x:v>3.38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Gaidropsarus ensis</x:v>
      </x:c>
      <x:c r="T89" s="62" t="n">
        <x:f>IF(O89="","",(1/'Metadata'!$B$5)^(O89-1))</x:f>
        <x:v>239.88329190194898</x:v>
      </x:c>
      <x:c r="U89" s="60" t="n">
        <x:f>IF(T89="","",I89*T89)</x:f>
        <x:v>809.7490527126245</x:v>
      </x:c>
    </x:row>
    <x:row r="90" ht="18" customHeight="1">
      <x:c r="A90" s="46" t="str">
        <x:v>LME_009</x:v>
      </x:c>
      <x:c r="B90" s="46" t="str">
        <x:v>Newfoundland-Labrador Shelf</x:v>
      </x:c>
      <x:c r="C90" s="46" t="str">
        <x:v>LME</x:v>
      </x:c>
      <x:c r="D90" s="58" t="n">
        <x:v>2019</x:v>
      </x:c>
      <x:c r="E90" s="46" t="str">
        <x:v>Scombroidei</x:v>
      </x:c>
      <x:c r="F90" s="46" t="str">
        <x:v>Tunas, bonitos, billfishes</x:v>
      </x:c>
      <x:c r="G90" s="46" t="str">
        <x:v>Large pelagics (&gt;=90 cm)</x:v>
      </x:c>
      <x:c r="H90" s="46" t="str">
        <x:v>Tuna &amp; billfishes</x:v>
      </x:c>
      <x:c r="I90" s="60" t="n">
        <x:v>2.3370222946</x:v>
      </x:c>
      <x:c r="J90" s="60" t="n">
        <x:v>2.3370222946</x:v>
      </x:c>
      <x:c r="K90" s="60" t="n">
        <x:v>0</x:v>
      </x:c>
      <x:c r="L90" s="60" t="n">
        <x:v>0.8024078775</x:v>
      </x:c>
      <x:c r="M90" s="60" t="n">
        <x:v>1.5346144171</x:v>
      </x:c>
      <x:c r="N90" s="46" t="str">
        <x:v>scombroidei</x:v>
      </x:c>
      <x:c r="O90" s="62" t="n">
        <x:v>4.2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Scombroidei</x:v>
      </x:c>
      <x:c r="T90" s="62" t="n">
        <x:f>IF(O90="","",(1/'Metadata'!$B$5)^(O90-1))</x:f>
        <x:v>1584.893192461114</x:v>
      </x:c>
      <x:c r="U90" s="60" t="n">
        <x:f>IF(T90="","",I90*T90)</x:f>
        <x:v>3703.930725341392</x:v>
      </x:c>
    </x:row>
    <x:row r="91" ht="18" customHeight="1">
      <x:c r="A91" s="46" t="str">
        <x:v>LME_009</x:v>
      </x:c>
      <x:c r="B91" s="46" t="str">
        <x:v>Newfoundland-Labrador Shelf</x:v>
      </x:c>
      <x:c r="C91" s="46" t="str">
        <x:v>LME</x:v>
      </x:c>
      <x:c r="D91" s="58" t="n">
        <x:v>2019</x:v>
      </x:c>
      <x:c r="E91" s="46" t="str">
        <x:v>Myxine glutinosa</x:v>
      </x:c>
      <x:c r="F91" s="46" t="str">
        <x:v>Hagfish</x:v>
      </x:c>
      <x:c r="G91" s="46" t="str">
        <x:v>Medium demersals (30 - 89 cm)</x:v>
      </x:c>
      <x:c r="H91" s="46" t="str">
        <x:v>Other fishes &amp; inverts</x:v>
      </x:c>
      <x:c r="I91" s="60" t="n">
        <x:v>2.2590109098</x:v>
      </x:c>
      <x:c r="J91" s="60" t="n">
        <x:v>2.2590109098</x:v>
      </x:c>
      <x:c r="K91" s="60" t="n">
        <x:v>0</x:v>
      </x:c>
      <x:c r="L91" s="60" t="n">
        <x:v>0</x:v>
      </x:c>
      <x:c r="M91" s="60" t="n">
        <x:v>2.2590109098</x:v>
      </x:c>
      <x:c r="N91" s="46" t="str">
        <x:v>myxine glutinosa</x:v>
      </x:c>
      <x:c r="O91" s="62" t="n">
        <x:v>4.54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Myxine glutinosa</x:v>
      </x:c>
      <x:c r="T91" s="62" t="n">
        <x:f>IF(O91="","",(1/'Metadata'!$B$5)^(O91-1))</x:f>
        <x:v>3467.368504525317</x:v>
      </x:c>
      <x:c r="U91" s="60" t="n">
        <x:f>IF(T91="","",I91*T91)</x:f>
        <x:v>7832.823280019602</x:v>
      </x:c>
    </x:row>
    <x:row r="92" ht="18" customHeight="1">
      <x:c r="A92" s="46" t="str">
        <x:v>LME_009</x:v>
      </x:c>
      <x:c r="B92" s="46" t="str">
        <x:v>Newfoundland-Labrador Shelf</x:v>
      </x:c>
      <x:c r="C92" s="46" t="str">
        <x:v>LME</x:v>
      </x:c>
      <x:c r="D92" s="58" t="n">
        <x:v>2019</x:v>
      </x:c>
      <x:c r="E92" s="46" t="str">
        <x:v>Sebastes norvegicus</x:v>
      </x:c>
      <x:c r="F92" s="46" t="str">
        <x:v>Golden redfish</x:v>
      </x:c>
      <x:c r="G92" s="46" t="str">
        <x:v>Medium benthopelagics (30 - 89 cm)</x:v>
      </x:c>
      <x:c r="H92" s="46" t="str">
        <x:v>Scorpionfishes</x:v>
      </x:c>
      <x:c r="I92" s="60" t="n">
        <x:v>2.2334304431</x:v>
      </x:c>
      <x:c r="J92" s="60" t="n">
        <x:v>0</x:v>
      </x:c>
      <x:c r="K92" s="60" t="n">
        <x:v>2.2334304431</x:v>
      </x:c>
      <x:c r="L92" s="60" t="n">
        <x:v>0</x:v>
      </x:c>
      <x:c r="M92" s="60" t="n">
        <x:v>2.2334304431</x:v>
      </x:c>
      <x:c r="N92" s="46" t="str">
        <x:v>sebastes norvegicus</x:v>
      </x:c>
      <x:c r="O92" s="62" t="n">
        <x:v>4.04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Sebastes norvegicus</x:v>
      </x:c>
      <x:c r="T92" s="62" t="n">
        <x:f>IF(O92="","",(1/'Metadata'!$B$5)^(O92-1))</x:f>
        <x:v>1096.4781961431852</x:v>
      </x:c>
      <x:c r="U92" s="60" t="n">
        <x:f>IF(T92="","",I92*T92)</x:f>
        <x:v>2448.9077834615628</x:v>
      </x:c>
    </x:row>
    <x:row r="93" ht="18" customHeight="1">
      <x:c r="A93" s="46" t="str">
        <x:v>LME_009</x:v>
      </x:c>
      <x:c r="B93" s="46" t="str">
        <x:v>Newfoundland-Labrador Shelf</x:v>
      </x:c>
      <x:c r="C93" s="46" t="str">
        <x:v>LME</x:v>
      </x:c>
      <x:c r="D93" s="58" t="n">
        <x:v>2019</x:v>
      </x:c>
      <x:c r="E93" s="46" t="str">
        <x:v>Coryphaenoides</x:v>
      </x:c>
      <x:c r="F93" s="46" t="str">
        <x:v>Grenadiers</x:v>
      </x:c>
      <x:c r="G93" s="46" t="str">
        <x:v>Large bathypelagics (&gt;=90 cm)</x:v>
      </x:c>
      <x:c r="H93" s="46" t="str">
        <x:v>Cod-likes</x:v>
      </x:c>
      <x:c r="I93" s="60" t="n">
        <x:v>1.9828866525</x:v>
      </x:c>
      <x:c r="J93" s="60" t="n">
        <x:v>0</x:v>
      </x:c>
      <x:c r="K93" s="60" t="n">
        <x:v>1.9828866525</x:v>
      </x:c>
      <x:c r="L93" s="60" t="n">
        <x:v>0</x:v>
      </x:c>
      <x:c r="M93" s="60" t="n">
        <x:v>1.9828866525</x:v>
      </x:c>
      <x:c r="N93" s="46" t="str">
        <x:v>coryphaenoides</x:v>
      </x:c>
      <x:c r="O93" s="62" t="n">
        <x:v>3.97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Coryphaenoides</x:v>
      </x:c>
      <x:c r="T93" s="62" t="n">
        <x:f>IF(O93="","",(1/'Metadata'!$B$5)^(O93-1))</x:f>
        <x:v>933.2543007969915</x:v>
      </x:c>
      <x:c r="U93" s="60" t="n">
        <x:f>IF(T93="","",I93*T93)</x:f>
        <x:v>1850.5374964385746</x:v>
      </x:c>
    </x:row>
    <x:row r="94" ht="18" customHeight="1">
      <x:c r="A94" s="46" t="str">
        <x:v>LME_009</x:v>
      </x:c>
      <x:c r="B94" s="46" t="str">
        <x:v>Newfoundland-Labrador Shelf</x:v>
      </x:c>
      <x:c r="C94" s="46" t="str">
        <x:v>LME</x:v>
      </x:c>
      <x:c r="D94" s="58" t="n">
        <x:v>2019</x:v>
      </x:c>
      <x:c r="E94" s="46" t="str">
        <x:v>Antimora rostrata</x:v>
      </x:c>
      <x:c r="F94" s="46" t="str">
        <x:v>Blue antimora</x:v>
      </x:c>
      <x:c r="G94" s="46" t="str">
        <x:v>Medium bathypelagics (30 - 89 cm)</x:v>
      </x:c>
      <x:c r="H94" s="46" t="str">
        <x:v>Cod-likes</x:v>
      </x:c>
      <x:c r="I94" s="60" t="n">
        <x:v>1.936263081</x:v>
      </x:c>
      <x:c r="J94" s="60" t="n">
        <x:v>0</x:v>
      </x:c>
      <x:c r="K94" s="60" t="n">
        <x:v>1.936263081</x:v>
      </x:c>
      <x:c r="L94" s="60" t="n">
        <x:v>0</x:v>
      </x:c>
      <x:c r="M94" s="60" t="n">
        <x:v>1.936263081</x:v>
      </x:c>
      <x:c r="N94" s="46" t="str">
        <x:v>antimora rostrata</x:v>
      </x:c>
      <x:c r="O94" s="62" t="n">
        <x:v>3.58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Antimora rostrata</x:v>
      </x:c>
      <x:c r="T94" s="62" t="n">
        <x:f>IF(O94="","",(1/'Metadata'!$B$5)^(O94-1))</x:f>
        <x:v>380.1893963205613</x:v>
      </x:c>
      <x:c r="U94" s="60" t="n">
        <x:f>IF(T94="","",I94*T94)</x:f>
        <x:v>736.1466918831801</x:v>
      </x:c>
    </x:row>
    <x:row r="95" ht="18" customHeight="1">
      <x:c r="A95" s="46" t="str">
        <x:v>LME_009</x:v>
      </x:c>
      <x:c r="B95" s="46" t="str">
        <x:v>Newfoundland-Labrador Shelf</x:v>
      </x:c>
      <x:c r="C95" s="46" t="str">
        <x:v>LME</x:v>
      </x:c>
      <x:c r="D95" s="58" t="n">
        <x:v>2019</x:v>
      </x:c>
      <x:c r="E95" s="46" t="str">
        <x:v>Ruvettus pretiosus</x:v>
      </x:c>
      <x:c r="F95" s="46" t="str">
        <x:v>Oilfish</x:v>
      </x:c>
      <x:c r="G95" s="46" t="str">
        <x:v>Large benthopelagics (&gt;=90 cm)</x:v>
      </x:c>
      <x:c r="H95" s="46" t="str">
        <x:v>Perch-likes</x:v>
      </x:c>
      <x:c r="I95" s="60" t="n">
        <x:v>0.7096425632</x:v>
      </x:c>
      <x:c r="J95" s="60" t="n">
        <x:v>0.7096425632</x:v>
      </x:c>
      <x:c r="K95" s="60" t="n">
        <x:v>0</x:v>
      </x:c>
      <x:c r="L95" s="60" t="n">
        <x:v>0.669702485</x:v>
      </x:c>
      <x:c r="M95" s="60" t="n">
        <x:v>0.0399400782</x:v>
      </x:c>
      <x:c r="N95" s="46" t="str">
        <x:v>ruvettus pretiosus</x:v>
      </x:c>
      <x:c r="O95" s="62" t="n">
        <x:v>4.18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Ruvettus pretiosus</x:v>
      </x:c>
      <x:c r="T95" s="62" t="n">
        <x:f>IF(O95="","",(1/'Metadata'!$B$5)^(O95-1))</x:f>
        <x:v>1513.5612484362073</x:v>
      </x:c>
      <x:c r="U95" s="60" t="n">
        <x:f>IF(T95="","",I95*T95)</x:f>
        <x:v>1074.087483900462</x:v>
      </x:c>
    </x:row>
    <x:row r="96" ht="18" customHeight="1">
      <x:c r="A96" s="46" t="str">
        <x:v>LME_009</x:v>
      </x:c>
      <x:c r="B96" s="46" t="str">
        <x:v>Newfoundland-Labrador Shelf</x:v>
      </x:c>
      <x:c r="C96" s="46" t="str">
        <x:v>LME</x:v>
      </x:c>
      <x:c r="D96" s="58" t="n">
        <x:v>2019</x:v>
      </x:c>
      <x:c r="E96" s="46" t="str">
        <x:v>Thunnus alalunga</x:v>
      </x:c>
      <x:c r="F96" s="46" t="str">
        <x:v>Albacore</x:v>
      </x:c>
      <x:c r="G96" s="46" t="str">
        <x:v>Large pelagics (&gt;=90 cm)</x:v>
      </x:c>
      <x:c r="H96" s="46" t="str">
        <x:v>Tuna &amp; billfishes</x:v>
      </x:c>
      <x:c r="I96" s="60" t="n">
        <x:v>0.6665873945999999</x:v>
      </x:c>
      <x:c r="J96" s="60" t="n">
        <x:v>0.6665873945999999</x:v>
      </x:c>
      <x:c r="K96" s="60" t="n">
        <x:v>0</x:v>
      </x:c>
      <x:c r="L96" s="60" t="n">
        <x:v>0.6665873945999999</x:v>
      </x:c>
      <x:c r="M96" s="60" t="n">
        <x:v>0</x:v>
      </x:c>
      <x:c r="N96" s="46" t="str">
        <x:v>thunnus alalunga</x:v>
      </x:c>
      <x:c r="O96" s="62" t="n">
        <x:v>4.3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Thunnus alalunga</x:v>
      </x:c>
      <x:c r="T96" s="62" t="n">
        <x:f>IF(O96="","",(1/'Metadata'!$B$5)^(O96-1))</x:f>
        <x:v>1995.2623149688789</x:v>
      </x:c>
      <x:c r="U96" s="60" t="n">
        <x:f>IF(T96="","",I96*T96)</x:f>
        <x:v>1330.0167080786694</x:v>
      </x:c>
    </x:row>
    <x:row r="97" ht="18" customHeight="1">
      <x:c r="A97" s="46" t="str">
        <x:v>LME_009</x:v>
      </x:c>
      <x:c r="B97" s="46" t="str">
        <x:v>Newfoundland-Labrador Shelf</x:v>
      </x:c>
      <x:c r="C97" s="46" t="str">
        <x:v>LME</x:v>
      </x:c>
      <x:c r="D97" s="58" t="n">
        <x:v>2019</x:v>
      </x:c>
      <x:c r="E97" s="46" t="str">
        <x:v>Asteroidea</x:v>
      </x:c>
      <x:c r="F97" s="46" t="str">
        <x:v>True sea stars</x:v>
      </x:c>
      <x:c r="G97" s="46" t="str">
        <x:v>Other demersal invertebrates</x:v>
      </x:c>
      <x:c r="H97" s="46" t="str">
        <x:v>Other fishes &amp; inverts</x:v>
      </x:c>
      <x:c r="I97" s="60" t="n">
        <x:v>0.465386205</x:v>
      </x:c>
      <x:c r="J97" s="60" t="n">
        <x:v>0</x:v>
      </x:c>
      <x:c r="K97" s="60" t="n">
        <x:v>0.465386205</x:v>
      </x:c>
      <x:c r="L97" s="60" t="n">
        <x:v>0</x:v>
      </x:c>
      <x:c r="M97" s="60" t="n">
        <x:v>0.465386205</x:v>
      </x:c>
      <x:c r="N97" s="46" t="str">
        <x:v>asteroidea</x:v>
      </x:c>
      <x:c r="O97" s="62" t="n">
        <x:v>3.4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Asteroidea</x:v>
      </x:c>
      <x:c r="T97" s="62" t="n">
        <x:f>IF(O97="","",(1/'Metadata'!$B$5)^(O97-1))</x:f>
        <x:v>251.18864315095797</x:v>
      </x:c>
      <x:c r="U97" s="60" t="n">
        <x:f>IF(T97="","",I97*T97)</x:f>
        <x:v>116.89972937512357</x:v>
      </x:c>
    </x:row>
    <x:row r="98" ht="18" customHeight="1">
      <x:c r="A98" s="46" t="str">
        <x:v>LME_009</x:v>
      </x:c>
      <x:c r="B98" s="46" t="str">
        <x:v>Newfoundland-Labrador Shelf</x:v>
      </x:c>
      <x:c r="C98" s="46" t="str">
        <x:v>LME</x:v>
      </x:c>
      <x:c r="D98" s="58" t="n">
        <x:v>2019</x:v>
      </x:c>
      <x:c r="E98" s="46" t="str">
        <x:v>Marine finfishes not identified</x:v>
      </x:c>
      <x:c r="F98" s="46" t="str">
        <x:v>Finfishes</x:v>
      </x:c>
      <x:c r="G98" s="46" t="str">
        <x:v>Medium demersals (30 - 89 cm)</x:v>
      </x:c>
      <x:c r="H98" s="46" t="str">
        <x:v>Other fishes &amp; inverts</x:v>
      </x:c>
      <x:c r="I98" s="60" t="n">
        <x:v>0.1726376793</x:v>
      </x:c>
      <x:c r="J98" s="60" t="n">
        <x:v>0.1726376793</x:v>
      </x:c>
      <x:c r="K98" s="60" t="n">
        <x:v>0</x:v>
      </x:c>
      <x:c r="L98" s="60" t="n">
        <x:v>0.1487362079</x:v>
      </x:c>
      <x:c r="M98" s="60" t="n">
        <x:v>0.023901471400000002</x:v>
      </x:c>
      <x:c r="N98" s="46" t="str">
        <x:v>marine finfishes not identified</x:v>
      </x:c>
      <x:c r="O98" s="62" t="n">
        <x:v>3.23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Marine finfishes not identified</x:v>
      </x:c>
      <x:c r="T98" s="62" t="n">
        <x:f>IF(O98="","",(1/'Metadata'!$B$5)^(O98-1))</x:f>
        <x:v>169.82436524617444</x:v>
      </x:c>
      <x:c r="U98" s="60" t="n">
        <x:f>IF(T98="","",I98*T98)</x:f>
        <x:v>29.31808430469513</x:v>
      </x:c>
    </x:row>
    <x:row r="99" ht="18" customHeight="1">
      <x:c r="A99" s="46" t="str">
        <x:v>LME_009</x:v>
      </x:c>
      <x:c r="B99" s="46" t="str">
        <x:v>Newfoundland-Labrador Shelf</x:v>
      </x:c>
      <x:c r="C99" s="46" t="str">
        <x:v>LME</x:v>
      </x:c>
      <x:c r="D99" s="58" t="n">
        <x:v>2019</x:v>
      </x:c>
      <x:c r="E99" s="46" t="str">
        <x:v>Lophiidae</x:v>
      </x:c>
      <x:c r="F99" s="46" t="str">
        <x:v>Goosefishes</x:v>
      </x:c>
      <x:c r="G99" s="46" t="str">
        <x:v>Medium bathydemersals (30 - 89 cm)</x:v>
      </x:c>
      <x:c r="H99" s="46" t="str">
        <x:v>Other fishes &amp; inverts</x:v>
      </x:c>
      <x:c r="I99" s="60" t="n">
        <x:v>0.0800648003</x:v>
      </x:c>
      <x:c r="J99" s="60" t="n">
        <x:v>0</x:v>
      </x:c>
      <x:c r="K99" s="60" t="n">
        <x:v>0.0800648003</x:v>
      </x:c>
      <x:c r="L99" s="60" t="n">
        <x:v>0</x:v>
      </x:c>
      <x:c r="M99" s="60" t="n">
        <x:v>0.0800648003</x:v>
      </x:c>
      <x:c r="N99" s="46" t="str">
        <x:v>lophiidae</x:v>
      </x:c>
      <x:c r="O99" s="62" t="n">
        <x:v>4.46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Lophiidae</x:v>
      </x:c>
      <x:c r="T99" s="62" t="n">
        <x:f>IF(O99="","",(1/'Metadata'!$B$5)^(O99-1))</x:f>
        <x:v>2884.031503126606</x:v>
      </x:c>
      <x:c r="U99" s="60" t="n">
        <x:f>IF(T99="","",I99*T99)</x:f>
        <x:v>230.90940635674053</x:v>
      </x:c>
    </x:row>
    <x:row r="100" ht="18" customHeight="1">
      <x:c r="A100" s="46" t="str">
        <x:v>LME_009</x:v>
      </x:c>
      <x:c r="B100" s="46" t="str">
        <x:v>Newfoundland-Labrador Shelf</x:v>
      </x:c>
      <x:c r="C100" s="46" t="str">
        <x:v>LME</x:v>
      </x:c>
      <x:c r="D100" s="58" t="n">
        <x:v>2019</x:v>
      </x:c>
      <x:c r="E100" s="46" t="str">
        <x:v>Coryphaena hippurus</x:v>
      </x:c>
      <x:c r="F100" s="46" t="str">
        <x:v>Common dolphinfish</x:v>
      </x:c>
      <x:c r="G100" s="46" t="str">
        <x:v>Large pelagics (&gt;=90 cm)</x:v>
      </x:c>
      <x:c r="H100" s="46" t="str">
        <x:v>Perch-likes</x:v>
      </x:c>
      <x:c r="I100" s="60" t="n">
        <x:v>0.0540307908</x:v>
      </x:c>
      <x:c r="J100" s="60" t="n">
        <x:v>0.0540307908</x:v>
      </x:c>
      <x:c r="K100" s="60" t="n">
        <x:v>0</x:v>
      </x:c>
      <x:c r="L100" s="60" t="n">
        <x:v>0.0540307908</x:v>
      </x:c>
      <x:c r="M100" s="60" t="n">
        <x:v>0</x:v>
      </x:c>
      <x:c r="N100" s="46" t="str">
        <x:v>coryphaena hippurus</x:v>
      </x:c>
      <x:c r="O100" s="62" t="n">
        <x:v>4.37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Coryphaena hippurus</x:v>
      </x:c>
      <x:c r="T100" s="62" t="n">
        <x:f>IF(O100="","",(1/'Metadata'!$B$5)^(O100-1))</x:f>
        <x:v>2344.228815319923</x:v>
      </x:c>
      <x:c r="U100" s="60" t="n">
        <x:f>IF(T100="","",I100*T100)</x:f>
        <x:v>126.66053670788259</x:v>
      </x:c>
    </x:row>
    <x:row r="101" ht="18" customHeight="1">
      <x:c r="A101" s="46" t="str">
        <x:v>LME_009</x:v>
      </x:c>
      <x:c r="B101" s="46" t="str">
        <x:v>Newfoundland-Labrador Shelf</x:v>
      </x:c>
      <x:c r="C101" s="46" t="str">
        <x:v>LME</x:v>
      </x:c>
      <x:c r="D101" s="58" t="n">
        <x:v>2019</x:v>
      </x:c>
      <x:c r="E101" s="46" t="str">
        <x:v>Isurus paucus</x:v>
      </x:c>
      <x:c r="F101" s="46" t="str">
        <x:v>Longfin mako</x:v>
      </x:c>
      <x:c r="G101" s="46" t="str">
        <x:v>Large sharks (&gt;=90 cm)</x:v>
      </x:c>
      <x:c r="H101" s="46" t="str">
        <x:v>Sharks &amp; rays</x:v>
      </x:c>
      <x:c r="I101" s="60" t="n">
        <x:v>0.0394187688</x:v>
      </x:c>
      <x:c r="J101" s="60" t="n">
        <x:v>0.0394187688</x:v>
      </x:c>
      <x:c r="K101" s="60" t="n">
        <x:v>0</x:v>
      </x:c>
      <x:c r="L101" s="60" t="n">
        <x:v>0.0373402897</x:v>
      </x:c>
      <x:c r="M101" s="60" t="n">
        <x:v>0.0020784791000000003</x:v>
      </x:c>
      <x:c r="N101" s="46" t="str">
        <x:v>isurus paucus</x:v>
      </x:c>
      <x:c r="O101" s="62" t="n">
        <x:v>4.51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Isurus paucus</x:v>
      </x:c>
      <x:c r="T101" s="62" t="n">
        <x:f>IF(O101="","",(1/'Metadata'!$B$5)^(O101-1))</x:f>
        <x:v>3235.936569296281</x:v>
      </x:c>
      <x:c r="U101" s="60" t="n">
        <x:f>IF(T101="","",I101*T101)</x:f>
        <x:v>127.55663547655527</x:v>
      </x:c>
    </x:row>
    <x:row r="102" ht="18" customHeight="1">
      <x:c r="A102" s="46" t="str">
        <x:v>LME_009</x:v>
      </x:c>
      <x:c r="B102" s="46" t="str">
        <x:v>Newfoundland-Labrador Shelf</x:v>
      </x:c>
      <x:c r="C102" s="46" t="str">
        <x:v>LME</x:v>
      </x:c>
      <x:c r="D102" s="58" t="n">
        <x:v>2019</x:v>
      </x:c>
      <x:c r="E102" s="46" t="str">
        <x:v>Istiophoridae</x:v>
      </x:c>
      <x:c r="F102" s="46" t="str">
        <x:v>Billfishes</x:v>
      </x:c>
      <x:c r="G102" s="46" t="str">
        <x:v>Large pelagics (&gt;=90 cm)</x:v>
      </x:c>
      <x:c r="H102" s="46" t="str">
        <x:v>Tuna &amp; billfishes</x:v>
      </x:c>
      <x:c r="I102" s="60" t="n">
        <x:v>0.0103009927</x:v>
      </x:c>
      <x:c r="J102" s="60" t="n">
        <x:v>0.0103009927</x:v>
      </x:c>
      <x:c r="K102" s="60" t="n">
        <x:v>0</x:v>
      </x:c>
      <x:c r="L102" s="60" t="n">
        <x:v>0.0103009927</x:v>
      </x:c>
      <x:c r="M102" s="60" t="n">
        <x:v>0</x:v>
      </x:c>
      <x:c r="N102" s="46" t="str">
        <x:v>istiophoridae</x:v>
      </x:c>
      <x:c r="O102" s="62" t="n">
        <x:v>4.48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Istiophoridae</x:v>
      </x:c>
      <x:c r="T102" s="62" t="n">
        <x:f>IF(O102="","",(1/'Metadata'!$B$5)^(O102-1))</x:f>
        <x:v>3019.951720402019</x:v>
      </x:c>
      <x:c r="U102" s="60" t="n">
        <x:f>IF(T102="","",I102*T102)</x:f>
        <x:v>31.10850062621364</x:v>
      </x:c>
    </x:row>
    <x:row r="103" ht="18" customHeight="1">
      <x:c r="A103" s="46" t="str">
        <x:v>LME_009</x:v>
      </x:c>
      <x:c r="B103" s="46" t="str">
        <x:v>Newfoundland-Labrador Shelf</x:v>
      </x:c>
      <x:c r="C103" s="46" t="str">
        <x:v>LME</x:v>
      </x:c>
      <x:c r="D103" s="58" t="n">
        <x:v>2019</x:v>
      </x:c>
      <x:c r="E103" s="46" t="str">
        <x:v>Istiophorus albicans</x:v>
      </x:c>
      <x:c r="F103" s="46" t="str">
        <x:v>Atlantic sailfish</x:v>
      </x:c>
      <x:c r="G103" s="46" t="str">
        <x:v>Large pelagics (&gt;=90 cm)</x:v>
      </x:c>
      <x:c r="H103" s="46" t="str">
        <x:v>Tuna &amp; billfishes</x:v>
      </x:c>
      <x:c r="I103" s="60" t="n">
        <x:v>0.0100355802</x:v>
      </x:c>
      <x:c r="J103" s="60" t="n">
        <x:v>0.0100355802</x:v>
      </x:c>
      <x:c r="K103" s="60" t="n">
        <x:v>0</x:v>
      </x:c>
      <x:c r="L103" s="60" t="n">
        <x:v>0.0100355802</x:v>
      </x:c>
      <x:c r="M103" s="60" t="n">
        <x:v>0</x:v>
      </x:c>
      <x:c r="N103" s="46" t="str">
        <x:v>istiophorus albicans</x:v>
      </x:c>
      <x:c r="O103" s="62" t="n">
        <x:v>4.5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Istiophorus albicans</x:v>
      </x:c>
      <x:c r="T103" s="62" t="n">
        <x:f>IF(O103="","",(1/'Metadata'!$B$5)^(O103-1))</x:f>
        <x:v>3162.2776601683795</x:v>
      </x:c>
      <x:c r="U103" s="60" t="n">
        <x:f>IF(T103="","",I103*T103)</x:f>
        <x:v>31.735291073288117</x:v>
      </x:c>
    </x:row>
    <x:row r="104" ht="18" customHeight="1">
      <x:c r="A104" s="46" t="str">
        <x:v>LME_009</x:v>
      </x:c>
      <x:c r="B104" s="46" t="str">
        <x:v>Newfoundland-Labrador Shelf</x:v>
      </x:c>
      <x:c r="C104" s="46" t="str">
        <x:v>LME</x:v>
      </x:c>
      <x:c r="D104" s="58" t="n">
        <x:v>2019</x:v>
      </x:c>
      <x:c r="E104" s="46" t="str">
        <x:v>Thunnus obesus</x:v>
      </x:c>
      <x:c r="F104" s="46" t="str">
        <x:v>Bigeye tuna</x:v>
      </x:c>
      <x:c r="G104" s="46" t="str">
        <x:v>Large pelagics (&gt;=90 cm)</x:v>
      </x:c>
      <x:c r="H104" s="46" t="str">
        <x:v>Tuna &amp; billfishes</x:v>
      </x:c>
      <x:c r="I104" s="60" t="n">
        <x:v>0.0089553881</x:v>
      </x:c>
      <x:c r="J104" s="60" t="n">
        <x:v>0.0089553881</x:v>
      </x:c>
      <x:c r="K104" s="60" t="n">
        <x:v>0</x:v>
      </x:c>
      <x:c r="L104" s="60" t="n">
        <x:v>0.0089553881</x:v>
      </x:c>
      <x:c r="M104" s="60" t="n">
        <x:v>0</x:v>
      </x:c>
      <x:c r="N104" s="46" t="str">
        <x:v>thunnus obesus</x:v>
      </x:c>
      <x:c r="O104" s="62" t="n">
        <x:v>4.49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Thunnus obesus</x:v>
      </x:c>
      <x:c r="T104" s="62" t="n">
        <x:f>IF(O104="","",(1/'Metadata'!$B$5)^(O104-1))</x:f>
        <x:v>3090.295432513592</x:v>
      </x:c>
      <x:c r="U104" s="60" t="n">
        <x:f>IF(T104="","",I104*T104)</x:f>
        <x:v>27.67479494181657</x:v>
      </x:c>
    </x:row>
    <x:row r="105" ht="18" customHeight="1">
      <x:c r="A105" s="46" t="str">
        <x:v>LME_009</x:v>
      </x:c>
      <x:c r="B105" s="46" t="str">
        <x:v>Newfoundland-Labrador Shelf</x:v>
      </x:c>
      <x:c r="C105" s="46" t="str">
        <x:v>LME</x:v>
      </x:c>
      <x:c r="D105" s="58" t="n">
        <x:v>2019</x:v>
      </x:c>
      <x:c r="E105" s="46" t="str">
        <x:v>Sarda sarda</x:v>
      </x:c>
      <x:c r="F105" s="46" t="str">
        <x:v>Atlantic bonito</x:v>
      </x:c>
      <x:c r="G105" s="46" t="str">
        <x:v>Medium pelagics (30 - 89 cm)</x:v>
      </x:c>
      <x:c r="H105" s="46" t="str">
        <x:v>Tuna &amp; billfishes</x:v>
      </x:c>
      <x:c r="I105" s="60" t="n">
        <x:v>0.0062750441</x:v>
      </x:c>
      <x:c r="J105" s="60" t="n">
        <x:v>0.0062750441</x:v>
      </x:c>
      <x:c r="K105" s="60" t="n">
        <x:v>0</x:v>
      </x:c>
      <x:c r="L105" s="60" t="n">
        <x:v>0.0062750441</x:v>
      </x:c>
      <x:c r="M105" s="60" t="n">
        <x:v>0</x:v>
      </x:c>
      <x:c r="N105" s="46" t="str">
        <x:v>sarda sarda</x:v>
      </x:c>
      <x:c r="O105" s="62" t="n">
        <x:v>4.5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Sarda sarda</x:v>
      </x:c>
      <x:c r="T105" s="62" t="n">
        <x:f>IF(O105="","",(1/'Metadata'!$B$5)^(O105-1))</x:f>
        <x:v>3162.2776601683795</x:v>
      </x:c>
      <x:c r="U105" s="60" t="n">
        <x:f>IF(T105="","",I105*T105)</x:f>
        <x:v>19.843431774001395</x:v>
      </x:c>
    </x:row>
    <x:row r="106" ht="18" customHeight="1">
      <x:c r="A106" s="46" t="str">
        <x:v>LME_009</x:v>
      </x:c>
      <x:c r="B106" s="46" t="str">
        <x:v>Newfoundland-Labrador Shelf</x:v>
      </x:c>
      <x:c r="C106" s="46" t="str">
        <x:v>LME</x:v>
      </x:c>
      <x:c r="D106" s="58" t="n">
        <x:v>2019</x:v>
      </x:c>
      <x:c r="E106" s="46" t="str">
        <x:v>Squalidae</x:v>
      </x:c>
      <x:c r="F106" s="46" t="str">
        <x:v>Dogfish sharks</x:v>
      </x:c>
      <x:c r="G106" s="46" t="str">
        <x:v>Large sharks (&gt;=90 cm)</x:v>
      </x:c>
      <x:c r="H106" s="46" t="str">
        <x:v>Sharks &amp; rays</x:v>
      </x:c>
      <x:c r="I106" s="60" t="n">
        <x:v>0.005</x:v>
      </x:c>
      <x:c r="J106" s="60" t="n">
        <x:v>0.005</x:v>
      </x:c>
      <x:c r="K106" s="60" t="n">
        <x:v>0</x:v>
      </x:c>
      <x:c r="L106" s="60" t="n">
        <x:v>0</x:v>
      </x:c>
      <x:c r="M106" s="60" t="n">
        <x:v>0.005</x:v>
      </x:c>
      <x:c r="N106" s="46" t="str">
        <x:v>squalidae</x:v>
      </x:c>
      <x:c r="O106" s="62" t="n">
        <x:v>4.23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Squalidae</x:v>
      </x:c>
      <x:c r="T106" s="62" t="n">
        <x:f>IF(O106="","",(1/'Metadata'!$B$5)^(O106-1))</x:f>
        <x:v>1698.243652461746</x:v>
      </x:c>
      <x:c r="U106" s="60" t="n">
        <x:f>IF(T106="","",I106*T106)</x:f>
        <x:v>8.491218262308731</x:v>
      </x:c>
    </x:row>
    <x:row r="107" ht="18" customHeight="1">
      <x:c r="A107" s="46" t="str">
        <x:v>LME_009</x:v>
      </x:c>
      <x:c r="B107" s="46" t="str">
        <x:v>Newfoundland-Labrador Shelf</x:v>
      </x:c>
      <x:c r="C107" s="46" t="str">
        <x:v>LME</x:v>
      </x:c>
      <x:c r="D107" s="58" t="n">
        <x:v>2019</x:v>
      </x:c>
      <x:c r="E107" s="46" t="str">
        <x:v>Alepocephalus bairdii</x:v>
      </x:c>
      <x:c r="F107" s="46" t="str">
        <x:v>Baird's slickhead</x:v>
      </x:c>
      <x:c r="G107" s="46" t="str">
        <x:v>Large bathydemersals (&gt;=90 cm)</x:v>
      </x:c>
      <x:c r="H107" s="46" t="str">
        <x:v>Salmon, smelts, etc</x:v>
      </x:c>
      <x:c r="I107" s="60" t="n">
        <x:v>0.0049572568</x:v>
      </x:c>
      <x:c r="J107" s="60" t="n">
        <x:v>0.0049572568</x:v>
      </x:c>
      <x:c r="K107" s="60" t="n">
        <x:v>0</x:v>
      </x:c>
      <x:c r="L107" s="60" t="n">
        <x:v>0</x:v>
      </x:c>
      <x:c r="M107" s="60" t="n">
        <x:v>0.0049572568</x:v>
      </x:c>
      <x:c r="N107" s="46" t="str">
        <x:v>alepocephalus bairdii</x:v>
      </x:c>
      <x:c r="O107" s="62" t="n">
        <x:v>3.69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Alepocephalus bairdii</x:v>
      </x:c>
      <x:c r="T107" s="62" t="n">
        <x:f>IF(O107="","",(1/'Metadata'!$B$5)^(O107-1))</x:f>
        <x:v>489.77881936844614</x:v>
      </x:c>
      <x:c r="U107" s="60" t="n">
        <x:f>IF(T107="","",I107*T107)</x:f>
        <x:v>2.4279593828102013</x:v>
      </x:c>
    </x:row>
    <x:row r="108" ht="18" customHeight="1">
      <x:c r="A108" s="46" t="str">
        <x:v>LME_009</x:v>
      </x:c>
      <x:c r="B108" s="46" t="str">
        <x:v>Newfoundland-Labrador Shelf</x:v>
      </x:c>
      <x:c r="C108" s="46" t="str">
        <x:v>LME</x:v>
      </x:c>
      <x:c r="D108" s="58" t="n">
        <x:v>2019</x:v>
      </x:c>
      <x:c r="E108" s="46" t="str">
        <x:v>Molva dypterygia</x:v>
      </x:c>
      <x:c r="F108" s="46" t="str">
        <x:v>Blue ling</x:v>
      </x:c>
      <x:c r="G108" s="46" t="str">
        <x:v>Large demersals (&gt;=90 cm)</x:v>
      </x:c>
      <x:c r="H108" s="46" t="str">
        <x:v>Cod-likes</x:v>
      </x:c>
      <x:c r="I108" s="60" t="n">
        <x:v>0.0043237341000000006</x:v>
      </x:c>
      <x:c r="J108" s="60" t="n">
        <x:v>0</x:v>
      </x:c>
      <x:c r="K108" s="60" t="n">
        <x:v>0.0043237341000000006</x:v>
      </x:c>
      <x:c r="L108" s="60" t="n">
        <x:v>0</x:v>
      </x:c>
      <x:c r="M108" s="60" t="n">
        <x:v>0.0043237341000000006</x:v>
      </x:c>
      <x:c r="N108" s="46" t="str">
        <x:v>molva dypterygia</x:v>
      </x:c>
      <x:c r="O108" s="62" t="n">
        <x:v>4.49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Molva dypterygia</x:v>
      </x:c>
      <x:c r="T108" s="62" t="n">
        <x:f>IF(O108="","",(1/'Metadata'!$B$5)^(O108-1))</x:f>
        <x:v>3090.295432513592</x:v>
      </x:c>
      <x:c r="U108" s="60" t="n">
        <x:f>IF(T108="","",I108*T108)</x:f>
        <x:v>13.361615740633269</x:v>
      </x:c>
    </x:row>
    <x:row r="109" ht="18" customHeight="1">
      <x:c r="A109" s="46" t="str">
        <x:v>LME_009</x:v>
      </x:c>
      <x:c r="B109" s="46" t="str">
        <x:v>Newfoundland-Labrador Shelf</x:v>
      </x:c>
      <x:c r="C109" s="46" t="str">
        <x:v>LME</x:v>
      </x:c>
      <x:c r="D109" s="58" t="n">
        <x:v>2019</x:v>
      </x:c>
      <x:c r="E109" s="46" t="str">
        <x:v>Hoplostethus mediterraneus</x:v>
      </x:c>
      <x:c r="F109" s="46" t="str">
        <x:v>Mediterranean slimehead</x:v>
      </x:c>
      <x:c r="G109" s="46" t="str">
        <x:v>Medium benthopelagics (30 - 89 cm)</x:v>
      </x:c>
      <x:c r="H109" s="46" t="str">
        <x:v>Other fishes &amp; inverts</x:v>
      </x:c>
      <x:c r="I109" s="60" t="n">
        <x:v>0.0031455121</x:v>
      </x:c>
      <x:c r="J109" s="60" t="n">
        <x:v>0.0031455121</x:v>
      </x:c>
      <x:c r="K109" s="60" t="n">
        <x:v>0</x:v>
      </x:c>
      <x:c r="L109" s="60" t="n">
        <x:v>0</x:v>
      </x:c>
      <x:c r="M109" s="60" t="n">
        <x:v>0.0031455121</x:v>
      </x:c>
      <x:c r="N109" s="46" t="str">
        <x:v>hoplostethus mediterraneus</x:v>
      </x:c>
      <x:c r="O109" s="62" t="n">
        <x:v>3.49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Hoplostethus mediterraneus</x:v>
      </x:c>
      <x:c r="T109" s="62" t="n">
        <x:f>IF(O109="","",(1/'Metadata'!$B$5)^(O109-1))</x:f>
        <x:v>309.0295432513592</x:v>
      </x:c>
      <x:c r="U109" s="60" t="n">
        <x:f>IF(T109="","",I109*T109)</x:f>
        <x:v>0.9720561675546238</x:v>
      </x:c>
    </x:row>
    <x:row r="110" ht="18" customHeight="1">
      <x:c r="A110" s="46" t="str">
        <x:v>LME_009</x:v>
      </x:c>
      <x:c r="B110" s="46" t="str">
        <x:v>Newfoundland-Labrador Shelf</x:v>
      </x:c>
      <x:c r="C110" s="46" t="str">
        <x:v>LME</x:v>
      </x:c>
      <x:c r="D110" s="58" t="n">
        <x:v>2019</x:v>
      </x:c>
      <x:c r="E110" s="46" t="str">
        <x:v>Gadiformes</x:v>
      </x:c>
      <x:c r="F110" s="46" t="str">
        <x:v>Cods</x:v>
      </x:c>
      <x:c r="G110" s="46" t="str">
        <x:v>Medium benthopelagics (30 - 89 cm)</x:v>
      </x:c>
      <x:c r="H110" s="46" t="str">
        <x:v>Cod-likes</x:v>
      </x:c>
      <x:c r="I110" s="60" t="n">
        <x:v>0.0025223259</x:v>
      </x:c>
      <x:c r="J110" s="60" t="n">
        <x:v>0</x:v>
      </x:c>
      <x:c r="K110" s="60" t="n">
        <x:v>0.0025223259</x:v>
      </x:c>
      <x:c r="L110" s="60" t="n">
        <x:v>0</x:v>
      </x:c>
      <x:c r="M110" s="60" t="n">
        <x:v>0.0025223259</x:v>
      </x:c>
      <x:c r="N110" s="46" t="str">
        <x:v>gadiformes</x:v>
      </x:c>
      <x:c r="O110" s="62" t="n">
        <x:v>3.91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Gadiformes</x:v>
      </x:c>
      <x:c r="T110" s="62" t="n">
        <x:f>IF(O110="","",(1/'Metadata'!$B$5)^(O110-1))</x:f>
        <x:v>812.8305161640995</x:v>
      </x:c>
      <x:c r="U110" s="60" t="n">
        <x:f>IF(T110="","",I110*T110)</x:f>
        <x:v>2.050223463231077</x:v>
      </x:c>
    </x:row>
    <x:row r="111" ht="18" customHeight="1">
      <x:c r="A111" s="46" t="str">
        <x:v>LME_009</x:v>
      </x:c>
      <x:c r="B111" s="46" t="str">
        <x:v>Newfoundland-Labrador Shelf</x:v>
      </x:c>
      <x:c r="C111" s="46" t="str">
        <x:v>LME</x:v>
      </x:c>
      <x:c r="D111" s="58" t="n">
        <x:v>2019</x:v>
      </x:c>
      <x:c r="E111" s="46" t="str">
        <x:v>Brama brama</x:v>
      </x:c>
      <x:c r="F111" s="46" t="str">
        <x:v>Atlantic pomfret</x:v>
      </x:c>
      <x:c r="G111" s="46" t="str">
        <x:v>Medium bathypelagics (30 - 89 cm)</x:v>
      </x:c>
      <x:c r="H111" s="46" t="str">
        <x:v>Perch-likes</x:v>
      </x:c>
      <x:c r="I111" s="60" t="n">
        <x:v>0.0003160708</x:v>
      </x:c>
      <x:c r="J111" s="60" t="n">
        <x:v>0.0003160708</x:v>
      </x:c>
      <x:c r="K111" s="60" t="n">
        <x:v>0</x:v>
      </x:c>
      <x:c r="L111" s="60" t="n">
        <x:v>0.0003160708</x:v>
      </x:c>
      <x:c r="M111" s="60" t="n">
        <x:v>0</x:v>
      </x:c>
      <x:c r="N111" s="46" t="str">
        <x:v>brama brama</x:v>
      </x:c>
      <x:c r="O111" s="62" t="n">
        <x:v>4.08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Brama brama</x:v>
      </x:c>
      <x:c r="T111" s="62" t="n">
        <x:f>IF(O111="","",(1/'Metadata'!$B$5)^(O111-1))</x:f>
        <x:v>1202.2644346174131</x:v>
      </x:c>
      <x:c r="U111" s="60" t="n">
        <x:f>IF(T111="","",I111*T111)</x:f>
        <x:v>0.3800006816610735</x:v>
      </x:c>
    </x:row>
    <x:row r="112" ht="18" customHeight="1">
      <x:c r="A112" s="46" t="str">
        <x:v>LME_009</x:v>
      </x:c>
      <x:c r="B112" s="46" t="str">
        <x:v>Newfoundland-Labrador Shelf</x:v>
      </x:c>
      <x:c r="C112" s="46" t="str">
        <x:v>LME</x:v>
      </x:c>
      <x:c r="D112" s="58" t="n">
        <x:v>2019</x:v>
      </x:c>
      <x:c r="E112" s="46" t="str">
        <x:v>Sphyraena barracuda</x:v>
      </x:c>
      <x:c r="F112" s="46" t="str">
        <x:v>Great barracuda</x:v>
      </x:c>
      <x:c r="G112" s="46" t="str">
        <x:v>Large pelagics (&gt;=90 cm)</x:v>
      </x:c>
      <x:c r="H112" s="46" t="str">
        <x:v>Perch-likes</x:v>
      </x:c>
      <x:c r="I112" s="60" t="n">
        <x:v>4.989e-7</x:v>
      </x:c>
      <x:c r="J112" s="60" t="n">
        <x:v>0</x:v>
      </x:c>
      <x:c r="K112" s="60" t="n">
        <x:v>4.989e-7</x:v>
      </x:c>
      <x:c r="L112" s="60" t="n">
        <x:v>0</x:v>
      </x:c>
      <x:c r="M112" s="60" t="n">
        <x:v>4.989e-7</x:v>
      </x:c>
      <x:c r="N112" s="46" t="str">
        <x:v>sphyraena barracuda</x:v>
      </x:c>
      <x:c r="O112" s="62" t="n">
        <x:v>4.49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Sphyraena barracuda</x:v>
      </x:c>
      <x:c r="T112" s="62" t="n">
        <x:f>IF(O112="","",(1/'Metadata'!$B$5)^(O112-1))</x:f>
        <x:v>3090.295432513592</x:v>
      </x:c>
      <x:c r="U112" s="60" t="n">
        <x:f>IF(T112="","",I112*T112)</x:f>
        <x:v>0.0015417483912810311</x:v>
      </x:c>
    </x:row>
  </x:sheetData>
  <x:conditionalFormatting sqref="R2:R1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636bf05128143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17</x:v>
      </x:c>
      <x:c r="C2" s="64" t="n">
        <x:v>17</x:v>
      </x:c>
      <x:c r="D2" s="60" t="n">
        <x:v>54335.454490040705</x:v>
      </x:c>
      <x:c r="E2" s="60" t="n">
        <x:v>54335.454490040705</x:v>
      </x:c>
      <x:c r="F2" s="62" t="n">
        <x:v>0</x:v>
      </x:c>
      <x:c r="G2" s="66" t="n">
        <x:v>1</x:v>
      </x:c>
      <x:c r="H2" s="62" t="n">
        <x:f>IF(E2=0,"",I2/E2)</x:f>
        <x:v>1281.7566192710997</x:v>
      </x:c>
      <x:c r="I2" s="60" t="n">
        <x:f>SUMIF('Species'!$H$2:$H$112,A2,'Species'!$U$2:$U$112)</x:f>
        <x:v>69644828.45371327</x:v>
      </x:c>
      <x:c r="J2" s="62" t="n">
        <x:v>4.099879628789628</x:v>
      </x:c>
      <x:c r="K2" s="62" t="n">
        <x:f>IF(J2="","",(1/'Metadata'!$B$5)^(J2-1))</x:f>
        <x:v>1258.576530140644</x:v>
      </x:c>
      <x:c r="L2" s="60" t="n">
        <x:f>IF(E2=0,"",E2*K2)</x:f>
        <x:v>68385327.77569032</x:v>
      </x:c>
      <x:c r="M2" s="60" t="n">
        <x:f>I2-L2</x:f>
        <x:v>1259500.678022951</x:v>
      </x:c>
      <x:c r="N2" s="62" t="n">
        <x:f>IF(L2=0,"",I2/L2)</x:f>
        <x:v>1.0184177033142872</x:v>
      </x:c>
      <x:c r="O2" s="66" t="n">
        <x:f>IF(L2=0,"",M2/L2)</x:f>
        <x:v>0.018417703314287243</x:v>
      </x:c>
    </x:row>
    <x:row r="3" ht="18" customHeight="1">
      <x:c r="A3" s="46" t="str">
        <x:v>Crustaceans</x:v>
      </x:c>
      <x:c r="B3" s="64" t="n">
        <x:v>9</x:v>
      </x:c>
      <x:c r="C3" s="64" t="n">
        <x:v>9</x:v>
      </x:c>
      <x:c r="D3" s="60" t="n">
        <x:v>198938.11354446295</x:v>
      </x:c>
      <x:c r="E3" s="60" t="n">
        <x:v>198938.11354446295</x:v>
      </x:c>
      <x:c r="F3" s="62" t="n">
        <x:v>0</x:v>
      </x:c>
      <x:c r="G3" s="66" t="n">
        <x:v>1</x:v>
      </x:c>
      <x:c r="H3" s="62" t="n">
        <x:f>IF(E3=0,"",I3/E3)</x:f>
        <x:v>314.53422584951636</x:v>
      </x:c>
      <x:c r="I3" s="60" t="n">
        <x:f>SUMIF('Species'!$H$2:$H$112,A3,'Species'!$U$2:$U$112)</x:f>
        <x:v>62572845.53567084</x:v>
      </x:c>
      <x:c r="J3" s="62" t="n">
        <x:v>3.3220465289542496</x:v>
      </x:c>
      <x:c r="K3" s="62" t="n">
        <x:f>IF(J3="","",(1/'Metadata'!$B$5)^(J3-1))</x:f>
        <x:v>209.9164769533079</x:v>
      </x:c>
      <x:c r="L3" s="60" t="n">
        <x:f>IF(E3=0,"",E3*K3)</x:f>
        <x:v>41760387.92699081</x:v>
      </x:c>
      <x:c r="M3" s="60" t="n">
        <x:f>I3-L3</x:f>
        <x:v>20812457.608680032</x:v>
      </x:c>
      <x:c r="N3" s="62" t="n">
        <x:f>IF(L3=0,"",I3/L3)</x:f>
        <x:v>1.4983779759198168</x:v>
      </x:c>
      <x:c r="O3" s="66" t="n">
        <x:f>IF(L3=0,"",M3/L3)</x:f>
        <x:v>0.4983779759198168</x:v>
      </x:c>
    </x:row>
    <x:row r="4" ht="18" customHeight="1">
      <x:c r="A4" s="46" t="str">
        <x:v>Flatfishes</x:v>
      </x:c>
      <x:c r="B4" s="64" t="n">
        <x:v>7</x:v>
      </x:c>
      <x:c r="C4" s="64" t="n">
        <x:v>7</x:v>
      </x:c>
      <x:c r="D4" s="60" t="n">
        <x:v>36567.0714180516</x:v>
      </x:c>
      <x:c r="E4" s="60" t="n">
        <x:v>36567.0714180516</x:v>
      </x:c>
      <x:c r="F4" s="62" t="n">
        <x:v>0</x:v>
      </x:c>
      <x:c r="G4" s="66" t="n">
        <x:v>1</x:v>
      </x:c>
      <x:c r="H4" s="62" t="n">
        <x:f>IF(E4=0,"",I4/E4)</x:f>
        <x:v>1890.475264459271</x:v>
      </x:c>
      <x:c r="I4" s="60" t="n">
        <x:f>SUMIF('Species'!$H$2:$H$112,A4,'Species'!$U$2:$U$112)</x:f>
        <x:v>69129144.00954215</x:v>
      </x:c>
      <x:c r="J4" s="62" t="n">
        <x:v>4.185022559803227</x:v>
      </x:c>
      <x:c r="K4" s="62" t="n">
        <x:f>IF(J4="","",(1/'Metadata'!$B$5)^(J4-1))</x:f>
        <x:v>1531.166997412843</x:v>
      </x:c>
      <x:c r="L4" s="60" t="n">
        <x:f>IF(E4=0,"",E4*K4)</x:f>
        <x:v>55990292.94735906</x:v>
      </x:c>
      <x:c r="M4" s="60" t="n">
        <x:f>I4-L4</x:f>
        <x:v>13138851.06218309</x:v>
      </x:c>
      <x:c r="N4" s="62" t="n">
        <x:f>IF(L4=0,"",I4/L4)</x:f>
        <x:v>1.2346630169364532</x:v>
      </x:c>
      <x:c r="O4" s="66" t="n">
        <x:f>IF(L4=0,"",M4/L4)</x:f>
        <x:v>0.23466301693645308</x:v>
      </x:c>
    </x:row>
    <x:row r="5" ht="18" customHeight="1">
      <x:c r="A5" s="46" t="str">
        <x:v>Herring-likes</x:v>
      </x:c>
      <x:c r="B5" s="64" t="n">
        <x:v>3</x:v>
      </x:c>
      <x:c r="C5" s="64" t="n">
        <x:v>3</x:v>
      </x:c>
      <x:c r="D5" s="60" t="n">
        <x:v>11344.2640213873</x:v>
      </x:c>
      <x:c r="E5" s="60" t="n">
        <x:v>11344.2640213873</x:v>
      </x:c>
      <x:c r="F5" s="62" t="n">
        <x:v>0</x:v>
      </x:c>
      <x:c r="G5" s="66" t="n">
        <x:v>1</x:v>
      </x:c>
      <x:c r="H5" s="62" t="n">
        <x:f>IF(E5=0,"",I5/E5)</x:f>
        <x:v>239.85816688178113</x:v>
      </x:c>
      <x:c r="I5" s="60" t="n">
        <x:f>SUMIF('Species'!$H$2:$H$112,A5,'Species'!$U$2:$U$112)</x:f>
        <x:v>2721014.3727929005</x:v>
      </x:c>
      <x:c r="J5" s="62" t="n">
        <x:v>3.379925171009269</x:v>
      </x:c>
      <x:c r="K5" s="62" t="n">
        <x:f>IF(J5="","",(1/'Metadata'!$B$5)^(J5-1))</x:f>
        <x:v>239.8419635428516</x:v>
      </x:c>
      <x:c r="L5" s="60" t="n">
        <x:f>IF(E5=0,"",E5*K5)</x:f>
        <x:v>2720830.557838056</x:v>
      </x:c>
      <x:c r="M5" s="60" t="n">
        <x:f>I5-L5</x:f>
        <x:v>183.8149548447691</x:v>
      </x:c>
      <x:c r="N5" s="62" t="n">
        <x:f>IF(L5=0,"",I5/L5)</x:f>
        <x:v>1.0000675583984144</x:v>
      </x:c>
      <x:c r="O5" s="66" t="n">
        <x:f>IF(L5=0,"",M5/L5)</x:f>
        <x:v>0.00006755839841449979</x:v>
      </x:c>
    </x:row>
    <x:row r="6" ht="18" customHeight="1">
      <x:c r="A6" s="46" t="str">
        <x:v>Molluscs</x:v>
      </x:c>
      <x:c r="B6" s="64" t="n">
        <x:v>6</x:v>
      </x:c>
      <x:c r="C6" s="64" t="n">
        <x:v>6</x:v>
      </x:c>
      <x:c r="D6" s="60" t="n">
        <x:v>84156.7897566199</x:v>
      </x:c>
      <x:c r="E6" s="60" t="n">
        <x:v>84156.7897566199</x:v>
      </x:c>
      <x:c r="F6" s="62" t="n">
        <x:v>0</x:v>
      </x:c>
      <x:c r="G6" s="66" t="n">
        <x:v>1</x:v>
      </x:c>
      <x:c r="H6" s="62" t="n">
        <x:f>IF(E6=0,"",I6/E6)</x:f>
        <x:v>14.612044631571262</x:v>
      </x:c>
      <x:c r="I6" s="60" t="n">
        <x:f>SUMIF('Species'!$H$2:$H$112,A6,'Species'!$U$2:$U$112)</x:f>
        <x:v>1229702.7679734891</x:v>
      </x:c>
      <x:c r="J6" s="62" t="n">
        <x:v>2.0971846010055635</x:v>
      </x:c>
      <x:c r="K6" s="62" t="n">
        <x:f>IF(J6="","",(1/'Metadata'!$B$5)^(J6-1))</x:f>
        <x:v>12.507905776870876</x:v>
      </x:c>
      <x:c r="L6" s="60" t="n">
        <x:f>IF(E6=0,"",E6*K6)</x:f>
        <x:v>1052625.1967597338</x:v>
      </x:c>
      <x:c r="M6" s="60" t="n">
        <x:f>I6-L6</x:f>
        <x:v>177077.5712137553</x:v>
      </x:c>
      <x:c r="N6" s="62" t="n">
        <x:f>IF(L6=0,"",I6/L6)</x:f>
        <x:v>1.1682247126126641</x:v>
      </x:c>
      <x:c r="O6" s="66" t="n">
        <x:f>IF(L6=0,"",M6/L6)</x:f>
        <x:v>0.16822471261266417</x:v>
      </x:c>
    </x:row>
    <x:row r="7" ht="18" customHeight="1">
      <x:c r="A7" s="46" t="str">
        <x:v>Other fishes &amp; inverts</x:v>
      </x:c>
      <x:c r="B7" s="64" t="n">
        <x:v>22</x:v>
      </x:c>
      <x:c r="C7" s="64" t="n">
        <x:v>22</x:v>
      </x:c>
      <x:c r="D7" s="60" t="n">
        <x:v>24468.44695543669</x:v>
      </x:c>
      <x:c r="E7" s="60" t="n">
        <x:v>24468.44695543669</x:v>
      </x:c>
      <x:c r="F7" s="62" t="n">
        <x:v>0</x:v>
      </x:c>
      <x:c r="G7" s="66" t="n">
        <x:v>1</x:v>
      </x:c>
      <x:c r="H7" s="62" t="n">
        <x:f>IF(E7=0,"",I7/E7)</x:f>
        <x:v>196.4041247358553</x:v>
      </x:c>
      <x:c r="I7" s="60" t="n">
        <x:f>SUMIF('Species'!$H$2:$H$112,A7,'Species'!$U$2:$U$112)</x:f>
        <x:v>4805703.907928247</x:v>
      </x:c>
      <x:c r="J7" s="62" t="n">
        <x:v>3.221365771004841</x:v>
      </x:c>
      <x:c r="K7" s="62" t="n">
        <x:f>IF(J7="","",(1/'Metadata'!$B$5)^(J7-1))</x:f>
        <x:v>166.48141980036706</x:v>
      </x:c>
      <x:c r="L7" s="60" t="n">
        <x:f>IF(E7=0,"",E7*K7)</x:f>
        <x:v>4073541.789451069</x:v>
      </x:c>
      <x:c r="M7" s="60" t="n">
        <x:f>I7-L7</x:f>
        <x:v>732162.1184771778</x:v>
      </x:c>
      <x:c r="N7" s="62" t="n">
        <x:f>IF(L7=0,"",I7/L7)</x:f>
        <x:v>1.1797360028006096</x:v>
      </x:c>
      <x:c r="O7" s="66" t="n">
        <x:f>IF(L7=0,"",M7/L7)</x:f>
        <x:v>0.17973600280060964</x:v>
      </x:c>
    </x:row>
    <x:row r="8" ht="18" customHeight="1">
      <x:c r="A8" s="46" t="str">
        <x:v>Perch-likes</x:v>
      </x:c>
      <x:c r="B8" s="64" t="n">
        <x:v>15</x:v>
      </x:c>
      <x:c r="C8" s="64" t="n">
        <x:v>15</x:v>
      </x:c>
      <x:c r="D8" s="60" t="n">
        <x:v>1844.120792624</x:v>
      </x:c>
      <x:c r="E8" s="60" t="n">
        <x:v>1844.120792624</x:v>
      </x:c>
      <x:c r="F8" s="62" t="n">
        <x:v>0</x:v>
      </x:c>
      <x:c r="G8" s="66" t="n">
        <x:v>1</x:v>
      </x:c>
      <x:c r="H8" s="62" t="n">
        <x:f>IF(E8=0,"",I8/E8)</x:f>
        <x:v>534.7104405759342</x:v>
      </x:c>
      <x:c r="I8" s="60" t="n">
        <x:f>SUMIF('Species'!$H$2:$H$112,A8,'Species'!$U$2:$U$112)</x:f>
        <x:v>986070.64149922</x:v>
      </x:c>
      <x:c r="J8" s="62" t="n">
        <x:v>3.5834704184250734</x:v>
      </x:c>
      <x:c r="K8" s="62" t="n">
        <x:f>IF(J8="","",(1/'Metadata'!$B$5)^(J8-1))</x:f>
        <x:v>383.2396354906417</x:v>
      </x:c>
      <x:c r="L8" s="60" t="n">
        <x:f>IF(E8=0,"",E8*K8)</x:f>
        <x:v>706740.180365935</x:v>
      </x:c>
      <x:c r="M8" s="60" t="n">
        <x:f>I8-L8</x:f>
        <x:v>279330.4611332851</x:v>
      </x:c>
      <x:c r="N8" s="62" t="n">
        <x:f>IF(L8=0,"",I8/L8)</x:f>
        <x:v>1.3952378383080664</x:v>
      </x:c>
      <x:c r="O8" s="66" t="n">
        <x:f>IF(L8=0,"",M8/L8)</x:f>
        <x:v>0.39523783830806636</x:v>
      </x:c>
    </x:row>
    <x:row r="9" ht="18" customHeight="1">
      <x:c r="A9" s="46" t="str">
        <x:v>Salmon, smelts, etc</x:v>
      </x:c>
      <x:c r="B9" s="64" t="n">
        <x:v>8</x:v>
      </x:c>
      <x:c r="C9" s="64" t="n">
        <x:v>8</x:v>
      </x:c>
      <x:c r="D9" s="60" t="n">
        <x:v>32416.7718722394</x:v>
      </x:c>
      <x:c r="E9" s="60" t="n">
        <x:v>32416.7718722394</x:v>
      </x:c>
      <x:c r="F9" s="62" t="n">
        <x:v>0</x:v>
      </x:c>
      <x:c r="G9" s="66" t="n">
        <x:v>1</x:v>
      </x:c>
      <x:c r="H9" s="62" t="n">
        <x:f>IF(E9=0,"",I9/E9)</x:f>
        <x:v>665.9100349367753</x:v>
      </x:c>
      <x:c r="I9" s="60" t="n">
        <x:f>SUMIF('Species'!$H$2:$H$112,A9,'Species'!$U$2:$U$112)</x:f>
        <x:v>21586653.689980414</x:v>
      </x:c>
      <x:c r="J9" s="62" t="n">
        <x:v>3.431154764886374</x:v>
      </x:c>
      <x:c r="K9" s="62" t="n">
        <x:f>IF(J9="","",(1/'Metadata'!$B$5)^(J9-1))</x:f>
        <x:v>269.87009683513344</x:v>
      </x:c>
      <x:c r="L9" s="60" t="n">
        <x:f>IF(E9=0,"",E9*K9)</x:f>
        <x:v>8748317.364243677</x:v>
      </x:c>
      <x:c r="M9" s="60" t="n">
        <x:f>I9-L9</x:f>
        <x:v>12838336.325736737</x:v>
      </x:c>
      <x:c r="N9" s="62" t="n">
        <x:f>IF(L9=0,"",I9/L9)</x:f>
        <x:v>2.4675206432507673</x:v>
      </x:c>
      <x:c r="O9" s="66" t="n">
        <x:f>IF(L9=0,"",M9/L9)</x:f>
        <x:v>1.4675206432507673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61318.9033440854</x:v>
      </x:c>
      <x:c r="E10" s="60" t="n">
        <x:v>61318.9033440854</x:v>
      </x:c>
      <x:c r="F10" s="62" t="n">
        <x:v>0</x:v>
      </x:c>
      <x:c r="G10" s="66" t="n">
        <x:v>1</x:v>
      </x:c>
      <x:c r="H10" s="62" t="n">
        <x:f>IF(E10=0,"",I10/E10)</x:f>
        <x:v>616.0262959659838</x:v>
      </x:c>
      <x:c r="I10" s="60" t="n">
        <x:f>SUMIF('Species'!$H$2:$H$112,A10,'Species'!$U$2:$U$112)</x:f>
        <x:v>37774056.8997531</x:v>
      </x:c>
      <x:c r="J10" s="62" t="n">
        <x:v>3.7894828924382464</x:v>
      </x:c>
      <x:c r="K10" s="62" t="n">
        <x:f>IF(J10="","",(1/'Metadata'!$B$5)^(J10-1))</x:f>
        <x:v>615.8612688664917</x:v>
      </x:c>
      <x:c r="L10" s="60" t="n">
        <x:f>IF(E10=0,"",E10*K10)</x:f>
        <x:v>37763937.6189902</x:v>
      </x:c>
      <x:c r="M10" s="60" t="n">
        <x:f>I10-L10</x:f>
        <x:v>10119.280762903392</x:v>
      </x:c>
      <x:c r="N10" s="62" t="n">
        <x:f>IF(L10=0,"",I10/L10)</x:f>
        <x:v>1.0002679614839163</x:v>
      </x:c>
      <x:c r="O10" s="66" t="n">
        <x:f>IF(L10=0,"",M10/L10)</x:f>
        <x:v>0.0002679614839161992</x:v>
      </x:c>
    </x:row>
    <x:row r="11" ht="18" customHeight="1">
      <x:c r="A11" s="46" t="str">
        <x:v>Sharks &amp; rays</x:v>
      </x:c>
      <x:c r="B11" s="64" t="n">
        <x:v>9</x:v>
      </x:c>
      <x:c r="C11" s="64" t="n">
        <x:v>9</x:v>
      </x:c>
      <x:c r="D11" s="60" t="n">
        <x:v>1189.3979373784</x:v>
      </x:c>
      <x:c r="E11" s="60" t="n">
        <x:v>1189.3979373784</x:v>
      </x:c>
      <x:c r="F11" s="62" t="n">
        <x:v>0</x:v>
      </x:c>
      <x:c r="G11" s="66" t="n">
        <x:v>1</x:v>
      </x:c>
      <x:c r="H11" s="62" t="n">
        <x:f>IF(E11=0,"",I11/E11)</x:f>
        <x:v>1285.6161421138036</x:v>
      </x:c>
      <x:c r="I11" s="60" t="n">
        <x:f>SUMIF('Species'!$H$2:$H$112,A11,'Species'!$U$2:$U$112)</x:f>
        <x:v>1529109.187690534</x:v>
      </x:c>
      <x:c r="J11" s="62" t="n">
        <x:v>4.059042119713747</x:v>
      </x:c>
      <x:c r="K11" s="62" t="n">
        <x:f>IF(J11="","",(1/'Metadata'!$B$5)^(J11-1))</x:f>
        <x:v>1145.624043517871</x:v>
      </x:c>
      <x:c r="L11" s="60" t="n">
        <x:f>IF(E11=0,"",E11*K11)</x:f>
        <x:v>1362602.8743712583</x:v>
      </x:c>
      <x:c r="M11" s="60" t="n">
        <x:f>I11-L11</x:f>
        <x:v>166506.31331927562</x:v>
      </x:c>
      <x:c r="N11" s="62" t="n">
        <x:f>IF(L11=0,"",I11/L11)</x:f>
        <x:v>1.1221972420952848</x:v>
      </x:c>
      <x:c r="O11" s="66" t="n">
        <x:f>IF(L11=0,"",M11/L11)</x:f>
        <x:v>0.12219724209528482</x:v>
      </x:c>
    </x:row>
    <x:row r="12" ht="18" customHeight="1">
      <x:c r="A12" s="46" t="str">
        <x:v>Tuna &amp; billfishes</x:v>
      </x:c>
      <x:c r="B12" s="64" t="n">
        <x:v>8</x:v>
      </x:c>
      <x:c r="C12" s="64" t="n">
        <x:v>8</x:v>
      </x:c>
      <x:c r="D12" s="60" t="n">
        <x:v>110.65992868170001</x:v>
      </x:c>
      <x:c r="E12" s="60" t="n">
        <x:v>110.65992868170001</x:v>
      </x:c>
      <x:c r="F12" s="62" t="n">
        <x:v>0</x:v>
      </x:c>
      <x:c r="G12" s="66" t="n">
        <x:v>1</x:v>
      </x:c>
      <x:c r="H12" s="62" t="n">
        <x:f>IF(E12=0,"",I12/E12)</x:f>
        <x:v>3143.1463433624685</x:v>
      </x:c>
      <x:c r="I12" s="60" t="n">
        <x:f>SUMIF('Species'!$H$2:$H$112,A12,'Species'!$U$2:$U$112)</x:f>
        <x:v>347820.35019263695</x:v>
      </x:c>
      <x:c r="J12" s="62" t="n">
        <x:v>4.493744997902719</x:v>
      </x:c>
      <x:c r="K12" s="62" t="n">
        <x:f>IF(J12="","",(1/'Metadata'!$B$5)^(J12-1))</x:f>
        <x:v>3117.058821854687</x:v>
      </x:c>
      <x:c r="L12" s="60" t="n">
        <x:f>IF(E12=0,"",E12*K12)</x:f>
        <x:v>344933.5069231035</x:v>
      </x:c>
      <x:c r="M12" s="60" t="n">
        <x:f>I12-L12</x:f>
        <x:v>2886.8432695334777</x:v>
      </x:c>
      <x:c r="N12" s="62" t="n">
        <x:f>IF(L12=0,"",I12/L12)</x:f>
        <x:v>1.0083692746908959</x:v>
      </x:c>
      <x:c r="O12" s="66" t="n">
        <x:f>IF(L12=0,"",M12/L12)</x:f>
        <x:v>0.008369274690895849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b1e6592cc4345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267.5489804552</x:v>
      </x:c>
      <x:c r="E2" s="60" t="n">
        <x:v>267.5489804552</x:v>
      </x:c>
      <x:c r="F2" s="62" t="n">
        <x:v>0</x:v>
      </x:c>
      <x:c r="G2" s="66" t="n">
        <x:v>1</x:v>
      </x:c>
      <x:c r="H2" s="62" t="n">
        <x:f>IF(E2=0,"",I2/E2)</x:f>
        <x:v>1179.1013453084042</x:v>
      </x:c>
      <x:c r="I2" s="60" t="n">
        <x:f>SUMIF('Species'!$G$2:$G$112,A2,'Species'!$U$2:$U$112)</x:f>
        <x:v>315467.3627906183</x:v>
      </x:c>
      <x:c r="J2" s="62" t="n">
        <x:v>4.036955380215779</x:v>
      </x:c>
      <x:c r="K2" s="62" t="n">
        <x:f>IF(J2="","",(1/'Metadata'!$B$5)^(J2-1))</x:f>
        <x:v>1088.8182214770563</x:v>
      </x:c>
      <x:c r="L2" s="60" t="n">
        <x:f>IF(E2=0,"",E2*K2)</x:f>
        <x:v>291312.2050572306</x:v>
      </x:c>
      <x:c r="M2" s="60" t="n">
        <x:f>I2-L2</x:f>
        <x:v>24155.15773338772</x:v>
      </x:c>
      <x:c r="N2" s="62" t="n">
        <x:f>IF(L2=0,"",I2/L2)</x:f>
        <x:v>1.0829184542015404</x:v>
      </x:c>
      <x:c r="O2" s="66" t="n">
        <x:f>IF(L2=0,"",M2/L2)</x:f>
        <x:v>0.0829184542015404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33.9163761684</x:v>
      </x:c>
      <x:c r="E3" s="60" t="n">
        <x:v>33.9163761684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SUMIF('Species'!$G$2:$G$112,A3,'Species'!$U$2:$U$112)</x:f>
        <x:v>9781.589734155803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9781.589734155803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0.0049572568</x:v>
      </x:c>
      <x:c r="E4" s="60" t="n">
        <x:v>0.0049572568</x:v>
      </x:c>
      <x:c r="F4" s="62" t="n">
        <x:v>0</x:v>
      </x:c>
      <x:c r="G4" s="66" t="n">
        <x:v>1</x:v>
      </x:c>
      <x:c r="H4" s="62" t="n">
        <x:f>IF(E4=0,"",I4/E4)</x:f>
        <x:v>489.7788193684462</x:v>
      </x:c>
      <x:c r="I4" s="60" t="n">
        <x:f>SUMIF('Species'!$G$2:$G$112,A4,'Species'!$U$2:$U$112)</x:f>
        <x:v>2.4279593828102013</x:v>
      </x:c>
      <x:c r="J4" s="62" t="n">
        <x:v>3.6899999999999995</x:v>
      </x:c>
      <x:c r="K4" s="62" t="n">
        <x:f>IF(J4="","",(1/'Metadata'!$B$5)^(J4-1))</x:f>
        <x:v>489.7788193684456</x:v>
      </x:c>
      <x:c r="L4" s="60" t="n">
        <x:f>IF(E4=0,"",E4*K4)</x:f>
        <x:v>2.4279593828101986</x:v>
      </x:c>
      <x:c r="M4" s="60" t="n">
        <x:f>I4-L4</x:f>
        <x:v>2.6645352591003757e-15</x:v>
      </x:c>
      <x:c r="N4" s="62" t="n">
        <x:f>IF(L4=0,"",I4/L4)</x:f>
        <x:v>1.000000000000001</x:v>
      </x:c>
      <x:c r="O4" s="66" t="n">
        <x:f>IF(L4=0,"",M4/L4)</x:f>
        <x:v>1.0974381523698952e-15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85.9040196703</x:v>
      </x:c>
      <x:c r="E5" s="60" t="n">
        <x:v>85.9040196703</x:v>
      </x:c>
      <x:c r="F5" s="62" t="n">
        <x:v>0</x:v>
      </x:c>
      <x:c r="G5" s="66" t="n">
        <x:v>1</x:v>
      </x:c>
      <x:c r="H5" s="62" t="n">
        <x:f>IF(E5=0,"",I5/E5)</x:f>
        <x:v>360.27518810203804</x:v>
      </x:c>
      <x:c r="I5" s="60" t="n">
        <x:f>SUMIF('Species'!$G$2:$G$112,A5,'Species'!$U$2:$U$112)</x:f>
        <x:v>30949.08684543851</x:v>
      </x:c>
      <x:c r="J5" s="62" t="n">
        <x:v>3.549925510632069</x:v>
      </x:c>
      <x:c r="K5" s="62" t="n">
        <x:f>IF(J5="","",(1/'Metadata'!$B$5)^(J5-1))</x:f>
        <x:v>354.7525375310293</x:v>
      </x:c>
      <x:c r="L5" s="60" t="n">
        <x:f>IF(E5=0,"",E5*K5)</x:f>
        <x:v>30474.66896215438</x:v>
      </x:c>
      <x:c r="M5" s="60" t="n">
        <x:f>I5-L5</x:f>
        <x:v>474.41788328412804</x:v>
      </x:c>
      <x:c r="N5" s="62" t="n">
        <x:f>IF(L5=0,"",I5/L5)</x:f>
        <x:v>1.0155676140033971</x:v>
      </x:c>
      <x:c r="O5" s="66" t="n">
        <x:f>IF(L5=0,"",M5/L5)</x:f>
        <x:v>0.015567614003397182</x:v>
      </x:c>
    </x:row>
    <x:row r="6" ht="18" customHeight="1">
      <x:c r="A6" s="46" t="str">
        <x:v>Large benthopelagics (&gt;=90 cm)</x:v>
      </x:c>
      <x:c r="B6" s="64" t="n">
        <x:v>7</x:v>
      </x:c>
      <x:c r="C6" s="64" t="n">
        <x:v>7</x:v>
      </x:c>
      <x:c r="D6" s="60" t="n">
        <x:v>58889.131316878396</x:v>
      </x:c>
      <x:c r="E6" s="60" t="n">
        <x:v>58889.131316878396</x:v>
      </x:c>
      <x:c r="F6" s="62" t="n">
        <x:v>0</x:v>
      </x:c>
      <x:c r="G6" s="66" t="n">
        <x:v>1</x:v>
      </x:c>
      <x:c r="H6" s="62" t="n">
        <x:f>IF(E6=0,"",I6/E6)</x:f>
        <x:v>1375.7212295170664</x:v>
      </x:c>
      <x:c r="I6" s="60" t="n">
        <x:f>SUMIF('Species'!$G$2:$G$112,A6,'Species'!$U$2:$U$112)</x:f>
        <x:v>81015028.14044793</x:v>
      </x:c>
      <x:c r="J6" s="62" t="n">
        <x:v>4.119147239259997</x:v>
      </x:c>
      <x:c r="K6" s="62" t="n">
        <x:f>IF(J6="","",(1/'Metadata'!$B$5)^(J6-1))</x:f>
        <x:v>1315.6708096797136</x:v>
      </x:c>
      <x:c r="L6" s="60" t="n">
        <x:f>IF(E6=0,"",E6*K6)</x:f>
        <x:v>77478711.08101238</x:v>
      </x:c>
      <x:c r="M6" s="60" t="n">
        <x:f>I6-L6</x:f>
        <x:v>3536317.0594355464</x:v>
      </x:c>
      <x:c r="N6" s="62" t="n">
        <x:f>IF(L6=0,"",I6/L6)</x:f>
        <x:v>1.0456424353231424</x:v>
      </x:c>
      <x:c r="O6" s="66" t="n">
        <x:f>IF(L6=0,"",M6/L6)</x:f>
        <x:v>0.04564243532314243</x:v>
      </x:c>
    </x:row>
    <x:row r="7" ht="18" customHeight="1">
      <x:c r="A7" s="46" t="str">
        <x:v>Large demersals (&gt;=90 cm)</x:v>
      </x:c>
      <x:c r="B7" s="64" t="n">
        <x:v>13</x:v>
      </x:c>
      <x:c r="C7" s="64" t="n">
        <x:v>13</x:v>
      </x:c>
      <x:c r="D7" s="60" t="n">
        <x:v>1826.1607666757002</x:v>
      </x:c>
      <x:c r="E7" s="60" t="n">
        <x:v>1826.1607666757002</x:v>
      </x:c>
      <x:c r="F7" s="62" t="n">
        <x:v>0</x:v>
      </x:c>
      <x:c r="G7" s="66" t="n">
        <x:v>1</x:v>
      </x:c>
      <x:c r="H7" s="62" t="n">
        <x:f>IF(E7=0,"",I7/E7)</x:f>
        <x:v>1246.1285932938906</x:v>
      </x:c>
      <x:c r="I7" s="60" t="n">
        <x:f>SUMIF('Species'!$G$2:$G$112,A7,'Species'!$U$2:$U$112)</x:f>
        <x:v>2275631.1473060832</x:v>
      </x:c>
      <x:c r="J7" s="62" t="n">
        <x:v>3.9182843844083584</x:v>
      </x:c>
      <x:c r="K7" s="62" t="n">
        <x:f>IF(J7="","",(1/'Metadata'!$B$5)^(J7-1))</x:f>
        <x:v>828.4844937646054</x:v>
      </x:c>
      <x:c r="L7" s="60" t="n">
        <x:f>IF(E7=0,"",E7*K7)</x:f>
        <x:v>1512945.8783121011</x:v>
      </x:c>
      <x:c r="M7" s="60" t="n">
        <x:f>I7-L7</x:f>
        <x:v>762685.2689939821</x:v>
      </x:c>
      <x:c r="N7" s="62" t="n">
        <x:f>IF(L7=0,"",I7/L7)</x:f>
        <x:v>1.504106115048122</x:v>
      </x:c>
      <x:c r="O7" s="66" t="n">
        <x:f>IF(L7=0,"",M7/L7)</x:f>
        <x:v>0.5041061150481221</x:v>
      </x:c>
    </x:row>
    <x:row r="8" ht="18" customHeight="1">
      <x:c r="A8" s="46" t="str">
        <x:v>Large flatfishes (&gt;=90 cm)</x:v>
      </x:c>
      <x:c r="B8" s="64" t="n">
        <x:v>1</x:v>
      </x:c>
      <x:c r="C8" s="64" t="n">
        <x:v>1</x:v>
      </x:c>
      <x:c r="D8" s="60" t="n">
        <x:v>4039.2908569585</x:v>
      </x:c>
      <x:c r="E8" s="60" t="n">
        <x:v>4039.2908569585</x:v>
      </x:c>
      <x:c r="F8" s="62" t="n">
        <x:v>0</x:v>
      </x:c>
      <x:c r="G8" s="66" t="n">
        <x:v>1</x:v>
      </x:c>
      <x:c r="H8" s="62" t="n">
        <x:f>IF(E8=0,"",I8/E8)</x:f>
        <x:v>1000</x:v>
      </x:c>
      <x:c r="I8" s="60" t="n">
        <x:f>SUMIF('Species'!$G$2:$G$112,A8,'Species'!$U$2:$U$112)</x:f>
        <x:v>4039290.8569585</x:v>
      </x:c>
      <x:c r="J8" s="62" t="n">
        <x:v>4</x:v>
      </x:c>
      <x:c r="K8" s="62" t="n">
        <x:f>IF(J8="","",(1/'Metadata'!$B$5)^(J8-1))</x:f>
        <x:v>1000</x:v>
      </x:c>
      <x:c r="L8" s="60" t="n">
        <x:f>IF(E8=0,"",E8*K8)</x:f>
        <x:v>4039290.8569585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Large pelagics (&gt;=90 cm)</x:v>
      </x:c>
      <x:c r="B9" s="64" t="n">
        <x:v>9</x:v>
      </x:c>
      <x:c r="C9" s="64" t="n">
        <x:v>9</x:v>
      </x:c>
      <x:c r="D9" s="60" t="n">
        <x:v>110.7076849273</x:v>
      </x:c>
      <x:c r="E9" s="60" t="n">
        <x:v>110.7076849273</x:v>
      </x:c>
      <x:c r="F9" s="62" t="n">
        <x:v>0</x:v>
      </x:c>
      <x:c r="G9" s="66" t="n">
        <x:v>1</x:v>
      </x:c>
      <x:c r="H9" s="62" t="n">
        <x:f>IF(E9=0,"",I9/E9)</x:f>
        <x:v>3142.7553477231286</x:v>
      </x:c>
      <x:c r="I9" s="60" t="n">
        <x:f>SUMIF('Species'!$G$2:$G$112,A9,'Species'!$U$2:$U$112)</x:f>
        <x:v>347927.16883931926</x:v>
      </x:c>
      <x:c r="J9" s="62" t="n">
        <x:v>4.493684249704606</x:v>
      </x:c>
      <x:c r="K9" s="62" t="n">
        <x:f>IF(J9="","",(1/'Metadata'!$B$5)^(J9-1))</x:f>
        <x:v>3116.6228447193384</x:v>
      </x:c>
      <x:c r="L9" s="60" t="n">
        <x:f>IF(E9=0,"",E9*K9)</x:f>
        <x:v>345034.09993041394</x:v>
      </x:c>
      <x:c r="M9" s="60" t="n">
        <x:f>I9-L9</x:f>
        <x:v>2893.0689089053194</x:v>
      </x:c>
      <x:c r="N9" s="62" t="n">
        <x:f>IF(L9=0,"",I9/L9)</x:f>
        <x:v>1.0083848782178015</x:v>
      </x:c>
      <x:c r="O9" s="66" t="n">
        <x:f>IF(L9=0,"",M9/L9)</x:f>
        <x:v>0.008384878217801633</x:v>
      </x:c>
    </x:row>
    <x:row r="10" ht="18" customHeight="1">
      <x:c r="A10" s="46" t="str">
        <x:v>Large rays (&gt;=90 cm)</x:v>
      </x:c>
      <x:c r="B10" s="64" t="n">
        <x:v>1</x:v>
      </x:c>
      <x:c r="C10" s="64" t="n">
        <x:v>1</x:v>
      </x:c>
      <x:c r="D10" s="60" t="n">
        <x:v>120.7214059783</x:v>
      </x:c>
      <x:c r="E10" s="60" t="n">
        <x:v>120.7214059783</x:v>
      </x:c>
      <x:c r="F10" s="62" t="n">
        <x:v>0</x:v>
      </x:c>
      <x:c r="G10" s="66" t="n">
        <x:v>1</x:v>
      </x:c>
      <x:c r="H10" s="62" t="n">
        <x:f>IF(E10=0,"",I10/E10)</x:f>
        <x:v>660.6934480075956</x:v>
      </x:c>
      <x:c r="I10" s="60" t="n">
        <x:f>SUMIF('Species'!$G$2:$G$112,A10,'Species'!$U$2:$U$112)</x:f>
        <x:v>79759.8419641278</x:v>
      </x:c>
      <x:c r="J10" s="62" t="n">
        <x:v>3.82</x:v>
      </x:c>
      <x:c r="K10" s="62" t="n">
        <x:f>IF(J10="","",(1/'Metadata'!$B$5)^(J10-1))</x:f>
        <x:v>660.6934480075957</x:v>
      </x:c>
      <x:c r="L10" s="60" t="n">
        <x:f>IF(E10=0,"",E10*K10)</x:f>
        <x:v>79759.8419641278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Large reef assoc. fish (&gt;=90 cm)</x:v>
      </x:c>
      <x:c r="B11" s="64" t="n">
        <x:v>4</x:v>
      </x:c>
      <x:c r="C11" s="64" t="n">
        <x:v>4</x:v>
      </x:c>
      <x:c r="D11" s="60" t="n">
        <x:v>60944.306241924394</x:v>
      </x:c>
      <x:c r="E11" s="60" t="n">
        <x:v>60944.306241924394</x:v>
      </x:c>
      <x:c r="F11" s="62" t="n">
        <x:v>0</x:v>
      </x:c>
      <x:c r="G11" s="66" t="n">
        <x:v>1</x:v>
      </x:c>
      <x:c r="H11" s="62" t="n">
        <x:f>IF(E11=0,"",I11/E11)</x:f>
        <x:v>615.8156507608535</x:v>
      </x:c>
      <x:c r="I11" s="60" t="n">
        <x:f>SUMIF('Species'!$G$2:$G$112,A11,'Species'!$U$2:$U$112)</x:f>
        <x:v>37530457.60853942</x:v>
      </x:c>
      <x:c r="J11" s="62" t="n">
        <x:v>3.7890717343972193</x:v>
      </x:c>
      <x:c r="K11" s="62" t="n">
        <x:f>IF(J11="","",(1/'Metadata'!$B$5)^(J11-1))</x:f>
        <x:v>615.2784926675442</x:v>
      </x:c>
      <x:c r="L11" s="60" t="n">
        <x:f>IF(E11=0,"",E11*K11)</x:f>
        <x:v>37497720.88120045</x:v>
      </x:c>
      <x:c r="M11" s="60" t="n">
        <x:f>I11-L11</x:f>
        <x:v>32736.727338969707</x:v>
      </x:c>
      <x:c r="N11" s="62" t="n">
        <x:f>IF(L11=0,"",I11/L11)</x:f>
        <x:v>1.0008730324555641</x:v>
      </x:c>
      <x:c r="O11" s="66" t="n">
        <x:f>IF(L11=0,"",M11/L11)</x:f>
        <x:v>0.0008730324555640481</x:v>
      </x:c>
    </x:row>
    <x:row r="12" ht="18" customHeight="1">
      <x:c r="A12" s="46" t="str">
        <x:v>Large sharks (&gt;=90 cm)</x:v>
      </x:c>
      <x:c r="B12" s="64" t="n">
        <x:v>7</x:v>
      </x:c>
      <x:c r="C12" s="64" t="n">
        <x:v>7</x:v>
      </x:c>
      <x:c r="D12" s="60" t="n">
        <x:v>736.3614495224</x:v>
      </x:c>
      <x:c r="E12" s="60" t="n">
        <x:v>736.3614495224</x:v>
      </x:c>
      <x:c r="F12" s="62" t="n">
        <x:v>0</x:v>
      </x:c>
      <x:c r="G12" s="66" t="n">
        <x:v>1</x:v>
      </x:c>
      <x:c r="H12" s="62" t="n">
        <x:f>IF(E12=0,"",I12/E12)</x:f>
        <x:v>1656.0392736079211</x:v>
      </x:c>
      <x:c r="I12" s="60" t="n">
        <x:f>SUMIF('Species'!$G$2:$G$112,A12,'Species'!$U$2:$U$112)</x:f>
        <x:v>1219443.4799799512</x:v>
      </x:c>
      <x:c r="J12" s="62" t="n">
        <x:v>4.197083703494572</x:v>
      </x:c>
      <x:c r="K12" s="62" t="n">
        <x:f>IF(J12="","",(1/'Metadata'!$B$5)^(J12-1))</x:f>
        <x:v>1574.2862543747553</x:v>
      </x:c>
      <x:c r="L12" s="60" t="n">
        <x:f>IF(E12=0,"",E12*K12)</x:f>
        <x:v>1159243.7082345847</x:v>
      </x:c>
      <x:c r="M12" s="60" t="n">
        <x:f>I12-L12</x:f>
        <x:v>60199.77174536651</x:v>
      </x:c>
      <x:c r="N12" s="62" t="n">
        <x:f>IF(L12=0,"",I12/L12)</x:f>
        <x:v>1.0519302121872587</x:v>
      </x:c>
      <x:c r="O12" s="66" t="n">
        <x:f>IF(L12=0,"",M12/L12)</x:f>
        <x:v>0.05193021218725862</x:v>
      </x:c>
    </x:row>
    <x:row r="13" ht="18" customHeight="1">
      <x:c r="A13" s="46" t="str">
        <x:v>Lobsters, crabs</x:v>
      </x:c>
      <x:c r="B13" s="64" t="n">
        <x:v>6</x:v>
      </x:c>
      <x:c r="C13" s="64" t="n">
        <x:v>6</x:v>
      </x:c>
      <x:c r="D13" s="60" t="n">
        <x:v>142771.09240265752</x:v>
      </x:c>
      <x:c r="E13" s="60" t="n">
        <x:v>142771.09240265752</x:v>
      </x:c>
      <x:c r="F13" s="62" t="n">
        <x:v>0</x:v>
      </x:c>
      <x:c r="G13" s="66" t="n">
        <x:v>1</x:v>
      </x:c>
      <x:c r="H13" s="62" t="n">
        <x:f>IF(E13=0,"",I13/E13)</x:f>
        <x:v>422.4330254662115</x:v>
      </x:c>
      <x:c r="I13" s="60" t="n">
        <x:f>SUMIF('Species'!$G$2:$G$112,A13,'Species'!$U$2:$U$112)</x:f>
        <x:v>60311224.51277066</x:v>
      </x:c>
      <x:c r="J13" s="62" t="n">
        <x:v>3.605000956859004</x:v>
      </x:c>
      <x:c r="K13" s="62" t="n">
        <x:f>IF(J13="","",(1/'Metadata'!$B$5)^(J13-1))</x:f>
        <x:v>402.71792161245196</x:v>
      </x:c>
      <x:c r="L13" s="60" t="n">
        <x:f>IF(E13=0,"",E13*K13)</x:f>
        <x:v>57496477.59873757</x:v>
      </x:c>
      <x:c r="M13" s="60" t="n">
        <x:f>I13-L13</x:f>
        <x:v>2814746.9140330926</x:v>
      </x:c>
      <x:c r="N13" s="62" t="n">
        <x:f>IF(L13=0,"",I13/L13)</x:f>
        <x:v>1.0489551191931608</x:v>
      </x:c>
      <x:c r="O13" s="66" t="n">
        <x:f>IF(L13=0,"",M13/L13)</x:f>
        <x:v>0.048955119193160715</x:v>
      </x:c>
    </x:row>
    <x:row r="14" ht="18" customHeight="1">
      <x:c r="A14" s="46" t="str">
        <x:v>Medium bathydemersals (30 - 89 cm)</x:v>
      </x:c>
      <x:c r="B14" s="64" t="n">
        <x:v>4</x:v>
      </x:c>
      <x:c r="C14" s="64" t="n">
        <x:v>4</x:v>
      </x:c>
      <x:c r="D14" s="60" t="n">
        <x:v>340.45557078480005</x:v>
      </x:c>
      <x:c r="E14" s="60" t="n">
        <x:v>340.45557078480005</x:v>
      </x:c>
      <x:c r="F14" s="62" t="n">
        <x:v>0</x:v>
      </x:c>
      <x:c r="G14" s="66" t="n">
        <x:v>1</x:v>
      </x:c>
      <x:c r="H14" s="62" t="n">
        <x:f>IF(E14=0,"",I14/E14)</x:f>
        <x:v>720.2905507535982</x:v>
      </x:c>
      <x:c r="I14" s="60" t="n">
        <x:f>SUMIF('Species'!$G$2:$G$112,A14,'Species'!$U$2:$U$112)</x:f>
        <x:v>245226.93058771425</x:v>
      </x:c>
      <x:c r="J14" s="62" t="n">
        <x:v>3.612501625075562</x:v>
      </x:c>
      <x:c r="K14" s="62" t="n">
        <x:f>IF(J14="","",(1/'Metadata'!$B$5)^(J14-1))</x:f>
        <x:v>409.73364298265165</x:v>
      </x:c>
      <x:c r="L14" s="60" t="n">
        <x:f>IF(E14=0,"",E14*K14)</x:f>
        <x:v>139496.10129139415</x:v>
      </x:c>
      <x:c r="M14" s="60" t="n">
        <x:f>I14-L14</x:f>
        <x:v>105730.8292963201</x:v>
      </x:c>
      <x:c r="N14" s="62" t="n">
        <x:f>IF(L14=0,"",I14/L14)</x:f>
        <x:v>1.757948274665099</x:v>
      </x:c>
      <x:c r="O14" s="66" t="n">
        <x:f>IF(L14=0,"",M14/L14)</x:f>
        <x:v>0.7579482746650991</x:v>
      </x:c>
    </x:row>
    <x:row r="15" ht="18" customHeight="1">
      <x:c r="A15" s="46" t="str">
        <x:v>Medium bathypelagics (30 - 89 cm)</x:v>
      </x:c>
      <x:c r="B15" s="64" t="n">
        <x:v>3</x:v>
      </x:c>
      <x:c r="C15" s="64" t="n">
        <x:v>3</x:v>
      </x:c>
      <x:c r="D15" s="60" t="n">
        <x:v>210.71043061659998</x:v>
      </x:c>
      <x:c r="E15" s="60" t="n">
        <x:v>210.71043061659998</x:v>
      </x:c>
      <x:c r="F15" s="62" t="n">
        <x:v>0</x:v>
      </x:c>
      <x:c r="G15" s="66" t="n">
        <x:v>1</x:v>
      </x:c>
      <x:c r="H15" s="62" t="n">
        <x:f>IF(E15=0,"",I15/E15)</x:f>
        <x:v>446.0736961953154</x:v>
      </x:c>
      <x:c r="I15" s="60" t="n">
        <x:f>SUMIF('Species'!$G$2:$G$112,A15,'Species'!$U$2:$U$112)</x:f>
        <x:v>93992.3806120533</x:v>
      </x:c>
      <x:c r="J15" s="62" t="n">
        <x:v>3.6493574000829963</x:v>
      </x:c>
      <x:c r="K15" s="62" t="n">
        <x:f>IF(J15="","",(1/'Metadata'!$B$5)^(J15-1))</x:f>
        <x:v>446.0231495280939</x:v>
      </x:c>
      <x:c r="L15" s="60" t="n">
        <x:f>IF(E15=0,"",E15*K15)</x:f>
        <x:v>93981.72990203682</x:v>
      </x:c>
      <x:c r="M15" s="60" t="n">
        <x:f>I15-L15</x:f>
        <x:v>10.650710016474477</x:v>
      </x:c>
      <x:c r="N15" s="62" t="n">
        <x:f>IF(L15=0,"",I15/L15)</x:f>
        <x:v>1.0001133274523417</x:v>
      </x:c>
      <x:c r="O15" s="66" t="n">
        <x:f>IF(L15=0,"",M15/L15)</x:f>
        <x:v>0.00011332745234181573</x:v>
      </x:c>
    </x:row>
    <x:row r="16" ht="18" customHeight="1">
      <x:c r="A16" s="46" t="str">
        <x:v>Medium benthopelagics (30 - 89 cm)</x:v>
      </x:c>
      <x:c r="B16" s="64" t="n">
        <x:v>6</x:v>
      </x:c>
      <x:c r="C16" s="64" t="n">
        <x:v>6</x:v>
      </x:c>
      <x:c r="D16" s="60" t="n">
        <x:v>193.94157130879998</x:v>
      </x:c>
      <x:c r="E16" s="60" t="n">
        <x:v>193.94157130879998</x:v>
      </x:c>
      <x:c r="F16" s="62" t="n">
        <x:v>0</x:v>
      </x:c>
      <x:c r="G16" s="66" t="n">
        <x:v>1</x:v>
      </x:c>
      <x:c r="H16" s="62" t="n">
        <x:f>IF(E16=0,"",I16/E16)</x:f>
        <x:v>1469.8567762405648</x:v>
      </x:c>
      <x:c r="I16" s="60" t="n">
        <x:f>SUMIF('Species'!$G$2:$G$112,A16,'Species'!$U$2:$U$112)</x:f>
        <x:v>285066.3327829824</x:v>
      </x:c>
      <x:c r="J16" s="62" t="n">
        <x:v>4.091149670942344</x:v>
      </x:c>
      <x:c r="K16" s="62" t="n">
        <x:f>IF(J16="","",(1/'Metadata'!$B$5)^(J16-1))</x:f>
        <x:v>1233.5298714833682</x:v>
      </x:c>
      <x:c r="L16" s="60" t="n">
        <x:f>IF(E16=0,"",E16*K16)</x:f>
        <x:v>239232.72153182654</x:v>
      </x:c>
      <x:c r="M16" s="60" t="n">
        <x:f>I16-L16</x:f>
        <x:v>45833.611251155846</x:v>
      </x:c>
      <x:c r="N16" s="62" t="n">
        <x:f>IF(L16=0,"",I16/L16)</x:f>
        <x:v>1.1915858790456402</x:v>
      </x:c>
      <x:c r="O16" s="66" t="n">
        <x:f>IF(L16=0,"",M16/L16)</x:f>
        <x:v>0.1915858790456402</x:v>
      </x:c>
    </x:row>
    <x:row r="17" ht="18" customHeight="1">
      <x:c r="A17" s="46" t="str">
        <x:v>Medium demersals (30 - 89 cm)</x:v>
      </x:c>
      <x:c r="B17" s="64" t="n">
        <x:v>10</x:v>
      </x:c>
      <x:c r="C17" s="64" t="n">
        <x:v>10</x:v>
      </x:c>
      <x:c r="D17" s="60" t="n">
        <x:v>24603.176020165796</x:v>
      </x:c>
      <x:c r="E17" s="60" t="n">
        <x:v>24603.176020165796</x:v>
      </x:c>
      <x:c r="F17" s="62" t="n">
        <x:v>0</x:v>
      </x:c>
      <x:c r="G17" s="66" t="n">
        <x:v>1</x:v>
      </x:c>
      <x:c r="H17" s="62" t="n">
        <x:f>IF(E17=0,"",I17/E17)</x:f>
        <x:v>371.6137184872995</x:v>
      </x:c>
      <x:c r="I17" s="60" t="n">
        <x:f>SUMIF('Species'!$G$2:$G$112,A17,'Species'!$U$2:$U$112)</x:f>
        <x:v>9142877.72745137</x:v>
      </x:c>
      <x:c r="J17" s="62" t="n">
        <x:v>3.3728476035533577</x:v>
      </x:c>
      <x:c r="K17" s="62" t="n">
        <x:f>IF(J17="","",(1/'Metadata'!$B$5)^(J17-1))</x:f>
        <x:v>235.96500730217977</x:v>
      </x:c>
      <x:c r="L17" s="60" t="n">
        <x:f>IF(E17=0,"",E17*K17)</x:f>
        <x:v>5805488.609255237</x:v>
      </x:c>
      <x:c r="M17" s="60" t="n">
        <x:f>I17-L17</x:f>
        <x:v>3337389.1181961326</x:v>
      </x:c>
      <x:c r="N17" s="62" t="n">
        <x:f>IF(L17=0,"",I17/L17)</x:f>
        <x:v>1.574867912560468</x:v>
      </x:c>
      <x:c r="O17" s="66" t="n">
        <x:f>IF(L17=0,"",M17/L17)</x:f>
        <x:v>0.5748679125604681</x:v>
      </x:c>
    </x:row>
    <x:row r="18" ht="18" customHeight="1">
      <x:c r="A18" s="46" t="str">
        <x:v>Medium pelagics (30 - 89 cm)</x:v>
      </x:c>
      <x:c r="B18" s="64" t="n">
        <x:v>6</x:v>
      </x:c>
      <x:c r="C18" s="64" t="n">
        <x:v>6</x:v>
      </x:c>
      <x:c r="D18" s="60" t="n">
        <x:v>12174.462991273298</x:v>
      </x:c>
      <x:c r="E18" s="60" t="n">
        <x:v>12174.462991273298</x:v>
      </x:c>
      <x:c r="F18" s="62" t="n">
        <x:v>0</x:v>
      </x:c>
      <x:c r="G18" s="66" t="n">
        <x:v>1</x:v>
      </x:c>
      <x:c r="H18" s="62" t="n">
        <x:f>IF(E18=0,"",I18/E18)</x:f>
        <x:v>249.81250359619779</x:v>
      </x:c>
      <x:c r="I18" s="60" t="n">
        <x:f>SUMIF('Species'!$G$2:$G$112,A18,'Species'!$U$2:$U$112)</x:f>
        <x:v>3041333.0797892376</x:v>
      </x:c>
      <x:c r="J18" s="62" t="n">
        <x:v>3.3924570812985384</x:v>
      </x:c>
      <x:c r="K18" s="62" t="n">
        <x:f>IF(J18="","",(1/'Metadata'!$B$5)^(J18-1))</x:f>
        <x:v>246.86361324474157</x:v>
      </x:c>
      <x:c r="L18" s="60" t="n">
        <x:f>IF(E18=0,"",E18*K18)</x:f>
        <x:v>3005431.923340111</x:v>
      </x:c>
      <x:c r="M18" s="60" t="n">
        <x:f>I18-L18</x:f>
        <x:v>35901.156449126545</x:v>
      </x:c>
      <x:c r="N18" s="62" t="n">
        <x:f>IF(L18=0,"",I18/L18)</x:f>
        <x:v>1.01194542327521</x:v>
      </x:c>
      <x:c r="O18" s="66" t="n">
        <x:f>IF(L18=0,"",M18/L18)</x:f>
        <x:v>0.011945423275210141</x:v>
      </x:c>
    </x:row>
    <x:row r="19" ht="18" customHeight="1">
      <x:c r="A19" s="46" t="str">
        <x:v>Medium reef assoc. fish (30 - 89 cm)</x:v>
      </x:c>
      <x:c r="B19" s="64" t="n">
        <x:v>1</x:v>
      </x:c>
      <x:c r="C19" s="64" t="n">
        <x:v>1</x:v>
      </x:c>
      <x:c r="D19" s="60" t="n">
        <x:v>47.4953185185</x:v>
      </x:c>
      <x:c r="E19" s="60" t="n">
        <x:v>47.4953185185</x:v>
      </x:c>
      <x:c r="F19" s="62" t="n">
        <x:v>0</x:v>
      </x:c>
      <x:c r="G19" s="66" t="n">
        <x:v>1</x:v>
      </x:c>
      <x:c r="H19" s="62" t="n">
        <x:f>IF(E19=0,"",I19/E19)</x:f>
        <x:v>524.8074602497728</x:v>
      </x:c>
      <x:c r="I19" s="60" t="n">
        <x:f>SUMIF('Species'!$G$2:$G$112,A19,'Species'!$U$2:$U$112)</x:f>
        <x:v>24925.897485447986</x:v>
      </x:c>
      <x:c r="J19" s="62" t="n">
        <x:v>3.72</x:v>
      </x:c>
      <x:c r="K19" s="62" t="n">
        <x:f>IF(J19="","",(1/'Metadata'!$B$5)^(J19-1))</x:f>
        <x:v>524.8074602497728</x:v>
      </x:c>
      <x:c r="L19" s="60" t="n">
        <x:f>IF(E19=0,"",E19*K19)</x:f>
        <x:v>24925.897485447986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Other demersal invertebrates</x:v>
      </x:c>
      <x:c r="B20" s="64" t="n">
        <x:v>11</x:v>
      </x:c>
      <x:c r="C20" s="64" t="n">
        <x:v>11</x:v>
      </x:c>
      <x:c r="D20" s="60" t="n">
        <x:v>85685.4965240706</x:v>
      </x:c>
      <x:c r="E20" s="60" t="n">
        <x:v>85685.4965240706</x:v>
      </x:c>
      <x:c r="F20" s="62" t="n">
        <x:v>0</x:v>
      </x:c>
      <x:c r="G20" s="66" t="n">
        <x:v>1</x:v>
      </x:c>
      <x:c r="H20" s="62" t="n">
        <x:f>IF(E20=0,"",I20/E20)</x:f>
        <x:v>14.607127138866142</x:v>
      </x:c>
      <x:c r="I20" s="60" t="n">
        <x:f>SUMIF('Species'!$G$2:$G$112,A20,'Species'!$U$2:$U$112)</x:f>
        <x:v>1251618.941683972</x:v>
      </x:c>
      <x:c r="J20" s="62" t="n">
        <x:v>2.0979400056395545</x:v>
      </x:c>
      <x:c r="K20" s="62" t="n">
        <x:f>IF(J20="","",(1/'Metadata'!$B$5)^(J20-1))</x:f>
        <x:v>12.52968075319268</x:v>
      </x:c>
      <x:c r="L20" s="60" t="n">
        <x:f>IF(E20=0,"",E20*K20)</x:f>
        <x:v>1073611.9166254057</x:v>
      </x:c>
      <x:c r="M20" s="60" t="n">
        <x:f>I20-L20</x:f>
        <x:v>178007.02505856636</x:v>
      </x:c>
      <x:c r="N20" s="62" t="n">
        <x:f>IF(L20=0,"",I20/L20)</x:f>
        <x:v>1.1658020205458235</x:v>
      </x:c>
      <x:c r="O20" s="66" t="n">
        <x:f>IF(L20=0,"",M20/L20)</x:f>
        <x:v>0.1658020205458234</x:v>
      </x:c>
    </x:row>
    <x:row r="21" ht="18" customHeight="1">
      <x:c r="A21" s="46" t="str">
        <x:v>Shrimps</x:v>
      </x:c>
      <x:c r="B21" s="64" t="n">
        <x:v>3</x:v>
      </x:c>
      <x:c r="C21" s="64" t="n">
        <x:v>3</x:v>
      </x:c>
      <x:c r="D21" s="60" t="n">
        <x:v>56167.02114180541</x:v>
      </x:c>
      <x:c r="E21" s="60" t="n">
        <x:v>56167.02114180541</x:v>
      </x:c>
      <x:c r="F21" s="62" t="n">
        <x:v>0</x:v>
      </x:c>
      <x:c r="G21" s="66" t="n">
        <x:v>1</x:v>
      </x:c>
      <x:c r="H21" s="62" t="n">
        <x:f>IF(E21=0,"",I21/E21)</x:f>
        <x:v>40.26599554194346</x:v>
      </x:c>
      <x:c r="I21" s="60" t="n">
        <x:f>SUMIF('Species'!$G$2:$G$112,A21,'Species'!$U$2:$U$112)</x:f>
        <x:v>2261621.022900181</x:v>
      </x:c>
      <x:c r="J21" s="62" t="n">
        <x:v>2.6028039565176906</x:v>
      </x:c>
      <x:c r="K21" s="62" t="n">
        <x:f>IF(J21="","",(1/'Metadata'!$B$5)^(J21-1))</x:f>
        <x:v>40.068580450087424</x:v>
      </x:c>
      <x:c r="L21" s="60" t="n">
        <x:f>IF(E21=0,"",E21*K21)</x:f>
        <x:v>2250532.805262191</x:v>
      </x:c>
      <x:c r="M21" s="60" t="n">
        <x:f>I21-L21</x:f>
        <x:v>11088.21763798967</x:v>
      </x:c>
      <x:c r="N21" s="62" t="n">
        <x:f>IF(L21=0,"",I21/L21)</x:f>
        <x:v>1.0049269300194439</x:v>
      </x:c>
      <x:c r="O21" s="66" t="n">
        <x:f>IF(L21=0,"",M21/L21)</x:f>
        <x:v>0.004926930019443939</x:v>
      </x:c>
    </x:row>
    <x:row r="22" ht="18" customHeight="1">
      <x:c r="A22" s="46" t="str">
        <x:v>Small pelagics (&lt;30 cm)</x:v>
      </x:c>
      <x:c r="B22" s="64" t="n">
        <x:v>5</x:v>
      </x:c>
      <x:c r="C22" s="64" t="n">
        <x:v>5</x:v>
      </x:c>
      <x:c r="D22" s="60" t="n">
        <x:v>24581.992390420197</x:v>
      </x:c>
      <x:c r="E22" s="60" t="n">
        <x:v>24581.992390420197</x:v>
      </x:c>
      <x:c r="F22" s="62" t="n">
        <x:v>0</x:v>
      </x:c>
      <x:c r="G22" s="66" t="n">
        <x:v>1</x:v>
      </x:c>
      <x:c r="H22" s="62" t="n">
        <x:f>IF(E22=0,"",I22/E22)</x:f>
        <x:v>141.7934399140275</x:v>
      </x:c>
      <x:c r="I22" s="60" t="n">
        <x:f>SUMIF('Species'!$G$2:$G$112,A22,'Species'!$U$2:$U$112)</x:f>
        <x:v>3485565.2609781274</x:v>
      </x:c>
      <x:c r="J22" s="62" t="n">
        <x:v>3.1510251877861397</x:v>
      </x:c>
      <x:c r="K22" s="62" t="n">
        <x:f>IF(J22="","",(1/'Metadata'!$B$5)^(J22-1))</x:f>
        <x:v>141.58758941596815</x:v>
      </x:c>
      <x:c r="L22" s="60" t="n">
        <x:f>IF(E22=0,"",E22*K22)</x:f>
        <x:v>3480505.0456012683</x:v>
      </x:c>
      <x:c r="M22" s="60" t="n">
        <x:f>I22-L22</x:f>
        <x:v>5060.215376859065</x:v>
      </x:c>
      <x:c r="N22" s="62" t="n">
        <x:f>IF(L22=0,"",I22/L22)</x:f>
        <x:v>1.0014538738805319</x:v>
      </x:c>
      <x:c r="O22" s="66" t="n">
        <x:f>IF(L22=0,"",M22/L22)</x:f>
        <x:v>0.0014538738805318688</x:v>
      </x:c>
    </x:row>
    <x:row r="23" ht="18" customHeight="1">
      <x:c r="A23" s="46" t="str">
        <x:v>Small to medium flatfishes (&lt;90 cm)</x:v>
      </x:c>
      <x:c r="B23" s="64" t="n">
        <x:v>6</x:v>
      </x:c>
      <x:c r="C23" s="64" t="n">
        <x:v>6</x:v>
      </x:c>
      <x:c r="D23" s="60" t="n">
        <x:v>32527.780561093092</x:v>
      </x:c>
      <x:c r="E23" s="60" t="n">
        <x:v>32527.780561093092</x:v>
      </x:c>
      <x:c r="F23" s="62" t="n">
        <x:v>0</x:v>
      </x:c>
      <x:c r="G23" s="66" t="n">
        <x:v>1</x:v>
      </x:c>
      <x:c r="H23" s="62" t="n">
        <x:f>IF(E23=0,"",I23/E23)</x:f>
        <x:v>2001.0542382482276</x:v>
      </x:c>
      <x:c r="I23" s="60" t="n">
        <x:f>SUMIF('Species'!$G$2:$G$112,A23,'Species'!$U$2:$U$112)</x:f>
        <x:v>65089853.152583644</x:v>
      </x:c>
      <x:c r="J23" s="62" t="n">
        <x:v>4.207998610466769</x:v>
      </x:c>
      <x:c r="K23" s="62" t="n">
        <x:f>IF(J23="","",(1/'Metadata'!$B$5)^(J23-1))</x:f>
        <x:v>1614.3533916646732</x:v>
      </x:c>
      <x:c r="L23" s="60" t="n">
        <x:f>IF(E23=0,"",E23*K23)</x:f>
        <x:v>52511332.87212486</x:v>
      </x:c>
      <x:c r="M23" s="60" t="n">
        <x:f>I23-L23</x:f>
        <x:v>12578520.280458786</x:v>
      </x:c>
      <x:c r="N23" s="62" t="n">
        <x:f>IF(L23=0,"",I23/L23)</x:f>
        <x:v>1.23953915454955</x:v>
      </x:c>
      <x:c r="O23" s="66" t="n">
        <x:f>IF(L23=0,"",M23/L23)</x:f>
        <x:v>0.23953915454955008</x:v>
      </x:c>
    </x:row>
    <x:row r="24" ht="18" customHeight="1">
      <x:c r="A24" s="46" t="str">
        <x:v>Small to medium sharks (&lt;90 cm)</x:v>
      </x:c>
      <x:c r="B24" s="64" t="n">
        <x:v>1</x:v>
      </x:c>
      <x:c r="C24" s="64" t="n">
        <x:v>1</x:v>
      </x:c>
      <x:c r="D24" s="60" t="n">
        <x:v>332.3150818777</x:v>
      </x:c>
      <x:c r="E24" s="60" t="n">
        <x:v>332.3150818777</x:v>
      </x:c>
      <x:c r="F24" s="62" t="n">
        <x:v>0</x:v>
      </x:c>
      <x:c r="G24" s="66" t="n">
        <x:v>1</x:v>
      </x:c>
      <x:c r="H24" s="62" t="n">
        <x:f>IF(E24=0,"",I24/E24)</x:f>
        <x:v>691.8309709189363</x:v>
      </x:c>
      <x:c r="I24" s="60" t="n">
        <x:f>SUMIF('Species'!$G$2:$G$112,A24,'Species'!$U$2:$U$112)</x:f>
        <x:v>229905.86574645498</x:v>
      </x:c>
      <x:c r="J24" s="62" t="n">
        <x:v>3.8399999999999994</x:v>
      </x:c>
      <x:c r="K24" s="62" t="n">
        <x:f>IF(J24="","",(1/'Metadata'!$B$5)^(J24-1))</x:f>
        <x:v>691.8309709189356</x:v>
      </x:c>
      <x:c r="L24" s="60" t="n">
        <x:f>IF(E24=0,"",E24*K24)</x:f>
        <x:v>229905.86574645474</x:v>
      </x:c>
      <x:c r="M24" s="60" t="n">
        <x:f>I24-L24</x:f>
        <x:v>2.3283064365386963e-10</x:v>
      </x:c>
      <x:c r="N24" s="62" t="n">
        <x:f>IF(L24=0,"",I24/L24)</x:f>
        <x:v>1.000000000000001</x:v>
      </x:c>
      <x:c r="O24" s="66" t="n">
        <x:f>IF(L24=0,"",M24/L24)</x:f>
        <x:v>1.0127216323860148e-15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0990067188b48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LME_009</x:v>
      </x:c>
      <x:c r="B2" s="46" t="str">
        <x:v>raw_filtered_tonnes</x:v>
      </x:c>
      <x:c r="C2" s="46" t="n">
        <x:v>506689.99406100804</x:v>
      </x:c>
      <x:c r="D2" s="46" t="str">
        <x:v>tonnes</x:v>
      </x:c>
    </x:row>
    <x:row r="3" ht="18" customHeight="1">
      <x:c r="A3" s="46" t="str">
        <x:v>LME_009</x:v>
      </x:c>
      <x:c r="B3" s="46" t="str">
        <x:v>species_catch_tonnes</x:v>
      </x:c>
      <x:c r="C3" s="46" t="n">
        <x:v>506689.99406100786</x:v>
      </x:c>
      <x:c r="D3" s="46" t="str">
        <x:v>tonnes</x:v>
      </x:c>
    </x:row>
    <x:row r="4" ht="18" customHeight="1">
      <x:c r="A4" s="46" t="str">
        <x:v>LME_009</x:v>
      </x:c>
      <x:c r="B4" s="46" t="str">
        <x:v>catch_difference_tonnes</x:v>
      </x:c>
      <x:c r="C4" s="46" t="n">
        <x:v>-1.7462298274040222e-10</x:v>
      </x:c>
      <x:c r="D4" s="46" t="str">
        <x:v>tonnes</x:v>
      </x:c>
    </x:row>
    <x:row r="5" ht="18" customHeight="1">
      <x:c r="A5" s="46" t="str">
        <x:v>LME_009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LME_009</x:v>
      </x:c>
      <x:c r="B6" s="46" t="str">
        <x:v>matched_catch_tonnes</x:v>
      </x:c>
      <x:c r="C6" s="46" t="n">
        <x:v>506689.99406100786</x:v>
      </x:c>
      <x:c r="D6" s="46" t="str">
        <x:v>tonnes</x:v>
      </x:c>
    </x:row>
    <x:row r="7" ht="18" customHeight="1">
      <x:c r="A7" s="46" t="str">
        <x:v>LME_009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LME_009</x:v>
      </x:c>
      <x:c r="B8" s="46" t="str">
        <x:v>taxa_count</x:v>
      </x:c>
      <x:c r="C8" s="46" t="n">
        <x:v>111</x:v>
      </x:c>
      <x:c r="D8" s="46" t="str">
        <x:v>count</x:v>
      </x:c>
    </x:row>
    <x:row r="9" ht="18" customHeight="1">
      <x:c r="A9" s="46" t="str">
        <x:v>LME_009</x:v>
      </x:c>
      <x:c r="B9" s="46" t="str">
        <x:v>matched_taxa_count</x:v>
      </x:c>
      <x:c r="C9" s="46" t="n">
        <x:v>111</x:v>
      </x:c>
      <x:c r="D9" s="46" t="str">
        <x:v>count</x:v>
      </x:c>
    </x:row>
    <x:row r="10" ht="18" customHeight="1">
      <x:c r="A10" s="46" t="str">
        <x:v>LME_009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LME_009</x:v>
      </x:c>
      <x:c r="B11" s="46" t="str">
        <x:v>species_ppr</x:v>
      </x:c>
      <x:c r="C11" s="46" t="n">
        <x:v>272326949.81673676</x:v>
      </x:c>
      <x:c r="D11" s="46" t="str">
        <x:v>tonnes_primary_production_equivalent</x:v>
      </x:c>
    </x:row>
    <x:row r="12" ht="18" customHeight="1">
      <x:c r="A12" s="46" t="str">
        <x:v>LME_009</x:v>
      </x:c>
      <x:c r="B12" s="46" t="str">
        <x:v>commercial_ppr</x:v>
      </x:c>
      <x:c r="C12" s="46" t="n">
        <x:v>272326949.8167369</x:v>
      </x:c>
      <x:c r="D12" s="46" t="str">
        <x:v>tonnes_primary_production_equivalent</x:v>
      </x:c>
    </x:row>
    <x:row r="13" ht="18" customHeight="1">
      <x:c r="A13" s="46" t="str">
        <x:v>LME_009</x:v>
      </x:c>
      <x:c r="B13" s="46" t="str">
        <x:v>functional_ppr</x:v>
      </x:c>
      <x:c r="C13" s="46" t="n">
        <x:v>272326949.81673676</x:v>
      </x:c>
      <x:c r="D13" s="46" t="str">
        <x:v>tonnes_primary_production_equivalent</x:v>
      </x:c>
    </x:row>
    <x:row r="14" ht="18" customHeight="1">
      <x:c r="A14" s="46" t="str">
        <x:v>LME_009</x:v>
      </x:c>
      <x:c r="B14" s="46" t="str">
        <x:v>commercial_ppr_difference</x:v>
      </x:c>
      <x:c r="C14" s="46" t="n">
        <x:v>1.1920928955078125e-7</x:v>
      </x:c>
      <x:c r="D14" s="46" t="str">
        <x:v>tonnes_primary_production_equivalent</x:v>
      </x:c>
    </x:row>
    <x:row r="15" ht="18" customHeight="1">
      <x:c r="A15" s="46" t="str">
        <x:v>LME_009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LME_009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824bd6f945c4f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LME_009 - Newfoundland-Labrador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