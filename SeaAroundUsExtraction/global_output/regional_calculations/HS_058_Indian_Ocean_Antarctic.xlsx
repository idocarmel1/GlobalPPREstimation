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bdc9cc5654b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522a5a8bd4742a3"/>
    <x:sheet xmlns:r="http://schemas.openxmlformats.org/officeDocument/2006/relationships" name="Commercial" sheetId="2" r:id="Rc320cf3c016d4629"/>
    <x:sheet xmlns:r="http://schemas.openxmlformats.org/officeDocument/2006/relationships" name="Functional" sheetId="3" r:id="R96cdd641c57a4eb4"/>
    <x:sheet xmlns:r="http://schemas.openxmlformats.org/officeDocument/2006/relationships" name="Missing TL" sheetId="4" r:id="R8931abdfeb434cf1"/>
    <x:sheet xmlns:r="http://schemas.openxmlformats.org/officeDocument/2006/relationships" name="Validation" sheetId="5" r:id="R9b9c3c7b2be5403f"/>
    <x:sheet xmlns:r="http://schemas.openxmlformats.org/officeDocument/2006/relationships" name="Metadata" sheetId="6" r:id="Re061af4e7748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f153533f7430d" /><Relationship Type="http://schemas.openxmlformats.org/officeDocument/2006/relationships/theme" Target="/xl/theme/theme1.xml" Id="Rb0d6ee630d4e4a3d" /><Relationship Type="http://schemas.microsoft.com/office/2022/11/relationships/FeaturePropertyBag" Target="/xl/featurePropertyBag/featurePropertyBag.xml" Id="R92b2c3f00ac542da" /><Relationship Type="http://schemas.openxmlformats.org/officeDocument/2006/relationships/sharedStrings" Target="/xl/sharedStrings.xml" Id="R98eea60d44324cb2" /><Relationship Type="http://schemas.openxmlformats.org/officeDocument/2006/relationships/worksheet" Target="/xl/worksheets/sheet1.xml" Id="Rd522a5a8bd4742a3" /><Relationship Type="http://schemas.openxmlformats.org/officeDocument/2006/relationships/worksheet" Target="/xl/worksheets/sheet2.xml" Id="Rc320cf3c016d4629" /><Relationship Type="http://schemas.openxmlformats.org/officeDocument/2006/relationships/worksheet" Target="/xl/worksheets/sheet3.xml" Id="R96cdd641c57a4eb4" /><Relationship Type="http://schemas.openxmlformats.org/officeDocument/2006/relationships/worksheet" Target="/xl/worksheets/sheet4.xml" Id="R8931abdfeb434cf1" /><Relationship Type="http://schemas.openxmlformats.org/officeDocument/2006/relationships/worksheet" Target="/xl/worksheets/sheet5.xml" Id="R9b9c3c7b2be5403f" /><Relationship Type="http://schemas.openxmlformats.org/officeDocument/2006/relationships/worksheet" Target="/xl/worksheets/sheet6.xml" Id="Re061af4e774846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S058SpeciesTable" displayName="HS058SpeciesTable" ref="A1:U7" headerRowCount="1" totalsRowCount="0" totalsRowShown="0">
  <x:autoFilter ref="A1:U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58CommercialTable" displayName="HS058CommercialTable" ref="A1:E4" headerRowCount="1" totalsRowCount="0" totalsRowShown="0">
  <x:autoFilter ref="A1:E4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58FunctionalTable" displayName="HS058FunctionalTable" ref="A1:E6" headerRowCount="1" totalsRowCount="0" totalsRowShown="0">
  <x:autoFilter ref="A1:E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58ValidationTable" displayName="HS05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9747d8df0a40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f51589233340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7c46eee23243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9af476045a4ff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HS_058</x:v>
      </x:c>
      <x:c r="B2" s="24" t="str">
        <x:v>Indian Ocean, Antarctic</x:v>
      </x:c>
      <x:c r="C2" s="24" t="str">
        <x:v>High Seas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1610.6000393135002</x:v>
      </x:c>
      <x:c r="J2" s="31" t="n">
        <x:v>1591.2833250273002</x:v>
      </x:c>
      <x:c r="K2" s="31" t="n">
        <x:v>19.3167142862</x:v>
      </x:c>
      <x:c r="L2" s="31" t="n">
        <x:v>249.2833250271</x:v>
      </x:c>
      <x:c r="M2" s="31" t="n">
        <x:v>1361.3167142864002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306893.5107261935</x:v>
      </x:c>
    </x:row>
    <x:row r="3" ht="18" customHeight="1">
      <x:c r="A3" s="24" t="str">
        <x:v>HS_058</x:v>
      </x:c>
      <x:c r="B3" s="24" t="str">
        <x:v>Indian Ocean, Antarctic</x:v>
      </x:c>
      <x:c r="C3" s="24" t="str">
        <x:v>High Seas</x:v>
      </x:c>
      <x:c r="D3" s="30" t="n">
        <x:v>2019</x:v>
      </x:c>
      <x:c r="E3" s="24" t="str">
        <x:v>Dissostichus eleginoides</x:v>
      </x:c>
      <x:c r="F3" s="24" t="str">
        <x:v>Patagonian toothfish</x:v>
      </x:c>
      <x:c r="G3" s="24" t="str">
        <x:v>Large bathydemersals (&gt;=90 cm)</x:v>
      </x:c>
      <x:c r="H3" s="24" t="str">
        <x:v>Perch-likes</x:v>
      </x:c>
      <x:c r="I3" s="31" t="n">
        <x:v>10.60277</x:v>
      </x:c>
      <x:c r="J3" s="31" t="n">
        <x:v>10.60277</x:v>
      </x:c>
      <x:c r="K3" s="31" t="n">
        <x:v>0</x:v>
      </x:c>
      <x:c r="L3" s="31" t="n">
        <x:v>10.60277</x:v>
      </x:c>
      <x:c r="M3" s="31" t="n">
        <x:v>0</x:v>
      </x:c>
      <x:c r="N3" s="24" t="str">
        <x:v>dissostichus eleginoides</x:v>
      </x:c>
      <x:c r="O3" s="32" t="n">
        <x:v>3.96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Dissostichus eleginoides</x:v>
      </x:c>
      <x:c r="T3" s="32" t="n">
        <x:f>IF(O3="","",(1/'Metadata'!$B$5)^(O3-1))</x:f>
        <x:v>912.0108393559096</x:v>
      </x:c>
      <x:c r="U3" s="31" t="n">
        <x:f>IF(T3="","",I3*T3)</x:f>
        <x:v>9669.841167197657</x:v>
      </x:c>
    </x:row>
    <x:row r="4" ht="18" customHeight="1">
      <x:c r="A4" s="24" t="str">
        <x:v>HS_058</x:v>
      </x:c>
      <x:c r="B4" s="24" t="str">
        <x:v>Indian Ocean, Antarctic</x:v>
      </x:c>
      <x:c r="C4" s="24" t="str">
        <x:v>High Seas</x:v>
      </x:c>
      <x:c r="D4" s="30" t="n">
        <x:v>2019</x:v>
      </x:c>
      <x:c r="E4" s="24" t="str">
        <x:v>Trematomus eulepidotus</x:v>
      </x:c>
      <x:c r="F4" s="24" t="str">
        <x:v>Blunt scalyhead</x:v>
      </x:c>
      <x:c r="G4" s="24" t="str">
        <x:v>Small demersals (&lt;30 cm)</x:v>
      </x:c>
      <x:c r="H4" s="24" t="str">
        <x:v>Perch-likes</x:v>
      </x:c>
      <x:c r="I4" s="31" t="n">
        <x:v>1</x:v>
      </x:c>
      <x:c r="J4" s="31" t="n">
        <x:v>1</x:v>
      </x:c>
      <x:c r="K4" s="31" t="n">
        <x:v>0</x:v>
      </x:c>
      <x:c r="L4" s="31" t="n">
        <x:v>1</x:v>
      </x:c>
      <x:c r="M4" s="31" t="n">
        <x:v>0</x:v>
      </x:c>
      <x:c r="N4" s="24" t="str">
        <x:v>trematomus eulepidotus</x:v>
      </x:c>
      <x:c r="O4" s="32" t="n">
        <x:v>3.35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Trematomus eulepidotus</x:v>
      </x:c>
      <x:c r="T4" s="32" t="n">
        <x:f>IF(O4="","",(1/'Metadata'!$B$5)^(O4-1))</x:f>
        <x:v>223.872113856834</x:v>
      </x:c>
      <x:c r="U4" s="31" t="n">
        <x:f>IF(T4="","",I4*T4)</x:f>
        <x:v>223.872113856834</x:v>
      </x:c>
    </x:row>
    <x:row r="5" ht="18" customHeight="1">
      <x:c r="A5" s="24" t="str">
        <x:v>HS_058</x:v>
      </x:c>
      <x:c r="B5" s="24" t="str">
        <x:v>Indian Ocean, Antarctic</x:v>
      </x:c>
      <x:c r="C5" s="24" t="str">
        <x:v>High Seas</x:v>
      </x:c>
      <x:c r="D5" s="30" t="n">
        <x:v>2019</x:v>
      </x:c>
      <x:c r="E5" s="24" t="str">
        <x:v>Chionobathyscus dewitti</x:v>
      </x:c>
      <x:c r="F5" s="24" t="str">
        <x:v>Chionobathyscus dewitti</x:v>
      </x:c>
      <x:c r="G5" s="24" t="str">
        <x:v>Medium bathydemersals (30 - 89 cm)</x:v>
      </x:c>
      <x:c r="H5" s="24" t="str">
        <x:v>Perch-likes</x:v>
      </x:c>
      <x:c r="I5" s="31" t="n">
        <x:v>0.05056</x:v>
      </x:c>
      <x:c r="J5" s="31" t="n">
        <x:v>0.05056</x:v>
      </x:c>
      <x:c r="K5" s="31" t="n">
        <x:v>0</x:v>
      </x:c>
      <x:c r="L5" s="31" t="n">
        <x:v>0.05056</x:v>
      </x:c>
      <x:c r="M5" s="31" t="n">
        <x:v>0</x:v>
      </x:c>
      <x:c r="N5" s="24" t="str">
        <x:v>chionobathyscus dewitti</x:v>
      </x:c>
      <x:c r="O5" s="32" t="n">
        <x:v>3.76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Chionobathyscus dewitti</x:v>
      </x:c>
      <x:c r="T5" s="32" t="n">
        <x:f>IF(O5="","",(1/'Metadata'!$B$5)^(O5-1))</x:f>
        <x:v>575.4399373371566</x:v>
      </x:c>
      <x:c r="U5" s="31" t="n">
        <x:f>IF(T5="","",I5*T5)</x:f>
        <x:v>29.09424323176664</x:v>
      </x:c>
    </x:row>
    <x:row r="6" ht="18" customHeight="1">
      <x:c r="A6" s="24" t="str">
        <x:v>HS_058</x:v>
      </x:c>
      <x:c r="B6" s="24" t="str">
        <x:v>Indian Ocean, Antarctic</x:v>
      </x:c>
      <x:c r="C6" s="24" t="str">
        <x:v>High Seas</x:v>
      </x:c>
      <x:c r="D6" s="30" t="n">
        <x:v>2019</x:v>
      </x:c>
      <x:c r="E6" s="24" t="str">
        <x:v>Rajiformes</x:v>
      </x:c>
      <x:c r="F6" s="24" t="str">
        <x:v>Skates and rays</x:v>
      </x:c>
      <x:c r="G6" s="24" t="str">
        <x:v>Large rays (&gt;=90 cm)</x:v>
      </x:c>
      <x:c r="H6" s="24" t="str">
        <x:v>Sharks &amp; rays</x:v>
      </x:c>
      <x:c r="I6" s="31" t="n">
        <x:v>0.02267</x:v>
      </x:c>
      <x:c r="J6" s="31" t="n">
        <x:v>0.02267</x:v>
      </x:c>
      <x:c r="K6" s="31" t="n">
        <x:v>0</x:v>
      </x:c>
      <x:c r="L6" s="31" t="n">
        <x:v>0.02267</x:v>
      </x:c>
      <x:c r="M6" s="31" t="n">
        <x:v>0</x:v>
      </x:c>
      <x:c r="N6" s="24" t="str">
        <x:v>rajiformes</x:v>
      </x:c>
      <x:c r="O6" s="32" t="n">
        <x:v>3.61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Rajiformes</x:v>
      </x:c>
      <x:c r="T6" s="32" t="n">
        <x:f>IF(O6="","",(1/'Metadata'!$B$5)^(O6-1))</x:f>
        <x:v>407.3802778041126</x:v>
      </x:c>
      <x:c r="U6" s="31" t="n">
        <x:f>IF(T6="","",I6*T6)</x:f>
        <x:v>9.235310897819232</x:v>
      </x:c>
    </x:row>
    <x:row r="7" ht="18" customHeight="1">
      <x:c r="A7" s="24" t="str">
        <x:v>HS_058</x:v>
      </x:c>
      <x:c r="B7" s="24" t="str">
        <x:v>Indian Ocean, Antarctic</x:v>
      </x:c>
      <x:c r="C7" s="24" t="str">
        <x:v>High Seas</x:v>
      </x:c>
      <x:c r="D7" s="30" t="n">
        <x:v>2019</x:v>
      </x:c>
      <x:c r="E7" s="24" t="str">
        <x:v>Artedidraconidae</x:v>
      </x:c>
      <x:c r="F7" s="24" t="str">
        <x:v>Barbled plunderfishes</x:v>
      </x:c>
      <x:c r="G7" s="24" t="str">
        <x:v>Small demersals (&lt;30 cm)</x:v>
      </x:c>
      <x:c r="H7" s="24" t="str">
        <x:v>Perch-likes</x:v>
      </x:c>
      <x:c r="I7" s="31" t="n">
        <x:v>0.00392</x:v>
      </x:c>
      <x:c r="J7" s="31" t="n">
        <x:v>0.00392</x:v>
      </x:c>
      <x:c r="K7" s="31" t="n">
        <x:v>0</x:v>
      </x:c>
      <x:c r="L7" s="31" t="n">
        <x:v>0.00392</x:v>
      </x:c>
      <x:c r="M7" s="31" t="n">
        <x:v>0</x:v>
      </x:c>
      <x:c r="N7" s="24" t="str">
        <x:v>artedidraconidae</x:v>
      </x:c>
      <x:c r="O7" s="32" t="n">
        <x:v>3.1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Artedidraconidae</x:v>
      </x:c>
      <x:c r="T7" s="32" t="n">
        <x:f>IF(O7="","",(1/'Metadata'!$B$5)^(O7-1))</x:f>
        <x:v>125.89254117941675</x:v>
      </x:c>
      <x:c r="U7" s="31" t="n">
        <x:f>IF(T7="","",I7*T7)</x:f>
        <x:v>0.49349876142331367</x:v>
      </x:c>
    </x:row>
  </x:sheetData>
  <x:conditionalFormatting sqref="R2:R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e9747d8df0a408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1610.6000393135002</x:v>
      </x:c>
      <x:c r="C2" s="32" t="n">
        <x:v>3.28</x:v>
      </x:c>
      <x:c r="D2" s="32" t="n">
        <x:f>IF(C2="","",(1/'Metadata'!$B$5)^(C2-1))</x:f>
        <x:v>190.54607179632464</x:v>
      </x:c>
      <x:c r="E2" s="31" t="n">
        <x:f>IF(B2=0,"",B2*D2)</x:f>
        <x:v>306893.5107261935</x:v>
      </x:c>
    </x:row>
    <x:row r="3" ht="18" customHeight="1">
      <x:c r="A3" s="24" t="str">
        <x:v>Perch-likes</x:v>
      </x:c>
      <x:c r="B3" s="31" t="n">
        <x:v>11.657250000000001</x:v>
      </x:c>
      <x:c r="C3" s="32" t="n">
        <x:v>3.9065154131549034</x:v>
      </x:c>
      <x:c r="D3" s="32" t="n">
        <x:f>IF(C3="","",(1/'Metadata'!$B$5)^(C3-1))</x:f>
        <x:v>806.3348177508185</x:v>
      </x:c>
      <x:c r="E3" s="31" t="n">
        <x:f>IF(B3=0,"",B3*D3)</x:f>
        <x:v>9399.64655422573</x:v>
      </x:c>
    </x:row>
    <x:row r="4" ht="18" customHeight="1">
      <x:c r="A4" s="24" t="str">
        <x:v>Sharks &amp; rays</x:v>
      </x:c>
      <x:c r="B4" s="31" t="n">
        <x:v>0.02267</x:v>
      </x:c>
      <x:c r="C4" s="32" t="n">
        <x:v>3.6100000000000003</x:v>
      </x:c>
      <x:c r="D4" s="32" t="n">
        <x:f>IF(C4="","",(1/'Metadata'!$B$5)^(C4-1))</x:f>
        <x:v>407.380277804113</x:v>
      </x:c>
      <x:c r="E4" s="31" t="n">
        <x:f>IF(B4=0,"",B4*D4)</x:f>
        <x:v>9.235310897819241</x:v>
      </x:c>
    </x:row>
  </x:sheetData>
  <x:pageMargins left="0.7" right="0.7" top="0.75" bottom="0.75" header="0.3" footer="0.3"/>
  <x:tableParts count="1">
    <x:tablePart xmlns:r="http://schemas.openxmlformats.org/officeDocument/2006/relationships" r:id="R62f51589233340f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bathydemersals (&gt;=90 cm)</x:v>
      </x:c>
      <x:c r="B2" s="31" t="n">
        <x:v>10.60277</x:v>
      </x:c>
      <x:c r="C2" s="32" t="n">
        <x:v>3.96</x:v>
      </x:c>
      <x:c r="D2" s="32" t="n">
        <x:f>IF(C2="","",(1/'Metadata'!$B$5)^(C2-1))</x:f>
        <x:v>912.0108393559096</x:v>
      </x:c>
      <x:c r="E2" s="31" t="n">
        <x:f>IF(B2=0,"",B2*D2)</x:f>
        <x:v>9669.841167197657</x:v>
      </x:c>
    </x:row>
    <x:row r="3" ht="18" customHeight="1">
      <x:c r="A3" s="24" t="str">
        <x:v>Large rays (&gt;=90 cm)</x:v>
      </x:c>
      <x:c r="B3" s="31" t="n">
        <x:v>0.02267</x:v>
      </x:c>
      <x:c r="C3" s="32" t="n">
        <x:v>3.6100000000000003</x:v>
      </x:c>
      <x:c r="D3" s="32" t="n">
        <x:f>IF(C3="","",(1/'Metadata'!$B$5)^(C3-1))</x:f>
        <x:v>407.380277804113</x:v>
      </x:c>
      <x:c r="E3" s="31" t="n">
        <x:f>IF(B3=0,"",B3*D3)</x:f>
        <x:v>9.235310897819241</x:v>
      </x:c>
    </x:row>
    <x:row r="4" ht="18" customHeight="1">
      <x:c r="A4" s="24" t="str">
        <x:v>Medium bathydemersals (30 - 89 cm)</x:v>
      </x:c>
      <x:c r="B4" s="31" t="n">
        <x:v>0.05056</x:v>
      </x:c>
      <x:c r="C4" s="32" t="n">
        <x:v>3.76</x:v>
      </x:c>
      <x:c r="D4" s="32" t="n">
        <x:f>IF(C4="","",(1/'Metadata'!$B$5)^(C4-1))</x:f>
        <x:v>575.4399373371566</x:v>
      </x:c>
      <x:c r="E4" s="31" t="n">
        <x:f>IF(B4=0,"",B4*D4)</x:f>
        <x:v>29.09424323176664</x:v>
      </x:c>
    </x:row>
    <x:row r="5" ht="18" customHeight="1">
      <x:c r="A5" s="24" t="str">
        <x:v>Medium demersals (30 - 89 cm)</x:v>
      </x:c>
      <x:c r="B5" s="31" t="n">
        <x:v>1610.6000393135002</x:v>
      </x:c>
      <x:c r="C5" s="32" t="n">
        <x:v>3.28</x:v>
      </x:c>
      <x:c r="D5" s="32" t="n">
        <x:f>IF(C5="","",(1/'Metadata'!$B$5)^(C5-1))</x:f>
        <x:v>190.54607179632464</x:v>
      </x:c>
      <x:c r="E5" s="31" t="n">
        <x:f>IF(B5=0,"",B5*D5)</x:f>
        <x:v>306893.5107261935</x:v>
      </x:c>
    </x:row>
    <x:row r="6" ht="18" customHeight="1">
      <x:c r="A6" s="24" t="str">
        <x:v>Small demersals (&lt;30 cm)</x:v>
      </x:c>
      <x:c r="B6" s="31" t="n">
        <x:v>1.00392</x:v>
      </x:c>
      <x:c r="C6" s="32" t="n">
        <x:v>3.3490238265997294</x:v>
      </x:c>
      <x:c r="D6" s="32" t="n">
        <x:f>IF(C6="","",(1/'Metadata'!$B$5)^(C6-1))</x:f>
        <x:v>223.36947661586646</x:v>
      </x:c>
      <x:c r="E6" s="31" t="n">
        <x:f>IF(B6=0,"",B6*D6)</x:f>
        <x:v>224.24508496420063</x:v>
      </x:c>
    </x:row>
  </x:sheetData>
  <x:pageMargins left="0.7" right="0.7" top="0.75" bottom="0.75" header="0.3" footer="0.3"/>
  <x:tableParts count="1">
    <x:tablePart xmlns:r="http://schemas.openxmlformats.org/officeDocument/2006/relationships" r:id="R327c46eee232438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HS_058</x:v>
      </x:c>
      <x:c r="B2" s="24" t="str">
        <x:v>raw_filtered_tonnes</x:v>
      </x:c>
      <x:c r="C2" s="24" t="n">
        <x:v>1622.2799593135</x:v>
      </x:c>
      <x:c r="D2" s="24" t="str">
        <x:v>tonnes</x:v>
      </x:c>
    </x:row>
    <x:row r="3" ht="18" customHeight="1">
      <x:c r="A3" s="24" t="str">
        <x:v>HS_058</x:v>
      </x:c>
      <x:c r="B3" s="24" t="str">
        <x:v>species_catch_tonnes</x:v>
      </x:c>
      <x:c r="C3" s="24" t="n">
        <x:v>1622.2799593135003</x:v>
      </x:c>
      <x:c r="D3" s="24" t="str">
        <x:v>tonnes</x:v>
      </x:c>
    </x:row>
    <x:row r="4" ht="18" customHeight="1">
      <x:c r="A4" s="24" t="str">
        <x:v>HS_058</x:v>
      </x:c>
      <x:c r="B4" s="24" t="str">
        <x:v>catch_difference_tonnes</x:v>
      </x:c>
      <x:c r="C4" s="24" t="n">
        <x:v>2.2737367544323206e-13</x:v>
      </x:c>
      <x:c r="D4" s="24" t="str">
        <x:v>tonnes</x:v>
      </x:c>
    </x:row>
    <x:row r="5" ht="18" customHeight="1">
      <x:c r="A5" s="24" t="str">
        <x:v>HS_058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HS_058</x:v>
      </x:c>
      <x:c r="B6" s="24" t="str">
        <x:v>matched_catch_tonnes</x:v>
      </x:c>
      <x:c r="C6" s="24" t="n">
        <x:v>1622.2799593135003</x:v>
      </x:c>
      <x:c r="D6" s="24" t="str">
        <x:v>tonnes</x:v>
      </x:c>
    </x:row>
    <x:row r="7" ht="18" customHeight="1">
      <x:c r="A7" s="24" t="str">
        <x:v>HS_058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HS_058</x:v>
      </x:c>
      <x:c r="B8" s="24" t="str">
        <x:v>taxa_count</x:v>
      </x:c>
      <x:c r="C8" s="24" t="n">
        <x:v>6</x:v>
      </x:c>
      <x:c r="D8" s="24" t="str">
        <x:v>count</x:v>
      </x:c>
    </x:row>
    <x:row r="9" ht="18" customHeight="1">
      <x:c r="A9" s="24" t="str">
        <x:v>HS_058</x:v>
      </x:c>
      <x:c r="B9" s="24" t="str">
        <x:v>matched_taxa_count</x:v>
      </x:c>
      <x:c r="C9" s="24" t="n">
        <x:v>6</x:v>
      </x:c>
      <x:c r="D9" s="24" t="str">
        <x:v>count</x:v>
      </x:c>
    </x:row>
    <x:row r="10" ht="18" customHeight="1">
      <x:c r="A10" s="24" t="str">
        <x:v>HS_058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HS_058</x:v>
      </x:c>
      <x:c r="B11" s="24" t="str">
        <x:v>species_ppr</x:v>
      </x:c>
      <x:c r="C11" s="24" t="n">
        <x:v>316826.047060139</x:v>
      </x:c>
      <x:c r="D11" s="24" t="str">
        <x:v>tonnes_primary_production_equivalent</x:v>
      </x:c>
    </x:row>
    <x:row r="12" ht="18" customHeight="1">
      <x:c r="A12" s="24" t="str">
        <x:v>HS_058</x:v>
      </x:c>
      <x:c r="B12" s="24" t="str">
        <x:v>commercial_ppr</x:v>
      </x:c>
      <x:c r="C12" s="24" t="n">
        <x:v>316302.392591317</x:v>
      </x:c>
      <x:c r="D12" s="24" t="str">
        <x:v>tonnes_primary_production_equivalent</x:v>
      </x:c>
    </x:row>
    <x:row r="13" ht="18" customHeight="1">
      <x:c r="A13" s="24" t="str">
        <x:v>HS_058</x:v>
      </x:c>
      <x:c r="B13" s="24" t="str">
        <x:v>functional_ppr</x:v>
      </x:c>
      <x:c r="C13" s="24" t="n">
        <x:v>316825.92653248494</x:v>
      </x:c>
      <x:c r="D13" s="24" t="str">
        <x:v>tonnes_primary_production_equivalent</x:v>
      </x:c>
    </x:row>
    <x:row r="14" ht="18" customHeight="1">
      <x:c r="A14" s="24" t="str">
        <x:v>HS_058</x:v>
      </x:c>
      <x:c r="B14" s="24" t="str">
        <x:v>commercial_ppr_difference</x:v>
      </x:c>
      <x:c r="C14" s="24" t="n">
        <x:v>-523.654468822002</x:v>
      </x:c>
      <x:c r="D14" s="24" t="str">
        <x:v>tonnes_primary_production_equivalent</x:v>
      </x:c>
    </x:row>
    <x:row r="15" ht="18" customHeight="1">
      <x:c r="A15" s="24" t="str">
        <x:v>HS_058</x:v>
      </x:c>
      <x:c r="B15" s="24" t="str">
        <x:v>functional_ppr_difference</x:v>
      </x:c>
      <x:c r="C15" s="24" t="n">
        <x:v>-0.12052765407133847</x:v>
      </x:c>
      <x:c r="D15" s="24" t="str">
        <x:v>tonnes_primary_production_equivalent</x:v>
      </x:c>
    </x:row>
    <x:row r="16" ht="18" customHeight="1">
      <x:c r="A16" s="24" t="str">
        <x:v>HS_058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HS_058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a39af476045a4f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HS_058 - Indian Ocean, Antarctic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HS_058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High Seas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raw_data/SAU_downloads/HS_058-catch.zip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