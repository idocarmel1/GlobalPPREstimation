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0cb0895e8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2af649403a54a2f"/>
    <x:sheet xmlns:r="http://schemas.openxmlformats.org/officeDocument/2006/relationships" name="Commercial" sheetId="2" r:id="R24393256d2ef4a32"/>
    <x:sheet xmlns:r="http://schemas.openxmlformats.org/officeDocument/2006/relationships" name="Functional" sheetId="3" r:id="R2178f1386115433c"/>
    <x:sheet xmlns:r="http://schemas.openxmlformats.org/officeDocument/2006/relationships" name="Missing TL" sheetId="4" r:id="R8501e4563f8d4f35"/>
    <x:sheet xmlns:r="http://schemas.openxmlformats.org/officeDocument/2006/relationships" name="Validation" sheetId="5" r:id="Rd58702af55124964"/>
    <x:sheet xmlns:r="http://schemas.openxmlformats.org/officeDocument/2006/relationships" name="Metadata" sheetId="6" r:id="Rbf88a5f96e0f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3869d2c894498" /><Relationship Type="http://schemas.openxmlformats.org/officeDocument/2006/relationships/theme" Target="/xl/theme/theme1.xml" Id="Rb0efcd2dc90e49ed" /><Relationship Type="http://schemas.openxmlformats.org/officeDocument/2006/relationships/sharedStrings" Target="/xl/sharedStrings.xml" Id="Rd0df3ebc2d804b12" /><Relationship Type="http://schemas.openxmlformats.org/officeDocument/2006/relationships/worksheet" Target="/xl/worksheets/sheet1.xml" Id="R22af649403a54a2f" /><Relationship Type="http://schemas.openxmlformats.org/officeDocument/2006/relationships/worksheet" Target="/xl/worksheets/sheet2.xml" Id="R24393256d2ef4a32" /><Relationship Type="http://schemas.openxmlformats.org/officeDocument/2006/relationships/worksheet" Target="/xl/worksheets/sheet3.xml" Id="R2178f1386115433c" /><Relationship Type="http://schemas.openxmlformats.org/officeDocument/2006/relationships/worksheet" Target="/xl/worksheets/sheet4.xml" Id="R8501e4563f8d4f35" /><Relationship Type="http://schemas.openxmlformats.org/officeDocument/2006/relationships/worksheet" Target="/xl/worksheets/sheet5.xml" Id="Rd58702af55124964" /><Relationship Type="http://schemas.openxmlformats.org/officeDocument/2006/relationships/worksheet" Target="/xl/worksheets/sheet6.xml" Id="Rbf88a5f96e0f44fa" /></Relationships>
</file>

<file path=xl/tables/table1.xml><?xml version="1.0" encoding="utf-8"?>
<x:table xmlns:x="http://schemas.openxmlformats.org/spreadsheetml/2006/main" id="1" name="LME038SpeciesTable" displayName="LME038SpeciesTable" ref="A1:U143" headerRowCount="1" totalsRowCount="0" totalsRowShown="0">
  <x:autoFilter ref="A1:U14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8CommercialTable" displayName="LME03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8FunctionalTable" displayName="LME038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8ValidationTable" displayName="LME03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801e8058ae4b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bf8af1ca0a45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743a02112749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44ce320359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LME_038</x:v>
      </x:c>
      <x:c r="B2" s="46" t="str">
        <x:v>Indonesian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643221.0018733705</x:v>
      </x:c>
      <x:c r="J2" s="60" t="n">
        <x:v>617430.4026807635</x:v>
      </x:c>
      <x:c r="K2" s="60" t="n">
        <x:v>25790.5991926071</x:v>
      </x:c>
      <x:c r="L2" s="60" t="n">
        <x:v>597018.8733057498</x:v>
      </x:c>
      <x:c r="M2" s="60" t="n">
        <x:v>46202.1285676207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122563235.20386712</x:v>
      </x:c>
    </x:row>
    <x:row r="3" ht="18" customHeight="1">
      <x:c r="A3" s="46" t="str">
        <x:v>LME_038</x:v>
      </x:c>
      <x:c r="B3" s="46" t="str">
        <x:v>Indonesian Sea</x:v>
      </x:c>
      <x:c r="C3" s="46" t="str">
        <x:v>LME</x:v>
      </x:c>
      <x:c r="D3" s="58" t="n">
        <x:v>2019</x:v>
      </x:c>
      <x:c r="E3" s="46" t="str">
        <x:v>Decapterus</x:v>
      </x:c>
      <x:c r="F3" s="46" t="str">
        <x:v>Scads</x:v>
      </x:c>
      <x:c r="G3" s="46" t="str">
        <x:v>Medium pelagics (30 - 89 cm)</x:v>
      </x:c>
      <x:c r="H3" s="46" t="str">
        <x:v>Perch-likes</x:v>
      </x:c>
      <x:c r="I3" s="60" t="n">
        <x:v>246698.88421755168</x:v>
      </x:c>
      <x:c r="J3" s="60" t="n">
        <x:v>241146.73911483958</x:v>
      </x:c>
      <x:c r="K3" s="60" t="n">
        <x:v>5552.1451027121</x:v>
      </x:c>
      <x:c r="L3" s="60" t="n">
        <x:v>238898.02381816998</x:v>
      </x:c>
      <x:c r="M3" s="60" t="n">
        <x:v>7800.8603993817005</x:v>
      </x:c>
      <x:c r="N3" s="46" t="str">
        <x:v>decapterus</x:v>
      </x:c>
      <x:c r="O3" s="62" t="n">
        <x:v>3.63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Decapterus</x:v>
      </x:c>
      <x:c r="T3" s="62" t="n">
        <x:f>IF(O3="","",(1/'Metadata'!$B$5)^(O3-1))</x:f>
        <x:v>426.57951880159254</x:v>
      </x:c>
      <x:c r="U3" s="60" t="n">
        <x:f>IF(T3="","",I3*T3)</x:f>
        <x:v>105236691.31841299</x:v>
      </x:c>
    </x:row>
    <x:row r="4" ht="18" customHeight="1">
      <x:c r="A4" s="46" t="str">
        <x:v>LME_038</x:v>
      </x:c>
      <x:c r="B4" s="46" t="str">
        <x:v>Indonesian Sea</x:v>
      </x:c>
      <x:c r="C4" s="46" t="str">
        <x:v>LME</x:v>
      </x:c>
      <x:c r="D4" s="58" t="n">
        <x:v>2019</x:v>
      </x:c>
      <x:c r="E4" s="46" t="str">
        <x:v>Rastrelliger brachysoma</x:v>
      </x:c>
      <x:c r="F4" s="46" t="str">
        <x:v>Short mackerel</x:v>
      </x:c>
      <x:c r="G4" s="46" t="str">
        <x:v>Medium pelagics (30 - 89 cm)</x:v>
      </x:c>
      <x:c r="H4" s="46" t="str">
        <x:v>Perch-likes</x:v>
      </x:c>
      <x:c r="I4" s="60" t="n">
        <x:v>166875.1852382049</x:v>
      </x:c>
      <x:c r="J4" s="60" t="n">
        <x:v>163152.2174488059</x:v>
      </x:c>
      <x:c r="K4" s="60" t="n">
        <x:v>3722.967789399</x:v>
      </x:c>
      <x:c r="L4" s="60" t="n">
        <x:v>160754.7757025918</x:v>
      </x:c>
      <x:c r="M4" s="60" t="n">
        <x:v>6120.4095356131</x:v>
      </x:c>
      <x:c r="N4" s="46" t="str">
        <x:v>rastrelliger brachysoma</x:v>
      </x:c>
      <x:c r="O4" s="62" t="n">
        <x:v>2.72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Rastrelliger brachysoma</x:v>
      </x:c>
      <x:c r="T4" s="62" t="n">
        <x:f>IF(O4="","",(1/'Metadata'!$B$5)^(O4-1))</x:f>
        <x:v>52.480746024977286</x:v>
      </x:c>
      <x:c r="U4" s="60" t="n">
        <x:f>IF(T4="","",I4*T4)</x:f>
        <x:v>8757734.21435727</x:v>
      </x:c>
    </x:row>
    <x:row r="5" ht="18" customHeight="1">
      <x:c r="A5" s="46" t="str">
        <x:v>LME_038</x:v>
      </x:c>
      <x:c r="B5" s="46" t="str">
        <x:v>Indonesian Sea</x:v>
      </x:c>
      <x:c r="C5" s="46" t="str">
        <x:v>LME</x:v>
      </x:c>
      <x:c r="D5" s="58" t="n">
        <x:v>2019</x:v>
      </x:c>
      <x:c r="E5" s="46" t="str">
        <x:v>Sardinella</x:v>
      </x:c>
      <x:c r="F5" s="46" t="str">
        <x:v>Sardinellas</x:v>
      </x:c>
      <x:c r="G5" s="46" t="str">
        <x:v>Small pelagics (&lt;30 cm)</x:v>
      </x:c>
      <x:c r="H5" s="46" t="str">
        <x:v>Herring-likes</x:v>
      </x:c>
      <x:c r="I5" s="60" t="n">
        <x:v>129494.4503337594</x:v>
      </x:c>
      <x:c r="J5" s="60" t="n">
        <x:v>124965.7308136762</x:v>
      </x:c>
      <x:c r="K5" s="60" t="n">
        <x:v>4528.7195200832</x:v>
      </x:c>
      <x:c r="L5" s="60" t="n">
        <x:v>122970.3435028714</x:v>
      </x:c>
      <x:c r="M5" s="60" t="n">
        <x:v>6524.106830888</x:v>
      </x:c>
      <x:c r="N5" s="46" t="str">
        <x:v>sardinella</x:v>
      </x:c>
      <x:c r="O5" s="62" t="n">
        <x:v>2.77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Sardinella</x:v>
      </x:c>
      <x:c r="T5" s="62" t="n">
        <x:f>IF(O5="","",(1/'Metadata'!$B$5)^(O5-1))</x:f>
        <x:v>58.8843655355589</x:v>
      </x:c>
      <x:c r="U5" s="60" t="n">
        <x:f>IF(T5="","",I5*T5)</x:f>
        <x:v>7625198.548279366</x:v>
      </x:c>
    </x:row>
    <x:row r="6" ht="18" customHeight="1">
      <x:c r="A6" s="46" t="str">
        <x:v>LME_038</x:v>
      </x:c>
      <x:c r="B6" s="46" t="str">
        <x:v>Indonesian Sea</x:v>
      </x:c>
      <x:c r="C6" s="46" t="str">
        <x:v>LME</x:v>
      </x:c>
      <x:c r="D6" s="58" t="n">
        <x:v>2019</x:v>
      </x:c>
      <x:c r="E6" s="46" t="str">
        <x:v>Sardinella lemuru</x:v>
      </x:c>
      <x:c r="F6" s="46" t="str">
        <x:v>Bali sardinella</x:v>
      </x:c>
      <x:c r="G6" s="46" t="str">
        <x:v>Small pelagics (&lt;30 cm)</x:v>
      </x:c>
      <x:c r="H6" s="46" t="str">
        <x:v>Herring-likes</x:v>
      </x:c>
      <x:c r="I6" s="60" t="n">
        <x:v>108099.0967563747</x:v>
      </x:c>
      <x:c r="J6" s="60" t="n">
        <x:v>104617.69843407969</x:v>
      </x:c>
      <x:c r="K6" s="60" t="n">
        <x:v>3481.398322295</x:v>
      </x:c>
      <x:c r="L6" s="60" t="n">
        <x:v>102828.0122886132</x:v>
      </x:c>
      <x:c r="M6" s="60" t="n">
        <x:v>5271.0844677615005</x:v>
      </x:c>
      <x:c r="N6" s="46" t="str">
        <x:v>sardinella lemuru</x:v>
      </x:c>
      <x:c r="O6" s="62" t="n">
        <x:v>2.48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Sardinella lemuru</x:v>
      </x:c>
      <x:c r="T6" s="62" t="n">
        <x:f>IF(O6="","",(1/'Metadata'!$B$5)^(O6-1))</x:f>
        <x:v>30.19951720402016</x:v>
      </x:c>
      <x:c r="U6" s="60" t="n">
        <x:f>IF(T6="","",I6*T6)</x:f>
        <x:v>3264540.5322331777</x:v>
      </x:c>
    </x:row>
    <x:row r="7" ht="18" customHeight="1">
      <x:c r="A7" s="46" t="str">
        <x:v>LME_038</x:v>
      </x:c>
      <x:c r="B7" s="46" t="str">
        <x:v>Indonesian Sea</x:v>
      </x:c>
      <x:c r="C7" s="46" t="str">
        <x:v>LME</x:v>
      </x:c>
      <x:c r="D7" s="58" t="n">
        <x:v>2019</x:v>
      </x:c>
      <x:c r="E7" s="46" t="str">
        <x:v>Stolephorus</x:v>
      </x:c>
      <x:c r="F7" s="46" t="str">
        <x:v>Garment anchovies</x:v>
      </x:c>
      <x:c r="G7" s="46" t="str">
        <x:v>Small pelagics (&lt;30 cm)</x:v>
      </x:c>
      <x:c r="H7" s="46" t="str">
        <x:v>Anchovies</x:v>
      </x:c>
      <x:c r="I7" s="60" t="n">
        <x:v>104921.4694569852</x:v>
      </x:c>
      <x:c r="J7" s="60" t="n">
        <x:v>103089.4428036842</x:v>
      </x:c>
      <x:c r="K7" s="60" t="n">
        <x:v>1832.0266533010001</x:v>
      </x:c>
      <x:c r="L7" s="60" t="n">
        <x:v>101014.4957860822</x:v>
      </x:c>
      <x:c r="M7" s="60" t="n">
        <x:v>3906.973670903</x:v>
      </x:c>
      <x:c r="N7" s="46" t="str">
        <x:v>stolephorus</x:v>
      </x:c>
      <x:c r="O7" s="62" t="n">
        <x:v>3.44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Stolephorus</x:v>
      </x:c>
      <x:c r="T7" s="62" t="n">
        <x:f>IF(O7="","",(1/'Metadata'!$B$5)^(O7-1))</x:f>
        <x:v>275.4228703338166</x:v>
      </x:c>
      <x:c r="U7" s="60" t="n">
        <x:f>IF(T7="","",I7*T7)</x:f>
        <x:v>28897772.277484734</x:v>
      </x:c>
    </x:row>
    <x:row r="8" ht="18" customHeight="1">
      <x:c r="A8" s="46" t="str">
        <x:v>LME_038</x:v>
      </x:c>
      <x:c r="B8" s="46" t="str">
        <x:v>Indonesian Sea</x:v>
      </x:c>
      <x:c r="C8" s="46" t="str">
        <x:v>LME</x:v>
      </x:c>
      <x:c r="D8" s="58" t="n">
        <x:v>2019</x:v>
      </x:c>
      <x:c r="E8" s="46" t="str">
        <x:v>Scomberomorus commerson</x:v>
      </x:c>
      <x:c r="F8" s="46" t="str">
        <x:v>Narrow-barred Spanish mackerel</x:v>
      </x:c>
      <x:c r="G8" s="46" t="str">
        <x:v>Large pelagics (&gt;=90 cm)</x:v>
      </x:c>
      <x:c r="H8" s="46" t="str">
        <x:v>Perch-likes</x:v>
      </x:c>
      <x:c r="I8" s="60" t="n">
        <x:v>94113.60178837291</x:v>
      </x:c>
      <x:c r="J8" s="60" t="n">
        <x:v>92808.029349888</x:v>
      </x:c>
      <x:c r="K8" s="60" t="n">
        <x:v>1305.5724384849</x:v>
      </x:c>
      <x:c r="L8" s="60" t="n">
        <x:v>91708.0382249246</x:v>
      </x:c>
      <x:c r="M8" s="60" t="n">
        <x:v>2405.5635634483</x:v>
      </x:c>
      <x:c r="N8" s="46" t="str">
        <x:v>scomberomorus commerson</x:v>
      </x:c>
      <x:c r="O8" s="62" t="n">
        <x:v>4.5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Scomberomorus commerson</x:v>
      </x:c>
      <x:c r="T8" s="62" t="n">
        <x:f>IF(O8="","",(1/'Metadata'!$B$5)^(O8-1))</x:f>
        <x:v>3162.2776601683795</x:v>
      </x:c>
      <x:c r="U8" s="60" t="n">
        <x:f>IF(T8="","",I8*T8)</x:f>
        <x:v>297613340.4533545</x:v>
      </x:c>
    </x:row>
    <x:row r="9" ht="18" customHeight="1">
      <x:c r="A9" s="46" t="str">
        <x:v>LME_038</x:v>
      </x:c>
      <x:c r="B9" s="46" t="str">
        <x:v>Indonesian Sea</x:v>
      </x:c>
      <x:c r="C9" s="46" t="str">
        <x:v>LME</x:v>
      </x:c>
      <x:c r="D9" s="58" t="n">
        <x:v>2019</x:v>
      </x:c>
      <x:c r="E9" s="46" t="str">
        <x:v>Selaroides leptolepis</x:v>
      </x:c>
      <x:c r="F9" s="46" t="str">
        <x:v>Yellowstripe scad</x:v>
      </x:c>
      <x:c r="G9" s="46" t="str">
        <x:v>Small pelagics (&lt;30 cm)</x:v>
      </x:c>
      <x:c r="H9" s="46" t="str">
        <x:v>Perch-likes</x:v>
      </x:c>
      <x:c r="I9" s="60" t="n">
        <x:v>89612.0154277601</x:v>
      </x:c>
      <x:c r="J9" s="60" t="n">
        <x:v>79940.36772822241</x:v>
      </x:c>
      <x:c r="K9" s="60" t="n">
        <x:v>9671.6476995377</x:v>
      </x:c>
      <x:c r="L9" s="60" t="n">
        <x:v>75742.4858715129</x:v>
      </x:c>
      <x:c r="M9" s="60" t="n">
        <x:v>13869.5295562472</x:v>
      </x:c>
      <x:c r="N9" s="46" t="str">
        <x:v>selaroides leptolepis</x:v>
      </x:c>
      <x:c r="O9" s="62" t="n">
        <x:v>3.84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Selaroides leptolepis</x:v>
      </x:c>
      <x:c r="T9" s="62" t="n">
        <x:f>IF(O9="","",(1/'Metadata'!$B$5)^(O9-1))</x:f>
        <x:v>691.8309709189363</x:v>
      </x:c>
      <x:c r="U9" s="60" t="n">
        <x:f>IF(T9="","",I9*T9)</x:f>
        <x:v>61996367.63938996</x:v>
      </x:c>
    </x:row>
    <x:row r="10" ht="18" customHeight="1">
      <x:c r="A10" s="46" t="str">
        <x:v>LME_038</x:v>
      </x:c>
      <x:c r="B10" s="46" t="str">
        <x:v>Indonesian Sea</x:v>
      </x:c>
      <x:c r="C10" s="46" t="str">
        <x:v>LME</x:v>
      </x:c>
      <x:c r="D10" s="58" t="n">
        <x:v>2019</x:v>
      </x:c>
      <x:c r="E10" s="46" t="str">
        <x:v>Lutjanus</x:v>
      </x:c>
      <x:c r="F10" s="46" t="str">
        <x:v>Snappers</x:v>
      </x:c>
      <x:c r="G10" s="46" t="str">
        <x:v>Medium reef assoc. fish (30 - 89 cm)</x:v>
      </x:c>
      <x:c r="H10" s="46" t="str">
        <x:v>Perch-likes</x:v>
      </x:c>
      <x:c r="I10" s="60" t="n">
        <x:v>88028.33979427948</x:v>
      </x:c>
      <x:c r="J10" s="60" t="n">
        <x:v>87614.78438232798</x:v>
      </x:c>
      <x:c r="K10" s="60" t="n">
        <x:v>413.5554119515</x:v>
      </x:c>
      <x:c r="L10" s="60" t="n">
        <x:v>84670.5532612971</x:v>
      </x:c>
      <x:c r="M10" s="60" t="n">
        <x:v>3357.7865329824</x:v>
      </x:c>
      <x:c r="N10" s="46" t="str">
        <x:v>lutjanus</x:v>
      </x:c>
      <x:c r="O10" s="62" t="n">
        <x:v>4.02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Lutjanus</x:v>
      </x:c>
      <x:c r="T10" s="62" t="n">
        <x:f>IF(O10="","",(1/'Metadata'!$B$5)^(O10-1))</x:f>
        <x:v>1047.1285480508984</x:v>
      </x:c>
      <x:c r="U10" s="60" t="n">
        <x:f>IF(T10="","",I10*T10)</x:f>
        <x:v>92176987.636115</x:v>
      </x:c>
    </x:row>
    <x:row r="11" ht="18" customHeight="1">
      <x:c r="A11" s="46" t="str">
        <x:v>LME_038</x:v>
      </x:c>
      <x:c r="B11" s="46" t="str">
        <x:v>Indonesian Sea</x:v>
      </x:c>
      <x:c r="C11" s="46" t="str">
        <x:v>LME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83460.3826552123</x:v>
      </x:c>
      <x:c r="J11" s="60" t="n">
        <x:v>82271.9899125292</x:v>
      </x:c>
      <x:c r="K11" s="60" t="n">
        <x:v>1188.3927426830999</x:v>
      </x:c>
      <x:c r="L11" s="60" t="n">
        <x:v>81871.95173155589</x:v>
      </x:c>
      <x:c r="M11" s="60" t="n">
        <x:v>1588.4309236564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2344.228815319923</x:v>
      </x:c>
      <x:c r="U11" s="60" t="n">
        <x:f>IF(T11="","",I11*T11)</x:f>
        <x:v>195650233.95797578</x:v>
      </x:c>
    </x:row>
    <x:row r="12" ht="18" customHeight="1">
      <x:c r="A12" s="46" t="str">
        <x:v>LME_038</x:v>
      </x:c>
      <x:c r="B12" s="46" t="str">
        <x:v>Indonesian Sea</x:v>
      </x:c>
      <x:c r="C12" s="46" t="str">
        <x:v>LME</x:v>
      </x:c>
      <x:c r="D12" s="58" t="n">
        <x:v>2019</x:v>
      </x:c>
      <x:c r="E12" s="46" t="str">
        <x:v>Lates calcarifer</x:v>
      </x:c>
      <x:c r="F12" s="46" t="str">
        <x:v>Barramundi</x:v>
      </x:c>
      <x:c r="G12" s="46" t="str">
        <x:v>Large demersals (&gt;=90 cm)</x:v>
      </x:c>
      <x:c r="H12" s="46" t="str">
        <x:v>Perch-likes</x:v>
      </x:c>
      <x:c r="I12" s="60" t="n">
        <x:v>82097.32156749521</x:v>
      </x:c>
      <x:c r="J12" s="60" t="n">
        <x:v>76296.1512673476</x:v>
      </x:c>
      <x:c r="K12" s="60" t="n">
        <x:v>5801.1703001476</x:v>
      </x:c>
      <x:c r="L12" s="60" t="n">
        <x:v>74558.1419640348</x:v>
      </x:c>
      <x:c r="M12" s="60" t="n">
        <x:v>7539.1796034604</x:v>
      </x:c>
      <x:c r="N12" s="46" t="str">
        <x:v>lates calcarifer</x:v>
      </x:c>
      <x:c r="O12" s="62" t="n">
        <x:v>4.35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Lates calcarifer</x:v>
      </x:c>
      <x:c r="T12" s="62" t="n">
        <x:f>IF(O12="","",(1/'Metadata'!$B$5)^(O12-1))</x:f>
        <x:v>2238.7211385683377</x:v>
      </x:c>
      <x:c r="U12" s="60" t="n">
        <x:f>IF(T12="","",I12*T12)</x:f>
        <x:v>183793009.21299383</x:v>
      </x:c>
    </x:row>
    <x:row r="13" ht="18" customHeight="1">
      <x:c r="A13" s="46" t="str">
        <x:v>LME_038</x:v>
      </x:c>
      <x:c r="B13" s="46" t="str">
        <x:v>Indonesian Sea</x:v>
      </x:c>
      <x:c r="C13" s="46" t="str">
        <x:v>LME</x:v>
      </x:c>
      <x:c r="D13" s="58" t="n">
        <x:v>2019</x:v>
      </x:c>
      <x:c r="E13" s="46" t="str">
        <x:v>Netuma thalassina</x:v>
      </x:c>
      <x:c r="F13" s="46" t="str">
        <x:v>Giant catfish</x:v>
      </x:c>
      <x:c r="G13" s="46" t="str">
        <x:v>Large demersals (&gt;=90 cm)</x:v>
      </x:c>
      <x:c r="H13" s="46" t="str">
        <x:v>Other fishes &amp; inverts</x:v>
      </x:c>
      <x:c r="I13" s="60" t="n">
        <x:v>67350.2839958886</x:v>
      </x:c>
      <x:c r="J13" s="60" t="n">
        <x:v>60029.2084314006</x:v>
      </x:c>
      <x:c r="K13" s="60" t="n">
        <x:v>7321.075564488001</x:v>
      </x:c>
      <x:c r="L13" s="60" t="n">
        <x:v>57192.3157597415</x:v>
      </x:c>
      <x:c r="M13" s="60" t="n">
        <x:v>10157.9682361471</x:v>
      </x:c>
      <x:c r="N13" s="46" t="str">
        <x:v>netuma thalassina</x:v>
      </x:c>
      <x:c r="O13" s="62" t="n">
        <x:v>3.54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Netuma thalassina</x:v>
      </x:c>
      <x:c r="T13" s="62" t="n">
        <x:f>IF(O13="","",(1/'Metadata'!$B$5)^(O13-1))</x:f>
        <x:v>346.73685045253166</x:v>
      </x:c>
      <x:c r="U13" s="60" t="n">
        <x:f>IF(T13="","",I13*T13)</x:f>
        <x:v>23352825.34981796</x:v>
      </x:c>
    </x:row>
    <x:row r="14" ht="18" customHeight="1">
      <x:c r="A14" s="46" t="str">
        <x:v>LME_038</x:v>
      </x:c>
      <x:c r="B14" s="46" t="str">
        <x:v>Indonesian Sea</x:v>
      </x:c>
      <x:c r="C14" s="46" t="str">
        <x:v>LME</x:v>
      </x:c>
      <x:c r="D14" s="58" t="n">
        <x:v>2019</x:v>
      </x:c>
      <x:c r="E14" s="46" t="str">
        <x:v>Nemipterus</x:v>
      </x:c>
      <x:c r="F14" s="46" t="str">
        <x:v>Threadfin breams</x:v>
      </x:c>
      <x:c r="G14" s="46" t="str">
        <x:v>Small demersals (&lt;30 cm)</x:v>
      </x:c>
      <x:c r="H14" s="46" t="str">
        <x:v>Perch-likes</x:v>
      </x:c>
      <x:c r="I14" s="60" t="n">
        <x:v>59157.976497653704</x:v>
      </x:c>
      <x:c r="J14" s="60" t="n">
        <x:v>55586.3511923625</x:v>
      </x:c>
      <x:c r="K14" s="60" t="n">
        <x:v>3571.6253052912</x:v>
      </x:c>
      <x:c r="L14" s="60" t="n">
        <x:v>53732.1515553311</x:v>
      </x:c>
      <x:c r="M14" s="60" t="n">
        <x:v>5425.824942322601</x:v>
      </x:c>
      <x:c r="N14" s="46" t="str">
        <x:v>nemipterus</x:v>
      </x:c>
      <x:c r="O14" s="62" t="n">
        <x:v>3.72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Nemipterus</x:v>
      </x:c>
      <x:c r="T14" s="62" t="n">
        <x:f>IF(O14="","",(1/'Metadata'!$B$5)^(O14-1))</x:f>
        <x:v>524.8074602497728</x:v>
      </x:c>
      <x:c r="U14" s="60" t="n">
        <x:f>IF(T14="","",I14*T14)</x:f>
        <x:v>31046547.39924939</x:v>
      </x:c>
    </x:row>
    <x:row r="15" ht="18" customHeight="1">
      <x:c r="A15" s="46" t="str">
        <x:v>LME_038</x:v>
      </x:c>
      <x:c r="B15" s="46" t="str">
        <x:v>Indonesian Sea</x:v>
      </x:c>
      <x:c r="C15" s="46" t="str">
        <x:v>LME</x:v>
      </x:c>
      <x:c r="D15" s="58" t="n">
        <x:v>2019</x:v>
      </x:c>
      <x:c r="E15" s="46" t="str">
        <x:v>Decapoda</x:v>
      </x:c>
      <x:c r="F15" s="46" t="str">
        <x:v>Crabs, lobsters, shrimps</x:v>
      </x:c>
      <x:c r="G15" s="46" t="str">
        <x:v>Lobsters, crabs</x:v>
      </x:c>
      <x:c r="H15" s="46" t="str">
        <x:v>Crustaceans</x:v>
      </x:c>
      <x:c r="I15" s="60" t="n">
        <x:v>57989.9274595429</x:v>
      </x:c>
      <x:c r="J15" s="60" t="n">
        <x:v>57496.7563675189</x:v>
      </x:c>
      <x:c r="K15" s="60" t="n">
        <x:v>493.171092024</x:v>
      </x:c>
      <x:c r="L15" s="60" t="n">
        <x:v>41849.5730828295</x:v>
      </x:c>
      <x:c r="M15" s="60" t="n">
        <x:v>16140.3543767134</x:v>
      </x:c>
      <x:c r="N15" s="46" t="str">
        <x:v>decapoda</x:v>
      </x:c>
      <x:c r="O15" s="62" t="n">
        <x:v>3.43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Decapoda</x:v>
      </x:c>
      <x:c r="T15" s="62" t="n">
        <x:f>IF(O15="","",(1/'Metadata'!$B$5)^(O15-1))</x:f>
        <x:v>269.1534803926917</x:v>
      </x:c>
      <x:c r="U15" s="60" t="n">
        <x:f>IF(T15="","",I15*T15)</x:f>
        <x:v>15608190.803455694</x:v>
      </x:c>
    </x:row>
    <x:row r="16" ht="18" customHeight="1">
      <x:c r="A16" s="46" t="str">
        <x:v>LME_038</x:v>
      </x:c>
      <x:c r="B16" s="46" t="str">
        <x:v>Indonesian Sea</x:v>
      </x:c>
      <x:c r="C16" s="46" t="str">
        <x:v>LME</x:v>
      </x:c>
      <x:c r="D16" s="58" t="n">
        <x:v>2019</x:v>
      </x:c>
      <x:c r="E16" s="46" t="str">
        <x:v>Caesionidae</x:v>
      </x:c>
      <x:c r="F16" s="46" t="str">
        <x:v>Fusiliers</x:v>
      </x:c>
      <x:c r="G16" s="46" t="str">
        <x:v>Medium reef assoc. fish (30 - 89 cm)</x:v>
      </x:c>
      <x:c r="H16" s="46" t="str">
        <x:v>Perch-likes</x:v>
      </x:c>
      <x:c r="I16" s="60" t="n">
        <x:v>55921.1433456967</x:v>
      </x:c>
      <x:c r="J16" s="60" t="n">
        <x:v>51690.1033858911</x:v>
      </x:c>
      <x:c r="K16" s="60" t="n">
        <x:v>4231.0399598056</x:v>
      </x:c>
      <x:c r="L16" s="60" t="n">
        <x:v>50448.241916824496</x:v>
      </x:c>
      <x:c r="M16" s="60" t="n">
        <x:v>5472.9014288722</x:v>
      </x:c>
      <x:c r="N16" s="46" t="str">
        <x:v>caesionidae</x:v>
      </x:c>
      <x:c r="O16" s="62" t="n">
        <x:v>3.39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Caesionidae</x:v>
      </x:c>
      <x:c r="T16" s="62" t="n">
        <x:f>IF(O16="","",(1/'Metadata'!$B$5)^(O16-1))</x:f>
        <x:v>245.4708915685031</x:v>
      </x:c>
      <x:c r="U16" s="60" t="n">
        <x:f>IF(T16="","",I16*T16)</x:f>
        <x:v>13727012.914598234</x:v>
      </x:c>
    </x:row>
    <x:row r="17" ht="18" customHeight="1">
      <x:c r="A17" s="46" t="str">
        <x:v>LME_038</x:v>
      </x:c>
      <x:c r="B17" s="46" t="str">
        <x:v>Indonesian Sea</x:v>
      </x:c>
      <x:c r="C17" s="46" t="str">
        <x:v>LME</x:v>
      </x:c>
      <x:c r="D17" s="58" t="n">
        <x:v>2019</x:v>
      </x:c>
      <x:c r="E17" s="46" t="str">
        <x:v>Miscellaneous marine crustaceans</x:v>
      </x:c>
      <x:c r="F17" s="46" t="str">
        <x:v>Marine crabs, shrimps, lobsters nei</x:v>
      </x:c>
      <x:c r="G17" s="46" t="str">
        <x:v>Shrimps</x:v>
      </x:c>
      <x:c r="H17" s="46" t="str">
        <x:v>Crustaceans</x:v>
      </x:c>
      <x:c r="I17" s="60" t="n">
        <x:v>54738.190751432805</x:v>
      </x:c>
      <x:c r="J17" s="60" t="n">
        <x:v>52645.0844345871</x:v>
      </x:c>
      <x:c r="K17" s="60" t="n">
        <x:v>2093.1063168457</x:v>
      </x:c>
      <x:c r="L17" s="60" t="n">
        <x:v>50188.493697568</x:v>
      </x:c>
      <x:c r="M17" s="60" t="n">
        <x:v>4549.6970538648</x:v>
      </x:c>
      <x:c r="N17" s="46" t="str">
        <x:v>miscellaneous marine crustaceans</x:v>
      </x:c>
      <x:c r="O17" s="62" t="n">
        <x:v>2.7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Miscellaneous marine crustaceans</x:v>
      </x:c>
      <x:c r="T17" s="62" t="n">
        <x:f>IF(O17="","",(1/'Metadata'!$B$5)^(O17-1))</x:f>
        <x:v>50.11872336272725</x:v>
      </x:c>
      <x:c r="U17" s="60" t="n">
        <x:f>IF(T17="","",I17*T17)</x:f>
        <x:v>2743408.239647256</x:v>
      </x:c>
    </x:row>
    <x:row r="18" ht="18" customHeight="1">
      <x:c r="A18" s="46" t="str">
        <x:v>LME_038</x:v>
      </x:c>
      <x:c r="B18" s="46" t="str">
        <x:v>Indonesian Sea</x:v>
      </x:c>
      <x:c r="C18" s="46" t="str">
        <x:v>LME</x:v>
      </x:c>
      <x:c r="D18" s="58" t="n">
        <x:v>2019</x:v>
      </x:c>
      <x:c r="E18" s="46" t="str">
        <x:v>Leiognathus</x:v>
      </x:c>
      <x:c r="F18" s="46" t="str">
        <x:v>Ponyfishes</x:v>
      </x:c>
      <x:c r="G18" s="46" t="str">
        <x:v>Small benthopelagics (&lt;30 cm)</x:v>
      </x:c>
      <x:c r="H18" s="46" t="str">
        <x:v>Perch-likes</x:v>
      </x:c>
      <x:c r="I18" s="60" t="n">
        <x:v>53676.3554798661</x:v>
      </x:c>
      <x:c r="J18" s="60" t="n">
        <x:v>44675.029627035</x:v>
      </x:c>
      <x:c r="K18" s="60" t="n">
        <x:v>9001.3258528311</x:v>
      </x:c>
      <x:c r="L18" s="60" t="n">
        <x:v>41495.7178437582</x:v>
      </x:c>
      <x:c r="M18" s="60" t="n">
        <x:v>12180.6376361079</x:v>
      </x:c>
      <x:c r="N18" s="46" t="str">
        <x:v>leiognathus</x:v>
      </x:c>
      <x:c r="O18" s="62" t="n">
        <x:v>3.22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Leiognathus</x:v>
      </x:c>
      <x:c r="T18" s="62" t="n">
        <x:f>IF(O18="","",(1/'Metadata'!$B$5)^(O18-1))</x:f>
        <x:v>165.95869074375614</x:v>
      </x:c>
      <x:c r="U18" s="60" t="n">
        <x:f>IF(T18="","",I18*T18)</x:f>
        <x:v>8908057.679335019</x:v>
      </x:c>
    </x:row>
    <x:row r="19" ht="18" customHeight="1">
      <x:c r="A19" s="46" t="str">
        <x:v>LME_038</x:v>
      </x:c>
      <x:c r="B19" s="46" t="str">
        <x:v>Indonesian Sea</x:v>
      </x:c>
      <x:c r="C19" s="46" t="str">
        <x:v>LME</x:v>
      </x:c>
      <x:c r="D19" s="58" t="n">
        <x:v>2019</x:v>
      </x:c>
      <x:c r="E19" s="46" t="str">
        <x:v>Caranx</x:v>
      </x:c>
      <x:c r="F19" s="46" t="str">
        <x:v>Jacks</x:v>
      </x:c>
      <x:c r="G19" s="46" t="str">
        <x:v>Medium reef assoc. fish (30 - 89 cm)</x:v>
      </x:c>
      <x:c r="H19" s="46" t="str">
        <x:v>Perch-likes</x:v>
      </x:c>
      <x:c r="I19" s="60" t="n">
        <x:v>52421.8611687492</x:v>
      </x:c>
      <x:c r="J19" s="60" t="n">
        <x:v>47015.3965840433</x:v>
      </x:c>
      <x:c r="K19" s="60" t="n">
        <x:v>5406.4645847059</x:v>
      </x:c>
      <x:c r="L19" s="60" t="n">
        <x:v>45391.339882846005</x:v>
      </x:c>
      <x:c r="M19" s="60" t="n">
        <x:v>7030.5212859032</x:v>
      </x:c>
      <x:c r="N19" s="46" t="str">
        <x:v>caranx</x:v>
      </x:c>
      <x:c r="O19" s="62" t="n">
        <x:v>4.12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Caranx</x:v>
      </x:c>
      <x:c r="T19" s="62" t="n">
        <x:f>IF(O19="","",(1/'Metadata'!$B$5)^(O19-1))</x:f>
        <x:v>1318.2567385564075</x:v>
      </x:c>
      <x:c r="U19" s="60" t="n">
        <x:f>IF(T19="","",I19*T19)</x:f>
        <x:v>69105471.7333721</x:v>
      </x:c>
    </x:row>
    <x:row r="20" ht="18" customHeight="1">
      <x:c r="A20" s="46" t="str">
        <x:v>LME_038</x:v>
      </x:c>
      <x:c r="B20" s="46" t="str">
        <x:v>Indonesian Sea</x:v>
      </x:c>
      <x:c r="C20" s="46" t="str">
        <x:v>LME</x:v>
      </x:c>
      <x:c r="D20" s="58" t="n">
        <x:v>2019</x:v>
      </x:c>
      <x:c r="E20" s="46" t="str">
        <x:v>Nemipterus hexodon</x:v>
      </x:c>
      <x:c r="F20" s="46" t="str">
        <x:v>Ornate threadfin bream</x:v>
      </x:c>
      <x:c r="G20" s="46" t="str">
        <x:v>Small demersals (&lt;30 cm)</x:v>
      </x:c>
      <x:c r="H20" s="46" t="str">
        <x:v>Perch-likes</x:v>
      </x:c>
      <x:c r="I20" s="60" t="n">
        <x:v>49294.186712987095</x:v>
      </x:c>
      <x:c r="J20" s="60" t="n">
        <x:v>46107.2228120792</x:v>
      </x:c>
      <x:c r="K20" s="60" t="n">
        <x:v>3186.9639009079</x:v>
      </x:c>
      <x:c r="L20" s="60" t="n">
        <x:v>45694.1429717133</x:v>
      </x:c>
      <x:c r="M20" s="60" t="n">
        <x:v>3600.0437412738</x:v>
      </x:c>
      <x:c r="N20" s="46" t="str">
        <x:v>nemipterus hexodon</x:v>
      </x:c>
      <x:c r="O20" s="62" t="n">
        <x:v>3.93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Nemipterus hexodon</x:v>
      </x:c>
      <x:c r="T20" s="62" t="n">
        <x:f>IF(O20="","",(1/'Metadata'!$B$5)^(O20-1))</x:f>
        <x:v>851.1380382023768</x:v>
      </x:c>
      <x:c r="U20" s="60" t="n">
        <x:f>IF(T20="","",I20*T20)</x:f>
        <x:v>41956157.373673506</x:v>
      </x:c>
    </x:row>
    <x:row r="21" ht="18" customHeight="1">
      <x:c r="A21" s="46" t="str">
        <x:v>LME_038</x:v>
      </x:c>
      <x:c r="B21" s="46" t="str">
        <x:v>Indonesian Sea</x:v>
      </x:c>
      <x:c r="C21" s="46" t="str">
        <x:v>LME</x:v>
      </x:c>
      <x:c r="D21" s="58" t="n">
        <x:v>2019</x:v>
      </x:c>
      <x:c r="E21" s="46" t="str">
        <x:v>Penaeus indicus</x:v>
      </x:c>
      <x:c r="F21" s="46" t="str">
        <x:v>Indian white prawn</x:v>
      </x:c>
      <x:c r="G21" s="46" t="str">
        <x:v>Shrimps</x:v>
      </x:c>
      <x:c r="H21" s="46" t="str">
        <x:v>Crustaceans</x:v>
      </x:c>
      <x:c r="I21" s="60" t="n">
        <x:v>42415.4627887642</x:v>
      </x:c>
      <x:c r="J21" s="60" t="n">
        <x:v>41541.4382884534</x:v>
      </x:c>
      <x:c r="K21" s="60" t="n">
        <x:v>874.0245003108</x:v>
      </x:c>
      <x:c r="L21" s="60" t="n">
        <x:v>40457.2807191795</x:v>
      </x:c>
      <x:c r="M21" s="60" t="n">
        <x:v>1958.1820695847</x:v>
      </x:c>
      <x:c r="N21" s="46" t="str">
        <x:v>penaeus indicus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Penaeus indicus</x:v>
      </x:c>
      <x:c r="T21" s="62" t="n">
        <x:f>IF(O21="","",(1/'Metadata'!$B$5)^(O21-1))</x:f>
        <x:v>50.11872336272725</x:v>
      </x:c>
      <x:c r="U21" s="60" t="n">
        <x:f>IF(T21="","",I21*T21)</x:f>
        <x:v>2125808.8458121247</x:v>
      </x:c>
    </x:row>
    <x:row r="22" ht="18" customHeight="1">
      <x:c r="A22" s="46" t="str">
        <x:v>LME_038</x:v>
      </x:c>
      <x:c r="B22" s="46" t="str">
        <x:v>Indonesian Sea</x:v>
      </x:c>
      <x:c r="C22" s="46" t="str">
        <x:v>LME</x:v>
      </x:c>
      <x:c r="D22" s="58" t="n">
        <x:v>2019</x:v>
      </x:c>
      <x:c r="E22" s="46" t="str">
        <x:v>Sciaenidae</x:v>
      </x:c>
      <x:c r="F22" s="46" t="str">
        <x:v>Drums, croakers</x:v>
      </x:c>
      <x:c r="G22" s="46" t="str">
        <x:v>Medium demersals (30 - 89 cm)</x:v>
      </x:c>
      <x:c r="H22" s="46" t="str">
        <x:v>Perch-likes</x:v>
      </x:c>
      <x:c r="I22" s="60" t="n">
        <x:v>41747.832141945204</x:v>
      </x:c>
      <x:c r="J22" s="60" t="n">
        <x:v>38053.5728056347</x:v>
      </x:c>
      <x:c r="K22" s="60" t="n">
        <x:v>3694.2593363104997</x:v>
      </x:c>
      <x:c r="L22" s="60" t="n">
        <x:v>36204.8248788363</x:v>
      </x:c>
      <x:c r="M22" s="60" t="n">
        <x:v>5543.0072631089</x:v>
      </x:c>
      <x:c r="N22" s="46" t="str">
        <x:v>sciaenidae</x:v>
      </x:c>
      <x:c r="O22" s="62" t="n">
        <x:v>3.76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Sciaenidae</x:v>
      </x:c>
      <x:c r="T22" s="62" t="n">
        <x:f>IF(O22="","",(1/'Metadata'!$B$5)^(O22-1))</x:f>
        <x:v>575.4399373371566</x:v>
      </x:c>
      <x:c r="U22" s="60" t="n">
        <x:f>IF(T22="","",I22*T22)</x:f>
        <x:v>24023369.91172308</x:v>
      </x:c>
    </x:row>
    <x:row r="23" ht="18" customHeight="1">
      <x:c r="A23" s="46" t="str">
        <x:v>LME_038</x:v>
      </x:c>
      <x:c r="B23" s="46" t="str">
        <x:v>Indonesian Sea</x:v>
      </x:c>
      <x:c r="C23" s="46" t="str">
        <x:v>LME</x:v>
      </x:c>
      <x:c r="D23" s="58" t="n">
        <x:v>2019</x:v>
      </x:c>
      <x:c r="E23" s="46" t="str">
        <x:v>Parastromateus niger</x:v>
      </x:c>
      <x:c r="F23" s="46" t="str">
        <x:v>Black pomfret</x:v>
      </x:c>
      <x:c r="G23" s="46" t="str">
        <x:v>Medium benthopelagics (30 - 89 cm)</x:v>
      </x:c>
      <x:c r="H23" s="46" t="str">
        <x:v>Perch-likes</x:v>
      </x:c>
      <x:c r="I23" s="60" t="n">
        <x:v>39418.7142473137</x:v>
      </x:c>
      <x:c r="J23" s="60" t="n">
        <x:v>39222.176548581505</x:v>
      </x:c>
      <x:c r="K23" s="60" t="n">
        <x:v>196.5376987322</x:v>
      </x:c>
      <x:c r="L23" s="60" t="n">
        <x:v>37581.9912907124</x:v>
      </x:c>
      <x:c r="M23" s="60" t="n">
        <x:v>1836.7229566013</x:v>
      </x:c>
      <x:c r="N23" s="46" t="str">
        <x:v>parastromateus niger</x:v>
      </x:c>
      <x:c r="O23" s="62" t="n">
        <x:v>2.93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Parastromateus niger</x:v>
      </x:c>
      <x:c r="T23" s="62" t="n">
        <x:f>IF(O23="","",(1/'Metadata'!$B$5)^(O23-1))</x:f>
        <x:v>85.11380382023768</x:v>
      </x:c>
      <x:c r="U23" s="60" t="n">
        <x:f>IF(T23="","",I23*T23)</x:f>
        <x:v>3355076.711291866</x:v>
      </x:c>
    </x:row>
    <x:row r="24" ht="18" customHeight="1">
      <x:c r="A24" s="46" t="str">
        <x:v>LME_038</x:v>
      </x:c>
      <x:c r="B24" s="46" t="str">
        <x:v>Indonesian Sea</x:v>
      </x:c>
      <x:c r="C24" s="46" t="str">
        <x:v>LME</x:v>
      </x:c>
      <x:c r="D24" s="58" t="n">
        <x:v>2019</x:v>
      </x:c>
      <x:c r="E24" s="46" t="str">
        <x:v>Cephalopholis boenak</x:v>
      </x:c>
      <x:c r="F24" s="46" t="str">
        <x:v>Chocolate hind</x:v>
      </x:c>
      <x:c r="G24" s="46" t="str">
        <x:v>Small reef assoc. fish (&lt;30 cm)</x:v>
      </x:c>
      <x:c r="H24" s="46" t="str">
        <x:v>Perch-likes</x:v>
      </x:c>
      <x:c r="I24" s="60" t="n">
        <x:v>37364.7942857047</x:v>
      </x:c>
      <x:c r="J24" s="60" t="n">
        <x:v>33791.1580257814</x:v>
      </x:c>
      <x:c r="K24" s="60" t="n">
        <x:v>3573.6362599233</x:v>
      </x:c>
      <x:c r="L24" s="60" t="n">
        <x:v>31628.065791177</x:v>
      </x:c>
      <x:c r="M24" s="60" t="n">
        <x:v>5736.7284945277</x:v>
      </x:c>
      <x:c r="N24" s="46" t="str">
        <x:v>cephalopholis boenak</x:v>
      </x:c>
      <x:c r="O24" s="62" t="n">
        <x:v>4.07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Cephalopholis boenak</x:v>
      </x:c>
      <x:c r="T24" s="62" t="n">
        <x:f>IF(O24="","",(1/'Metadata'!$B$5)^(O24-1))</x:f>
        <x:v>1174.8975549395302</x:v>
      </x:c>
      <x:c r="U24" s="60" t="n">
        <x:f>IF(T24="","",I24*T24)</x:f>
        <x:v>43899805.44709299</x:v>
      </x:c>
    </x:row>
    <x:row r="25" ht="18" customHeight="1">
      <x:c r="A25" s="46" t="str">
        <x:v>LME_038</x:v>
      </x:c>
      <x:c r="B25" s="46" t="str">
        <x:v>Indonesian Sea</x:v>
      </x:c>
      <x:c r="C25" s="46" t="str">
        <x:v>LME</x:v>
      </x:c>
      <x:c r="D25" s="58" t="n">
        <x:v>2019</x:v>
      </x:c>
      <x:c r="E25" s="46" t="str">
        <x:v>Trichiuridae</x:v>
      </x:c>
      <x:c r="F25" s="46" t="str">
        <x:v>Cutlassfishes</x:v>
      </x:c>
      <x:c r="G25" s="46" t="str">
        <x:v>Large benthopelagics (&gt;=90 cm)</x:v>
      </x:c>
      <x:c r="H25" s="46" t="str">
        <x:v>Perch-likes</x:v>
      </x:c>
      <x:c r="I25" s="60" t="n">
        <x:v>36274.3690099828</x:v>
      </x:c>
      <x:c r="J25" s="60" t="n">
        <x:v>33285.9334673146</x:v>
      </x:c>
      <x:c r="K25" s="60" t="n">
        <x:v>2988.4355426682</x:v>
      </x:c>
      <x:c r="L25" s="60" t="n">
        <x:v>31899.1022028832</x:v>
      </x:c>
      <x:c r="M25" s="60" t="n">
        <x:v>4375.266807099601</x:v>
      </x:c>
      <x:c r="N25" s="46" t="str">
        <x:v>trichiuridae</x:v>
      </x:c>
      <x:c r="O25" s="62" t="n">
        <x:v>4.15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Trichiuridae</x:v>
      </x:c>
      <x:c r="T25" s="62" t="n">
        <x:f>IF(O25="","",(1/'Metadata'!$B$5)^(O25-1))</x:f>
        <x:v>1412.5375446227554</x:v>
      </x:c>
      <x:c r="U25" s="60" t="n">
        <x:f>IF(T25="","",I25*T25)</x:f>
        <x:v>51238908.13410088</x:v>
      </x:c>
    </x:row>
    <x:row r="26" ht="18" customHeight="1">
      <x:c r="A26" s="46" t="str">
        <x:v>LME_038</x:v>
      </x:c>
      <x:c r="B26" s="46" t="str">
        <x:v>Indonesian Sea</x:v>
      </x:c>
      <x:c r="C26" s="46" t="str">
        <x:v>LME</x:v>
      </x:c>
      <x:c r="D26" s="58" t="n">
        <x:v>2019</x:v>
      </x:c>
      <x:c r="E26" s="46" t="str">
        <x:v>Mugilidae</x:v>
      </x:c>
      <x:c r="F26" s="46" t="str">
        <x:v>Mullets, grey mullets</x:v>
      </x:c>
      <x:c r="G26" s="46" t="str">
        <x:v>Medium reef assoc. fish (30 - 89 cm)</x:v>
      </x:c>
      <x:c r="H26" s="46" t="str">
        <x:v>Perch-likes</x:v>
      </x:c>
      <x:c r="I26" s="60" t="n">
        <x:v>33675.7852896808</x:v>
      </x:c>
      <x:c r="J26" s="60" t="n">
        <x:v>29244.5102560384</x:v>
      </x:c>
      <x:c r="K26" s="60" t="n">
        <x:v>4431.2750336424</x:v>
      </x:c>
      <x:c r="L26" s="60" t="n">
        <x:v>27455.315566449703</x:v>
      </x:c>
      <x:c r="M26" s="60" t="n">
        <x:v>6220.4697232311</x:v>
      </x:c>
      <x:c r="N26" s="46" t="str">
        <x:v>mugilidae</x:v>
      </x:c>
      <x:c r="O26" s="62" t="n">
        <x:v>2.53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Mugilidae</x:v>
      </x:c>
      <x:c r="T26" s="62" t="n">
        <x:f>IF(O26="","",(1/'Metadata'!$B$5)^(O26-1))</x:f>
        <x:v>33.88441561392024</x:v>
      </x:c>
      <x:c r="U26" s="60" t="n">
        <x:f>IF(T26="","",I26*T26)</x:f>
        <x:v>1141084.3048806856</x:v>
      </x:c>
    </x:row>
    <x:row r="27" ht="18" customHeight="1">
      <x:c r="A27" s="46" t="str">
        <x:v>LME_038</x:v>
      </x:c>
      <x:c r="B27" s="46" t="str">
        <x:v>Indonesian Sea</x:v>
      </x:c>
      <x:c r="C27" s="46" t="str">
        <x:v>LME</x:v>
      </x:c>
      <x:c r="D27" s="58" t="n">
        <x:v>2019</x:v>
      </x:c>
      <x:c r="E27" s="46" t="str">
        <x:v>Lethrinidae</x:v>
      </x:c>
      <x:c r="F27" s="46" t="str">
        <x:v>Emperors, scavengers</x:v>
      </x:c>
      <x:c r="G27" s="46" t="str">
        <x:v>Medium reef assoc. fish (30 - 89 cm)</x:v>
      </x:c>
      <x:c r="H27" s="46" t="str">
        <x:v>Perch-likes</x:v>
      </x:c>
      <x:c r="I27" s="60" t="n">
        <x:v>33347.592873964</x:v>
      </x:c>
      <x:c r="J27" s="60" t="n">
        <x:v>33181.8853016374</x:v>
      </x:c>
      <x:c r="K27" s="60" t="n">
        <x:v>165.7075723266</x:v>
      </x:c>
      <x:c r="L27" s="60" t="n">
        <x:v>31402.8630267774</x:v>
      </x:c>
      <x:c r="M27" s="60" t="n">
        <x:v>1944.7298471866</x:v>
      </x:c>
      <x:c r="N27" s="46" t="str">
        <x:v>lethrinidae</x:v>
      </x:c>
      <x:c r="O27" s="62" t="n">
        <x:v>3.59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Lethrinidae</x:v>
      </x:c>
      <x:c r="T27" s="62" t="n">
        <x:f>IF(O27="","",(1/'Metadata'!$B$5)^(O27-1))</x:f>
        <x:v>389.04514499428046</x:v>
      </x:c>
      <x:c r="U27" s="60" t="n">
        <x:f>IF(T27="","",I27*T27)</x:f>
        <x:v>12973719.10486156</x:v>
      </x:c>
    </x:row>
    <x:row r="28" ht="18" customHeight="1">
      <x:c r="A28" s="46" t="str">
        <x:v>LME_038</x:v>
      </x:c>
      <x:c r="B28" s="46" t="str">
        <x:v>Indonesian Sea</x:v>
      </x:c>
      <x:c r="C28" s="46" t="str">
        <x:v>LME</x:v>
      </x:c>
      <x:c r="D28" s="58" t="n">
        <x:v>2019</x:v>
      </x:c>
      <x:c r="E28" s="46" t="str">
        <x:v>Mollusca</x:v>
      </x:c>
      <x:c r="F28" s="46" t="str">
        <x:v>Clams, seasnails, squids, octopuses</x:v>
      </x:c>
      <x:c r="G28" s="46" t="str">
        <x:v>Other demersal invertebrates</x:v>
      </x:c>
      <x:c r="H28" s="46" t="str">
        <x:v>Molluscs</x:v>
      </x:c>
      <x:c r="I28" s="60" t="n">
        <x:v>30698.2990798193</x:v>
      </x:c>
      <x:c r="J28" s="60" t="n">
        <x:v>30221.607921444098</x:v>
      </x:c>
      <x:c r="K28" s="60" t="n">
        <x:v>476.6911583752</x:v>
      </x:c>
      <x:c r="L28" s="60" t="n">
        <x:v>28644.2262100478</x:v>
      </x:c>
      <x:c r="M28" s="60" t="n">
        <x:v>2054.0728697715</x:v>
      </x:c>
      <x:c r="N28" s="46" t="str">
        <x:v>mollusca</x:v>
      </x:c>
      <x:c r="O28" s="62" t="n">
        <x:v>2.1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Mollusca</x:v>
      </x:c>
      <x:c r="T28" s="62" t="n">
        <x:f>IF(O28="","",(1/'Metadata'!$B$5)^(O28-1))</x:f>
        <x:v>12.589254117941675</x:v>
      </x:c>
      <x:c r="U28" s="60" t="n">
        <x:f>IF(T28="","",I28*T28)</x:f>
        <x:v>386468.6881044202</x:v>
      </x:c>
    </x:row>
    <x:row r="29" ht="18" customHeight="1">
      <x:c r="A29" s="46" t="str">
        <x:v>LME_038</x:v>
      </x:c>
      <x:c r="B29" s="46" t="str">
        <x:v>Indonesian Sea</x:v>
      </x:c>
      <x:c r="C29" s="46" t="str">
        <x:v>LME</x:v>
      </x:c>
      <x:c r="D29" s="58" t="n">
        <x:v>2019</x:v>
      </x:c>
      <x:c r="E29" s="46" t="str">
        <x:v>Hemiramphus</x:v>
      </x:c>
      <x:c r="F29" s="46" t="str">
        <x:v>Halfbeaks</x:v>
      </x:c>
      <x:c r="G29" s="46" t="str">
        <x:v>Medium pelagics (30 - 89 cm)</x:v>
      </x:c>
      <x:c r="H29" s="46" t="str">
        <x:v>Other fishes &amp; inverts</x:v>
      </x:c>
      <x:c r="I29" s="60" t="n">
        <x:v>30691.631999302503</x:v>
      </x:c>
      <x:c r="J29" s="60" t="n">
        <x:v>23406.382500390904</x:v>
      </x:c>
      <x:c r="K29" s="60" t="n">
        <x:v>7285.2494989116</x:v>
      </x:c>
      <x:c r="L29" s="60" t="n">
        <x:v>21983.613418283203</x:v>
      </x:c>
      <x:c r="M29" s="60" t="n">
        <x:v>8708.0185810193</x:v>
      </x:c>
      <x:c r="N29" s="46" t="str">
        <x:v>hemiramphus</x:v>
      </x:c>
      <x:c r="O29" s="62" t="n">
        <x:v>3.05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Hemiramphus</x:v>
      </x:c>
      <x:c r="T29" s="62" t="n">
        <x:f>IF(O29="","",(1/'Metadata'!$B$5)^(O29-1))</x:f>
        <x:v>112.2018454301963</x:v>
      </x:c>
      <x:c r="U29" s="60" t="n">
        <x:f>IF(T29="","",I29*T29)</x:f>
        <x:v>3443657.749586206</x:v>
      </x:c>
    </x:row>
    <x:row r="30" ht="18" customHeight="1">
      <x:c r="A30" s="46" t="str">
        <x:v>LME_038</x:v>
      </x:c>
      <x:c r="B30" s="46" t="str">
        <x:v>Indonesian Sea</x:v>
      </x:c>
      <x:c r="C30" s="46" t="str">
        <x:v>LME</x:v>
      </x:c>
      <x:c r="D30" s="58" t="n">
        <x:v>2019</x:v>
      </x:c>
      <x:c r="E30" s="46" t="str">
        <x:v>Polynemidae</x:v>
      </x:c>
      <x:c r="F30" s="46" t="str">
        <x:v>Threadfins</x:v>
      </x:c>
      <x:c r="G30" s="46" t="str">
        <x:v>Small demersals (&lt;30 cm)</x:v>
      </x:c>
      <x:c r="H30" s="46" t="str">
        <x:v>Perch-likes</x:v>
      </x:c>
      <x:c r="I30" s="60" t="n">
        <x:v>27381.972510618798</x:v>
      </x:c>
      <x:c r="J30" s="60" t="n">
        <x:v>23121.8570540444</x:v>
      </x:c>
      <x:c r="K30" s="60" t="n">
        <x:v>4260.1154565744</x:v>
      </x:c>
      <x:c r="L30" s="60" t="n">
        <x:v>21726.331411627998</x:v>
      </x:c>
      <x:c r="M30" s="60" t="n">
        <x:v>5655.641098990801</x:v>
      </x:c>
      <x:c r="N30" s="46" t="str">
        <x:v>polynemidae</x:v>
      </x:c>
      <x:c r="O30" s="62" t="n">
        <x:v>3.62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Polynemidae</x:v>
      </x:c>
      <x:c r="T30" s="62" t="n">
        <x:f>IF(O30="","",(1/'Metadata'!$B$5)^(O30-1))</x:f>
        <x:v>416.8693834703355</x:v>
      </x:c>
      <x:c r="U30" s="60" t="n">
        <x:f>IF(T30="","",I30*T30)</x:f>
        <x:v>11414705.998703333</x:v>
      </x:c>
    </x:row>
    <x:row r="31" ht="18" customHeight="1">
      <x:c r="A31" s="46" t="str">
        <x:v>LME_038</x:v>
      </x:c>
      <x:c r="B31" s="46" t="str">
        <x:v>Indonesian Sea</x:v>
      </x:c>
      <x:c r="C31" s="46" t="str">
        <x:v>LME</x:v>
      </x:c>
      <x:c r="D31" s="58" t="n">
        <x:v>2019</x:v>
      </x:c>
      <x:c r="E31" s="46" t="str">
        <x:v>Megalaspis cordyla</x:v>
      </x:c>
      <x:c r="F31" s="46" t="str">
        <x:v>Torpedo scad</x:v>
      </x:c>
      <x:c r="G31" s="46" t="str">
        <x:v>Medium pelagics (30 - 89 cm)</x:v>
      </x:c>
      <x:c r="H31" s="46" t="str">
        <x:v>Perch-likes</x:v>
      </x:c>
      <x:c r="I31" s="60" t="n">
        <x:v>25700.5069996287</x:v>
      </x:c>
      <x:c r="J31" s="60" t="n">
        <x:v>25605.4609487528</x:v>
      </x:c>
      <x:c r="K31" s="60" t="n">
        <x:v>95.0460508759</x:v>
      </x:c>
      <x:c r="L31" s="60" t="n">
        <x:v>25196.6333478958</x:v>
      </x:c>
      <x:c r="M31" s="60" t="n">
        <x:v>503.8736517329</x:v>
      </x:c>
      <x:c r="N31" s="46" t="str">
        <x:v>megalaspis cordyla</x:v>
      </x:c>
      <x:c r="O31" s="62" t="n">
        <x:v>4.24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Megalaspis cordyla</x:v>
      </x:c>
      <x:c r="T31" s="62" t="n">
        <x:f>IF(O31="","",(1/'Metadata'!$B$5)^(O31-1))</x:f>
        <x:v>1737.8008287493763</x:v>
      </x:c>
      <x:c r="U31" s="60" t="n">
        <x:f>IF(T31="","",I31*T31)</x:f>
        <x:v>44662362.363233894</x:v>
      </x:c>
    </x:row>
    <x:row r="32" ht="18" customHeight="1">
      <x:c r="A32" s="46" t="str">
        <x:v>LME_038</x:v>
      </x:c>
      <x:c r="B32" s="46" t="str">
        <x:v>Indonesian Sea</x:v>
      </x:c>
      <x:c r="C32" s="46" t="str">
        <x:v>LME</x:v>
      </x:c>
      <x:c r="D32" s="58" t="n">
        <x:v>2019</x:v>
      </x:c>
      <x:c r="E32" s="46" t="str">
        <x:v>Pampus argenteus</x:v>
      </x:c>
      <x:c r="F32" s="46" t="str">
        <x:v>Silver pomfret</x:v>
      </x:c>
      <x:c r="G32" s="46" t="str">
        <x:v>Medium benthopelagics (30 - 89 cm)</x:v>
      </x:c>
      <x:c r="H32" s="46" t="str">
        <x:v>Perch-likes</x:v>
      </x:c>
      <x:c r="I32" s="60" t="n">
        <x:v>22130.714402066198</x:v>
      </x:c>
      <x:c r="J32" s="60" t="n">
        <x:v>22011.2223470591</x:v>
      </x:c>
      <x:c r="K32" s="60" t="n">
        <x:v>119.4920550071</x:v>
      </x:c>
      <x:c r="L32" s="60" t="n">
        <x:v>21293.014775880798</x:v>
      </x:c>
      <x:c r="M32" s="60" t="n">
        <x:v>837.6996261854</x:v>
      </x:c>
      <x:c r="N32" s="46" t="str">
        <x:v>pampus argenteus</x:v>
      </x:c>
      <x:c r="O32" s="62" t="n">
        <x:v>3.3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Pampus argenteus</x:v>
      </x:c>
      <x:c r="T32" s="62" t="n">
        <x:f>IF(O32="","",(1/'Metadata'!$B$5)^(O32-1))</x:f>
        <x:v>199.52623149688787</x:v>
      </x:c>
      <x:c r="U32" s="60" t="n">
        <x:f>IF(T32="","",I32*T32)</x:f>
        <x:v>4415658.044978171</x:v>
      </x:c>
    </x:row>
    <x:row r="33" ht="18" customHeight="1">
      <x:c r="A33" s="46" t="str">
        <x:v>LME_038</x:v>
      </x:c>
      <x:c r="B33" s="46" t="str">
        <x:v>Indonesian Sea</x:v>
      </x:c>
      <x:c r="C33" s="46" t="str">
        <x:v>LME</x:v>
      </x:c>
      <x:c r="D33" s="58" t="n">
        <x:v>2019</x:v>
      </x:c>
      <x:c r="E33" s="46" t="str">
        <x:v>Carcharhinidae</x:v>
      </x:c>
      <x:c r="F33" s="46" t="str">
        <x:v>Requiem sharks</x:v>
      </x:c>
      <x:c r="G33" s="46" t="str">
        <x:v>Large sharks (&gt;=90 cm)</x:v>
      </x:c>
      <x:c r="H33" s="46" t="str">
        <x:v>Sharks &amp; rays</x:v>
      </x:c>
      <x:c r="I33" s="60" t="n">
        <x:v>19178.5406697604</x:v>
      </x:c>
      <x:c r="J33" s="60" t="n">
        <x:v>16856.5517772209</x:v>
      </x:c>
      <x:c r="K33" s="60" t="n">
        <x:v>2321.9888925395</x:v>
      </x:c>
      <x:c r="L33" s="60" t="n">
        <x:v>15724.9806100354</x:v>
      </x:c>
      <x:c r="M33" s="60" t="n">
        <x:v>3453.560059725</x:v>
      </x:c>
      <x:c r="N33" s="46" t="str">
        <x:v>carcharhinidae</x:v>
      </x:c>
      <x:c r="O33" s="62" t="n">
        <x:v>4.24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Carcharhinidae</x:v>
      </x:c>
      <x:c r="T33" s="62" t="n">
        <x:f>IF(O33="","",(1/'Metadata'!$B$5)^(O33-1))</x:f>
        <x:v>1737.8008287493763</x:v>
      </x:c>
      <x:c r="U33" s="60" t="n">
        <x:f>IF(T33="","",I33*T33)</x:f>
        <x:v>33328483.870113242</x:v>
      </x:c>
    </x:row>
    <x:row r="34" ht="18" customHeight="1">
      <x:c r="A34" s="46" t="str">
        <x:v>LME_038</x:v>
      </x:c>
      <x:c r="B34" s="46" t="str">
        <x:v>Indonesian Sea</x:v>
      </x:c>
      <x:c r="C34" s="46" t="str">
        <x:v>LME</x:v>
      </x:c>
      <x:c r="D34" s="58" t="n">
        <x:v>2019</x:v>
      </x:c>
      <x:c r="E34" s="46" t="str">
        <x:v>Penaeus</x:v>
      </x:c>
      <x:c r="F34" s="46" t="str">
        <x:v>Tiger prawns</x:v>
      </x:c>
      <x:c r="G34" s="46" t="str">
        <x:v>Shrimps</x:v>
      </x:c>
      <x:c r="H34" s="46" t="str">
        <x:v>Crustaceans</x:v>
      </x:c>
      <x:c r="I34" s="60" t="n">
        <x:v>17859.6747968276</x:v>
      </x:c>
      <x:c r="J34" s="60" t="n">
        <x:v>17466.831830801</x:v>
      </x:c>
      <x:c r="K34" s="60" t="n">
        <x:v>392.84296602660004</x:v>
      </x:c>
      <x:c r="L34" s="60" t="n">
        <x:v>17274.7312286566</x:v>
      </x:c>
      <x:c r="M34" s="60" t="n">
        <x:v>584.943568171</x:v>
      </x:c>
      <x:c r="N34" s="46" t="str">
        <x:v>penaeus</x:v>
      </x:c>
      <x:c r="O34" s="62" t="n">
        <x:v>2.7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Penaeus</x:v>
      </x:c>
      <x:c r="T34" s="62" t="n">
        <x:f>IF(O34="","",(1/'Metadata'!$B$5)^(O34-1))</x:f>
        <x:v>50.11872336272725</x:v>
      </x:c>
      <x:c r="U34" s="60" t="n">
        <x:f>IF(T34="","",I34*T34)</x:f>
        <x:v>895104.1004904745</x:v>
      </x:c>
    </x:row>
    <x:row r="35" ht="18" customHeight="1">
      <x:c r="A35" s="46" t="str">
        <x:v>LME_038</x:v>
      </x:c>
      <x:c r="B35" s="46" t="str">
        <x:v>Indonesian Sea</x:v>
      </x:c>
      <x:c r="C35" s="46" t="str">
        <x:v>LME</x:v>
      </x:c>
      <x:c r="D35" s="58" t="n">
        <x:v>2019</x:v>
      </x:c>
      <x:c r="E35" s="46" t="str">
        <x:v>Metapenaeus</x:v>
      </x:c>
      <x:c r="F35" s="46" t="str">
        <x:v>Indo-Pacific prawns</x:v>
      </x:c>
      <x:c r="G35" s="46" t="str">
        <x:v>Shrimps</x:v>
      </x:c>
      <x:c r="H35" s="46" t="str">
        <x:v>Crustaceans</x:v>
      </x:c>
      <x:c r="I35" s="60" t="n">
        <x:v>16097.851754633799</x:v>
      </x:c>
      <x:c r="J35" s="60" t="n">
        <x:v>15846.651189473898</x:v>
      </x:c>
      <x:c r="K35" s="60" t="n">
        <x:v>251.2005651599</x:v>
      </x:c>
      <x:c r="L35" s="60" t="n">
        <x:v>15520.8873492919</x:v>
      </x:c>
      <x:c r="M35" s="60" t="n">
        <x:v>576.9644053419</x:v>
      </x:c>
      <x:c r="N35" s="46" t="str">
        <x:v>metapenaeus</x:v>
      </x:c>
      <x:c r="O35" s="62" t="n">
        <x:v>2.7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Metapenaeus</x:v>
      </x:c>
      <x:c r="T35" s="62" t="n">
        <x:f>IF(O35="","",(1/'Metadata'!$B$5)^(O35-1))</x:f>
        <x:v>50.11872336272725</x:v>
      </x:c>
      <x:c r="U35" s="60" t="n">
        <x:f>IF(T35="","",I35*T35)</x:f>
        <x:v>806803.7788246849</x:v>
      </x:c>
    </x:row>
    <x:row r="36" ht="18" customHeight="1">
      <x:c r="A36" s="46" t="str">
        <x:v>LME_038</x:v>
      </x:c>
      <x:c r="B36" s="46" t="str">
        <x:v>Indonesian Sea</x:v>
      </x:c>
      <x:c r="C36" s="46" t="str">
        <x:v>LME</x:v>
      </x:c>
      <x:c r="D36" s="58" t="n">
        <x:v>2019</x:v>
      </x:c>
      <x:c r="E36" s="46" t="str">
        <x:v>Siganus</x:v>
      </x:c>
      <x:c r="F36" s="46" t="str">
        <x:v>Spinefoots</x:v>
      </x:c>
      <x:c r="G36" s="46" t="str">
        <x:v>Medium reef assoc. fish (30 - 89 cm)</x:v>
      </x:c>
      <x:c r="H36" s="46" t="str">
        <x:v>Perch-likes</x:v>
      </x:c>
      <x:c r="I36" s="60" t="n">
        <x:v>14645.0120466308</x:v>
      </x:c>
      <x:c r="J36" s="60" t="n">
        <x:v>12171.1800906056</x:v>
      </x:c>
      <x:c r="K36" s="60" t="n">
        <x:v>2473.8319560252</x:v>
      </x:c>
      <x:c r="L36" s="60" t="n">
        <x:v>11629.0494363658</x:v>
      </x:c>
      <x:c r="M36" s="60" t="n">
        <x:v>3015.962610265</x:v>
      </x:c>
      <x:c r="N36" s="46" t="str">
        <x:v>siganus</x:v>
      </x:c>
      <x:c r="O36" s="62" t="n">
        <x:v>2.11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Siganus</x:v>
      </x:c>
      <x:c r="T36" s="62" t="n">
        <x:f>IF(O36="","",(1/'Metadata'!$B$5)^(O36-1))</x:f>
        <x:v>12.882495516931336</x:v>
      </x:c>
      <x:c r="U36" s="60" t="n">
        <x:f>IF(T36="","",I36*T36)</x:f>
        <x:v>188664.3020361267</x:v>
      </x:c>
    </x:row>
    <x:row r="37" ht="18" customHeight="1">
      <x:c r="A37" s="46" t="str">
        <x:v>LME_038</x:v>
      </x:c>
      <x:c r="B37" s="46" t="str">
        <x:v>Indonesian Sea</x:v>
      </x:c>
      <x:c r="C37" s="46" t="str">
        <x:v>LME</x:v>
      </x:c>
      <x:c r="D37" s="58" t="n">
        <x:v>2019</x:v>
      </x:c>
      <x:c r="E37" s="46" t="str">
        <x:v>Tegillarca granosa</x:v>
      </x:c>
      <x:c r="F37" s="46" t="str">
        <x:v>Granular ark</x:v>
      </x:c>
      <x:c r="G37" s="46" t="str">
        <x:v>Other demersal invertebrates</x:v>
      </x:c>
      <x:c r="H37" s="46" t="str">
        <x:v>Molluscs</x:v>
      </x:c>
      <x:c r="I37" s="60" t="n">
        <x:v>12398.781668574002</x:v>
      </x:c>
      <x:c r="J37" s="60" t="n">
        <x:v>12100.482458837001</x:v>
      </x:c>
      <x:c r="K37" s="60" t="n">
        <x:v>298.299209737</x:v>
      </x:c>
      <x:c r="L37" s="60" t="n">
        <x:v>12100.482458837001</x:v>
      </x:c>
      <x:c r="M37" s="60" t="n">
        <x:v>298.299209737</x:v>
      </x:c>
      <x:c r="N37" s="46" t="str">
        <x:v>tegillarca granosa</x:v>
      </x:c>
      <x:c r="O37" s="62" t="n">
        <x:v>2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Tegillarca granosa</x:v>
      </x:c>
      <x:c r="T37" s="62" t="n">
        <x:f>IF(O37="","",(1/'Metadata'!$B$5)^(O37-1))</x:f>
        <x:v>10</x:v>
      </x:c>
      <x:c r="U37" s="60" t="n">
        <x:f>IF(T37="","",I37*T37)</x:f>
        <x:v>123987.81668574002</x:v>
      </x:c>
    </x:row>
    <x:row r="38" ht="18" customHeight="1">
      <x:c r="A38" s="46" t="str">
        <x:v>LME_038</x:v>
      </x:c>
      <x:c r="B38" s="46" t="str">
        <x:v>Indonesian Sea</x:v>
      </x:c>
      <x:c r="C38" s="46" t="str">
        <x:v>LME</x:v>
      </x:c>
      <x:c r="D38" s="58" t="n">
        <x:v>2019</x:v>
      </x:c>
      <x:c r="E38" s="46" t="str">
        <x:v>Cypselurus poecilopterus</x:v>
      </x:c>
      <x:c r="F38" s="46" t="str">
        <x:v>Yellowing flyingfish</x:v>
      </x:c>
      <x:c r="G38" s="46" t="str">
        <x:v>Small pelagics (&lt;30 cm)</x:v>
      </x:c>
      <x:c r="H38" s="46" t="str">
        <x:v>Other fishes &amp; inverts</x:v>
      </x:c>
      <x:c r="I38" s="60" t="n">
        <x:v>11840.7173148535</x:v>
      </x:c>
      <x:c r="J38" s="60" t="n">
        <x:v>10986.6617553575</x:v>
      </x:c>
      <x:c r="K38" s="60" t="n">
        <x:v>854.055559496</x:v>
      </x:c>
      <x:c r="L38" s="60" t="n">
        <x:v>10385.4649359634</x:v>
      </x:c>
      <x:c r="M38" s="60" t="n">
        <x:v>1455.2523788901</x:v>
      </x:c>
      <x:c r="N38" s="46" t="str">
        <x:v>cypselurus poecilopterus</x:v>
      </x:c>
      <x:c r="O38" s="62" t="n">
        <x:v>3.4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Cypselurus poecilopterus</x:v>
      </x:c>
      <x:c r="T38" s="62" t="n">
        <x:f>IF(O38="","",(1/'Metadata'!$B$5)^(O38-1))</x:f>
        <x:v>251.18864315095797</x:v>
      </x:c>
      <x:c r="U38" s="60" t="n">
        <x:f>IF(T38="","",I38*T38)</x:f>
        <x:v>2974253.7162521053</x:v>
      </x:c>
    </x:row>
    <x:row r="39" ht="18" customHeight="1">
      <x:c r="A39" s="46" t="str">
        <x:v>LME_038</x:v>
      </x:c>
      <x:c r="B39" s="46" t="str">
        <x:v>Indonesian Sea</x:v>
      </x:c>
      <x:c r="C39" s="46" t="str">
        <x:v>LME</x:v>
      </x:c>
      <x:c r="D39" s="58" t="n">
        <x:v>2019</x:v>
      </x:c>
      <x:c r="E39" s="46" t="str">
        <x:v>Katsuwonus pelamis</x:v>
      </x:c>
      <x:c r="F39" s="46" t="str">
        <x:v>Skipjack tuna</x:v>
      </x:c>
      <x:c r="G39" s="46" t="str">
        <x:v>Large pelagics (&gt;=90 cm)</x:v>
      </x:c>
      <x:c r="H39" s="46" t="str">
        <x:v>Tuna &amp; billfishes</x:v>
      </x:c>
      <x:c r="I39" s="60" t="n">
        <x:v>11554.536191985</x:v>
      </x:c>
      <x:c r="J39" s="60" t="n">
        <x:v>10791.3345598162</x:v>
      </x:c>
      <x:c r="K39" s="60" t="n">
        <x:v>763.2016321688001</x:v>
      </x:c>
      <x:c r="L39" s="60" t="n">
        <x:v>10791.3345598162</x:v>
      </x:c>
      <x:c r="M39" s="60" t="n">
        <x:v>763.2016321688001</x:v>
      </x:c>
      <x:c r="N39" s="46" t="str">
        <x:v>katsuwonus pelamis</x:v>
      </x:c>
      <x:c r="O39" s="62" t="n">
        <x:v>4.43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Katsuwonus pelamis</x:v>
      </x:c>
      <x:c r="T39" s="62" t="n">
        <x:f>IF(O39="","",(1/'Metadata'!$B$5)^(O39-1))</x:f>
        <x:v>2691.534803926914</x:v>
      </x:c>
      <x:c r="U39" s="60" t="n">
        <x:f>IF(T39="","",I39*T39)</x:f>
        <x:v>31099436.303960778</x:v>
      </x:c>
    </x:row>
    <x:row r="40" ht="18" customHeight="1">
      <x:c r="A40" s="46" t="str">
        <x:v>LME_038</x:v>
      </x:c>
      <x:c r="B40" s="46" t="str">
        <x:v>Indonesian Sea</x:v>
      </x:c>
      <x:c r="C40" s="46" t="str">
        <x:v>LME</x:v>
      </x:c>
      <x:c r="D40" s="58" t="n">
        <x:v>2019</x:v>
      </x:c>
      <x:c r="E40" s="46" t="str">
        <x:v>Dussumieria acuta</x:v>
      </x:c>
      <x:c r="F40" s="46" t="str">
        <x:v>Rainbow sardine</x:v>
      </x:c>
      <x:c r="G40" s="46" t="str">
        <x:v>Small pelagics (&lt;30 cm)</x:v>
      </x:c>
      <x:c r="H40" s="46" t="str">
        <x:v>Herring-likes</x:v>
      </x:c>
      <x:c r="I40" s="60" t="n">
        <x:v>11223.3785456563</x:v>
      </x:c>
      <x:c r="J40" s="60" t="n">
        <x:v>9165.9269243975</x:v>
      </x:c>
      <x:c r="K40" s="60" t="n">
        <x:v>2057.4516212588</x:v>
      </x:c>
      <x:c r="L40" s="60" t="n">
        <x:v>8553.052192522</x:v>
      </x:c>
      <x:c r="M40" s="60" t="n">
        <x:v>2670.3263531343</x:v>
      </x:c>
      <x:c r="N40" s="46" t="str">
        <x:v>dussumieria acuta</x:v>
      </x:c>
      <x:c r="O40" s="62" t="n">
        <x:v>3.4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Dussumieria acuta</x:v>
      </x:c>
      <x:c r="T40" s="62" t="n">
        <x:f>IF(O40="","",(1/'Metadata'!$B$5)^(O40-1))</x:f>
        <x:v>251.18864315095797</x:v>
      </x:c>
      <x:c r="U40" s="60" t="n">
        <x:f>IF(T40="","",I40*T40)</x:f>
        <x:v>2819185.228452978</x:v>
      </x:c>
    </x:row>
    <x:row r="41" ht="18" customHeight="1">
      <x:c r="A41" s="46" t="str">
        <x:v>LME_038</x:v>
      </x:c>
      <x:c r="B41" s="46" t="str">
        <x:v>Indonesian Sea</x:v>
      </x:c>
      <x:c r="C41" s="46" t="str">
        <x:v>LME</x:v>
      </x:c>
      <x:c r="D41" s="58" t="n">
        <x:v>2019</x:v>
      </x:c>
      <x:c r="E41" s="46" t="str">
        <x:v>Carangidae</x:v>
      </x:c>
      <x:c r="F41" s="46" t="str">
        <x:v>Jacks, pompanos</x:v>
      </x:c>
      <x:c r="G41" s="46" t="str">
        <x:v>Medium pelagics (30 - 89 cm)</x:v>
      </x:c>
      <x:c r="H41" s="46" t="str">
        <x:v>Perch-likes</x:v>
      </x:c>
      <x:c r="I41" s="60" t="n">
        <x:v>11047.2432095693</x:v>
      </x:c>
      <x:c r="J41" s="60" t="n">
        <x:v>11044.234878469</x:v>
      </x:c>
      <x:c r="K41" s="60" t="n">
        <x:v>3.0083311003</x:v>
      </x:c>
      <x:c r="L41" s="60" t="n">
        <x:v>1041.4382677275999</x:v>
      </x:c>
      <x:c r="M41" s="60" t="n">
        <x:v>10005.8049418417</x:v>
      </x:c>
      <x:c r="N41" s="46" t="str">
        <x:v>carangidae</x:v>
      </x:c>
      <x:c r="O41" s="62" t="n">
        <x:v>4.05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Carangidae</x:v>
      </x:c>
      <x:c r="T41" s="62" t="n">
        <x:f>IF(O41="","",(1/'Metadata'!$B$5)^(O41-1))</x:f>
        <x:v>1122.018454301963</x:v>
      </x:c>
      <x:c r="U41" s="60" t="n">
        <x:f>IF(T41="","",I41*T41)</x:f>
        <x:v>12395210.750298802</x:v>
      </x:c>
    </x:row>
    <x:row r="42" ht="18" customHeight="1">
      <x:c r="A42" s="46" t="str">
        <x:v>LME_038</x:v>
      </x:c>
      <x:c r="B42" s="46" t="str">
        <x:v>Indonesian Sea</x:v>
      </x:c>
      <x:c r="C42" s="46" t="str">
        <x:v>LME</x:v>
      </x:c>
      <x:c r="D42" s="58" t="n">
        <x:v>2019</x:v>
      </x:c>
      <x:c r="E42" s="46" t="str">
        <x:v>Chirocentrus dorab</x:v>
      </x:c>
      <x:c r="F42" s="46" t="str">
        <x:v>Dorab wolf-herring</x:v>
      </x:c>
      <x:c r="G42" s="46" t="str">
        <x:v>Large benthopelagics (&gt;=90 cm)</x:v>
      </x:c>
      <x:c r="H42" s="46" t="str">
        <x:v>Herring-likes</x:v>
      </x:c>
      <x:c r="I42" s="60" t="n">
        <x:v>10494.8163220713</x:v>
      </x:c>
      <x:c r="J42" s="60" t="n">
        <x:v>8406.908526478</x:v>
      </x:c>
      <x:c r="K42" s="60" t="n">
        <x:v>2087.9077955933</x:v>
      </x:c>
      <x:c r="L42" s="60" t="n">
        <x:v>7839.0355079901</x:v>
      </x:c>
      <x:c r="M42" s="60" t="n">
        <x:v>2655.7808140812</x:v>
      </x:c>
      <x:c r="N42" s="46" t="str">
        <x:v>chirocentrus dorab</x:v>
      </x:c>
      <x:c r="O42" s="62" t="n">
        <x:v>4.2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Chirocentrus dorab</x:v>
      </x:c>
      <x:c r="T42" s="62" t="n">
        <x:f>IF(O42="","",(1/'Metadata'!$B$5)^(O42-1))</x:f>
        <x:v>1584.893192461114</x:v>
      </x:c>
      <x:c r="U42" s="60" t="n">
        <x:f>IF(T42="","",I42*T42)</x:f>
        <x:v>16633162.94498059</x:v>
      </x:c>
    </x:row>
    <x:row r="43" ht="18" customHeight="1">
      <x:c r="A43" s="46" t="str">
        <x:v>LME_038</x:v>
      </x:c>
      <x:c r="B43" s="46" t="str">
        <x:v>Indonesian Sea</x:v>
      </x:c>
      <x:c r="C43" s="46" t="str">
        <x:v>LME</x:v>
      </x:c>
      <x:c r="D43" s="58" t="n">
        <x:v>2019</x:v>
      </x:c>
      <x:c r="E43" s="46" t="str">
        <x:v>Rhizostomeae</x:v>
      </x:c>
      <x:c r="F43" s="46" t="str">
        <x:v>Oral arm jellyfishes</x:v>
      </x:c>
      <x:c r="G43" s="46" t="str">
        <x:v>Jellyfish</x:v>
      </x:c>
      <x:c r="H43" s="46" t="str">
        <x:v>Other fishes &amp; inverts</x:v>
      </x:c>
      <x:c r="I43" s="60" t="n">
        <x:v>8316.6478533261</x:v>
      </x:c>
      <x:c r="J43" s="60" t="n">
        <x:v>8316.6478533261</x:v>
      </x:c>
      <x:c r="K43" s="60" t="n">
        <x:v>0</x:v>
      </x:c>
      <x:c r="L43" s="60" t="n">
        <x:v>8316.6478533261</x:v>
      </x:c>
      <x:c r="M43" s="60" t="n">
        <x:v>0</x:v>
      </x:c>
      <x:c r="N43" s="46" t="str">
        <x:v>rhizostomeae</x:v>
      </x:c>
      <x:c r="O43" s="62" t="n">
        <x:v>3.46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Rhizostomeae</x:v>
      </x:c>
      <x:c r="T43" s="62" t="n">
        <x:f>IF(O43="","",(1/'Metadata'!$B$5)^(O43-1))</x:f>
        <x:v>288.40315031266056</x:v>
      </x:c>
      <x:c r="U43" s="60" t="n">
        <x:f>IF(T43="","",I43*T43)</x:f>
        <x:v>2398547.440940273</x:v>
      </x:c>
    </x:row>
    <x:row r="44" ht="18" customHeight="1">
      <x:c r="A44" s="46" t="str">
        <x:v>LME_038</x:v>
      </x:c>
      <x:c r="B44" s="46" t="str">
        <x:v>Indonesian Sea</x:v>
      </x:c>
      <x:c r="C44" s="46" t="str">
        <x:v>LME</x:v>
      </x:c>
      <x:c r="D44" s="58" t="n">
        <x:v>2019</x:v>
      </x:c>
      <x:c r="E44" s="46" t="str">
        <x:v>Scomberomorus guttatus</x:v>
      </x:c>
      <x:c r="F44" s="46" t="str">
        <x:v>Indo-Pacific king mackerel</x:v>
      </x:c>
      <x:c r="G44" s="46" t="str">
        <x:v>Medium pelagics (30 - 89 cm)</x:v>
      </x:c>
      <x:c r="H44" s="46" t="str">
        <x:v>Perch-likes</x:v>
      </x:c>
      <x:c r="I44" s="60" t="n">
        <x:v>7576.8387096528</x:v>
      </x:c>
      <x:c r="J44" s="60" t="n">
        <x:v>7502.4838923176</x:v>
      </x:c>
      <x:c r="K44" s="60" t="n">
        <x:v>74.35481733520001</x:v>
      </x:c>
      <x:c r="L44" s="60" t="n">
        <x:v>6932.2993636972</x:v>
      </x:c>
      <x:c r="M44" s="60" t="n">
        <x:v>644.5393459556</x:v>
      </x:c>
      <x:c r="N44" s="46" t="str">
        <x:v>scomberomorus guttatus</x:v>
      </x:c>
      <x:c r="O44" s="62" t="n">
        <x:v>4.28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Scomberomorus guttatus</x:v>
      </x:c>
      <x:c r="T44" s="62" t="n">
        <x:f>IF(O44="","",(1/'Metadata'!$B$5)^(O44-1))</x:f>
        <x:v>1905.4607179632483</x:v>
      </x:c>
      <x:c r="U44" s="60" t="n">
        <x:f>IF(T44="","",I44*T44)</x:f>
        <x:v>14437368.527586756</x:v>
      </x:c>
    </x:row>
    <x:row r="45" ht="18" customHeight="1">
      <x:c r="A45" s="46" t="str">
        <x:v>LME_038</x:v>
      </x:c>
      <x:c r="B45" s="46" t="str">
        <x:v>Indonesian Sea</x:v>
      </x:c>
      <x:c r="C45" s="46" t="str">
        <x:v>LME</x:v>
      </x:c>
      <x:c r="D45" s="58" t="n">
        <x:v>2019</x:v>
      </x:c>
      <x:c r="E45" s="46" t="str">
        <x:v>Acetes japonicus</x:v>
      </x:c>
      <x:c r="F45" s="46" t="str">
        <x:v>Akiami paste shrimp</x:v>
      </x:c>
      <x:c r="G45" s="46" t="str">
        <x:v>Shrimps</x:v>
      </x:c>
      <x:c r="H45" s="46" t="str">
        <x:v>Crustaceans</x:v>
      </x:c>
      <x:c r="I45" s="60" t="n">
        <x:v>5186.6616425701</x:v>
      </x:c>
      <x:c r="J45" s="60" t="n">
        <x:v>4967.7349137224</x:v>
      </x:c>
      <x:c r="K45" s="60" t="n">
        <x:v>218.92672884770002</x:v>
      </x:c>
      <x:c r="L45" s="60" t="n">
        <x:v>4967.7349137224</x:v>
      </x:c>
      <x:c r="M45" s="60" t="n">
        <x:v>218.92672884770002</x:v>
      </x:c>
      <x:c r="N45" s="46" t="str">
        <x:v>acetes japonicus</x:v>
      </x:c>
      <x:c r="O45" s="62" t="n">
        <x:v>2.54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Acetes japonicus</x:v>
      </x:c>
      <x:c r="T45" s="62" t="n">
        <x:f>IF(O45="","",(1/'Metadata'!$B$5)^(O45-1))</x:f>
        <x:v>34.673685045253166</x:v>
      </x:c>
      <x:c r="U45" s="60" t="n">
        <x:f>IF(T45="","",I45*T45)</x:f>
        <x:v>179840.6722307711</x:v>
      </x:c>
    </x:row>
    <x:row r="46" ht="18" customHeight="1">
      <x:c r="A46" s="46" t="str">
        <x:v>LME_038</x:v>
      </x:c>
      <x:c r="B46" s="46" t="str">
        <x:v>Indonesian Sea</x:v>
      </x:c>
      <x:c r="C46" s="46" t="str">
        <x:v>LME</x:v>
      </x:c>
      <x:c r="D46" s="58" t="n">
        <x:v>2019</x:v>
      </x:c>
      <x:c r="E46" s="46" t="str">
        <x:v>Euthynnus affinis</x:v>
      </x:c>
      <x:c r="F46" s="46" t="str">
        <x:v>Kawakawa</x:v>
      </x:c>
      <x:c r="G46" s="46" t="str">
        <x:v>Large pelagics (&gt;=90 cm)</x:v>
      </x:c>
      <x:c r="H46" s="46" t="str">
        <x:v>Tuna &amp; billfishes</x:v>
      </x:c>
      <x:c r="I46" s="60" t="n">
        <x:v>4774.4379777874</x:v>
      </x:c>
      <x:c r="J46" s="60" t="n">
        <x:v>3534.1257727777</x:v>
      </x:c>
      <x:c r="K46" s="60" t="n">
        <x:v>1240.3122050097</x:v>
      </x:c>
      <x:c r="L46" s="60" t="n">
        <x:v>3534.1257727777</x:v>
      </x:c>
      <x:c r="M46" s="60" t="n">
        <x:v>1240.3122050097</x:v>
      </x:c>
      <x:c r="N46" s="46" t="str">
        <x:v>euthynnus affinis</x:v>
      </x:c>
      <x:c r="O46" s="62" t="n">
        <x:v>4.5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Euthynnus affinis</x:v>
      </x:c>
      <x:c r="T46" s="62" t="n">
        <x:f>IF(O46="","",(1/'Metadata'!$B$5)^(O46-1))</x:f>
        <x:v>3162.2776601683795</x:v>
      </x:c>
      <x:c r="U46" s="60" t="n">
        <x:f>IF(T46="","",I46*T46)</x:f>
        <x:v>15098098.557016589</x:v>
      </x:c>
    </x:row>
    <x:row r="47" ht="18" customHeight="1">
      <x:c r="A47" s="46" t="str">
        <x:v>LME_038</x:v>
      </x:c>
      <x:c r="B47" s="46" t="str">
        <x:v>Indonesian Sea</x:v>
      </x:c>
      <x:c r="C47" s="46" t="str">
        <x:v>LME</x:v>
      </x:c>
      <x:c r="D47" s="58" t="n">
        <x:v>2019</x:v>
      </x:c>
      <x:c r="E47" s="46" t="str">
        <x:v>Scombridae</x:v>
      </x:c>
      <x:c r="F47" s="46" t="str">
        <x:v>Mackerels, tunas, bonitos</x:v>
      </x:c>
      <x:c r="G47" s="46" t="str">
        <x:v>Medium pelagics (30 - 89 cm)</x:v>
      </x:c>
      <x:c r="H47" s="46" t="str">
        <x:v>Perch-likes</x:v>
      </x:c>
      <x:c r="I47" s="60" t="n">
        <x:v>3928.4917561833004</x:v>
      </x:c>
      <x:c r="J47" s="60" t="n">
        <x:v>3926.6830058498003</x:v>
      </x:c>
      <x:c r="K47" s="60" t="n">
        <x:v>1.8087503335</x:v>
      </x:c>
      <x:c r="L47" s="60" t="n">
        <x:v>1.1278458901</x:v>
      </x:c>
      <x:c r="M47" s="60" t="n">
        <x:v>3927.3639102932</x:v>
      </x:c>
      <x:c r="N47" s="46" t="str">
        <x:v>scombridae</x:v>
      </x:c>
      <x:c r="O47" s="62" t="n">
        <x:v>4.26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Scombridae</x:v>
      </x:c>
      <x:c r="T47" s="62" t="n">
        <x:f>IF(O47="","",(1/'Metadata'!$B$5)^(O47-1))</x:f>
        <x:v>1819.7008586099826</x:v>
      </x:c>
      <x:c r="U47" s="60" t="n">
        <x:f>IF(T47="","",I47*T47)</x:f>
        <x:v>7148679.82176899</x:v>
      </x:c>
    </x:row>
    <x:row r="48" ht="18" customHeight="1">
      <x:c r="A48" s="46" t="str">
        <x:v>LME_038</x:v>
      </x:c>
      <x:c r="B48" s="46" t="str">
        <x:v>Indonesian Sea</x:v>
      </x:c>
      <x:c r="C48" s="46" t="str">
        <x:v>LME</x:v>
      </x:c>
      <x:c r="D48" s="58" t="n">
        <x:v>2019</x:v>
      </x:c>
      <x:c r="E48" s="46" t="str">
        <x:v>Engraulidae</x:v>
      </x:c>
      <x:c r="F48" s="46" t="str">
        <x:v>Anchovies, round herrings</x:v>
      </x:c>
      <x:c r="G48" s="46" t="str">
        <x:v>Small pelagics (&lt;30 cm)</x:v>
      </x:c>
      <x:c r="H48" s="46" t="str">
        <x:v>Anchovies</x:v>
      </x:c>
      <x:c r="I48" s="60" t="n">
        <x:v>3357.014846365</x:v>
      </x:c>
      <x:c r="J48" s="60" t="n">
        <x:v>3357.014846365</x:v>
      </x:c>
      <x:c r="K48" s="60" t="n">
        <x:v>0</x:v>
      </x:c>
      <x:c r="L48" s="60" t="n">
        <x:v>720.7593561842</x:v>
      </x:c>
      <x:c r="M48" s="60" t="n">
        <x:v>2636.2554901808</x:v>
      </x:c>
      <x:c r="N48" s="46" t="str">
        <x:v>engraulidae</x:v>
      </x:c>
      <x:c r="O48" s="62" t="n">
        <x:v>3.2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Engraulidae</x:v>
      </x:c>
      <x:c r="T48" s="62" t="n">
        <x:f>IF(O48="","",(1/'Metadata'!$B$5)^(O48-1))</x:f>
        <x:v>158.48931924611142</x:v>
      </x:c>
      <x:c r="U48" s="60" t="n">
        <x:f>IF(T48="","",I48*T48)</x:f>
        <x:v>532050.9976994782</x:v>
      </x:c>
    </x:row>
    <x:row r="49" ht="18" customHeight="1">
      <x:c r="A49" s="46" t="str">
        <x:v>LME_038</x:v>
      </x:c>
      <x:c r="B49" s="46" t="str">
        <x:v>Indonesian Sea</x:v>
      </x:c>
      <x:c r="C49" s="46" t="str">
        <x:v>LME</x:v>
      </x:c>
      <x:c r="D49" s="58" t="n">
        <x:v>2019</x:v>
      </x:c>
      <x:c r="E49" s="46" t="str">
        <x:v>Clupeiformes</x:v>
      </x:c>
      <x:c r="F49" s="46" t="str">
        <x:v>Herrings, shads, anchovies</x:v>
      </x:c>
      <x:c r="G49" s="46" t="str">
        <x:v>Small pelagics (&lt;30 cm)</x:v>
      </x:c>
      <x:c r="H49" s="46" t="str">
        <x:v>Other fishes &amp; inverts</x:v>
      </x:c>
      <x:c r="I49" s="60" t="n">
        <x:v>3244.2508897477</x:v>
      </x:c>
      <x:c r="J49" s="60" t="n">
        <x:v>3244.2508897477</x:v>
      </x:c>
      <x:c r="K49" s="60" t="n">
        <x:v>0</x:v>
      </x:c>
      <x:c r="L49" s="60" t="n">
        <x:v>55.2119339181</x:v>
      </x:c>
      <x:c r="M49" s="60" t="n">
        <x:v>3189.0389558296</x:v>
      </x:c>
      <x:c r="N49" s="46" t="str">
        <x:v>clupeiformes</x:v>
      </x:c>
      <x:c r="O49" s="62" t="n">
        <x:v>3.24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Clupeiformes</x:v>
      </x:c>
      <x:c r="T49" s="62" t="n">
        <x:f>IF(O49="","",(1/'Metadata'!$B$5)^(O49-1))</x:f>
        <x:v>173.78008287493762</x:v>
      </x:c>
      <x:c r="U49" s="60" t="n">
        <x:f>IF(T49="","",I49*T49)</x:f>
        <x:v>563786.1884874455</x:v>
      </x:c>
    </x:row>
    <x:row r="50" ht="18" customHeight="1">
      <x:c r="A50" s="46" t="str">
        <x:v>LME_038</x:v>
      </x:c>
      <x:c r="B50" s="46" t="str">
        <x:v>Indonesian Sea</x:v>
      </x:c>
      <x:c r="C50" s="46" t="str">
        <x:v>LME</x:v>
      </x:c>
      <x:c r="D50" s="58" t="n">
        <x:v>2019</x:v>
      </x:c>
      <x:c r="E50" s="46" t="str">
        <x:v>Perciformes</x:v>
      </x:c>
      <x:c r="F50" s="46" t="str">
        <x:v>Perch-likes</x:v>
      </x:c>
      <x:c r="G50" s="46" t="str">
        <x:v>Medium demersals (30 - 89 cm)</x:v>
      </x:c>
      <x:c r="H50" s="46" t="str">
        <x:v>Perch-likes</x:v>
      </x:c>
      <x:c r="I50" s="60" t="n">
        <x:v>2588.2356429122</x:v>
      </x:c>
      <x:c r="J50" s="60" t="n">
        <x:v>2588.2356429122</x:v>
      </x:c>
      <x:c r="K50" s="60" t="n">
        <x:v>0</x:v>
      </x:c>
      <x:c r="L50" s="60" t="n">
        <x:v>0</x:v>
      </x:c>
      <x:c r="M50" s="60" t="n">
        <x:v>2588.2356429122</x:v>
      </x:c>
      <x:c r="N50" s="46" t="str">
        <x:v>perciformes</x:v>
      </x:c>
      <x:c r="O50" s="62" t="n">
        <x:v>3.53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Perciformes</x:v>
      </x:c>
      <x:c r="T50" s="62" t="n">
        <x:f>IF(O50="","",(1/'Metadata'!$B$5)^(O50-1))</x:f>
        <x:v>338.84415613920237</x:v>
      </x:c>
      <x:c r="U50" s="60" t="n">
        <x:f>IF(T50="","",I50*T50)</x:f>
        <x:v>877008.5223119904</x:v>
      </x:c>
    </x:row>
    <x:row r="51" ht="18" customHeight="1">
      <x:c r="A51" s="46" t="str">
        <x:v>LME_038</x:v>
      </x:c>
      <x:c r="B51" s="46" t="str">
        <x:v>Indonesian Sea</x:v>
      </x:c>
      <x:c r="C51" s="46" t="str">
        <x:v>LME</x:v>
      </x:c>
      <x:c r="D51" s="58" t="n">
        <x:v>2019</x:v>
      </x:c>
      <x:c r="E51" s="46" t="str">
        <x:v>Scyphozoa</x:v>
      </x:c>
      <x:c r="F51" s="46" t="str">
        <x:v>True jellyfishes</x:v>
      </x:c>
      <x:c r="G51" s="46" t="str">
        <x:v>Jellyfish</x:v>
      </x:c>
      <x:c r="H51" s="46" t="str">
        <x:v>Other fishes &amp; inverts</x:v>
      </x:c>
      <x:c r="I51" s="60" t="n">
        <x:v>2017.5296888506</x:v>
      </x:c>
      <x:c r="J51" s="60" t="n">
        <x:v>1479.7369751419</x:v>
      </x:c>
      <x:c r="K51" s="60" t="n">
        <x:v>537.7927137086999</x:v>
      </x:c>
      <x:c r="L51" s="60" t="n">
        <x:v>1417.7058912288</x:v>
      </x:c>
      <x:c r="M51" s="60" t="n">
        <x:v>599.8237976217999</x:v>
      </x:c>
      <x:c r="N51" s="46" t="str">
        <x:v>scyphozoa</x:v>
      </x:c>
      <x:c r="O51" s="62" t="n">
        <x:v>3.46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Scyphozoa</x:v>
      </x:c>
      <x:c r="T51" s="62" t="n">
        <x:f>IF(O51="","",(1/'Metadata'!$B$5)^(O51-1))</x:f>
        <x:v>288.40315031266056</x:v>
      </x:c>
      <x:c r="U51" s="60" t="n">
        <x:f>IF(T51="","",I51*T51)</x:f>
        <x:v>581861.9181138349</x:v>
      </x:c>
    </x:row>
    <x:row r="52" ht="18" customHeight="1">
      <x:c r="A52" s="46" t="str">
        <x:v>LME_038</x:v>
      </x:c>
      <x:c r="B52" s="46" t="str">
        <x:v>Indonesian Sea</x:v>
      </x:c>
      <x:c r="C52" s="46" t="str">
        <x:v>LME</x:v>
      </x:c>
      <x:c r="D52" s="58" t="n">
        <x:v>2019</x:v>
      </x:c>
      <x:c r="E52" s="46" t="str">
        <x:v>Leiognathidae</x:v>
      </x:c>
      <x:c r="F52" s="46" t="str">
        <x:v>Slipmouths, ponyfishes</x:v>
      </x:c>
      <x:c r="G52" s="46" t="str">
        <x:v>Small benthopelagics (&lt;30 cm)</x:v>
      </x:c>
      <x:c r="H52" s="46" t="str">
        <x:v>Perch-likes</x:v>
      </x:c>
      <x:c r="I52" s="60" t="n">
        <x:v>1749.6224120598</x:v>
      </x:c>
      <x:c r="J52" s="60" t="n">
        <x:v>1743.9059509103</x:v>
      </x:c>
      <x:c r="K52" s="60" t="n">
        <x:v>5.7164611495</x:v>
      </x:c>
      <x:c r="L52" s="60" t="n">
        <x:v>846.4636362650999</x:v>
      </x:c>
      <x:c r="M52" s="60" t="n">
        <x:v>903.1587757947</x:v>
      </x:c>
      <x:c r="N52" s="46" t="str">
        <x:v>leiognathidae</x:v>
      </x:c>
      <x:c r="O52" s="62" t="n">
        <x:v>3.24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Leiognathidae</x:v>
      </x:c>
      <x:c r="T52" s="62" t="n">
        <x:f>IF(O52="","",(1/'Metadata'!$B$5)^(O52-1))</x:f>
        <x:v>173.78008287493762</x:v>
      </x:c>
      <x:c r="U52" s="60" t="n">
        <x:f>IF(T52="","",I52*T52)</x:f>
        <x:v>304049.52776760026</x:v>
      </x:c>
    </x:row>
    <x:row r="53" ht="18" customHeight="1">
      <x:c r="A53" s="46" t="str">
        <x:v>LME_038</x:v>
      </x:c>
      <x:c r="B53" s="46" t="str">
        <x:v>Indonesian Sea</x:v>
      </x:c>
      <x:c r="C53" s="46" t="str">
        <x:v>LME</x:v>
      </x:c>
      <x:c r="D53" s="58" t="n">
        <x:v>2019</x:v>
      </x:c>
      <x:c r="E53" s="46" t="str">
        <x:v>Nemipteridae</x:v>
      </x:c>
      <x:c r="F53" s="46" t="str">
        <x:v>Threadfins, whiptail breams</x:v>
      </x:c>
      <x:c r="G53" s="46" t="str">
        <x:v>Small demersals (&lt;30 cm)</x:v>
      </x:c>
      <x:c r="H53" s="46" t="str">
        <x:v>Perch-likes</x:v>
      </x:c>
      <x:c r="I53" s="60" t="n">
        <x:v>1435.2723832919999</x:v>
      </x:c>
      <x:c r="J53" s="60" t="n">
        <x:v>1428.3146531814</x:v>
      </x:c>
      <x:c r="K53" s="60" t="n">
        <x:v>6.9577301106</x:v>
      </x:c>
      <x:c r="L53" s="60" t="n">
        <x:v>689.1091655454</x:v>
      </x:c>
      <x:c r="M53" s="60" t="n">
        <x:v>746.1632177465999</x:v>
      </x:c>
      <x:c r="N53" s="46" t="str">
        <x:v>nemipteridae</x:v>
      </x:c>
      <x:c r="O53" s="62" t="n">
        <x:v>3.51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Nemipteridae</x:v>
      </x:c>
      <x:c r="T53" s="62" t="n">
        <x:f>IF(O53="","",(1/'Metadata'!$B$5)^(O53-1))</x:f>
        <x:v>323.5936569296281</x:v>
      </x:c>
      <x:c r="U53" s="60" t="n">
        <x:f>IF(T53="","",I53*T53)</x:f>
        <x:v>464445.03919956106</x:v>
      </x:c>
    </x:row>
    <x:row r="54" ht="18" customHeight="1">
      <x:c r="A54" s="46" t="str">
        <x:v>LME_038</x:v>
      </x:c>
      <x:c r="B54" s="46" t="str">
        <x:v>Indonesian Sea</x:v>
      </x:c>
      <x:c r="C54" s="46" t="str">
        <x:v>LME</x:v>
      </x:c>
      <x:c r="D54" s="58" t="n">
        <x:v>2019</x:v>
      </x:c>
      <x:c r="E54" s="46" t="str">
        <x:v>Penaeidae</x:v>
      </x:c>
      <x:c r="F54" s="46" t="str">
        <x:v>Commercial shrimps and prawns</x:v>
      </x:c>
      <x:c r="G54" s="46" t="str">
        <x:v>Shrimps</x:v>
      </x:c>
      <x:c r="H54" s="46" t="str">
        <x:v>Crustaceans</x:v>
      </x:c>
      <x:c r="I54" s="60" t="n">
        <x:v>1179.9802506556</x:v>
      </x:c>
      <x:c r="J54" s="60" t="n">
        <x:v>1179.9802506556</x:v>
      </x:c>
      <x:c r="K54" s="60" t="n">
        <x:v>0</x:v>
      </x:c>
      <x:c r="L54" s="60" t="n">
        <x:v>0</x:v>
      </x:c>
      <x:c r="M54" s="60" t="n">
        <x:v>1179.9802506556</x:v>
      </x:c>
      <x:c r="N54" s="46" t="str">
        <x:v>penaeidae</x:v>
      </x:c>
      <x:c r="O54" s="62" t="n">
        <x:v>3.31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Penaeidae</x:v>
      </x:c>
      <x:c r="T54" s="62" t="n">
        <x:f>IF(O54="","",(1/'Metadata'!$B$5)^(O54-1))</x:f>
        <x:v>204.17379446695296</x:v>
      </x:c>
      <x:c r="U54" s="60" t="n">
        <x:f>IF(T54="","",I54*T54)</x:f>
        <x:v>240921.0451724201</x:v>
      </x:c>
    </x:row>
    <x:row r="55" ht="18" customHeight="1">
      <x:c r="A55" s="46" t="str">
        <x:v>LME_038</x:v>
      </x:c>
      <x:c r="B55" s="46" t="str">
        <x:v>Indonesian Sea</x:v>
      </x:c>
      <x:c r="C55" s="46" t="str">
        <x:v>LME</x:v>
      </x:c>
      <x:c r="D55" s="58" t="n">
        <x:v>2019</x:v>
      </x:c>
      <x:c r="E55" s="46" t="str">
        <x:v>Lutjanidae</x:v>
      </x:c>
      <x:c r="F55" s="46" t="str">
        <x:v>Snappers</x:v>
      </x:c>
      <x:c r="G55" s="46" t="str">
        <x:v>Medium reef assoc. fish (30 - 89 cm)</x:v>
      </x:c>
      <x:c r="H55" s="46" t="str">
        <x:v>Perch-likes</x:v>
      </x:c>
      <x:c r="I55" s="60" t="n">
        <x:v>1115.5173992504</x:v>
      </x:c>
      <x:c r="J55" s="60" t="n">
        <x:v>1115.5173992504</x:v>
      </x:c>
      <x:c r="K55" s="60" t="n">
        <x:v>0</x:v>
      </x:c>
      <x:c r="L55" s="60" t="n">
        <x:v>46.0323756808</x:v>
      </x:c>
      <x:c r="M55" s="60" t="n">
        <x:v>1069.4850235696001</x:v>
      </x:c>
      <x:c r="N55" s="46" t="str">
        <x:v>lutjanidae</x:v>
      </x:c>
      <x:c r="O55" s="62" t="n">
        <x:v>4.02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Lutjanidae</x:v>
      </x:c>
      <x:c r="T55" s="62" t="n">
        <x:f>IF(O55="","",(1/'Metadata'!$B$5)^(O55-1))</x:f>
        <x:v>1047.1285480508984</x:v>
      </x:c>
      <x:c r="U55" s="60" t="n">
        <x:f>IF(T55="","",I55*T55)</x:f>
        <x:v>1168090.1146025858</x:v>
      </x:c>
    </x:row>
    <x:row r="56" ht="18" customHeight="1">
      <x:c r="A56" s="46" t="str">
        <x:v>LME_038</x:v>
      </x:c>
      <x:c r="B56" s="46" t="str">
        <x:v>Indonesian Sea</x:v>
      </x:c>
      <x:c r="C56" s="46" t="str">
        <x:v>LME</x:v>
      </x:c>
      <x:c r="D56" s="58" t="n">
        <x:v>2019</x:v>
      </x:c>
      <x:c r="E56" s="46" t="str">
        <x:v>Thunnus albacares</x:v>
      </x:c>
      <x:c r="F56" s="46" t="str">
        <x:v>Yellowfin tuna</x:v>
      </x:c>
      <x:c r="G56" s="46" t="str">
        <x:v>Large pelagics (&gt;=90 cm)</x:v>
      </x:c>
      <x:c r="H56" s="46" t="str">
        <x:v>Tuna &amp; billfishes</x:v>
      </x:c>
      <x:c r="I56" s="60" t="n">
        <x:v>1050.153127933</x:v>
      </x:c>
      <x:c r="J56" s="60" t="n">
        <x:v>736.9292336445001</x:v>
      </x:c>
      <x:c r="K56" s="60" t="n">
        <x:v>313.2238942885</x:v>
      </x:c>
      <x:c r="L56" s="60" t="n">
        <x:v>736.9292336445001</x:v>
      </x:c>
      <x:c r="M56" s="60" t="n">
        <x:v>313.2238942885</x:v>
      </x:c>
      <x:c r="N56" s="46" t="str">
        <x:v>thunnus albacares</x:v>
      </x:c>
      <x:c r="O56" s="62" t="n">
        <x:v>4.41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Thunnus albacares</x:v>
      </x:c>
      <x:c r="T56" s="62" t="n">
        <x:f>IF(O56="","",(1/'Metadata'!$B$5)^(O56-1))</x:f>
        <x:v>2570.3957827688646</x:v>
      </x:c>
      <x:c r="U56" s="60" t="n">
        <x:f>IF(T56="","",I56*T56)</x:f>
        <x:v>2699309.171300515</x:v>
      </x:c>
    </x:row>
    <x:row r="57" ht="18" customHeight="1">
      <x:c r="A57" s="46" t="str">
        <x:v>LME_038</x:v>
      </x:c>
      <x:c r="B57" s="46" t="str">
        <x:v>Indonesian Sea</x:v>
      </x:c>
      <x:c r="C57" s="46" t="str">
        <x:v>LME</x:v>
      </x:c>
      <x:c r="D57" s="58" t="n">
        <x:v>2019</x:v>
      </x:c>
      <x:c r="E57" s="46" t="str">
        <x:v>Synodontidae</x:v>
      </x:c>
      <x:c r="F57" s="46" t="str">
        <x:v>Lizardfishes, sauries</x:v>
      </x:c>
      <x:c r="G57" s="46" t="str">
        <x:v>Medium demersals (30 - 89 cm)</x:v>
      </x:c>
      <x:c r="H57" s="46" t="str">
        <x:v>Other fishes &amp; inverts</x:v>
      </x:c>
      <x:c r="I57" s="60" t="n">
        <x:v>1034.3381653501</x:v>
      </x:c>
      <x:c r="J57" s="60" t="n">
        <x:v>286.5850765301</x:v>
      </x:c>
      <x:c r="K57" s="60" t="n">
        <x:v>747.75308882</x:v>
      </x:c>
      <x:c r="L57" s="60" t="n">
        <x:v>276.34750153140004</x:v>
      </x:c>
      <x:c r="M57" s="60" t="n">
        <x:v>757.9906638187</x:v>
      </x:c>
      <x:c r="N57" s="46" t="str">
        <x:v>synodontidae</x:v>
      </x:c>
      <x:c r="O57" s="62" t="n">
        <x:v>4.3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Synodontidae</x:v>
      </x:c>
      <x:c r="T57" s="62" t="n">
        <x:f>IF(O57="","",(1/'Metadata'!$B$5)^(O57-1))</x:f>
        <x:v>1995.2623149688789</x:v>
      </x:c>
      <x:c r="U57" s="60" t="n">
        <x:f>IF(T57="","",I57*T57)</x:f>
        <x:v>2063775.9622571038</x:v>
      </x:c>
    </x:row>
    <x:row r="58" ht="18" customHeight="1">
      <x:c r="A58" s="46" t="str">
        <x:v>LME_038</x:v>
      </x:c>
      <x:c r="B58" s="46" t="str">
        <x:v>Indonesian Sea</x:v>
      </x:c>
      <x:c r="C58" s="46" t="str">
        <x:v>LME</x:v>
      </x:c>
      <x:c r="D58" s="58" t="n">
        <x:v>2019</x:v>
      </x:c>
      <x:c r="E58" s="46" t="str">
        <x:v>Teuthida</x:v>
      </x:c>
      <x:c r="F58" s="46" t="str">
        <x:v>Squids</x:v>
      </x:c>
      <x:c r="G58" s="46" t="str">
        <x:v>Cephalopods</x:v>
      </x:c>
      <x:c r="H58" s="46" t="str">
        <x:v>Other fishes &amp; inverts</x:v>
      </x:c>
      <x:c r="I58" s="60" t="n">
        <x:v>929.0976549724</x:v>
      </x:c>
      <x:c r="J58" s="60" t="n">
        <x:v>929.0976549724</x:v>
      </x:c>
      <x:c r="K58" s="60" t="n">
        <x:v>0</x:v>
      </x:c>
      <x:c r="L58" s="60" t="n">
        <x:v>0</x:v>
      </x:c>
      <x:c r="M58" s="60" t="n">
        <x:v>929.0976549724</x:v>
      </x:c>
      <x:c r="N58" s="46" t="str">
        <x:v>teuthida</x:v>
      </x:c>
      <x:c r="O58" s="62" t="n">
        <x:v>4.13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Teuthida</x:v>
      </x:c>
      <x:c r="T58" s="62" t="n">
        <x:f>IF(O58="","",(1/'Metadata'!$B$5)^(O58-1))</x:f>
        <x:v>1348.9628825916532</x:v>
      </x:c>
      <x:c r="U58" s="60" t="n">
        <x:f>IF(T58="","",I58*T58)</x:f>
        <x:v>1253318.250860714</x:v>
      </x:c>
    </x:row>
    <x:row r="59" ht="18" customHeight="1">
      <x:c r="A59" s="46" t="str">
        <x:v>LME_038</x:v>
      </x:c>
      <x:c r="B59" s="46" t="str">
        <x:v>Indonesian Sea</x:v>
      </x:c>
      <x:c r="C59" s="46" t="str">
        <x:v>LME</x:v>
      </x:c>
      <x:c r="D59" s="58" t="n">
        <x:v>2019</x:v>
      </x:c>
      <x:c r="E59" s="46" t="str">
        <x:v>Ariidae</x:v>
      </x:c>
      <x:c r="F59" s="46" t="str">
        <x:v>Sea catfishes, coblers</x:v>
      </x:c>
      <x:c r="G59" s="46" t="str">
        <x:v>Medium demersals (30 - 89 cm)</x:v>
      </x:c>
      <x:c r="H59" s="46" t="str">
        <x:v>Other fishes &amp; inverts</x:v>
      </x:c>
      <x:c r="I59" s="60" t="n">
        <x:v>763.7968884969</x:v>
      </x:c>
      <x:c r="J59" s="60" t="n">
        <x:v>763.7968884969</x:v>
      </x:c>
      <x:c r="K59" s="60" t="n">
        <x:v>0</x:v>
      </x:c>
      <x:c r="L59" s="60" t="n">
        <x:v>4.1885203852999995</x:v>
      </x:c>
      <x:c r="M59" s="60" t="n">
        <x:v>759.6083681116</x:v>
      </x:c>
      <x:c r="N59" s="46" t="str">
        <x:v>ariidae</x:v>
      </x:c>
      <x:c r="O59" s="62" t="n">
        <x:v>3.48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Ariidae</x:v>
      </x:c>
      <x:c r="T59" s="62" t="n">
        <x:f>IF(O59="","",(1/'Metadata'!$B$5)^(O59-1))</x:f>
        <x:v>301.9951720402016</x:v>
      </x:c>
      <x:c r="U59" s="60" t="n">
        <x:f>IF(T59="","",I59*T59)</x:f>
        <x:v>230662.972745392</x:v>
      </x:c>
    </x:row>
    <x:row r="60" ht="18" customHeight="1">
      <x:c r="A60" s="46" t="str">
        <x:v>LME_038</x:v>
      </x:c>
      <x:c r="B60" s="46" t="str">
        <x:v>Indonesian Sea</x:v>
      </x:c>
      <x:c r="C60" s="46" t="str">
        <x:v>LME</x:v>
      </x:c>
      <x:c r="D60" s="58" t="n">
        <x:v>2019</x:v>
      </x:c>
      <x:c r="E60" s="46" t="str">
        <x:v>Platycephalidae</x:v>
      </x:c>
      <x:c r="F60" s="46" t="str">
        <x:v>Flatheads</x:v>
      </x:c>
      <x:c r="G60" s="46" t="str">
        <x:v>Medium demersals (30 - 89 cm)</x:v>
      </x:c>
      <x:c r="H60" s="46" t="str">
        <x:v>Scorpionfishes</x:v>
      </x:c>
      <x:c r="I60" s="60" t="n">
        <x:v>688.9524313477</x:v>
      </x:c>
      <x:c r="J60" s="60" t="n">
        <x:v>187.52810239570002</x:v>
      </x:c>
      <x:c r="K60" s="60" t="n">
        <x:v>501.424328952</x:v>
      </x:c>
      <x:c r="L60" s="60" t="n">
        <x:v>180.66304326300002</x:v>
      </x:c>
      <x:c r="M60" s="60" t="n">
        <x:v>508.2893880847</x:v>
      </x:c>
      <x:c r="N60" s="46" t="str">
        <x:v>platycephalidae</x:v>
      </x:c>
      <x:c r="O60" s="62" t="n">
        <x:v>3.9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Platycephalidae</x:v>
      </x:c>
      <x:c r="T60" s="62" t="n">
        <x:f>IF(O60="","",(1/'Metadata'!$B$5)^(O60-1))</x:f>
        <x:v>794.3282347242813</x:v>
      </x:c>
      <x:c r="U60" s="60" t="n">
        <x:f>IF(T60="","",I60*T60)</x:f>
        <x:v>547254.3686014201</x:v>
      </x:c>
    </x:row>
    <x:row r="61" ht="18" customHeight="1">
      <x:c r="A61" s="46" t="str">
        <x:v>LME_038</x:v>
      </x:c>
      <x:c r="B61" s="46" t="str">
        <x:v>Indonesian Sea</x:v>
      </x:c>
      <x:c r="C61" s="46" t="str">
        <x:v>LME</x:v>
      </x:c>
      <x:c r="D61" s="58" t="n">
        <x:v>2019</x:v>
      </x:c>
      <x:c r="E61" s="46" t="str">
        <x:v>Thunnus obesus</x:v>
      </x:c>
      <x:c r="F61" s="46" t="str">
        <x:v>Bigeye tuna</x:v>
      </x:c>
      <x:c r="G61" s="46" t="str">
        <x:v>Large pelagics (&gt;=90 cm)</x:v>
      </x:c>
      <x:c r="H61" s="46" t="str">
        <x:v>Tuna &amp; billfishes</x:v>
      </x:c>
      <x:c r="I61" s="60" t="n">
        <x:v>462.2373408723</x:v>
      </x:c>
      <x:c r="J61" s="60" t="n">
        <x:v>409.9687251057</x:v>
      </x:c>
      <x:c r="K61" s="60" t="n">
        <x:v>52.2686157666</x:v>
      </x:c>
      <x:c r="L61" s="60" t="n">
        <x:v>409.9687251057</x:v>
      </x:c>
      <x:c r="M61" s="60" t="n">
        <x:v>52.2686157666</x:v>
      </x:c>
      <x:c r="N61" s="46" t="str">
        <x:v>thunnus obesus</x:v>
      </x:c>
      <x:c r="O61" s="62" t="n">
        <x:v>4.49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Thunnus obesus</x:v>
      </x:c>
      <x:c r="T61" s="62" t="n">
        <x:f>IF(O61="","",(1/'Metadata'!$B$5)^(O61-1))</x:f>
        <x:v>3090.295432513592</x:v>
      </x:c>
      <x:c r="U61" s="60" t="n">
        <x:f>IF(T61="","",I61*T61)</x:f>
        <x:v>1428449.943234897</x:v>
      </x:c>
    </x:row>
    <x:row r="62" ht="18" customHeight="1">
      <x:c r="A62" s="46" t="str">
        <x:v>LME_038</x:v>
      </x:c>
      <x:c r="B62" s="46" t="str">
        <x:v>Indonesian Sea</x:v>
      </x:c>
      <x:c r="C62" s="46" t="str">
        <x:v>LME</x:v>
      </x:c>
      <x:c r="D62" s="58" t="n">
        <x:v>2019</x:v>
      </x:c>
      <x:c r="E62" s="46" t="str">
        <x:v>Stromateidae</x:v>
      </x:c>
      <x:c r="F62" s="46" t="str">
        <x:v>Butterfishes</x:v>
      </x:c>
      <x:c r="G62" s="46" t="str">
        <x:v>Small benthopelagics (&lt;30 cm)</x:v>
      </x:c>
      <x:c r="H62" s="46" t="str">
        <x:v>Perch-likes</x:v>
      </x:c>
      <x:c r="I62" s="60" t="n">
        <x:v>423.3514245297</x:v>
      </x:c>
      <x:c r="J62" s="60" t="n">
        <x:v>423.3514245297</x:v>
      </x:c>
      <x:c r="K62" s="60" t="n">
        <x:v>0</x:v>
      </x:c>
      <x:c r="L62" s="60" t="n">
        <x:v>61.2539620221</x:v>
      </x:c>
      <x:c r="M62" s="60" t="n">
        <x:v>362.0974625076</x:v>
      </x:c>
      <x:c r="N62" s="46" t="str">
        <x:v>stromateidae</x:v>
      </x:c>
      <x:c r="O62" s="62" t="n">
        <x:v>3.62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Stromateidae</x:v>
      </x:c>
      <x:c r="T62" s="62" t="n">
        <x:f>IF(O62="","",(1/'Metadata'!$B$5)^(O62-1))</x:f>
        <x:v>416.8693834703355</x:v>
      </x:c>
      <x:c r="U62" s="60" t="n">
        <x:f>IF(T62="","",I62*T62)</x:f>
        <x:v>176482.2473349843</x:v>
      </x:c>
    </x:row>
    <x:row r="63" ht="18" customHeight="1">
      <x:c r="A63" s="46" t="str">
        <x:v>LME_038</x:v>
      </x:c>
      <x:c r="B63" s="46" t="str">
        <x:v>Indonesian Sea</x:v>
      </x:c>
      <x:c r="C63" s="46" t="str">
        <x:v>LME</x:v>
      </x:c>
      <x:c r="D63" s="58" t="n">
        <x:v>2019</x:v>
      </x:c>
      <x:c r="E63" s="46" t="str">
        <x:v>Serranidae</x:v>
      </x:c>
      <x:c r="F63" s="46" t="str">
        <x:v>Basses, groupers, hinds</x:v>
      </x:c>
      <x:c r="G63" s="46" t="str">
        <x:v>Medium reef assoc. fish (30 - 89 cm)</x:v>
      </x:c>
      <x:c r="H63" s="46" t="str">
        <x:v>Perch-likes</x:v>
      </x:c>
      <x:c r="I63" s="60" t="n">
        <x:v>419.78696925009996</x:v>
      </x:c>
      <x:c r="J63" s="60" t="n">
        <x:v>419.78696925009996</x:v>
      </x:c>
      <x:c r="K63" s="60" t="n">
        <x:v>0</x:v>
      </x:c>
      <x:c r="L63" s="60" t="n">
        <x:v>14.6305920349</x:v>
      </x:c>
      <x:c r="M63" s="60" t="n">
        <x:v>405.1563772152</x:v>
      </x:c>
      <x:c r="N63" s="46" t="str">
        <x:v>serranidae</x:v>
      </x:c>
      <x:c r="O63" s="62" t="n">
        <x:v>3.98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Serranidae</x:v>
      </x:c>
      <x:c r="T63" s="62" t="n">
        <x:f>IF(O63="","",(1/'Metadata'!$B$5)^(O63-1))</x:f>
        <x:v>954.992586021436</x:v>
      </x:c>
      <x:c r="U63" s="60" t="n">
        <x:f>IF(T63="","",I63*T63)</x:f>
        <x:v>400893.443342254</x:v>
      </x:c>
    </x:row>
    <x:row r="64" ht="18" customHeight="1">
      <x:c r="A64" s="46" t="str">
        <x:v>LME_038</x:v>
      </x:c>
      <x:c r="B64" s="46" t="str">
        <x:v>Indonesian Sea</x:v>
      </x:c>
      <x:c r="C64" s="46" t="str">
        <x:v>LME</x:v>
      </x:c>
      <x:c r="D64" s="58" t="n">
        <x:v>2019</x:v>
      </x:c>
      <x:c r="E64" s="46" t="str">
        <x:v>Sergestidae</x:v>
      </x:c>
      <x:c r="F64" s="46" t="str">
        <x:v>Sergestid shrimp</x:v>
      </x:c>
      <x:c r="G64" s="46" t="str">
        <x:v>Shrimps</x:v>
      </x:c>
      <x:c r="H64" s="46" t="str">
        <x:v>Crustaceans</x:v>
      </x:c>
      <x:c r="I64" s="60" t="n">
        <x:v>408.2165015645</x:v>
      </x:c>
      <x:c r="J64" s="60" t="n">
        <x:v>408.2165015645</x:v>
      </x:c>
      <x:c r="K64" s="60" t="n">
        <x:v>0</x:v>
      </x:c>
      <x:c r="L64" s="60" t="n">
        <x:v>153.2749689763</x:v>
      </x:c>
      <x:c r="M64" s="60" t="n">
        <x:v>254.9415325882</x:v>
      </x:c>
      <x:c r="N64" s="46" t="str">
        <x:v>sergestidae</x:v>
      </x:c>
      <x:c r="O64" s="62" t="n">
        <x:v>2.93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Sergestidae</x:v>
      </x:c>
      <x:c r="T64" s="62" t="n">
        <x:f>IF(O64="","",(1/'Metadata'!$B$5)^(O64-1))</x:f>
        <x:v>85.11380382023768</x:v>
      </x:c>
      <x:c r="U64" s="60" t="n">
        <x:f>IF(T64="","",I64*T64)</x:f>
        <x:v>34744.8592303446</x:v>
      </x:c>
    </x:row>
    <x:row r="65" ht="18" customHeight="1">
      <x:c r="A65" s="46" t="str">
        <x:v>LME_038</x:v>
      </x:c>
      <x:c r="B65" s="46" t="str">
        <x:v>Indonesian Sea</x:v>
      </x:c>
      <x:c r="C65" s="46" t="str">
        <x:v>LME</x:v>
      </x:c>
      <x:c r="D65" s="58" t="n">
        <x:v>2019</x:v>
      </x:c>
      <x:c r="E65" s="46" t="str">
        <x:v>Exocoetidae</x:v>
      </x:c>
      <x:c r="F65" s="46" t="str">
        <x:v>Flyingfishes</x:v>
      </x:c>
      <x:c r="G65" s="46" t="str">
        <x:v>Small pelagics (&lt;30 cm)</x:v>
      </x:c>
      <x:c r="H65" s="46" t="str">
        <x:v>Other fishes &amp; inverts</x:v>
      </x:c>
      <x:c r="I65" s="60" t="n">
        <x:v>391.4240884647</x:v>
      </x:c>
      <x:c r="J65" s="60" t="n">
        <x:v>391.4240884647</x:v>
      </x:c>
      <x:c r="K65" s="60" t="n">
        <x:v>0</x:v>
      </x:c>
      <x:c r="L65" s="60" t="n">
        <x:v>0</x:v>
      </x:c>
      <x:c r="M65" s="60" t="n">
        <x:v>391.4240884647</x:v>
      </x:c>
      <x:c r="N65" s="46" t="str">
        <x:v>exocoetidae</x:v>
      </x:c>
      <x:c r="O65" s="62" t="n">
        <x:v>3.57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Exocoetidae</x:v>
      </x:c>
      <x:c r="T65" s="62" t="n">
        <x:f>IF(O65="","",(1/'Metadata'!$B$5)^(O65-1))</x:f>
        <x:v>371.5352290971724</x:v>
      </x:c>
      <x:c r="U65" s="60" t="n">
        <x:f>IF(T65="","",I65*T65)</x:f>
        <x:v>145427.83838188418</x:v>
      </x:c>
    </x:row>
    <x:row r="66" ht="18" customHeight="1">
      <x:c r="A66" s="46" t="str">
        <x:v>LME_038</x:v>
      </x:c>
      <x:c r="B66" s="46" t="str">
        <x:v>Indonesian Sea</x:v>
      </x:c>
      <x:c r="C66" s="46" t="str">
        <x:v>LME</x:v>
      </x:c>
      <x:c r="D66" s="58" t="n">
        <x:v>2019</x:v>
      </x:c>
      <x:c r="E66" s="46" t="str">
        <x:v>Rastrelliger kanagurta</x:v>
      </x:c>
      <x:c r="F66" s="46" t="str">
        <x:v>Indian mackerel</x:v>
      </x:c>
      <x:c r="G66" s="46" t="str">
        <x:v>Medium pelagics (30 - 89 cm)</x:v>
      </x:c>
      <x:c r="H66" s="46" t="str">
        <x:v>Perch-likes</x:v>
      </x:c>
      <x:c r="I66" s="60" t="n">
        <x:v>379.0187873127</x:v>
      </x:c>
      <x:c r="J66" s="60" t="n">
        <x:v>379.0187873127</x:v>
      </x:c>
      <x:c r="K66" s="60" t="n">
        <x:v>0</x:v>
      </x:c>
      <x:c r="L66" s="60" t="n">
        <x:v>379.0187873127</x:v>
      </x:c>
      <x:c r="M66" s="60" t="n">
        <x:v>0</x:v>
      </x:c>
      <x:c r="N66" s="46" t="str">
        <x:v>rastrelliger kanagurta</x:v>
      </x:c>
      <x:c r="O66" s="62" t="n">
        <x:v>3.19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Rastrelliger kanagurta</x:v>
      </x:c>
      <x:c r="T66" s="62" t="n">
        <x:f>IF(O66="","",(1/'Metadata'!$B$5)^(O66-1))</x:f>
        <x:v>154.88166189124811</x:v>
      </x:c>
      <x:c r="U66" s="60" t="n">
        <x:f>IF(T66="","",I66*T66)</x:f>
        <x:v>58703.05966699648</x:v>
      </x:c>
    </x:row>
    <x:row r="67" ht="18" customHeight="1">
      <x:c r="A67" s="46" t="str">
        <x:v>LME_038</x:v>
      </x:c>
      <x:c r="B67" s="46" t="str">
        <x:v>Indonesian Sea</x:v>
      </x:c>
      <x:c r="C67" s="46" t="str">
        <x:v>LME</x:v>
      </x:c>
      <x:c r="D67" s="58" t="n">
        <x:v>2019</x:v>
      </x:c>
      <x:c r="E67" s="46" t="str">
        <x:v>Portunus pelagicus</x:v>
      </x:c>
      <x:c r="F67" s="46" t="str">
        <x:v>Blue swimming crab</x:v>
      </x:c>
      <x:c r="G67" s="46" t="str">
        <x:v>Lobsters, crabs</x:v>
      </x:c>
      <x:c r="H67" s="46" t="str">
        <x:v>Crustaceans</x:v>
      </x:c>
      <x:c r="I67" s="60" t="n">
        <x:v>373.0157110866</x:v>
      </x:c>
      <x:c r="J67" s="60" t="n">
        <x:v>373.0157110866</x:v>
      </x:c>
      <x:c r="K67" s="60" t="n">
        <x:v>0</x:v>
      </x:c>
      <x:c r="L67" s="60" t="n">
        <x:v>210.21735587310002</x:v>
      </x:c>
      <x:c r="M67" s="60" t="n">
        <x:v>162.7983552135</x:v>
      </x:c>
      <x:c r="N67" s="46" t="str">
        <x:v>portunus pelagicus</x:v>
      </x:c>
      <x:c r="O67" s="62" t="n">
        <x:v>2.48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Portunus pelagicus</x:v>
      </x:c>
      <x:c r="T67" s="62" t="n">
        <x:f>IF(O67="","",(1/'Metadata'!$B$5)^(O67-1))</x:f>
        <x:v>30.19951720402016</x:v>
      </x:c>
      <x:c r="U67" s="60" t="n">
        <x:f>IF(T67="","",I67*T67)</x:f>
        <x:v>11264.894384329591</x:v>
      </x:c>
    </x:row>
    <x:row r="68" ht="18" customHeight="1">
      <x:c r="A68" s="46" t="str">
        <x:v>LME_038</x:v>
      </x:c>
      <x:c r="B68" s="46" t="str">
        <x:v>Indonesian Sea</x:v>
      </x:c>
      <x:c r="C68" s="46" t="str">
        <x:v>LME</x:v>
      </x:c>
      <x:c r="D68" s="58" t="n">
        <x:v>2019</x:v>
      </x:c>
      <x:c r="E68" s="46" t="str">
        <x:v>Xiphias gladius</x:v>
      </x:c>
      <x:c r="F68" s="46" t="str">
        <x:v>Swordfish</x:v>
      </x:c>
      <x:c r="G68" s="46" t="str">
        <x:v>Large pelagics (&gt;=90 cm)</x:v>
      </x:c>
      <x:c r="H68" s="46" t="str">
        <x:v>Tuna &amp; billfishes</x:v>
      </x:c>
      <x:c r="I68" s="60" t="n">
        <x:v>307.5437510989</x:v>
      </x:c>
      <x:c r="J68" s="60" t="n">
        <x:v>306.4833973132</x:v>
      </x:c>
      <x:c r="K68" s="60" t="n">
        <x:v>1.0603537857</x:v>
      </x:c>
      <x:c r="L68" s="60" t="n">
        <x:v>306.4833973132</x:v>
      </x:c>
      <x:c r="M68" s="60" t="n">
        <x:v>1.0603537857</x:v>
      </x:c>
      <x:c r="N68" s="46" t="str">
        <x:v>xiphias gladius</x:v>
      </x:c>
      <x:c r="O68" s="62" t="n">
        <x:v>4.53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Xiphias gladius</x:v>
      </x:c>
      <x:c r="T68" s="62" t="n">
        <x:f>IF(O68="","",(1/'Metadata'!$B$5)^(O68-1))</x:f>
        <x:v>3388.4415613920273</x:v>
      </x:c>
      <x:c r="U68" s="60" t="n">
        <x:f>IF(T68="","",I68*T68)</x:f>
        <x:v>1042094.0281699176</x:v>
      </x:c>
    </x:row>
    <x:row r="69" ht="18" customHeight="1">
      <x:c r="A69" s="46" t="str">
        <x:v>LME_038</x:v>
      </x:c>
      <x:c r="B69" s="46" t="str">
        <x:v>Indonesian Sea</x:v>
      </x:c>
      <x:c r="C69" s="46" t="str">
        <x:v>LME</x:v>
      </x:c>
      <x:c r="D69" s="58" t="n">
        <x:v>2019</x:v>
      </x:c>
      <x:c r="E69" s="46" t="str">
        <x:v>Loliginidae</x:v>
      </x:c>
      <x:c r="F69" s="46" t="str">
        <x:v>Common pencil squids</x:v>
      </x:c>
      <x:c r="G69" s="46" t="str">
        <x:v>Cephalopods</x:v>
      </x:c>
      <x:c r="H69" s="46" t="str">
        <x:v>Other fishes &amp; inverts</x:v>
      </x:c>
      <x:c r="I69" s="60" t="n">
        <x:v>299.7022730117</x:v>
      </x:c>
      <x:c r="J69" s="60" t="n">
        <x:v>299.7022730117</x:v>
      </x:c>
      <x:c r="K69" s="60" t="n">
        <x:v>0</x:v>
      </x:c>
      <x:c r="L69" s="60" t="n">
        <x:v>278.9704690025</x:v>
      </x:c>
      <x:c r="M69" s="60" t="n">
        <x:v>20.7318040092</x:v>
      </x:c>
      <x:c r="N69" s="46" t="str">
        <x:v>loliginidae</x:v>
      </x:c>
      <x:c r="O69" s="62" t="n">
        <x:v>3.9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Loliginidae</x:v>
      </x:c>
      <x:c r="T69" s="62" t="n">
        <x:f>IF(O69="","",(1/'Metadata'!$B$5)^(O69-1))</x:f>
        <x:v>794.3282347242813</x:v>
      </x:c>
      <x:c r="U69" s="60" t="n">
        <x:f>IF(T69="","",I69*T69)</x:f>
        <x:v>238061.97746423827</x:v>
      </x:c>
    </x:row>
    <x:row r="70" ht="18" customHeight="1">
      <x:c r="A70" s="46" t="str">
        <x:v>LME_038</x:v>
      </x:c>
      <x:c r="B70" s="46" t="str">
        <x:v>Indonesian Sea</x:v>
      </x:c>
      <x:c r="C70" s="46" t="str">
        <x:v>LME</x:v>
      </x:c>
      <x:c r="D70" s="58" t="n">
        <x:v>2019</x:v>
      </x:c>
      <x:c r="E70" s="46" t="str">
        <x:v>Decapterus russelli</x:v>
      </x:c>
      <x:c r="F70" s="46" t="str">
        <x:v>Indian scad</x:v>
      </x:c>
      <x:c r="G70" s="46" t="str">
        <x:v>Medium pelagics (30 - 89 cm)</x:v>
      </x:c>
      <x:c r="H70" s="46" t="str">
        <x:v>Perch-likes</x:v>
      </x:c>
      <x:c r="I70" s="60" t="n">
        <x:v>290.5384663919</x:v>
      </x:c>
      <x:c r="J70" s="60" t="n">
        <x:v>290.5384663919</x:v>
      </x:c>
      <x:c r="K70" s="60" t="n">
        <x:v>0</x:v>
      </x:c>
      <x:c r="L70" s="60" t="n">
        <x:v>169.57335169110002</x:v>
      </x:c>
      <x:c r="M70" s="60" t="n">
        <x:v>120.9651147008</x:v>
      </x:c>
      <x:c r="N70" s="46" t="str">
        <x:v>decapterus russelli</x:v>
      </x:c>
      <x:c r="O70" s="62" t="n">
        <x:v>3.68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Decapterus russelli</x:v>
      </x:c>
      <x:c r="T70" s="62" t="n">
        <x:f>IF(O70="","",(1/'Metadata'!$B$5)^(O70-1))</x:f>
        <x:v>478.6300923226385</x:v>
      </x:c>
      <x:c r="U70" s="60" t="n">
        <x:f>IF(T70="","",I70*T70)</x:f>
        <x:v>139060.4529924329</x:v>
      </x:c>
    </x:row>
    <x:row r="71" ht="18" customHeight="1">
      <x:c r="A71" s="46" t="str">
        <x:v>LME_038</x:v>
      </x:c>
      <x:c r="B71" s="46" t="str">
        <x:v>Indonesian Sea</x:v>
      </x:c>
      <x:c r="C71" s="46" t="str">
        <x:v>LME</x:v>
      </x:c>
      <x:c r="D71" s="58" t="n">
        <x:v>2019</x:v>
      </x:c>
      <x:c r="E71" s="46" t="str">
        <x:v>Hemiramphidae</x:v>
      </x:c>
      <x:c r="F71" s="46" t="str">
        <x:v>Halfbeaks, garfishes</x:v>
      </x:c>
      <x:c r="G71" s="46" t="str">
        <x:v>Medium pelagics (30 - 89 cm)</x:v>
      </x:c>
      <x:c r="H71" s="46" t="str">
        <x:v>Other fishes &amp; inverts</x:v>
      </x:c>
      <x:c r="I71" s="60" t="n">
        <x:v>271.8334559927</x:v>
      </x:c>
      <x:c r="J71" s="60" t="n">
        <x:v>271.8334559927</x:v>
      </x:c>
      <x:c r="K71" s="60" t="n">
        <x:v>0</x:v>
      </x:c>
      <x:c r="L71" s="60" t="n">
        <x:v>0</x:v>
      </x:c>
      <x:c r="M71" s="60" t="n">
        <x:v>271.8334559927</x:v>
      </x:c>
      <x:c r="N71" s="46" t="str">
        <x:v>hemiramphidae</x:v>
      </x:c>
      <x:c r="O71" s="62" t="n">
        <x:v>2.82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Hemiramphidae</x:v>
      </x:c>
      <x:c r="T71" s="62" t="n">
        <x:f>IF(O71="","",(1/'Metadata'!$B$5)^(O71-1))</x:f>
        <x:v>66.06934480075958</x:v>
      </x:c>
      <x:c r="U71" s="60" t="n">
        <x:f>IF(T71="","",I71*T71)</x:f>
        <x:v>17959.8583323638</x:v>
      </x:c>
    </x:row>
    <x:row r="72" ht="18" customHeight="1">
      <x:c r="A72" s="46" t="str">
        <x:v>LME_038</x:v>
      </x:c>
      <x:c r="B72" s="46" t="str">
        <x:v>Indonesian Sea</x:v>
      </x:c>
      <x:c r="C72" s="46" t="str">
        <x:v>LME</x:v>
      </x:c>
      <x:c r="D72" s="58" t="n">
        <x:v>2019</x:v>
      </x:c>
      <x:c r="E72" s="46" t="str">
        <x:v>Dendrobranchiata</x:v>
      </x:c>
      <x:c r="F72" s="46" t="str">
        <x:v>Shrimps and prawns</x:v>
      </x:c>
      <x:c r="G72" s="46" t="str">
        <x:v>Shrimps</x:v>
      </x:c>
      <x:c r="H72" s="46" t="str">
        <x:v>Crustaceans</x:v>
      </x:c>
      <x:c r="I72" s="60" t="n">
        <x:v>249.5883546772</x:v>
      </x:c>
      <x:c r="J72" s="60" t="n">
        <x:v>249.5883546772</x:v>
      </x:c>
      <x:c r="K72" s="60" t="n">
        <x:v>0</x:v>
      </x:c>
      <x:c r="L72" s="60" t="n">
        <x:v>249.5883546772</x:v>
      </x:c>
      <x:c r="M72" s="60" t="n">
        <x:v>0</x:v>
      </x:c>
      <x:c r="N72" s="46" t="str">
        <x:v>dendrobranchiata</x:v>
      </x:c>
      <x:c r="O72" s="62" t="n">
        <x:v>3.24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Dendrobranchiata</x:v>
      </x:c>
      <x:c r="T72" s="62" t="n">
        <x:f>IF(O72="","",(1/'Metadata'!$B$5)^(O72-1))</x:f>
        <x:v>173.78008287493762</x:v>
      </x:c>
      <x:c r="U72" s="60" t="n">
        <x:f>IF(T72="","",I72*T72)</x:f>
        <x:v>43373.484960423135</x:v>
      </x:c>
    </x:row>
    <x:row r="73" ht="18" customHeight="1">
      <x:c r="A73" s="46" t="str">
        <x:v>LME_038</x:v>
      </x:c>
      <x:c r="B73" s="46" t="str">
        <x:v>Indonesian Sea</x:v>
      </x:c>
      <x:c r="C73" s="46" t="str">
        <x:v>LME</x:v>
      </x:c>
      <x:c r="D73" s="58" t="n">
        <x:v>2019</x:v>
      </x:c>
      <x:c r="E73" s="46" t="str">
        <x:v>Alopias</x:v>
      </x:c>
      <x:c r="F73" s="46" t="str">
        <x:v>Thresher sharks</x:v>
      </x:c>
      <x:c r="G73" s="46" t="str">
        <x:v>Large sharks (&gt;=90 cm)</x:v>
      </x:c>
      <x:c r="H73" s="46" t="str">
        <x:v>Sharks &amp; rays</x:v>
      </x:c>
      <x:c r="I73" s="60" t="n">
        <x:v>243.19058771640002</x:v>
      </x:c>
      <x:c r="J73" s="60" t="n">
        <x:v>243.1614639123</x:v>
      </x:c>
      <x:c r="K73" s="60" t="n">
        <x:v>0.0291238041</x:v>
      </x:c>
      <x:c r="L73" s="60" t="n">
        <x:v>243.1614639123</x:v>
      </x:c>
      <x:c r="M73" s="60" t="n">
        <x:v>0.0291238041</x:v>
      </x:c>
      <x:c r="N73" s="46" t="str">
        <x:v>alopias</x:v>
      </x:c>
      <x:c r="O73" s="62" t="n">
        <x:v>4.5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Alopias</x:v>
      </x:c>
      <x:c r="T73" s="62" t="n">
        <x:f>IF(O73="","",(1/'Metadata'!$B$5)^(O73-1))</x:f>
        <x:v>3162.2776601683795</x:v>
      </x:c>
      <x:c r="U73" s="60" t="n">
        <x:f>IF(T73="","",I73*T73)</x:f>
        <x:v>769036.1626987905</x:v>
      </x:c>
    </x:row>
    <x:row r="74" ht="18" customHeight="1">
      <x:c r="A74" s="46" t="str">
        <x:v>LME_038</x:v>
      </x:c>
      <x:c r="B74" s="46" t="str">
        <x:v>Indonesian Sea</x:v>
      </x:c>
      <x:c r="C74" s="46" t="str">
        <x:v>LME</x:v>
      </x:c>
      <x:c r="D74" s="58" t="n">
        <x:v>2019</x:v>
      </x:c>
      <x:c r="E74" s="46" t="str">
        <x:v>Thunnus tonggol</x:v>
      </x:c>
      <x:c r="F74" s="46" t="str">
        <x:v>Longtail tuna</x:v>
      </x:c>
      <x:c r="G74" s="46" t="str">
        <x:v>Large pelagics (&gt;=90 cm)</x:v>
      </x:c>
      <x:c r="H74" s="46" t="str">
        <x:v>Tuna &amp; billfishes</x:v>
      </x:c>
      <x:c r="I74" s="60" t="n">
        <x:v>235.5734673876</x:v>
      </x:c>
      <x:c r="J74" s="60" t="n">
        <x:v>117.8697472373</x:v>
      </x:c>
      <x:c r="K74" s="60" t="n">
        <x:v>117.7037201503</x:v>
      </x:c>
      <x:c r="L74" s="60" t="n">
        <x:v>117.8697472373</x:v>
      </x:c>
      <x:c r="M74" s="60" t="n">
        <x:v>117.7037201503</x:v>
      </x:c>
      <x:c r="N74" s="46" t="str">
        <x:v>thunnus tonggol</x:v>
      </x:c>
      <x:c r="O74" s="62" t="n">
        <x:v>4.5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Thunnus tonggol</x:v>
      </x:c>
      <x:c r="T74" s="62" t="n">
        <x:f>IF(O74="","",(1/'Metadata'!$B$5)^(O74-1))</x:f>
        <x:v>3162.2776601683795</x:v>
      </x:c>
      <x:c r="U74" s="60" t="n">
        <x:f>IF(T74="","",I74*T74)</x:f>
        <x:v>744948.7132482118</x:v>
      </x:c>
    </x:row>
    <x:row r="75" ht="18" customHeight="1">
      <x:c r="A75" s="46" t="str">
        <x:v>LME_038</x:v>
      </x:c>
      <x:c r="B75" s="46" t="str">
        <x:v>Indonesian Sea</x:v>
      </x:c>
      <x:c r="C75" s="46" t="str">
        <x:v>LME</x:v>
      </x:c>
      <x:c r="D75" s="58" t="n">
        <x:v>2019</x:v>
      </x:c>
      <x:c r="E75" s="46" t="str">
        <x:v>Dasyatidae</x:v>
      </x:c>
      <x:c r="F75" s="46" t="str">
        <x:v>Whiptail stingrays</x:v>
      </x:c>
      <x:c r="G75" s="46" t="str">
        <x:v>Large rays (&gt;=90 cm)</x:v>
      </x:c>
      <x:c r="H75" s="46" t="str">
        <x:v>Sharks &amp; rays</x:v>
      </x:c>
      <x:c r="I75" s="60" t="n">
        <x:v>205.5470043095</x:v>
      </x:c>
      <x:c r="J75" s="60" t="n">
        <x:v>205.5470043095</x:v>
      </x:c>
      <x:c r="K75" s="60" t="n">
        <x:v>0</x:v>
      </x:c>
      <x:c r="L75" s="60" t="n">
        <x:v>0</x:v>
      </x:c>
      <x:c r="M75" s="60" t="n">
        <x:v>205.5470043095</x:v>
      </x:c>
      <x:c r="N75" s="46" t="str">
        <x:v>dasyatidae</x:v>
      </x:c>
      <x:c r="O75" s="62" t="n">
        <x:v>3.38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Dasyatidae</x:v>
      </x:c>
      <x:c r="T75" s="62" t="n">
        <x:f>IF(O75="","",(1/'Metadata'!$B$5)^(O75-1))</x:f>
        <x:v>239.88329190194898</x:v>
      </x:c>
      <x:c r="U75" s="60" t="n">
        <x:f>IF(T75="","",I75*T75)</x:f>
        <x:v>49307.29203434695</x:v>
      </x:c>
    </x:row>
    <x:row r="76" ht="18" customHeight="1">
      <x:c r="A76" s="46" t="str">
        <x:v>LME_038</x:v>
      </x:c>
      <x:c r="B76" s="46" t="str">
        <x:v>Indonesian Sea</x:v>
      </x:c>
      <x:c r="C76" s="46" t="str">
        <x:v>LME</x:v>
      </x:c>
      <x:c r="D76" s="58" t="n">
        <x:v>2019</x:v>
      </x:c>
      <x:c r="E76" s="46" t="str">
        <x:v>Thunnus alalunga</x:v>
      </x:c>
      <x:c r="F76" s="46" t="str">
        <x:v>Albacore</x:v>
      </x:c>
      <x:c r="G76" s="46" t="str">
        <x:v>Large pelagics (&gt;=90 cm)</x:v>
      </x:c>
      <x:c r="H76" s="46" t="str">
        <x:v>Tuna &amp; billfishes</x:v>
      </x:c>
      <x:c r="I76" s="60" t="n">
        <x:v>180.2697361174</x:v>
      </x:c>
      <x:c r="J76" s="60" t="n">
        <x:v>180.2461864601</x:v>
      </x:c>
      <x:c r="K76" s="60" t="n">
        <x:v>0.0235496573</x:v>
      </x:c>
      <x:c r="L76" s="60" t="n">
        <x:v>180.2461864601</x:v>
      </x:c>
      <x:c r="M76" s="60" t="n">
        <x:v>0.0235496573</x:v>
      </x:c>
      <x:c r="N76" s="46" t="str">
        <x:v>thunnus alalunga</x:v>
      </x:c>
      <x:c r="O76" s="62" t="n">
        <x:v>4.3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Thunnus alalunga</x:v>
      </x:c>
      <x:c r="T76" s="62" t="n">
        <x:f>IF(O76="","",(1/'Metadata'!$B$5)^(O76-1))</x:f>
        <x:v>1995.2623149688789</x:v>
      </x:c>
      <x:c r="U76" s="60" t="n">
        <x:f>IF(T76="","",I76*T76)</x:f>
        <x:v>359685.4110044324</x:v>
      </x:c>
    </x:row>
    <x:row r="77" ht="18" customHeight="1">
      <x:c r="A77" s="46" t="str">
        <x:v>LME_038</x:v>
      </x:c>
      <x:c r="B77" s="46" t="str">
        <x:v>Indonesian Sea</x:v>
      </x:c>
      <x:c r="C77" s="46" t="str">
        <x:v>LME</x:v>
      </x:c>
      <x:c r="D77" s="58" t="n">
        <x:v>2019</x:v>
      </x:c>
      <x:c r="E77" s="46" t="str">
        <x:v>Priacanthus</x:v>
      </x:c>
      <x:c r="F77" s="46" t="str">
        <x:v>Bigeyes</x:v>
      </x:c>
      <x:c r="G77" s="46" t="str">
        <x:v>Medium reef assoc. fish (30 - 89 cm)</x:v>
      </x:c>
      <x:c r="H77" s="46" t="str">
        <x:v>Perch-likes</x:v>
      </x:c>
      <x:c r="I77" s="60" t="n">
        <x:v>171.8181229421</x:v>
      </x:c>
      <x:c r="J77" s="60" t="n">
        <x:v>171.8181229421</x:v>
      </x:c>
      <x:c r="K77" s="60" t="n">
        <x:v>0</x:v>
      </x:c>
      <x:c r="L77" s="60" t="n">
        <x:v>169.822578972</x:v>
      </x:c>
      <x:c r="M77" s="60" t="n">
        <x:v>1.9955439701</x:v>
      </x:c>
      <x:c r="N77" s="46" t="str">
        <x:v>priacanthus</x:v>
      </x:c>
      <x:c r="O77" s="62" t="n">
        <x:v>3.81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Priacanthus</x:v>
      </x:c>
      <x:c r="T77" s="62" t="n">
        <x:f>IF(O77="","",(1/'Metadata'!$B$5)^(O77-1))</x:f>
        <x:v>645.6542290346556</x:v>
      </x:c>
      <x:c r="U77" s="60" t="n">
        <x:f>IF(T77="","",I77*T77)</x:f>
        <x:v>110935.09770236324</x:v>
      </x:c>
    </x:row>
    <x:row r="78" ht="18" customHeight="1">
      <x:c r="A78" s="46" t="str">
        <x:v>LME_038</x:v>
      </x:c>
      <x:c r="B78" s="46" t="str">
        <x:v>Indonesian Sea</x:v>
      </x:c>
      <x:c r="C78" s="46" t="str">
        <x:v>LME</x:v>
      </x:c>
      <x:c r="D78" s="58" t="n">
        <x:v>2019</x:v>
      </x:c>
      <x:c r="E78" s="46" t="str">
        <x:v>Saurida</x:v>
      </x:c>
      <x:c r="F78" s="46" t="str">
        <x:v>Lizardfishes</x:v>
      </x:c>
      <x:c r="G78" s="46" t="str">
        <x:v>Medium demersals (30 - 89 cm)</x:v>
      </x:c>
      <x:c r="H78" s="46" t="str">
        <x:v>Other fishes &amp; inverts</x:v>
      </x:c>
      <x:c r="I78" s="60" t="n">
        <x:v>154.9153326788</x:v>
      </x:c>
      <x:c r="J78" s="60" t="n">
        <x:v>154.9153326788</x:v>
      </x:c>
      <x:c r="K78" s="60" t="n">
        <x:v>0</x:v>
      </x:c>
      <x:c r="L78" s="60" t="n">
        <x:v>153.2211150866</x:v>
      </x:c>
      <x:c r="M78" s="60" t="n">
        <x:v>1.6942175922</x:v>
      </x:c>
      <x:c r="N78" s="46" t="str">
        <x:v>saurida</x:v>
      </x:c>
      <x:c r="O78" s="62" t="n">
        <x:v>4.35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Saurida</x:v>
      </x:c>
      <x:c r="T78" s="62" t="n">
        <x:f>IF(O78="","",(1/'Metadata'!$B$5)^(O78-1))</x:f>
        <x:v>2238.7211385683377</x:v>
      </x:c>
      <x:c r="U78" s="60" t="n">
        <x:f>IF(T78="","",I78*T78)</x:f>
        <x:v>346812.22995637596</x:v>
      </x:c>
    </x:row>
    <x:row r="79" ht="18" customHeight="1">
      <x:c r="A79" s="46" t="str">
        <x:v>LME_038</x:v>
      </x:c>
      <x:c r="B79" s="46" t="str">
        <x:v>Indonesian Sea</x:v>
      </x:c>
      <x:c r="C79" s="46" t="str">
        <x:v>LME</x:v>
      </x:c>
      <x:c r="D79" s="58" t="n">
        <x:v>2019</x:v>
      </x:c>
      <x:c r="E79" s="46" t="str">
        <x:v>Sphyraena</x:v>
      </x:c>
      <x:c r="F79" s="46" t="str">
        <x:v>Barracudas, sennets</x:v>
      </x:c>
      <x:c r="G79" s="46" t="str">
        <x:v>Large pelagics (&gt;=90 cm)</x:v>
      </x:c>
      <x:c r="H79" s="46" t="str">
        <x:v>Perch-likes</x:v>
      </x:c>
      <x:c r="I79" s="60" t="n">
        <x:v>151.6961200552</x:v>
      </x:c>
      <x:c r="J79" s="60" t="n">
        <x:v>151.6961200552</x:v>
      </x:c>
      <x:c r="K79" s="60" t="n">
        <x:v>0</x:v>
      </x:c>
      <x:c r="L79" s="60" t="n">
        <x:v>63.5626685494</x:v>
      </x:c>
      <x:c r="M79" s="60" t="n">
        <x:v>88.1334515058</x:v>
      </x:c>
      <x:c r="N79" s="46" t="str">
        <x:v>sphyraena</x:v>
      </x:c>
      <x:c r="O79" s="62" t="n">
        <x:v>4.4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Sphyraena</x:v>
      </x:c>
      <x:c r="T79" s="62" t="n">
        <x:f>IF(O79="","",(1/'Metadata'!$B$5)^(O79-1))</x:f>
        <x:v>2511.886431509582</x:v>
      </x:c>
      <x:c r="U79" s="60" t="n">
        <x:f>IF(T79="","",I79*T79)</x:f>
        <x:v>381043.42567930545</x:v>
      </x:c>
    </x:row>
    <x:row r="80" ht="18" customHeight="1">
      <x:c r="A80" s="46" t="str">
        <x:v>LME_038</x:v>
      </x:c>
      <x:c r="B80" s="46" t="str">
        <x:v>Indonesian Sea</x:v>
      </x:c>
      <x:c r="C80" s="46" t="str">
        <x:v>LME</x:v>
      </x:c>
      <x:c r="D80" s="58" t="n">
        <x:v>2019</x:v>
      </x:c>
      <x:c r="E80" s="46" t="str">
        <x:v>Siganidae</x:v>
      </x:c>
      <x:c r="F80" s="46" t="str">
        <x:v>Rabbitfishes</x:v>
      </x:c>
      <x:c r="G80" s="46" t="str">
        <x:v>Medium reef assoc. fish (30 - 89 cm)</x:v>
      </x:c>
      <x:c r="H80" s="46" t="str">
        <x:v>Perch-likes</x:v>
      </x:c>
      <x:c r="I80" s="60" t="n">
        <x:v>149.7942786382</x:v>
      </x:c>
      <x:c r="J80" s="60" t="n">
        <x:v>149.7942786382</x:v>
      </x:c>
      <x:c r="K80" s="60" t="n">
        <x:v>0</x:v>
      </x:c>
      <x:c r="L80" s="60" t="n">
        <x:v>0</x:v>
      </x:c>
      <x:c r="M80" s="60" t="n">
        <x:v>149.7942786382</x:v>
      </x:c>
      <x:c r="N80" s="46" t="str">
        <x:v>siganidae</x:v>
      </x:c>
      <x:c r="O80" s="62" t="n">
        <x:v>2.11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Siganidae</x:v>
      </x:c>
      <x:c r="T80" s="62" t="n">
        <x:f>IF(O80="","",(1/'Metadata'!$B$5)^(O80-1))</x:f>
        <x:v>12.882495516931336</x:v>
      </x:c>
      <x:c r="U80" s="60" t="n">
        <x:f>IF(T80="","",I80*T80)</x:f>
        <x:v>1929.724123018575</x:v>
      </x:c>
    </x:row>
    <x:row r="81" ht="18" customHeight="1">
      <x:c r="A81" s="46" t="str">
        <x:v>LME_038</x:v>
      </x:c>
      <x:c r="B81" s="46" t="str">
        <x:v>Indonesian Sea</x:v>
      </x:c>
      <x:c r="C81" s="46" t="str">
        <x:v>LME</x:v>
      </x:c>
      <x:c r="D81" s="58" t="n">
        <x:v>2019</x:v>
      </x:c>
      <x:c r="E81" s="46" t="str">
        <x:v>Selar crumenophthalmus</x:v>
      </x:c>
      <x:c r="F81" s="46" t="str">
        <x:v>Bigeye scad</x:v>
      </x:c>
      <x:c r="G81" s="46" t="str">
        <x:v>Medium pelagics (30 - 89 cm)</x:v>
      </x:c>
      <x:c r="H81" s="46" t="str">
        <x:v>Perch-likes</x:v>
      </x:c>
      <x:c r="I81" s="60" t="n">
        <x:v>135.9634316064</x:v>
      </x:c>
      <x:c r="J81" s="60" t="n">
        <x:v>135.9634316064</x:v>
      </x:c>
      <x:c r="K81" s="60" t="n">
        <x:v>0</x:v>
      </x:c>
      <x:c r="L81" s="60" t="n">
        <x:v>69.7934926002</x:v>
      </x:c>
      <x:c r="M81" s="60" t="n">
        <x:v>66.16993900620001</x:v>
      </x:c>
      <x:c r="N81" s="46" t="str">
        <x:v>selar crumenophthalmus</x:v>
      </x:c>
      <x:c r="O81" s="62" t="n">
        <x:v>3.81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Selar crumenophthalmus</x:v>
      </x:c>
      <x:c r="T81" s="62" t="n">
        <x:f>IF(O81="","",(1/'Metadata'!$B$5)^(O81-1))</x:f>
        <x:v>645.6542290346556</x:v>
      </x:c>
      <x:c r="U81" s="60" t="n">
        <x:f>IF(T81="","",I81*T81)</x:f>
        <x:v>87785.36461073632</x:v>
      </x:c>
    </x:row>
    <x:row r="82" ht="18" customHeight="1">
      <x:c r="A82" s="46" t="str">
        <x:v>LME_038</x:v>
      </x:c>
      <x:c r="B82" s="46" t="str">
        <x:v>Indonesian Sea</x:v>
      </x:c>
      <x:c r="C82" s="46" t="str">
        <x:v>LME</x:v>
      </x:c>
      <x:c r="D82" s="58" t="n">
        <x:v>2019</x:v>
      </x:c>
      <x:c r="E82" s="46" t="str">
        <x:v>Auxis</x:v>
      </x:c>
      <x:c r="F82" s="46" t="str">
        <x:v>Bullet and frigate tunas</x:v>
      </x:c>
      <x:c r="G82" s="46" t="str">
        <x:v>Medium pelagics (30 - 89 cm)</x:v>
      </x:c>
      <x:c r="H82" s="46" t="str">
        <x:v>Tuna &amp; billfishes</x:v>
      </x:c>
      <x:c r="I82" s="60" t="n">
        <x:v>132.8426240524</x:v>
      </x:c>
      <x:c r="J82" s="60" t="n">
        <x:v>132.8426240524</x:v>
      </x:c>
      <x:c r="K82" s="60" t="n">
        <x:v>0</x:v>
      </x:c>
      <x:c r="L82" s="60" t="n">
        <x:v>114.2935426089</x:v>
      </x:c>
      <x:c r="M82" s="60" t="n">
        <x:v>18.5490814435</x:v>
      </x:c>
      <x:c r="N82" s="46" t="str">
        <x:v>auxis</x:v>
      </x:c>
      <x:c r="O82" s="62" t="n">
        <x:v>4.24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Auxis</x:v>
      </x:c>
      <x:c r="T82" s="62" t="n">
        <x:f>IF(O82="","",(1/'Metadata'!$B$5)^(O82-1))</x:f>
        <x:v>1737.8008287493763</x:v>
      </x:c>
      <x:c r="U82" s="60" t="n">
        <x:f>IF(T82="","",I82*T82)</x:f>
        <x:v>230854.02217150253</x:v>
      </x:c>
    </x:row>
    <x:row r="83" ht="18" customHeight="1">
      <x:c r="A83" s="46" t="str">
        <x:v>LME_038</x:v>
      </x:c>
      <x:c r="B83" s="46" t="str">
        <x:v>Indonesian Sea</x:v>
      </x:c>
      <x:c r="C83" s="46" t="str">
        <x:v>LME</x:v>
      </x:c>
      <x:c r="D83" s="58" t="n">
        <x:v>2019</x:v>
      </x:c>
      <x:c r="E83" s="46" t="str">
        <x:v>Scolopsis</x:v>
      </x:c>
      <x:c r="F83" s="46" t="str">
        <x:v>Monocle breams</x:v>
      </x:c>
      <x:c r="G83" s="46" t="str">
        <x:v>Small reef assoc. fish (&lt;30 cm)</x:v>
      </x:c>
      <x:c r="H83" s="46" t="str">
        <x:v>Perch-likes</x:v>
      </x:c>
      <x:c r="I83" s="60" t="n">
        <x:v>121.1082393014</x:v>
      </x:c>
      <x:c r="J83" s="60" t="n">
        <x:v>121.1082393014</x:v>
      </x:c>
      <x:c r="K83" s="60" t="n">
        <x:v>0</x:v>
      </x:c>
      <x:c r="L83" s="60" t="n">
        <x:v>60.8033570739</x:v>
      </x:c>
      <x:c r="M83" s="60" t="n">
        <x:v>60.3048822275</x:v>
      </x:c>
      <x:c r="N83" s="46" t="str">
        <x:v>scolopsis</x:v>
      </x:c>
      <x:c r="O83" s="62" t="n">
        <x:v>3.3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Scolopsis</x:v>
      </x:c>
      <x:c r="T83" s="62" t="n">
        <x:f>IF(O83="","",(1/'Metadata'!$B$5)^(O83-1))</x:f>
        <x:v>199.52623149688787</x:v>
      </x:c>
      <x:c r="U83" s="60" t="n">
        <x:f>IF(T83="","",I83*T83)</x:f>
        <x:v>24164.270591031633</x:v>
      </x:c>
    </x:row>
    <x:row r="84" ht="18" customHeight="1">
      <x:c r="A84" s="46" t="str">
        <x:v>LME_038</x:v>
      </x:c>
      <x:c r="B84" s="46" t="str">
        <x:v>Indonesian Sea</x:v>
      </x:c>
      <x:c r="C84" s="46" t="str">
        <x:v>LME</x:v>
      </x:c>
      <x:c r="D84" s="58" t="n">
        <x:v>2019</x:v>
      </x:c>
      <x:c r="E84" s="46" t="str">
        <x:v>Pellona ditchela</x:v>
      </x:c>
      <x:c r="F84" s="46" t="str">
        <x:v>Indian pellona</x:v>
      </x:c>
      <x:c r="G84" s="46" t="str">
        <x:v>Small pelagics (&lt;30 cm)</x:v>
      </x:c>
      <x:c r="H84" s="46" t="str">
        <x:v>Herring-likes</x:v>
      </x:c>
      <x:c r="I84" s="60" t="n">
        <x:v>117.3497222004</x:v>
      </x:c>
      <x:c r="J84" s="60" t="n">
        <x:v>117.3497222004</x:v>
      </x:c>
      <x:c r="K84" s="60" t="n">
        <x:v>0</x:v>
      </x:c>
      <x:c r="L84" s="60" t="n">
        <x:v>117.3497222004</x:v>
      </x:c>
      <x:c r="M84" s="60" t="n">
        <x:v>0</x:v>
      </x:c>
      <x:c r="N84" s="46" t="str">
        <x:v>pellona ditchela</x:v>
      </x:c>
      <x:c r="O84" s="62" t="n">
        <x:v>3.37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Pellona ditchela</x:v>
      </x:c>
      <x:c r="T84" s="62" t="n">
        <x:f>IF(O84="","",(1/'Metadata'!$B$5)^(O84-1))</x:f>
        <x:v>234.42288153199226</x:v>
      </x:c>
      <x:c r="U84" s="60" t="n">
        <x:f>IF(T84="","",I84*T84)</x:f>
        <x:v>27509.46002519657</x:v>
      </x:c>
    </x:row>
    <x:row r="85" ht="18" customHeight="1">
      <x:c r="A85" s="46" t="str">
        <x:v>LME_038</x:v>
      </x:c>
      <x:c r="B85" s="46" t="str">
        <x:v>Indonesian Sea</x:v>
      </x:c>
      <x:c r="C85" s="46" t="str">
        <x:v>LME</x:v>
      </x:c>
      <x:c r="D85" s="58" t="n">
        <x:v>2019</x:v>
      </x:c>
      <x:c r="E85" s="46" t="str">
        <x:v>Sepia</x:v>
      </x:c>
      <x:c r="F85" s="46" t="str">
        <x:v>Sepia cuttlefishes</x:v>
      </x:c>
      <x:c r="G85" s="46" t="str">
        <x:v>Cephalopods</x:v>
      </x:c>
      <x:c r="H85" s="46" t="str">
        <x:v>Other fishes &amp; inverts</x:v>
      </x:c>
      <x:c r="I85" s="60" t="n">
        <x:v>111.66908630350001</x:v>
      </x:c>
      <x:c r="J85" s="60" t="n">
        <x:v>111.66908630350001</x:v>
      </x:c>
      <x:c r="K85" s="60" t="n">
        <x:v>0</x:v>
      </x:c>
      <x:c r="L85" s="60" t="n">
        <x:v>111.66908630350001</x:v>
      </x:c>
      <x:c r="M85" s="60" t="n">
        <x:v>0</x:v>
      </x:c>
      <x:c r="N85" s="46" t="str">
        <x:v>sepia</x:v>
      </x:c>
      <x:c r="O85" s="62" t="n">
        <x:v>3.69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Sepia</x:v>
      </x:c>
      <x:c r="T85" s="62" t="n">
        <x:f>IF(O85="","",(1/'Metadata'!$B$5)^(O85-1))</x:f>
        <x:v>489.77881936844614</x:v>
      </x:c>
      <x:c r="U85" s="60" t="n">
        <x:f>IF(T85="","",I85*T85)</x:f>
        <x:v>54693.15324968135</x:v>
      </x:c>
    </x:row>
    <x:row r="86" ht="18" customHeight="1">
      <x:c r="A86" s="46" t="str">
        <x:v>LME_038</x:v>
      </x:c>
      <x:c r="B86" s="46" t="str">
        <x:v>Indonesian Sea</x:v>
      </x:c>
      <x:c r="C86" s="46" t="str">
        <x:v>LME</x:v>
      </x:c>
      <x:c r="D86" s="58" t="n">
        <x:v>2019</x:v>
      </x:c>
      <x:c r="E86" s="46" t="str">
        <x:v>Chirocentrus</x:v>
      </x:c>
      <x:c r="F86" s="46" t="str">
        <x:v>Wolf herrings</x:v>
      </x:c>
      <x:c r="G86" s="46" t="str">
        <x:v>Large pelagics (&gt;=90 cm)</x:v>
      </x:c>
      <x:c r="H86" s="46" t="str">
        <x:v>Herring-likes</x:v>
      </x:c>
      <x:c r="I86" s="60" t="n">
        <x:v>110.8607948095</x:v>
      </x:c>
      <x:c r="J86" s="60" t="n">
        <x:v>110.8607948095</x:v>
      </x:c>
      <x:c r="K86" s="60" t="n">
        <x:v>0</x:v>
      </x:c>
      <x:c r="L86" s="60" t="n">
        <x:v>28.8666983289</x:v>
      </x:c>
      <x:c r="M86" s="60" t="n">
        <x:v>81.9940964806</x:v>
      </x:c>
      <x:c r="N86" s="46" t="str">
        <x:v>chirocentrus</x:v>
      </x:c>
      <x:c r="O86" s="62" t="n">
        <x:v>4.3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Chirocentrus</x:v>
      </x:c>
      <x:c r="T86" s="62" t="n">
        <x:f>IF(O86="","",(1/'Metadata'!$B$5)^(O86-1))</x:f>
        <x:v>1995.2623149688789</x:v>
      </x:c>
      <x:c r="U86" s="60" t="n">
        <x:f>IF(T86="","",I86*T86)</x:f>
        <x:v>221196.36609089284</x:v>
      </x:c>
    </x:row>
    <x:row r="87" ht="18" customHeight="1">
      <x:c r="A87" s="46" t="str">
        <x:v>LME_038</x:v>
      </x:c>
      <x:c r="B87" s="46" t="str">
        <x:v>Indonesian Sea</x:v>
      </x:c>
      <x:c r="C87" s="46" t="str">
        <x:v>LME</x:v>
      </x:c>
      <x:c r="D87" s="58" t="n">
        <x:v>2019</x:v>
      </x:c>
      <x:c r="E87" s="46" t="str">
        <x:v>Acetes</x:v>
      </x:c>
      <x:c r="F87" s="46" t="str">
        <x:v>Acetes shrimps</x:v>
      </x:c>
      <x:c r="G87" s="46" t="str">
        <x:v>Shrimps</x:v>
      </x:c>
      <x:c r="H87" s="46" t="str">
        <x:v>Crustaceans</x:v>
      </x:c>
      <x:c r="I87" s="60" t="n">
        <x:v>107.0710677052</x:v>
      </x:c>
      <x:c r="J87" s="60" t="n">
        <x:v>107.0710677052</x:v>
      </x:c>
      <x:c r="K87" s="60" t="n">
        <x:v>0</x:v>
      </x:c>
      <x:c r="L87" s="60" t="n">
        <x:v>107.0710677052</x:v>
      </x:c>
      <x:c r="M87" s="60" t="n">
        <x:v>0</x:v>
      </x:c>
      <x:c r="N87" s="46" t="str">
        <x:v>acetes</x:v>
      </x:c>
      <x:c r="O87" s="62" t="n">
        <x:v>2.7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Acetes</x:v>
      </x:c>
      <x:c r="T87" s="62" t="n">
        <x:f>IF(O87="","",(1/'Metadata'!$B$5)^(O87-1))</x:f>
        <x:v>50.11872336272725</x:v>
      </x:c>
      <x:c r="U87" s="60" t="n">
        <x:f>IF(T87="","",I87*T87)</x:f>
        <x:v>5366.265222468758</x:v>
      </x:c>
    </x:row>
    <x:row r="88" ht="18" customHeight="1">
      <x:c r="A88" s="46" t="str">
        <x:v>LME_038</x:v>
      </x:c>
      <x:c r="B88" s="46" t="str">
        <x:v>Indonesian Sea</x:v>
      </x:c>
      <x:c r="C88" s="46" t="str">
        <x:v>LME</x:v>
      </x:c>
      <x:c r="D88" s="58" t="n">
        <x:v>2019</x:v>
      </x:c>
      <x:c r="E88" s="46" t="str">
        <x:v>Istiompax indica</x:v>
      </x:c>
      <x:c r="F88" s="46" t="str">
        <x:v>Black marlin</x:v>
      </x:c>
      <x:c r="G88" s="46" t="str">
        <x:v>Large pelagics (&gt;=90 cm)</x:v>
      </x:c>
      <x:c r="H88" s="46" t="str">
        <x:v>Tuna &amp; billfishes</x:v>
      </x:c>
      <x:c r="I88" s="60" t="n">
        <x:v>106.5951354997</x:v>
      </x:c>
      <x:c r="J88" s="60" t="n">
        <x:v>106.5951354997</x:v>
      </x:c>
      <x:c r="K88" s="60" t="n">
        <x:v>0</x:v>
      </x:c>
      <x:c r="L88" s="60" t="n">
        <x:v>106.5951354997</x:v>
      </x:c>
      <x:c r="M88" s="60" t="n">
        <x:v>0</x:v>
      </x:c>
      <x:c r="N88" s="46" t="str">
        <x:v>istiompax indica</x:v>
      </x:c>
      <x:c r="O88" s="62" t="n">
        <x:v>4.5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Istiompax indica</x:v>
      </x:c>
      <x:c r="T88" s="62" t="n">
        <x:f>IF(O88="","",(1/'Metadata'!$B$5)^(O88-1))</x:f>
        <x:v>3162.2776601683795</x:v>
      </x:c>
      <x:c r="U88" s="60" t="n">
        <x:f>IF(T88="","",I88*T88)</x:f>
        <x:v>337083.4156733227</x:v>
      </x:c>
    </x:row>
    <x:row r="89" ht="18" customHeight="1">
      <x:c r="A89" s="46" t="str">
        <x:v>LME_038</x:v>
      </x:c>
      <x:c r="B89" s="46" t="str">
        <x:v>Indonesian Sea</x:v>
      </x:c>
      <x:c r="C89" s="46" t="str">
        <x:v>LME</x:v>
      </x:c>
      <x:c r="D89" s="58" t="n">
        <x:v>2019</x:v>
      </x:c>
      <x:c r="E89" s="46" t="str">
        <x:v>Hilsa kelee</x:v>
      </x:c>
      <x:c r="F89" s="46" t="str">
        <x:v>Kelee shad</x:v>
      </x:c>
      <x:c r="G89" s="46" t="str">
        <x:v>Small pelagics (&lt;30 cm)</x:v>
      </x:c>
      <x:c r="H89" s="46" t="str">
        <x:v>Herring-likes</x:v>
      </x:c>
      <x:c r="I89" s="60" t="n">
        <x:v>102.3743404973</x:v>
      </x:c>
      <x:c r="J89" s="60" t="n">
        <x:v>102.3743404973</x:v>
      </x:c>
      <x:c r="K89" s="60" t="n">
        <x:v>0</x:v>
      </x:c>
      <x:c r="L89" s="60" t="n">
        <x:v>102.3743404973</x:v>
      </x:c>
      <x:c r="M89" s="60" t="n">
        <x:v>0</x:v>
      </x:c>
      <x:c r="N89" s="46" t="str">
        <x:v>hilsa kelee</x:v>
      </x:c>
      <x:c r="O89" s="62" t="n">
        <x:v>3.25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Hilsa kelee</x:v>
      </x:c>
      <x:c r="T89" s="62" t="n">
        <x:f>IF(O89="","",(1/'Metadata'!$B$5)^(O89-1))</x:f>
        <x:v>177.82794100389228</x:v>
      </x:c>
      <x:c r="U89" s="60" t="n">
        <x:f>IF(T89="","",I89*T89)</x:f>
        <x:v>18205.018182266245</x:v>
      </x:c>
    </x:row>
    <x:row r="90" ht="18" customHeight="1">
      <x:c r="A90" s="46" t="str">
        <x:v>LME_038</x:v>
      </x:c>
      <x:c r="B90" s="46" t="str">
        <x:v>Indonesian Sea</x:v>
      </x:c>
      <x:c r="C90" s="46" t="str">
        <x:v>LME</x:v>
      </x:c>
      <x:c r="D90" s="58" t="n">
        <x:v>2019</x:v>
      </x:c>
      <x:c r="E90" s="46" t="str">
        <x:v>Scomberoides</x:v>
      </x:c>
      <x:c r="F90" s="46" t="str">
        <x:v>Queenfishes</x:v>
      </x:c>
      <x:c r="G90" s="46" t="str">
        <x:v>Medium pelagics (30 - 89 cm)</x:v>
      </x:c>
      <x:c r="H90" s="46" t="str">
        <x:v>Perch-likes</x:v>
      </x:c>
      <x:c r="I90" s="60" t="n">
        <x:v>95.2306242649</x:v>
      </x:c>
      <x:c r="J90" s="60" t="n">
        <x:v>95.2306242649</x:v>
      </x:c>
      <x:c r="K90" s="60" t="n">
        <x:v>0</x:v>
      </x:c>
      <x:c r="L90" s="60" t="n">
        <x:v>95.2306242649</x:v>
      </x:c>
      <x:c r="M90" s="60" t="n">
        <x:v>0</x:v>
      </x:c>
      <x:c r="N90" s="46" t="str">
        <x:v>scomberoides</x:v>
      </x:c>
      <x:c r="O90" s="62" t="n">
        <x:v>4.47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Scomberoides</x:v>
      </x:c>
      <x:c r="T90" s="62" t="n">
        <x:f>IF(O90="","",(1/'Metadata'!$B$5)^(O90-1))</x:f>
        <x:v>2951.209226666384</x:v>
      </x:c>
      <x:c r="U90" s="60" t="n">
        <x:f>IF(T90="","",I90*T90)</x:f>
        <x:v>281045.4969917725</x:v>
      </x:c>
    </x:row>
    <x:row r="91" ht="18" customHeight="1">
      <x:c r="A91" s="46" t="str">
        <x:v>LME_038</x:v>
      </x:c>
      <x:c r="B91" s="46" t="str">
        <x:v>Indonesian Sea</x:v>
      </x:c>
      <x:c r="C91" s="46" t="str">
        <x:v>LME</x:v>
      </x:c>
      <x:c r="D91" s="58" t="n">
        <x:v>2019</x:v>
      </x:c>
      <x:c r="E91" s="46" t="str">
        <x:v>Rastrelliger</x:v>
      </x:c>
      <x:c r="F91" s="46" t="str">
        <x:v>Indian mackerels</x:v>
      </x:c>
      <x:c r="G91" s="46" t="str">
        <x:v>Medium pelagics (30 - 89 cm)</x:v>
      </x:c>
      <x:c r="H91" s="46" t="str">
        <x:v>Perch-likes</x:v>
      </x:c>
      <x:c r="I91" s="60" t="n">
        <x:v>88.5266071138</x:v>
      </x:c>
      <x:c r="J91" s="60" t="n">
        <x:v>88.5266071138</x:v>
      </x:c>
      <x:c r="K91" s="60" t="n">
        <x:v>0</x:v>
      </x:c>
      <x:c r="L91" s="60" t="n">
        <x:v>88.5266071138</x:v>
      </x:c>
      <x:c r="M91" s="60" t="n">
        <x:v>0</x:v>
      </x:c>
      <x:c r="N91" s="46" t="str">
        <x:v>rastrelliger</x:v>
      </x:c>
      <x:c r="O91" s="62" t="n">
        <x:v>3.1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Rastrelliger</x:v>
      </x:c>
      <x:c r="T91" s="62" t="n">
        <x:f>IF(O91="","",(1/'Metadata'!$B$5)^(O91-1))</x:f>
        <x:v>125.89254117941675</x:v>
      </x:c>
      <x:c r="U91" s="60" t="n">
        <x:f>IF(T91="","",I91*T91)</x:f>
        <x:v>11144.839531548114</x:v>
      </x:c>
    </x:row>
    <x:row r="92" ht="18" customHeight="1">
      <x:c r="A92" s="46" t="str">
        <x:v>LME_038</x:v>
      </x:c>
      <x:c r="B92" s="46" t="str">
        <x:v>Indonesian Sea</x:v>
      </x:c>
      <x:c r="C92" s="46" t="str">
        <x:v>LME</x:v>
      </x:c>
      <x:c r="D92" s="58" t="n">
        <x:v>2019</x:v>
      </x:c>
      <x:c r="E92" s="46" t="str">
        <x:v>Scomberomorus</x:v>
      </x:c>
      <x:c r="F92" s="46" t="str">
        <x:v>Spanish mackerels</x:v>
      </x:c>
      <x:c r="G92" s="46" t="str">
        <x:v>Large pelagics (&gt;=90 cm)</x:v>
      </x:c>
      <x:c r="H92" s="46" t="str">
        <x:v>Perch-likes</x:v>
      </x:c>
      <x:c r="I92" s="60" t="n">
        <x:v>88.0858737209</x:v>
      </x:c>
      <x:c r="J92" s="60" t="n">
        <x:v>88.0858737209</x:v>
      </x:c>
      <x:c r="K92" s="60" t="n">
        <x:v>0</x:v>
      </x:c>
      <x:c r="L92" s="60" t="n">
        <x:v>48.627715888</x:v>
      </x:c>
      <x:c r="M92" s="60" t="n">
        <x:v>39.4581578329</x:v>
      </x:c>
      <x:c r="N92" s="46" t="str">
        <x:v>scomberomorus</x:v>
      </x:c>
      <x:c r="O92" s="62" t="n">
        <x:v>4.35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Scomberomorus</x:v>
      </x:c>
      <x:c r="T92" s="62" t="n">
        <x:f>IF(O92="","",(1/'Metadata'!$B$5)^(O92-1))</x:f>
        <x:v>2238.7211385683377</x:v>
      </x:c>
      <x:c r="U92" s="60" t="n">
        <x:f>IF(T92="","",I92*T92)</x:f>
        <x:v>197199.70750824007</x:v>
      </x:c>
    </x:row>
    <x:row r="93" ht="18" customHeight="1">
      <x:c r="A93" s="46" t="str">
        <x:v>LME_038</x:v>
      </x:c>
      <x:c r="B93" s="46" t="str">
        <x:v>Indonesian Sea</x:v>
      </x:c>
      <x:c r="C93" s="46" t="str">
        <x:v>LME</x:v>
      </x:c>
      <x:c r="D93" s="58" t="n">
        <x:v>2019</x:v>
      </x:c>
      <x:c r="E93" s="46" t="str">
        <x:v>Marine pelagic fishes not identified</x:v>
      </x:c>
      <x:c r="F93" s="46" t="str">
        <x:v>Pelagic fishes</x:v>
      </x:c>
      <x:c r="G93" s="46" t="str">
        <x:v>Medium pelagics (30 - 89 cm)</x:v>
      </x:c>
      <x:c r="H93" s="46" t="str">
        <x:v>Other fishes &amp; inverts</x:v>
      </x:c>
      <x:c r="I93" s="60" t="n">
        <x:v>87.2894575759</x:v>
      </x:c>
      <x:c r="J93" s="60" t="n">
        <x:v>87.2894575759</x:v>
      </x:c>
      <x:c r="K93" s="60" t="n">
        <x:v>0</x:v>
      </x:c>
      <x:c r="L93" s="60" t="n">
        <x:v>87.2894575759</x:v>
      </x:c>
      <x:c r="M93" s="60" t="n">
        <x:v>0</x:v>
      </x:c>
      <x:c r="N93" s="46" t="str">
        <x:v>marine pelagic fishes not identified</x:v>
      </x:c>
      <x:c r="O93" s="62" t="n">
        <x:v>3.35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Marine pelagic fishes not identified</x:v>
      </x:c>
      <x:c r="T93" s="62" t="n">
        <x:f>IF(O93="","",(1/'Metadata'!$B$5)^(O93-1))</x:f>
        <x:v>223.872113856834</x:v>
      </x:c>
      <x:c r="U93" s="60" t="n">
        <x:f>IF(T93="","",I93*T93)</x:f>
        <x:v>19541.675384933165</x:v>
      </x:c>
    </x:row>
    <x:row r="94" ht="18" customHeight="1">
      <x:c r="A94" s="46" t="str">
        <x:v>LME_038</x:v>
      </x:c>
      <x:c r="B94" s="46" t="str">
        <x:v>Indonesian Sea</x:v>
      </x:c>
      <x:c r="C94" s="46" t="str">
        <x:v>LME</x:v>
      </x:c>
      <x:c r="D94" s="58" t="n">
        <x:v>2019</x:v>
      </x:c>
      <x:c r="E94" s="46" t="str">
        <x:v>Plotosus</x:v>
      </x:c>
      <x:c r="F94" s="46" t="str">
        <x:v>Eel catfishes</x:v>
      </x:c>
      <x:c r="G94" s="46" t="str">
        <x:v>Medium reef assoc. fish (30 - 89 cm)</x:v>
      </x:c>
      <x:c r="H94" s="46" t="str">
        <x:v>Other fishes &amp; inverts</x:v>
      </x:c>
      <x:c r="I94" s="60" t="n">
        <x:v>80.9788173732</x:v>
      </x:c>
      <x:c r="J94" s="60" t="n">
        <x:v>80.9788173732</x:v>
      </x:c>
      <x:c r="K94" s="60" t="n">
        <x:v>0</x:v>
      </x:c>
      <x:c r="L94" s="60" t="n">
        <x:v>80.9788173732</x:v>
      </x:c>
      <x:c r="M94" s="60" t="n">
        <x:v>0</x:v>
      </x:c>
      <x:c r="N94" s="46" t="str">
        <x:v>plotosus</x:v>
      </x:c>
      <x:c r="O94" s="62" t="n">
        <x:v>3.49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Plotosus</x:v>
      </x:c>
      <x:c r="T94" s="62" t="n">
        <x:f>IF(O94="","",(1/'Metadata'!$B$5)^(O94-1))</x:f>
        <x:v>309.0295432513592</x:v>
      </x:c>
      <x:c r="U94" s="60" t="n">
        <x:f>IF(T94="","",I94*T94)</x:f>
        <x:v>25024.846945875226</x:v>
      </x:c>
    </x:row>
    <x:row r="95" ht="18" customHeight="1">
      <x:c r="A95" s="46" t="str">
        <x:v>LME_038</x:v>
      </x:c>
      <x:c r="B95" s="46" t="str">
        <x:v>Indonesian Sea</x:v>
      </x:c>
      <x:c r="C95" s="46" t="str">
        <x:v>LME</x:v>
      </x:c>
      <x:c r="D95" s="58" t="n">
        <x:v>2019</x:v>
      </x:c>
      <x:c r="E95" s="46" t="str">
        <x:v>Kajikia audax</x:v>
      </x:c>
      <x:c r="F95" s="46" t="str">
        <x:v>Striped marlin</x:v>
      </x:c>
      <x:c r="G95" s="46" t="str">
        <x:v>Large pelagics (&gt;=90 cm)</x:v>
      </x:c>
      <x:c r="H95" s="46" t="str">
        <x:v>Tuna &amp; billfishes</x:v>
      </x:c>
      <x:c r="I95" s="60" t="n">
        <x:v>72.42910258970001</x:v>
      </x:c>
      <x:c r="J95" s="60" t="n">
        <x:v>72.42910258970001</x:v>
      </x:c>
      <x:c r="K95" s="60" t="n">
        <x:v>0</x:v>
      </x:c>
      <x:c r="L95" s="60" t="n">
        <x:v>72.42910258970001</x:v>
      </x:c>
      <x:c r="M95" s="60" t="n">
        <x:v>0</x:v>
      </x:c>
      <x:c r="N95" s="46" t="str">
        <x:v>kajikia audax</x:v>
      </x:c>
      <x:c r="O95" s="62" t="n">
        <x:v>4.58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Kajikia audax</x:v>
      </x:c>
      <x:c r="T95" s="62" t="n">
        <x:f>IF(O95="","",(1/'Metadata'!$B$5)^(O95-1))</x:f>
        <x:v>3801.8939632056126</x:v>
      </x:c>
      <x:c r="U95" s="60" t="n">
        <x:f>IF(T95="","",I95*T95)</x:f>
        <x:v>275367.76789618045</x:v>
      </x:c>
    </x:row>
    <x:row r="96" ht="18" customHeight="1">
      <x:c r="A96" s="46" t="str">
        <x:v>LME_038</x:v>
      </x:c>
      <x:c r="B96" s="46" t="str">
        <x:v>Indonesian Sea</x:v>
      </x:c>
      <x:c r="C96" s="46" t="str">
        <x:v>LME</x:v>
      </x:c>
      <x:c r="D96" s="58" t="n">
        <x:v>2019</x:v>
      </x:c>
      <x:c r="E96" s="46" t="str">
        <x:v>Pomadasys argenteus</x:v>
      </x:c>
      <x:c r="F96" s="46" t="str">
        <x:v>Silver grunt</x:v>
      </x:c>
      <x:c r="G96" s="46" t="str">
        <x:v>Medium demersals (30 - 89 cm)</x:v>
      </x:c>
      <x:c r="H96" s="46" t="str">
        <x:v>Perch-likes</x:v>
      </x:c>
      <x:c r="I96" s="60" t="n">
        <x:v>68.5319886499</x:v>
      </x:c>
      <x:c r="J96" s="60" t="n">
        <x:v>68.5319886499</x:v>
      </x:c>
      <x:c r="K96" s="60" t="n">
        <x:v>0</x:v>
      </x:c>
      <x:c r="L96" s="60" t="n">
        <x:v>68.5319886499</x:v>
      </x:c>
      <x:c r="M96" s="60" t="n">
        <x:v>0</x:v>
      </x:c>
      <x:c r="N96" s="46" t="str">
        <x:v>pomadasys argenteus</x:v>
      </x:c>
      <x:c r="O96" s="62" t="n">
        <x:v>3.47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Pomadasys argenteus</x:v>
      </x:c>
      <x:c r="T96" s="62" t="n">
        <x:f>IF(O96="","",(1/'Metadata'!$B$5)^(O96-1))</x:f>
        <x:v>295.1209226666387</x:v>
      </x:c>
      <x:c r="U96" s="60" t="n">
        <x:f>IF(T96="","",I96*T96)</x:f>
        <x:v>20225.2237225381</x:v>
      </x:c>
    </x:row>
    <x:row r="97" ht="18" customHeight="1">
      <x:c r="A97" s="46" t="str">
        <x:v>LME_038</x:v>
      </x:c>
      <x:c r="B97" s="46" t="str">
        <x:v>Indonesian Sea</x:v>
      </x:c>
      <x:c r="C97" s="46" t="str">
        <x:v>LME</x:v>
      </x:c>
      <x:c r="D97" s="58" t="n">
        <x:v>2019</x:v>
      </x:c>
      <x:c r="E97" s="46" t="str">
        <x:v>Coryphaena hippurus</x:v>
      </x:c>
      <x:c r="F97" s="46" t="str">
        <x:v>Common dolphinfish</x:v>
      </x:c>
      <x:c r="G97" s="46" t="str">
        <x:v>Large pelagics (&gt;=90 cm)</x:v>
      </x:c>
      <x:c r="H97" s="46" t="str">
        <x:v>Perch-likes</x:v>
      </x:c>
      <x:c r="I97" s="60" t="n">
        <x:v>59.63975977370001</x:v>
      </x:c>
      <x:c r="J97" s="60" t="n">
        <x:v>58.7467709996</x:v>
      </x:c>
      <x:c r="K97" s="60" t="n">
        <x:v>0.8929887741</x:v>
      </x:c>
      <x:c r="L97" s="60" t="n">
        <x:v>58.7467709996</x:v>
      </x:c>
      <x:c r="M97" s="60" t="n">
        <x:v>0.8929887741</x:v>
      </x:c>
      <x:c r="N97" s="46" t="str">
        <x:v>coryphaena hippurus</x:v>
      </x:c>
      <x:c r="O97" s="62" t="n">
        <x:v>4.37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Coryphaena hippurus</x:v>
      </x:c>
      <x:c r="T97" s="62" t="n">
        <x:f>IF(O97="","",(1/'Metadata'!$B$5)^(O97-1))</x:f>
        <x:v>2344.228815319923</x:v>
      </x:c>
      <x:c r="U97" s="60" t="n">
        <x:f>IF(T97="","",I97*T97)</x:f>
        <x:v>139809.24340026555</x:v>
      </x:c>
    </x:row>
    <x:row r="98" ht="18" customHeight="1">
      <x:c r="A98" s="46" t="str">
        <x:v>LME_038</x:v>
      </x:c>
      <x:c r="B98" s="46" t="str">
        <x:v>Indonesian Sea</x:v>
      </x:c>
      <x:c r="C98" s="46" t="str">
        <x:v>LME</x:v>
      </x:c>
      <x:c r="D98" s="58" t="n">
        <x:v>2019</x:v>
      </x:c>
      <x:c r="E98" s="46" t="str">
        <x:v>Sepiidae</x:v>
      </x:c>
      <x:c r="F98" s="46" t="str">
        <x:v>Cuttlefishes</x:v>
      </x:c>
      <x:c r="G98" s="46" t="str">
        <x:v>Cephalopods</x:v>
      </x:c>
      <x:c r="H98" s="46" t="str">
        <x:v>Other fishes &amp; inverts</x:v>
      </x:c>
      <x:c r="I98" s="60" t="n">
        <x:v>59.3638220318</x:v>
      </x:c>
      <x:c r="J98" s="60" t="n">
        <x:v>59.3638220318</x:v>
      </x:c>
      <x:c r="K98" s="60" t="n">
        <x:v>0</x:v>
      </x:c>
      <x:c r="L98" s="60" t="n">
        <x:v>57.3003230849</x:v>
      </x:c>
      <x:c r="M98" s="60" t="n">
        <x:v>2.0634989469000002</x:v>
      </x:c>
      <x:c r="N98" s="46" t="str">
        <x:v>sepiidae</x:v>
      </x:c>
      <x:c r="O98" s="62" t="n">
        <x:v>3.6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Sepiidae</x:v>
      </x:c>
      <x:c r="T98" s="62" t="n">
        <x:f>IF(O98="","",(1/'Metadata'!$B$5)^(O98-1))</x:f>
        <x:v>398.1071705534973</x:v>
      </x:c>
      <x:c r="U98" s="60" t="n">
        <x:f>IF(T98="","",I98*T98)</x:f>
        <x:v>23633.163222321265</x:v>
      </x:c>
    </x:row>
    <x:row r="99" ht="18" customHeight="1">
      <x:c r="A99" s="46" t="str">
        <x:v>LME_038</x:v>
      </x:c>
      <x:c r="B99" s="46" t="str">
        <x:v>Indonesian Sea</x:v>
      </x:c>
      <x:c r="C99" s="46" t="str">
        <x:v>LME</x:v>
      </x:c>
      <x:c r="D99" s="58" t="n">
        <x:v>2019</x:v>
      </x:c>
      <x:c r="E99" s="46" t="str">
        <x:v>Plotosidae</x:v>
      </x:c>
      <x:c r="F99" s="46" t="str">
        <x:v>Eeltail catfishes</x:v>
      </x:c>
      <x:c r="G99" s="46" t="str">
        <x:v>Medium reef assoc. fish (30 - 89 cm)</x:v>
      </x:c>
      <x:c r="H99" s="46" t="str">
        <x:v>Other fishes &amp; inverts</x:v>
      </x:c>
      <x:c r="I99" s="60" t="n">
        <x:v>56.4512554783</x:v>
      </x:c>
      <x:c r="J99" s="60" t="n">
        <x:v>56.4512554783</x:v>
      </x:c>
      <x:c r="K99" s="60" t="n">
        <x:v>0</x:v>
      </x:c>
      <x:c r="L99" s="60" t="n">
        <x:v>55.7370341957</x:v>
      </x:c>
      <x:c r="M99" s="60" t="n">
        <x:v>0.7142212826</x:v>
      </x:c>
      <x:c r="N99" s="46" t="str">
        <x:v>plotosidae</x:v>
      </x:c>
      <x:c r="O99" s="62" t="n">
        <x:v>3.49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Plotosidae</x:v>
      </x:c>
      <x:c r="T99" s="62" t="n">
        <x:f>IF(O99="","",(1/'Metadata'!$B$5)^(O99-1))</x:f>
        <x:v>309.0295432513592</x:v>
      </x:c>
      <x:c r="U99" s="60" t="n">
        <x:f>IF(T99="","",I99*T99)</x:f>
        <x:v>17445.10569642484</x:v>
      </x:c>
    </x:row>
    <x:row r="100" ht="18" customHeight="1">
      <x:c r="A100" s="46" t="str">
        <x:v>LME_038</x:v>
      </x:c>
      <x:c r="B100" s="46" t="str">
        <x:v>Indonesian Sea</x:v>
      </x:c>
      <x:c r="C100" s="46" t="str">
        <x:v>LME</x:v>
      </x:c>
      <x:c r="D100" s="58" t="n">
        <x:v>2019</x:v>
      </x:c>
      <x:c r="E100" s="46" t="str">
        <x:v>Sepioteuthis lessoniana</x:v>
      </x:c>
      <x:c r="F100" s="46" t="str">
        <x:v>Bigfin reef squid</x:v>
      </x:c>
      <x:c r="G100" s="46" t="str">
        <x:v>Cephalopods</x:v>
      </x:c>
      <x:c r="H100" s="46" t="str">
        <x:v>Other fishes &amp; inverts</x:v>
      </x:c>
      <x:c r="I100" s="60" t="n">
        <x:v>54.3491288591</x:v>
      </x:c>
      <x:c r="J100" s="60" t="n">
        <x:v>54.3491288591</x:v>
      </x:c>
      <x:c r="K100" s="60" t="n">
        <x:v>0</x:v>
      </x:c>
      <x:c r="L100" s="60" t="n">
        <x:v>29.3191743426</x:v>
      </x:c>
      <x:c r="M100" s="60" t="n">
        <x:v>25.029954516500002</x:v>
      </x:c>
      <x:c r="N100" s="46" t="str">
        <x:v>sepioteuthis lessoniana</x:v>
      </x:c>
      <x:c r="O100" s="62" t="n">
        <x:v>3.98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Sepioteuthis lessoniana</x:v>
      </x:c>
      <x:c r="T100" s="62" t="n">
        <x:f>IF(O100="","",(1/'Metadata'!$B$5)^(O100-1))</x:f>
        <x:v>954.992586021436</x:v>
      </x:c>
      <x:c r="U100" s="60" t="n">
        <x:f>IF(T100="","",I100*T100)</x:f>
        <x:v>51903.01511716416</x:v>
      </x:c>
    </x:row>
    <x:row r="101" ht="18" customHeight="1">
      <x:c r="A101" s="46" t="str">
        <x:v>LME_038</x:v>
      </x:c>
      <x:c r="B101" s="46" t="str">
        <x:v>Indonesian Sea</x:v>
      </x:c>
      <x:c r="C101" s="46" t="str">
        <x:v>LME</x:v>
      </x:c>
      <x:c r="D101" s="58" t="n">
        <x:v>2019</x:v>
      </x:c>
      <x:c r="E101" s="46" t="str">
        <x:v>Octopodidae</x:v>
      </x:c>
      <x:c r="F101" s="46" t="str">
        <x:v>Octopuses</x:v>
      </x:c>
      <x:c r="G101" s="46" t="str">
        <x:v>Cephalopods</x:v>
      </x:c>
      <x:c r="H101" s="46" t="str">
        <x:v>Other fishes &amp; inverts</x:v>
      </x:c>
      <x:c r="I101" s="60" t="n">
        <x:v>53.764734733</x:v>
      </x:c>
      <x:c r="J101" s="60" t="n">
        <x:v>53.764734733</x:v>
      </x:c>
      <x:c r="K101" s="60" t="n">
        <x:v>0</x:v>
      </x:c>
      <x:c r="L101" s="60" t="n">
        <x:v>52.837802359899996</x:v>
      </x:c>
      <x:c r="M101" s="60" t="n">
        <x:v>0.9269323731</x:v>
      </x:c>
      <x:c r="N101" s="46" t="str">
        <x:v>octopodidae</x:v>
      </x:c>
      <x:c r="O101" s="62" t="n">
        <x:v>3.59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Octopodidae</x:v>
      </x:c>
      <x:c r="T101" s="62" t="n">
        <x:f>IF(O101="","",(1/'Metadata'!$B$5)^(O101-1))</x:f>
        <x:v>389.04514499428046</x:v>
      </x:c>
      <x:c r="U101" s="60" t="n">
        <x:f>IF(T101="","",I101*T101)</x:f>
        <x:v>20916.90901977901</x:v>
      </x:c>
    </x:row>
    <x:row r="102" ht="18" customHeight="1">
      <x:c r="A102" s="46" t="str">
        <x:v>LME_038</x:v>
      </x:c>
      <x:c r="B102" s="46" t="str">
        <x:v>Indonesian Sea</x:v>
      </x:c>
      <x:c r="C102" s="46" t="str">
        <x:v>LME</x:v>
      </x:c>
      <x:c r="D102" s="58" t="n">
        <x:v>2019</x:v>
      </x:c>
      <x:c r="E102" s="46" t="str">
        <x:v>Cephea</x:v>
      </x:c>
      <x:c r="F102" s="46" t="str">
        <x:v>Cepheid jellyfishes</x:v>
      </x:c>
      <x:c r="G102" s="46" t="str">
        <x:v>Jellyfish</x:v>
      </x:c>
      <x:c r="H102" s="46" t="str">
        <x:v>Other fishes &amp; inverts</x:v>
      </x:c>
      <x:c r="I102" s="60" t="n">
        <x:v>45.5065932671</x:v>
      </x:c>
      <x:c r="J102" s="60" t="n">
        <x:v>45.5065932671</x:v>
      </x:c>
      <x:c r="K102" s="60" t="n">
        <x:v>0</x:v>
      </x:c>
      <x:c r="L102" s="60" t="n">
        <x:v>10.1001765059</x:v>
      </x:c>
      <x:c r="M102" s="60" t="n">
        <x:v>35.4064167612</x:v>
      </x:c>
      <x:c r="N102" s="46" t="str">
        <x:v>cephea</x:v>
      </x:c>
      <x:c r="O102" s="62" t="n">
        <x:v>3.46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Cephea</x:v>
      </x:c>
      <x:c r="T102" s="62" t="n">
        <x:f>IF(O102="","",(1/'Metadata'!$B$5)^(O102-1))</x:f>
        <x:v>288.40315031266056</x:v>
      </x:c>
      <x:c r="U102" s="60" t="n">
        <x:f>IF(T102="","",I102*T102)</x:f>
        <x:v>13124.244858228549</x:v>
      </x:c>
    </x:row>
    <x:row r="103" ht="18" customHeight="1">
      <x:c r="A103" s="46" t="str">
        <x:v>LME_038</x:v>
      </x:c>
      <x:c r="B103" s="46" t="str">
        <x:v>Indonesian Sea</x:v>
      </x:c>
      <x:c r="C103" s="46" t="str">
        <x:v>LME</x:v>
      </x:c>
      <x:c r="D103" s="58" t="n">
        <x:v>2019</x:v>
      </x:c>
      <x:c r="E103" s="46" t="str">
        <x:v>Auxis rochei</x:v>
      </x:c>
      <x:c r="F103" s="46" t="str">
        <x:v>Bullet tuna</x:v>
      </x:c>
      <x:c r="G103" s="46" t="str">
        <x:v>Medium pelagics (30 - 89 cm)</x:v>
      </x:c>
      <x:c r="H103" s="46" t="str">
        <x:v>Tuna &amp; billfishes</x:v>
      </x:c>
      <x:c r="I103" s="60" t="n">
        <x:v>45.3226673898</x:v>
      </x:c>
      <x:c r="J103" s="60" t="n">
        <x:v>45.3226673898</x:v>
      </x:c>
      <x:c r="K103" s="60" t="n">
        <x:v>0</x:v>
      </x:c>
      <x:c r="L103" s="60" t="n">
        <x:v>45.3226673898</x:v>
      </x:c>
      <x:c r="M103" s="60" t="n">
        <x:v>0</x:v>
      </x:c>
      <x:c r="N103" s="46" t="str">
        <x:v>auxis rochei</x:v>
      </x:c>
      <x:c r="O103" s="62" t="n">
        <x:v>4.13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Auxis rochei</x:v>
      </x:c>
      <x:c r="T103" s="62" t="n">
        <x:f>IF(O103="","",(1/'Metadata'!$B$5)^(O103-1))</x:f>
        <x:v>1348.9628825916532</x:v>
      </x:c>
      <x:c r="U103" s="60" t="n">
        <x:f>IF(T103="","",I103*T103)</x:f>
        <x:v>61138.59604888733</x:v>
      </x:c>
    </x:row>
    <x:row r="104" ht="18" customHeight="1">
      <x:c r="A104" s="46" t="str">
        <x:v>LME_038</x:v>
      </x:c>
      <x:c r="B104" s="46" t="str">
        <x:v>Indonesian Sea</x:v>
      </x:c>
      <x:c r="C104" s="46" t="str">
        <x:v>LME</x:v>
      </x:c>
      <x:c r="D104" s="58" t="n">
        <x:v>2019</x:v>
      </x:c>
      <x:c r="E104" s="46" t="str">
        <x:v>Penaeus merguiensis</x:v>
      </x:c>
      <x:c r="F104" s="46" t="str">
        <x:v>Banana prawn</x:v>
      </x:c>
      <x:c r="G104" s="46" t="str">
        <x:v>Shrimps</x:v>
      </x:c>
      <x:c r="H104" s="46" t="str">
        <x:v>Crustaceans</x:v>
      </x:c>
      <x:c r="I104" s="60" t="n">
        <x:v>38.8256882032</x:v>
      </x:c>
      <x:c r="J104" s="60" t="n">
        <x:v>38.8256882032</x:v>
      </x:c>
      <x:c r="K104" s="60" t="n">
        <x:v>0</x:v>
      </x:c>
      <x:c r="L104" s="60" t="n">
        <x:v>36.616995490300006</x:v>
      </x:c>
      <x:c r="M104" s="60" t="n">
        <x:v>2.2086927129</x:v>
      </x:c>
      <x:c r="N104" s="46" t="str">
        <x:v>penaeus merguiensis</x:v>
      </x:c>
      <x:c r="O104" s="62" t="n">
        <x:v>3.77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Penaeus merguiensis</x:v>
      </x:c>
      <x:c r="T104" s="62" t="n">
        <x:f>IF(O104="","",(1/'Metadata'!$B$5)^(O104-1))</x:f>
        <x:v>588.843655355589</x:v>
      </x:c>
      <x:c r="U104" s="60" t="n">
        <x:f>IF(T104="","",I104*T104)</x:f>
        <x:v>22862.26016326866</x:v>
      </x:c>
    </x:row>
    <x:row r="105" ht="18" customHeight="1">
      <x:c r="A105" s="46" t="str">
        <x:v>LME_038</x:v>
      </x:c>
      <x:c r="B105" s="46" t="str">
        <x:v>Indonesian Sea</x:v>
      </x:c>
      <x:c r="C105" s="46" t="str">
        <x:v>LME</x:v>
      </x:c>
      <x:c r="D105" s="58" t="n">
        <x:v>2019</x:v>
      </x:c>
      <x:c r="E105" s="46" t="str">
        <x:v>Veneridae</x:v>
      </x:c>
      <x:c r="F105" s="46" t="str">
        <x:v>Venus clams</x:v>
      </x:c>
      <x:c r="G105" s="46" t="str">
        <x:v>Other demersal invertebrates</x:v>
      </x:c>
      <x:c r="H105" s="46" t="str">
        <x:v>Molluscs</x:v>
      </x:c>
      <x:c r="I105" s="60" t="n">
        <x:v>34.0140237335</x:v>
      </x:c>
      <x:c r="J105" s="60" t="n">
        <x:v>34.0140237335</x:v>
      </x:c>
      <x:c r="K105" s="60" t="n">
        <x:v>0</x:v>
      </x:c>
      <x:c r="L105" s="60" t="n">
        <x:v>29.0877094697</x:v>
      </x:c>
      <x:c r="M105" s="60" t="n">
        <x:v>4.926314263799999</x:v>
      </x:c>
      <x:c r="N105" s="46" t="str">
        <x:v>veneridae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Veneridae</x:v>
      </x:c>
      <x:c r="T105" s="62" t="n">
        <x:f>IF(O105="","",(1/'Metadata'!$B$5)^(O105-1))</x:f>
        <x:v>10</x:v>
      </x:c>
      <x:c r="U105" s="60" t="n">
        <x:f>IF(T105="","",I105*T105)</x:f>
        <x:v>340.14023733499994</x:v>
      </x:c>
    </x:row>
    <x:row r="106" ht="18" customHeight="1">
      <x:c r="A106" s="46" t="str">
        <x:v>LME_038</x:v>
      </x:c>
      <x:c r="B106" s="46" t="str">
        <x:v>Indonesian Sea</x:v>
      </x:c>
      <x:c r="C106" s="46" t="str">
        <x:v>LME</x:v>
      </x:c>
      <x:c r="D106" s="58" t="n">
        <x:v>2019</x:v>
      </x:c>
      <x:c r="E106" s="46" t="str">
        <x:v>Labridae</x:v>
      </x:c>
      <x:c r="F106" s="46" t="str">
        <x:v>Wrasses, gropers, tuskfishes</x:v>
      </x:c>
      <x:c r="G106" s="46" t="str">
        <x:v>Medium reef assoc. fish (30 - 89 cm)</x:v>
      </x:c>
      <x:c r="H106" s="46" t="str">
        <x:v>Perch-likes</x:v>
      </x:c>
      <x:c r="I106" s="60" t="n">
        <x:v>33.9734183453</x:v>
      </x:c>
      <x:c r="J106" s="60" t="n">
        <x:v>33.9734183453</x:v>
      </x:c>
      <x:c r="K106" s="60" t="n">
        <x:v>0</x:v>
      </x:c>
      <x:c r="L106" s="60" t="n">
        <x:v>33.9734183453</x:v>
      </x:c>
      <x:c r="M106" s="60" t="n">
        <x:v>0</x:v>
      </x:c>
      <x:c r="N106" s="46" t="str">
        <x:v>labridae</x:v>
      </x:c>
      <x:c r="O106" s="62" t="n">
        <x:v>3.46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Labridae</x:v>
      </x:c>
      <x:c r="T106" s="62" t="n">
        <x:f>IF(O106="","",(1/'Metadata'!$B$5)^(O106-1))</x:f>
        <x:v>288.40315031266056</x:v>
      </x:c>
      <x:c r="U106" s="60" t="n">
        <x:f>IF(T106="","",I106*T106)</x:f>
        <x:v>9798.040877674455</x:v>
      </x:c>
    </x:row>
    <x:row r="107" ht="18" customHeight="1">
      <x:c r="A107" s="46" t="str">
        <x:v>LME_038</x:v>
      </x:c>
      <x:c r="B107" s="46" t="str">
        <x:v>Indonesian Sea</x:v>
      </x:c>
      <x:c r="C107" s="46" t="str">
        <x:v>LME</x:v>
      </x:c>
      <x:c r="D107" s="58" t="n">
        <x:v>2019</x:v>
      </x:c>
      <x:c r="E107" s="46" t="str">
        <x:v>Sillago</x:v>
      </x:c>
      <x:c r="F107" s="46" t="str">
        <x:v>Smelt-whitings</x:v>
      </x:c>
      <x:c r="G107" s="46" t="str">
        <x:v>Medium demersals (30 - 89 cm)</x:v>
      </x:c>
      <x:c r="H107" s="46" t="str">
        <x:v>Perch-likes</x:v>
      </x:c>
      <x:c r="I107" s="60" t="n">
        <x:v>32.456390894500004</x:v>
      </x:c>
      <x:c r="J107" s="60" t="n">
        <x:v>32.456390894500004</x:v>
      </x:c>
      <x:c r="K107" s="60" t="n">
        <x:v>0</x:v>
      </x:c>
      <x:c r="L107" s="60" t="n">
        <x:v>32.2296928329</x:v>
      </x:c>
      <x:c r="M107" s="60" t="n">
        <x:v>0.2266980616</x:v>
      </x:c>
      <x:c r="N107" s="46" t="str">
        <x:v>sillago</x:v>
      </x:c>
      <x:c r="O107" s="62" t="n">
        <x:v>3.33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Sillago</x:v>
      </x:c>
      <x:c r="T107" s="62" t="n">
        <x:f>IF(O107="","",(1/'Metadata'!$B$5)^(O107-1))</x:f>
        <x:v>213.79620895022325</x:v>
      </x:c>
      <x:c r="U107" s="60" t="n">
        <x:f>IF(T107="","",I107*T107)</x:f>
        <x:v>6939.053329450646</x:v>
      </x:c>
    </x:row>
    <x:row r="108" ht="18" customHeight="1">
      <x:c r="A108" s="46" t="str">
        <x:v>LME_038</x:v>
      </x:c>
      <x:c r="B108" s="46" t="str">
        <x:v>Indonesian Sea</x:v>
      </x:c>
      <x:c r="C108" s="46" t="str">
        <x:v>LME</x:v>
      </x:c>
      <x:c r="D108" s="58" t="n">
        <x:v>2019</x:v>
      </x:c>
      <x:c r="E108" s="46" t="str">
        <x:v>Trichiurus</x:v>
      </x:c>
      <x:c r="F108" s="46" t="str">
        <x:v>Hairtails</x:v>
      </x:c>
      <x:c r="G108" s="46" t="str">
        <x:v>Large benthopelagics (&gt;=90 cm)</x:v>
      </x:c>
      <x:c r="H108" s="46" t="str">
        <x:v>Perch-likes</x:v>
      </x:c>
      <x:c r="I108" s="60" t="n">
        <x:v>27.5818505811</x:v>
      </x:c>
      <x:c r="J108" s="60" t="n">
        <x:v>27.5818505811</x:v>
      </x:c>
      <x:c r="K108" s="60" t="n">
        <x:v>0</x:v>
      </x:c>
      <x:c r="L108" s="60" t="n">
        <x:v>27.5818505811</x:v>
      </x:c>
      <x:c r="M108" s="60" t="n">
        <x:v>0</x:v>
      </x:c>
      <x:c r="N108" s="46" t="str">
        <x:v>trichiurus</x:v>
      </x:c>
      <x:c r="O108" s="62" t="n">
        <x:v>4.42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Trichiurus</x:v>
      </x:c>
      <x:c r="T108" s="62" t="n">
        <x:f>IF(O108="","",(1/'Metadata'!$B$5)^(O108-1))</x:f>
        <x:v>2630.2679918953813</x:v>
      </x:c>
      <x:c r="U108" s="60" t="n">
        <x:f>IF(T108="","",I108*T108)</x:f>
        <x:v>72547.65874070836</x:v>
      </x:c>
    </x:row>
    <x:row r="109" ht="18" customHeight="1">
      <x:c r="A109" s="46" t="str">
        <x:v>LME_038</x:v>
      </x:c>
      <x:c r="B109" s="46" t="str">
        <x:v>Indonesian Sea</x:v>
      </x:c>
      <x:c r="C109" s="46" t="str">
        <x:v>LME</x:v>
      </x:c>
      <x:c r="D109" s="58" t="n">
        <x:v>2019</x:v>
      </x:c>
      <x:c r="E109" s="46" t="str">
        <x:v>Lethrinus</x:v>
      </x:c>
      <x:c r="F109" s="46" t="str">
        <x:v>Emperors</x:v>
      </x:c>
      <x:c r="G109" s="46" t="str">
        <x:v>Medium reef assoc. fish (30 - 89 cm)</x:v>
      </x:c>
      <x:c r="H109" s="46" t="str">
        <x:v>Perch-likes</x:v>
      </x:c>
      <x:c r="I109" s="60" t="n">
        <x:v>27.439604147599997</x:v>
      </x:c>
      <x:c r="J109" s="60" t="n">
        <x:v>27.439604147599997</x:v>
      </x:c>
      <x:c r="K109" s="60" t="n">
        <x:v>0</x:v>
      </x:c>
      <x:c r="L109" s="60" t="n">
        <x:v>27.439604147599997</x:v>
      </x:c>
      <x:c r="M109" s="60" t="n">
        <x:v>0</x:v>
      </x:c>
      <x:c r="N109" s="46" t="str">
        <x:v>lethrinus</x:v>
      </x:c>
      <x:c r="O109" s="62" t="n">
        <x:v>3.75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Lethrinus</x:v>
      </x:c>
      <x:c r="T109" s="62" t="n">
        <x:f>IF(O109="","",(1/'Metadata'!$B$5)^(O109-1))</x:f>
        <x:v>562.341325190349</x:v>
      </x:c>
      <x:c r="U109" s="60" t="n">
        <x:f>IF(T109="","",I109*T109)</x:f>
        <x:v>15430.42335905998</x:v>
      </x:c>
    </x:row>
    <x:row r="110" ht="18" customHeight="1">
      <x:c r="A110" s="46" t="str">
        <x:v>LME_038</x:v>
      </x:c>
      <x:c r="B110" s="46" t="str">
        <x:v>Indonesian Sea</x:v>
      </x:c>
      <x:c r="C110" s="46" t="str">
        <x:v>LME</x:v>
      </x:c>
      <x:c r="D110" s="58" t="n">
        <x:v>2019</x:v>
      </x:c>
      <x:c r="E110" s="46" t="str">
        <x:v>Cynoglossus</x:v>
      </x:c>
      <x:c r="F110" s="46" t="str">
        <x:v>Tonguesoles</x:v>
      </x:c>
      <x:c r="G110" s="46" t="str">
        <x:v>Small to medium flatfishes (&lt;90 cm)</x:v>
      </x:c>
      <x:c r="H110" s="46" t="str">
        <x:v>Flatfishes</x:v>
      </x:c>
      <x:c r="I110" s="60" t="n">
        <x:v>27.2160466452</x:v>
      </x:c>
      <x:c r="J110" s="60" t="n">
        <x:v>27.2160466452</x:v>
      </x:c>
      <x:c r="K110" s="60" t="n">
        <x:v>0</x:v>
      </x:c>
      <x:c r="L110" s="60" t="n">
        <x:v>27.2160466452</x:v>
      </x:c>
      <x:c r="M110" s="60" t="n">
        <x:v>0</x:v>
      </x:c>
      <x:c r="N110" s="46" t="str">
        <x:v>cynoglossus</x:v>
      </x:c>
      <x:c r="O110" s="62" t="n">
        <x:v>3.36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Cynoglossus</x:v>
      </x:c>
      <x:c r="T110" s="62" t="n">
        <x:f>IF(O110="","",(1/'Metadata'!$B$5)^(O110-1))</x:f>
        <x:v>229.08676527677724</x:v>
      </x:c>
      <x:c r="U110" s="60" t="n">
        <x:f>IF(T110="","",I110*T110)</x:f>
        <x:v>6234.836089570753</x:v>
      </x:c>
    </x:row>
    <x:row r="111" ht="18" customHeight="1">
      <x:c r="A111" s="46" t="str">
        <x:v>LME_038</x:v>
      </x:c>
      <x:c r="B111" s="46" t="str">
        <x:v>Indonesian Sea</x:v>
      </x:c>
      <x:c r="C111" s="46" t="str">
        <x:v>LME</x:v>
      </x:c>
      <x:c r="D111" s="58" t="n">
        <x:v>2019</x:v>
      </x:c>
      <x:c r="E111" s="46" t="str">
        <x:v>Gerres</x:v>
      </x:c>
      <x:c r="F111" s="46" t="str">
        <x:v>Silver biddies</x:v>
      </x:c>
      <x:c r="G111" s="46" t="str">
        <x:v>Small benthopelagics (&lt;30 cm)</x:v>
      </x:c>
      <x:c r="H111" s="46" t="str">
        <x:v>Perch-likes</x:v>
      </x:c>
      <x:c r="I111" s="60" t="n">
        <x:v>23.735445078399998</x:v>
      </x:c>
      <x:c r="J111" s="60" t="n">
        <x:v>23.735445078399998</x:v>
      </x:c>
      <x:c r="K111" s="60" t="n">
        <x:v>0</x:v>
      </x:c>
      <x:c r="L111" s="60" t="n">
        <x:v>23.735445078399998</x:v>
      </x:c>
      <x:c r="M111" s="60" t="n">
        <x:v>0</x:v>
      </x:c>
      <x:c r="N111" s="46" t="str">
        <x:v>gerres</x:v>
      </x:c>
      <x:c r="O111" s="62" t="n">
        <x:v>3.27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Gerres</x:v>
      </x:c>
      <x:c r="T111" s="62" t="n">
        <x:f>IF(O111="","",(1/'Metadata'!$B$5)^(O111-1))</x:f>
        <x:v>186.20871366628674</x:v>
      </x:c>
      <x:c r="U111" s="60" t="n">
        <x:f>IF(T111="","",I111*T111)</x:f>
        <x:v>4419.74669634566</x:v>
      </x:c>
    </x:row>
    <x:row r="112" ht="18" customHeight="1">
      <x:c r="A112" s="46" t="str">
        <x:v>LME_038</x:v>
      </x:c>
      <x:c r="B112" s="46" t="str">
        <x:v>Indonesian Sea</x:v>
      </x:c>
      <x:c r="C112" s="46" t="str">
        <x:v>LME</x:v>
      </x:c>
      <x:c r="D112" s="58" t="n">
        <x:v>2019</x:v>
      </x:c>
      <x:c r="E112" s="46" t="str">
        <x:v>Trichiurus lepturus</x:v>
      </x:c>
      <x:c r="F112" s="46" t="str">
        <x:v>Largehead hairtail</x:v>
      </x:c>
      <x:c r="G112" s="46" t="str">
        <x:v>Large benthopelagics (&gt;=90 cm)</x:v>
      </x:c>
      <x:c r="H112" s="46" t="str">
        <x:v>Perch-likes</x:v>
      </x:c>
      <x:c r="I112" s="60" t="n">
        <x:v>23.101132428800003</x:v>
      </x:c>
      <x:c r="J112" s="60" t="n">
        <x:v>23.101132428800003</x:v>
      </x:c>
      <x:c r="K112" s="60" t="n">
        <x:v>0</x:v>
      </x:c>
      <x:c r="L112" s="60" t="n">
        <x:v>22.4530881214</x:v>
      </x:c>
      <x:c r="M112" s="60" t="n">
        <x:v>0.6480443074</x:v>
      </x:c>
      <x:c r="N112" s="46" t="str">
        <x:v>trichiurus lepturus</x:v>
      </x:c>
      <x:c r="O112" s="62" t="n">
        <x:v>4.42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Trichiurus lepturus</x:v>
      </x:c>
      <x:c r="T112" s="62" t="n">
        <x:f>IF(O112="","",(1/'Metadata'!$B$5)^(O112-1))</x:f>
        <x:v>2630.2679918953813</x:v>
      </x:c>
      <x:c r="U112" s="60" t="n">
        <x:f>IF(T112="","",I112*T112)</x:f>
        <x:v>60762.16920400906</x:v>
      </x:c>
    </x:row>
    <x:row r="113" ht="18" customHeight="1">
      <x:c r="A113" s="46" t="str">
        <x:v>LME_038</x:v>
      </x:c>
      <x:c r="B113" s="46" t="str">
        <x:v>Indonesian Sea</x:v>
      </x:c>
      <x:c r="C113" s="46" t="str">
        <x:v>LME</x:v>
      </x:c>
      <x:c r="D113" s="58" t="n">
        <x:v>2019</x:v>
      </x:c>
      <x:c r="E113" s="46" t="str">
        <x:v>Balistidae</x:v>
      </x:c>
      <x:c r="F113" s="46" t="str">
        <x:v>Triggerfishes</x:v>
      </x:c>
      <x:c r="G113" s="46" t="str">
        <x:v>Medium reef assoc. fish (30 - 89 cm)</x:v>
      </x:c>
      <x:c r="H113" s="46" t="str">
        <x:v>Other fishes &amp; inverts</x:v>
      </x:c>
      <x:c r="I113" s="60" t="n">
        <x:v>21.1411759693</x:v>
      </x:c>
      <x:c r="J113" s="60" t="n">
        <x:v>21.1411759693</x:v>
      </x:c>
      <x:c r="K113" s="60" t="n">
        <x:v>0</x:v>
      </x:c>
      <x:c r="L113" s="60" t="n">
        <x:v>21.1411759693</x:v>
      </x:c>
      <x:c r="M113" s="60" t="n">
        <x:v>0</x:v>
      </x:c>
      <x:c r="N113" s="46" t="str">
        <x:v>balistidae</x:v>
      </x:c>
      <x:c r="O113" s="62" t="n">
        <x:v>3.25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Balistidae</x:v>
      </x:c>
      <x:c r="T113" s="62" t="n">
        <x:f>IF(O113="","",(1/'Metadata'!$B$5)^(O113-1))</x:f>
        <x:v>177.82794100389228</x:v>
      </x:c>
      <x:c r="U113" s="60" t="n">
        <x:f>IF(T113="","",I113*T113)</x:f>
        <x:v>3759.4917930215856</x:v>
      </x:c>
    </x:row>
    <x:row r="114" ht="18" customHeight="1">
      <x:c r="A114" s="46" t="str">
        <x:v>LME_038</x:v>
      </x:c>
      <x:c r="B114" s="46" t="str">
        <x:v>Indonesian Sea</x:v>
      </x:c>
      <x:c r="C114" s="46" t="str">
        <x:v>LME</x:v>
      </x:c>
      <x:c r="D114" s="58" t="n">
        <x:v>2019</x:v>
      </x:c>
      <x:c r="E114" s="46" t="str">
        <x:v>Anodontostoma chacunda</x:v>
      </x:c>
      <x:c r="F114" s="46" t="str">
        <x:v>Chacunda gizzard shad</x:v>
      </x:c>
      <x:c r="G114" s="46" t="str">
        <x:v>Small pelagics (&lt;30 cm)</x:v>
      </x:c>
      <x:c r="H114" s="46" t="str">
        <x:v>Herring-likes</x:v>
      </x:c>
      <x:c r="I114" s="60" t="n">
        <x:v>21.1071243353</x:v>
      </x:c>
      <x:c r="J114" s="60" t="n">
        <x:v>21.1071243353</x:v>
      </x:c>
      <x:c r="K114" s="60" t="n">
        <x:v>0</x:v>
      </x:c>
      <x:c r="L114" s="60" t="n">
        <x:v>21.1071243353</x:v>
      </x:c>
      <x:c r="M114" s="60" t="n">
        <x:v>0</x:v>
      </x:c>
      <x:c r="N114" s="46" t="str">
        <x:v>anodontostoma chacunda</x:v>
      </x:c>
      <x:c r="O114" s="62" t="n">
        <x:v>2.84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Anodontostoma chacunda</x:v>
      </x:c>
      <x:c r="T114" s="62" t="n">
        <x:f>IF(O114="","",(1/'Metadata'!$B$5)^(O114-1))</x:f>
        <x:v>69.18309709189363</x:v>
      </x:c>
      <x:c r="U114" s="60" t="n">
        <x:f>IF(T114="","",I114*T114)</x:f>
        <x:v>1460.2562322197307</x:v>
      </x:c>
    </x:row>
    <x:row r="115" ht="18" customHeight="1">
      <x:c r="A115" s="46" t="str">
        <x:v>LME_038</x:v>
      </x:c>
      <x:c r="B115" s="46" t="str">
        <x:v>Indonesian Sea</x:v>
      </x:c>
      <x:c r="C115" s="46" t="str">
        <x:v>LME</x:v>
      </x:c>
      <x:c r="D115" s="58" t="n">
        <x:v>2019</x:v>
      </x:c>
      <x:c r="E115" s="46" t="str">
        <x:v>Prionace glauca</x:v>
      </x:c>
      <x:c r="F115" s="46" t="str">
        <x:v>Blue shark</x:v>
      </x:c>
      <x:c r="G115" s="46" t="str">
        <x:v>Large sharks (&gt;=90 cm)</x:v>
      </x:c>
      <x:c r="H115" s="46" t="str">
        <x:v>Sharks &amp; rays</x:v>
      </x:c>
      <x:c r="I115" s="60" t="n">
        <x:v>19.9199535287</x:v>
      </x:c>
      <x:c r="J115" s="60" t="n">
        <x:v>16.7758514921</x:v>
      </x:c>
      <x:c r="K115" s="60" t="n">
        <x:v>3.1441020366</x:v>
      </x:c>
      <x:c r="L115" s="60" t="n">
        <x:v>16.7758514921</x:v>
      </x:c>
      <x:c r="M115" s="60" t="n">
        <x:v>3.1441020366</x:v>
      </x:c>
      <x:c r="N115" s="46" t="str">
        <x:v>prionace glauca</x:v>
      </x:c>
      <x:c r="O115" s="62" t="n">
        <x:v>4.35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Prionace glauca</x:v>
      </x:c>
      <x:c r="T115" s="62" t="n">
        <x:f>IF(O115="","",(1/'Metadata'!$B$5)^(O115-1))</x:f>
        <x:v>2238.7211385683377</x:v>
      </x:c>
      <x:c r="U115" s="60" t="n">
        <x:f>IF(T115="","",I115*T115)</x:f>
        <x:v>44595.221043999634</x:v>
      </x:c>
    </x:row>
    <x:row r="116" ht="18" customHeight="1">
      <x:c r="A116" s="46" t="str">
        <x:v>LME_038</x:v>
      </x:c>
      <x:c r="B116" s="46" t="str">
        <x:v>Indonesian Sea</x:v>
      </x:c>
      <x:c r="C116" s="46" t="str">
        <x:v>LME</x:v>
      </x:c>
      <x:c r="D116" s="58" t="n">
        <x:v>2019</x:v>
      </x:c>
      <x:c r="E116" s="46" t="str">
        <x:v>Panulirus longipes</x:v>
      </x:c>
      <x:c r="F116" s="46" t="str">
        <x:v>Longlegged spiny lobster</x:v>
      </x:c>
      <x:c r="G116" s="46" t="str">
        <x:v>Lobsters, crabs</x:v>
      </x:c>
      <x:c r="H116" s="46" t="str">
        <x:v>Crustaceans</x:v>
      </x:c>
      <x:c r="I116" s="60" t="n">
        <x:v>17.3251793501</x:v>
      </x:c>
      <x:c r="J116" s="60" t="n">
        <x:v>17.3251793501</x:v>
      </x:c>
      <x:c r="K116" s="60" t="n">
        <x:v>0</x:v>
      </x:c>
      <x:c r="L116" s="60" t="n">
        <x:v>17.3251793501</x:v>
      </x:c>
      <x:c r="M116" s="60" t="n">
        <x:v>0</x:v>
      </x:c>
      <x:c r="N116" s="46" t="str">
        <x:v>panulirus longipes</x:v>
      </x:c>
      <x:c r="O116" s="62" t="n">
        <x:v>2.6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Panulirus longipes</x:v>
      </x:c>
      <x:c r="T116" s="62" t="n">
        <x:f>IF(O116="","",(1/'Metadata'!$B$5)^(O116-1))</x:f>
        <x:v>39.810717055349734</x:v>
      </x:c>
      <x:c r="U116" s="60" t="n">
        <x:f>IF(T116="","",I116*T116)</x:f>
        <x:v>689.7278130400191</x:v>
      </x:c>
    </x:row>
    <x:row r="117" ht="18" customHeight="1">
      <x:c r="A117" s="46" t="str">
        <x:v>LME_038</x:v>
      </x:c>
      <x:c r="B117" s="46" t="str">
        <x:v>Indonesian Sea</x:v>
      </x:c>
      <x:c r="C117" s="46" t="str">
        <x:v>LME</x:v>
      </x:c>
      <x:c r="D117" s="58" t="n">
        <x:v>2019</x:v>
      </x:c>
      <x:c r="E117" s="46" t="str">
        <x:v>Pennahia</x:v>
      </x:c>
      <x:c r="F117" s="46" t="str">
        <x:v>Pennah croakers</x:v>
      </x:c>
      <x:c r="G117" s="46" t="str">
        <x:v>Medium benthopelagics (30 - 89 cm)</x:v>
      </x:c>
      <x:c r="H117" s="46" t="str">
        <x:v>Perch-likes</x:v>
      </x:c>
      <x:c r="I117" s="60" t="n">
        <x:v>15.455528543</x:v>
      </x:c>
      <x:c r="J117" s="60" t="n">
        <x:v>15.455528543</x:v>
      </x:c>
      <x:c r="K117" s="60" t="n">
        <x:v>0</x:v>
      </x:c>
      <x:c r="L117" s="60" t="n">
        <x:v>15.455528543</x:v>
      </x:c>
      <x:c r="M117" s="60" t="n">
        <x:v>0</x:v>
      </x:c>
      <x:c r="N117" s="46" t="str">
        <x:v>pennahia</x:v>
      </x:c>
      <x:c r="O117" s="62" t="n">
        <x:v>3.73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Pennahia</x:v>
      </x:c>
      <x:c r="T117" s="62" t="n">
        <x:f>IF(O117="","",(1/'Metadata'!$B$5)^(O117-1))</x:f>
        <x:v>537.0317963702527</x:v>
      </x:c>
      <x:c r="U117" s="60" t="n">
        <x:f>IF(T117="","",I117*T117)</x:f>
        <x:v>8300.110257299004</x:v>
      </x:c>
    </x:row>
    <x:row r="118" ht="18" customHeight="1">
      <x:c r="A118" s="46" t="str">
        <x:v>LME_038</x:v>
      </x:c>
      <x:c r="B118" s="46" t="str">
        <x:v>Indonesian Sea</x:v>
      </x:c>
      <x:c r="C118" s="46" t="str">
        <x:v>LME</x:v>
      </x:c>
      <x:c r="D118" s="58" t="n">
        <x:v>2019</x:v>
      </x:c>
      <x:c r="E118" s="46" t="str">
        <x:v>Muraenesox cinereus</x:v>
      </x:c>
      <x:c r="F118" s="46" t="str">
        <x:v>Daggertooth pike conger</x:v>
      </x:c>
      <x:c r="G118" s="46" t="str">
        <x:v>Large demersals (&gt;=90 cm)</x:v>
      </x:c>
      <x:c r="H118" s="46" t="str">
        <x:v>Other fishes &amp; inverts</x:v>
      </x:c>
      <x:c r="I118" s="60" t="n">
        <x:v>14.9649793644</x:v>
      </x:c>
      <x:c r="J118" s="60" t="n">
        <x:v>14.9649793644</x:v>
      </x:c>
      <x:c r="K118" s="60" t="n">
        <x:v>0</x:v>
      </x:c>
      <x:c r="L118" s="60" t="n">
        <x:v>14.1846487888</x:v>
      </x:c>
      <x:c r="M118" s="60" t="n">
        <x:v>0.7803305756000001</x:v>
      </x:c>
      <x:c r="N118" s="46" t="str">
        <x:v>muraenesox cinereus</x:v>
      </x:c>
      <x:c r="O118" s="62" t="n">
        <x:v>4.38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Muraenesox cinereus</x:v>
      </x:c>
      <x:c r="T118" s="62" t="n">
        <x:f>IF(O118="","",(1/'Metadata'!$B$5)^(O118-1))</x:f>
        <x:v>2398.83291901949</x:v>
      </x:c>
      <x:c r="U118" s="60" t="n">
        <x:f>IF(T118="","",I118*T118)</x:f>
        <x:v>35898.48513177008</x:v>
      </x:c>
    </x:row>
    <x:row r="119" ht="18" customHeight="1">
      <x:c r="A119" s="46" t="str">
        <x:v>LME_038</x:v>
      </x:c>
      <x:c r="B119" s="46" t="str">
        <x:v>Indonesian Sea</x:v>
      </x:c>
      <x:c r="C119" s="46" t="str">
        <x:v>LME</x:v>
      </x:c>
      <x:c r="D119" s="58" t="n">
        <x:v>2019</x:v>
      </x:c>
      <x:c r="E119" s="46" t="str">
        <x:v>Carcharhinus falciformis</x:v>
      </x:c>
      <x:c r="F119" s="46" t="str">
        <x:v>Silky shark</x:v>
      </x:c>
      <x:c r="G119" s="46" t="str">
        <x:v>Large sharks (&gt;=90 cm)</x:v>
      </x:c>
      <x:c r="H119" s="46" t="str">
        <x:v>Sharks &amp; rays</x:v>
      </x:c>
      <x:c r="I119" s="60" t="n">
        <x:v>11.4205069063</x:v>
      </x:c>
      <x:c r="J119" s="60" t="n">
        <x:v>0.10660588139999999</x:v>
      </x:c>
      <x:c r="K119" s="60" t="n">
        <x:v>11.3139010249</x:v>
      </x:c>
      <x:c r="L119" s="60" t="n">
        <x:v>0.10660588139999999</x:v>
      </x:c>
      <x:c r="M119" s="60" t="n">
        <x:v>11.3139010249</x:v>
      </x:c>
      <x:c r="N119" s="46" t="str">
        <x:v>carcharhinus falciformis</x:v>
      </x:c>
      <x:c r="O119" s="62" t="n">
        <x:v>4.51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Carcharhinus falciformis</x:v>
      </x:c>
      <x:c r="T119" s="62" t="n">
        <x:f>IF(O119="","",(1/'Metadata'!$B$5)^(O119-1))</x:f>
        <x:v>3235.936569296281</x:v>
      </x:c>
      <x:c r="U119" s="60" t="n">
        <x:f>IF(T119="","",I119*T119)</x:f>
        <x:v>36956.03593799691</x:v>
      </x:c>
    </x:row>
    <x:row r="120" ht="18" customHeight="1">
      <x:c r="A120" s="46" t="str">
        <x:v>LME_038</x:v>
      </x:c>
      <x:c r="B120" s="46" t="str">
        <x:v>Indonesian Sea</x:v>
      </x:c>
      <x:c r="C120" s="46" t="str">
        <x:v>LME</x:v>
      </x:c>
      <x:c r="D120" s="58" t="n">
        <x:v>2019</x:v>
      </x:c>
      <x:c r="E120" s="46" t="str">
        <x:v>Thenus orientalis</x:v>
      </x:c>
      <x:c r="F120" s="46" t="str">
        <x:v>Flathead lobster</x:v>
      </x:c>
      <x:c r="G120" s="46" t="str">
        <x:v>Lobsters, crabs</x:v>
      </x:c>
      <x:c r="H120" s="46" t="str">
        <x:v>Crustaceans</x:v>
      </x:c>
      <x:c r="I120" s="60" t="n">
        <x:v>11.3804794314</x:v>
      </x:c>
      <x:c r="J120" s="60" t="n">
        <x:v>11.3804794314</x:v>
      </x:c>
      <x:c r="K120" s="60" t="n">
        <x:v>0</x:v>
      </x:c>
      <x:c r="L120" s="60" t="n">
        <x:v>11.0651046656</x:v>
      </x:c>
      <x:c r="M120" s="60" t="n">
        <x:v>0.3153747658</x:v>
      </x:c>
      <x:c r="N120" s="46" t="str">
        <x:v>thenus orientalis</x:v>
      </x:c>
      <x:c r="O120" s="62" t="n">
        <x:v>2.5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Thenus orientalis</x:v>
      </x:c>
      <x:c r="T120" s="62" t="n">
        <x:f>IF(O120="","",(1/'Metadata'!$B$5)^(O120-1))</x:f>
        <x:v>31.622776601683793</x:v>
      </x:c>
      <x:c r="U120" s="60" t="n">
        <x:f>IF(T120="","",I120*T120)</x:f>
        <x:v>359.8823586792196</x:v>
      </x:c>
    </x:row>
    <x:row r="121" ht="18" customHeight="1">
      <x:c r="A121" s="46" t="str">
        <x:v>LME_038</x:v>
      </x:c>
      <x:c r="B121" s="46" t="str">
        <x:v>Indonesian Sea</x:v>
      </x:c>
      <x:c r="C121" s="46" t="str">
        <x:v>LME</x:v>
      </x:c>
      <x:c r="D121" s="58" t="n">
        <x:v>2019</x:v>
      </x:c>
      <x:c r="E121" s="46" t="str">
        <x:v>Batoidea</x:v>
      </x:c>
      <x:c r="F121" s="46" t="str">
        <x:v>Batoids, skates, rays, sawfishes</x:v>
      </x:c>
      <x:c r="G121" s="46" t="str">
        <x:v>Large rays (&gt;=90 cm)</x:v>
      </x:c>
      <x:c r="H121" s="46" t="str">
        <x:v>Sharks &amp; rays</x:v>
      </x:c>
      <x:c r="I121" s="60" t="n">
        <x:v>9.2713111545</x:v>
      </x:c>
      <x:c r="J121" s="60" t="n">
        <x:v>9.2713111545</x:v>
      </x:c>
      <x:c r="K121" s="60" t="n">
        <x:v>0</x:v>
      </x:c>
      <x:c r="L121" s="60" t="n">
        <x:v>8.5309446516</x:v>
      </x:c>
      <x:c r="M121" s="60" t="n">
        <x:v>0.7403665029</x:v>
      </x:c>
      <x:c r="N121" s="46" t="str">
        <x:v>batoidea</x:v>
      </x:c>
      <x:c r="O121" s="62" t="n">
        <x:v>3.72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Batoidea</x:v>
      </x:c>
      <x:c r="T121" s="62" t="n">
        <x:f>IF(O121="","",(1/'Metadata'!$B$5)^(O121-1))</x:f>
        <x:v>524.8074602497728</x:v>
      </x:c>
      <x:c r="U121" s="60" t="n">
        <x:f>IF(T121="","",I121*T121)</x:f>
        <x:v>4865.653260178534</x:v>
      </x:c>
    </x:row>
    <x:row r="122" ht="18" customHeight="1">
      <x:c r="A122" s="46" t="str">
        <x:v>LME_038</x:v>
      </x:c>
      <x:c r="B122" s="46" t="str">
        <x:v>Indonesian Sea</x:v>
      </x:c>
      <x:c r="C122" s="46" t="str">
        <x:v>LME</x:v>
      </x:c>
      <x:c r="D122" s="58" t="n">
        <x:v>2019</x:v>
      </x:c>
      <x:c r="E122" s="46" t="str">
        <x:v>Muraenesox</x:v>
      </x:c>
      <x:c r="F122" s="46" t="str">
        <x:v>Congers</x:v>
      </x:c>
      <x:c r="G122" s="46" t="str">
        <x:v>Large demersals (&gt;=90 cm)</x:v>
      </x:c>
      <x:c r="H122" s="46" t="str">
        <x:v>Other fishes &amp; inverts</x:v>
      </x:c>
      <x:c r="I122" s="60" t="n">
        <x:v>8.809725876500002</x:v>
      </x:c>
      <x:c r="J122" s="60" t="n">
        <x:v>8.809725876500002</x:v>
      </x:c>
      <x:c r="K122" s="60" t="n">
        <x:v>0</x:v>
      </x:c>
      <x:c r="L122" s="60" t="n">
        <x:v>8.809725876500002</x:v>
      </x:c>
      <x:c r="M122" s="60" t="n">
        <x:v>0</x:v>
      </x:c>
      <x:c r="N122" s="46" t="str">
        <x:v>muraenesox</x:v>
      </x:c>
      <x:c r="O122" s="62" t="n">
        <x:v>3.99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Muraenesox</x:v>
      </x:c>
      <x:c r="T122" s="62" t="n">
        <x:f>IF(O122="","",(1/'Metadata'!$B$5)^(O122-1))</x:f>
        <x:v>977.2372209558112</x:v>
      </x:c>
      <x:c r="U122" s="60" t="n">
        <x:f>IF(T122="","",I122*T122)</x:f>
        <x:v>8609.192032933359</x:v>
      </x:c>
    </x:row>
    <x:row r="123" ht="18" customHeight="1">
      <x:c r="A123" s="46" t="str">
        <x:v>LME_038</x:v>
      </x:c>
      <x:c r="B123" s="46" t="str">
        <x:v>Indonesian Sea</x:v>
      </x:c>
      <x:c r="C123" s="46" t="str">
        <x:v>LME</x:v>
      </x:c>
      <x:c r="D123" s="58" t="n">
        <x:v>2019</x:v>
      </x:c>
      <x:c r="E123" s="46" t="str">
        <x:v>Miscellaneous aquatic invertebrates</x:v>
      </x:c>
      <x:c r="F123" s="46" t="str">
        <x:v>Aquatic invertebrates</x:v>
      </x:c>
      <x:c r="G123" s="46" t="str">
        <x:v>Other demersal invertebrates</x:v>
      </x:c>
      <x:c r="H123" s="46" t="str">
        <x:v>Other fishes &amp; inverts</x:v>
      </x:c>
      <x:c r="I123" s="60" t="n">
        <x:v>7.152736224300001</x:v>
      </x:c>
      <x:c r="J123" s="60" t="n">
        <x:v>7.152736224300001</x:v>
      </x:c>
      <x:c r="K123" s="60" t="n">
        <x:v>0</x:v>
      </x:c>
      <x:c r="L123" s="60" t="n">
        <x:v>1.3711539991000001</x:v>
      </x:c>
      <x:c r="M123" s="60" t="n">
        <x:v>5.7815822252</x:v>
      </x:c>
      <x:c r="N123" s="46" t="str">
        <x:v>miscellaneous aquatic invertebrates</x:v>
      </x:c>
      <x:c r="O123" s="62" t="n">
        <x:v>2.43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Miscellaneous aquatic invertebrates</x:v>
      </x:c>
      <x:c r="T123" s="62" t="n">
        <x:f>IF(O123="","",(1/'Metadata'!$B$5)^(O123-1))</x:f>
        <x:v>26.915348039269166</x:v>
      </x:c>
      <x:c r="U123" s="60" t="n">
        <x:f>IF(T123="","",I123*T123)</x:f>
        <x:v>192.51838491012256</x:v>
      </x:c>
    </x:row>
    <x:row r="124" ht="18" customHeight="1">
      <x:c r="A124" s="46" t="str">
        <x:v>LME_038</x:v>
      </x:c>
      <x:c r="B124" s="46" t="str">
        <x:v>Indonesian Sea</x:v>
      </x:c>
      <x:c r="C124" s="46" t="str">
        <x:v>LME</x:v>
      </x:c>
      <x:c r="D124" s="58" t="n">
        <x:v>2019</x:v>
      </x:c>
      <x:c r="E124" s="46" t="str">
        <x:v>Penaeus semisulcatus</x:v>
      </x:c>
      <x:c r="F124" s="46" t="str">
        <x:v>Green tiger prawn</x:v>
      </x:c>
      <x:c r="G124" s="46" t="str">
        <x:v>Shrimps</x:v>
      </x:c>
      <x:c r="H124" s="46" t="str">
        <x:v>Crustaceans</x:v>
      </x:c>
      <x:c r="I124" s="60" t="n">
        <x:v>6.889462432399999</x:v>
      </x:c>
      <x:c r="J124" s="60" t="n">
        <x:v>6.889462432399999</x:v>
      </x:c>
      <x:c r="K124" s="60" t="n">
        <x:v>0</x:v>
      </x:c>
      <x:c r="L124" s="60" t="n">
        <x:v>6.5024722763</x:v>
      </x:c>
      <x:c r="M124" s="60" t="n">
        <x:v>0.3869901561</x:v>
      </x:c>
      <x:c r="N124" s="46" t="str">
        <x:v>penaeus semisulcatus</x:v>
      </x:c>
      <x:c r="O124" s="62" t="n">
        <x:v>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Penaeus semisulcatus</x:v>
      </x:c>
      <x:c r="T124" s="62" t="n">
        <x:f>IF(O124="","",(1/'Metadata'!$B$5)^(O124-1))</x:f>
        <x:v>10</x:v>
      </x:c>
      <x:c r="U124" s="60" t="n">
        <x:f>IF(T124="","",I124*T124)</x:f>
        <x:v>68.89462432399999</x:v>
      </x:c>
    </x:row>
    <x:row r="125" ht="18" customHeight="1">
      <x:c r="A125" s="46" t="str">
        <x:v>LME_038</x:v>
      </x:c>
      <x:c r="B125" s="46" t="str">
        <x:v>Indonesian Sea</x:v>
      </x:c>
      <x:c r="C125" s="46" t="str">
        <x:v>LME</x:v>
      </x:c>
      <x:c r="D125" s="58" t="n">
        <x:v>2019</x:v>
      </x:c>
      <x:c r="E125" s="46" t="str">
        <x:v>Scylla serrata</x:v>
      </x:c>
      <x:c r="F125" s="46" t="str">
        <x:v>Indo-Pacific swamp crab</x:v>
      </x:c>
      <x:c r="G125" s="46" t="str">
        <x:v>Lobsters, crabs</x:v>
      </x:c>
      <x:c r="H125" s="46" t="str">
        <x:v>Crustaceans</x:v>
      </x:c>
      <x:c r="I125" s="60" t="n">
        <x:v>5.8888610392</x:v>
      </x:c>
      <x:c r="J125" s="60" t="n">
        <x:v>5.8888610392</x:v>
      </x:c>
      <x:c r="K125" s="60" t="n">
        <x:v>0</x:v>
      </x:c>
      <x:c r="L125" s="60" t="n">
        <x:v>5.8888610392</x:v>
      </x:c>
      <x:c r="M125" s="60" t="n">
        <x:v>0</x:v>
      </x:c>
      <x:c r="N125" s="46" t="str">
        <x:v>scylla serrata</x:v>
      </x:c>
      <x:c r="O125" s="62" t="n">
        <x:v>3.17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Scylla serrata</x:v>
      </x:c>
      <x:c r="T125" s="62" t="n">
        <x:f>IF(O125="","",(1/'Metadata'!$B$5)^(O125-1))</x:f>
        <x:v>147.91083881682073</x:v>
      </x:c>
      <x:c r="U125" s="60" t="n">
        <x:f>IF(T125="","",I125*T125)</x:f>
        <x:v>871.0263759837666</x:v>
      </x:c>
    </x:row>
    <x:row r="126" ht="18" customHeight="1">
      <x:c r="A126" s="46" t="str">
        <x:v>LME_038</x:v>
      </x:c>
      <x:c r="B126" s="46" t="str">
        <x:v>Indonesian Sea</x:v>
      </x:c>
      <x:c r="C126" s="46" t="str">
        <x:v>LME</x:v>
      </x:c>
      <x:c r="D126" s="58" t="n">
        <x:v>2019</x:v>
      </x:c>
      <x:c r="E126" s="46" t="str">
        <x:v>Drepane</x:v>
      </x:c>
      <x:c r="F126" s="46" t="str">
        <x:v>Sicklefishes</x:v>
      </x:c>
      <x:c r="G126" s="46" t="str">
        <x:v>Medium benthopelagics (30 - 89 cm)</x:v>
      </x:c>
      <x:c r="H126" s="46" t="str">
        <x:v>Perch-likes</x:v>
      </x:c>
      <x:c r="I126" s="60" t="n">
        <x:v>5.8192247268</x:v>
      </x:c>
      <x:c r="J126" s="60" t="n">
        <x:v>5.8192247268</x:v>
      </x:c>
      <x:c r="K126" s="60" t="n">
        <x:v>0</x:v>
      </x:c>
      <x:c r="L126" s="60" t="n">
        <x:v>5.8192247268</x:v>
      </x:c>
      <x:c r="M126" s="60" t="n">
        <x:v>0</x:v>
      </x:c>
      <x:c r="N126" s="46" t="str">
        <x:v>drepane</x:v>
      </x:c>
      <x:c r="O126" s="62" t="n">
        <x:v>3.32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Drepane</x:v>
      </x:c>
      <x:c r="T126" s="62" t="n">
        <x:f>IF(O126="","",(1/'Metadata'!$B$5)^(O126-1))</x:f>
        <x:v>208.92961308540387</x:v>
      </x:c>
      <x:c r="U126" s="60" t="n">
        <x:f>IF(T126="","",I126*T126)</x:f>
        <x:v>1215.808370627339</x:v>
      </x:c>
    </x:row>
    <x:row r="127" ht="18" customHeight="1">
      <x:c r="A127" s="46" t="str">
        <x:v>LME_038</x:v>
      </x:c>
      <x:c r="B127" s="46" t="str">
        <x:v>Indonesian Sea</x:v>
      </x:c>
      <x:c r="C127" s="46" t="str">
        <x:v>LME</x:v>
      </x:c>
      <x:c r="D127" s="58" t="n">
        <x:v>2019</x:v>
      </x:c>
      <x:c r="E127" s="46" t="str">
        <x:v>Penaeus latisulcatus</x:v>
      </x:c>
      <x:c r="F127" s="46" t="str">
        <x:v>Western king prawn</x:v>
      </x:c>
      <x:c r="G127" s="46" t="str">
        <x:v>Shrimps</x:v>
      </x:c>
      <x:c r="H127" s="46" t="str">
        <x:v>Crustaceans</x:v>
      </x:c>
      <x:c r="I127" s="60" t="n">
        <x:v>4.4279267486</x:v>
      </x:c>
      <x:c r="J127" s="60" t="n">
        <x:v>4.4279267486</x:v>
      </x:c>
      <x:c r="K127" s="60" t="n">
        <x:v>0</x:v>
      </x:c>
      <x:c r="L127" s="60" t="n">
        <x:v>4.3023287765</x:v>
      </x:c>
      <x:c r="M127" s="60" t="n">
        <x:v>0.1255979721</x:v>
      </x:c>
      <x:c r="N127" s="46" t="str">
        <x:v>penaeus latisulcatus</x:v>
      </x:c>
      <x:c r="O127" s="62" t="n">
        <x:v>2.7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Penaeus latisulcatus</x:v>
      </x:c>
      <x:c r="T127" s="62" t="n">
        <x:f>IF(O127="","",(1/'Metadata'!$B$5)^(O127-1))</x:f>
        <x:v>50.11872336272725</x:v>
      </x:c>
      <x:c r="U127" s="60" t="n">
        <x:f>IF(T127="","",I127*T127)</x:f>
        <x:v>221.92203578350373</x:v>
      </x:c>
    </x:row>
    <x:row r="128" ht="18" customHeight="1">
      <x:c r="A128" s="46" t="str">
        <x:v>LME_038</x:v>
      </x:c>
      <x:c r="B128" s="46" t="str">
        <x:v>Indonesian Sea</x:v>
      </x:c>
      <x:c r="C128" s="46" t="str">
        <x:v>LME</x:v>
      </x:c>
      <x:c r="D128" s="58" t="n">
        <x:v>2019</x:v>
      </x:c>
      <x:c r="E128" s="46" t="str">
        <x:v>Rachycentron canadum</x:v>
      </x:c>
      <x:c r="F128" s="46" t="str">
        <x:v>Cobia</x:v>
      </x:c>
      <x:c r="G128" s="46" t="str">
        <x:v>Large pelagics (&gt;=90 cm)</x:v>
      </x:c>
      <x:c r="H128" s="46" t="str">
        <x:v>Perch-likes</x:v>
      </x:c>
      <x:c r="I128" s="60" t="n">
        <x:v>3.6616131022</x:v>
      </x:c>
      <x:c r="J128" s="60" t="n">
        <x:v>3.6616131022</x:v>
      </x:c>
      <x:c r="K128" s="60" t="n">
        <x:v>0</x:v>
      </x:c>
      <x:c r="L128" s="60" t="n">
        <x:v>3.6616131022</x:v>
      </x:c>
      <x:c r="M128" s="60" t="n">
        <x:v>0</x:v>
      </x:c>
      <x:c r="N128" s="46" t="str">
        <x:v>rachycentron canadum</x:v>
      </x:c>
      <x:c r="O128" s="62" t="n">
        <x:v>3.96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Rachycentron canadum</x:v>
      </x:c>
      <x:c r="T128" s="62" t="n">
        <x:f>IF(O128="","",(1/'Metadata'!$B$5)^(O128-1))</x:f>
        <x:v>912.0108393559096</x:v>
      </x:c>
      <x:c r="U128" s="60" t="n">
        <x:f>IF(T128="","",I128*T128)</x:f>
        <x:v>3339.4308387340184</x:v>
      </x:c>
    </x:row>
    <x:row r="129" ht="18" customHeight="1">
      <x:c r="A129" s="46" t="str">
        <x:v>LME_038</x:v>
      </x:c>
      <x:c r="B129" s="46" t="str">
        <x:v>Indonesian Sea</x:v>
      </x:c>
      <x:c r="C129" s="46" t="str">
        <x:v>LME</x:v>
      </x:c>
      <x:c r="D129" s="58" t="n">
        <x:v>2019</x:v>
      </x:c>
      <x:c r="E129" s="46" t="str">
        <x:v>Elasmobranchii</x:v>
      </x:c>
      <x:c r="F129" s="46" t="str">
        <x:v>Sharks, rays, skates</x:v>
      </x:c>
      <x:c r="G129" s="46" t="str">
        <x:v>Large sharks (&gt;=90 cm)</x:v>
      </x:c>
      <x:c r="H129" s="46" t="str">
        <x:v>Sharks &amp; rays</x:v>
      </x:c>
      <x:c r="I129" s="60" t="n">
        <x:v>3.2861561154</x:v>
      </x:c>
      <x:c r="J129" s="60" t="n">
        <x:v>3.2774521839</x:v>
      </x:c>
      <x:c r="K129" s="60" t="n">
        <x:v>0.0087039315</x:v>
      </x:c>
      <x:c r="L129" s="60" t="n">
        <x:v>3.2774521839</x:v>
      </x:c>
      <x:c r="M129" s="60" t="n">
        <x:v>0.0087039315</x:v>
      </x:c>
      <x:c r="N129" s="46" t="str">
        <x:v>elasmobranchii</x:v>
      </x:c>
      <x:c r="O129" s="62" t="n">
        <x:v>4.05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Elasmobranchii</x:v>
      </x:c>
      <x:c r="T129" s="62" t="n">
        <x:f>IF(O129="","",(1/'Metadata'!$B$5)^(O129-1))</x:f>
        <x:v>1122.018454301963</x:v>
      </x:c>
      <x:c r="U129" s="60" t="n">
        <x:f>IF(T129="","",I129*T129)</x:f>
        <x:v>3687.1278051960508</x:v>
      </x:c>
    </x:row>
    <x:row r="130" ht="18" customHeight="1">
      <x:c r="A130" s="46" t="str">
        <x:v>LME_038</x:v>
      </x:c>
      <x:c r="B130" s="46" t="str">
        <x:v>Indonesian Sea</x:v>
      </x:c>
      <x:c r="C130" s="46" t="str">
        <x:v>LME</x:v>
      </x:c>
      <x:c r="D130" s="58" t="n">
        <x:v>2019</x:v>
      </x:c>
      <x:c r="E130" s="46" t="str">
        <x:v>Tetrapturus angustirostris</x:v>
      </x:c>
      <x:c r="F130" s="46" t="str">
        <x:v>Shortbill spearfish</x:v>
      </x:c>
      <x:c r="G130" s="46" t="str">
        <x:v>Large pelagics (&gt;=90 cm)</x:v>
      </x:c>
      <x:c r="H130" s="46" t="str">
        <x:v>Tuna &amp; billfishes</x:v>
      </x:c>
      <x:c r="I130" s="60" t="n">
        <x:v>3.175558443</x:v>
      </x:c>
      <x:c r="J130" s="60" t="n">
        <x:v>3.175558443</x:v>
      </x:c>
      <x:c r="K130" s="60" t="n">
        <x:v>0</x:v>
      </x:c>
      <x:c r="L130" s="60" t="n">
        <x:v>3.175558443</x:v>
      </x:c>
      <x:c r="M130" s="60" t="n">
        <x:v>0</x:v>
      </x:c>
      <x:c r="N130" s="46" t="str">
        <x:v>tetrapturus angustirostris</x:v>
      </x:c>
      <x:c r="O130" s="62" t="n">
        <x:v>4.5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Tetrapturus angustirostris</x:v>
      </x:c>
      <x:c r="T130" s="62" t="n">
        <x:f>IF(O130="","",(1/'Metadata'!$B$5)^(O130-1))</x:f>
        <x:v>3162.2776601683795</x:v>
      </x:c>
      <x:c r="U130" s="60" t="n">
        <x:f>IF(T130="","",I130*T130)</x:f>
        <x:v>10041.997522857982</x:v>
      </x:c>
    </x:row>
    <x:row r="131" ht="18" customHeight="1">
      <x:c r="A131" s="46" t="str">
        <x:v>LME_038</x:v>
      </x:c>
      <x:c r="B131" s="46" t="str">
        <x:v>Indonesian Sea</x:v>
      </x:c>
      <x:c r="C131" s="46" t="str">
        <x:v>LME</x:v>
      </x:c>
      <x:c r="D131" s="58" t="n">
        <x:v>2019</x:v>
      </x:c>
      <x:c r="E131" s="46" t="str">
        <x:v>Paralichthyidae</x:v>
      </x:c>
      <x:c r="F131" s="46" t="str">
        <x:v>Largetooth flounders</x:v>
      </x:c>
      <x:c r="G131" s="46" t="str">
        <x:v>Small to medium flatfishes (&lt;90 cm)</x:v>
      </x:c>
      <x:c r="H131" s="46" t="str">
        <x:v>Flatfishes</x:v>
      </x:c>
      <x:c r="I131" s="60" t="n">
        <x:v>2.7615350456</x:v>
      </x:c>
      <x:c r="J131" s="60" t="n">
        <x:v>2.7615350456</x:v>
      </x:c>
      <x:c r="K131" s="60" t="n">
        <x:v>0</x:v>
      </x:c>
      <x:c r="L131" s="60" t="n">
        <x:v>2.7615350456</x:v>
      </x:c>
      <x:c r="M131" s="60" t="n">
        <x:v>0</x:v>
      </x:c>
      <x:c r="N131" s="46" t="str">
        <x:v>paralichthyidae</x:v>
      </x:c>
      <x:c r="O131" s="62" t="n">
        <x:v>4.06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Paralichthyidae</x:v>
      </x:c>
      <x:c r="T131" s="62" t="n">
        <x:f>IF(O131="","",(1/'Metadata'!$B$5)^(O131-1))</x:f>
        <x:v>1148.1536214968817</x:v>
      </x:c>
      <x:c r="U131" s="60" t="n">
        <x:f>IF(T131="","",I131*T131)</x:f>
        <x:v>3170.6664634961962</x:v>
      </x:c>
    </x:row>
    <x:row r="132" ht="18" customHeight="1">
      <x:c r="A132" s="46" t="str">
        <x:v>LME_038</x:v>
      </x:c>
      <x:c r="B132" s="46" t="str">
        <x:v>Indonesian Sea</x:v>
      </x:c>
      <x:c r="C132" s="46" t="str">
        <x:v>LME</x:v>
      </x:c>
      <x:c r="D132" s="58" t="n">
        <x:v>2019</x:v>
      </x:c>
      <x:c r="E132" s="46" t="str">
        <x:v>Psettodes erumei</x:v>
      </x:c>
      <x:c r="F132" s="46" t="str">
        <x:v>Indian halibut</x:v>
      </x:c>
      <x:c r="G132" s="46" t="str">
        <x:v>Small to medium flatfishes (&lt;90 cm)</x:v>
      </x:c>
      <x:c r="H132" s="46" t="str">
        <x:v>Flatfishes</x:v>
      </x:c>
      <x:c r="I132" s="60" t="n">
        <x:v>2.4399166761</x:v>
      </x:c>
      <x:c r="J132" s="60" t="n">
        <x:v>2.4399166761</x:v>
      </x:c>
      <x:c r="K132" s="60" t="n">
        <x:v>0</x:v>
      </x:c>
      <x:c r="L132" s="60" t="n">
        <x:v>2.4399166761</x:v>
      </x:c>
      <x:c r="M132" s="60" t="n">
        <x:v>0</x:v>
      </x:c>
      <x:c r="N132" s="46" t="str">
        <x:v>psettodes erumei</x:v>
      </x:c>
      <x:c r="O132" s="62" t="n">
        <x:v>4.39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Psettodes erumei</x:v>
      </x:c>
      <x:c r="T132" s="62" t="n">
        <x:f>IF(O132="","",(1/'Metadata'!$B$5)^(O132-1))</x:f>
        <x:v>2454.7089156850284</x:v>
      </x:c>
      <x:c r="U132" s="60" t="n">
        <x:f>IF(T132="","",I132*T132)</x:f>
        <x:v>5989.2852183512505</x:v>
      </x:c>
    </x:row>
    <x:row r="133" ht="18" customHeight="1">
      <x:c r="A133" s="46" t="str">
        <x:v>LME_038</x:v>
      </x:c>
      <x:c r="B133" s="46" t="str">
        <x:v>Indonesian Sea</x:v>
      </x:c>
      <x:c r="C133" s="46" t="str">
        <x:v>LME</x:v>
      </x:c>
      <x:c r="D133" s="58" t="n">
        <x:v>2019</x:v>
      </x:c>
      <x:c r="E133" s="46" t="str">
        <x:v>Carcharhinus longimanus</x:v>
      </x:c>
      <x:c r="F133" s="46" t="str">
        <x:v>Oceanic whitetip shark</x:v>
      </x:c>
      <x:c r="G133" s="46" t="str">
        <x:v>Large sharks (&gt;=90 cm)</x:v>
      </x:c>
      <x:c r="H133" s="46" t="str">
        <x:v>Sharks &amp; rays</x:v>
      </x:c>
      <x:c r="I133" s="60" t="n">
        <x:v>2.1049163003999998</x:v>
      </x:c>
      <x:c r="J133" s="60" t="n">
        <x:v>1.9472043097</x:v>
      </x:c>
      <x:c r="K133" s="60" t="n">
        <x:v>0.1577119907</x:v>
      </x:c>
      <x:c r="L133" s="60" t="n">
        <x:v>1.9472043097</x:v>
      </x:c>
      <x:c r="M133" s="60" t="n">
        <x:v>0.1577119907</x:v>
      </x:c>
      <x:c r="N133" s="46" t="str">
        <x:v>carcharhinus longimanus</x:v>
      </x:c>
      <x:c r="O133" s="62" t="n">
        <x:v>4.16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Carcharhinus longimanus</x:v>
      </x:c>
      <x:c r="T133" s="62" t="n">
        <x:f>IF(O133="","",(1/'Metadata'!$B$5)^(O133-1))</x:f>
        <x:v>1445.439770745928</x:v>
      </x:c>
      <x:c r="U133" s="60" t="n">
        <x:f>IF(T133="","",I133*T133)</x:f>
        <x:v>3042.5297346895427</x:v>
      </x:c>
    </x:row>
    <x:row r="134" ht="18" customHeight="1">
      <x:c r="A134" s="46" t="str">
        <x:v>LME_038</x:v>
      </x:c>
      <x:c r="B134" s="46" t="str">
        <x:v>Indonesian Sea</x:v>
      </x:c>
      <x:c r="C134" s="46" t="str">
        <x:v>LME</x:v>
      </x:c>
      <x:c r="D134" s="58" t="n">
        <x:v>2019</x:v>
      </x:c>
      <x:c r="E134" s="46" t="str">
        <x:v>Penaeus monodon</x:v>
      </x:c>
      <x:c r="F134" s="46" t="str">
        <x:v>Giant tiger prawn</x:v>
      </x:c>
      <x:c r="G134" s="46" t="str">
        <x:v>Shrimps</x:v>
      </x:c>
      <x:c r="H134" s="46" t="str">
        <x:v>Crustaceans</x:v>
      </x:c>
      <x:c r="I134" s="60" t="n">
        <x:v>1.9668993292</x:v>
      </x:c>
      <x:c r="J134" s="60" t="n">
        <x:v>1.9668993292</x:v>
      </x:c>
      <x:c r="K134" s="60" t="n">
        <x:v>0</x:v>
      </x:c>
      <x:c r="L134" s="60" t="n">
        <x:v>1.9488092121</x:v>
      </x:c>
      <x:c r="M134" s="60" t="n">
        <x:v>0.0180901171</x:v>
      </x:c>
      <x:c r="N134" s="46" t="str">
        <x:v>penaeus monodon</x:v>
      </x:c>
      <x:c r="O134" s="62" t="n">
        <x:v>2.6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Penaeus monodon</x:v>
      </x:c>
      <x:c r="T134" s="62" t="n">
        <x:f>IF(O134="","",(1/'Metadata'!$B$5)^(O134-1))</x:f>
        <x:v>39.810717055349734</x:v>
      </x:c>
      <x:c r="U134" s="60" t="n">
        <x:f>IF(T134="","",I134*T134)</x:f>
        <x:v>78.3036726711384</x:v>
      </x:c>
    </x:row>
    <x:row r="135" ht="18" customHeight="1">
      <x:c r="A135" s="46" t="str">
        <x:v>LME_038</x:v>
      </x:c>
      <x:c r="B135" s="46" t="str">
        <x:v>Indonesian Sea</x:v>
      </x:c>
      <x:c r="C135" s="46" t="str">
        <x:v>LME</x:v>
      </x:c>
      <x:c r="D135" s="58" t="n">
        <x:v>2019</x:v>
      </x:c>
      <x:c r="E135" s="46" t="str">
        <x:v>Istiophorus platypterus</x:v>
      </x:c>
      <x:c r="F135" s="46" t="str">
        <x:v>Indo-Pacific sailfish</x:v>
      </x:c>
      <x:c r="G135" s="46" t="str">
        <x:v>Large pelagics (&gt;=90 cm)</x:v>
      </x:c>
      <x:c r="H135" s="46" t="str">
        <x:v>Tuna &amp; billfishes</x:v>
      </x:c>
      <x:c r="I135" s="60" t="n">
        <x:v>1.8751563867</x:v>
      </x:c>
      <x:c r="J135" s="60" t="n">
        <x:v>1.8751563867</x:v>
      </x:c>
      <x:c r="K135" s="60" t="n">
        <x:v>0</x:v>
      </x:c>
      <x:c r="L135" s="60" t="n">
        <x:v>1.8751563867</x:v>
      </x:c>
      <x:c r="M135" s="60" t="n">
        <x:v>0</x:v>
      </x:c>
      <x:c r="N135" s="46" t="str">
        <x:v>istiophorus platypterus</x:v>
      </x:c>
      <x:c r="O135" s="62" t="n">
        <x:v>4.5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Istiophorus platypterus</x:v>
      </x:c>
      <x:c r="T135" s="62" t="n">
        <x:f>IF(O135="","",(1/'Metadata'!$B$5)^(O135-1))</x:f>
        <x:v>3162.2776601683795</x:v>
      </x:c>
      <x:c r="U135" s="60" t="n">
        <x:f>IF(T135="","",I135*T135)</x:f>
        <x:v>5929.7651509834695</x:v>
      </x:c>
    </x:row>
    <x:row r="136" ht="18" customHeight="1">
      <x:c r="A136" s="46" t="str">
        <x:v>LME_038</x:v>
      </x:c>
      <x:c r="B136" s="46" t="str">
        <x:v>Indonesian Sea</x:v>
      </x:c>
      <x:c r="C136" s="46" t="str">
        <x:v>LME</x:v>
      </x:c>
      <x:c r="D136" s="58" t="n">
        <x:v>2019</x:v>
      </x:c>
      <x:c r="E136" s="46" t="str">
        <x:v>Megalops cyprinoides</x:v>
      </x:c>
      <x:c r="F136" s="46" t="str">
        <x:v>Indo-Pacific tarpon</x:v>
      </x:c>
      <x:c r="G136" s="46" t="str">
        <x:v>Large pelagics (&gt;=90 cm)</x:v>
      </x:c>
      <x:c r="H136" s="46" t="str">
        <x:v>Other fishes &amp; inverts</x:v>
      </x:c>
      <x:c r="I136" s="60" t="n">
        <x:v>1.0128234892</x:v>
      </x:c>
      <x:c r="J136" s="60" t="n">
        <x:v>1.0128234892</x:v>
      </x:c>
      <x:c r="K136" s="60" t="n">
        <x:v>0</x:v>
      </x:c>
      <x:c r="L136" s="60" t="n">
        <x:v>1.0128234892</x:v>
      </x:c>
      <x:c r="M136" s="60" t="n">
        <x:v>0</x:v>
      </x:c>
      <x:c r="N136" s="46" t="str">
        <x:v>megalops cyprinoides</x:v>
      </x:c>
      <x:c r="O136" s="62" t="n">
        <x:v>3.48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Megalops cyprinoides</x:v>
      </x:c>
      <x:c r="T136" s="62" t="n">
        <x:f>IF(O136="","",(1/'Metadata'!$B$5)^(O136-1))</x:f>
        <x:v>301.9951720402016</x:v>
      </x:c>
      <x:c r="U136" s="60" t="n">
        <x:f>IF(T136="","",I136*T136)</x:f>
        <x:v>305.8678038673113</x:v>
      </x:c>
    </x:row>
    <x:row r="137" ht="18" customHeight="1">
      <x:c r="A137" s="46" t="str">
        <x:v>LME_038</x:v>
      </x:c>
      <x:c r="B137" s="46" t="str">
        <x:v>Indonesian Sea</x:v>
      </x:c>
      <x:c r="C137" s="46" t="str">
        <x:v>LME</x:v>
      </x:c>
      <x:c r="D137" s="58" t="n">
        <x:v>2019</x:v>
      </x:c>
      <x:c r="E137" s="46" t="str">
        <x:v>Istiophoridae</x:v>
      </x:c>
      <x:c r="F137" s="46" t="str">
        <x:v>Billfishes</x:v>
      </x:c>
      <x:c r="G137" s="46" t="str">
        <x:v>Large pelagics (&gt;=90 cm)</x:v>
      </x:c>
      <x:c r="H137" s="46" t="str">
        <x:v>Tuna &amp; billfishes</x:v>
      </x:c>
      <x:c r="I137" s="60" t="n">
        <x:v>1.0080412702</x:v>
      </x:c>
      <x:c r="J137" s="60" t="n">
        <x:v>0</x:v>
      </x:c>
      <x:c r="K137" s="60" t="n">
        <x:v>1.0080412702</x:v>
      </x:c>
      <x:c r="L137" s="60" t="n">
        <x:v>0</x:v>
      </x:c>
      <x:c r="M137" s="60" t="n">
        <x:v>1.0080412702</x:v>
      </x:c>
      <x:c r="N137" s="46" t="str">
        <x:v>istiophoridae</x:v>
      </x:c>
      <x:c r="O137" s="62" t="n">
        <x:v>4.48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Istiophoridae</x:v>
      </x:c>
      <x:c r="T137" s="62" t="n">
        <x:f>IF(O137="","",(1/'Metadata'!$B$5)^(O137-1))</x:f>
        <x:v>3019.951720402019</x:v>
      </x:c>
      <x:c r="U137" s="60" t="n">
        <x:f>IF(T137="","",I137*T137)</x:f>
        <x:v>3044.235968176726</x:v>
      </x:c>
    </x:row>
    <x:row r="138" ht="18" customHeight="1">
      <x:c r="A138" s="46" t="str">
        <x:v>LME_038</x:v>
      </x:c>
      <x:c r="B138" s="46" t="str">
        <x:v>Indonesian Sea</x:v>
      </x:c>
      <x:c r="C138" s="46" t="str">
        <x:v>LME</x:v>
      </x:c>
      <x:c r="D138" s="58" t="n">
        <x:v>2019</x:v>
      </x:c>
      <x:c r="E138" s="46" t="str">
        <x:v>Seriolina nigrofasciata</x:v>
      </x:c>
      <x:c r="F138" s="46" t="str">
        <x:v>Blackbanded trevally</x:v>
      </x:c>
      <x:c r="G138" s="46" t="str">
        <x:v>Medium reef assoc. fish (30 - 89 cm)</x:v>
      </x:c>
      <x:c r="H138" s="46" t="str">
        <x:v>Perch-likes</x:v>
      </x:c>
      <x:c r="I138" s="60" t="n">
        <x:v>0.7486644978</x:v>
      </x:c>
      <x:c r="J138" s="60" t="n">
        <x:v>0.7486644978</x:v>
      </x:c>
      <x:c r="K138" s="60" t="n">
        <x:v>0</x:v>
      </x:c>
      <x:c r="L138" s="60" t="n">
        <x:v>0.7486644978</x:v>
      </x:c>
      <x:c r="M138" s="60" t="n">
        <x:v>0</x:v>
      </x:c>
      <x:c r="N138" s="46" t="str">
        <x:v>seriolina nigrofasciata</x:v>
      </x:c>
      <x:c r="O138" s="62" t="n">
        <x:v>4.17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Seriolina nigrofasciata</x:v>
      </x:c>
      <x:c r="T138" s="62" t="n">
        <x:f>IF(O138="","",(1/'Metadata'!$B$5)^(O138-1))</x:f>
        <x:v>1479.1083881682073</x:v>
      </x:c>
      <x:c r="U138" s="60" t="n">
        <x:f>IF(T138="","",I138*T138)</x:f>
        <x:v>1107.3559386197185</x:v>
      </x:c>
    </x:row>
    <x:row r="139" ht="18" customHeight="1">
      <x:c r="A139" s="46" t="str">
        <x:v>LME_038</x:v>
      </x:c>
      <x:c r="B139" s="46" t="str">
        <x:v>Indonesian Sea</x:v>
      </x:c>
      <x:c r="C139" s="46" t="str">
        <x:v>LME</x:v>
      </x:c>
      <x:c r="D139" s="58" t="n">
        <x:v>2019</x:v>
      </x:c>
      <x:c r="E139" s="46" t="str">
        <x:v>Acanthocybium solandri</x:v>
      </x:c>
      <x:c r="F139" s="46" t="str">
        <x:v>Wahoo</x:v>
      </x:c>
      <x:c r="G139" s="46" t="str">
        <x:v>Large pelagics (&gt;=90 cm)</x:v>
      </x:c>
      <x:c r="H139" s="46" t="str">
        <x:v>Perch-likes</x:v>
      </x:c>
      <x:c r="I139" s="60" t="n">
        <x:v>0.7041339893999999</x:v>
      </x:c>
      <x:c r="J139" s="60" t="n">
        <x:v>0</x:v>
      </x:c>
      <x:c r="K139" s="60" t="n">
        <x:v>0.7041339893999999</x:v>
      </x:c>
      <x:c r="L139" s="60" t="n">
        <x:v>0</x:v>
      </x:c>
      <x:c r="M139" s="60" t="n">
        <x:v>0.7041339893999999</x:v>
      </x:c>
      <x:c r="N139" s="46" t="str">
        <x:v>acanthocybium solandri</x:v>
      </x:c>
      <x:c r="O139" s="62" t="n">
        <x:v>4.26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Acanthocybium solandri</x:v>
      </x:c>
      <x:c r="T139" s="62" t="n">
        <x:f>IF(O139="","",(1/'Metadata'!$B$5)^(O139-1))</x:f>
        <x:v>1819.7008586099826</x:v>
      </x:c>
      <x:c r="U139" s="60" t="n">
        <x:f>IF(T139="","",I139*T139)</x:f>
        <x:v>1281.3132250876522</x:v>
      </x:c>
    </x:row>
    <x:row r="140" ht="18" customHeight="1">
      <x:c r="A140" s="46" t="str">
        <x:v>LME_038</x:v>
      </x:c>
      <x:c r="B140" s="46" t="str">
        <x:v>Indonesian Sea</x:v>
      </x:c>
      <x:c r="C140" s="46" t="str">
        <x:v>LME</x:v>
      </x:c>
      <x:c r="D140" s="58" t="n">
        <x:v>2019</x:v>
      </x:c>
      <x:c r="E140" s="46" t="str">
        <x:v>Isurus oxyrinchus</x:v>
      </x:c>
      <x:c r="F140" s="46" t="str">
        <x:v>Shortfin mako</x:v>
      </x:c>
      <x:c r="G140" s="46" t="str">
        <x:v>Large sharks (&gt;=90 cm)</x:v>
      </x:c>
      <x:c r="H140" s="46" t="str">
        <x:v>Sharks &amp; rays</x:v>
      </x:c>
      <x:c r="I140" s="60" t="n">
        <x:v>0.3926855788</x:v>
      </x:c>
      <x:c r="J140" s="60" t="n">
        <x:v>0.3926855788</x:v>
      </x:c>
      <x:c r="K140" s="60" t="n">
        <x:v>0</x:v>
      </x:c>
      <x:c r="L140" s="60" t="n">
        <x:v>0.3926855788</x:v>
      </x:c>
      <x:c r="M140" s="60" t="n">
        <x:v>0</x:v>
      </x:c>
      <x:c r="N140" s="46" t="str">
        <x:v>isurus oxyrinchus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Isurus oxyrinchus</x:v>
      </x:c>
      <x:c r="T140" s="62" t="n">
        <x:f>IF(O140="","",(1/'Metadata'!$B$5)^(O140-1))</x:f>
        <x:v>3162.2776601683795</x:v>
      </x:c>
      <x:c r="U140" s="60" t="n">
        <x:f>IF(T140="","",I140*T140)</x:f>
        <x:v>1241.7808333095297</x:v>
      </x:c>
    </x:row>
    <x:row r="141" ht="18" customHeight="1">
      <x:c r="A141" s="46" t="str">
        <x:v>LME_038</x:v>
      </x:c>
      <x:c r="B141" s="46" t="str">
        <x:v>Indonesian Sea</x:v>
      </x:c>
      <x:c r="C141" s="46" t="str">
        <x:v>LME</x:v>
      </x:c>
      <x:c r="D141" s="58" t="n">
        <x:v>2019</x:v>
      </x:c>
      <x:c r="E141" s="46" t="str">
        <x:v>Isurus</x:v>
      </x:c>
      <x:c r="F141" s="46" t="str">
        <x:v>Mako sharks</x:v>
      </x:c>
      <x:c r="G141" s="46" t="str">
        <x:v>Large sharks (&gt;=90 cm)</x:v>
      </x:c>
      <x:c r="H141" s="46" t="str">
        <x:v>Sharks &amp; rays</x:v>
      </x:c>
      <x:c r="I141" s="60" t="n">
        <x:v>0.36967742259999997</x:v>
      </x:c>
      <x:c r="J141" s="60" t="n">
        <x:v>0.0520574115</x:v>
      </x:c>
      <x:c r="K141" s="60" t="n">
        <x:v>0.3176200111</x:v>
      </x:c>
      <x:c r="L141" s="60" t="n">
        <x:v>0.0520574115</x:v>
      </x:c>
      <x:c r="M141" s="60" t="n">
        <x:v>0.3176200111</x:v>
      </x:c>
      <x:c r="N141" s="46" t="str">
        <x:v>isurus</x:v>
      </x:c>
      <x:c r="O141" s="62" t="n">
        <x:v>4.5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Isurus</x:v>
      </x:c>
      <x:c r="T141" s="62" t="n">
        <x:f>IF(O141="","",(1/'Metadata'!$B$5)^(O141-1))</x:f>
        <x:v>3162.2776601683795</x:v>
      </x:c>
      <x:c r="U141" s="60" t="n">
        <x:f>IF(T141="","",I141*T141)</x:f>
        <x:v>1169.022654956605</x:v>
      </x:c>
    </x:row>
    <x:row r="142" ht="18" customHeight="1">
      <x:c r="A142" s="46" t="str">
        <x:v>LME_038</x:v>
      </x:c>
      <x:c r="B142" s="46" t="str">
        <x:v>Indonesian Sea</x:v>
      </x:c>
      <x:c r="C142" s="46" t="str">
        <x:v>LME</x:v>
      </x:c>
      <x:c r="D142" s="58" t="n">
        <x:v>2019</x:v>
      </x:c>
      <x:c r="E142" s="46" t="str">
        <x:v>Sphyrna</x:v>
      </x:c>
      <x:c r="F142" s="46" t="str">
        <x:v>Hammerhead sharks</x:v>
      </x:c>
      <x:c r="G142" s="46" t="str">
        <x:v>Large sharks (&gt;=90 cm)</x:v>
      </x:c>
      <x:c r="H142" s="46" t="str">
        <x:v>Sharks &amp; rays</x:v>
      </x:c>
      <x:c r="I142" s="60" t="n">
        <x:v>0.010992326699999999</x:v>
      </x:c>
      <x:c r="J142" s="60" t="n">
        <x:v>0.010992326699999999</x:v>
      </x:c>
      <x:c r="K142" s="60" t="n">
        <x:v>0</x:v>
      </x:c>
      <x:c r="L142" s="60" t="n">
        <x:v>0.010992326699999999</x:v>
      </x:c>
      <x:c r="M142" s="60" t="n">
        <x:v>0</x:v>
      </x:c>
      <x:c r="N142" s="46" t="str">
        <x:v>sphyrna</x:v>
      </x:c>
      <x:c r="O142" s="62" t="n">
        <x:v>4.2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Sphyrna</x:v>
      </x:c>
      <x:c r="T142" s="62" t="n">
        <x:f>IF(O142="","",(1/'Metadata'!$B$5)^(O142-1))</x:f>
        <x:v>1584.893192461114</x:v>
      </x:c>
      <x:c r="U142" s="60" t="n">
        <x:f>IF(T142="","",I142*T142)</x:f>
        <x:v>17.421663756138543</x:v>
      </x:c>
    </x:row>
    <x:row r="143" ht="18" customHeight="1">
      <x:c r="A143" s="46" t="str">
        <x:v>LME_038</x:v>
      </x:c>
      <x:c r="B143" s="46" t="str">
        <x:v>Indonesian Sea</x:v>
      </x:c>
      <x:c r="C143" s="46" t="str">
        <x:v>LME</x:v>
      </x:c>
      <x:c r="D143" s="58" t="n">
        <x:v>2019</x:v>
      </x:c>
      <x:c r="E143" s="46" t="str">
        <x:v>Thunnus orientalis</x:v>
      </x:c>
      <x:c r="F143" s="46" t="str">
        <x:v>Pacific bluefin tuna</x:v>
      </x:c>
      <x:c r="G143" s="46" t="str">
        <x:v>Large pelagics (&gt;=90 cm)</x:v>
      </x:c>
      <x:c r="H143" s="46" t="str">
        <x:v>Tuna &amp; billfishes</x:v>
      </x:c>
      <x:c r="I143" s="60" t="n">
        <x:v>0.0081682446</x:v>
      </x:c>
      <x:c r="J143" s="60" t="n">
        <x:v>0.0081682446</x:v>
      </x:c>
      <x:c r="K143" s="60" t="n">
        <x:v>0</x:v>
      </x:c>
      <x:c r="L143" s="60" t="n">
        <x:v>0.0081682446</x:v>
      </x:c>
      <x:c r="M143" s="60" t="n">
        <x:v>0</x:v>
      </x:c>
      <x:c r="N143" s="46" t="str">
        <x:v>thunnus orientalis</x:v>
      </x:c>
      <x:c r="O143" s="62" t="n">
        <x:v>4.05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Thunnus orientalis</x:v>
      </x:c>
      <x:c r="T143" s="62" t="n">
        <x:f>IF(O143="","",(1/'Metadata'!$B$5)^(O143-1))</x:f>
        <x:v>1122.018454301963</x:v>
      </x:c>
      <x:c r="U143" s="60" t="n">
        <x:f>IF(T143="","",I143*T143)</x:f>
        <x:v>9.164921180452355</x:v>
      </x:c>
    </x:row>
  </x:sheetData>
  <x:conditionalFormatting sqref="R2:R14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3801e8058ae4b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108278.4843033502</x:v>
      </x:c>
      <x:c r="E2" s="60" t="n">
        <x:v>108278.4843033502</x:v>
      </x:c>
      <x:c r="F2" s="62" t="n">
        <x:v>0</x:v>
      </x:c>
      <x:c r="G2" s="66" t="n">
        <x:v>1</x:v>
      </x:c>
      <x:c r="H2" s="62" t="n">
        <x:f>IF(E2=0,"",I2/E2)</x:f>
        <x:v>271.79751789593195</x:v>
      </x:c>
      <x:c r="I2" s="60" t="n">
        <x:f>SUMIF('Species'!$H$2:$H$143,A2,'Species'!$U$2:$U$143)</x:f>
        <x:v>29429823.27518421</x:v>
      </x:c>
      <x:c r="J2" s="62" t="n">
        <x:v>3.432559153664634</x:v>
      </x:c>
      <x:c r="K2" s="62" t="n">
        <x:f>IF(J2="","",(1/'Metadata'!$B$5)^(J2-1))</x:f>
        <x:v>270.7441949584031</x:v>
      </x:c>
      <x:c r="L2" s="60" t="n">
        <x:f>IF(E2=0,"",E2*K2)</x:f>
        <x:v>29315771.064026635</x:v>
      </x:c>
      <x:c r="M2" s="60" t="n">
        <x:f>I2-L2</x:f>
        <x:v>114052.21115757525</x:v>
      </x:c>
      <x:c r="N2" s="62" t="n">
        <x:f>IF(L2=0,"",I2/L2)</x:f>
        <x:v>1.0038904728416824</x:v>
      </x:c>
      <x:c r="O2" s="66" t="n">
        <x:f>IF(L2=0,"",M2/L2)</x:f>
        <x:v>0.0038904728416824298</x:v>
      </x:c>
    </x:row>
    <x:row r="3" ht="18" customHeight="1">
      <x:c r="A3" s="46" t="str">
        <x:v>Crustaceans</x:v>
      </x:c>
      <x:c r="B3" s="64" t="n">
        <x:v>18</x:v>
      </x:c>
      <x:c r="C3" s="64" t="n">
        <x:v>18</x:v>
      </x:c>
      <x:c r="D3" s="60" t="n">
        <x:v>196692.34557599464</x:v>
      </x:c>
      <x:c r="E3" s="60" t="n">
        <x:v>196692.34557599464</x:v>
      </x:c>
      <x:c r="F3" s="62" t="n">
        <x:v>0</x:v>
      </x:c>
      <x:c r="G3" s="66" t="n">
        <x:v>1</x:v>
      </x:c>
      <x:c r="H3" s="62" t="n">
        <x:f>IF(E3=0,"",I3/E3)</x:f>
        <x:v>115.51023472693589</x:v>
      </x:c>
      <x:c r="I3" s="60" t="n">
        <x:f>SUMIF('Species'!$H$2:$H$143,A3,'Species'!$U$2:$U$143)</x:f>
        <x:v>22719979.00647473</x:v>
      </x:c>
      <x:c r="J3" s="62" t="n">
        <x:v>2.9155877311109033</x:v>
      </x:c>
      <x:c r="K3" s="62" t="n">
        <x:f>IF(J3="","",(1/'Metadata'!$B$5)^(J3-1))</x:f>
        <x:v>82.33561449378114</x:v>
      </x:c>
      <x:c r="L3" s="60" t="n">
        <x:f>IF(E3=0,"",E3*K3)</x:f>
        <x:v>16194785.139222672</x:v>
      </x:c>
      <x:c r="M3" s="60" t="n">
        <x:f>I3-L3</x:f>
        <x:v>6525193.867252057</x:v>
      </x:c>
      <x:c r="N3" s="62" t="n">
        <x:f>IF(L3=0,"",I3/L3)</x:f>
        <x:v>1.4029194466710448</x:v>
      </x:c>
      <x:c r="O3" s="66" t="n">
        <x:f>IF(L3=0,"",M3/L3)</x:f>
        <x:v>0.40291944667104473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32.4174983669</x:v>
      </x:c>
      <x:c r="E4" s="60" t="n">
        <x:v>32.4174983669</x:v>
      </x:c>
      <x:c r="F4" s="62" t="n">
        <x:v>0</x:v>
      </x:c>
      <x:c r="G4" s="66" t="n">
        <x:v>1</x:v>
      </x:c>
      <x:c r="H4" s="62" t="n">
        <x:f>IF(E4=0,"",I4/E4)</x:f>
        <x:v>474.89129473164724</x:v>
      </x:c>
      <x:c r="I4" s="60" t="n">
        <x:f>SUMIF('Species'!$H$2:$H$143,A4,'Species'!$U$2:$U$143)</x:f>
        <x:v>15394.7877714182</x:v>
      </x:c>
      <x:c r="J4" s="62" t="n">
        <x:v>3.497153973387496</x:v>
      </x:c>
      <x:c r="K4" s="62" t="n">
        <x:f>IF(J4="","",(1/'Metadata'!$B$5)^(J4-1))</x:f>
        <x:v>314.16223172615605</x:v>
      </x:c>
      <x:c r="L4" s="60" t="n">
        <x:f>IF(E4=0,"",E4*K4)</x:f>
        <x:v>10184.353633924322</x:v>
      </x:c>
      <x:c r="M4" s="60" t="n">
        <x:f>I4-L4</x:f>
        <x:v>5210.434137493878</x:v>
      </x:c>
      <x:c r="N4" s="62" t="n">
        <x:f>IF(L4=0,"",I4/L4)</x:f>
        <x:v>1.5116116667569162</x:v>
      </x:c>
      <x:c r="O4" s="66" t="n">
        <x:f>IF(L4=0,"",M4/L4)</x:f>
        <x:v>0.511611666756916</x:v>
      </x:c>
    </x:row>
    <x:row r="5" ht="18" customHeight="1">
      <x:c r="A5" s="46" t="str">
        <x:v>Herring-likes</x:v>
      </x:c>
      <x:c r="B5" s="64" t="n">
        <x:v>8</x:v>
      </x:c>
      <x:c r="C5" s="64" t="n">
        <x:v>8</x:v>
      </x:c>
      <x:c r="D5" s="60" t="n">
        <x:v>259663.43393970423</x:v>
      </x:c>
      <x:c r="E5" s="60" t="n">
        <x:v>259663.43393970423</x:v>
      </x:c>
      <x:c r="F5" s="62" t="n">
        <x:v>0</x:v>
      </x:c>
      <x:c r="G5" s="66" t="n">
        <x:v>1</x:v>
      </x:c>
      <x:c r="H5" s="62" t="n">
        <x:f>IF(E5=0,"",I5/E5)</x:f>
        <x:v>117.8851326505397</x:v>
      </x:c>
      <x:c r="I5" s="60" t="n">
        <x:f>SUMIF('Species'!$H$2:$H$143,A5,'Species'!$U$2:$U$143)</x:f>
        <x:v>30610458.354476687</x:v>
      </x:c>
      <x:c r="J5" s="62" t="n">
        <x:v>2.7354176251647835</x:v>
      </x:c>
      <x:c r="K5" s="62" t="n">
        <x:f>IF(J5="","",(1/'Metadata'!$B$5)^(J5-1))</x:f>
        <x:v>54.37729817611509</x:v>
      </x:c>
      <x:c r="L5" s="60" t="n">
        <x:f>IF(E5=0,"",E5*K5)</x:f>
        <x:v>14119795.97277326</x:v>
      </x:c>
      <x:c r="M5" s="60" t="n">
        <x:f>I5-L5</x:f>
        <x:v>16490662.381703427</x:v>
      </x:c>
      <x:c r="N5" s="62" t="n">
        <x:f>IF(L5=0,"",I5/L5)</x:f>
        <x:v>2.1679108121322597</x:v>
      </x:c>
      <x:c r="O5" s="66" t="n">
        <x:f>IF(L5=0,"",M5/L5)</x:f>
        <x:v>1.1679108121322597</x:v>
      </x:c>
    </x:row>
    <x:row r="6" ht="18" customHeight="1">
      <x:c r="A6" s="46" t="str">
        <x:v>Molluscs</x:v>
      </x:c>
      <x:c r="B6" s="64" t="n">
        <x:v>3</x:v>
      </x:c>
      <x:c r="C6" s="64" t="n">
        <x:v>3</x:v>
      </x:c>
      <x:c r="D6" s="60" t="n">
        <x:v>43131.0947721268</x:v>
      </x:c>
      <x:c r="E6" s="60" t="n">
        <x:v>43131.0947721268</x:v>
      </x:c>
      <x:c r="F6" s="62" t="n">
        <x:v>0</x:v>
      </x:c>
      <x:c r="G6" s="66" t="n">
        <x:v>1</x:v>
      </x:c>
      <x:c r="H6" s="62" t="n">
        <x:f>IF(E6=0,"",I6/E6)</x:f>
        <x:v>11.842886152697295</x:v>
      </x:c>
      <x:c r="I6" s="60" t="n">
        <x:f>SUMIF('Species'!$H$2:$H$143,A6,'Species'!$U$2:$U$143)</x:f>
        <x:v>510796.6450274952</x:v>
      </x:c>
      <x:c r="J6" s="62" t="n">
        <x:v>2.0711744026948695</x:v>
      </x:c>
      <x:c r="K6" s="62" t="n">
        <x:f>IF(J6="","",(1/'Metadata'!$B$5)^(J6-1))</x:f>
        <x:v>11.780789680137902</x:v>
      </x:c>
      <x:c r="L6" s="60" t="n">
        <x:f>IF(E6=0,"",E6*K6)</x:f>
        <x:v>508118.3561845212</x:v>
      </x:c>
      <x:c r="M6" s="60" t="n">
        <x:f>I6-L6</x:f>
        <x:v>2678.288842973998</x:v>
      </x:c>
      <x:c r="N6" s="62" t="n">
        <x:f>IF(L6=0,"",I6/L6)</x:f>
        <x:v>1.0052709940713132</x:v>
      </x:c>
      <x:c r="O6" s="66" t="n">
        <x:f>IF(L6=0,"",M6/L6)</x:f>
        <x:v>0.005270994071313156</x:v>
      </x:c>
    </x:row>
    <x:row r="7" ht="18" customHeight="1">
      <x:c r="A7" s="46" t="str">
        <x:v>Other fishes &amp; inverts</x:v>
      </x:c>
      <x:c r="B7" s="64" t="n">
        <x:v>27</x:v>
      </x:c>
      <x:c r="C7" s="64" t="n">
        <x:v>27</x:v>
      </x:c>
      <x:c r="D7" s="60" t="n">
        <x:v>771129.6258108524</x:v>
      </x:c>
      <x:c r="E7" s="60" t="n">
        <x:v>771129.6258108524</x:v>
      </x:c>
      <x:c r="F7" s="62" t="n">
        <x:v>0</x:v>
      </x:c>
      <x:c r="G7" s="66" t="n">
        <x:v>1</x:v>
      </x:c>
      <x:c r="H7" s="62" t="n">
        <x:f>IF(E7=0,"",I7/E7)</x:f>
        <x:v>208.07038007000386</x:v>
      </x:c>
      <x:c r="I7" s="60" t="n">
        <x:f>SUMIF('Species'!$H$2:$H$143,A7,'Species'!$U$2:$U$143)</x:f>
        <x:v>160449234.32570392</x:v>
      </x:c>
      <x:c r="J7" s="62" t="n">
        <x:v>3.3009039913918</x:v>
      </x:c>
      <x:c r="K7" s="62" t="n">
        <x:f>IF(J7="","",(1/'Metadata'!$B$5)^(J7-1))</x:f>
        <x:v>199.94198130529466</x:v>
      </x:c>
      <x:c r="L7" s="60" t="n">
        <x:f>IF(E7=0,"",E7*K7)</x:f>
        <x:v>154181185.22783232</x:v>
      </x:c>
      <x:c r="M7" s="60" t="n">
        <x:f>I7-L7</x:f>
        <x:v>6268049.097871602</x:v>
      </x:c>
      <x:c r="N7" s="62" t="n">
        <x:f>IF(L7=0,"",I7/L7)</x:f>
        <x:v>1.0406537872218933</x:v>
      </x:c>
      <x:c r="O7" s="66" t="n">
        <x:f>IF(L7=0,"",M7/L7)</x:f>
        <x:v>0.04065378722189322</x:v>
      </x:c>
    </x:row>
    <x:row r="8" ht="18" customHeight="1">
      <x:c r="A8" s="46" t="str">
        <x:v>Perch-likes</x:v>
      </x:c>
      <x:c r="B8" s="64" t="n">
        <x:v>53</x:v>
      </x:c>
      <x:c r="C8" s="64" t="n">
        <x:v>53</x:v>
      </x:c>
      <x:c r="D8" s="60" t="n">
        <x:v>1381863.1542589585</x:v>
      </x:c>
      <x:c r="E8" s="60" t="n">
        <x:v>1381863.1542589585</x:v>
      </x:c>
      <x:c r="F8" s="62" t="n">
        <x:v>0</x:v>
      </x:c>
      <x:c r="G8" s="66" t="n">
        <x:v>1</x:v>
      </x:c>
      <x:c r="H8" s="62" t="n">
        <x:f>IF(E8=0,"",I8/E8)</x:f>
        <x:v>832.6737299297714</x:v>
      </x:c>
      <x:c r="I8" s="60" t="n">
        <x:f>SUMIF('Species'!$H$2:$H$143,A8,'Species'!$U$2:$U$143)</x:f>
        <x:v>1150641146.909326</x:v>
      </x:c>
      <x:c r="J8" s="62" t="n">
        <x:v>3.6478454410074685</x:v>
      </x:c>
      <x:c r="K8" s="62" t="n">
        <x:f>IF(J8="","",(1/'Metadata'!$B$5)^(J8-1))</x:f>
        <x:v>444.47305792113673</x:v>
      </x:c>
      <x:c r="L8" s="60" t="n">
        <x:f>IF(E8=0,"",E8*K8)</x:f>
        <x:v>614200941.8020267</x:v>
      </x:c>
      <x:c r="M8" s="60" t="n">
        <x:f>I8-L8</x:f>
        <x:v>536440205.1072993</x:v>
      </x:c>
      <x:c r="N8" s="62" t="n">
        <x:f>IF(L8=0,"",I8/L8)</x:f>
        <x:v>1.8733952825494173</x:v>
      </x:c>
      <x:c r="O8" s="66" t="n">
        <x:f>IF(L8=0,"",M8/L8)</x:f>
        <x:v>0.8733952825494172</x:v>
      </x:c>
    </x:row>
    <x:row r="9" ht="18" customHeight="1">
      <x:c r="A9" s="46" t="str">
        <x:v>Scorpionfishes</x:v>
      </x:c>
      <x:c r="B9" s="64" t="n">
        <x:v>1</x:v>
      </x:c>
      <x:c r="C9" s="64" t="n">
        <x:v>1</x:v>
      </x:c>
      <x:c r="D9" s="60" t="n">
        <x:v>688.9524313477</x:v>
      </x:c>
      <x:c r="E9" s="60" t="n">
        <x:v>688.9524313477</x:v>
      </x:c>
      <x:c r="F9" s="62" t="n">
        <x:v>0</x:v>
      </x:c>
      <x:c r="G9" s="66" t="n">
        <x:v>1</x:v>
      </x:c>
      <x:c r="H9" s="62" t="n">
        <x:f>IF(E9=0,"",I9/E9)</x:f>
        <x:v>794.3282347242812</x:v>
      </x:c>
      <x:c r="I9" s="60" t="n">
        <x:f>SUMIF('Species'!$H$2:$H$143,A9,'Species'!$U$2:$U$143)</x:f>
        <x:v>547254.3686014201</x:v>
      </x:c>
      <x:c r="J9" s="62" t="n">
        <x:v>3.8999999999999995</x:v>
      </x:c>
      <x:c r="K9" s="62" t="n">
        <x:f>IF(J9="","",(1/'Metadata'!$B$5)^(J9-1))</x:f>
        <x:v>794.3282347242805</x:v>
      </x:c>
      <x:c r="L9" s="60" t="n">
        <x:f>IF(E9=0,"",E9*K9)</x:f>
        <x:v>547254.3686014196</x:v>
      </x:c>
      <x:c r="M9" s="60" t="n">
        <x:f>I9-L9</x:f>
        <x:v>4.656612873077393e-10</x:v>
      </x:c>
      <x:c r="N9" s="62" t="n">
        <x:f>IF(L9=0,"",I9/L9)</x:f>
        <x:v>1.0000000000000009</x:v>
      </x:c>
      <x:c r="O9" s="66" t="n">
        <x:f>IF(L9=0,"",M9/L9)</x:f>
        <x:v>8.509046506066234e-16</x:v>
      </x:c>
    </x:row>
    <x:row r="10" ht="18" customHeight="1">
      <x:c r="A10" s="46" t="str">
        <x:v>Sharks &amp; rays</x:v>
      </x:c>
      <x:c r="B10" s="64" t="n">
        <x:v>11</x:v>
      </x:c>
      <x:c r="C10" s="64" t="n">
        <x:v>11</x:v>
      </x:c>
      <x:c r="D10" s="60" t="n">
        <x:v>19674.054461119704</x:v>
      </x:c>
      <x:c r="E10" s="60" t="n">
        <x:v>19674.054461119704</x:v>
      </x:c>
      <x:c r="F10" s="62" t="n">
        <x:v>0</x:v>
      </x:c>
      <x:c r="G10" s="66" t="n">
        <x:v>1</x:v>
      </x:c>
      <x:c r="H10" s="62" t="n">
        <x:f>IF(E10=0,"",I10/E10)</x:f>
        <x:v>1740.4852764564134</x:v>
      </x:c>
      <x:c r="I10" s="60" t="n">
        <x:f>SUMIF('Species'!$H$2:$H$143,A10,'Species'!$U$2:$U$143)</x:f>
        <x:v>34242402.11778046</x:v>
      </x:c>
      <x:c r="J10" s="62" t="n">
        <x:v>4.2342217192978335</x:v>
      </x:c>
      <x:c r="K10" s="62" t="n">
        <x:f>IF(J10="","",(1/'Metadata'!$B$5)^(J10-1))</x:f>
        <x:v>1714.8325533330105</x:v>
      </x:c>
      <x:c r="L10" s="60" t="n">
        <x:f>IF(E10=0,"",E10*K10)</x:f>
        <x:v>33737709.045974605</x:v>
      </x:c>
      <x:c r="M10" s="60" t="n">
        <x:f>I10-L10</x:f>
        <x:v>504693.0718058571</x:v>
      </x:c>
      <x:c r="N10" s="62" t="n">
        <x:f>IF(L10=0,"",I10/L10)</x:f>
        <x:v>1.0149593166245552</x:v>
      </x:c>
      <x:c r="O10" s="66" t="n">
        <x:f>IF(L10=0,"",M10/L10)</x:f>
        <x:v>0.014959316624555285</x:v>
      </x:c>
    </x:row>
    <x:row r="11" ht="18" customHeight="1">
      <x:c r="A11" s="46" t="str">
        <x:v>Tuna &amp; billfishes</x:v>
      </x:c>
      <x:c r="B11" s="64" t="n">
        <x:v>16</x:v>
      </x:c>
      <x:c r="C11" s="64" t="n">
        <x:v>16</x:v>
      </x:c>
      <x:c r="D11" s="60" t="n">
        <x:v>102388.39070227002</x:v>
      </x:c>
      <x:c r="E11" s="60" t="n">
        <x:v>102388.39070227002</x:v>
      </x:c>
      <x:c r="F11" s="62" t="n">
        <x:v>0</x:v>
      </x:c>
      <x:c r="G11" s="66" t="n">
        <x:v>1</x:v>
      </x:c>
      <x:c r="H11" s="62" t="n">
        <x:f>IF(E11=0,"",I11/E11)</x:f>
        <x:v>2432.362920669899</x:v>
      </x:c>
      <x:c r="I11" s="60" t="n">
        <x:f>SUMIF('Species'!$H$2:$H$143,A11,'Species'!$U$2:$U$143)</x:f>
        <x:v>249045725.0512642</x:v>
      </x:c>
      <x:c r="J11" s="62" t="n">
        <x:v>4.384457906168813</x:v>
      </x:c>
      <x:c r="K11" s="62" t="n">
        <x:f>IF(J11="","",(1/'Metadata'!$B$5)^(J11-1))</x:f>
        <x:v>2423.58304828437</x:v>
      </x:c>
      <x:c r="L11" s="60" t="n">
        <x:f>IF(E11=0,"",E11*K11)</x:f>
        <x:v>248146768.0471386</x:v>
      </x:c>
      <x:c r="M11" s="60" t="n">
        <x:f>I11-L11</x:f>
        <x:v>898957.0041255951</x:v>
      </x:c>
      <x:c r="N11" s="62" t="n">
        <x:f>IF(L11=0,"",I11/L11)</x:f>
        <x:v>1.003622682701855</x:v>
      </x:c>
      <x:c r="O11" s="66" t="n">
        <x:f>IF(L11=0,"",M11/L11)</x:f>
        <x:v>0.003622682701855004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8bf8af1ca0a45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1507.9466999115002</x:v>
      </x:c>
      <x:c r="E2" s="60" t="n">
        <x:v>1507.9466999115002</x:v>
      </x:c>
      <x:c r="F2" s="62" t="n">
        <x:v>0</x:v>
      </x:c>
      <x:c r="G2" s="66" t="n">
        <x:v>1</x:v>
      </x:c>
      <x:c r="H2" s="62" t="n">
        <x:f>IF(E2=0,"",I2/E2)</x:f>
        <x:v>1089.2470330883023</x:v>
      </x:c>
      <x:c r="I2" s="60" t="n">
        <x:f>SUMIF('Species'!$G$2:$G$143,A2,'Species'!$U$2:$U$143)</x:f>
        <x:v>1642526.468933898</x:v>
      </x:c>
      <x:c r="J2" s="62" t="n">
        <x:v>4.00617992563084</x:v>
      </x:c>
      <x:c r="K2" s="62" t="n">
        <x:f>IF(J2="","",(1/'Metadata'!$B$5)^(J2-1))</x:f>
        <x:v>1014.3315302424709</x:v>
      </x:c>
      <x:c r="L2" s="60" t="n">
        <x:f>IF(E2=0,"",E2*K2)</x:f>
        <x:v>1529557.8836453161</x:v>
      </x:c>
      <x:c r="M2" s="60" t="n">
        <x:f>I2-L2</x:f>
        <x:v>112968.5852885819</x:v>
      </x:c>
      <x:c r="N2" s="62" t="n">
        <x:f>IF(L2=0,"",I2/L2)</x:f>
        <x:v>1.0738570187480252</x:v>
      </x:c>
      <x:c r="O2" s="66" t="n">
        <x:f>IF(L2=0,"",M2/L2)</x:f>
        <x:v>0.07385701874802524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10379.6841354438</x:v>
      </x:c>
      <x:c r="E3" s="60" t="n">
        <x:v>10379.6841354438</x:v>
      </x:c>
      <x:c r="F3" s="62" t="n">
        <x:v>0</x:v>
      </x:c>
      <x:c r="G3" s="66" t="n">
        <x:v>1</x:v>
      </x:c>
      <x:c r="H3" s="62" t="n">
        <x:f>IF(E3=0,"",I3/E3)</x:f>
        <x:v>288.4031503126606</x:v>
      </x:c>
      <x:c r="I3" s="60" t="n">
        <x:f>SUMIF('Species'!$G$2:$G$143,A3,'Species'!$U$2:$U$143)</x:f>
        <x:v>2993533.6039123368</x:v>
      </x:c>
      <x:c r="J3" s="62" t="n">
        <x:v>3.4599999999999995</x:v>
      </x:c>
      <x:c r="K3" s="62" t="n">
        <x:f>IF(J3="","",(1/'Metadata'!$B$5)^(J3-1))</x:f>
        <x:v>288.4031503126603</x:v>
      </x:c>
      <x:c r="L3" s="60" t="n">
        <x:f>IF(E3=0,"",E3*K3)</x:f>
        <x:v>2993533.6039123335</x:v>
      </x:c>
      <x:c r="M3" s="60" t="n">
        <x:f>I3-L3</x:f>
        <x:v>3.259629011154175e-9</x:v>
      </x:c>
      <x:c r="N3" s="62" t="n">
        <x:f>IF(L3=0,"",I3/L3)</x:f>
        <x:v>1.000000000000001</x:v>
      </x:c>
      <x:c r="O3" s="66" t="n">
        <x:f>IF(L3=0,"",M3/L3)</x:f>
        <x:v>1.0888900685444365e-15</x:v>
      </x:c>
    </x:row>
    <x:row r="4" ht="18" customHeight="1">
      <x:c r="A4" s="46" t="str">
        <x:v>Large benthopelagics (&gt;=90 cm)</x:v>
      </x:c>
      <x:c r="B4" s="64" t="n">
        <x:v>4</x:v>
      </x:c>
      <x:c r="C4" s="64" t="n">
        <x:v>4</x:v>
      </x:c>
      <x:c r="D4" s="60" t="n">
        <x:v>46819.86831506399</x:v>
      </x:c>
      <x:c r="E4" s="60" t="n">
        <x:v>46819.86831506399</x:v>
      </x:c>
      <x:c r="F4" s="62" t="n">
        <x:v>0</x:v>
      </x:c>
      <x:c r="G4" s="66" t="n">
        <x:v>1</x:v>
      </x:c>
      <x:c r="H4" s="62" t="n">
        <x:f>IF(E4=0,"",I4/E4)</x:f>
        <x:v>1452.4897944906413</x:v>
      </x:c>
      <x:c r="I4" s="60" t="n">
        <x:f>SUMIF('Species'!$G$2:$G$143,A4,'Species'!$U$2:$U$143)</x:f>
        <x:v>68005380.90702619</x:v>
      </x:c>
      <x:c r="J4" s="62" t="n">
        <x:v>4.161499930283723</x:v>
      </x:c>
      <x:c r="K4" s="62" t="n">
        <x:f>IF(J4="","",(1/'Metadata'!$B$5)^(J4-1))</x:f>
        <x:v>1450.4405414691507</x:v>
      </x:c>
      <x:c r="L4" s="60" t="n">
        <x:f>IF(E4=0,"",E4*K4)</x:f>
        <x:v>67909435.15041575</x:v>
      </x:c>
      <x:c r="M4" s="60" t="n">
        <x:f>I4-L4</x:f>
        <x:v>95945.75661043823</x:v>
      </x:c>
      <x:c r="N4" s="62" t="n">
        <x:f>IF(L4=0,"",I4/L4)</x:f>
        <x:v>1.0014128486917602</x:v>
      </x:c>
      <x:c r="O4" s="66" t="n">
        <x:f>IF(L4=0,"",M4/L4)</x:f>
        <x:v>0.0014128486917601882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149471.3802686247</x:v>
      </x:c>
      <x:c r="E5" s="60" t="n">
        <x:v>149471.3802686247</x:v>
      </x:c>
      <x:c r="F5" s="62" t="n">
        <x:v>0</x:v>
      </x:c>
      <x:c r="G5" s="66" t="n">
        <x:v>1</x:v>
      </x:c>
      <x:c r="H5" s="62" t="n">
        <x:f>IF(E5=0,"",I5/E5)</x:f>
        <x:v>1386.1539370789333</x:v>
      </x:c>
      <x:c r="I5" s="60" t="n">
        <x:f>SUMIF('Species'!$G$2:$G$143,A5,'Species'!$U$2:$U$143)</x:f>
        <x:v>207190342.2399765</x:v>
      </x:c>
      <x:c r="J5" s="62" t="n">
        <x:v>3.985004022237853</x:v>
      </x:c>
      <x:c r="K5" s="62" t="n">
        <x:f>IF(J5="","",(1/'Metadata'!$B$5)^(J5-1))</x:f>
        <x:v>966.0598261548569</x:v>
      </x:c>
      <x:c r="L5" s="60" t="n">
        <x:f>IF(E5=0,"",E5*K5)</x:f>
        <x:v>144398295.63743407</x:v>
      </x:c>
      <x:c r="M5" s="60" t="n">
        <x:f>I5-L5</x:f>
        <x:v>62792046.60254243</x:v>
      </x:c>
      <x:c r="N5" s="62" t="n">
        <x:f>IF(L5=0,"",I5/L5)</x:f>
        <x:v>1.4348531007610046</x:v>
      </x:c>
      <x:c r="O5" s="66" t="n">
        <x:f>IF(L5=0,"",M5/L5)</x:f>
        <x:v>0.4348531007610045</x:v>
      </x:c>
    </x:row>
    <x:row r="6" ht="18" customHeight="1">
      <x:c r="A6" s="46" t="str">
        <x:v>Large pelagics (&gt;=90 cm)</x:v>
      </x:c>
      <x:c r="B6" s="64" t="n">
        <x:v>21</x:v>
      </x:c>
      <x:c r="C6" s="64" t="n">
        <x:v>21</x:v>
      </x:c>
      <x:c r="D6" s="60" t="n">
        <x:v>113279.10566292852</x:v>
      </x:c>
      <x:c r="E6" s="60" t="n">
        <x:v>113279.10566292852</x:v>
      </x:c>
      <x:c r="F6" s="62" t="n">
        <x:v>0</x:v>
      </x:c>
      <x:c r="G6" s="66" t="n">
        <x:v>1</x:v>
      </x:c>
      <x:c r="H6" s="62" t="n">
        <x:f>IF(E6=0,"",I6/E6)</x:f>
        <x:v>3104.3766829283227</x:v>
      </x:c>
      <x:c r="I6" s="60" t="n">
        <x:f>SUMIF('Species'!$G$2:$G$143,A6,'Species'!$U$2:$U$143)</x:f>
        <x:v>351661014.282969</x:v>
      </x:c>
      <x:c r="J6" s="62" t="n">
        <x:v>4.491256128042576</x:v>
      </x:c>
      <x:c r="K6" s="62" t="n">
        <x:f>IF(J6="","",(1/'Metadata'!$B$5)^(J6-1))</x:f>
        <x:v>3099.2465614977423</x:v>
      </x:c>
      <x:c r="L6" s="60" t="n">
        <x:f>IF(E6=0,"",E6*K6)</x:f>
        <x:v>351079878.71537066</x:v>
      </x:c>
      <x:c r="M6" s="60" t="n">
        <x:f>I6-L6</x:f>
        <x:v>581135.5675983429</x:v>
      </x:c>
      <x:c r="N6" s="62" t="n">
        <x:f>IF(L6=0,"",I6/L6)</x:f>
        <x:v>1.0016552801878729</x:v>
      </x:c>
      <x:c r="O6" s="66" t="n">
        <x:f>IF(L6=0,"",M6/L6)</x:f>
        <x:v>0.0016552801878728122</x:v>
      </x:c>
    </x:row>
    <x:row r="7" ht="18" customHeight="1">
      <x:c r="A7" s="46" t="str">
        <x:v>Large rays (&gt;=90 cm)</x:v>
      </x:c>
      <x:c r="B7" s="64" t="n">
        <x:v>2</x:v>
      </x:c>
      <x:c r="C7" s="64" t="n">
        <x:v>2</x:v>
      </x:c>
      <x:c r="D7" s="60" t="n">
        <x:v>214.81831546400002</x:v>
      </x:c>
      <x:c r="E7" s="60" t="n">
        <x:v>214.81831546400002</x:v>
      </x:c>
      <x:c r="F7" s="62" t="n">
        <x:v>0</x:v>
      </x:c>
      <x:c r="G7" s="66" t="n">
        <x:v>1</x:v>
      </x:c>
      <x:c r="H7" s="62" t="n">
        <x:f>IF(E7=0,"",I7/E7)</x:f>
        <x:v>252.1802909473237</x:v>
      </x:c>
      <x:c r="I7" s="60" t="n">
        <x:f>SUMIF('Species'!$G$2:$G$143,A7,'Species'!$U$2:$U$143)</x:f>
        <x:v>54172.94529452549</x:v>
      </x:c>
      <x:c r="J7" s="62" t="n">
        <x:v>3.3946740085253957</x:v>
      </x:c>
      <x:c r="K7" s="62" t="n">
        <x:f>IF(J7="","",(1/'Metadata'!$B$5)^(J7-1))</x:f>
        <x:v>248.1269907568978</x:v>
      </x:c>
      <x:c r="L7" s="60" t="n">
        <x:f>IF(E7=0,"",E7*K7)</x:f>
        <x:v>53302.22217554829</x:v>
      </x:c>
      <x:c r="M7" s="60" t="n">
        <x:f>I7-L7</x:f>
        <x:v>870.7231189771992</x:v>
      </x:c>
      <x:c r="N7" s="62" t="n">
        <x:f>IF(L7=0,"",I7/L7)</x:f>
        <x:v>1.016335587587878</x:v>
      </x:c>
      <x:c r="O7" s="66" t="n">
        <x:f>IF(L7=0,"",M7/L7)</x:f>
        <x:v>0.016335587587877946</x:v>
      </x:c>
    </x:row>
    <x:row r="8" ht="18" customHeight="1">
      <x:c r="A8" s="46" t="str">
        <x:v>Large sharks (&gt;=90 cm)</x:v>
      </x:c>
      <x:c r="B8" s="64" t="n">
        <x:v>9</x:v>
      </x:c>
      <x:c r="C8" s="64" t="n">
        <x:v>9</x:v>
      </x:c>
      <x:c r="D8" s="60" t="n">
        <x:v>19459.2361456557</x:v>
      </x:c>
      <x:c r="E8" s="60" t="n">
        <x:v>19459.2361456557</x:v>
      </x:c>
      <x:c r="F8" s="62" t="n">
        <x:v>0</x:v>
      </x:c>
      <x:c r="G8" s="66" t="n">
        <x:v>1</x:v>
      </x:c>
      <x:c r="H8" s="62" t="n">
        <x:f>IF(E8=0,"",I8/E8)</x:f>
        <x:v>1756.9152723458005</x:v>
      </x:c>
      <x:c r="I8" s="60" t="n">
        <x:f>SUMIF('Species'!$G$2:$G$143,A8,'Species'!$U$2:$U$143)</x:f>
        <x:v>34188229.17248593</x:v>
      </x:c>
      <x:c r="J8" s="62" t="n">
        <x:v>4.243489823329763</x:v>
      </x:c>
      <x:c r="K8" s="62" t="n">
        <x:f>IF(J8="","",(1/'Metadata'!$B$5)^(J8-1))</x:f>
        <x:v>1751.8213839116852</x:v>
      </x:c>
      <x:c r="L8" s="60" t="n">
        <x:f>IF(E8=0,"",E8*K8)</x:f>
        <x:v>34089105.99454686</x:v>
      </x:c>
      <x:c r="M8" s="60" t="n">
        <x:f>I8-L8</x:f>
        <x:v>99123.17793907225</x:v>
      </x:c>
      <x:c r="N8" s="62" t="n">
        <x:f>IF(L8=0,"",I8/L8)</x:f>
        <x:v>1.0029077670137472</x:v>
      </x:c>
      <x:c r="O8" s="66" t="n">
        <x:f>IF(L8=0,"",M8/L8)</x:f>
        <x:v>0.0029077670137471106</x:v>
      </x:c>
    </x:row>
    <x:row r="9" ht="18" customHeight="1">
      <x:c r="A9" s="46" t="str">
        <x:v>Lobsters, crabs</x:v>
      </x:c>
      <x:c r="B9" s="64" t="n">
        <x:v>5</x:v>
      </x:c>
      <x:c r="C9" s="64" t="n">
        <x:v>5</x:v>
      </x:c>
      <x:c r="D9" s="60" t="n">
        <x:v>58397.5376904502</x:v>
      </x:c>
      <x:c r="E9" s="60" t="n">
        <x:v>58397.5376904502</x:v>
      </x:c>
      <x:c r="F9" s="62" t="n">
        <x:v>0</x:v>
      </x:c>
      <x:c r="G9" s="66" t="n">
        <x:v>1</x:v>
      </x:c>
      <x:c r="H9" s="62" t="n">
        <x:f>IF(E9=0,"",I9/E9)</x:f>
        <x:v>267.5005993778793</x:v>
      </x:c>
      <x:c r="I9" s="60" t="n">
        <x:f>SUMIF('Species'!$G$2:$G$143,A9,'Species'!$U$2:$U$143)</x:f>
        <x:v>15621376.334387727</x:v>
      </x:c>
      <x:c r="J9" s="62" t="n">
        <x:v>3.4234781535455645</x:v>
      </x:c>
      <x:c r="K9" s="62" t="n">
        <x:f>IF(J9="","",(1/'Metadata'!$B$5)^(J9-1))</x:f>
        <x:v>265.14177145399566</x:v>
      </x:c>
      <x:c r="L9" s="60" t="n">
        <x:f>IF(E9=0,"",E9*K9)</x:f>
        <x:v>15483626.591797443</x:v>
      </x:c>
      <x:c r="M9" s="60" t="n">
        <x:f>I9-L9</x:f>
        <x:v>137749.74259028398</x:v>
      </x:c>
      <x:c r="N9" s="62" t="n">
        <x:f>IF(L9=0,"",I9/L9)</x:f>
        <x:v>1.0088964779519585</x:v>
      </x:c>
      <x:c r="O9" s="66" t="n">
        <x:f>IF(L9=0,"",M9/L9)</x:f>
        <x:v>0.00889647795195848</x:v>
      </x:c>
    </x:row>
    <x:row r="10" ht="18" customHeight="1">
      <x:c r="A10" s="46" t="str">
        <x:v>Medium benthopelagics (30 - 89 cm)</x:v>
      </x:c>
      <x:c r="B10" s="64" t="n">
        <x:v>4</x:v>
      </x:c>
      <x:c r="C10" s="64" t="n">
        <x:v>4</x:v>
      </x:c>
      <x:c r="D10" s="60" t="n">
        <x:v>61570.703402649706</x:v>
      </x:c>
      <x:c r="E10" s="60" t="n">
        <x:v>61570.703402649706</x:v>
      </x:c>
      <x:c r="F10" s="62" t="n">
        <x:v>0</x:v>
      </x:c>
      <x:c r="G10" s="66" t="n">
        <x:v>1</x:v>
      </x:c>
      <x:c r="H10" s="62" t="n">
        <x:f>IF(E10=0,"",I10/E10)</x:f>
        <x:v>126.36286813255958</x:v>
      </x:c>
      <x:c r="I10" s="60" t="n">
        <x:f>SUMIF('Species'!$G$2:$G$143,A10,'Species'!$U$2:$U$143)</x:f>
        <x:v>7780250.674897962</x:v>
      </x:c>
      <x:c r="J10" s="62" t="n">
        <x:v>3.063228918883673</x:v>
      </x:c>
      <x:c r="K10" s="62" t="n">
        <x:f>IF(J10="","",(1/'Metadata'!$B$5)^(J10-1))</x:f>
        <x:v>115.6721795612484</x:v>
      </x:c>
      <x:c r="L10" s="60" t="n">
        <x:f>IF(E10=0,"",E10*K10)</x:f>
        <x:v>7122017.459703664</x:v>
      </x:c>
      <x:c r="M10" s="60" t="n">
        <x:f>I10-L10</x:f>
        <x:v>658233.215194298</x:v>
      </x:c>
      <x:c r="N10" s="62" t="n">
        <x:f>IF(L10=0,"",I10/L10)</x:f>
        <x:v>1.0924222973221531</x:v>
      </x:c>
      <x:c r="O10" s="66" t="n">
        <x:f>IF(L10=0,"",M10/L10)</x:f>
        <x:v>0.09242229732215315</x:v>
      </x:c>
    </x:row>
    <x:row r="11" ht="18" customHeight="1">
      <x:c r="A11" s="46" t="str">
        <x:v>Medium demersals (30 - 89 cm)</x:v>
      </x:c>
      <x:c r="B11" s="64" t="n">
        <x:v>9</x:v>
      </x:c>
      <x:c r="C11" s="64" t="n">
        <x:v>9</x:v>
      </x:c>
      <x:c r="D11" s="60" t="n">
        <x:v>690300.0608556459</x:v>
      </x:c>
      <x:c r="E11" s="60" t="n">
        <x:v>690300.0608556459</x:v>
      </x:c>
      <x:c r="F11" s="62" t="n">
        <x:v>0</x:v>
      </x:c>
      <x:c r="G11" s="66" t="n">
        <x:v>1</x:v>
      </x:c>
      <x:c r="H11" s="62" t="n">
        <x:f>IF(E11=0,"",I11/E11)</x:f>
        <x:v>218.2808491451433</x:v>
      </x:c>
      <x:c r="I11" s="60" t="n">
        <x:f>SUMIF('Species'!$G$2:$G$143,A11,'Species'!$U$2:$U$143)</x:f>
        <x:v>150679283.4485145</x:v>
      </x:c>
      <x:c r="J11" s="62" t="n">
        <x:v>3.3125964862702117</x:v>
      </x:c>
      <x:c r="K11" s="62" t="n">
        <x:f>IF(J11="","",(1/'Metadata'!$B$5)^(J11-1))</x:f>
        <x:v>205.39813043752608</x:v>
      </x:c>
      <x:c r="L11" s="60" t="n">
        <x:f>IF(E11=0,"",E11*K11)</x:f>
        <x:v>141786341.94066015</x:v>
      </x:c>
      <x:c r="M11" s="60" t="n">
        <x:f>I11-L11</x:f>
        <x:v>8892941.507854342</x:v>
      </x:c>
      <x:c r="N11" s="62" t="n">
        <x:f>IF(L11=0,"",I11/L11)</x:f>
        <x:v>1.0627207203891063</x:v>
      </x:c>
      <x:c r="O11" s="66" t="n">
        <x:f>IF(L11=0,"",M11/L11)</x:f>
        <x:v>0.06272072038910617</x:v>
      </x:c>
    </x:row>
    <x:row r="12" ht="18" customHeight="1">
      <x:c r="A12" s="46" t="str">
        <x:v>Medium pelagics (30 - 89 cm)</x:v>
      </x:c>
      <x:c r="B12" s="64" t="n">
        <x:v>17</x:v>
      </x:c>
      <x:c r="C12" s="64" t="n">
        <x:v>17</x:v>
      </x:c>
      <x:c r="D12" s="60" t="n">
        <x:v>577505.730907006</x:v>
      </x:c>
      <x:c r="E12" s="60" t="n">
        <x:v>577505.730907006</x:v>
      </x:c>
      <x:c r="F12" s="62" t="n">
        <x:v>0</x:v>
      </x:c>
      <x:c r="G12" s="66" t="n">
        <x:v>1</x:v>
      </x:c>
      <x:c r="H12" s="62" t="n">
        <x:f>IF(E12=0,"",I12/E12)</x:f>
        <x:v>679.8879232805006</x:v>
      </x:c>
      <x:c r="I12" s="60" t="n">
        <x:f>SUMIF('Species'!$G$2:$G$143,A12,'Species'!$U$2:$U$143)</x:f>
        <x:v>392639172.06895185</x:v>
      </x:c>
      <x:c r="J12" s="62" t="n">
        <x:v>3.4907538325798946</x:v>
      </x:c>
      <x:c r="K12" s="62" t="n">
        <x:f>IF(J12="","",(1/'Metadata'!$B$5)^(J12-1))</x:f>
        <x:v>309.56641130597137</x:v>
      </x:c>
      <x:c r="L12" s="60" t="n">
        <x:f>IF(E12=0,"",E12*K12)</x:f>
        <x:v>178776376.62551382</x:v>
      </x:c>
      <x:c r="M12" s="60" t="n">
        <x:f>I12-L12</x:f>
        <x:v>213862795.44343802</x:v>
      </x:c>
      <x:c r="N12" s="62" t="n">
        <x:f>IF(L12=0,"",I12/L12)</x:f>
        <x:v>2.1962586974867513</x:v>
      </x:c>
      <x:c r="O12" s="66" t="n">
        <x:f>IF(L12=0,"",M12/L12)</x:f>
        <x:v>1.196258697486751</x:v>
      </x:c>
    </x:row>
    <x:row r="13" ht="18" customHeight="1">
      <x:c r="A13" s="46" t="str">
        <x:v>Medium reef assoc. fish (30 - 89 cm)</x:v>
      </x:c>
      <x:c r="B13" s="64" t="n">
        <x:v>16</x:v>
      </x:c>
      <x:c r="C13" s="64" t="n">
        <x:v>16</x:v>
      </x:c>
      <x:c r="D13" s="60" t="n">
        <x:v>280117.3842248933</x:v>
      </x:c>
      <x:c r="E13" s="60" t="n">
        <x:v>280117.3842248933</x:v>
      </x:c>
      <x:c r="F13" s="62" t="n">
        <x:v>0</x:v>
      </x:c>
      <x:c r="G13" s="66" t="n">
        <x:v>1</x:v>
      </x:c>
      <x:c r="H13" s="62" t="n">
        <x:f>IF(E13=0,"",I13/E13)</x:f>
        <x:v>682.0974505703848</x:v>
      </x:c>
      <x:c r="I13" s="60" t="n">
        <x:f>SUMIF('Species'!$G$2:$G$143,A13,'Species'!$U$2:$U$143)</x:f>
        <x:v>191067353.64024463</x:v>
      </x:c>
      <x:c r="J13" s="62" t="n">
        <x:v>3.5811450140226744</x:v>
      </x:c>
      <x:c r="K13" s="62" t="n">
        <x:f>IF(J13="","",(1/'Metadata'!$B$5)^(J13-1))</x:f>
        <x:v>381.1930852336518</x:v>
      </x:c>
      <x:c r="L13" s="60" t="n">
        <x:f>IF(E13=0,"",E13*K13)</x:f>
        <x:v>106778809.92026734</x:v>
      </x:c>
      <x:c r="M13" s="60" t="n">
        <x:f>I13-L13</x:f>
        <x:v>84288543.71997729</x:v>
      </x:c>
      <x:c r="N13" s="62" t="n">
        <x:f>IF(L13=0,"",I13/L13)</x:f>
        <x:v>1.7893751932889705</x:v>
      </x:c>
      <x:c r="O13" s="66" t="n">
        <x:f>IF(L13=0,"",M13/L13)</x:f>
        <x:v>0.7893751932889707</x:v>
      </x:c>
    </x:row>
    <x:row r="14" ht="18" customHeight="1">
      <x:c r="A14" s="46" t="str">
        <x:v>Other demersal invertebrates</x:v>
      </x:c>
      <x:c r="B14" s="64" t="n">
        <x:v>4</x:v>
      </x:c>
      <x:c r="C14" s="64" t="n">
        <x:v>4</x:v>
      </x:c>
      <x:c r="D14" s="60" t="n">
        <x:v>43138.2475083511</x:v>
      </x:c>
      <x:c r="E14" s="60" t="n">
        <x:v>43138.2475083511</x:v>
      </x:c>
      <x:c r="F14" s="62" t="n">
        <x:v>0</x:v>
      </x:c>
      <x:c r="G14" s="66" t="n">
        <x:v>1</x:v>
      </x:c>
      <x:c r="H14" s="62" t="n">
        <x:f>IF(E14=0,"",I14/E14)</x:f>
        <x:v>11.84538531180441</x:v>
      </x:c>
      <x:c r="I14" s="60" t="n">
        <x:f>SUMIF('Species'!$G$2:$G$143,A14,'Species'!$U$2:$U$143)</x:f>
        <x:v>510989.16341240535</x:v>
      </x:c>
      <x:c r="J14" s="62" t="n">
        <x:v>2.0712338994291204</x:v>
      </x:c>
      <x:c r="K14" s="62" t="n">
        <x:f>IF(J14="","",(1/'Metadata'!$B$5)^(J14-1))</x:f>
        <x:v>11.782403715212913</x:v>
      </x:c>
      <x:c r="L14" s="60" t="n">
        <x:f>IF(E14=0,"",E14*K14)</x:f>
        <x:v>508272.2477101702</x:v>
      </x:c>
      <x:c r="M14" s="60" t="n">
        <x:f>I14-L14</x:f>
        <x:v>2716.9157022351283</x:v>
      </x:c>
      <x:c r="N14" s="62" t="n">
        <x:f>IF(L14=0,"",I14/L14)</x:f>
        <x:v>1.005345394548837</x:v>
      </x:c>
      <x:c r="O14" s="66" t="n">
        <x:f>IF(L14=0,"",M14/L14)</x:f>
        <x:v>0.005345394548837108</x:v>
      </x:c>
    </x:row>
    <x:row r="15" ht="18" customHeight="1">
      <x:c r="A15" s="46" t="str">
        <x:v>Shrimps</x:v>
      </x:c>
      <x:c r="B15" s="64" t="n">
        <x:v>13</x:v>
      </x:c>
      <x:c r="C15" s="64" t="n">
        <x:v>13</x:v>
      </x:c>
      <x:c r="D15" s="60" t="n">
        <x:v>138294.8078855444</x:v>
      </x:c>
      <x:c r="E15" s="60" t="n">
        <x:v>138294.8078855444</x:v>
      </x:c>
      <x:c r="F15" s="62" t="n">
        <x:v>0</x:v>
      </x:c>
      <x:c r="G15" s="66" t="n">
        <x:v>1</x:v>
      </x:c>
      <x:c r="H15" s="62" t="n">
        <x:f>IF(E15=0,"",I15/E15)</x:f>
        <x:v>51.329495160526655</x:v>
      </x:c>
      <x:c r="I15" s="60" t="n">
        <x:f>SUMIF('Species'!$G$2:$G$143,A15,'Species'!$U$2:$U$143)</x:f>
        <x:v>7098602.672087015</x:v>
      </x:c>
      <x:c r="J15" s="62" t="n">
        <x:v>2.7011216167265255</x:v>
      </x:c>
      <x:c r="K15" s="62" t="n">
        <x:f>IF(J15="","",(1/'Metadata'!$B$5)^(J15-1))</x:f>
        <x:v>50.24832816535033</x:v>
      </x:c>
      <x:c r="L15" s="60" t="n">
        <x:f>IF(E15=0,"",E15*K15)</x:f>
        <x:v>6949082.890196914</x:v>
      </x:c>
      <x:c r="M15" s="60" t="n">
        <x:f>I15-L15</x:f>
        <x:v>149519.7818901008</x:v>
      </x:c>
      <x:c r="N15" s="62" t="n">
        <x:f>IF(L15=0,"",I15/L15)</x:f>
        <x:v>1.021516476958568</x:v>
      </x:c>
      <x:c r="O15" s="66" t="n">
        <x:f>IF(L15=0,"",M15/L15)</x:f>
        <x:v>0.021516476958567968</x:v>
      </x:c>
    </x:row>
    <x:row r="16" ht="18" customHeight="1">
      <x:c r="A16" s="46" t="str">
        <x:v>Small benthopelagics (&lt;30 cm)</x:v>
      </x:c>
      <x:c r="B16" s="64" t="n">
        <x:v>4</x:v>
      </x:c>
      <x:c r="C16" s="64" t="n">
        <x:v>4</x:v>
      </x:c>
      <x:c r="D16" s="60" t="n">
        <x:v>55873.06476153399</x:v>
      </x:c>
      <x:c r="E16" s="60" t="n">
        <x:v>55873.06476153399</x:v>
      </x:c>
      <x:c r="F16" s="62" t="n">
        <x:v>0</x:v>
      </x:c>
      <x:c r="G16" s="66" t="n">
        <x:v>1</x:v>
      </x:c>
      <x:c r="H16" s="62" t="n">
        <x:f>IF(E16=0,"",I16/E16)</x:f>
        <x:v>168.11336985403028</x:v>
      </x:c>
      <x:c r="I16" s="60" t="n">
        <x:f>SUMIF('Species'!$G$2:$G$143,A16,'Species'!$U$2:$U$143)</x:f>
        <x:v>9393009.20113395</x:v>
      </x:c>
      <x:c r="J16" s="62" t="n">
        <x:v>3.2236783339375457</x:v>
      </x:c>
      <x:c r="K16" s="62" t="n">
        <x:f>IF(J16="","",(1/'Metadata'!$B$5)^(J16-1))</x:f>
        <x:v>167.3702766315206</x:v>
      </x:c>
      <x:c r="L16" s="60" t="n">
        <x:f>IF(E16=0,"",E16*K16)</x:f>
        <x:v>9351490.30538881</x:v>
      </x:c>
      <x:c r="M16" s="60" t="n">
        <x:f>I16-L16</x:f>
        <x:v>41518.89574513957</x:v>
      </x:c>
      <x:c r="N16" s="62" t="n">
        <x:f>IF(L16=0,"",I16/L16)</x:f>
        <x:v>1.004439815942622</x:v>
      </x:c>
      <x:c r="O16" s="66" t="n">
        <x:f>IF(L16=0,"",M16/L16)</x:f>
        <x:v>0.00443981594262192</x:v>
      </x:c>
    </x:row>
    <x:row r="17" ht="18" customHeight="1">
      <x:c r="A17" s="46" t="str">
        <x:v>Small demersals (&lt;30 cm)</x:v>
      </x:c>
      <x:c r="B17" s="64" t="n">
        <x:v>4</x:v>
      </x:c>
      <x:c r="C17" s="64" t="n">
        <x:v>4</x:v>
      </x:c>
      <x:c r="D17" s="60" t="n">
        <x:v>137269.4081045516</x:v>
      </x:c>
      <x:c r="E17" s="60" t="n">
        <x:v>137269.4081045516</x:v>
      </x:c>
      <x:c r="F17" s="62" t="n">
        <x:v>0</x:v>
      </x:c>
      <x:c r="G17" s="66" t="n">
        <x:v>1</x:v>
      </x:c>
      <x:c r="H17" s="62" t="n">
        <x:f>IF(E17=0,"",I17/E17)</x:f>
        <x:v>618.3595965255078</x:v>
      </x:c>
      <x:c r="I17" s="60" t="n">
        <x:f>SUMIF('Species'!$G$2:$G$143,A17,'Species'!$U$2:$U$143)</x:f>
        <x:v>84881855.8108258</x:v>
      </x:c>
      <x:c r="J17" s="62" t="n">
        <x:v>3.7732687862440892</x:v>
      </x:c>
      <x:c r="K17" s="62" t="n">
        <x:f>IF(J17="","",(1/'Metadata'!$B$5)^(J17-1))</x:f>
        <x:v>593.2924015408922</x:v>
      </x:c>
      <x:c r="L17" s="60" t="n">
        <x:f>IF(E17=0,"",E17*K17)</x:f>
        <x:v>81440896.79244624</x:v>
      </x:c>
      <x:c r="M17" s="60" t="n">
        <x:f>I17-L17</x:f>
        <x:v>3440959.018379554</x:v>
      </x:c>
      <x:c r="N17" s="62" t="n">
        <x:f>IF(L17=0,"",I17/L17)</x:f>
        <x:v>1.0422509961690243</x:v>
      </x:c>
      <x:c r="O17" s="66" t="n">
        <x:f>IF(L17=0,"",M17/L17)</x:f>
        <x:v>0.042250996169024356</x:v>
      </x:c>
    </x:row>
    <x:row r="18" ht="18" customHeight="1">
      <x:c r="A18" s="46" t="str">
        <x:v>Small pelagics (&lt;30 cm)</x:v>
      </x:c>
      <x:c r="B18" s="64" t="n">
        <x:v>12</x:v>
      </x:c>
      <x:c r="C18" s="64" t="n">
        <x:v>12</x:v>
      </x:c>
      <x:c r="D18" s="60" t="n">
        <x:v>462424.6488469997</x:v>
      </x:c>
      <x:c r="E18" s="60" t="n">
        <x:v>462424.6488469997</x:v>
      </x:c>
      <x:c r="F18" s="62" t="n">
        <x:v>0</x:v>
      </x:c>
      <x:c r="G18" s="66" t="n">
        <x:v>1</x:v>
      </x:c>
      <x:c r="H18" s="62" t="n">
        <x:f>IF(E18=0,"",I18/E18)</x:f>
        <x:v>235.42377763067884</x:v>
      </x:c>
      <x:c r="I18" s="60" t="n">
        <x:f>SUMIF('Species'!$G$2:$G$143,A18,'Species'!$U$2:$U$143)</x:f>
        <x:v>108865757.7011008</x:v>
      </x:c>
      <x:c r="J18" s="62" t="n">
        <x:v>3.100359474448243</x:v>
      </x:c>
      <x:c r="K18" s="62" t="n">
        <x:f>IF(J18="","",(1/'Metadata'!$B$5)^(J18-1))</x:f>
        <x:v>125.99678815501068</x:v>
      </x:c>
      <x:c r="L18" s="60" t="n">
        <x:f>IF(E18=0,"",E18*K18)</x:f>
        <x:v>58264020.51843062</x:v>
      </x:c>
      <x:c r="M18" s="60" t="n">
        <x:f>I18-L18</x:f>
        <x:v>50601737.182670176</x:v>
      </x:c>
      <x:c r="N18" s="62" t="n">
        <x:f>IF(L18=0,"",I18/L18)</x:f>
        <x:v>1.868490308983455</x:v>
      </x:c>
      <x:c r="O18" s="66" t="n">
        <x:f>IF(L18=0,"",M18/L18)</x:f>
        <x:v>0.868490308983455</x:v>
      </x:c>
    </x:row>
    <x:row r="19" ht="18" customHeight="1">
      <x:c r="A19" s="46" t="str">
        <x:v>Small reef assoc. fish (&lt;30 cm)</x:v>
      </x:c>
      <x:c r="B19" s="64" t="n">
        <x:v>2</x:v>
      </x:c>
      <x:c r="C19" s="64" t="n">
        <x:v>2</x:v>
      </x:c>
      <x:c r="D19" s="60" t="n">
        <x:v>37485.9025250061</x:v>
      </x:c>
      <x:c r="E19" s="60" t="n">
        <x:v>37485.9025250061</x:v>
      </x:c>
      <x:c r="F19" s="62" t="n">
        <x:v>0</x:v>
      </x:c>
      <x:c r="G19" s="66" t="n">
        <x:v>1</x:v>
      </x:c>
      <x:c r="H19" s="62" t="n">
        <x:f>IF(E19=0,"",I19/E19)</x:f>
        <x:v>1171.746356870645</x:v>
      </x:c>
      <x:c r="I19" s="60" t="n">
        <x:f>SUMIF('Species'!$G$2:$G$143,A19,'Species'!$U$2:$U$143)</x:f>
        <x:v>43923969.717684016</x:v>
      </x:c>
      <x:c r="J19" s="62" t="n">
        <x:v>4.067512308948681</x:v>
      </x:c>
      <x:c r="K19" s="62" t="n">
        <x:f>IF(J19="","",(1/'Metadata'!$B$5)^(J19-1))</x:f>
        <x:v>1168.186838612822</x:v>
      </x:c>
      <x:c r="L19" s="60" t="n">
        <x:f>IF(E19=0,"",E19*K19)</x:f>
        <x:v>43790537.963235274</x:v>
      </x:c>
      <x:c r="M19" s="60" t="n">
        <x:f>I19-L19</x:f>
        <x:v>133431.75444874167</x:v>
      </x:c>
      <x:c r="N19" s="62" t="n">
        <x:f>IF(L19=0,"",I19/L19)</x:f>
        <x:v>1.0030470453357017</x:v>
      </x:c>
      <x:c r="O19" s="66" t="n">
        <x:f>IF(L19=0,"",M19/L19)</x:f>
        <x:v>0.003047045335701641</x:v>
      </x:c>
    </x:row>
    <x:row r="20" ht="18" customHeight="1">
      <x:c r="A20" s="46" t="str">
        <x:v>Small to medium flatfishes (&lt;90 cm)</x:v>
      </x:c>
      <x:c r="B20" s="64" t="n">
        <x:v>3</x:v>
      </x:c>
      <x:c r="C20" s="64" t="n">
        <x:v>3</x:v>
      </x:c>
      <x:c r="D20" s="60" t="n">
        <x:v>32.4174983669</x:v>
      </x:c>
      <x:c r="E20" s="60" t="n">
        <x:v>32.4174983669</x:v>
      </x:c>
      <x:c r="F20" s="62" t="n">
        <x:v>0</x:v>
      </x:c>
      <x:c r="G20" s="66" t="n">
        <x:v>1</x:v>
      </x:c>
      <x:c r="H20" s="62" t="n">
        <x:f>IF(E20=0,"",I20/E20)</x:f>
        <x:v>474.89129473164724</x:v>
      </x:c>
      <x:c r="I20" s="60" t="n">
        <x:f>SUMIF('Species'!$G$2:$G$143,A20,'Species'!$U$2:$U$143)</x:f>
        <x:v>15394.7877714182</x:v>
      </x:c>
      <x:c r="J20" s="62" t="n">
        <x:v>3.497153973387496</x:v>
      </x:c>
      <x:c r="K20" s="62" t="n">
        <x:f>IF(J20="","",(1/'Metadata'!$B$5)^(J20-1))</x:f>
        <x:v>314.16223172615605</x:v>
      </x:c>
      <x:c r="L20" s="60" t="n">
        <x:f>IF(E20=0,"",E20*K20)</x:f>
        <x:v>10184.353633924322</x:v>
      </x:c>
      <x:c r="M20" s="60" t="n">
        <x:f>I20-L20</x:f>
        <x:v>5210.434137493878</x:v>
      </x:c>
      <x:c r="N20" s="62" t="n">
        <x:f>IF(L20=0,"",I20/L20)</x:f>
        <x:v>1.5116116667569162</x:v>
      </x:c>
      <x:c r="O20" s="66" t="n">
        <x:f>IF(L20=0,"",M20/L20)</x:f>
        <x:v>0.511611666756916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c743a02112749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LME_038</x:v>
      </x:c>
      <x:c r="B2" s="46" t="str">
        <x:v>raw_filtered_tonnes</x:v>
      </x:c>
      <x:c r="C2" s="46" t="n">
        <x:v>2883541.9537540907</x:v>
      </x:c>
      <x:c r="D2" s="46" t="str">
        <x:v>tonnes</x:v>
      </x:c>
    </x:row>
    <x:row r="3" ht="18" customHeight="1">
      <x:c r="A3" s="46" t="str">
        <x:v>LME_038</x:v>
      </x:c>
      <x:c r="B3" s="46" t="str">
        <x:v>species_catch_tonnes</x:v>
      </x:c>
      <x:c r="C3" s="46" t="n">
        <x:v>2883541.9537540916</x:v>
      </x:c>
      <x:c r="D3" s="46" t="str">
        <x:v>tonnes</x:v>
      </x:c>
    </x:row>
    <x:row r="4" ht="18" customHeight="1">
      <x:c r="A4" s="46" t="str">
        <x:v>LME_038</x:v>
      </x:c>
      <x:c r="B4" s="46" t="str">
        <x:v>catch_difference_tonnes</x:v>
      </x:c>
      <x:c r="C4" s="46" t="n">
        <x:v>9.313225746154785e-10</x:v>
      </x:c>
      <x:c r="D4" s="46" t="str">
        <x:v>tonnes</x:v>
      </x:c>
    </x:row>
    <x:row r="5" ht="18" customHeight="1">
      <x:c r="A5" s="46" t="str">
        <x:v>LME_038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LME_038</x:v>
      </x:c>
      <x:c r="B6" s="46" t="str">
        <x:v>matched_catch_tonnes</x:v>
      </x:c>
      <x:c r="C6" s="46" t="n">
        <x:v>2883541.9537540916</x:v>
      </x:c>
      <x:c r="D6" s="46" t="str">
        <x:v>tonnes</x:v>
      </x:c>
    </x:row>
    <x:row r="7" ht="18" customHeight="1">
      <x:c r="A7" s="46" t="str">
        <x:v>LME_038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LME_038</x:v>
      </x:c>
      <x:c r="B8" s="46" t="str">
        <x:v>taxa_count</x:v>
      </x:c>
      <x:c r="C8" s="46" t="n">
        <x:v>142</x:v>
      </x:c>
      <x:c r="D8" s="46" t="str">
        <x:v>count</x:v>
      </x:c>
    </x:row>
    <x:row r="9" ht="18" customHeight="1">
      <x:c r="A9" s="46" t="str">
        <x:v>LME_038</x:v>
      </x:c>
      <x:c r="B9" s="46" t="str">
        <x:v>matched_taxa_count</x:v>
      </x:c>
      <x:c r="C9" s="46" t="n">
        <x:v>142</x:v>
      </x:c>
      <x:c r="D9" s="46" t="str">
        <x:v>count</x:v>
      </x:c>
    </x:row>
    <x:row r="10" ht="18" customHeight="1">
      <x:c r="A10" s="46" t="str">
        <x:v>LME_038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LME_038</x:v>
      </x:c>
      <x:c r="B11" s="46" t="str">
        <x:v>species_ppr</x:v>
      </x:c>
      <x:c r="C11" s="46" t="n">
        <x:v>1678212214.8416104</x:v>
      </x:c>
      <x:c r="D11" s="46" t="str">
        <x:v>tonnes_primary_production_equivalent</x:v>
      </x:c>
    </x:row>
    <x:row r="12" ht="18" customHeight="1">
      <x:c r="A12" s="46" t="str">
        <x:v>LME_038</x:v>
      </x:c>
      <x:c r="B12" s="46" t="str">
        <x:v>commercial_ppr</x:v>
      </x:c>
      <x:c r="C12" s="46" t="n">
        <x:v>1678212214.8416104</x:v>
      </x:c>
      <x:c r="D12" s="46" t="str">
        <x:v>tonnes_primary_production_equivalent</x:v>
      </x:c>
    </x:row>
    <x:row r="13" ht="18" customHeight="1">
      <x:c r="A13" s="46" t="str">
        <x:v>LME_038</x:v>
      </x:c>
      <x:c r="B13" s="46" t="str">
        <x:v>functional_ppr</x:v>
      </x:c>
      <x:c r="C13" s="46" t="n">
        <x:v>1678212214.8416104</x:v>
      </x:c>
      <x:c r="D13" s="46" t="str">
        <x:v>tonnes_primary_production_equivalent</x:v>
      </x:c>
    </x:row>
    <x:row r="14" ht="18" customHeight="1">
      <x:c r="A14" s="46" t="str">
        <x:v>LME_038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LME_038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LME_038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644ce32035949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LME_038 - Indonesian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