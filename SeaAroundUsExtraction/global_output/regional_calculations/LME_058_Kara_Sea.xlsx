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0168c35fa947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91ec70d5f764d6d"/>
    <x:sheet xmlns:r="http://schemas.openxmlformats.org/officeDocument/2006/relationships" name="Commercial" sheetId="2" r:id="R5a13b99036354f3b"/>
    <x:sheet xmlns:r="http://schemas.openxmlformats.org/officeDocument/2006/relationships" name="Functional" sheetId="3" r:id="R77cb47f7b5e04363"/>
    <x:sheet xmlns:r="http://schemas.openxmlformats.org/officeDocument/2006/relationships" name="Missing TL" sheetId="4" r:id="Ra60bba63fb404cd7"/>
    <x:sheet xmlns:r="http://schemas.openxmlformats.org/officeDocument/2006/relationships" name="Validation" sheetId="5" r:id="R8f0871c5c17148d1"/>
    <x:sheet xmlns:r="http://schemas.openxmlformats.org/officeDocument/2006/relationships" name="Metadata" sheetId="6" r:id="R00ff4a7bdac144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7f52bfaa324420" /><Relationship Type="http://schemas.openxmlformats.org/officeDocument/2006/relationships/theme" Target="/xl/theme/theme1.xml" Id="R21397e13d8684489" /><Relationship Type="http://schemas.microsoft.com/office/2022/11/relationships/FeaturePropertyBag" Target="/xl/featurePropertyBag/featurePropertyBag.xml" Id="R57ea0989f9394095" /><Relationship Type="http://schemas.openxmlformats.org/officeDocument/2006/relationships/sharedStrings" Target="/xl/sharedStrings.xml" Id="R3bbdbd83b3334ceb" /><Relationship Type="http://schemas.openxmlformats.org/officeDocument/2006/relationships/worksheet" Target="/xl/worksheets/sheet1.xml" Id="R591ec70d5f764d6d" /><Relationship Type="http://schemas.openxmlformats.org/officeDocument/2006/relationships/worksheet" Target="/xl/worksheets/sheet2.xml" Id="R5a13b99036354f3b" /><Relationship Type="http://schemas.openxmlformats.org/officeDocument/2006/relationships/worksheet" Target="/xl/worksheets/sheet3.xml" Id="R77cb47f7b5e04363" /><Relationship Type="http://schemas.openxmlformats.org/officeDocument/2006/relationships/worksheet" Target="/xl/worksheets/sheet4.xml" Id="Ra60bba63fb404cd7" /><Relationship Type="http://schemas.openxmlformats.org/officeDocument/2006/relationships/worksheet" Target="/xl/worksheets/sheet5.xml" Id="R8f0871c5c17148d1" /><Relationship Type="http://schemas.openxmlformats.org/officeDocument/2006/relationships/worksheet" Target="/xl/worksheets/sheet6.xml" Id="R00ff4a7bdac144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58SpeciesTable" displayName="LME058SpeciesTable" ref="A1:U6" headerRowCount="1" totalsRowCount="0" totalsRowShown="0">
  <x:autoFilter ref="A1:U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58CommercialTable" displayName="LME058CommercialTable" ref="A1:E3" headerRowCount="1" totalsRowCount="0" totalsRowShown="0">
  <x:autoFilter ref="A1:E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58FunctionalTable" displayName="LME058FunctionalTable" ref="A1:E4" headerRowCount="1" totalsRowCount="0" totalsRowShown="0">
  <x:autoFilter ref="A1:E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58ValidationTable" displayName="LME05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e02772be8c4a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83bf1b9f44147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3fba0509bdf40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523cc460144e0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LME_058</x:v>
      </x:c>
      <x:c r="B2" s="24" t="str">
        <x:v>Kara Sea</x:v>
      </x:c>
      <x:c r="C2" s="24" t="str">
        <x:v>LME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291.6251263832</x:v>
      </x:c>
      <x:c r="J2" s="31" t="n">
        <x:v>291.6251263832</x:v>
      </x:c>
      <x:c r="K2" s="31" t="n">
        <x:v>0</x:v>
      </x:c>
      <x:c r="L2" s="31" t="n">
        <x:v>0</x:v>
      </x:c>
      <x:c r="M2" s="31" t="n">
        <x:v>291.6251263832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55568.02226942547</x:v>
      </x:c>
    </x:row>
    <x:row r="3" ht="18" customHeight="1">
      <x:c r="A3" s="24" t="str">
        <x:v>LME_058</x:v>
      </x:c>
      <x:c r="B3" s="24" t="str">
        <x:v>Kara Sea</x:v>
      </x:c>
      <x:c r="C3" s="24" t="str">
        <x:v>LME</x:v>
      </x:c>
      <x:c r="D3" s="30" t="n">
        <x:v>2019</x:v>
      </x:c>
      <x:c r="E3" s="24" t="str">
        <x:v>Coregonus muksun</x:v>
      </x:c>
      <x:c r="F3" s="24" t="str">
        <x:v>Muksun</x:v>
      </x:c>
      <x:c r="G3" s="24" t="str">
        <x:v>Large benthopelagics (&gt;=90 cm)</x:v>
      </x:c>
      <x:c r="H3" s="24" t="str">
        <x:v>Salmon, smelts, etc</x:v>
      </x:c>
      <x:c r="I3" s="31" t="n">
        <x:v>189.9309432293</x:v>
      </x:c>
      <x:c r="J3" s="31" t="n">
        <x:v>189.9309432293</x:v>
      </x:c>
      <x:c r="K3" s="31" t="n">
        <x:v>0</x:v>
      </x:c>
      <x:c r="L3" s="31" t="n">
        <x:v>0</x:v>
      </x:c>
      <x:c r="M3" s="31" t="n">
        <x:v>189.9309432293</x:v>
      </x:c>
      <x:c r="N3" s="24" t="str">
        <x:v>coregonus muksun</x:v>
      </x:c>
      <x:c r="O3" s="32" t="n">
        <x:v>3.27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Coregonus muksun</x:v>
      </x:c>
      <x:c r="T3" s="32" t="n">
        <x:f>IF(O3="","",(1/'Metadata'!$B$5)^(O3-1))</x:f>
        <x:v>186.20871366628674</x:v>
      </x:c>
      <x:c r="U3" s="31" t="n">
        <x:f>IF(T3="","",I3*T3)</x:f>
        <x:v>35366.796624152485</x:v>
      </x:c>
    </x:row>
    <x:row r="4" ht="18" customHeight="1">
      <x:c r="A4" s="24" t="str">
        <x:v>LME_058</x:v>
      </x:c>
      <x:c r="B4" s="24" t="str">
        <x:v>Kara Sea</x:v>
      </x:c>
      <x:c r="C4" s="24" t="str">
        <x:v>LME</x:v>
      </x:c>
      <x:c r="D4" s="30" t="n">
        <x:v>2019</x:v>
      </x:c>
      <x:c r="E4" s="24" t="str">
        <x:v>Coregonus sardinella</x:v>
      </x:c>
      <x:c r="F4" s="24" t="str">
        <x:v>Sardine cisco</x:v>
      </x:c>
      <x:c r="G4" s="24" t="str">
        <x:v>Medium pelagics (30 - 89 cm)</x:v>
      </x:c>
      <x:c r="H4" s="24" t="str">
        <x:v>Salmon, smelts, etc</x:v>
      </x:c>
      <x:c r="I4" s="31" t="n">
        <x:v>114.1507163341</x:v>
      </x:c>
      <x:c r="J4" s="31" t="n">
        <x:v>114.1507163341</x:v>
      </x:c>
      <x:c r="K4" s="31" t="n">
        <x:v>0</x:v>
      </x:c>
      <x:c r="L4" s="31" t="n">
        <x:v>0</x:v>
      </x:c>
      <x:c r="M4" s="31" t="n">
        <x:v>114.1507163341</x:v>
      </x:c>
      <x:c r="N4" s="24" t="str">
        <x:v>coregonus sardinella</x:v>
      </x:c>
      <x:c r="O4" s="32" t="n">
        <x:v>3.21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Coregonus sardinella</x:v>
      </x:c>
      <x:c r="T4" s="32" t="n">
        <x:f>IF(O4="","",(1/'Metadata'!$B$5)^(O4-1))</x:f>
        <x:v>162.18100973589299</x:v>
      </x:c>
      <x:c r="U4" s="31" t="n">
        <x:f>IF(T4="","",I4*T4)</x:f>
        <x:v>18513.07843713983</x:v>
      </x:c>
    </x:row>
    <x:row r="5" ht="18" customHeight="1">
      <x:c r="A5" s="24" t="str">
        <x:v>LME_058</x:v>
      </x:c>
      <x:c r="B5" s="24" t="str">
        <x:v>Kara Sea</x:v>
      </x:c>
      <x:c r="C5" s="24" t="str">
        <x:v>LME</x:v>
      </x:c>
      <x:c r="D5" s="30" t="n">
        <x:v>2019</x:v>
      </x:c>
      <x:c r="E5" s="24" t="str">
        <x:v>Coregonus</x:v>
      </x:c>
      <x:c r="F5" s="24" t="str">
        <x:v>Whitefishes</x:v>
      </x:c>
      <x:c r="G5" s="24" t="str">
        <x:v>Medium pelagics (30 - 89 cm)</x:v>
      </x:c>
      <x:c r="H5" s="24" t="str">
        <x:v>Salmon, smelts, etc</x:v>
      </x:c>
      <x:c r="I5" s="31" t="n">
        <x:v>112.2737144817</x:v>
      </x:c>
      <x:c r="J5" s="31" t="n">
        <x:v>112.2737144817</x:v>
      </x:c>
      <x:c r="K5" s="31" t="n">
        <x:v>0</x:v>
      </x:c>
      <x:c r="L5" s="31" t="n">
        <x:v>0</x:v>
      </x:c>
      <x:c r="M5" s="31" t="n">
        <x:v>112.2737144817</x:v>
      </x:c>
      <x:c r="N5" s="24" t="str">
        <x:v>coregonus</x:v>
      </x:c>
      <x:c r="O5" s="32" t="n">
        <x:v>3.3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Coregonus</x:v>
      </x:c>
      <x:c r="T5" s="32" t="n">
        <x:f>IF(O5="","",(1/'Metadata'!$B$5)^(O5-1))</x:f>
        <x:v>199.52623149688787</x:v>
      </x:c>
      <x:c r="U5" s="31" t="n">
        <x:f>IF(T5="","",I5*T5)</x:f>
        <x:v>22401.551146691167</x:v>
      </x:c>
    </x:row>
    <x:row r="6" ht="18" customHeight="1">
      <x:c r="A6" s="24" t="str">
        <x:v>LME_058</x:v>
      </x:c>
      <x:c r="B6" s="24" t="str">
        <x:v>Kara Sea</x:v>
      </x:c>
      <x:c r="C6" s="24" t="str">
        <x:v>LME</x:v>
      </x:c>
      <x:c r="D6" s="30" t="n">
        <x:v>2019</x:v>
      </x:c>
      <x:c r="E6" s="24" t="str">
        <x:v>Coregonus autumnalis</x:v>
      </x:c>
      <x:c r="F6" s="24" t="str">
        <x:v>Arctic cisco</x:v>
      </x:c>
      <x:c r="G6" s="24" t="str">
        <x:v>Medium pelagics (30 - 89 cm)</x:v>
      </x:c>
      <x:c r="H6" s="24" t="str">
        <x:v>Salmon, smelts, etc</x:v>
      </x:c>
      <x:c r="I6" s="31" t="n">
        <x:v>11.3087014795</x:v>
      </x:c>
      <x:c r="J6" s="31" t="n">
        <x:v>11.3087014795</x:v>
      </x:c>
      <x:c r="K6" s="31" t="n">
        <x:v>0</x:v>
      </x:c>
      <x:c r="L6" s="31" t="n">
        <x:v>0</x:v>
      </x:c>
      <x:c r="M6" s="31" t="n">
        <x:v>11.3087014795</x:v>
      </x:c>
      <x:c r="N6" s="24" t="str">
        <x:v>coregonus autumnalis</x:v>
      </x:c>
      <x:c r="O6" s="32" t="n">
        <x:v>3.67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Coregonus autumnalis</x:v>
      </x:c>
      <x:c r="T6" s="32" t="n">
        <x:f>IF(O6="","",(1/'Metadata'!$B$5)^(O6-1))</x:f>
        <x:v>467.73514128719813</x:v>
      </x:c>
      <x:c r="U6" s="31" t="n">
        <x:f>IF(T6="","",I6*T6)</x:f>
        <x:v>5289.477084288679</x:v>
      </x:c>
    </x:row>
  </x:sheetData>
  <x:conditionalFormatting sqref="R2:R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2e02772be8c4a0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291.6251263832</x:v>
      </x:c>
      <x:c r="C2" s="32" t="n">
        <x:v>3.28</x:v>
      </x:c>
      <x:c r="D2" s="32" t="n">
        <x:f>IF(C2="","",(1/'Metadata'!$B$5)^(C2-1))</x:f>
        <x:v>190.54607179632464</x:v>
      </x:c>
      <x:c r="E2" s="31" t="n">
        <x:f>IF(B2=0,"",B2*D2)</x:f>
        <x:v>55568.02226942547</x:v>
      </x:c>
    </x:row>
    <x:row r="3" ht="18" customHeight="1">
      <x:c r="A3" s="24" t="str">
        <x:v>Salmon, smelts, etc</x:v>
      </x:c>
      <x:c r="B3" s="31" t="n">
        <x:v>427.6640755245999</x:v>
      </x:c>
      <x:c r="C3" s="32" t="n">
        <x:v>3.272438009423462</x:v>
      </x:c>
      <x:c r="D3" s="32" t="n">
        <x:f>IF(C3="","",(1/'Metadata'!$B$5)^(C3-1))</x:f>
        <x:v>187.25697759945038</x:v>
      </x:c>
      <x:c r="E3" s="31" t="n">
        <x:f>IF(B3=0,"",B3*D3)</x:f>
        <x:v>80083.08221059966</x:v>
      </x:c>
    </x:row>
  </x:sheetData>
  <x:pageMargins left="0.7" right="0.7" top="0.75" bottom="0.75" header="0.3" footer="0.3"/>
  <x:tableParts count="1">
    <x:tablePart xmlns:r="http://schemas.openxmlformats.org/officeDocument/2006/relationships" r:id="R983bf1b9f441477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189.9309432293</x:v>
      </x:c>
      <x:c r="C2" s="32" t="n">
        <x:v>3.2699999999999996</x:v>
      </x:c>
      <x:c r="D2" s="32" t="n">
        <x:f>IF(C2="","",(1/'Metadata'!$B$5)^(C2-1))</x:f>
        <x:v>186.20871366628657</x:v>
      </x:c>
      <x:c r="E2" s="31" t="n">
        <x:f>IF(B2=0,"",B2*D2)</x:f>
        <x:v>35366.796624152455</x:v>
      </x:c>
    </x:row>
    <x:row r="3" ht="18" customHeight="1">
      <x:c r="A3" s="24" t="str">
        <x:v>Medium demersals (30 - 89 cm)</x:v>
      </x:c>
      <x:c r="B3" s="31" t="n">
        <x:v>291.6251263832</x:v>
      </x:c>
      <x:c r="C3" s="32" t="n">
        <x:v>3.28</x:v>
      </x:c>
      <x:c r="D3" s="32" t="n">
        <x:f>IF(C3="","",(1/'Metadata'!$B$5)^(C3-1))</x:f>
        <x:v>190.54607179632464</x:v>
      </x:c>
      <x:c r="E3" s="31" t="n">
        <x:f>IF(B3=0,"",B3*D3)</x:f>
        <x:v>55568.02226942547</x:v>
      </x:c>
    </x:row>
    <x:row r="4" ht="18" customHeight="1">
      <x:c r="A4" s="24" t="str">
        <x:v>Medium pelagics (30 - 89 cm)</x:v>
      </x:c>
      <x:c r="B4" s="31" t="n">
        <x:v>237.7331322953</x:v>
      </x:c>
      <x:c r="C4" s="32" t="n">
        <x:v>3.2743857961073335</x:v>
      </x:c>
      <x:c r="D4" s="32" t="n">
        <x:f>IF(C4="","",(1/'Metadata'!$B$5)^(C4-1))</x:f>
        <x:v>188.09870089694422</x:v>
      </x:c>
      <x:c r="E4" s="31" t="n">
        <x:f>IF(B4=0,"",B4*D4)</x:f>
        <x:v>44717.29334490731</x:v>
      </x:c>
    </x:row>
  </x:sheetData>
  <x:pageMargins left="0.7" right="0.7" top="0.75" bottom="0.75" header="0.3" footer="0.3"/>
  <x:tableParts count="1">
    <x:tablePart xmlns:r="http://schemas.openxmlformats.org/officeDocument/2006/relationships" r:id="R13fba0509bdf40e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LME_058</x:v>
      </x:c>
      <x:c r="B2" s="24" t="str">
        <x:v>raw_filtered_tonnes</x:v>
      </x:c>
      <x:c r="C2" s="24" t="n">
        <x:v>719.2892019077999</x:v>
      </x:c>
      <x:c r="D2" s="24" t="str">
        <x:v>tonnes</x:v>
      </x:c>
    </x:row>
    <x:row r="3" ht="18" customHeight="1">
      <x:c r="A3" s="24" t="str">
        <x:v>LME_058</x:v>
      </x:c>
      <x:c r="B3" s="24" t="str">
        <x:v>species_catch_tonnes</x:v>
      </x:c>
      <x:c r="C3" s="24" t="n">
        <x:v>719.2892019078</x:v>
      </x:c>
      <x:c r="D3" s="24" t="str">
        <x:v>tonnes</x:v>
      </x:c>
    </x:row>
    <x:row r="4" ht="18" customHeight="1">
      <x:c r="A4" s="24" t="str">
        <x:v>LME_058</x:v>
      </x:c>
      <x:c r="B4" s="24" t="str">
        <x:v>catch_difference_tonnes</x:v>
      </x:c>
      <x:c r="C4" s="24" t="n">
        <x:v>1.1368683772161603e-13</x:v>
      </x:c>
      <x:c r="D4" s="24" t="str">
        <x:v>tonnes</x:v>
      </x:c>
    </x:row>
    <x:row r="5" ht="18" customHeight="1">
      <x:c r="A5" s="24" t="str">
        <x:v>LME_058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LME_058</x:v>
      </x:c>
      <x:c r="B6" s="24" t="str">
        <x:v>matched_catch_tonnes</x:v>
      </x:c>
      <x:c r="C6" s="24" t="n">
        <x:v>719.2892019078</x:v>
      </x:c>
      <x:c r="D6" s="24" t="str">
        <x:v>tonnes</x:v>
      </x:c>
    </x:row>
    <x:row r="7" ht="18" customHeight="1">
      <x:c r="A7" s="24" t="str">
        <x:v>LME_058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LME_058</x:v>
      </x:c>
      <x:c r="B8" s="24" t="str">
        <x:v>taxa_count</x:v>
      </x:c>
      <x:c r="C8" s="24" t="n">
        <x:v>5</x:v>
      </x:c>
      <x:c r="D8" s="24" t="str">
        <x:v>count</x:v>
      </x:c>
    </x:row>
    <x:row r="9" ht="18" customHeight="1">
      <x:c r="A9" s="24" t="str">
        <x:v>LME_058</x:v>
      </x:c>
      <x:c r="B9" s="24" t="str">
        <x:v>matched_taxa_count</x:v>
      </x:c>
      <x:c r="C9" s="24" t="n">
        <x:v>5</x:v>
      </x:c>
      <x:c r="D9" s="24" t="str">
        <x:v>count</x:v>
      </x:c>
    </x:row>
    <x:row r="10" ht="18" customHeight="1">
      <x:c r="A10" s="24" t="str">
        <x:v>LME_058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LME_058</x:v>
      </x:c>
      <x:c r="B11" s="24" t="str">
        <x:v>species_ppr</x:v>
      </x:c>
      <x:c r="C11" s="24" t="n">
        <x:v>137138.92556169763</x:v>
      </x:c>
      <x:c r="D11" s="24" t="str">
        <x:v>tonnes_primary_production_equivalent</x:v>
      </x:c>
    </x:row>
    <x:row r="12" ht="18" customHeight="1">
      <x:c r="A12" s="24" t="str">
        <x:v>LME_058</x:v>
      </x:c>
      <x:c r="B12" s="24" t="str">
        <x:v>commercial_ppr</x:v>
      </x:c>
      <x:c r="C12" s="24" t="n">
        <x:v>135651.10448002513</x:v>
      </x:c>
      <x:c r="D12" s="24" t="str">
        <x:v>tonnes_primary_production_equivalent</x:v>
      </x:c>
    </x:row>
    <x:row r="13" ht="18" customHeight="1">
      <x:c r="A13" s="24" t="str">
        <x:v>LME_058</x:v>
      </x:c>
      <x:c r="B13" s="24" t="str">
        <x:v>functional_ppr</x:v>
      </x:c>
      <x:c r="C13" s="24" t="n">
        <x:v>135652.11223848525</x:v>
      </x:c>
      <x:c r="D13" s="24" t="str">
        <x:v>tonnes_primary_production_equivalent</x:v>
      </x:c>
    </x:row>
    <x:row r="14" ht="18" customHeight="1">
      <x:c r="A14" s="24" t="str">
        <x:v>LME_058</x:v>
      </x:c>
      <x:c r="B14" s="24" t="str">
        <x:v>commercial_ppr_difference</x:v>
      </x:c>
      <x:c r="C14" s="24" t="n">
        <x:v>-1487.821081672504</x:v>
      </x:c>
      <x:c r="D14" s="24" t="str">
        <x:v>tonnes_primary_production_equivalent</x:v>
      </x:c>
    </x:row>
    <x:row r="15" ht="18" customHeight="1">
      <x:c r="A15" s="24" t="str">
        <x:v>LME_058</x:v>
      </x:c>
      <x:c r="B15" s="24" t="str">
        <x:v>functional_ppr_difference</x:v>
      </x:c>
      <x:c r="C15" s="24" t="n">
        <x:v>-1486.81332321238</x:v>
      </x:c>
      <x:c r="D15" s="24" t="str">
        <x:v>tonnes_primary_production_equivalent</x:v>
      </x:c>
    </x:row>
    <x:row r="16" ht="18" customHeight="1">
      <x:c r="A16" s="24" t="str">
        <x:v>LME_058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LME_058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2c523cc460144e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LME_058 - Kara Sea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LME_058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raw_data/SAU_downloads/LME_058-catch.zip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