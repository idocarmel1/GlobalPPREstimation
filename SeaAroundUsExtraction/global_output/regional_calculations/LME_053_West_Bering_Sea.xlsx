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43784b814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bafad276ed454b"/>
    <x:sheet xmlns:r="http://schemas.openxmlformats.org/officeDocument/2006/relationships" name="Commercial" sheetId="2" r:id="R69702cb88b4843ba"/>
    <x:sheet xmlns:r="http://schemas.openxmlformats.org/officeDocument/2006/relationships" name="Functional" sheetId="3" r:id="R8192823f8cbf421c"/>
    <x:sheet xmlns:r="http://schemas.openxmlformats.org/officeDocument/2006/relationships" name="Missing TL" sheetId="4" r:id="R4b8360660dd747e9"/>
    <x:sheet xmlns:r="http://schemas.openxmlformats.org/officeDocument/2006/relationships" name="Validation" sheetId="5" r:id="R86f6fb08527f466b"/>
    <x:sheet xmlns:r="http://schemas.openxmlformats.org/officeDocument/2006/relationships" name="Metadata" sheetId="6" r:id="R172b07740631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28de555314536" /><Relationship Type="http://schemas.openxmlformats.org/officeDocument/2006/relationships/theme" Target="/xl/theme/theme1.xml" Id="R825fd3b4ac7047dc" /><Relationship Type="http://schemas.microsoft.com/office/2022/11/relationships/FeaturePropertyBag" Target="/xl/featurePropertyBag/featurePropertyBag.xml" Id="R132647e6812e46ce" /><Relationship Type="http://schemas.openxmlformats.org/officeDocument/2006/relationships/sharedStrings" Target="/xl/sharedStrings.xml" Id="R5b6d71b944834d33" /><Relationship Type="http://schemas.openxmlformats.org/officeDocument/2006/relationships/worksheet" Target="/xl/worksheets/sheet1.xml" Id="R3bbafad276ed454b" /><Relationship Type="http://schemas.openxmlformats.org/officeDocument/2006/relationships/worksheet" Target="/xl/worksheets/sheet2.xml" Id="R69702cb88b4843ba" /><Relationship Type="http://schemas.openxmlformats.org/officeDocument/2006/relationships/worksheet" Target="/xl/worksheets/sheet3.xml" Id="R8192823f8cbf421c" /><Relationship Type="http://schemas.openxmlformats.org/officeDocument/2006/relationships/worksheet" Target="/xl/worksheets/sheet4.xml" Id="R4b8360660dd747e9" /><Relationship Type="http://schemas.openxmlformats.org/officeDocument/2006/relationships/worksheet" Target="/xl/worksheets/sheet5.xml" Id="R86f6fb08527f466b" /><Relationship Type="http://schemas.openxmlformats.org/officeDocument/2006/relationships/worksheet" Target="/xl/worksheets/sheet6.xml" Id="R172b0774063145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3SpeciesTable" displayName="LME053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3CommercialTable" displayName="LME05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3FunctionalTable" displayName="LME053FunctionalTable" ref="A1:E20" headerRowCount="1" totalsRowCount="0" totalsRowShown="0">
  <x:autoFilter ref="A1:E2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3ValidationTable" displayName="LME05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a14516c1645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b4121d51d9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830e9cb8064e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58df0358ac4dc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LME_053</x:v>
      </x:c>
      <x:c r="B2" s="24" t="str">
        <x:v>West Bering Sea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237250.91023254668</x:v>
      </x:c>
      <x:c r="J2" s="31" t="n">
        <x:v>153648.0542665374</x:v>
      </x:c>
      <x:c r="K2" s="31" t="n">
        <x:v>83602.85596600929</x:v>
      </x:c>
      <x:c r="L2" s="31" t="n">
        <x:v>113855.2502805865</x:v>
      </x:c>
      <x:c r="M2" s="31" t="n">
        <x:v>123395.6599519602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88147071.28676192</x:v>
      </x:c>
    </x:row>
    <x:row r="3" ht="18" customHeight="1">
      <x:c r="A3" s="24" t="str">
        <x:v>LME_053</x:v>
      </x:c>
      <x:c r="B3" s="24" t="str">
        <x:v>West Bering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129492.8320740685</x:v>
      </x:c>
      <x:c r="J3" s="31" t="n">
        <x:v>96124.6022051423</x:v>
      </x:c>
      <x:c r="K3" s="31" t="n">
        <x:v>33368.2298689262</x:v>
      </x:c>
      <x:c r="L3" s="31" t="n">
        <x:v>78546.4878099202</x:v>
      </x:c>
      <x:c r="M3" s="31" t="n">
        <x:v>50946.3442641483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24674350.477494866</x:v>
      </x:c>
    </x:row>
    <x:row r="4" ht="18" customHeight="1">
      <x:c r="A4" s="24" t="str">
        <x:v>LME_053</x:v>
      </x:c>
      <x:c r="B4" s="24" t="str">
        <x:v>West Bering Sea</x:v>
      </x:c>
      <x:c r="C4" s="24" t="str">
        <x:v>LME</x:v>
      </x:c>
      <x:c r="D4" s="30" t="n">
        <x:v>2019</x:v>
      </x:c>
      <x:c r="E4" s="24" t="str">
        <x:v>Oncorhynchus gorbuscha</x:v>
      </x:c>
      <x:c r="F4" s="24" t="str">
        <x:v>Pink salmon</x:v>
      </x:c>
      <x:c r="G4" s="24" t="str">
        <x:v>Medium demersals (30 - 89 cm)</x:v>
      </x:c>
      <x:c r="H4" s="24" t="str">
        <x:v>Salmon, smelts, etc</x:v>
      </x:c>
      <x:c r="I4" s="31" t="n">
        <x:v>80501.42193690811</x:v>
      </x:c>
      <x:c r="J4" s="31" t="n">
        <x:v>66706.1959258995</x:v>
      </x:c>
      <x:c r="K4" s="31" t="n">
        <x:v>13795.2260110086</x:v>
      </x:c>
      <x:c r="L4" s="31" t="n">
        <x:v>45684.6111281376</x:v>
      </x:c>
      <x:c r="M4" s="31" t="n">
        <x:v>34816.810808770504</x:v>
      </x:c>
      <x:c r="N4" s="24" t="str">
        <x:v>oncorhynchus gorbuscha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Oncorhynchus gorbuscha</x:v>
      </x:c>
      <x:c r="T4" s="32" t="n">
        <x:f>IF(O4="","",(1/'Metadata'!$B$5)^(O4-1))</x:f>
        <x:v>3090.295432513592</x:v>
      </x:c>
      <x:c r="U4" s="31" t="n">
        <x:f>IF(T4="","",I4*T4)</x:f>
        <x:v>248773176.5224766</x:v>
      </x:c>
    </x:row>
    <x:row r="5" ht="18" customHeight="1">
      <x:c r="A5" s="24" t="str">
        <x:v>LME_053</x:v>
      </x:c>
      <x:c r="B5" s="24" t="str">
        <x:v>West Bering Sea</x:v>
      </x:c>
      <x:c r="C5" s="24" t="str">
        <x:v>LME</x:v>
      </x:c>
      <x:c r="D5" s="30" t="n">
        <x:v>2019</x:v>
      </x:c>
      <x:c r="E5" s="24" t="str">
        <x:v>Clupea pallasii</x:v>
      </x:c>
      <x:c r="F5" s="24" t="str">
        <x:v>Pacific herring</x:v>
      </x:c>
      <x:c r="G5" s="24" t="str">
        <x:v>Medium pelagics (30 - 89 cm)</x:v>
      </x:c>
      <x:c r="H5" s="24" t="str">
        <x:v>Herring-likes</x:v>
      </x:c>
      <x:c r="I5" s="31" t="n">
        <x:v>52780.4161294797</x:v>
      </x:c>
      <x:c r="J5" s="31" t="n">
        <x:v>34593.8564776306</x:v>
      </x:c>
      <x:c r="K5" s="31" t="n">
        <x:v>18186.559651849097</x:v>
      </x:c>
      <x:c r="L5" s="31" t="n">
        <x:v>29293.0581820396</x:v>
      </x:c>
      <x:c r="M5" s="31" t="n">
        <x:v>23487.357947440098</x:v>
      </x:c>
      <x:c r="N5" s="24" t="str">
        <x:v>clupea pallasii</x:v>
      </x:c>
      <x:c r="O5" s="32" t="n">
        <x:v>3.16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Clupea pallasii</x:v>
      </x:c>
      <x:c r="T5" s="32" t="n">
        <x:f>IF(O5="","",(1/'Metadata'!$B$5)^(O5-1))</x:f>
        <x:v>144.5439770745928</x:v>
      </x:c>
      <x:c r="U5" s="31" t="n">
        <x:f>IF(T5="","",I5*T5)</x:f>
        <x:v>7629091.259006982</x:v>
      </x:c>
    </x:row>
    <x:row r="6" ht="18" customHeight="1">
      <x:c r="A6" s="24" t="str">
        <x:v>LME_053</x:v>
      </x:c>
      <x:c r="B6" s="24" t="str">
        <x:v>West Bering Sea</x:v>
      </x:c>
      <x:c r="C6" s="24" t="str">
        <x:v>LME</x:v>
      </x:c>
      <x:c r="D6" s="30" t="n">
        <x:v>2019</x:v>
      </x:c>
      <x:c r="E6" s="24" t="str">
        <x:v>Oncorhynchus keta</x:v>
      </x:c>
      <x:c r="F6" s="24" t="str">
        <x:v>Chum salmon</x:v>
      </x:c>
      <x:c r="G6" s="24" t="str">
        <x:v>Large benthopelagics (&gt;=90 cm)</x:v>
      </x:c>
      <x:c r="H6" s="24" t="str">
        <x:v>Salmon, smelts, etc</x:v>
      </x:c>
      <x:c r="I6" s="31" t="n">
        <x:v>28825.6948783915</x:v>
      </x:c>
      <x:c r="J6" s="31" t="n">
        <x:v>28825.3366931315</x:v>
      </x:c>
      <x:c r="K6" s="31" t="n">
        <x:v>0.35818526</x:v>
      </x:c>
      <x:c r="L6" s="31" t="n">
        <x:v>9760.691163018098</x:v>
      </x:c>
      <x:c r="M6" s="31" t="n">
        <x:v>19065.0037153734</x:v>
      </x:c>
      <x:c r="N6" s="24" t="str">
        <x:v>oncorhynchus keta</x:v>
      </x:c>
      <x:c r="O6" s="32" t="n">
        <x:v>3.74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Oncorhynchus keta</x:v>
      </x:c>
      <x:c r="T6" s="32" t="n">
        <x:f>IF(O6="","",(1/'Metadata'!$B$5)^(O6-1))</x:f>
        <x:v>549.5408738576248</x:v>
      </x:c>
      <x:c r="U6" s="31" t="n">
        <x:f>IF(T6="","",I6*T6)</x:f>
        <x:v>15840897.553024523</x:v>
      </x:c>
    </x:row>
    <x:row r="7" ht="18" customHeight="1">
      <x:c r="A7" s="24" t="str">
        <x:v>LME_053</x:v>
      </x:c>
      <x:c r="B7" s="24" t="str">
        <x:v>West Bering Sea</x:v>
      </x:c>
      <x:c r="C7" s="24" t="str">
        <x:v>LME</x:v>
      </x:c>
      <x:c r="D7" s="30" t="n">
        <x:v>2019</x:v>
      </x:c>
      <x:c r="E7" s="24" t="str">
        <x:v>Teuthida</x:v>
      </x:c>
      <x:c r="F7" s="24" t="str">
        <x:v>Squids</x:v>
      </x:c>
      <x:c r="G7" s="24" t="str">
        <x:v>Cephalopods</x:v>
      </x:c>
      <x:c r="H7" s="24" t="str">
        <x:v>Other fishes &amp; inverts</x:v>
      </x:c>
      <x:c r="I7" s="31" t="n">
        <x:v>26817.412973048602</x:v>
      </x:c>
      <x:c r="J7" s="31" t="n">
        <x:v>26794.6963189926</x:v>
      </x:c>
      <x:c r="K7" s="31" t="n">
        <x:v>22.716654056</x:v>
      </x:c>
      <x:c r="L7" s="31" t="n">
        <x:v>22299.896627061</x:v>
      </x:c>
      <x:c r="M7" s="31" t="n">
        <x:v>4517.5163459876</x:v>
      </x:c>
      <x:c r="N7" s="24" t="str">
        <x:v>teuthida</x:v>
      </x:c>
      <x:c r="O7" s="32" t="n">
        <x:v>4.13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Teuthida</x:v>
      </x:c>
      <x:c r="T7" s="32" t="n">
        <x:f>IF(O7="","",(1/'Metadata'!$B$5)^(O7-1))</x:f>
        <x:v>1348.9628825916532</x:v>
      </x:c>
      <x:c r="U7" s="31" t="n">
        <x:f>IF(T7="","",I7*T7)</x:f>
        <x:v>36175694.70777444</x:v>
      </x:c>
    </x:row>
    <x:row r="8" ht="18" customHeight="1">
      <x:c r="A8" s="24" t="str">
        <x:v>LME_053</x:v>
      </x:c>
      <x:c r="B8" s="24" t="str">
        <x:v>West Bering Sea</x:v>
      </x:c>
      <x:c r="C8" s="24" t="str">
        <x:v>LME</x:v>
      </x:c>
      <x:c r="D8" s="30" t="n">
        <x:v>2019</x:v>
      </x:c>
      <x:c r="E8" s="24" t="str">
        <x:v>Pleuronectiformes</x:v>
      </x:c>
      <x:c r="F8" s="24" t="str">
        <x:v>Flatfishes</x:v>
      </x:c>
      <x:c r="G8" s="24" t="str">
        <x:v>Small to medium flatfishes (&lt;90 cm)</x:v>
      </x:c>
      <x:c r="H8" s="24" t="str">
        <x:v>Flatfishes</x:v>
      </x:c>
      <x:c r="I8" s="31" t="n">
        <x:v>22098.3148056859</x:v>
      </x:c>
      <x:c r="J8" s="31" t="n">
        <x:v>20251.6717280709</x:v>
      </x:c>
      <x:c r="K8" s="31" t="n">
        <x:v>1846.6430776149998</x:v>
      </x:c>
      <x:c r="L8" s="31" t="n">
        <x:v>15792.5905673635</x:v>
      </x:c>
      <x:c r="M8" s="31" t="n">
        <x:v>6305.7242383224</x:v>
      </x:c>
      <x:c r="N8" s="24" t="str">
        <x:v>pleuronectiformes</x:v>
      </x:c>
      <x:c r="O8" s="32" t="n">
        <x:v>3.57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Pleuronectiformes</x:v>
      </x:c>
      <x:c r="T8" s="32" t="n">
        <x:f>IF(O8="","",(1/'Metadata'!$B$5)^(O8-1))</x:f>
        <x:v>371.5352290971724</x:v>
      </x:c>
      <x:c r="U8" s="31" t="n">
        <x:f>IF(T8="","",I8*T8)</x:f>
        <x:v>8210302.453991948</x:v>
      </x:c>
    </x:row>
    <x:row r="9" ht="18" customHeight="1">
      <x:c r="A9" s="24" t="str">
        <x:v>LME_053</x:v>
      </x:c>
      <x:c r="B9" s="24" t="str">
        <x:v>West Bering Sea</x:v>
      </x:c>
      <x:c r="C9" s="24" t="str">
        <x:v>LME</x:v>
      </x:c>
      <x:c r="D9" s="30" t="n">
        <x:v>2019</x:v>
      </x:c>
      <x:c r="E9" s="24" t="str">
        <x:v>Gadus macrocephalus</x:v>
      </x:c>
      <x:c r="F9" s="24" t="str">
        <x:v>Pacific cod</x:v>
      </x:c>
      <x:c r="G9" s="24" t="str">
        <x:v>Large demersals (&gt;=90 cm)</x:v>
      </x:c>
      <x:c r="H9" s="24" t="str">
        <x:v>Cod-likes</x:v>
      </x:c>
      <x:c r="I9" s="31" t="n">
        <x:v>19022.4542290231</x:v>
      </x:c>
      <x:c r="J9" s="31" t="n">
        <x:v>15433.4616906822</x:v>
      </x:c>
      <x:c r="K9" s="31" t="n">
        <x:v>3588.9925383409</x:v>
      </x:c>
      <x:c r="L9" s="31" t="n">
        <x:v>13303.9308969147</x:v>
      </x:c>
      <x:c r="M9" s="31" t="n">
        <x:v>5718.5233321084</x:v>
      </x:c>
      <x:c r="N9" s="24" t="str">
        <x:v>gadus macrocephalus</x:v>
      </x:c>
      <x:c r="O9" s="32" t="n">
        <x:v>4.16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macrocephalus</x:v>
      </x:c>
      <x:c r="T9" s="32" t="n">
        <x:f>IF(O9="","",(1/'Metadata'!$B$5)^(O9-1))</x:f>
        <x:v>1445.439770745928</x:v>
      </x:c>
      <x:c r="U9" s="31" t="n">
        <x:f>IF(T9="","",I9*T9)</x:f>
        <x:v>27495811.879824057</x:v>
      </x:c>
    </x:row>
    <x:row r="10" ht="18" customHeight="1">
      <x:c r="A10" s="24" t="str">
        <x:v>LME_053</x:v>
      </x:c>
      <x:c r="B10" s="24" t="str">
        <x:v>West Bering Sea</x:v>
      </x:c>
      <x:c r="C10" s="24" t="str">
        <x:v>LME</x:v>
      </x:c>
      <x:c r="D10" s="30" t="n">
        <x:v>2019</x:v>
      </x:c>
      <x:c r="E10" s="24" t="str">
        <x:v>Eleginus gracilis</x:v>
      </x:c>
      <x:c r="F10" s="24" t="str">
        <x:v>Saffron cod</x:v>
      </x:c>
      <x:c r="G10" s="24" t="str">
        <x:v>Medium demersals (30 - 89 cm)</x:v>
      </x:c>
      <x:c r="H10" s="24" t="str">
        <x:v>Cod-likes</x:v>
      </x:c>
      <x:c r="I10" s="31" t="n">
        <x:v>15353.716148867</x:v>
      </x:c>
      <x:c r="J10" s="31" t="n">
        <x:v>13912.12042694</x:v>
      </x:c>
      <x:c r="K10" s="31" t="n">
        <x:v>1441.595721927</x:v>
      </x:c>
      <x:c r="L10" s="31" t="n">
        <x:v>10922.0998621336</x:v>
      </x:c>
      <x:c r="M10" s="31" t="n">
        <x:v>4431.616286733401</x:v>
      </x:c>
      <x:c r="N10" s="24" t="str">
        <x:v>eleginus gracilis</x:v>
      </x:c>
      <x:c r="O10" s="32" t="n">
        <x:v>4.1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Eleginus gracilis</x:v>
      </x:c>
      <x:c r="T10" s="32" t="n">
        <x:f>IF(O10="","",(1/'Metadata'!$B$5)^(O10-1))</x:f>
        <x:v>1258.9254117941662</x:v>
      </x:c>
      <x:c r="U10" s="31" t="n">
        <x:f>IF(T10="","",I10*T10)</x:f>
        <x:v>19329183.425283127</x:v>
      </x:c>
    </x:row>
    <x:row r="11" ht="18" customHeight="1">
      <x:c r="A11" s="24" t="str">
        <x:v>LME_053</x:v>
      </x:c>
      <x:c r="B11" s="24" t="str">
        <x:v>West Bering Sea</x:v>
      </x:c>
      <x:c r="C11" s="24" t="str">
        <x:v>LME</x:v>
      </x:c>
      <x:c r="D11" s="30" t="n">
        <x:v>2019</x:v>
      </x:c>
      <x:c r="E11" s="24" t="str">
        <x:v>Oncorhynchus nerka</x:v>
      </x:c>
      <x:c r="F11" s="24" t="str">
        <x:v>Sockeye salmon</x:v>
      </x:c>
      <x:c r="G11" s="24" t="str">
        <x:v>Medium pelagics (30 - 89 cm)</x:v>
      </x:c>
      <x:c r="H11" s="24" t="str">
        <x:v>Salmon, smelts, etc</x:v>
      </x:c>
      <x:c r="I11" s="31" t="n">
        <x:v>14501.0459179788</x:v>
      </x:c>
      <x:c r="J11" s="31" t="n">
        <x:v>12826.607460140202</x:v>
      </x:c>
      <x:c r="K11" s="31" t="n">
        <x:v>1674.4384578385998</x:v>
      </x:c>
      <x:c r="L11" s="31" t="n">
        <x:v>8076.5793863669005</x:v>
      </x:c>
      <x:c r="M11" s="31" t="n">
        <x:v>6424.4665316119</x:v>
      </x:c>
      <x:c r="N11" s="24" t="str">
        <x:v>oncorhynchus nerka</x:v>
      </x:c>
      <x:c r="O11" s="32" t="n">
        <x:v>3.54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Oncorhynchus nerka</x:v>
      </x:c>
      <x:c r="T11" s="32" t="n">
        <x:f>IF(O11="","",(1/'Metadata'!$B$5)^(O11-1))</x:f>
        <x:v>346.73685045253166</x:v>
      </x:c>
      <x:c r="U11" s="31" t="n">
        <x:f>IF(T11="","",I11*T11)</x:f>
        <x:v>5028046.989867509</x:v>
      </x:c>
    </x:row>
    <x:row r="12" ht="18" customHeight="1">
      <x:c r="A12" s="24" t="str">
        <x:v>LME_053</x:v>
      </x:c>
      <x:c r="B12" s="24" t="str">
        <x:v>West Bering Sea</x:v>
      </x:c>
      <x:c r="C12" s="24" t="str">
        <x:v>LME</x:v>
      </x:c>
      <x:c r="D12" s="30" t="n">
        <x:v>2019</x:v>
      </x:c>
      <x:c r="E12" s="24" t="str">
        <x:v>Chionoecetes</x:v>
      </x:c>
      <x:c r="F12" s="24" t="str">
        <x:v>Tanner, snow crabs</x:v>
      </x:c>
      <x:c r="G12" s="24" t="str">
        <x:v>Lobsters, crabs</x:v>
      </x:c>
      <x:c r="H12" s="24" t="str">
        <x:v>Crustaceans</x:v>
      </x:c>
      <x:c r="I12" s="31" t="n">
        <x:v>13818.5863844501</x:v>
      </x:c>
      <x:c r="J12" s="31" t="n">
        <x:v>13818.5863844501</x:v>
      </x:c>
      <x:c r="K12" s="31" t="n">
        <x:v>0</x:v>
      </x:c>
      <x:c r="L12" s="31" t="n">
        <x:v>9797.0605053648</x:v>
      </x:c>
      <x:c r="M12" s="31" t="n">
        <x:v>4021.5258790853</x:v>
      </x:c>
      <x:c r="N12" s="24" t="str">
        <x:v>chionoecetes</x:v>
      </x:c>
      <x:c r="O12" s="32" t="n">
        <x:v>2.3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Chionoecetes</x:v>
      </x:c>
      <x:c r="T12" s="32" t="n">
        <x:f>IF(O12="","",(1/'Metadata'!$B$5)^(O12-1))</x:f>
        <x:v>19.952623149688787</x:v>
      </x:c>
      <x:c r="U12" s="31" t="n">
        <x:f>IF(T12="","",I12*T12)</x:f>
        <x:v>275717.04659035336</x:v>
      </x:c>
    </x:row>
    <x:row r="13" ht="18" customHeight="1">
      <x:c r="A13" s="24" t="str">
        <x:v>LME_053</x:v>
      </x:c>
      <x:c r="B13" s="24" t="str">
        <x:v>West Bering Sea</x:v>
      </x:c>
      <x:c r="C13" s="24" t="str">
        <x:v>LME</x:v>
      </x:c>
      <x:c r="D13" s="30" t="n">
        <x:v>2019</x:v>
      </x:c>
      <x:c r="E13" s="24" t="str">
        <x:v>Sardinops sagax</x:v>
      </x:c>
      <x:c r="F13" s="24" t="str">
        <x:v>South American pilchard</x:v>
      </x:c>
      <x:c r="G13" s="24" t="str">
        <x:v>Medium pelagics (30 - 89 cm)</x:v>
      </x:c>
      <x:c r="H13" s="24" t="str">
        <x:v>Herring-likes</x:v>
      </x:c>
      <x:c r="I13" s="31" t="n">
        <x:v>8253.3422456057</x:v>
      </x:c>
      <x:c r="J13" s="31" t="n">
        <x:v>8253.3422456057</x:v>
      </x:c>
      <x:c r="K13" s="31" t="n">
        <x:v>0</x:v>
      </x:c>
      <x:c r="L13" s="31" t="n">
        <x:v>8131.879871906499</x:v>
      </x:c>
      <x:c r="M13" s="31" t="n">
        <x:v>121.4623736992</x:v>
      </x:c>
      <x:c r="N13" s="24" t="str">
        <x:v>sardinops sagax</x:v>
      </x:c>
      <x:c r="O13" s="32" t="n">
        <x:v>2.84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Sardinops sagax</x:v>
      </x:c>
      <x:c r="T13" s="32" t="n">
        <x:f>IF(O13="","",(1/'Metadata'!$B$5)^(O13-1))</x:f>
        <x:v>69.18309709189363</x:v>
      </x:c>
      <x:c r="U13" s="31" t="n">
        <x:f>IF(T13="","",I13*T13)</x:f>
        <x:v>570991.7779103665</x:v>
      </x:c>
    </x:row>
    <x:row r="14" ht="18" customHeight="1">
      <x:c r="A14" s="24" t="str">
        <x:v>LME_053</x:v>
      </x:c>
      <x:c r="B14" s="24" t="str">
        <x:v>West Bering Sea</x:v>
      </x:c>
      <x:c r="C14" s="24" t="str">
        <x:v>LME</x:v>
      </x:c>
      <x:c r="D14" s="30" t="n">
        <x:v>2019</x:v>
      </x:c>
      <x:c r="E14" s="24" t="str">
        <x:v>Miscellaneous marine crustaceans</x:v>
      </x:c>
      <x:c r="F14" s="24" t="str">
        <x:v>Marine crabs, shrimps, lobsters nei</x:v>
      </x:c>
      <x:c r="G14" s="24" t="str">
        <x:v>Shrimps</x:v>
      </x:c>
      <x:c r="H14" s="24" t="str">
        <x:v>Crustaceans</x:v>
      </x:c>
      <x:c r="I14" s="31" t="n">
        <x:v>8217.358767850701</x:v>
      </x:c>
      <x:c r="J14" s="31" t="n">
        <x:v>8217.358767850701</x:v>
      </x:c>
      <x:c r="K14" s="31" t="n">
        <x:v>0</x:v>
      </x:c>
      <x:c r="L14" s="31" t="n">
        <x:v>8217.358767850701</x:v>
      </x:c>
      <x:c r="M14" s="31" t="n">
        <x:v>0</x:v>
      </x:c>
      <x:c r="N14" s="24" t="str">
        <x:v>miscellaneous marine crustaceans</x:v>
      </x:c>
      <x:c r="O14" s="32" t="n">
        <x:v>2.7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marine crustaceans</x:v>
      </x:c>
      <x:c r="T14" s="32" t="n">
        <x:f>IF(O14="","",(1/'Metadata'!$B$5)^(O14-1))</x:f>
        <x:v>50.11872336272725</x:v>
      </x:c>
      <x:c r="U14" s="31" t="n">
        <x:f>IF(T14="","",I14*T14)</x:f>
        <x:v>411843.53085819056</x:v>
      </x:c>
    </x:row>
    <x:row r="15" ht="18" customHeight="1">
      <x:c r="A15" s="24" t="str">
        <x:v>LME_053</x:v>
      </x:c>
      <x:c r="B15" s="24" t="str">
        <x:v>West Bering Sea</x:v>
      </x:c>
      <x:c r="C15" s="24" t="str">
        <x:v>LME</x:v>
      </x:c>
      <x:c r="D15" s="30" t="n">
        <x:v>2019</x:v>
      </x:c>
      <x:c r="E15" s="24" t="str">
        <x:v>Oncorhynchus kisutch</x:v>
      </x:c>
      <x:c r="F15" s="24" t="str">
        <x:v>Coho salmon</x:v>
      </x:c>
      <x:c r="G15" s="24" t="str">
        <x:v>Large demersals (&gt;=90 cm)</x:v>
      </x:c>
      <x:c r="H15" s="24" t="str">
        <x:v>Salmon, smelts, etc</x:v>
      </x:c>
      <x:c r="I15" s="31" t="n">
        <x:v>5426.4094910868</x:v>
      </x:c>
      <x:c r="J15" s="31" t="n">
        <x:v>5426.3931743288</x:v>
      </x:c>
      <x:c r="K15" s="31" t="n">
        <x:v>0.016316758</x:v>
      </x:c>
      <x:c r="L15" s="31" t="n">
        <x:v>956.5061783775</x:v>
      </x:c>
      <x:c r="M15" s="31" t="n">
        <x:v>4469.9033127093</x:v>
      </x:c>
      <x:c r="N15" s="24" t="str">
        <x:v>oncorhynchus kisutch</x:v>
      </x:c>
      <x:c r="O15" s="32" t="n">
        <x:v>4.22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Oncorhynchus kisutch</x:v>
      </x:c>
      <x:c r="T15" s="32" t="n">
        <x:f>IF(O15="","",(1/'Metadata'!$B$5)^(O15-1))</x:f>
        <x:v>1659.5869074375596</x:v>
      </x:c>
      <x:c r="U15" s="31" t="n">
        <x:f>IF(T15="","",I15*T15)</x:f>
        <x:v>9005598.145802563</x:v>
      </x:c>
    </x:row>
    <x:row r="16" ht="18" customHeight="1">
      <x:c r="A16" s="24" t="str">
        <x:v>LME_053</x:v>
      </x:c>
      <x:c r="B16" s="24" t="str">
        <x:v>West Bering Sea</x:v>
      </x:c>
      <x:c r="C16" s="24" t="str">
        <x:v>LME</x:v>
      </x:c>
      <x:c r="D16" s="30" t="n">
        <x:v>2019</x:v>
      </x:c>
      <x:c r="E16" s="24" t="str">
        <x:v>Oncorhynchus</x:v>
      </x:c>
      <x:c r="F16" s="24" t="str">
        <x:v>Salmons, trouts</x:v>
      </x:c>
      <x:c r="G16" s="24" t="str">
        <x:v>Large benthopelagics (&gt;=90 cm)</x:v>
      </x:c>
      <x:c r="H16" s="24" t="str">
        <x:v>Salmon, smelts, etc</x:v>
      </x:c>
      <x:c r="I16" s="31" t="n">
        <x:v>4563.6703490031005</x:v>
      </x:c>
      <x:c r="J16" s="31" t="n">
        <x:v>3281.0999672862</x:v>
      </x:c>
      <x:c r="K16" s="31" t="n">
        <x:v>1282.5703817169</x:v>
      </x:c>
      <x:c r="L16" s="31" t="n">
        <x:v>0</x:v>
      </x:c>
      <x:c r="M16" s="31" t="n">
        <x:v>4563.6703490031005</x:v>
      </x:c>
      <x:c r="N16" s="24" t="str">
        <x:v>oncorhynchus</x:v>
      </x:c>
      <x:c r="O16" s="32" t="n">
        <x:v>3.95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Oncorhynchus</x:v>
      </x:c>
      <x:c r="T16" s="32" t="n">
        <x:f>IF(O16="","",(1/'Metadata'!$B$5)^(O16-1))</x:f>
        <x:v>891.2509381337459</x:v>
      </x:c>
      <x:c r="U16" s="31" t="n">
        <x:f>IF(T16="","",I16*T16)</x:f>
        <x:v>4067375.479882173</x:v>
      </x:c>
    </x:row>
    <x:row r="17" ht="18" customHeight="1">
      <x:c r="A17" s="24" t="str">
        <x:v>LME_053</x:v>
      </x:c>
      <x:c r="B17" s="24" t="str">
        <x:v>West Bering Sea</x:v>
      </x:c>
      <x:c r="C17" s="24" t="str">
        <x:v>LME</x:v>
      </x:c>
      <x:c r="D17" s="30" t="n">
        <x:v>2019</x:v>
      </x:c>
      <x:c r="E17" s="24" t="str">
        <x:v>Decapoda</x:v>
      </x:c>
      <x:c r="F17" s="24" t="str">
        <x:v>Crabs, lobsters, shrimps</x:v>
      </x:c>
      <x:c r="G17" s="24" t="str">
        <x:v>Lobsters, crabs</x:v>
      </x:c>
      <x:c r="H17" s="24" t="str">
        <x:v>Crustaceans</x:v>
      </x:c>
      <x:c r="I17" s="31" t="n">
        <x:v>4197.1134097735</x:v>
      </x:c>
      <x:c r="J17" s="31" t="n">
        <x:v>4197.1134097735</x:v>
      </x:c>
      <x:c r="K17" s="31" t="n">
        <x:v>0</x:v>
      </x:c>
      <x:c r="L17" s="31" t="n">
        <x:v>4036.2388181466</x:v>
      </x:c>
      <x:c r="M17" s="31" t="n">
        <x:v>160.8745916269</x:v>
      </x:c>
      <x:c r="N17" s="24" t="str">
        <x:v>decapoda</x:v>
      </x:c>
      <x:c r="O17" s="32" t="n">
        <x:v>3.43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Decapoda</x:v>
      </x:c>
      <x:c r="T17" s="32" t="n">
        <x:f>IF(O17="","",(1/'Metadata'!$B$5)^(O17-1))</x:f>
        <x:v>269.1534803926917</x:v>
      </x:c>
      <x:c r="U17" s="31" t="n">
        <x:f>IF(T17="","",I17*T17)</x:f>
        <x:v>1129667.681843375</x:v>
      </x:c>
    </x:row>
    <x:row r="18" ht="18" customHeight="1">
      <x:c r="A18" s="24" t="str">
        <x:v>LME_053</x:v>
      </x:c>
      <x:c r="B18" s="24" t="str">
        <x:v>West Bering Sea</x:v>
      </x:c>
      <x:c r="C18" s="24" t="str">
        <x:v>LME</x:v>
      </x:c>
      <x:c r="D18" s="30" t="n">
        <x:v>2019</x:v>
      </x:c>
      <x:c r="E18" s="24" t="str">
        <x:v>Pleurogrammus monopterygius</x:v>
      </x:c>
      <x:c r="F18" s="24" t="str">
        <x:v>Atka mackerel</x:v>
      </x:c>
      <x:c r="G18" s="24" t="str">
        <x:v>Medium demersals (30 - 89 cm)</x:v>
      </x:c>
      <x:c r="H18" s="24" t="str">
        <x:v>Scorpionfishes</x:v>
      </x:c>
      <x:c r="I18" s="31" t="n">
        <x:v>3999.1067239802996</x:v>
      </x:c>
      <x:c r="J18" s="31" t="n">
        <x:v>3184.4898421665</x:v>
      </x:c>
      <x:c r="K18" s="31" t="n">
        <x:v>814.6168818138</x:v>
      </x:c>
      <x:c r="L18" s="31" t="n">
        <x:v>2389.7065731432</x:v>
      </x:c>
      <x:c r="M18" s="31" t="n">
        <x:v>1609.4001508371</x:v>
      </x:c>
      <x:c r="N18" s="24" t="str">
        <x:v>pleurogrammus monopterygius</x:v>
      </x:c>
      <x:c r="O18" s="32" t="n">
        <x:v>3.38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Pleurogrammus monopterygius</x:v>
      </x:c>
      <x:c r="T18" s="32" t="n">
        <x:f>IF(O18="","",(1/'Metadata'!$B$5)^(O18-1))</x:f>
        <x:v>239.88329190194898</x:v>
      </x:c>
      <x:c r="U18" s="31" t="n">
        <x:f>IF(T18="","",I18*T18)</x:f>
        <x:v>959318.8856156131</x:v>
      </x:c>
    </x:row>
    <x:row r="19" ht="18" customHeight="1">
      <x:c r="A19" s="24" t="str">
        <x:v>LME_053</x:v>
      </x:c>
      <x:c r="B19" s="24" t="str">
        <x:v>West Bering Sea</x:v>
      </x:c>
      <x:c r="C19" s="24" t="str">
        <x:v>LME</x:v>
      </x:c>
      <x:c r="D19" s="30" t="n">
        <x:v>2019</x:v>
      </x:c>
      <x:c r="E19" s="24" t="str">
        <x:v>Batoidea</x:v>
      </x:c>
      <x:c r="F19" s="24" t="str">
        <x:v>Batoids, skates, rays, sawfishes</x:v>
      </x:c>
      <x:c r="G19" s="24" t="str">
        <x:v>Large rays (&gt;=90 cm)</x:v>
      </x:c>
      <x:c r="H19" s="24" t="str">
        <x:v>Sharks &amp; rays</x:v>
      </x:c>
      <x:c r="I19" s="31" t="n">
        <x:v>3226.378593176</x:v>
      </x:c>
      <x:c r="J19" s="31" t="n">
        <x:v>0</x:v>
      </x:c>
      <x:c r="K19" s="31" t="n">
        <x:v>3226.378593176</x:v>
      </x:c>
      <x:c r="L19" s="31" t="n">
        <x:v>0</x:v>
      </x:c>
      <x:c r="M19" s="31" t="n">
        <x:v>3226.378593176</x:v>
      </x:c>
      <x:c r="N19" s="24" t="str">
        <x:v>batoidea</x:v>
      </x:c>
      <x:c r="O19" s="32" t="n">
        <x:v>3.72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Batoidea</x:v>
      </x:c>
      <x:c r="T19" s="32" t="n">
        <x:f>IF(O19="","",(1/'Metadata'!$B$5)^(O19-1))</x:f>
        <x:v>524.8074602497728</x:v>
      </x:c>
      <x:c r="U19" s="31" t="n">
        <x:f>IF(T19="","",I19*T19)</x:f>
        <x:v>1693227.5552889316</x:v>
      </x:c>
    </x:row>
    <x:row r="20" ht="18" customHeight="1">
      <x:c r="A20" s="24" t="str">
        <x:v>LME_053</x:v>
      </x:c>
      <x:c r="B20" s="24" t="str">
        <x:v>West Bering Sea</x:v>
      </x:c>
      <x:c r="C20" s="24" t="str">
        <x:v>LME</x:v>
      </x:c>
      <x:c r="D20" s="30" t="n">
        <x:v>2019</x:v>
      </x:c>
      <x:c r="E20" s="24" t="str">
        <x:v>Ammodytes personatus</x:v>
      </x:c>
      <x:c r="F20" s="24" t="str">
        <x:v>Pacific sandlance</x:v>
      </x:c>
      <x:c r="G20" s="24" t="str">
        <x:v>Small demersals (&lt;30 cm)</x:v>
      </x:c>
      <x:c r="H20" s="24" t="str">
        <x:v>Perch-likes</x:v>
      </x:c>
      <x:c r="I20" s="31" t="n">
        <x:v>3096.1231134459003</x:v>
      </x:c>
      <x:c r="J20" s="31" t="n">
        <x:v>3096.1231134459003</x:v>
      </x:c>
      <x:c r="K20" s="31" t="n">
        <x:v>0</x:v>
      </x:c>
      <x:c r="L20" s="31" t="n">
        <x:v>3096.1231134459003</x:v>
      </x:c>
      <x:c r="M20" s="31" t="n">
        <x:v>0</x:v>
      </x:c>
      <x:c r="N20" s="24" t="str">
        <x:v>ammodytes personatus</x:v>
      </x:c>
      <x:c r="O20" s="32" t="n">
        <x:v>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Ammodytes personatus</x:v>
      </x:c>
      <x:c r="T20" s="32" t="n">
        <x:f>IF(O20="","",(1/'Metadata'!$B$5)^(O20-1))</x:f>
        <x:v>100</x:v>
      </x:c>
      <x:c r="U20" s="31" t="n">
        <x:f>IF(T20="","",I20*T20)</x:f>
        <x:v>309612.31134459004</x:v>
      </x:c>
    </x:row>
    <x:row r="21" ht="18" customHeight="1">
      <x:c r="A21" s="24" t="str">
        <x:v>LME_053</x:v>
      </x:c>
      <x:c r="B21" s="24" t="str">
        <x:v>West Bering Sea</x:v>
      </x:c>
      <x:c r="C21" s="24" t="str">
        <x:v>LME</x:v>
      </x:c>
      <x:c r="D21" s="30" t="n">
        <x:v>2019</x:v>
      </x:c>
      <x:c r="E21" s="24" t="str">
        <x:v>Paralithodes camtschaticus</x:v>
      </x:c>
      <x:c r="F21" s="24" t="str">
        <x:v>Red king crab</x:v>
      </x:c>
      <x:c r="G21" s="24" t="str">
        <x:v>Lobsters, crabs</x:v>
      </x:c>
      <x:c r="H21" s="24" t="str">
        <x:v>Crustaceans</x:v>
      </x:c>
      <x:c r="I21" s="31" t="n">
        <x:v>2422.4601602794</x:v>
      </x:c>
      <x:c r="J21" s="31" t="n">
        <x:v>2422.4601602794</x:v>
      </x:c>
      <x:c r="K21" s="31" t="n">
        <x:v>0</x:v>
      </x:c>
      <x:c r="L21" s="31" t="n">
        <x:v>1388.250351804</x:v>
      </x:c>
      <x:c r="M21" s="31" t="n">
        <x:v>1034.2098084754</x:v>
      </x:c>
      <x:c r="N21" s="24" t="str">
        <x:v>paralithodes camtschaticus</x:v>
      </x:c>
      <x:c r="O21" s="32" t="n">
        <x:v>3.7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Paralithodes camtschaticus</x:v>
      </x:c>
      <x:c r="T21" s="32" t="n">
        <x:f>IF(O21="","",(1/'Metadata'!$B$5)^(O21-1))</x:f>
        <x:v>501.18723362727246</x:v>
      </x:c>
      <x:c r="U21" s="31" t="n">
        <x:f>IF(T21="","",I21*T21)</x:f>
        <x:v>1214106.1063027116</x:v>
      </x:c>
    </x:row>
    <x:row r="22" ht="18" customHeight="1">
      <x:c r="A22" s="24" t="str">
        <x:v>LME_053</x:v>
      </x:c>
      <x:c r="B22" s="24" t="str">
        <x:v>West Bering Sea</x:v>
      </x:c>
      <x:c r="C22" s="24" t="str">
        <x:v>LME</x:v>
      </x:c>
      <x:c r="D22" s="30" t="n">
        <x:v>2019</x:v>
      </x:c>
      <x:c r="E22" s="24" t="str">
        <x:v>Paralithodes brevipes</x:v>
      </x:c>
      <x:c r="F22" s="24" t="str">
        <x:v>Spiny king crab</x:v>
      </x:c>
      <x:c r="G22" s="24" t="str">
        <x:v>Lobsters, crabs</x:v>
      </x:c>
      <x:c r="H22" s="24" t="str">
        <x:v>Crustaceans</x:v>
      </x:c>
      <x:c r="I22" s="31" t="n">
        <x:v>2168.4341080844</x:v>
      </x:c>
      <x:c r="J22" s="31" t="n">
        <x:v>2168.4341080844</x:v>
      </x:c>
      <x:c r="K22" s="31" t="n">
        <x:v>0</x:v>
      </x:c>
      <x:c r="L22" s="31" t="n">
        <x:v>742.3217019535</x:v>
      </x:c>
      <x:c r="M22" s="31" t="n">
        <x:v>1426.1124061309</x:v>
      </x:c>
      <x:c r="N22" s="24" t="str">
        <x:v>paralithodes brevipes</x:v>
      </x:c>
      <x:c r="O22" s="32" t="n">
        <x:v>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Paralithodes brevipes</x:v>
      </x:c>
      <x:c r="T22" s="32" t="n">
        <x:f>IF(O22="","",(1/'Metadata'!$B$5)^(O22-1))</x:f>
        <x:v>10</x:v>
      </x:c>
      <x:c r="U22" s="31" t="n">
        <x:f>IF(T22="","",I22*T22)</x:f>
        <x:v>21684.341080844002</x:v>
      </x:c>
    </x:row>
    <x:row r="23" ht="18" customHeight="1">
      <x:c r="A23" s="24" t="str">
        <x:v>LME_053</x:v>
      </x:c>
      <x:c r="B23" s="24" t="str">
        <x:v>West Bering Sea</x:v>
      </x:c>
      <x:c r="C23" s="24" t="str">
        <x:v>LME</x:v>
      </x:c>
      <x:c r="D23" s="30" t="n">
        <x:v>2019</x:v>
      </x:c>
      <x:c r="E23" s="24" t="str">
        <x:v>Brachyura</x:v>
      </x:c>
      <x:c r="F23" s="24" t="str">
        <x:v>Marine crabs</x:v>
      </x:c>
      <x:c r="G23" s="24" t="str">
        <x:v>Lobsters, crabs</x:v>
      </x:c>
      <x:c r="H23" s="24" t="str">
        <x:v>Crustaceans</x:v>
      </x:c>
      <x:c r="I23" s="31" t="n">
        <x:v>2156.3543497149</x:v>
      </x:c>
      <x:c r="J23" s="31" t="n">
        <x:v>2156.3543497149</x:v>
      </x:c>
      <x:c r="K23" s="31" t="n">
        <x:v>0</x:v>
      </x:c>
      <x:c r="L23" s="31" t="n">
        <x:v>2156.3543497149</x:v>
      </x:c>
      <x:c r="M23" s="31" t="n">
        <x:v>0</x:v>
      </x:c>
      <x:c r="N23" s="24" t="str">
        <x:v>brachyura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Brachyura</x:v>
      </x:c>
      <x:c r="T23" s="32" t="n">
        <x:f>IF(O23="","",(1/'Metadata'!$B$5)^(O23-1))</x:f>
        <x:v>39.810717055349734</x:v>
      </x:c>
      <x:c r="U23" s="31" t="n">
        <x:f>IF(T23="","",I23*T23)</x:f>
        <x:v>85846.01288757255</x:v>
      </x:c>
    </x:row>
    <x:row r="24" ht="18" customHeight="1">
      <x:c r="A24" s="24" t="str">
        <x:v>LME_053</x:v>
      </x:c>
      <x:c r="B24" s="24" t="str">
        <x:v>West Bering Sea</x:v>
      </x:c>
      <x:c r="C24" s="24" t="str">
        <x:v>LME</x:v>
      </x:c>
      <x:c r="D24" s="30" t="n">
        <x:v>2019</x:v>
      </x:c>
      <x:c r="E24" s="24" t="str">
        <x:v>Cephalopoda</x:v>
      </x:c>
      <x:c r="F24" s="24" t="str">
        <x:v>Squids, cuttlefishes, octopuses</x:v>
      </x:c>
      <x:c r="G24" s="24" t="str">
        <x:v>Cephalopods</x:v>
      </x:c>
      <x:c r="H24" s="24" t="str">
        <x:v>Other fishes &amp; inverts</x:v>
      </x:c>
      <x:c r="I24" s="31" t="n">
        <x:v>2067.1222829058</x:v>
      </x:c>
      <x:c r="J24" s="31" t="n">
        <x:v>2067.1222829058</x:v>
      </x:c>
      <x:c r="K24" s="31" t="n">
        <x:v>0</x:v>
      </x:c>
      <x:c r="L24" s="31" t="n">
        <x:v>783.5835638347</x:v>
      </x:c>
      <x:c r="M24" s="31" t="n">
        <x:v>1283.5387190711</x:v>
      </x:c>
      <x:c r="N24" s="24" t="str">
        <x:v>cephalopoda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Cephalopoda</x:v>
      </x:c>
      <x:c r="T24" s="32" t="n">
        <x:f>IF(O24="","",(1/'Metadata'!$B$5)^(O24-1))</x:f>
        <x:v>645.6542290346556</x:v>
      </x:c>
      <x:c r="U24" s="31" t="n">
        <x:f>IF(T24="","",I24*T24)</x:f>
        <x:v>1334646.2438899016</x:v>
      </x:c>
    </x:row>
    <x:row r="25" ht="18" customHeight="1">
      <x:c r="A25" s="24" t="str">
        <x:v>LME_053</x:v>
      </x:c>
      <x:c r="B25" s="24" t="str">
        <x:v>West Bering Sea</x:v>
      </x:c>
      <x:c r="C25" s="24" t="str">
        <x:v>LME</x:v>
      </x:c>
      <x:c r="D25" s="30" t="n">
        <x:v>2019</x:v>
      </x:c>
      <x:c r="E25" s="24" t="str">
        <x:v>Echinoidea</x:v>
      </x:c>
      <x:c r="F25" s="24" t="str">
        <x:v>Sea urchins, sea hedgehogs</x:v>
      </x:c>
      <x:c r="G25" s="24" t="str">
        <x:v>Other demersal invertebrates</x:v>
      </x:c>
      <x:c r="H25" s="24" t="str">
        <x:v>Other fishes &amp; inverts</x:v>
      </x:c>
      <x:c r="I25" s="31" t="n">
        <x:v>1923.6511810979</x:v>
      </x:c>
      <x:c r="J25" s="31" t="n">
        <x:v>1923.6511810979</x:v>
      </x:c>
      <x:c r="K25" s="31" t="n">
        <x:v>0</x:v>
      </x:c>
      <x:c r="L25" s="31" t="n">
        <x:v>1500.7303436875</x:v>
      </x:c>
      <x:c r="M25" s="31" t="n">
        <x:v>422.9208374104</x:v>
      </x:c>
      <x:c r="N25" s="24" t="str">
        <x:v>echinoidea</x:v>
      </x:c>
      <x:c r="O25" s="32" t="n">
        <x:v>2.51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Echinoidea</x:v>
      </x:c>
      <x:c r="T25" s="32" t="n">
        <x:f>IF(O25="","",(1/'Metadata'!$B$5)^(O25-1))</x:f>
        <x:v>32.35936569296281</x:v>
      </x:c>
      <x:c r="U25" s="31" t="n">
        <x:f>IF(T25="","",I25*T25)</x:f>
        <x:v>62248.13203484678</x:v>
      </x:c>
    </x:row>
    <x:row r="26" ht="18" customHeight="1">
      <x:c r="A26" s="24" t="str">
        <x:v>LME_053</x:v>
      </x:c>
      <x:c r="B26" s="24" t="str">
        <x:v>West Bering Sea</x:v>
      </x:c>
      <x:c r="C26" s="24" t="str">
        <x:v>LME</x:v>
      </x:c>
      <x:c r="D26" s="30" t="n">
        <x:v>2019</x:v>
      </x:c>
      <x:c r="E26" s="24" t="str">
        <x:v>Reinhardtius hippoglossoides</x:v>
      </x:c>
      <x:c r="F26" s="24" t="str">
        <x:v>Greenland halibut</x:v>
      </x:c>
      <x:c r="G26" s="24" t="str">
        <x:v>Small to medium flatfishes (&lt;90 cm)</x:v>
      </x:c>
      <x:c r="H26" s="24" t="str">
        <x:v>Flatfishes</x:v>
      </x:c>
      <x:c r="I26" s="31" t="n">
        <x:v>1573.9759595257</x:v>
      </x:c>
      <x:c r="J26" s="31" t="n">
        <x:v>1370.6391382205002</x:v>
      </x:c>
      <x:c r="K26" s="31" t="n">
        <x:v>203.3368213052</x:v>
      </x:c>
      <x:c r="L26" s="31" t="n">
        <x:v>953.6699866161</x:v>
      </x:c>
      <x:c r="M26" s="31" t="n">
        <x:v>620.3059729096001</x:v>
      </x:c>
      <x:c r="N26" s="24" t="str">
        <x:v>reinhardtius hippoglossoides</x:v>
      </x:c>
      <x:c r="O26" s="32" t="n">
        <x:v>4.38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Reinhardtius hippoglossoides</x:v>
      </x:c>
      <x:c r="T26" s="32" t="n">
        <x:f>IF(O26="","",(1/'Metadata'!$B$5)^(O26-1))</x:f>
        <x:v>2398.83291901949</x:v>
      </x:c>
      <x:c r="U26" s="31" t="n">
        <x:f>IF(T26="","",I26*T26)</x:f>
        <x:v>3775705.3454555376</x:v>
      </x:c>
    </x:row>
    <x:row r="27" ht="18" customHeight="1">
      <x:c r="A27" s="24" t="str">
        <x:v>LME_053</x:v>
      </x:c>
      <x:c r="B27" s="24" t="str">
        <x:v>West Bering Sea</x:v>
      </x:c>
      <x:c r="C27" s="24" t="str">
        <x:v>LME</x:v>
      </x:c>
      <x:c r="D27" s="30" t="n">
        <x:v>2019</x:v>
      </x:c>
      <x:c r="E27" s="24" t="str">
        <x:v>Mallotus villosus</x:v>
      </x:c>
      <x:c r="F27" s="24" t="str">
        <x:v>Capelin</x:v>
      </x:c>
      <x:c r="G27" s="24" t="str">
        <x:v>Small pelagics (&lt;30 cm)</x:v>
      </x:c>
      <x:c r="H27" s="24" t="str">
        <x:v>Salmon, smelts, etc</x:v>
      </x:c>
      <x:c r="I27" s="31" t="n">
        <x:v>1571.0923610170998</x:v>
      </x:c>
      <x:c r="J27" s="31" t="n">
        <x:v>710.4911616457</x:v>
      </x:c>
      <x:c r="K27" s="31" t="n">
        <x:v>860.6011993714</x:v>
      </x:c>
      <x:c r="L27" s="31" t="n">
        <x:v>564.1304958929</x:v>
      </x:c>
      <x:c r="M27" s="31" t="n">
        <x:v>1006.9618651241999</x:v>
      </x:c>
      <x:c r="N27" s="24" t="str">
        <x:v>mallotus villosus</x:v>
      </x:c>
      <x:c r="O27" s="32" t="n">
        <x:v>3.15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Mallotus villosus</x:v>
      </x:c>
      <x:c r="T27" s="32" t="n">
        <x:f>IF(O27="","",(1/'Metadata'!$B$5)^(O27-1))</x:f>
        <x:v>141.2537544622754</x:v>
      </x:c>
      <x:c r="U27" s="31" t="n">
        <x:f>IF(T27="","",I27*T27)</x:f>
        <x:v>221922.69460066594</x:v>
      </x:c>
    </x:row>
    <x:row r="28" ht="18" customHeight="1">
      <x:c r="A28" s="24" t="str">
        <x:v>LME_053</x:v>
      </x:c>
      <x:c r="B28" s="24" t="str">
        <x:v>West Bering Sea</x:v>
      </x:c>
      <x:c r="C28" s="24" t="str">
        <x:v>LME</x:v>
      </x:c>
      <x:c r="D28" s="30" t="n">
        <x:v>2019</x:v>
      </x:c>
      <x:c r="E28" s="24" t="str">
        <x:v>Pandalus borealis</x:v>
      </x:c>
      <x:c r="F28" s="24" t="str">
        <x:v>Northern prawn</x:v>
      </x:c>
      <x:c r="G28" s="24" t="str">
        <x:v>Shrimps</x:v>
      </x:c>
      <x:c r="H28" s="24" t="str">
        <x:v>Crustaceans</x:v>
      </x:c>
      <x:c r="I28" s="31" t="n">
        <x:v>1476.0621243111002</x:v>
      </x:c>
      <x:c r="J28" s="31" t="n">
        <x:v>1476.0621243111002</x:v>
      </x:c>
      <x:c r="K28" s="31" t="n">
        <x:v>0</x:v>
      </x:c>
      <x:c r="L28" s="31" t="n">
        <x:v>1157.2395929367</x:v>
      </x:c>
      <x:c r="M28" s="31" t="n">
        <x:v>318.8225313744</x:v>
      </x:c>
      <x:c r="N28" s="24" t="str">
        <x:v>pandalus borealis</x:v>
      </x:c>
      <x:c r="O28" s="32" t="n">
        <x:v>3.07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Pandalus borealis</x:v>
      </x:c>
      <x:c r="T28" s="32" t="n">
        <x:f>IF(O28="","",(1/'Metadata'!$B$5)^(O28-1))</x:f>
        <x:v>117.48975549395291</x:v>
      </x:c>
      <x:c r="U28" s="31" t="n">
        <x:f>IF(T28="","",I28*T28)</x:f>
        <x:v>173422.1780791959</x:v>
      </x:c>
    </x:row>
    <x:row r="29" ht="18" customHeight="1">
      <x:c r="A29" s="24" t="str">
        <x:v>LME_053</x:v>
      </x:c>
      <x:c r="B29" s="24" t="str">
        <x:v>West Bering Sea</x:v>
      </x:c>
      <x:c r="C29" s="24" t="str">
        <x:v>LME</x:v>
      </x:c>
      <x:c r="D29" s="30" t="n">
        <x:v>2019</x:v>
      </x:c>
      <x:c r="E29" s="24" t="str">
        <x:v>Gastropoda</x:v>
      </x:c>
      <x:c r="F29" s="24" t="str">
        <x:v>Sea snails</x:v>
      </x:c>
      <x:c r="G29" s="24" t="str">
        <x:v>Other demersal invertebrates</x:v>
      </x:c>
      <x:c r="H29" s="24" t="str">
        <x:v>Molluscs</x:v>
      </x:c>
      <x:c r="I29" s="31" t="n">
        <x:v>1410.4650225337</x:v>
      </x:c>
      <x:c r="J29" s="31" t="n">
        <x:v>1410.4650225337</x:v>
      </x:c>
      <x:c r="K29" s="31" t="n">
        <x:v>0</x:v>
      </x:c>
      <x:c r="L29" s="31" t="n">
        <x:v>1182.4608789393</x:v>
      </x:c>
      <x:c r="M29" s="31" t="n">
        <x:v>228.0041435944</x:v>
      </x:c>
      <x:c r="N29" s="24" t="str">
        <x:v>gastropoda</x:v>
      </x:c>
      <x:c r="O29" s="32" t="n">
        <x:v>3.06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Gastropoda</x:v>
      </x:c>
      <x:c r="T29" s="32" t="n">
        <x:f>IF(O29="","",(1/'Metadata'!$B$5)^(O29-1))</x:f>
        <x:v>114.81536214968828</x:v>
      </x:c>
      <x:c r="U29" s="31" t="n">
        <x:f>IF(T29="","",I29*T29)</x:f>
        <x:v>161943.052361675</x:v>
      </x:c>
    </x:row>
    <x:row r="30" ht="18" customHeight="1">
      <x:c r="A30" s="24" t="str">
        <x:v>LME_053</x:v>
      </x:c>
      <x:c r="B30" s="24" t="str">
        <x:v>West Bering Sea</x:v>
      </x:c>
      <x:c r="C30" s="24" t="str">
        <x:v>LME</x:v>
      </x:c>
      <x:c r="D30" s="30" t="n">
        <x:v>2019</x:v>
      </x:c>
      <x:c r="E30" s="24" t="str">
        <x:v>Cololabis saira</x:v>
      </x:c>
      <x:c r="F30" s="24" t="str">
        <x:v>Pacific saury</x:v>
      </x:c>
      <x:c r="G30" s="24" t="str">
        <x:v>Medium pelagics (30 - 89 cm)</x:v>
      </x:c>
      <x:c r="H30" s="24" t="str">
        <x:v>Other fishes &amp; inverts</x:v>
      </x:c>
      <x:c r="I30" s="31" t="n">
        <x:v>912.129256753</x:v>
      </x:c>
      <x:c r="J30" s="31" t="n">
        <x:v>912.129256753</x:v>
      </x:c>
      <x:c r="K30" s="31" t="n">
        <x:v>0</x:v>
      </x:c>
      <x:c r="L30" s="31" t="n">
        <x:v>633.4990212733</x:v>
      </x:c>
      <x:c r="M30" s="31" t="n">
        <x:v>278.6302354797</x:v>
      </x:c>
      <x:c r="N30" s="24" t="str">
        <x:v>cololabis saira</x:v>
      </x:c>
      <x:c r="O30" s="32" t="n">
        <x:v>3.71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Cololabis saira</x:v>
      </x:c>
      <x:c r="T30" s="32" t="n">
        <x:f>IF(O30="","",(1/'Metadata'!$B$5)^(O30-1))</x:f>
        <x:v>512.8613839913648</x:v>
      </x:c>
      <x:c r="U30" s="31" t="n">
        <x:f>IF(T30="","",I30*T30)</x:f>
        <x:v>467795.87299735856</x:v>
      </x:c>
    </x:row>
    <x:row r="31" ht="18" customHeight="1">
      <x:c r="A31" s="24" t="str">
        <x:v>LME_053</x:v>
      </x:c>
      <x:c r="B31" s="24" t="str">
        <x:v>West Bering Sea</x:v>
      </x:c>
      <x:c r="C31" s="24" t="str">
        <x:v>LME</x:v>
      </x:c>
      <x:c r="D31" s="30" t="n">
        <x:v>2019</x:v>
      </x:c>
      <x:c r="E31" s="24" t="str">
        <x:v>Salmonidae</x:v>
      </x:c>
      <x:c r="F31" s="24" t="str">
        <x:v>Salmonids</x:v>
      </x:c>
      <x:c r="G31" s="24" t="str">
        <x:v>Large benthopelagics (&gt;=90 cm)</x:v>
      </x:c>
      <x:c r="H31" s="24" t="str">
        <x:v>Salmon, smelts, etc</x:v>
      </x:c>
      <x:c r="I31" s="31" t="n">
        <x:v>834.0140365053</x:v>
      </x:c>
      <x:c r="J31" s="31" t="n">
        <x:v>834.0140365053</x:v>
      </x:c>
      <x:c r="K31" s="31" t="n">
        <x:v>0</x:v>
      </x:c>
      <x:c r="L31" s="31" t="n">
        <x:v>834.0140365053</x:v>
      </x:c>
      <x:c r="M31" s="31" t="n">
        <x:v>0</x:v>
      </x:c>
      <x:c r="N31" s="24" t="str">
        <x:v>salmonidae</x:v>
      </x:c>
      <x:c r="O31" s="32" t="n">
        <x:v>3.3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Salmonidae</x:v>
      </x:c>
      <x:c r="T31" s="32" t="n">
        <x:f>IF(O31="","",(1/'Metadata'!$B$5)^(O31-1))</x:f>
        <x:v>199.52623149688787</x:v>
      </x:c>
      <x:c r="U31" s="31" t="n">
        <x:f>IF(T31="","",I31*T31)</x:f>
        <x:v>166407.6777194104</x:v>
      </x:c>
    </x:row>
    <x:row r="32" ht="18" customHeight="1">
      <x:c r="A32" s="24" t="str">
        <x:v>LME_053</x:v>
      </x:c>
      <x:c r="B32" s="24" t="str">
        <x:v>West Bering Sea</x:v>
      </x:c>
      <x:c r="C32" s="24" t="str">
        <x:v>LME</x:v>
      </x:c>
      <x:c r="D32" s="30" t="n">
        <x:v>2019</x:v>
      </x:c>
      <x:c r="E32" s="24" t="str">
        <x:v>Hippoglossus stenolepis</x:v>
      </x:c>
      <x:c r="F32" s="24" t="str">
        <x:v>Pacific halibut</x:v>
      </x:c>
      <x:c r="G32" s="24" t="str">
        <x:v>Large flatfishes (&gt;=90 cm)</x:v>
      </x:c>
      <x:c r="H32" s="24" t="str">
        <x:v>Flatfishes</x:v>
      </x:c>
      <x:c r="I32" s="31" t="n">
        <x:v>529.4252915611</x:v>
      </x:c>
      <x:c r="J32" s="31" t="n">
        <x:v>462.81364771200003</x:v>
      </x:c>
      <x:c r="K32" s="31" t="n">
        <x:v>66.6116438491</x:v>
      </x:c>
      <x:c r="L32" s="31" t="n">
        <x:v>352.61670226350003</x:v>
      </x:c>
      <x:c r="M32" s="31" t="n">
        <x:v>176.8085892976</x:v>
      </x:c>
      <x:c r="N32" s="24" t="str">
        <x:v>hippoglossus stenolepis</x:v>
      </x:c>
      <x:c r="O32" s="32" t="n">
        <x:v>4.14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Hippoglossus stenolepis</x:v>
      </x:c>
      <x:c r="T32" s="32" t="n">
        <x:f>IF(O32="","",(1/'Metadata'!$B$5)^(O32-1))</x:f>
        <x:v>1380.3842646028838</x:v>
      </x:c>
      <x:c r="U32" s="31" t="n">
        <x:f>IF(T32="","",I32*T32)</x:f>
        <x:v>730810.3417537365</x:v>
      </x:c>
    </x:row>
    <x:row r="33" ht="18" customHeight="1">
      <x:c r="A33" s="24" t="str">
        <x:v>LME_053</x:v>
      </x:c>
      <x:c r="B33" s="24" t="str">
        <x:v>West Bering Sea</x:v>
      </x:c>
      <x:c r="C33" s="24" t="str">
        <x:v>LME</x:v>
      </x:c>
      <x:c r="D33" s="30" t="n">
        <x:v>2019</x:v>
      </x:c>
      <x:c r="E33" s="24" t="str">
        <x:v>Sebastes alutus</x:v>
      </x:c>
      <x:c r="F33" s="24" t="str">
        <x:v>Pacific ocean perch</x:v>
      </x:c>
      <x:c r="G33" s="24" t="str">
        <x:v>Medium demersals (30 - 89 cm)</x:v>
      </x:c>
      <x:c r="H33" s="24" t="str">
        <x:v>Scorpionfishes</x:v>
      </x:c>
      <x:c r="I33" s="31" t="n">
        <x:v>525.64384763</x:v>
      </x:c>
      <x:c r="J33" s="31" t="n">
        <x:v>525.64384763</x:v>
      </x:c>
      <x:c r="K33" s="31" t="n">
        <x:v>0</x:v>
      </x:c>
      <x:c r="L33" s="31" t="n">
        <x:v>439.97168057820005</x:v>
      </x:c>
      <x:c r="M33" s="31" t="n">
        <x:v>85.6721670518</x:v>
      </x:c>
      <x:c r="N33" s="24" t="str">
        <x:v>sebastes alutus</x:v>
      </x:c>
      <x:c r="O33" s="32" t="n">
        <x:v>3.48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Sebastes alutus</x:v>
      </x:c>
      <x:c r="T33" s="32" t="n">
        <x:f>IF(O33="","",(1/'Metadata'!$B$5)^(O33-1))</x:f>
        <x:v>301.9951720402016</x:v>
      </x:c>
      <x:c r="U33" s="31" t="n">
        <x:f>IF(T33="","",I33*T33)</x:f>
        <x:v>158741.90419689537</x:v>
      </x:c>
    </x:row>
    <x:row r="34" ht="18" customHeight="1">
      <x:c r="A34" s="24" t="str">
        <x:v>LME_053</x:v>
      </x:c>
      <x:c r="B34" s="24" t="str">
        <x:v>West Bering Sea</x:v>
      </x:c>
      <x:c r="C34" s="24" t="str">
        <x:v>LME</x:v>
      </x:c>
      <x:c r="D34" s="30" t="n">
        <x:v>2019</x:v>
      </x:c>
      <x:c r="E34" s="24" t="str">
        <x:v>Salvelinus</x:v>
      </x:c>
      <x:c r="F34" s="24" t="str">
        <x:v>Chars</x:v>
      </x:c>
      <x:c r="G34" s="24" t="str">
        <x:v>Large benthopelagics (&gt;=90 cm)</x:v>
      </x:c>
      <x:c r="H34" s="24" t="str">
        <x:v>Salmon, smelts, etc</x:v>
      </x:c>
      <x:c r="I34" s="31" t="n">
        <x:v>523.0778253909</x:v>
      </x:c>
      <x:c r="J34" s="31" t="n">
        <x:v>523.0778253909</x:v>
      </x:c>
      <x:c r="K34" s="31" t="n">
        <x:v>0</x:v>
      </x:c>
      <x:c r="L34" s="31" t="n">
        <x:v>0</x:v>
      </x:c>
      <x:c r="M34" s="31" t="n">
        <x:v>523.0778253909</x:v>
      </x:c>
      <x:c r="N34" s="24" t="str">
        <x:v>salvelinus</x:v>
      </x:c>
      <x:c r="O34" s="32" t="n">
        <x:v>4.1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Salvelinus</x:v>
      </x:c>
      <x:c r="T34" s="32" t="n">
        <x:f>IF(O34="","",(1/'Metadata'!$B$5)^(O34-1))</x:f>
        <x:v>1258.9254117941662</x:v>
      </x:c>
      <x:c r="U34" s="31" t="n">
        <x:f>IF(T34="","",I34*T34)</x:f>
        <x:v>658515.9667306357</x:v>
      </x:c>
    </x:row>
    <x:row r="35" ht="18" customHeight="1">
      <x:c r="A35" s="24" t="str">
        <x:v>LME_053</x:v>
      </x:c>
      <x:c r="B35" s="24" t="str">
        <x:v>West Bering Sea</x:v>
      </x:c>
      <x:c r="C35" s="24" t="str">
        <x:v>LME</x:v>
      </x:c>
      <x:c r="D35" s="30" t="n">
        <x:v>2019</x:v>
      </x:c>
      <x:c r="E35" s="24" t="str">
        <x:v>Mugil cephalus</x:v>
      </x:c>
      <x:c r="F35" s="24" t="str">
        <x:v>Flathead grey mullet</x:v>
      </x:c>
      <x:c r="G35" s="24" t="str">
        <x:v>Large benthopelagics (&gt;=90 cm)</x:v>
      </x:c>
      <x:c r="H35" s="24" t="str">
        <x:v>Perch-likes</x:v>
      </x:c>
      <x:c r="I35" s="31" t="n">
        <x:v>507.67355150839995</x:v>
      </x:c>
      <x:c r="J35" s="31" t="n">
        <x:v>507.67355150839995</x:v>
      </x:c>
      <x:c r="K35" s="31" t="n">
        <x:v>0</x:v>
      </x:c>
      <x:c r="L35" s="31" t="n">
        <x:v>507.67355150839995</x:v>
      </x:c>
      <x:c r="M35" s="31" t="n">
        <x:v>0</x:v>
      </x:c>
      <x:c r="N35" s="24" t="str">
        <x:v>mugil cephalus</x:v>
      </x:c>
      <x:c r="O35" s="32" t="n">
        <x:v>2.14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Mugil cephalus</x:v>
      </x:c>
      <x:c r="T35" s="32" t="n">
        <x:f>IF(O35="","",(1/'Metadata'!$B$5)^(O35-1))</x:f>
        <x:v>13.803842646028853</x:v>
      </x:c>
      <x:c r="U35" s="31" t="n">
        <x:f>IF(T35="","",I35*T35)</x:f>
        <x:v>7007.8458205725765</x:v>
      </x:c>
    </x:row>
    <x:row r="36" ht="18" customHeight="1">
      <x:c r="A36" s="24" t="str">
        <x:v>LME_053</x:v>
      </x:c>
      <x:c r="B36" s="24" t="str">
        <x:v>West Bering Sea</x:v>
      </x:c>
      <x:c r="C36" s="24" t="str">
        <x:v>LME</x:v>
      </x:c>
      <x:c r="D36" s="30" t="n">
        <x:v>2019</x:v>
      </x:c>
      <x:c r="E36" s="24" t="str">
        <x:v>Octopoda</x:v>
      </x:c>
      <x:c r="F36" s="24" t="str">
        <x:v>Octopuses, argonauts</x:v>
      </x:c>
      <x:c r="G36" s="24" t="str">
        <x:v>Cephalopods</x:v>
      </x:c>
      <x:c r="H36" s="24" t="str">
        <x:v>Other fishes &amp; inverts</x:v>
      </x:c>
      <x:c r="I36" s="31" t="n">
        <x:v>502.2106413493</x:v>
      </x:c>
      <x:c r="J36" s="31" t="n">
        <x:v>502.2106413493</x:v>
      </x:c>
      <x:c r="K36" s="31" t="n">
        <x:v>0</x:v>
      </x:c>
      <x:c r="L36" s="31" t="n">
        <x:v>493.2504491892</x:v>
      </x:c>
      <x:c r="M36" s="31" t="n">
        <x:v>8.9601921601</x:v>
      </x:c>
      <x:c r="N36" s="24" t="str">
        <x:v>octopoda</x:v>
      </x:c>
      <x:c r="O36" s="32" t="n">
        <x:v>3.58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Octopoda</x:v>
      </x:c>
      <x:c r="T36" s="32" t="n">
        <x:f>IF(O36="","",(1/'Metadata'!$B$5)^(O36-1))</x:f>
        <x:v>380.1893963205613</x:v>
      </x:c>
      <x:c r="U36" s="31" t="n">
        <x:f>IF(T36="","",I36*T36)</x:f>
        <x:v>190935.16056035226</x:v>
      </x:c>
    </x:row>
    <x:row r="37" ht="18" customHeight="1">
      <x:c r="A37" s="24" t="str">
        <x:v>LME_053</x:v>
      </x:c>
      <x:c r="B37" s="24" t="str">
        <x:v>West Bering Sea</x:v>
      </x:c>
      <x:c r="C37" s="24" t="str">
        <x:v>LME</x:v>
      </x:c>
      <x:c r="D37" s="30" t="n">
        <x:v>2019</x:v>
      </x:c>
      <x:c r="E37" s="24" t="str">
        <x:v>Pandalus goniurus</x:v>
      </x:c>
      <x:c r="F37" s="24" t="str">
        <x:v>Humpy shrimp</x:v>
      </x:c>
      <x:c r="G37" s="24" t="str">
        <x:v>Shrimps</x:v>
      </x:c>
      <x:c r="H37" s="24" t="str">
        <x:v>Crustaceans</x:v>
      </x:c>
      <x:c r="I37" s="31" t="n">
        <x:v>394.0975811618</x:v>
      </x:c>
      <x:c r="J37" s="31" t="n">
        <x:v>394.0975811618</x:v>
      </x:c>
      <x:c r="K37" s="31" t="n">
        <x:v>0</x:v>
      </x:c>
      <x:c r="L37" s="31" t="n">
        <x:v>239.8256930936</x:v>
      </x:c>
      <x:c r="M37" s="31" t="n">
        <x:v>154.2718880682</x:v>
      </x:c>
      <x:c r="N37" s="24" t="str">
        <x:v>pandalus goniurus</x:v>
      </x:c>
      <x:c r="O37" s="32" t="n">
        <x:v>2.6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Pandalus goniurus</x:v>
      </x:c>
      <x:c r="T37" s="32" t="n">
        <x:f>IF(O37="","",(1/'Metadata'!$B$5)^(O37-1))</x:f>
        <x:v>39.810717055349734</x:v>
      </x:c>
      <x:c r="U37" s="31" t="n">
        <x:f>IF(T37="","",I37*T37)</x:f>
        <x:v>15689.307295830147</x:v>
      </x:c>
    </x:row>
    <x:row r="38" ht="18" customHeight="1">
      <x:c r="A38" s="24" t="str">
        <x:v>LME_053</x:v>
      </x:c>
      <x:c r="B38" s="24" t="str">
        <x:v>West Bering Sea</x:v>
      </x:c>
      <x:c r="C38" s="24" t="str">
        <x:v>LME</x:v>
      </x:c>
      <x:c r="D38" s="30" t="n">
        <x:v>2019</x:v>
      </x:c>
      <x:c r="E38" s="24" t="str">
        <x:v>Pleuronectidae</x:v>
      </x:c>
      <x:c r="F38" s="24" t="str">
        <x:v>Righteye flounders</x:v>
      </x:c>
      <x:c r="G38" s="24" t="str">
        <x:v>Small to medium flatfishes (&lt;90 cm)</x:v>
      </x:c>
      <x:c r="H38" s="24" t="str">
        <x:v>Flatfishes</x:v>
      </x:c>
      <x:c r="I38" s="31" t="n">
        <x:v>372.40781530510003</x:v>
      </x:c>
      <x:c r="J38" s="31" t="n">
        <x:v>175.4823742286</x:v>
      </x:c>
      <x:c r="K38" s="31" t="n">
        <x:v>196.9254410765</x:v>
      </x:c>
      <x:c r="L38" s="31" t="n">
        <x:v>0</x:v>
      </x:c>
      <x:c r="M38" s="31" t="n">
        <x:v>372.40781530510003</x:v>
      </x:c>
      <x:c r="N38" s="24" t="str">
        <x:v>pleuronectidae</x:v>
      </x:c>
      <x:c r="O38" s="32" t="n">
        <x:v>3.49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Pleuronectidae</x:v>
      </x:c>
      <x:c r="T38" s="32" t="n">
        <x:f>IF(O38="","",(1/'Metadata'!$B$5)^(O38-1))</x:f>
        <x:v>309.0295432513592</x:v>
      </x:c>
      <x:c r="U38" s="31" t="n">
        <x:f>IF(T38="","",I38*T38)</x:f>
        <x:v>115085.0170669716</x:v>
      </x:c>
    </x:row>
    <x:row r="39" ht="18" customHeight="1">
      <x:c r="A39" s="24" t="str">
        <x:v>LME_053</x:v>
      </x:c>
      <x:c r="B39" s="24" t="str">
        <x:v>West Bering Sea</x:v>
      </x:c>
      <x:c r="C39" s="24" t="str">
        <x:v>LME</x:v>
      </x:c>
      <x:c r="D39" s="30" t="n">
        <x:v>2019</x:v>
      </x:c>
      <x:c r="E39" s="24" t="str">
        <x:v>Oncorhynchus tshawytscha</x:v>
      </x:c>
      <x:c r="F39" s="24" t="str">
        <x:v>Chinook salmon</x:v>
      </x:c>
      <x:c r="G39" s="24" t="str">
        <x:v>Large benthopelagics (&gt;=90 cm)</x:v>
      </x:c>
      <x:c r="H39" s="24" t="str">
        <x:v>Salmon, smelts, etc</x:v>
      </x:c>
      <x:c r="I39" s="31" t="n">
        <x:v>329.00319819919997</x:v>
      </x:c>
      <x:c r="J39" s="31" t="n">
        <x:v>328.92290823449997</x:v>
      </x:c>
      <x:c r="K39" s="31" t="n">
        <x:v>0.0802899647</x:v>
      </x:c>
      <x:c r="L39" s="31" t="n">
        <x:v>49.7035541094</x:v>
      </x:c>
      <x:c r="M39" s="31" t="n">
        <x:v>279.2996440898</x:v>
      </x:c>
      <x:c r="N39" s="24" t="str">
        <x:v>oncorhynchus tshawytscha</x:v>
      </x:c>
      <x:c r="O39" s="32" t="n">
        <x:v>4.4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Oncorhynchus tshawytscha</x:v>
      </x:c>
      <x:c r="T39" s="32" t="n">
        <x:f>IF(O39="","",(1/'Metadata'!$B$5)^(O39-1))</x:f>
        <x:v>2511.886431509582</x:v>
      </x:c>
      <x:c r="U39" s="31" t="n">
        <x:f>IF(T39="","",I39*T39)</x:f>
        <x:v>826418.6694798282</x:v>
      </x:c>
    </x:row>
    <x:row r="40" ht="18" customHeight="1">
      <x:c r="A40" s="24" t="str">
        <x:v>LME_053</x:v>
      </x:c>
      <x:c r="B40" s="24" t="str">
        <x:v>West Bering Sea</x:v>
      </x:c>
      <x:c r="C40" s="24" t="str">
        <x:v>LME</x:v>
      </x:c>
      <x:c r="D40" s="30" t="n">
        <x:v>2019</x:v>
      </x:c>
      <x:c r="E40" s="24" t="str">
        <x:v>Osmeridae</x:v>
      </x:c>
      <x:c r="F40" s="24" t="str">
        <x:v>Smelts</x:v>
      </x:c>
      <x:c r="G40" s="24" t="str">
        <x:v>Small pelagics (&lt;30 cm)</x:v>
      </x:c>
      <x:c r="H40" s="24" t="str">
        <x:v>Salmon, smelts, etc</x:v>
      </x:c>
      <x:c r="I40" s="31" t="n">
        <x:v>285.2567964164</x:v>
      </x:c>
      <x:c r="J40" s="31" t="n">
        <x:v>285.2567964164</x:v>
      </x:c>
      <x:c r="K40" s="31" t="n">
        <x:v>0</x:v>
      </x:c>
      <x:c r="L40" s="31" t="n">
        <x:v>0</x:v>
      </x:c>
      <x:c r="M40" s="31" t="n">
        <x:v>285.2567964164</x:v>
      </x:c>
      <x:c r="N40" s="24" t="str">
        <x:v>osmeridae</x:v>
      </x:c>
      <x:c r="O40" s="32" t="n">
        <x:v>3.46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Osmeridae</x:v>
      </x:c>
      <x:c r="T40" s="32" t="n">
        <x:f>IF(O40="","",(1/'Metadata'!$B$5)^(O40-1))</x:f>
        <x:v>288.40315031266056</x:v>
      </x:c>
      <x:c r="U40" s="31" t="n">
        <x:f>IF(T40="","",I40*T40)</x:f>
        <x:v>82268.95873458702</x:v>
      </x:c>
    </x:row>
    <x:row r="41" ht="18" customHeight="1">
      <x:c r="A41" s="24" t="str">
        <x:v>LME_053</x:v>
      </x:c>
      <x:c r="B41" s="24" t="str">
        <x:v>West Bering Sea</x:v>
      </x:c>
      <x:c r="C41" s="24" t="str">
        <x:v>LME</x:v>
      </x:c>
      <x:c r="D41" s="30" t="n">
        <x:v>2019</x:v>
      </x:c>
      <x:c r="E41" s="24" t="str">
        <x:v>Moridae</x:v>
      </x:c>
      <x:c r="F41" s="24" t="str">
        <x:v>Codlings, moras</x:v>
      </x:c>
      <x:c r="G41" s="24" t="str">
        <x:v>Medium benthopelagics (30 - 89 cm)</x:v>
      </x:c>
      <x:c r="H41" s="24" t="str">
        <x:v>Cod-likes</x:v>
      </x:c>
      <x:c r="I41" s="31" t="n">
        <x:v>277.5538925717</x:v>
      </x:c>
      <x:c r="J41" s="31" t="n">
        <x:v>277.5538925717</x:v>
      </x:c>
      <x:c r="K41" s="31" t="n">
        <x:v>0</x:v>
      </x:c>
      <x:c r="L41" s="31" t="n">
        <x:v>128.6306067263</x:v>
      </x:c>
      <x:c r="M41" s="31" t="n">
        <x:v>148.92328584540002</x:v>
      </x:c>
      <x:c r="N41" s="24" t="str">
        <x:v>moridae</x:v>
      </x:c>
      <x:c r="O41" s="32" t="n">
        <x:v>3.87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Moridae</x:v>
      </x:c>
      <x:c r="T41" s="32" t="n">
        <x:f>IF(O41="","",(1/'Metadata'!$B$5)^(O41-1))</x:f>
        <x:v>741.3102413009177</x:v>
      </x:c>
      <x:c r="U41" s="31" t="n">
        <x:f>IF(T41="","",I41*T41)</x:f>
        <x:v>205753.5430763359</x:v>
      </x:c>
    </x:row>
    <x:row r="42" ht="18" customHeight="1">
      <x:c r="A42" s="24" t="str">
        <x:v>LME_053</x:v>
      </x:c>
      <x:c r="B42" s="24" t="str">
        <x:v>West Bering Sea</x:v>
      </x:c>
      <x:c r="C42" s="24" t="str">
        <x:v>LME</x:v>
      </x:c>
      <x:c r="D42" s="30" t="n">
        <x:v>2019</x:v>
      </x:c>
      <x:c r="E42" s="24" t="str">
        <x:v>Pandalus hypsinotus</x:v>
      </x:c>
      <x:c r="F42" s="24" t="str">
        <x:v>Coonstriped shrimp</x:v>
      </x:c>
      <x:c r="G42" s="24" t="str">
        <x:v>Shrimps</x:v>
      </x:c>
      <x:c r="H42" s="24" t="str">
        <x:v>Crustaceans</x:v>
      </x:c>
      <x:c r="I42" s="31" t="n">
        <x:v>268.9575550237</x:v>
      </x:c>
      <x:c r="J42" s="31" t="n">
        <x:v>268.9575550237</x:v>
      </x:c>
      <x:c r="K42" s="31" t="n">
        <x:v>0</x:v>
      </x:c>
      <x:c r="L42" s="31" t="n">
        <x:v>226.7401243618</x:v>
      </x:c>
      <x:c r="M42" s="31" t="n">
        <x:v>42.217430661899996</x:v>
      </x:c>
      <x:c r="N42" s="24" t="str">
        <x:v>pandalus hypsinotus</x:v>
      </x:c>
      <x:c r="O42" s="32" t="n">
        <x:v>2.6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Pandalus hypsinotus</x:v>
      </x:c>
      <x:c r="T42" s="32" t="n">
        <x:f>IF(O42="","",(1/'Metadata'!$B$5)^(O42-1))</x:f>
        <x:v>39.810717055349734</x:v>
      </x:c>
      <x:c r="U42" s="31" t="n">
        <x:f>IF(T42="","",I42*T42)</x:f>
        <x:v>10707.393122947178</x:v>
      </x:c>
    </x:row>
    <x:row r="43" ht="18" customHeight="1">
      <x:c r="A43" s="24" t="str">
        <x:v>LME_053</x:v>
      </x:c>
      <x:c r="B43" s="24" t="str">
        <x:v>West Bering Sea</x:v>
      </x:c>
      <x:c r="C43" s="24" t="str">
        <x:v>LME</x:v>
      </x:c>
      <x:c r="D43" s="30" t="n">
        <x:v>2019</x:v>
      </x:c>
      <x:c r="E43" s="24" t="str">
        <x:v>Actinopterygii</x:v>
      </x:c>
      <x:c r="F43" s="24" t="str">
        <x:v>Ray-finned fishes</x:v>
      </x:c>
      <x:c r="G43" s="24" t="str">
        <x:v>Medium demersals (30 - 89 cm)</x:v>
      </x:c>
      <x:c r="H43" s="24" t="str">
        <x:v>Other fishes &amp; inverts</x:v>
      </x:c>
      <x:c r="I43" s="31" t="n">
        <x:v>240.06177489229998</x:v>
      </x:c>
      <x:c r="J43" s="31" t="n">
        <x:v>240.06177489229998</x:v>
      </x:c>
      <x:c r="K43" s="31" t="n">
        <x:v>0</x:v>
      </x:c>
      <x:c r="L43" s="31" t="n">
        <x:v>0</x:v>
      </x:c>
      <x:c r="M43" s="31" t="n">
        <x:v>240.06177489229998</x:v>
      </x:c>
      <x:c r="N43" s="24" t="str">
        <x:v>actinopterygii</x:v>
      </x:c>
      <x:c r="O43" s="32" t="n">
        <x:v>3.79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Actinopterygii</x:v>
      </x:c>
      <x:c r="T43" s="32" t="n">
        <x:f>IF(O43="","",(1/'Metadata'!$B$5)^(O43-1))</x:f>
        <x:v>616.5950018614822</x:v>
      </x:c>
      <x:c r="U43" s="31" t="n">
        <x:f>IF(T43="","",I43*T43)</x:f>
        <x:v>148020.8905365884</x:v>
      </x:c>
    </x:row>
    <x:row r="44" ht="18" customHeight="1">
      <x:c r="A44" s="24" t="str">
        <x:v>LME_053</x:v>
      </x:c>
      <x:c r="B44" s="24" t="str">
        <x:v>West Bering Sea</x:v>
      </x:c>
      <x:c r="C44" s="24" t="str">
        <x:v>LME</x:v>
      </x:c>
      <x:c r="D44" s="30" t="n">
        <x:v>2019</x:v>
      </x:c>
      <x:c r="E44" s="24" t="str">
        <x:v>Salvelinus malma</x:v>
      </x:c>
      <x:c r="F44" s="24" t="str">
        <x:v>Dolly varden</x:v>
      </x:c>
      <x:c r="G44" s="24" t="str">
        <x:v>Large benthopelagics (&gt;=90 cm)</x:v>
      </x:c>
      <x:c r="H44" s="24" t="str">
        <x:v>Salmon, smelts, etc</x:v>
      </x:c>
      <x:c r="I44" s="31" t="n">
        <x:v>209.8795419356</x:v>
      </x:c>
      <x:c r="J44" s="31" t="n">
        <x:v>209.8795419356</x:v>
      </x:c>
      <x:c r="K44" s="31" t="n">
        <x:v>0</x:v>
      </x:c>
      <x:c r="L44" s="31" t="n">
        <x:v>0</x:v>
      </x:c>
      <x:c r="M44" s="31" t="n">
        <x:v>209.8795419356</x:v>
      </x:c>
      <x:c r="N44" s="24" t="str">
        <x:v>salvelinus malma</x:v>
      </x:c>
      <x:c r="O44" s="32" t="n">
        <x:v>4.4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Salvelinus malma</x:v>
      </x:c>
      <x:c r="T44" s="32" t="n">
        <x:f>IF(O44="","",(1/'Metadata'!$B$5)^(O44-1))</x:f>
        <x:v>2511.886431509582</x:v>
      </x:c>
      <x:c r="U44" s="31" t="n">
        <x:f>IF(T44="","",I44*T44)</x:f>
        <x:v>527193.5736394799</x:v>
      </x:c>
    </x:row>
    <x:row r="45" ht="18" customHeight="1">
      <x:c r="A45" s="24" t="str">
        <x:v>LME_053</x:v>
      </x:c>
      <x:c r="B45" s="24" t="str">
        <x:v>West Bering Sea</x:v>
      </x:c>
      <x:c r="C45" s="24" t="str">
        <x:v>LME</x:v>
      </x:c>
      <x:c r="D45" s="30" t="n">
        <x:v>2019</x:v>
      </x:c>
      <x:c r="E45" s="24" t="str">
        <x:v>Miscellaneous aquatic invertebrates</x:v>
      </x:c>
      <x:c r="F45" s="24" t="str">
        <x:v>Aquatic invertebrates</x:v>
      </x:c>
      <x:c r="G45" s="24" t="str">
        <x:v>Other demersal invertebrates</x:v>
      </x:c>
      <x:c r="H45" s="24" t="str">
        <x:v>Other fishes &amp; inverts</x:v>
      </x:c>
      <x:c r="I45" s="31" t="n">
        <x:v>185.2663666388</x:v>
      </x:c>
      <x:c r="J45" s="31" t="n">
        <x:v>185.2663666388</x:v>
      </x:c>
      <x:c r="K45" s="31" t="n">
        <x:v>0</x:v>
      </x:c>
      <x:c r="L45" s="31" t="n">
        <x:v>185.2663666388</x:v>
      </x:c>
      <x:c r="M45" s="31" t="n">
        <x:v>0</x:v>
      </x:c>
      <x:c r="N45" s="24" t="str">
        <x:v>miscellaneous aquatic invertebrates</x:v>
      </x:c>
      <x:c r="O45" s="32" t="n">
        <x:v>2.43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Miscellaneous aquatic invertebrates</x:v>
      </x:c>
      <x:c r="T45" s="32" t="n">
        <x:f>IF(O45="","",(1/'Metadata'!$B$5)^(O45-1))</x:f>
        <x:v>26.915348039269166</x:v>
      </x:c>
      <x:c r="U45" s="31" t="n">
        <x:f>IF(T45="","",I45*T45)</x:f>
        <x:v>4986.508738054148</x:v>
      </x:c>
    </x:row>
    <x:row r="46" ht="18" customHeight="1">
      <x:c r="A46" s="24" t="str">
        <x:v>LME_053</x:v>
      </x:c>
      <x:c r="B46" s="24" t="str">
        <x:v>West Bering Sea</x:v>
      </x:c>
      <x:c r="C46" s="24" t="str">
        <x:v>LME</x:v>
      </x:c>
      <x:c r="D46" s="30" t="n">
        <x:v>2019</x:v>
      </x:c>
      <x:c r="E46" s="24" t="str">
        <x:v>Atheresthes evermanni</x:v>
      </x:c>
      <x:c r="F46" s="24" t="str">
        <x:v>Kamchatka flounder</x:v>
      </x:c>
      <x:c r="G46" s="24" t="str">
        <x:v>Large flatfishes (&gt;=90 cm)</x:v>
      </x:c>
      <x:c r="H46" s="24" t="str">
        <x:v>Flatfishes</x:v>
      </x:c>
      <x:c r="I46" s="31" t="n">
        <x:v>102.1243430553</x:v>
      </x:c>
      <x:c r="J46" s="31" t="n">
        <x:v>95.8456921664</x:v>
      </x:c>
      <x:c r="K46" s="31" t="n">
        <x:v>6.2786508889</x:v>
      </x:c>
      <x:c r="L46" s="31" t="n">
        <x:v>83.8533986845</x:v>
      </x:c>
      <x:c r="M46" s="31" t="n">
        <x:v>18.2709443708</x:v>
      </x:c>
      <x:c r="N46" s="24" t="str">
        <x:v>atheresthes evermanni</x:v>
      </x:c>
      <x:c r="O46" s="32" t="n">
        <x:v>4.3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Atheresthes evermanni</x:v>
      </x:c>
      <x:c r="T46" s="32" t="n">
        <x:f>IF(O46="","",(1/'Metadata'!$B$5)^(O46-1))</x:f>
        <x:v>1995.2623149688789</x:v>
      </x:c>
      <x:c r="U46" s="31" t="n">
        <x:f>IF(T46="","",I46*T46)</x:f>
        <x:v>203764.85313919382</x:v>
      </x:c>
    </x:row>
    <x:row r="47" ht="18" customHeight="1">
      <x:c r="A47" s="24" t="str">
        <x:v>LME_053</x:v>
      </x:c>
      <x:c r="B47" s="24" t="str">
        <x:v>West Bering Sea</x:v>
      </x:c>
      <x:c r="C47" s="24" t="str">
        <x:v>LME</x:v>
      </x:c>
      <x:c r="D47" s="30" t="n">
        <x:v>2019</x:v>
      </x:c>
      <x:c r="E47" s="24" t="str">
        <x:v>Erimacrus isenbeckii</x:v>
      </x:c>
      <x:c r="F47" s="24" t="str">
        <x:v>Hair Crab</x:v>
      </x:c>
      <x:c r="G47" s="24" t="str">
        <x:v>Lobsters, crabs</x:v>
      </x:c>
      <x:c r="H47" s="24" t="str">
        <x:v>Crustaceans</x:v>
      </x:c>
      <x:c r="I47" s="31" t="n">
        <x:v>95.0881243216</x:v>
      </x:c>
      <x:c r="J47" s="31" t="n">
        <x:v>95.0881243216</x:v>
      </x:c>
      <x:c r="K47" s="31" t="n">
        <x:v>0</x:v>
      </x:c>
      <x:c r="L47" s="31" t="n">
        <x:v>92.67062963549999</x:v>
      </x:c>
      <x:c r="M47" s="31" t="n">
        <x:v>2.4174946861</x:v>
      </x:c>
      <x:c r="N47" s="24" t="str">
        <x:v>erimacrus isenbeckii</x:v>
      </x:c>
      <x:c r="O47" s="32" t="n">
        <x:v>2.6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Erimacrus isenbeckii</x:v>
      </x:c>
      <x:c r="T47" s="32" t="n">
        <x:f>IF(O47="","",(1/'Metadata'!$B$5)^(O47-1))</x:f>
        <x:v>39.810717055349734</x:v>
      </x:c>
      <x:c r="U47" s="31" t="n">
        <x:f>IF(T47="","",I47*T47)</x:f>
        <x:v>3785.526412691137</x:v>
      </x:c>
    </x:row>
    <x:row r="48" ht="18" customHeight="1">
      <x:c r="A48" s="24" t="str">
        <x:v>LME_053</x:v>
      </x:c>
      <x:c r="B48" s="24" t="str">
        <x:v>West Bering Sea</x:v>
      </x:c>
      <x:c r="C48" s="24" t="str">
        <x:v>LME</x:v>
      </x:c>
      <x:c r="D48" s="30" t="n">
        <x:v>2019</x:v>
      </x:c>
      <x:c r="E48" s="24" t="str">
        <x:v>Scyphozoa</x:v>
      </x:c>
      <x:c r="F48" s="24" t="str">
        <x:v>True jellyfishes</x:v>
      </x:c>
      <x:c r="G48" s="24" t="str">
        <x:v>Jellyfish</x:v>
      </x:c>
      <x:c r="H48" s="24" t="str">
        <x:v>Other fishes &amp; inverts</x:v>
      </x:c>
      <x:c r="I48" s="31" t="n">
        <x:v>90.2704306015</x:v>
      </x:c>
      <x:c r="J48" s="31" t="n">
        <x:v>90.2704306015</x:v>
      </x:c>
      <x:c r="K48" s="31" t="n">
        <x:v>0</x:v>
      </x:c>
      <x:c r="L48" s="31" t="n">
        <x:v>84.464739665</x:v>
      </x:c>
      <x:c r="M48" s="31" t="n">
        <x:v>5.8056909365</x:v>
      </x:c>
      <x:c r="N48" s="24" t="str">
        <x:v>scyphozoa</x:v>
      </x:c>
      <x:c r="O48" s="32" t="n">
        <x:v>3.46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Scyphozoa</x:v>
      </x:c>
      <x:c r="T48" s="32" t="n">
        <x:f>IF(O48="","",(1/'Metadata'!$B$5)^(O48-1))</x:f>
        <x:v>288.40315031266056</x:v>
      </x:c>
      <x:c r="U48" s="31" t="n">
        <x:f>IF(T48="","",I48*T48)</x:f>
        <x:v>26034.276565553</x:v>
      </x:c>
    </x:row>
    <x:row r="49" ht="18" customHeight="1">
      <x:c r="A49" s="24" t="str">
        <x:v>LME_053</x:v>
      </x:c>
      <x:c r="B49" s="24" t="str">
        <x:v>West Bering Sea</x:v>
      </x:c>
      <x:c r="C49" s="24" t="str">
        <x:v>LME</x:v>
      </x:c>
      <x:c r="D49" s="30" t="n">
        <x:v>2019</x:v>
      </x:c>
      <x:c r="E49" s="24" t="str">
        <x:v>Corbicula japonica</x:v>
      </x:c>
      <x:c r="F49" s="24" t="str">
        <x:v>Japanese corbicula</x:v>
      </x:c>
      <x:c r="G49" s="24" t="str">
        <x:v>Other demersal invertebrates</x:v>
      </x:c>
      <x:c r="H49" s="24" t="str">
        <x:v>Molluscs</x:v>
      </x:c>
      <x:c r="I49" s="31" t="n">
        <x:v>53.2978542834</x:v>
      </x:c>
      <x:c r="J49" s="31" t="n">
        <x:v>53.2978542834</x:v>
      </x:c>
      <x:c r="K49" s="31" t="n">
        <x:v>0</x:v>
      </x:c>
      <x:c r="L49" s="31" t="n">
        <x:v>0.3533168994</x:v>
      </x:c>
      <x:c r="M49" s="31" t="n">
        <x:v>52.944537384</x:v>
      </x:c>
      <x:c r="N49" s="24" t="str">
        <x:v>corbicula japonica</x:v>
      </x:c>
      <x:c r="O49" s="32" t="n">
        <x:v>2.05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Corbicula japonica</x:v>
      </x:c>
      <x:c r="T49" s="32" t="n">
        <x:f>IF(O49="","",(1/'Metadata'!$B$5)^(O49-1))</x:f>
        <x:v>11.220184543019629</x:v>
      </x:c>
      <x:c r="U49" s="31" t="n">
        <x:f>IF(T49="","",I49*T49)</x:f>
        <x:v>598.0117608067172</x:v>
      </x:c>
    </x:row>
    <x:row r="50" ht="18" customHeight="1">
      <x:c r="A50" s="24" t="str">
        <x:v>LME_053</x:v>
      </x:c>
      <x:c r="B50" s="24" t="str">
        <x:v>West Bering Sea</x:v>
      </x:c>
      <x:c r="C50" s="24" t="str">
        <x:v>LME</x:v>
      </x:c>
      <x:c r="D50" s="30" t="n">
        <x:v>2019</x:v>
      </x:c>
      <x:c r="E50" s="24" t="str">
        <x:v>Sebastolobus alascanus</x:v>
      </x:c>
      <x:c r="F50" s="24" t="str">
        <x:v>Shortspine thornyhead</x:v>
      </x:c>
      <x:c r="G50" s="24" t="str">
        <x:v>Medium bathydemersals (30 - 89 cm)</x:v>
      </x:c>
      <x:c r="H50" s="24" t="str">
        <x:v>Scorpionfishes</x:v>
      </x:c>
      <x:c r="I50" s="31" t="n">
        <x:v>43.3458583338</x:v>
      </x:c>
      <x:c r="J50" s="31" t="n">
        <x:v>43.3458583338</x:v>
      </x:c>
      <x:c r="K50" s="31" t="n">
        <x:v>0</x:v>
      </x:c>
      <x:c r="L50" s="31" t="n">
        <x:v>38.0238806877</x:v>
      </x:c>
      <x:c r="M50" s="31" t="n">
        <x:v>5.321977646100001</x:v>
      </x:c>
      <x:c r="N50" s="24" t="str">
        <x:v>sebastolobus alascanus</x:v>
      </x:c>
      <x:c r="O50" s="32" t="n">
        <x:v>3.62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Sebastolobus alascanus</x:v>
      </x:c>
      <x:c r="T50" s="32" t="n">
        <x:f>IF(O50="","",(1/'Metadata'!$B$5)^(O50-1))</x:f>
        <x:v>416.8693834703355</x:v>
      </x:c>
      <x:c r="U50" s="31" t="n">
        <x:f>IF(T50="","",I50*T50)</x:f>
        <x:v>18069.56123960371</x:v>
      </x:c>
    </x:row>
    <x:row r="51" ht="18" customHeight="1">
      <x:c r="A51" s="24" t="str">
        <x:v>LME_053</x:v>
      </x:c>
      <x:c r="B51" s="24" t="str">
        <x:v>West Bering Sea</x:v>
      </x:c>
      <x:c r="C51" s="24" t="str">
        <x:v>LME</x:v>
      </x:c>
      <x:c r="D51" s="30" t="n">
        <x:v>2019</x:v>
      </x:c>
      <x:c r="E51" s="24" t="str">
        <x:v>Crassostrea</x:v>
      </x:c>
      <x:c r="F51" s="24" t="str">
        <x:v>Cupped oysters</x:v>
      </x:c>
      <x:c r="G51" s="24" t="str">
        <x:v>Other demersal invertebrates</x:v>
      </x:c>
      <x:c r="H51" s="24" t="str">
        <x:v>Molluscs</x:v>
      </x:c>
      <x:c r="I51" s="31" t="n">
        <x:v>40.2357129954</x:v>
      </x:c>
      <x:c r="J51" s="31" t="n">
        <x:v>40.2357129954</x:v>
      </x:c>
      <x:c r="K51" s="31" t="n">
        <x:v>0</x:v>
      </x:c>
      <x:c r="L51" s="31" t="n">
        <x:v>38.3061139708</x:v>
      </x:c>
      <x:c r="M51" s="31" t="n">
        <x:v>1.9295990245999999</x:v>
      </x:c>
      <x:c r="N51" s="24" t="str">
        <x:v>crassostrea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Crassostrea</x:v>
      </x:c>
      <x:c r="T51" s="32" t="n">
        <x:f>IF(O51="","",(1/'Metadata'!$B$5)^(O51-1))</x:f>
        <x:v>10</x:v>
      </x:c>
      <x:c r="U51" s="31" t="n">
        <x:f>IF(T51="","",I51*T51)</x:f>
        <x:v>402.357129954</x:v>
      </x:c>
    </x:row>
    <x:row r="52" ht="18" customHeight="1">
      <x:c r="A52" s="24" t="str">
        <x:v>LME_053</x:v>
      </x:c>
      <x:c r="B52" s="24" t="str">
        <x:v>West Bering Sea</x:v>
      </x:c>
      <x:c r="C52" s="24" t="str">
        <x:v>LME</x:v>
      </x:c>
      <x:c r="D52" s="30" t="n">
        <x:v>2019</x:v>
      </x:c>
      <x:c r="E52" s="24" t="str">
        <x:v>Todarodes pacificus</x:v>
      </x:c>
      <x:c r="F52" s="24" t="str">
        <x:v>Japanese flying squid</x:v>
      </x:c>
      <x:c r="G52" s="24" t="str">
        <x:v>Cephalopods</x:v>
      </x:c>
      <x:c r="H52" s="24" t="str">
        <x:v>Other fishes &amp; inverts</x:v>
      </x:c>
      <x:c r="I52" s="31" t="n">
        <x:v>36.4182560457</x:v>
      </x:c>
      <x:c r="J52" s="31" t="n">
        <x:v>36.4182560457</x:v>
      </x:c>
      <x:c r="K52" s="31" t="n">
        <x:v>0</x:v>
      </x:c>
      <x:c r="L52" s="31" t="n">
        <x:v>31.3152225188</x:v>
      </x:c>
      <x:c r="M52" s="31" t="n">
        <x:v>5.1030335269</x:v>
      </x:c>
      <x:c r="N52" s="24" t="str">
        <x:v>todarodes pacificus</x:v>
      </x:c>
      <x:c r="O52" s="32" t="n">
        <x:v>4.28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Todarodes pacificus</x:v>
      </x:c>
      <x:c r="T52" s="32" t="n">
        <x:f>IF(O52="","",(1/'Metadata'!$B$5)^(O52-1))</x:f>
        <x:v>1905.4607179632483</x:v>
      </x:c>
      <x:c r="U52" s="31" t="n">
        <x:f>IF(T52="","",I52*T52)</x:f>
        <x:v>69393.55631180892</x:v>
      </x:c>
    </x:row>
    <x:row r="53" ht="18" customHeight="1">
      <x:c r="A53" s="24" t="str">
        <x:v>LME_053</x:v>
      </x:c>
      <x:c r="B53" s="24" t="str">
        <x:v>West Bering Sea</x:v>
      </x:c>
      <x:c r="C53" s="24" t="str">
        <x:v>LME</x:v>
      </x:c>
      <x:c r="D53" s="30" t="n">
        <x:v>2019</x:v>
      </x:c>
      <x:c r="E53" s="24" t="str">
        <x:v>Sclerocrangon</x:v>
      </x:c>
      <x:c r="F53" s="24" t="str">
        <x:v>Sculptured shrimps</x:v>
      </x:c>
      <x:c r="G53" s="24" t="str">
        <x:v>Shrimps</x:v>
      </x:c>
      <x:c r="H53" s="24" t="str">
        <x:v>Crustaceans</x:v>
      </x:c>
      <x:c r="I53" s="31" t="n">
        <x:v>24.881054705700002</x:v>
      </x:c>
      <x:c r="J53" s="31" t="n">
        <x:v>24.881054705700002</x:v>
      </x:c>
      <x:c r="K53" s="31" t="n">
        <x:v>0</x:v>
      </x:c>
      <x:c r="L53" s="31" t="n">
        <x:v>22.8735368444</x:v>
      </x:c>
      <x:c r="M53" s="31" t="n">
        <x:v>2.0075178613</x:v>
      </x:c>
      <x:c r="N53" s="24" t="str">
        <x:v>sclerocrangon</x:v>
      </x:c>
      <x:c r="O53" s="32" t="n">
        <x:v>2.2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Sclerocrangon</x:v>
      </x:c>
      <x:c r="T53" s="32" t="n">
        <x:f>IF(O53="","",(1/'Metadata'!$B$5)^(O53-1))</x:f>
        <x:v>15.848931924611142</x:v>
      </x:c>
      <x:c r="U53" s="31" t="n">
        <x:f>IF(T53="","",I53*T53)</x:f>
        <x:v>394.33814224316507</x:v>
      </x:c>
    </x:row>
    <x:row r="54" ht="18" customHeight="1">
      <x:c r="A54" s="24" t="str">
        <x:v>LME_053</x:v>
      </x:c>
      <x:c r="B54" s="24" t="str">
        <x:v>West Bering Sea</x:v>
      </x:c>
      <x:c r="C54" s="24" t="str">
        <x:v>LME</x:v>
      </x:c>
      <x:c r="D54" s="30" t="n">
        <x:v>2019</x:v>
      </x:c>
      <x:c r="E54" s="24" t="str">
        <x:v>Mytilidae</x:v>
      </x:c>
      <x:c r="F54" s="24" t="str">
        <x:v>Sea mussels</x:v>
      </x:c>
      <x:c r="G54" s="24" t="str">
        <x:v>Other demersal invertebrates</x:v>
      </x:c>
      <x:c r="H54" s="24" t="str">
        <x:v>Molluscs</x:v>
      </x:c>
      <x:c r="I54" s="31" t="n">
        <x:v>19.014105434399998</x:v>
      </x:c>
      <x:c r="J54" s="31" t="n">
        <x:v>19.014105434399998</x:v>
      </x:c>
      <x:c r="K54" s="31" t="n">
        <x:v>0</x:v>
      </x:c>
      <x:c r="L54" s="31" t="n">
        <x:v>17.768640013</x:v>
      </x:c>
      <x:c r="M54" s="31" t="n">
        <x:v>1.2454654214</x:v>
      </x:c>
      <x:c r="N54" s="24" t="str">
        <x:v>mytilidae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Mytilidae</x:v>
      </x:c>
      <x:c r="T54" s="32" t="n">
        <x:f>IF(O54="","",(1/'Metadata'!$B$5)^(O54-1))</x:f>
        <x:v>10</x:v>
      </x:c>
      <x:c r="U54" s="31" t="n">
        <x:f>IF(T54="","",I54*T54)</x:f>
        <x:v>190.14105434399997</x:v>
      </x:c>
    </x:row>
    <x:row r="55" ht="18" customHeight="1">
      <x:c r="A55" s="24" t="str">
        <x:v>LME_053</x:v>
      </x:c>
      <x:c r="B55" s="24" t="str">
        <x:v>West Bering Sea</x:v>
      </x:c>
      <x:c r="C55" s="24" t="str">
        <x:v>LME</x:v>
      </x:c>
      <x:c r="D55" s="30" t="n">
        <x:v>2019</x:v>
      </x:c>
      <x:c r="E55" s="24" t="str">
        <x:v>Anoplopoma fimbria</x:v>
      </x:c>
      <x:c r="F55" s="24" t="str">
        <x:v>Sablefish</x:v>
      </x:c>
      <x:c r="G55" s="24" t="str">
        <x:v>Large bathydemersals (&gt;=90 cm)</x:v>
      </x:c>
      <x:c r="H55" s="24" t="str">
        <x:v>Scorpionfishes</x:v>
      </x:c>
      <x:c r="I55" s="31" t="n">
        <x:v>18.5198210184</x:v>
      </x:c>
      <x:c r="J55" s="31" t="n">
        <x:v>18.5198210184</x:v>
      </x:c>
      <x:c r="K55" s="31" t="n">
        <x:v>0</x:v>
      </x:c>
      <x:c r="L55" s="31" t="n">
        <x:v>18.442797733299997</x:v>
      </x:c>
      <x:c r="M55" s="31" t="n">
        <x:v>0.07702328509999999</x:v>
      </x:c>
      <x:c r="N55" s="24" t="str">
        <x:v>anoplopoma fimbria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Anoplopoma fimbria</x:v>
      </x:c>
      <x:c r="T55" s="32" t="n">
        <x:f>IF(O55="","",(1/'Metadata'!$B$5)^(O55-1))</x:f>
        <x:v>691.8309709189363</x:v>
      </x:c>
      <x:c r="U55" s="31" t="n">
        <x:f>IF(T55="","",I55*T55)</x:f>
        <x:v>12812.585756404595</x:v>
      </x:c>
    </x:row>
    <x:row r="56" ht="18" customHeight="1">
      <x:c r="A56" s="24" t="str">
        <x:v>LME_053</x:v>
      </x:c>
      <x:c r="B56" s="24" t="str">
        <x:v>West Bering Sea</x:v>
      </x:c>
      <x:c r="C56" s="24" t="str">
        <x:v>LME</x:v>
      </x:c>
      <x:c r="D56" s="30" t="n">
        <x:v>2019</x:v>
      </x:c>
      <x:c r="E56" s="24" t="str">
        <x:v>Lycodes</x:v>
      </x:c>
      <x:c r="F56" s="24" t="str">
        <x:v>Eelpouts</x:v>
      </x:c>
      <x:c r="G56" s="24" t="str">
        <x:v>Medium bathydemersals (30 - 89 cm)</x:v>
      </x:c>
      <x:c r="H56" s="24" t="str">
        <x:v>Perch-likes</x:v>
      </x:c>
      <x:c r="I56" s="31" t="n">
        <x:v>10.570651743200001</x:v>
      </x:c>
      <x:c r="J56" s="31" t="n">
        <x:v>10.570651743200001</x:v>
      </x:c>
      <x:c r="K56" s="31" t="n">
        <x:v>0</x:v>
      </x:c>
      <x:c r="L56" s="31" t="n">
        <x:v>3.4808038669</x:v>
      </x:c>
      <x:c r="M56" s="31" t="n">
        <x:v>7.0898478762999995</x:v>
      </x:c>
      <x:c r="N56" s="24" t="str">
        <x:v>lycodes</x:v>
      </x:c>
      <x:c r="O56" s="32" t="n">
        <x:v>3.3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Lycodes</x:v>
      </x:c>
      <x:c r="T56" s="32" t="n">
        <x:f>IF(O56="","",(1/'Metadata'!$B$5)^(O56-1))</x:f>
        <x:v>199.52623149688787</x:v>
      </x:c>
      <x:c r="U56" s="31" t="n">
        <x:f>IF(T56="","",I56*T56)</x:f>
        <x:v>2109.122306786705</x:v>
      </x:c>
    </x:row>
    <x:row r="57" ht="18" customHeight="1">
      <x:c r="A57" s="24" t="str">
        <x:v>LME_053</x:v>
      </x:c>
      <x:c r="B57" s="24" t="str">
        <x:v>West Bering Sea</x:v>
      </x:c>
      <x:c r="C57" s="24" t="str">
        <x:v>LME</x:v>
      </x:c>
      <x:c r="D57" s="30" t="n">
        <x:v>2019</x:v>
      </x:c>
      <x:c r="E57" s="24" t="str">
        <x:v>Cyprinidae</x:v>
      </x:c>
      <x:c r="F57" s="24" t="str">
        <x:v>Carps, barbels, other cyprinids</x:v>
      </x:c>
      <x:c r="G57" s="24" t="str">
        <x:v>Medium demersals (30 - 89 cm)</x:v>
      </x:c>
      <x:c r="H57" s="24" t="str">
        <x:v>Other fishes &amp; inverts</x:v>
      </x:c>
      <x:c r="I57" s="31" t="n">
        <x:v>10.4908223935</x:v>
      </x:c>
      <x:c r="J57" s="31" t="n">
        <x:v>10.4908223935</x:v>
      </x:c>
      <x:c r="K57" s="31" t="n">
        <x:v>0</x:v>
      </x:c>
      <x:c r="L57" s="31" t="n">
        <x:v>7.6202424318999995</x:v>
      </x:c>
      <x:c r="M57" s="31" t="n">
        <x:v>2.8705799616000003</x:v>
      </x:c>
      <x:c r="N57" s="24" t="str">
        <x:v>cyprinidae</x:v>
      </x:c>
      <x:c r="O57" s="32" t="n">
        <x:v>2.8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Cyprinidae</x:v>
      </x:c>
      <x:c r="T57" s="32" t="n">
        <x:f>IF(O57="","",(1/'Metadata'!$B$5)^(O57-1))</x:f>
        <x:v>63.0957344480193</x:v>
      </x:c>
      <x:c r="U57" s="31" t="n">
        <x:f>IF(T57="","",I57*T57)</x:f>
        <x:v>661.9261438816103</x:v>
      </x:c>
    </x:row>
    <x:row r="58" ht="18" customHeight="1">
      <x:c r="A58" s="24" t="str">
        <x:v>LME_053</x:v>
      </x:c>
      <x:c r="B58" s="24" t="str">
        <x:v>West Bering Sea</x:v>
      </x:c>
      <x:c r="C58" s="24" t="str">
        <x:v>LME</x:v>
      </x:c>
      <x:c r="D58" s="30" t="n">
        <x:v>2019</x:v>
      </x:c>
      <x:c r="E58" s="24" t="str">
        <x:v>Mugilidae</x:v>
      </x:c>
      <x:c r="F58" s="24" t="str">
        <x:v>Mullets, grey mullets</x:v>
      </x:c>
      <x:c r="G58" s="24" t="str">
        <x:v>Medium reef assoc. fish (30 - 89 cm)</x:v>
      </x:c>
      <x:c r="H58" s="24" t="str">
        <x:v>Perch-likes</x:v>
      </x:c>
      <x:c r="I58" s="31" t="n">
        <x:v>9.7934661029</x:v>
      </x:c>
      <x:c r="J58" s="31" t="n">
        <x:v>9.7934661029</x:v>
      </x:c>
      <x:c r="K58" s="31" t="n">
        <x:v>0</x:v>
      </x:c>
      <x:c r="L58" s="31" t="n">
        <x:v>2.4483665258</x:v>
      </x:c>
      <x:c r="M58" s="31" t="n">
        <x:v>7.3450995771</x:v>
      </x:c>
      <x:c r="N58" s="24" t="str">
        <x:v>mugilidae</x:v>
      </x:c>
      <x:c r="O58" s="32" t="n">
        <x:v>2.53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Mugilidae</x:v>
      </x:c>
      <x:c r="T58" s="32" t="n">
        <x:f>IF(O58="","",(1/'Metadata'!$B$5)^(O58-1))</x:f>
        <x:v>33.88441561392024</x:v>
      </x:c>
      <x:c r="U58" s="31" t="n">
        <x:f>IF(T58="","",I58*T58)</x:f>
        <x:v>331.8458757315034</x:v>
      </x:c>
    </x:row>
    <x:row r="59" ht="18" customHeight="1">
      <x:c r="A59" s="24" t="str">
        <x:v>LME_053</x:v>
      </x:c>
      <x:c r="B59" s="24" t="str">
        <x:v>West Bering Sea</x:v>
      </x:c>
      <x:c r="C59" s="24" t="str">
        <x:v>LME</x:v>
      </x:c>
      <x:c r="D59" s="30" t="n">
        <x:v>2019</x:v>
      </x:c>
      <x:c r="E59" s="24" t="str">
        <x:v>Bivalvia</x:v>
      </x:c>
      <x:c r="F59" s="24" t="str">
        <x:v>Clams</x:v>
      </x:c>
      <x:c r="G59" s="24" t="str">
        <x:v>Other demersal invertebrates</x:v>
      </x:c>
      <x:c r="H59" s="24" t="str">
        <x:v>Molluscs</x:v>
      </x:c>
      <x:c r="I59" s="31" t="n">
        <x:v>9.7831509584</x:v>
      </x:c>
      <x:c r="J59" s="31" t="n">
        <x:v>9.7831509584</x:v>
      </x:c>
      <x:c r="K59" s="31" t="n">
        <x:v>0</x:v>
      </x:c>
      <x:c r="L59" s="31" t="n">
        <x:v>9.7831509584</x:v>
      </x:c>
      <x:c r="M59" s="31" t="n">
        <x:v>0</x:v>
      </x:c>
      <x:c r="N59" s="24" t="str">
        <x:v>bivalvia</x:v>
      </x:c>
      <x:c r="O59" s="32" t="n">
        <x:v>2.23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Bivalvia</x:v>
      </x:c>
      <x:c r="T59" s="32" t="n">
        <x:f>IF(O59="","",(1/'Metadata'!$B$5)^(O59-1))</x:f>
        <x:v>16.982436524617444</x:v>
      </x:c>
      <x:c r="U59" s="31" t="n">
        <x:f>IF(T59="","",I59*T59)</x:f>
        <x:v>166.14174016177833</x:v>
      </x:c>
    </x:row>
    <x:row r="60" ht="18" customHeight="1">
      <x:c r="A60" s="24" t="str">
        <x:v>LME_053</x:v>
      </x:c>
      <x:c r="B60" s="24" t="str">
        <x:v>West Bering Sea</x:v>
      </x:c>
      <x:c r="C60" s="24" t="str">
        <x:v>LME</x:v>
      </x:c>
      <x:c r="D60" s="30" t="n">
        <x:v>2019</x:v>
      </x:c>
      <x:c r="E60" s="24" t="str">
        <x:v>Pandalus kessleri</x:v>
      </x:c>
      <x:c r="F60" s="24" t="str">
        <x:v>Grass shrimp</x:v>
      </x:c>
      <x:c r="G60" s="24" t="str">
        <x:v>Shrimps</x:v>
      </x:c>
      <x:c r="H60" s="24" t="str">
        <x:v>Crustaceans</x:v>
      </x:c>
      <x:c r="I60" s="31" t="n">
        <x:v>7.4870582081</x:v>
      </x:c>
      <x:c r="J60" s="31" t="n">
        <x:v>7.4870582081</x:v>
      </x:c>
      <x:c r="K60" s="31" t="n">
        <x:v>0</x:v>
      </x:c>
      <x:c r="L60" s="31" t="n">
        <x:v>5.531335879299999</x:v>
      </x:c>
      <x:c r="M60" s="31" t="n">
        <x:v>1.9557223288</x:v>
      </x:c>
      <x:c r="N60" s="24" t="str">
        <x:v>pandalus kessleri</x:v>
      </x:c>
      <x:c r="O60" s="32" t="n">
        <x:v>2.6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Pandalus kessleri</x:v>
      </x:c>
      <x:c r="T60" s="32" t="n">
        <x:f>IF(O60="","",(1/'Metadata'!$B$5)^(O60-1))</x:f>
        <x:v>39.810717055349734</x:v>
      </x:c>
      <x:c r="U60" s="31" t="n">
        <x:f>IF(T60="","",I60*T60)</x:f>
        <x:v>298.06515589960287</x:v>
      </x:c>
    </x:row>
    <x:row r="61" ht="18" customHeight="1">
      <x:c r="A61" s="24" t="str">
        <x:v>LME_053</x:v>
      </x:c>
      <x:c r="B61" s="24" t="str">
        <x:v>West Bering Sea</x:v>
      </x:c>
      <x:c r="C61" s="24" t="str">
        <x:v>LME</x:v>
      </x:c>
      <x:c r="D61" s="30" t="n">
        <x:v>2019</x:v>
      </x:c>
      <x:c r="E61" s="24" t="str">
        <x:v>Scombridae</x:v>
      </x:c>
      <x:c r="F61" s="24" t="str">
        <x:v>Mackerels, tunas, bonitos</x:v>
      </x:c>
      <x:c r="G61" s="24" t="str">
        <x:v>Medium pelagics (30 - 89 cm)</x:v>
      </x:c>
      <x:c r="H61" s="24" t="str">
        <x:v>Perch-likes</x:v>
      </x:c>
      <x:c r="I61" s="31" t="n">
        <x:v>4.8822292912</x:v>
      </x:c>
      <x:c r="J61" s="31" t="n">
        <x:v>4.8822292912</x:v>
      </x:c>
      <x:c r="K61" s="31" t="n">
        <x:v>0</x:v>
      </x:c>
      <x:c r="L61" s="31" t="n">
        <x:v>4.8822292912</x:v>
      </x:c>
      <x:c r="M61" s="31" t="n">
        <x:v>0</x:v>
      </x:c>
      <x:c r="N61" s="24" t="str">
        <x:v>scombridae</x:v>
      </x:c>
      <x:c r="O61" s="32" t="n">
        <x:v>4.26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Scombridae</x:v>
      </x:c>
      <x:c r="T61" s="32" t="n">
        <x:f>IF(O61="","",(1/'Metadata'!$B$5)^(O61-1))</x:f>
        <x:v>1819.7008586099826</x:v>
      </x:c>
      <x:c r="U61" s="31" t="n">
        <x:f>IF(T61="","",I61*T61)</x:f>
        <x:v>8884.196833127446</x:v>
      </x:c>
    </x:row>
    <x:row r="62" ht="18" customHeight="1">
      <x:c r="A62" s="24" t="str">
        <x:v>LME_053</x:v>
      </x:c>
      <x:c r="B62" s="24" t="str">
        <x:v>West Bering Sea</x:v>
      </x:c>
      <x:c r="C62" s="24" t="str">
        <x:v>LME</x:v>
      </x:c>
      <x:c r="D62" s="30" t="n">
        <x:v>2019</x:v>
      </x:c>
      <x:c r="E62" s="24" t="str">
        <x:v>Elasmobranchii</x:v>
      </x:c>
      <x:c r="F62" s="24" t="str">
        <x:v>Sharks, rays, skates</x:v>
      </x:c>
      <x:c r="G62" s="24" t="str">
        <x:v>Large sharks (&gt;=90 cm)</x:v>
      </x:c>
      <x:c r="H62" s="24" t="str">
        <x:v>Sharks &amp; rays</x:v>
      </x:c>
      <x:c r="I62" s="31" t="n">
        <x:v>2.6947672231000004</x:v>
      </x:c>
      <x:c r="J62" s="31" t="n">
        <x:v>0</x:v>
      </x:c>
      <x:c r="K62" s="31" t="n">
        <x:v>2.6947672231000004</x:v>
      </x:c>
      <x:c r="L62" s="31" t="n">
        <x:v>0</x:v>
      </x:c>
      <x:c r="M62" s="31" t="n">
        <x:v>2.6947672231000004</x:v>
      </x:c>
      <x:c r="N62" s="24" t="str">
        <x:v>elasmobranchii</x:v>
      </x:c>
      <x:c r="O62" s="32" t="n">
        <x:v>4.05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Elasmobranchii</x:v>
      </x:c>
      <x:c r="T62" s="32" t="n">
        <x:f>IF(O62="","",(1/'Metadata'!$B$5)^(O62-1))</x:f>
        <x:v>1122.018454301963</x:v>
      </x:c>
      <x:c r="U62" s="31" t="n">
        <x:f>IF(T62="","",I62*T62)</x:f>
        <x:v>3023.5785543662555</x:v>
      </x:c>
    </x:row>
    <x:row r="63" ht="18" customHeight="1">
      <x:c r="A63" s="24" t="str">
        <x:v>LME_053</x:v>
      </x:c>
      <x:c r="B63" s="24" t="str">
        <x:v>West Bering Sea</x:v>
      </x:c>
      <x:c r="C63" s="24" t="str">
        <x:v>LME</x:v>
      </x:c>
      <x:c r="D63" s="30" t="n">
        <x:v>2019</x:v>
      </x:c>
      <x:c r="E63" s="24" t="str">
        <x:v>Ommastrephes bartramii</x:v>
      </x:c>
      <x:c r="F63" s="24" t="str">
        <x:v>Neon flying squid</x:v>
      </x:c>
      <x:c r="G63" s="24" t="str">
        <x:v>Cephalopods</x:v>
      </x:c>
      <x:c r="H63" s="24" t="str">
        <x:v>Other fishes &amp; inverts</x:v>
      </x:c>
      <x:c r="I63" s="31" t="n">
        <x:v>0.0280347509</x:v>
      </x:c>
      <x:c r="J63" s="31" t="n">
        <x:v>0.0280347509</x:v>
      </x:c>
      <x:c r="K63" s="31" t="n">
        <x:v>0</x:v>
      </x:c>
      <x:c r="L63" s="31" t="n">
        <x:v>0.0280347509</x:v>
      </x:c>
      <x:c r="M63" s="31" t="n">
        <x:v>0</x:v>
      </x:c>
      <x:c r="N63" s="24" t="str">
        <x:v>ommastrephes bartramii</x:v>
      </x:c>
      <x:c r="O63" s="32" t="n">
        <x:v>4.37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Ommastrephes bartramii</x:v>
      </x:c>
      <x:c r="T63" s="32" t="n">
        <x:f>IF(O63="","",(1/'Metadata'!$B$5)^(O63-1))</x:f>
        <x:v>2344.228815319923</x:v>
      </x:c>
      <x:c r="U63" s="31" t="n">
        <x:f>IF(T63="","",I63*T63)</x:f>
        <x:v>65.71987089009613</x:v>
      </x:c>
    </x:row>
    <x:row r="64" ht="18" customHeight="1">
      <x:c r="A64" s="24" t="str">
        <x:v>LME_053</x:v>
      </x:c>
      <x:c r="B64" s="24" t="str">
        <x:v>West Bering Sea</x:v>
      </x:c>
      <x:c r="C64" s="24" t="str">
        <x:v>LME</x:v>
      </x:c>
      <x:c r="D64" s="30" t="n">
        <x:v>2019</x:v>
      </x:c>
      <x:c r="E64" s="24" t="str">
        <x:v>Oncorhynchus masou</x:v>
      </x:c>
      <x:c r="F64" s="24" t="str">
        <x:v>Masu salmon</x:v>
      </x:c>
      <x:c r="G64" s="24" t="str">
        <x:v>Medium benthopelagics (30 - 89 cm)</x:v>
      </x:c>
      <x:c r="H64" s="24" t="str">
        <x:v>Salmon, smelts, etc</x:v>
      </x:c>
      <x:c r="I64" s="31" t="n">
        <x:v>0.0114094547</x:v>
      </x:c>
      <x:c r="J64" s="31" t="n">
        <x:v>0.0114094547</x:v>
      </x:c>
      <x:c r="K64" s="31" t="n">
        <x:v>0</x:v>
      </x:c>
      <x:c r="L64" s="31" t="n">
        <x:v>0.0081717877</x:v>
      </x:c>
      <x:c r="M64" s="31" t="n">
        <x:v>0.003237667</x:v>
      </x:c>
      <x:c r="N64" s="24" t="str">
        <x:v>oncorhynchus masou</x:v>
      </x:c>
      <x:c r="O64" s="32" t="n">
        <x:v>3.6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Oncorhynchus masou</x:v>
      </x:c>
      <x:c r="T64" s="32" t="n">
        <x:f>IF(O64="","",(1/'Metadata'!$B$5)^(O64-1))</x:f>
        <x:v>398.1071705534973</x:v>
      </x:c>
      <x:c r="U64" s="31" t="n">
        <x:f>IF(T64="","",I64*T64)</x:f>
        <x:v>4.542185728175301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88a14516c16454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271904.6345030085</x:v>
      </x:c>
      <x:c r="C2" s="32" t="n">
        <x:v>3.6415103063886156</x:v>
      </x:c>
      <x:c r="D2" s="32" t="n">
        <x:f>IF(C2="","",(1/'Metadata'!$B$5)^(C2-1))</x:f>
        <x:v>438.0365062388709</x:v>
      </x:c>
      <x:c r="E2" s="31" t="n">
        <x:f>IF(B2=0,"",B2*D2)</x:f>
        <x:v>119104156.127855</x:v>
      </x:c>
    </x:row>
    <x:row r="3" ht="18" customHeight="1">
      <x:c r="A3" s="24" t="str">
        <x:v>Crustaceans</x:v>
      </x:c>
      <x:c r="B3" s="31" t="n">
        <x:v>35246.880677885</x:v>
      </x:c>
      <x:c r="C3" s="32" t="n">
        <x:v>2.662621330940856</x:v>
      </x:c>
      <x:c r="D3" s="32" t="n">
        <x:f>IF(C3="","",(1/'Metadata'!$B$5)^(C3-1))</x:f>
        <x:v>45.98554426161638</x:v>
      </x:c>
      <x:c r="E3" s="31" t="n">
        <x:f>IF(B3=0,"",B3*D3)</x:f>
        <x:v>1620846.9914967918</x:v>
      </x:c>
    </x:row>
    <x:row r="4" ht="18" customHeight="1">
      <x:c r="A4" s="24" t="str">
        <x:v>Flatfishes</x:v>
      </x:c>
      <x:c r="B4" s="31" t="n">
        <x:v>24676.2482151331</x:v>
      </x:c>
      <x:c r="C4" s="32" t="n">
        <x:v>3.6357089795205257</x:v>
      </x:c>
      <x:c r="D4" s="32" t="n">
        <x:f>IF(C4="","",(1/'Metadata'!$B$5)^(C4-1))</x:f>
        <x:v>432.22410085349907</x:v>
      </x:c>
      <x:c r="E4" s="31" t="n">
        <x:f>IF(B4=0,"",B4*D4)</x:f>
        <x:v>10665669.197223665</x:v>
      </x:c>
    </x:row>
    <x:row r="5" ht="18" customHeight="1">
      <x:c r="A5" s="24" t="str">
        <x:v>Herring-likes</x:v>
      </x:c>
      <x:c r="B5" s="31" t="n">
        <x:v>61033.7583750854</x:v>
      </x:c>
      <x:c r="C5" s="32" t="n">
        <x:v>3.1167277259518733</x:v>
      </x:c>
      <x:c r="D5" s="32" t="n">
        <x:f>IF(C5="","",(1/'Metadata'!$B$5)^(C5-1))</x:f>
        <x:v>130.8361409355323</x:v>
      </x:c>
      <x:c r="E5" s="31" t="n">
        <x:f>IF(B5=0,"",B5*D5)</x:f>
        <x:v>7985421.4125879</x:v>
      </x:c>
    </x:row>
    <x:row r="6" ht="18" customHeight="1">
      <x:c r="A6" s="24" t="str">
        <x:v>Molluscs</x:v>
      </x:c>
      <x:c r="B6" s="31" t="n">
        <x:v>1532.7958462053002</x:v>
      </x:c>
      <x:c r="C6" s="32" t="n">
        <x:v>2.9786090855046687</x:v>
      </x:c>
      <x:c r="D6" s="32" t="n">
        <x:f>IF(C6="","",(1/'Metadata'!$B$5)^(C6-1))</x:f>
        <x:v>95.1938924826803</x:v>
      </x:c>
      <x:c r="E6" s="31" t="n">
        <x:f>IF(B6=0,"",B6*D6)</x:f>
        <x:v>145912.80298156632</x:v>
      </x:c>
    </x:row>
    <x:row r="7" ht="18" customHeight="1">
      <x:c r="A7" s="24" t="str">
        <x:v>Other fishes &amp; inverts</x:v>
      </x:c>
      <x:c r="B7" s="31" t="n">
        <x:v>162277.8940945458</x:v>
      </x:c>
      <x:c r="C7" s="32" t="n">
        <x:v>3.421514408470513</x:v>
      </x:c>
      <x:c r="D7" s="32" t="n">
        <x:f>IF(C7="","",(1/'Metadata'!$B$5)^(C7-1))</x:f>
        <x:v>263.9455889426977</x:v>
      </x:c>
      <x:c r="E7" s="31" t="n">
        <x:f>IF(B7=0,"",B7*D7)</x:f>
        <x:v>42832534.32916562</x:v>
      </x:c>
    </x:row>
    <x:row r="8" ht="18" customHeight="1">
      <x:c r="A8" s="24" t="str">
        <x:v>Perch-likes</x:v>
      </x:c>
      <x:c r="B8" s="31" t="n">
        <x:v>3629.0430120916003</x:v>
      </x:c>
      <x:c r="C8" s="32" t="n">
        <x:v>2.8809935904598714</x:v>
      </x:c>
      <x:c r="D8" s="32" t="n">
        <x:f>IF(C8="","",(1/'Metadata'!$B$5)^(C8-1))</x:f>
        <x:v>76.03150557388437</x:v>
      </x:c>
      <x:c r="E8" s="31" t="n">
        <x:f>IF(B8=0,"",B8*D8)</x:f>
        <x:v>275921.6040017086</x:v>
      </x:c>
    </x:row>
    <x:row r="9" ht="18" customHeight="1">
      <x:c r="A9" s="24" t="str">
        <x:v>Salmon, smelts, etc</x:v>
      </x:c>
      <x:c r="B9" s="31" t="n">
        <x:v>137570.5777422875</x:v>
      </x:c>
      <x:c r="C9" s="32" t="n">
        <x:v>4.177659651085678</x:v>
      </x:c>
      <x:c r="D9" s="32" t="n">
        <x:f>IF(C9="","",(1/'Metadata'!$B$5)^(C9-1))</x:f>
        <x:v>1505.4268273674356</x:v>
      </x:c>
      <x:c r="E9" s="31" t="n">
        <x:f>IF(B9=0,"",B9*D9)</x:f>
        <x:v>207102438.38967705</x:v>
      </x:c>
    </x:row>
    <x:row r="10" ht="18" customHeight="1">
      <x:c r="A10" s="24" t="str">
        <x:v>Scorpionfishes</x:v>
      </x:c>
      <x:c r="B10" s="31" t="n">
        <x:v>4586.616250962499</x:v>
      </x:c>
      <x:c r="C10" s="32" t="n">
        <x:v>3.395585892631976</x:v>
      </x:c>
      <x:c r="D10" s="32" t="n">
        <x:f>IF(C10="","",(1/'Metadata'!$B$5)^(C10-1))</x:f>
        <x:v>248.6485280462049</x:v>
      </x:c>
      <x:c r="E10" s="31" t="n">
        <x:f>IF(B10=0,"",B10*D10)</x:f>
        <x:v>1140455.379514628</x:v>
      </x:c>
    </x:row>
    <x:row r="11" ht="18" customHeight="1">
      <x:c r="A11" s="24" t="str">
        <x:v>Sharks &amp; rays</x:v>
      </x:c>
      <x:c r="B11" s="31" t="n">
        <x:v>3229.0733603991</x:v>
      </x:c>
      <x:c r="C11" s="32" t="n">
        <x:v>3.720275395782125</x:v>
      </x:c>
      <x:c r="D11" s="32" t="n">
        <x:f>IF(C11="","",(1/'Metadata'!$B$5)^(C11-1))</x:f>
        <x:v>525.1403578606314</x:v>
      </x:c>
      <x:c r="E11" s="31" t="n">
        <x:f>IF(B11=0,"",B11*D11)</x:f>
        <x:v>1695716.740038215</x:v>
      </x:c>
    </x:row>
  </x:sheetData>
  <x:pageMargins left="0.7" right="0.7" top="0.75" bottom="0.75" header="0.3" footer="0.3"/>
  <x:tableParts count="1">
    <x:tablePart xmlns:r="http://schemas.openxmlformats.org/officeDocument/2006/relationships" r:id="Rd5b4121d51d945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29423.1921881003</x:v>
      </x:c>
      <x:c r="C2" s="32" t="n">
        <x:v>4.0983166425123</x:v>
      </x:c>
      <x:c r="D2" s="32" t="n">
        <x:f>IF(C2="","",(1/'Metadata'!$B$5)^(C2-1))</x:f>
        <x:v>1254.0551687255884</x:v>
      </x:c>
      <x:c r="E2" s="31" t="n">
        <x:f>IF(B2=0,"",B2*D2)</x:f>
        <x:v>36898306.243893534</x:v>
      </x:c>
    </x:row>
    <x:row r="3" ht="18" customHeight="1">
      <x:c r="A3" s="24" t="str">
        <x:v>Jellyfish</x:v>
      </x:c>
      <x:c r="B3" s="31" t="n">
        <x:v>90.2704306015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26034.276565553</x:v>
      </x:c>
    </x:row>
    <x:row r="4" ht="18" customHeight="1">
      <x:c r="A4" s="24" t="str">
        <x:v>Large bathydemersals (&gt;=90 cm)</x:v>
      </x:c>
      <x:c r="B4" s="31" t="n">
        <x:v>18.5198210184</x:v>
      </x:c>
      <x:c r="C4" s="32" t="n">
        <x:v>3.8400000000000003</x:v>
      </x:c>
      <x:c r="D4" s="32" t="n">
        <x:f>IF(C4="","",(1/'Metadata'!$B$5)^(C4-1))</x:f>
        <x:v>691.8309709189369</x:v>
      </x:c>
      <x:c r="E4" s="31" t="n">
        <x:f>IF(B4=0,"",B4*D4)</x:f>
        <x:v>12812.585756404605</x:v>
      </x:c>
    </x:row>
    <x:row r="5" ht="18" customHeight="1">
      <x:c r="A5" s="24" t="str">
        <x:v>Large benthopelagics (&gt;=90 cm)</x:v>
      </x:c>
      <x:c r="B5" s="31" t="n">
        <x:v>35793.013380934004</x:v>
      </x:c>
      <x:c r="C5" s="32" t="n">
        <x:v>3.749026832611323</x:v>
      </x:c>
      <x:c r="D5" s="32" t="n">
        <x:f>IF(C5="","",(1/'Metadata'!$B$5)^(C5-1))</x:f>
        <x:v>561.0826410995487</x:v>
      </x:c>
      <x:c r="E5" s="31" t="n">
        <x:f>IF(B5=0,"",B5*D5)</x:f>
        <x:v>20082838.48068594</x:v>
      </x:c>
    </x:row>
    <x:row r="6" ht="18" customHeight="1">
      <x:c r="A6" s="24" t="str">
        <x:v>Large demersals (&gt;=90 cm)</x:v>
      </x:c>
      <x:c r="B6" s="31" t="n">
        <x:v>24448.8637201099</x:v>
      </x:c>
      <x:c r="C6" s="32" t="n">
        <x:v>4.173316961196745</x:v>
      </x:c>
      <x:c r="D6" s="32" t="n">
        <x:f>IF(C6="","",(1/'Metadata'!$B$5)^(C6-1))</x:f>
        <x:v>1490.4484550470409</x:v>
      </x:c>
      <x:c r="E6" s="31" t="n">
        <x:f>IF(B6=0,"",B6*D6)</x:f>
        <x:v>36439771.15929345</x:v>
      </x:c>
    </x:row>
    <x:row r="7" ht="18" customHeight="1">
      <x:c r="A7" s="24" t="str">
        <x:v>Large flatfishes (&gt;=90 cm)</x:v>
      </x:c>
      <x:c r="B7" s="31" t="n">
        <x:v>631.5496346164</x:v>
      </x:c>
      <x:c r="C7" s="32" t="n">
        <x:v>4.1658727010407866</x:v>
      </x:c>
      <x:c r="D7" s="32" t="n">
        <x:f>IF(C7="","",(1/'Metadata'!$B$5)^(C7-1))</x:f>
        <x:v>1465.1183273817057</x:v>
      </x:c>
      <x:c r="E7" s="31" t="n">
        <x:f>IF(B7=0,"",B7*D7)</x:f>
        <x:v>925294.9443277074</x:v>
      </x:c>
    </x:row>
    <x:row r="8" ht="18" customHeight="1">
      <x:c r="A8" s="24" t="str">
        <x:v>Large rays (&gt;=90 cm)</x:v>
      </x:c>
      <x:c r="B8" s="31" t="n">
        <x:v>3226.378593176</x:v>
      </x:c>
      <x:c r="C8" s="32" t="n">
        <x:v>3.7200000000000006</x:v>
      </x:c>
      <x:c r="D8" s="32" t="n">
        <x:f>IF(C8="","",(1/'Metadata'!$B$5)^(C8-1))</x:f>
        <x:v>524.8074602497734</x:v>
      </x:c>
      <x:c r="E8" s="31" t="n">
        <x:f>IF(B8=0,"",B8*D8)</x:f>
        <x:v>1693227.5552889332</x:v>
      </x:c>
    </x:row>
    <x:row r="9" ht="18" customHeight="1">
      <x:c r="A9" s="24" t="str">
        <x:v>Large sharks (&gt;=90 cm)</x:v>
      </x:c>
      <x:c r="B9" s="31" t="n">
        <x:v>2.6947672231000004</x:v>
      </x:c>
      <x:c r="C9" s="32" t="n">
        <x:v>4.05</x:v>
      </x:c>
      <x:c r="D9" s="32" t="n">
        <x:f>IF(C9="","",(1/'Metadata'!$B$5)^(C9-1))</x:f>
        <x:v>1122.018454301963</x:v>
      </x:c>
      <x:c r="E9" s="31" t="n">
        <x:f>IF(B9=0,"",B9*D9)</x:f>
        <x:v>3023.5785543662555</x:v>
      </x:c>
    </x:row>
    <x:row r="10" ht="18" customHeight="1">
      <x:c r="A10" s="24" t="str">
        <x:v>Lobsters, crabs</x:v>
      </x:c>
      <x:c r="B10" s="31" t="n">
        <x:v>24858.0365366239</x:v>
      </x:c>
      <x:c r="C10" s="32" t="n">
        <x:v>2.628227246556657</x:v>
      </x:c>
      <x:c r="D10" s="32" t="n">
        <x:f>IF(C10="","",(1/'Metadata'!$B$5)^(C10-1))</x:f>
        <x:v>42.484180619784716</x:v>
      </x:c>
      <x:c r="E10" s="31" t="n">
        <x:f>IF(B10=0,"",B10*D10)</x:f>
        <x:v>1056073.3140751375</x:v>
      </x:c>
    </x:row>
    <x:row r="11" ht="18" customHeight="1">
      <x:c r="A11" s="24" t="str">
        <x:v>Medium bathydemersals (30 - 89 cm)</x:v>
      </x:c>
      <x:c r="B11" s="31" t="n">
        <x:v>53.916510077000005</x:v>
      </x:c>
      <x:c r="C11" s="32" t="n">
        <x:v>3.5572621011079315</x:v>
      </x:c>
      <x:c r="D11" s="32" t="n">
        <x:f>IF(C11="","",(1/'Metadata'!$B$5)^(C11-1))</x:f>
        <x:v>360.79632155497563</x:v>
      </x:c>
      <x:c r="E11" s="31" t="n">
        <x:f>IF(B11=0,"",B11*D11)</x:f>
        <x:v>19452.878506863377</x:v>
      </x:c>
    </x:row>
    <x:row r="12" ht="18" customHeight="1">
      <x:c r="A12" s="24" t="str">
        <x:v>Medium benthopelagics (30 - 89 cm)</x:v>
      </x:c>
      <x:c r="B12" s="31" t="n">
        <x:v>237528.47553457308</x:v>
      </x:c>
      <x:c r="C12" s="32" t="n">
        <x:v>3.570350553801467</x:v>
      </x:c>
      <x:c r="D12" s="32" t="n">
        <x:f>IF(C12="","",(1/'Metadata'!$B$5)^(C12-1))</x:f>
        <x:v>371.8352459551314</x:v>
      </x:c>
      <x:c r="E12" s="31" t="n">
        <x:f>IF(B12=0,"",B12*D12)</x:f>
        <x:v>88321459.1217454</x:v>
      </x:c>
    </x:row>
    <x:row r="13" ht="18" customHeight="1">
      <x:c r="A13" s="24" t="str">
        <x:v>Medium demersals (30 - 89 cm)</x:v>
      </x:c>
      <x:c r="B13" s="31" t="n">
        <x:v>230123.27332873974</x:v>
      </x:c>
      <x:c r="C13" s="32" t="n">
        <x:v>3.7606954183207546</x:v>
      </x:c>
      <x:c r="D13" s="32" t="n">
        <x:f>IF(C13="","",(1/'Metadata'!$B$5)^(C13-1))</x:f>
        <x:v>576.3621043273982</x:v>
      </x:c>
      <x:c r="E13" s="31" t="n">
        <x:f>IF(B13=0,"",B13*D13)</x:f>
        <x:v>132634334.07046148</x:v>
      </x:c>
    </x:row>
    <x:row r="14" ht="18" customHeight="1">
      <x:c r="A14" s="24" t="str">
        <x:v>Medium pelagics (30 - 89 cm)</x:v>
      </x:c>
      <x:c r="B14" s="31" t="n">
        <x:v>76451.8157791084</x:v>
      </x:c>
      <x:c r="C14" s="32" t="n">
        <x:v>3.2041633653728767</x:v>
      </x:c>
      <x:c r="D14" s="32" t="n">
        <x:f>IF(C14="","",(1/'Metadata'!$B$5)^(C14-1))</x:f>
        <x:v>160.01598358188141</x:v>
      </x:c>
      <x:c r="E14" s="31" t="n">
        <x:f>IF(B14=0,"",B14*D14)</x:f>
        <x:v>12233512.498514831</x:v>
      </x:c>
    </x:row>
    <x:row r="15" ht="18" customHeight="1">
      <x:c r="A15" s="24" t="str">
        <x:v>Medium reef assoc. fish (30 - 89 cm)</x:v>
      </x:c>
      <x:c r="B15" s="31" t="n">
        <x:v>9.7934661029</x:v>
      </x:c>
      <x:c r="C15" s="32" t="n">
        <x:v>2.53</x:v>
      </x:c>
      <x:c r="D15" s="32" t="n">
        <x:f>IF(C15="","",(1/'Metadata'!$B$5)^(C15-1))</x:f>
        <x:v>33.88441561392024</x:v>
      </x:c>
      <x:c r="E15" s="31" t="n">
        <x:f>IF(B15=0,"",B15*D15)</x:f>
        <x:v>331.8458757315034</x:v>
      </x:c>
    </x:row>
    <x:row r="16" ht="18" customHeight="1">
      <x:c r="A16" s="24" t="str">
        <x:v>Other demersal invertebrates</x:v>
      </x:c>
      <x:c r="B16" s="31" t="n">
        <x:v>3641.713393941999</x:v>
      </x:c>
      <x:c r="C16" s="32" t="n">
        <x:v>2.7031675215283903</x:v>
      </x:c>
      <x:c r="D16" s="32" t="n">
        <x:f>IF(C16="","",(1/'Metadata'!$B$5)^(C16-1))</x:f>
        <x:v>50.48559994138582</x:v>
      </x:c>
      <x:c r="E16" s="31" t="n">
        <x:f>IF(B16=0,"",B16*D16)</x:f>
        <x:v>183854.08550774216</x:v>
      </x:c>
    </x:row>
    <x:row r="17" ht="18" customHeight="1">
      <x:c r="A17" s="24" t="str">
        <x:v>Shrimps</x:v>
      </x:c>
      <x:c r="B17" s="31" t="n">
        <x:v>10388.844141261103</x:v>
      </x:c>
      <x:c r="C17" s="32" t="n">
        <x:v>2.7449182058040047</x:v>
      </x:c>
      <x:c r="D17" s="32" t="n">
        <x:f>IF(C17="","",(1/'Metadata'!$B$5)^(C17-1))</x:f>
        <x:v>55.57995691795003</x:v>
      </x:c>
      <x:c r="E17" s="31" t="n">
        <x:f>IF(B17=0,"",B17*D17)</x:f>
        <x:v>577411.5097985896</x:v>
      </x:c>
    </x:row>
    <x:row r="18" ht="18" customHeight="1">
      <x:c r="A18" s="24" t="str">
        <x:v>Small demersals (&lt;30 cm)</x:v>
      </x:c>
      <x:c r="B18" s="31" t="n">
        <x:v>3096.1231134459003</x:v>
      </x:c>
      <x:c r="C18" s="32" t="n">
        <x:v>2.9999999999999996</x:v>
      </x:c>
      <x:c r="D18" s="32" t="n">
        <x:f>IF(C18="","",(1/'Metadata'!$B$5)^(C18-1))</x:f>
        <x:v>99.9999999999999</x:v>
      </x:c>
      <x:c r="E18" s="31" t="n">
        <x:f>IF(B18=0,"",B18*D18)</x:f>
        <x:v>309612.31134458975</x:v>
      </x:c>
    </x:row>
    <x:row r="19" ht="18" customHeight="1">
      <x:c r="A19" s="24" t="str">
        <x:v>Small pelagics (&lt;30 cm)</x:v>
      </x:c>
      <x:c r="B19" s="31" t="n">
        <x:v>1856.3491574334998</x:v>
      </x:c>
      <x:c r="C19" s="32" t="n">
        <x:v>3.197636300819261</x:v>
      </x:c>
      <x:c r="D19" s="32" t="n">
        <x:f>IF(C19="","",(1/'Metadata'!$B$5)^(C19-1))</x:f>
        <x:v>157.62906548552164</x:v>
      </x:c>
      <x:c r="E19" s="31" t="n">
        <x:f>IF(B19=0,"",B19*D19)</x:f>
        <x:v>292614.58290107804</x:v>
      </x:c>
    </x:row>
    <x:row r="20" ht="18" customHeight="1">
      <x:c r="A20" s="24" t="str">
        <x:v>Small to medium flatfishes (&lt;90 cm)</x:v>
      </x:c>
      <x:c r="B20" s="31" t="n">
        <x:v>24044.6985805167</x:v>
      </x:c>
      <x:c r="C20" s="32" t="n">
        <x:v>3.6217838848269164</x:v>
      </x:c>
      <x:c r="D20" s="32" t="n">
        <x:f>IF(C20="","",(1/'Metadata'!$B$5)^(C20-1))</x:f>
        <x:v>418.585215410638</x:v>
      </x:c>
      <x:c r="E20" s="31" t="n">
        <x:f>IF(B20=0,"",B20*D20)</x:f>
        <x:v>10064755.334809445</x:v>
      </x:c>
    </x:row>
  </x:sheetData>
  <x:pageMargins left="0.7" right="0.7" top="0.75" bottom="0.75" header="0.3" footer="0.3"/>
  <x:tableParts count="1">
    <x:tablePart xmlns:r="http://schemas.openxmlformats.org/officeDocument/2006/relationships" r:id="R37830e9cb8064eb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LME_053</x:v>
      </x:c>
      <x:c r="B2" s="24" t="str">
        <x:v>raw_filtered_tonnes</x:v>
      </x:c>
      <x:c r="C2" s="24" t="n">
        <x:v>705687.5220776038</x:v>
      </x:c>
      <x:c r="D2" s="24" t="str">
        <x:v>tonnes</x:v>
      </x:c>
    </x:row>
    <x:row r="3" ht="18" customHeight="1">
      <x:c r="A3" s="24" t="str">
        <x:v>LME_053</x:v>
      </x:c>
      <x:c r="B3" s="24" t="str">
        <x:v>species_catch_tonnes</x:v>
      </x:c>
      <x:c r="C3" s="24" t="n">
        <x:v>705687.5220776038</x:v>
      </x:c>
      <x:c r="D3" s="24" t="str">
        <x:v>tonnes</x:v>
      </x:c>
    </x:row>
    <x:row r="4" ht="18" customHeight="1">
      <x:c r="A4" s="24" t="str">
        <x:v>LME_053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LME_053</x:v>
      </x:c>
      <x:c r="B6" s="24" t="str">
        <x:v>matched_catch_tonnes</x:v>
      </x:c>
      <x:c r="C6" s="24" t="n">
        <x:v>705687.5220776038</x:v>
      </x:c>
      <x:c r="D6" s="24" t="str">
        <x:v>tonnes</x:v>
      </x:c>
    </x:row>
    <x:row r="7" ht="18" customHeight="1">
      <x:c r="A7" s="24" t="str">
        <x:v>LME_053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LME_053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LME_053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LME_053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LME_053</x:v>
      </x:c>
      <x:c r="B11" s="24" t="str">
        <x:v>species_ppr</x:v>
      </x:c>
      <x:c r="C11" s="24" t="n">
        <x:v>511445832.05498385</x:v>
      </x:c>
      <x:c r="D11" s="24" t="str">
        <x:v>tonnes_primary_production_equivalent</x:v>
      </x:c>
    </x:row>
    <x:row r="12" ht="18" customHeight="1">
      <x:c r="A12" s="24" t="str">
        <x:v>LME_053</x:v>
      </x:c>
      <x:c r="B12" s="24" t="str">
        <x:v>commercial_ppr</x:v>
      </x:c>
      <x:c r="C12" s="24" t="n">
        <x:v>392569072.97454214</x:v>
      </x:c>
      <x:c r="D12" s="24" t="str">
        <x:v>tonnes_primary_production_equivalent</x:v>
      </x:c>
    </x:row>
    <x:row r="13" ht="18" customHeight="1">
      <x:c r="A13" s="24" t="str">
        <x:v>LME_053</x:v>
      </x:c>
      <x:c r="B13" s="24" t="str">
        <x:v>functional_ppr</x:v>
      </x:c>
      <x:c r="C13" s="24" t="n">
        <x:v>341774720.3779067</x:v>
      </x:c>
      <x:c r="D13" s="24" t="str">
        <x:v>tonnes_primary_production_equivalent</x:v>
      </x:c>
    </x:row>
    <x:row r="14" ht="18" customHeight="1">
      <x:c r="A14" s="24" t="str">
        <x:v>LME_053</x:v>
      </x:c>
      <x:c r="B14" s="24" t="str">
        <x:v>commercial_ppr_difference</x:v>
      </x:c>
      <x:c r="C14" s="24" t="n">
        <x:v>-118876759.08044171</x:v>
      </x:c>
      <x:c r="D14" s="24" t="str">
        <x:v>tonnes_primary_production_equivalent</x:v>
      </x:c>
    </x:row>
    <x:row r="15" ht="18" customHeight="1">
      <x:c r="A15" s="24" t="str">
        <x:v>LME_053</x:v>
      </x:c>
      <x:c r="B15" s="24" t="str">
        <x:v>functional_ppr_difference</x:v>
      </x:c>
      <x:c r="C15" s="24" t="n">
        <x:v>-169671111.67707717</x:v>
      </x:c>
      <x:c r="D15" s="24" t="str">
        <x:v>tonnes_primary_production_equivalent</x:v>
      </x:c>
    </x:row>
    <x:row r="16" ht="18" customHeight="1">
      <x:c r="A16" s="24" t="str">
        <x:v>LME_053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e58df0358ac4d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LME_053 - West Bering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