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e7192e8e9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655b94acbd943a2"/>
    <x:sheet xmlns:r="http://schemas.openxmlformats.org/officeDocument/2006/relationships" name="Commercial" sheetId="2" r:id="R6671d30bc9694418"/>
    <x:sheet xmlns:r="http://schemas.openxmlformats.org/officeDocument/2006/relationships" name="Functional" sheetId="3" r:id="R77bdc5a667514f5e"/>
    <x:sheet xmlns:r="http://schemas.openxmlformats.org/officeDocument/2006/relationships" name="Missing TL" sheetId="4" r:id="R27f8ba5f9f8844cb"/>
    <x:sheet xmlns:r="http://schemas.openxmlformats.org/officeDocument/2006/relationships" name="Validation" sheetId="5" r:id="Rb4bf3e9a259842b6"/>
    <x:sheet xmlns:r="http://schemas.openxmlformats.org/officeDocument/2006/relationships" name="Metadata" sheetId="6" r:id="Rfe4398170340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58b9e95e14e7e" /><Relationship Type="http://schemas.openxmlformats.org/officeDocument/2006/relationships/theme" Target="/xl/theme/theme1.xml" Id="R543f146207c14812" /><Relationship Type="http://schemas.openxmlformats.org/officeDocument/2006/relationships/sharedStrings" Target="/xl/sharedStrings.xml" Id="Rdf7da0fb969f438c" /><Relationship Type="http://schemas.openxmlformats.org/officeDocument/2006/relationships/worksheet" Target="/xl/worksheets/sheet1.xml" Id="R0655b94acbd943a2" /><Relationship Type="http://schemas.openxmlformats.org/officeDocument/2006/relationships/worksheet" Target="/xl/worksheets/sheet2.xml" Id="R6671d30bc9694418" /><Relationship Type="http://schemas.openxmlformats.org/officeDocument/2006/relationships/worksheet" Target="/xl/worksheets/sheet3.xml" Id="R77bdc5a667514f5e" /><Relationship Type="http://schemas.openxmlformats.org/officeDocument/2006/relationships/worksheet" Target="/xl/worksheets/sheet4.xml" Id="R27f8ba5f9f8844cb" /><Relationship Type="http://schemas.openxmlformats.org/officeDocument/2006/relationships/worksheet" Target="/xl/worksheets/sheet5.xml" Id="Rb4bf3e9a259842b6" /><Relationship Type="http://schemas.openxmlformats.org/officeDocument/2006/relationships/worksheet" Target="/xl/worksheets/sheet6.xml" Id="Rfe43981703404586" /></Relationships>
</file>

<file path=xl/tables/table1.xml><?xml version="1.0" encoding="utf-8"?>
<x:table xmlns:x="http://schemas.openxmlformats.org/spreadsheetml/2006/main" id="1" name="LME056SpeciesTable" displayName="LME056SpeciesTable" ref="A1:U5" headerRowCount="1" totalsRowCount="0" totalsRowShown="0">
  <x:autoFilter ref="A1:U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6CommercialTable" displayName="LME056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6FunctionalTable" displayName="LME056FunctionalTable" ref="A1:O3" headerRowCount="1" totalsRowCount="0" totalsRowShown="0">
  <x:autoFilter ref="A1:O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6ValidationTable" displayName="LME05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84f134d7346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4d6d5b006f4b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0687ee8d7942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090a2a83ed41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LME_056</x:v>
      </x:c>
      <x:c r="B2" s="46" t="str">
        <x:v>East Siberian Sea</x:v>
      </x:c>
      <x:c r="C2" s="46" t="str">
        <x:v>LME</x:v>
      </x:c>
      <x:c r="D2" s="58" t="n">
        <x:v>2019</x:v>
      </x:c>
      <x:c r="E2" s="46" t="str">
        <x:v>Coregonus sardinella</x:v>
      </x:c>
      <x:c r="F2" s="46" t="str">
        <x:v>Sardine cisco</x:v>
      </x:c>
      <x:c r="G2" s="46" t="str">
        <x:v>Medium pelagics (30 - 89 cm)</x:v>
      </x:c>
      <x:c r="H2" s="46" t="str">
        <x:v>Salmon, smelts, etc</x:v>
      </x:c>
      <x:c r="I2" s="60" t="n">
        <x:v>658.6674938744</x:v>
      </x:c>
      <x:c r="J2" s="60" t="n">
        <x:v>658.6674938744</x:v>
      </x:c>
      <x:c r="K2" s="60" t="n">
        <x:v>0</x:v>
      </x:c>
      <x:c r="L2" s="60" t="n">
        <x:v>0</x:v>
      </x:c>
      <x:c r="M2" s="60" t="n">
        <x:v>658.6674938744</x:v>
      </x:c>
      <x:c r="N2" s="46" t="str">
        <x:v>coregonus sardinella</x:v>
      </x:c>
      <x:c r="O2" s="62" t="n">
        <x:v>3.21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Coregonus sardinella</x:v>
      </x:c>
      <x:c r="T2" s="62" t="n">
        <x:f>IF(O2="","",(1/'Metadata'!$B$5)^(O2-1))</x:f>
        <x:v>162.18100973589299</x:v>
      </x:c>
      <x:c r="U2" s="60" t="n">
        <x:f>IF(T2="","",I2*T2)</x:f>
        <x:v>106823.3592367603</x:v>
      </x:c>
    </x:row>
    <x:row r="3" ht="18" customHeight="1">
      <x:c r="A3" s="46" t="str">
        <x:v>LME_056</x:v>
      </x:c>
      <x:c r="B3" s="46" t="str">
        <x:v>East Siberian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343.3194620341</x:v>
      </x:c>
      <x:c r="J3" s="60" t="n">
        <x:v>343.3194620341</x:v>
      </x:c>
      <x:c r="K3" s="60" t="n">
        <x:v>0</x:v>
      </x:c>
      <x:c r="L3" s="60" t="n">
        <x:v>0</x:v>
      </x:c>
      <x:c r="M3" s="60" t="n">
        <x:v>343.3194620341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65418.17486182517</x:v>
      </x:c>
    </x:row>
    <x:row r="4" ht="18" customHeight="1">
      <x:c r="A4" s="46" t="str">
        <x:v>LME_056</x:v>
      </x:c>
      <x:c r="B4" s="46" t="str">
        <x:v>East Siberian Sea</x:v>
      </x:c>
      <x:c r="C4" s="46" t="str">
        <x:v>LME</x:v>
      </x:c>
      <x:c r="D4" s="58" t="n">
        <x:v>2019</x:v>
      </x:c>
      <x:c r="E4" s="46" t="str">
        <x:v>Coregonus autumnalis</x:v>
      </x:c>
      <x:c r="F4" s="46" t="str">
        <x:v>Arctic cisco</x:v>
      </x:c>
      <x:c r="G4" s="46" t="str">
        <x:v>Medium pelagics (30 - 89 cm)</x:v>
      </x:c>
      <x:c r="H4" s="46" t="str">
        <x:v>Salmon, smelts, etc</x:v>
      </x:c>
      <x:c r="I4" s="60" t="n">
        <x:v>160.0031916037</x:v>
      </x:c>
      <x:c r="J4" s="60" t="n">
        <x:v>160.0031916037</x:v>
      </x:c>
      <x:c r="K4" s="60" t="n">
        <x:v>0</x:v>
      </x:c>
      <x:c r="L4" s="60" t="n">
        <x:v>0</x:v>
      </x:c>
      <x:c r="M4" s="60" t="n">
        <x:v>160.0031916037</x:v>
      </x:c>
      <x:c r="N4" s="46" t="str">
        <x:v>coregonus autumnalis</x:v>
      </x:c>
      <x:c r="O4" s="62" t="n">
        <x:v>3.67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Coregonus autumnalis</x:v>
      </x:c>
      <x:c r="T4" s="62" t="n">
        <x:f>IF(O4="","",(1/'Metadata'!$B$5)^(O4-1))</x:f>
        <x:v>467.73514128719813</x:v>
      </x:c>
      <x:c r="U4" s="60" t="n">
        <x:f>IF(T4="","",I4*T4)</x:f>
        <x:v>74839.11543115925</x:v>
      </x:c>
    </x:row>
    <x:row r="5" ht="18" customHeight="1">
      <x:c r="A5" s="46" t="str">
        <x:v>LME_056</x:v>
      </x:c>
      <x:c r="B5" s="46" t="str">
        <x:v>East Siberian Sea</x:v>
      </x:c>
      <x:c r="C5" s="46" t="str">
        <x:v>LME</x:v>
      </x:c>
      <x:c r="D5" s="58" t="n">
        <x:v>2019</x:v>
      </x:c>
      <x:c r="E5" s="46" t="str">
        <x:v>Coregonus</x:v>
      </x:c>
      <x:c r="F5" s="46" t="str">
        <x:v>Whitefishes</x:v>
      </x:c>
      <x:c r="G5" s="46" t="str">
        <x:v>Medium pelagics (30 - 89 cm)</x:v>
      </x:c>
      <x:c r="H5" s="46" t="str">
        <x:v>Salmon, smelts, etc</x:v>
      </x:c>
      <x:c r="I5" s="60" t="n">
        <x:v>142.0786269795</x:v>
      </x:c>
      <x:c r="J5" s="60" t="n">
        <x:v>142.0786269795</x:v>
      </x:c>
      <x:c r="K5" s="60" t="n">
        <x:v>0</x:v>
      </x:c>
      <x:c r="L5" s="60" t="n">
        <x:v>0</x:v>
      </x:c>
      <x:c r="M5" s="60" t="n">
        <x:v>142.0786269795</x:v>
      </x:c>
      <x:c r="N5" s="46" t="str">
        <x:v>coregonus</x:v>
      </x:c>
      <x:c r="O5" s="62" t="n">
        <x:v>3.3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Coregonus</x:v>
      </x:c>
      <x:c r="T5" s="62" t="n">
        <x:f>IF(O5="","",(1/'Metadata'!$B$5)^(O5-1))</x:f>
        <x:v>199.52623149688787</x:v>
      </x:c>
      <x:c r="U5" s="60" t="n">
        <x:f>IF(T5="","",I5*T5)</x:f>
        <x:v>28348.413017471696</x:v>
      </x:c>
    </x:row>
  </x:sheetData>
  <x:conditionalFormatting sqref="R2:R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0f84f134d7346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1</x:v>
      </x:c>
      <x:c r="C2" s="64" t="n">
        <x:v>1</x:v>
      </x:c>
      <x:c r="D2" s="60" t="n">
        <x:v>343.3194620341</x:v>
      </x:c>
      <x:c r="E2" s="60" t="n">
        <x:v>343.3194620341</x:v>
      </x:c>
      <x:c r="F2" s="62" t="n">
        <x:v>0</x:v>
      </x:c>
      <x:c r="G2" s="66" t="n">
        <x:v>1</x:v>
      </x:c>
      <x:c r="H2" s="62" t="n">
        <x:f>IF(E2=0,"",I2/E2)</x:f>
        <x:v>190.54607179632464</x:v>
      </x:c>
      <x:c r="I2" s="60" t="n">
        <x:f>SUMIF('Species'!$H$2:$H$5,A2,'Species'!$U$2:$U$5)</x:f>
        <x:v>65418.17486182517</x:v>
      </x:c>
      <x:c r="J2" s="62" t="n">
        <x:v>3.28</x:v>
      </x:c>
      <x:c r="K2" s="62" t="n">
        <x:f>IF(J2="","",(1/'Metadata'!$B$5)^(J2-1))</x:f>
        <x:v>190.54607179632464</x:v>
      </x:c>
      <x:c r="L2" s="60" t="n">
        <x:f>IF(E2=0,"",E2*K2)</x:f>
        <x:v>65418.17486182517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Salmon, smelts, etc</x:v>
      </x:c>
      <x:c r="B3" s="64" t="n">
        <x:v>3</x:v>
      </x:c>
      <x:c r="C3" s="64" t="n">
        <x:v>3</x:v>
      </x:c>
      <x:c r="D3" s="60" t="n">
        <x:v>960.7493124575999</x:v>
      </x:c>
      <x:c r="E3" s="60" t="n">
        <x:v>960.7493124575999</x:v>
      </x:c>
      <x:c r="F3" s="62" t="n">
        <x:v>0</x:v>
      </x:c>
      <x:c r="G3" s="66" t="n">
        <x:v>1</x:v>
      </x:c>
      <x:c r="H3" s="62" t="n">
        <x:f>IF(E3=0,"",I3/E3)</x:f>
        <x:v>218.59072388840198</x:v>
      </x:c>
      <x:c r="I3" s="60" t="n">
        <x:f>SUMIF('Species'!$H$2:$H$5,A3,'Species'!$U$2:$U$5)</x:f>
        <x:v>210010.88768539127</x:v>
      </x:c>
      <x:c r="J3" s="62" t="n">
        <x:v>3.2999178833080554</x:v>
      </x:c>
      <x:c r="K3" s="62" t="n">
        <x:f>IF(J3="","",(1/'Metadata'!$B$5)^(J3-1))</x:f>
        <x:v>199.48850850965903</x:v>
      </x:c>
      <x:c r="L3" s="60" t="n">
        <x:f>IF(E3=0,"",E3*K3)</x:f>
        <x:v>191658.447393847</x:v>
      </x:c>
      <x:c r="M3" s="60" t="n">
        <x:f>I3-L3</x:f>
        <x:v>18352.440291544277</x:v>
      </x:c>
      <x:c r="N3" s="62" t="n">
        <x:f>IF(L3=0,"",I3/L3)</x:f>
        <x:v>1.0957559687094358</x:v>
      </x:c>
      <x:c r="O3" s="66" t="n">
        <x:f>IF(L3=0,"",M3/L3)</x:f>
        <x:v>0.0957559687094359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e4d6d5b006f4b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Medium demersals (30 - 89 cm)</x:v>
      </x:c>
      <x:c r="B2" s="64" t="n">
        <x:v>1</x:v>
      </x:c>
      <x:c r="C2" s="64" t="n">
        <x:v>1</x:v>
      </x:c>
      <x:c r="D2" s="60" t="n">
        <x:v>343.3194620341</x:v>
      </x:c>
      <x:c r="E2" s="60" t="n">
        <x:v>343.3194620341</x:v>
      </x:c>
      <x:c r="F2" s="62" t="n">
        <x:v>0</x:v>
      </x:c>
      <x:c r="G2" s="66" t="n">
        <x:v>1</x:v>
      </x:c>
      <x:c r="H2" s="62" t="n">
        <x:f>IF(E2=0,"",I2/E2)</x:f>
        <x:v>190.54607179632464</x:v>
      </x:c>
      <x:c r="I2" s="60" t="n">
        <x:f>SUMIF('Species'!$G$2:$G$5,A2,'Species'!$U$2:$U$5)</x:f>
        <x:v>65418.17486182517</x:v>
      </x:c>
      <x:c r="J2" s="62" t="n">
        <x:v>3.28</x:v>
      </x:c>
      <x:c r="K2" s="62" t="n">
        <x:f>IF(J2="","",(1/'Metadata'!$B$5)^(J2-1))</x:f>
        <x:v>190.54607179632464</x:v>
      </x:c>
      <x:c r="L2" s="60" t="n">
        <x:f>IF(E2=0,"",E2*K2)</x:f>
        <x:v>65418.17486182517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Medium pelagics (30 - 89 cm)</x:v>
      </x:c>
      <x:c r="B3" s="64" t="n">
        <x:v>3</x:v>
      </x:c>
      <x:c r="C3" s="64" t="n">
        <x:v>3</x:v>
      </x:c>
      <x:c r="D3" s="60" t="n">
        <x:v>960.7493124575999</x:v>
      </x:c>
      <x:c r="E3" s="60" t="n">
        <x:v>960.7493124575999</x:v>
      </x:c>
      <x:c r="F3" s="62" t="n">
        <x:v>0</x:v>
      </x:c>
      <x:c r="G3" s="66" t="n">
        <x:v>1</x:v>
      </x:c>
      <x:c r="H3" s="62" t="n">
        <x:f>IF(E3=0,"",I3/E3)</x:f>
        <x:v>218.59072388840198</x:v>
      </x:c>
      <x:c r="I3" s="60" t="n">
        <x:f>SUMIF('Species'!$G$2:$G$5,A3,'Species'!$U$2:$U$5)</x:f>
        <x:v>210010.88768539127</x:v>
      </x:c>
      <x:c r="J3" s="62" t="n">
        <x:v>3.2999178833080554</x:v>
      </x:c>
      <x:c r="K3" s="62" t="n">
        <x:f>IF(J3="","",(1/'Metadata'!$B$5)^(J3-1))</x:f>
        <x:v>199.48850850965903</x:v>
      </x:c>
      <x:c r="L3" s="60" t="n">
        <x:f>IF(E3=0,"",E3*K3)</x:f>
        <x:v>191658.447393847</x:v>
      </x:c>
      <x:c r="M3" s="60" t="n">
        <x:f>I3-L3</x:f>
        <x:v>18352.440291544277</x:v>
      </x:c>
      <x:c r="N3" s="62" t="n">
        <x:f>IF(L3=0,"",I3/L3)</x:f>
        <x:v>1.0957559687094358</x:v>
      </x:c>
      <x:c r="O3" s="66" t="n">
        <x:f>IF(L3=0,"",M3/L3)</x:f>
        <x:v>0.0957559687094359</x:v>
      </x:c>
    </x:row>
  </x:sheetData>
  <x:conditionalFormatting sqref="G2:G3">
    <x:cfRule type="cellIs" dxfId="2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0687ee8d7942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LME_056</x:v>
      </x:c>
      <x:c r="B2" s="46" t="str">
        <x:v>raw_filtered_tonnes</x:v>
      </x:c>
      <x:c r="C2" s="46" t="n">
        <x:v>1304.0687744917</x:v>
      </x:c>
      <x:c r="D2" s="46" t="str">
        <x:v>tonnes</x:v>
      </x:c>
    </x:row>
    <x:row r="3" ht="18" customHeight="1">
      <x:c r="A3" s="46" t="str">
        <x:v>LME_056</x:v>
      </x:c>
      <x:c r="B3" s="46" t="str">
        <x:v>species_catch_tonnes</x:v>
      </x:c>
      <x:c r="C3" s="46" t="n">
        <x:v>1304.0687744917002</x:v>
      </x:c>
      <x:c r="D3" s="46" t="str">
        <x:v>tonnes</x:v>
      </x:c>
    </x:row>
    <x:row r="4" ht="18" customHeight="1">
      <x:c r="A4" s="46" t="str">
        <x:v>LME_056</x:v>
      </x:c>
      <x:c r="B4" s="46" t="str">
        <x:v>catch_difference_tonnes</x:v>
      </x:c>
      <x:c r="C4" s="46" t="n">
        <x:v>2.2737367544323206e-13</x:v>
      </x:c>
      <x:c r="D4" s="46" t="str">
        <x:v>tonnes</x:v>
      </x:c>
    </x:row>
    <x:row r="5" ht="18" customHeight="1">
      <x:c r="A5" s="46" t="str">
        <x:v>LME_056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LME_056</x:v>
      </x:c>
      <x:c r="B6" s="46" t="str">
        <x:v>matched_catch_tonnes</x:v>
      </x:c>
      <x:c r="C6" s="46" t="n">
        <x:v>1304.0687744917002</x:v>
      </x:c>
      <x:c r="D6" s="46" t="str">
        <x:v>tonnes</x:v>
      </x:c>
    </x:row>
    <x:row r="7" ht="18" customHeight="1">
      <x:c r="A7" s="46" t="str">
        <x:v>LME_056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LME_056</x:v>
      </x:c>
      <x:c r="B8" s="46" t="str">
        <x:v>taxa_count</x:v>
      </x:c>
      <x:c r="C8" s="46" t="n">
        <x:v>4</x:v>
      </x:c>
      <x:c r="D8" s="46" t="str">
        <x:v>count</x:v>
      </x:c>
    </x:row>
    <x:row r="9" ht="18" customHeight="1">
      <x:c r="A9" s="46" t="str">
        <x:v>LME_056</x:v>
      </x:c>
      <x:c r="B9" s="46" t="str">
        <x:v>matched_taxa_count</x:v>
      </x:c>
      <x:c r="C9" s="46" t="n">
        <x:v>4</x:v>
      </x:c>
      <x:c r="D9" s="46" t="str">
        <x:v>count</x:v>
      </x:c>
    </x:row>
    <x:row r="10" ht="18" customHeight="1">
      <x:c r="A10" s="46" t="str">
        <x:v>LME_056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LME_056</x:v>
      </x:c>
      <x:c r="B11" s="46" t="str">
        <x:v>species_ppr</x:v>
      </x:c>
      <x:c r="C11" s="46" t="n">
        <x:v>275429.0625472164</x:v>
      </x:c>
      <x:c r="D11" s="46" t="str">
        <x:v>tonnes_primary_production_equivalent</x:v>
      </x:c>
    </x:row>
    <x:row r="12" ht="18" customHeight="1">
      <x:c r="A12" s="46" t="str">
        <x:v>LME_056</x:v>
      </x:c>
      <x:c r="B12" s="46" t="str">
        <x:v>commercial_ppr</x:v>
      </x:c>
      <x:c r="C12" s="46" t="n">
        <x:v>275429.0625472164</x:v>
      </x:c>
      <x:c r="D12" s="46" t="str">
        <x:v>tonnes_primary_production_equivalent</x:v>
      </x:c>
    </x:row>
    <x:row r="13" ht="18" customHeight="1">
      <x:c r="A13" s="46" t="str">
        <x:v>LME_056</x:v>
      </x:c>
      <x:c r="B13" s="46" t="str">
        <x:v>functional_ppr</x:v>
      </x:c>
      <x:c r="C13" s="46" t="n">
        <x:v>275429.0625472164</x:v>
      </x:c>
      <x:c r="D13" s="46" t="str">
        <x:v>tonnes_primary_production_equivalent</x:v>
      </x:c>
    </x:row>
    <x:row r="14" ht="18" customHeight="1">
      <x:c r="A14" s="46" t="str">
        <x:v>LME_056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LME_056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LME_056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d090a2a83ed41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LME_056 - East Siberian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