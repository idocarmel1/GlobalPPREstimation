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cc93b1d7f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287d45af292469d"/>
    <x:sheet xmlns:r="http://schemas.openxmlformats.org/officeDocument/2006/relationships" name="Commercial" sheetId="2" r:id="R119083e668cc491d"/>
    <x:sheet xmlns:r="http://schemas.openxmlformats.org/officeDocument/2006/relationships" name="Functional" sheetId="3" r:id="R2cd14f14642c44b7"/>
    <x:sheet xmlns:r="http://schemas.openxmlformats.org/officeDocument/2006/relationships" name="Missing TL" sheetId="4" r:id="Rf53380eaa0784b13"/>
    <x:sheet xmlns:r="http://schemas.openxmlformats.org/officeDocument/2006/relationships" name="Validation" sheetId="5" r:id="Rf24dc76a03ea486f"/>
    <x:sheet xmlns:r="http://schemas.openxmlformats.org/officeDocument/2006/relationships" name="Metadata" sheetId="6" r:id="R13599da71800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b8c3cc3bc479a" /><Relationship Type="http://schemas.openxmlformats.org/officeDocument/2006/relationships/theme" Target="/xl/theme/theme1.xml" Id="Rbff3d2c2f8474deb" /><Relationship Type="http://schemas.microsoft.com/office/2022/11/relationships/FeaturePropertyBag" Target="/xl/featurePropertyBag/featurePropertyBag.xml" Id="R0ef028c7354f4683" /><Relationship Type="http://schemas.openxmlformats.org/officeDocument/2006/relationships/sharedStrings" Target="/xl/sharedStrings.xml" Id="R518629b9ae27433f" /><Relationship Type="http://schemas.openxmlformats.org/officeDocument/2006/relationships/worksheet" Target="/xl/worksheets/sheet1.xml" Id="R1287d45af292469d" /><Relationship Type="http://schemas.openxmlformats.org/officeDocument/2006/relationships/worksheet" Target="/xl/worksheets/sheet2.xml" Id="R119083e668cc491d" /><Relationship Type="http://schemas.openxmlformats.org/officeDocument/2006/relationships/worksheet" Target="/xl/worksheets/sheet3.xml" Id="R2cd14f14642c44b7" /><Relationship Type="http://schemas.openxmlformats.org/officeDocument/2006/relationships/worksheet" Target="/xl/worksheets/sheet4.xml" Id="Rf53380eaa0784b13" /><Relationship Type="http://schemas.openxmlformats.org/officeDocument/2006/relationships/worksheet" Target="/xl/worksheets/sheet5.xml" Id="Rf24dc76a03ea486f" /><Relationship Type="http://schemas.openxmlformats.org/officeDocument/2006/relationships/worksheet" Target="/xl/worksheets/sheet6.xml" Id="R13599da718004b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4SpeciesTable" displayName="LME004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4CommercialTable" displayName="LME00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4FunctionalTable" displayName="LME004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4ValidationTable" displayName="LME00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6b19f7d5de43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605a8ec05e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9556c97fbd44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9330cb228a47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LME_004</x:v>
      </x:c>
      <x:c r="B2" s="24" t="str">
        <x:v>Gulf of California</x:v>
      </x:c>
      <x:c r="C2" s="24" t="str">
        <x:v>LME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88344.87368901909</x:v>
      </x:c>
      <x:c r="J2" s="31" t="n">
        <x:v>76589.9937204454</x:v>
      </x:c>
      <x:c r="K2" s="31" t="n">
        <x:v>11754.8799685737</x:v>
      </x:c>
      <x:c r="L2" s="31" t="n">
        <x:v>14564.624783891799</x:v>
      </x:c>
      <x:c r="M2" s="31" t="n">
        <x:v>73780.2489051273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15003112.096991124</x:v>
      </x:c>
    </x:row>
    <x:row r="3" ht="18" customHeight="1">
      <x:c r="A3" s="24" t="str">
        <x:v>LME_004</x:v>
      </x:c>
      <x:c r="B3" s="24" t="str">
        <x:v>Gulf of California</x:v>
      </x:c>
      <x:c r="C3" s="24" t="str">
        <x:v>LME</x:v>
      </x:c>
      <x:c r="D3" s="30" t="n">
        <x:v>2019</x:v>
      </x:c>
      <x:c r="E3" s="24" t="str">
        <x:v>Sardinops sagax</x:v>
      </x:c>
      <x:c r="F3" s="24" t="str">
        <x:v>South American pilchard</x:v>
      </x:c>
      <x:c r="G3" s="24" t="str">
        <x:v>Medium pelagics (30 - 89 cm)</x:v>
      </x:c>
      <x:c r="H3" s="24" t="str">
        <x:v>Herring-likes</x:v>
      </x:c>
      <x:c r="I3" s="31" t="n">
        <x:v>59053.747954032304</x:v>
      </x:c>
      <x:c r="J3" s="31" t="n">
        <x:v>59053.747954032304</x:v>
      </x:c>
      <x:c r="K3" s="31" t="n">
        <x:v>0</x:v>
      </x:c>
      <x:c r="L3" s="31" t="n">
        <x:v>58918.7159239413</x:v>
      </x:c>
      <x:c r="M3" s="31" t="n">
        <x:v>135.032030091</x:v>
      </x:c>
      <x:c r="N3" s="24" t="str">
        <x:v>sardinops sagax</x:v>
      </x:c>
      <x:c r="O3" s="32" t="n">
        <x:v>2.84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Sardinops sagax</x:v>
      </x:c>
      <x:c r="T3" s="32" t="n">
        <x:f>IF(O3="","",(1/'Metadata'!$B$5)^(O3-1))</x:f>
        <x:v>69.18309709189363</x:v>
      </x:c>
      <x:c r="U3" s="31" t="n">
        <x:f>IF(T3="","",I3*T3)</x:f>
        <x:v>4085521.178344032</x:v>
      </x:c>
    </x:row>
    <x:row r="4" ht="18" customHeight="1">
      <x:c r="A4" s="24" t="str">
        <x:v>LME_004</x:v>
      </x:c>
      <x:c r="B4" s="24" t="str">
        <x:v>Gulf of California</x:v>
      </x:c>
      <x:c r="C4" s="24" t="str">
        <x:v>LME</x:v>
      </x:c>
      <x:c r="D4" s="30" t="n">
        <x:v>2019</x:v>
      </x:c>
      <x:c r="E4" s="24" t="str">
        <x:v>Cetengraulis mysticetus</x:v>
      </x:c>
      <x:c r="F4" s="24" t="str">
        <x:v>Pacific anchoveta</x:v>
      </x:c>
      <x:c r="G4" s="24" t="str">
        <x:v>Small pelagics (&lt;30 cm)</x:v>
      </x:c>
      <x:c r="H4" s="24" t="str">
        <x:v>Anchovies</x:v>
      </x:c>
      <x:c r="I4" s="31" t="n">
        <x:v>58227.6778244468</x:v>
      </x:c>
      <x:c r="J4" s="31" t="n">
        <x:v>58227.6778244468</x:v>
      </x:c>
      <x:c r="K4" s="31" t="n">
        <x:v>0</x:v>
      </x:c>
      <x:c r="L4" s="31" t="n">
        <x:v>58227.6778244468</x:v>
      </x:c>
      <x:c r="M4" s="31" t="n">
        <x:v>0</x:v>
      </x:c>
      <x:c r="N4" s="24" t="str">
        <x:v>cetengraulis mysticetus</x:v>
      </x:c>
      <x:c r="O4" s="32" t="n">
        <x:v>2.47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Cetengraulis mysticetus</x:v>
      </x:c>
      <x:c r="T4" s="32" t="n">
        <x:f>IF(O4="","",(1/'Metadata'!$B$5)^(O4-1))</x:f>
        <x:v>29.51209226666387</x:v>
      </x:c>
      <x:c r="U4" s="31" t="n">
        <x:f>IF(T4="","",I4*T4)</x:f>
        <x:v>1718420.6004286518</x:v>
      </x:c>
    </x:row>
    <x:row r="5" ht="18" customHeight="1">
      <x:c r="A5" s="24" t="str">
        <x:v>LME_004</x:v>
      </x:c>
      <x:c r="B5" s="24" t="str">
        <x:v>Gulf of California</x:v>
      </x:c>
      <x:c r="C5" s="24" t="str">
        <x:v>LME</x:v>
      </x:c>
      <x:c r="D5" s="30" t="n">
        <x:v>2019</x:v>
      </x:c>
      <x:c r="E5" s="24" t="str">
        <x:v>Opisthonema libertate</x:v>
      </x:c>
      <x:c r="F5" s="24" t="str">
        <x:v>Pacific thread herring</x:v>
      </x:c>
      <x:c r="G5" s="24" t="str">
        <x:v>Small pelagics (&lt;30 cm)</x:v>
      </x:c>
      <x:c r="H5" s="24" t="str">
        <x:v>Herring-likes</x:v>
      </x:c>
      <x:c r="I5" s="31" t="n">
        <x:v>46951.5256021952</x:v>
      </x:c>
      <x:c r="J5" s="31" t="n">
        <x:v>46951.5256021952</x:v>
      </x:c>
      <x:c r="K5" s="31" t="n">
        <x:v>0</x:v>
      </x:c>
      <x:c r="L5" s="31" t="n">
        <x:v>46951.5256021952</x:v>
      </x:c>
      <x:c r="M5" s="31" t="n">
        <x:v>0</x:v>
      </x:c>
      <x:c r="N5" s="24" t="str">
        <x:v>opisthonema libertate</x:v>
      </x:c>
      <x:c r="O5" s="32" t="n">
        <x:v>2.89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Opisthonema libertate</x:v>
      </x:c>
      <x:c r="T5" s="32" t="n">
        <x:f>IF(O5="","",(1/'Metadata'!$B$5)^(O5-1))</x:f>
        <x:v>77.6247116628692</x:v>
      </x:c>
      <x:c r="U5" s="31" t="n">
        <x:f>IF(T5="","",I5*T5)</x:f>
        <x:v>3644598.6370022236</x:v>
      </x:c>
    </x:row>
    <x:row r="6" ht="18" customHeight="1">
      <x:c r="A6" s="24" t="str">
        <x:v>LME_004</x:v>
      </x:c>
      <x:c r="B6" s="24" t="str">
        <x:v>Gulf of California</x:v>
      </x:c>
      <x:c r="C6" s="24" t="str">
        <x:v>LME</x:v>
      </x:c>
      <x:c r="D6" s="30" t="n">
        <x:v>2019</x:v>
      </x:c>
      <x:c r="E6" s="24" t="str">
        <x:v>Actinopterygii</x:v>
      </x:c>
      <x:c r="F6" s="24" t="str">
        <x:v>Ray-finned fishes</x:v>
      </x:c>
      <x:c r="G6" s="24" t="str">
        <x:v>Medium demersals (30 - 89 cm)</x:v>
      </x:c>
      <x:c r="H6" s="24" t="str">
        <x:v>Other fishes &amp; inverts</x:v>
      </x:c>
      <x:c r="I6" s="31" t="n">
        <x:v>39244.5062798649</x:v>
      </x:c>
      <x:c r="J6" s="31" t="n">
        <x:v>32056.7464610032</x:v>
      </x:c>
      <x:c r="K6" s="31" t="n">
        <x:v>7187.7598188617</x:v>
      </x:c>
      <x:c r="L6" s="31" t="n">
        <x:v>0</x:v>
      </x:c>
      <x:c r="M6" s="31" t="n">
        <x:v>39244.5062798649</x:v>
      </x:c>
      <x:c r="N6" s="24" t="str">
        <x:v>actinopterygii</x:v>
      </x:c>
      <x:c r="O6" s="32" t="n">
        <x:v>3.79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Actinopterygii</x:v>
      </x:c>
      <x:c r="T6" s="32" t="n">
        <x:f>IF(O6="","",(1/'Metadata'!$B$5)^(O6-1))</x:f>
        <x:v>616.5950018614822</x:v>
      </x:c>
      <x:c r="U6" s="31" t="n">
        <x:f>IF(T6="","",I6*T6)</x:f>
        <x:v>24197966.42268625</x:v>
      </x:c>
    </x:row>
    <x:row r="7" ht="18" customHeight="1">
      <x:c r="A7" s="24" t="str">
        <x:v>LME_004</x:v>
      </x:c>
      <x:c r="B7" s="24" t="str">
        <x:v>Gulf of California</x:v>
      </x:c>
      <x:c r="C7" s="24" t="str">
        <x:v>LME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35823.0406327572</x:v>
      </x:c>
      <x:c r="J7" s="31" t="n">
        <x:v>27419.1084194637</x:v>
      </x:c>
      <x:c r="K7" s="31" t="n">
        <x:v>8403.932213293501</x:v>
      </x:c>
      <x:c r="L7" s="31" t="n">
        <x:v>21774.5848643568</x:v>
      </x:c>
      <x:c r="M7" s="31" t="n">
        <x:v>14048.455768400401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6825939.672372008</x:v>
      </x:c>
    </x:row>
    <x:row r="8" ht="18" customHeight="1">
      <x:c r="A8" s="24" t="str">
        <x:v>LME_004</x:v>
      </x:c>
      <x:c r="B8" s="24" t="str">
        <x:v>Gulf of California</x:v>
      </x:c>
      <x:c r="C8" s="24" t="str">
        <x:v>LME</x:v>
      </x:c>
      <x:c r="D8" s="30" t="n">
        <x:v>2019</x:v>
      </x:c>
      <x:c r="E8" s="24" t="str">
        <x:v>Stomolophus</x:v>
      </x:c>
      <x:c r="F8" s="24" t="str">
        <x:v>Cannonball jellies</x:v>
      </x:c>
      <x:c r="G8" s="24" t="str">
        <x:v>Jellyfish</x:v>
      </x:c>
      <x:c r="H8" s="24" t="str">
        <x:v>Other fishes &amp; inverts</x:v>
      </x:c>
      <x:c r="I8" s="31" t="n">
        <x:v>26642.454372668297</x:v>
      </x:c>
      <x:c r="J8" s="31" t="n">
        <x:v>26642.454372668297</x:v>
      </x:c>
      <x:c r="K8" s="31" t="n">
        <x:v>0</x:v>
      </x:c>
      <x:c r="L8" s="31" t="n">
        <x:v>8576.9208601183</x:v>
      </x:c>
      <x:c r="M8" s="31" t="n">
        <x:v>18065.53351255</x:v>
      </x:c>
      <x:c r="N8" s="24" t="str">
        <x:v>stomolophus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Stomolophus</x:v>
      </x:c>
      <x:c r="T8" s="32" t="n">
        <x:f>IF(O8="","",(1/'Metadata'!$B$5)^(O8-1))</x:f>
        <x:v>288.40315031266056</x:v>
      </x:c>
      <x:c r="U8" s="31" t="n">
        <x:f>IF(T8="","",I8*T8)</x:f>
        <x:v>7683767.773138856</x:v>
      </x:c>
    </x:row>
    <x:row r="9" ht="18" customHeight="1">
      <x:c r="A9" s="24" t="str">
        <x:v>LME_004</x:v>
      </x:c>
      <x:c r="B9" s="24" t="str">
        <x:v>Gulf of California</x:v>
      </x:c>
      <x:c r="C9" s="24" t="str">
        <x:v>LME</x:v>
      </x:c>
      <x:c r="D9" s="30" t="n">
        <x:v>2019</x:v>
      </x:c>
      <x:c r="E9" s="24" t="str">
        <x:v>Orthopristis reddingi</x:v>
      </x:c>
      <x:c r="F9" s="24" t="str">
        <x:v>Bronze-striped grunt</x:v>
      </x:c>
      <x:c r="G9" s="24" t="str">
        <x:v>Small pelagics (&lt;30 cm)</x:v>
      </x:c>
      <x:c r="H9" s="24" t="str">
        <x:v>Perch-likes</x:v>
      </x:c>
      <x:c r="I9" s="31" t="n">
        <x:v>20607.418714552</x:v>
      </x:c>
      <x:c r="J9" s="31" t="n">
        <x:v>3294.2973365368</x:v>
      </x:c>
      <x:c r="K9" s="31" t="n">
        <x:v>17313.1213780152</x:v>
      </x:c>
      <x:c r="L9" s="31" t="n">
        <x:v>0</x:v>
      </x:c>
      <x:c r="M9" s="31" t="n">
        <x:v>20607.418714552</x:v>
      </x:c>
      <x:c r="N9" s="24" t="str">
        <x:v>orthopristis reddingi</x:v>
      </x:c>
      <x:c r="O9" s="32" t="n">
        <x:v>3.5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Orthopristis reddingi</x:v>
      </x:c>
      <x:c r="T9" s="32" t="n">
        <x:f>IF(O9="","",(1/'Metadata'!$B$5)^(O9-1))</x:f>
        <x:v>316.22776601683796</x:v>
      </x:c>
      <x:c r="U9" s="31" t="n">
        <x:f>IF(T9="","",I9*T9)</x:f>
        <x:v>6516637.983476358</x:v>
      </x:c>
    </x:row>
    <x:row r="10" ht="18" customHeight="1">
      <x:c r="A10" s="24" t="str">
        <x:v>LME_004</x:v>
      </x:c>
      <x:c r="B10" s="24" t="str">
        <x:v>Gulf of California</x:v>
      </x:c>
      <x:c r="C10" s="24" t="str">
        <x:v>LME</x:v>
      </x:c>
      <x:c r="D10" s="30" t="n">
        <x:v>2019</x:v>
      </x:c>
      <x:c r="E10" s="24" t="str">
        <x:v>Micropogonias</x:v>
      </x:c>
      <x:c r="F10" s="24" t="str">
        <x:v>American croakers</x:v>
      </x:c>
      <x:c r="G10" s="24" t="str">
        <x:v>Medium demersals (30 - 89 cm)</x:v>
      </x:c>
      <x:c r="H10" s="24" t="str">
        <x:v>Perch-likes</x:v>
      </x:c>
      <x:c r="I10" s="31" t="n">
        <x:v>19940.9558280982</x:v>
      </x:c>
      <x:c r="J10" s="31" t="n">
        <x:v>3818.2353319919</x:v>
      </x:c>
      <x:c r="K10" s="31" t="n">
        <x:v>16122.7204961063</x:v>
      </x:c>
      <x:c r="L10" s="31" t="n">
        <x:v>0</x:v>
      </x:c>
      <x:c r="M10" s="31" t="n">
        <x:v>19940.9558280982</x:v>
      </x:c>
      <x:c r="N10" s="24" t="str">
        <x:v>micropogonias</x:v>
      </x:c>
      <x:c r="O10" s="32" t="n">
        <x:v>3.29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Micropogonias</x:v>
      </x:c>
      <x:c r="T10" s="32" t="n">
        <x:f>IF(O10="","",(1/'Metadata'!$B$5)^(O10-1))</x:f>
        <x:v>194.98445997580455</x:v>
      </x:c>
      <x:c r="U10" s="31" t="n">
        <x:f>IF(T10="","",I10*T10)</x:f>
        <x:v>3888176.5035431</x:v>
      </x:c>
    </x:row>
    <x:row r="11" ht="18" customHeight="1">
      <x:c r="A11" s="24" t="str">
        <x:v>LME_004</x:v>
      </x:c>
      <x:c r="B11" s="24" t="str">
        <x:v>Gulf of California</x:v>
      </x:c>
      <x:c r="C11" s="24" t="str">
        <x:v>LME</x:v>
      </x:c>
      <x:c r="D11" s="30" t="n">
        <x:v>2019</x:v>
      </x:c>
      <x:c r="E11" s="24" t="str">
        <x:v>Engraulis mordax</x:v>
      </x:c>
      <x:c r="F11" s="24" t="str">
        <x:v>Californian anchovy</x:v>
      </x:c>
      <x:c r="G11" s="24" t="str">
        <x:v>Small pelagics (&lt;30 cm)</x:v>
      </x:c>
      <x:c r="H11" s="24" t="str">
        <x:v>Anchovies</x:v>
      </x:c>
      <x:c r="I11" s="31" t="n">
        <x:v>18657.532423462002</x:v>
      </x:c>
      <x:c r="J11" s="31" t="n">
        <x:v>18657.532423462002</x:v>
      </x:c>
      <x:c r="K11" s="31" t="n">
        <x:v>0</x:v>
      </x:c>
      <x:c r="L11" s="31" t="n">
        <x:v>18657.532423462002</x:v>
      </x:c>
      <x:c r="M11" s="31" t="n">
        <x:v>0</x:v>
      </x:c>
      <x:c r="N11" s="24" t="str">
        <x:v>engraulis mordax</x:v>
      </x:c>
      <x:c r="O11" s="32" t="n">
        <x:v>2.97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Engraulis mordax</x:v>
      </x:c>
      <x:c r="T11" s="32" t="n">
        <x:f>IF(O11="","",(1/'Metadata'!$B$5)^(O11-1))</x:f>
        <x:v>93.32543007969915</x:v>
      </x:c>
      <x:c r="U11" s="31" t="n">
        <x:f>IF(T11="","",I11*T11)</x:f>
        <x:v>1741222.237645523</x:v>
      </x:c>
    </x:row>
    <x:row r="12" ht="18" customHeight="1">
      <x:c r="A12" s="24" t="str">
        <x:v>LME_004</x:v>
      </x:c>
      <x:c r="B12" s="24" t="str">
        <x:v>Gulf of California</x:v>
      </x:c>
      <x:c r="C12" s="24" t="str">
        <x:v>LME</x:v>
      </x:c>
      <x:c r="D12" s="30" t="n">
        <x:v>2019</x:v>
      </x:c>
      <x:c r="E12" s="24" t="str">
        <x:v>Scorpaena sonorae</x:v>
      </x:c>
      <x:c r="F12" s="24" t="str">
        <x:v>Sonora scorpionfish</x:v>
      </x:c>
      <x:c r="G12" s="24" t="str">
        <x:v>Small demersals (&lt;30 cm)</x:v>
      </x:c>
      <x:c r="H12" s="24" t="str">
        <x:v>Scorpionfishes</x:v>
      </x:c>
      <x:c r="I12" s="31" t="n">
        <x:v>16939.1775216737</x:v>
      </x:c>
      <x:c r="J12" s="31" t="n">
        <x:v>3243.3737500941</x:v>
      </x:c>
      <x:c r="K12" s="31" t="n">
        <x:v>13695.8037715796</x:v>
      </x:c>
      <x:c r="L12" s="31" t="n">
        <x:v>0</x:v>
      </x:c>
      <x:c r="M12" s="31" t="n">
        <x:v>16939.1775216737</x:v>
      </x:c>
      <x:c r="N12" s="24" t="str">
        <x:v>scorpaena sonorae</x:v>
      </x:c>
      <x:c r="O12" s="32" t="n">
        <x:v>3.64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Scorpaena sonorae</x:v>
      </x:c>
      <x:c r="T12" s="32" t="n">
        <x:f>IF(O12="","",(1/'Metadata'!$B$5)^(O12-1))</x:f>
        <x:v>436.5158322401661</x:v>
      </x:c>
      <x:c r="U12" s="31" t="n">
        <x:f>IF(T12="","",I12*T12)</x:f>
        <x:v>7394219.17333731</x:v>
      </x:c>
    </x:row>
    <x:row r="13" ht="18" customHeight="1">
      <x:c r="A13" s="24" t="str">
        <x:v>LME_004</x:v>
      </x:c>
      <x:c r="B13" s="24" t="str">
        <x:v>Gulf of California</x:v>
      </x:c>
      <x:c r="C13" s="24" t="str">
        <x:v>LME</x:v>
      </x:c>
      <x:c r="D13" s="30" t="n">
        <x:v>2019</x:v>
      </x:c>
      <x:c r="E13" s="24" t="str">
        <x:v>Scomber japonicus</x:v>
      </x:c>
      <x:c r="F13" s="24" t="str">
        <x:v>Pacific chub mackerel</x:v>
      </x:c>
      <x:c r="G13" s="24" t="str">
        <x:v>Medium pelagics (30 - 89 cm)</x:v>
      </x:c>
      <x:c r="H13" s="24" t="str">
        <x:v>Perch-likes</x:v>
      </x:c>
      <x:c r="I13" s="31" t="n">
        <x:v>15171.4363213545</x:v>
      </x:c>
      <x:c r="J13" s="31" t="n">
        <x:v>15171.4363213545</x:v>
      </x:c>
      <x:c r="K13" s="31" t="n">
        <x:v>0</x:v>
      </x:c>
      <x:c r="L13" s="31" t="n">
        <x:v>15171.4363213545</x:v>
      </x:c>
      <x:c r="M13" s="31" t="n">
        <x:v>0</x:v>
      </x:c>
      <x:c r="N13" s="24" t="str">
        <x:v>scomber japonicus</x:v>
      </x:c>
      <x:c r="O13" s="32" t="n">
        <x:v>3.38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 japonicus</x:v>
      </x:c>
      <x:c r="T13" s="32" t="n">
        <x:f>IF(O13="","",(1/'Metadata'!$B$5)^(O13-1))</x:f>
        <x:v>239.88329190194898</x:v>
      </x:c>
      <x:c r="U13" s="31" t="n">
        <x:f>IF(T13="","",I13*T13)</x:f>
        <x:v>3639374.087647313</x:v>
      </x:c>
    </x:row>
    <x:row r="14" ht="18" customHeight="1">
      <x:c r="A14" s="24" t="str">
        <x:v>LME_004</x:v>
      </x:c>
      <x:c r="B14" s="24" t="str">
        <x:v>Gulf of California</x:v>
      </x:c>
      <x:c r="C14" s="24" t="str">
        <x:v>LME</x:v>
      </x:c>
      <x:c r="D14" s="30" t="n">
        <x:v>2019</x:v>
      </x:c>
      <x:c r="E14" s="24" t="str">
        <x:v>Stomolophus meleagris</x:v>
      </x:c>
      <x:c r="F14" s="24" t="str">
        <x:v>Cannonball jellyfish</x:v>
      </x:c>
      <x:c r="G14" s="24" t="str">
        <x:v>Jellyfish</x:v>
      </x:c>
      <x:c r="H14" s="24" t="str">
        <x:v>Other fishes &amp; inverts</x:v>
      </x:c>
      <x:c r="I14" s="31" t="n">
        <x:v>13496.7090545433</x:v>
      </x:c>
      <x:c r="J14" s="31" t="n">
        <x:v>13496.7090545433</x:v>
      </x:c>
      <x:c r="K14" s="31" t="n">
        <x:v>0</x:v>
      </x:c>
      <x:c r="L14" s="31" t="n">
        <x:v>13196.2893845276</x:v>
      </x:c>
      <x:c r="M14" s="31" t="n">
        <x:v>300.4196700157</x:v>
      </x:c>
      <x:c r="N14" s="24" t="str">
        <x:v>stomolophus meleagris</x:v>
      </x:c>
      <x:c r="O14" s="32" t="n">
        <x:v>3.34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Stomolophus meleagris</x:v>
      </x:c>
      <x:c r="T14" s="32" t="n">
        <x:f>IF(O14="","",(1/'Metadata'!$B$5)^(O14-1))</x:f>
        <x:v>218.77616239495518</x:v>
      </x:c>
      <x:c r="U14" s="31" t="n">
        <x:f>IF(T14="","",I14*T14)</x:f>
        <x:v>2952758.211914227</x:v>
      </x:c>
    </x:row>
    <x:row r="15" ht="18" customHeight="1">
      <x:c r="A15" s="24" t="str">
        <x:v>LME_004</x:v>
      </x:c>
      <x:c r="B15" s="24" t="str">
        <x:v>Gulf of California</x:v>
      </x:c>
      <x:c r="C15" s="24" t="str">
        <x:v>LME</x:v>
      </x:c>
      <x:c r="D15" s="30" t="n">
        <x:v>2019</x:v>
      </x:c>
      <x:c r="E15" s="24" t="str">
        <x:v>Penaeus californiensis</x:v>
      </x:c>
      <x:c r="F15" s="24" t="str">
        <x:v>Yellowleg shrimp</x:v>
      </x:c>
      <x:c r="G15" s="24" t="str">
        <x:v>Shrimps</x:v>
      </x:c>
      <x:c r="H15" s="24" t="str">
        <x:v>Crustaceans</x:v>
      </x:c>
      <x:c r="I15" s="31" t="n">
        <x:v>10989.3538445251</x:v>
      </x:c>
      <x:c r="J15" s="31" t="n">
        <x:v>10989.3538445251</x:v>
      </x:c>
      <x:c r="K15" s="31" t="n">
        <x:v>0</x:v>
      </x:c>
      <x:c r="L15" s="31" t="n">
        <x:v>9864.604168740001</x:v>
      </x:c>
      <x:c r="M15" s="31" t="n">
        <x:v>1124.7496757851002</x:v>
      </x:c>
      <x:c r="N15" s="24" t="str">
        <x:v>penaeus californiensis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Penaeus californiensis</x:v>
      </x:c>
      <x:c r="T15" s="32" t="n">
        <x:f>IF(O15="","",(1/'Metadata'!$B$5)^(O15-1))</x:f>
        <x:v>50.11872336272725</x:v>
      </x:c>
      <x:c r="U15" s="31" t="n">
        <x:f>IF(T15="","",I15*T15)</x:f>
        <x:v>550772.3852688767</x:v>
      </x:c>
    </x:row>
    <x:row r="16" ht="18" customHeight="1">
      <x:c r="A16" s="24" t="str">
        <x:v>LME_004</x:v>
      </x:c>
      <x:c r="B16" s="24" t="str">
        <x:v>Gulf of California</x:v>
      </x:c>
      <x:c r="C16" s="24" t="str">
        <x:v>LME</x:v>
      </x:c>
      <x:c r="D16" s="30" t="n">
        <x:v>2019</x:v>
      </x:c>
      <x:c r="E16" s="24" t="str">
        <x:v>Penaeus stylirostris</x:v>
      </x:c>
      <x:c r="F16" s="24" t="str">
        <x:v>Blue shrimp</x:v>
      </x:c>
      <x:c r="G16" s="24" t="str">
        <x:v>Shrimps</x:v>
      </x:c>
      <x:c r="H16" s="24" t="str">
        <x:v>Crustaceans</x:v>
      </x:c>
      <x:c r="I16" s="31" t="n">
        <x:v>10643.2678420638</x:v>
      </x:c>
      <x:c r="J16" s="31" t="n">
        <x:v>10643.2678420638</x:v>
      </x:c>
      <x:c r="K16" s="31" t="n">
        <x:v>0</x:v>
      </x:c>
      <x:c r="L16" s="31" t="n">
        <x:v>9580.9010902579</x:v>
      </x:c>
      <x:c r="M16" s="31" t="n">
        <x:v>1062.3667518059</x:v>
      </x:c>
      <x:c r="N16" s="24" t="str">
        <x:v>penaeus stylirostris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stylirostris</x:v>
      </x:c>
      <x:c r="T16" s="32" t="n">
        <x:f>IF(O16="","",(1/'Metadata'!$B$5)^(O16-1))</x:f>
        <x:v>50.11872336272725</x:v>
      </x:c>
      <x:c r="U16" s="31" t="n">
        <x:f>IF(T16="","",I16*T16)</x:f>
        <x:v>533426.9966518066</x:v>
      </x:c>
    </x:row>
    <x:row r="17" ht="18" customHeight="1">
      <x:c r="A17" s="24" t="str">
        <x:v>LME_004</x:v>
      </x:c>
      <x:c r="B17" s="24" t="str">
        <x:v>Gulf of California</x:v>
      </x:c>
      <x:c r="C17" s="24" t="str">
        <x:v>LME</x:v>
      </x:c>
      <x:c r="D17" s="30" t="n">
        <x:v>2019</x:v>
      </x:c>
      <x:c r="E17" s="24" t="str">
        <x:v>Diplectrum pacificum</x:v>
      </x:c>
      <x:c r="F17" s="24" t="str">
        <x:v>Inshore sand perch</x:v>
      </x:c>
      <x:c r="G17" s="24" t="str">
        <x:v>Small demersals (&lt;30 cm)</x:v>
      </x:c>
      <x:c r="H17" s="24" t="str">
        <x:v>Perch-likes</x:v>
      </x:c>
      <x:c r="I17" s="31" t="n">
        <x:v>8161.6825332557</x:v>
      </x:c>
      <x:c r="J17" s="31" t="n">
        <x:v>1562.7315264898</x:v>
      </x:c>
      <x:c r="K17" s="31" t="n">
        <x:v>6598.9510067659</x:v>
      </x:c>
      <x:c r="L17" s="31" t="n">
        <x:v>0</x:v>
      </x:c>
      <x:c r="M17" s="31" t="n">
        <x:v>8161.6825332557</x:v>
      </x:c>
      <x:c r="N17" s="24" t="str">
        <x:v>diplectrum pacificum</x:v>
      </x:c>
      <x:c r="O17" s="32" t="n">
        <x:v>3.99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Diplectrum pacificum</x:v>
      </x:c>
      <x:c r="T17" s="32" t="n">
        <x:f>IF(O17="","",(1/'Metadata'!$B$5)^(O17-1))</x:f>
        <x:v>977.2372209558112</x:v>
      </x:c>
      <x:c r="U17" s="31" t="n">
        <x:f>IF(T17="","",I17*T17)</x:f>
        <x:v>7975899.9571223855</x:v>
      </x:c>
    </x:row>
    <x:row r="18" ht="18" customHeight="1">
      <x:c r="A18" s="24" t="str">
        <x:v>LME_004</x:v>
      </x:c>
      <x:c r="B18" s="24" t="str">
        <x:v>Gulf of California</x:v>
      </x:c>
      <x:c r="C18" s="24" t="str">
        <x:v>LME</x:v>
      </x:c>
      <x:c r="D18" s="30" t="n">
        <x:v>2019</x:v>
      </x:c>
      <x:c r="E18" s="24" t="str">
        <x:v>Paralabrax maculatofasciatus</x:v>
      </x:c>
      <x:c r="F18" s="24" t="str">
        <x:v>Spotted sand bass</x:v>
      </x:c>
      <x:c r="G18" s="24" t="str">
        <x:v>Small pelagics (&lt;30 cm)</x:v>
      </x:c>
      <x:c r="H18" s="24" t="str">
        <x:v>Perch-likes</x:v>
      </x:c>
      <x:c r="I18" s="31" t="n">
        <x:v>7622.497904310299</x:v>
      </x:c>
      <x:c r="J18" s="31" t="n">
        <x:v>1671.5255011879</x:v>
      </x:c>
      <x:c r="K18" s="31" t="n">
        <x:v>5950.9724031224</x:v>
      </x:c>
      <x:c r="L18" s="31" t="n">
        <x:v>161.9946863591</x:v>
      </x:c>
      <x:c r="M18" s="31" t="n">
        <x:v>7460.5032179512</x:v>
      </x:c>
      <x:c r="N18" s="24" t="str">
        <x:v>paralabrax maculatofasciatus</x:v>
      </x:c>
      <x:c r="O18" s="32" t="n">
        <x:v>4.2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Paralabrax maculatofasciatus</x:v>
      </x:c>
      <x:c r="T18" s="32" t="n">
        <x:f>IF(O18="","",(1/'Metadata'!$B$5)^(O18-1))</x:f>
        <x:v>1584.893192461114</x:v>
      </x:c>
      <x:c r="U18" s="31" t="n">
        <x:f>IF(T18="","",I18*T18)</x:f>
        <x:v>12080845.038090501</x:v>
      </x:c>
    </x:row>
    <x:row r="19" ht="18" customHeight="1">
      <x:c r="A19" s="24" t="str">
        <x:v>LME_004</x:v>
      </x:c>
      <x:c r="B19" s="24" t="str">
        <x:v>Gulf of California</x:v>
      </x:c>
      <x:c r="C19" s="24" t="str">
        <x:v>LME</x:v>
      </x:c>
      <x:c r="D19" s="30" t="n">
        <x:v>2019</x:v>
      </x:c>
      <x:c r="E19" s="24" t="str">
        <x:v>Cynoscion</x:v>
      </x:c>
      <x:c r="F19" s="24" t="str">
        <x:v>Weakfishes</x:v>
      </x:c>
      <x:c r="G19" s="24" t="str">
        <x:v>Medium demersals (30 - 89 cm)</x:v>
      </x:c>
      <x:c r="H19" s="24" t="str">
        <x:v>Perch-likes</x:v>
      </x:c>
      <x:c r="I19" s="31" t="n">
        <x:v>7073.5407705884</x:v>
      </x:c>
      <x:c r="J19" s="31" t="n">
        <x:v>7073.5407705884</x:v>
      </x:c>
      <x:c r="K19" s="31" t="n">
        <x:v>0</x:v>
      </x:c>
      <x:c r="L19" s="31" t="n">
        <x:v>5481.4613474335</x:v>
      </x:c>
      <x:c r="M19" s="31" t="n">
        <x:v>1592.0794231549</x:v>
      </x:c>
      <x:c r="N19" s="24" t="str">
        <x:v>cynoscion</x:v>
      </x:c>
      <x:c r="O19" s="32" t="n">
        <x:v>4.21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Cynoscion</x:v>
      </x:c>
      <x:c r="T19" s="32" t="n">
        <x:f>IF(O19="","",(1/'Metadata'!$B$5)^(O19-1))</x:f>
        <x:v>1621.8100973589299</x:v>
      </x:c>
      <x:c r="U19" s="31" t="n">
        <x:f>IF(T19="","",I19*T19)</x:f>
        <x:v>11471939.845820332</x:v>
      </x:c>
    </x:row>
    <x:row r="20" ht="18" customHeight="1">
      <x:c r="A20" s="24" t="str">
        <x:v>LME_004</x:v>
      </x:c>
      <x:c r="B20" s="24" t="str">
        <x:v>Gulf of California</x:v>
      </x:c>
      <x:c r="C20" s="24" t="str">
        <x:v>LME</x:v>
      </x:c>
      <x:c r="D20" s="30" t="n">
        <x:v>2019</x:v>
      </x:c>
      <x:c r="E20" s="24" t="str">
        <x:v>Porichthys analis</x:v>
      </x:c>
      <x:c r="F20" s="24" t="str">
        <x:v>Darkedge midshipman</x:v>
      </x:c>
      <x:c r="G20" s="24" t="str">
        <x:v>Small pelagics (&lt;30 cm)</x:v>
      </x:c>
      <x:c r="H20" s="24" t="str">
        <x:v>Other fishes &amp; inverts</x:v>
      </x:c>
      <x:c r="I20" s="31" t="n">
        <x:v>7032.214901140899</x:v>
      </x:c>
      <x:c r="J20" s="31" t="n">
        <x:v>1366.3341547318998</x:v>
      </x:c>
      <x:c r="K20" s="31" t="n">
        <x:v>5665.880746409</x:v>
      </x:c>
      <x:c r="L20" s="31" t="n">
        <x:v>0</x:v>
      </x:c>
      <x:c r="M20" s="31" t="n">
        <x:v>7032.214901140899</x:v>
      </x:c>
      <x:c r="N20" s="24" t="str">
        <x:v>porichthys analis</x:v>
      </x:c>
      <x:c r="O20" s="32" t="n">
        <x:v>3.9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Porichthys analis</x:v>
      </x:c>
      <x:c r="T20" s="32" t="n">
        <x:f>IF(O20="","",(1/'Metadata'!$B$5)^(O20-1))</x:f>
        <x:v>794.3282347242813</x:v>
      </x:c>
      <x:c r="U20" s="31" t="n">
        <x:f>IF(T20="","",I20*T20)</x:f>
        <x:v>5585886.848625037</x:v>
      </x:c>
    </x:row>
    <x:row r="21" ht="18" customHeight="1">
      <x:c r="A21" s="24" t="str">
        <x:v>LME_004</x:v>
      </x:c>
      <x:c r="B21" s="24" t="str">
        <x:v>Gulf of California</x:v>
      </x:c>
      <x:c r="C21" s="24" t="str">
        <x:v>LME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6952.0038238992</x:v>
      </x:c>
      <x:c r="J21" s="31" t="n">
        <x:v>6948.7997435824</x:v>
      </x:c>
      <x:c r="K21" s="31" t="n">
        <x:v>3.2040803168000003</x:v>
      </x:c>
      <x:c r="L21" s="31" t="n">
        <x:v>2640.346050817</x:v>
      </x:c>
      <x:c r="M21" s="31" t="n">
        <x:v>4311.6577730822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7800276.584792716</x:v>
      </x:c>
    </x:row>
    <x:row r="22" ht="18" customHeight="1">
      <x:c r="A22" s="24" t="str">
        <x:v>LME_004</x:v>
      </x:c>
      <x:c r="B22" s="24" t="str">
        <x:v>Gulf of California</x:v>
      </x:c>
      <x:c r="C22" s="24" t="str">
        <x:v>LME</x:v>
      </x:c>
      <x:c r="D22" s="30" t="n">
        <x:v>2019</x:v>
      </x:c>
      <x:c r="E22" s="24" t="str">
        <x:v>Merluccius productus</x:v>
      </x:c>
      <x:c r="F22" s="24" t="str">
        <x:v>North Pacific hake</x:v>
      </x:c>
      <x:c r="G22" s="24" t="str">
        <x:v>Medium benthopelagics (30 - 89 cm)</x:v>
      </x:c>
      <x:c r="H22" s="24" t="str">
        <x:v>Cod-likes</x:v>
      </x:c>
      <x:c r="I22" s="31" t="n">
        <x:v>6482.6980229462</x:v>
      </x:c>
      <x:c r="J22" s="31" t="n">
        <x:v>6482.6980229462</x:v>
      </x:c>
      <x:c r="K22" s="31" t="n">
        <x:v>0</x:v>
      </x:c>
      <x:c r="L22" s="31" t="n">
        <x:v>4867.2871663929</x:v>
      </x:c>
      <x:c r="M22" s="31" t="n">
        <x:v>1615.4108565533</x:v>
      </x:c>
      <x:c r="N22" s="24" t="str">
        <x:v>merluccius productus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Merluccius productus</x:v>
      </x:c>
      <x:c r="T22" s="32" t="n">
        <x:f>IF(O22="","",(1/'Metadata'!$B$5)^(O22-1))</x:f>
        <x:v>2238.7211385683377</x:v>
      </x:c>
      <x:c r="U22" s="31" t="n">
        <x:f>IF(T22="","",I22*T22)</x:f>
        <x:v>14512953.098924827</x:v>
      </x:c>
    </x:row>
    <x:row r="23" ht="18" customHeight="1">
      <x:c r="A23" s="24" t="str">
        <x:v>LME_004</x:v>
      </x:c>
      <x:c r="B23" s="24" t="str">
        <x:v>Gulf of California</x:v>
      </x:c>
      <x:c r="C23" s="24" t="str">
        <x:v>LME</x:v>
      </x:c>
      <x:c r="D23" s="30" t="n">
        <x:v>2019</x:v>
      </x:c>
      <x:c r="E23" s="24" t="str">
        <x:v>Elasmobranchii</x:v>
      </x:c>
      <x:c r="F23" s="24" t="str">
        <x:v>Sharks, rays, skates</x:v>
      </x:c>
      <x:c r="G23" s="24" t="str">
        <x:v>Large sharks (&gt;=90 cm)</x:v>
      </x:c>
      <x:c r="H23" s="24" t="str">
        <x:v>Sharks &amp; rays</x:v>
      </x:c>
      <x:c r="I23" s="31" t="n">
        <x:v>6198.070877502701</x:v>
      </x:c>
      <x:c r="J23" s="31" t="n">
        <x:v>6181.5554518432</x:v>
      </x:c>
      <x:c r="K23" s="31" t="n">
        <x:v>16.5154256595</x:v>
      </x:c>
      <x:c r="L23" s="31" t="n">
        <x:v>4675.2526177927</x:v>
      </x:c>
      <x:c r="M23" s="31" t="n">
        <x:v>1522.8182597100001</x:v>
      </x:c>
      <x:c r="N23" s="24" t="str">
        <x:v>elasmobranchii</x:v>
      </x:c>
      <x:c r="O23" s="32" t="n">
        <x:v>4.05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Elasmobranchii</x:v>
      </x:c>
      <x:c r="T23" s="32" t="n">
        <x:f>IF(O23="","",(1/'Metadata'!$B$5)^(O23-1))</x:f>
        <x:v>1122.018454301963</x:v>
      </x:c>
      <x:c r="U23" s="31" t="n">
        <x:f>IF(T23="","",I23*T23)</x:f>
        <x:v>6954349.905629591</x:v>
      </x:c>
    </x:row>
    <x:row r="24" ht="18" customHeight="1">
      <x:c r="A24" s="24" t="str">
        <x:v>LME_004</x:v>
      </x:c>
      <x:c r="B24" s="24" t="str">
        <x:v>Gulf of California</x:v>
      </x:c>
      <x:c r="C24" s="24" t="str">
        <x:v>LME</x:v>
      </x:c>
      <x:c r="D24" s="30" t="n">
        <x:v>2019</x:v>
      </x:c>
      <x:c r="E24" s="24" t="str">
        <x:v>Veneridae</x:v>
      </x:c>
      <x:c r="F24" s="24" t="str">
        <x:v>Venus clams</x:v>
      </x:c>
      <x:c r="G24" s="24" t="str">
        <x:v>Other demersal invertebrates</x:v>
      </x:c>
      <x:c r="H24" s="24" t="str">
        <x:v>Molluscs</x:v>
      </x:c>
      <x:c r="I24" s="31" t="n">
        <x:v>6079.008000851</x:v>
      </x:c>
      <x:c r="J24" s="31" t="n">
        <x:v>6079.008000851</x:v>
      </x:c>
      <x:c r="K24" s="31" t="n">
        <x:v>0</x:v>
      </x:c>
      <x:c r="L24" s="31" t="n">
        <x:v>3757.4672472973</x:v>
      </x:c>
      <x:c r="M24" s="31" t="n">
        <x:v>2321.5407535537</x:v>
      </x:c>
      <x:c r="N24" s="24" t="str">
        <x:v>veneridae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Veneridae</x:v>
      </x:c>
      <x:c r="T24" s="32" t="n">
        <x:f>IF(O24="","",(1/'Metadata'!$B$5)^(O24-1))</x:f>
        <x:v>10</x:v>
      </x:c>
      <x:c r="U24" s="31" t="n">
        <x:f>IF(T24="","",I24*T24)</x:f>
        <x:v>60790.080008510005</x:v>
      </x:c>
    </x:row>
    <x:row r="25" ht="18" customHeight="1">
      <x:c r="A25" s="24" t="str">
        <x:v>LME_004</x:v>
      </x:c>
      <x:c r="B25" s="24" t="str">
        <x:v>Gulf of California</x:v>
      </x:c>
      <x:c r="C25" s="24" t="str">
        <x:v>LME</x:v>
      </x:c>
      <x:c r="D25" s="30" t="n">
        <x:v>2019</x:v>
      </x:c>
      <x:c r="E25" s="24" t="str">
        <x:v>Haemulidae</x:v>
      </x:c>
      <x:c r="F25" s="24" t="str">
        <x:v>Grunts, sweetlips, bonnetmouths</x:v>
      </x:c>
      <x:c r="G25" s="24" t="str">
        <x:v>Medium demersals (30 - 89 cm)</x:v>
      </x:c>
      <x:c r="H25" s="24" t="str">
        <x:v>Perch-likes</x:v>
      </x:c>
      <x:c r="I25" s="31" t="n">
        <x:v>5685.2799010215</x:v>
      </x:c>
      <x:c r="J25" s="31" t="n">
        <x:v>2729.1551339013</x:v>
      </x:c>
      <x:c r="K25" s="31" t="n">
        <x:v>2956.1247671202</x:v>
      </x:c>
      <x:c r="L25" s="31" t="n">
        <x:v>1470.8887382979</x:v>
      </x:c>
      <x:c r="M25" s="31" t="n">
        <x:v>4214.3911627236</x:v>
      </x:c>
      <x:c r="N25" s="24" t="str">
        <x:v>haemulidae</x:v>
      </x:c>
      <x:c r="O25" s="32" t="n">
        <x:v>3.36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Haemulidae</x:v>
      </x:c>
      <x:c r="T25" s="32" t="n">
        <x:f>IF(O25="","",(1/'Metadata'!$B$5)^(O25-1))</x:f>
        <x:v>229.08676527677724</x:v>
      </x:c>
      <x:c r="U25" s="31" t="n">
        <x:f>IF(T25="","",I25*T25)</x:f>
        <x:v>1302422.3822180917</x:v>
      </x:c>
    </x:row>
    <x:row r="26" ht="18" customHeight="1">
      <x:c r="A26" s="24" t="str">
        <x:v>LME_004</x:v>
      </x:c>
      <x:c r="B26" s="24" t="str">
        <x:v>Gulf of California</x:v>
      </x:c>
      <x:c r="C26" s="24" t="str">
        <x:v>LME</x:v>
      </x:c>
      <x:c r="D26" s="30" t="n">
        <x:v>2019</x:v>
      </x:c>
      <x:c r="E26" s="24" t="str">
        <x:v>Coryphaena hippurus</x:v>
      </x:c>
      <x:c r="F26" s="24" t="str">
        <x:v>Common dolphinfish</x:v>
      </x:c>
      <x:c r="G26" s="24" t="str">
        <x:v>Large pelagics (&gt;=90 cm)</x:v>
      </x:c>
      <x:c r="H26" s="24" t="str">
        <x:v>Perch-likes</x:v>
      </x:c>
      <x:c r="I26" s="31" t="n">
        <x:v>5661.1366967644</x:v>
      </x:c>
      <x:c r="J26" s="31" t="n">
        <x:v>5590.6497389224</x:v>
      </x:c>
      <x:c r="K26" s="31" t="n">
        <x:v>70.48695784200001</x:v>
      </x:c>
      <x:c r="L26" s="31" t="n">
        <x:v>253.4216345791</x:v>
      </x:c>
      <x:c r="M26" s="31" t="n">
        <x:v>5407.7150621853</x:v>
      </x:c>
      <x:c r="N26" s="24" t="str">
        <x:v>coryphaena hippurus</x:v>
      </x:c>
      <x:c r="O26" s="32" t="n">
        <x:v>4.37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Coryphaena hippurus</x:v>
      </x:c>
      <x:c r="T26" s="32" t="n">
        <x:f>IF(O26="","",(1/'Metadata'!$B$5)^(O26-1))</x:f>
        <x:v>2344.228815319923</x:v>
      </x:c>
      <x:c r="U26" s="31" t="n">
        <x:f>IF(T26="","",I26*T26)</x:f>
        <x:v>13270999.77202015</x:v>
      </x:c>
    </x:row>
    <x:row r="27" ht="18" customHeight="1">
      <x:c r="A27" s="24" t="str">
        <x:v>LME_004</x:v>
      </x:c>
      <x:c r="B27" s="24" t="str">
        <x:v>Gulf of California</x:v>
      </x:c>
      <x:c r="C27" s="24" t="str">
        <x:v>LME</x:v>
      </x:c>
      <x:c r="D27" s="30" t="n">
        <x:v>2019</x:v>
      </x:c>
      <x:c r="E27" s="24" t="str">
        <x:v>Scomberomorus</x:v>
      </x:c>
      <x:c r="F27" s="24" t="str">
        <x:v>Spanish mackerels</x:v>
      </x:c>
      <x:c r="G27" s="24" t="str">
        <x:v>Large pelagics (&gt;=90 cm)</x:v>
      </x:c>
      <x:c r="H27" s="24" t="str">
        <x:v>Perch-likes</x:v>
      </x:c>
      <x:c r="I27" s="31" t="n">
        <x:v>5386.1382239329005</x:v>
      </x:c>
      <x:c r="J27" s="31" t="n">
        <x:v>5386.1382239329005</x:v>
      </x:c>
      <x:c r="K27" s="31" t="n">
        <x:v>0</x:v>
      </x:c>
      <x:c r="L27" s="31" t="n">
        <x:v>4302.7882698319</x:v>
      </x:c>
      <x:c r="M27" s="31" t="n">
        <x:v>1083.349954101</x:v>
      </x:c>
      <x:c r="N27" s="24" t="str">
        <x:v>scomberomorus</x:v>
      </x:c>
      <x:c r="O27" s="32" t="n">
        <x:v>4.35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Scomberomorus</x:v>
      </x:c>
      <x:c r="T27" s="32" t="n">
        <x:f>IF(O27="","",(1/'Metadata'!$B$5)^(O27-1))</x:f>
        <x:v>2238.7211385683377</x:v>
      </x:c>
      <x:c r="U27" s="31" t="n">
        <x:f>IF(T27="","",I27*T27)</x:f>
        <x:v>12058061.497169508</x:v>
      </x:c>
    </x:row>
    <x:row r="28" ht="18" customHeight="1">
      <x:c r="A28" s="24" t="str">
        <x:v>LME_004</x:v>
      </x:c>
      <x:c r="B28" s="24" t="str">
        <x:v>Gulf of California</x:v>
      </x:c>
      <x:c r="C28" s="24" t="str">
        <x:v>LME</x:v>
      </x:c>
      <x:c r="D28" s="30" t="n">
        <x:v>2019</x:v>
      </x:c>
      <x:c r="E28" s="24" t="str">
        <x:v>Balistes polylepis</x:v>
      </x:c>
      <x:c r="F28" s="24" t="str">
        <x:v>Finescale triggerfish</x:v>
      </x:c>
      <x:c r="G28" s="24" t="str">
        <x:v>Small pelagics (&lt;30 cm)</x:v>
      </x:c>
      <x:c r="H28" s="24" t="str">
        <x:v>Other fishes &amp; inverts</x:v>
      </x:c>
      <x:c r="I28" s="31" t="n">
        <x:v>5306.0863650847</x:v>
      </x:c>
      <x:c r="J28" s="31" t="n">
        <x:v>906.2255297226001</x:v>
      </x:c>
      <x:c r="K28" s="31" t="n">
        <x:v>4399.8608353621</x:v>
      </x:c>
      <x:c r="L28" s="31" t="n">
        <x:v>0</x:v>
      </x:c>
      <x:c r="M28" s="31" t="n">
        <x:v>5306.0863650847</x:v>
      </x:c>
      <x:c r="N28" s="24" t="str">
        <x:v>balistes polylepis</x:v>
      </x:c>
      <x:c r="O28" s="32" t="n">
        <x:v>3.34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Balistes polylepis</x:v>
      </x:c>
      <x:c r="T28" s="32" t="n">
        <x:f>IF(O28="","",(1/'Metadata'!$B$5)^(O28-1))</x:f>
        <x:v>218.77616239495518</x:v>
      </x:c>
      <x:c r="U28" s="31" t="n">
        <x:f>IF(T28="","",I28*T28)</x:f>
        <x:v>1160845.2122894279</x:v>
      </x:c>
    </x:row>
    <x:row r="29" ht="18" customHeight="1">
      <x:c r="A29" s="24" t="str">
        <x:v>LME_004</x:v>
      </x:c>
      <x:c r="B29" s="24" t="str">
        <x:v>Gulf of California</x:v>
      </x:c>
      <x:c r="C29" s="24" t="str">
        <x:v>LME</x:v>
      </x:c>
      <x:c r="D29" s="30" t="n">
        <x:v>2019</x:v>
      </x:c>
      <x:c r="E29" s="24" t="str">
        <x:v>Clupeiformes</x:v>
      </x:c>
      <x:c r="F29" s="24" t="str">
        <x:v>Herrings, shads, anchovies</x:v>
      </x:c>
      <x:c r="G29" s="24" t="str">
        <x:v>Small pelagics (&lt;30 cm)</x:v>
      </x:c>
      <x:c r="H29" s="24" t="str">
        <x:v>Other fishes &amp; inverts</x:v>
      </x:c>
      <x:c r="I29" s="31" t="n">
        <x:v>5176.9055131474</x:v>
      </x:c>
      <x:c r="J29" s="31" t="n">
        <x:v>5176.9055131474</x:v>
      </x:c>
      <x:c r="K29" s="31" t="n">
        <x:v>0</x:v>
      </x:c>
      <x:c r="L29" s="31" t="n">
        <x:v>5176.9055131474</x:v>
      </x:c>
      <x:c r="M29" s="31" t="n">
        <x:v>0</x:v>
      </x:c>
      <x:c r="N29" s="24" t="str">
        <x:v>clupeiformes</x:v>
      </x:c>
      <x:c r="O29" s="32" t="n">
        <x:v>3.24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Clupeiformes</x:v>
      </x:c>
      <x:c r="T29" s="32" t="n">
        <x:f>IF(O29="","",(1/'Metadata'!$B$5)^(O29-1))</x:f>
        <x:v>173.78008287493762</x:v>
      </x:c>
      <x:c r="U29" s="31" t="n">
        <x:f>IF(T29="","",I29*T29)</x:f>
        <x:v>899643.0691104765</x:v>
      </x:c>
    </x:row>
    <x:row r="30" ht="18" customHeight="1">
      <x:c r="A30" s="24" t="str">
        <x:v>LME_004</x:v>
      </x:c>
      <x:c r="B30" s="24" t="str">
        <x:v>Gulf of California</x:v>
      </x:c>
      <x:c r="C30" s="24" t="str">
        <x:v>LME</x:v>
      </x:c>
      <x:c r="D30" s="30" t="n">
        <x:v>2019</x:v>
      </x:c>
      <x:c r="E30" s="24" t="str">
        <x:v>Paralichthyidae</x:v>
      </x:c>
      <x:c r="F30" s="24" t="str">
        <x:v>Largetooth flounders</x:v>
      </x:c>
      <x:c r="G30" s="24" t="str">
        <x:v>Small to medium flatfishes (&lt;90 cm)</x:v>
      </x:c>
      <x:c r="H30" s="24" t="str">
        <x:v>Flatfishes</x:v>
      </x:c>
      <x:c r="I30" s="31" t="n">
        <x:v>5011.8981376398</x:v>
      </x:c>
      <x:c r="J30" s="31" t="n">
        <x:v>1016.5183686641001</x:v>
      </x:c>
      <x:c r="K30" s="31" t="n">
        <x:v>3995.3797689757</x:v>
      </x:c>
      <x:c r="L30" s="31" t="n">
        <x:v>0</x:v>
      </x:c>
      <x:c r="M30" s="31" t="n">
        <x:v>5011.8981376398</x:v>
      </x:c>
      <x:c r="N30" s="24" t="str">
        <x:v>paralichthyidae</x:v>
      </x:c>
      <x:c r="O30" s="32" t="n">
        <x:v>4.06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Paralichthyidae</x:v>
      </x:c>
      <x:c r="T30" s="32" t="n">
        <x:f>IF(O30="","",(1/'Metadata'!$B$5)^(O30-1))</x:f>
        <x:v>1148.1536214968817</x:v>
      </x:c>
      <x:c r="U30" s="31" t="n">
        <x:f>IF(T30="","",I30*T30)</x:f>
        <x:v>5754428.997304613</x:v>
      </x:c>
    </x:row>
    <x:row r="31" ht="18" customHeight="1">
      <x:c r="A31" s="24" t="str">
        <x:v>LME_004</x:v>
      </x:c>
      <x:c r="B31" s="24" t="str">
        <x:v>Gulf of California</x:v>
      </x:c>
      <x:c r="C31" s="24" t="str">
        <x:v>LME</x:v>
      </x:c>
      <x:c r="D31" s="30" t="n">
        <x:v>2019</x:v>
      </x:c>
      <x:c r="E31" s="24" t="str">
        <x:v>Chanos chanos</x:v>
      </x:c>
      <x:c r="F31" s="24" t="str">
        <x:v>Milkfish</x:v>
      </x:c>
      <x:c r="G31" s="24" t="str">
        <x:v>Large benthopelagics (&gt;=90 cm)</x:v>
      </x:c>
      <x:c r="H31" s="24" t="str">
        <x:v>Other fishes &amp; inverts</x:v>
      </x:c>
      <x:c r="I31" s="31" t="n">
        <x:v>4648.1120865543</x:v>
      </x:c>
      <x:c r="J31" s="31" t="n">
        <x:v>4648.1120865543</x:v>
      </x:c>
      <x:c r="K31" s="31" t="n">
        <x:v>0</x:v>
      </x:c>
      <x:c r="L31" s="31" t="n">
        <x:v>3465.2362904602</x:v>
      </x:c>
      <x:c r="M31" s="31" t="n">
        <x:v>1182.8757960941</x:v>
      </x:c>
      <x:c r="N31" s="24" t="str">
        <x:v>chanos chanos</x:v>
      </x:c>
      <x:c r="O31" s="32" t="n">
        <x:v>2.03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Chanos chanos</x:v>
      </x:c>
      <x:c r="T31" s="32" t="n">
        <x:f>IF(O31="","",(1/'Metadata'!$B$5)^(O31-1))</x:f>
        <x:v>10.71519305237606</x:v>
      </x:c>
      <x:c r="U31" s="31" t="n">
        <x:f>IF(T31="","",I31*T31)</x:f>
        <x:v>49805.41833651182</x:v>
      </x:c>
    </x:row>
    <x:row r="32" ht="18" customHeight="1">
      <x:c r="A32" s="24" t="str">
        <x:v>LME_004</x:v>
      </x:c>
      <x:c r="B32" s="24" t="str">
        <x:v>Gulf of California</x:v>
      </x:c>
      <x:c r="C32" s="24" t="str">
        <x:v>LME</x:v>
      </x:c>
      <x:c r="D32" s="30" t="n">
        <x:v>2019</x:v>
      </x:c>
      <x:c r="E32" s="24" t="str">
        <x:v>Gastropoda</x:v>
      </x:c>
      <x:c r="F32" s="24" t="str">
        <x:v>Sea snails</x:v>
      </x:c>
      <x:c r="G32" s="24" t="str">
        <x:v>Other demersal invertebrates</x:v>
      </x:c>
      <x:c r="H32" s="24" t="str">
        <x:v>Molluscs</x:v>
      </x:c>
      <x:c r="I32" s="31" t="n">
        <x:v>4280.4491546288</x:v>
      </x:c>
      <x:c r="J32" s="31" t="n">
        <x:v>1407.3402819086</x:v>
      </x:c>
      <x:c r="K32" s="31" t="n">
        <x:v>2873.1088727202</x:v>
      </x:c>
      <x:c r="L32" s="31" t="n">
        <x:v>1047.1519599322</x:v>
      </x:c>
      <x:c r="M32" s="31" t="n">
        <x:v>3233.2971946966</x:v>
      </x:c>
      <x:c r="N32" s="24" t="str">
        <x:v>gastropoda</x:v>
      </x:c>
      <x:c r="O32" s="32" t="n">
        <x:v>3.06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Gastropoda</x:v>
      </x:c>
      <x:c r="T32" s="32" t="n">
        <x:f>IF(O32="","",(1/'Metadata'!$B$5)^(O32-1))</x:f>
        <x:v>114.81536214968828</x:v>
      </x:c>
      <x:c r="U32" s="31" t="n">
        <x:f>IF(T32="","",I32*T32)</x:f>
        <x:v>491461.31985203276</x:v>
      </x:c>
    </x:row>
    <x:row r="33" ht="18" customHeight="1">
      <x:c r="A33" s="24" t="str">
        <x:v>LME_004</x:v>
      </x:c>
      <x:c r="B33" s="24" t="str">
        <x:v>Gulf of California</x:v>
      </x:c>
      <x:c r="C33" s="24" t="str">
        <x:v>LME</x:v>
      </x:c>
      <x:c r="D33" s="30" t="n">
        <x:v>2019</x:v>
      </x:c>
      <x:c r="E33" s="24" t="str">
        <x:v>Portunidae</x:v>
      </x:c>
      <x:c r="F33" s="24" t="str">
        <x:v>Swimming crabs</x:v>
      </x:c>
      <x:c r="G33" s="24" t="str">
        <x:v>Lobsters, crabs</x:v>
      </x:c>
      <x:c r="H33" s="24" t="str">
        <x:v>Crustaceans</x:v>
      </x:c>
      <x:c r="I33" s="31" t="n">
        <x:v>4231.5046535332</x:v>
      </x:c>
      <x:c r="J33" s="31" t="n">
        <x:v>0</x:v>
      </x:c>
      <x:c r="K33" s="31" t="n">
        <x:v>4231.5046535332</x:v>
      </x:c>
      <x:c r="L33" s="31" t="n">
        <x:v>0</x:v>
      </x:c>
      <x:c r="M33" s="31" t="n">
        <x:v>4231.5046535332</x:v>
      </x:c>
      <x:c r="N33" s="24" t="str">
        <x:v>portunidae</x:v>
      </x:c>
      <x:c r="O33" s="32" t="n">
        <x:v>3.56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Portunidae</x:v>
      </x:c>
      <x:c r="T33" s="32" t="n">
        <x:f>IF(O33="","",(1/'Metadata'!$B$5)^(O33-1))</x:f>
        <x:v>363.0780547701014</x:v>
      </x:c>
      <x:c r="U33" s="31" t="n">
        <x:f>IF(T33="","",I33*T33)</x:f>
        <x:v>1536366.4783554662</x:v>
      </x:c>
    </x:row>
    <x:row r="34" ht="18" customHeight="1">
      <x:c r="A34" s="24" t="str">
        <x:v>LME_004</x:v>
      </x:c>
      <x:c r="B34" s="24" t="str">
        <x:v>Gulf of California</x:v>
      </x:c>
      <x:c r="C34" s="24" t="str">
        <x:v>LME</x:v>
      </x:c>
      <x:c r="D34" s="30" t="n">
        <x:v>2019</x:v>
      </x:c>
      <x:c r="E34" s="24" t="str">
        <x:v>Syacium ovale</x:v>
      </x:c>
      <x:c r="F34" s="24" t="str">
        <x:v>Oval flounder</x:v>
      </x:c>
      <x:c r="G34" s="24" t="str">
        <x:v>Small to medium flatfishes (&lt;90 cm)</x:v>
      </x:c>
      <x:c r="H34" s="24" t="str">
        <x:v>Flatfishes</x:v>
      </x:c>
      <x:c r="I34" s="31" t="n">
        <x:v>3991.28130061</x:v>
      </x:c>
      <x:c r="J34" s="31" t="n">
        <x:v>775.4916546851</x:v>
      </x:c>
      <x:c r="K34" s="31" t="n">
        <x:v>3215.7896459249</x:v>
      </x:c>
      <x:c r="L34" s="31" t="n">
        <x:v>0</x:v>
      </x:c>
      <x:c r="M34" s="31" t="n">
        <x:v>3991.28130061</x:v>
      </x:c>
      <x:c r="N34" s="24" t="str">
        <x:v>syacium ovale</x:v>
      </x:c>
      <x:c r="O34" s="32" t="n">
        <x:v>4.02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Syacium ovale</x:v>
      </x:c>
      <x:c r="T34" s="32" t="n">
        <x:f>IF(O34="","",(1/'Metadata'!$B$5)^(O34-1))</x:f>
        <x:v>1047.1285480508984</x:v>
      </x:c>
      <x:c r="U34" s="31" t="n">
        <x:f>IF(T34="","",I34*T34)</x:f>
        <x:v>4179384.5931704505</x:v>
      </x:c>
    </x:row>
    <x:row r="35" ht="18" customHeight="1">
      <x:c r="A35" s="24" t="str">
        <x:v>LME_004</x:v>
      </x:c>
      <x:c r="B35" s="24" t="str">
        <x:v>Gulf of California</x:v>
      </x:c>
      <x:c r="C35" s="24" t="str">
        <x:v>LME</x:v>
      </x:c>
      <x:c r="D35" s="30" t="n">
        <x:v>2019</x:v>
      </x:c>
      <x:c r="E35" s="24" t="str">
        <x:v>Prionotus stephanophrys</x:v>
      </x:c>
      <x:c r="F35" s="24" t="str">
        <x:v>Lumptail searobin</x:v>
      </x:c>
      <x:c r="G35" s="24" t="str">
        <x:v>Medium demersals (30 - 89 cm)</x:v>
      </x:c>
      <x:c r="H35" s="24" t="str">
        <x:v>Scorpionfishes</x:v>
      </x:c>
      <x:c r="I35" s="31" t="n">
        <x:v>3856.5802650813</x:v>
      </x:c>
      <x:c r="J35" s="31" t="n">
        <x:v>735.0735361023001</x:v>
      </x:c>
      <x:c r="K35" s="31" t="n">
        <x:v>3121.506728979</x:v>
      </x:c>
      <x:c r="L35" s="31" t="n">
        <x:v>0</x:v>
      </x:c>
      <x:c r="M35" s="31" t="n">
        <x:v>3856.5802650813</x:v>
      </x:c>
      <x:c r="N35" s="24" t="str">
        <x:v>prionotus stephanophrys</x:v>
      </x:c>
      <x:c r="O35" s="32" t="n">
        <x:v>3.5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Prionotus stephanophrys</x:v>
      </x:c>
      <x:c r="T35" s="32" t="n">
        <x:f>IF(O35="","",(1/'Metadata'!$B$5)^(O35-1))</x:f>
        <x:v>316.22776601683796</x:v>
      </x:c>
      <x:c r="U35" s="31" t="n">
        <x:f>IF(T35="","",I35*T35)</x:f>
        <x:v>1219557.7616912841</x:v>
      </x:c>
    </x:row>
    <x:row r="36" ht="18" customHeight="1">
      <x:c r="A36" s="24" t="str">
        <x:v>LME_004</x:v>
      </x:c>
      <x:c r="B36" s="24" t="str">
        <x:v>Gulf of California</x:v>
      </x:c>
      <x:c r="C36" s="24" t="str">
        <x:v>LME</x:v>
      </x:c>
      <x:c r="D36" s="30" t="n">
        <x:v>2019</x:v>
      </x:c>
      <x:c r="E36" s="24" t="str">
        <x:v>Thunnus albacares</x:v>
      </x:c>
      <x:c r="F36" s="24" t="str">
        <x:v>Yellowfin tuna</x:v>
      </x:c>
      <x:c r="G36" s="24" t="str">
        <x:v>Large pelagics (&gt;=90 cm)</x:v>
      </x:c>
      <x:c r="H36" s="24" t="str">
        <x:v>Tuna &amp; billfishes</x:v>
      </x:c>
      <x:c r="I36" s="31" t="n">
        <x:v>3671.5615880627997</x:v>
      </x:c>
      <x:c r="J36" s="31" t="n">
        <x:v>3616.4158951036998</x:v>
      </x:c>
      <x:c r="K36" s="31" t="n">
        <x:v>55.145692959099996</x:v>
      </x:c>
      <x:c r="L36" s="31" t="n">
        <x:v>3616.4158951036998</x:v>
      </x:c>
      <x:c r="M36" s="31" t="n">
        <x:v>55.145692959099996</x:v>
      </x:c>
      <x:c r="N36" s="24" t="str">
        <x:v>thunnus albacares</x:v>
      </x:c>
      <x:c r="O36" s="32" t="n">
        <x:v>4.41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Thunnus albacares</x:v>
      </x:c>
      <x:c r="T36" s="32" t="n">
        <x:f>IF(O36="","",(1/'Metadata'!$B$5)^(O36-1))</x:f>
        <x:v>2570.3957827688646</x:v>
      </x:c>
      <x:c r="U36" s="31" t="n">
        <x:f>IF(T36="","",I36*T36)</x:f>
        <x:v>9437366.422132775</x:v>
      </x:c>
    </x:row>
    <x:row r="37" ht="18" customHeight="1">
      <x:c r="A37" s="24" t="str">
        <x:v>LME_004</x:v>
      </x:c>
      <x:c r="B37" s="24" t="str">
        <x:v>Gulf of California</x:v>
      </x:c>
      <x:c r="C37" s="24" t="str">
        <x:v>LME</x:v>
      </x:c>
      <x:c r="D37" s="30" t="n">
        <x:v>2019</x:v>
      </x:c>
      <x:c r="E37" s="24" t="str">
        <x:v>Doryteuthis opalescens</x:v>
      </x:c>
      <x:c r="F37" s="24" t="str">
        <x:v>California market squid</x:v>
      </x:c>
      <x:c r="G37" s="24" t="str">
        <x:v>Cephalopods</x:v>
      </x:c>
      <x:c r="H37" s="24" t="str">
        <x:v>Other fishes &amp; inverts</x:v>
      </x:c>
      <x:c r="I37" s="31" t="n">
        <x:v>3660.1642217879003</x:v>
      </x:c>
      <x:c r="J37" s="31" t="n">
        <x:v>3660.1642217879003</x:v>
      </x:c>
      <x:c r="K37" s="31" t="n">
        <x:v>0</x:v>
      </x:c>
      <x:c r="L37" s="31" t="n">
        <x:v>3660.1642217879003</x:v>
      </x:c>
      <x:c r="M37" s="31" t="n">
        <x:v>0</x:v>
      </x:c>
      <x:c r="N37" s="24" t="str">
        <x:v>doryteuthis opalescens</x:v>
      </x:c>
      <x:c r="O37" s="32" t="n">
        <x:v>3.86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Doryteuthis opalescens</x:v>
      </x:c>
      <x:c r="T37" s="32" t="n">
        <x:f>IF(O37="","",(1/'Metadata'!$B$5)^(O37-1))</x:f>
        <x:v>724.4359600749899</x:v>
      </x:c>
      <x:c r="U37" s="31" t="n">
        <x:f>IF(T37="","",I37*T37)</x:f>
        <x:v>2651554.5820430457</x:v>
      </x:c>
    </x:row>
    <x:row r="38" ht="18" customHeight="1">
      <x:c r="A38" s="24" t="str">
        <x:v>LME_004</x:v>
      </x:c>
      <x:c r="B38" s="24" t="str">
        <x:v>Gulf of California</x:v>
      </x:c>
      <x:c r="C38" s="24" t="str">
        <x:v>LME</x:v>
      </x:c>
      <x:c r="D38" s="30" t="n">
        <x:v>2019</x:v>
      </x:c>
      <x:c r="E38" s="24" t="str">
        <x:v>Mullidae</x:v>
      </x:c>
      <x:c r="F38" s="24" t="str">
        <x:v>Goatfishes</x:v>
      </x:c>
      <x:c r="G38" s="24" t="str">
        <x:v>Medium reef assoc. fish (30 - 89 cm)</x:v>
      </x:c>
      <x:c r="H38" s="24" t="str">
        <x:v>Perch-likes</x:v>
      </x:c>
      <x:c r="I38" s="31" t="n">
        <x:v>3623.0167423183</x:v>
      </x:c>
      <x:c r="J38" s="31" t="n">
        <x:v>726.023085916</x:v>
      </x:c>
      <x:c r="K38" s="31" t="n">
        <x:v>2896.9936564023</x:v>
      </x:c>
      <x:c r="L38" s="31" t="n">
        <x:v>0</x:v>
      </x:c>
      <x:c r="M38" s="31" t="n">
        <x:v>3623.0167423183</x:v>
      </x:c>
      <x:c r="N38" s="24" t="str">
        <x:v>mullidae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Mullidae</x:v>
      </x:c>
      <x:c r="T38" s="32" t="n">
        <x:f>IF(O38="","",(1/'Metadata'!$B$5)^(O38-1))</x:f>
        <x:v>288.40315031266056</x:v>
      </x:c>
      <x:c r="U38" s="31" t="n">
        <x:f>IF(T38="","",I38*T38)</x:f>
        <x:v>1044889.4421201105</x:v>
      </x:c>
    </x:row>
    <x:row r="39" ht="18" customHeight="1">
      <x:c r="A39" s="24" t="str">
        <x:v>LME_004</x:v>
      </x:c>
      <x:c r="B39" s="24" t="str">
        <x:v>Gulf of California</x:v>
      </x:c>
      <x:c r="C39" s="24" t="str">
        <x:v>LME</x:v>
      </x:c>
      <x:c r="D39" s="30" t="n">
        <x:v>2019</x:v>
      </x:c>
      <x:c r="E39" s="24" t="str">
        <x:v>Eucinostomus</x:v>
      </x:c>
      <x:c r="F39" s="24" t="str">
        <x:v>Mojarras</x:v>
      </x:c>
      <x:c r="G39" s="24" t="str">
        <x:v>Large reef assoc. fish (&gt;=90 cm)</x:v>
      </x:c>
      <x:c r="H39" s="24" t="str">
        <x:v>Perch-likes</x:v>
      </x:c>
      <x:c r="I39" s="31" t="n">
        <x:v>3129.7941610738003</x:v>
      </x:c>
      <x:c r="J39" s="31" t="n">
        <x:v>602.0307186924</x:v>
      </x:c>
      <x:c r="K39" s="31" t="n">
        <x:v>2527.7634423814</x:v>
      </x:c>
      <x:c r="L39" s="31" t="n">
        <x:v>0</x:v>
      </x:c>
      <x:c r="M39" s="31" t="n">
        <x:v>3129.7941610738003</x:v>
      </x:c>
      <x:c r="N39" s="24" t="str">
        <x:v>eucinostomus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Eucinostomus</x:v>
      </x:c>
      <x:c r="T39" s="32" t="n">
        <x:f>IF(O39="","",(1/'Metadata'!$B$5)^(O39-1))</x:f>
        <x:v>316.22776601683796</x:v>
      </x:c>
      <x:c r="U39" s="31" t="n">
        <x:f>IF(T39="","",I39*T39)</x:f>
        <x:v>989727.8156489114</x:v>
      </x:c>
    </x:row>
    <x:row r="40" ht="18" customHeight="1">
      <x:c r="A40" s="24" t="str">
        <x:v>LME_004</x:v>
      </x:c>
      <x:c r="B40" s="24" t="str">
        <x:v>Gulf of California</x:v>
      </x:c>
      <x:c r="C40" s="24" t="str">
        <x:v>LME</x:v>
      </x:c>
      <x:c r="D40" s="30" t="n">
        <x:v>2019</x:v>
      </x:c>
      <x:c r="E40" s="24" t="str">
        <x:v>Caranx</x:v>
      </x:c>
      <x:c r="F40" s="24" t="str">
        <x:v>Jacks</x:v>
      </x:c>
      <x:c r="G40" s="24" t="str">
        <x:v>Medium reef assoc. fish (30 - 89 cm)</x:v>
      </x:c>
      <x:c r="H40" s="24" t="str">
        <x:v>Perch-likes</x:v>
      </x:c>
      <x:c r="I40" s="31" t="n">
        <x:v>2940.3897650831</x:v>
      </x:c>
      <x:c r="J40" s="31" t="n">
        <x:v>2940.3897650831</x:v>
      </x:c>
      <x:c r="K40" s="31" t="n">
        <x:v>0</x:v>
      </x:c>
      <x:c r="L40" s="31" t="n">
        <x:v>2355.7127758688</x:v>
      </x:c>
      <x:c r="M40" s="31" t="n">
        <x:v>584.6769892143001</x:v>
      </x:c>
      <x:c r="N40" s="24" t="str">
        <x:v>caranx</x:v>
      </x:c>
      <x:c r="O40" s="32" t="n">
        <x:v>4.12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Caranx</x:v>
      </x:c>
      <x:c r="T40" s="32" t="n">
        <x:f>IF(O40="","",(1/'Metadata'!$B$5)^(O40-1))</x:f>
        <x:v>1318.2567385564075</x:v>
      </x:c>
      <x:c r="U40" s="31" t="n">
        <x:f>IF(T40="","",I40*T40)</x:f>
        <x:v>3876188.6218030886</x:v>
      </x:c>
    </x:row>
    <x:row r="41" ht="18" customHeight="1">
      <x:c r="A41" s="24" t="str">
        <x:v>LME_004</x:v>
      </x:c>
      <x:c r="B41" s="24" t="str">
        <x:v>Gulf of California</x:v>
      </x:c>
      <x:c r="C41" s="24" t="str">
        <x:v>LME</x:v>
      </x:c>
      <x:c r="D41" s="30" t="n">
        <x:v>2019</x:v>
      </x:c>
      <x:c r="E41" s="24" t="str">
        <x:v>Lutjanus peru</x:v>
      </x:c>
      <x:c r="F41" s="24" t="str">
        <x:v>Pacific red snapper</x:v>
      </x:c>
      <x:c r="G41" s="24" t="str">
        <x:v>Medium reef assoc. fish (30 - 89 cm)</x:v>
      </x:c>
      <x:c r="H41" s="24" t="str">
        <x:v>Perch-likes</x:v>
      </x:c>
      <x:c r="I41" s="31" t="n">
        <x:v>2821.0350459337</x:v>
      </x:c>
      <x:c r="J41" s="31" t="n">
        <x:v>2821.0350459337</x:v>
      </x:c>
      <x:c r="K41" s="31" t="n">
        <x:v>0</x:v>
      </x:c>
      <x:c r="L41" s="31" t="n">
        <x:v>2107.6677592043</x:v>
      </x:c>
      <x:c r="M41" s="31" t="n">
        <x:v>713.3672867294</x:v>
      </x:c>
      <x:c r="N41" s="24" t="str">
        <x:v>lutjanus peru</x:v>
      </x:c>
      <x:c r="O41" s="32" t="n">
        <x:v>4.02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peru</x:v>
      </x:c>
      <x:c r="T41" s="32" t="n">
        <x:f>IF(O41="","",(1/'Metadata'!$B$5)^(O41-1))</x:f>
        <x:v>1047.1285480508984</x:v>
      </x:c>
      <x:c r="U41" s="31" t="n">
        <x:f>IF(T41="","",I41*T41)</x:f>
        <x:v>2953986.331649255</x:v>
      </x:c>
    </x:row>
    <x:row r="42" ht="18" customHeight="1">
      <x:c r="A42" s="24" t="str">
        <x:v>LME_004</x:v>
      </x:c>
      <x:c r="B42" s="24" t="str">
        <x:v>Gulf of California</x:v>
      </x:c>
      <x:c r="C42" s="24" t="str">
        <x:v>LME</x:v>
      </x:c>
      <x:c r="D42" s="30" t="n">
        <x:v>2019</x:v>
      </x:c>
      <x:c r="E42" s="24" t="str">
        <x:v>Mugil cephalus</x:v>
      </x:c>
      <x:c r="F42" s="24" t="str">
        <x:v>Flathead grey mullet</x:v>
      </x:c>
      <x:c r="G42" s="24" t="str">
        <x:v>Large benthopelagics (&gt;=90 cm)</x:v>
      </x:c>
      <x:c r="H42" s="24" t="str">
        <x:v>Perch-likes</x:v>
      </x:c>
      <x:c r="I42" s="31" t="n">
        <x:v>2750.7222949977</x:v>
      </x:c>
      <x:c r="J42" s="31" t="n">
        <x:v>2750.7222949977</x:v>
      </x:c>
      <x:c r="K42" s="31" t="n">
        <x:v>0</x:v>
      </x:c>
      <x:c r="L42" s="31" t="n">
        <x:v>2276.3602830852</x:v>
      </x:c>
      <x:c r="M42" s="31" t="n">
        <x:v>474.36201191249995</x:v>
      </x:c>
      <x:c r="N42" s="24" t="str">
        <x:v>mugil cephalus</x:v>
      </x:c>
      <x:c r="O42" s="32" t="n">
        <x:v>2.14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Mugil cephalus</x:v>
      </x:c>
      <x:c r="T42" s="32" t="n">
        <x:f>IF(O42="","",(1/'Metadata'!$B$5)^(O42-1))</x:f>
        <x:v>13.803842646028853</x:v>
      </x:c>
      <x:c r="U42" s="31" t="n">
        <x:f>IF(T42="","",I42*T42)</x:f>
        <x:v>37970.53772307161</x:v>
      </x:c>
    </x:row>
    <x:row r="43" ht="18" customHeight="1">
      <x:c r="A43" s="24" t="str">
        <x:v>LME_004</x:v>
      </x:c>
      <x:c r="B43" s="24" t="str">
        <x:v>Gulf of California</x:v>
      </x:c>
      <x:c r="C43" s="24" t="str">
        <x:v>LME</x:v>
      </x:c>
      <x:c r="D43" s="30" t="n">
        <x:v>2019</x:v>
      </x:c>
      <x:c r="E43" s="24" t="str">
        <x:v>Pleuronectiformes</x:v>
      </x:c>
      <x:c r="F43" s="24" t="str">
        <x:v>Flatfishes</x:v>
      </x:c>
      <x:c r="G43" s="24" t="str">
        <x:v>Small to medium flatfishes (&lt;90 cm)</x:v>
      </x:c>
      <x:c r="H43" s="24" t="str">
        <x:v>Flatfishes</x:v>
      </x:c>
      <x:c r="I43" s="31" t="n">
        <x:v>2713.6709389639</x:v>
      </x:c>
      <x:c r="J43" s="31" t="n">
        <x:v>2713.6709389639</x:v>
      </x:c>
      <x:c r="K43" s="31" t="n">
        <x:v>0</x:v>
      </x:c>
      <x:c r="L43" s="31" t="n">
        <x:v>2141.1534104835</x:v>
      </x:c>
      <x:c r="M43" s="31" t="n">
        <x:v>572.5175284804</x:v>
      </x:c>
      <x:c r="N43" s="24" t="str">
        <x:v>pleuronectiformes</x:v>
      </x:c>
      <x:c r="O43" s="32" t="n">
        <x:v>3.57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Pleuronectiformes</x:v>
      </x:c>
      <x:c r="T43" s="32" t="n">
        <x:f>IF(O43="","",(1/'Metadata'!$B$5)^(O43-1))</x:f>
        <x:v>371.5352290971724</x:v>
      </x:c>
      <x:c r="U43" s="31" t="n">
        <x:f>IF(T43="","",I43*T43)</x:f>
        <x:v>1008224.3540022916</x:v>
      </x:c>
    </x:row>
    <x:row r="44" ht="18" customHeight="1">
      <x:c r="A44" s="24" t="str">
        <x:v>LME_004</x:v>
      </x:c>
      <x:c r="B44" s="24" t="str">
        <x:v>Gulf of California</x:v>
      </x:c>
      <x:c r="C44" s="24" t="str">
        <x:v>LME</x:v>
      </x:c>
      <x:c r="D44" s="30" t="n">
        <x:v>2019</x:v>
      </x:c>
      <x:c r="E44" s="24" t="str">
        <x:v>Callinectes bellicosus</x:v>
      </x:c>
      <x:c r="F44" s="24" t="str">
        <x:v>Warrior swimcrab</x:v>
      </x:c>
      <x:c r="G44" s="24" t="str">
        <x:v>Lobsters, crabs</x:v>
      </x:c>
      <x:c r="H44" s="24" t="str">
        <x:v>Crustaceans</x:v>
      </x:c>
      <x:c r="I44" s="31" t="n">
        <x:v>2701.4396594853</x:v>
      </x:c>
      <x:c r="J44" s="31" t="n">
        <x:v>0</x:v>
      </x:c>
      <x:c r="K44" s="31" t="n">
        <x:v>2701.4396594853</x:v>
      </x:c>
      <x:c r="L44" s="31" t="n">
        <x:v>0</x:v>
      </x:c>
      <x:c r="M44" s="31" t="n">
        <x:v>2701.4396594853</x:v>
      </x:c>
      <x:c r="N44" s="24" t="str">
        <x:v>callinectes bellicosus</x:v>
      </x:c>
      <x:c r="O44" s="32" t="n">
        <x:v>4.16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Callinectes bellicosus</x:v>
      </x:c>
      <x:c r="T44" s="32" t="n">
        <x:f>IF(O44="","",(1/'Metadata'!$B$5)^(O44-1))</x:f>
        <x:v>1445.439770745928</x:v>
      </x:c>
      <x:c r="U44" s="31" t="n">
        <x:f>IF(T44="","",I44*T44)</x:f>
        <x:v>3904768.3220903897</x:v>
      </x:c>
    </x:row>
    <x:row r="45" ht="18" customHeight="1">
      <x:c r="A45" s="24" t="str">
        <x:v>LME_004</x:v>
      </x:c>
      <x:c r="B45" s="24" t="str">
        <x:v>Gulf of California</x:v>
      </x:c>
      <x:c r="C45" s="24" t="str">
        <x:v>LME</x:v>
      </x:c>
      <x:c r="D45" s="30" t="n">
        <x:v>2019</x:v>
      </x:c>
      <x:c r="E45" s="24" t="str">
        <x:v>Achirus mazatlanus</x:v>
      </x:c>
      <x:c r="F45" s="24" t="str">
        <x:v>Mazatlan sole</x:v>
      </x:c>
      <x:c r="G45" s="24" t="str">
        <x:v>Small to medium flatfishes (&lt;90 cm)</x:v>
      </x:c>
      <x:c r="H45" s="24" t="str">
        <x:v>Flatfishes</x:v>
      </x:c>
      <x:c r="I45" s="31" t="n">
        <x:v>2558.089764491</x:v>
      </x:c>
      <x:c r="J45" s="31" t="n">
        <x:v>497.0276716875</x:v>
      </x:c>
      <x:c r="K45" s="31" t="n">
        <x:v>2061.0620928035</x:v>
      </x:c>
      <x:c r="L45" s="31" t="n">
        <x:v>0</x:v>
      </x:c>
      <x:c r="M45" s="31" t="n">
        <x:v>2558.089764491</x:v>
      </x:c>
      <x:c r="N45" s="24" t="str">
        <x:v>achirus mazatlanus</x:v>
      </x:c>
      <x:c r="O45" s="32" t="n">
        <x:v>3.2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Achirus mazatlanus</x:v>
      </x:c>
      <x:c r="T45" s="32" t="n">
        <x:f>IF(O45="","",(1/'Metadata'!$B$5)^(O45-1))</x:f>
        <x:v>158.48931924611142</x:v>
      </x:c>
      <x:c r="U45" s="31" t="n">
        <x:f>IF(T45="","",I45*T45)</x:f>
        <x:v>405429.9053446241</x:v>
      </x:c>
    </x:row>
    <x:row r="46" ht="18" customHeight="1">
      <x:c r="A46" s="24" t="str">
        <x:v>LME_004</x:v>
      </x:c>
      <x:c r="B46" s="24" t="str">
        <x:v>Gulf of California</x:v>
      </x:c>
      <x:c r="C46" s="24" t="str">
        <x:v>LME</x:v>
      </x:c>
      <x:c r="D46" s="30" t="n">
        <x:v>2019</x:v>
      </x:c>
      <x:c r="E46" s="24" t="str">
        <x:v>Crassostrea</x:v>
      </x:c>
      <x:c r="F46" s="24" t="str">
        <x:v>Cupped oysters</x:v>
      </x:c>
      <x:c r="G46" s="24" t="str">
        <x:v>Other demersal invertebrates</x:v>
      </x:c>
      <x:c r="H46" s="24" t="str">
        <x:v>Molluscs</x:v>
      </x:c>
      <x:c r="I46" s="31" t="n">
        <x:v>2396.8945168535</x:v>
      </x:c>
      <x:c r="J46" s="31" t="n">
        <x:v>2396.8945168535</x:v>
      </x:c>
      <x:c r="K46" s="31" t="n">
        <x:v>0</x:v>
      </x:c>
      <x:c r="L46" s="31" t="n">
        <x:v>2179.7710451641</x:v>
      </x:c>
      <x:c r="M46" s="31" t="n">
        <x:v>217.1234716894</x:v>
      </x:c>
      <x:c r="N46" s="24" t="str">
        <x:v>crassostrea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Crassostrea</x:v>
      </x:c>
      <x:c r="T46" s="32" t="n">
        <x:f>IF(O46="","",(1/'Metadata'!$B$5)^(O46-1))</x:f>
        <x:v>10</x:v>
      </x:c>
      <x:c r="U46" s="31" t="n">
        <x:f>IF(T46="","",I46*T46)</x:f>
        <x:v>23968.945168535</x:v>
      </x:c>
    </x:row>
    <x:row r="47" ht="18" customHeight="1">
      <x:c r="A47" s="24" t="str">
        <x:v>LME_004</x:v>
      </x:c>
      <x:c r="B47" s="24" t="str">
        <x:v>Gulf of California</x:v>
      </x:c>
      <x:c r="C47" s="24" t="str">
        <x:v>LME</x:v>
      </x:c>
      <x:c r="D47" s="30" t="n">
        <x:v>2019</x:v>
      </x:c>
      <x:c r="E47" s="24" t="str">
        <x:v>Cancer antennarius</x:v>
      </x:c>
      <x:c r="F47" s="24" t="str">
        <x:v>California red rock crab</x:v>
      </x:c>
      <x:c r="G47" s="24" t="str">
        <x:v>Lobsters, crabs</x:v>
      </x:c>
      <x:c r="H47" s="24" t="str">
        <x:v>Crustaceans</x:v>
      </x:c>
      <x:c r="I47" s="31" t="n">
        <x:v>2346.1269112564</x:v>
      </x:c>
      <x:c r="J47" s="31" t="n">
        <x:v>2346.1269112564</x:v>
      </x:c>
      <x:c r="K47" s="31" t="n">
        <x:v>0</x:v>
      </x:c>
      <x:c r="L47" s="31" t="n">
        <x:v>2346.1269112564</x:v>
      </x:c>
      <x:c r="M47" s="31" t="n">
        <x:v>0</x:v>
      </x:c>
      <x:c r="N47" s="24" t="str">
        <x:v>cancer antennarius</x:v>
      </x:c>
      <x:c r="O47" s="32" t="n">
        <x:v>3.77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Cancer antennarius</x:v>
      </x:c>
      <x:c r="T47" s="32" t="n">
        <x:f>IF(O47="","",(1/'Metadata'!$B$5)^(O47-1))</x:f>
        <x:v>588.843655355589</x:v>
      </x:c>
      <x:c r="U47" s="31" t="n">
        <x:f>IF(T47="","",I47*T47)</x:f>
        <x:v>1381501.9463523363</x:v>
      </x:c>
    </x:row>
    <x:row r="48" ht="18" customHeight="1">
      <x:c r="A48" s="24" t="str">
        <x:v>LME_004</x:v>
      </x:c>
      <x:c r="B48" s="24" t="str">
        <x:v>Gulf of California</x:v>
      </x:c>
      <x:c r="C48" s="24" t="str">
        <x:v>LME</x:v>
      </x:c>
      <x:c r="D48" s="30" t="n">
        <x:v>2019</x:v>
      </x:c>
      <x:c r="E48" s="24" t="str">
        <x:v>Portunus</x:v>
      </x:c>
      <x:c r="F48" s="24" t="str">
        <x:v>Swimmer crabs</x:v>
      </x:c>
      <x:c r="G48" s="24" t="str">
        <x:v>Lobsters, crabs</x:v>
      </x:c>
      <x:c r="H48" s="24" t="str">
        <x:v>Crustaceans</x:v>
      </x:c>
      <x:c r="I48" s="31" t="n">
        <x:v>2304.1664708053</x:v>
      </x:c>
      <x:c r="J48" s="31" t="n">
        <x:v>0</x:v>
      </x:c>
      <x:c r="K48" s="31" t="n">
        <x:v>2304.1664708053</x:v>
      </x:c>
      <x:c r="L48" s="31" t="n">
        <x:v>0</x:v>
      </x:c>
      <x:c r="M48" s="31" t="n">
        <x:v>2304.1664708053</x:v>
      </x:c>
      <x:c r="N48" s="24" t="str">
        <x:v>portunus</x:v>
      </x:c>
      <x:c r="O48" s="32" t="n">
        <x:v>3.26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Portunus</x:v>
      </x:c>
      <x:c r="T48" s="32" t="n">
        <x:f>IF(O48="","",(1/'Metadata'!$B$5)^(O48-1))</x:f>
        <x:v>181.97008586099827</x:v>
      </x:c>
      <x:c r="U48" s="31" t="n">
        <x:f>IF(T48="","",I48*T48)</x:f>
        <x:v>419289.37053047377</x:v>
      </x:c>
    </x:row>
    <x:row r="49" ht="18" customHeight="1">
      <x:c r="A49" s="24" t="str">
        <x:v>LME_004</x:v>
      </x:c>
      <x:c r="B49" s="24" t="str">
        <x:v>Gulf of California</x:v>
      </x:c>
      <x:c r="C49" s="24" t="str">
        <x:v>LME</x:v>
      </x:c>
      <x:c r="D49" s="30" t="n">
        <x:v>2019</x:v>
      </x:c>
      <x:c r="E49" s="24" t="str">
        <x:v>Portunus xantusii</x:v>
      </x:c>
      <x:c r="F49" s="24" t="str">
        <x:v>Xantus swimcrab</x:v>
      </x:c>
      <x:c r="G49" s="24" t="str">
        <x:v>Lobsters, crabs</x:v>
      </x:c>
      <x:c r="H49" s="24" t="str">
        <x:v>Crustaceans</x:v>
      </x:c>
      <x:c r="I49" s="31" t="n">
        <x:v>2148.0734758399</x:v>
      </x:c>
      <x:c r="J49" s="31" t="n">
        <x:v>0</x:v>
      </x:c>
      <x:c r="K49" s="31" t="n">
        <x:v>2148.0734758399</x:v>
      </x:c>
      <x:c r="L49" s="31" t="n">
        <x:v>0</x:v>
      </x:c>
      <x:c r="M49" s="31" t="n">
        <x:v>2148.0734758399</x:v>
      </x:c>
      <x:c r="N49" s="24" t="str">
        <x:v>portunus xantusii</x:v>
      </x:c>
      <x:c r="O49" s="32" t="n">
        <x:v>3.26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Portunus xantusii</x:v>
      </x:c>
      <x:c r="T49" s="32" t="n">
        <x:f>IF(O49="","",(1/'Metadata'!$B$5)^(O49-1))</x:f>
        <x:v>181.97008586099827</x:v>
      </x:c>
      <x:c r="U49" s="31" t="n">
        <x:f>IF(T49="","",I49*T49)</x:f>
        <x:v>390885.11483431957</x:v>
      </x:c>
    </x:row>
    <x:row r="50" ht="18" customHeight="1">
      <x:c r="A50" s="24" t="str">
        <x:v>LME_004</x:v>
      </x:c>
      <x:c r="B50" s="24" t="str">
        <x:v>Gulf of California</x:v>
      </x:c>
      <x:c r="C50" s="24" t="str">
        <x:v>LME</x:v>
      </x:c>
      <x:c r="D50" s="30" t="n">
        <x:v>2019</x:v>
      </x:c>
      <x:c r="E50" s="24" t="str">
        <x:v>Serranidae</x:v>
      </x:c>
      <x:c r="F50" s="24" t="str">
        <x:v>Basses, groupers, hinds</x:v>
      </x:c>
      <x:c r="G50" s="24" t="str">
        <x:v>Medium reef assoc. fish (30 - 89 cm)</x:v>
      </x:c>
      <x:c r="H50" s="24" t="str">
        <x:v>Perch-likes</x:v>
      </x:c>
      <x:c r="I50" s="31" t="n">
        <x:v>1830.3721531538001</x:v>
      </x:c>
      <x:c r="J50" s="31" t="n">
        <x:v>1830.3721531538001</x:v>
      </x:c>
      <x:c r="K50" s="31" t="n">
        <x:v>0</x:v>
      </x:c>
      <x:c r="L50" s="31" t="n">
        <x:v>1035.5315455074</x:v>
      </x:c>
      <x:c r="M50" s="31" t="n">
        <x:v>794.8406076463999</x:v>
      </x:c>
      <x:c r="N50" s="24" t="str">
        <x:v>serranidae</x:v>
      </x:c>
      <x:c r="O50" s="32" t="n">
        <x:v>3.98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Serranidae</x:v>
      </x:c>
      <x:c r="T50" s="32" t="n">
        <x:f>IF(O50="","",(1/'Metadata'!$B$5)^(O50-1))</x:f>
        <x:v>954.992586021436</x:v>
      </x:c>
      <x:c r="U50" s="31" t="n">
        <x:f>IF(T50="","",I50*T50)</x:f>
        <x:v>1747991.8359219714</x:v>
      </x:c>
    </x:row>
    <x:row r="51" ht="18" customHeight="1">
      <x:c r="A51" s="24" t="str">
        <x:v>LME_004</x:v>
      </x:c>
      <x:c r="B51" s="24" t="str">
        <x:v>Gulf of California</x:v>
      </x:c>
      <x:c r="C51" s="24" t="str">
        <x:v>LME</x:v>
      </x:c>
      <x:c r="D51" s="30" t="n">
        <x:v>2019</x:v>
      </x:c>
      <x:c r="E51" s="24" t="str">
        <x:v>Peprilus</x:v>
      </x:c>
      <x:c r="F51" s="24" t="str">
        <x:v>Harvestfishes</x:v>
      </x:c>
      <x:c r="G51" s="24" t="str">
        <x:v>Small benthopelagics (&lt;30 cm)</x:v>
      </x:c>
      <x:c r="H51" s="24" t="str">
        <x:v>Perch-likes</x:v>
      </x:c>
      <x:c r="I51" s="31" t="n">
        <x:v>1791.9151993156</x:v>
      </x:c>
      <x:c r="J51" s="31" t="n">
        <x:v>1791.9151993156</x:v>
      </x:c>
      <x:c r="K51" s="31" t="n">
        <x:v>0</x:v>
      </x:c>
      <x:c r="L51" s="31" t="n">
        <x:v>0</x:v>
      </x:c>
      <x:c r="M51" s="31" t="n">
        <x:v>1791.9151993156</x:v>
      </x:c>
      <x:c r="N51" s="24" t="str">
        <x:v>peprilus</x:v>
      </x:c>
      <x:c r="O51" s="32" t="n">
        <x:v>3.78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Peprilus</x:v>
      </x:c>
      <x:c r="T51" s="32" t="n">
        <x:f>IF(O51="","",(1/'Metadata'!$B$5)^(O51-1))</x:f>
        <x:v>602.5595860743575</x:v>
      </x:c>
      <x:c r="U51" s="31" t="n">
        <x:f>IF(T51="","",I51*T51)</x:f>
        <x:v>1079735.6807799577</x:v>
      </x:c>
    </x:row>
    <x:row r="52" ht="18" customHeight="1">
      <x:c r="A52" s="24" t="str">
        <x:v>LME_004</x:v>
      </x:c>
      <x:c r="B52" s="24" t="str">
        <x:v>Gulf of California</x:v>
      </x:c>
      <x:c r="C52" s="24" t="str">
        <x:v>LME</x:v>
      </x:c>
      <x:c r="D52" s="30" t="n">
        <x:v>2019</x:v>
      </x:c>
      <x:c r="E52" s="24" t="str">
        <x:v>Euthynnus lineatus</x:v>
      </x:c>
      <x:c r="F52" s="24" t="str">
        <x:v>Black skipjack</x:v>
      </x:c>
      <x:c r="G52" s="24" t="str">
        <x:v>Medium pelagics (30 - 89 cm)</x:v>
      </x:c>
      <x:c r="H52" s="24" t="str">
        <x:v>Tuna &amp; billfishes</x:v>
      </x:c>
      <x:c r="I52" s="31" t="n">
        <x:v>1600.9663924476</x:v>
      </x:c>
      <x:c r="J52" s="31" t="n">
        <x:v>1600.9663924476</x:v>
      </x:c>
      <x:c r="K52" s="31" t="n">
        <x:v>0</x:v>
      </x:c>
      <x:c r="L52" s="31" t="n">
        <x:v>1600.9663924476</x:v>
      </x:c>
      <x:c r="M52" s="31" t="n">
        <x:v>0</x:v>
      </x:c>
      <x:c r="N52" s="24" t="str">
        <x:v>euthynnus lineatus</x:v>
      </x:c>
      <x:c r="O52" s="32" t="n">
        <x:v>3.83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Euthynnus lineatus</x:v>
      </x:c>
      <x:c r="T52" s="32" t="n">
        <x:f>IF(O52="","",(1/'Metadata'!$B$5)^(O52-1))</x:f>
        <x:v>676.0829753919819</x:v>
      </x:c>
      <x:c r="U52" s="31" t="n">
        <x:f>IF(T52="","",I52*T52)</x:f>
        <x:v>1082386.1221085407</x:v>
      </x:c>
    </x:row>
    <x:row r="53" ht="18" customHeight="1">
      <x:c r="A53" s="24" t="str">
        <x:v>LME_004</x:v>
      </x:c>
      <x:c r="B53" s="24" t="str">
        <x:v>Gulf of California</x:v>
      </x:c>
      <x:c r="C53" s="24" t="str">
        <x:v>LME</x:v>
      </x:c>
      <x:c r="D53" s="30" t="n">
        <x:v>2019</x:v>
      </x:c>
      <x:c r="E53" s="24" t="str">
        <x:v>Evibacus princeps</x:v>
      </x:c>
      <x:c r="F53" s="24" t="str">
        <x:v>Shield fan lobster</x:v>
      </x:c>
      <x:c r="G53" s="24" t="str">
        <x:v>Lobsters, crabs</x:v>
      </x:c>
      <x:c r="H53" s="24" t="str">
        <x:v>Crustaceans</x:v>
      </x:c>
      <x:c r="I53" s="31" t="n">
        <x:v>1596.7772606646</x:v>
      </x:c>
      <x:c r="J53" s="31" t="n">
        <x:v>0</x:v>
      </x:c>
      <x:c r="K53" s="31" t="n">
        <x:v>1596.7772606646</x:v>
      </x:c>
      <x:c r="L53" s="31" t="n">
        <x:v>0</x:v>
      </x:c>
      <x:c r="M53" s="31" t="n">
        <x:v>1596.7772606646</x:v>
      </x:c>
      <x:c r="N53" s="24" t="str">
        <x:v>evibacus princeps</x:v>
      </x:c>
      <x:c r="O53" s="32" t="n">
        <x:v>3.3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Evibacus princeps</x:v>
      </x:c>
      <x:c r="T53" s="32" t="n">
        <x:f>IF(O53="","",(1/'Metadata'!$B$5)^(O53-1))</x:f>
        <x:v>199.52623149688787</x:v>
      </x:c>
      <x:c r="U53" s="31" t="n">
        <x:f>IF(T53="","",I53*T53)</x:f>
        <x:v>318598.9493603314</x:v>
      </x:c>
    </x:row>
    <x:row r="54" ht="18" customHeight="1">
      <x:c r="A54" s="24" t="str">
        <x:v>LME_004</x:v>
      </x:c>
      <x:c r="B54" s="24" t="str">
        <x:v>Gulf of California</x:v>
      </x:c>
      <x:c r="C54" s="24" t="str">
        <x:v>LME</x:v>
      </x:c>
      <x:c r="D54" s="30" t="n">
        <x:v>2019</x:v>
      </x:c>
      <x:c r="E54" s="24" t="str">
        <x:v>Panulirus</x:v>
      </x:c>
      <x:c r="F54" s="24" t="str">
        <x:v>Spiny lobsters</x:v>
      </x:c>
      <x:c r="G54" s="24" t="str">
        <x:v>Lobsters, crabs</x:v>
      </x:c>
      <x:c r="H54" s="24" t="str">
        <x:v>Crustaceans</x:v>
      </x:c>
      <x:c r="I54" s="31" t="n">
        <x:v>1542.7557758348</x:v>
      </x:c>
      <x:c r="J54" s="31" t="n">
        <x:v>1542.7557758348</x:v>
      </x:c>
      <x:c r="K54" s="31" t="n">
        <x:v>0</x:v>
      </x:c>
      <x:c r="L54" s="31" t="n">
        <x:v>1493.75437356</x:v>
      </x:c>
      <x:c r="M54" s="31" t="n">
        <x:v>49.0014022748</x:v>
      </x:c>
      <x:c r="N54" s="24" t="str">
        <x:v>panulirus</x:v>
      </x:c>
      <x:c r="O54" s="32" t="n">
        <x:v>2.6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Panulirus</x:v>
      </x:c>
      <x:c r="T54" s="32" t="n">
        <x:f>IF(O54="","",(1/'Metadata'!$B$5)^(O54-1))</x:f>
        <x:v>39.810717055349734</x:v>
      </x:c>
      <x:c r="U54" s="31" t="n">
        <x:f>IF(T54="","",I54*T54)</x:f>
        <x:v>61418.21367726578</x:v>
      </x:c>
    </x:row>
    <x:row r="55" ht="18" customHeight="1">
      <x:c r="A55" s="24" t="str">
        <x:v>LME_004</x:v>
      </x:c>
      <x:c r="B55" s="24" t="str">
        <x:v>Gulf of California</x:v>
      </x:c>
      <x:c r="C55" s="24" t="str">
        <x:v>LME</x:v>
      </x:c>
      <x:c r="D55" s="30" t="n">
        <x:v>2019</x:v>
      </x:c>
      <x:c r="E55" s="24" t="str">
        <x:v>Mugil curema</x:v>
      </x:c>
      <x:c r="F55" s="24" t="str">
        <x:v>White mullet</x:v>
      </x:c>
      <x:c r="G55" s="24" t="str">
        <x:v>Medium benthopelagics (30 - 89 cm)</x:v>
      </x:c>
      <x:c r="H55" s="24" t="str">
        <x:v>Perch-likes</x:v>
      </x:c>
      <x:c r="I55" s="31" t="n">
        <x:v>1484.1764125252</x:v>
      </x:c>
      <x:c r="J55" s="31" t="n">
        <x:v>1484.1764125252</x:v>
      </x:c>
      <x:c r="K55" s="31" t="n">
        <x:v>0</x:v>
      </x:c>
      <x:c r="L55" s="31" t="n">
        <x:v>1155.2965244462</x:v>
      </x:c>
      <x:c r="M55" s="31" t="n">
        <x:v>328.879888079</x:v>
      </x:c>
      <x:c r="N55" s="24" t="str">
        <x:v>mugil curema</x:v>
      </x:c>
      <x:c r="O55" s="32" t="n">
        <x:v>2.01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Mugil curema</x:v>
      </x:c>
      <x:c r="T55" s="32" t="n">
        <x:f>IF(O55="","",(1/'Metadata'!$B$5)^(O55-1))</x:f>
        <x:v>10.232929922807536</x:v>
      </x:c>
      <x:c r="U55" s="31" t="n">
        <x:f>IF(T55="","",I55*T55)</x:f>
        <x:v>15187.47322245426</x:v>
      </x:c>
    </x:row>
    <x:row r="56" ht="18" customHeight="1">
      <x:c r="A56" s="24" t="str">
        <x:v>LME_004</x:v>
      </x:c>
      <x:c r="B56" s="24" t="str">
        <x:v>Gulf of California</x:v>
      </x:c>
      <x:c r="C56" s="24" t="str">
        <x:v>LME</x:v>
      </x:c>
      <x:c r="D56" s="30" t="n">
        <x:v>2019</x:v>
      </x:c>
      <x:c r="E56" s="24" t="str">
        <x:v>Diogenidae</x:v>
      </x:c>
      <x:c r="F56" s="24" t="str">
        <x:v>Hermit crabs</x:v>
      </x:c>
      <x:c r="G56" s="24" t="str">
        <x:v>Lobsters, crabs</x:v>
      </x:c>
      <x:c r="H56" s="24" t="str">
        <x:v>Crustaceans</x:v>
      </x:c>
      <x:c r="I56" s="31" t="n">
        <x:v>1455.3593545447</x:v>
      </x:c>
      <x:c r="J56" s="31" t="n">
        <x:v>0</x:v>
      </x:c>
      <x:c r="K56" s="31" t="n">
        <x:v>1455.3593545447</x:v>
      </x:c>
      <x:c r="L56" s="31" t="n">
        <x:v>0</x:v>
      </x:c>
      <x:c r="M56" s="31" t="n">
        <x:v>1455.3593545447</x:v>
      </x:c>
      <x:c r="N56" s="24" t="str">
        <x:v>diogenidae</x:v>
      </x:c>
      <x:c r="O56" s="32" t="n">
        <x:v>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Diogenidae</x:v>
      </x:c>
      <x:c r="T56" s="32" t="n">
        <x:f>IF(O56="","",(1/'Metadata'!$B$5)^(O56-1))</x:f>
        <x:v>1000</x:v>
      </x:c>
      <x:c r="U56" s="31" t="n">
        <x:f>IF(T56="","",I56*T56)</x:f>
        <x:v>1455359.3545447</x:v>
      </x:c>
    </x:row>
    <x:row r="57" ht="18" customHeight="1">
      <x:c r="A57" s="24" t="str">
        <x:v>LME_004</x:v>
      </x:c>
      <x:c r="B57" s="24" t="str">
        <x:v>Gulf of California</x:v>
      </x:c>
      <x:c r="C57" s="24" t="str">
        <x:v>LME</x:v>
      </x:c>
      <x:c r="D57" s="30" t="n">
        <x:v>2019</x:v>
      </x:c>
      <x:c r="E57" s="24" t="str">
        <x:v>Dosidicus gigas</x:v>
      </x:c>
      <x:c r="F57" s="24" t="str">
        <x:v>Jumbo flying squid</x:v>
      </x:c>
      <x:c r="G57" s="24" t="str">
        <x:v>Cephalopods</x:v>
      </x:c>
      <x:c r="H57" s="24" t="str">
        <x:v>Other fishes &amp; inverts</x:v>
      </x:c>
      <x:c r="I57" s="31" t="n">
        <x:v>1446.2661185648</x:v>
      </x:c>
      <x:c r="J57" s="31" t="n">
        <x:v>1446.2661185648</x:v>
      </x:c>
      <x:c r="K57" s="31" t="n">
        <x:v>0</x:v>
      </x:c>
      <x:c r="L57" s="31" t="n">
        <x:v>1446.2661185648</x:v>
      </x:c>
      <x:c r="M57" s="31" t="n">
        <x:v>0</x:v>
      </x:c>
      <x:c r="N57" s="24" t="str">
        <x:v>dosidicus gigas</x:v>
      </x:c>
      <x:c r="O57" s="32" t="n">
        <x:v>4.14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Dosidicus gigas</x:v>
      </x:c>
      <x:c r="T57" s="32" t="n">
        <x:f>IF(O57="","",(1/'Metadata'!$B$5)^(O57-1))</x:f>
        <x:v>1380.3842646028838</x:v>
      </x:c>
      <x:c r="U57" s="31" t="n">
        <x:f>IF(T57="","",I57*T57)</x:f>
        <x:v>1996402.9924951387</x:v>
      </x:c>
    </x:row>
    <x:row r="58" ht="18" customHeight="1">
      <x:c r="A58" s="24" t="str">
        <x:v>LME_004</x:v>
      </x:c>
      <x:c r="B58" s="24" t="str">
        <x:v>Gulf of California</x:v>
      </x:c>
      <x:c r="C58" s="24" t="str">
        <x:v>LME</x:v>
      </x:c>
      <x:c r="D58" s="30" t="n">
        <x:v>2019</x:v>
      </x:c>
      <x:c r="E58" s="24" t="str">
        <x:v>Squilla mantoidea</x:v>
      </x:c>
      <x:c r="F58" s="24" t="str">
        <x:v>Catalina mantis</x:v>
      </x:c>
      <x:c r="G58" s="24" t="str">
        <x:v>Shrimps</x:v>
      </x:c>
      <x:c r="H58" s="24" t="str">
        <x:v>Crustaceans</x:v>
      </x:c>
      <x:c r="I58" s="31" t="n">
        <x:v>1444.9024679489</x:v>
      </x:c>
      <x:c r="J58" s="31" t="n">
        <x:v>0</x:v>
      </x:c>
      <x:c r="K58" s="31" t="n">
        <x:v>1444.9024679489</x:v>
      </x:c>
      <x:c r="L58" s="31" t="n">
        <x:v>0</x:v>
      </x:c>
      <x:c r="M58" s="31" t="n">
        <x:v>1444.9024679489</x:v>
      </x:c>
      <x:c r="N58" s="24" t="str">
        <x:v>squilla mantoidea</x:v>
      </x:c>
      <x:c r="O58" s="32" t="n">
        <x:v>3.62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Squilla mantoidea</x:v>
      </x:c>
      <x:c r="T58" s="32" t="n">
        <x:f>IF(O58="","",(1/'Metadata'!$B$5)^(O58-1))</x:f>
        <x:v>416.8693834703355</x:v>
      </x:c>
      <x:c r="U58" s="31" t="n">
        <x:f>IF(T58="","",I58*T58)</x:f>
        <x:v>602335.6009886242</x:v>
      </x:c>
    </x:row>
    <x:row r="59" ht="18" customHeight="1">
      <x:c r="A59" s="24" t="str">
        <x:v>LME_004</x:v>
      </x:c>
      <x:c r="B59" s="24" t="str">
        <x:v>Gulf of California</x:v>
      </x:c>
      <x:c r="C59" s="24" t="str">
        <x:v>LME</x:v>
      </x:c>
      <x:c r="D59" s="30" t="n">
        <x:v>2019</x:v>
      </x:c>
      <x:c r="E59" s="24" t="str">
        <x:v>Penaeus brevirostris</x:v>
      </x:c>
      <x:c r="F59" s="24" t="str">
        <x:v>Crystal shrimp</x:v>
      </x:c>
      <x:c r="G59" s="24" t="str">
        <x:v>Shrimps</x:v>
      </x:c>
      <x:c r="H59" s="24" t="str">
        <x:v>Crustaceans</x:v>
      </x:c>
      <x:c r="I59" s="31" t="n">
        <x:v>1401.5077083377</x:v>
      </x:c>
      <x:c r="J59" s="31" t="n">
        <x:v>1401.5077083377</x:v>
      </x:c>
      <x:c r="K59" s="31" t="n">
        <x:v>0</x:v>
      </x:c>
      <x:c r="L59" s="31" t="n">
        <x:v>1400.2907826266999</x:v>
      </x:c>
      <x:c r="M59" s="31" t="n">
        <x:v>1.216925711</x:v>
      </x:c>
      <x:c r="N59" s="24" t="str">
        <x:v>penaeus brevirostris</x:v>
      </x:c>
      <x:c r="O59" s="32" t="n">
        <x:v>2.7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Penaeus brevirostris</x:v>
      </x:c>
      <x:c r="T59" s="32" t="n">
        <x:f>IF(O59="","",(1/'Metadata'!$B$5)^(O59-1))</x:f>
        <x:v>50.11872336272725</x:v>
      </x:c>
      <x:c r="U59" s="31" t="n">
        <x:f>IF(T59="","",I59*T59)</x:f>
        <x:v>70241.77712490702</x:v>
      </x:c>
    </x:row>
    <x:row r="60" ht="18" customHeight="1">
      <x:c r="A60" s="24" t="str">
        <x:v>LME_004</x:v>
      </x:c>
      <x:c r="B60" s="24" t="str">
        <x:v>Gulf of California</x:v>
      </x:c>
      <x:c r="C60" s="24" t="str">
        <x:v>LME</x:v>
      </x:c>
      <x:c r="D60" s="30" t="n">
        <x:v>2019</x:v>
      </x:c>
      <x:c r="E60" s="24" t="str">
        <x:v>Sicyonia disdorsalis</x:v>
      </x:c>
      <x:c r="F60" s="24" t="str">
        <x:v>Keeled rock shrimp</x:v>
      </x:c>
      <x:c r="G60" s="24" t="str">
        <x:v>Shrimps</x:v>
      </x:c>
      <x:c r="H60" s="24" t="str">
        <x:v>Crustaceans</x:v>
      </x:c>
      <x:c r="I60" s="31" t="n">
        <x:v>1172.5122269331</x:v>
      </x:c>
      <x:c r="J60" s="31" t="n">
        <x:v>0</x:v>
      </x:c>
      <x:c r="K60" s="31" t="n">
        <x:v>1172.5122269331</x:v>
      </x:c>
      <x:c r="L60" s="31" t="n">
        <x:v>0</x:v>
      </x:c>
      <x:c r="M60" s="31" t="n">
        <x:v>1172.5122269331</x:v>
      </x:c>
      <x:c r="N60" s="24" t="str">
        <x:v>sicyonia disdorsalis</x:v>
      </x:c>
      <x:c r="O60" s="32" t="n">
        <x:v>3.01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Sicyonia disdorsalis</x:v>
      </x:c>
      <x:c r="T60" s="32" t="n">
        <x:f>IF(O60="","",(1/'Metadata'!$B$5)^(O60-1))</x:f>
        <x:v>102.32929922807536</x:v>
      </x:c>
      <x:c r="U60" s="31" t="n">
        <x:f>IF(T60="","",I60*T60)</x:f>
        <x:v>119982.35451841418</x:v>
      </x:c>
    </x:row>
    <x:row r="61" ht="18" customHeight="1">
      <x:c r="A61" s="24" t="str">
        <x:v>LME_004</x:v>
      </x:c>
      <x:c r="B61" s="24" t="str">
        <x:v>Gulf of California</x:v>
      </x:c>
      <x:c r="C61" s="24" t="str">
        <x:v>LME</x:v>
      </x:c>
      <x:c r="D61" s="30" t="n">
        <x:v>2019</x:v>
      </x:c>
      <x:c r="E61" s="24" t="str">
        <x:v>Callinectes arcuatus</x:v>
      </x:c>
      <x:c r="F61" s="24" t="str">
        <x:v>Arched swimming crab</x:v>
      </x:c>
      <x:c r="G61" s="24" t="str">
        <x:v>Lobsters, crabs</x:v>
      </x:c>
      <x:c r="H61" s="24" t="str">
        <x:v>Crustaceans</x:v>
      </x:c>
      <x:c r="I61" s="31" t="n">
        <x:v>1164.7208819932</x:v>
      </x:c>
      <x:c r="J61" s="31" t="n">
        <x:v>0</x:v>
      </x:c>
      <x:c r="K61" s="31" t="n">
        <x:v>1164.7208819932</x:v>
      </x:c>
      <x:c r="L61" s="31" t="n">
        <x:v>0</x:v>
      </x:c>
      <x:c r="M61" s="31" t="n">
        <x:v>1164.7208819932</x:v>
      </x:c>
      <x:c r="N61" s="24" t="str">
        <x:v>callinectes arcuatus</x:v>
      </x:c>
      <x:c r="O61" s="32" t="n">
        <x:v>3.6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Callinectes arcuatus</x:v>
      </x:c>
      <x:c r="T61" s="32" t="n">
        <x:f>IF(O61="","",(1/'Metadata'!$B$5)^(O61-1))</x:f>
        <x:v>398.1071705534973</x:v>
      </x:c>
      <x:c r="U61" s="31" t="n">
        <x:f>IF(T61="","",I61*T61)</x:f>
        <x:v>463683.7348148867</x:v>
      </x:c>
    </x:row>
    <x:row r="62" ht="18" customHeight="1">
      <x:c r="A62" s="24" t="str">
        <x:v>LME_004</x:v>
      </x:c>
      <x:c r="B62" s="24" t="str">
        <x:v>Gulf of California</x:v>
      </x:c>
      <x:c r="C62" s="24" t="str">
        <x:v>LME</x:v>
      </x:c>
      <x:c r="D62" s="30" t="n">
        <x:v>2019</x:v>
      </x:c>
      <x:c r="E62" s="24" t="str">
        <x:v>Solenocera florea</x:v>
      </x:c>
      <x:c r="F62" s="24" t="str">
        <x:v>Flower shrimp</x:v>
      </x:c>
      <x:c r="G62" s="24" t="str">
        <x:v>Shrimps</x:v>
      </x:c>
      <x:c r="H62" s="24" t="str">
        <x:v>Crustaceans</x:v>
      </x:c>
      <x:c r="I62" s="31" t="n">
        <x:v>1143.0874884091</x:v>
      </x:c>
      <x:c r="J62" s="31" t="n">
        <x:v>0</x:v>
      </x:c>
      <x:c r="K62" s="31" t="n">
        <x:v>1143.0874884091</x:v>
      </x:c>
      <x:c r="L62" s="31" t="n">
        <x:v>0</x:v>
      </x:c>
      <x:c r="M62" s="31" t="n">
        <x:v>1143.0874884091</x:v>
      </x:c>
      <x:c r="N62" s="24" t="str">
        <x:v>solenocera florea</x:v>
      </x:c>
      <x:c r="O62" s="32" t="n">
        <x:v>3.48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Solenocera florea</x:v>
      </x:c>
      <x:c r="T62" s="32" t="n">
        <x:f>IF(O62="","",(1/'Metadata'!$B$5)^(O62-1))</x:f>
        <x:v>301.9951720402016</x:v>
      </x:c>
      <x:c r="U62" s="31" t="n">
        <x:f>IF(T62="","",I62*T62)</x:f>
        <x:v>345206.9027191081</x:v>
      </x:c>
    </x:row>
    <x:row r="63" ht="18" customHeight="1">
      <x:c r="A63" s="24" t="str">
        <x:v>LME_004</x:v>
      </x:c>
      <x:c r="B63" s="24" t="str">
        <x:v>Gulf of California</x:v>
      </x:c>
      <x:c r="C63" s="24" t="str">
        <x:v>LME</x:v>
      </x:c>
      <x:c r="D63" s="30" t="n">
        <x:v>2019</x:v>
      </x:c>
      <x:c r="E63" s="24" t="str">
        <x:v>Epinephelus</x:v>
      </x:c>
      <x:c r="F63" s="24" t="str">
        <x:v>Seabasses, hinds</x:v>
      </x:c>
      <x:c r="G63" s="24" t="str">
        <x:v>Medium reef assoc. fish (30 - 89 cm)</x:v>
      </x:c>
      <x:c r="H63" s="24" t="str">
        <x:v>Perch-likes</x:v>
      </x:c>
      <x:c r="I63" s="31" t="n">
        <x:v>1094.8183905545</x:v>
      </x:c>
      <x:c r="J63" s="31" t="n">
        <x:v>1094.8183905545</x:v>
      </x:c>
      <x:c r="K63" s="31" t="n">
        <x:v>0</x:v>
      </x:c>
      <x:c r="L63" s="31" t="n">
        <x:v>399.3524975713</x:v>
      </x:c>
      <x:c r="M63" s="31" t="n">
        <x:v>695.4658929832</x:v>
      </x:c>
      <x:c r="N63" s="24" t="str">
        <x:v>epinephelus</x:v>
      </x:c>
      <x:c r="O63" s="32" t="n">
        <x:v>3.84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Epinephelus</x:v>
      </x:c>
      <x:c r="T63" s="32" t="n">
        <x:f>IF(O63="","",(1/'Metadata'!$B$5)^(O63-1))</x:f>
        <x:v>691.8309709189363</x:v>
      </x:c>
      <x:c r="U63" s="31" t="n">
        <x:f>IF(T63="","",I63*T63)</x:f>
        <x:v>757429.2701172269</x:v>
      </x:c>
    </x:row>
    <x:row r="64" ht="18" customHeight="1">
      <x:c r="A64" s="24" t="str">
        <x:v>LME_004</x:v>
      </x:c>
      <x:c r="B64" s="24" t="str">
        <x:v>Gulf of California</x:v>
      </x:c>
      <x:c r="C64" s="24" t="str">
        <x:v>LME</x:v>
      </x:c>
      <x:c r="D64" s="30" t="n">
        <x:v>2019</x:v>
      </x:c>
      <x:c r="E64" s="24" t="str">
        <x:v>Sciaenidae</x:v>
      </x:c>
      <x:c r="F64" s="24" t="str">
        <x:v>Drums, croakers</x:v>
      </x:c>
      <x:c r="G64" s="24" t="str">
        <x:v>Medium demersals (30 - 89 cm)</x:v>
      </x:c>
      <x:c r="H64" s="24" t="str">
        <x:v>Perch-likes</x:v>
      </x:c>
      <x:c r="I64" s="31" t="n">
        <x:v>945.9980527942</x:v>
      </x:c>
      <x:c r="J64" s="31" t="n">
        <x:v>945.9980527942</x:v>
      </x:c>
      <x:c r="K64" s="31" t="n">
        <x:v>0</x:v>
      </x:c>
      <x:c r="L64" s="31" t="n">
        <x:v>165.3109923641</x:v>
      </x:c>
      <x:c r="M64" s="31" t="n">
        <x:v>780.6870604301</x:v>
      </x:c>
      <x:c r="N64" s="24" t="str">
        <x:v>sciaenidae</x:v>
      </x:c>
      <x:c r="O64" s="32" t="n">
        <x:v>3.76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Sciaenidae</x:v>
      </x:c>
      <x:c r="T64" s="32" t="n">
        <x:f>IF(O64="","",(1/'Metadata'!$B$5)^(O64-1))</x:f>
        <x:v>575.4399373371566</x:v>
      </x:c>
      <x:c r="U64" s="31" t="n">
        <x:f>IF(T64="","",I64*T64)</x:f>
        <x:v>544365.0602209666</x:v>
      </x:c>
    </x:row>
    <x:row r="65" ht="18" customHeight="1">
      <x:c r="A65" s="24" t="str">
        <x:v>LME_004</x:v>
      </x:c>
      <x:c r="B65" s="24" t="str">
        <x:v>Gulf of California</x:v>
      </x:c>
      <x:c r="C65" s="24" t="str">
        <x:v>LME</x:v>
      </x:c>
      <x:c r="D65" s="30" t="n">
        <x:v>2019</x:v>
      </x:c>
      <x:c r="E65" s="24" t="str">
        <x:v>Bivalvia</x:v>
      </x:c>
      <x:c r="F65" s="24" t="str">
        <x:v>Clams</x:v>
      </x:c>
      <x:c r="G65" s="24" t="str">
        <x:v>Other demersal invertebrates</x:v>
      </x:c>
      <x:c r="H65" s="24" t="str">
        <x:v>Molluscs</x:v>
      </x:c>
      <x:c r="I65" s="31" t="n">
        <x:v>905.5398924786999</x:v>
      </x:c>
      <x:c r="J65" s="31" t="n">
        <x:v>905.5398924786999</x:v>
      </x:c>
      <x:c r="K65" s="31" t="n">
        <x:v>0</x:v>
      </x:c>
      <x:c r="L65" s="31" t="n">
        <x:v>550.4328456536999</x:v>
      </x:c>
      <x:c r="M65" s="31" t="n">
        <x:v>355.107046825</x:v>
      </x:c>
      <x:c r="N65" s="24" t="str">
        <x:v>bivalvia</x:v>
      </x:c>
      <x:c r="O65" s="32" t="n">
        <x:v>2.23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Bivalvia</x:v>
      </x:c>
      <x:c r="T65" s="32" t="n">
        <x:f>IF(O65="","",(1/'Metadata'!$B$5)^(O65-1))</x:f>
        <x:v>16.982436524617444</x:v>
      </x:c>
      <x:c r="U65" s="31" t="n">
        <x:f>IF(T65="","",I65*T65)</x:f>
        <x:v>15378.273744528427</x:v>
      </x:c>
    </x:row>
    <x:row r="66" ht="18" customHeight="1">
      <x:c r="A66" s="24" t="str">
        <x:v>LME_004</x:v>
      </x:c>
      <x:c r="B66" s="24" t="str">
        <x:v>Gulf of California</x:v>
      </x:c>
      <x:c r="C66" s="24" t="str">
        <x:v>LME</x:v>
      </x:c>
      <x:c r="D66" s="30" t="n">
        <x:v>2019</x:v>
      </x:c>
      <x:c r="E66" s="24" t="str">
        <x:v>Dasyatis</x:v>
      </x:c>
      <x:c r="F66" s="24" t="str">
        <x:v>Rough whip stingrays</x:v>
      </x:c>
      <x:c r="G66" s="24" t="str">
        <x:v>Large rays (&gt;=90 cm)</x:v>
      </x:c>
      <x:c r="H66" s="24" t="str">
        <x:v>Sharks &amp; rays</x:v>
      </x:c>
      <x:c r="I66" s="31" t="n">
        <x:v>859.1708159248</x:v>
      </x:c>
      <x:c r="J66" s="31" t="n">
        <x:v>859.1708159248</x:v>
      </x:c>
      <x:c r="K66" s="31" t="n">
        <x:v>0</x:v>
      </x:c>
      <x:c r="L66" s="31" t="n">
        <x:v>704.7678763941999</x:v>
      </x:c>
      <x:c r="M66" s="31" t="n">
        <x:v>154.4029395306</x:v>
      </x:c>
      <x:c r="N66" s="24" t="str">
        <x:v>dasyatis</x:v>
      </x:c>
      <x:c r="O66" s="32" t="n">
        <x:v>3.28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Dasyatis</x:v>
      </x:c>
      <x:c r="T66" s="32" t="n">
        <x:f>IF(O66="","",(1/'Metadata'!$B$5)^(O66-1))</x:f>
        <x:v>190.54607179632464</x:v>
      </x:c>
      <x:c r="U66" s="31" t="n">
        <x:f>IF(T66="","",I66*T66)</x:f>
        <x:v>163711.62397651374</x:v>
      </x:c>
    </x:row>
    <x:row r="67" ht="18" customHeight="1">
      <x:c r="A67" s="24" t="str">
        <x:v>LME_004</x:v>
      </x:c>
      <x:c r="B67" s="24" t="str">
        <x:v>Gulf of California</x:v>
      </x:c>
      <x:c r="C67" s="24" t="str">
        <x:v>LME</x:v>
      </x:c>
      <x:c r="D67" s="30" t="n">
        <x:v>2019</x:v>
      </x:c>
      <x:c r="E67" s="24" t="str">
        <x:v>Carcharhinus falciformis</x:v>
      </x:c>
      <x:c r="F67" s="24" t="str">
        <x:v>Silky shark</x:v>
      </x:c>
      <x:c r="G67" s="24" t="str">
        <x:v>Large sharks (&gt;=90 cm)</x:v>
      </x:c>
      <x:c r="H67" s="24" t="str">
        <x:v>Sharks &amp; rays</x:v>
      </x:c>
      <x:c r="I67" s="31" t="n">
        <x:v>825.4675023919</x:v>
      </x:c>
      <x:c r="J67" s="31" t="n">
        <x:v>825.4675023919</x:v>
      </x:c>
      <x:c r="K67" s="31" t="n">
        <x:v>0</x:v>
      </x:c>
      <x:c r="L67" s="31" t="n">
        <x:v>825.4675023919</x:v>
      </x:c>
      <x:c r="M67" s="31" t="n">
        <x:v>0</x:v>
      </x:c>
      <x:c r="N67" s="24" t="str">
        <x:v>carcharhinus falciformis</x:v>
      </x:c>
      <x:c r="O67" s="32" t="n">
        <x:v>4.51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Carcharhinus falciformis</x:v>
      </x:c>
      <x:c r="T67" s="32" t="n">
        <x:f>IF(O67="","",(1/'Metadata'!$B$5)^(O67-1))</x:f>
        <x:v>3235.936569296281</x:v>
      </x:c>
      <x:c r="U67" s="31" t="n">
        <x:f>IF(T67="","",I67*T67)</x:f>
        <x:v>2671160.4777556146</x:v>
      </x:c>
    </x:row>
    <x:row r="68" ht="18" customHeight="1">
      <x:c r="A68" s="24" t="str">
        <x:v>LME_004</x:v>
      </x:c>
      <x:c r="B68" s="24" t="str">
        <x:v>Gulf of California</x:v>
      </x:c>
      <x:c r="C68" s="24" t="str">
        <x:v>LME</x:v>
      </x:c>
      <x:c r="D68" s="30" t="n">
        <x:v>2019</x:v>
      </x:c>
      <x:c r="E68" s="24" t="str">
        <x:v>Malacanthidae</x:v>
      </x:c>
      <x:c r="F68" s="24" t="str">
        <x:v>Tilefishes</x:v>
      </x:c>
      <x:c r="G68" s="24" t="str">
        <x:v>Medium demersals (30 - 89 cm)</x:v>
      </x:c>
      <x:c r="H68" s="24" t="str">
        <x:v>Perch-likes</x:v>
      </x:c>
      <x:c r="I68" s="31" t="n">
        <x:v>805.7225563240002</x:v>
      </x:c>
      <x:c r="J68" s="31" t="n">
        <x:v>805.7225563240002</x:v>
      </x:c>
      <x:c r="K68" s="31" t="n">
        <x:v>0</x:v>
      </x:c>
      <x:c r="L68" s="31" t="n">
        <x:v>568.8148693188</x:v>
      </x:c>
      <x:c r="M68" s="31" t="n">
        <x:v>236.90768700520002</x:v>
      </x:c>
      <x:c r="N68" s="24" t="str">
        <x:v>malacanthidae</x:v>
      </x:c>
      <x:c r="O68" s="32" t="n">
        <x:v>3.62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Malacanthidae</x:v>
      </x:c>
      <x:c r="T68" s="32" t="n">
        <x:f>IF(O68="","",(1/'Metadata'!$B$5)^(O68-1))</x:f>
        <x:v>416.8693834703355</x:v>
      </x:c>
      <x:c r="U68" s="31" t="n">
        <x:f>IF(T68="","",I68*T68)</x:f>
        <x:v>335881.0653029286</x:v>
      </x:c>
    </x:row>
    <x:row r="69" ht="18" customHeight="1">
      <x:c r="A69" s="24" t="str">
        <x:v>LME_004</x:v>
      </x:c>
      <x:c r="B69" s="24" t="str">
        <x:v>Gulf of California</x:v>
      </x:c>
      <x:c r="C69" s="24" t="str">
        <x:v>LME</x:v>
      </x:c>
      <x:c r="D69" s="30" t="n">
        <x:v>2019</x:v>
      </x:c>
      <x:c r="E69" s="24" t="str">
        <x:v>Mycteroperca</x:v>
      </x:c>
      <x:c r="F69" s="24" t="str">
        <x:v>Scamps, gags</x:v>
      </x:c>
      <x:c r="G69" s="24" t="str">
        <x:v>Medium reef assoc. fish (30 - 89 cm)</x:v>
      </x:c>
      <x:c r="H69" s="24" t="str">
        <x:v>Perch-likes</x:v>
      </x:c>
      <x:c r="I69" s="31" t="n">
        <x:v>798.1138311309</x:v>
      </x:c>
      <x:c r="J69" s="31" t="n">
        <x:v>798.1138311309</x:v>
      </x:c>
      <x:c r="K69" s="31" t="n">
        <x:v>0</x:v>
      </x:c>
      <x:c r="L69" s="31" t="n">
        <x:v>401.4746262963</x:v>
      </x:c>
      <x:c r="M69" s="31" t="n">
        <x:v>396.63920483460004</x:v>
      </x:c>
      <x:c r="N69" s="24" t="str">
        <x:v>mycteroperca</x:v>
      </x:c>
      <x:c r="O69" s="32" t="n">
        <x:v>4.35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Mycteroperca</x:v>
      </x:c>
      <x:c r="T69" s="32" t="n">
        <x:f>IF(O69="","",(1/'Metadata'!$B$5)^(O69-1))</x:f>
        <x:v>2238.7211385683377</x:v>
      </x:c>
      <x:c r="U69" s="31" t="n">
        <x:f>IF(T69="","",I69*T69)</x:f>
        <x:v>1786754.3047365067</x:v>
      </x:c>
    </x:row>
    <x:row r="70" ht="18" customHeight="1">
      <x:c r="A70" s="24" t="str">
        <x:v>LME_004</x:v>
      </x:c>
      <x:c r="B70" s="24" t="str">
        <x:v>Gulf of California</x:v>
      </x:c>
      <x:c r="C70" s="24" t="str">
        <x:v>LME</x:v>
      </x:c>
      <x:c r="D70" s="30" t="n">
        <x:v>2019</x:v>
      </x:c>
      <x:c r="E70" s="24" t="str">
        <x:v>Kajikia audax</x:v>
      </x:c>
      <x:c r="F70" s="24" t="str">
        <x:v>Striped marlin</x:v>
      </x:c>
      <x:c r="G70" s="24" t="str">
        <x:v>Large pelagics (&gt;=90 cm)</x:v>
      </x:c>
      <x:c r="H70" s="24" t="str">
        <x:v>Tuna &amp; billfishes</x:v>
      </x:c>
      <x:c r="I70" s="31" t="n">
        <x:v>712.0108380214</x:v>
      </x:c>
      <x:c r="J70" s="31" t="n">
        <x:v>446.8696152151</x:v>
      </x:c>
      <x:c r="K70" s="31" t="n">
        <x:v>265.1412228063</x:v>
      </x:c>
      <x:c r="L70" s="31" t="n">
        <x:v>2.4130277223</x:v>
      </x:c>
      <x:c r="M70" s="31" t="n">
        <x:v>709.5978102991</x:v>
      </x:c>
      <x:c r="N70" s="24" t="str">
        <x:v>kajikia audax</x:v>
      </x:c>
      <x:c r="O70" s="32" t="n">
        <x:v>4.58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Kajikia audax</x:v>
      </x:c>
      <x:c r="T70" s="32" t="n">
        <x:f>IF(O70="","",(1/'Metadata'!$B$5)^(O70-1))</x:f>
        <x:v>3801.8939632056126</x:v>
      </x:c>
      <x:c r="U70" s="31" t="n">
        <x:f>IF(T70="","",I70*T70)</x:f>
        <x:v>2706989.70681053</x:v>
      </x:c>
    </x:row>
    <x:row r="71" ht="18" customHeight="1">
      <x:c r="A71" s="24" t="str">
        <x:v>LME_004</x:v>
      </x:c>
      <x:c r="B71" s="24" t="str">
        <x:v>Gulf of California</x:v>
      </x:c>
      <x:c r="C71" s="24" t="str">
        <x:v>LME</x:v>
      </x:c>
      <x:c r="D71" s="30" t="n">
        <x:v>2019</x:v>
      </x:c>
      <x:c r="E71" s="24" t="str">
        <x:v>Decapoda</x:v>
      </x:c>
      <x:c r="F71" s="24" t="str">
        <x:v>Crabs, lobsters, shrimps</x:v>
      </x:c>
      <x:c r="G71" s="24" t="str">
        <x:v>Lobsters, crabs</x:v>
      </x:c>
      <x:c r="H71" s="24" t="str">
        <x:v>Crustaceans</x:v>
      </x:c>
      <x:c r="I71" s="31" t="n">
        <x:v>711.9814547712</x:v>
      </x:c>
      <x:c r="J71" s="31" t="n">
        <x:v>0</x:v>
      </x:c>
      <x:c r="K71" s="31" t="n">
        <x:v>711.9814547712</x:v>
      </x:c>
      <x:c r="L71" s="31" t="n">
        <x:v>0</x:v>
      </x:c>
      <x:c r="M71" s="31" t="n">
        <x:v>711.9814547712</x:v>
      </x:c>
      <x:c r="N71" s="24" t="str">
        <x:v>decapoda</x:v>
      </x:c>
      <x:c r="O71" s="32" t="n">
        <x:v>3.43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Decapoda</x:v>
      </x:c>
      <x:c r="T71" s="32" t="n">
        <x:f>IF(O71="","",(1/'Metadata'!$B$5)^(O71-1))</x:f>
        <x:v>269.1534803926917</x:v>
      </x:c>
      <x:c r="U71" s="31" t="n">
        <x:f>IF(T71="","",I71*T71)</x:f>
        <x:v>191632.28652672027</x:v>
      </x:c>
    </x:row>
    <x:row r="72" ht="18" customHeight="1">
      <x:c r="A72" s="24" t="str">
        <x:v>LME_004</x:v>
      </x:c>
      <x:c r="B72" s="24" t="str">
        <x:v>Gulf of California</x:v>
      </x:c>
      <x:c r="C72" s="24" t="str">
        <x:v>LME</x:v>
      </x:c>
      <x:c r="D72" s="30" t="n">
        <x:v>2019</x:v>
      </x:c>
      <x:c r="E72" s="24" t="str">
        <x:v>Rhinoptera steindachneri</x:v>
      </x:c>
      <x:c r="F72" s="24" t="str">
        <x:v>Pacific cownose ray</x:v>
      </x:c>
      <x:c r="G72" s="24" t="str">
        <x:v>Large rays (&gt;=90 cm)</x:v>
      </x:c>
      <x:c r="H72" s="24" t="str">
        <x:v>Sharks &amp; rays</x:v>
      </x:c>
      <x:c r="I72" s="31" t="n">
        <x:v>690.5296995009</x:v>
      </x:c>
      <x:c r="J72" s="31" t="n">
        <x:v>690.5296995009</x:v>
      </x:c>
      <x:c r="K72" s="31" t="n">
        <x:v>0</x:v>
      </x:c>
      <x:c r="L72" s="31" t="n">
        <x:v>566.4335204177</x:v>
      </x:c>
      <x:c r="M72" s="31" t="n">
        <x:v>124.0961790832</x:v>
      </x:c>
      <x:c r="N72" s="24" t="str">
        <x:v>rhinoptera steindachneri</x:v>
      </x:c>
      <x:c r="O72" s="32" t="n">
        <x:v>3.55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Rhinoptera steindachneri</x:v>
      </x:c>
      <x:c r="T72" s="32" t="n">
        <x:f>IF(O72="","",(1/'Metadata'!$B$5)^(O72-1))</x:f>
        <x:v>354.8133892335753</x:v>
      </x:c>
      <x:c r="U72" s="31" t="n">
        <x:f>IF(T72="","",I72*T72)</x:f>
        <x:v>245009.18304635666</x:v>
      </x:c>
    </x:row>
    <x:row r="73" ht="18" customHeight="1">
      <x:c r="A73" s="24" t="str">
        <x:v>LME_004</x:v>
      </x:c>
      <x:c r="B73" s="24" t="str">
        <x:v>Gulf of California</x:v>
      </x:c>
      <x:c r="C73" s="24" t="str">
        <x:v>LME</x:v>
      </x:c>
      <x:c r="D73" s="30" t="n">
        <x:v>2019</x:v>
      </x:c>
      <x:c r="E73" s="24" t="str">
        <x:v>Mugilidae</x:v>
      </x:c>
      <x:c r="F73" s="24" t="str">
        <x:v>Mullets, grey mullets</x:v>
      </x:c>
      <x:c r="G73" s="24" t="str">
        <x:v>Medium reef assoc. fish (30 - 89 cm)</x:v>
      </x:c>
      <x:c r="H73" s="24" t="str">
        <x:v>Perch-likes</x:v>
      </x:c>
      <x:c r="I73" s="31" t="n">
        <x:v>612.8619800834</x:v>
      </x:c>
      <x:c r="J73" s="31" t="n">
        <x:v>612.8619800834</x:v>
      </x:c>
      <x:c r="K73" s="31" t="n">
        <x:v>0</x:v>
      </x:c>
      <x:c r="L73" s="31" t="n">
        <x:v>392.37189236679995</x:v>
      </x:c>
      <x:c r="M73" s="31" t="n">
        <x:v>220.49008771660002</x:v>
      </x:c>
      <x:c r="N73" s="24" t="str">
        <x:v>mugilidae</x:v>
      </x:c>
      <x:c r="O73" s="32" t="n">
        <x:v>2.53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Mugilidae</x:v>
      </x:c>
      <x:c r="T73" s="32" t="n">
        <x:f>IF(O73="","",(1/'Metadata'!$B$5)^(O73-1))</x:f>
        <x:v>33.88441561392024</x:v>
      </x:c>
      <x:c r="U73" s="31" t="n">
        <x:f>IF(T73="","",I73*T73)</x:f>
        <x:v>20766.470047116032</x:v>
      </x:c>
    </x:row>
    <x:row r="74" ht="18" customHeight="1">
      <x:c r="A74" s="24" t="str">
        <x:v>LME_004</x:v>
      </x:c>
      <x:c r="B74" s="24" t="str">
        <x:v>Gulf of California</x:v>
      </x:c>
      <x:c r="C74" s="24" t="str">
        <x:v>LME</x:v>
      </x:c>
      <x:c r="D74" s="30" t="n">
        <x:v>2019</x:v>
      </x:c>
      <x:c r="E74" s="24" t="str">
        <x:v>Synodus scituliceps</x:v>
      </x:c>
      <x:c r="F74" s="24" t="str">
        <x:v>Shorthead lizardfish</x:v>
      </x:c>
      <x:c r="G74" s="24" t="str">
        <x:v>Medium demersals (30 - 89 cm)</x:v>
      </x:c>
      <x:c r="H74" s="24" t="str">
        <x:v>Other fishes &amp; inverts</x:v>
      </x:c>
      <x:c r="I74" s="31" t="n">
        <x:v>592.2102893492</x:v>
      </x:c>
      <x:c r="J74" s="31" t="n">
        <x:v>113.39153171490001</x:v>
      </x:c>
      <x:c r="K74" s="31" t="n">
        <x:v>478.8187576343</x:v>
      </x:c>
      <x:c r="L74" s="31" t="n">
        <x:v>0</x:v>
      </x:c>
      <x:c r="M74" s="31" t="n">
        <x:v>592.2102893492</x:v>
      </x:c>
      <x:c r="N74" s="24" t="str">
        <x:v>synodus scituliceps</x:v>
      </x:c>
      <x:c r="O74" s="32" t="n">
        <x:v>4.2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Synodus scituliceps</x:v>
      </x:c>
      <x:c r="T74" s="32" t="n">
        <x:f>IF(O74="","",(1/'Metadata'!$B$5)^(O74-1))</x:f>
        <x:v>1584.893192461114</x:v>
      </x:c>
      <x:c r="U74" s="31" t="n">
        <x:f>IF(T74="","",I74*T74)</x:f>
        <x:v>938590.0560949737</x:v>
      </x:c>
    </x:row>
    <x:row r="75" ht="18" customHeight="1">
      <x:c r="A75" s="24" t="str">
        <x:v>LME_004</x:v>
      </x:c>
      <x:c r="B75" s="24" t="str">
        <x:v>Gulf of California</x:v>
      </x:c>
      <x:c r="C75" s="24" t="str">
        <x:v>LME</x:v>
      </x:c>
      <x:c r="D75" s="30" t="n">
        <x:v>2019</x:v>
      </x:c>
      <x:c r="E75" s="24" t="str">
        <x:v>Anadara tuberculosa</x:v>
      </x:c>
      <x:c r="F75" s="24" t="str">
        <x:v>Pustulose ark</x:v>
      </x:c>
      <x:c r="G75" s="24" t="str">
        <x:v>Other demersal invertebrates</x:v>
      </x:c>
      <x:c r="H75" s="24" t="str">
        <x:v>Molluscs</x:v>
      </x:c>
      <x:c r="I75" s="31" t="n">
        <x:v>586.9723111951</x:v>
      </x:c>
      <x:c r="J75" s="31" t="n">
        <x:v>586.9723111951</x:v>
      </x:c>
      <x:c r="K75" s="31" t="n">
        <x:v>0</x:v>
      </x:c>
      <x:c r="L75" s="31" t="n">
        <x:v>487.7419435769</x:v>
      </x:c>
      <x:c r="M75" s="31" t="n">
        <x:v>99.2303676182</x:v>
      </x:c>
      <x:c r="N75" s="24" t="str">
        <x:v>anadara tuberculosa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Anadara tuberculosa</x:v>
      </x:c>
      <x:c r="T75" s="32" t="n">
        <x:f>IF(O75="","",(1/'Metadata'!$B$5)^(O75-1))</x:f>
        <x:v>10</x:v>
      </x:c>
      <x:c r="U75" s="31" t="n">
        <x:f>IF(T75="","",I75*T75)</x:f>
        <x:v>5869.723111951</x:v>
      </x:c>
    </x:row>
    <x:row r="76" ht="18" customHeight="1">
      <x:c r="A76" s="24" t="str">
        <x:v>LME_004</x:v>
      </x:c>
      <x:c r="B76" s="24" t="str">
        <x:v>Gulf of California</x:v>
      </x:c>
      <x:c r="C76" s="24" t="str">
        <x:v>LME</x:v>
      </x:c>
      <x:c r="D76" s="30" t="n">
        <x:v>2019</x:v>
      </x:c>
      <x:c r="E76" s="24" t="str">
        <x:v>Gerreidae</x:v>
      </x:c>
      <x:c r="F76" s="24" t="str">
        <x:v>Mojarras, silverbellies</x:v>
      </x:c>
      <x:c r="G76" s="24" t="str">
        <x:v>Small benthopelagics (&lt;30 cm)</x:v>
      </x:c>
      <x:c r="H76" s="24" t="str">
        <x:v>Perch-likes</x:v>
      </x:c>
      <x:c r="I76" s="31" t="n">
        <x:v>556.6428016983</x:v>
      </x:c>
      <x:c r="J76" s="31" t="n">
        <x:v>556.6428016983</x:v>
      </x:c>
      <x:c r="K76" s="31" t="n">
        <x:v>0</x:v>
      </x:c>
      <x:c r="L76" s="31" t="n">
        <x:v>384.4741723779</x:v>
      </x:c>
      <x:c r="M76" s="31" t="n">
        <x:v>172.16862932040002</x:v>
      </x:c>
      <x:c r="N76" s="24" t="str">
        <x:v>gerreidae</x:v>
      </x:c>
      <x:c r="O76" s="32" t="n">
        <x:v>3.03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Gerreidae</x:v>
      </x:c>
      <x:c r="T76" s="32" t="n">
        <x:f>IF(O76="","",(1/'Metadata'!$B$5)^(O76-1))</x:f>
        <x:v>107.1519305237606</x:v>
      </x:c>
      <x:c r="U76" s="31" t="n">
        <x:f>IF(T76="","",I76*T76)</x:f>
        <x:v>59645.35081412769</x:v>
      </x:c>
    </x:row>
    <x:row r="77" ht="18" customHeight="1">
      <x:c r="A77" s="24" t="str">
        <x:v>LME_004</x:v>
      </x:c>
      <x:c r="B77" s="24" t="str">
        <x:v>Gulf of California</x:v>
      </x:c>
      <x:c r="C77" s="24" t="str">
        <x:v>LME</x:v>
      </x:c>
      <x:c r="D77" s="30" t="n">
        <x:v>2019</x:v>
      </x:c>
      <x:c r="E77" s="24" t="str">
        <x:v>Lutjanus guttatus</x:v>
      </x:c>
      <x:c r="F77" s="24" t="str">
        <x:v>Spotted rose snapper</x:v>
      </x:c>
      <x:c r="G77" s="24" t="str">
        <x:v>Medium reef assoc. fish (30 - 89 cm)</x:v>
      </x:c>
      <x:c r="H77" s="24" t="str">
        <x:v>Perch-likes</x:v>
      </x:c>
      <x:c r="I77" s="31" t="n">
        <x:v>491.77239971190005</x:v>
      </x:c>
      <x:c r="J77" s="31" t="n">
        <x:v>491.77239971190005</x:v>
      </x:c>
      <x:c r="K77" s="31" t="n">
        <x:v>0</x:v>
      </x:c>
      <x:c r="L77" s="31" t="n">
        <x:v>325.06913451220004</x:v>
      </x:c>
      <x:c r="M77" s="31" t="n">
        <x:v>166.7032651997</x:v>
      </x:c>
      <x:c r="N77" s="24" t="str">
        <x:v>lutjanus guttatus</x:v>
      </x:c>
      <x:c r="O77" s="32" t="n">
        <x:v>4.04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Lutjanus guttatus</x:v>
      </x:c>
      <x:c r="T77" s="32" t="n">
        <x:f>IF(O77="","",(1/'Metadata'!$B$5)^(O77-1))</x:f>
        <x:v>1096.4781961431852</x:v>
      </x:c>
      <x:c r="U77" s="31" t="n">
        <x:f>IF(T77="","",I77*T77)</x:f>
        <x:v>539217.7137491097</x:v>
      </x:c>
    </x:row>
    <x:row r="78" ht="18" customHeight="1">
      <x:c r="A78" s="24" t="str">
        <x:v>LME_004</x:v>
      </x:c>
      <x:c r="B78" s="24" t="str">
        <x:v>Gulf of California</x:v>
      </x:c>
      <x:c r="C78" s="24" t="str">
        <x:v>LME</x:v>
      </x:c>
      <x:c r="D78" s="30" t="n">
        <x:v>2019</x:v>
      </x:c>
      <x:c r="E78" s="24" t="str">
        <x:v>Caulolatilus princeps</x:v>
      </x:c>
      <x:c r="F78" s="24" t="str">
        <x:v>Ocean whitefish</x:v>
      </x:c>
      <x:c r="G78" s="24" t="str">
        <x:v>Medium reef assoc. fish (30 - 89 cm)</x:v>
      </x:c>
      <x:c r="H78" s="24" t="str">
        <x:v>Perch-likes</x:v>
      </x:c>
      <x:c r="I78" s="31" t="n">
        <x:v>431.253980724</x:v>
      </x:c>
      <x:c r="J78" s="31" t="n">
        <x:v>431.253980724</x:v>
      </x:c>
      <x:c r="K78" s="31" t="n">
        <x:v>0</x:v>
      </x:c>
      <x:c r="L78" s="31" t="n">
        <x:v>276.9236166032</x:v>
      </x:c>
      <x:c r="M78" s="31" t="n">
        <x:v>154.3303641208</x:v>
      </x:c>
      <x:c r="N78" s="24" t="str">
        <x:v>caulolatilus princeps</x:v>
      </x:c>
      <x:c r="O78" s="32" t="n">
        <x:v>3.7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Caulolatilus princeps</x:v>
      </x:c>
      <x:c r="T78" s="32" t="n">
        <x:f>IF(O78="","",(1/'Metadata'!$B$5)^(O78-1))</x:f>
        <x:v>501.18723362727246</x:v>
      </x:c>
      <x:c r="U78" s="31" t="n">
        <x:f>IF(T78="","",I78*T78)</x:f>
        <x:v>216138.98958981063</x:v>
      </x:c>
    </x:row>
    <x:row r="79" ht="18" customHeight="1">
      <x:c r="A79" s="24" t="str">
        <x:v>LME_004</x:v>
      </x:c>
      <x:c r="B79" s="24" t="str">
        <x:v>Gulf of California</x:v>
      </x:c>
      <x:c r="C79" s="24" t="str">
        <x:v>LME</x:v>
      </x:c>
      <x:c r="D79" s="30" t="n">
        <x:v>2019</x:v>
      </x:c>
      <x:c r="E79" s="24" t="str">
        <x:v>Balistes</x:v>
      </x:c>
      <x:c r="F79" s="24" t="str">
        <x:v>Triggerfish</x:v>
      </x:c>
      <x:c r="G79" s="24" t="str">
        <x:v>Medium reef assoc. fish (30 - 89 cm)</x:v>
      </x:c>
      <x:c r="H79" s="24" t="str">
        <x:v>Other fishes &amp; inverts</x:v>
      </x:c>
      <x:c r="I79" s="31" t="n">
        <x:v>410.8075904019</x:v>
      </x:c>
      <x:c r="J79" s="31" t="n">
        <x:v>410.8075904019</x:v>
      </x:c>
      <x:c r="K79" s="31" t="n">
        <x:v>0</x:v>
      </x:c>
      <x:c r="L79" s="31" t="n">
        <x:v>0</x:v>
      </x:c>
      <x:c r="M79" s="31" t="n">
        <x:v>410.8075904019</x:v>
      </x:c>
      <x:c r="N79" s="24" t="str">
        <x:v>balistes</x:v>
      </x:c>
      <x:c r="O79" s="32" t="n">
        <x:v>3.94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Balistes</x:v>
      </x:c>
      <x:c r="T79" s="32" t="n">
        <x:f>IF(O79="","",(1/'Metadata'!$B$5)^(O79-1))</x:f>
        <x:v>870.9635899560806</x:v>
      </x:c>
      <x:c r="U79" s="31" t="n">
        <x:f>IF(T79="","",I79*T79)</x:f>
        <x:v>357798.4537176459</x:v>
      </x:c>
    </x:row>
    <x:row r="80" ht="18" customHeight="1">
      <x:c r="A80" s="24" t="str">
        <x:v>LME_004</x:v>
      </x:c>
      <x:c r="B80" s="24" t="str">
        <x:v>Gulf of California</x:v>
      </x:c>
      <x:c r="C80" s="24" t="str">
        <x:v>LME</x:v>
      </x:c>
      <x:c r="D80" s="30" t="n">
        <x:v>2019</x:v>
      </x:c>
      <x:c r="E80" s="24" t="str">
        <x:v>Megastraea undosa</x:v>
      </x:c>
      <x:c r="F80" s="24" t="str">
        <x:v>Wavy turban</x:v>
      </x:c>
      <x:c r="G80" s="24" t="str">
        <x:v>Other demersal invertebrates</x:v>
      </x:c>
      <x:c r="H80" s="24" t="str">
        <x:v>Molluscs</x:v>
      </x:c>
      <x:c r="I80" s="31" t="n">
        <x:v>340.6546561724</x:v>
      </x:c>
      <x:c r="J80" s="31" t="n">
        <x:v>340.6546561724</x:v>
      </x:c>
      <x:c r="K80" s="31" t="n">
        <x:v>0</x:v>
      </x:c>
      <x:c r="L80" s="31" t="n">
        <x:v>253.4690404705</x:v>
      </x:c>
      <x:c r="M80" s="31" t="n">
        <x:v>87.18561570189999</x:v>
      </x:c>
      <x:c r="N80" s="24" t="str">
        <x:v>megastraea undosa</x:v>
      </x:c>
      <x:c r="O80" s="32" t="n">
        <x:v>2.37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Megastraea undosa</x:v>
      </x:c>
      <x:c r="T80" s="32" t="n">
        <x:f>IF(O80="","",(1/'Metadata'!$B$5)^(O80-1))</x:f>
        <x:v>23.442288153199225</x:v>
      </x:c>
      <x:c r="U80" s="31" t="n">
        <x:f>IF(T80="","",I80*T80)</x:f>
        <x:v>7985.724610722408</x:v>
      </x:c>
    </x:row>
    <x:row r="81" ht="18" customHeight="1">
      <x:c r="A81" s="24" t="str">
        <x:v>LME_004</x:v>
      </x:c>
      <x:c r="B81" s="24" t="str">
        <x:v>Gulf of California</x:v>
      </x:c>
      <x:c r="C81" s="24" t="str">
        <x:v>LME</x:v>
      </x:c>
      <x:c r="D81" s="30" t="n">
        <x:v>2019</x:v>
      </x:c>
      <x:c r="E81" s="24" t="str">
        <x:v>Hoplopagrus guentherii</x:v>
      </x:c>
      <x:c r="F81" s="24" t="str">
        <x:v>Mexican barred snapper</x:v>
      </x:c>
      <x:c r="G81" s="24" t="str">
        <x:v>Medium reef assoc. fish (30 - 89 cm)</x:v>
      </x:c>
      <x:c r="H81" s="24" t="str">
        <x:v>Perch-likes</x:v>
      </x:c>
      <x:c r="I81" s="31" t="n">
        <x:v>287.1456330609</x:v>
      </x:c>
      <x:c r="J81" s="31" t="n">
        <x:v>287.1456330609</x:v>
      </x:c>
      <x:c r="K81" s="31" t="n">
        <x:v>0</x:v>
      </x:c>
      <x:c r="L81" s="31" t="n">
        <x:v>193.2254189581</x:v>
      </x:c>
      <x:c r="M81" s="31" t="n">
        <x:v>93.9202141028</x:v>
      </x:c>
      <x:c r="N81" s="24" t="str">
        <x:v>hoplopagrus guentherii</x:v>
      </x:c>
      <x:c r="O81" s="32" t="n">
        <x:v>3.8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Hoplopagrus guentherii</x:v>
      </x:c>
      <x:c r="T81" s="32" t="n">
        <x:f>IF(O81="","",(1/'Metadata'!$B$5)^(O81-1))</x:f>
        <x:v>630.957344480193</x:v>
      </x:c>
      <x:c r="U81" s="31" t="n">
        <x:f>IF(T81="","",I81*T81)</x:f>
        <x:v>181176.6461151894</x:v>
      </x:c>
    </x:row>
    <x:row r="82" ht="18" customHeight="1">
      <x:c r="A82" s="24" t="str">
        <x:v>LME_004</x:v>
      </x:c>
      <x:c r="B82" s="24" t="str">
        <x:v>Gulf of California</x:v>
      </x:c>
      <x:c r="C82" s="24" t="str">
        <x:v>LME</x:v>
      </x:c>
      <x:c r="D82" s="30" t="n">
        <x:v>2019</x:v>
      </x:c>
      <x:c r="E82" s="24" t="str">
        <x:v>Istiophoridae</x:v>
      </x:c>
      <x:c r="F82" s="24" t="str">
        <x:v>Billfishes</x:v>
      </x:c>
      <x:c r="G82" s="24" t="str">
        <x:v>Large pelagics (&gt;=90 cm)</x:v>
      </x:c>
      <x:c r="H82" s="24" t="str">
        <x:v>Tuna &amp; billfishes</x:v>
      </x:c>
      <x:c r="I82" s="31" t="n">
        <x:v>245.1467263886</x:v>
      </x:c>
      <x:c r="J82" s="31" t="n">
        <x:v>236.0887557816</x:v>
      </x:c>
      <x:c r="K82" s="31" t="n">
        <x:v>9.057970607</x:v>
      </x:c>
      <x:c r="L82" s="31" t="n">
        <x:v>236.0887557816</x:v>
      </x:c>
      <x:c r="M82" s="31" t="n">
        <x:v>9.057970607</x:v>
      </x:c>
      <x:c r="N82" s="24" t="str">
        <x:v>istiophoridae</x:v>
      </x:c>
      <x:c r="O82" s="32" t="n">
        <x:v>4.48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Istiophoridae</x:v>
      </x:c>
      <x:c r="T82" s="32" t="n">
        <x:f>IF(O82="","",(1/'Metadata'!$B$5)^(O82-1))</x:f>
        <x:v>3019.951720402019</x:v>
      </x:c>
      <x:c r="U82" s="31" t="n">
        <x:f>IF(T82="","",I82*T82)</x:f>
        <x:v>740331.2781081756</x:v>
      </x:c>
    </x:row>
    <x:row r="83" ht="18" customHeight="1">
      <x:c r="A83" s="24" t="str">
        <x:v>LME_004</x:v>
      </x:c>
      <x:c r="B83" s="24" t="str">
        <x:v>Gulf of California</x:v>
      </x:c>
      <x:c r="C83" s="24" t="str">
        <x:v>LME</x:v>
      </x:c>
      <x:c r="D83" s="30" t="n">
        <x:v>2019</x:v>
      </x:c>
      <x:c r="E83" s="24" t="str">
        <x:v>Prionace glauca</x:v>
      </x:c>
      <x:c r="F83" s="24" t="str">
        <x:v>Blue shark</x:v>
      </x:c>
      <x:c r="G83" s="24" t="str">
        <x:v>Large sharks (&gt;=90 cm)</x:v>
      </x:c>
      <x:c r="H83" s="24" t="str">
        <x:v>Sharks &amp; rays</x:v>
      </x:c>
      <x:c r="I83" s="31" t="n">
        <x:v>236.6751718749</x:v>
      </x:c>
      <x:c r="J83" s="31" t="n">
        <x:v>236.6751718749</x:v>
      </x:c>
      <x:c r="K83" s="31" t="n">
        <x:v>0</x:v>
      </x:c>
      <x:c r="L83" s="31" t="n">
        <x:v>146.2958396901</x:v>
      </x:c>
      <x:c r="M83" s="31" t="n">
        <x:v>90.3793321848</x:v>
      </x:c>
      <x:c r="N83" s="24" t="str">
        <x:v>prionace glauca</x:v>
      </x:c>
      <x:c r="O83" s="32" t="n">
        <x:v>4.35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Prionace glauca</x:v>
      </x:c>
      <x:c r="T83" s="32" t="n">
        <x:f>IF(O83="","",(1/'Metadata'!$B$5)^(O83-1))</x:f>
        <x:v>2238.7211385683377</x:v>
      </x:c>
      <x:c r="U83" s="31" t="n">
        <x:f>IF(T83="","",I83*T83)</x:f>
        <x:v>529849.7102506332</x:v>
      </x:c>
    </x:row>
    <x:row r="84" ht="18" customHeight="1">
      <x:c r="A84" s="24" t="str">
        <x:v>LME_004</x:v>
      </x:c>
      <x:c r="B84" s="24" t="str">
        <x:v>Gulf of California</x:v>
      </x:c>
      <x:c r="C84" s="24" t="str">
        <x:v>LME</x:v>
      </x:c>
      <x:c r="D84" s="30" t="n">
        <x:v>2019</x:v>
      </x:c>
      <x:c r="E84" s="24" t="str">
        <x:v>Selar crumenophthalmus</x:v>
      </x:c>
      <x:c r="F84" s="24" t="str">
        <x:v>Bigeye scad</x:v>
      </x:c>
      <x:c r="G84" s="24" t="str">
        <x:v>Medium pelagics (30 - 89 cm)</x:v>
      </x:c>
      <x:c r="H84" s="24" t="str">
        <x:v>Perch-likes</x:v>
      </x:c>
      <x:c r="I84" s="31" t="n">
        <x:v>236.665206197</x:v>
      </x:c>
      <x:c r="J84" s="31" t="n">
        <x:v>236.665206197</x:v>
      </x:c>
      <x:c r="K84" s="31" t="n">
        <x:v>0</x:v>
      </x:c>
      <x:c r="L84" s="31" t="n">
        <x:v>236.665206197</x:v>
      </x:c>
      <x:c r="M84" s="31" t="n">
        <x:v>0</x:v>
      </x:c>
      <x:c r="N84" s="24" t="str">
        <x:v>selar crumenophthalmus</x:v>
      </x:c>
      <x:c r="O84" s="32" t="n">
        <x:v>3.81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Selar crumenophthalmus</x:v>
      </x:c>
      <x:c r="T84" s="32" t="n">
        <x:f>IF(O84="","",(1/'Metadata'!$B$5)^(O84-1))</x:f>
        <x:v>645.6542290346556</x:v>
      </x:c>
      <x:c r="U84" s="31" t="n">
        <x:f>IF(T84="","",I84*T84)</x:f>
        <x:v>152803.89124645182</x:v>
      </x:c>
    </x:row>
    <x:row r="85" ht="18" customHeight="1">
      <x:c r="A85" s="24" t="str">
        <x:v>LME_004</x:v>
      </x:c>
      <x:c r="B85" s="24" t="str">
        <x:v>Gulf of California</x:v>
      </x:c>
      <x:c r="C85" s="24" t="str">
        <x:v>LME</x:v>
      </x:c>
      <x:c r="D85" s="30" t="n">
        <x:v>2019</x:v>
      </x:c>
      <x:c r="E85" s="24" t="str">
        <x:v>Epinephelus itajara</x:v>
      </x:c>
      <x:c r="F85" s="24" t="str">
        <x:v>Atlantic goliath grouper</x:v>
      </x:c>
      <x:c r="G85" s="24" t="str">
        <x:v>Large reef assoc. fish (&gt;=90 cm)</x:v>
      </x:c>
      <x:c r="H85" s="24" t="str">
        <x:v>Perch-likes</x:v>
      </x:c>
      <x:c r="I85" s="31" t="n">
        <x:v>229.9841456552</x:v>
      </x:c>
      <x:c r="J85" s="31" t="n">
        <x:v>229.9841456552</x:v>
      </x:c>
      <x:c r="K85" s="31" t="n">
        <x:v>0</x:v>
      </x:c>
      <x:c r="L85" s="31" t="n">
        <x:v>115.6887593342</x:v>
      </x:c>
      <x:c r="M85" s="31" t="n">
        <x:v>114.295386321</x:v>
      </x:c>
      <x:c r="N85" s="24" t="str">
        <x:v>epinephelus itajara</x:v>
      </x:c>
      <x:c r="O85" s="32" t="n">
        <x:v>4.09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Epinephelus itajara</x:v>
      </x:c>
      <x:c r="T85" s="32" t="n">
        <x:f>IF(O85="","",(1/'Metadata'!$B$5)^(O85-1))</x:f>
        <x:v>1230.268770812381</x:v>
      </x:c>
      <x:c r="U85" s="31" t="n">
        <x:f>IF(T85="","",I85*T85)</x:f>
        <x:v>282942.3121815585</x:v>
      </x:c>
    </x:row>
    <x:row r="86" ht="18" customHeight="1">
      <x:c r="A86" s="24" t="str">
        <x:v>LME_004</x:v>
      </x:c>
      <x:c r="B86" s="24" t="str">
        <x:v>Gulf of California</x:v>
      </x:c>
      <x:c r="C86" s="24" t="str">
        <x:v>LME</x:v>
      </x:c>
      <x:c r="D86" s="30" t="n">
        <x:v>2019</x:v>
      </x:c>
      <x:c r="E86" s="24" t="str">
        <x:v>Lutjanus argentiventris</x:v>
      </x:c>
      <x:c r="F86" s="24" t="str">
        <x:v>Yellow snapper</x:v>
      </x:c>
      <x:c r="G86" s="24" t="str">
        <x:v>Medium reef assoc. fish (30 - 89 cm)</x:v>
      </x:c>
      <x:c r="H86" s="24" t="str">
        <x:v>Perch-likes</x:v>
      </x:c>
      <x:c r="I86" s="31" t="n">
        <x:v>220.1189075963</x:v>
      </x:c>
      <x:c r="J86" s="31" t="n">
        <x:v>220.1189075963</x:v>
      </x:c>
      <x:c r="K86" s="31" t="n">
        <x:v>0</x:v>
      </x:c>
      <x:c r="L86" s="31" t="n">
        <x:v>169.3968050389</x:v>
      </x:c>
      <x:c r="M86" s="31" t="n">
        <x:v>50.7221025574</x:v>
      </x:c>
      <x:c r="N86" s="24" t="str">
        <x:v>lutjanus argentiventris</x:v>
      </x:c>
      <x:c r="O86" s="32" t="n">
        <x:v>4.04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Lutjanus argentiventris</x:v>
      </x:c>
      <x:c r="T86" s="32" t="n">
        <x:f>IF(O86="","",(1/'Metadata'!$B$5)^(O86-1))</x:f>
        <x:v>1096.4781961431852</x:v>
      </x:c>
      <x:c r="U86" s="31" t="n">
        <x:f>IF(T86="","",I86*T86)</x:f>
        <x:v>241355.5827381995</x:v>
      </x:c>
    </x:row>
    <x:row r="87" ht="18" customHeight="1">
      <x:c r="A87" s="24" t="str">
        <x:v>LME_004</x:v>
      </x:c>
      <x:c r="B87" s="24" t="str">
        <x:v>Gulf of California</x:v>
      </x:c>
      <x:c r="C87" s="24" t="str">
        <x:v>LME</x:v>
      </x:c>
      <x:c r="D87" s="30" t="n">
        <x:v>2019</x:v>
      </x:c>
      <x:c r="E87" s="24" t="str">
        <x:v>Mycteroperca xenarcha</x:v>
      </x:c>
      <x:c r="F87" s="24" t="str">
        <x:v>Broomtail grouper</x:v>
      </x:c>
      <x:c r="G87" s="24" t="str">
        <x:v>Large demersals (&gt;=90 cm)</x:v>
      </x:c>
      <x:c r="H87" s="24" t="str">
        <x:v>Perch-likes</x:v>
      </x:c>
      <x:c r="I87" s="31" t="n">
        <x:v>217.4036953442</x:v>
      </x:c>
      <x:c r="J87" s="31" t="n">
        <x:v>217.4036953442</x:v>
      </x:c>
      <x:c r="K87" s="31" t="n">
        <x:v>0</x:v>
      </x:c>
      <x:c r="L87" s="31" t="n">
        <x:v>109.36042446489999</x:v>
      </x:c>
      <x:c r="M87" s="31" t="n">
        <x:v>108.0432708793</x:v>
      </x:c>
      <x:c r="N87" s="24" t="str">
        <x:v>mycteroperca xenarcha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Mycteroperca xenarcha</x:v>
      </x:c>
      <x:c r="T87" s="32" t="n">
        <x:f>IF(O87="","",(1/'Metadata'!$B$5)^(O87-1))</x:f>
        <x:v>2238.7211385683377</x:v>
      </x:c>
      <x:c r="U87" s="31" t="n">
        <x:f>IF(T87="","",I87*T87)</x:f>
        <x:v>486706.2483699314</x:v>
      </x:c>
    </x:row>
    <x:row r="88" ht="18" customHeight="1">
      <x:c r="A88" s="24" t="str">
        <x:v>LME_004</x:v>
      </x:c>
      <x:c r="B88" s="24" t="str">
        <x:v>Gulf of California</x:v>
      </x:c>
      <x:c r="C88" s="24" t="str">
        <x:v>LME</x:v>
      </x:c>
      <x:c r="D88" s="30" t="n">
        <x:v>2019</x:v>
      </x:c>
      <x:c r="E88" s="24" t="str">
        <x:v>Batoidea</x:v>
      </x:c>
      <x:c r="F88" s="24" t="str">
        <x:v>Batoids, skates, rays, sawfishes</x:v>
      </x:c>
      <x:c r="G88" s="24" t="str">
        <x:v>Large rays (&gt;=90 cm)</x:v>
      </x:c>
      <x:c r="H88" s="24" t="str">
        <x:v>Sharks &amp; rays</x:v>
      </x:c>
      <x:c r="I88" s="31" t="n">
        <x:v>209.1839493516</x:v>
      </x:c>
      <x:c r="J88" s="31" t="n">
        <x:v>209.1839493516</x:v>
      </x:c>
      <x:c r="K88" s="31" t="n">
        <x:v>0</x:v>
      </x:c>
      <x:c r="L88" s="31" t="n">
        <x:v>171.59117259069998</x:v>
      </x:c>
      <x:c r="M88" s="31" t="n">
        <x:v>37.592776760899994</x:v>
      </x:c>
      <x:c r="N88" s="24" t="str">
        <x:v>batoidea</x:v>
      </x:c>
      <x:c r="O88" s="32" t="n">
        <x:v>3.72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Batoidea</x:v>
      </x:c>
      <x:c r="T88" s="32" t="n">
        <x:f>IF(O88="","",(1/'Metadata'!$B$5)^(O88-1))</x:f>
        <x:v>524.8074602497728</x:v>
      </x:c>
      <x:c r="U88" s="31" t="n">
        <x:f>IF(T88="","",I88*T88)</x:f>
        <x:v>109781.29718423031</x:v>
      </x:c>
    </x:row>
    <x:row r="89" ht="18" customHeight="1">
      <x:c r="A89" s="24" t="str">
        <x:v>LME_004</x:v>
      </x:c>
      <x:c r="B89" s="24" t="str">
        <x:v>Gulf of California</x:v>
      </x:c>
      <x:c r="C89" s="24" t="str">
        <x:v>LME</x:v>
      </x:c>
      <x:c r="D89" s="30" t="n">
        <x:v>2019</x:v>
      </x:c>
      <x:c r="E89" s="24" t="str">
        <x:v>Squilla parva</x:v>
      </x:c>
      <x:c r="F89" s="24" t="str">
        <x:v>Small mantis shrimp</x:v>
      </x:c>
      <x:c r="G89" s="24" t="str">
        <x:v>Shrimps</x:v>
      </x:c>
      <x:c r="H89" s="24" t="str">
        <x:v>Crustaceans</x:v>
      </x:c>
      <x:c r="I89" s="31" t="n">
        <x:v>194.5993346021</x:v>
      </x:c>
      <x:c r="J89" s="31" t="n">
        <x:v>0</x:v>
      </x:c>
      <x:c r="K89" s="31" t="n">
        <x:v>194.5993346021</x:v>
      </x:c>
      <x:c r="L89" s="31" t="n">
        <x:v>0</x:v>
      </x:c>
      <x:c r="M89" s="31" t="n">
        <x:v>194.5993346021</x:v>
      </x:c>
      <x:c r="N89" s="24" t="str">
        <x:v>squilla parva</x:v>
      </x:c>
      <x:c r="O89" s="32" t="n">
        <x:v>3.62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Squilla parva</x:v>
      </x:c>
      <x:c r="T89" s="32" t="n">
        <x:f>IF(O89="","",(1/'Metadata'!$B$5)^(O89-1))</x:f>
        <x:v>416.8693834703355</x:v>
      </x:c>
      <x:c r="U89" s="31" t="n">
        <x:f>IF(T89="","",I89*T89)</x:f>
        <x:v>81122.50463931494</x:v>
      </x:c>
    </x:row>
    <x:row r="90" ht="18" customHeight="1">
      <x:c r="A90" s="24" t="str">
        <x:v>LME_004</x:v>
      </x:c>
      <x:c r="B90" s="24" t="str">
        <x:v>Gulf of California</x:v>
      </x:c>
      <x:c r="C90" s="24" t="str">
        <x:v>LME</x:v>
      </x:c>
      <x:c r="D90" s="30" t="n">
        <x:v>2019</x:v>
      </x:c>
      <x:c r="E90" s="24" t="str">
        <x:v>Dermatolepis dermatolepis</x:v>
      </x:c>
      <x:c r="F90" s="24" t="str">
        <x:v>Leather bass</x:v>
      </x:c>
      <x:c r="G90" s="24" t="str">
        <x:v>Small pelagics (&lt;30 cm)</x:v>
      </x:c>
      <x:c r="H90" s="24" t="str">
        <x:v>Perch-likes</x:v>
      </x:c>
      <x:c r="I90" s="31" t="n">
        <x:v>190.4063588802</x:v>
      </x:c>
      <x:c r="J90" s="31" t="n">
        <x:v>190.4063588802</x:v>
      </x:c>
      <x:c r="K90" s="31" t="n">
        <x:v>0</x:v>
      </x:c>
      <x:c r="L90" s="31" t="n">
        <x:v>95.7799737258</x:v>
      </x:c>
      <x:c r="M90" s="31" t="n">
        <x:v>94.6263851544</x:v>
      </x:c>
      <x:c r="N90" s="24" t="str">
        <x:v>dermatolepis dermatolepis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Dermatolepis dermatolepis</x:v>
      </x:c>
      <x:c r="T90" s="32" t="n">
        <x:f>IF(O90="","",(1/'Metadata'!$B$5)^(O90-1))</x:f>
        <x:v>3162.2776601683795</x:v>
      </x:c>
      <x:c r="U90" s="31" t="n">
        <x:f>IF(T90="","",I90*T90)</x:f>
        <x:v>602117.7750408596</x:v>
      </x:c>
    </x:row>
    <x:row r="91" ht="18" customHeight="1">
      <x:c r="A91" s="24" t="str">
        <x:v>LME_004</x:v>
      </x:c>
      <x:c r="B91" s="24" t="str">
        <x:v>Gulf of California</x:v>
      </x:c>
      <x:c r="C91" s="24" t="str">
        <x:v>LME</x:v>
      </x:c>
      <x:c r="D91" s="30" t="n">
        <x:v>2019</x:v>
      </x:c>
      <x:c r="E91" s="24" t="str">
        <x:v>Epinephelus analogus</x:v>
      </x:c>
      <x:c r="F91" s="24" t="str">
        <x:v>Spotted grouper</x:v>
      </x:c>
      <x:c r="G91" s="24" t="str">
        <x:v>Large reef assoc. fish (&gt;=90 cm)</x:v>
      </x:c>
      <x:c r="H91" s="24" t="str">
        <x:v>Perch-likes</x:v>
      </x:c>
      <x:c r="I91" s="31" t="n">
        <x:v>187.8401675999</x:v>
      </x:c>
      <x:c r="J91" s="31" t="n">
        <x:v>187.8401675999</x:v>
      </x:c>
      <x:c r="K91" s="31" t="n">
        <x:v>0</x:v>
      </x:c>
      <x:c r="L91" s="31" t="n">
        <x:v>94.4891043722</x:v>
      </x:c>
      <x:c r="M91" s="31" t="n">
        <x:v>93.35106322770001</x:v>
      </x:c>
      <x:c r="N91" s="24" t="str">
        <x:v>epinephelus analogus</x:v>
      </x:c>
      <x:c r="O91" s="32" t="n">
        <x:v>3.84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Epinephelus analogus</x:v>
      </x:c>
      <x:c r="T91" s="32" t="n">
        <x:f>IF(O91="","",(1/'Metadata'!$B$5)^(O91-1))</x:f>
        <x:v>691.8309709189363</x:v>
      </x:c>
      <x:c r="U91" s="31" t="n">
        <x:f>IF(T91="","",I91*T91)</x:f>
        <x:v>129953.64552821453</x:v>
      </x:c>
    </x:row>
    <x:row r="92" ht="18" customHeight="1">
      <x:c r="A92" s="24" t="str">
        <x:v>LME_004</x:v>
      </x:c>
      <x:c r="B92" s="24" t="str">
        <x:v>Gulf of California</x:v>
      </x:c>
      <x:c r="C92" s="24" t="str">
        <x:v>LME</x:v>
      </x:c>
      <x:c r="D92" s="30" t="n">
        <x:v>2019</x:v>
      </x:c>
      <x:c r="E92" s="24" t="str">
        <x:v>Carcharhinus limbatus</x:v>
      </x:c>
      <x:c r="F92" s="24" t="str">
        <x:v>Blacktip shark</x:v>
      </x:c>
      <x:c r="G92" s="24" t="str">
        <x:v>Large sharks (&gt;=90 cm)</x:v>
      </x:c>
      <x:c r="H92" s="24" t="str">
        <x:v>Sharks &amp; rays</x:v>
      </x:c>
      <x:c r="I92" s="31" t="n">
        <x:v>169.9560355706</x:v>
      </x:c>
      <x:c r="J92" s="31" t="n">
        <x:v>169.9560355706</x:v>
      </x:c>
      <x:c r="K92" s="31" t="n">
        <x:v>0</x:v>
      </x:c>
      <x:c r="L92" s="31" t="n">
        <x:v>169.9560355706</x:v>
      </x:c>
      <x:c r="M92" s="31" t="n">
        <x:v>0</x:v>
      </x:c>
      <x:c r="N92" s="24" t="str">
        <x:v>carcharhinus limbatus</x:v>
      </x:c>
      <x:c r="O92" s="32" t="n">
        <x:v>4.37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Carcharhinus limbatus</x:v>
      </x:c>
      <x:c r="T92" s="32" t="n">
        <x:f>IF(O92="","",(1/'Metadata'!$B$5)^(O92-1))</x:f>
        <x:v>2344.228815319923</x:v>
      </x:c>
      <x:c r="U92" s="31" t="n">
        <x:f>IF(T92="","",I92*T92)</x:f>
        <x:v>398415.8359221383</x:v>
      </x:c>
    </x:row>
    <x:row r="93" ht="18" customHeight="1">
      <x:c r="A93" s="24" t="str">
        <x:v>LME_004</x:v>
      </x:c>
      <x:c r="B93" s="24" t="str">
        <x:v>Gulf of California</x:v>
      </x:c>
      <x:c r="C93" s="24" t="str">
        <x:v>LME</x:v>
      </x:c>
      <x:c r="D93" s="30" t="n">
        <x:v>2019</x:v>
      </x:c>
      <x:c r="E93" s="24" t="str">
        <x:v>Epinephelus labriformis</x:v>
      </x:c>
      <x:c r="F93" s="24" t="str">
        <x:v>Starry grouper</x:v>
      </x:c>
      <x:c r="G93" s="24" t="str">
        <x:v>Small pelagics (&lt;30 cm)</x:v>
      </x:c>
      <x:c r="H93" s="24" t="str">
        <x:v>Perch-likes</x:v>
      </x:c>
      <x:c r="I93" s="31" t="n">
        <x:v>155.41478472629998</x:v>
      </x:c>
      <x:c r="J93" s="31" t="n">
        <x:v>155.41478472629998</x:v>
      </x:c>
      <x:c r="K93" s="31" t="n">
        <x:v>0</x:v>
      </x:c>
      <x:c r="L93" s="31" t="n">
        <x:v>78.1781873527</x:v>
      </x:c>
      <x:c r="M93" s="31" t="n">
        <x:v>77.2365973736</x:v>
      </x:c>
      <x:c r="N93" s="24" t="str">
        <x:v>epinephelus labriformis</x:v>
      </x:c>
      <x:c r="O93" s="32" t="n">
        <x:v>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Epinephelus labriformis</x:v>
      </x:c>
      <x:c r="T93" s="32" t="n">
        <x:f>IF(O93="","",(1/'Metadata'!$B$5)^(O93-1))</x:f>
        <x:v>1000</x:v>
      </x:c>
      <x:c r="U93" s="31" t="n">
        <x:f>IF(T93="","",I93*T93)</x:f>
        <x:v>155414.7847263</x:v>
      </x:c>
    </x:row>
    <x:row r="94" ht="18" customHeight="1">
      <x:c r="A94" s="24" t="str">
        <x:v>LME_004</x:v>
      </x:c>
      <x:c r="B94" s="24" t="str">
        <x:v>Gulf of California</x:v>
      </x:c>
      <x:c r="C94" s="24" t="str">
        <x:v>LME</x:v>
      </x:c>
      <x:c r="D94" s="30" t="n">
        <x:v>2019</x:v>
      </x:c>
      <x:c r="E94" s="24" t="str">
        <x:v>Scombridae</x:v>
      </x:c>
      <x:c r="F94" s="24" t="str">
        <x:v>Mackerels, tunas, bonitos</x:v>
      </x:c>
      <x:c r="G94" s="24" t="str">
        <x:v>Medium pelagics (30 - 89 cm)</x:v>
      </x:c>
      <x:c r="H94" s="24" t="str">
        <x:v>Perch-likes</x:v>
      </x:c>
      <x:c r="I94" s="31" t="n">
        <x:v>139.2646037639</x:v>
      </x:c>
      <x:c r="J94" s="31" t="n">
        <x:v>126.4575520368</x:v>
      </x:c>
      <x:c r="K94" s="31" t="n">
        <x:v>12.8070517271</x:v>
      </x:c>
      <x:c r="L94" s="31" t="n">
        <x:v>0</x:v>
      </x:c>
      <x:c r="M94" s="31" t="n">
        <x:v>139.2646037639</x:v>
      </x:c>
      <x:c r="N94" s="24" t="str">
        <x:v>scombridae</x:v>
      </x:c>
      <x:c r="O94" s="32" t="n">
        <x:v>4.26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Scombridae</x:v>
      </x:c>
      <x:c r="T94" s="32" t="n">
        <x:f>IF(O94="","",(1/'Metadata'!$B$5)^(O94-1))</x:f>
        <x:v>1819.7008586099826</x:v>
      </x:c>
      <x:c r="U94" s="31" t="n">
        <x:f>IF(T94="","",I94*T94)</x:f>
        <x:v>253419.91904314785</x:v>
      </x:c>
    </x:row>
    <x:row r="95" ht="18" customHeight="1">
      <x:c r="A95" s="24" t="str">
        <x:v>LME_004</x:v>
      </x:c>
      <x:c r="B95" s="24" t="str">
        <x:v>Gulf of California</x:v>
      </x:c>
      <x:c r="C95" s="24" t="str">
        <x:v>LME</x:v>
      </x:c>
      <x:c r="D95" s="30" t="n">
        <x:v>2019</x:v>
      </x:c>
      <x:c r="E95" s="24" t="str">
        <x:v>Callinectes toxotes</x:v>
      </x:c>
      <x:c r="F95" s="24" t="str">
        <x:v>Giant swimcrab</x:v>
      </x:c>
      <x:c r="G95" s="24" t="str">
        <x:v>Lobsters, crabs</x:v>
      </x:c>
      <x:c r="H95" s="24" t="str">
        <x:v>Crustaceans</x:v>
      </x:c>
      <x:c r="I95" s="31" t="n">
        <x:v>127.7187890617</x:v>
      </x:c>
      <x:c r="J95" s="31" t="n">
        <x:v>0</x:v>
      </x:c>
      <x:c r="K95" s="31" t="n">
        <x:v>127.7187890617</x:v>
      </x:c>
      <x:c r="L95" s="31" t="n">
        <x:v>0</x:v>
      </x:c>
      <x:c r="M95" s="31" t="n">
        <x:v>127.7187890617</x:v>
      </x:c>
      <x:c r="N95" s="24" t="str">
        <x:v>callinectes toxotes</x:v>
      </x:c>
      <x:c r="O95" s="32" t="n">
        <x:v>3.63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Callinectes toxotes</x:v>
      </x:c>
      <x:c r="T95" s="32" t="n">
        <x:f>IF(O95="","",(1/'Metadata'!$B$5)^(O95-1))</x:f>
        <x:v>426.57951880159254</x:v>
      </x:c>
      <x:c r="U95" s="31" t="n">
        <x:f>IF(T95="","",I95*T95)</x:f>
        <x:v>54482.21957986208</x:v>
      </x:c>
    </x:row>
    <x:row r="96" ht="18" customHeight="1">
      <x:c r="A96" s="24" t="str">
        <x:v>LME_004</x:v>
      </x:c>
      <x:c r="B96" s="24" t="str">
        <x:v>Gulf of California</x:v>
      </x:c>
      <x:c r="C96" s="24" t="str">
        <x:v>LME</x:v>
      </x:c>
      <x:c r="D96" s="30" t="n">
        <x:v>2019</x:v>
      </x:c>
      <x:c r="E96" s="24" t="str">
        <x:v>Sphyraena</x:v>
      </x:c>
      <x:c r="F96" s="24" t="str">
        <x:v>Barracudas, sennets</x:v>
      </x:c>
      <x:c r="G96" s="24" t="str">
        <x:v>Large pelagics (&gt;=90 cm)</x:v>
      </x:c>
      <x:c r="H96" s="24" t="str">
        <x:v>Perch-likes</x:v>
      </x:c>
      <x:c r="I96" s="31" t="n">
        <x:v>109.964288988</x:v>
      </x:c>
      <x:c r="J96" s="31" t="n">
        <x:v>109.964288988</x:v>
      </x:c>
      <x:c r="K96" s="31" t="n">
        <x:v>0</x:v>
      </x:c>
      <x:c r="L96" s="31" t="n">
        <x:v>109.964288988</x:v>
      </x:c>
      <x:c r="M96" s="31" t="n">
        <x:v>0</x:v>
      </x:c>
      <x:c r="N96" s="24" t="str">
        <x:v>sphyraena</x:v>
      </x:c>
      <x:c r="O96" s="32" t="n">
        <x:v>4.4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Sphyraena</x:v>
      </x:c>
      <x:c r="T96" s="32" t="n">
        <x:f>IF(O96="","",(1/'Metadata'!$B$5)^(O96-1))</x:f>
        <x:v>2511.886431509582</x:v>
      </x:c>
      <x:c r="U96" s="31" t="n">
        <x:f>IF(T96="","",I96*T96)</x:f>
        <x:v>276217.80545955576</x:v>
      </x:c>
    </x:row>
    <x:row r="97" ht="18" customHeight="1">
      <x:c r="A97" s="24" t="str">
        <x:v>LME_004</x:v>
      </x:c>
      <x:c r="B97" s="24" t="str">
        <x:v>Gulf of California</x:v>
      </x:c>
      <x:c r="C97" s="24" t="str">
        <x:v>LME</x:v>
      </x:c>
      <x:c r="D97" s="30" t="n">
        <x:v>2019</x:v>
      </x:c>
      <x:c r="E97" s="24" t="str">
        <x:v>Haliotis</x:v>
      </x:c>
      <x:c r="F97" s="24" t="str">
        <x:v>Abalones</x:v>
      </x:c>
      <x:c r="G97" s="24" t="str">
        <x:v>Other demersal invertebrates</x:v>
      </x:c>
      <x:c r="H97" s="24" t="str">
        <x:v>Molluscs</x:v>
      </x:c>
      <x:c r="I97" s="31" t="n">
        <x:v>91.0628146845</x:v>
      </x:c>
      <x:c r="J97" s="31" t="n">
        <x:v>91.0628146845</x:v>
      </x:c>
      <x:c r="K97" s="31" t="n">
        <x:v>0</x:v>
      </x:c>
      <x:c r="L97" s="31" t="n">
        <x:v>91.0628146845</x:v>
      </x:c>
      <x:c r="M97" s="31" t="n">
        <x:v>0</x:v>
      </x:c>
      <x:c r="N97" s="24" t="str">
        <x:v>haliotis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Haliotis</x:v>
      </x:c>
      <x:c r="T97" s="32" t="n">
        <x:f>IF(O97="","",(1/'Metadata'!$B$5)^(O97-1))</x:f>
        <x:v>10</x:v>
      </x:c>
      <x:c r="U97" s="31" t="n">
        <x:f>IF(T97="","",I97*T97)</x:f>
        <x:v>910.628146845</x:v>
      </x:c>
    </x:row>
    <x:row r="98" ht="18" customHeight="1">
      <x:c r="A98" s="24" t="str">
        <x:v>LME_004</x:v>
      </x:c>
      <x:c r="B98" s="24" t="str">
        <x:v>Gulf of California</x:v>
      </x:c>
      <x:c r="C98" s="24" t="str">
        <x:v>LME</x:v>
      </x:c>
      <x:c r="D98" s="30" t="n">
        <x:v>2019</x:v>
      </x:c>
      <x:c r="E98" s="24" t="str">
        <x:v>Makaira mazara</x:v>
      </x:c>
      <x:c r="F98" s="24" t="str">
        <x:v>Indo-Pacific blue marlin</x:v>
      </x:c>
      <x:c r="G98" s="24" t="str">
        <x:v>Large pelagics (&gt;=90 cm)</x:v>
      </x:c>
      <x:c r="H98" s="24" t="str">
        <x:v>Tuna &amp; billfishes</x:v>
      </x:c>
      <x:c r="I98" s="31" t="n">
        <x:v>88.8240081108</x:v>
      </x:c>
      <x:c r="J98" s="31" t="n">
        <x:v>55.6349173601</x:v>
      </x:c>
      <x:c r="K98" s="31" t="n">
        <x:v>33.1890907507</x:v>
      </x:c>
      <x:c r="L98" s="31" t="n">
        <x:v>0</x:v>
      </x:c>
      <x:c r="M98" s="31" t="n">
        <x:v>88.8240081108</x:v>
      </x:c>
      <x:c r="N98" s="24" t="str">
        <x:v>makaira mazara</x:v>
      </x:c>
      <x:c r="O98" s="32" t="n">
        <x:v>4.46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Makaira mazara</x:v>
      </x:c>
      <x:c r="T98" s="32" t="n">
        <x:f>IF(O98="","",(1/'Metadata'!$B$5)^(O98-1))</x:f>
        <x:v>2884.031503126606</x:v>
      </x:c>
      <x:c r="U98" s="31" t="n">
        <x:f>IF(T98="","",I98*T98)</x:f>
        <x:v>256171.23762552036</x:v>
      </x:c>
    </x:row>
    <x:row r="99" ht="18" customHeight="1">
      <x:c r="A99" s="24" t="str">
        <x:v>LME_004</x:v>
      </x:c>
      <x:c r="B99" s="24" t="str">
        <x:v>Gulf of California</x:v>
      </x:c>
      <x:c r="C99" s="24" t="str">
        <x:v>LME</x:v>
      </x:c>
      <x:c r="D99" s="30" t="n">
        <x:v>2019</x:v>
      </x:c>
      <x:c r="E99" s="24" t="str">
        <x:v>Sphyrna</x:v>
      </x:c>
      <x:c r="F99" s="24" t="str">
        <x:v>Hammerhead sharks</x:v>
      </x:c>
      <x:c r="G99" s="24" t="str">
        <x:v>Large sharks (&gt;=90 cm)</x:v>
      </x:c>
      <x:c r="H99" s="24" t="str">
        <x:v>Sharks &amp; rays</x:v>
      </x:c>
      <x:c r="I99" s="31" t="n">
        <x:v>86.50636926249999</x:v>
      </x:c>
      <x:c r="J99" s="31" t="n">
        <x:v>86.50636926249999</x:v>
      </x:c>
      <x:c r="K99" s="31" t="n">
        <x:v>0</x:v>
      </x:c>
      <x:c r="L99" s="31" t="n">
        <x:v>69.8995340728</x:v>
      </x:c>
      <x:c r="M99" s="31" t="n">
        <x:v>16.6068351897</x:v>
      </x:c>
      <x:c r="N99" s="24" t="str">
        <x:v>sphyrna</x:v>
      </x:c>
      <x:c r="O99" s="32" t="n">
        <x:v>4.2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Sphyrna</x:v>
      </x:c>
      <x:c r="T99" s="32" t="n">
        <x:f>IF(O99="","",(1/'Metadata'!$B$5)^(O99-1))</x:f>
        <x:v>1584.893192461114</x:v>
      </x:c>
      <x:c r="U99" s="31" t="n">
        <x:f>IF(T99="","",I99*T99)</x:f>
        <x:v>137103.3557486636</x:v>
      </x:c>
    </x:row>
    <x:row r="100" ht="18" customHeight="1">
      <x:c r="A100" s="24" t="str">
        <x:v>LME_004</x:v>
      </x:c>
      <x:c r="B100" s="24" t="str">
        <x:v>Gulf of California</x:v>
      </x:c>
      <x:c r="C100" s="24" t="str">
        <x:v>LME</x:v>
      </x:c>
      <x:c r="D100" s="30" t="n">
        <x:v>2019</x:v>
      </x:c>
      <x:c r="E100" s="24" t="str">
        <x:v>Gadiformes</x:v>
      </x:c>
      <x:c r="F100" s="24" t="str">
        <x:v>Cods</x:v>
      </x:c>
      <x:c r="G100" s="24" t="str">
        <x:v>Medium benthopelagics (30 - 89 cm)</x:v>
      </x:c>
      <x:c r="H100" s="24" t="str">
        <x:v>Cod-likes</x:v>
      </x:c>
      <x:c r="I100" s="31" t="n">
        <x:v>79.2178963747</x:v>
      </x:c>
      <x:c r="J100" s="31" t="n">
        <x:v>79.2178963747</x:v>
      </x:c>
      <x:c r="K100" s="31" t="n">
        <x:v>0</x:v>
      </x:c>
      <x:c r="L100" s="31" t="n">
        <x:v>79.1473363007</x:v>
      </x:c>
      <x:c r="M100" s="31" t="n">
        <x:v>0.070560074</x:v>
      </x:c>
      <x:c r="N100" s="24" t="str">
        <x:v>gadiformes</x:v>
      </x:c>
      <x:c r="O100" s="32" t="n">
        <x:v>3.91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Gadiformes</x:v>
      </x:c>
      <x:c r="T100" s="32" t="n">
        <x:f>IF(O100="","",(1/'Metadata'!$B$5)^(O100-1))</x:f>
        <x:v>812.8305161640995</x:v>
      </x:c>
      <x:c r="U100" s="31" t="n">
        <x:f>IF(T100="","",I100*T100)</x:f>
        <x:v>64390.72359968156</x:v>
      </x:c>
    </x:row>
    <x:row r="101" ht="18" customHeight="1">
      <x:c r="A101" s="24" t="str">
        <x:v>LME_004</x:v>
      </x:c>
      <x:c r="B101" s="24" t="str">
        <x:v>Gulf of California</x:v>
      </x:c>
      <x:c r="C101" s="24" t="str">
        <x:v>LME</x:v>
      </x:c>
      <x:c r="D101" s="30" t="n">
        <x:v>2019</x:v>
      </x:c>
      <x:c r="E101" s="24" t="str">
        <x:v>Istiophorus platypterus</x:v>
      </x:c>
      <x:c r="F101" s="24" t="str">
        <x:v>Indo-Pacific sailfish</x:v>
      </x:c>
      <x:c r="G101" s="24" t="str">
        <x:v>Large pelagics (&gt;=90 cm)</x:v>
      </x:c>
      <x:c r="H101" s="24" t="str">
        <x:v>Tuna &amp; billfishes</x:v>
      </x:c>
      <x:c r="I101" s="31" t="n">
        <x:v>73.7372015307</x:v>
      </x:c>
      <x:c r="J101" s="31" t="n">
        <x:v>47.0707243738</x:v>
      </x:c>
      <x:c r="K101" s="31" t="n">
        <x:v>26.6664771569</x:v>
      </x:c>
      <x:c r="L101" s="31" t="n">
        <x:v>2.3696729398</x:v>
      </x:c>
      <x:c r="M101" s="31" t="n">
        <x:v>71.36752859090001</x:v>
      </x:c>
      <x:c r="N101" s="24" t="str">
        <x:v>istiophorus platypterus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Istiophorus platypterus</x:v>
      </x:c>
      <x:c r="T101" s="32" t="n">
        <x:f>IF(O101="","",(1/'Metadata'!$B$5)^(O101-1))</x:f>
        <x:v>3162.2776601683795</x:v>
      </x:c>
      <x:c r="U101" s="31" t="n">
        <x:f>IF(T101="","",I101*T101)</x:f>
        <x:v>233177.50512386626</x:v>
      </x:c>
    </x:row>
    <x:row r="102" ht="18" customHeight="1">
      <x:c r="A102" s="24" t="str">
        <x:v>LME_004</x:v>
      </x:c>
      <x:c r="B102" s="24" t="str">
        <x:v>Gulf of California</x:v>
      </x:c>
      <x:c r="C102" s="24" t="str">
        <x:v>LME</x:v>
      </x:c>
      <x:c r="D102" s="30" t="n">
        <x:v>2019</x:v>
      </x:c>
      <x:c r="E102" s="24" t="str">
        <x:v>Mytilus</x:v>
      </x:c>
      <x:c r="F102" s="24" t="str">
        <x:v>Edible sea mussels</x:v>
      </x:c>
      <x:c r="G102" s="24" t="str">
        <x:v>Other demersal invertebrates</x:v>
      </x:c>
      <x:c r="H102" s="24" t="str">
        <x:v>Molluscs</x:v>
      </x:c>
      <x:c r="I102" s="31" t="n">
        <x:v>72.75218628889999</x:v>
      </x:c>
      <x:c r="J102" s="31" t="n">
        <x:v>72.75218628889999</x:v>
      </x:c>
      <x:c r="K102" s="31" t="n">
        <x:v>0</x:v>
      </x:c>
      <x:c r="L102" s="31" t="n">
        <x:v>70.16617742129999</x:v>
      </x:c>
      <x:c r="M102" s="31" t="n">
        <x:v>2.5860088676</x:v>
      </x:c>
      <x:c r="N102" s="24" t="str">
        <x:v>mytilus</x:v>
      </x:c>
      <x:c r="O102" s="32" t="n">
        <x:v>2.03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Mytilus</x:v>
      </x:c>
      <x:c r="T102" s="32" t="n">
        <x:f>IF(O102="","",(1/'Metadata'!$B$5)^(O102-1))</x:f>
        <x:v>10.71519305237606</x:v>
      </x:c>
      <x:c r="U102" s="31" t="n">
        <x:f>IF(T102="","",I102*T102)</x:f>
        <x:v>779.5537210679901</x:v>
      </x:c>
    </x:row>
    <x:row r="103" ht="18" customHeight="1">
      <x:c r="A103" s="24" t="str">
        <x:v>LME_004</x:v>
      </x:c>
      <x:c r="B103" s="24" t="str">
        <x:v>Gulf of California</x:v>
      </x:c>
      <x:c r="C103" s="24" t="str">
        <x:v>LME</x:v>
      </x:c>
      <x:c r="D103" s="30" t="n">
        <x:v>2019</x:v>
      </x:c>
      <x:c r="E103" s="24" t="str">
        <x:v>Merlucciidae</x:v>
      </x:c>
      <x:c r="F103" s="24" t="str">
        <x:v>Merluccid hakes</x:v>
      </x:c>
      <x:c r="G103" s="24" t="str">
        <x:v>Large bathydemersals (&gt;=90 cm)</x:v>
      </x:c>
      <x:c r="H103" s="24" t="str">
        <x:v>Cod-likes</x:v>
      </x:c>
      <x:c r="I103" s="31" t="n">
        <x:v>64.343582759</x:v>
      </x:c>
      <x:c r="J103" s="31" t="n">
        <x:v>64.343582759</x:v>
      </x:c>
      <x:c r="K103" s="31" t="n">
        <x:v>0</x:v>
      </x:c>
      <x:c r="L103" s="31" t="n">
        <x:v>0</x:v>
      </x:c>
      <x:c r="M103" s="31" t="n">
        <x:v>64.343582759</x:v>
      </x:c>
      <x:c r="N103" s="24" t="str">
        <x:v>merlucciidae</x:v>
      </x:c>
      <x:c r="O103" s="32" t="n">
        <x:v>4.35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Merlucciidae</x:v>
      </x:c>
      <x:c r="T103" s="32" t="n">
        <x:f>IF(O103="","",(1/'Metadata'!$B$5)^(O103-1))</x:f>
        <x:v>2238.7211385683377</x:v>
      </x:c>
      <x:c r="U103" s="31" t="n">
        <x:f>IF(T103="","",I103*T103)</x:f>
        <x:v>144047.33885379453</x:v>
      </x:c>
    </x:row>
    <x:row r="104" ht="18" customHeight="1">
      <x:c r="A104" s="24" t="str">
        <x:v>LME_004</x:v>
      </x:c>
      <x:c r="B104" s="24" t="str">
        <x:v>Gulf of California</x:v>
      </x:c>
      <x:c r="C104" s="24" t="str">
        <x:v>LME</x:v>
      </x:c>
      <x:c r="D104" s="30" t="n">
        <x:v>2019</x:v>
      </x:c>
      <x:c r="E104" s="24" t="str">
        <x:v>Mytilus californianus</x:v>
      </x:c>
      <x:c r="F104" s="24" t="str">
        <x:v>California mussel</x:v>
      </x:c>
      <x:c r="G104" s="24" t="str">
        <x:v>Other demersal invertebrates</x:v>
      </x:c>
      <x:c r="H104" s="24" t="str">
        <x:v>Molluscs</x:v>
      </x:c>
      <x:c r="I104" s="31" t="n">
        <x:v>54.7894833594</x:v>
      </x:c>
      <x:c r="J104" s="31" t="n">
        <x:v>54.7894833594</x:v>
      </x:c>
      <x:c r="K104" s="31" t="n">
        <x:v>0</x:v>
      </x:c>
      <x:c r="L104" s="31" t="n">
        <x:v>0</x:v>
      </x:c>
      <x:c r="M104" s="31" t="n">
        <x:v>54.7894833594</x:v>
      </x:c>
      <x:c r="N104" s="24" t="str">
        <x:v>mytilus californianus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Mytilus californianus</x:v>
      </x:c>
      <x:c r="T104" s="32" t="n">
        <x:f>IF(O104="","",(1/'Metadata'!$B$5)^(O104-1))</x:f>
        <x:v>10</x:v>
      </x:c>
      <x:c r="U104" s="31" t="n">
        <x:f>IF(T104="","",I104*T104)</x:f>
        <x:v>547.894833594</x:v>
      </x:c>
    </x:row>
    <x:row r="105" ht="18" customHeight="1">
      <x:c r="A105" s="24" t="str">
        <x:v>LME_004</x:v>
      </x:c>
      <x:c r="B105" s="24" t="str">
        <x:v>Gulf of California</x:v>
      </x:c>
      <x:c r="C105" s="24" t="str">
        <x:v>LME</x:v>
      </x:c>
      <x:c r="D105" s="30" t="n">
        <x:v>2019</x:v>
      </x:c>
      <x:c r="E105" s="24" t="str">
        <x:v>Thunnus alalunga</x:v>
      </x:c>
      <x:c r="F105" s="24" t="str">
        <x:v>Albacore</x:v>
      </x:c>
      <x:c r="G105" s="24" t="str">
        <x:v>Large pelagics (&gt;=90 cm)</x:v>
      </x:c>
      <x:c r="H105" s="24" t="str">
        <x:v>Tuna &amp; billfishes</x:v>
      </x:c>
      <x:c r="I105" s="31" t="n">
        <x:v>52.9817631634</x:v>
      </x:c>
      <x:c r="J105" s="31" t="n">
        <x:v>52.4519979838</x:v>
      </x:c>
      <x:c r="K105" s="31" t="n">
        <x:v>0.5297651796</x:v>
      </x:c>
      <x:c r="L105" s="31" t="n">
        <x:v>52.4519979838</x:v>
      </x:c>
      <x:c r="M105" s="31" t="n">
        <x:v>0.5297651796</x:v>
      </x:c>
      <x:c r="N105" s="24" t="str">
        <x:v>thunnus alalunga</x:v>
      </x:c>
      <x:c r="O105" s="32" t="n">
        <x:v>4.3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alalunga</x:v>
      </x:c>
      <x:c r="T105" s="32" t="n">
        <x:f>IF(O105="","",(1/'Metadata'!$B$5)^(O105-1))</x:f>
        <x:v>1995.2623149688789</x:v>
      </x:c>
      <x:c r="U105" s="31" t="n">
        <x:f>IF(T105="","",I105*T105)</x:f>
        <x:v>105712.51542053834</x:v>
      </x:c>
    </x:row>
    <x:row r="106" ht="18" customHeight="1">
      <x:c r="A106" s="24" t="str">
        <x:v>LME_004</x:v>
      </x:c>
      <x:c r="B106" s="24" t="str">
        <x:v>Gulf of California</x:v>
      </x:c>
      <x:c r="C106" s="24" t="str">
        <x:v>LME</x:v>
      </x:c>
      <x:c r="D106" s="30" t="n">
        <x:v>2019</x:v>
      </x:c>
      <x:c r="E106" s="24" t="str">
        <x:v>Trachurus symmetricus</x:v>
      </x:c>
      <x:c r="F106" s="24" t="str">
        <x:v>Pacific jack mackerel</x:v>
      </x:c>
      <x:c r="G106" s="24" t="str">
        <x:v>Medium pelagics (30 - 89 cm)</x:v>
      </x:c>
      <x:c r="H106" s="24" t="str">
        <x:v>Perch-likes</x:v>
      </x:c>
      <x:c r="I106" s="31" t="n">
        <x:v>41.9459141702</x:v>
      </x:c>
      <x:c r="J106" s="31" t="n">
        <x:v>41.9459141702</x:v>
      </x:c>
      <x:c r="K106" s="31" t="n">
        <x:v>0</x:v>
      </x:c>
      <x:c r="L106" s="31" t="n">
        <x:v>41.9459141702</x:v>
      </x:c>
      <x:c r="M106" s="31" t="n">
        <x:v>0</x:v>
      </x:c>
      <x:c r="N106" s="24" t="str">
        <x:v>trachurus symmetricus</x:v>
      </x:c>
      <x:c r="O106" s="32" t="n">
        <x:v>3.57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Trachurus symmetricus</x:v>
      </x:c>
      <x:c r="T106" s="32" t="n">
        <x:f>IF(O106="","",(1/'Metadata'!$B$5)^(O106-1))</x:f>
        <x:v>371.5352290971724</x:v>
      </x:c>
      <x:c r="U106" s="31" t="n">
        <x:f>IF(T106="","",I106*T106)</x:f>
        <x:v>15584.384830915587</x:v>
      </x:c>
    </x:row>
    <x:row r="107" ht="18" customHeight="1">
      <x:c r="A107" s="24" t="str">
        <x:v>LME_004</x:v>
      </x:c>
      <x:c r="B107" s="24" t="str">
        <x:v>Gulf of California</x:v>
      </x:c>
      <x:c r="C107" s="24" t="str">
        <x:v>LME</x:v>
      </x:c>
      <x:c r="D107" s="30" t="n">
        <x:v>2019</x:v>
      </x:c>
      <x:c r="E107" s="24" t="str">
        <x:v>Seriola</x:v>
      </x:c>
      <x:c r="F107" s="24" t="str">
        <x:v>Amberjacks</x:v>
      </x:c>
      <x:c r="G107" s="24" t="str">
        <x:v>Large benthopelagics (&gt;=90 cm)</x:v>
      </x:c>
      <x:c r="H107" s="24" t="str">
        <x:v>Perch-likes</x:v>
      </x:c>
      <x:c r="I107" s="31" t="n">
        <x:v>40.6029609561</x:v>
      </x:c>
      <x:c r="J107" s="31" t="n">
        <x:v>40.6029609561</x:v>
      </x:c>
      <x:c r="K107" s="31" t="n">
        <x:v>0</x:v>
      </x:c>
      <x:c r="L107" s="31" t="n">
        <x:v>30.182890162099998</x:v>
      </x:c>
      <x:c r="M107" s="31" t="n">
        <x:v>10.420070794</x:v>
      </x:c>
      <x:c r="N107" s="24" t="str">
        <x:v>seriola</x:v>
      </x:c>
      <x:c r="O107" s="32" t="n">
        <x:v>4.39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Seriola</x:v>
      </x:c>
      <x:c r="T107" s="32" t="n">
        <x:f>IF(O107="","",(1/'Metadata'!$B$5)^(O107-1))</x:f>
        <x:v>2454.7089156850284</x:v>
      </x:c>
      <x:c r="U107" s="31" t="n">
        <x:f>IF(T107="","",I107*T107)</x:f>
        <x:v>99668.45026214977</x:v>
      </x:c>
    </x:row>
    <x:row r="108" ht="18" customHeight="1">
      <x:c r="A108" s="24" t="str">
        <x:v>LME_004</x:v>
      </x:c>
      <x:c r="B108" s="24" t="str">
        <x:v>Gulf of California</x:v>
      </x:c>
      <x:c r="C108" s="24" t="str">
        <x:v>LME</x:v>
      </x:c>
      <x:c r="D108" s="30" t="n">
        <x:v>2019</x:v>
      </x:c>
      <x:c r="E108" s="24" t="str">
        <x:v>Echinodermata</x:v>
      </x:c>
      <x:c r="F108" s="24" t="str">
        <x:v>Sea urchins, stars, cucumbers</x:v>
      </x:c>
      <x:c r="G108" s="24" t="str">
        <x:v>Other demersal invertebrates</x:v>
      </x:c>
      <x:c r="H108" s="24" t="str">
        <x:v>Other fishes &amp; inverts</x:v>
      </x:c>
      <x:c r="I108" s="31" t="n">
        <x:v>24.2964087468</x:v>
      </x:c>
      <x:c r="J108" s="31" t="n">
        <x:v>24.2964087468</x:v>
      </x:c>
      <x:c r="K108" s="31" t="n">
        <x:v>0</x:v>
      </x:c>
      <x:c r="L108" s="31" t="n">
        <x:v>22.9470004212</x:v>
      </x:c>
      <x:c r="M108" s="31" t="n">
        <x:v>1.3494083256</x:v>
      </x:c>
      <x:c r="N108" s="24" t="str">
        <x:v>echinodermata</x:v>
      </x:c>
      <x:c r="O108" s="32" t="n">
        <x:v>2.3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Echinodermata</x:v>
      </x:c>
      <x:c r="T108" s="32" t="n">
        <x:f>IF(O108="","",(1/'Metadata'!$B$5)^(O108-1))</x:f>
        <x:v>19.952623149688787</x:v>
      </x:c>
      <x:c r="U108" s="31" t="n">
        <x:f>IF(T108="","",I108*T108)</x:f>
        <x:v>484.77708761570284</x:v>
      </x:c>
    </x:row>
    <x:row r="109" ht="18" customHeight="1">
      <x:c r="A109" s="24" t="str">
        <x:v>LME_004</x:v>
      </x:c>
      <x:c r="B109" s="24" t="str">
        <x:v>Gulf of California</x:v>
      </x:c>
      <x:c r="C109" s="24" t="str">
        <x:v>LME</x:v>
      </x:c>
      <x:c r="D109" s="30" t="n">
        <x:v>2019</x:v>
      </x:c>
      <x:c r="E109" s="24" t="str">
        <x:v>Katsuwonus pelamis</x:v>
      </x:c>
      <x:c r="F109" s="24" t="str">
        <x:v>Skipjack tuna</x:v>
      </x:c>
      <x:c r="G109" s="24" t="str">
        <x:v>Large pelagics (&gt;=90 cm)</x:v>
      </x:c>
      <x:c r="H109" s="24" t="str">
        <x:v>Tuna &amp; billfishes</x:v>
      </x:c>
      <x:c r="I109" s="31" t="n">
        <x:v>20.0809566982</x:v>
      </x:c>
      <x:c r="J109" s="31" t="n">
        <x:v>20.080953364</x:v>
      </x:c>
      <x:c r="K109" s="31" t="n">
        <x:v>0.0000033342</x:v>
      </x:c>
      <x:c r="L109" s="31" t="n">
        <x:v>20.080953364</x:v>
      </x:c>
      <x:c r="M109" s="31" t="n">
        <x:v>0.0000033342</x:v>
      </x:c>
      <x:c r="N109" s="24" t="str">
        <x:v>katsuwonus pelamis</x:v>
      </x:c>
      <x:c r="O109" s="32" t="n">
        <x:v>4.43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Katsuwonus pelamis</x:v>
      </x:c>
      <x:c r="T109" s="32" t="n">
        <x:f>IF(O109="","",(1/'Metadata'!$B$5)^(O109-1))</x:f>
        <x:v>2691.534803926914</x:v>
      </x:c>
      <x:c r="U109" s="31" t="n">
        <x:f>IF(T109="","",I109*T109)</x:f>
        <x:v>54048.59384935459</x:v>
      </x:c>
    </x:row>
    <x:row r="110" ht="18" customHeight="1">
      <x:c r="A110" s="24" t="str">
        <x:v>LME_004</x:v>
      </x:c>
      <x:c r="B110" s="24" t="str">
        <x:v>Gulf of California</x:v>
      </x:c>
      <x:c r="C110" s="24" t="str">
        <x:v>LME</x:v>
      </x:c>
      <x:c r="D110" s="30" t="n">
        <x:v>2019</x:v>
      </x:c>
      <x:c r="E110" s="24" t="str">
        <x:v>Stereolepis gigas</x:v>
      </x:c>
      <x:c r="F110" s="24" t="str">
        <x:v>Giant seabass</x:v>
      </x:c>
      <x:c r="G110" s="24" t="str">
        <x:v>Large demersals (&gt;=90 cm)</x:v>
      </x:c>
      <x:c r="H110" s="24" t="str">
        <x:v>Perch-likes</x:v>
      </x:c>
      <x:c r="I110" s="31" t="n">
        <x:v>19.6179196222</x:v>
      </x:c>
      <x:c r="J110" s="31" t="n">
        <x:v>19.6179196222</x:v>
      </x:c>
      <x:c r="K110" s="31" t="n">
        <x:v>0</x:v>
      </x:c>
      <x:c r="L110" s="31" t="n">
        <x:v>9.868387994099999</x:v>
      </x:c>
      <x:c r="M110" s="31" t="n">
        <x:v>9.749531628100002</x:v>
      </x:c>
      <x:c r="N110" s="24" t="str">
        <x:v>stereolepis gigas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Stereolepis gigas</x:v>
      </x:c>
      <x:c r="T110" s="32" t="n">
        <x:f>IF(O110="","",(1/'Metadata'!$B$5)^(O110-1))</x:f>
        <x:v>3162.2776601683795</x:v>
      </x:c>
      <x:c r="U110" s="31" t="n">
        <x:f>IF(T110="","",I110*T110)</x:f>
        <x:v>62037.30896026195</x:v>
      </x:c>
    </x:row>
    <x:row r="111" ht="18" customHeight="1">
      <x:c r="A111" s="24" t="str">
        <x:v>LME_004</x:v>
      </x:c>
      <x:c r="B111" s="24" t="str">
        <x:v>Gulf of California</x:v>
      </x:c>
      <x:c r="C111" s="24" t="str">
        <x:v>LME</x:v>
      </x:c>
      <x:c r="D111" s="30" t="n">
        <x:v>2019</x:v>
      </x:c>
      <x:c r="E111" s="24" t="str">
        <x:v>Sphyraenidae</x:v>
      </x:c>
      <x:c r="F111" s="24" t="str">
        <x:v>Barracudas</x:v>
      </x:c>
      <x:c r="G111" s="24" t="str">
        <x:v>Medium reef assoc. fish (30 - 89 cm)</x:v>
      </x:c>
      <x:c r="H111" s="24" t="str">
        <x:v>Perch-likes</x:v>
      </x:c>
      <x:c r="I111" s="31" t="n">
        <x:v>17.1624050292</x:v>
      </x:c>
      <x:c r="J111" s="31" t="n">
        <x:v>17.1624050292</x:v>
      </x:c>
      <x:c r="K111" s="31" t="n">
        <x:v>0</x:v>
      </x:c>
      <x:c r="L111" s="31" t="n">
        <x:v>0</x:v>
      </x:c>
      <x:c r="M111" s="31" t="n">
        <x:v>17.1624050292</x:v>
      </x:c>
      <x:c r="N111" s="24" t="str">
        <x:v>sphyraenidae</x:v>
      </x:c>
      <x:c r="O111" s="32" t="n">
        <x:v>4.4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Sphyraenidae</x:v>
      </x:c>
      <x:c r="T111" s="32" t="n">
        <x:f>IF(O111="","",(1/'Metadata'!$B$5)^(O111-1))</x:f>
        <x:v>2511.886431509582</x:v>
      </x:c>
      <x:c r="U111" s="31" t="n">
        <x:f>IF(T111="","",I111*T111)</x:f>
        <x:v>43110.01232491929</x:v>
      </x:c>
    </x:row>
    <x:row r="112" ht="18" customHeight="1">
      <x:c r="A112" s="24" t="str">
        <x:v>LME_004</x:v>
      </x:c>
      <x:c r="B112" s="24" t="str">
        <x:v>Gulf of California</x:v>
      </x:c>
      <x:c r="C112" s="24" t="str">
        <x:v>LME</x:v>
      </x:c>
      <x:c r="D112" s="30" t="n">
        <x:v>2019</x:v>
      </x:c>
      <x:c r="E112" s="24" t="str">
        <x:v>Carcharhinus</x:v>
      </x:c>
      <x:c r="F112" s="24" t="str">
        <x:v>Sharp-nosed sharks</x:v>
      </x:c>
      <x:c r="G112" s="24" t="str">
        <x:v>Large sharks (&gt;=90 cm)</x:v>
      </x:c>
      <x:c r="H112" s="24" t="str">
        <x:v>Sharks &amp; rays</x:v>
      </x:c>
      <x:c r="I112" s="31" t="n">
        <x:v>16.663420578</x:v>
      </x:c>
      <x:c r="J112" s="31" t="n">
        <x:v>16.663420578</x:v>
      </x:c>
      <x:c r="K112" s="31" t="n">
        <x:v>0</x:v>
      </x:c>
      <x:c r="L112" s="31" t="n">
        <x:v>16.663420578</x:v>
      </x:c>
      <x:c r="M112" s="31" t="n">
        <x:v>0</x:v>
      </x:c>
      <x:c r="N112" s="24" t="str">
        <x:v>carcharhinus</x:v>
      </x:c>
      <x:c r="O112" s="32" t="n">
        <x:v>4.26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Carcharhinus</x:v>
      </x:c>
      <x:c r="T112" s="32" t="n">
        <x:f>IF(O112="","",(1/'Metadata'!$B$5)^(O112-1))</x:f>
        <x:v>1819.7008586099826</x:v>
      </x:c>
      <x:c r="U112" s="31" t="n">
        <x:f>IF(T112="","",I112*T112)</x:f>
        <x:v>30322.44073316585</x:v>
      </x:c>
    </x:row>
    <x:row r="113" ht="18" customHeight="1">
      <x:c r="A113" s="24" t="str">
        <x:v>LME_004</x:v>
      </x:c>
      <x:c r="B113" s="24" t="str">
        <x:v>Gulf of California</x:v>
      </x:c>
      <x:c r="C113" s="24" t="str">
        <x:v>LME</x:v>
      </x:c>
      <x:c r="D113" s="30" t="n">
        <x:v>2019</x:v>
      </x:c>
      <x:c r="E113" s="24" t="str">
        <x:v>Totoaba macdonaldi</x:v>
      </x:c>
      <x:c r="F113" s="24" t="str">
        <x:v>Totoaba</x:v>
      </x:c>
      <x:c r="G113" s="24" t="str">
        <x:v>Large benthopelagics (&gt;=90 cm)</x:v>
      </x:c>
      <x:c r="H113" s="24" t="str">
        <x:v>Perch-likes</x:v>
      </x:c>
      <x:c r="I113" s="31" t="n">
        <x:v>16.378149457400003</x:v>
      </x:c>
      <x:c r="J113" s="31" t="n">
        <x:v>16.378149457400003</x:v>
      </x:c>
      <x:c r="K113" s="31" t="n">
        <x:v>0</x:v>
      </x:c>
      <x:c r="L113" s="31" t="n">
        <x:v>0</x:v>
      </x:c>
      <x:c r="M113" s="31" t="n">
        <x:v>16.378149457400003</x:v>
      </x:c>
      <x:c r="N113" s="24" t="str">
        <x:v>totoaba macdonaldi</x:v>
      </x:c>
      <x:c r="O113" s="32" t="n">
        <x:v>4.06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Totoaba macdonaldi</x:v>
      </x:c>
      <x:c r="T113" s="32" t="n">
        <x:f>IF(O113="","",(1/'Metadata'!$B$5)^(O113-1))</x:f>
        <x:v>1148.1536214968817</x:v>
      </x:c>
      <x:c r="U113" s="31" t="n">
        <x:f>IF(T113="","",I113*T113)</x:f>
        <x:v>18804.631612931</x:v>
      </x:c>
    </x:row>
    <x:row r="114" ht="18" customHeight="1">
      <x:c r="A114" s="24" t="str">
        <x:v>LME_004</x:v>
      </x:c>
      <x:c r="B114" s="24" t="str">
        <x:v>Gulf of California</x:v>
      </x:c>
      <x:c r="C114" s="24" t="str">
        <x:v>LME</x:v>
      </x:c>
      <x:c r="D114" s="30" t="n">
        <x:v>2019</x:v>
      </x:c>
      <x:c r="E114" s="24" t="str">
        <x:v>Clupeidae</x:v>
      </x:c>
      <x:c r="F114" s="24" t="str">
        <x:v>Herrings, sardines, menhadens</x:v>
      </x:c>
      <x:c r="G114" s="24" t="str">
        <x:v>Small pelagics (&lt;30 cm)</x:v>
      </x:c>
      <x:c r="H114" s="24" t="str">
        <x:v>Herring-likes</x:v>
      </x:c>
      <x:c r="I114" s="31" t="n">
        <x:v>13.4900220177</x:v>
      </x:c>
      <x:c r="J114" s="31" t="n">
        <x:v>13.4900220177</x:v>
      </x:c>
      <x:c r="K114" s="31" t="n">
        <x:v>0</x:v>
      </x:c>
      <x:c r="L114" s="31" t="n">
        <x:v>0</x:v>
      </x:c>
      <x:c r="M114" s="31" t="n">
        <x:v>13.4900220177</x:v>
      </x:c>
      <x:c r="N114" s="24" t="str">
        <x:v>clupeidae</x:v>
      </x:c>
      <x:c r="O114" s="32" t="n">
        <x:v>3.16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Clupeidae</x:v>
      </x:c>
      <x:c r="T114" s="32" t="n">
        <x:f>IF(O114="","",(1/'Metadata'!$B$5)^(O114-1))</x:f>
        <x:v>144.5439770745928</x:v>
      </x:c>
      <x:c r="U114" s="31" t="n">
        <x:f>IF(T114="","",I114*T114)</x:f>
        <x:v>1949.9014332621807</x:v>
      </x:c>
    </x:row>
    <x:row r="115" ht="18" customHeight="1">
      <x:c r="A115" s="24" t="str">
        <x:v>LME_004</x:v>
      </x:c>
      <x:c r="B115" s="24" t="str">
        <x:v>Gulf of California</x:v>
      </x:c>
      <x:c r="C115" s="24" t="str">
        <x:v>LME</x:v>
      </x:c>
      <x:c r="D115" s="30" t="n">
        <x:v>2019</x:v>
      </x:c>
      <x:c r="E115" s="24" t="str">
        <x:v>Xiphias gladius</x:v>
      </x:c>
      <x:c r="F115" s="24" t="str">
        <x:v>Swordfish</x:v>
      </x:c>
      <x:c r="G115" s="24" t="str">
        <x:v>Large pelagics (&gt;=90 cm)</x:v>
      </x:c>
      <x:c r="H115" s="24" t="str">
        <x:v>Tuna &amp; billfishes</x:v>
      </x:c>
      <x:c r="I115" s="31" t="n">
        <x:v>12.4220316573</x:v>
      </x:c>
      <x:c r="J115" s="31" t="n">
        <x:v>12.380884980200001</x:v>
      </x:c>
      <x:c r="K115" s="31" t="n">
        <x:v>0.0411466771</x:v>
      </x:c>
      <x:c r="L115" s="31" t="n">
        <x:v>12.380884980200001</x:v>
      </x:c>
      <x:c r="M115" s="31" t="n">
        <x:v>0.0411466771</x:v>
      </x:c>
      <x:c r="N115" s="24" t="str">
        <x:v>xiphias gladius</x:v>
      </x:c>
      <x:c r="O115" s="32" t="n">
        <x:v>4.53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Xiphias gladius</x:v>
      </x:c>
      <x:c r="T115" s="32" t="n">
        <x:f>IF(O115="","",(1/'Metadata'!$B$5)^(O115-1))</x:f>
        <x:v>3388.4415613920273</x:v>
      </x:c>
      <x:c r="U115" s="31" t="n">
        <x:f>IF(T115="","",I115*T115)</x:f>
        <x:v>42091.3283445228</x:v>
      </x:c>
    </x:row>
    <x:row r="116" ht="18" customHeight="1">
      <x:c r="A116" s="24" t="str">
        <x:v>LME_004</x:v>
      </x:c>
      <x:c r="B116" s="24" t="str">
        <x:v>Gulf of California</x:v>
      </x:c>
      <x:c r="C116" s="24" t="str">
        <x:v>LME</x:v>
      </x:c>
      <x:c r="D116" s="30" t="n">
        <x:v>2019</x:v>
      </x:c>
      <x:c r="E116" s="24" t="str">
        <x:v>Galeocerdo cuvier</x:v>
      </x:c>
      <x:c r="F116" s="24" t="str">
        <x:v>Tiger shark</x:v>
      </x:c>
      <x:c r="G116" s="24" t="str">
        <x:v>Large sharks (&gt;=90 cm)</x:v>
      </x:c>
      <x:c r="H116" s="24" t="str">
        <x:v>Sharks &amp; rays</x:v>
      </x:c>
      <x:c r="I116" s="31" t="n">
        <x:v>10.497038803</x:v>
      </x:c>
      <x:c r="J116" s="31" t="n">
        <x:v>10.497038803</x:v>
      </x:c>
      <x:c r="K116" s="31" t="n">
        <x:v>0</x:v>
      </x:c>
      <x:c r="L116" s="31" t="n">
        <x:v>7.5248063131</x:v>
      </x:c>
      <x:c r="M116" s="31" t="n">
        <x:v>2.9722324899</x:v>
      </x:c>
      <x:c r="N116" s="24" t="str">
        <x:v>galeocerdo cuvier</x:v>
      </x:c>
      <x:c r="O116" s="32" t="n">
        <x:v>4.54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Galeocerdo cuvier</x:v>
      </x:c>
      <x:c r="T116" s="32" t="n">
        <x:f>IF(O116="","",(1/'Metadata'!$B$5)^(O116-1))</x:f>
        <x:v>3467.368504525317</x:v>
      </x:c>
      <x:c r="U116" s="31" t="n">
        <x:f>IF(T116="","",I116*T116)</x:f>
        <x:v>36397.101736302335</x:v>
      </x:c>
    </x:row>
    <x:row r="117" ht="18" customHeight="1">
      <x:c r="A117" s="24" t="str">
        <x:v>LME_004</x:v>
      </x:c>
      <x:c r="B117" s="24" t="str">
        <x:v>Gulf of California</x:v>
      </x:c>
      <x:c r="C117" s="24" t="str">
        <x:v>LME</x:v>
      </x:c>
      <x:c r="D117" s="30" t="n">
        <x:v>2019</x:v>
      </x:c>
      <x:c r="E117" s="24" t="str">
        <x:v>Bodianus pulcher</x:v>
      </x:c>
      <x:c r="F117" s="24" t="str">
        <x:v>California sheephead</x:v>
      </x:c>
      <x:c r="G117" s="24" t="str">
        <x:v>Medium reef assoc. fish (30 - 89 cm)</x:v>
      </x:c>
      <x:c r="H117" s="24" t="str">
        <x:v>Perch-likes</x:v>
      </x:c>
      <x:c r="I117" s="31" t="n">
        <x:v>9.6623969613</x:v>
      </x:c>
      <x:c r="J117" s="31" t="n">
        <x:v>0</x:v>
      </x:c>
      <x:c r="K117" s="31" t="n">
        <x:v>9.6623969613</x:v>
      </x:c>
      <x:c r="L117" s="31" t="n">
        <x:v>0</x:v>
      </x:c>
      <x:c r="M117" s="31" t="n">
        <x:v>9.6623969613</x:v>
      </x:c>
      <x:c r="N117" s="24" t="str">
        <x:v>bodianus pulcher</x:v>
      </x:c>
      <x:c r="O117" s="32" t="n">
        <x:v>3.56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Bodianus pulcher</x:v>
      </x:c>
      <x:c r="T117" s="32" t="n">
        <x:f>IF(O117="","",(1/'Metadata'!$B$5)^(O117-1))</x:f>
        <x:v>363.0780547701014</x:v>
      </x:c>
      <x:c r="U117" s="31" t="n">
        <x:f>IF(T117="","",I117*T117)</x:f>
        <x:v>3508.204293125343</x:v>
      </x:c>
    </x:row>
    <x:row r="118" ht="18" customHeight="1">
      <x:c r="A118" s="24" t="str">
        <x:v>LME_004</x:v>
      </x:c>
      <x:c r="B118" s="24" t="str">
        <x:v>Gulf of California</x:v>
      </x:c>
      <x:c r="C118" s="24" t="str">
        <x:v>LME</x:v>
      </x:c>
      <x:c r="D118" s="30" t="n">
        <x:v>2019</x:v>
      </x:c>
      <x:c r="E118" s="24" t="str">
        <x:v>Miscellaneous marine crustaceans</x:v>
      </x:c>
      <x:c r="F118" s="24" t="str">
        <x:v>Marine crabs, shrimps, lobsters nei</x:v>
      </x:c>
      <x:c r="G118" s="24" t="str">
        <x:v>Shrimps</x:v>
      </x:c>
      <x:c r="H118" s="24" t="str">
        <x:v>Crustaceans</x:v>
      </x:c>
      <x:c r="I118" s="31" t="n">
        <x:v>7.5650404858</x:v>
      </x:c>
      <x:c r="J118" s="31" t="n">
        <x:v>0</x:v>
      </x:c>
      <x:c r="K118" s="31" t="n">
        <x:v>7.5650404858</x:v>
      </x:c>
      <x:c r="L118" s="31" t="n">
        <x:v>0</x:v>
      </x:c>
      <x:c r="M118" s="31" t="n">
        <x:v>7.5650404858</x:v>
      </x:c>
      <x:c r="N118" s="24" t="str">
        <x:v>miscellaneous marine crustaceans</x:v>
      </x:c>
      <x:c r="O118" s="32" t="n">
        <x:v>2.7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Miscellaneous marine crustaceans</x:v>
      </x:c>
      <x:c r="T118" s="32" t="n">
        <x:f>IF(O118="","",(1/'Metadata'!$B$5)^(O118-1))</x:f>
        <x:v>50.11872336272725</x:v>
      </x:c>
      <x:c r="U118" s="31" t="n">
        <x:f>IF(T118="","",I118*T118)</x:f>
        <x:v>379.15017133564197</x:v>
      </x:c>
    </x:row>
    <x:row r="119" ht="18" customHeight="1">
      <x:c r="A119" s="24" t="str">
        <x:v>LME_004</x:v>
      </x:c>
      <x:c r="B119" s="24" t="str">
        <x:v>Gulf of California</x:v>
      </x:c>
      <x:c r="C119" s="24" t="str">
        <x:v>LME</x:v>
      </x:c>
      <x:c r="D119" s="30" t="n">
        <x:v>2019</x:v>
      </x:c>
      <x:c r="E119" s="24" t="str">
        <x:v>Lutjanidae</x:v>
      </x:c>
      <x:c r="F119" s="24" t="str">
        <x:v>Snappers</x:v>
      </x:c>
      <x:c r="G119" s="24" t="str">
        <x:v>Medium reef assoc. fish (30 - 89 cm)</x:v>
      </x:c>
      <x:c r="H119" s="24" t="str">
        <x:v>Perch-likes</x:v>
      </x:c>
      <x:c r="I119" s="31" t="n">
        <x:v>4.9533312769</x:v>
      </x:c>
      <x:c r="J119" s="31" t="n">
        <x:v>4.9533312769</x:v>
      </x:c>
      <x:c r="K119" s="31" t="n">
        <x:v>0</x:v>
      </x:c>
      <x:c r="L119" s="31" t="n">
        <x:v>0</x:v>
      </x:c>
      <x:c r="M119" s="31" t="n">
        <x:v>4.9533312769</x:v>
      </x:c>
      <x:c r="N119" s="24" t="str">
        <x:v>lutjanidae</x:v>
      </x:c>
      <x:c r="O119" s="32" t="n">
        <x:v>4.02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Lutjanidae</x:v>
      </x:c>
      <x:c r="T119" s="32" t="n">
        <x:f>IF(O119="","",(1/'Metadata'!$B$5)^(O119-1))</x:f>
        <x:v>1047.1285480508984</x:v>
      </x:c>
      <x:c r="U119" s="31" t="n">
        <x:f>IF(T119="","",I119*T119)</x:f>
        <x:v>5186.7745879954</x:v>
      </x:c>
    </x:row>
    <x:row r="120" ht="18" customHeight="1">
      <x:c r="A120" s="24" t="str">
        <x:v>LME_004</x:v>
      </x:c>
      <x:c r="B120" s="24" t="str">
        <x:v>Gulf of California</x:v>
      </x:c>
      <x:c r="C120" s="24" t="str">
        <x:v>LME</x:v>
      </x:c>
      <x:c r="D120" s="30" t="n">
        <x:v>2019</x:v>
      </x:c>
      <x:c r="E120" s="24" t="str">
        <x:v>Coryphaena</x:v>
      </x:c>
      <x:c r="F120" s="24" t="str">
        <x:v>Dolphinfishes</x:v>
      </x:c>
      <x:c r="G120" s="24" t="str">
        <x:v>Large pelagics (&gt;=90 cm)</x:v>
      </x:c>
      <x:c r="H120" s="24" t="str">
        <x:v>Perch-likes</x:v>
      </x:c>
      <x:c r="I120" s="31" t="n">
        <x:v>4.915689155200001</x:v>
      </x:c>
      <x:c r="J120" s="31" t="n">
        <x:v>4.915689155200001</x:v>
      </x:c>
      <x:c r="K120" s="31" t="n">
        <x:v>0</x:v>
      </x:c>
      <x:c r="L120" s="31" t="n">
        <x:v>4.915689155200001</x:v>
      </x:c>
      <x:c r="M120" s="31" t="n">
        <x:v>0</x:v>
      </x:c>
      <x:c r="N120" s="24" t="str">
        <x:v>coryphaena</x:v>
      </x:c>
      <x:c r="O120" s="32" t="n">
        <x:v>4.49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Coryphaena</x:v>
      </x:c>
      <x:c r="T120" s="32" t="n">
        <x:f>IF(O120="","",(1/'Metadata'!$B$5)^(O120-1))</x:f>
        <x:v>3090.295432513592</x:v>
      </x:c>
      <x:c r="U120" s="31" t="n">
        <x:f>IF(T120="","",I120*T120)</x:f>
        <x:v>15190.93174397116</x:v>
      </x:c>
    </x:row>
    <x:row r="121" ht="18" customHeight="1">
      <x:c r="A121" s="24" t="str">
        <x:v>LME_004</x:v>
      </x:c>
      <x:c r="B121" s="24" t="str">
        <x:v>Gulf of California</x:v>
      </x:c>
      <x:c r="C121" s="24" t="str">
        <x:v>LME</x:v>
      </x:c>
      <x:c r="D121" s="30" t="n">
        <x:v>2019</x:v>
      </x:c>
      <x:c r="E121" s="24" t="str">
        <x:v>Sarda chiliensis</x:v>
      </x:c>
      <x:c r="F121" s="24" t="str">
        <x:v>Eastern Pacific bonito</x:v>
      </x:c>
      <x:c r="G121" s="24" t="str">
        <x:v>Medium pelagics (30 - 89 cm)</x:v>
      </x:c>
      <x:c r="H121" s="24" t="str">
        <x:v>Tuna &amp; billfishes</x:v>
      </x:c>
      <x:c r="I121" s="31" t="n">
        <x:v>3.7916740547</x:v>
      </x:c>
      <x:c r="J121" s="31" t="n">
        <x:v>3.7916740547</x:v>
      </x:c>
      <x:c r="K121" s="31" t="n">
        <x:v>0</x:v>
      </x:c>
      <x:c r="L121" s="31" t="n">
        <x:v>2.9293140209</x:v>
      </x:c>
      <x:c r="M121" s="31" t="n">
        <x:v>0.8623600337999999</x:v>
      </x:c>
      <x:c r="N121" s="24" t="str">
        <x:v>sarda chiliensis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Sarda chiliensis</x:v>
      </x:c>
      <x:c r="T121" s="32" t="n">
        <x:f>IF(O121="","",(1/'Metadata'!$B$5)^(O121-1))</x:f>
        <x:v>3090.295432513592</x:v>
      </x:c>
      <x:c r="U121" s="31" t="n">
        <x:f>IF(T121="","",I121*T121)</x:f>
        <x:v>11717.393012819703</x:v>
      </x:c>
    </x:row>
    <x:row r="122" ht="18" customHeight="1">
      <x:c r="A122" s="24" t="str">
        <x:v>LME_004</x:v>
      </x:c>
      <x:c r="B122" s="24" t="str">
        <x:v>Gulf of California</x:v>
      </x:c>
      <x:c r="C122" s="24" t="str">
        <x:v>LME</x:v>
      </x:c>
      <x:c r="D122" s="30" t="n">
        <x:v>2019</x:v>
      </x:c>
      <x:c r="E122" s="24" t="str">
        <x:v>Scorpaena</x:v>
      </x:c>
      <x:c r="F122" s="24" t="str">
        <x:v>Scorpionfishes</x:v>
      </x:c>
      <x:c r="G122" s="24" t="str">
        <x:v>Large reef assoc. fish (&gt;=90 cm)</x:v>
      </x:c>
      <x:c r="H122" s="24" t="str">
        <x:v>Scorpionfishes</x:v>
      </x:c>
      <x:c r="I122" s="31" t="n">
        <x:v>2.5107382759</x:v>
      </x:c>
      <x:c r="J122" s="31" t="n">
        <x:v>0</x:v>
      </x:c>
      <x:c r="K122" s="31" t="n">
        <x:v>2.5107382759</x:v>
      </x:c>
      <x:c r="L122" s="31" t="n">
        <x:v>0</x:v>
      </x:c>
      <x:c r="M122" s="31" t="n">
        <x:v>2.5107382759</x:v>
      </x:c>
      <x:c r="N122" s="24" t="str">
        <x:v>scorpaena</x:v>
      </x:c>
      <x:c r="O122" s="32" t="n">
        <x:v>3.87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Scorpaena</x:v>
      </x:c>
      <x:c r="T122" s="32" t="n">
        <x:f>IF(O122="","",(1/'Metadata'!$B$5)^(O122-1))</x:f>
        <x:v>741.3102413009177</x:v>
      </x:c>
      <x:c r="U122" s="31" t="n">
        <x:f>IF(T122="","",I122*T122)</x:f>
        <x:v>1861.2359971508793</x:v>
      </x:c>
    </x:row>
    <x:row r="123" ht="18" customHeight="1">
      <x:c r="A123" s="24" t="str">
        <x:v>LME_004</x:v>
      </x:c>
      <x:c r="B123" s="24" t="str">
        <x:v>Gulf of California</x:v>
      </x:c>
      <x:c r="C123" s="24" t="str">
        <x:v>LME</x:v>
      </x:c>
      <x:c r="D123" s="30" t="n">
        <x:v>2019</x:v>
      </x:c>
      <x:c r="E123" s="24" t="str">
        <x:v>Marine pelagic fishes not identified</x:v>
      </x:c>
      <x:c r="F123" s="24" t="str">
        <x:v>Pelagic fishes</x:v>
      </x:c>
      <x:c r="G123" s="24" t="str">
        <x:v>Medium pelagics (30 - 89 cm)</x:v>
      </x:c>
      <x:c r="H123" s="24" t="str">
        <x:v>Other fishes &amp; inverts</x:v>
      </x:c>
      <x:c r="I123" s="31" t="n">
        <x:v>2.3966976609999997</x:v>
      </x:c>
      <x:c r="J123" s="31" t="n">
        <x:v>2.3808037801</x:v>
      </x:c>
      <x:c r="K123" s="31" t="n">
        <x:v>0.0158938809</x:v>
      </x:c>
      <x:c r="L123" s="31" t="n">
        <x:v>2.3808037801</x:v>
      </x:c>
      <x:c r="M123" s="31" t="n">
        <x:v>0.0158938809</x:v>
      </x:c>
      <x:c r="N123" s="24" t="str">
        <x:v>marine pelagic fishes not identified</x:v>
      </x:c>
      <x:c r="O123" s="32" t="n">
        <x:v>3.35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Marine pelagic fishes not identified</x:v>
      </x:c>
      <x:c r="T123" s="32" t="n">
        <x:f>IF(O123="","",(1/'Metadata'!$B$5)^(O123-1))</x:f>
        <x:v>223.872113856834</x:v>
      </x:c>
      <x:c r="U123" s="31" t="n">
        <x:f>IF(T123="","",I123*T123)</x:f>
        <x:v>536.5537716437997</x:v>
      </x:c>
    </x:row>
    <x:row r="124" ht="18" customHeight="1">
      <x:c r="A124" s="24" t="str">
        <x:v>LME_004</x:v>
      </x:c>
      <x:c r="B124" s="24" t="str">
        <x:v>Gulf of California</x:v>
      </x:c>
      <x:c r="C124" s="24" t="str">
        <x:v>LME</x:v>
      </x:c>
      <x:c r="D124" s="30" t="n">
        <x:v>2019</x:v>
      </x:c>
      <x:c r="E124" s="24" t="str">
        <x:v>Seriola lalandi</x:v>
      </x:c>
      <x:c r="F124" s="24" t="str">
        <x:v>Yellowtail amberjack</x:v>
      </x:c>
      <x:c r="G124" s="24" t="str">
        <x:v>Large benthopelagics (&gt;=90 cm)</x:v>
      </x:c>
      <x:c r="H124" s="24" t="str">
        <x:v>Perch-likes</x:v>
      </x:c>
      <x:c r="I124" s="31" t="n">
        <x:v>1.3182402793</x:v>
      </x:c>
      <x:c r="J124" s="31" t="n">
        <x:v>0</x:v>
      </x:c>
      <x:c r="K124" s="31" t="n">
        <x:v>1.3182402793</x:v>
      </x:c>
      <x:c r="L124" s="31" t="n">
        <x:v>0</x:v>
      </x:c>
      <x:c r="M124" s="31" t="n">
        <x:v>1.3182402793</x:v>
      </x:c>
      <x:c r="N124" s="24" t="str">
        <x:v>seriola lalandi</x:v>
      </x:c>
      <x:c r="O124" s="32" t="n">
        <x:v>4.16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Seriola lalandi</x:v>
      </x:c>
      <x:c r="T124" s="32" t="n">
        <x:f>IF(O124="","",(1/'Metadata'!$B$5)^(O124-1))</x:f>
        <x:v>1445.439770745928</x:v>
      </x:c>
      <x:c r="U124" s="31" t="n">
        <x:f>IF(T124="","",I124*T124)</x:f>
        <x:v>1905.4369270994403</x:v>
      </x:c>
    </x:row>
    <x:row r="125" ht="18" customHeight="1">
      <x:c r="A125" s="24" t="str">
        <x:v>LME_004</x:v>
      </x:c>
      <x:c r="B125" s="24" t="str">
        <x:v>Gulf of California</x:v>
      </x:c>
      <x:c r="C125" s="24" t="str">
        <x:v>LME</x:v>
      </x:c>
      <x:c r="D125" s="30" t="n">
        <x:v>2019</x:v>
      </x:c>
      <x:c r="E125" s="24" t="str">
        <x:v>Miscellaneous aquatic invertebrates</x:v>
      </x:c>
      <x:c r="F125" s="24" t="str">
        <x:v>Aquatic invertebrates</x:v>
      </x:c>
      <x:c r="G125" s="24" t="str">
        <x:v>Other demersal invertebrates</x:v>
      </x:c>
      <x:c r="H125" s="24" t="str">
        <x:v>Other fishes &amp; inverts</x:v>
      </x:c>
      <x:c r="I125" s="31" t="n">
        <x:v>0.6360167765</x:v>
      </x:c>
      <x:c r="J125" s="31" t="n">
        <x:v>0</x:v>
      </x:c>
      <x:c r="K125" s="31" t="n">
        <x:v>0.6360167765</x:v>
      </x:c>
      <x:c r="L125" s="31" t="n">
        <x:v>0</x:v>
      </x:c>
      <x:c r="M125" s="31" t="n">
        <x:v>0.6360167765</x:v>
      </x:c>
      <x:c r="N125" s="24" t="str">
        <x:v>miscellaneous aquatic invertebrates</x:v>
      </x:c>
      <x:c r="O125" s="32" t="n">
        <x:v>2.43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Miscellaneous aquatic invertebrates</x:v>
      </x:c>
      <x:c r="T125" s="32" t="n">
        <x:f>IF(O125="","",(1/'Metadata'!$B$5)^(O125-1))</x:f>
        <x:v>26.915348039269166</x:v>
      </x:c>
      <x:c r="U125" s="31" t="n">
        <x:f>IF(T125="","",I125*T125)</x:f>
        <x:v>17.11861289831157</x:v>
      </x:c>
    </x:row>
    <x:row r="126" ht="18" customHeight="1">
      <x:c r="A126" s="24" t="str">
        <x:v>LME_004</x:v>
      </x:c>
      <x:c r="B126" s="24" t="str">
        <x:v>Gulf of California</x:v>
      </x:c>
      <x:c r="C126" s="24" t="str">
        <x:v>LME</x:v>
      </x:c>
      <x:c r="D126" s="30" t="n">
        <x:v>2019</x:v>
      </x:c>
      <x:c r="E126" s="24" t="str">
        <x:v>Thunnus obesus</x:v>
      </x:c>
      <x:c r="F126" s="24" t="str">
        <x:v>Bigeye tuna</x:v>
      </x:c>
      <x:c r="G126" s="24" t="str">
        <x:v>Large pelagics (&gt;=90 cm)</x:v>
      </x:c>
      <x:c r="H126" s="24" t="str">
        <x:v>Tuna &amp; billfishes</x:v>
      </x:c>
      <x:c r="I126" s="31" t="n">
        <x:v>0.5195529498</x:v>
      </x:c>
      <x:c r="J126" s="31" t="n">
        <x:v>0.5195527084</x:v>
      </x:c>
      <x:c r="K126" s="31" t="n">
        <x:v>2.414e-7</x:v>
      </x:c>
      <x:c r="L126" s="31" t="n">
        <x:v>0.5195527084</x:v>
      </x:c>
      <x:c r="M126" s="31" t="n">
        <x:v>2.414e-7</x:v>
      </x:c>
      <x:c r="N126" s="24" t="str">
        <x:v>thunnus obesus</x:v>
      </x:c>
      <x:c r="O126" s="32" t="n">
        <x:v>4.49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Thunnus obesus</x:v>
      </x:c>
      <x:c r="T126" s="32" t="n">
        <x:f>IF(O126="","",(1/'Metadata'!$B$5)^(O126-1))</x:f>
        <x:v>3090.295432513592</x:v>
      </x:c>
      <x:c r="U126" s="31" t="n">
        <x:f>IF(T126="","",I126*T126)</x:f>
        <x:v>1605.5721077159035</x:v>
      </x:c>
    </x:row>
    <x:row r="127" ht="18" customHeight="1">
      <x:c r="A127" s="24" t="str">
        <x:v>LME_004</x:v>
      </x:c>
      <x:c r="B127" s="24" t="str">
        <x:v>Gulf of California</x:v>
      </x:c>
      <x:c r="C127" s="24" t="str">
        <x:v>LME</x:v>
      </x:c>
      <x:c r="D127" s="30" t="n">
        <x:v>2019</x:v>
      </x:c>
      <x:c r="E127" s="24" t="str">
        <x:v>Istiompax indica</x:v>
      </x:c>
      <x:c r="F127" s="24" t="str">
        <x:v>Black marlin</x:v>
      </x:c>
      <x:c r="G127" s="24" t="str">
        <x:v>Large pelagics (&gt;=90 cm)</x:v>
      </x:c>
      <x:c r="H127" s="24" t="str">
        <x:v>Tuna &amp; billfishes</x:v>
      </x:c>
      <x:c r="I127" s="31" t="n">
        <x:v>0.43638172020000005</x:v>
      </x:c>
      <x:c r="J127" s="31" t="n">
        <x:v>0.43638172020000005</x:v>
      </x:c>
      <x:c r="K127" s="31" t="n">
        <x:v>0</x:v>
      </x:c>
      <x:c r="L127" s="31" t="n">
        <x:v>0.43638172020000005</x:v>
      </x:c>
      <x:c r="M127" s="31" t="n">
        <x:v>0</x:v>
      </x:c>
      <x:c r="N127" s="24" t="str">
        <x:v>istiompax indica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Istiompax indica</x:v>
      </x:c>
      <x:c r="T127" s="32" t="n">
        <x:f>IF(O127="","",(1/'Metadata'!$B$5)^(O127-1))</x:f>
        <x:v>3162.2776601683795</x:v>
      </x:c>
      <x:c r="U127" s="31" t="n">
        <x:f>IF(T127="","",I127*T127)</x:f>
        <x:v>1379.9601650943086</x:v>
      </x:c>
    </x:row>
    <x:row r="128" ht="18" customHeight="1">
      <x:c r="A128" s="24" t="str">
        <x:v>LME_004</x:v>
      </x:c>
      <x:c r="B128" s="24" t="str">
        <x:v>Gulf of California</x:v>
      </x:c>
      <x:c r="C128" s="24" t="str">
        <x:v>LME</x:v>
      </x:c>
      <x:c r="D128" s="30" t="n">
        <x:v>2019</x:v>
      </x:c>
      <x:c r="E128" s="24" t="str">
        <x:v>Squilla panamensis</x:v>
      </x:c>
      <x:c r="F128" s="24" t="str">
        <x:v>Panama mantis shrimp</x:v>
      </x:c>
      <x:c r="G128" s="24" t="str">
        <x:v>Shrimps</x:v>
      </x:c>
      <x:c r="H128" s="24" t="str">
        <x:v>Crustaceans</x:v>
      </x:c>
      <x:c r="I128" s="31" t="n">
        <x:v>0.274485191</x:v>
      </x:c>
      <x:c r="J128" s="31" t="n">
        <x:v>0</x:v>
      </x:c>
      <x:c r="K128" s="31" t="n">
        <x:v>0.274485191</x:v>
      </x:c>
      <x:c r="L128" s="31" t="n">
        <x:v>0</x:v>
      </x:c>
      <x:c r="M128" s="31" t="n">
        <x:v>0.274485191</x:v>
      </x:c>
      <x:c r="N128" s="24" t="str">
        <x:v>squilla panamensis</x:v>
      </x:c>
      <x:c r="O128" s="32" t="n">
        <x:v>3.62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Squilla panamensis</x:v>
      </x:c>
      <x:c r="T128" s="32" t="n">
        <x:f>IF(O128="","",(1/'Metadata'!$B$5)^(O128-1))</x:f>
        <x:v>416.8693834703355</x:v>
      </x:c>
      <x:c r="U128" s="31" t="n">
        <x:f>IF(T128="","",I128*T128)</x:f>
        <x:v>114.42447234390728</x:v>
      </x:c>
    </x:row>
    <x:row r="129" ht="18" customHeight="1">
      <x:c r="A129" s="24" t="str">
        <x:v>LME_004</x:v>
      </x:c>
      <x:c r="B129" s="24" t="str">
        <x:v>Gulf of California</x:v>
      </x:c>
      <x:c r="C129" s="24" t="str">
        <x:v>LME</x:v>
      </x:c>
      <x:c r="D129" s="30" t="n">
        <x:v>2019</x:v>
      </x:c>
      <x:c r="E129" s="24" t="str">
        <x:v>Haliotis corrugata</x:v>
      </x:c>
      <x:c r="F129" s="24" t="str">
        <x:v>Pink abalone</x:v>
      </x:c>
      <x:c r="G129" s="24" t="str">
        <x:v>Other demersal invertebrates</x:v>
      </x:c>
      <x:c r="H129" s="24" t="str">
        <x:v>Molluscs</x:v>
      </x:c>
      <x:c r="I129" s="31" t="n">
        <x:v>0.2213963665</x:v>
      </x:c>
      <x:c r="J129" s="31" t="n">
        <x:v>0.2213963665</x:v>
      </x:c>
      <x:c r="K129" s="31" t="n">
        <x:v>0</x:v>
      </x:c>
      <x:c r="L129" s="31" t="n">
        <x:v>0</x:v>
      </x:c>
      <x:c r="M129" s="31" t="n">
        <x:v>0.2213963665</x:v>
      </x:c>
      <x:c r="N129" s="24" t="str">
        <x:v>haliotis corrugata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Haliotis corrugata</x:v>
      </x:c>
      <x:c r="T129" s="32" t="n">
        <x:f>IF(O129="","",(1/'Metadata'!$B$5)^(O129-1))</x:f>
        <x:v>10</x:v>
      </x:c>
      <x:c r="U129" s="31" t="n">
        <x:f>IF(T129="","",I129*T129)</x:f>
        <x:v>2.213963665</x:v>
      </x:c>
    </x:row>
    <x:row r="130" ht="18" customHeight="1">
      <x:c r="A130" s="24" t="str">
        <x:v>LME_004</x:v>
      </x:c>
      <x:c r="B130" s="24" t="str">
        <x:v>Gulf of California</x:v>
      </x:c>
      <x:c r="C130" s="24" t="str">
        <x:v>LME</x:v>
      </x:c>
      <x:c r="D130" s="30" t="n">
        <x:v>2019</x:v>
      </x:c>
      <x:c r="E130" s="24" t="str">
        <x:v>Trichiuridae</x:v>
      </x:c>
      <x:c r="F130" s="24" t="str">
        <x:v>Cutlassfishes</x:v>
      </x:c>
      <x:c r="G130" s="24" t="str">
        <x:v>Large benthopelagics (&gt;=90 cm)</x:v>
      </x:c>
      <x:c r="H130" s="24" t="str">
        <x:v>Perch-likes</x:v>
      </x:c>
      <x:c r="I130" s="31" t="n">
        <x:v>0.0321760636</x:v>
      </x:c>
      <x:c r="J130" s="31" t="n">
        <x:v>0.0321760636</x:v>
      </x:c>
      <x:c r="K130" s="31" t="n">
        <x:v>0</x:v>
      </x:c>
      <x:c r="L130" s="31" t="n">
        <x:v>0</x:v>
      </x:c>
      <x:c r="M130" s="31" t="n">
        <x:v>0.0321760636</x:v>
      </x:c>
      <x:c r="N130" s="24" t="str">
        <x:v>trichiuridae</x:v>
      </x:c>
      <x:c r="O130" s="32" t="n">
        <x:v>4.15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Trichiuridae</x:v>
      </x:c>
      <x:c r="T130" s="32" t="n">
        <x:f>IF(O130="","",(1/'Metadata'!$B$5)^(O130-1))</x:f>
        <x:v>1412.5375446227554</x:v>
      </x:c>
      <x:c r="U130" s="31" t="n">
        <x:f>IF(T130="","",I130*T130)</x:f>
        <x:v>45.44989787316961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46b19f7d5de43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76885.2102479088</x:v>
      </x:c>
      <x:c r="C2" s="32" t="n">
        <x:v>2.591333689296697</x:v>
      </x:c>
      <x:c r="D2" s="32" t="n">
        <x:f>IF(C2="","",(1/'Metadata'!$B$5)^(C2-1))</x:f>
        <x:v>39.0241712954524</x:v>
      </x:c>
      <x:c r="E2" s="31" t="n">
        <x:f>IF(B2=0,"",B2*D2)</x:f>
        <x:v>3000381.6148012653</x:v>
      </x:c>
    </x:row>
    <x:row r="3" ht="18" customHeight="1">
      <x:c r="A3" s="24" t="str">
        <x:v>Cod-likes</x:v>
      </x:c>
      <x:c r="B3" s="31" t="n">
        <x:v>6626.2595020799</x:v>
      </x:c>
      <x:c r="C3" s="32" t="n">
        <x:v>4.344739735986203</x:v>
      </x:c>
      <x:c r="D3" s="32" t="n">
        <x:f>IF(C3="","",(1/'Metadata'!$B$5)^(C3-1))</x:f>
        <x:v>2211.7688434453</x:v>
      </x:c>
      <x:c r="E3" s="31" t="n">
        <x:f>IF(B3=0,"",B3*D3)</x:f>
        <x:v>14655754.315283688</x:v>
      </x:c>
    </x:row>
    <x:row r="4" ht="18" customHeight="1">
      <x:c r="A4" s="24" t="str">
        <x:v>Crustaceans</x:v>
      </x:c>
      <x:c r="B4" s="31" t="n">
        <x:v>47327.6951262869</x:v>
      </x:c>
      <x:c r="C4" s="32" t="n">
        <x:v>3.1169444318544723</x:v>
      </x:c>
      <x:c r="D4" s="32" t="n">
        <x:f>IF(C4="","",(1/'Metadata'!$B$5)^(C4-1))</x:f>
        <x:v>130.90144233862875</x:v>
      </x:c>
      <x:c r="E4" s="31" t="n">
        <x:f>IF(B4=0,"",B4*D4)</x:f>
        <x:v>6195263.554593845</x:v>
      </x:c>
    </x:row>
    <x:row r="5" ht="18" customHeight="1">
      <x:c r="A5" s="24" t="str">
        <x:v>Flatfishes</x:v>
      </x:c>
      <x:c r="B5" s="31" t="n">
        <x:v>14274.9401417047</x:v>
      </x:c>
      <x:c r="C5" s="32" t="n">
        <x:v>3.8015535776013145</x:v>
      </x:c>
      <x:c r="D5" s="32" t="n">
        <x:f>IF(C5="","",(1/'Metadata'!$B$5)^(C5-1))</x:f>
        <x:v>633.2184751472323</x:v>
      </x:c>
      <x:c r="E5" s="31" t="n">
        <x:f>IF(B5=0,"",B5*D5)</x:f>
        <x:v>9039155.829348266</x:v>
      </x:c>
    </x:row>
    <x:row r="6" ht="18" customHeight="1">
      <x:c r="A6" s="24" t="str">
        <x:v>Herring-likes</x:v>
      </x:c>
      <x:c r="B6" s="31" t="n">
        <x:v>106018.7635782452</x:v>
      </x:c>
      <x:c r="C6" s="32" t="n">
        <x:v>2.8621837437805966</x:v>
      </x:c>
      <x:c r="D6" s="32" t="n">
        <x:f>IF(C6="","",(1/'Metadata'!$B$5)^(C6-1))</x:f>
        <x:v>72.80877829037166</x:v>
      </x:c>
      <x:c r="E6" s="31" t="n">
        <x:f>IF(B6=0,"",B6*D6)</x:f>
        <x:v>7719096.651987785</x:v>
      </x:c>
    </x:row>
    <x:row r="7" ht="18" customHeight="1">
      <x:c r="A7" s="24" t="str">
        <x:v>Molluscs</x:v>
      </x:c>
      <x:c r="B7" s="31" t="n">
        <x:v>14808.3444128788</x:v>
      </x:c>
      <x:c r="C7" s="32" t="n">
        <x:v>2.329123562476733</x:v>
      </x:c>
      <x:c r="D7" s="32" t="n">
        <x:f>IF(C7="","",(1/'Metadata'!$B$5)^(C7-1))</x:f>
        <x:v>21.33651878744213</x:v>
      </x:c>
      <x:c r="E7" s="31" t="n">
        <x:f>IF(B7=0,"",B7*D7)</x:f>
        <x:v>315958.5187763022</x:v>
      </x:c>
    </x:row>
    <x:row r="8" ht="18" customHeight="1">
      <x:c r="A8" s="24" t="str">
        <x:v>Other fishes &amp; inverts</x:v>
      </x:c>
      <x:c r="B8" s="31" t="n">
        <x:v>231851.68023806822</x:v>
      </x:c>
      <x:c r="C8" s="32" t="n">
        <x:v>3.3836114475268566</x:v>
      </x:c>
      <x:c r="D8" s="32" t="n">
        <x:f>IF(C8="","",(1/'Metadata'!$B$5)^(C8-1))</x:f>
        <x:v>241.88639809126826</x:v>
      </x:c>
      <x:c r="E8" s="31" t="n">
        <x:f>IF(B8=0,"",B8*D8)</x:f>
        <x:v>56081767.824194804</x:v>
      </x:c>
    </x:row>
    <x:row r="9" ht="18" customHeight="1">
      <x:c r="A9" s="24" t="str">
        <x:v>Perch-likes</x:v>
      </x:c>
      <x:c r="B9" s="31" t="n">
        <x:v>130501.49345998281</x:v>
      </x:c>
      <x:c r="C9" s="32" t="n">
        <x:v>3.665284781908793</x:v>
      </x:c>
      <x:c r="D9" s="32" t="n">
        <x:f>IF(C9="","",(1/'Metadata'!$B$5)^(C9-1))</x:f>
        <x:v>462.68432005401536</x:v>
      </x:c>
      <x:c r="E9" s="31" t="n">
        <x:f>IF(B9=0,"",B9*D9)</x:f>
        <x:v>60380994.76756568</x:v>
      </x:c>
    </x:row>
    <x:row r="10" ht="18" customHeight="1">
      <x:c r="A10" s="24" t="str">
        <x:v>Scorpionfishes</x:v>
      </x:c>
      <x:c r="B10" s="31" t="n">
        <x:v>20798.2685250309</x:v>
      </x:c>
      <x:c r="C10" s="32" t="n">
        <x:v>3.6140678524917194</x:v>
      </x:c>
      <x:c r="D10" s="32" t="n">
        <x:f>IF(C10="","",(1/'Metadata'!$B$5)^(C10-1))</x:f>
        <x:v>411.213962566535</x:v>
      </x:c>
      <x:c r="E10" s="31" t="n">
        <x:f>IF(B10=0,"",B10*D10)</x:f>
        <x:v>8552538.414700799</x:v>
      </x:c>
    </x:row>
    <x:row r="11" ht="18" customHeight="1">
      <x:c r="A11" s="24" t="str">
        <x:v>Sharks &amp; rays</x:v>
      </x:c>
      <x:c r="B11" s="31" t="n">
        <x:v>9302.7208807609</x:v>
      </x:c>
      <x:c r="C11" s="32" t="n">
        <x:v>3.990970525551864</x:v>
      </x:c>
      <x:c r="D11" s="32" t="n">
        <x:f>IF(C11="","",(1/'Metadata'!$B$5)^(C11-1))</x:f>
        <x:v>979.4235122013803</x:v>
      </x:c>
      <x:c r="E11" s="31" t="n">
        <x:f>IF(B11=0,"",B11*D11)</x:f>
        <x:v>9111303.55806396</x:v>
      </x:c>
    </x:row>
    <x:row r="12" ht="18" customHeight="1">
      <x:c r="A12" s="24" t="str">
        <x:v>Tuna &amp; billfishes</x:v>
      </x:c>
      <x:c r="B12" s="31" t="n">
        <x:v>6482.4791148055</x:v>
      </x:c>
      <x:c r="C12" s="32" t="n">
        <x:v>4.289238730985265</x:v>
      </x:c>
      <x:c r="D12" s="32" t="n">
        <x:f>IF(C12="","",(1/'Metadata'!$B$5)^(C12-1))</x:f>
        <x:v>1946.4297369293129</x:v>
      </x:c>
      <x:c r="E12" s="31" t="n">
        <x:f>IF(B12=0,"",B12*D12)</x:f>
        <x:v>12617690.118080635</x:v>
      </x:c>
    </x:row>
  </x:sheetData>
  <x:pageMargins left="0.7" right="0.7" top="0.75" bottom="0.75" header="0.3" footer="0.3"/>
  <x:tableParts count="1">
    <x:tablePart xmlns:r="http://schemas.openxmlformats.org/officeDocument/2006/relationships" r:id="R7d605a8ec05e44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5106.4303403527</x:v>
      </x:c>
      <x:c r="C2" s="32" t="n">
        <x:v>3.9393028566351056</x:v>
      </x:c>
      <x:c r="D2" s="32" t="n">
        <x:f>IF(C2="","",(1/'Metadata'!$B$5)^(C2-1))</x:f>
        <x:v>869.5666129366246</x:v>
      </x:c>
      <x:c r="E2" s="31" t="n">
        <x:f>IF(B2=0,"",B2*D2)</x:f>
        <x:v>4440381.335257312</x:v>
      </x:c>
    </x:row>
    <x:row r="3" ht="18" customHeight="1">
      <x:c r="A3" s="24" t="str">
        <x:v>Jellyfish</x:v>
      </x:c>
      <x:c r="B3" s="31" t="n">
        <x:v>40139.1634272116</x:v>
      </x:c>
      <x:c r="C3" s="32" t="n">
        <x:v>3.4196502530631414</x:v>
      </x:c>
      <x:c r="D3" s="32" t="n">
        <x:f>IF(C3="","",(1/'Metadata'!$B$5)^(C3-1))</x:f>
        <x:v>262.81506316898555</x:v>
      </x:c>
      <x:c r="E3" s="31" t="n">
        <x:f>IF(B3=0,"",B3*D3)</x:f>
        <x:v>10549176.77167285</x:v>
      </x:c>
    </x:row>
    <x:row r="4" ht="18" customHeight="1">
      <x:c r="A4" s="24" t="str">
        <x:v>Large bathydemersals (&gt;=90 cm)</x:v>
      </x:c>
      <x:c r="B4" s="31" t="n">
        <x:v>64.343582759</x:v>
      </x:c>
      <x:c r="C4" s="32" t="n">
        <x:v>4.35</x:v>
      </x:c>
      <x:c r="D4" s="32" t="n">
        <x:f>IF(C4="","",(1/'Metadata'!$B$5)^(C4-1))</x:f>
        <x:v>2238.7211385683377</x:v>
      </x:c>
      <x:c r="E4" s="31" t="n">
        <x:f>IF(B4=0,"",B4*D4)</x:f>
        <x:v>144047.33885379453</x:v>
      </x:c>
    </x:row>
    <x:row r="5" ht="18" customHeight="1">
      <x:c r="A5" s="24" t="str">
        <x:v>Large benthopelagics (&gt;=90 cm)</x:v>
      </x:c>
      <x:c r="B5" s="31" t="n">
        <x:v>7457.1659083084</x:v>
      </x:c>
      <x:c r="C5" s="32" t="n">
        <x:v>2.0882696099426026</x:v>
      </x:c>
      <x:c r="D5" s="32" t="n">
        <x:f>IF(C5="","",(1/'Metadata'!$B$5)^(C5-1))</x:f>
        <x:v>12.253766768269454</x:v>
      </x:c>
      <x:c r="E5" s="31" t="n">
        <x:f>IF(B5=0,"",B5*D5)</x:f>
        <x:v>91378.37179270136</x:v>
      </x:c>
    </x:row>
    <x:row r="6" ht="18" customHeight="1">
      <x:c r="A6" s="24" t="str">
        <x:v>Large demersals (&gt;=90 cm)</x:v>
      </x:c>
      <x:c r="B6" s="31" t="n">
        <x:v>237.0216149664</x:v>
      </x:c>
      <x:c r="C6" s="32" t="n">
        <x:v>4.362415272521652</x:v>
      </x:c>
      <x:c r="D6" s="32" t="n">
        <x:f>IF(C6="","",(1/'Metadata'!$B$5)^(C6-1))</x:f>
        <x:v>2303.6435092673833</x:v>
      </x:c>
      <x:c r="E6" s="31" t="n">
        <x:f>IF(B6=0,"",B6*D6)</x:f>
        <x:v>546013.3048734202</x:v>
      </x:c>
    </x:row>
    <x:row r="7" ht="18" customHeight="1">
      <x:c r="A7" s="24" t="str">
        <x:v>Large pelagics (&gt;=90 cm)</x:v>
      </x:c>
      <x:c r="B7" s="31" t="n">
        <x:v>16039.875947143697</x:v>
      </x:c>
      <x:c r="C7" s="32" t="n">
        <x:v>4.384756950679143</x:v>
      </x:c>
      <x:c r="D7" s="32" t="n">
        <x:f>IF(C7="","",(1/'Metadata'!$B$5)^(C7-1))</x:f>
        <x:v>2425.2524427139606</x:v>
      </x:c>
      <x:c r="E7" s="31" t="n">
        <x:f>IF(B7=0,"",B7*D7)</x:f>
        <x:v>38900748.32163915</x:v>
      </x:c>
    </x:row>
    <x:row r="8" ht="18" customHeight="1">
      <x:c r="A8" s="24" t="str">
        <x:v>Large rays (&gt;=90 cm)</x:v>
      </x:c>
      <x:c r="B8" s="31" t="n">
        <x:v>1758.8844647772999</x:v>
      </x:c>
      <x:c r="C8" s="32" t="n">
        <x:v>3.4383298745066844</x:v>
      </x:c>
      <x:c r="D8" s="32" t="n">
        <x:f>IF(C8="","",(1/'Metadata'!$B$5)^(C8-1))</x:f>
        <x:v>274.36573643646824</x:v>
      </x:c>
      <x:c r="E8" s="31" t="n">
        <x:f>IF(B8=0,"",B8*D8)</x:f>
        <x:v>482577.63148528716</x:v>
      </x:c>
    </x:row>
    <x:row r="9" ht="18" customHeight="1">
      <x:c r="A9" s="24" t="str">
        <x:v>Large reef assoc. fish (&gt;=90 cm)</x:v>
      </x:c>
      <x:c r="B9" s="31" t="n">
        <x:v>3550.1292126048</x:v>
      </x:c>
      <x:c r="C9" s="32" t="n">
        <x:v>3.5564726701695224</x:v>
      </x:c>
      <x:c r="D9" s="32" t="n">
        <x:f>IF(C9="","",(1/'Metadata'!$B$5)^(C9-1))</x:f>
        <x:v>360.1410862694715</x:v>
      </x:c>
      <x:c r="E9" s="31" t="n">
        <x:f>IF(B9=0,"",B9*D9)</x:f>
        <x:v>1278547.3910244762</x:v>
      </x:c>
    </x:row>
    <x:row r="10" ht="18" customHeight="1">
      <x:c r="A10" s="24" t="str">
        <x:v>Large sharks (&gt;=90 cm)</x:v>
      </x:c>
      <x:c r="B10" s="31" t="n">
        <x:v>7543.8364159836</x:v>
      </x:c>
      <x:c r="C10" s="32" t="n">
        <x:v>4.119821550697144</x:v>
      </x:c>
      <x:c r="D10" s="32" t="n">
        <x:f>IF(C10="","",(1/'Metadata'!$B$5)^(C10-1))</x:f>
        <x:v>1317.7151851115564</x:v>
      </x:c>
      <x:c r="E10" s="31" t="n">
        <x:f>IF(B10=0,"",B10*D10)</x:f>
        <x:v>9940627.799339129</x:v>
      </x:c>
    </x:row>
    <x:row r="11" ht="18" customHeight="1">
      <x:c r="A11" s="24" t="str">
        <x:v>Lobsters, crabs</x:v>
      </x:c>
      <x:c r="B11" s="31" t="n">
        <x:v>20330.6246877903</x:v>
      </x:c>
      <x:c r="C11" s="32" t="n">
        <x:v>3.534668781701106</x:v>
      </x:c>
      <x:c r="D11" s="32" t="n">
        <x:f>IF(C11="","",(1/'Metadata'!$B$5)^(C11-1))</x:f>
        <x:v>342.5064715027609</x:v>
      </x:c>
      <x:c r="E11" s="31" t="n">
        <x:f>IF(B11=0,"",B11*D11)</x:f>
        <x:v>6963370.525261976</x:v>
      </x:c>
    </x:row>
    <x:row r="12" ht="18" customHeight="1">
      <x:c r="A12" s="24" t="str">
        <x:v>Medium benthopelagics (30 - 89 cm)</x:v>
      </x:c>
      <x:c r="B12" s="31" t="n">
        <x:v>8046.0923318461</x:v>
      </x:c>
      <x:c r="C12" s="32" t="n">
        <x:v>3.914033255518334</x:v>
      </x:c>
      <x:c r="D12" s="32" t="n">
        <x:f>IF(C12="","",(1/'Metadata'!$B$5)^(C12-1))</x:f>
        <x:v>820.414364055828</x:v>
      </x:c>
      <x:c r="E12" s="31" t="n">
        <x:f>IF(B12=0,"",B12*D12)</x:f>
        <x:v>6601129.723565992</x:v>
      </x:c>
    </x:row>
    <x:row r="13" ht="18" customHeight="1">
      <x:c r="A13" s="24" t="str">
        <x:v>Medium demersals (30 - 89 cm)</x:v>
      </x:c>
      <x:c r="B13" s="31" t="n">
        <x:v>202312.708264898</x:v>
      </x:c>
      <x:c r="C13" s="32" t="n">
        <x:v>3.4033307855857986</x:v>
      </x:c>
      <x:c r="D13" s="32" t="n">
        <x:f>IF(C13="","",(1/'Metadata'!$B$5)^(C13-1))</x:f>
        <x:v>253.12252003583853</x:v>
      </x:c>
      <x:c r="E13" s="31" t="n">
        <x:f>IF(B13=0,"",B13*D13)</x:f>
        <x:v>51209902.55128641</x:v>
      </x:c>
    </x:row>
    <x:row r="14" ht="18" customHeight="1">
      <x:c r="A14" s="24" t="str">
        <x:v>Medium pelagics (30 - 89 cm)</x:v>
      </x:c>
      <x:c r="B14" s="31" t="n">
        <x:v>83202.2185875804</x:v>
      </x:c>
      <x:c r="C14" s="32" t="n">
        <x:v>3.0642112935009482</x:v>
      </x:c>
      <x:c r="D14" s="32" t="n">
        <x:f>IF(C14="","",(1/'Metadata'!$B$5)^(C14-1))</x:f>
        <x:v>115.93412631461582</x:v>
      </x:c>
      <x:c r="E14" s="31" t="n">
        <x:f>IF(B14=0,"",B14*D14)</x:f>
        <x:v>9645976.519388823</x:v>
      </x:c>
    </x:row>
    <x:row r="15" ht="18" customHeight="1">
      <x:c r="A15" s="24" t="str">
        <x:v>Medium reef assoc. fish (30 - 89 cm)</x:v>
      </x:c>
      <x:c r="B15" s="31" t="n">
        <x:v>15593.484553020098</x:v>
      </x:c>
      <x:c r="C15" s="32" t="n">
        <x:v>3.8357793112385026</x:v>
      </x:c>
      <x:c r="D15" s="32" t="n">
        <x:f>IF(C15="","",(1/'Metadata'!$B$5)^(C15-1))</x:f>
        <x:v>685.1399809100038</x:v>
      </x:c>
      <x:c r="E15" s="31" t="n">
        <x:f>IF(B15=0,"",B15*D15)</x:f>
        <x:v>10683719.70897663</x:v>
      </x:c>
    </x:row>
    <x:row r="16" ht="18" customHeight="1">
      <x:c r="A16" s="24" t="str">
        <x:v>Other demersal invertebrates</x:v>
      </x:c>
      <x:c r="B16" s="31" t="n">
        <x:v>14833.2768384021</x:v>
      </x:c>
      <x:c r="C16" s="32" t="n">
        <x:v>2.329080184410073</x:v>
      </x:c>
      <x:c r="D16" s="32" t="n">
        <x:f>IF(C16="","",(1/'Metadata'!$B$5)^(C16-1))</x:f>
        <x:v>21.334387766321072</x:v>
      </x:c>
      <x:c r="E16" s="31" t="n">
        <x:f>IF(B16=0,"",B16*D16)</x:f>
        <x:v>316458.8799156595</x:v>
      </x:c>
    </x:row>
    <x:row r="17" ht="18" customHeight="1">
      <x:c r="A17" s="24" t="str">
        <x:v>Shrimps</x:v>
      </x:c>
      <x:c r="B17" s="31" t="n">
        <x:v>26997.0704384966</x:v>
      </x:c>
      <x:c r="C17" s="32" t="n">
        <x:v>2.8023696708991848</x:v>
      </x:c>
      <x:c r="D17" s="32" t="n">
        <x:f>IF(C17="","",(1/'Metadata'!$B$5)^(C17-1))</x:f>
        <x:v>63.44094900291485</x:v>
      </x:c>
      <x:c r="E17" s="31" t="n">
        <x:f>IF(B17=0,"",B17*D17)</x:f>
        <x:v>1712719.768916763</x:v>
      </x:c>
    </x:row>
    <x:row r="18" ht="18" customHeight="1">
      <x:c r="A18" s="24" t="str">
        <x:v>Small benthopelagics (&lt;30 cm)</x:v>
      </x:c>
      <x:c r="B18" s="31" t="n">
        <x:v>2348.5580010139</x:v>
      </x:c>
      <x:c r="C18" s="32" t="n">
        <x:v>3.602238964891012</x:v>
      </x:c>
      <x:c r="D18" s="32" t="n">
        <x:f>IF(C18="","",(1/'Metadata'!$B$5)^(C18-1))</x:f>
        <x:v>400.16487471358164</x:v>
      </x:c>
      <x:c r="E18" s="31" t="n">
        <x:f>IF(B18=0,"",B18*D18)</x:f>
        <x:v>939810.4182333071</x:v>
      </x:c>
    </x:row>
    <x:row r="19" ht="18" customHeight="1">
      <x:c r="A19" s="24" t="str">
        <x:v>Small demersals (&lt;30 cm)</x:v>
      </x:c>
      <x:c r="B19" s="31" t="n">
        <x:v>25100.8600549294</x:v>
      </x:c>
      <x:c r="C19" s="32" t="n">
        <x:v>3.7538044226527814</x:v>
      </x:c>
      <x:c r="D19" s="32" t="n">
        <x:f>IF(C19="","",(1/'Metadata'!$B$5)^(C19-1))</x:f>
        <x:v>567.2890786093911</x:v>
      </x:c>
      <x:c r="E19" s="31" t="n">
        <x:f>IF(B19=0,"",B19*D19)</x:f>
        <x:v>14239443.77286417</x:v>
      </x:c>
    </x:row>
    <x:row r="20" ht="18" customHeight="1">
      <x:c r="A20" s="24" t="str">
        <x:v>Small pelagics (&lt;30 cm)</x:v>
      </x:c>
      <x:c r="B20" s="31" t="n">
        <x:v>169941.1704139635</x:v>
      </x:c>
      <x:c r="C20" s="32" t="n">
        <x:v>2.956951847802666</x:v>
      </x:c>
      <x:c r="D20" s="32" t="n">
        <x:f>IF(C20="","",(1/'Metadata'!$B$5)^(C20-1))</x:f>
        <x:v>90.5632183787114</x:v>
      </x:c>
      <x:c r="E20" s="31" t="n">
        <x:f>IF(B20=0,"",B20*D20)</x:f>
        <x:v>15390419.327733584</x:v>
      </x:c>
    </x:row>
    <x:row r="21" ht="18" customHeight="1">
      <x:c r="A21" s="24" t="str">
        <x:v>Small to medium flatfishes (&lt;90 cm)</x:v>
      </x:c>
      <x:c r="B21" s="31" t="n">
        <x:v>14274.9401417047</x:v>
      </x:c>
      <x:c r="C21" s="32" t="n">
        <x:v>3.8015535776013145</x:v>
      </x:c>
      <x:c r="D21" s="32" t="n">
        <x:f>IF(C21="","",(1/'Metadata'!$B$5)^(C21-1))</x:f>
        <x:v>633.2184751472323</x:v>
      </x:c>
      <x:c r="E21" s="31" t="n">
        <x:f>IF(B21=0,"",B21*D21)</x:f>
        <x:v>9039155.829348266</x:v>
      </x:c>
    </x:row>
  </x:sheetData>
  <x:pageMargins left="0.7" right="0.7" top="0.75" bottom="0.75" header="0.3" footer="0.3"/>
  <x:tableParts count="1">
    <x:tablePart xmlns:r="http://schemas.openxmlformats.org/officeDocument/2006/relationships" r:id="Ra49556c97fbd44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LME_004</x:v>
      </x:c>
      <x:c r="B2" s="24" t="str">
        <x:v>raw_filtered_tonnes</x:v>
      </x:c>
      <x:c r="C2" s="24" t="n">
        <x:v>664877.8552277526</x:v>
      </x:c>
      <x:c r="D2" s="24" t="str">
        <x:v>tonnes</x:v>
      </x:c>
    </x:row>
    <x:row r="3" ht="18" customHeight="1">
      <x:c r="A3" s="24" t="str">
        <x:v>LME_004</x:v>
      </x:c>
      <x:c r="B3" s="24" t="str">
        <x:v>species_catch_tonnes</x:v>
      </x:c>
      <x:c r="C3" s="24" t="n">
        <x:v>664877.8552277525</x:v>
      </x:c>
      <x:c r="D3" s="24" t="str">
        <x:v>tonnes</x:v>
      </x:c>
    </x:row>
    <x:row r="4" ht="18" customHeight="1">
      <x:c r="A4" s="24" t="str">
        <x:v>LME_004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LME_004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LME_004</x:v>
      </x:c>
      <x:c r="B6" s="24" t="str">
        <x:v>matched_catch_tonnes</x:v>
      </x:c>
      <x:c r="C6" s="24" t="n">
        <x:v>664877.8552277525</x:v>
      </x:c>
      <x:c r="D6" s="24" t="str">
        <x:v>tonnes</x:v>
      </x:c>
    </x:row>
    <x:row r="7" ht="18" customHeight="1">
      <x:c r="A7" s="24" t="str">
        <x:v>LME_004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LME_004</x:v>
      </x:c>
      <x:c r="B8" s="24" t="str">
        <x:v>taxa_count</x:v>
      </x:c>
      <x:c r="C8" s="24" t="n">
        <x:v>129</x:v>
      </x:c>
      <x:c r="D8" s="24" t="str">
        <x:v>count</x:v>
      </x:c>
    </x:row>
    <x:row r="9" ht="18" customHeight="1">
      <x:c r="A9" s="24" t="str">
        <x:v>LME_004</x:v>
      </x:c>
      <x:c r="B9" s="24" t="str">
        <x:v>matched_taxa_count</x:v>
      </x:c>
      <x:c r="C9" s="24" t="n">
        <x:v>129</x:v>
      </x:c>
      <x:c r="D9" s="24" t="str">
        <x:v>count</x:v>
      </x:c>
    </x:row>
    <x:row r="10" ht="18" customHeight="1">
      <x:c r="A10" s="24" t="str">
        <x:v>LME_004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LME_004</x:v>
      </x:c>
      <x:c r="B11" s="24" t="str">
        <x:v>species_ppr</x:v>
      </x:c>
      <x:c r="C11" s="24" t="n">
        <x:v>254257319.8187799</x:v>
      </x:c>
      <x:c r="D11" s="24" t="str">
        <x:v>tonnes_primary_production_equivalent</x:v>
      </x:c>
    </x:row>
    <x:row r="12" ht="18" customHeight="1">
      <x:c r="A12" s="24" t="str">
        <x:v>LME_004</x:v>
      </x:c>
      <x:c r="B12" s="24" t="str">
        <x:v>commercial_ppr</x:v>
      </x:c>
      <x:c r="C12" s="24" t="n">
        <x:v>187669905.16739705</x:v>
      </x:c>
      <x:c r="D12" s="24" t="str">
        <x:v>tonnes_primary_production_equivalent</x:v>
      </x:c>
    </x:row>
    <x:row r="13" ht="18" customHeight="1">
      <x:c r="A13" s="24" t="str">
        <x:v>LME_004</x:v>
      </x:c>
      <x:c r="B13" s="24" t="str">
        <x:v>functional_ppr</x:v>
      </x:c>
      <x:c r="C13" s="24" t="n">
        <x:v>193115605.2914297</x:v>
      </x:c>
      <x:c r="D13" s="24" t="str">
        <x:v>tonnes_primary_production_equivalent</x:v>
      </x:c>
    </x:row>
    <x:row r="14" ht="18" customHeight="1">
      <x:c r="A14" s="24" t="str">
        <x:v>LME_004</x:v>
      </x:c>
      <x:c r="B14" s="24" t="str">
        <x:v>commercial_ppr_difference</x:v>
      </x:c>
      <x:c r="C14" s="24" t="n">
        <x:v>-66587414.65138283</x:v>
      </x:c>
      <x:c r="D14" s="24" t="str">
        <x:v>tonnes_primary_production_equivalent</x:v>
      </x:c>
    </x:row>
    <x:row r="15" ht="18" customHeight="1">
      <x:c r="A15" s="24" t="str">
        <x:v>LME_004</x:v>
      </x:c>
      <x:c r="B15" s="24" t="str">
        <x:v>functional_ppr_difference</x:v>
      </x:c>
      <x:c r="C15" s="24" t="n">
        <x:v>-61141714.52735019</x:v>
      </x:c>
      <x:c r="D15" s="24" t="str">
        <x:v>tonnes_primary_production_equivalent</x:v>
      </x:c>
    </x:row>
    <x:row r="16" ht="18" customHeight="1">
      <x:c r="A16" s="24" t="str">
        <x:v>LME_004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f9330cb228a47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LME_004 - Gulf of California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