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219223e8b24f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8821eac203fd4b55"/>
    <x:sheet xmlns:r="http://schemas.openxmlformats.org/officeDocument/2006/relationships" name="Commercial" sheetId="2" r:id="R3cef1a768da9452f"/>
    <x:sheet xmlns:r="http://schemas.openxmlformats.org/officeDocument/2006/relationships" name="Functional" sheetId="3" r:id="R604a22f1dbee44e3"/>
    <x:sheet xmlns:r="http://schemas.openxmlformats.org/officeDocument/2006/relationships" name="Missing TL" sheetId="4" r:id="R09f6c42fe6cd4f91"/>
    <x:sheet xmlns:r="http://schemas.openxmlformats.org/officeDocument/2006/relationships" name="Validation" sheetId="5" r:id="Rca079483957e4ae2"/>
    <x:sheet xmlns:r="http://schemas.openxmlformats.org/officeDocument/2006/relationships" name="Metadata" sheetId="6" r:id="R1b70e61a0a5c43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2564c3c3e242d7" /><Relationship Type="http://schemas.openxmlformats.org/officeDocument/2006/relationships/theme" Target="/xl/theme/theme1.xml" Id="R48f95830fbf44503" /><Relationship Type="http://schemas.openxmlformats.org/officeDocument/2006/relationships/sharedStrings" Target="/xl/sharedStrings.xml" Id="R67b8123655d04a34" /><Relationship Type="http://schemas.openxmlformats.org/officeDocument/2006/relationships/worksheet" Target="/xl/worksheets/sheet1.xml" Id="R8821eac203fd4b55" /><Relationship Type="http://schemas.openxmlformats.org/officeDocument/2006/relationships/worksheet" Target="/xl/worksheets/sheet2.xml" Id="R3cef1a768da9452f" /><Relationship Type="http://schemas.openxmlformats.org/officeDocument/2006/relationships/worksheet" Target="/xl/worksheets/sheet3.xml" Id="R604a22f1dbee44e3" /><Relationship Type="http://schemas.openxmlformats.org/officeDocument/2006/relationships/worksheet" Target="/xl/worksheets/sheet4.xml" Id="R09f6c42fe6cd4f91" /><Relationship Type="http://schemas.openxmlformats.org/officeDocument/2006/relationships/worksheet" Target="/xl/worksheets/sheet5.xml" Id="Rca079483957e4ae2" /><Relationship Type="http://schemas.openxmlformats.org/officeDocument/2006/relationships/worksheet" Target="/xl/worksheets/sheet6.xml" Id="R1b70e61a0a5c4332" /></Relationships>
</file>

<file path=xl/tables/table1.xml><?xml version="1.0" encoding="utf-8"?>
<x:table xmlns:x="http://schemas.openxmlformats.org/spreadsheetml/2006/main" id="1" name="LME035SpeciesTable" displayName="LME035SpeciesTable" ref="A1:U215" headerRowCount="1" totalsRowCount="0" totalsRowShown="0">
  <x:autoFilter ref="A1:U21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35CommercialTable" displayName="LME035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35FunctionalTable" displayName="LME035FunctionalTable" ref="A1:O21" headerRowCount="1" totalsRowCount="0" totalsRowShown="0">
  <x:autoFilter ref="A1:O21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35ValidationTable" displayName="LME035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bb55963db5424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63b8c2091bb46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838dad9849842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36a07f5a134e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LME_035</x:v>
      </x:c>
      <x:c r="B2" s="46" t="str">
        <x:v>Gulf of Thailand</x:v>
      </x:c>
      <x:c r="C2" s="46" t="str">
        <x:v>LME</x:v>
      </x:c>
      <x:c r="D2" s="58" t="n">
        <x:v>2019</x:v>
      </x:c>
      <x:c r="E2" s="46" t="str">
        <x:v>Synodontidae</x:v>
      </x:c>
      <x:c r="F2" s="46" t="str">
        <x:v>Lizardfishes, sauries</x:v>
      </x:c>
      <x:c r="G2" s="46" t="str">
        <x:v>Medium demersals (30 - 89 cm)</x:v>
      </x:c>
      <x:c r="H2" s="46" t="str">
        <x:v>Other fishes &amp; inverts</x:v>
      </x:c>
      <x:c r="I2" s="60" t="n">
        <x:v>253046.829452543</x:v>
      </x:c>
      <x:c r="J2" s="60" t="n">
        <x:v>197872.2499258886</x:v>
      </x:c>
      <x:c r="K2" s="60" t="n">
        <x:v>55174.5795266544</x:v>
      </x:c>
      <x:c r="L2" s="60" t="n">
        <x:v>167200.260272069</x:v>
      </x:c>
      <x:c r="M2" s="60" t="n">
        <x:v>85846.569180474</x:v>
      </x:c>
      <x:c r="N2" s="46" t="str">
        <x:v>synodontidae</x:v>
      </x:c>
      <x:c r="O2" s="62" t="n">
        <x:v>4.3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Synodontidae</x:v>
      </x:c>
      <x:c r="T2" s="62" t="n">
        <x:f>IF(O2="","",(1/'Metadata'!$B$5)^(O2-1))</x:f>
        <x:v>1995.2623149688789</x:v>
      </x:c>
      <x:c r="U2" s="60" t="n">
        <x:f>IF(T2="","",I2*T2)</x:f>
        <x:v>504894802.729016</x:v>
      </x:c>
    </x:row>
    <x:row r="3" ht="18" customHeight="1">
      <x:c r="A3" s="46" t="str">
        <x:v>LME_035</x:v>
      </x:c>
      <x:c r="B3" s="46" t="str">
        <x:v>Gulf of Thailand</x:v>
      </x:c>
      <x:c r="C3" s="46" t="str">
        <x:v>LME</x:v>
      </x:c>
      <x:c r="D3" s="58" t="n">
        <x:v>2019</x:v>
      </x:c>
      <x:c r="E3" s="46" t="str">
        <x:v>Leiognathidae</x:v>
      </x:c>
      <x:c r="F3" s="46" t="str">
        <x:v>Slipmouths, ponyfishes</x:v>
      </x:c>
      <x:c r="G3" s="46" t="str">
        <x:v>Small benthopelagics (&lt;30 cm)</x:v>
      </x:c>
      <x:c r="H3" s="46" t="str">
        <x:v>Perch-likes</x:v>
      </x:c>
      <x:c r="I3" s="60" t="n">
        <x:v>250763.5894379273</x:v>
      </x:c>
      <x:c r="J3" s="60" t="n">
        <x:v>232687.30426032812</x:v>
      </x:c>
      <x:c r="K3" s="60" t="n">
        <x:v>18076.2851775992</x:v>
      </x:c>
      <x:c r="L3" s="60" t="n">
        <x:v>191751.12847264062</x:v>
      </x:c>
      <x:c r="M3" s="60" t="n">
        <x:v>59012.4609652867</x:v>
      </x:c>
      <x:c r="N3" s="46" t="str">
        <x:v>leiognathidae</x:v>
      </x:c>
      <x:c r="O3" s="62" t="n">
        <x:v>3.24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Leiognathidae</x:v>
      </x:c>
      <x:c r="T3" s="62" t="n">
        <x:f>IF(O3="","",(1/'Metadata'!$B$5)^(O3-1))</x:f>
        <x:v>173.78008287493762</x:v>
      </x:c>
      <x:c r="U3" s="60" t="n">
        <x:f>IF(T3="","",I3*T3)</x:f>
        <x:v>43577717.354539834</x:v>
      </x:c>
    </x:row>
    <x:row r="4" ht="18" customHeight="1">
      <x:c r="A4" s="46" t="str">
        <x:v>LME_035</x:v>
      </x:c>
      <x:c r="B4" s="46" t="str">
        <x:v>Gulf of Thailand</x:v>
      </x:c>
      <x:c r="C4" s="46" t="str">
        <x:v>LME</x:v>
      </x:c>
      <x:c r="D4" s="58" t="n">
        <x:v>2019</x:v>
      </x:c>
      <x:c r="E4" s="46" t="str">
        <x:v>Carangidae</x:v>
      </x:c>
      <x:c r="F4" s="46" t="str">
        <x:v>Jacks, pompanos</x:v>
      </x:c>
      <x:c r="G4" s="46" t="str">
        <x:v>Medium pelagics (30 - 89 cm)</x:v>
      </x:c>
      <x:c r="H4" s="46" t="str">
        <x:v>Perch-likes</x:v>
      </x:c>
      <x:c r="I4" s="60" t="n">
        <x:v>157985.2947145064</x:v>
      </x:c>
      <x:c r="J4" s="60" t="n">
        <x:v>157009.915786942</x:v>
      </x:c>
      <x:c r="K4" s="60" t="n">
        <x:v>975.3789275644001</x:v>
      </x:c>
      <x:c r="L4" s="60" t="n">
        <x:v>121553.9393157724</x:v>
      </x:c>
      <x:c r="M4" s="60" t="n">
        <x:v>36431.355398734</x:v>
      </x:c>
      <x:c r="N4" s="46" t="str">
        <x:v>carangidae</x:v>
      </x:c>
      <x:c r="O4" s="62" t="n">
        <x:v>4.05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Carangidae</x:v>
      </x:c>
      <x:c r="T4" s="62" t="n">
        <x:f>IF(O4="","",(1/'Metadata'!$B$5)^(O4-1))</x:f>
        <x:v>1122.018454301963</x:v>
      </x:c>
      <x:c r="U4" s="60" t="n">
        <x:f>IF(T4="","",I4*T4)</x:f>
        <x:v>177262416.17801055</x:v>
      </x:c>
    </x:row>
    <x:row r="5" ht="18" customHeight="1">
      <x:c r="A5" s="46" t="str">
        <x:v>LME_035</x:v>
      </x:c>
      <x:c r="B5" s="46" t="str">
        <x:v>Gulf of Thailand</x:v>
      </x:c>
      <x:c r="C5" s="46" t="str">
        <x:v>LME</x:v>
      </x:c>
      <x:c r="D5" s="58" t="n">
        <x:v>2019</x:v>
      </x:c>
      <x:c r="E5" s="46" t="str">
        <x:v>Engraulidae</x:v>
      </x:c>
      <x:c r="F5" s="46" t="str">
        <x:v>Anchovies, round herrings</x:v>
      </x:c>
      <x:c r="G5" s="46" t="str">
        <x:v>Small pelagics (&lt;30 cm)</x:v>
      </x:c>
      <x:c r="H5" s="46" t="str">
        <x:v>Anchovies</x:v>
      </x:c>
      <x:c r="I5" s="60" t="n">
        <x:v>156880.7580930763</x:v>
      </x:c>
      <x:c r="J5" s="60" t="n">
        <x:v>156880.7580930763</x:v>
      </x:c>
      <x:c r="K5" s="60" t="n">
        <x:v>0</x:v>
      </x:c>
      <x:c r="L5" s="60" t="n">
        <x:v>117789.6630382558</x:v>
      </x:c>
      <x:c r="M5" s="60" t="n">
        <x:v>39091.0950548205</x:v>
      </x:c>
      <x:c r="N5" s="46" t="str">
        <x:v>engraulidae</x:v>
      </x:c>
      <x:c r="O5" s="62" t="n">
        <x:v>3.2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Engraulidae</x:v>
      </x:c>
      <x:c r="T5" s="62" t="n">
        <x:f>IF(O5="","",(1/'Metadata'!$B$5)^(O5-1))</x:f>
        <x:v>158.48931924611142</x:v>
      </x:c>
      <x:c r="U5" s="60" t="n">
        <x:f>IF(T5="","",I5*T5)</x:f>
        <x:v>24863924.552985545</x:v>
      </x:c>
    </x:row>
    <x:row r="6" ht="18" customHeight="1">
      <x:c r="A6" s="46" t="str">
        <x:v>LME_035</x:v>
      </x:c>
      <x:c r="B6" s="46" t="str">
        <x:v>Gulf of Thailand</x:v>
      </x:c>
      <x:c r="C6" s="46" t="str">
        <x:v>LME</x:v>
      </x:c>
      <x:c r="D6" s="58" t="n">
        <x:v>2019</x:v>
      </x:c>
      <x:c r="E6" s="46" t="str">
        <x:v>Nemipteridae</x:v>
      </x:c>
      <x:c r="F6" s="46" t="str">
        <x:v>Threadfins, whiptail breams</x:v>
      </x:c>
      <x:c r="G6" s="46" t="str">
        <x:v>Small demersals (&lt;30 cm)</x:v>
      </x:c>
      <x:c r="H6" s="46" t="str">
        <x:v>Perch-likes</x:v>
      </x:c>
      <x:c r="I6" s="60" t="n">
        <x:v>141173.1497636563</x:v>
      </x:c>
      <x:c r="J6" s="60" t="n">
        <x:v>138561.1465601626</x:v>
      </x:c>
      <x:c r="K6" s="60" t="n">
        <x:v>2612.0032034937</x:v>
      </x:c>
      <x:c r="L6" s="60" t="n">
        <x:v>117949.1732022608</x:v>
      </x:c>
      <x:c r="M6" s="60" t="n">
        <x:v>23223.9765613955</x:v>
      </x:c>
      <x:c r="N6" s="46" t="str">
        <x:v>nemipteridae</x:v>
      </x:c>
      <x:c r="O6" s="62" t="n">
        <x:v>3.51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Nemipteridae</x:v>
      </x:c>
      <x:c r="T6" s="62" t="n">
        <x:f>IF(O6="","",(1/'Metadata'!$B$5)^(O6-1))</x:f>
        <x:v>323.5936569296281</x:v>
      </x:c>
      <x:c r="U6" s="60" t="n">
        <x:f>IF(T6="","",I6*T6)</x:f>
        <x:v>45682735.792295605</x:v>
      </x:c>
    </x:row>
    <x:row r="7" ht="18" customHeight="1">
      <x:c r="A7" s="46" t="str">
        <x:v>LME_035</x:v>
      </x:c>
      <x:c r="B7" s="46" t="str">
        <x:v>Gulf of Thailand</x:v>
      </x:c>
      <x:c r="C7" s="46" t="str">
        <x:v>LME</x:v>
      </x:c>
      <x:c r="D7" s="58" t="n">
        <x:v>2019</x:v>
      </x:c>
      <x:c r="E7" s="46" t="str">
        <x:v>Loliginidae</x:v>
      </x:c>
      <x:c r="F7" s="46" t="str">
        <x:v>Common pencil squids</x:v>
      </x:c>
      <x:c r="G7" s="46" t="str">
        <x:v>Cephalopods</x:v>
      </x:c>
      <x:c r="H7" s="46" t="str">
        <x:v>Other fishes &amp; inverts</x:v>
      </x:c>
      <x:c r="I7" s="60" t="n">
        <x:v>119699.30621071291</x:v>
      </x:c>
      <x:c r="J7" s="60" t="n">
        <x:v>119699.30621071291</x:v>
      </x:c>
      <x:c r="K7" s="60" t="n">
        <x:v>0</x:v>
      </x:c>
      <x:c r="L7" s="60" t="n">
        <x:v>90060.802899541</x:v>
      </x:c>
      <x:c r="M7" s="60" t="n">
        <x:v>29638.503311171902</x:v>
      </x:c>
      <x:c r="N7" s="46" t="str">
        <x:v>loliginidae</x:v>
      </x:c>
      <x:c r="O7" s="62" t="n">
        <x:v>3.9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Loliginidae</x:v>
      </x:c>
      <x:c r="T7" s="62" t="n">
        <x:f>IF(O7="","",(1/'Metadata'!$B$5)^(O7-1))</x:f>
        <x:v>794.3282347242813</x:v>
      </x:c>
      <x:c r="U7" s="60" t="n">
        <x:f>IF(T7="","",I7*T7)</x:f>
        <x:v>95080538.60007678</x:v>
      </x:c>
    </x:row>
    <x:row r="8" ht="18" customHeight="1">
      <x:c r="A8" s="46" t="str">
        <x:v>LME_035</x:v>
      </x:c>
      <x:c r="B8" s="46" t="str">
        <x:v>Gulf of Thailand</x:v>
      </x:c>
      <x:c r="C8" s="46" t="str">
        <x:v>LME</x:v>
      </x:c>
      <x:c r="D8" s="58" t="n">
        <x:v>2019</x:v>
      </x:c>
      <x:c r="E8" s="46" t="str">
        <x:v>Sardinella</x:v>
      </x:c>
      <x:c r="F8" s="46" t="str">
        <x:v>Sardinellas</x:v>
      </x:c>
      <x:c r="G8" s="46" t="str">
        <x:v>Small pelagics (&lt;30 cm)</x:v>
      </x:c>
      <x:c r="H8" s="46" t="str">
        <x:v>Herring-likes</x:v>
      </x:c>
      <x:c r="I8" s="60" t="n">
        <x:v>116250.52333146821</x:v>
      </x:c>
      <x:c r="J8" s="60" t="n">
        <x:v>116250.51261650662</x:v>
      </x:c>
      <x:c r="K8" s="60" t="n">
        <x:v>0.0107149616</x:v>
      </x:c>
      <x:c r="L8" s="60" t="n">
        <x:v>89292.6776171927</x:v>
      </x:c>
      <x:c r="M8" s="60" t="n">
        <x:v>26957.8457142755</x:v>
      </x:c>
      <x:c r="N8" s="46" t="str">
        <x:v>sardinella</x:v>
      </x:c>
      <x:c r="O8" s="62" t="n">
        <x:v>2.77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Sardinella</x:v>
      </x:c>
      <x:c r="T8" s="62" t="n">
        <x:f>IF(O8="","",(1/'Metadata'!$B$5)^(O8-1))</x:f>
        <x:v>58.8843655355589</x:v>
      </x:c>
      <x:c r="U8" s="60" t="n">
        <x:f>IF(T8="","",I8*T8)</x:f>
        <x:v>6845338.309550192</x:v>
      </x:c>
    </x:row>
    <x:row r="9" ht="18" customHeight="1">
      <x:c r="A9" s="46" t="str">
        <x:v>LME_035</x:v>
      </x:c>
      <x:c r="B9" s="46" t="str">
        <x:v>Gulf of Thailand</x:v>
      </x:c>
      <x:c r="C9" s="46" t="str">
        <x:v>LME</x:v>
      </x:c>
      <x:c r="D9" s="58" t="n">
        <x:v>2019</x:v>
      </x:c>
      <x:c r="E9" s="46" t="str">
        <x:v>Marine fishes not identified</x:v>
      </x:c>
      <x:c r="F9" s="46" t="str">
        <x:v>Marine fishes nei</x:v>
      </x:c>
      <x:c r="G9" s="46" t="str">
        <x:v>Medium demersals (30 - 89 cm)</x:v>
      </x:c>
      <x:c r="H9" s="46" t="str">
        <x:v>Other fishes &amp; inverts</x:v>
      </x:c>
      <x:c r="I9" s="60" t="n">
        <x:v>111139.7638272244</x:v>
      </x:c>
      <x:c r="J9" s="60" t="n">
        <x:v>108885.6992474096</x:v>
      </x:c>
      <x:c r="K9" s="60" t="n">
        <x:v>2254.0645798148003</x:v>
      </x:c>
      <x:c r="L9" s="60" t="n">
        <x:v>86149.3299546779</x:v>
      </x:c>
      <x:c r="M9" s="60" t="n">
        <x:v>24990.4338725465</x:v>
      </x:c>
      <x:c r="N9" s="46" t="str">
        <x:v>marine fishes not identified</x:v>
      </x:c>
      <x:c r="O9" s="62" t="n">
        <x:v>3.28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Marine fishes not identified</x:v>
      </x:c>
      <x:c r="T9" s="62" t="n">
        <x:f>IF(O9="","",(1/'Metadata'!$B$5)^(O9-1))</x:f>
        <x:v>190.54607179632464</x:v>
      </x:c>
      <x:c r="U9" s="60" t="n">
        <x:f>IF(T9="","",I9*T9)</x:f>
        <x:v>21177245.417648863</x:v>
      </x:c>
    </x:row>
    <x:row r="10" ht="18" customHeight="1">
      <x:c r="A10" s="46" t="str">
        <x:v>LME_035</x:v>
      </x:c>
      <x:c r="B10" s="46" t="str">
        <x:v>Gulf of Thailand</x:v>
      </x:c>
      <x:c r="C10" s="46" t="str">
        <x:v>LME</x:v>
      </x:c>
      <x:c r="D10" s="58" t="n">
        <x:v>2019</x:v>
      </x:c>
      <x:c r="E10" s="46" t="str">
        <x:v>Sciaenidae</x:v>
      </x:c>
      <x:c r="F10" s="46" t="str">
        <x:v>Drums, croakers</x:v>
      </x:c>
      <x:c r="G10" s="46" t="str">
        <x:v>Medium demersals (30 - 89 cm)</x:v>
      </x:c>
      <x:c r="H10" s="46" t="str">
        <x:v>Perch-likes</x:v>
      </x:c>
      <x:c r="I10" s="60" t="n">
        <x:v>90897.5762459603</x:v>
      </x:c>
      <x:c r="J10" s="60" t="n">
        <x:v>80575.9669785164</x:v>
      </x:c>
      <x:c r="K10" s="60" t="n">
        <x:v>10321.6092674439</x:v>
      </x:c>
      <x:c r="L10" s="60" t="n">
        <x:v>67033.3918123356</x:v>
      </x:c>
      <x:c r="M10" s="60" t="n">
        <x:v>23864.184433624698</x:v>
      </x:c>
      <x:c r="N10" s="46" t="str">
        <x:v>sciaenidae</x:v>
      </x:c>
      <x:c r="O10" s="62" t="n">
        <x:v>3.76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Sciaenidae</x:v>
      </x:c>
      <x:c r="T10" s="62" t="n">
        <x:f>IF(O10="","",(1/'Metadata'!$B$5)^(O10-1))</x:f>
        <x:v>575.4399373371566</x:v>
      </x:c>
      <x:c r="U10" s="60" t="n">
        <x:f>IF(T10="","",I10*T10)</x:f>
        <x:v>52306095.57907481</x:v>
      </x:c>
    </x:row>
    <x:row r="11" ht="18" customHeight="1">
      <x:c r="A11" s="46" t="str">
        <x:v>LME_035</x:v>
      </x:c>
      <x:c r="B11" s="46" t="str">
        <x:v>Gulf of Thailand</x:v>
      </x:c>
      <x:c r="C11" s="46" t="str">
        <x:v>LME</x:v>
      </x:c>
      <x:c r="D11" s="58" t="n">
        <x:v>2019</x:v>
      </x:c>
      <x:c r="E11" s="46" t="str">
        <x:v>Scombridae</x:v>
      </x:c>
      <x:c r="F11" s="46" t="str">
        <x:v>Mackerels, tunas, bonitos</x:v>
      </x:c>
      <x:c r="G11" s="46" t="str">
        <x:v>Medium pelagics (30 - 89 cm)</x:v>
      </x:c>
      <x:c r="H11" s="46" t="str">
        <x:v>Perch-likes</x:v>
      </x:c>
      <x:c r="I11" s="60" t="n">
        <x:v>74736.021151618</x:v>
      </x:c>
      <x:c r="J11" s="60" t="n">
        <x:v>74736.021151618</x:v>
      </x:c>
      <x:c r="K11" s="60" t="n">
        <x:v>0</x:v>
      </x:c>
      <x:c r="L11" s="60" t="n">
        <x:v>58022.1049604646</x:v>
      </x:c>
      <x:c r="M11" s="60" t="n">
        <x:v>16713.9161911534</x:v>
      </x:c>
      <x:c r="N11" s="46" t="str">
        <x:v>scombridae</x:v>
      </x:c>
      <x:c r="O11" s="62" t="n">
        <x:v>4.26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Scombridae</x:v>
      </x:c>
      <x:c r="T11" s="62" t="n">
        <x:f>IF(O11="","",(1/'Metadata'!$B$5)^(O11-1))</x:f>
        <x:v>1819.7008586099826</x:v>
      </x:c>
      <x:c r="U11" s="60" t="n">
        <x:f>IF(T11="","",I11*T11)</x:f>
        <x:v>135997201.8586931</x:v>
      </x:c>
    </x:row>
    <x:row r="12" ht="18" customHeight="1">
      <x:c r="A12" s="46" t="str">
        <x:v>LME_035</x:v>
      </x:c>
      <x:c r="B12" s="46" t="str">
        <x:v>Gulf of Thailand</x:v>
      </x:c>
      <x:c r="C12" s="46" t="str">
        <x:v>LME</x:v>
      </x:c>
      <x:c r="D12" s="58" t="n">
        <x:v>2019</x:v>
      </x:c>
      <x:c r="E12" s="46" t="str">
        <x:v>Rastrelliger kanagurta</x:v>
      </x:c>
      <x:c r="F12" s="46" t="str">
        <x:v>Indian mackerel</x:v>
      </x:c>
      <x:c r="G12" s="46" t="str">
        <x:v>Medium pelagics (30 - 89 cm)</x:v>
      </x:c>
      <x:c r="H12" s="46" t="str">
        <x:v>Perch-likes</x:v>
      </x:c>
      <x:c r="I12" s="60" t="n">
        <x:v>64896.218957844096</x:v>
      </x:c>
      <x:c r="J12" s="60" t="n">
        <x:v>60209.32930152799</x:v>
      </x:c>
      <x:c r="K12" s="60" t="n">
        <x:v>4686.8896563161</x:v>
      </x:c>
      <x:c r="L12" s="60" t="n">
        <x:v>60209.32737502299</x:v>
      </x:c>
      <x:c r="M12" s="60" t="n">
        <x:v>4686.8915828211</x:v>
      </x:c>
      <x:c r="N12" s="46" t="str">
        <x:v>rastrelliger kanagurta</x:v>
      </x:c>
      <x:c r="O12" s="62" t="n">
        <x:v>3.19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Rastrelliger kanagurta</x:v>
      </x:c>
      <x:c r="T12" s="62" t="n">
        <x:f>IF(O12="","",(1/'Metadata'!$B$5)^(O12-1))</x:f>
        <x:v>154.88166189124811</x:v>
      </x:c>
      <x:c r="U12" s="60" t="n">
        <x:f>IF(T12="","",I12*T12)</x:f>
        <x:v>10051234.242649216</x:v>
      </x:c>
    </x:row>
    <x:row r="13" ht="18" customHeight="1">
      <x:c r="A13" s="46" t="str">
        <x:v>LME_035</x:v>
      </x:c>
      <x:c r="B13" s="46" t="str">
        <x:v>Gulf of Thailand</x:v>
      </x:c>
      <x:c r="C13" s="46" t="str">
        <x:v>LME</x:v>
      </x:c>
      <x:c r="D13" s="58" t="n">
        <x:v>2019</x:v>
      </x:c>
      <x:c r="E13" s="46" t="str">
        <x:v>Sepiidae</x:v>
      </x:c>
      <x:c r="F13" s="46" t="str">
        <x:v>Cuttlefishes</x:v>
      </x:c>
      <x:c r="G13" s="46" t="str">
        <x:v>Cephalopods</x:v>
      </x:c>
      <x:c r="H13" s="46" t="str">
        <x:v>Other fishes &amp; inverts</x:v>
      </x:c>
      <x:c r="I13" s="60" t="n">
        <x:v>60309.533340092596</x:v>
      </x:c>
      <x:c r="J13" s="60" t="n">
        <x:v>60309.533340092596</x:v>
      </x:c>
      <x:c r="K13" s="60" t="n">
        <x:v>0</x:v>
      </x:c>
      <x:c r="L13" s="60" t="n">
        <x:v>49487.648268055396</x:v>
      </x:c>
      <x:c r="M13" s="60" t="n">
        <x:v>10821.885072037201</x:v>
      </x:c>
      <x:c r="N13" s="46" t="str">
        <x:v>sepiidae</x:v>
      </x:c>
      <x:c r="O13" s="62" t="n">
        <x:v>3.6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Sepiidae</x:v>
      </x:c>
      <x:c r="T13" s="62" t="n">
        <x:f>IF(O13="","",(1/'Metadata'!$B$5)^(O13-1))</x:f>
        <x:v>398.1071705534973</x:v>
      </x:c>
      <x:c r="U13" s="60" t="n">
        <x:f>IF(T13="","",I13*T13)</x:f>
        <x:v>24009657.675426077</x:v>
      </x:c>
    </x:row>
    <x:row r="14" ht="18" customHeight="1">
      <x:c r="A14" s="46" t="str">
        <x:v>LME_035</x:v>
      </x:c>
      <x:c r="B14" s="46" t="str">
        <x:v>Gulf of Thailand</x:v>
      </x:c>
      <x:c r="C14" s="46" t="str">
        <x:v>LME</x:v>
      </x:c>
      <x:c r="D14" s="58" t="n">
        <x:v>2019</x:v>
      </x:c>
      <x:c r="E14" s="46" t="str">
        <x:v>Portunus pelagicus</x:v>
      </x:c>
      <x:c r="F14" s="46" t="str">
        <x:v>Blue swimming crab</x:v>
      </x:c>
      <x:c r="G14" s="46" t="str">
        <x:v>Lobsters, crabs</x:v>
      </x:c>
      <x:c r="H14" s="46" t="str">
        <x:v>Crustaceans</x:v>
      </x:c>
      <x:c r="I14" s="60" t="n">
        <x:v>54332.1025919874</x:v>
      </x:c>
      <x:c r="J14" s="60" t="n">
        <x:v>54332.1025919874</x:v>
      </x:c>
      <x:c r="K14" s="60" t="n">
        <x:v>0</x:v>
      </x:c>
      <x:c r="L14" s="60" t="n">
        <x:v>41483.819060754904</x:v>
      </x:c>
      <x:c r="M14" s="60" t="n">
        <x:v>12848.283531232499</x:v>
      </x:c>
      <x:c r="N14" s="46" t="str">
        <x:v>portunus pelagicus</x:v>
      </x:c>
      <x:c r="O14" s="62" t="n">
        <x:v>2.48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Portunus pelagicus</x:v>
      </x:c>
      <x:c r="T14" s="62" t="n">
        <x:f>IF(O14="","",(1/'Metadata'!$B$5)^(O14-1))</x:f>
        <x:v>30.19951720402016</x:v>
      </x:c>
      <x:c r="U14" s="60" t="n">
        <x:f>IF(T14="","",I14*T14)</x:f>
        <x:v>1640803.266957312</x:v>
      </x:c>
    </x:row>
    <x:row r="15" ht="18" customHeight="1">
      <x:c r="A15" s="46" t="str">
        <x:v>LME_035</x:v>
      </x:c>
      <x:c r="B15" s="46" t="str">
        <x:v>Gulf of Thailand</x:v>
      </x:c>
      <x:c r="C15" s="46" t="str">
        <x:v>LME</x:v>
      </x:c>
      <x:c r="D15" s="58" t="n">
        <x:v>2019</x:v>
      </x:c>
      <x:c r="E15" s="46" t="str">
        <x:v>Nemipterus</x:v>
      </x:c>
      <x:c r="F15" s="46" t="str">
        <x:v>Threadfin breams</x:v>
      </x:c>
      <x:c r="G15" s="46" t="str">
        <x:v>Small demersals (&lt;30 cm)</x:v>
      </x:c>
      <x:c r="H15" s="46" t="str">
        <x:v>Perch-likes</x:v>
      </x:c>
      <x:c r="I15" s="60" t="n">
        <x:v>50518.8996909392</x:v>
      </x:c>
      <x:c r="J15" s="60" t="n">
        <x:v>50429.345868922996</x:v>
      </x:c>
      <x:c r="K15" s="60" t="n">
        <x:v>89.55382201620002</x:v>
      </x:c>
      <x:c r="L15" s="60" t="n">
        <x:v>35524.2831278833</x:v>
      </x:c>
      <x:c r="M15" s="60" t="n">
        <x:v>14994.6165630559</x:v>
      </x:c>
      <x:c r="N15" s="46" t="str">
        <x:v>nemipterus</x:v>
      </x:c>
      <x:c r="O15" s="62" t="n">
        <x:v>3.72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Nemipterus</x:v>
      </x:c>
      <x:c r="T15" s="62" t="n">
        <x:f>IF(O15="","",(1/'Metadata'!$B$5)^(O15-1))</x:f>
        <x:v>524.8074602497728</x:v>
      </x:c>
      <x:c r="U15" s="60" t="n">
        <x:f>IF(T15="","",I15*T15)</x:f>
        <x:v>26512695.441414833</x:v>
      </x:c>
    </x:row>
    <x:row r="16" ht="18" customHeight="1">
      <x:c r="A16" s="46" t="str">
        <x:v>LME_035</x:v>
      </x:c>
      <x:c r="B16" s="46" t="str">
        <x:v>Gulf of Thailand</x:v>
      </x:c>
      <x:c r="C16" s="46" t="str">
        <x:v>LME</x:v>
      </x:c>
      <x:c r="D16" s="58" t="n">
        <x:v>2019</x:v>
      </x:c>
      <x:c r="E16" s="46" t="str">
        <x:v>Platycephalidae</x:v>
      </x:c>
      <x:c r="F16" s="46" t="str">
        <x:v>Flatheads</x:v>
      </x:c>
      <x:c r="G16" s="46" t="str">
        <x:v>Medium demersals (30 - 89 cm)</x:v>
      </x:c>
      <x:c r="H16" s="46" t="str">
        <x:v>Scorpionfishes</x:v>
      </x:c>
      <x:c r="I16" s="60" t="n">
        <x:v>41310.0681560787</x:v>
      </x:c>
      <x:c r="J16" s="60" t="n">
        <x:v>39791.3964721823</x:v>
      </x:c>
      <x:c r="K16" s="60" t="n">
        <x:v>1518.6716838963998</x:v>
      </x:c>
      <x:c r="L16" s="60" t="n">
        <x:v>32949.0471602635</x:v>
      </x:c>
      <x:c r="M16" s="60" t="n">
        <x:v>8361.0209958152</x:v>
      </x:c>
      <x:c r="N16" s="46" t="str">
        <x:v>platycephalidae</x:v>
      </x:c>
      <x:c r="O16" s="62" t="n">
        <x:v>3.9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Platycephalidae</x:v>
      </x:c>
      <x:c r="T16" s="62" t="n">
        <x:f>IF(O16="","",(1/'Metadata'!$B$5)^(O16-1))</x:f>
        <x:v>794.3282347242813</x:v>
      </x:c>
      <x:c r="U16" s="60" t="n">
        <x:f>IF(T16="","",I16*T16)</x:f>
        <x:v>32813753.514757738</x:v>
      </x:c>
    </x:row>
    <x:row r="17" ht="18" customHeight="1">
      <x:c r="A17" s="46" t="str">
        <x:v>LME_035</x:v>
      </x:c>
      <x:c r="B17" s="46" t="str">
        <x:v>Gulf of Thailand</x:v>
      </x:c>
      <x:c r="C17" s="46" t="str">
        <x:v>LME</x:v>
      </x:c>
      <x:c r="D17" s="58" t="n">
        <x:v>2019</x:v>
      </x:c>
      <x:c r="E17" s="46" t="str">
        <x:v>Scombroidei</x:v>
      </x:c>
      <x:c r="F17" s="46" t="str">
        <x:v>Tunas, bonitos, billfishes</x:v>
      </x:c>
      <x:c r="G17" s="46" t="str">
        <x:v>Large pelagics (&gt;=90 cm)</x:v>
      </x:c>
      <x:c r="H17" s="46" t="str">
        <x:v>Tuna &amp; billfishes</x:v>
      </x:c>
      <x:c r="I17" s="60" t="n">
        <x:v>38191.0895626175</x:v>
      </x:c>
      <x:c r="J17" s="60" t="n">
        <x:v>38191.0895626175</x:v>
      </x:c>
      <x:c r="K17" s="60" t="n">
        <x:v>0</x:v>
      </x:c>
      <x:c r="L17" s="60" t="n">
        <x:v>38191.0895626175</x:v>
      </x:c>
      <x:c r="M17" s="60" t="n">
        <x:v>0</x:v>
      </x:c>
      <x:c r="N17" s="46" t="str">
        <x:v>scombroidei</x:v>
      </x:c>
      <x:c r="O17" s="62" t="n">
        <x:v>4.2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Scombroidei</x:v>
      </x:c>
      <x:c r="T17" s="62" t="n">
        <x:f>IF(O17="","",(1/'Metadata'!$B$5)^(O17-1))</x:f>
        <x:v>1584.893192461114</x:v>
      </x:c>
      <x:c r="U17" s="60" t="n">
        <x:f>IF(T17="","",I17*T17)</x:f>
        <x:v>60528797.86046518</x:v>
      </x:c>
    </x:row>
    <x:row r="18" ht="18" customHeight="1">
      <x:c r="A18" s="46" t="str">
        <x:v>LME_035</x:v>
      </x:c>
      <x:c r="B18" s="46" t="str">
        <x:v>Gulf of Thailand</x:v>
      </x:c>
      <x:c r="C18" s="46" t="str">
        <x:v>LME</x:v>
      </x:c>
      <x:c r="D18" s="58" t="n">
        <x:v>2019</x:v>
      </x:c>
      <x:c r="E18" s="46" t="str">
        <x:v>Priacanthus</x:v>
      </x:c>
      <x:c r="F18" s="46" t="str">
        <x:v>Bigeyes</x:v>
      </x:c>
      <x:c r="G18" s="46" t="str">
        <x:v>Medium reef assoc. fish (30 - 89 cm)</x:v>
      </x:c>
      <x:c r="H18" s="46" t="str">
        <x:v>Perch-likes</x:v>
      </x:c>
      <x:c r="I18" s="60" t="n">
        <x:v>37548.8107342413</x:v>
      </x:c>
      <x:c r="J18" s="60" t="n">
        <x:v>37506.1597447993</x:v>
      </x:c>
      <x:c r="K18" s="60" t="n">
        <x:v>42.650989442</x:v>
      </x:c>
      <x:c r="L18" s="60" t="n">
        <x:v>30300.5492997372</x:v>
      </x:c>
      <x:c r="M18" s="60" t="n">
        <x:v>7248.261434504099</x:v>
      </x:c>
      <x:c r="N18" s="46" t="str">
        <x:v>priacanthus</x:v>
      </x:c>
      <x:c r="O18" s="62" t="n">
        <x:v>3.81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Priacanthus</x:v>
      </x:c>
      <x:c r="T18" s="62" t="n">
        <x:f>IF(O18="","",(1/'Metadata'!$B$5)^(O18-1))</x:f>
        <x:v>645.6542290346556</x:v>
      </x:c>
      <x:c r="U18" s="60" t="n">
        <x:f>IF(T18="","",I18*T18)</x:f>
        <x:v>24243548.445784766</x:v>
      </x:c>
    </x:row>
    <x:row r="19" ht="18" customHeight="1">
      <x:c r="A19" s="46" t="str">
        <x:v>LME_035</x:v>
      </x:c>
      <x:c r="B19" s="46" t="str">
        <x:v>Gulf of Thailand</x:v>
      </x:c>
      <x:c r="C19" s="46" t="str">
        <x:v>LME</x:v>
      </x:c>
      <x:c r="D19" s="58" t="n">
        <x:v>2019</x:v>
      </x:c>
      <x:c r="E19" s="46" t="str">
        <x:v>Sparidae</x:v>
      </x:c>
      <x:c r="F19" s="46" t="str">
        <x:v>Porgies, seabreams</x:v>
      </x:c>
      <x:c r="G19" s="46" t="str">
        <x:v>Medium benthopelagics (30 - 89 cm)</x:v>
      </x:c>
      <x:c r="H19" s="46" t="str">
        <x:v>Perch-likes</x:v>
      </x:c>
      <x:c r="I19" s="60" t="n">
        <x:v>37088.025826037</x:v>
      </x:c>
      <x:c r="J19" s="60" t="n">
        <x:v>28094.0616454373</x:v>
      </x:c>
      <x:c r="K19" s="60" t="n">
        <x:v>8993.9641805997</x:v>
      </x:c>
      <x:c r="L19" s="60" t="n">
        <x:v>24091.1121081835</x:v>
      </x:c>
      <x:c r="M19" s="60" t="n">
        <x:v>12996.9137178535</x:v>
      </x:c>
      <x:c r="N19" s="46" t="str">
        <x:v>sparidae</x:v>
      </x:c>
      <x:c r="O19" s="62" t="n">
        <x:v>3.31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Sparidae</x:v>
      </x:c>
      <x:c r="T19" s="62" t="n">
        <x:f>IF(O19="","",(1/'Metadata'!$B$5)^(O19-1))</x:f>
        <x:v>204.17379446695296</x:v>
      </x:c>
      <x:c r="U19" s="60" t="n">
        <x:f>IF(T19="","",I19*T19)</x:f>
        <x:v>7572402.962190323</x:v>
      </x:c>
    </x:row>
    <x:row r="20" ht="18" customHeight="1">
      <x:c r="A20" s="46" t="str">
        <x:v>LME_035</x:v>
      </x:c>
      <x:c r="B20" s="46" t="str">
        <x:v>Gulf of Thailand</x:v>
      </x:c>
      <x:c r="C20" s="46" t="str">
        <x:v>LME</x:v>
      </x:c>
      <x:c r="D20" s="58" t="n">
        <x:v>2019</x:v>
      </x:c>
      <x:c r="E20" s="46" t="str">
        <x:v>Megalaspis cordyla</x:v>
      </x:c>
      <x:c r="F20" s="46" t="str">
        <x:v>Torpedo scad</x:v>
      </x:c>
      <x:c r="G20" s="46" t="str">
        <x:v>Medium pelagics (30 - 89 cm)</x:v>
      </x:c>
      <x:c r="H20" s="46" t="str">
        <x:v>Perch-likes</x:v>
      </x:c>
      <x:c r="I20" s="60" t="n">
        <x:v>36452.7065721697</x:v>
      </x:c>
      <x:c r="J20" s="60" t="n">
        <x:v>36442.1173431473</x:v>
      </x:c>
      <x:c r="K20" s="60" t="n">
        <x:v>10.5892290224</x:v>
      </x:c>
      <x:c r="L20" s="60" t="n">
        <x:v>22163.237839755002</x:v>
      </x:c>
      <x:c r="M20" s="60" t="n">
        <x:v>14289.4687324147</x:v>
      </x:c>
      <x:c r="N20" s="46" t="str">
        <x:v>megalaspis cordyla</x:v>
      </x:c>
      <x:c r="O20" s="62" t="n">
        <x:v>4.24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Megalaspis cordyla</x:v>
      </x:c>
      <x:c r="T20" s="62" t="n">
        <x:f>IF(O20="","",(1/'Metadata'!$B$5)^(O20-1))</x:f>
        <x:v>1737.8008287493763</x:v>
      </x:c>
      <x:c r="U20" s="60" t="n">
        <x:f>IF(T20="","",I20*T20)</x:f>
        <x:v>63347543.69127434</x:v>
      </x:c>
    </x:row>
    <x:row r="21" ht="18" customHeight="1">
      <x:c r="A21" s="46" t="str">
        <x:v>LME_035</x:v>
      </x:c>
      <x:c r="B21" s="46" t="str">
        <x:v>Gulf of Thailand</x:v>
      </x:c>
      <x:c r="C21" s="46" t="str">
        <x:v>LME</x:v>
      </x:c>
      <x:c r="D21" s="58" t="n">
        <x:v>2019</x:v>
      </x:c>
      <x:c r="E21" s="46" t="str">
        <x:v>Priacanthidae</x:v>
      </x:c>
      <x:c r="F21" s="46" t="str">
        <x:v>Bigeyes, catalufas</x:v>
      </x:c>
      <x:c r="G21" s="46" t="str">
        <x:v>Medium reef assoc. fish (30 - 89 cm)</x:v>
      </x:c>
      <x:c r="H21" s="46" t="str">
        <x:v>Perch-likes</x:v>
      </x:c>
      <x:c r="I21" s="60" t="n">
        <x:v>33534.8527529357</x:v>
      </x:c>
      <x:c r="J21" s="60" t="n">
        <x:v>24192.2702476475</x:v>
      </x:c>
      <x:c r="K21" s="60" t="n">
        <x:v>9342.5825052882</x:v>
      </x:c>
      <x:c r="L21" s="60" t="n">
        <x:v>20575.6256822199</x:v>
      </x:c>
      <x:c r="M21" s="60" t="n">
        <x:v>12959.227070715799</x:v>
      </x:c>
      <x:c r="N21" s="46" t="str">
        <x:v>priacanthidae</x:v>
      </x:c>
      <x:c r="O21" s="62" t="n">
        <x:v>3.79</x:v>
      </x:c>
      <x:c r="P21" s="46" t="str">
        <x:v>exact_sea_around_us</x:v>
      </x:c>
      <x:c r="Q21" s="62" t="str">
        <x:v>Sea Around Us exploited organisms</x:v>
      </x:c>
      <x:c r="R21" s="46" t="str">
        <x:v>high</x:v>
      </x:c>
      <x:c r="S21" s="46" t="str">
        <x:v>Priacanthidae</x:v>
      </x:c>
      <x:c r="T21" s="62" t="n">
        <x:f>IF(O21="","",(1/'Metadata'!$B$5)^(O21-1))</x:f>
        <x:v>616.5950018614822</x:v>
      </x:c>
      <x:c r="U21" s="60" t="n">
        <x:f>IF(T21="","",I21*T21)</x:f>
        <x:v>20677422.59562092</x:v>
      </x:c>
    </x:row>
    <x:row r="22" ht="18" customHeight="1">
      <x:c r="A22" s="46" t="str">
        <x:v>LME_035</x:v>
      </x:c>
      <x:c r="B22" s="46" t="str">
        <x:v>Gulf of Thailand</x:v>
      </x:c>
      <x:c r="C22" s="46" t="str">
        <x:v>LME</x:v>
      </x:c>
      <x:c r="D22" s="58" t="n">
        <x:v>2019</x:v>
      </x:c>
      <x:c r="E22" s="46" t="str">
        <x:v>Decapterus</x:v>
      </x:c>
      <x:c r="F22" s="46" t="str">
        <x:v>Scads</x:v>
      </x:c>
      <x:c r="G22" s="46" t="str">
        <x:v>Medium pelagics (30 - 89 cm)</x:v>
      </x:c>
      <x:c r="H22" s="46" t="str">
        <x:v>Perch-likes</x:v>
      </x:c>
      <x:c r="I22" s="60" t="n">
        <x:v>33354.8202905977</x:v>
      </x:c>
      <x:c r="J22" s="60" t="n">
        <x:v>33354.8068971249</x:v>
      </x:c>
      <x:c r="K22" s="60" t="n">
        <x:v>0.0133934728</x:v>
      </x:c>
      <x:c r="L22" s="60" t="n">
        <x:v>22915.7145240639</x:v>
      </x:c>
      <x:c r="M22" s="60" t="n">
        <x:v>10439.1057665338</x:v>
      </x:c>
      <x:c r="N22" s="46" t="str">
        <x:v>decapterus</x:v>
      </x:c>
      <x:c r="O22" s="62" t="n">
        <x:v>3.63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Decapterus</x:v>
      </x:c>
      <x:c r="T22" s="62" t="n">
        <x:f>IF(O22="","",(1/'Metadata'!$B$5)^(O22-1))</x:f>
        <x:v>426.57951880159254</x:v>
      </x:c>
      <x:c r="U22" s="60" t="n">
        <x:f>IF(T22="","",I22*T22)</x:f>
        <x:v>14228483.189276762</x:v>
      </x:c>
    </x:row>
    <x:row r="23" ht="18" customHeight="1">
      <x:c r="A23" s="46" t="str">
        <x:v>LME_035</x:v>
      </x:c>
      <x:c r="B23" s="46" t="str">
        <x:v>Gulf of Thailand</x:v>
      </x:c>
      <x:c r="C23" s="46" t="str">
        <x:v>LME</x:v>
      </x:c>
      <x:c r="D23" s="58" t="n">
        <x:v>2019</x:v>
      </x:c>
      <x:c r="E23" s="46" t="str">
        <x:v>Sergestidae</x:v>
      </x:c>
      <x:c r="F23" s="46" t="str">
        <x:v>Sergestid shrimp</x:v>
      </x:c>
      <x:c r="G23" s="46" t="str">
        <x:v>Shrimps</x:v>
      </x:c>
      <x:c r="H23" s="46" t="str">
        <x:v>Crustaceans</x:v>
      </x:c>
      <x:c r="I23" s="60" t="n">
        <x:v>29238.410254578503</x:v>
      </x:c>
      <x:c r="J23" s="60" t="n">
        <x:v>29238.410254578503</x:v>
      </x:c>
      <x:c r="K23" s="60" t="n">
        <x:v>0</x:v>
      </x:c>
      <x:c r="L23" s="60" t="n">
        <x:v>26431.4543157431</x:v>
      </x:c>
      <x:c r="M23" s="60" t="n">
        <x:v>2806.9559388354</x:v>
      </x:c>
      <x:c r="N23" s="46" t="str">
        <x:v>sergestidae</x:v>
      </x:c>
      <x:c r="O23" s="62" t="n">
        <x:v>2.93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Sergestidae</x:v>
      </x:c>
      <x:c r="T23" s="62" t="n">
        <x:f>IF(O23="","",(1/'Metadata'!$B$5)^(O23-1))</x:f>
        <x:v>85.11380382023768</x:v>
      </x:c>
      <x:c r="U23" s="60" t="n">
        <x:f>IF(T23="","",I23*T23)</x:f>
        <x:v>2488592.3144238205</x:v>
      </x:c>
    </x:row>
    <x:row r="24" ht="18" customHeight="1">
      <x:c r="A24" s="46" t="str">
        <x:v>LME_035</x:v>
      </x:c>
      <x:c r="B24" s="46" t="str">
        <x:v>Gulf of Thailand</x:v>
      </x:c>
      <x:c r="C24" s="46" t="str">
        <x:v>LME</x:v>
      </x:c>
      <x:c r="D24" s="58" t="n">
        <x:v>2019</x:v>
      </x:c>
      <x:c r="E24" s="46" t="str">
        <x:v>Decapterus russelli</x:v>
      </x:c>
      <x:c r="F24" s="46" t="str">
        <x:v>Indian scad</x:v>
      </x:c>
      <x:c r="G24" s="46" t="str">
        <x:v>Medium pelagics (30 - 89 cm)</x:v>
      </x:c>
      <x:c r="H24" s="46" t="str">
        <x:v>Perch-likes</x:v>
      </x:c>
      <x:c r="I24" s="60" t="n">
        <x:v>27486.5618038744</x:v>
      </x:c>
      <x:c r="J24" s="60" t="n">
        <x:v>27486.5618038744</x:v>
      </x:c>
      <x:c r="K24" s="60" t="n">
        <x:v>0</x:v>
      </x:c>
      <x:c r="L24" s="60" t="n">
        <x:v>22053.6002847453</x:v>
      </x:c>
      <x:c r="M24" s="60" t="n">
        <x:v>5432.9615191290995</x:v>
      </x:c>
      <x:c r="N24" s="46" t="str">
        <x:v>decapterus russelli</x:v>
      </x:c>
      <x:c r="O24" s="62" t="n">
        <x:v>3.68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Decapterus russelli</x:v>
      </x:c>
      <x:c r="T24" s="62" t="n">
        <x:f>IF(O24="","",(1/'Metadata'!$B$5)^(O24-1))</x:f>
        <x:v>478.6300923226385</x:v>
      </x:c>
      <x:c r="U24" s="60" t="n">
        <x:f>IF(T24="","",I24*T24)</x:f>
        <x:v>13155895.613820313</x:v>
      </x:c>
    </x:row>
    <x:row r="25" ht="18" customHeight="1">
      <x:c r="A25" s="46" t="str">
        <x:v>LME_035</x:v>
      </x:c>
      <x:c r="B25" s="46" t="str">
        <x:v>Gulf of Thailand</x:v>
      </x:c>
      <x:c r="C25" s="46" t="str">
        <x:v>LME</x:v>
      </x:c>
      <x:c r="D25" s="58" t="n">
        <x:v>2019</x:v>
      </x:c>
      <x:c r="E25" s="46" t="str">
        <x:v>Saurida</x:v>
      </x:c>
      <x:c r="F25" s="46" t="str">
        <x:v>Lizardfishes</x:v>
      </x:c>
      <x:c r="G25" s="46" t="str">
        <x:v>Medium demersals (30 - 89 cm)</x:v>
      </x:c>
      <x:c r="H25" s="46" t="str">
        <x:v>Other fishes &amp; inverts</x:v>
      </x:c>
      <x:c r="I25" s="60" t="n">
        <x:v>26307.5880132109</x:v>
      </x:c>
      <x:c r="J25" s="60" t="n">
        <x:v>26307.5880132109</x:v>
      </x:c>
      <x:c r="K25" s="60" t="n">
        <x:v>0</x:v>
      </x:c>
      <x:c r="L25" s="60" t="n">
        <x:v>19736.4093397513</x:v>
      </x:c>
      <x:c r="M25" s="60" t="n">
        <x:v>6571.1786734596</x:v>
      </x:c>
      <x:c r="N25" s="46" t="str">
        <x:v>saurida</x:v>
      </x:c>
      <x:c r="O25" s="62" t="n">
        <x:v>4.35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Saurida</x:v>
      </x:c>
      <x:c r="T25" s="62" t="n">
        <x:f>IF(O25="","",(1/'Metadata'!$B$5)^(O25-1))</x:f>
        <x:v>2238.7211385683377</x:v>
      </x:c>
      <x:c r="U25" s="60" t="n">
        <x:f>IF(T25="","",I25*T25)</x:f>
        <x:v>58895353.38992226</x:v>
      </x:c>
    </x:row>
    <x:row r="26" ht="18" customHeight="1">
      <x:c r="A26" s="46" t="str">
        <x:v>LME_035</x:v>
      </x:c>
      <x:c r="B26" s="46" t="str">
        <x:v>Gulf of Thailand</x:v>
      </x:c>
      <x:c r="C26" s="46" t="str">
        <x:v>LME</x:v>
      </x:c>
      <x:c r="D26" s="58" t="n">
        <x:v>2019</x:v>
      </x:c>
      <x:c r="E26" s="46" t="str">
        <x:v>Rastrelliger</x:v>
      </x:c>
      <x:c r="F26" s="46" t="str">
        <x:v>Indian mackerels</x:v>
      </x:c>
      <x:c r="G26" s="46" t="str">
        <x:v>Medium pelagics (30 - 89 cm)</x:v>
      </x:c>
      <x:c r="H26" s="46" t="str">
        <x:v>Perch-likes</x:v>
      </x:c>
      <x:c r="I26" s="60" t="n">
        <x:v>24929.7027394369</x:v>
      </x:c>
      <x:c r="J26" s="60" t="n">
        <x:v>24929.7027394369</x:v>
      </x:c>
      <x:c r="K26" s="60" t="n">
        <x:v>0</x:v>
      </x:c>
      <x:c r="L26" s="60" t="n">
        <x:v>13518.5625949417</x:v>
      </x:c>
      <x:c r="M26" s="60" t="n">
        <x:v>11411.1401444952</x:v>
      </x:c>
      <x:c r="N26" s="46" t="str">
        <x:v>rastrelliger</x:v>
      </x:c>
      <x:c r="O26" s="62" t="n">
        <x:v>3.1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Rastrelliger</x:v>
      </x:c>
      <x:c r="T26" s="62" t="n">
        <x:f>IF(O26="","",(1/'Metadata'!$B$5)^(O26-1))</x:f>
        <x:v>125.89254117941675</x:v>
      </x:c>
      <x:c r="U26" s="60" t="n">
        <x:f>IF(T26="","",I26*T26)</x:f>
        <x:v>3138463.6287151785</x:v>
      </x:c>
    </x:row>
    <x:row r="27" ht="18" customHeight="1">
      <x:c r="A27" s="46" t="str">
        <x:v>LME_035</x:v>
      </x:c>
      <x:c r="B27" s="46" t="str">
        <x:v>Gulf of Thailand</x:v>
      </x:c>
      <x:c r="C27" s="46" t="str">
        <x:v>LME</x:v>
      </x:c>
      <x:c r="D27" s="58" t="n">
        <x:v>2019</x:v>
      </x:c>
      <x:c r="E27" s="46" t="str">
        <x:v>Mollusca</x:v>
      </x:c>
      <x:c r="F27" s="46" t="str">
        <x:v>Clams, seasnails, squids, octopuses</x:v>
      </x:c>
      <x:c r="G27" s="46" t="str">
        <x:v>Other demersal invertebrates</x:v>
      </x:c>
      <x:c r="H27" s="46" t="str">
        <x:v>Molluscs</x:v>
      </x:c>
      <x:c r="I27" s="60" t="n">
        <x:v>23668.8055407076</x:v>
      </x:c>
      <x:c r="J27" s="60" t="n">
        <x:v>23668.8043409965</x:v>
      </x:c>
      <x:c r="K27" s="60" t="n">
        <x:v>0.0011997111</x:v>
      </x:c>
      <x:c r="L27" s="60" t="n">
        <x:v>20192.4460723074</x:v>
      </x:c>
      <x:c r="M27" s="60" t="n">
        <x:v>3476.3594684002</x:v>
      </x:c>
      <x:c r="N27" s="46" t="str">
        <x:v>mollusca</x:v>
      </x:c>
      <x:c r="O27" s="62" t="n">
        <x:v>2.1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Mollusca</x:v>
      </x:c>
      <x:c r="T27" s="62" t="n">
        <x:f>IF(O27="","",(1/'Metadata'!$B$5)^(O27-1))</x:f>
        <x:v>12.589254117941675</x:v>
      </x:c>
      <x:c r="U27" s="60" t="n">
        <x:f>IF(T27="","",I27*T27)</x:f>
        <x:v>297972.6076201139</x:v>
      </x:c>
    </x:row>
    <x:row r="28" ht="18" customHeight="1">
      <x:c r="A28" s="46" t="str">
        <x:v>LME_035</x:v>
      </x:c>
      <x:c r="B28" s="46" t="str">
        <x:v>Gulf of Thailand</x:v>
      </x:c>
      <x:c r="C28" s="46" t="str">
        <x:v>LME</x:v>
      </x:c>
      <x:c r="D28" s="58" t="n">
        <x:v>2019</x:v>
      </x:c>
      <x:c r="E28" s="46" t="str">
        <x:v>Octopodidae</x:v>
      </x:c>
      <x:c r="F28" s="46" t="str">
        <x:v>Octopuses</x:v>
      </x:c>
      <x:c r="G28" s="46" t="str">
        <x:v>Cephalopods</x:v>
      </x:c>
      <x:c r="H28" s="46" t="str">
        <x:v>Other fishes &amp; inverts</x:v>
      </x:c>
      <x:c r="I28" s="60" t="n">
        <x:v>23442.1592642671</x:v>
      </x:c>
      <x:c r="J28" s="60" t="n">
        <x:v>23442.1592642671</x:v>
      </x:c>
      <x:c r="K28" s="60" t="n">
        <x:v>0</x:v>
      </x:c>
      <x:c r="L28" s="60" t="n">
        <x:v>20273.8414789245</x:v>
      </x:c>
      <x:c r="M28" s="60" t="n">
        <x:v>3168.3177853426</x:v>
      </x:c>
      <x:c r="N28" s="46" t="str">
        <x:v>octopodidae</x:v>
      </x:c>
      <x:c r="O28" s="62" t="n">
        <x:v>3.59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Octopodidae</x:v>
      </x:c>
      <x:c r="T28" s="62" t="n">
        <x:f>IF(O28="","",(1/'Metadata'!$B$5)^(O28-1))</x:f>
        <x:v>389.04514499428046</x:v>
      </x:c>
      <x:c r="U28" s="60" t="n">
        <x:f>IF(T28="","",I28*T28)</x:f>
        <x:v>9120058.249945808</x:v>
      </x:c>
    </x:row>
    <x:row r="29" ht="18" customHeight="1">
      <x:c r="A29" s="46" t="str">
        <x:v>LME_035</x:v>
      </x:c>
      <x:c r="B29" s="46" t="str">
        <x:v>Gulf of Thailand</x:v>
      </x:c>
      <x:c r="C29" s="46" t="str">
        <x:v>LME</x:v>
      </x:c>
      <x:c r="D29" s="58" t="n">
        <x:v>2019</x:v>
      </x:c>
      <x:c r="E29" s="46" t="str">
        <x:v>Stolephorus</x:v>
      </x:c>
      <x:c r="F29" s="46" t="str">
        <x:v>Garment anchovies</x:v>
      </x:c>
      <x:c r="G29" s="46" t="str">
        <x:v>Small pelagics (&lt;30 cm)</x:v>
      </x:c>
      <x:c r="H29" s="46" t="str">
        <x:v>Anchovies</x:v>
      </x:c>
      <x:c r="I29" s="60" t="n">
        <x:v>21398.378688008503</x:v>
      </x:c>
      <x:c r="J29" s="60" t="n">
        <x:v>20946.0356362686</x:v>
      </x:c>
      <x:c r="K29" s="60" t="n">
        <x:v>452.3430517399</x:v>
      </x:c>
      <x:c r="L29" s="60" t="n">
        <x:v>16214.4687649002</x:v>
      </x:c>
      <x:c r="M29" s="60" t="n">
        <x:v>5183.9099231083</x:v>
      </x:c>
      <x:c r="N29" s="46" t="str">
        <x:v>stolephorus</x:v>
      </x:c>
      <x:c r="O29" s="62" t="n">
        <x:v>3.44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Stolephorus</x:v>
      </x:c>
      <x:c r="T29" s="62" t="n">
        <x:f>IF(O29="","",(1/'Metadata'!$B$5)^(O29-1))</x:f>
        <x:v>275.4228703338166</x:v>
      </x:c>
      <x:c r="U29" s="60" t="n">
        <x:f>IF(T29="","",I29*T29)</x:f>
        <x:v>5893602.878741271</x:v>
      </x:c>
    </x:row>
    <x:row r="30" ht="18" customHeight="1">
      <x:c r="A30" s="46" t="str">
        <x:v>LME_035</x:v>
      </x:c>
      <x:c r="B30" s="46" t="str">
        <x:v>Gulf of Thailand</x:v>
      </x:c>
      <x:c r="C30" s="46" t="str">
        <x:v>LME</x:v>
      </x:c>
      <x:c r="D30" s="58" t="n">
        <x:v>2019</x:v>
      </x:c>
      <x:c r="E30" s="46" t="str">
        <x:v>Sphyraena</x:v>
      </x:c>
      <x:c r="F30" s="46" t="str">
        <x:v>Barracudas, sennets</x:v>
      </x:c>
      <x:c r="G30" s="46" t="str">
        <x:v>Large pelagics (&gt;=90 cm)</x:v>
      </x:c>
      <x:c r="H30" s="46" t="str">
        <x:v>Perch-likes</x:v>
      </x:c>
      <x:c r="I30" s="60" t="n">
        <x:v>19022.5888339607</x:v>
      </x:c>
      <x:c r="J30" s="60" t="n">
        <x:v>19020.5420233209</x:v>
      </x:c>
      <x:c r="K30" s="60" t="n">
        <x:v>2.0468106398</x:v>
      </x:c>
      <x:c r="L30" s="60" t="n">
        <x:v>12910.0031518474</x:v>
      </x:c>
      <x:c r="M30" s="60" t="n">
        <x:v>6112.5856821133</x:v>
      </x:c>
      <x:c r="N30" s="46" t="str">
        <x:v>sphyraena</x:v>
      </x:c>
      <x:c r="O30" s="62" t="n">
        <x:v>4.4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Sphyraena</x:v>
      </x:c>
      <x:c r="T30" s="62" t="n">
        <x:f>IF(O30="","",(1/'Metadata'!$B$5)^(O30-1))</x:f>
        <x:v>2511.886431509582</x:v>
      </x:c>
      <x:c r="U30" s="60" t="n">
        <x:f>IF(T30="","",I30*T30)</x:f>
        <x:v>47782582.78421157</x:v>
      </x:c>
    </x:row>
    <x:row r="31" ht="18" customHeight="1">
      <x:c r="A31" s="46" t="str">
        <x:v>LME_035</x:v>
      </x:c>
      <x:c r="B31" s="46" t="str">
        <x:v>Gulf of Thailand</x:v>
      </x:c>
      <x:c r="C31" s="46" t="str">
        <x:v>LME</x:v>
      </x:c>
      <x:c r="D31" s="58" t="n">
        <x:v>2019</x:v>
      </x:c>
      <x:c r="E31" s="46" t="str">
        <x:v>Ariidae</x:v>
      </x:c>
      <x:c r="F31" s="46" t="str">
        <x:v>Sea catfishes, coblers</x:v>
      </x:c>
      <x:c r="G31" s="46" t="str">
        <x:v>Medium demersals (30 - 89 cm)</x:v>
      </x:c>
      <x:c r="H31" s="46" t="str">
        <x:v>Other fishes &amp; inverts</x:v>
      </x:c>
      <x:c r="I31" s="60" t="n">
        <x:v>18994.723081540902</x:v>
      </x:c>
      <x:c r="J31" s="60" t="n">
        <x:v>15142.906788513901</x:v>
      </x:c>
      <x:c r="K31" s="60" t="n">
        <x:v>3851.816293027</x:v>
      </x:c>
      <x:c r="L31" s="60" t="n">
        <x:v>12343.0633570201</x:v>
      </x:c>
      <x:c r="M31" s="60" t="n">
        <x:v>6651.6597245208</x:v>
      </x:c>
      <x:c r="N31" s="46" t="str">
        <x:v>ariidae</x:v>
      </x:c>
      <x:c r="O31" s="62" t="n">
        <x:v>3.48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Ariidae</x:v>
      </x:c>
      <x:c r="T31" s="62" t="n">
        <x:f>IF(O31="","",(1/'Metadata'!$B$5)^(O31-1))</x:f>
        <x:v>301.9951720402016</x:v>
      </x:c>
      <x:c r="U31" s="60" t="n">
        <x:f>IF(T31="","",I31*T31)</x:f>
        <x:v>5736314.664865933</x:v>
      </x:c>
    </x:row>
    <x:row r="32" ht="18" customHeight="1">
      <x:c r="A32" s="46" t="str">
        <x:v>LME_035</x:v>
      </x:c>
      <x:c r="B32" s="46" t="str">
        <x:v>Gulf of Thailand</x:v>
      </x:c>
      <x:c r="C32" s="46" t="str">
        <x:v>LME</x:v>
      </x:c>
      <x:c r="D32" s="58" t="n">
        <x:v>2019</x:v>
      </x:c>
      <x:c r="E32" s="46" t="str">
        <x:v>Tegillarca granosa</x:v>
      </x:c>
      <x:c r="F32" s="46" t="str">
        <x:v>Granular ark</x:v>
      </x:c>
      <x:c r="G32" s="46" t="str">
        <x:v>Other demersal invertebrates</x:v>
      </x:c>
      <x:c r="H32" s="46" t="str">
        <x:v>Molluscs</x:v>
      </x:c>
      <x:c r="I32" s="60" t="n">
        <x:v>18794.744897281897</x:v>
      </x:c>
      <x:c r="J32" s="60" t="n">
        <x:v>18794.7431071736</x:v>
      </x:c>
      <x:c r="K32" s="60" t="n">
        <x:v>0.0017901083</x:v>
      </x:c>
      <x:c r="L32" s="60" t="n">
        <x:v>18794.7431071736</x:v>
      </x:c>
      <x:c r="M32" s="60" t="n">
        <x:v>0.0017901083</x:v>
      </x:c>
      <x:c r="N32" s="46" t="str">
        <x:v>tegillarca granosa</x:v>
      </x:c>
      <x:c r="O32" s="62" t="n">
        <x:v>2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Tegillarca granosa</x:v>
      </x:c>
      <x:c r="T32" s="62" t="n">
        <x:f>IF(O32="","",(1/'Metadata'!$B$5)^(O32-1))</x:f>
        <x:v>10</x:v>
      </x:c>
      <x:c r="U32" s="60" t="n">
        <x:f>IF(T32="","",I32*T32)</x:f>
        <x:v>187947.44897281897</x:v>
      </x:c>
    </x:row>
    <x:row r="33" ht="18" customHeight="1">
      <x:c r="A33" s="46" t="str">
        <x:v>LME_035</x:v>
      </x:c>
      <x:c r="B33" s="46" t="str">
        <x:v>Gulf of Thailand</x:v>
      </x:c>
      <x:c r="C33" s="46" t="str">
        <x:v>LME</x:v>
      </x:c>
      <x:c r="D33" s="58" t="n">
        <x:v>2019</x:v>
      </x:c>
      <x:c r="E33" s="46" t="str">
        <x:v>Clupeidae</x:v>
      </x:c>
      <x:c r="F33" s="46" t="str">
        <x:v>Herrings, sardines, menhadens</x:v>
      </x:c>
      <x:c r="G33" s="46" t="str">
        <x:v>Small pelagics (&lt;30 cm)</x:v>
      </x:c>
      <x:c r="H33" s="46" t="str">
        <x:v>Herring-likes</x:v>
      </x:c>
      <x:c r="I33" s="60" t="n">
        <x:v>18513.961522285</x:v>
      </x:c>
      <x:c r="J33" s="60" t="n">
        <x:v>15534.3804949101</x:v>
      </x:c>
      <x:c r="K33" s="60" t="n">
        <x:v>2979.5810273749</x:v>
      </x:c>
      <x:c r="L33" s="60" t="n">
        <x:v>12395.0408476315</x:v>
      </x:c>
      <x:c r="M33" s="60" t="n">
        <x:v>6118.9206746535</x:v>
      </x:c>
      <x:c r="N33" s="46" t="str">
        <x:v>clupeidae</x:v>
      </x:c>
      <x:c r="O33" s="62" t="n">
        <x:v>3.16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Clupeidae</x:v>
      </x:c>
      <x:c r="T33" s="62" t="n">
        <x:f>IF(O33="","",(1/'Metadata'!$B$5)^(O33-1))</x:f>
        <x:v>144.5439770745928</x:v>
      </x:c>
      <x:c r="U33" s="60" t="n">
        <x:f>IF(T33="","",I33*T33)</x:f>
        <x:v>2676081.629837056</x:v>
      </x:c>
    </x:row>
    <x:row r="34" ht="18" customHeight="1">
      <x:c r="A34" s="46" t="str">
        <x:v>LME_035</x:v>
      </x:c>
      <x:c r="B34" s="46" t="str">
        <x:v>Gulf of Thailand</x:v>
      </x:c>
      <x:c r="C34" s="46" t="str">
        <x:v>LME</x:v>
      </x:c>
      <x:c r="D34" s="58" t="n">
        <x:v>2019</x:v>
      </x:c>
      <x:c r="E34" s="46" t="str">
        <x:v>Mullidae</x:v>
      </x:c>
      <x:c r="F34" s="46" t="str">
        <x:v>Goatfishes</x:v>
      </x:c>
      <x:c r="G34" s="46" t="str">
        <x:v>Medium reef assoc. fish (30 - 89 cm)</x:v>
      </x:c>
      <x:c r="H34" s="46" t="str">
        <x:v>Perch-likes</x:v>
      </x:c>
      <x:c r="I34" s="60" t="n">
        <x:v>16787.639383499798</x:v>
      </x:c>
      <x:c r="J34" s="60" t="n">
        <x:v>13097.469914425299</x:v>
      </x:c>
      <x:c r="K34" s="60" t="n">
        <x:v>3690.1694690745</x:v>
      </x:c>
      <x:c r="L34" s="60" t="n">
        <x:v>11006.5755538432</x:v>
      </x:c>
      <x:c r="M34" s="60" t="n">
        <x:v>5781.063829656599</x:v>
      </x:c>
      <x:c r="N34" s="46" t="str">
        <x:v>mullidae</x:v>
      </x:c>
      <x:c r="O34" s="62" t="n">
        <x:v>3.46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Mullidae</x:v>
      </x:c>
      <x:c r="T34" s="62" t="n">
        <x:f>IF(O34="","",(1/'Metadata'!$B$5)^(O34-1))</x:f>
        <x:v>288.40315031266056</x:v>
      </x:c>
      <x:c r="U34" s="60" t="n">
        <x:f>IF(T34="","",I34*T34)</x:f>
        <x:v>4841608.084514232</x:v>
      </x:c>
    </x:row>
    <x:row r="35" ht="18" customHeight="1">
      <x:c r="A35" s="46" t="str">
        <x:v>LME_035</x:v>
      </x:c>
      <x:c r="B35" s="46" t="str">
        <x:v>Gulf of Thailand</x:v>
      </x:c>
      <x:c r="C35" s="46" t="str">
        <x:v>LME</x:v>
      </x:c>
      <x:c r="D35" s="58" t="n">
        <x:v>2019</x:v>
      </x:c>
      <x:c r="E35" s="46" t="str">
        <x:v>Selar crumenophthalmus</x:v>
      </x:c>
      <x:c r="F35" s="46" t="str">
        <x:v>Bigeye scad</x:v>
      </x:c>
      <x:c r="G35" s="46" t="str">
        <x:v>Medium pelagics (30 - 89 cm)</x:v>
      </x:c>
      <x:c r="H35" s="46" t="str">
        <x:v>Perch-likes</x:v>
      </x:c>
      <x:c r="I35" s="60" t="n">
        <x:v>16438.1077090039</x:v>
      </x:c>
      <x:c r="J35" s="60" t="n">
        <x:v>16438.1077090039</x:v>
      </x:c>
      <x:c r="K35" s="60" t="n">
        <x:v>0</x:v>
      </x:c>
      <x:c r="L35" s="60" t="n">
        <x:v>12397.815898505401</x:v>
      </x:c>
      <x:c r="M35" s="60" t="n">
        <x:v>4040.2918104984997</x:v>
      </x:c>
      <x:c r="N35" s="46" t="str">
        <x:v>selar crumenophthalmus</x:v>
      </x:c>
      <x:c r="O35" s="62" t="n">
        <x:v>3.81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Selar crumenophthalmus</x:v>
      </x:c>
      <x:c r="T35" s="62" t="n">
        <x:f>IF(O35="","",(1/'Metadata'!$B$5)^(O35-1))</x:f>
        <x:v>645.6542290346556</x:v>
      </x:c>
      <x:c r="U35" s="60" t="n">
        <x:f>IF(T35="","",I35*T35)</x:f>
        <x:v>10613333.759645542</x:v>
      </x:c>
    </x:row>
    <x:row r="36" ht="18" customHeight="1">
      <x:c r="A36" s="46" t="str">
        <x:v>LME_035</x:v>
      </x:c>
      <x:c r="B36" s="46" t="str">
        <x:v>Gulf of Thailand</x:v>
      </x:c>
      <x:c r="C36" s="46" t="str">
        <x:v>LME</x:v>
      </x:c>
      <x:c r="D36" s="58" t="n">
        <x:v>2019</x:v>
      </x:c>
      <x:c r="E36" s="46" t="str">
        <x:v>Penaeus</x:v>
      </x:c>
      <x:c r="F36" s="46" t="str">
        <x:v>Tiger prawns</x:v>
      </x:c>
      <x:c r="G36" s="46" t="str">
        <x:v>Shrimps</x:v>
      </x:c>
      <x:c r="H36" s="46" t="str">
        <x:v>Crustaceans</x:v>
      </x:c>
      <x:c r="I36" s="60" t="n">
        <x:v>14891.957610486299</x:v>
      </x:c>
      <x:c r="J36" s="60" t="n">
        <x:v>14891.9569391849</x:v>
      </x:c>
      <x:c r="K36" s="60" t="n">
        <x:v>0.0006713013999999999</x:v>
      </x:c>
      <x:c r="L36" s="60" t="n">
        <x:v>11966.171015152999</x:v>
      </x:c>
      <x:c r="M36" s="60" t="n">
        <x:v>2925.7865953333</x:v>
      </x:c>
      <x:c r="N36" s="46" t="str">
        <x:v>penaeus</x:v>
      </x:c>
      <x:c r="O36" s="62" t="n">
        <x:v>2.7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Penaeus</x:v>
      </x:c>
      <x:c r="T36" s="62" t="n">
        <x:f>IF(O36="","",(1/'Metadata'!$B$5)^(O36-1))</x:f>
        <x:v>50.11872336272725</x:v>
      </x:c>
      <x:c r="U36" s="60" t="n">
        <x:f>IF(T36="","",I36*T36)</x:f>
        <x:v>746365.9038094236</x:v>
      </x:c>
    </x:row>
    <x:row r="37" ht="18" customHeight="1">
      <x:c r="A37" s="46" t="str">
        <x:v>LME_035</x:v>
      </x:c>
      <x:c r="B37" s="46" t="str">
        <x:v>Gulf of Thailand</x:v>
      </x:c>
      <x:c r="C37" s="46" t="str">
        <x:v>LME</x:v>
      </x:c>
      <x:c r="D37" s="58" t="n">
        <x:v>2019</x:v>
      </x:c>
      <x:c r="E37" s="46" t="str">
        <x:v>Scolopsis</x:v>
      </x:c>
      <x:c r="F37" s="46" t="str">
        <x:v>Monocle breams</x:v>
      </x:c>
      <x:c r="G37" s="46" t="str">
        <x:v>Small reef assoc. fish (&lt;30 cm)</x:v>
      </x:c>
      <x:c r="H37" s="46" t="str">
        <x:v>Perch-likes</x:v>
      </x:c>
      <x:c r="I37" s="60" t="n">
        <x:v>13982.3210703604</x:v>
      </x:c>
      <x:c r="J37" s="60" t="n">
        <x:v>13982.3210703604</x:v>
      </x:c>
      <x:c r="K37" s="60" t="n">
        <x:v>0</x:v>
      </x:c>
      <x:c r="L37" s="60" t="n">
        <x:v>10023.5442008331</x:v>
      </x:c>
      <x:c r="M37" s="60" t="n">
        <x:v>3958.7768695273</x:v>
      </x:c>
      <x:c r="N37" s="46" t="str">
        <x:v>scolopsis</x:v>
      </x:c>
      <x:c r="O37" s="62" t="n">
        <x:v>3.3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Scolopsis</x:v>
      </x:c>
      <x:c r="T37" s="62" t="n">
        <x:f>IF(O37="","",(1/'Metadata'!$B$5)^(O37-1))</x:f>
        <x:v>199.52623149688787</x:v>
      </x:c>
      <x:c r="U37" s="60" t="n">
        <x:f>IF(T37="","",I37*T37)</x:f>
        <x:v>2789839.830748542</x:v>
      </x:c>
    </x:row>
    <x:row r="38" ht="18" customHeight="1">
      <x:c r="A38" s="46" t="str">
        <x:v>LME_035</x:v>
      </x:c>
      <x:c r="B38" s="46" t="str">
        <x:v>Gulf of Thailand</x:v>
      </x:c>
      <x:c r="C38" s="46" t="str">
        <x:v>LME</x:v>
      </x:c>
      <x:c r="D38" s="58" t="n">
        <x:v>2019</x:v>
      </x:c>
      <x:c r="E38" s="46" t="str">
        <x:v>Scomberomorus</x:v>
      </x:c>
      <x:c r="F38" s="46" t="str">
        <x:v>Spanish mackerels</x:v>
      </x:c>
      <x:c r="G38" s="46" t="str">
        <x:v>Large pelagics (&gt;=90 cm)</x:v>
      </x:c>
      <x:c r="H38" s="46" t="str">
        <x:v>Perch-likes</x:v>
      </x:c>
      <x:c r="I38" s="60" t="n">
        <x:v>13873.8976325173</x:v>
      </x:c>
      <x:c r="J38" s="60" t="n">
        <x:v>13873.8976325173</x:v>
      </x:c>
      <x:c r="K38" s="60" t="n">
        <x:v>0</x:v>
      </x:c>
      <x:c r="L38" s="60" t="n">
        <x:v>10050.9741519504</x:v>
      </x:c>
      <x:c r="M38" s="60" t="n">
        <x:v>3822.9234805669</x:v>
      </x:c>
      <x:c r="N38" s="46" t="str">
        <x:v>scomberomorus</x:v>
      </x:c>
      <x:c r="O38" s="62" t="n">
        <x:v>4.35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Scomberomorus</x:v>
      </x:c>
      <x:c r="T38" s="62" t="n">
        <x:f>IF(O38="","",(1/'Metadata'!$B$5)^(O38-1))</x:f>
        <x:v>2238.7211385683377</x:v>
      </x:c>
      <x:c r="U38" s="60" t="n">
        <x:f>IF(T38="","",I38*T38)</x:f>
        <x:v>31059787.904249694</x:v>
      </x:c>
    </x:row>
    <x:row r="39" ht="18" customHeight="1">
      <x:c r="A39" s="46" t="str">
        <x:v>LME_035</x:v>
      </x:c>
      <x:c r="B39" s="46" t="str">
        <x:v>Gulf of Thailand</x:v>
      </x:c>
      <x:c r="C39" s="46" t="str">
        <x:v>LME</x:v>
      </x:c>
      <x:c r="D39" s="58" t="n">
        <x:v>2019</x:v>
      </x:c>
      <x:c r="E39" s="46" t="str">
        <x:v>Alepes</x:v>
      </x:c>
      <x:c r="F39" s="46" t="str">
        <x:v>Crevalles</x:v>
      </x:c>
      <x:c r="G39" s="46" t="str">
        <x:v>Medium reef assoc. fish (30 - 89 cm)</x:v>
      </x:c>
      <x:c r="H39" s="46" t="str">
        <x:v>Perch-likes</x:v>
      </x:c>
      <x:c r="I39" s="60" t="n">
        <x:v>12885.163063969</x:v>
      </x:c>
      <x:c r="J39" s="60" t="n">
        <x:v>12881.6290665575</x:v>
      </x:c>
      <x:c r="K39" s="60" t="n">
        <x:v>3.5339974114999997</x:v>
      </x:c>
      <x:c r="L39" s="60" t="n">
        <x:v>8372.6473850954</x:v>
      </x:c>
      <x:c r="M39" s="60" t="n">
        <x:v>4512.5156788736</x:v>
      </x:c>
      <x:c r="N39" s="46" t="str">
        <x:v>alepes</x:v>
      </x:c>
      <x:c r="O39" s="62" t="n">
        <x:v>3.32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Alepes</x:v>
      </x:c>
      <x:c r="T39" s="62" t="n">
        <x:f>IF(O39="","",(1/'Metadata'!$B$5)^(O39-1))</x:f>
        <x:v>208.92961308540387</x:v>
      </x:c>
      <x:c r="U39" s="60" t="n">
        <x:f>IF(T39="","",I39*T39)</x:f>
        <x:v>2692092.13349738</x:v>
      </x:c>
    </x:row>
    <x:row r="40" ht="18" customHeight="1">
      <x:c r="A40" s="46" t="str">
        <x:v>LME_035</x:v>
      </x:c>
      <x:c r="B40" s="46" t="str">
        <x:v>Gulf of Thailand</x:v>
      </x:c>
      <x:c r="C40" s="46" t="str">
        <x:v>LME</x:v>
      </x:c>
      <x:c r="D40" s="58" t="n">
        <x:v>2019</x:v>
      </x:c>
      <x:c r="E40" s="46" t="str">
        <x:v>Apogonidae</x:v>
      </x:c>
      <x:c r="F40" s="46" t="str">
        <x:v>Cardinalfishes</x:v>
      </x:c>
      <x:c r="G40" s="46" t="str">
        <x:v>Small reef assoc. fish (&lt;30 cm)</x:v>
      </x:c>
      <x:c r="H40" s="46" t="str">
        <x:v>Perch-likes</x:v>
      </x:c>
      <x:c r="I40" s="60" t="n">
        <x:v>12047.4327444587</x:v>
      </x:c>
      <x:c r="J40" s="60" t="n">
        <x:v>11566.6510071409</x:v>
      </x:c>
      <x:c r="K40" s="60" t="n">
        <x:v>480.7817373178</x:v>
      </x:c>
      <x:c r="L40" s="60" t="n">
        <x:v>10485.853423221899</x:v>
      </x:c>
      <x:c r="M40" s="60" t="n">
        <x:v>1561.5793212368</x:v>
      </x:c>
      <x:c r="N40" s="46" t="str">
        <x:v>apogonidae</x:v>
      </x:c>
      <x:c r="O40" s="62" t="n">
        <x:v>3.54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Apogonidae</x:v>
      </x:c>
      <x:c r="T40" s="62" t="n">
        <x:f>IF(O40="","",(1/'Metadata'!$B$5)^(O40-1))</x:f>
        <x:v>346.73685045253166</x:v>
      </x:c>
      <x:c r="U40" s="60" t="n">
        <x:f>IF(T40="","",I40*T40)</x:f>
        <x:v>4177288.8858523094</x:v>
      </x:c>
    </x:row>
    <x:row r="41" ht="18" customHeight="1">
      <x:c r="A41" s="46" t="str">
        <x:v>LME_035</x:v>
      </x:c>
      <x:c r="B41" s="46" t="str">
        <x:v>Gulf of Thailand</x:v>
      </x:c>
      <x:c r="C41" s="46" t="str">
        <x:v>LME</x:v>
      </x:c>
      <x:c r="D41" s="58" t="n">
        <x:v>2019</x:v>
      </x:c>
      <x:c r="E41" s="46" t="str">
        <x:v>Metapenaeus</x:v>
      </x:c>
      <x:c r="F41" s="46" t="str">
        <x:v>Indo-Pacific prawns</x:v>
      </x:c>
      <x:c r="G41" s="46" t="str">
        <x:v>Shrimps</x:v>
      </x:c>
      <x:c r="H41" s="46" t="str">
        <x:v>Crustaceans</x:v>
      </x:c>
      <x:c r="I41" s="60" t="n">
        <x:v>12023.0833190614</x:v>
      </x:c>
      <x:c r="J41" s="60" t="n">
        <x:v>12023.0825070043</x:v>
      </x:c>
      <x:c r="K41" s="60" t="n">
        <x:v>0.0008120571</x:v>
      </x:c>
      <x:c r="L41" s="60" t="n">
        <x:v>9712.2107046833</x:v>
      </x:c>
      <x:c r="M41" s="60" t="n">
        <x:v>2310.8726143781</x:v>
      </x:c>
      <x:c r="N41" s="46" t="str">
        <x:v>metapenaeus</x:v>
      </x:c>
      <x:c r="O41" s="62" t="n">
        <x:v>2.7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Metapenaeus</x:v>
      </x:c>
      <x:c r="T41" s="62" t="n">
        <x:f>IF(O41="","",(1/'Metadata'!$B$5)^(O41-1))</x:f>
        <x:v>50.11872336272725</x:v>
      </x:c>
      <x:c r="U41" s="60" t="n">
        <x:f>IF(T41="","",I41*T41)</x:f>
        <x:v>602581.5868350589</x:v>
      </x:c>
    </x:row>
    <x:row r="42" ht="18" customHeight="1">
      <x:c r="A42" s="46" t="str">
        <x:v>LME_035</x:v>
      </x:c>
      <x:c r="B42" s="46" t="str">
        <x:v>Gulf of Thailand</x:v>
      </x:c>
      <x:c r="C42" s="46" t="str">
        <x:v>LME</x:v>
      </x:c>
      <x:c r="D42" s="58" t="n">
        <x:v>2019</x:v>
      </x:c>
      <x:c r="E42" s="46" t="str">
        <x:v>Sepia</x:v>
      </x:c>
      <x:c r="F42" s="46" t="str">
        <x:v>Sepia cuttlefishes</x:v>
      </x:c>
      <x:c r="G42" s="46" t="str">
        <x:v>Cephalopods</x:v>
      </x:c>
      <x:c r="H42" s="46" t="str">
        <x:v>Other fishes &amp; inverts</x:v>
      </x:c>
      <x:c r="I42" s="60" t="n">
        <x:v>11391.5797843754</x:v>
      </x:c>
      <x:c r="J42" s="60" t="n">
        <x:v>11360.726215127</x:v>
      </x:c>
      <x:c r="K42" s="60" t="n">
        <x:v>30.8535692484</x:v>
      </x:c>
      <x:c r="L42" s="60" t="n">
        <x:v>6263.8361127302005</x:v>
      </x:c>
      <x:c r="M42" s="60" t="n">
        <x:v>5127.743671645199</x:v>
      </x:c>
      <x:c r="N42" s="46" t="str">
        <x:v>sepia</x:v>
      </x:c>
      <x:c r="O42" s="62" t="n">
        <x:v>3.69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Sepia</x:v>
      </x:c>
      <x:c r="T42" s="62" t="n">
        <x:f>IF(O42="","",(1/'Metadata'!$B$5)^(O42-1))</x:f>
        <x:v>489.77881936844614</x:v>
      </x:c>
      <x:c r="U42" s="60" t="n">
        <x:f>IF(T42="","",I42*T42)</x:f>
        <x:v>5579354.497532842</x:v>
      </x:c>
    </x:row>
    <x:row r="43" ht="18" customHeight="1">
      <x:c r="A43" s="46" t="str">
        <x:v>LME_035</x:v>
      </x:c>
      <x:c r="B43" s="46" t="str">
        <x:v>Gulf of Thailand</x:v>
      </x:c>
      <x:c r="C43" s="46" t="str">
        <x:v>LME</x:v>
      </x:c>
      <x:c r="D43" s="58" t="n">
        <x:v>2019</x:v>
      </x:c>
      <x:c r="E43" s="46" t="str">
        <x:v>Thunnus tonggol</x:v>
      </x:c>
      <x:c r="F43" s="46" t="str">
        <x:v>Longtail tuna</x:v>
      </x:c>
      <x:c r="G43" s="46" t="str">
        <x:v>Large pelagics (&gt;=90 cm)</x:v>
      </x:c>
      <x:c r="H43" s="46" t="str">
        <x:v>Tuna &amp; billfishes</x:v>
      </x:c>
      <x:c r="I43" s="60" t="n">
        <x:v>10977.0976744157</x:v>
      </x:c>
      <x:c r="J43" s="60" t="n">
        <x:v>10977.0976354223</x:v>
      </x:c>
      <x:c r="K43" s="60" t="n">
        <x:v>0.0000389934</x:v>
      </x:c>
      <x:c r="L43" s="60" t="n">
        <x:v>2295.1254278304</x:v>
      </x:c>
      <x:c r="M43" s="60" t="n">
        <x:v>8681.9722465853</x:v>
      </x:c>
      <x:c r="N43" s="46" t="str">
        <x:v>thunnus tonggol</x:v>
      </x:c>
      <x:c r="O43" s="62" t="n">
        <x:v>4.5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Thunnus tonggol</x:v>
      </x:c>
      <x:c r="T43" s="62" t="n">
        <x:f>IF(O43="","",(1/'Metadata'!$B$5)^(O43-1))</x:f>
        <x:v>3162.2776601683795</x:v>
      </x:c>
      <x:c r="U43" s="60" t="n">
        <x:f>IF(T43="","",I43*T43)</x:f>
        <x:v>34712630.74929104</x:v>
      </x:c>
    </x:row>
    <x:row r="44" ht="18" customHeight="1">
      <x:c r="A44" s="46" t="str">
        <x:v>LME_035</x:v>
      </x:c>
      <x:c r="B44" s="46" t="str">
        <x:v>Gulf of Thailand</x:v>
      </x:c>
      <x:c r="C44" s="46" t="str">
        <x:v>LME</x:v>
      </x:c>
      <x:c r="D44" s="58" t="n">
        <x:v>2019</x:v>
      </x:c>
      <x:c r="E44" s="46" t="str">
        <x:v>Lutjanidae</x:v>
      </x:c>
      <x:c r="F44" s="46" t="str">
        <x:v>Snappers</x:v>
      </x:c>
      <x:c r="G44" s="46" t="str">
        <x:v>Medium reef assoc. fish (30 - 89 cm)</x:v>
      </x:c>
      <x:c r="H44" s="46" t="str">
        <x:v>Perch-likes</x:v>
      </x:c>
      <x:c r="I44" s="60" t="n">
        <x:v>10763.0020610752</x:v>
      </x:c>
      <x:c r="J44" s="60" t="n">
        <x:v>10763.0020610752</x:v>
      </x:c>
      <x:c r="K44" s="60" t="n">
        <x:v>0</x:v>
      </x:c>
      <x:c r="L44" s="60" t="n">
        <x:v>8040.542256980701</x:v>
      </x:c>
      <x:c r="M44" s="60" t="n">
        <x:v>2722.4598040944998</x:v>
      </x:c>
      <x:c r="N44" s="46" t="str">
        <x:v>lutjanidae</x:v>
      </x:c>
      <x:c r="O44" s="62" t="n">
        <x:v>4.02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Lutjanidae</x:v>
      </x:c>
      <x:c r="T44" s="62" t="n">
        <x:f>IF(O44="","",(1/'Metadata'!$B$5)^(O44-1))</x:f>
        <x:v>1047.1285480508984</x:v>
      </x:c>
      <x:c r="U44" s="60" t="n">
        <x:f>IF(T44="","",I44*T44)</x:f>
        <x:v>11270246.720882501</x:v>
      </x:c>
    </x:row>
    <x:row r="45" ht="18" customHeight="1">
      <x:c r="A45" s="46" t="str">
        <x:v>LME_035</x:v>
      </x:c>
      <x:c r="B45" s="46" t="str">
        <x:v>Gulf of Thailand</x:v>
      </x:c>
      <x:c r="C45" s="46" t="str">
        <x:v>LME</x:v>
      </x:c>
      <x:c r="D45" s="58" t="n">
        <x:v>2019</x:v>
      </x:c>
      <x:c r="E45" s="46" t="str">
        <x:v>Selaroides leptolepis</x:v>
      </x:c>
      <x:c r="F45" s="46" t="str">
        <x:v>Yellowstripe scad</x:v>
      </x:c>
      <x:c r="G45" s="46" t="str">
        <x:v>Small pelagics (&lt;30 cm)</x:v>
      </x:c>
      <x:c r="H45" s="46" t="str">
        <x:v>Perch-likes</x:v>
      </x:c>
      <x:c r="I45" s="60" t="n">
        <x:v>10757.5516883844</x:v>
      </x:c>
      <x:c r="J45" s="60" t="n">
        <x:v>10753.3017322082</x:v>
      </x:c>
      <x:c r="K45" s="60" t="n">
        <x:v>4.2499561761999995</x:v>
      </x:c>
      <x:c r="L45" s="60" t="n">
        <x:v>7373.4196809918</x:v>
      </x:c>
      <x:c r="M45" s="60" t="n">
        <x:v>3384.1320073926004</x:v>
      </x:c>
      <x:c r="N45" s="46" t="str">
        <x:v>selaroides leptolepis</x:v>
      </x:c>
      <x:c r="O45" s="62" t="n">
        <x:v>3.84</x:v>
      </x:c>
      <x:c r="P45" s="46" t="str">
        <x:v>exact_2020_supplement</x:v>
      </x:c>
      <x:c r="Q45" s="62" t="str">
        <x:v>2020 supplement MeanTL</x:v>
      </x:c>
      <x:c r="R45" s="46" t="str">
        <x:v>high</x:v>
      </x:c>
      <x:c r="S45" s="46" t="str">
        <x:v>Selaroides leptolepis</x:v>
      </x:c>
      <x:c r="T45" s="62" t="n">
        <x:f>IF(O45="","",(1/'Metadata'!$B$5)^(O45-1))</x:f>
        <x:v>691.8309709189363</x:v>
      </x:c>
      <x:c r="U45" s="60" t="n">
        <x:f>IF(T45="","",I45*T45)</x:f>
        <x:v>7442407.429285621</x:v>
      </x:c>
    </x:row>
    <x:row r="46" ht="18" customHeight="1">
      <x:c r="A46" s="46" t="str">
        <x:v>LME_035</x:v>
      </x:c>
      <x:c r="B46" s="46" t="str">
        <x:v>Gulf of Thailand</x:v>
      </x:c>
      <x:c r="C46" s="46" t="str">
        <x:v>LME</x:v>
      </x:c>
      <x:c r="D46" s="58" t="n">
        <x:v>2019</x:v>
      </x:c>
      <x:c r="E46" s="46" t="str">
        <x:v>Penaeus merguiensis</x:v>
      </x:c>
      <x:c r="F46" s="46" t="str">
        <x:v>Banana prawn</x:v>
      </x:c>
      <x:c r="G46" s="46" t="str">
        <x:v>Shrimps</x:v>
      </x:c>
      <x:c r="H46" s="46" t="str">
        <x:v>Crustaceans</x:v>
      </x:c>
      <x:c r="I46" s="60" t="n">
        <x:v>10334.9840382139</x:v>
      </x:c>
      <x:c r="J46" s="60" t="n">
        <x:v>10334.9840382139</x:v>
      </x:c>
      <x:c r="K46" s="60" t="n">
        <x:v>0</x:v>
      </x:c>
      <x:c r="L46" s="60" t="n">
        <x:v>7402.0204305005</x:v>
      </x:c>
      <x:c r="M46" s="60" t="n">
        <x:v>2932.9636077134</x:v>
      </x:c>
      <x:c r="N46" s="46" t="str">
        <x:v>penaeus merguiensis</x:v>
      </x:c>
      <x:c r="O46" s="62" t="n">
        <x:v>3.77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Penaeus merguiensis</x:v>
      </x:c>
      <x:c r="T46" s="62" t="n">
        <x:f>IF(O46="","",(1/'Metadata'!$B$5)^(O46-1))</x:f>
        <x:v>588.843655355589</x:v>
      </x:c>
      <x:c r="U46" s="60" t="n">
        <x:f>IF(T46="","",I46*T46)</x:f>
        <x:v>6085689.779103539</x:v>
      </x:c>
    </x:row>
    <x:row r="47" ht="18" customHeight="1">
      <x:c r="A47" s="46" t="str">
        <x:v>LME_035</x:v>
      </x:c>
      <x:c r="B47" s="46" t="str">
        <x:v>Gulf of Thailand</x:v>
      </x:c>
      <x:c r="C47" s="46" t="str">
        <x:v>LME</x:v>
      </x:c>
      <x:c r="D47" s="58" t="n">
        <x:v>2019</x:v>
      </x:c>
      <x:c r="E47" s="46" t="str">
        <x:v>Penaeidae</x:v>
      </x:c>
      <x:c r="F47" s="46" t="str">
        <x:v>Commercial shrimps and prawns</x:v>
      </x:c>
      <x:c r="G47" s="46" t="str">
        <x:v>Shrimps</x:v>
      </x:c>
      <x:c r="H47" s="46" t="str">
        <x:v>Crustaceans</x:v>
      </x:c>
      <x:c r="I47" s="60" t="n">
        <x:v>9649.2385599925</x:v>
      </x:c>
      <x:c r="J47" s="60" t="n">
        <x:v>9649.2385599925</x:v>
      </x:c>
      <x:c r="K47" s="60" t="n">
        <x:v>0</x:v>
      </x:c>
      <x:c r="L47" s="60" t="n">
        <x:v>1646.9936486082001</x:v>
      </x:c>
      <x:c r="M47" s="60" t="n">
        <x:v>8002.2449113843</x:v>
      </x:c>
      <x:c r="N47" s="46" t="str">
        <x:v>penaeidae</x:v>
      </x:c>
      <x:c r="O47" s="62" t="n">
        <x:v>3.31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Penaeidae</x:v>
      </x:c>
      <x:c r="T47" s="62" t="n">
        <x:f>IF(O47="","",(1/'Metadata'!$B$5)^(O47-1))</x:f>
        <x:v>204.17379446695296</x:v>
      </x:c>
      <x:c r="U47" s="60" t="n">
        <x:f>IF(T47="","",I47*T47)</x:f>
        <x:v>1970121.6505105058</x:v>
      </x:c>
    </x:row>
    <x:row r="48" ht="18" customHeight="1">
      <x:c r="A48" s="46" t="str">
        <x:v>LME_035</x:v>
      </x:c>
      <x:c r="B48" s="46" t="str">
        <x:v>Gulf of Thailand</x:v>
      </x:c>
      <x:c r="C48" s="46" t="str">
        <x:v>LME</x:v>
      </x:c>
      <x:c r="D48" s="58" t="n">
        <x:v>2019</x:v>
      </x:c>
      <x:c r="E48" s="46" t="str">
        <x:v>Veneridae</x:v>
      </x:c>
      <x:c r="F48" s="46" t="str">
        <x:v>Venus clams</x:v>
      </x:c>
      <x:c r="G48" s="46" t="str">
        <x:v>Other demersal invertebrates</x:v>
      </x:c>
      <x:c r="H48" s="46" t="str">
        <x:v>Molluscs</x:v>
      </x:c>
      <x:c r="I48" s="60" t="n">
        <x:v>9501.1076546769</x:v>
      </x:c>
      <x:c r="J48" s="60" t="n">
        <x:v>9501.1076546769</x:v>
      </x:c>
      <x:c r="K48" s="60" t="n">
        <x:v>0</x:v>
      </x:c>
      <x:c r="L48" s="60" t="n">
        <x:v>4901.2759955892</x:v>
      </x:c>
      <x:c r="M48" s="60" t="n">
        <x:v>4599.8316590877</x:v>
      </x:c>
      <x:c r="N48" s="46" t="str">
        <x:v>veneridae</x:v>
      </x:c>
      <x:c r="O48" s="62" t="n">
        <x:v>2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Veneridae</x:v>
      </x:c>
      <x:c r="T48" s="62" t="n">
        <x:f>IF(O48="","",(1/'Metadata'!$B$5)^(O48-1))</x:f>
        <x:v>10</x:v>
      </x:c>
      <x:c r="U48" s="60" t="n">
        <x:f>IF(T48="","",I48*T48)</x:f>
        <x:v>95011.076546769</x:v>
      </x:c>
    </x:row>
    <x:row r="49" ht="18" customHeight="1">
      <x:c r="A49" s="46" t="str">
        <x:v>LME_035</x:v>
      </x:c>
      <x:c r="B49" s="46" t="str">
        <x:v>Gulf of Thailand</x:v>
      </x:c>
      <x:c r="C49" s="46" t="str">
        <x:v>LME</x:v>
      </x:c>
      <x:c r="D49" s="58" t="n">
        <x:v>2019</x:v>
      </x:c>
      <x:c r="E49" s="46" t="str">
        <x:v>Trichiurus lepturus</x:v>
      </x:c>
      <x:c r="F49" s="46" t="str">
        <x:v>Largehead hairtail</x:v>
      </x:c>
      <x:c r="G49" s="46" t="str">
        <x:v>Large benthopelagics (&gt;=90 cm)</x:v>
      </x:c>
      <x:c r="H49" s="46" t="str">
        <x:v>Perch-likes</x:v>
      </x:c>
      <x:c r="I49" s="60" t="n">
        <x:v>8488.5868769182</x:v>
      </x:c>
      <x:c r="J49" s="60" t="n">
        <x:v>8269.3548111908</x:v>
      </x:c>
      <x:c r="K49" s="60" t="n">
        <x:v>219.2320657274</x:v>
      </x:c>
      <x:c r="L49" s="60" t="n">
        <x:v>7679.307039319599</x:v>
      </x:c>
      <x:c r="M49" s="60" t="n">
        <x:v>809.2798375986</x:v>
      </x:c>
      <x:c r="N49" s="46" t="str">
        <x:v>trichiurus lepturus</x:v>
      </x:c>
      <x:c r="O49" s="62" t="n">
        <x:v>4.42</x:v>
      </x:c>
      <x:c r="P49" s="46" t="str">
        <x:v>exact_2020_supplement</x:v>
      </x:c>
      <x:c r="Q49" s="62" t="str">
        <x:v>2020 supplement MeanTL</x:v>
      </x:c>
      <x:c r="R49" s="46" t="str">
        <x:v>high</x:v>
      </x:c>
      <x:c r="S49" s="46" t="str">
        <x:v>Trichiurus lepturus</x:v>
      </x:c>
      <x:c r="T49" s="62" t="n">
        <x:f>IF(O49="","",(1/'Metadata'!$B$5)^(O49-1))</x:f>
        <x:v>2630.2679918953813</x:v>
      </x:c>
      <x:c r="U49" s="60" t="n">
        <x:f>IF(T49="","",I49*T49)</x:f>
        <x:v>22327258.358781118</x:v>
      </x:c>
    </x:row>
    <x:row r="50" ht="18" customHeight="1">
      <x:c r="A50" s="46" t="str">
        <x:v>LME_035</x:v>
      </x:c>
      <x:c r="B50" s="46" t="str">
        <x:v>Gulf of Thailand</x:v>
      </x:c>
      <x:c r="C50" s="46" t="str">
        <x:v>LME</x:v>
      </x:c>
      <x:c r="D50" s="58" t="n">
        <x:v>2019</x:v>
      </x:c>
      <x:c r="E50" s="46" t="str">
        <x:v>Portunus</x:v>
      </x:c>
      <x:c r="F50" s="46" t="str">
        <x:v>Swimmer crabs</x:v>
      </x:c>
      <x:c r="G50" s="46" t="str">
        <x:v>Lobsters, crabs</x:v>
      </x:c>
      <x:c r="H50" s="46" t="str">
        <x:v>Crustaceans</x:v>
      </x:c>
      <x:c r="I50" s="60" t="n">
        <x:v>7916.3201722139</x:v>
      </x:c>
      <x:c r="J50" s="60" t="n">
        <x:v>7916.3201722139</x:v>
      </x:c>
      <x:c r="K50" s="60" t="n">
        <x:v>0</x:v>
      </x:c>
      <x:c r="L50" s="60" t="n">
        <x:v>4563.2927062399995</x:v>
      </x:c>
      <x:c r="M50" s="60" t="n">
        <x:v>3353.0274659739002</x:v>
      </x:c>
      <x:c r="N50" s="46" t="str">
        <x:v>portunus</x:v>
      </x:c>
      <x:c r="O50" s="62" t="n">
        <x:v>3.26</x:v>
      </x:c>
      <x:c r="P50" s="46" t="str">
        <x:v>exact_sea_around_us</x:v>
      </x:c>
      <x:c r="Q50" s="62" t="str">
        <x:v>Sea Around Us exploited organisms</x:v>
      </x:c>
      <x:c r="R50" s="46" t="str">
        <x:v>high</x:v>
      </x:c>
      <x:c r="S50" s="46" t="str">
        <x:v>Portunus</x:v>
      </x:c>
      <x:c r="T50" s="62" t="n">
        <x:f>IF(O50="","",(1/'Metadata'!$B$5)^(O50-1))</x:f>
        <x:v>181.97008586099827</x:v>
      </x:c>
      <x:c r="U50" s="60" t="n">
        <x:f>IF(T50="","",I50*T50)</x:f>
        <x:v>1440533.461440916</x:v>
      </x:c>
    </x:row>
    <x:row r="51" ht="18" customHeight="1">
      <x:c r="A51" s="46" t="str">
        <x:v>LME_035</x:v>
      </x:c>
      <x:c r="B51" s="46" t="str">
        <x:v>Gulf of Thailand</x:v>
      </x:c>
      <x:c r="C51" s="46" t="str">
        <x:v>LME</x:v>
      </x:c>
      <x:c r="D51" s="58" t="n">
        <x:v>2019</x:v>
      </x:c>
      <x:c r="E51" s="46" t="str">
        <x:v>Parastromateus niger</x:v>
      </x:c>
      <x:c r="F51" s="46" t="str">
        <x:v>Black pomfret</x:v>
      </x:c>
      <x:c r="G51" s="46" t="str">
        <x:v>Medium benthopelagics (30 - 89 cm)</x:v>
      </x:c>
      <x:c r="H51" s="46" t="str">
        <x:v>Perch-likes</x:v>
      </x:c>
      <x:c r="I51" s="60" t="n">
        <x:v>7577.8863024756</x:v>
      </x:c>
      <x:c r="J51" s="60" t="n">
        <x:v>7577.8856834462</x:v>
      </x:c>
      <x:c r="K51" s="60" t="n">
        <x:v>0.0006190294</x:v>
      </x:c>
      <x:c r="L51" s="60" t="n">
        <x:v>6353.6023649687</x:v>
      </x:c>
      <x:c r="M51" s="60" t="n">
        <x:v>1224.2839375069</x:v>
      </x:c>
      <x:c r="N51" s="46" t="str">
        <x:v>parastromateus niger</x:v>
      </x:c>
      <x:c r="O51" s="62" t="n">
        <x:v>2.93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Parastromateus niger</x:v>
      </x:c>
      <x:c r="T51" s="62" t="n">
        <x:f>IF(O51="","",(1/'Metadata'!$B$5)^(O51-1))</x:f>
        <x:v>85.11380382023768</x:v>
      </x:c>
      <x:c r="U51" s="60" t="n">
        <x:f>IF(T51="","",I51*T51)</x:f>
        <x:v>644982.7281209745</x:v>
      </x:c>
    </x:row>
    <x:row r="52" ht="18" customHeight="1">
      <x:c r="A52" s="46" t="str">
        <x:v>LME_035</x:v>
      </x:c>
      <x:c r="B52" s="46" t="str">
        <x:v>Gulf of Thailand</x:v>
      </x:c>
      <x:c r="C52" s="46" t="str">
        <x:v>LME</x:v>
      </x:c>
      <x:c r="D52" s="58" t="n">
        <x:v>2019</x:v>
      </x:c>
      <x:c r="E52" s="46" t="str">
        <x:v>Atule mate</x:v>
      </x:c>
      <x:c r="F52" s="46" t="str">
        <x:v>Yellowtail scad</x:v>
      </x:c>
      <x:c r="G52" s="46" t="str">
        <x:v>Small pelagics (&lt;30 cm)</x:v>
      </x:c>
      <x:c r="H52" s="46" t="str">
        <x:v>Perch-likes</x:v>
      </x:c>
      <x:c r="I52" s="60" t="n">
        <x:v>7423.115161115799</x:v>
      </x:c>
      <x:c r="J52" s="60" t="n">
        <x:v>7423.115161115799</x:v>
      </x:c>
      <x:c r="K52" s="60" t="n">
        <x:v>0</x:v>
      </x:c>
      <x:c r="L52" s="60" t="n">
        <x:v>5427.1437842776995</x:v>
      </x:c>
      <x:c r="M52" s="60" t="n">
        <x:v>1995.9713768381</x:v>
      </x:c>
      <x:c r="N52" s="46" t="str">
        <x:v>atule mate</x:v>
      </x:c>
      <x:c r="O52" s="62" t="n">
        <x:v>4.22</x:v>
      </x:c>
      <x:c r="P52" s="46" t="str">
        <x:v>exact_2020_supplement</x:v>
      </x:c>
      <x:c r="Q52" s="62" t="str">
        <x:v>2020 supplement MeanTL</x:v>
      </x:c>
      <x:c r="R52" s="46" t="str">
        <x:v>high</x:v>
      </x:c>
      <x:c r="S52" s="46" t="str">
        <x:v>Atule mate</x:v>
      </x:c>
      <x:c r="T52" s="62" t="n">
        <x:f>IF(O52="","",(1/'Metadata'!$B$5)^(O52-1))</x:f>
        <x:v>1659.5869074375596</x:v>
      </x:c>
      <x:c r="U52" s="60" t="n">
        <x:f>IF(T52="","",I52*T52)</x:f>
        <x:v>12319304.73378903</x:v>
      </x:c>
    </x:row>
    <x:row r="53" ht="18" customHeight="1">
      <x:c r="A53" s="46" t="str">
        <x:v>LME_035</x:v>
      </x:c>
      <x:c r="B53" s="46" t="str">
        <x:v>Gulf of Thailand</x:v>
      </x:c>
      <x:c r="C53" s="46" t="str">
        <x:v>LME</x:v>
      </x:c>
      <x:c r="D53" s="58" t="n">
        <x:v>2019</x:v>
      </x:c>
      <x:c r="E53" s="46" t="str">
        <x:v>Saurida tumbil</x:v>
      </x:c>
      <x:c r="F53" s="46" t="str">
        <x:v>Greater lizardfish</x:v>
      </x:c>
      <x:c r="G53" s="46" t="str">
        <x:v>Medium demersals (30 - 89 cm)</x:v>
      </x:c>
      <x:c r="H53" s="46" t="str">
        <x:v>Other fishes &amp; inverts</x:v>
      </x:c>
      <x:c r="I53" s="60" t="n">
        <x:v>6967.5992972545</x:v>
      </x:c>
      <x:c r="J53" s="60" t="n">
        <x:v>6580.812025337</x:v>
      </x:c>
      <x:c r="K53" s="60" t="n">
        <x:v>386.7872719175</x:v>
      </x:c>
      <x:c r="L53" s="60" t="n">
        <x:v>6580.812025337</x:v>
      </x:c>
      <x:c r="M53" s="60" t="n">
        <x:v>386.7872719175</x:v>
      </x:c>
      <x:c r="N53" s="46" t="str">
        <x:v>saurida tumbil</x:v>
      </x:c>
      <x:c r="O53" s="62" t="n">
        <x:v>4.4</x:v>
      </x:c>
      <x:c r="P53" s="46" t="str">
        <x:v>exact_2020_supplement</x:v>
      </x:c>
      <x:c r="Q53" s="62" t="str">
        <x:v>2020 supplement MeanTL</x:v>
      </x:c>
      <x:c r="R53" s="46" t="str">
        <x:v>high</x:v>
      </x:c>
      <x:c r="S53" s="46" t="str">
        <x:v>Saurida tumbil</x:v>
      </x:c>
      <x:c r="T53" s="62" t="n">
        <x:f>IF(O53="","",(1/'Metadata'!$B$5)^(O53-1))</x:f>
        <x:v>2511.886431509582</x:v>
      </x:c>
      <x:c r="U53" s="60" t="n">
        <x:f>IF(T53="","",I53*T53)</x:f>
        <x:v>17501818.13496928</x:v>
      </x:c>
    </x:row>
    <x:row r="54" ht="18" customHeight="1">
      <x:c r="A54" s="46" t="str">
        <x:v>LME_035</x:v>
      </x:c>
      <x:c r="B54" s="46" t="str">
        <x:v>Gulf of Thailand</x:v>
      </x:c>
      <x:c r="C54" s="46" t="str">
        <x:v>LME</x:v>
      </x:c>
      <x:c r="D54" s="58" t="n">
        <x:v>2019</x:v>
      </x:c>
      <x:c r="E54" s="46" t="str">
        <x:v>Sepioteuthis lessoniana</x:v>
      </x:c>
      <x:c r="F54" s="46" t="str">
        <x:v>Bigfin reef squid</x:v>
      </x:c>
      <x:c r="G54" s="46" t="str">
        <x:v>Cephalopods</x:v>
      </x:c>
      <x:c r="H54" s="46" t="str">
        <x:v>Other fishes &amp; inverts</x:v>
      </x:c>
      <x:c r="I54" s="60" t="n">
        <x:v>6431.5205658114</x:v>
      </x:c>
      <x:c r="J54" s="60" t="n">
        <x:v>6431.5205658114</x:v>
      </x:c>
      <x:c r="K54" s="60" t="n">
        <x:v>0</x:v>
      </x:c>
      <x:c r="L54" s="60" t="n">
        <x:v>4972.1326393763</x:v>
      </x:c>
      <x:c r="M54" s="60" t="n">
        <x:v>1459.3879264351</x:v>
      </x:c>
      <x:c r="N54" s="46" t="str">
        <x:v>sepioteuthis lessoniana</x:v>
      </x:c>
      <x:c r="O54" s="62" t="n">
        <x:v>3.98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Sepioteuthis lessoniana</x:v>
      </x:c>
      <x:c r="T54" s="62" t="n">
        <x:f>IF(O54="","",(1/'Metadata'!$B$5)^(O54-1))</x:f>
        <x:v>954.992586021436</x:v>
      </x:c>
      <x:c r="U54" s="60" t="n">
        <x:f>IF(T54="","",I54*T54)</x:f>
        <x:v>6142054.457194278</x:v>
      </x:c>
    </x:row>
    <x:row r="55" ht="18" customHeight="1">
      <x:c r="A55" s="46" t="str">
        <x:v>LME_035</x:v>
      </x:c>
      <x:c r="B55" s="46" t="str">
        <x:v>Gulf of Thailand</x:v>
      </x:c>
      <x:c r="C55" s="46" t="str">
        <x:v>LME</x:v>
      </x:c>
      <x:c r="D55" s="58" t="n">
        <x:v>2019</x:v>
      </x:c>
      <x:c r="E55" s="46" t="str">
        <x:v>Serranidae</x:v>
      </x:c>
      <x:c r="F55" s="46" t="str">
        <x:v>Basses, groupers, hinds</x:v>
      </x:c>
      <x:c r="G55" s="46" t="str">
        <x:v>Medium reef assoc. fish (30 - 89 cm)</x:v>
      </x:c>
      <x:c r="H55" s="46" t="str">
        <x:v>Perch-likes</x:v>
      </x:c>
      <x:c r="I55" s="60" t="n">
        <x:v>6347.9417672884</x:v>
      </x:c>
      <x:c r="J55" s="60" t="n">
        <x:v>6347.9417672884</x:v>
      </x:c>
      <x:c r="K55" s="60" t="n">
        <x:v>0</x:v>
      </x:c>
      <x:c r="L55" s="60" t="n">
        <x:v>4322.0665951057</x:v>
      </x:c>
      <x:c r="M55" s="60" t="n">
        <x:v>2025.8751721827</x:v>
      </x:c>
      <x:c r="N55" s="46" t="str">
        <x:v>serranidae</x:v>
      </x:c>
      <x:c r="O55" s="62" t="n">
        <x:v>3.98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Serranidae</x:v>
      </x:c>
      <x:c r="T55" s="62" t="n">
        <x:f>IF(O55="","",(1/'Metadata'!$B$5)^(O55-1))</x:f>
        <x:v>954.992586021436</x:v>
      </x:c>
      <x:c r="U55" s="60" t="n">
        <x:f>IF(T55="","",I55*T55)</x:f>
        <x:v>6062237.324256234</x:v>
      </x:c>
    </x:row>
    <x:row r="56" ht="18" customHeight="1">
      <x:c r="A56" s="46" t="str">
        <x:v>LME_035</x:v>
      </x:c>
      <x:c r="B56" s="46" t="str">
        <x:v>Gulf of Thailand</x:v>
      </x:c>
      <x:c r="C56" s="46" t="str">
        <x:v>LME</x:v>
      </x:c>
      <x:c r="D56" s="58" t="n">
        <x:v>2019</x:v>
      </x:c>
      <x:c r="E56" s="46" t="str">
        <x:v>Portunidae</x:v>
      </x:c>
      <x:c r="F56" s="46" t="str">
        <x:v>Swimming crabs</x:v>
      </x:c>
      <x:c r="G56" s="46" t="str">
        <x:v>Lobsters, crabs</x:v>
      </x:c>
      <x:c r="H56" s="46" t="str">
        <x:v>Crustaceans</x:v>
      </x:c>
      <x:c r="I56" s="60" t="n">
        <x:v>6166.9633649578</x:v>
      </x:c>
      <x:c r="J56" s="60" t="n">
        <x:v>6166.9633649578</x:v>
      </x:c>
      <x:c r="K56" s="60" t="n">
        <x:v>0</x:v>
      </x:c>
      <x:c r="L56" s="60" t="n">
        <x:v>4805.5869963971</x:v>
      </x:c>
      <x:c r="M56" s="60" t="n">
        <x:v>1361.3763685607</x:v>
      </x:c>
      <x:c r="N56" s="46" t="str">
        <x:v>portunidae</x:v>
      </x:c>
      <x:c r="O56" s="62" t="n">
        <x:v>3.56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Portunidae</x:v>
      </x:c>
      <x:c r="T56" s="62" t="n">
        <x:f>IF(O56="","",(1/'Metadata'!$B$5)^(O56-1))</x:f>
        <x:v>363.0780547701014</x:v>
      </x:c>
      <x:c r="U56" s="60" t="n">
        <x:f>IF(T56="","",I56*T56)</x:f>
        <x:v>2239089.062387357</x:v>
      </x:c>
    </x:row>
    <x:row r="57" ht="18" customHeight="1">
      <x:c r="A57" s="46" t="str">
        <x:v>LME_035</x:v>
      </x:c>
      <x:c r="B57" s="46" t="str">
        <x:v>Gulf of Thailand</x:v>
      </x:c>
      <x:c r="C57" s="46" t="str">
        <x:v>LME</x:v>
      </x:c>
      <x:c r="D57" s="58" t="n">
        <x:v>2019</x:v>
      </x:c>
      <x:c r="E57" s="46" t="str">
        <x:v>Dendrobranchiata</x:v>
      </x:c>
      <x:c r="F57" s="46" t="str">
        <x:v>Shrimps and prawns</x:v>
      </x:c>
      <x:c r="G57" s="46" t="str">
        <x:v>Shrimps</x:v>
      </x:c>
      <x:c r="H57" s="46" t="str">
        <x:v>Crustaceans</x:v>
      </x:c>
      <x:c r="I57" s="60" t="n">
        <x:v>6133.7384528928</x:v>
      </x:c>
      <x:c r="J57" s="60" t="n">
        <x:v>6035.1477168633</x:v>
      </x:c>
      <x:c r="K57" s="60" t="n">
        <x:v>98.59073602950001</x:v>
      </x:c>
      <x:c r="L57" s="60" t="n">
        <x:v>2565.6087281043</x:v>
      </x:c>
      <x:c r="M57" s="60" t="n">
        <x:v>3568.1297247885</x:v>
      </x:c>
      <x:c r="N57" s="46" t="str">
        <x:v>dendrobranchiata</x:v>
      </x:c>
      <x:c r="O57" s="62" t="n">
        <x:v>3.24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Dendrobranchiata</x:v>
      </x:c>
      <x:c r="T57" s="62" t="n">
        <x:f>IF(O57="","",(1/'Metadata'!$B$5)^(O57-1))</x:f>
        <x:v>173.78008287493762</x:v>
      </x:c>
      <x:c r="U57" s="60" t="n">
        <x:f>IF(T57="","",I57*T57)</x:f>
        <x:v>1065921.5766769024</x:v>
      </x:c>
    </x:row>
    <x:row r="58" ht="18" customHeight="1">
      <x:c r="A58" s="46" t="str">
        <x:v>LME_035</x:v>
      </x:c>
      <x:c r="B58" s="46" t="str">
        <x:v>Gulf of Thailand</x:v>
      </x:c>
      <x:c r="C58" s="46" t="str">
        <x:v>LME</x:v>
      </x:c>
      <x:c r="D58" s="58" t="n">
        <x:v>2019</x:v>
      </x:c>
      <x:c r="E58" s="46" t="str">
        <x:v>Epinephelus</x:v>
      </x:c>
      <x:c r="F58" s="46" t="str">
        <x:v>Seabasses, hinds</x:v>
      </x:c>
      <x:c r="G58" s="46" t="str">
        <x:v>Medium reef assoc. fish (30 - 89 cm)</x:v>
      </x:c>
      <x:c r="H58" s="46" t="str">
        <x:v>Perch-likes</x:v>
      </x:c>
      <x:c r="I58" s="60" t="n">
        <x:v>6075.8259308699</x:v>
      </x:c>
      <x:c r="J58" s="60" t="n">
        <x:v>6071.5934844809</x:v>
      </x:c>
      <x:c r="K58" s="60" t="n">
        <x:v>4.232446389</x:v>
      </x:c>
      <x:c r="L58" s="60" t="n">
        <x:v>3844.6355077769</x:v>
      </x:c>
      <x:c r="M58" s="60" t="n">
        <x:v>2231.190423093</x:v>
      </x:c>
      <x:c r="N58" s="46" t="str">
        <x:v>epinephelus</x:v>
      </x:c>
      <x:c r="O58" s="62" t="n">
        <x:v>3.84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Epinephelus</x:v>
      </x:c>
      <x:c r="T58" s="62" t="n">
        <x:f>IF(O58="","",(1/'Metadata'!$B$5)^(O58-1))</x:f>
        <x:v>691.8309709189363</x:v>
      </x:c>
      <x:c r="U58" s="60" t="n">
        <x:f>IF(T58="","",I58*T58)</x:f>
        <x:v>4203444.552888173</x:v>
      </x:c>
    </x:row>
    <x:row r="59" ht="18" customHeight="1">
      <x:c r="A59" s="46" t="str">
        <x:v>LME_035</x:v>
      </x:c>
      <x:c r="B59" s="46" t="str">
        <x:v>Gulf of Thailand</x:v>
      </x:c>
      <x:c r="C59" s="46" t="str">
        <x:v>LME</x:v>
      </x:c>
      <x:c r="D59" s="58" t="n">
        <x:v>2019</x:v>
      </x:c>
      <x:c r="E59" s="46" t="str">
        <x:v>Metapenaeus affinis</x:v>
      </x:c>
      <x:c r="F59" s="46" t="str">
        <x:v>Jinga shrimp</x:v>
      </x:c>
      <x:c r="G59" s="46" t="str">
        <x:v>Shrimps</x:v>
      </x:c>
      <x:c r="H59" s="46" t="str">
        <x:v>Crustaceans</x:v>
      </x:c>
      <x:c r="I59" s="60" t="n">
        <x:v>5572.484427858</x:v>
      </x:c>
      <x:c r="J59" s="60" t="n">
        <x:v>5572.484427858</x:v>
      </x:c>
      <x:c r="K59" s="60" t="n">
        <x:v>0</x:v>
      </x:c>
      <x:c r="L59" s="60" t="n">
        <x:v>3396.7138981619996</x:v>
      </x:c>
      <x:c r="M59" s="60" t="n">
        <x:v>2175.7705296960003</x:v>
      </x:c>
      <x:c r="N59" s="46" t="str">
        <x:v>metapenaeus affinis</x:v>
      </x:c>
      <x:c r="O59" s="62" t="n">
        <x:v>3.44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Metapenaeus affinis</x:v>
      </x:c>
      <x:c r="T59" s="62" t="n">
        <x:f>IF(O59="","",(1/'Metadata'!$B$5)^(O59-1))</x:f>
        <x:v>275.4228703338166</x:v>
      </x:c>
      <x:c r="U59" s="60" t="n">
        <x:f>IF(T59="","",I59*T59)</x:f>
        <x:v>1534789.6560111463</x:v>
      </x:c>
    </x:row>
    <x:row r="60" ht="18" customHeight="1">
      <x:c r="A60" s="46" t="str">
        <x:v>LME_035</x:v>
      </x:c>
      <x:c r="B60" s="46" t="str">
        <x:v>Gulf of Thailand</x:v>
      </x:c>
      <x:c r="C60" s="46" t="str">
        <x:v>LME</x:v>
      </x:c>
      <x:c r="D60" s="58" t="n">
        <x:v>2019</x:v>
      </x:c>
      <x:c r="E60" s="46" t="str">
        <x:v>Metapenaeus tenuipes</x:v>
      </x:c>
      <x:c r="F60" s="46" t="str">
        <x:v>Stork shrimp</x:v>
      </x:c>
      <x:c r="G60" s="46" t="str">
        <x:v>Shrimps</x:v>
      </x:c>
      <x:c r="H60" s="46" t="str">
        <x:v>Crustaceans</x:v>
      </x:c>
      <x:c r="I60" s="60" t="n">
        <x:v>5562.1126498979</x:v>
      </x:c>
      <x:c r="J60" s="60" t="n">
        <x:v>5562.1126498979</x:v>
      </x:c>
      <x:c r="K60" s="60" t="n">
        <x:v>0</x:v>
      </x:c>
      <x:c r="L60" s="60" t="n">
        <x:v>3389.1856096675</x:v>
      </x:c>
      <x:c r="M60" s="60" t="n">
        <x:v>2172.9270402304</x:v>
      </x:c>
      <x:c r="N60" s="46" t="str">
        <x:v>metapenaeus tenuipes</x:v>
      </x:c>
      <x:c r="O60" s="62" t="n">
        <x:v>3.39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Metapenaeus tenuipes</x:v>
      </x:c>
      <x:c r="T60" s="62" t="n">
        <x:f>IF(O60="","",(1/'Metadata'!$B$5)^(O60-1))</x:f>
        <x:v>245.4708915685031</x:v>
      </x:c>
      <x:c r="U60" s="60" t="n">
        <x:f>IF(T60="","",I60*T60)</x:f>
        <x:v>1365336.751174887</x:v>
      </x:c>
    </x:row>
    <x:row r="61" ht="18" customHeight="1">
      <x:c r="A61" s="46" t="str">
        <x:v>LME_035</x:v>
      </x:c>
      <x:c r="B61" s="46" t="str">
        <x:v>Gulf of Thailand</x:v>
      </x:c>
      <x:c r="C61" s="46" t="str">
        <x:v>LME</x:v>
      </x:c>
      <x:c r="D61" s="58" t="n">
        <x:v>2019</x:v>
      </x:c>
      <x:c r="E61" s="46" t="str">
        <x:v>Euthynnus affinis</x:v>
      </x:c>
      <x:c r="F61" s="46" t="str">
        <x:v>Kawakawa</x:v>
      </x:c>
      <x:c r="G61" s="46" t="str">
        <x:v>Large pelagics (&gt;=90 cm)</x:v>
      </x:c>
      <x:c r="H61" s="46" t="str">
        <x:v>Tuna &amp; billfishes</x:v>
      </x:c>
      <x:c r="I61" s="60" t="n">
        <x:v>5474.985329804</x:v>
      </x:c>
      <x:c r="J61" s="60" t="n">
        <x:v>5474.9841158221</x:v>
      </x:c>
      <x:c r="K61" s="60" t="n">
        <x:v>0.0012139819</x:v>
      </x:c>
      <x:c r="L61" s="60" t="n">
        <x:v>2425.8448105468997</x:v>
      </x:c>
      <x:c r="M61" s="60" t="n">
        <x:v>3049.1405192571</x:v>
      </x:c>
      <x:c r="N61" s="46" t="str">
        <x:v>euthynnus affinis</x:v>
      </x:c>
      <x:c r="O61" s="62" t="n">
        <x:v>4.5</x:v>
      </x:c>
      <x:c r="P61" s="46" t="str">
        <x:v>exact_2020_supplement</x:v>
      </x:c>
      <x:c r="Q61" s="62" t="str">
        <x:v>2020 supplement MeanTL</x:v>
      </x:c>
      <x:c r="R61" s="46" t="str">
        <x:v>high</x:v>
      </x:c>
      <x:c r="S61" s="46" t="str">
        <x:v>Euthynnus affinis</x:v>
      </x:c>
      <x:c r="T61" s="62" t="n">
        <x:f>IF(O61="","",(1/'Metadata'!$B$5)^(O61-1))</x:f>
        <x:v>3162.2776601683795</x:v>
      </x:c>
      <x:c r="U61" s="60" t="n">
        <x:f>IF(T61="","",I61*T61)</x:f>
        <x:v>17313423.798188794</x:v>
      </x:c>
    </x:row>
    <x:row r="62" ht="18" customHeight="1">
      <x:c r="A62" s="46" t="str">
        <x:v>LME_035</x:v>
      </x:c>
      <x:c r="B62" s="46" t="str">
        <x:v>Gulf of Thailand</x:v>
      </x:c>
      <x:c r="C62" s="46" t="str">
        <x:v>LME</x:v>
      </x:c>
      <x:c r="D62" s="58" t="n">
        <x:v>2019</x:v>
      </x:c>
      <x:c r="E62" s="46" t="str">
        <x:v>Himantura</x:v>
      </x:c>
      <x:c r="F62" s="46" t="str">
        <x:v>Whiprays</x:v>
      </x:c>
      <x:c r="G62" s="46" t="str">
        <x:v>Large rays (&gt;=90 cm)</x:v>
      </x:c>
      <x:c r="H62" s="46" t="str">
        <x:v>Sharks &amp; rays</x:v>
      </x:c>
      <x:c r="I62" s="60" t="n">
        <x:v>5264.2834778905</x:v>
      </x:c>
      <x:c r="J62" s="60" t="n">
        <x:v>5264.2834778905</x:v>
      </x:c>
      <x:c r="K62" s="60" t="n">
        <x:v>0</x:v>
      </x:c>
      <x:c r="L62" s="60" t="n">
        <x:v>3389.2413000285</x:v>
      </x:c>
      <x:c r="M62" s="60" t="n">
        <x:v>1875.042177862</x:v>
      </x:c>
      <x:c r="N62" s="46" t="str">
        <x:v>himantura</x:v>
      </x:c>
      <x:c r="O62" s="62" t="n">
        <x:v>3.85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Himantura</x:v>
      </x:c>
      <x:c r="T62" s="62" t="n">
        <x:f>IF(O62="","",(1/'Metadata'!$B$5)^(O62-1))</x:f>
        <x:v>707.945784384138</x:v>
      </x:c>
      <x:c r="U62" s="60" t="n">
        <x:f>IF(T62="","",I62*T62)</x:f>
        <x:v>3726827.2959756483</x:v>
      </x:c>
    </x:row>
    <x:row r="63" ht="18" customHeight="1">
      <x:c r="A63" s="46" t="str">
        <x:v>LME_035</x:v>
      </x:c>
      <x:c r="B63" s="46" t="str">
        <x:v>Gulf of Thailand</x:v>
      </x:c>
      <x:c r="C63" s="46" t="str">
        <x:v>LME</x:v>
      </x:c>
      <x:c r="D63" s="58" t="n">
        <x:v>2019</x:v>
      </x:c>
      <x:c r="E63" s="46" t="str">
        <x:v>Chirocentrus dorab</x:v>
      </x:c>
      <x:c r="F63" s="46" t="str">
        <x:v>Dorab wolf-herring</x:v>
      </x:c>
      <x:c r="G63" s="46" t="str">
        <x:v>Large benthopelagics (&gt;=90 cm)</x:v>
      </x:c>
      <x:c r="H63" s="46" t="str">
        <x:v>Herring-likes</x:v>
      </x:c>
      <x:c r="I63" s="60" t="n">
        <x:v>5225.3939103929</x:v>
      </x:c>
      <x:c r="J63" s="60" t="n">
        <x:v>5225.3913135063995</x:v>
      </x:c>
      <x:c r="K63" s="60" t="n">
        <x:v>0.0025968865000000002</x:v>
      </x:c>
      <x:c r="L63" s="60" t="n">
        <x:v>3360.4696066439</x:v>
      </x:c>
      <x:c r="M63" s="60" t="n">
        <x:v>1864.924303749</x:v>
      </x:c>
      <x:c r="N63" s="46" t="str">
        <x:v>chirocentrus dorab</x:v>
      </x:c>
      <x:c r="O63" s="62" t="n">
        <x:v>4.2</x:v>
      </x:c>
      <x:c r="P63" s="46" t="str">
        <x:v>exact_2020_supplement</x:v>
      </x:c>
      <x:c r="Q63" s="62" t="str">
        <x:v>2020 supplement MeanTL</x:v>
      </x:c>
      <x:c r="R63" s="46" t="str">
        <x:v>high</x:v>
      </x:c>
      <x:c r="S63" s="46" t="str">
        <x:v>Chirocentrus dorab</x:v>
      </x:c>
      <x:c r="T63" s="62" t="n">
        <x:f>IF(O63="","",(1/'Metadata'!$B$5)^(O63-1))</x:f>
        <x:v>1584.893192461114</x:v>
      </x:c>
      <x:c r="U63" s="60" t="n">
        <x:f>IF(T63="","",I63*T63)</x:f>
        <x:v>8281691.2365094675</x:v>
      </x:c>
    </x:row>
    <x:row r="64" ht="18" customHeight="1">
      <x:c r="A64" s="46" t="str">
        <x:v>LME_035</x:v>
      </x:c>
      <x:c r="B64" s="46" t="str">
        <x:v>Gulf of Thailand</x:v>
      </x:c>
      <x:c r="C64" s="46" t="str">
        <x:v>LME</x:v>
      </x:c>
      <x:c r="D64" s="58" t="n">
        <x:v>2019</x:v>
      </x:c>
      <x:c r="E64" s="46" t="str">
        <x:v>Rhizostomeae</x:v>
      </x:c>
      <x:c r="F64" s="46" t="str">
        <x:v>Oral arm jellyfishes</x:v>
      </x:c>
      <x:c r="G64" s="46" t="str">
        <x:v>Jellyfish</x:v>
      </x:c>
      <x:c r="H64" s="46" t="str">
        <x:v>Other fishes &amp; inverts</x:v>
      </x:c>
      <x:c r="I64" s="60" t="n">
        <x:v>4851.239691286901</x:v>
      </x:c>
      <x:c r="J64" s="60" t="n">
        <x:v>4851.239691286901</x:v>
      </x:c>
      <x:c r="K64" s="60" t="n">
        <x:v>0</x:v>
      </x:c>
      <x:c r="L64" s="60" t="n">
        <x:v>4850.9303995719</x:v>
      </x:c>
      <x:c r="M64" s="60" t="n">
        <x:v>0.309291715</x:v>
      </x:c>
      <x:c r="N64" s="46" t="str">
        <x:v>rhizostomeae</x:v>
      </x:c>
      <x:c r="O64" s="62" t="n">
        <x:v>3.46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Rhizostomeae</x:v>
      </x:c>
      <x:c r="T64" s="62" t="n">
        <x:f>IF(O64="","",(1/'Metadata'!$B$5)^(O64-1))</x:f>
        <x:v>288.40315031266056</x:v>
      </x:c>
      <x:c r="U64" s="60" t="n">
        <x:f>IF(T64="","",I64*T64)</x:f>
        <x:v>1399112.809888961</x:v>
      </x:c>
    </x:row>
    <x:row r="65" ht="18" customHeight="1">
      <x:c r="A65" s="46" t="str">
        <x:v>LME_035</x:v>
      </x:c>
      <x:c r="B65" s="46" t="str">
        <x:v>Gulf of Thailand</x:v>
      </x:c>
      <x:c r="C65" s="46" t="str">
        <x:v>LME</x:v>
      </x:c>
      <x:c r="D65" s="58" t="n">
        <x:v>2019</x:v>
      </x:c>
      <x:c r="E65" s="46" t="str">
        <x:v>Pomadasys</x:v>
      </x:c>
      <x:c r="F65" s="46" t="str">
        <x:v>Grunters</x:v>
      </x:c>
      <x:c r="G65" s="46" t="str">
        <x:v>Medium demersals (30 - 89 cm)</x:v>
      </x:c>
      <x:c r="H65" s="46" t="str">
        <x:v>Perch-likes</x:v>
      </x:c>
      <x:c r="I65" s="60" t="n">
        <x:v>4618.3061480103</x:v>
      </x:c>
      <x:c r="J65" s="60" t="n">
        <x:v>4539.2816886850005</x:v>
      </x:c>
      <x:c r="K65" s="60" t="n">
        <x:v>79.0244593253</x:v>
      </x:c>
      <x:c r="L65" s="60" t="n">
        <x:v>4394.6669814614</x:v>
      </x:c>
      <x:c r="M65" s="60" t="n">
        <x:v>223.6391665489</x:v>
      </x:c>
      <x:c r="N65" s="46" t="str">
        <x:v>pomadasys</x:v>
      </x:c>
      <x:c r="O65" s="62" t="n">
        <x:v>3.59</x:v>
      </x:c>
      <x:c r="P65" s="46" t="str">
        <x:v>exact_sea_around_us</x:v>
      </x:c>
      <x:c r="Q65" s="62" t="str">
        <x:v>Sea Around Us exploited organisms</x:v>
      </x:c>
      <x:c r="R65" s="46" t="str">
        <x:v>high</x:v>
      </x:c>
      <x:c r="S65" s="46" t="str">
        <x:v>Pomadasys</x:v>
      </x:c>
      <x:c r="T65" s="62" t="n">
        <x:f>IF(O65="","",(1/'Metadata'!$B$5)^(O65-1))</x:f>
        <x:v>389.04514499428046</x:v>
      </x:c>
      <x:c r="U65" s="60" t="n">
        <x:f>IF(T65="","",I65*T65)</x:f>
        <x:v>1796729.5849806438</x:v>
      </x:c>
    </x:row>
    <x:row r="66" ht="18" customHeight="1">
      <x:c r="A66" s="46" t="str">
        <x:v>LME_035</x:v>
      </x:c>
      <x:c r="B66" s="46" t="str">
        <x:v>Gulf of Thailand</x:v>
      </x:c>
      <x:c r="C66" s="46" t="str">
        <x:v>LME</x:v>
      </x:c>
      <x:c r="D66" s="58" t="n">
        <x:v>2019</x:v>
      </x:c>
      <x:c r="E66" s="46" t="str">
        <x:v>Mugilidae</x:v>
      </x:c>
      <x:c r="F66" s="46" t="str">
        <x:v>Mullets, grey mullets</x:v>
      </x:c>
      <x:c r="G66" s="46" t="str">
        <x:v>Medium reef assoc. fish (30 - 89 cm)</x:v>
      </x:c>
      <x:c r="H66" s="46" t="str">
        <x:v>Perch-likes</x:v>
      </x:c>
      <x:c r="I66" s="60" t="n">
        <x:v>4454.8439126283</x:v>
      </x:c>
      <x:c r="J66" s="60" t="n">
        <x:v>4454.8420154684</x:v>
      </x:c>
      <x:c r="K66" s="60" t="n">
        <x:v>0.0018971599000000001</x:v>
      </x:c>
      <x:c r="L66" s="60" t="n">
        <x:v>3186.855651703</x:v>
      </x:c>
      <x:c r="M66" s="60" t="n">
        <x:v>1267.9882609253</x:v>
      </x:c>
      <x:c r="N66" s="46" t="str">
        <x:v>mugilidae</x:v>
      </x:c>
      <x:c r="O66" s="62" t="n">
        <x:v>2.53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Mugilidae</x:v>
      </x:c>
      <x:c r="T66" s="62" t="n">
        <x:f>IF(O66="","",(1/'Metadata'!$B$5)^(O66-1))</x:f>
        <x:v>33.88441561392024</x:v>
      </x:c>
      <x:c r="U66" s="60" t="n">
        <x:f>IF(T66="","",I66*T66)</x:f>
        <x:v>150949.7826306399</x:v>
      </x:c>
    </x:row>
    <x:row r="67" ht="18" customHeight="1">
      <x:c r="A67" s="46" t="str">
        <x:v>LME_035</x:v>
      </x:c>
      <x:c r="B67" s="46" t="str">
        <x:v>Gulf of Thailand</x:v>
      </x:c>
      <x:c r="C67" s="46" t="str">
        <x:v>LME</x:v>
      </x:c>
      <x:c r="D67" s="58" t="n">
        <x:v>2019</x:v>
      </x:c>
      <x:c r="E67" s="46" t="str">
        <x:v>Gobiidae</x:v>
      </x:c>
      <x:c r="F67" s="46" t="str">
        <x:v>Gobies</x:v>
      </x:c>
      <x:c r="G67" s="46" t="str">
        <x:v>Small reef assoc. fish (&lt;30 cm)</x:v>
      </x:c>
      <x:c r="H67" s="46" t="str">
        <x:v>Perch-likes</x:v>
      </x:c>
      <x:c r="I67" s="60" t="n">
        <x:v>4442.569718599299</x:v>
      </x:c>
      <x:c r="J67" s="60" t="n">
        <x:v>4385.9796933049</x:v>
      </x:c>
      <x:c r="K67" s="60" t="n">
        <x:v>56.5900252944</x:v>
      </x:c>
      <x:c r="L67" s="60" t="n">
        <x:v>3305.4543396167</x:v>
      </x:c>
      <x:c r="M67" s="60" t="n">
        <x:v>1137.1153789826</x:v>
      </x:c>
      <x:c r="N67" s="46" t="str">
        <x:v>gobiidae</x:v>
      </x:c>
      <x:c r="O67" s="62" t="n">
        <x:v>3.11</x:v>
      </x:c>
      <x:c r="P67" s="46" t="str">
        <x:v>exact_sea_around_us</x:v>
      </x:c>
      <x:c r="Q67" s="62" t="str">
        <x:v>Sea Around Us exploited organisms</x:v>
      </x:c>
      <x:c r="R67" s="46" t="str">
        <x:v>high</x:v>
      </x:c>
      <x:c r="S67" s="46" t="str">
        <x:v>Gobiidae</x:v>
      </x:c>
      <x:c r="T67" s="62" t="n">
        <x:f>IF(O67="","",(1/'Metadata'!$B$5)^(O67-1))</x:f>
        <x:v>128.82495516931337</x:v>
      </x:c>
      <x:c r="U67" s="60" t="n">
        <x:f>IF(T67="","",I67*T67)</x:f>
        <x:v>572313.8448351038</x:v>
      </x:c>
    </x:row>
    <x:row r="68" ht="18" customHeight="1">
      <x:c r="A68" s="46" t="str">
        <x:v>LME_035</x:v>
      </x:c>
      <x:c r="B68" s="46" t="str">
        <x:v>Gulf of Thailand</x:v>
      </x:c>
      <x:c r="C68" s="46" t="str">
        <x:v>LME</x:v>
      </x:c>
      <x:c r="D68" s="58" t="n">
        <x:v>2019</x:v>
      </x:c>
      <x:c r="E68" s="46" t="str">
        <x:v>Muraenesox cinereus</x:v>
      </x:c>
      <x:c r="F68" s="46" t="str">
        <x:v>Daggertooth pike conger</x:v>
      </x:c>
      <x:c r="G68" s="46" t="str">
        <x:v>Large demersals (&gt;=90 cm)</x:v>
      </x:c>
      <x:c r="H68" s="46" t="str">
        <x:v>Other fishes &amp; inverts</x:v>
      </x:c>
      <x:c r="I68" s="60" t="n">
        <x:v>4297.9871920358</x:v>
      </x:c>
      <x:c r="J68" s="60" t="n">
        <x:v>4292.6934263576995</x:v>
      </x:c>
      <x:c r="K68" s="60" t="n">
        <x:v>5.2937656781</x:v>
      </x:c>
      <x:c r="L68" s="60" t="n">
        <x:v>3122.7200522456</x:v>
      </x:c>
      <x:c r="M68" s="60" t="n">
        <x:v>1175.2671397902</x:v>
      </x:c>
      <x:c r="N68" s="46" t="str">
        <x:v>muraenesox cinereus</x:v>
      </x:c>
      <x:c r="O68" s="62" t="n">
        <x:v>4.38</x:v>
      </x:c>
      <x:c r="P68" s="46" t="str">
        <x:v>exact_2020_supplement</x:v>
      </x:c>
      <x:c r="Q68" s="62" t="str">
        <x:v>2020 supplement MeanTL</x:v>
      </x:c>
      <x:c r="R68" s="46" t="str">
        <x:v>high</x:v>
      </x:c>
      <x:c r="S68" s="46" t="str">
        <x:v>Muraenesox cinereus</x:v>
      </x:c>
      <x:c r="T68" s="62" t="n">
        <x:f>IF(O68="","",(1/'Metadata'!$B$5)^(O68-1))</x:f>
        <x:v>2398.83291901949</x:v>
      </x:c>
      <x:c r="U68" s="60" t="n">
        <x:f>IF(T68="","",I68*T68)</x:f>
        <x:v>10310153.16177962</x:v>
      </x:c>
    </x:row>
    <x:row r="69" ht="18" customHeight="1">
      <x:c r="A69" s="46" t="str">
        <x:v>LME_035</x:v>
      </x:c>
      <x:c r="B69" s="46" t="str">
        <x:v>Gulf of Thailand</x:v>
      </x:c>
      <x:c r="C69" s="46" t="str">
        <x:v>LME</x:v>
      </x:c>
      <x:c r="D69" s="58" t="n">
        <x:v>2019</x:v>
      </x:c>
      <x:c r="E69" s="46" t="str">
        <x:v>Upeneus</x:v>
      </x:c>
      <x:c r="F69" s="46" t="str">
        <x:v>Upeneid goatfishes</x:v>
      </x:c>
      <x:c r="G69" s="46" t="str">
        <x:v>Small reef assoc. fish (&lt;30 cm)</x:v>
      </x:c>
      <x:c r="H69" s="46" t="str">
        <x:v>Perch-likes</x:v>
      </x:c>
      <x:c r="I69" s="60" t="n">
        <x:v>4163.0953777705</x:v>
      </x:c>
      <x:c r="J69" s="60" t="n">
        <x:v>4147.9190475096</x:v>
      </x:c>
      <x:c r="K69" s="60" t="n">
        <x:v>15.1763302609</x:v>
      </x:c>
      <x:c r="L69" s="60" t="n">
        <x:v>3050.2398690879</x:v>
      </x:c>
      <x:c r="M69" s="60" t="n">
        <x:v>1112.8555086826</x:v>
      </x:c>
      <x:c r="N69" s="46" t="str">
        <x:v>upeneus</x:v>
      </x:c>
      <x:c r="O69" s="62" t="n">
        <x:v>3.54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Upeneus</x:v>
      </x:c>
      <x:c r="T69" s="62" t="n">
        <x:f>IF(O69="","",(1/'Metadata'!$B$5)^(O69-1))</x:f>
        <x:v>346.73685045253166</x:v>
      </x:c>
      <x:c r="U69" s="60" t="n">
        <x:f>IF(T69="","",I69*T69)</x:f>
        <x:v>1443498.5794216357</x:v>
      </x:c>
    </x:row>
    <x:row r="70" ht="18" customHeight="1">
      <x:c r="A70" s="46" t="str">
        <x:v>LME_035</x:v>
      </x:c>
      <x:c r="B70" s="46" t="str">
        <x:v>Gulf of Thailand</x:v>
      </x:c>
      <x:c r="C70" s="46" t="str">
        <x:v>LME</x:v>
      </x:c>
      <x:c r="D70" s="58" t="n">
        <x:v>2019</x:v>
      </x:c>
      <x:c r="E70" s="46" t="str">
        <x:v>Sillago</x:v>
      </x:c>
      <x:c r="F70" s="46" t="str">
        <x:v>Smelt-whitings</x:v>
      </x:c>
      <x:c r="G70" s="46" t="str">
        <x:v>Medium demersals (30 - 89 cm)</x:v>
      </x:c>
      <x:c r="H70" s="46" t="str">
        <x:v>Perch-likes</x:v>
      </x:c>
      <x:c r="I70" s="60" t="n">
        <x:v>3723.6346253809</x:v>
      </x:c>
      <x:c r="J70" s="60" t="n">
        <x:v>3723.6346253809</x:v>
      </x:c>
      <x:c r="K70" s="60" t="n">
        <x:v>0</x:v>
      </x:c>
      <x:c r="L70" s="60" t="n">
        <x:v>3199.6730722629</x:v>
      </x:c>
      <x:c r="M70" s="60" t="n">
        <x:v>523.961553118</x:v>
      </x:c>
      <x:c r="N70" s="46" t="str">
        <x:v>sillago</x:v>
      </x:c>
      <x:c r="O70" s="62" t="n">
        <x:v>3.33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Sillago</x:v>
      </x:c>
      <x:c r="T70" s="62" t="n">
        <x:f>IF(O70="","",(1/'Metadata'!$B$5)^(O70-1))</x:f>
        <x:v>213.79620895022325</x:v>
      </x:c>
      <x:c r="U70" s="60" t="n">
        <x:f>IF(T70="","",I70*T70)</x:f>
        <x:v>796098.9664222212</x:v>
      </x:c>
    </x:row>
    <x:row r="71" ht="18" customHeight="1">
      <x:c r="A71" s="46" t="str">
        <x:v>LME_035</x:v>
      </x:c>
      <x:c r="B71" s="46" t="str">
        <x:v>Gulf of Thailand</x:v>
      </x:c>
      <x:c r="C71" s="46" t="str">
        <x:v>LME</x:v>
      </x:c>
      <x:c r="D71" s="58" t="n">
        <x:v>2019</x:v>
      </x:c>
      <x:c r="E71" s="46" t="str">
        <x:v>Balistidae</x:v>
      </x:c>
      <x:c r="F71" s="46" t="str">
        <x:v>Triggerfishes</x:v>
      </x:c>
      <x:c r="G71" s="46" t="str">
        <x:v>Medium reef assoc. fish (30 - 89 cm)</x:v>
      </x:c>
      <x:c r="H71" s="46" t="str">
        <x:v>Other fishes &amp; inverts</x:v>
      </x:c>
      <x:c r="I71" s="60" t="n">
        <x:v>3550.7959959688</x:v>
      </x:c>
      <x:c r="J71" s="60" t="n">
        <x:v>3550.7959959688</x:v>
      </x:c>
      <x:c r="K71" s="60" t="n">
        <x:v>0</x:v>
      </x:c>
      <x:c r="L71" s="60" t="n">
        <x:v>2426.5479667017</x:v>
      </x:c>
      <x:c r="M71" s="60" t="n">
        <x:v>1124.2480292671</x:v>
      </x:c>
      <x:c r="N71" s="46" t="str">
        <x:v>balistidae</x:v>
      </x:c>
      <x:c r="O71" s="62" t="n">
        <x:v>3.25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Balistidae</x:v>
      </x:c>
      <x:c r="T71" s="62" t="n">
        <x:f>IF(O71="","",(1/'Metadata'!$B$5)^(O71-1))</x:f>
        <x:v>177.82794100389228</x:v>
      </x:c>
      <x:c r="U71" s="60" t="n">
        <x:f>IF(T71="","",I71*T71)</x:f>
        <x:v>631430.7408879967</x:v>
      </x:c>
    </x:row>
    <x:row r="72" ht="18" customHeight="1">
      <x:c r="A72" s="46" t="str">
        <x:v>LME_035</x:v>
      </x:c>
      <x:c r="B72" s="46" t="str">
        <x:v>Gulf of Thailand</x:v>
      </x:c>
      <x:c r="C72" s="46" t="str">
        <x:v>LME</x:v>
      </x:c>
      <x:c r="D72" s="58" t="n">
        <x:v>2019</x:v>
      </x:c>
      <x:c r="E72" s="46" t="str">
        <x:v>Cephea</x:v>
      </x:c>
      <x:c r="F72" s="46" t="str">
        <x:v>Cepheid jellyfishes</x:v>
      </x:c>
      <x:c r="G72" s="46" t="str">
        <x:v>Jellyfish</x:v>
      </x:c>
      <x:c r="H72" s="46" t="str">
        <x:v>Other fishes &amp; inverts</x:v>
      </x:c>
      <x:c r="I72" s="60" t="n">
        <x:v>3421.3139871912</x:v>
      </x:c>
      <x:c r="J72" s="60" t="n">
        <x:v>3421.3139871912</x:v>
      </x:c>
      <x:c r="K72" s="60" t="n">
        <x:v>0</x:v>
      </x:c>
      <x:c r="L72" s="60" t="n">
        <x:v>1559.9832573489998</x:v>
      </x:c>
      <x:c r="M72" s="60" t="n">
        <x:v>1861.3307298422</x:v>
      </x:c>
      <x:c r="N72" s="46" t="str">
        <x:v>cephea</x:v>
      </x:c>
      <x:c r="O72" s="62" t="n">
        <x:v>3.46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Cephea</x:v>
      </x:c>
      <x:c r="T72" s="62" t="n">
        <x:f>IF(O72="","",(1/'Metadata'!$B$5)^(O72-1))</x:f>
        <x:v>288.40315031266056</x:v>
      </x:c>
      <x:c r="U72" s="60" t="n">
        <x:f>IF(T72="","",I72*T72)</x:f>
        <x:v>986717.7321147117</x:v>
      </x:c>
    </x:row>
    <x:row r="73" ht="18" customHeight="1">
      <x:c r="A73" s="46" t="str">
        <x:v>LME_035</x:v>
      </x:c>
      <x:c r="B73" s="46" t="str">
        <x:v>Gulf of Thailand</x:v>
      </x:c>
      <x:c r="C73" s="46" t="str">
        <x:v>LME</x:v>
      </x:c>
      <x:c r="D73" s="58" t="n">
        <x:v>2019</x:v>
      </x:c>
      <x:c r="E73" s="46" t="str">
        <x:v>Pennahia</x:v>
      </x:c>
      <x:c r="F73" s="46" t="str">
        <x:v>Pennah croakers</x:v>
      </x:c>
      <x:c r="G73" s="46" t="str">
        <x:v>Medium benthopelagics (30 - 89 cm)</x:v>
      </x:c>
      <x:c r="H73" s="46" t="str">
        <x:v>Perch-likes</x:v>
      </x:c>
      <x:c r="I73" s="60" t="n">
        <x:v>3003.8545889254</x:v>
      </x:c>
      <x:c r="J73" s="60" t="n">
        <x:v>3003.8545889254</x:v>
      </x:c>
      <x:c r="K73" s="60" t="n">
        <x:v>0</x:v>
      </x:c>
      <x:c r="L73" s="60" t="n">
        <x:v>1992.2308623454</x:v>
      </x:c>
      <x:c r="M73" s="60" t="n">
        <x:v>1011.62372658</x:v>
      </x:c>
      <x:c r="N73" s="46" t="str">
        <x:v>pennahia</x:v>
      </x:c>
      <x:c r="O73" s="62" t="n">
        <x:v>3.73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Pennahia</x:v>
      </x:c>
      <x:c r="T73" s="62" t="n">
        <x:f>IF(O73="","",(1/'Metadata'!$B$5)^(O73-1))</x:f>
        <x:v>537.0317963702527</x:v>
      </x:c>
      <x:c r="U73" s="60" t="n">
        <x:f>IF(T73="","",I73*T73)</x:f>
        <x:v>1613165.4259256346</x:v>
      </x:c>
    </x:row>
    <x:row r="74" ht="18" customHeight="1">
      <x:c r="A74" s="46" t="str">
        <x:v>LME_035</x:v>
      </x:c>
      <x:c r="B74" s="46" t="str">
        <x:v>Gulf of Thailand</x:v>
      </x:c>
      <x:c r="C74" s="46" t="str">
        <x:v>LME</x:v>
      </x:c>
      <x:c r="D74" s="58" t="n">
        <x:v>2019</x:v>
      </x:c>
      <x:c r="E74" s="46" t="str">
        <x:v>Scomberomorus commerson</x:v>
      </x:c>
      <x:c r="F74" s="46" t="str">
        <x:v>Narrow-barred Spanish mackerel</x:v>
      </x:c>
      <x:c r="G74" s="46" t="str">
        <x:v>Large pelagics (&gt;=90 cm)</x:v>
      </x:c>
      <x:c r="H74" s="46" t="str">
        <x:v>Perch-likes</x:v>
      </x:c>
      <x:c r="I74" s="60" t="n">
        <x:v>2955.9006081134003</x:v>
      </x:c>
      <x:c r="J74" s="60" t="n">
        <x:v>2955.8971356301</x:v>
      </x:c>
      <x:c r="K74" s="60" t="n">
        <x:v>0.0034724833000000003</x:v>
      </x:c>
      <x:c r="L74" s="60" t="n">
        <x:v>2955.8948981261</x:v>
      </x:c>
      <x:c r="M74" s="60" t="n">
        <x:v>0.0057099873</x:v>
      </x:c>
      <x:c r="N74" s="46" t="str">
        <x:v>scomberomorus commerson</x:v>
      </x:c>
      <x:c r="O74" s="62" t="n">
        <x:v>4.5</x:v>
      </x:c>
      <x:c r="P74" s="46" t="str">
        <x:v>exact_2020_supplement</x:v>
      </x:c>
      <x:c r="Q74" s="62" t="str">
        <x:v>2020 supplement MeanTL</x:v>
      </x:c>
      <x:c r="R74" s="46" t="str">
        <x:v>high</x:v>
      </x:c>
      <x:c r="S74" s="46" t="str">
        <x:v>Scomberomorus commerson</x:v>
      </x:c>
      <x:c r="T74" s="62" t="n">
        <x:f>IF(O74="","",(1/'Metadata'!$B$5)^(O74-1))</x:f>
        <x:v>3162.2776601683795</x:v>
      </x:c>
      <x:c r="U74" s="60" t="n">
        <x:f>IF(T74="","",I74*T74)</x:f>
        <x:v>9347378.458715133</x:v>
      </x:c>
    </x:row>
    <x:row r="75" ht="18" customHeight="1">
      <x:c r="A75" s="46" t="str">
        <x:v>LME_035</x:v>
      </x:c>
      <x:c r="B75" s="46" t="str">
        <x:v>Gulf of Thailand</x:v>
      </x:c>
      <x:c r="C75" s="46" t="str">
        <x:v>LME</x:v>
      </x:c>
      <x:c r="D75" s="58" t="n">
        <x:v>2019</x:v>
      </x:c>
      <x:c r="E75" s="46" t="str">
        <x:v>Katsuwonus pelamis</x:v>
      </x:c>
      <x:c r="F75" s="46" t="str">
        <x:v>Skipjack tuna</x:v>
      </x:c>
      <x:c r="G75" s="46" t="str">
        <x:v>Large pelagics (&gt;=90 cm)</x:v>
      </x:c>
      <x:c r="H75" s="46" t="str">
        <x:v>Tuna &amp; billfishes</x:v>
      </x:c>
      <x:c r="I75" s="60" t="n">
        <x:v>2923.2930899837</x:v>
      </x:c>
      <x:c r="J75" s="60" t="n">
        <x:v>2923.2930899837</x:v>
      </x:c>
      <x:c r="K75" s="60" t="n">
        <x:v>0</x:v>
      </x:c>
      <x:c r="L75" s="60" t="n">
        <x:v>2854.2110597697</x:v>
      </x:c>
      <x:c r="M75" s="60" t="n">
        <x:v>69.082030214</x:v>
      </x:c>
      <x:c r="N75" s="46" t="str">
        <x:v>katsuwonus pelamis</x:v>
      </x:c>
      <x:c r="O75" s="62" t="n">
        <x:v>4.43</x:v>
      </x:c>
      <x:c r="P75" s="46" t="str">
        <x:v>exact_2020_supplement</x:v>
      </x:c>
      <x:c r="Q75" s="62" t="str">
        <x:v>2020 supplement MeanTL</x:v>
      </x:c>
      <x:c r="R75" s="46" t="str">
        <x:v>high</x:v>
      </x:c>
      <x:c r="S75" s="46" t="str">
        <x:v>Katsuwonus pelamis</x:v>
      </x:c>
      <x:c r="T75" s="62" t="n">
        <x:f>IF(O75="","",(1/'Metadata'!$B$5)^(O75-1))</x:f>
        <x:v>2691.534803926914</x:v>
      </x:c>
      <x:c r="U75" s="60" t="n">
        <x:f>IF(T75="","",I75*T75)</x:f>
        <x:v>7868145.093770181</x:v>
      </x:c>
    </x:row>
    <x:row r="76" ht="18" customHeight="1">
      <x:c r="A76" s="46" t="str">
        <x:v>LME_035</x:v>
      </x:c>
      <x:c r="B76" s="46" t="str">
        <x:v>Gulf of Thailand</x:v>
      </x:c>
      <x:c r="C76" s="46" t="str">
        <x:v>LME</x:v>
      </x:c>
      <x:c r="D76" s="58" t="n">
        <x:v>2019</x:v>
      </x:c>
      <x:c r="E76" s="46" t="str">
        <x:v>Acetes</x:v>
      </x:c>
      <x:c r="F76" s="46" t="str">
        <x:v>Acetes shrimps</x:v>
      </x:c>
      <x:c r="G76" s="46" t="str">
        <x:v>Shrimps</x:v>
      </x:c>
      <x:c r="H76" s="46" t="str">
        <x:v>Crustaceans</x:v>
      </x:c>
      <x:c r="I76" s="60" t="n">
        <x:v>2920.6664017397</x:v>
      </x:c>
      <x:c r="J76" s="60" t="n">
        <x:v>2920.6664017397</x:v>
      </x:c>
      <x:c r="K76" s="60" t="n">
        <x:v>0</x:v>
      </x:c>
      <x:c r="L76" s="60" t="n">
        <x:v>1731.9119115334</x:v>
      </x:c>
      <x:c r="M76" s="60" t="n">
        <x:v>1188.7544902063</x:v>
      </x:c>
      <x:c r="N76" s="46" t="str">
        <x:v>acetes</x:v>
      </x:c>
      <x:c r="O76" s="62" t="n">
        <x:v>2.7</x:v>
      </x:c>
      <x:c r="P76" s="46" t="str">
        <x:v>exact_sea_around_us</x:v>
      </x:c>
      <x:c r="Q76" s="62" t="str">
        <x:v>Sea Around Us exploited organisms</x:v>
      </x:c>
      <x:c r="R76" s="46" t="str">
        <x:v>high</x:v>
      </x:c>
      <x:c r="S76" s="46" t="str">
        <x:v>Acetes</x:v>
      </x:c>
      <x:c r="T76" s="62" t="n">
        <x:f>IF(O76="","",(1/'Metadata'!$B$5)^(O76-1))</x:f>
        <x:v>50.11872336272725</x:v>
      </x:c>
      <x:c r="U76" s="60" t="n">
        <x:f>IF(T76="","",I76*T76)</x:f>
        <x:v>146380.07142360404</x:v>
      </x:c>
    </x:row>
    <x:row r="77" ht="18" customHeight="1">
      <x:c r="A77" s="46" t="str">
        <x:v>LME_035</x:v>
      </x:c>
      <x:c r="B77" s="46" t="str">
        <x:v>Gulf of Thailand</x:v>
      </x:c>
      <x:c r="C77" s="46" t="str">
        <x:v>LME</x:v>
      </x:c>
      <x:c r="D77" s="58" t="n">
        <x:v>2019</x:v>
      </x:c>
      <x:c r="E77" s="46" t="str">
        <x:v>Chirocentrus</x:v>
      </x:c>
      <x:c r="F77" s="46" t="str">
        <x:v>Wolf herrings</x:v>
      </x:c>
      <x:c r="G77" s="46" t="str">
        <x:v>Large pelagics (&gt;=90 cm)</x:v>
      </x:c>
      <x:c r="H77" s="46" t="str">
        <x:v>Herring-likes</x:v>
      </x:c>
      <x:c r="I77" s="60" t="n">
        <x:v>2900.4479046748997</x:v>
      </x:c>
      <x:c r="J77" s="60" t="n">
        <x:v>2900.4479046748997</x:v>
      </x:c>
      <x:c r="K77" s="60" t="n">
        <x:v>0</x:v>
      </x:c>
      <x:c r="L77" s="60" t="n">
        <x:v>1814.7353229282999</x:v>
      </x:c>
      <x:c r="M77" s="60" t="n">
        <x:v>1085.7125817466</x:v>
      </x:c>
      <x:c r="N77" s="46" t="str">
        <x:v>chirocentrus</x:v>
      </x:c>
      <x:c r="O77" s="62" t="n">
        <x:v>4.3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Chirocentrus</x:v>
      </x:c>
      <x:c r="T77" s="62" t="n">
        <x:f>IF(O77="","",(1/'Metadata'!$B$5)^(O77-1))</x:f>
        <x:v>1995.2623149688789</x:v>
      </x:c>
      <x:c r="U77" s="60" t="n">
        <x:f>IF(T77="","",I77*T77)</x:f>
        <x:v>5787154.400728274</x:v>
      </x:c>
    </x:row>
    <x:row r="78" ht="18" customHeight="1">
      <x:c r="A78" s="46" t="str">
        <x:v>LME_035</x:v>
      </x:c>
      <x:c r="B78" s="46" t="str">
        <x:v>Gulf of Thailand</x:v>
      </x:c>
      <x:c r="C78" s="46" t="str">
        <x:v>LME</x:v>
      </x:c>
      <x:c r="D78" s="58" t="n">
        <x:v>2019</x:v>
      </x:c>
      <x:c r="E78" s="46" t="str">
        <x:v>Acanthurus</x:v>
      </x:c>
      <x:c r="F78" s="46" t="str">
        <x:v>Surgeonfishes</x:v>
      </x:c>
      <x:c r="G78" s="46" t="str">
        <x:v>Small reef assoc. fish (&lt;30 cm)</x:v>
      </x:c>
      <x:c r="H78" s="46" t="str">
        <x:v>Perch-likes</x:v>
      </x:c>
      <x:c r="I78" s="60" t="n">
        <x:v>2890.8432813041</x:v>
      </x:c>
      <x:c r="J78" s="60" t="n">
        <x:v>2890.8432813041</x:v>
      </x:c>
      <x:c r="K78" s="60" t="n">
        <x:v>0</x:v>
      </x:c>
      <x:c r="L78" s="60" t="n">
        <x:v>1839.778887441</x:v>
      </x:c>
      <x:c r="M78" s="60" t="n">
        <x:v>1051.0643938631001</x:v>
      </x:c>
      <x:c r="N78" s="46" t="str">
        <x:v>acanthurus</x:v>
      </x:c>
      <x:c r="O78" s="62" t="n">
        <x:v>2.03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Acanthurus</x:v>
      </x:c>
      <x:c r="T78" s="62" t="n">
        <x:f>IF(O78="","",(1/'Metadata'!$B$5)^(O78-1))</x:f>
        <x:v>10.71519305237606</x:v>
      </x:c>
      <x:c r="U78" s="60" t="n">
        <x:f>IF(T78="","",I78*T78)</x:f>
        <x:v>30975.943843337704</x:v>
      </x:c>
    </x:row>
    <x:row r="79" ht="18" customHeight="1">
      <x:c r="A79" s="46" t="str">
        <x:v>LME_035</x:v>
      </x:c>
      <x:c r="B79" s="46" t="str">
        <x:v>Gulf of Thailand</x:v>
      </x:c>
      <x:c r="C79" s="46" t="str">
        <x:v>LME</x:v>
      </x:c>
      <x:c r="D79" s="58" t="n">
        <x:v>2019</x:v>
      </x:c>
      <x:c r="E79" s="46" t="str">
        <x:v>Penaeus latisulcatus</x:v>
      </x:c>
      <x:c r="F79" s="46" t="str">
        <x:v>Western king prawn</x:v>
      </x:c>
      <x:c r="G79" s="46" t="str">
        <x:v>Shrimps</x:v>
      </x:c>
      <x:c r="H79" s="46" t="str">
        <x:v>Crustaceans</x:v>
      </x:c>
      <x:c r="I79" s="60" t="n">
        <x:v>2852.1023499621</x:v>
      </x:c>
      <x:c r="J79" s="60" t="n">
        <x:v>2852.1023499621</x:v>
      </x:c>
      <x:c r="K79" s="60" t="n">
        <x:v>0</x:v>
      </x:c>
      <x:c r="L79" s="60" t="n">
        <x:v>1990.4581849948001</x:v>
      </x:c>
      <x:c r="M79" s="60" t="n">
        <x:v>861.6441649673</x:v>
      </x:c>
      <x:c r="N79" s="46" t="str">
        <x:v>penaeus latisulcatus</x:v>
      </x:c>
      <x:c r="O79" s="62" t="n">
        <x:v>2.7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Penaeus latisulcatus</x:v>
      </x:c>
      <x:c r="T79" s="62" t="n">
        <x:f>IF(O79="","",(1/'Metadata'!$B$5)^(O79-1))</x:f>
        <x:v>50.11872336272725</x:v>
      </x:c>
      <x:c r="U79" s="60" t="n">
        <x:f>IF(T79="","",I79*T79)</x:f>
        <x:v>142943.7286799348</x:v>
      </x:c>
    </x:row>
    <x:row r="80" ht="18" customHeight="1">
      <x:c r="A80" s="46" t="str">
        <x:v>LME_035</x:v>
      </x:c>
      <x:c r="B80" s="46" t="str">
        <x:v>Gulf of Thailand</x:v>
      </x:c>
      <x:c r="C80" s="46" t="str">
        <x:v>LME</x:v>
      </x:c>
      <x:c r="D80" s="58" t="n">
        <x:v>2019</x:v>
      </x:c>
      <x:c r="E80" s="46" t="str">
        <x:v>Lutjanus</x:v>
      </x:c>
      <x:c r="F80" s="46" t="str">
        <x:v>Snappers</x:v>
      </x:c>
      <x:c r="G80" s="46" t="str">
        <x:v>Medium reef assoc. fish (30 - 89 cm)</x:v>
      </x:c>
      <x:c r="H80" s="46" t="str">
        <x:v>Perch-likes</x:v>
      </x:c>
      <x:c r="I80" s="60" t="n">
        <x:v>2750.3126940666</x:v>
      </x:c>
      <x:c r="J80" s="60" t="n">
        <x:v>2750.3119632439</x:v>
      </x:c>
      <x:c r="K80" s="60" t="n">
        <x:v>0.0007308227</x:v>
      </x:c>
      <x:c r="L80" s="60" t="n">
        <x:v>1570.2992854375</x:v>
      </x:c>
      <x:c r="M80" s="60" t="n">
        <x:v>1180.0134086291</x:v>
      </x:c>
      <x:c r="N80" s="46" t="str">
        <x:v>lutjanus</x:v>
      </x:c>
      <x:c r="O80" s="62" t="n">
        <x:v>4.02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Lutjanus</x:v>
      </x:c>
      <x:c r="T80" s="62" t="n">
        <x:f>IF(O80="","",(1/'Metadata'!$B$5)^(O80-1))</x:f>
        <x:v>1047.1285480508984</x:v>
      </x:c>
      <x:c r="U80" s="60" t="n">
        <x:f>IF(T80="","",I80*T80)</x:f>
        <x:v>2879930.9380239137</x:v>
      </x:c>
    </x:row>
    <x:row r="81" ht="18" customHeight="1">
      <x:c r="A81" s="46" t="str">
        <x:v>LME_035</x:v>
      </x:c>
      <x:c r="B81" s="46" t="str">
        <x:v>Gulf of Thailand</x:v>
      </x:c>
      <x:c r="C81" s="46" t="str">
        <x:v>LME</x:v>
      </x:c>
      <x:c r="D81" s="58" t="n">
        <x:v>2019</x:v>
      </x:c>
      <x:c r="E81" s="46" t="str">
        <x:v>Penaeus semisulcatus</x:v>
      </x:c>
      <x:c r="F81" s="46" t="str">
        <x:v>Green tiger prawn</x:v>
      </x:c>
      <x:c r="G81" s="46" t="str">
        <x:v>Shrimps</x:v>
      </x:c>
      <x:c r="H81" s="46" t="str">
        <x:v>Crustaceans</x:v>
      </x:c>
      <x:c r="I81" s="60" t="n">
        <x:v>2472.0040884325</x:v>
      </x:c>
      <x:c r="J81" s="60" t="n">
        <x:v>2472.0040884325</x:v>
      </x:c>
      <x:c r="K81" s="60" t="n">
        <x:v>0</x:v>
      </x:c>
      <x:c r="L81" s="60" t="n">
        <x:v>1707.339051731</x:v>
      </x:c>
      <x:c r="M81" s="60" t="n">
        <x:v>764.6650367015</x:v>
      </x:c>
      <x:c r="N81" s="46" t="str">
        <x:v>penaeus semisulcatus</x:v>
      </x:c>
      <x:c r="O81" s="62" t="n">
        <x:v>2</x:v>
      </x:c>
      <x:c r="P81" s="46" t="str">
        <x:v>exact_2020_supplement</x:v>
      </x:c>
      <x:c r="Q81" s="62" t="str">
        <x:v>2020 supplement MeanTL</x:v>
      </x:c>
      <x:c r="R81" s="46" t="str">
        <x:v>high</x:v>
      </x:c>
      <x:c r="S81" s="46" t="str">
        <x:v>Penaeus semisulcatus</x:v>
      </x:c>
      <x:c r="T81" s="62" t="n">
        <x:f>IF(O81="","",(1/'Metadata'!$B$5)^(O81-1))</x:f>
        <x:v>10</x:v>
      </x:c>
      <x:c r="U81" s="60" t="n">
        <x:f>IF(T81="","",I81*T81)</x:f>
        <x:v>24720.040884324997</x:v>
      </x:c>
    </x:row>
    <x:row r="82" ht="18" customHeight="1">
      <x:c r="A82" s="46" t="str">
        <x:v>LME_035</x:v>
      </x:c>
      <x:c r="B82" s="46" t="str">
        <x:v>Gulf of Thailand</x:v>
      </x:c>
      <x:c r="C82" s="46" t="str">
        <x:v>LME</x:v>
      </x:c>
      <x:c r="D82" s="58" t="n">
        <x:v>2019</x:v>
      </x:c>
      <x:c r="E82" s="46" t="str">
        <x:v>Carcharhinus</x:v>
      </x:c>
      <x:c r="F82" s="46" t="str">
        <x:v>Sharp-nosed sharks</x:v>
      </x:c>
      <x:c r="G82" s="46" t="str">
        <x:v>Large sharks (&gt;=90 cm)</x:v>
      </x:c>
      <x:c r="H82" s="46" t="str">
        <x:v>Sharks &amp; rays</x:v>
      </x:c>
      <x:c r="I82" s="60" t="n">
        <x:v>2434.0181821313</x:v>
      </x:c>
      <x:c r="J82" s="60" t="n">
        <x:v>2434.0181821313</x:v>
      </x:c>
      <x:c r="K82" s="60" t="n">
        <x:v>0</x:v>
      </x:c>
      <x:c r="L82" s="60" t="n">
        <x:v>1542.6920536287</x:v>
      </x:c>
      <x:c r="M82" s="60" t="n">
        <x:v>891.3261285026</x:v>
      </x:c>
      <x:c r="N82" s="46" t="str">
        <x:v>carcharhinus</x:v>
      </x:c>
      <x:c r="O82" s="62" t="n">
        <x:v>4.26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Carcharhinus</x:v>
      </x:c>
      <x:c r="T82" s="62" t="n">
        <x:f>IF(O82="","",(1/'Metadata'!$B$5)^(O82-1))</x:f>
        <x:v>1819.7008586099826</x:v>
      </x:c>
      <x:c r="U82" s="60" t="n">
        <x:f>IF(T82="","",I82*T82)</x:f>
        <x:v>4429184.975896635</x:v>
      </x:c>
    </x:row>
    <x:row r="83" ht="18" customHeight="1">
      <x:c r="A83" s="46" t="str">
        <x:v>LME_035</x:v>
      </x:c>
      <x:c r="B83" s="46" t="str">
        <x:v>Gulf of Thailand</x:v>
      </x:c>
      <x:c r="C83" s="46" t="str">
        <x:v>LME</x:v>
      </x:c>
      <x:c r="D83" s="58" t="n">
        <x:v>2019</x:v>
      </x:c>
      <x:c r="E83" s="46" t="str">
        <x:v>Thenus orientalis</x:v>
      </x:c>
      <x:c r="F83" s="46" t="str">
        <x:v>Flathead lobster</x:v>
      </x:c>
      <x:c r="G83" s="46" t="str">
        <x:v>Lobsters, crabs</x:v>
      </x:c>
      <x:c r="H83" s="46" t="str">
        <x:v>Crustaceans</x:v>
      </x:c>
      <x:c r="I83" s="60" t="n">
        <x:v>2153.5968832076</x:v>
      </x:c>
      <x:c r="J83" s="60" t="n">
        <x:v>2153.5968832076</x:v>
      </x:c>
      <x:c r="K83" s="60" t="n">
        <x:v>0</x:v>
      </x:c>
      <x:c r="L83" s="60" t="n">
        <x:v>1853.2618603398998</x:v>
      </x:c>
      <x:c r="M83" s="60" t="n">
        <x:v>300.3350228677</x:v>
      </x:c>
      <x:c r="N83" s="46" t="str">
        <x:v>thenus orientalis</x:v>
      </x:c>
      <x:c r="O83" s="62" t="n">
        <x:v>2.5</x:v>
      </x:c>
      <x:c r="P83" s="46" t="str">
        <x:v>exact_sea_around_us</x:v>
      </x:c>
      <x:c r="Q83" s="62" t="str">
        <x:v>Sea Around Us exploited organisms</x:v>
      </x:c>
      <x:c r="R83" s="46" t="str">
        <x:v>high</x:v>
      </x:c>
      <x:c r="S83" s="46" t="str">
        <x:v>Thenus orientalis</x:v>
      </x:c>
      <x:c r="T83" s="62" t="n">
        <x:f>IF(O83="","",(1/'Metadata'!$B$5)^(O83-1))</x:f>
        <x:v>31.622776601683793</x:v>
      </x:c>
      <x:c r="U83" s="60" t="n">
        <x:f>IF(T83="","",I83*T83)</x:f>
        <x:v>68102.71312775643</x:v>
      </x:c>
    </x:row>
    <x:row r="84" ht="18" customHeight="1">
      <x:c r="A84" s="46" t="str">
        <x:v>LME_035</x:v>
      </x:c>
      <x:c r="B84" s="46" t="str">
        <x:v>Gulf of Thailand</x:v>
      </x:c>
      <x:c r="C84" s="46" t="str">
        <x:v>LME</x:v>
      </x:c>
      <x:c r="D84" s="58" t="n">
        <x:v>2019</x:v>
      </x:c>
      <x:c r="E84" s="46" t="str">
        <x:v>Sphyraena obtusata</x:v>
      </x:c>
      <x:c r="F84" s="46" t="str">
        <x:v>Obtuse barracuda</x:v>
      </x:c>
      <x:c r="G84" s="46" t="str">
        <x:v>Medium reef assoc. fish (30 - 89 cm)</x:v>
      </x:c>
      <x:c r="H84" s="46" t="str">
        <x:v>Perch-likes</x:v>
      </x:c>
      <x:c r="I84" s="60" t="n">
        <x:v>2083.0594846793</x:v>
      </x:c>
      <x:c r="J84" s="60" t="n">
        <x:v>2083.0594846793</x:v>
      </x:c>
      <x:c r="K84" s="60" t="n">
        <x:v>0</x:v>
      </x:c>
      <x:c r="L84" s="60" t="n">
        <x:v>1599.2398023884</x:v>
      </x:c>
      <x:c r="M84" s="60" t="n">
        <x:v>483.81968229089995</x:v>
      </x:c>
      <x:c r="N84" s="46" t="str">
        <x:v>sphyraena obtusata</x:v>
      </x:c>
      <x:c r="O84" s="62" t="n">
        <x:v>4.5</x:v>
      </x:c>
      <x:c r="P84" s="46" t="str">
        <x:v>exact_2020_supplement</x:v>
      </x:c>
      <x:c r="Q84" s="62" t="str">
        <x:v>2020 supplement MeanTL</x:v>
      </x:c>
      <x:c r="R84" s="46" t="str">
        <x:v>high</x:v>
      </x:c>
      <x:c r="S84" s="46" t="str">
        <x:v>Sphyraena obtusata</x:v>
      </x:c>
      <x:c r="T84" s="62" t="n">
        <x:f>IF(O84="","",(1/'Metadata'!$B$5)^(O84-1))</x:f>
        <x:v>3162.2776601683795</x:v>
      </x:c>
      <x:c r="U84" s="60" t="n">
        <x:f>IF(T84="","",I84*T84)</x:f>
        <x:v>6587212.473203207</x:v>
      </x:c>
    </x:row>
    <x:row r="85" ht="18" customHeight="1">
      <x:c r="A85" s="46" t="str">
        <x:v>LME_035</x:v>
      </x:c>
      <x:c r="B85" s="46" t="str">
        <x:v>Gulf of Thailand</x:v>
      </x:c>
      <x:c r="C85" s="46" t="str">
        <x:v>LME</x:v>
      </x:c>
      <x:c r="D85" s="58" t="n">
        <x:v>2019</x:v>
      </x:c>
      <x:c r="E85" s="46" t="str">
        <x:v>Leiognathus</x:v>
      </x:c>
      <x:c r="F85" s="46" t="str">
        <x:v>Ponyfishes</x:v>
      </x:c>
      <x:c r="G85" s="46" t="str">
        <x:v>Small benthopelagics (&lt;30 cm)</x:v>
      </x:c>
      <x:c r="H85" s="46" t="str">
        <x:v>Perch-likes</x:v>
      </x:c>
      <x:c r="I85" s="60" t="n">
        <x:v>2075.7015084901</x:v>
      </x:c>
      <x:c r="J85" s="60" t="n">
        <x:v>2075.67202275</x:v>
      </x:c>
      <x:c r="K85" s="60" t="n">
        <x:v>0.0294857401</x:v>
      </x:c>
      <x:c r="L85" s="60" t="n">
        <x:v>1098.9745750579</x:v>
      </x:c>
      <x:c r="M85" s="60" t="n">
        <x:v>976.7269334322</x:v>
      </x:c>
      <x:c r="N85" s="46" t="str">
        <x:v>leiognathus</x:v>
      </x:c>
      <x:c r="O85" s="62" t="n">
        <x:v>3.22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Leiognathus</x:v>
      </x:c>
      <x:c r="T85" s="62" t="n">
        <x:f>IF(O85="","",(1/'Metadata'!$B$5)^(O85-1))</x:f>
        <x:v>165.95869074375614</x:v>
      </x:c>
      <x:c r="U85" s="60" t="n">
        <x:f>IF(T85="","",I85*T85)</x:f>
        <x:v>344480.7047238566</x:v>
      </x:c>
    </x:row>
    <x:row r="86" ht="18" customHeight="1">
      <x:c r="A86" s="46" t="str">
        <x:v>LME_035</x:v>
      </x:c>
      <x:c r="B86" s="46" t="str">
        <x:v>Gulf of Thailand</x:v>
      </x:c>
      <x:c r="C86" s="46" t="str">
        <x:v>LME</x:v>
      </x:c>
      <x:c r="D86" s="58" t="n">
        <x:v>2019</x:v>
      </x:c>
      <x:c r="E86" s="46" t="str">
        <x:v>Batoidea</x:v>
      </x:c>
      <x:c r="F86" s="46" t="str">
        <x:v>Batoids, skates, rays, sawfishes</x:v>
      </x:c>
      <x:c r="G86" s="46" t="str">
        <x:v>Large rays (&gt;=90 cm)</x:v>
      </x:c>
      <x:c r="H86" s="46" t="str">
        <x:v>Sharks &amp; rays</x:v>
      </x:c>
      <x:c r="I86" s="60" t="n">
        <x:v>2055.5581573196</x:v>
      </x:c>
      <x:c r="J86" s="60" t="n">
        <x:v>2055.5581573196</x:v>
      </x:c>
      <x:c r="K86" s="60" t="n">
        <x:v>0</x:v>
      </x:c>
      <x:c r="L86" s="60" t="n">
        <x:v>1396.5092683149</x:v>
      </x:c>
      <x:c r="M86" s="60" t="n">
        <x:v>659.0488890047001</x:v>
      </x:c>
      <x:c r="N86" s="46" t="str">
        <x:v>batoidea</x:v>
      </x:c>
      <x:c r="O86" s="62" t="n">
        <x:v>3.72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Batoidea</x:v>
      </x:c>
      <x:c r="T86" s="62" t="n">
        <x:f>IF(O86="","",(1/'Metadata'!$B$5)^(O86-1))</x:f>
        <x:v>524.8074602497728</x:v>
      </x:c>
      <x:c r="U86" s="60" t="n">
        <x:f>IF(T86="","",I86*T86)</x:f>
        <x:v>1078772.2559386021</x:v>
      </x:c>
    </x:row>
    <x:row r="87" ht="18" customHeight="1">
      <x:c r="A87" s="46" t="str">
        <x:v>LME_035</x:v>
      </x:c>
      <x:c r="B87" s="46" t="str">
        <x:v>Gulf of Thailand</x:v>
      </x:c>
      <x:c r="C87" s="46" t="str">
        <x:v>LME</x:v>
      </x:c>
      <x:c r="D87" s="58" t="n">
        <x:v>2019</x:v>
      </x:c>
      <x:c r="E87" s="46" t="str">
        <x:v>Pristipomoides</x:v>
      </x:c>
      <x:c r="F87" s="46" t="str">
        <x:v>Jobfishes</x:v>
      </x:c>
      <x:c r="G87" s="46" t="str">
        <x:v>Medium demersals (30 - 89 cm)</x:v>
      </x:c>
      <x:c r="H87" s="46" t="str">
        <x:v>Perch-likes</x:v>
      </x:c>
      <x:c r="I87" s="60" t="n">
        <x:v>2010.7543104346998</x:v>
      </x:c>
      <x:c r="J87" s="60" t="n">
        <x:v>2010.7543104346998</x:v>
      </x:c>
      <x:c r="K87" s="60" t="n">
        <x:v>0</x:v>
      </x:c>
      <x:c r="L87" s="60" t="n">
        <x:v>1367.4629951330999</x:v>
      </x:c>
      <x:c r="M87" s="60" t="n">
        <x:v>643.2913153016</x:v>
      </x:c>
      <x:c r="N87" s="46" t="str">
        <x:v>pristipomoides</x:v>
      </x:c>
      <x:c r="O87" s="62" t="n">
        <x:v>3.91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Pristipomoides</x:v>
      </x:c>
      <x:c r="T87" s="62" t="n">
        <x:f>IF(O87="","",(1/'Metadata'!$B$5)^(O87-1))</x:f>
        <x:v>812.8305161640995</x:v>
      </x:c>
      <x:c r="U87" s="60" t="n">
        <x:f>IF(T87="","",I87*T87)</x:f>
        <x:v>1634402.464029825</x:v>
      </x:c>
    </x:row>
    <x:row r="88" ht="18" customHeight="1">
      <x:c r="A88" s="46" t="str">
        <x:v>LME_035</x:v>
      </x:c>
      <x:c r="B88" s="46" t="str">
        <x:v>Gulf of Thailand</x:v>
      </x:c>
      <x:c r="C88" s="46" t="str">
        <x:v>LME</x:v>
      </x:c>
      <x:c r="D88" s="58" t="n">
        <x:v>2019</x:v>
      </x:c>
      <x:c r="E88" s="46" t="str">
        <x:v>Lutjanus quinquelineatus</x:v>
      </x:c>
      <x:c r="F88" s="46" t="str">
        <x:v>Five-lined snapper</x:v>
      </x:c>
      <x:c r="G88" s="46" t="str">
        <x:v>Medium reef assoc. fish (30 - 89 cm)</x:v>
      </x:c>
      <x:c r="H88" s="46" t="str">
        <x:v>Perch-likes</x:v>
      </x:c>
      <x:c r="I88" s="60" t="n">
        <x:v>1902.682986687</x:v>
      </x:c>
      <x:c r="J88" s="60" t="n">
        <x:v>1902.682986687</x:v>
      </x:c>
      <x:c r="K88" s="60" t="n">
        <x:v>0</x:v>
      </x:c>
      <x:c r="L88" s="60" t="n">
        <x:v>1316.7537176112</x:v>
      </x:c>
      <x:c r="M88" s="60" t="n">
        <x:v>585.9292690758</x:v>
      </x:c>
      <x:c r="N88" s="46" t="str">
        <x:v>lutjanus quinquelineatus</x:v>
      </x:c>
      <x:c r="O88" s="62" t="n">
        <x:v>3.68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Lutjanus quinquelineatus</x:v>
      </x:c>
      <x:c r="T88" s="62" t="n">
        <x:f>IF(O88="","",(1/'Metadata'!$B$5)^(O88-1))</x:f>
        <x:v>478.6300923226385</x:v>
      </x:c>
      <x:c r="U88" s="60" t="n">
        <x:f>IF(T88="","",I88*T88)</x:f>
        <x:v>910681.3335787124</x:v>
      </x:c>
    </x:row>
    <x:row r="89" ht="18" customHeight="1">
      <x:c r="A89" s="46" t="str">
        <x:v>LME_035</x:v>
      </x:c>
      <x:c r="B89" s="46" t="str">
        <x:v>Gulf of Thailand</x:v>
      </x:c>
      <x:c r="C89" s="46" t="str">
        <x:v>LME</x:v>
      </x:c>
      <x:c r="D89" s="58" t="n">
        <x:v>2019</x:v>
      </x:c>
      <x:c r="E89" s="46" t="str">
        <x:v>Psettodes erumei</x:v>
      </x:c>
      <x:c r="F89" s="46" t="str">
        <x:v>Indian halibut</x:v>
      </x:c>
      <x:c r="G89" s="46" t="str">
        <x:v>Small to medium flatfishes (&lt;90 cm)</x:v>
      </x:c>
      <x:c r="H89" s="46" t="str">
        <x:v>Flatfishes</x:v>
      </x:c>
      <x:c r="I89" s="60" t="n">
        <x:v>1844.5642251531</x:v>
      </x:c>
      <x:c r="J89" s="60" t="n">
        <x:v>1844.5642251531</x:v>
      </x:c>
      <x:c r="K89" s="60" t="n">
        <x:v>0</x:v>
      </x:c>
      <x:c r="L89" s="60" t="n">
        <x:v>1454.8918051588</x:v>
      </x:c>
      <x:c r="M89" s="60" t="n">
        <x:v>389.6724199943</x:v>
      </x:c>
      <x:c r="N89" s="46" t="str">
        <x:v>psettodes erumei</x:v>
      </x:c>
      <x:c r="O89" s="62" t="n">
        <x:v>4.39</x:v>
      </x:c>
      <x:c r="P89" s="46" t="str">
        <x:v>exact_2020_supplement</x:v>
      </x:c>
      <x:c r="Q89" s="62" t="str">
        <x:v>2020 supplement MeanTL</x:v>
      </x:c>
      <x:c r="R89" s="46" t="str">
        <x:v>high</x:v>
      </x:c>
      <x:c r="S89" s="46" t="str">
        <x:v>Psettodes erumei</x:v>
      </x:c>
      <x:c r="T89" s="62" t="n">
        <x:f>IF(O89="","",(1/'Metadata'!$B$5)^(O89-1))</x:f>
        <x:v>2454.7089156850284</x:v>
      </x:c>
      <x:c r="U89" s="60" t="n">
        <x:f>IF(T89="","",I89*T89)</x:f>
        <x:v>4527868.249036961</x:v>
      </x:c>
    </x:row>
    <x:row r="90" ht="18" customHeight="1">
      <x:c r="A90" s="46" t="str">
        <x:v>LME_035</x:v>
      </x:c>
      <x:c r="B90" s="46" t="str">
        <x:v>Gulf of Thailand</x:v>
      </x:c>
      <x:c r="C90" s="46" t="str">
        <x:v>LME</x:v>
      </x:c>
      <x:c r="D90" s="58" t="n">
        <x:v>2019</x:v>
      </x:c>
      <x:c r="E90" s="46" t="str">
        <x:v>Polynemidae</x:v>
      </x:c>
      <x:c r="F90" s="46" t="str">
        <x:v>Threadfins</x:v>
      </x:c>
      <x:c r="G90" s="46" t="str">
        <x:v>Small demersals (&lt;30 cm)</x:v>
      </x:c>
      <x:c r="H90" s="46" t="str">
        <x:v>Perch-likes</x:v>
      </x:c>
      <x:c r="I90" s="60" t="n">
        <x:v>1813.3631745667</x:v>
      </x:c>
      <x:c r="J90" s="60" t="n">
        <x:v>1813.3587502141</x:v>
      </x:c>
      <x:c r="K90" s="60" t="n">
        <x:v>0.0044243526000000005</x:v>
      </x:c>
      <x:c r="L90" s="60" t="n">
        <x:v>1360.1910118745</x:v>
      </x:c>
      <x:c r="M90" s="60" t="n">
        <x:v>453.1721626922</x:v>
      </x:c>
      <x:c r="N90" s="46" t="str">
        <x:v>polynemidae</x:v>
      </x:c>
      <x:c r="O90" s="62" t="n">
        <x:v>3.62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Polynemidae</x:v>
      </x:c>
      <x:c r="T90" s="62" t="n">
        <x:f>IF(O90="","",(1/'Metadata'!$B$5)^(O90-1))</x:f>
        <x:v>416.8693834703355</x:v>
      </x:c>
      <x:c r="U90" s="60" t="n">
        <x:f>IF(T90="","",I90*T90)</x:f>
        <x:v>755935.5885894307</x:v>
      </x:c>
    </x:row>
    <x:row r="91" ht="18" customHeight="1">
      <x:c r="A91" s="46" t="str">
        <x:v>LME_035</x:v>
      </x:c>
      <x:c r="B91" s="46" t="str">
        <x:v>Gulf of Thailand</x:v>
      </x:c>
      <x:c r="C91" s="46" t="str">
        <x:v>LME</x:v>
      </x:c>
      <x:c r="D91" s="58" t="n">
        <x:v>2019</x:v>
      </x:c>
      <x:c r="E91" s="46" t="str">
        <x:v>Ozius guttatus</x:v>
      </x:c>
      <x:c r="F91" s="46" t="str">
        <x:v>Spottedbelly rock crab</x:v>
      </x:c>
      <x:c r="G91" s="46" t="str">
        <x:v>Lobsters, crabs</x:v>
      </x:c>
      <x:c r="H91" s="46" t="str">
        <x:v>Crustaceans</x:v>
      </x:c>
      <x:c r="I91" s="60" t="n">
        <x:v>1657.6268669245999</x:v>
      </x:c>
      <x:c r="J91" s="60" t="n">
        <x:v>1657.6268669245999</x:v>
      </x:c>
      <x:c r="K91" s="60" t="n">
        <x:v>0</x:v>
      </x:c>
      <x:c r="L91" s="60" t="n">
        <x:v>609.4953745775</x:v>
      </x:c>
      <x:c r="M91" s="60" t="n">
        <x:v>1048.1314923471</x:v>
      </x:c>
      <x:c r="N91" s="46" t="str">
        <x:v>ozius guttatus</x:v>
      </x:c>
      <x:c r="O91" s="62" t="n">
        <x:v>3.7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Ozius guttatus</x:v>
      </x:c>
      <x:c r="T91" s="62" t="n">
        <x:f>IF(O91="","",(1/'Metadata'!$B$5)^(O91-1))</x:f>
        <x:v>501.18723362727246</x:v>
      </x:c>
      <x:c r="U91" s="60" t="n">
        <x:f>IF(T91="","",I91*T91)</x:f>
        <x:v>830781.4238201831</x:v>
      </x:c>
    </x:row>
    <x:row r="92" ht="18" customHeight="1">
      <x:c r="A92" s="46" t="str">
        <x:v>LME_035</x:v>
      </x:c>
      <x:c r="B92" s="46" t="str">
        <x:v>Gulf of Thailand</x:v>
      </x:c>
      <x:c r="C92" s="46" t="str">
        <x:v>LME</x:v>
      </x:c>
      <x:c r="D92" s="58" t="n">
        <x:v>2019</x:v>
      </x:c>
      <x:c r="E92" s="46" t="str">
        <x:v>Scomberomorus guttatus</x:v>
      </x:c>
      <x:c r="F92" s="46" t="str">
        <x:v>Indo-Pacific king mackerel</x:v>
      </x:c>
      <x:c r="G92" s="46" t="str">
        <x:v>Medium pelagics (30 - 89 cm)</x:v>
      </x:c>
      <x:c r="H92" s="46" t="str">
        <x:v>Perch-likes</x:v>
      </x:c>
      <x:c r="I92" s="60" t="n">
        <x:v>1639.9494170409</x:v>
      </x:c>
      <x:c r="J92" s="60" t="n">
        <x:v>1639.949259523</x:v>
      </x:c>
      <x:c r="K92" s="60" t="n">
        <x:v>0.0001575179</x:v>
      </x:c>
      <x:c r="L92" s="60" t="n">
        <x:v>1639.9480552681</x:v>
      </x:c>
      <x:c r="M92" s="60" t="n">
        <x:v>0.0013617728</x:v>
      </x:c>
      <x:c r="N92" s="46" t="str">
        <x:v>scomberomorus guttatus</x:v>
      </x:c>
      <x:c r="O92" s="62" t="n">
        <x:v>4.28</x:v>
      </x:c>
      <x:c r="P92" s="46" t="str">
        <x:v>exact_2020_supplement</x:v>
      </x:c>
      <x:c r="Q92" s="62" t="str">
        <x:v>2020 supplement MeanTL</x:v>
      </x:c>
      <x:c r="R92" s="46" t="str">
        <x:v>high</x:v>
      </x:c>
      <x:c r="S92" s="46" t="str">
        <x:v>Scomberomorus guttatus</x:v>
      </x:c>
      <x:c r="T92" s="62" t="n">
        <x:f>IF(O92="","",(1/'Metadata'!$B$5)^(O92-1))</x:f>
        <x:v>1905.4607179632483</x:v>
      </x:c>
      <x:c r="U92" s="60" t="n">
        <x:f>IF(T92="","",I92*T92)</x:f>
        <x:v>3124859.193618164</x:v>
      </x:c>
    </x:row>
    <x:row r="93" ht="18" customHeight="1">
      <x:c r="A93" s="46" t="str">
        <x:v>LME_035</x:v>
      </x:c>
      <x:c r="B93" s="46" t="str">
        <x:v>Gulf of Thailand</x:v>
      </x:c>
      <x:c r="C93" s="46" t="str">
        <x:v>LME</x:v>
      </x:c>
      <x:c r="D93" s="58" t="n">
        <x:v>2019</x:v>
      </x:c>
      <x:c r="E93" s="46" t="str">
        <x:v>Trichiurus</x:v>
      </x:c>
      <x:c r="F93" s="46" t="str">
        <x:v>Hairtails</x:v>
      </x:c>
      <x:c r="G93" s="46" t="str">
        <x:v>Large benthopelagics (&gt;=90 cm)</x:v>
      </x:c>
      <x:c r="H93" s="46" t="str">
        <x:v>Perch-likes</x:v>
      </x:c>
      <x:c r="I93" s="60" t="n">
        <x:v>1638.9274889293001</x:v>
      </x:c>
      <x:c r="J93" s="60" t="n">
        <x:v>1638.9274889293001</x:v>
      </x:c>
      <x:c r="K93" s="60" t="n">
        <x:v>0</x:v>
      </x:c>
      <x:c r="L93" s="60" t="n">
        <x:v>1086.8701451788</x:v>
      </x:c>
      <x:c r="M93" s="60" t="n">
        <x:v>552.0573437505</x:v>
      </x:c>
      <x:c r="N93" s="46" t="str">
        <x:v>trichiurus</x:v>
      </x:c>
      <x:c r="O93" s="62" t="n">
        <x:v>4.42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Trichiurus</x:v>
      </x:c>
      <x:c r="T93" s="62" t="n">
        <x:f>IF(O93="","",(1/'Metadata'!$B$5)^(O93-1))</x:f>
        <x:v>2630.2679918953813</x:v>
      </x:c>
      <x:c r="U93" s="60" t="n">
        <x:f>IF(T93="","",I93*T93)</x:f>
        <x:v>4310818.5151682105</x:v>
      </x:c>
    </x:row>
    <x:row r="94" ht="18" customHeight="1">
      <x:c r="A94" s="46" t="str">
        <x:v>LME_035</x:v>
      </x:c>
      <x:c r="B94" s="46" t="str">
        <x:v>Gulf of Thailand</x:v>
      </x:c>
      <x:c r="C94" s="46" t="str">
        <x:v>LME</x:v>
      </x:c>
      <x:c r="D94" s="58" t="n">
        <x:v>2019</x:v>
      </x:c>
      <x:c r="E94" s="46" t="str">
        <x:v>Terapon</x:v>
      </x:c>
      <x:c r="F94" s="46" t="str">
        <x:v>Terapons</x:v>
      </x:c>
      <x:c r="G94" s="46" t="str">
        <x:v>Medium demersals (30 - 89 cm)</x:v>
      </x:c>
      <x:c r="H94" s="46" t="str">
        <x:v>Perch-likes</x:v>
      </x:c>
      <x:c r="I94" s="60" t="n">
        <x:v>1592.25351826</x:v>
      </x:c>
      <x:c r="J94" s="60" t="n">
        <x:v>1533.2862341723999</x:v>
      </x:c>
      <x:c r="K94" s="60" t="n">
        <x:v>58.96728408760001</x:v>
      </x:c>
      <x:c r="L94" s="60" t="n">
        <x:v>1533.2862341723999</x:v>
      </x:c>
      <x:c r="M94" s="60" t="n">
        <x:v>58.96728408760001</x:v>
      </x:c>
      <x:c r="N94" s="46" t="str">
        <x:v>terapon</x:v>
      </x:c>
      <x:c r="O94" s="62" t="n">
        <x:v>3.5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Terapon</x:v>
      </x:c>
      <x:c r="T94" s="62" t="n">
        <x:f>IF(O94="","",(1/'Metadata'!$B$5)^(O94-1))</x:f>
        <x:v>316.22776601683796</x:v>
      </x:c>
      <x:c r="U94" s="60" t="n">
        <x:f>IF(T94="","",I94*T94)</x:f>
        <x:v>503514.7730118103</x:v>
      </x:c>
    </x:row>
    <x:row r="95" ht="18" customHeight="1">
      <x:c r="A95" s="46" t="str">
        <x:v>LME_035</x:v>
      </x:c>
      <x:c r="B95" s="46" t="str">
        <x:v>Gulf of Thailand</x:v>
      </x:c>
      <x:c r="C95" s="46" t="str">
        <x:v>LME</x:v>
      </x:c>
      <x:c r="D95" s="58" t="n">
        <x:v>2019</x:v>
      </x:c>
      <x:c r="E95" s="46" t="str">
        <x:v>Siganus</x:v>
      </x:c>
      <x:c r="F95" s="46" t="str">
        <x:v>Spinefoots</x:v>
      </x:c>
      <x:c r="G95" s="46" t="str">
        <x:v>Medium reef assoc. fish (30 - 89 cm)</x:v>
      </x:c>
      <x:c r="H95" s="46" t="str">
        <x:v>Perch-likes</x:v>
      </x:c>
      <x:c r="I95" s="60" t="n">
        <x:v>1504.0592197119</x:v>
      </x:c>
      <x:c r="J95" s="60" t="n">
        <x:v>1504.0572739013</x:v>
      </x:c>
      <x:c r="K95" s="60" t="n">
        <x:v>0.0019458106</x:v>
      </x:c>
      <x:c r="L95" s="60" t="n">
        <x:v>1090.1126069262</x:v>
      </x:c>
      <x:c r="M95" s="60" t="n">
        <x:v>413.9466127857</x:v>
      </x:c>
      <x:c r="N95" s="46" t="str">
        <x:v>siganus</x:v>
      </x:c>
      <x:c r="O95" s="62" t="n">
        <x:v>2.11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Siganus</x:v>
      </x:c>
      <x:c r="T95" s="62" t="n">
        <x:f>IF(O95="","",(1/'Metadata'!$B$5)^(O95-1))</x:f>
        <x:v>12.882495516931336</x:v>
      </x:c>
      <x:c r="U95" s="60" t="n">
        <x:f>IF(T95="","",I95*T95)</x:f>
        <x:v>19376.036155137794</x:v>
      </x:c>
    </x:row>
    <x:row r="96" ht="18" customHeight="1">
      <x:c r="A96" s="46" t="str">
        <x:v>LME_035</x:v>
      </x:c>
      <x:c r="B96" s="46" t="str">
        <x:v>Gulf of Thailand</x:v>
      </x:c>
      <x:c r="C96" s="46" t="str">
        <x:v>LME</x:v>
      </x:c>
      <x:c r="D96" s="58" t="n">
        <x:v>2019</x:v>
      </x:c>
      <x:c r="E96" s="46" t="str">
        <x:v>Penaeus monodon</x:v>
      </x:c>
      <x:c r="F96" s="46" t="str">
        <x:v>Giant tiger prawn</x:v>
      </x:c>
      <x:c r="G96" s="46" t="str">
        <x:v>Shrimps</x:v>
      </x:c>
      <x:c r="H96" s="46" t="str">
        <x:v>Crustaceans</x:v>
      </x:c>
      <x:c r="I96" s="60" t="n">
        <x:v>1483.3426605555999</x:v>
      </x:c>
      <x:c r="J96" s="60" t="n">
        <x:v>1483.3426605555999</x:v>
      </x:c>
      <x:c r="K96" s="60" t="n">
        <x:v>0</x:v>
      </x:c>
      <x:c r="L96" s="60" t="n">
        <x:v>1037.9498128413</x:v>
      </x:c>
      <x:c r="M96" s="60" t="n">
        <x:v>445.3928477143</x:v>
      </x:c>
      <x:c r="N96" s="46" t="str">
        <x:v>penaeus monodon</x:v>
      </x:c>
      <x:c r="O96" s="62" t="n">
        <x:v>2.6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Penaeus monodon</x:v>
      </x:c>
      <x:c r="T96" s="62" t="n">
        <x:f>IF(O96="","",(1/'Metadata'!$B$5)^(O96-1))</x:f>
        <x:v>39.810717055349734</x:v>
      </x:c>
      <x:c r="U96" s="60" t="n">
        <x:f>IF(T96="","",I96*T96)</x:f>
        <x:v>59052.934955508674</x:v>
      </x:c>
    </x:row>
    <x:row r="97" ht="18" customHeight="1">
      <x:c r="A97" s="46" t="str">
        <x:v>LME_035</x:v>
      </x:c>
      <x:c r="B97" s="46" t="str">
        <x:v>Gulf of Thailand</x:v>
      </x:c>
      <x:c r="C97" s="46" t="str">
        <x:v>LME</x:v>
      </x:c>
      <x:c r="D97" s="58" t="n">
        <x:v>2019</x:v>
      </x:c>
      <x:c r="E97" s="46" t="str">
        <x:v>Miscellaneous aquatic invertebrates</x:v>
      </x:c>
      <x:c r="F97" s="46" t="str">
        <x:v>Aquatic invertebrates</x:v>
      </x:c>
      <x:c r="G97" s="46" t="str">
        <x:v>Other demersal invertebrates</x:v>
      </x:c>
      <x:c r="H97" s="46" t="str">
        <x:v>Other fishes &amp; inverts</x:v>
      </x:c>
      <x:c r="I97" s="60" t="n">
        <x:v>1455.7423251417001</x:v>
      </x:c>
      <x:c r="J97" s="60" t="n">
        <x:v>1455.7423251417001</x:v>
      </x:c>
      <x:c r="K97" s="60" t="n">
        <x:v>0</x:v>
      </x:c>
      <x:c r="L97" s="60" t="n">
        <x:v>597.4694711213</x:v>
      </x:c>
      <x:c r="M97" s="60" t="n">
        <x:v>858.2728540204</x:v>
      </x:c>
      <x:c r="N97" s="46" t="str">
        <x:v>miscellaneous aquatic invertebrates</x:v>
      </x:c>
      <x:c r="O97" s="62" t="n">
        <x:v>2.43</x:v>
      </x:c>
      <x:c r="P97" s="46" t="str">
        <x:v>exact_sea_around_us</x:v>
      </x:c>
      <x:c r="Q97" s="62" t="str">
        <x:v>Sea Around Us exploited organisms</x:v>
      </x:c>
      <x:c r="R97" s="46" t="str">
        <x:v>high</x:v>
      </x:c>
      <x:c r="S97" s="46" t="str">
        <x:v>Miscellaneous aquatic invertebrates</x:v>
      </x:c>
      <x:c r="T97" s="62" t="n">
        <x:f>IF(O97="","",(1/'Metadata'!$B$5)^(O97-1))</x:f>
        <x:v>26.915348039269166</x:v>
      </x:c>
      <x:c r="U97" s="60" t="n">
        <x:f>IF(T97="","",I97*T97)</x:f>
        <x:v>39181.81133668379</x:v>
      </x:c>
    </x:row>
    <x:row r="98" ht="18" customHeight="1">
      <x:c r="A98" s="46" t="str">
        <x:v>LME_035</x:v>
      </x:c>
      <x:c r="B98" s="46" t="str">
        <x:v>Gulf of Thailand</x:v>
      </x:c>
      <x:c r="C98" s="46" t="str">
        <x:v>LME</x:v>
      </x:c>
      <x:c r="D98" s="58" t="n">
        <x:v>2019</x:v>
      </x:c>
      <x:c r="E98" s="46" t="str">
        <x:v>Plotosidae</x:v>
      </x:c>
      <x:c r="F98" s="46" t="str">
        <x:v>Eeltail catfishes</x:v>
      </x:c>
      <x:c r="G98" s="46" t="str">
        <x:v>Medium reef assoc. fish (30 - 89 cm)</x:v>
      </x:c>
      <x:c r="H98" s="46" t="str">
        <x:v>Other fishes &amp; inverts</x:v>
      </x:c>
      <x:c r="I98" s="60" t="n">
        <x:v>1406.0002416143002</x:v>
      </x:c>
      <x:c r="J98" s="60" t="n">
        <x:v>1406.0002416143002</x:v>
      </x:c>
      <x:c r="K98" s="60" t="n">
        <x:v>0</x:v>
      </x:c>
      <x:c r="L98" s="60" t="n">
        <x:v>758.6897626159001</x:v>
      </x:c>
      <x:c r="M98" s="60" t="n">
        <x:v>647.3104789984001</x:v>
      </x:c>
      <x:c r="N98" s="46" t="str">
        <x:v>plotosidae</x:v>
      </x:c>
      <x:c r="O98" s="62" t="n">
        <x:v>3.49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Plotosidae</x:v>
      </x:c>
      <x:c r="T98" s="62" t="n">
        <x:f>IF(O98="","",(1/'Metadata'!$B$5)^(O98-1))</x:f>
        <x:v>309.0295432513592</x:v>
      </x:c>
      <x:c r="U98" s="60" t="n">
        <x:f>IF(T98="","",I98*T98)</x:f>
        <x:v>434495.61247736786</x:v>
      </x:c>
    </x:row>
    <x:row r="99" ht="18" customHeight="1">
      <x:c r="A99" s="46" t="str">
        <x:v>LME_035</x:v>
      </x:c>
      <x:c r="B99" s="46" t="str">
        <x:v>Gulf of Thailand</x:v>
      </x:c>
      <x:c r="C99" s="46" t="str">
        <x:v>LME</x:v>
      </x:c>
      <x:c r="D99" s="58" t="n">
        <x:v>2019</x:v>
      </x:c>
      <x:c r="E99" s="46" t="str">
        <x:v>Tetraodontidae</x:v>
      </x:c>
      <x:c r="F99" s="46" t="str">
        <x:v>Puffers, tobies</x:v>
      </x:c>
      <x:c r="G99" s="46" t="str">
        <x:v>Large reef assoc. fish (&gt;=90 cm)</x:v>
      </x:c>
      <x:c r="H99" s="46" t="str">
        <x:v>Other fishes &amp; inverts</x:v>
      </x:c>
      <x:c r="I99" s="60" t="n">
        <x:v>1399.2133784386</x:v>
      </x:c>
      <x:c r="J99" s="60" t="n">
        <x:v>1319.4694205831</x:v>
      </x:c>
      <x:c r="K99" s="60" t="n">
        <x:v>79.7439578555</x:v>
      </x:c>
      <x:c r="L99" s="60" t="n">
        <x:v>1319.4694205831</x:v>
      </x:c>
      <x:c r="M99" s="60" t="n">
        <x:v>79.7439578555</x:v>
      </x:c>
      <x:c r="N99" s="46" t="str">
        <x:v>tetraodontidae</x:v>
      </x:c>
      <x:c r="O99" s="62" t="n">
        <x:v>3.5</x:v>
      </x:c>
      <x:c r="P99" s="46" t="str">
        <x:v>exact_sea_around_us</x:v>
      </x:c>
      <x:c r="Q99" s="62" t="str">
        <x:v>Sea Around Us exploited organisms</x:v>
      </x:c>
      <x:c r="R99" s="46" t="str">
        <x:v>high</x:v>
      </x:c>
      <x:c r="S99" s="46" t="str">
        <x:v>Tetraodontidae</x:v>
      </x:c>
      <x:c r="T99" s="62" t="n">
        <x:f>IF(O99="","",(1/'Metadata'!$B$5)^(O99-1))</x:f>
        <x:v>316.22776601683796</x:v>
      </x:c>
      <x:c r="U99" s="60" t="n">
        <x:f>IF(T99="","",I99*T99)</x:f>
        <x:v>442470.12084451097</x:v>
      </x:c>
    </x:row>
    <x:row r="100" ht="18" customHeight="1">
      <x:c r="A100" s="46" t="str">
        <x:v>LME_035</x:v>
      </x:c>
      <x:c r="B100" s="46" t="str">
        <x:v>Gulf of Thailand</x:v>
      </x:c>
      <x:c r="C100" s="46" t="str">
        <x:v>LME</x:v>
      </x:c>
      <x:c r="D100" s="58" t="n">
        <x:v>2019</x:v>
      </x:c>
      <x:c r="E100" s="46" t="str">
        <x:v>Ilisha elongata</x:v>
      </x:c>
      <x:c r="F100" s="46" t="str">
        <x:v>Elongate ilisha</x:v>
      </x:c>
      <x:c r="G100" s="46" t="str">
        <x:v>Medium pelagics (30 - 89 cm)</x:v>
      </x:c>
      <x:c r="H100" s="46" t="str">
        <x:v>Herring-likes</x:v>
      </x:c>
      <x:c r="I100" s="60" t="n">
        <x:v>1325.1660072564</x:v>
      </x:c>
      <x:c r="J100" s="60" t="n">
        <x:v>1275.8940266702</x:v>
      </x:c>
      <x:c r="K100" s="60" t="n">
        <x:v>49.2719805862</x:v>
      </x:c>
      <x:c r="L100" s="60" t="n">
        <x:v>1138.2787550787</x:v>
      </x:c>
      <x:c r="M100" s="60" t="n">
        <x:v>186.8872521777</x:v>
      </x:c>
      <x:c r="N100" s="46" t="str">
        <x:v>ilisha elongata</x:v>
      </x:c>
      <x:c r="O100" s="62" t="n">
        <x:v>3.79</x:v>
      </x:c>
      <x:c r="P100" s="46" t="str">
        <x:v>exact_2020_supplement</x:v>
      </x:c>
      <x:c r="Q100" s="62" t="str">
        <x:v>2020 supplement MeanTL</x:v>
      </x:c>
      <x:c r="R100" s="46" t="str">
        <x:v>high</x:v>
      </x:c>
      <x:c r="S100" s="46" t="str">
        <x:v>Ilisha elongata</x:v>
      </x:c>
      <x:c r="T100" s="62" t="n">
        <x:f>IF(O100="","",(1/'Metadata'!$B$5)^(O100-1))</x:f>
        <x:v>616.5950018614822</x:v>
      </x:c>
      <x:c r="U100" s="60" t="n">
        <x:f>IF(T100="","",I100*T100)</x:f>
        <x:v>817090.7367110328</x:v>
      </x:c>
    </x:row>
    <x:row r="101" ht="18" customHeight="1">
      <x:c r="A101" s="46" t="str">
        <x:v>LME_035</x:v>
      </x:c>
      <x:c r="B101" s="46" t="str">
        <x:v>Gulf of Thailand</x:v>
      </x:c>
      <x:c r="C101" s="46" t="str">
        <x:v>LME</x:v>
      </x:c>
      <x:c r="D101" s="58" t="n">
        <x:v>2019</x:v>
      </x:c>
      <x:c r="E101" s="46" t="str">
        <x:v>Rachycentron canadum</x:v>
      </x:c>
      <x:c r="F101" s="46" t="str">
        <x:v>Cobia</x:v>
      </x:c>
      <x:c r="G101" s="46" t="str">
        <x:v>Large pelagics (&gt;=90 cm)</x:v>
      </x:c>
      <x:c r="H101" s="46" t="str">
        <x:v>Perch-likes</x:v>
      </x:c>
      <x:c r="I101" s="60" t="n">
        <x:v>1184.0461847625</x:v>
      </x:c>
      <x:c r="J101" s="60" t="n">
        <x:v>1184.0461847625</x:v>
      </x:c>
      <x:c r="K101" s="60" t="n">
        <x:v>0</x:v>
      </x:c>
      <x:c r="L101" s="60" t="n">
        <x:v>698.7139547501</x:v>
      </x:c>
      <x:c r="M101" s="60" t="n">
        <x:v>485.33223001240003</x:v>
      </x:c>
      <x:c r="N101" s="46" t="str">
        <x:v>rachycentron canadum</x:v>
      </x:c>
      <x:c r="O101" s="62" t="n">
        <x:v>3.96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Rachycentron canadum</x:v>
      </x:c>
      <x:c r="T101" s="62" t="n">
        <x:f>IF(O101="","",(1/'Metadata'!$B$5)^(O101-1))</x:f>
        <x:v>912.0108393559096</x:v>
      </x:c>
      <x:c r="U101" s="60" t="n">
        <x:f>IF(T101="","",I101*T101)</x:f>
        <x:v>1079862.95480141</x:v>
      </x:c>
    </x:row>
    <x:row r="102" ht="18" customHeight="1">
      <x:c r="A102" s="46" t="str">
        <x:v>LME_035</x:v>
      </x:c>
      <x:c r="B102" s="46" t="str">
        <x:v>Gulf of Thailand</x:v>
      </x:c>
      <x:c r="C102" s="46" t="str">
        <x:v>LME</x:v>
      </x:c>
      <x:c r="D102" s="58" t="n">
        <x:v>2019</x:v>
      </x:c>
      <x:c r="E102" s="46" t="str">
        <x:v>Nemipterus japonicus</x:v>
      </x:c>
      <x:c r="F102" s="46" t="str">
        <x:v>Japanese threadfin bream</x:v>
      </x:c>
      <x:c r="G102" s="46" t="str">
        <x:v>Small demersals (&lt;30 cm)</x:v>
      </x:c>
      <x:c r="H102" s="46" t="str">
        <x:v>Perch-likes</x:v>
      </x:c>
      <x:c r="I102" s="60" t="n">
        <x:v>1109.7123693788</x:v>
      </x:c>
      <x:c r="J102" s="60" t="n">
        <x:v>1048.7762199368</x:v>
      </x:c>
      <x:c r="K102" s="60" t="n">
        <x:v>60.936149442</x:v>
      </x:c>
      <x:c r="L102" s="60" t="n">
        <x:v>1048.7762199368</x:v>
      </x:c>
      <x:c r="M102" s="60" t="n">
        <x:v>60.936149442</x:v>
      </x:c>
      <x:c r="N102" s="46" t="str">
        <x:v>nemipterus japonicus</x:v>
      </x:c>
      <x:c r="O102" s="62" t="n">
        <x:v>3.77</x:v>
      </x:c>
      <x:c r="P102" s="46" t="str">
        <x:v>exact_2020_supplement</x:v>
      </x:c>
      <x:c r="Q102" s="62" t="str">
        <x:v>2020 supplement MeanTL</x:v>
      </x:c>
      <x:c r="R102" s="46" t="str">
        <x:v>high</x:v>
      </x:c>
      <x:c r="S102" s="46" t="str">
        <x:v>Nemipterus japonicus</x:v>
      </x:c>
      <x:c r="T102" s="62" t="n">
        <x:f>IF(O102="","",(1/'Metadata'!$B$5)^(O102-1))</x:f>
        <x:v>588.843655355589</x:v>
      </x:c>
      <x:c r="U102" s="60" t="n">
        <x:f>IF(T102="","",I102*T102)</x:f>
        <x:v>653447.0879783243</x:v>
      </x:c>
    </x:row>
    <x:row r="103" ht="18" customHeight="1">
      <x:c r="A103" s="46" t="str">
        <x:v>LME_035</x:v>
      </x:c>
      <x:c r="B103" s="46" t="str">
        <x:v>Gulf of Thailand</x:v>
      </x:c>
      <x:c r="C103" s="46" t="str">
        <x:v>LME</x:v>
      </x:c>
      <x:c r="D103" s="58" t="n">
        <x:v>2019</x:v>
      </x:c>
      <x:c r="E103" s="46" t="str">
        <x:v>Scylla serrata</x:v>
      </x:c>
      <x:c r="F103" s="46" t="str">
        <x:v>Indo-Pacific swamp crab</x:v>
      </x:c>
      <x:c r="G103" s="46" t="str">
        <x:v>Lobsters, crabs</x:v>
      </x:c>
      <x:c r="H103" s="46" t="str">
        <x:v>Crustaceans</x:v>
      </x:c>
      <x:c r="I103" s="60" t="n">
        <x:v>1026.3769264848</x:v>
      </x:c>
      <x:c r="J103" s="60" t="n">
        <x:v>1026.3769264848</x:v>
      </x:c>
      <x:c r="K103" s="60" t="n">
        <x:v>0</x:v>
      </x:c>
      <x:c r="L103" s="60" t="n">
        <x:v>1000.3226234841</x:v>
      </x:c>
      <x:c r="M103" s="60" t="n">
        <x:v>26.0543030007</x:v>
      </x:c>
      <x:c r="N103" s="46" t="str">
        <x:v>scylla serrata</x:v>
      </x:c>
      <x:c r="O103" s="62" t="n">
        <x:v>3.17</x:v>
      </x:c>
      <x:c r="P103" s="46" t="str">
        <x:v>exact_2020_supplement</x:v>
      </x:c>
      <x:c r="Q103" s="62" t="str">
        <x:v>2020 supplement MeanTL</x:v>
      </x:c>
      <x:c r="R103" s="46" t="str">
        <x:v>high</x:v>
      </x:c>
      <x:c r="S103" s="46" t="str">
        <x:v>Scylla serrata</x:v>
      </x:c>
      <x:c r="T103" s="62" t="n">
        <x:f>IF(O103="","",(1/'Metadata'!$B$5)^(O103-1))</x:f>
        <x:v>147.91083881682073</x:v>
      </x:c>
      <x:c r="U103" s="60" t="n">
        <x:f>IF(T103="","",I103*T103)</x:f>
        <x:v>151812.2721385971</x:v>
      </x:c>
    </x:row>
    <x:row r="104" ht="18" customHeight="1">
      <x:c r="A104" s="46" t="str">
        <x:v>LME_035</x:v>
      </x:c>
      <x:c r="B104" s="46" t="str">
        <x:v>Gulf of Thailand</x:v>
      </x:c>
      <x:c r="C104" s="46" t="str">
        <x:v>LME</x:v>
      </x:c>
      <x:c r="D104" s="58" t="n">
        <x:v>2019</x:v>
      </x:c>
      <x:c r="E104" s="46" t="str">
        <x:v>Dussumieria</x:v>
      </x:c>
      <x:c r="F104" s="46" t="str">
        <x:v>Rainbow sardines</x:v>
      </x:c>
      <x:c r="G104" s="46" t="str">
        <x:v>Small pelagics (&lt;30 cm)</x:v>
      </x:c>
      <x:c r="H104" s="46" t="str">
        <x:v>Herring-likes</x:v>
      </x:c>
      <x:c r="I104" s="60" t="n">
        <x:v>944.104256019</x:v>
      </x:c>
      <x:c r="J104" s="60" t="n">
        <x:v>944.104256019</x:v>
      </x:c>
      <x:c r="K104" s="60" t="n">
        <x:v>0</x:v>
      </x:c>
      <x:c r="L104" s="60" t="n">
        <x:v>640.8247061556</x:v>
      </x:c>
      <x:c r="M104" s="60" t="n">
        <x:v>303.2795498634</x:v>
      </x:c>
      <x:c r="N104" s="46" t="str">
        <x:v>dussumieria</x:v>
      </x:c>
      <x:c r="O104" s="62" t="n">
        <x:v>3.4</x:v>
      </x:c>
      <x:c r="P104" s="46" t="str">
        <x:v>exact_sea_around_us</x:v>
      </x:c>
      <x:c r="Q104" s="62" t="str">
        <x:v>Sea Around Us exploited organisms</x:v>
      </x:c>
      <x:c r="R104" s="46" t="str">
        <x:v>high</x:v>
      </x:c>
      <x:c r="S104" s="46" t="str">
        <x:v>Dussumieria</x:v>
      </x:c>
      <x:c r="T104" s="62" t="n">
        <x:f>IF(O104="","",(1/'Metadata'!$B$5)^(O104-1))</x:f>
        <x:v>251.18864315095797</x:v>
      </x:c>
      <x:c r="U104" s="60" t="n">
        <x:f>IF(T104="","",I104*T104)</x:f>
        <x:v>237148.26706245725</x:v>
      </x:c>
    </x:row>
    <x:row r="105" ht="18" customHeight="1">
      <x:c r="A105" s="46" t="str">
        <x:v>LME_035</x:v>
      </x:c>
      <x:c r="B105" s="46" t="str">
        <x:v>Gulf of Thailand</x:v>
      </x:c>
      <x:c r="C105" s="46" t="str">
        <x:v>LME</x:v>
      </x:c>
      <x:c r="D105" s="58" t="n">
        <x:v>2019</x:v>
      </x:c>
      <x:c r="E105" s="46" t="str">
        <x:v>Mierspenaeopsis sculptilis</x:v>
      </x:c>
      <x:c r="F105" s="46" t="str">
        <x:v>Rainbow shrimp</x:v>
      </x:c>
      <x:c r="G105" s="46" t="str">
        <x:v>Shrimps</x:v>
      </x:c>
      <x:c r="H105" s="46" t="str">
        <x:v>Crustaceans</x:v>
      </x:c>
      <x:c r="I105" s="60" t="n">
        <x:v>929.7487401357</x:v>
      </x:c>
      <x:c r="J105" s="60" t="n">
        <x:v>929.7487401357</x:v>
      </x:c>
      <x:c r="K105" s="60" t="n">
        <x:v>0</x:v>
      </x:c>
      <x:c r="L105" s="60" t="n">
        <x:v>566.4999984112</x:v>
      </x:c>
      <x:c r="M105" s="60" t="n">
        <x:v>363.2487417245</x:v>
      </x:c>
      <x:c r="N105" s="46" t="str">
        <x:v>mierspenaeopsis sculptilis</x:v>
      </x:c>
      <x:c r="O105" s="62" t="n">
        <x:v>2.71</x:v>
      </x:c>
      <x:c r="P105" s="46" t="str">
        <x:v>exact_sea_around_us</x:v>
      </x:c>
      <x:c r="Q105" s="62" t="str">
        <x:v>Sea Around Us exploited organisms</x:v>
      </x:c>
      <x:c r="R105" s="46" t="str">
        <x:v>high</x:v>
      </x:c>
      <x:c r="S105" s="46" t="str">
        <x:v>Mierspenaeopsis sculptilis</x:v>
      </x:c>
      <x:c r="T105" s="62" t="n">
        <x:f>IF(O105="","",(1/'Metadata'!$B$5)^(O105-1))</x:f>
        <x:v>51.28613839913648</x:v>
      </x:c>
      <x:c r="U105" s="60" t="n">
        <x:f>IF(T105="","",I105*T105)</x:f>
        <x:v>47683.22256302229</x:v>
      </x:c>
    </x:row>
    <x:row r="106" ht="18" customHeight="1">
      <x:c r="A106" s="46" t="str">
        <x:v>LME_035</x:v>
      </x:c>
      <x:c r="B106" s="46" t="str">
        <x:v>Gulf of Thailand</x:v>
      </x:c>
      <x:c r="C106" s="46" t="str">
        <x:v>LME</x:v>
      </x:c>
      <x:c r="D106" s="58" t="n">
        <x:v>2019</x:v>
      </x:c>
      <x:c r="E106" s="46" t="str">
        <x:v>Penaeus japonicus</x:v>
      </x:c>
      <x:c r="F106" s="46" t="str">
        <x:v>Kuruma prawn</x:v>
      </x:c>
      <x:c r="G106" s="46" t="str">
        <x:v>Shrimps</x:v>
      </x:c>
      <x:c r="H106" s="46" t="str">
        <x:v>Crustaceans</x:v>
      </x:c>
      <x:c r="I106" s="60" t="n">
        <x:v>928.7403144818</x:v>
      </x:c>
      <x:c r="J106" s="60" t="n">
        <x:v>928.7403144818</x:v>
      </x:c>
      <x:c r="K106" s="60" t="n">
        <x:v>0</x:v>
      </x:c>
      <x:c r="L106" s="60" t="n">
        <x:v>566.1032816878001</x:v>
      </x:c>
      <x:c r="M106" s="60" t="n">
        <x:v>362.637032794</x:v>
      </x:c>
      <x:c r="N106" s="46" t="str">
        <x:v>penaeus japonicus</x:v>
      </x:c>
      <x:c r="O106" s="62" t="n">
        <x:v>2.7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Penaeus japonicus</x:v>
      </x:c>
      <x:c r="T106" s="62" t="n">
        <x:f>IF(O106="","",(1/'Metadata'!$B$5)^(O106-1))</x:f>
        <x:v>50.11872336272725</x:v>
      </x:c>
      <x:c r="U106" s="60" t="n">
        <x:f>IF(T106="","",I106*T106)</x:f>
        <x:v>46547.27889732565</x:v>
      </x:c>
    </x:row>
    <x:row r="107" ht="18" customHeight="1">
      <x:c r="A107" s="46" t="str">
        <x:v>LME_035</x:v>
      </x:c>
      <x:c r="B107" s="46" t="str">
        <x:v>Gulf of Thailand</x:v>
      </x:c>
      <x:c r="C107" s="46" t="str">
        <x:v>LME</x:v>
      </x:c>
      <x:c r="D107" s="58" t="n">
        <x:v>2019</x:v>
      </x:c>
      <x:c r="E107" s="46" t="str">
        <x:v>Melicertus canaliculatus</x:v>
      </x:c>
      <x:c r="F107" s="46" t="str">
        <x:v>Witch prawn</x:v>
      </x:c>
      <x:c r="G107" s="46" t="str">
        <x:v>Shrimps</x:v>
      </x:c>
      <x:c r="H107" s="46" t="str">
        <x:v>Crustaceans</x:v>
      </x:c>
      <x:c r="I107" s="60" t="n">
        <x:v>927.5636342028</x:v>
      </x:c>
      <x:c r="J107" s="60" t="n">
        <x:v>927.5636342028</x:v>
      </x:c>
      <x:c r="K107" s="60" t="n">
        <x:v>0</x:v>
      </x:c>
      <x:c r="L107" s="60" t="n">
        <x:v>565.2347894254001</x:v>
      </x:c>
      <x:c r="M107" s="60" t="n">
        <x:v>362.3288447774</x:v>
      </x:c>
      <x:c r="N107" s="46" t="str">
        <x:v>melicertus canaliculatus</x:v>
      </x:c>
      <x:c r="O107" s="62" t="n">
        <x:v>3.77</x:v>
      </x:c>
      <x:c r="P107" s="46" t="str">
        <x:v>exact_2020_supplement</x:v>
      </x:c>
      <x:c r="Q107" s="62" t="str">
        <x:v>2020 supplement MeanTL</x:v>
      </x:c>
      <x:c r="R107" s="46" t="str">
        <x:v>high</x:v>
      </x:c>
      <x:c r="S107" s="46" t="str">
        <x:v>Melicertus canaliculatus</x:v>
      </x:c>
      <x:c r="T107" s="62" t="n">
        <x:f>IF(O107="","",(1/'Metadata'!$B$5)^(O107-1))</x:f>
        <x:v>588.843655355589</x:v>
      </x:c>
      <x:c r="U107" s="60" t="n">
        <x:f>IF(T107="","",I107*T107)</x:f>
        <x:v>546189.9609388912</x:v>
      </x:c>
    </x:row>
    <x:row r="108" ht="18" customHeight="1">
      <x:c r="A108" s="46" t="str">
        <x:v>LME_035</x:v>
      </x:c>
      <x:c r="B108" s="46" t="str">
        <x:v>Gulf of Thailand</x:v>
      </x:c>
      <x:c r="C108" s="46" t="str">
        <x:v>LME</x:v>
      </x:c>
      <x:c r="D108" s="58" t="n">
        <x:v>2019</x:v>
      </x:c>
      <x:c r="E108" s="46" t="str">
        <x:v>Siganidae</x:v>
      </x:c>
      <x:c r="F108" s="46" t="str">
        <x:v>Rabbitfishes</x:v>
      </x:c>
      <x:c r="G108" s="46" t="str">
        <x:v>Medium reef assoc. fish (30 - 89 cm)</x:v>
      </x:c>
      <x:c r="H108" s="46" t="str">
        <x:v>Perch-likes</x:v>
      </x:c>
      <x:c r="I108" s="60" t="n">
        <x:v>910.0660018308</x:v>
      </x:c>
      <x:c r="J108" s="60" t="n">
        <x:v>910.0660018308</x:v>
      </x:c>
      <x:c r="K108" s="60" t="n">
        <x:v>0</x:v>
      </x:c>
      <x:c r="L108" s="60" t="n">
        <x:v>699.8754250351</x:v>
      </x:c>
      <x:c r="M108" s="60" t="n">
        <x:v>210.1905767957</x:v>
      </x:c>
      <x:c r="N108" s="46" t="str">
        <x:v>siganidae</x:v>
      </x:c>
      <x:c r="O108" s="62" t="n">
        <x:v>2.11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Siganidae</x:v>
      </x:c>
      <x:c r="T108" s="62" t="n">
        <x:f>IF(O108="","",(1/'Metadata'!$B$5)^(O108-1))</x:f>
        <x:v>12.882495516931336</x:v>
      </x:c>
      <x:c r="U108" s="60" t="n">
        <x:f>IF(T108="","",I108*T108)</x:f>
        <x:v>11723.921188696906</x:v>
      </x:c>
    </x:row>
    <x:row r="109" ht="18" customHeight="1">
      <x:c r="A109" s="46" t="str">
        <x:v>LME_035</x:v>
      </x:c>
      <x:c r="B109" s="46" t="str">
        <x:v>Gulf of Thailand</x:v>
      </x:c>
      <x:c r="C109" s="46" t="str">
        <x:v>LME</x:v>
      </x:c>
      <x:c r="D109" s="58" t="n">
        <x:v>2019</x:v>
      </x:c>
      <x:c r="E109" s="46" t="str">
        <x:v>Carangoides</x:v>
      </x:c>
      <x:c r="F109" s="46" t="str">
        <x:v>Trevallies</x:v>
      </x:c>
      <x:c r="G109" s="46" t="str">
        <x:v>Medium reef assoc. fish (30 - 89 cm)</x:v>
      </x:c>
      <x:c r="H109" s="46" t="str">
        <x:v>Perch-likes</x:v>
      </x:c>
      <x:c r="I109" s="60" t="n">
        <x:v>873.2148076925</x:v>
      </x:c>
      <x:c r="J109" s="60" t="n">
        <x:v>873.2148076925</x:v>
      </x:c>
      <x:c r="K109" s="60" t="n">
        <x:v>0</x:v>
      </x:c>
      <x:c r="L109" s="60" t="n">
        <x:v>532.2141126571</x:v>
      </x:c>
      <x:c r="M109" s="60" t="n">
        <x:v>341.0006950354</x:v>
      </x:c>
      <x:c r="N109" s="46" t="str">
        <x:v>carangoides</x:v>
      </x:c>
      <x:c r="O109" s="62" t="n">
        <x:v>4.34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Carangoides</x:v>
      </x:c>
      <x:c r="T109" s="62" t="n">
        <x:f>IF(O109="","",(1/'Metadata'!$B$5)^(O109-1))</x:f>
        <x:v>2187.761623949552</x:v>
      </x:c>
      <x:c r="U109" s="60" t="n">
        <x:f>IF(T109="","",I109*T109)</x:f>
        <x:v>1910385.8457341394</x:v>
      </x:c>
    </x:row>
    <x:row r="110" ht="18" customHeight="1">
      <x:c r="A110" s="46" t="str">
        <x:v>LME_035</x:v>
      </x:c>
      <x:c r="B110" s="46" t="str">
        <x:v>Gulf of Thailand</x:v>
      </x:c>
      <x:c r="C110" s="46" t="str">
        <x:v>LME</x:v>
      </x:c>
      <x:c r="D110" s="58" t="n">
        <x:v>2019</x:v>
      </x:c>
      <x:c r="E110" s="46" t="str">
        <x:v>Cynoglossus</x:v>
      </x:c>
      <x:c r="F110" s="46" t="str">
        <x:v>Tonguesoles</x:v>
      </x:c>
      <x:c r="G110" s="46" t="str">
        <x:v>Small to medium flatfishes (&lt;90 cm)</x:v>
      </x:c>
      <x:c r="H110" s="46" t="str">
        <x:v>Flatfishes</x:v>
      </x:c>
      <x:c r="I110" s="60" t="n">
        <x:v>848.1932382200999</x:v>
      </x:c>
      <x:c r="J110" s="60" t="n">
        <x:v>821.4354412678</x:v>
      </x:c>
      <x:c r="K110" s="60" t="n">
        <x:v>26.7577969523</x:v>
      </x:c>
      <x:c r="L110" s="60" t="n">
        <x:v>782.0772685431</x:v>
      </x:c>
      <x:c r="M110" s="60" t="n">
        <x:v>66.11596967700001</x:v>
      </x:c>
      <x:c r="N110" s="46" t="str">
        <x:v>cynoglossus</x:v>
      </x:c>
      <x:c r="O110" s="62" t="n">
        <x:v>3.36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Cynoglossus</x:v>
      </x:c>
      <x:c r="T110" s="62" t="n">
        <x:f>IF(O110="","",(1/'Metadata'!$B$5)^(O110-1))</x:f>
        <x:v>229.08676527677724</x:v>
      </x:c>
      <x:c r="U110" s="60" t="n">
        <x:f>IF(T110="","",I110*T110)</x:f>
        <x:v>194309.84527347764</x:v>
      </x:c>
    </x:row>
    <x:row r="111" ht="18" customHeight="1">
      <x:c r="A111" s="46" t="str">
        <x:v>LME_035</x:v>
      </x:c>
      <x:c r="B111" s="46" t="str">
        <x:v>Gulf of Thailand</x:v>
      </x:c>
      <x:c r="C111" s="46" t="str">
        <x:v>LME</x:v>
      </x:c>
      <x:c r="D111" s="58" t="n">
        <x:v>2019</x:v>
      </x:c>
      <x:c r="E111" s="46" t="str">
        <x:v>Bothidae</x:v>
      </x:c>
      <x:c r="F111" s="46" t="str">
        <x:v>Lefteye flounders</x:v>
      </x:c>
      <x:c r="G111" s="46" t="str">
        <x:v>Small to medium flatfishes (&lt;90 cm)</x:v>
      </x:c>
      <x:c r="H111" s="46" t="str">
        <x:v>Flatfishes</x:v>
      </x:c>
      <x:c r="I111" s="60" t="n">
        <x:v>819.7056849236</x:v>
      </x:c>
      <x:c r="J111" s="60" t="n">
        <x:v>772.5215832691999</x:v>
      </x:c>
      <x:c r="K111" s="60" t="n">
        <x:v>47.1841016544</x:v>
      </x:c>
      <x:c r="L111" s="60" t="n">
        <x:v>772.5215832691999</x:v>
      </x:c>
      <x:c r="M111" s="60" t="n">
        <x:v>47.1841016544</x:v>
      </x:c>
      <x:c r="N111" s="46" t="str">
        <x:v>bothidae</x:v>
      </x:c>
      <x:c r="O111" s="62" t="n">
        <x:v>3.77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Bothidae</x:v>
      </x:c>
      <x:c r="T111" s="62" t="n">
        <x:f>IF(O111="","",(1/'Metadata'!$B$5)^(O111-1))</x:f>
        <x:v>588.843655355589</x:v>
      </x:c>
      <x:c r="U111" s="60" t="n">
        <x:f>IF(T111="","",I111*T111)</x:f>
        <x:v>482678.49182616937</x:v>
      </x:c>
    </x:row>
    <x:row r="112" ht="18" customHeight="1">
      <x:c r="A112" s="46" t="str">
        <x:v>LME_035</x:v>
      </x:c>
      <x:c r="B112" s="46" t="str">
        <x:v>Gulf of Thailand</x:v>
      </x:c>
      <x:c r="C112" s="46" t="str">
        <x:v>LME</x:v>
      </x:c>
      <x:c r="D112" s="58" t="n">
        <x:v>2019</x:v>
      </x:c>
      <x:c r="E112" s="46" t="str">
        <x:v>Auxis thazard</x:v>
      </x:c>
      <x:c r="F112" s="46" t="str">
        <x:v>Frigate tuna</x:v>
      </x:c>
      <x:c r="G112" s="46" t="str">
        <x:v>Medium pelagics (30 - 89 cm)</x:v>
      </x:c>
      <x:c r="H112" s="46" t="str">
        <x:v>Tuna &amp; billfishes</x:v>
      </x:c>
      <x:c r="I112" s="60" t="n">
        <x:v>785.5525969794</x:v>
      </x:c>
      <x:c r="J112" s="60" t="n">
        <x:v>785.5504686707</x:v>
      </x:c>
      <x:c r="K112" s="60" t="n">
        <x:v>0.0021283087</x:v>
      </x:c>
      <x:c r="L112" s="60" t="n">
        <x:v>534.2339969791</x:v>
      </x:c>
      <x:c r="M112" s="60" t="n">
        <x:v>251.31860000029997</x:v>
      </x:c>
      <x:c r="N112" s="46" t="str">
        <x:v>auxis thazard</x:v>
      </x:c>
      <x:c r="O112" s="62" t="n">
        <x:v>4.37</x:v>
      </x:c>
      <x:c r="P112" s="46" t="str">
        <x:v>exact_2020_supplement</x:v>
      </x:c>
      <x:c r="Q112" s="62" t="str">
        <x:v>2020 supplement MeanTL</x:v>
      </x:c>
      <x:c r="R112" s="46" t="str">
        <x:v>high</x:v>
      </x:c>
      <x:c r="S112" s="46" t="str">
        <x:v>Auxis thazard</x:v>
      </x:c>
      <x:c r="T112" s="62" t="n">
        <x:f>IF(O112="","",(1/'Metadata'!$B$5)^(O112-1))</x:f>
        <x:v>2344.228815319923</x:v>
      </x:c>
      <x:c r="U112" s="60" t="n">
        <x:f>IF(T112="","",I112*T112)</x:f>
        <x:v>1841515.0337885078</x:v>
      </x:c>
    </x:row>
    <x:row r="113" ht="18" customHeight="1">
      <x:c r="A113" s="46" t="str">
        <x:v>LME_035</x:v>
      </x:c>
      <x:c r="B113" s="46" t="str">
        <x:v>Gulf of Thailand</x:v>
      </x:c>
      <x:c r="C113" s="46" t="str">
        <x:v>LME</x:v>
      </x:c>
      <x:c r="D113" s="58" t="n">
        <x:v>2019</x:v>
      </x:c>
      <x:c r="E113" s="46" t="str">
        <x:v>Plectorhinchus</x:v>
      </x:c>
      <x:c r="F113" s="46" t="str">
        <x:v>Sweetlips</x:v>
      </x:c>
      <x:c r="G113" s="46" t="str">
        <x:v>Medium reef assoc. fish (30 - 89 cm)</x:v>
      </x:c>
      <x:c r="H113" s="46" t="str">
        <x:v>Perch-likes</x:v>
      </x:c>
      <x:c r="I113" s="60" t="n">
        <x:v>687.2849675671</x:v>
      </x:c>
      <x:c r="J113" s="60" t="n">
        <x:v>687.2849675671</x:v>
      </x:c>
      <x:c r="K113" s="60" t="n">
        <x:v>0</x:v>
      </x:c>
      <x:c r="L113" s="60" t="n">
        <x:v>408.3544947885</x:v>
      </x:c>
      <x:c r="M113" s="60" t="n">
        <x:v>278.9304727786</x:v>
      </x:c>
      <x:c r="N113" s="46" t="str">
        <x:v>plectorhinchus</x:v>
      </x:c>
      <x:c r="O113" s="62" t="n">
        <x:v>3.43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Plectorhinchus</x:v>
      </x:c>
      <x:c r="T113" s="62" t="n">
        <x:f>IF(O113="","",(1/'Metadata'!$B$5)^(O113-1))</x:f>
        <x:v>269.1534803926917</x:v>
      </x:c>
      <x:c r="U113" s="60" t="n">
        <x:f>IF(T113="","",I113*T113)</x:f>
        <x:v>184985.1410422632</x:v>
      </x:c>
    </x:row>
    <x:row r="114" ht="18" customHeight="1">
      <x:c r="A114" s="46" t="str">
        <x:v>LME_035</x:v>
      </x:c>
      <x:c r="B114" s="46" t="str">
        <x:v>Gulf of Thailand</x:v>
      </x:c>
      <x:c r="C114" s="46" t="str">
        <x:v>LME</x:v>
      </x:c>
      <x:c r="D114" s="58" t="n">
        <x:v>2019</x:v>
      </x:c>
      <x:c r="E114" s="46" t="str">
        <x:v>Lates calcarifer</x:v>
      </x:c>
      <x:c r="F114" s="46" t="str">
        <x:v>Barramundi</x:v>
      </x:c>
      <x:c r="G114" s="46" t="str">
        <x:v>Large demersals (&gt;=90 cm)</x:v>
      </x:c>
      <x:c r="H114" s="46" t="str">
        <x:v>Perch-likes</x:v>
      </x:c>
      <x:c r="I114" s="60" t="n">
        <x:v>667.9580948268</x:v>
      </x:c>
      <x:c r="J114" s="60" t="n">
        <x:v>667.9561320334</x:v>
      </x:c>
      <x:c r="K114" s="60" t="n">
        <x:v>0.0019627934</x:v>
      </x:c>
      <x:c r="L114" s="60" t="n">
        <x:v>652.1865743574</x:v>
      </x:c>
      <x:c r="M114" s="60" t="n">
        <x:v>15.7715204694</x:v>
      </x:c>
      <x:c r="N114" s="46" t="str">
        <x:v>lates calcarifer</x:v>
      </x:c>
      <x:c r="O114" s="62" t="n">
        <x:v>4.35</x:v>
      </x:c>
      <x:c r="P114" s="46" t="str">
        <x:v>exact_2020_supplement</x:v>
      </x:c>
      <x:c r="Q114" s="62" t="str">
        <x:v>2020 supplement MeanTL</x:v>
      </x:c>
      <x:c r="R114" s="46" t="str">
        <x:v>high</x:v>
      </x:c>
      <x:c r="S114" s="46" t="str">
        <x:v>Lates calcarifer</x:v>
      </x:c>
      <x:c r="T114" s="62" t="n">
        <x:f>IF(O114="","",(1/'Metadata'!$B$5)^(O114-1))</x:f>
        <x:v>2238.7211385683377</x:v>
      </x:c>
      <x:c r="U114" s="60" t="n">
        <x:f>IF(T114="","",I114*T114)</x:f>
        <x:v>1495371.9065665912</x:v>
      </x:c>
    </x:row>
    <x:row r="115" ht="18" customHeight="1">
      <x:c r="A115" s="46" t="str">
        <x:v>LME_035</x:v>
      </x:c>
      <x:c r="B115" s="46" t="str">
        <x:v>Gulf of Thailand</x:v>
      </x:c>
      <x:c r="C115" s="46" t="str">
        <x:v>LME</x:v>
      </x:c>
      <x:c r="D115" s="58" t="n">
        <x:v>2019</x:v>
      </x:c>
      <x:c r="E115" s="46" t="str">
        <x:v>Caesio</x:v>
      </x:c>
      <x:c r="F115" s="46" t="str">
        <x:v>Caesios</x:v>
      </x:c>
      <x:c r="G115" s="46" t="str">
        <x:v>Medium reef assoc. fish (30 - 89 cm)</x:v>
      </x:c>
      <x:c r="H115" s="46" t="str">
        <x:v>Perch-likes</x:v>
      </x:c>
      <x:c r="I115" s="60" t="n">
        <x:v>641.3737099554</x:v>
      </x:c>
      <x:c r="J115" s="60" t="n">
        <x:v>641.3737099554</x:v>
      </x:c>
      <x:c r="K115" s="60" t="n">
        <x:v>0</x:v>
      </x:c>
      <x:c r="L115" s="60" t="n">
        <x:v>363.6879853223</x:v>
      </x:c>
      <x:c r="M115" s="60" t="n">
        <x:v>277.6857246331</x:v>
      </x:c>
      <x:c r="N115" s="46" t="str">
        <x:v>caesio</x:v>
      </x:c>
      <x:c r="O115" s="62" t="n">
        <x:v>3.4</x:v>
      </x:c>
      <x:c r="P115" s="46" t="str">
        <x:v>exact_sea_around_us</x:v>
      </x:c>
      <x:c r="Q115" s="62" t="str">
        <x:v>Sea Around Us exploited organisms</x:v>
      </x:c>
      <x:c r="R115" s="46" t="str">
        <x:v>high</x:v>
      </x:c>
      <x:c r="S115" s="46" t="str">
        <x:v>Caesio</x:v>
      </x:c>
      <x:c r="T115" s="62" t="n">
        <x:f>IF(O115="","",(1/'Metadata'!$B$5)^(O115-1))</x:f>
        <x:v>251.18864315095797</x:v>
      </x:c>
      <x:c r="U115" s="60" t="n">
        <x:f>IF(T115="","",I115*T115)</x:f>
        <x:v>161105.791956393</x:v>
      </x:c>
    </x:row>
    <x:row r="116" ht="18" customHeight="1">
      <x:c r="A116" s="46" t="str">
        <x:v>LME_035</x:v>
      </x:c>
      <x:c r="B116" s="46" t="str">
        <x:v>Gulf of Thailand</x:v>
      </x:c>
      <x:c r="C116" s="46" t="str">
        <x:v>LME</x:v>
      </x:c>
      <x:c r="D116" s="58" t="n">
        <x:v>2019</x:v>
      </x:c>
      <x:c r="E116" s="46" t="str">
        <x:v>Thunnus albacares</x:v>
      </x:c>
      <x:c r="F116" s="46" t="str">
        <x:v>Yellowfin tuna</x:v>
      </x:c>
      <x:c r="G116" s="46" t="str">
        <x:v>Large pelagics (&gt;=90 cm)</x:v>
      </x:c>
      <x:c r="H116" s="46" t="str">
        <x:v>Tuna &amp; billfishes</x:v>
      </x:c>
      <x:c r="I116" s="60" t="n">
        <x:v>586.1469418222999</x:v>
      </x:c>
      <x:c r="J116" s="60" t="n">
        <x:v>586.1469418222999</x:v>
      </x:c>
      <x:c r="K116" s="60" t="n">
        <x:v>0</x:v>
      </x:c>
      <x:c r="L116" s="60" t="n">
        <x:v>557.3435377657</x:v>
      </x:c>
      <x:c r="M116" s="60" t="n">
        <x:v>28.8034040566</x:v>
      </x:c>
      <x:c r="N116" s="46" t="str">
        <x:v>thunnus albacares</x:v>
      </x:c>
      <x:c r="O116" s="62" t="n">
        <x:v>4.41</x:v>
      </x:c>
      <x:c r="P116" s="46" t="str">
        <x:v>exact_2020_supplement</x:v>
      </x:c>
      <x:c r="Q116" s="62" t="str">
        <x:v>2020 supplement MeanTL</x:v>
      </x:c>
      <x:c r="R116" s="46" t="str">
        <x:v>high</x:v>
      </x:c>
      <x:c r="S116" s="46" t="str">
        <x:v>Thunnus albacares</x:v>
      </x:c>
      <x:c r="T116" s="62" t="n">
        <x:f>IF(O116="","",(1/'Metadata'!$B$5)^(O116-1))</x:f>
        <x:v>2570.3957827688646</x:v>
      </x:c>
      <x:c r="U116" s="60" t="n">
        <x:f>IF(T116="","",I116*T116)</x:f>
        <x:v>1506629.6273429068</x:v>
      </x:c>
    </x:row>
    <x:row r="117" ht="18" customHeight="1">
      <x:c r="A117" s="46" t="str">
        <x:v>LME_035</x:v>
      </x:c>
      <x:c r="B117" s="46" t="str">
        <x:v>Gulf of Thailand</x:v>
      </x:c>
      <x:c r="C117" s="46" t="str">
        <x:v>LME</x:v>
      </x:c>
      <x:c r="D117" s="58" t="n">
        <x:v>2019</x:v>
      </x:c>
      <x:c r="E117" s="46" t="str">
        <x:v>Lethrinus</x:v>
      </x:c>
      <x:c r="F117" s="46" t="str">
        <x:v>Emperors</x:v>
      </x:c>
      <x:c r="G117" s="46" t="str">
        <x:v>Medium reef assoc. fish (30 - 89 cm)</x:v>
      </x:c>
      <x:c r="H117" s="46" t="str">
        <x:v>Perch-likes</x:v>
      </x:c>
      <x:c r="I117" s="60" t="n">
        <x:v>528.8458250663</x:v>
      </x:c>
      <x:c r="J117" s="60" t="n">
        <x:v>528.8458250663</x:v>
      </x:c>
      <x:c r="K117" s="60" t="n">
        <x:v>0</x:v>
      </x:c>
      <x:c r="L117" s="60" t="n">
        <x:v>304.484281236</x:v>
      </x:c>
      <x:c r="M117" s="60" t="n">
        <x:v>224.3615438303</x:v>
      </x:c>
      <x:c r="N117" s="46" t="str">
        <x:v>lethrinus</x:v>
      </x:c>
      <x:c r="O117" s="62" t="n">
        <x:v>3.75</x:v>
      </x:c>
      <x:c r="P117" s="46" t="str">
        <x:v>exact_sea_around_us</x:v>
      </x:c>
      <x:c r="Q117" s="62" t="str">
        <x:v>Sea Around Us exploited organisms</x:v>
      </x:c>
      <x:c r="R117" s="46" t="str">
        <x:v>high</x:v>
      </x:c>
      <x:c r="S117" s="46" t="str">
        <x:v>Lethrinus</x:v>
      </x:c>
      <x:c r="T117" s="62" t="n">
        <x:f>IF(O117="","",(1/'Metadata'!$B$5)^(O117-1))</x:f>
        <x:v>562.341325190349</x:v>
      </x:c>
      <x:c r="U117" s="60" t="n">
        <x:f>IF(T117="","",I117*T117)</x:f>
        <x:v>297391.86208916665</x:v>
      </x:c>
    </x:row>
    <x:row r="118" ht="18" customHeight="1">
      <x:c r="A118" s="46" t="str">
        <x:v>LME_035</x:v>
      </x:c>
      <x:c r="B118" s="46" t="str">
        <x:v>Gulf of Thailand</x:v>
      </x:c>
      <x:c r="C118" s="46" t="str">
        <x:v>LME</x:v>
      </x:c>
      <x:c r="D118" s="58" t="n">
        <x:v>2019</x:v>
      </x:c>
      <x:c r="E118" s="46" t="str">
        <x:v>Pampus argenteus</x:v>
      </x:c>
      <x:c r="F118" s="46" t="str">
        <x:v>Silver pomfret</x:v>
      </x:c>
      <x:c r="G118" s="46" t="str">
        <x:v>Medium benthopelagics (30 - 89 cm)</x:v>
      </x:c>
      <x:c r="H118" s="46" t="str">
        <x:v>Perch-likes</x:v>
      </x:c>
      <x:c r="I118" s="60" t="n">
        <x:v>525.6103472926999</x:v>
      </x:c>
      <x:c r="J118" s="60" t="n">
        <x:v>525.6098924976999</x:v>
      </x:c>
      <x:c r="K118" s="60" t="n">
        <x:v>0.000454795</x:v>
      </x:c>
      <x:c r="L118" s="60" t="n">
        <x:v>329.22279106369996</x:v>
      </x:c>
      <x:c r="M118" s="60" t="n">
        <x:v>196.38755622899998</x:v>
      </x:c>
      <x:c r="N118" s="46" t="str">
        <x:v>pampus argenteus</x:v>
      </x:c>
      <x:c r="O118" s="62" t="n">
        <x:v>3.3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Pampus argenteus</x:v>
      </x:c>
      <x:c r="T118" s="62" t="n">
        <x:f>IF(O118="","",(1/'Metadata'!$B$5)^(O118-1))</x:f>
        <x:v>199.52623149688787</x:v>
      </x:c>
      <x:c r="U118" s="60" t="n">
        <x:f>IF(T118="","",I118*T118)</x:f>
        <x:v>104873.05183108286</x:v>
      </x:c>
    </x:row>
    <x:row r="119" ht="18" customHeight="1">
      <x:c r="A119" s="46" t="str">
        <x:v>LME_035</x:v>
      </x:c>
      <x:c r="B119" s="46" t="str">
        <x:v>Gulf of Thailand</x:v>
      </x:c>
      <x:c r="C119" s="46" t="str">
        <x:v>LME</x:v>
      </x:c>
      <x:c r="D119" s="58" t="n">
        <x:v>2019</x:v>
      </x:c>
      <x:c r="E119" s="46" t="str">
        <x:v>Parapenaeopsis</x:v>
      </x:c>
      <x:c r="F119" s="46" t="str">
        <x:v>Leafy-legged shrimps</x:v>
      </x:c>
      <x:c r="G119" s="46" t="str">
        <x:v>Shrimps</x:v>
      </x:c>
      <x:c r="H119" s="46" t="str">
        <x:v>Crustaceans</x:v>
      </x:c>
      <x:c r="I119" s="60" t="n">
        <x:v>504.46990605630003</x:v>
      </x:c>
      <x:c r="J119" s="60" t="n">
        <x:v>504.46990605630003</x:v>
      </x:c>
      <x:c r="K119" s="60" t="n">
        <x:v>0</x:v>
      </x:c>
      <x:c r="L119" s="60" t="n">
        <x:v>337.2445645044</x:v>
      </x:c>
      <x:c r="M119" s="60" t="n">
        <x:v>167.2253415519</x:v>
      </x:c>
      <x:c r="N119" s="46" t="str">
        <x:v>parapenaeopsis</x:v>
      </x:c>
      <x:c r="O119" s="62" t="n">
        <x:v>2.72</x:v>
      </x:c>
      <x:c r="P119" s="46" t="str">
        <x:v>exact_sea_around_us</x:v>
      </x:c>
      <x:c r="Q119" s="62" t="str">
        <x:v>Sea Around Us exploited organisms</x:v>
      </x:c>
      <x:c r="R119" s="46" t="str">
        <x:v>high</x:v>
      </x:c>
      <x:c r="S119" s="46" t="str">
        <x:v>Parapenaeopsis</x:v>
      </x:c>
      <x:c r="T119" s="62" t="n">
        <x:f>IF(O119="","",(1/'Metadata'!$B$5)^(O119-1))</x:f>
        <x:v>52.480746024977286</x:v>
      </x:c>
      <x:c r="U119" s="60" t="n">
        <x:f>IF(T119="","",I119*T119)</x:f>
        <x:v>26474.957016984834</x:v>
      </x:c>
    </x:row>
    <x:row r="120" ht="18" customHeight="1">
      <x:c r="A120" s="46" t="str">
        <x:v>LME_035</x:v>
      </x:c>
      <x:c r="B120" s="46" t="str">
        <x:v>Gulf of Thailand</x:v>
      </x:c>
      <x:c r="C120" s="46" t="str">
        <x:v>LME</x:v>
      </x:c>
      <x:c r="D120" s="58" t="n">
        <x:v>2019</x:v>
      </x:c>
      <x:c r="E120" s="46" t="str">
        <x:v>Elasmobranchii</x:v>
      </x:c>
      <x:c r="F120" s="46" t="str">
        <x:v>Sharks, rays, skates</x:v>
      </x:c>
      <x:c r="G120" s="46" t="str">
        <x:v>Large sharks (&gt;=90 cm)</x:v>
      </x:c>
      <x:c r="H120" s="46" t="str">
        <x:v>Sharks &amp; rays</x:v>
      </x:c>
      <x:c r="I120" s="60" t="n">
        <x:v>485.0669290299</x:v>
      </x:c>
      <x:c r="J120" s="60" t="n">
        <x:v>485.0669290299</x:v>
      </x:c>
      <x:c r="K120" s="60" t="n">
        <x:v>0</x:v>
      </x:c>
      <x:c r="L120" s="60" t="n">
        <x:v>485.0669290299</x:v>
      </x:c>
      <x:c r="M120" s="60" t="n">
        <x:v>0</x:v>
      </x:c>
      <x:c r="N120" s="46" t="str">
        <x:v>elasmobranchii</x:v>
      </x:c>
      <x:c r="O120" s="62" t="n">
        <x:v>4.05</x:v>
      </x:c>
      <x:c r="P120" s="46" t="str">
        <x:v>exact_sea_around_us</x:v>
      </x:c>
      <x:c r="Q120" s="62" t="str">
        <x:v>Sea Around Us exploited organisms</x:v>
      </x:c>
      <x:c r="R120" s="46" t="str">
        <x:v>high</x:v>
      </x:c>
      <x:c r="S120" s="46" t="str">
        <x:v>Elasmobranchii</x:v>
      </x:c>
      <x:c r="T120" s="62" t="n">
        <x:f>IF(O120="","",(1/'Metadata'!$B$5)^(O120-1))</x:f>
        <x:v>1122.018454301963</x:v>
      </x:c>
      <x:c r="U120" s="60" t="n">
        <x:f>IF(T120="","",I120*T120)</x:f>
        <x:v>544254.0459431283</x:v>
      </x:c>
    </x:row>
    <x:row r="121" ht="18" customHeight="1">
      <x:c r="A121" s="46" t="str">
        <x:v>LME_035</x:v>
      </x:c>
      <x:c r="B121" s="46" t="str">
        <x:v>Gulf of Thailand</x:v>
      </x:c>
      <x:c r="C121" s="46" t="str">
        <x:v>LME</x:v>
      </x:c>
      <x:c r="D121" s="58" t="n">
        <x:v>2019</x:v>
      </x:c>
      <x:c r="E121" s="46" t="str">
        <x:v>Muraenesox</x:v>
      </x:c>
      <x:c r="F121" s="46" t="str">
        <x:v>Congers</x:v>
      </x:c>
      <x:c r="G121" s="46" t="str">
        <x:v>Large demersals (&gt;=90 cm)</x:v>
      </x:c>
      <x:c r="H121" s="46" t="str">
        <x:v>Other fishes &amp; inverts</x:v>
      </x:c>
      <x:c r="I121" s="60" t="n">
        <x:v>468.5567706935</x:v>
      </x:c>
      <x:c r="J121" s="60" t="n">
        <x:v>468.5567706935</x:v>
      </x:c>
      <x:c r="K121" s="60" t="n">
        <x:v>0</x:v>
      </x:c>
      <x:c r="L121" s="60" t="n">
        <x:v>284.0975104501</x:v>
      </x:c>
      <x:c r="M121" s="60" t="n">
        <x:v>184.4592602434</x:v>
      </x:c>
      <x:c r="N121" s="46" t="str">
        <x:v>muraenesox</x:v>
      </x:c>
      <x:c r="O121" s="62" t="n">
        <x:v>3.99</x:v>
      </x:c>
      <x:c r="P121" s="46" t="str">
        <x:v>exact_sea_around_us</x:v>
      </x:c>
      <x:c r="Q121" s="62" t="str">
        <x:v>Sea Around Us exploited organisms</x:v>
      </x:c>
      <x:c r="R121" s="46" t="str">
        <x:v>high</x:v>
      </x:c>
      <x:c r="S121" s="46" t="str">
        <x:v>Muraenesox</x:v>
      </x:c>
      <x:c r="T121" s="62" t="n">
        <x:f>IF(O121="","",(1/'Metadata'!$B$5)^(O121-1))</x:f>
        <x:v>977.2372209558112</x:v>
      </x:c>
      <x:c r="U121" s="60" t="n">
        <x:f>IF(T121="","",I121*T121)</x:f>
        <x:v>457891.1164525452</x:v>
      </x:c>
    </x:row>
    <x:row r="122" ht="18" customHeight="1">
      <x:c r="A122" s="46" t="str">
        <x:v>LME_035</x:v>
      </x:c>
      <x:c r="B122" s="46" t="str">
        <x:v>Gulf of Thailand</x:v>
      </x:c>
      <x:c r="C122" s="46" t="str">
        <x:v>LME</x:v>
      </x:c>
      <x:c r="D122" s="58" t="n">
        <x:v>2019</x:v>
      </x:c>
      <x:c r="E122" s="46" t="str">
        <x:v>Scomberoides</x:v>
      </x:c>
      <x:c r="F122" s="46" t="str">
        <x:v>Queenfishes</x:v>
      </x:c>
      <x:c r="G122" s="46" t="str">
        <x:v>Medium pelagics (30 - 89 cm)</x:v>
      </x:c>
      <x:c r="H122" s="46" t="str">
        <x:v>Perch-likes</x:v>
      </x:c>
      <x:c r="I122" s="60" t="n">
        <x:v>467.3612304411</x:v>
      </x:c>
      <x:c r="J122" s="60" t="n">
        <x:v>467.3612304411</x:v>
      </x:c>
      <x:c r="K122" s="60" t="n">
        <x:v>0</x:v>
      </x:c>
      <x:c r="L122" s="60" t="n">
        <x:v>283.3856201862</x:v>
      </x:c>
      <x:c r="M122" s="60" t="n">
        <x:v>183.9756102549</x:v>
      </x:c>
      <x:c r="N122" s="46" t="str">
        <x:v>scomberoides</x:v>
      </x:c>
      <x:c r="O122" s="62" t="n">
        <x:v>4.47</x:v>
      </x:c>
      <x:c r="P122" s="46" t="str">
        <x:v>exact_sea_around_us</x:v>
      </x:c>
      <x:c r="Q122" s="62" t="str">
        <x:v>Sea Around Us exploited organisms</x:v>
      </x:c>
      <x:c r="R122" s="46" t="str">
        <x:v>high</x:v>
      </x:c>
      <x:c r="S122" s="46" t="str">
        <x:v>Scomberoides</x:v>
      </x:c>
      <x:c r="T122" s="62" t="n">
        <x:f>IF(O122="","",(1/'Metadata'!$B$5)^(O122-1))</x:f>
        <x:v>2951.209226666384</x:v>
      </x:c>
      <x:c r="U122" s="60" t="n">
        <x:f>IF(T122="","",I122*T122)</x:f>
        <x:v>1379280.7754639285</x:v>
      </x:c>
    </x:row>
    <x:row r="123" ht="18" customHeight="1">
      <x:c r="A123" s="46" t="str">
        <x:v>LME_035</x:v>
      </x:c>
      <x:c r="B123" s="46" t="str">
        <x:v>Gulf of Thailand</x:v>
      </x:c>
      <x:c r="C123" s="46" t="str">
        <x:v>LME</x:v>
      </x:c>
      <x:c r="D123" s="58" t="n">
        <x:v>2019</x:v>
      </x:c>
      <x:c r="E123" s="46" t="str">
        <x:v>Seriolina nigrofasciata</x:v>
      </x:c>
      <x:c r="F123" s="46" t="str">
        <x:v>Blackbanded trevally</x:v>
      </x:c>
      <x:c r="G123" s="46" t="str">
        <x:v>Medium reef assoc. fish (30 - 89 cm)</x:v>
      </x:c>
      <x:c r="H123" s="46" t="str">
        <x:v>Perch-likes</x:v>
      </x:c>
      <x:c r="I123" s="60" t="n">
        <x:v>429.5555588528</x:v>
      </x:c>
      <x:c r="J123" s="60" t="n">
        <x:v>429.5555588528</x:v>
      </x:c>
      <x:c r="K123" s="60" t="n">
        <x:v>0</x:v>
      </x:c>
      <x:c r="L123" s="60" t="n">
        <x:v>327.9967631305</x:v>
      </x:c>
      <x:c r="M123" s="60" t="n">
        <x:v>101.5587957223</x:v>
      </x:c>
      <x:c r="N123" s="46" t="str">
        <x:v>seriolina nigrofasciata</x:v>
      </x:c>
      <x:c r="O123" s="62" t="n">
        <x:v>4.17</x:v>
      </x:c>
      <x:c r="P123" s="46" t="str">
        <x:v>exact_2020_supplement</x:v>
      </x:c>
      <x:c r="Q123" s="62" t="str">
        <x:v>2020 supplement MeanTL</x:v>
      </x:c>
      <x:c r="R123" s="46" t="str">
        <x:v>high</x:v>
      </x:c>
      <x:c r="S123" s="46" t="str">
        <x:v>Seriolina nigrofasciata</x:v>
      </x:c>
      <x:c r="T123" s="62" t="n">
        <x:f>IF(O123="","",(1/'Metadata'!$B$5)^(O123-1))</x:f>
        <x:v>1479.1083881682073</x:v>
      </x:c>
      <x:c r="U123" s="60" t="n">
        <x:f>IF(T123="","",I123*T123)</x:f>
        <x:v>635359.2302834585</x:v>
      </x:c>
    </x:row>
    <x:row r="124" ht="18" customHeight="1">
      <x:c r="A124" s="46" t="str">
        <x:v>LME_035</x:v>
      </x:c>
      <x:c r="B124" s="46" t="str">
        <x:v>Gulf of Thailand</x:v>
      </x:c>
      <x:c r="C124" s="46" t="str">
        <x:v>LME</x:v>
      </x:c>
      <x:c r="D124" s="58" t="n">
        <x:v>2019</x:v>
      </x:c>
      <x:c r="E124" s="46" t="str">
        <x:v>Scorpaenidae</x:v>
      </x:c>
      <x:c r="F124" s="46" t="str">
        <x:v>Scorpionfishes, rockfishes</x:v>
      </x:c>
      <x:c r="G124" s="46" t="str">
        <x:v>Large reef assoc. fish (&gt;=90 cm)</x:v>
      </x:c>
      <x:c r="H124" s="46" t="str">
        <x:v>Scorpionfishes</x:v>
      </x:c>
      <x:c r="I124" s="60" t="n">
        <x:v>415.28258304359997</x:v>
      </x:c>
      <x:c r="J124" s="60" t="n">
        <x:v>390.90707841619997</x:v>
      </x:c>
      <x:c r="K124" s="60" t="n">
        <x:v>24.3755046274</x:v>
      </x:c>
      <x:c r="L124" s="60" t="n">
        <x:v>390.90707841619997</x:v>
      </x:c>
      <x:c r="M124" s="60" t="n">
        <x:v>24.3755046274</x:v>
      </x:c>
      <x:c r="N124" s="46" t="str">
        <x:v>scorpaenidae</x:v>
      </x:c>
      <x:c r="O124" s="62" t="n">
        <x:v>3.92</x:v>
      </x:c>
      <x:c r="P124" s="46" t="str">
        <x:v>exact_sea_around_us</x:v>
      </x:c>
      <x:c r="Q124" s="62" t="str">
        <x:v>Sea Around Us exploited organisms</x:v>
      </x:c>
      <x:c r="R124" s="46" t="str">
        <x:v>high</x:v>
      </x:c>
      <x:c r="S124" s="46" t="str">
        <x:v>Scorpaenidae</x:v>
      </x:c>
      <x:c r="T124" s="62" t="n">
        <x:f>IF(O124="","",(1/'Metadata'!$B$5)^(O124-1))</x:f>
        <x:v>831.7637711026708</x:v>
      </x:c>
      <x:c r="U124" s="60" t="n">
        <x:f>IF(T124="","",I124*T124)</x:f>
        <x:v>345417.0073456028</x:v>
      </x:c>
    </x:row>
    <x:row r="125" ht="18" customHeight="1">
      <x:c r="A125" s="46" t="str">
        <x:v>LME_035</x:v>
      </x:c>
      <x:c r="B125" s="46" t="str">
        <x:v>Gulf of Thailand</x:v>
      </x:c>
      <x:c r="C125" s="46" t="str">
        <x:v>LME</x:v>
      </x:c>
      <x:c r="D125" s="58" t="n">
        <x:v>2019</x:v>
      </x:c>
      <x:c r="E125" s="46" t="str">
        <x:v>Charybdis feriatus</x:v>
      </x:c>
      <x:c r="F125" s="46" t="str">
        <x:v>Crucifix crab</x:v>
      </x:c>
      <x:c r="G125" s="46" t="str">
        <x:v>Lobsters, crabs</x:v>
      </x:c>
      <x:c r="H125" s="46" t="str">
        <x:v>Crustaceans</x:v>
      </x:c>
      <x:c r="I125" s="60" t="n">
        <x:v>378.39142111880005</x:v>
      </x:c>
      <x:c r="J125" s="60" t="n">
        <x:v>378.39142111880005</x:v>
      </x:c>
      <x:c r="K125" s="60" t="n">
        <x:v>0</x:v>
      </x:c>
      <x:c r="L125" s="60" t="n">
        <x:v>304.7859648685</x:v>
      </x:c>
      <x:c r="M125" s="60" t="n">
        <x:v>73.60545625030001</x:v>
      </x:c>
      <x:c r="N125" s="46" t="str">
        <x:v>charybdis feriatus</x:v>
      </x:c>
      <x:c r="O125" s="62" t="n">
        <x:v>3.51</x:v>
      </x:c>
      <x:c r="P125" s="46" t="str">
        <x:v>exact_sea_around_us</x:v>
      </x:c>
      <x:c r="Q125" s="62" t="str">
        <x:v>Sea Around Us exploited organisms</x:v>
      </x:c>
      <x:c r="R125" s="46" t="str">
        <x:v>high</x:v>
      </x:c>
      <x:c r="S125" s="46" t="str">
        <x:v>Charybdis feriatus</x:v>
      </x:c>
      <x:c r="T125" s="62" t="n">
        <x:f>IF(O125="","",(1/'Metadata'!$B$5)^(O125-1))</x:f>
        <x:v>323.5936569296281</x:v>
      </x:c>
      <x:c r="U125" s="60" t="n">
        <x:f>IF(T125="","",I125*T125)</x:f>
        <x:v>122445.06371063141</x:v>
      </x:c>
    </x:row>
    <x:row r="126" ht="18" customHeight="1">
      <x:c r="A126" s="46" t="str">
        <x:v>LME_035</x:v>
      </x:c>
      <x:c r="B126" s="46" t="str">
        <x:v>Gulf of Thailand</x:v>
      </x:c>
      <x:c r="C126" s="46" t="str">
        <x:v>LME</x:v>
      </x:c>
      <x:c r="D126" s="58" t="n">
        <x:v>2019</x:v>
      </x:c>
      <x:c r="E126" s="46" t="str">
        <x:v>Podophthalmus vigil</x:v>
      </x:c>
      <x:c r="F126" s="46" t="str">
        <x:v>Periscope crab</x:v>
      </x:c>
      <x:c r="G126" s="46" t="str">
        <x:v>Lobsters, crabs</x:v>
      </x:c>
      <x:c r="H126" s="46" t="str">
        <x:v>Crustaceans</x:v>
      </x:c>
      <x:c r="I126" s="60" t="n">
        <x:v>378.3319656553</x:v>
      </x:c>
      <x:c r="J126" s="60" t="n">
        <x:v>378.3319656553</x:v>
      </x:c>
      <x:c r="K126" s="60" t="n">
        <x:v>0</x:v>
      </x:c>
      <x:c r="L126" s="60" t="n">
        <x:v>304.73807480060003</x:v>
      </x:c>
      <x:c r="M126" s="60" t="n">
        <x:v>73.59389085469999</x:v>
      </x:c>
      <x:c r="N126" s="46" t="str">
        <x:v>podophthalmus vigil</x:v>
      </x:c>
      <x:c r="O126" s="62" t="n">
        <x:v>3.36</x:v>
      </x:c>
      <x:c r="P126" s="46" t="str">
        <x:v>exact_sea_around_us</x:v>
      </x:c>
      <x:c r="Q126" s="62" t="str">
        <x:v>Sea Around Us exploited organisms</x:v>
      </x:c>
      <x:c r="R126" s="46" t="str">
        <x:v>high</x:v>
      </x:c>
      <x:c r="S126" s="46" t="str">
        <x:v>Podophthalmus vigil</x:v>
      </x:c>
      <x:c r="T126" s="62" t="n">
        <x:f>IF(O126="","",(1/'Metadata'!$B$5)^(O126-1))</x:f>
        <x:v>229.08676527677724</x:v>
      </x:c>
      <x:c r="U126" s="60" t="n">
        <x:f>IF(T126="","",I126*T126)</x:f>
        <x:v>86670.84621277745</x:v>
      </x:c>
    </x:row>
    <x:row r="127" ht="18" customHeight="1">
      <x:c r="A127" s="46" t="str">
        <x:v>LME_035</x:v>
      </x:c>
      <x:c r="B127" s="46" t="str">
        <x:v>Gulf of Thailand</x:v>
      </x:c>
      <x:c r="C127" s="46" t="str">
        <x:v>LME</x:v>
      </x:c>
      <x:c r="D127" s="58" t="n">
        <x:v>2019</x:v>
      </x:c>
      <x:c r="E127" s="46" t="str">
        <x:v>Marine groundfishes not identified</x:v>
      </x:c>
      <x:c r="F127" s="46" t="str">
        <x:v>Groundfishes</x:v>
      </x:c>
      <x:c r="G127" s="46" t="str">
        <x:v>Medium demersals (30 - 89 cm)</x:v>
      </x:c>
      <x:c r="H127" s="46" t="str">
        <x:v>Other fishes &amp; inverts</x:v>
      </x:c>
      <x:c r="I127" s="60" t="n">
        <x:v>366.8289054365</x:v>
      </x:c>
      <x:c r="J127" s="60" t="n">
        <x:v>366.8289054365</x:v>
      </x:c>
      <x:c r="K127" s="60" t="n">
        <x:v>0</x:v>
      </x:c>
      <x:c r="L127" s="60" t="n">
        <x:v>0</x:v>
      </x:c>
      <x:c r="M127" s="60" t="n">
        <x:v>366.8289054365</x:v>
      </x:c>
      <x:c r="N127" s="46" t="str">
        <x:v>marine groundfishes not identified</x:v>
      </x:c>
      <x:c r="O127" s="62" t="n">
        <x:v>3.22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Marine groundfishes not identified</x:v>
      </x:c>
      <x:c r="T127" s="62" t="n">
        <x:f>IF(O127="","",(1/'Metadata'!$B$5)^(O127-1))</x:f>
        <x:v>165.95869074375614</x:v>
      </x:c>
      <x:c r="U127" s="60" t="n">
        <x:f>IF(T127="","",I127*T127)</x:f>
        <x:v>60878.44487320667</x:v>
      </x:c>
    </x:row>
    <x:row r="128" ht="18" customHeight="1">
      <x:c r="A128" s="46" t="str">
        <x:v>LME_035</x:v>
      </x:c>
      <x:c r="B128" s="46" t="str">
        <x:v>Gulf of Thailand</x:v>
      </x:c>
      <x:c r="C128" s="46" t="str">
        <x:v>LME</x:v>
      </x:c>
      <x:c r="D128" s="58" t="n">
        <x:v>2019</x:v>
      </x:c>
      <x:c r="E128" s="46" t="str">
        <x:v>Gerreidae</x:v>
      </x:c>
      <x:c r="F128" s="46" t="str">
        <x:v>Mojarras, silverbellies</x:v>
      </x:c>
      <x:c r="G128" s="46" t="str">
        <x:v>Small benthopelagics (&lt;30 cm)</x:v>
      </x:c>
      <x:c r="H128" s="46" t="str">
        <x:v>Perch-likes</x:v>
      </x:c>
      <x:c r="I128" s="60" t="n">
        <x:v>326.1128864478</x:v>
      </x:c>
      <x:c r="J128" s="60" t="n">
        <x:v>307.0020180149</x:v>
      </x:c>
      <x:c r="K128" s="60" t="n">
        <x:v>19.110868432900002</x:v>
      </x:c>
      <x:c r="L128" s="60" t="n">
        <x:v>307.0020180149</x:v>
      </x:c>
      <x:c r="M128" s="60" t="n">
        <x:v>19.110868432900002</x:v>
      </x:c>
      <x:c r="N128" s="46" t="str">
        <x:v>gerreidae</x:v>
      </x:c>
      <x:c r="O128" s="62" t="n">
        <x:v>3.03</x:v>
      </x:c>
      <x:c r="P128" s="46" t="str">
        <x:v>exact_sea_around_us</x:v>
      </x:c>
      <x:c r="Q128" s="62" t="str">
        <x:v>Sea Around Us exploited organisms</x:v>
      </x:c>
      <x:c r="R128" s="46" t="str">
        <x:v>high</x:v>
      </x:c>
      <x:c r="S128" s="46" t="str">
        <x:v>Gerreidae</x:v>
      </x:c>
      <x:c r="T128" s="62" t="n">
        <x:f>IF(O128="","",(1/'Metadata'!$B$5)^(O128-1))</x:f>
        <x:v>107.1519305237606</x:v>
      </x:c>
      <x:c r="U128" s="60" t="n">
        <x:f>IF(T128="","",I128*T128)</x:f>
        <x:v>34943.6253515577</x:v>
      </x:c>
    </x:row>
    <x:row r="129" ht="18" customHeight="1">
      <x:c r="A129" s="46" t="str">
        <x:v>LME_035</x:v>
      </x:c>
      <x:c r="B129" s="46" t="str">
        <x:v>Gulf of Thailand</x:v>
      </x:c>
      <x:c r="C129" s="46" t="str">
        <x:v>LME</x:v>
      </x:c>
      <x:c r="D129" s="58" t="n">
        <x:v>2019</x:v>
      </x:c>
      <x:c r="E129" s="46" t="str">
        <x:v>Scyris indica</x:v>
      </x:c>
      <x:c r="F129" s="46" t="str">
        <x:v>Indian threadfish</x:v>
      </x:c>
      <x:c r="G129" s="46" t="str">
        <x:v>Large reef assoc. fish (&gt;=90 cm)</x:v>
      </x:c>
      <x:c r="H129" s="46" t="str">
        <x:v>Perch-likes</x:v>
      </x:c>
      <x:c r="I129" s="60" t="n">
        <x:v>321.8499032424</x:v>
      </x:c>
      <x:c r="J129" s="60" t="n">
        <x:v>321.8499032424</x:v>
      </x:c>
      <x:c r="K129" s="60" t="n">
        <x:v>0</x:v>
      </x:c>
      <x:c r="L129" s="60" t="n">
        <x:v>0</x:v>
      </x:c>
      <x:c r="M129" s="60" t="n">
        <x:v>321.8499032424</x:v>
      </x:c>
      <x:c r="N129" s="46" t="str">
        <x:v>scyris indica</x:v>
      </x:c>
      <x:c r="O129" s="62" t="n">
        <x:v>4.09</x:v>
      </x:c>
      <x:c r="P129" s="46" t="str">
        <x:v>exact_sea_around_us</x:v>
      </x:c>
      <x:c r="Q129" s="62" t="str">
        <x:v>Sea Around Us exploited organisms</x:v>
      </x:c>
      <x:c r="R129" s="46" t="str">
        <x:v>high</x:v>
      </x:c>
      <x:c r="S129" s="46" t="str">
        <x:v>Scyris indica</x:v>
      </x:c>
      <x:c r="T129" s="62" t="n">
        <x:f>IF(O129="","",(1/'Metadata'!$B$5)^(O129-1))</x:f>
        <x:v>1230.268770812381</x:v>
      </x:c>
      <x:c r="U129" s="60" t="n">
        <x:f>IF(T129="","",I129*T129)</x:f>
        <x:v>395961.8848481112</x:v>
      </x:c>
    </x:row>
    <x:row r="130" ht="18" customHeight="1">
      <x:c r="A130" s="46" t="str">
        <x:v>LME_035</x:v>
      </x:c>
      <x:c r="B130" s="46" t="str">
        <x:v>Gulf of Thailand</x:v>
      </x:c>
      <x:c r="C130" s="46" t="str">
        <x:v>LME</x:v>
      </x:c>
      <x:c r="D130" s="58" t="n">
        <x:v>2019</x:v>
      </x:c>
      <x:c r="E130" s="46" t="str">
        <x:v>Paralichthyidae</x:v>
      </x:c>
      <x:c r="F130" s="46" t="str">
        <x:v>Largetooth flounders</x:v>
      </x:c>
      <x:c r="G130" s="46" t="str">
        <x:v>Small to medium flatfishes (&lt;90 cm)</x:v>
      </x:c>
      <x:c r="H130" s="46" t="str">
        <x:v>Flatfishes</x:v>
      </x:c>
      <x:c r="I130" s="60" t="n">
        <x:v>269.6246146662</x:v>
      </x:c>
      <x:c r="J130" s="60" t="n">
        <x:v>269.6246146662</x:v>
      </x:c>
      <x:c r="K130" s="60" t="n">
        <x:v>0</x:v>
      </x:c>
      <x:c r="L130" s="60" t="n">
        <x:v>194.5518194793</x:v>
      </x:c>
      <x:c r="M130" s="60" t="n">
        <x:v>75.0727951869</x:v>
      </x:c>
      <x:c r="N130" s="46" t="str">
        <x:v>paralichthyidae</x:v>
      </x:c>
      <x:c r="O130" s="62" t="n">
        <x:v>4.06</x:v>
      </x:c>
      <x:c r="P130" s="46" t="str">
        <x:v>exact_sea_around_us</x:v>
      </x:c>
      <x:c r="Q130" s="62" t="str">
        <x:v>Sea Around Us exploited organisms</x:v>
      </x:c>
      <x:c r="R130" s="46" t="str">
        <x:v>high</x:v>
      </x:c>
      <x:c r="S130" s="46" t="str">
        <x:v>Paralichthyidae</x:v>
      </x:c>
      <x:c r="T130" s="62" t="n">
        <x:f>IF(O130="","",(1/'Metadata'!$B$5)^(O130-1))</x:f>
        <x:v>1148.1536214968817</x:v>
      </x:c>
      <x:c r="U130" s="60" t="n">
        <x:f>IF(T130="","",I130*T130)</x:f>
        <x:v>309570.47777369875</x:v>
      </x:c>
    </x:row>
    <x:row r="131" ht="18" customHeight="1">
      <x:c r="A131" s="46" t="str">
        <x:v>LME_035</x:v>
      </x:c>
      <x:c r="B131" s="46" t="str">
        <x:v>Gulf of Thailand</x:v>
      </x:c>
      <x:c r="C131" s="46" t="str">
        <x:v>LME</x:v>
      </x:c>
      <x:c r="D131" s="58" t="n">
        <x:v>2019</x:v>
      </x:c>
      <x:c r="E131" s="46" t="str">
        <x:v>Scarus</x:v>
      </x:c>
      <x:c r="F131" s="46" t="str">
        <x:v>Parrots</x:v>
      </x:c>
      <x:c r="G131" s="46" t="str">
        <x:v>Medium reef assoc. fish (30 - 89 cm)</x:v>
      </x:c>
      <x:c r="H131" s="46" t="str">
        <x:v>Perch-likes</x:v>
      </x:c>
      <x:c r="I131" s="60" t="n">
        <x:v>247.7354592032</x:v>
      </x:c>
      <x:c r="J131" s="60" t="n">
        <x:v>247.7354592032</x:v>
      </x:c>
      <x:c r="K131" s="60" t="n">
        <x:v>0</x:v>
      </x:c>
      <x:c r="L131" s="60" t="n">
        <x:v>140.1881022691</x:v>
      </x:c>
      <x:c r="M131" s="60" t="n">
        <x:v>107.54735693410001</x:v>
      </x:c>
      <x:c r="N131" s="46" t="str">
        <x:v>scarus</x:v>
      </x:c>
      <x:c r="O131" s="62" t="n">
        <x:v>2</x:v>
      </x:c>
      <x:c r="P131" s="46" t="str">
        <x:v>exact_sea_around_us</x:v>
      </x:c>
      <x:c r="Q131" s="62" t="str">
        <x:v>Sea Around Us exploited organisms</x:v>
      </x:c>
      <x:c r="R131" s="46" t="str">
        <x:v>high</x:v>
      </x:c>
      <x:c r="S131" s="46" t="str">
        <x:v>Scarus</x:v>
      </x:c>
      <x:c r="T131" s="62" t="n">
        <x:f>IF(O131="","",(1/'Metadata'!$B$5)^(O131-1))</x:f>
        <x:v>10</x:v>
      </x:c>
      <x:c r="U131" s="60" t="n">
        <x:f>IF(T131="","",I131*T131)</x:f>
        <x:v>2477.3545920320003</x:v>
      </x:c>
    </x:row>
    <x:row r="132" ht="18" customHeight="1">
      <x:c r="A132" s="46" t="str">
        <x:v>LME_035</x:v>
      </x:c>
      <x:c r="B132" s="46" t="str">
        <x:v>Gulf of Thailand</x:v>
      </x:c>
      <x:c r="C132" s="46" t="str">
        <x:v>LME</x:v>
      </x:c>
      <x:c r="D132" s="58" t="n">
        <x:v>2019</x:v>
      </x:c>
      <x:c r="E132" s="46" t="str">
        <x:v>Siganus canaliculatus</x:v>
      </x:c>
      <x:c r="F132" s="46" t="str">
        <x:v>White-spotted spinefoot</x:v>
      </x:c>
      <x:c r="G132" s="46" t="str">
        <x:v>Small reef assoc. fish (&lt;30 cm)</x:v>
      </x:c>
      <x:c r="H132" s="46" t="str">
        <x:v>Perch-likes</x:v>
      </x:c>
      <x:c r="I132" s="60" t="n">
        <x:v>224.6631225847</x:v>
      </x:c>
      <x:c r="J132" s="60" t="n">
        <x:v>177.1219492295</x:v>
      </x:c>
      <x:c r="K132" s="60" t="n">
        <x:v>47.5411733552</x:v>
      </x:c>
      <x:c r="L132" s="60" t="n">
        <x:v>177.1219492295</x:v>
      </x:c>
      <x:c r="M132" s="60" t="n">
        <x:v>47.5411733552</x:v>
      </x:c>
      <x:c r="N132" s="46" t="str">
        <x:v>siganus canaliculatus</x:v>
      </x:c>
      <x:c r="O132" s="62" t="n">
        <x:v>2.76</x:v>
      </x:c>
      <x:c r="P132" s="46" t="str">
        <x:v>exact_2020_supplement</x:v>
      </x:c>
      <x:c r="Q132" s="62" t="str">
        <x:v>2020 supplement MeanTL</x:v>
      </x:c>
      <x:c r="R132" s="46" t="str">
        <x:v>high</x:v>
      </x:c>
      <x:c r="S132" s="46" t="str">
        <x:v>Siganus canaliculatus</x:v>
      </x:c>
      <x:c r="T132" s="62" t="n">
        <x:f>IF(O132="","",(1/'Metadata'!$B$5)^(O132-1))</x:f>
        <x:v>57.543993733715666</x:v>
      </x:c>
      <x:c r="U132" s="60" t="n">
        <x:f>IF(T132="","",I132*T132)</x:f>
        <x:v>12928.013318210971</x:v>
      </x:c>
    </x:row>
    <x:row r="133" ht="18" customHeight="1">
      <x:c r="A133" s="46" t="str">
        <x:v>LME_035</x:v>
      </x:c>
      <x:c r="B133" s="46" t="str">
        <x:v>Gulf of Thailand</x:v>
      </x:c>
      <x:c r="C133" s="46" t="str">
        <x:v>LME</x:v>
      </x:c>
      <x:c r="D133" s="58" t="n">
        <x:v>2019</x:v>
      </x:c>
      <x:c r="E133" s="46" t="str">
        <x:v>Istiophoridae</x:v>
      </x:c>
      <x:c r="F133" s="46" t="str">
        <x:v>Billfishes</x:v>
      </x:c>
      <x:c r="G133" s="46" t="str">
        <x:v>Large pelagics (&gt;=90 cm)</x:v>
      </x:c>
      <x:c r="H133" s="46" t="str">
        <x:v>Tuna &amp; billfishes</x:v>
      </x:c>
      <x:c r="I133" s="60" t="n">
        <x:v>222.3066148759</x:v>
      </x:c>
      <x:c r="J133" s="60" t="n">
        <x:v>222.3066148759</x:v>
      </x:c>
      <x:c r="K133" s="60" t="n">
        <x:v>0</x:v>
      </x:c>
      <x:c r="L133" s="60" t="n">
        <x:v>0</x:v>
      </x:c>
      <x:c r="M133" s="60" t="n">
        <x:v>222.3066148759</x:v>
      </x:c>
      <x:c r="N133" s="46" t="str">
        <x:v>istiophoridae</x:v>
      </x:c>
      <x:c r="O133" s="62" t="n">
        <x:v>4.48</x:v>
      </x:c>
      <x:c r="P133" s="46" t="str">
        <x:v>exact_sea_around_us</x:v>
      </x:c>
      <x:c r="Q133" s="62" t="str">
        <x:v>Sea Around Us exploited organisms</x:v>
      </x:c>
      <x:c r="R133" s="46" t="str">
        <x:v>high</x:v>
      </x:c>
      <x:c r="S133" s="46" t="str">
        <x:v>Istiophoridae</x:v>
      </x:c>
      <x:c r="T133" s="62" t="n">
        <x:f>IF(O133="","",(1/'Metadata'!$B$5)^(O133-1))</x:f>
        <x:v>3019.951720402019</x:v>
      </x:c>
      <x:c r="U133" s="60" t="n">
        <x:f>IF(T133="","",I133*T133)</x:f>
        <x:v>671355.2440512233</x:v>
      </x:c>
    </x:row>
    <x:row r="134" ht="18" customHeight="1">
      <x:c r="A134" s="46" t="str">
        <x:v>LME_035</x:v>
      </x:c>
      <x:c r="B134" s="46" t="str">
        <x:v>Gulf of Thailand</x:v>
      </x:c>
      <x:c r="C134" s="46" t="str">
        <x:v>LME</x:v>
      </x:c>
      <x:c r="D134" s="58" t="n">
        <x:v>2019</x:v>
      </x:c>
      <x:c r="E134" s="46" t="str">
        <x:v>Pampus chinensis</x:v>
      </x:c>
      <x:c r="F134" s="46" t="str">
        <x:v>Chinese silver pomfret</x:v>
      </x:c>
      <x:c r="G134" s="46" t="str">
        <x:v>Medium benthopelagics (30 - 89 cm)</x:v>
      </x:c>
      <x:c r="H134" s="46" t="str">
        <x:v>Perch-likes</x:v>
      </x:c>
      <x:c r="I134" s="60" t="n">
        <x:v>209.65861833740001</x:v>
      </x:c>
      <x:c r="J134" s="60" t="n">
        <x:v>209.65861833740001</x:v>
      </x:c>
      <x:c r="K134" s="60" t="n">
        <x:v>0</x:v>
      </x:c>
      <x:c r="L134" s="60" t="n">
        <x:v>126.33103010570001</x:v>
      </x:c>
      <x:c r="M134" s="60" t="n">
        <x:v>83.3275882317</x:v>
      </x:c>
      <x:c r="N134" s="46" t="str">
        <x:v>pampus chinensis</x:v>
      </x:c>
      <x:c r="O134" s="62" t="n">
        <x:v>3.6</x:v>
      </x:c>
      <x:c r="P134" s="46" t="str">
        <x:v>exact_2020_supplement</x:v>
      </x:c>
      <x:c r="Q134" s="62" t="str">
        <x:v>2020 supplement MeanTL</x:v>
      </x:c>
      <x:c r="R134" s="46" t="str">
        <x:v>high</x:v>
      </x:c>
      <x:c r="S134" s="46" t="str">
        <x:v>Pampus chinensis</x:v>
      </x:c>
      <x:c r="T134" s="62" t="n">
        <x:f>IF(O134="","",(1/'Metadata'!$B$5)^(O134-1))</x:f>
        <x:v>398.1071705534973</x:v>
      </x:c>
      <x:c r="U134" s="60" t="n">
        <x:f>IF(T134="","",I134*T134)</x:f>
        <x:v>83466.59932845792</x:v>
      </x:c>
    </x:row>
    <x:row r="135" ht="18" customHeight="1">
      <x:c r="A135" s="46" t="str">
        <x:v>LME_035</x:v>
      </x:c>
      <x:c r="B135" s="46" t="str">
        <x:v>Gulf of Thailand</x:v>
      </x:c>
      <x:c r="C135" s="46" t="str">
        <x:v>LME</x:v>
      </x:c>
      <x:c r="D135" s="58" t="n">
        <x:v>2019</x:v>
      </x:c>
      <x:c r="E135" s="46" t="str">
        <x:v>Monacanthidae</x:v>
      </x:c>
      <x:c r="F135" s="46" t="str">
        <x:v>Filefishes</x:v>
      </x:c>
      <x:c r="G135" s="46" t="str">
        <x:v>Medium reef assoc. fish (30 - 89 cm)</x:v>
      </x:c>
      <x:c r="H135" s="46" t="str">
        <x:v>Other fishes &amp; inverts</x:v>
      </x:c>
      <x:c r="I135" s="60" t="n">
        <x:v>198.1367779212</x:v>
      </x:c>
      <x:c r="J135" s="60" t="n">
        <x:v>187.1922932567</x:v>
      </x:c>
      <x:c r="K135" s="60" t="n">
        <x:v>10.9444846645</x:v>
      </x:c>
      <x:c r="L135" s="60" t="n">
        <x:v>187.1922932567</x:v>
      </x:c>
      <x:c r="M135" s="60" t="n">
        <x:v>10.9444846645</x:v>
      </x:c>
      <x:c r="N135" s="46" t="str">
        <x:v>monacanthidae</x:v>
      </x:c>
      <x:c r="O135" s="62" t="n">
        <x:v>3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Monacanthidae</x:v>
      </x:c>
      <x:c r="T135" s="62" t="n">
        <x:f>IF(O135="","",(1/'Metadata'!$B$5)^(O135-1))</x:f>
        <x:v>100</x:v>
      </x:c>
      <x:c r="U135" s="60" t="n">
        <x:f>IF(T135="","",I135*T135)</x:f>
        <x:v>19813.67779212</x:v>
      </x:c>
    </x:row>
    <x:row r="136" ht="18" customHeight="1">
      <x:c r="A136" s="46" t="str">
        <x:v>LME_035</x:v>
      </x:c>
      <x:c r="B136" s="46" t="str">
        <x:v>Gulf of Thailand</x:v>
      </x:c>
      <x:c r="C136" s="46" t="str">
        <x:v>LME</x:v>
      </x:c>
      <x:c r="D136" s="58" t="n">
        <x:v>2019</x:v>
      </x:c>
      <x:c r="E136" s="46" t="str">
        <x:v>Drepane</x:v>
      </x:c>
      <x:c r="F136" s="46" t="str">
        <x:v>Sicklefishes</x:v>
      </x:c>
      <x:c r="G136" s="46" t="str">
        <x:v>Medium benthopelagics (30 - 89 cm)</x:v>
      </x:c>
      <x:c r="H136" s="46" t="str">
        <x:v>Perch-likes</x:v>
      </x:c>
      <x:c r="I136" s="60" t="n">
        <x:v>189.2554663938</x:v>
      </x:c>
      <x:c r="J136" s="60" t="n">
        <x:v>189.2554663938</x:v>
      </x:c>
      <x:c r="K136" s="60" t="n">
        <x:v>0</x:v>
      </x:c>
      <x:c r="L136" s="60" t="n">
        <x:v>123.030546293</x:v>
      </x:c>
      <x:c r="M136" s="60" t="n">
        <x:v>66.22492010079999</x:v>
      </x:c>
      <x:c r="N136" s="46" t="str">
        <x:v>drepane</x:v>
      </x:c>
      <x:c r="O136" s="62" t="n">
        <x:v>3.32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Drepane</x:v>
      </x:c>
      <x:c r="T136" s="62" t="n">
        <x:f>IF(O136="","",(1/'Metadata'!$B$5)^(O136-1))</x:f>
        <x:v>208.92961308540387</x:v>
      </x:c>
      <x:c r="U136" s="60" t="n">
        <x:f>IF(T136="","",I136*T136)</x:f>
        <x:v>39541.07136795429</x:v>
      </x:c>
    </x:row>
    <x:row r="137" ht="18" customHeight="1">
      <x:c r="A137" s="46" t="str">
        <x:v>LME_035</x:v>
      </x:c>
      <x:c r="B137" s="46" t="str">
        <x:v>Gulf of Thailand</x:v>
      </x:c>
      <x:c r="C137" s="46" t="str">
        <x:v>LME</x:v>
      </x:c>
      <x:c r="D137" s="58" t="n">
        <x:v>2019</x:v>
      </x:c>
      <x:c r="E137" s="46" t="str">
        <x:v>Plotosus</x:v>
      </x:c>
      <x:c r="F137" s="46" t="str">
        <x:v>Eel catfishes</x:v>
      </x:c>
      <x:c r="G137" s="46" t="str">
        <x:v>Medium reef assoc. fish (30 - 89 cm)</x:v>
      </x:c>
      <x:c r="H137" s="46" t="str">
        <x:v>Other fishes &amp; inverts</x:v>
      </x:c>
      <x:c r="I137" s="60" t="n">
        <x:v>173.272729768</x:v>
      </x:c>
      <x:c r="J137" s="60" t="n">
        <x:v>173.272729768</x:v>
      </x:c>
      <x:c r="K137" s="60" t="n">
        <x:v>0</x:v>
      </x:c>
      <x:c r="L137" s="60" t="n">
        <x:v>118.59081440819999</x:v>
      </x:c>
      <x:c r="M137" s="60" t="n">
        <x:v>54.6819153598</x:v>
      </x:c>
      <x:c r="N137" s="46" t="str">
        <x:v>plotosus</x:v>
      </x:c>
      <x:c r="O137" s="62" t="n">
        <x:v>3.49</x:v>
      </x:c>
      <x:c r="P137" s="46" t="str">
        <x:v>exact_sea_around_us</x:v>
      </x:c>
      <x:c r="Q137" s="62" t="str">
        <x:v>Sea Around Us exploited organisms</x:v>
      </x:c>
      <x:c r="R137" s="46" t="str">
        <x:v>high</x:v>
      </x:c>
      <x:c r="S137" s="46" t="str">
        <x:v>Plotosus</x:v>
      </x:c>
      <x:c r="T137" s="62" t="n">
        <x:f>IF(O137="","",(1/'Metadata'!$B$5)^(O137-1))</x:f>
        <x:v>309.0295432513592</x:v>
      </x:c>
      <x:c r="U137" s="60" t="n">
        <x:f>IF(T137="","",I137*T137)</x:f>
        <x:v>53546.39253812123</x:v>
      </x:c>
    </x:row>
    <x:row r="138" ht="18" customHeight="1">
      <x:c r="A138" s="46" t="str">
        <x:v>LME_035</x:v>
      </x:c>
      <x:c r="B138" s="46" t="str">
        <x:v>Gulf of Thailand</x:v>
      </x:c>
      <x:c r="C138" s="46" t="str">
        <x:v>LME</x:v>
      </x:c>
      <x:c r="D138" s="58" t="n">
        <x:v>2019</x:v>
      </x:c>
      <x:c r="E138" s="46" t="str">
        <x:v>Hilsa kelee</x:v>
      </x:c>
      <x:c r="F138" s="46" t="str">
        <x:v>Kelee shad</x:v>
      </x:c>
      <x:c r="G138" s="46" t="str">
        <x:v>Small pelagics (&lt;30 cm)</x:v>
      </x:c>
      <x:c r="H138" s="46" t="str">
        <x:v>Herring-likes</x:v>
      </x:c>
      <x:c r="I138" s="60" t="n">
        <x:v>171.0318621833</x:v>
      </x:c>
      <x:c r="J138" s="60" t="n">
        <x:v>171.0318621833</x:v>
      </x:c>
      <x:c r="K138" s="60" t="n">
        <x:v>0</x:v>
      </x:c>
      <x:c r="L138" s="60" t="n">
        <x:v>79.52507251249999</x:v>
      </x:c>
      <x:c r="M138" s="60" t="n">
        <x:v>91.5067896708</x:v>
      </x:c>
      <x:c r="N138" s="46" t="str">
        <x:v>hilsa kelee</x:v>
      </x:c>
      <x:c r="O138" s="62" t="n">
        <x:v>3.25</x:v>
      </x:c>
      <x:c r="P138" s="46" t="str">
        <x:v>exact_2020_supplement</x:v>
      </x:c>
      <x:c r="Q138" s="62" t="str">
        <x:v>2020 supplement MeanTL</x:v>
      </x:c>
      <x:c r="R138" s="46" t="str">
        <x:v>high</x:v>
      </x:c>
      <x:c r="S138" s="46" t="str">
        <x:v>Hilsa kelee</x:v>
      </x:c>
      <x:c r="T138" s="62" t="n">
        <x:f>IF(O138="","",(1/'Metadata'!$B$5)^(O138-1))</x:f>
        <x:v>177.82794100389228</x:v>
      </x:c>
      <x:c r="U138" s="60" t="n">
        <x:f>IF(T138="","",I138*T138)</x:f>
        <x:v>30414.243898117707</x:v>
      </x:c>
    </x:row>
    <x:row r="139" ht="18" customHeight="1">
      <x:c r="A139" s="46" t="str">
        <x:v>LME_035</x:v>
      </x:c>
      <x:c r="B139" s="46" t="str">
        <x:v>Gulf of Thailand</x:v>
      </x:c>
      <x:c r="C139" s="46" t="str">
        <x:v>LME</x:v>
      </x:c>
      <x:c r="D139" s="58" t="n">
        <x:v>2019</x:v>
      </x:c>
      <x:c r="E139" s="46" t="str">
        <x:v>Gerres</x:v>
      </x:c>
      <x:c r="F139" s="46" t="str">
        <x:v>Silver biddies</x:v>
      </x:c>
      <x:c r="G139" s="46" t="str">
        <x:v>Small benthopelagics (&lt;30 cm)</x:v>
      </x:c>
      <x:c r="H139" s="46" t="str">
        <x:v>Perch-likes</x:v>
      </x:c>
      <x:c r="I139" s="60" t="n">
        <x:v>155.9349288932</x:v>
      </x:c>
      <x:c r="J139" s="60" t="n">
        <x:v>155.9349288932</x:v>
      </x:c>
      <x:c r="K139" s="60" t="n">
        <x:v>0</x:v>
      </x:c>
      <x:c r="L139" s="60" t="n">
        <x:v>105.2729791445</x:v>
      </x:c>
      <x:c r="M139" s="60" t="n">
        <x:v>50.6619497487</x:v>
      </x:c>
      <x:c r="N139" s="46" t="str">
        <x:v>gerres</x:v>
      </x:c>
      <x:c r="O139" s="62" t="n">
        <x:v>3.27</x:v>
      </x:c>
      <x:c r="P139" s="46" t="str">
        <x:v>exact_sea_around_us</x:v>
      </x:c>
      <x:c r="Q139" s="62" t="str">
        <x:v>Sea Around Us exploited organisms</x:v>
      </x:c>
      <x:c r="R139" s="46" t="str">
        <x:v>high</x:v>
      </x:c>
      <x:c r="S139" s="46" t="str">
        <x:v>Gerres</x:v>
      </x:c>
      <x:c r="T139" s="62" t="n">
        <x:f>IF(O139="","",(1/'Metadata'!$B$5)^(O139-1))</x:f>
        <x:v>186.20871366628674</x:v>
      </x:c>
      <x:c r="U139" s="60" t="n">
        <x:f>IF(T139="","",I139*T139)</x:f>
        <x:v>29036.442524846665</x:v>
      </x:c>
    </x:row>
    <x:row r="140" ht="18" customHeight="1">
      <x:c r="A140" s="46" t="str">
        <x:v>LME_035</x:v>
      </x:c>
      <x:c r="B140" s="46" t="str">
        <x:v>Gulf of Thailand</x:v>
      </x:c>
      <x:c r="C140" s="46" t="str">
        <x:v>LME</x:v>
      </x:c>
      <x:c r="D140" s="58" t="n">
        <x:v>2019</x:v>
      </x:c>
      <x:c r="E140" s="46" t="str">
        <x:v>Mugil</x:v>
      </x:c>
      <x:c r="F140" s="46" t="str">
        <x:v>Grey mullets</x:v>
      </x:c>
      <x:c r="G140" s="46" t="str">
        <x:v>Medium demersals (30 - 89 cm)</x:v>
      </x:c>
      <x:c r="H140" s="46" t="str">
        <x:v>Perch-likes</x:v>
      </x:c>
      <x:c r="I140" s="60" t="n">
        <x:v>151.9063057875</x:v>
      </x:c>
      <x:c r="J140" s="60" t="n">
        <x:v>151.9063057875</x:v>
      </x:c>
      <x:c r="K140" s="60" t="n">
        <x:v>0</x:v>
      </x:c>
      <x:c r="L140" s="60" t="n">
        <x:v>86.9190697376</x:v>
      </x:c>
      <x:c r="M140" s="60" t="n">
        <x:v>64.98723604989999</x:v>
      </x:c>
      <x:c r="N140" s="46" t="str">
        <x:v>mugil</x:v>
      </x:c>
      <x:c r="O140" s="62" t="n">
        <x:v>2.26</x:v>
      </x:c>
      <x:c r="P140" s="46" t="str">
        <x:v>exact_sea_around_us</x:v>
      </x:c>
      <x:c r="Q140" s="62" t="str">
        <x:v>Sea Around Us exploited organisms</x:v>
      </x:c>
      <x:c r="R140" s="46" t="str">
        <x:v>high</x:v>
      </x:c>
      <x:c r="S140" s="46" t="str">
        <x:v>Mugil</x:v>
      </x:c>
      <x:c r="T140" s="62" t="n">
        <x:f>IF(O140="","",(1/'Metadata'!$B$5)^(O140-1))</x:f>
        <x:v>18.197008586099827</x:v>
      </x:c>
      <x:c r="U140" s="60" t="n">
        <x:f>IF(T140="","",I140*T140)</x:f>
        <x:v>2764.2403506978435</x:v>
      </x:c>
    </x:row>
    <x:row r="141" ht="18" customHeight="1">
      <x:c r="A141" s="46" t="str">
        <x:v>LME_035</x:v>
      </x:c>
      <x:c r="B141" s="46" t="str">
        <x:v>Gulf of Thailand</x:v>
      </x:c>
      <x:c r="C141" s="46" t="str">
        <x:v>LME</x:v>
      </x:c>
      <x:c r="D141" s="58" t="n">
        <x:v>2019</x:v>
      </x:c>
      <x:c r="E141" s="46" t="str">
        <x:v>Palinuridae</x:v>
      </x:c>
      <x:c r="F141" s="46" t="str">
        <x:v>Spiny lobsters</x:v>
      </x:c>
      <x:c r="G141" s="46" t="str">
        <x:v>Lobsters, crabs</x:v>
      </x:c>
      <x:c r="H141" s="46" t="str">
        <x:v>Crustaceans</x:v>
      </x:c>
      <x:c r="I141" s="60" t="n">
        <x:v>151.8803926167</x:v>
      </x:c>
      <x:c r="J141" s="60" t="n">
        <x:v>151.8803926167</x:v>
      </x:c>
      <x:c r="K141" s="60" t="n">
        <x:v>0</x:v>
      </x:c>
      <x:c r="L141" s="60" t="n">
        <x:v>41.177071814200005</x:v>
      </x:c>
      <x:c r="M141" s="60" t="n">
        <x:v>110.70332080249999</x:v>
      </x:c>
      <x:c r="N141" s="46" t="str">
        <x:v>palinuridae</x:v>
      </x:c>
      <x:c r="O141" s="62" t="n">
        <x:v>3.14</x:v>
      </x:c>
      <x:c r="P141" s="46" t="str">
        <x:v>exact_sea_around_us</x:v>
      </x:c>
      <x:c r="Q141" s="62" t="str">
        <x:v>Sea Around Us exploited organisms</x:v>
      </x:c>
      <x:c r="R141" s="46" t="str">
        <x:v>high</x:v>
      </x:c>
      <x:c r="S141" s="46" t="str">
        <x:v>Palinuridae</x:v>
      </x:c>
      <x:c r="T141" s="62" t="n">
        <x:f>IF(O141="","",(1/'Metadata'!$B$5)^(O141-1))</x:f>
        <x:v>138.03842646028852</x:v>
      </x:c>
      <x:c r="U141" s="60" t="n">
        <x:f>IF(T141="","",I141*T141)</x:f>
        <x:v>20965.33040698009</x:v>
      </x:c>
    </x:row>
    <x:row r="142" ht="18" customHeight="1">
      <x:c r="A142" s="46" t="str">
        <x:v>LME_035</x:v>
      </x:c>
      <x:c r="B142" s="46" t="str">
        <x:v>Gulf of Thailand</x:v>
      </x:c>
      <x:c r="C142" s="46" t="str">
        <x:v>LME</x:v>
      </x:c>
      <x:c r="D142" s="58" t="n">
        <x:v>2019</x:v>
      </x:c>
      <x:c r="E142" s="46" t="str">
        <x:v>Charybdis</x:v>
      </x:c>
      <x:c r="F142" s="46" t="str">
        <x:v>Whirlpool swimming crabs</x:v>
      </x:c>
      <x:c r="G142" s="46" t="str">
        <x:v>Lobsters, crabs</x:v>
      </x:c>
      <x:c r="H142" s="46" t="str">
        <x:v>Crustaceans</x:v>
      </x:c>
      <x:c r="I142" s="60" t="n">
        <x:v>145.955750441</x:v>
      </x:c>
      <x:c r="J142" s="60" t="n">
        <x:v>0</x:v>
      </x:c>
      <x:c r="K142" s="60" t="n">
        <x:v>145.955750441</x:v>
      </x:c>
      <x:c r="L142" s="60" t="n">
        <x:v>0</x:v>
      </x:c>
      <x:c r="M142" s="60" t="n">
        <x:v>145.955750441</x:v>
      </x:c>
      <x:c r="N142" s="46" t="str">
        <x:v>charybdis</x:v>
      </x:c>
      <x:c r="O142" s="62" t="n">
        <x:v>2.7</x:v>
      </x:c>
      <x:c r="P142" s="46" t="str">
        <x:v>exact_sea_around_us</x:v>
      </x:c>
      <x:c r="Q142" s="62" t="str">
        <x:v>Sea Around Us exploited organisms</x:v>
      </x:c>
      <x:c r="R142" s="46" t="str">
        <x:v>high</x:v>
      </x:c>
      <x:c r="S142" s="46" t="str">
        <x:v>Charybdis</x:v>
      </x:c>
      <x:c r="T142" s="62" t="n">
        <x:f>IF(O142="","",(1/'Metadata'!$B$5)^(O142-1))</x:f>
        <x:v>50.11872336272725</x:v>
      </x:c>
      <x:c r="U142" s="60" t="n">
        <x:f>IF(T142="","",I142*T142)</x:f>
        <x:v>7315.115879551735</x:v>
      </x:c>
    </x:row>
    <x:row r="143" ht="18" customHeight="1">
      <x:c r="A143" s="46" t="str">
        <x:v>LME_035</x:v>
      </x:c>
      <x:c r="B143" s="46" t="str">
        <x:v>Gulf of Thailand</x:v>
      </x:c>
      <x:c r="C143" s="46" t="str">
        <x:v>LME</x:v>
      </x:c>
      <x:c r="D143" s="58" t="n">
        <x:v>2019</x:v>
      </x:c>
      <x:c r="E143" s="46" t="str">
        <x:v>Dussumieria elopsoides</x:v>
      </x:c>
      <x:c r="F143" s="46" t="str">
        <x:v>Slender rainbow sardine</x:v>
      </x:c>
      <x:c r="G143" s="46" t="str">
        <x:v>Small pelagics (&lt;30 cm)</x:v>
      </x:c>
      <x:c r="H143" s="46" t="str">
        <x:v>Herring-likes</x:v>
      </x:c>
      <x:c r="I143" s="60" t="n">
        <x:v>143.8695210465</x:v>
      </x:c>
      <x:c r="J143" s="60" t="n">
        <x:v>135.382126154</x:v>
      </x:c>
      <x:c r="K143" s="60" t="n">
        <x:v>8.4873948925</x:v>
      </x:c>
      <x:c r="L143" s="60" t="n">
        <x:v>135.382126154</x:v>
      </x:c>
      <x:c r="M143" s="60" t="n">
        <x:v>8.4873948925</x:v>
      </x:c>
      <x:c r="N143" s="46" t="str">
        <x:v>dussumieria elopsoides</x:v>
      </x:c>
      <x:c r="O143" s="62" t="n">
        <x:v>3.4</x:v>
      </x:c>
      <x:c r="P143" s="46" t="str">
        <x:v>exact_2020_supplement</x:v>
      </x:c>
      <x:c r="Q143" s="62" t="str">
        <x:v>2020 supplement MeanTL</x:v>
      </x:c>
      <x:c r="R143" s="46" t="str">
        <x:v>high</x:v>
      </x:c>
      <x:c r="S143" s="46" t="str">
        <x:v>Dussumieria elopsoides</x:v>
      </x:c>
      <x:c r="T143" s="62" t="n">
        <x:f>IF(O143="","",(1/'Metadata'!$B$5)^(O143-1))</x:f>
        <x:v>251.18864315095797</x:v>
      </x:c>
      <x:c r="U143" s="60" t="n">
        <x:f>IF(T143="","",I143*T143)</x:f>
        <x:v>36138.38978244853</x:v>
      </x:c>
    </x:row>
    <x:row r="144" ht="18" customHeight="1">
      <x:c r="A144" s="46" t="str">
        <x:v>LME_035</x:v>
      </x:c>
      <x:c r="B144" s="46" t="str">
        <x:v>Gulf of Thailand</x:v>
      </x:c>
      <x:c r="C144" s="46" t="str">
        <x:v>LME</x:v>
      </x:c>
      <x:c r="D144" s="58" t="n">
        <x:v>2019</x:v>
      </x:c>
      <x:c r="E144" s="46" t="str">
        <x:v>Lutjanus johnii</x:v>
      </x:c>
      <x:c r="F144" s="46" t="str">
        <x:v>John's snapper</x:v>
      </x:c>
      <x:c r="G144" s="46" t="str">
        <x:v>Medium reef assoc. fish (30 - 89 cm)</x:v>
      </x:c>
      <x:c r="H144" s="46" t="str">
        <x:v>Perch-likes</x:v>
      </x:c>
      <x:c r="I144" s="60" t="n">
        <x:v>126.1473006191</x:v>
      </x:c>
      <x:c r="J144" s="60" t="n">
        <x:v>126.1473006191</x:v>
      </x:c>
      <x:c r="K144" s="60" t="n">
        <x:v>0</x:v>
      </x:c>
      <x:c r="L144" s="60" t="n">
        <x:v>76.50484657</x:v>
      </x:c>
      <x:c r="M144" s="60" t="n">
        <x:v>49.642454049099996</x:v>
      </x:c>
      <x:c r="N144" s="46" t="str">
        <x:v>lutjanus johnii</x:v>
      </x:c>
      <x:c r="O144" s="62" t="n">
        <x:v>4.2</x:v>
      </x:c>
      <x:c r="P144" s="46" t="str">
        <x:v>exact_2020_supplement</x:v>
      </x:c>
      <x:c r="Q144" s="62" t="str">
        <x:v>2020 supplement MeanTL</x:v>
      </x:c>
      <x:c r="R144" s="46" t="str">
        <x:v>high</x:v>
      </x:c>
      <x:c r="S144" s="46" t="str">
        <x:v>Lutjanus johnii</x:v>
      </x:c>
      <x:c r="T144" s="62" t="n">
        <x:f>IF(O144="","",(1/'Metadata'!$B$5)^(O144-1))</x:f>
        <x:v>1584.893192461114</x:v>
      </x:c>
      <x:c r="U144" s="60" t="n">
        <x:f>IF(T144="","",I144*T144)</x:f>
        <x:v>199929.99799855726</x:v>
      </x:c>
    </x:row>
    <x:row r="145" ht="18" customHeight="1">
      <x:c r="A145" s="46" t="str">
        <x:v>LME_035</x:v>
      </x:c>
      <x:c r="B145" s="46" t="str">
        <x:v>Gulf of Thailand</x:v>
      </x:c>
      <x:c r="C145" s="46" t="str">
        <x:v>LME</x:v>
      </x:c>
      <x:c r="D145" s="58" t="n">
        <x:v>2019</x:v>
      </x:c>
      <x:c r="E145" s="46" t="str">
        <x:v>Rastrelliger brachysoma</x:v>
      </x:c>
      <x:c r="F145" s="46" t="str">
        <x:v>Short mackerel</x:v>
      </x:c>
      <x:c r="G145" s="46" t="str">
        <x:v>Medium pelagics (30 - 89 cm)</x:v>
      </x:c>
      <x:c r="H145" s="46" t="str">
        <x:v>Perch-likes</x:v>
      </x:c>
      <x:c r="I145" s="60" t="n">
        <x:v>125.4456654647</x:v>
      </x:c>
      <x:c r="J145" s="60" t="n">
        <x:v>118.76708435670001</x:v>
      </x:c>
      <x:c r="K145" s="60" t="n">
        <x:v>6.6785811079999995</x:v>
      </x:c>
      <x:c r="L145" s="60" t="n">
        <x:v>118.76310011390001</x:v>
      </x:c>
      <x:c r="M145" s="60" t="n">
        <x:v>6.6825653508</x:v>
      </x:c>
      <x:c r="N145" s="46" t="str">
        <x:v>rastrelliger brachysoma</x:v>
      </x:c>
      <x:c r="O145" s="62" t="n">
        <x:v>2.72</x:v>
      </x:c>
      <x:c r="P145" s="46" t="str">
        <x:v>exact_2020_supplement</x:v>
      </x:c>
      <x:c r="Q145" s="62" t="str">
        <x:v>2020 supplement MeanTL</x:v>
      </x:c>
      <x:c r="R145" s="46" t="str">
        <x:v>high</x:v>
      </x:c>
      <x:c r="S145" s="46" t="str">
        <x:v>Rastrelliger brachysoma</x:v>
      </x:c>
      <x:c r="T145" s="62" t="n">
        <x:f>IF(O145="","",(1/'Metadata'!$B$5)^(O145-1))</x:f>
        <x:v>52.480746024977286</x:v>
      </x:c>
      <x:c r="U145" s="60" t="n">
        <x:f>IF(T145="","",I145*T145)</x:f>
        <x:v>6583.4821091871845</x:v>
      </x:c>
    </x:row>
    <x:row r="146" ht="18" customHeight="1">
      <x:c r="A146" s="46" t="str">
        <x:v>LME_035</x:v>
      </x:c>
      <x:c r="B146" s="46" t="str">
        <x:v>Gulf of Thailand</x:v>
      </x:c>
      <x:c r="C146" s="46" t="str">
        <x:v>LME</x:v>
      </x:c>
      <x:c r="D146" s="58" t="n">
        <x:v>2019</x:v>
      </x:c>
      <x:c r="E146" s="46" t="str">
        <x:v>Xiphias gladius</x:v>
      </x:c>
      <x:c r="F146" s="46" t="str">
        <x:v>Swordfish</x:v>
      </x:c>
      <x:c r="G146" s="46" t="str">
        <x:v>Large pelagics (&gt;=90 cm)</x:v>
      </x:c>
      <x:c r="H146" s="46" t="str">
        <x:v>Tuna &amp; billfishes</x:v>
      </x:c>
      <x:c r="I146" s="60" t="n">
        <x:v>125.1988116305</x:v>
      </x:c>
      <x:c r="J146" s="60" t="n">
        <x:v>125.1988116305</x:v>
      </x:c>
      <x:c r="K146" s="60" t="n">
        <x:v>0</x:v>
      </x:c>
      <x:c r="L146" s="60" t="n">
        <x:v>113.9349433652</x:v>
      </x:c>
      <x:c r="M146" s="60" t="n">
        <x:v>11.263868265300001</x:v>
      </x:c>
      <x:c r="N146" s="46" t="str">
        <x:v>xiphias gladius</x:v>
      </x:c>
      <x:c r="O146" s="62" t="n">
        <x:v>4.53</x:v>
      </x:c>
      <x:c r="P146" s="46" t="str">
        <x:v>exact_2020_supplement</x:v>
      </x:c>
      <x:c r="Q146" s="62" t="str">
        <x:v>2020 supplement MeanTL</x:v>
      </x:c>
      <x:c r="R146" s="46" t="str">
        <x:v>high</x:v>
      </x:c>
      <x:c r="S146" s="46" t="str">
        <x:v>Xiphias gladius</x:v>
      </x:c>
      <x:c r="T146" s="62" t="n">
        <x:f>IF(O146="","",(1/'Metadata'!$B$5)^(O146-1))</x:f>
        <x:v>3388.4415613920273</x:v>
      </x:c>
      <x:c r="U146" s="60" t="n">
        <x:f>IF(T146="","",I146*T146)</x:f>
        <x:v>424228.85676567774</x:v>
      </x:c>
    </x:row>
    <x:row r="147" ht="18" customHeight="1">
      <x:c r="A147" s="46" t="str">
        <x:v>LME_035</x:v>
      </x:c>
      <x:c r="B147" s="46" t="str">
        <x:v>Gulf of Thailand</x:v>
      </x:c>
      <x:c r="C147" s="46" t="str">
        <x:v>LME</x:v>
      </x:c>
      <x:c r="D147" s="58" t="n">
        <x:v>2019</x:v>
      </x:c>
      <x:c r="E147" s="46" t="str">
        <x:v>Elagatis bipinnulata</x:v>
      </x:c>
      <x:c r="F147" s="46" t="str">
        <x:v>Rainbow runner</x:v>
      </x:c>
      <x:c r="G147" s="46" t="str">
        <x:v>Large pelagics (&gt;=90 cm)</x:v>
      </x:c>
      <x:c r="H147" s="46" t="str">
        <x:v>Perch-likes</x:v>
      </x:c>
      <x:c r="I147" s="60" t="n">
        <x:v>121.8060659425</x:v>
      </x:c>
      <x:c r="J147" s="60" t="n">
        <x:v>121.8060659425</x:v>
      </x:c>
      <x:c r="K147" s="60" t="n">
        <x:v>0</x:v>
      </x:c>
      <x:c r="L147" s="60" t="n">
        <x:v>73.0439707813</x:v>
      </x:c>
      <x:c r="M147" s="60" t="n">
        <x:v>48.7620951612</x:v>
      </x:c>
      <x:c r="N147" s="46" t="str">
        <x:v>elagatis bipinnulata</x:v>
      </x:c>
      <x:c r="O147" s="62" t="n">
        <x:v>4.27</x:v>
      </x:c>
      <x:c r="P147" s="46" t="str">
        <x:v>exact_2020_supplement</x:v>
      </x:c>
      <x:c r="Q147" s="62" t="str">
        <x:v>2020 supplement MeanTL</x:v>
      </x:c>
      <x:c r="R147" s="46" t="str">
        <x:v>high</x:v>
      </x:c>
      <x:c r="S147" s="46" t="str">
        <x:v>Elagatis bipinnulata</x:v>
      </x:c>
      <x:c r="T147" s="62" t="n">
        <x:f>IF(O147="","",(1/'Metadata'!$B$5)^(O147-1))</x:f>
        <x:v>1862.0871366628655</x:v>
      </x:c>
      <x:c r="U147" s="60" t="n">
        <x:f>IF(T147="","",I147*T147)</x:f>
        <x:v>226813.50855903802</x:v>
      </x:c>
    </x:row>
    <x:row r="148" ht="18" customHeight="1">
      <x:c r="A148" s="46" t="str">
        <x:v>LME_035</x:v>
      </x:c>
      <x:c r="B148" s="46" t="str">
        <x:v>Gulf of Thailand</x:v>
      </x:c>
      <x:c r="C148" s="46" t="str">
        <x:v>LME</x:v>
      </x:c>
      <x:c r="D148" s="58" t="n">
        <x:v>2019</x:v>
      </x:c>
      <x:c r="E148" s="46" t="str">
        <x:v>Sardinella fimbriata</x:v>
      </x:c>
      <x:c r="F148" s="46" t="str">
        <x:v>Fringescale sardinella</x:v>
      </x:c>
      <x:c r="G148" s="46" t="str">
        <x:v>Small pelagics (&lt;30 cm)</x:v>
      </x:c>
      <x:c r="H148" s="46" t="str">
        <x:v>Herring-likes</x:v>
      </x:c>
      <x:c r="I148" s="60" t="n">
        <x:v>107.8068088773</x:v>
      </x:c>
      <x:c r="J148" s="60" t="n">
        <x:v>101.52160413300001</x:v>
      </x:c>
      <x:c r="K148" s="60" t="n">
        <x:v>6.2852047443</x:v>
      </x:c>
      <x:c r="L148" s="60" t="n">
        <x:v>101.52160413300001</x:v>
      </x:c>
      <x:c r="M148" s="60" t="n">
        <x:v>6.2852047443</x:v>
      </x:c>
      <x:c r="N148" s="46" t="str">
        <x:v>sardinella fimbriata</x:v>
      </x:c>
      <x:c r="O148" s="62" t="n">
        <x:v>2.7</x:v>
      </x:c>
      <x:c r="P148" s="46" t="str">
        <x:v>exact_2020_supplement</x:v>
      </x:c>
      <x:c r="Q148" s="62" t="str">
        <x:v>2020 supplement MeanTL</x:v>
      </x:c>
      <x:c r="R148" s="46" t="str">
        <x:v>high</x:v>
      </x:c>
      <x:c r="S148" s="46" t="str">
        <x:v>Sardinella fimbriata</x:v>
      </x:c>
      <x:c r="T148" s="62" t="n">
        <x:f>IF(O148="","",(1/'Metadata'!$B$5)^(O148-1))</x:f>
        <x:v>50.11872336272725</x:v>
      </x:c>
      <x:c r="U148" s="60" t="n">
        <x:f>IF(T148="","",I148*T148)</x:f>
        <x:v>5403.139630739807</x:v>
      </x:c>
    </x:row>
    <x:row r="149" ht="18" customHeight="1">
      <x:c r="A149" s="46" t="str">
        <x:v>LME_035</x:v>
      </x:c>
      <x:c r="B149" s="46" t="str">
        <x:v>Gulf of Thailand</x:v>
      </x:c>
      <x:c r="C149" s="46" t="str">
        <x:v>LME</x:v>
      </x:c>
      <x:c r="D149" s="58" t="n">
        <x:v>2019</x:v>
      </x:c>
      <x:c r="E149" s="46" t="str">
        <x:v>Gazza minuta</x:v>
      </x:c>
      <x:c r="F149" s="46" t="str">
        <x:v>Toothpony</x:v>
      </x:c>
      <x:c r="G149" s="46" t="str">
        <x:v>Small demersals (&lt;30 cm)</x:v>
      </x:c>
      <x:c r="H149" s="46" t="str">
        <x:v>Perch-likes</x:v>
      </x:c>
      <x:c r="I149" s="60" t="n">
        <x:v>107.7654886147</x:v>
      </x:c>
      <x:c r="J149" s="60" t="n">
        <x:v>101.4818572449</x:v>
      </x:c>
      <x:c r="K149" s="60" t="n">
        <x:v>6.2836313698</x:v>
      </x:c>
      <x:c r="L149" s="60" t="n">
        <x:v>101.4818572449</x:v>
      </x:c>
      <x:c r="M149" s="60" t="n">
        <x:v>6.2836313698</x:v>
      </x:c>
      <x:c r="N149" s="46" t="str">
        <x:v>gazza minuta</x:v>
      </x:c>
      <x:c r="O149" s="62" t="n">
        <x:v>4.19</x:v>
      </x:c>
      <x:c r="P149" s="46" t="str">
        <x:v>exact_2020_supplement</x:v>
      </x:c>
      <x:c r="Q149" s="62" t="str">
        <x:v>2020 supplement MeanTL</x:v>
      </x:c>
      <x:c r="R149" s="46" t="str">
        <x:v>high</x:v>
      </x:c>
      <x:c r="S149" s="46" t="str">
        <x:v>Gazza minuta</x:v>
      </x:c>
      <x:c r="T149" s="62" t="n">
        <x:f>IF(O149="","",(1/'Metadata'!$B$5)^(O149-1))</x:f>
        <x:v>1548.8166189124827</x:v>
      </x:c>
      <x:c r="U149" s="60" t="n">
        <x:f>IF(T149="","",I149*T149)</x:f>
        <x:v>166908.9797116713</x:v>
      </x:c>
    </x:row>
    <x:row r="150" ht="18" customHeight="1">
      <x:c r="A150" s="46" t="str">
        <x:v>LME_035</x:v>
      </x:c>
      <x:c r="B150" s="46" t="str">
        <x:v>Gulf of Thailand</x:v>
      </x:c>
      <x:c r="C150" s="46" t="str">
        <x:v>LME</x:v>
      </x:c>
      <x:c r="D150" s="58" t="n">
        <x:v>2019</x:v>
      </x:c>
      <x:c r="E150" s="46" t="str">
        <x:v>Scatophagus</x:v>
      </x:c>
      <x:c r="F150" s="46" t="str">
        <x:v>Scats</x:v>
      </x:c>
      <x:c r="G150" s="46" t="str">
        <x:v>Medium demersals (30 - 89 cm)</x:v>
      </x:c>
      <x:c r="H150" s="46" t="str">
        <x:v>Perch-likes</x:v>
      </x:c>
      <x:c r="I150" s="60" t="n">
        <x:v>104.4610057669</x:v>
      </x:c>
      <x:c r="J150" s="60" t="n">
        <x:v>104.4610057669</x:v>
      </x:c>
      <x:c r="K150" s="60" t="n">
        <x:v>0</x:v>
      </x:c>
      <x:c r="L150" s="60" t="n">
        <x:v>72.4065896539</x:v>
      </x:c>
      <x:c r="M150" s="60" t="n">
        <x:v>32.054416113</x:v>
      </x:c>
      <x:c r="N150" s="46" t="str">
        <x:v>scatophagus</x:v>
      </x:c>
      <x:c r="O150" s="62" t="n">
        <x:v>2.75</x:v>
      </x:c>
      <x:c r="P150" s="46" t="str">
        <x:v>exact_sea_around_us</x:v>
      </x:c>
      <x:c r="Q150" s="62" t="str">
        <x:v>Sea Around Us exploited organisms</x:v>
      </x:c>
      <x:c r="R150" s="46" t="str">
        <x:v>high</x:v>
      </x:c>
      <x:c r="S150" s="46" t="str">
        <x:v>Scatophagus</x:v>
      </x:c>
      <x:c r="T150" s="62" t="n">
        <x:f>IF(O150="","",(1/'Metadata'!$B$5)^(O150-1))</x:f>
        <x:v>56.23413251903491</x:v>
      </x:c>
      <x:c r="U150" s="60" t="n">
        <x:f>IF(T150="","",I150*T150)</x:f>
        <x:v>5874.274041367525</x:v>
      </x:c>
    </x:row>
    <x:row r="151" ht="18" customHeight="1">
      <x:c r="A151" s="46" t="str">
        <x:v>LME_035</x:v>
      </x:c>
      <x:c r="B151" s="46" t="str">
        <x:v>Gulf of Thailand</x:v>
      </x:c>
      <x:c r="C151" s="46" t="str">
        <x:v>LME</x:v>
      </x:c>
      <x:c r="D151" s="58" t="n">
        <x:v>2019</x:v>
      </x:c>
      <x:c r="E151" s="46" t="str">
        <x:v>Gnathanodon speciosus</x:v>
      </x:c>
      <x:c r="F151" s="46" t="str">
        <x:v>Golden trevally</x:v>
      </x:c>
      <x:c r="G151" s="46" t="str">
        <x:v>Large reef assoc. fish (&gt;=90 cm)</x:v>
      </x:c>
      <x:c r="H151" s="46" t="str">
        <x:v>Perch-likes</x:v>
      </x:c>
      <x:c r="I151" s="60" t="n">
        <x:v>100.2686615781</x:v>
      </x:c>
      <x:c r="J151" s="60" t="n">
        <x:v>100.2686615781</x:v>
      </x:c>
      <x:c r="K151" s="60" t="n">
        <x:v>0</x:v>
      </x:c>
      <x:c r="L151" s="60" t="n">
        <x:v>61.252469512</x:v>
      </x:c>
      <x:c r="M151" s="60" t="n">
        <x:v>39.0161920661</x:v>
      </x:c>
      <x:c r="N151" s="46" t="str">
        <x:v>gnathanodon speciosus</x:v>
      </x:c>
      <x:c r="O151" s="62" t="n">
        <x:v>3.84</x:v>
      </x:c>
      <x:c r="P151" s="46" t="str">
        <x:v>exact_2020_supplement</x:v>
      </x:c>
      <x:c r="Q151" s="62" t="str">
        <x:v>2020 supplement MeanTL</x:v>
      </x:c>
      <x:c r="R151" s="46" t="str">
        <x:v>high</x:v>
      </x:c>
      <x:c r="S151" s="46" t="str">
        <x:v>Gnathanodon speciosus</x:v>
      </x:c>
      <x:c r="T151" s="62" t="n">
        <x:f>IF(O151="","",(1/'Metadata'!$B$5)^(O151-1))</x:f>
        <x:v>691.8309709189363</x:v>
      </x:c>
      <x:c r="U151" s="60" t="n">
        <x:f>IF(T151="","",I151*T151)</x:f>
        <x:v>69368.96549231916</x:v>
      </x:c>
    </x:row>
    <x:row r="152" ht="18" customHeight="1">
      <x:c r="A152" s="46" t="str">
        <x:v>LME_035</x:v>
      </x:c>
      <x:c r="B152" s="46" t="str">
        <x:v>Gulf of Thailand</x:v>
      </x:c>
      <x:c r="C152" s="46" t="str">
        <x:v>LME</x:v>
      </x:c>
      <x:c r="D152" s="58" t="n">
        <x:v>2019</x:v>
      </x:c>
      <x:c r="E152" s="46" t="str">
        <x:v>Istiophorus</x:v>
      </x:c>
      <x:c r="F152" s="46" t="str">
        <x:v>Sailfishes</x:v>
      </x:c>
      <x:c r="G152" s="46" t="str">
        <x:v>Large pelagics (&gt;=90 cm)</x:v>
      </x:c>
      <x:c r="H152" s="46" t="str">
        <x:v>Tuna &amp; billfishes</x:v>
      </x:c>
      <x:c r="I152" s="60" t="n">
        <x:v>96.1512362174</x:v>
      </x:c>
      <x:c r="J152" s="60" t="n">
        <x:v>96.1512362174</x:v>
      </x:c>
      <x:c r="K152" s="60" t="n">
        <x:v>0</x:v>
      </x:c>
      <x:c r="L152" s="60" t="n">
        <x:v>53.2371829193</x:v>
      </x:c>
      <x:c r="M152" s="60" t="n">
        <x:v>42.9140532981</x:v>
      </x:c>
      <x:c r="N152" s="46" t="str">
        <x:v>istiophorus</x:v>
      </x:c>
      <x:c r="O152" s="62" t="n">
        <x:v>4.5</x:v>
      </x:c>
      <x:c r="P152" s="46" t="str">
        <x:v>exact_sea_around_us</x:v>
      </x:c>
      <x:c r="Q152" s="62" t="str">
        <x:v>Sea Around Us exploited organisms</x:v>
      </x:c>
      <x:c r="R152" s="46" t="str">
        <x:v>high</x:v>
      </x:c>
      <x:c r="S152" s="46" t="str">
        <x:v>Istiophorus</x:v>
      </x:c>
      <x:c r="T152" s="62" t="n">
        <x:f>IF(O152="","",(1/'Metadata'!$B$5)^(O152-1))</x:f>
        <x:v>3162.2776601683795</x:v>
      </x:c>
      <x:c r="U152" s="60" t="n">
        <x:f>IF(T152="","",I152*T152)</x:f>
        <x:v>304056.9062878568</x:v>
      </x:c>
    </x:row>
    <x:row r="153" ht="18" customHeight="1">
      <x:c r="A153" s="46" t="str">
        <x:v>LME_035</x:v>
      </x:c>
      <x:c r="B153" s="46" t="str">
        <x:v>Gulf of Thailand</x:v>
      </x:c>
      <x:c r="C153" s="46" t="str">
        <x:v>LME</x:v>
      </x:c>
      <x:c r="D153" s="58" t="n">
        <x:v>2019</x:v>
      </x:c>
      <x:c r="E153" s="46" t="str">
        <x:v>Psettodidae</x:v>
      </x:c>
      <x:c r="F153" s="46" t="str">
        <x:v>Turbots, Indian halibuts</x:v>
      </x:c>
      <x:c r="G153" s="46" t="str">
        <x:v>Small to medium flatfishes (&lt;90 cm)</x:v>
      </x:c>
      <x:c r="H153" s="46" t="str">
        <x:v>Flatfishes</x:v>
      </x:c>
      <x:c r="I153" s="60" t="n">
        <x:v>91.3142510534</x:v>
      </x:c>
      <x:c r="J153" s="60" t="n">
        <x:v>85.9959354767</x:v>
      </x:c>
      <x:c r="K153" s="60" t="n">
        <x:v>5.3183155767</x:v>
      </x:c>
      <x:c r="L153" s="60" t="n">
        <x:v>85.9959354767</x:v>
      </x:c>
      <x:c r="M153" s="60" t="n">
        <x:v>5.3183155767</x:v>
      </x:c>
      <x:c r="N153" s="46" t="str">
        <x:v>psettodidae</x:v>
      </x:c>
      <x:c r="O153" s="62" t="n">
        <x:v>3.83</x:v>
      </x:c>
      <x:c r="P153" s="46" t="str">
        <x:v>exact_sea_around_us</x:v>
      </x:c>
      <x:c r="Q153" s="62" t="str">
        <x:v>Sea Around Us exploited organisms</x:v>
      </x:c>
      <x:c r="R153" s="46" t="str">
        <x:v>high</x:v>
      </x:c>
      <x:c r="S153" s="46" t="str">
        <x:v>Psettodidae</x:v>
      </x:c>
      <x:c r="T153" s="62" t="n">
        <x:f>IF(O153="","",(1/'Metadata'!$B$5)^(O153-1))</x:f>
        <x:v>676.0829753919819</x:v>
      </x:c>
      <x:c r="U153" s="60" t="n">
        <x:f>IF(T153="","",I153*T153)</x:f>
        <x:v>61736.01054787309</x:v>
      </x:c>
    </x:row>
    <x:row r="154" ht="18" customHeight="1">
      <x:c r="A154" s="46" t="str">
        <x:v>LME_035</x:v>
      </x:c>
      <x:c r="B154" s="46" t="str">
        <x:v>Gulf of Thailand</x:v>
      </x:c>
      <x:c r="C154" s="46" t="str">
        <x:v>LME</x:v>
      </x:c>
      <x:c r="D154" s="58" t="n">
        <x:v>2019</x:v>
      </x:c>
      <x:c r="E154" s="46" t="str">
        <x:v>Thunnus obesus</x:v>
      </x:c>
      <x:c r="F154" s="46" t="str">
        <x:v>Bigeye tuna</x:v>
      </x:c>
      <x:c r="G154" s="46" t="str">
        <x:v>Large pelagics (&gt;=90 cm)</x:v>
      </x:c>
      <x:c r="H154" s="46" t="str">
        <x:v>Tuna &amp; billfishes</x:v>
      </x:c>
      <x:c r="I154" s="60" t="n">
        <x:v>86.4167123842</x:v>
      </x:c>
      <x:c r="J154" s="60" t="n">
        <x:v>86.4166955905</x:v>
      </x:c>
      <x:c r="K154" s="60" t="n">
        <x:v>0.0000167937</x:v>
      </x:c>
      <x:c r="L154" s="60" t="n">
        <x:v>83.7906391115</x:v>
      </x:c>
      <x:c r="M154" s="60" t="n">
        <x:v>2.6260732727</x:v>
      </x:c>
      <x:c r="N154" s="46" t="str">
        <x:v>thunnus obesus</x:v>
      </x:c>
      <x:c r="O154" s="62" t="n">
        <x:v>4.49</x:v>
      </x:c>
      <x:c r="P154" s="46" t="str">
        <x:v>exact_2020_supplement</x:v>
      </x:c>
      <x:c r="Q154" s="62" t="str">
        <x:v>2020 supplement MeanTL</x:v>
      </x:c>
      <x:c r="R154" s="46" t="str">
        <x:v>high</x:v>
      </x:c>
      <x:c r="S154" s="46" t="str">
        <x:v>Thunnus obesus</x:v>
      </x:c>
      <x:c r="T154" s="62" t="n">
        <x:f>IF(O154="","",(1/'Metadata'!$B$5)^(O154-1))</x:f>
        <x:v>3090.295432513592</x:v>
      </x:c>
      <x:c r="U154" s="60" t="n">
        <x:f>IF(T154="","",I154*T154)</x:f>
        <x:v>267053.171573734</x:v>
      </x:c>
    </x:row>
    <x:row r="155" ht="18" customHeight="1">
      <x:c r="A155" s="46" t="str">
        <x:v>LME_035</x:v>
      </x:c>
      <x:c r="B155" s="46" t="str">
        <x:v>Gulf of Thailand</x:v>
      </x:c>
      <x:c r="C155" s="46" t="str">
        <x:v>LME</x:v>
      </x:c>
      <x:c r="D155" s="58" t="n">
        <x:v>2019</x:v>
      </x:c>
      <x:c r="E155" s="46" t="str">
        <x:v>Haemulidae</x:v>
      </x:c>
      <x:c r="F155" s="46" t="str">
        <x:v>Grunts, sweetlips, bonnetmouths</x:v>
      </x:c>
      <x:c r="G155" s="46" t="str">
        <x:v>Medium demersals (30 - 89 cm)</x:v>
      </x:c>
      <x:c r="H155" s="46" t="str">
        <x:v>Perch-likes</x:v>
      </x:c>
      <x:c r="I155" s="60" t="n">
        <x:v>79.47650774360001</x:v>
      </x:c>
      <x:c r="J155" s="60" t="n">
        <x:v>79.47650774360001</x:v>
      </x:c>
      <x:c r="K155" s="60" t="n">
        <x:v>0</x:v>
      </x:c>
      <x:c r="L155" s="60" t="n">
        <x:v>7.4740299846000005</x:v>
      </x:c>
      <x:c r="M155" s="60" t="n">
        <x:v>72.002477759</x:v>
      </x:c>
      <x:c r="N155" s="46" t="str">
        <x:v>haemulidae</x:v>
      </x:c>
      <x:c r="O155" s="62" t="n">
        <x:v>3.36</x:v>
      </x:c>
      <x:c r="P155" s="46" t="str">
        <x:v>exact_sea_around_us</x:v>
      </x:c>
      <x:c r="Q155" s="62" t="str">
        <x:v>Sea Around Us exploited organisms</x:v>
      </x:c>
      <x:c r="R155" s="46" t="str">
        <x:v>high</x:v>
      </x:c>
      <x:c r="S155" s="46" t="str">
        <x:v>Haemulidae</x:v>
      </x:c>
      <x:c r="T155" s="62" t="n">
        <x:f>IF(O155="","",(1/'Metadata'!$B$5)^(O155-1))</x:f>
        <x:v>229.08676527677724</x:v>
      </x:c>
      <x:c r="U155" s="60" t="n">
        <x:f>IF(T155="","",I155*T155)</x:f>
        <x:v>18207.016074476065</x:v>
      </x:c>
    </x:row>
    <x:row r="156" ht="18" customHeight="1">
      <x:c r="A156" s="46" t="str">
        <x:v>LME_035</x:v>
      </x:c>
      <x:c r="B156" s="46" t="str">
        <x:v>Gulf of Thailand</x:v>
      </x:c>
      <x:c r="C156" s="46" t="str">
        <x:v>LME</x:v>
      </x:c>
      <x:c r="D156" s="58" t="n">
        <x:v>2019</x:v>
      </x:c>
      <x:c r="E156" s="46" t="str">
        <x:v>Charybdis anisodon</x:v>
      </x:c>
      <x:c r="F156" s="46" t="str">
        <x:v>Twospined arm swimming crab</x:v>
      </x:c>
      <x:c r="G156" s="46" t="str">
        <x:v>Lobsters, crabs</x:v>
      </x:c>
      <x:c r="H156" s="46" t="str">
        <x:v>Crustaceans</x:v>
      </x:c>
      <x:c r="I156" s="60" t="n">
        <x:v>73.6571454859</x:v>
      </x:c>
      <x:c r="J156" s="60" t="n">
        <x:v>73.6571454859</x:v>
      </x:c>
      <x:c r="K156" s="60" t="n">
        <x:v>0</x:v>
      </x:c>
      <x:c r="L156" s="60" t="n">
        <x:v>0</x:v>
      </x:c>
      <x:c r="M156" s="60" t="n">
        <x:v>73.6571454859</x:v>
      </x:c>
      <x:c r="N156" s="46" t="str">
        <x:v>charybdis anisodon</x:v>
      </x:c>
      <x:c r="O156" s="62" t="n">
        <x:v>3.42</x:v>
      </x:c>
      <x:c r="P156" s="46" t="str">
        <x:v>exact_sea_around_us</x:v>
      </x:c>
      <x:c r="Q156" s="62" t="str">
        <x:v>Sea Around Us exploited organisms</x:v>
      </x:c>
      <x:c r="R156" s="46" t="str">
        <x:v>high</x:v>
      </x:c>
      <x:c r="S156" s="46" t="str">
        <x:v>Charybdis anisodon</x:v>
      </x:c>
      <x:c r="T156" s="62" t="n">
        <x:f>IF(O156="","",(1/'Metadata'!$B$5)^(O156-1))</x:f>
        <x:v>263.02679918953817</x:v>
      </x:c>
      <x:c r="U156" s="60" t="n">
        <x:f>IF(T156="","",I156*T156)</x:f>
        <x:v>19373.803214594416</x:v>
      </x:c>
    </x:row>
    <x:row r="157" ht="18" customHeight="1">
      <x:c r="A157" s="46" t="str">
        <x:v>LME_035</x:v>
      </x:c>
      <x:c r="B157" s="46" t="str">
        <x:v>Gulf of Thailand</x:v>
      </x:c>
      <x:c r="C157" s="46" t="str">
        <x:v>LME</x:v>
      </x:c>
      <x:c r="D157" s="58" t="n">
        <x:v>2019</x:v>
      </x:c>
      <x:c r="E157" s="46" t="str">
        <x:v>Lethrinidae</x:v>
      </x:c>
      <x:c r="F157" s="46" t="str">
        <x:v>Emperors, scavengers</x:v>
      </x:c>
      <x:c r="G157" s="46" t="str">
        <x:v>Medium reef assoc. fish (30 - 89 cm)</x:v>
      </x:c>
      <x:c r="H157" s="46" t="str">
        <x:v>Perch-likes</x:v>
      </x:c>
      <x:c r="I157" s="60" t="n">
        <x:v>72.07324457989999</x:v>
      </x:c>
      <x:c r="J157" s="60" t="n">
        <x:v>72.0731607036</x:v>
      </x:c>
      <x:c r="K157" s="60" t="n">
        <x:v>0.0000838763</x:v>
      </x:c>
      <x:c r="L157" s="60" t="n">
        <x:v>0.0180709783</x:v>
      </x:c>
      <x:c r="M157" s="60" t="n">
        <x:v>72.05517360159999</x:v>
      </x:c>
      <x:c r="N157" s="46" t="str">
        <x:v>lethrinidae</x:v>
      </x:c>
      <x:c r="O157" s="62" t="n">
        <x:v>3.59</x:v>
      </x:c>
      <x:c r="P157" s="46" t="str">
        <x:v>exact_sea_around_us</x:v>
      </x:c>
      <x:c r="Q157" s="62" t="str">
        <x:v>Sea Around Us exploited organisms</x:v>
      </x:c>
      <x:c r="R157" s="46" t="str">
        <x:v>high</x:v>
      </x:c>
      <x:c r="S157" s="46" t="str">
        <x:v>Lethrinidae</x:v>
      </x:c>
      <x:c r="T157" s="62" t="n">
        <x:f>IF(O157="","",(1/'Metadata'!$B$5)^(O157-1))</x:f>
        <x:v>389.04514499428046</x:v>
      </x:c>
      <x:c r="U157" s="60" t="n">
        <x:f>IF(T157="","",I157*T157)</x:f>
        <x:v>28039.74588779543</x:v>
      </x:c>
    </x:row>
    <x:row r="158" ht="18" customHeight="1">
      <x:c r="A158" s="46" t="str">
        <x:v>LME_035</x:v>
      </x:c>
      <x:c r="B158" s="46" t="str">
        <x:v>Gulf of Thailand</x:v>
      </x:c>
      <x:c r="C158" s="46" t="str">
        <x:v>LME</x:v>
      </x:c>
      <x:c r="D158" s="58" t="n">
        <x:v>2019</x:v>
      </x:c>
      <x:c r="E158" s="46" t="str">
        <x:v>Panulirus longipes</x:v>
      </x:c>
      <x:c r="F158" s="46" t="str">
        <x:v>Longlegged spiny lobster</x:v>
      </x:c>
      <x:c r="G158" s="46" t="str">
        <x:v>Lobsters, crabs</x:v>
      </x:c>
      <x:c r="H158" s="46" t="str">
        <x:v>Crustaceans</x:v>
      </x:c>
      <x:c r="I158" s="60" t="n">
        <x:v>70.71679157530001</x:v>
      </x:c>
      <x:c r="J158" s="60" t="n">
        <x:v>70.71679157530001</x:v>
      </x:c>
      <x:c r="K158" s="60" t="n">
        <x:v>0</x:v>
      </x:c>
      <x:c r="L158" s="60" t="n">
        <x:v>48.900087537400005</x:v>
      </x:c>
      <x:c r="M158" s="60" t="n">
        <x:v>21.8167040379</x:v>
      </x:c>
      <x:c r="N158" s="46" t="str">
        <x:v>panulirus longipes</x:v>
      </x:c>
      <x:c r="O158" s="62" t="n">
        <x:v>2.6</x:v>
      </x:c>
      <x:c r="P158" s="46" t="str">
        <x:v>exact_sea_around_us</x:v>
      </x:c>
      <x:c r="Q158" s="62" t="str">
        <x:v>Sea Around Us exploited organisms</x:v>
      </x:c>
      <x:c r="R158" s="46" t="str">
        <x:v>high</x:v>
      </x:c>
      <x:c r="S158" s="46" t="str">
        <x:v>Panulirus longipes</x:v>
      </x:c>
      <x:c r="T158" s="62" t="n">
        <x:f>IF(O158="","",(1/'Metadata'!$B$5)^(O158-1))</x:f>
        <x:v>39.810717055349734</x:v>
      </x:c>
      <x:c r="U158" s="60" t="n">
        <x:f>IF(T158="","",I158*T158)</x:f>
        <x:v>2815.2861804664085</x:v>
      </x:c>
    </x:row>
    <x:row r="159" ht="18" customHeight="1">
      <x:c r="A159" s="46" t="str">
        <x:v>LME_035</x:v>
      </x:c>
      <x:c r="B159" s="46" t="str">
        <x:v>Gulf of Thailand</x:v>
      </x:c>
      <x:c r="C159" s="46" t="str">
        <x:v>LME</x:v>
      </x:c>
      <x:c r="D159" s="58" t="n">
        <x:v>2019</x:v>
      </x:c>
      <x:c r="E159" s="46" t="str">
        <x:v>Anodontostoma chacunda</x:v>
      </x:c>
      <x:c r="F159" s="46" t="str">
        <x:v>Chacunda gizzard shad</x:v>
      </x:c>
      <x:c r="G159" s="46" t="str">
        <x:v>Small pelagics (&lt;30 cm)</x:v>
      </x:c>
      <x:c r="H159" s="46" t="str">
        <x:v>Herring-likes</x:v>
      </x:c>
      <x:c r="I159" s="60" t="n">
        <x:v>68.1298648823</x:v>
      </x:c>
      <x:c r="J159" s="60" t="n">
        <x:v>68.1298648823</x:v>
      </x:c>
      <x:c r="K159" s="60" t="n">
        <x:v>0</x:v>
      </x:c>
      <x:c r="L159" s="60" t="n">
        <x:v>30.604375471900003</x:v>
      </x:c>
      <x:c r="M159" s="60" t="n">
        <x:v>37.5254894104</x:v>
      </x:c>
      <x:c r="N159" s="46" t="str">
        <x:v>anodontostoma chacunda</x:v>
      </x:c>
      <x:c r="O159" s="62" t="n">
        <x:v>2.84</x:v>
      </x:c>
      <x:c r="P159" s="46" t="str">
        <x:v>exact_2020_supplement</x:v>
      </x:c>
      <x:c r="Q159" s="62" t="str">
        <x:v>2020 supplement MeanTL</x:v>
      </x:c>
      <x:c r="R159" s="46" t="str">
        <x:v>high</x:v>
      </x:c>
      <x:c r="S159" s="46" t="str">
        <x:v>Anodontostoma chacunda</x:v>
      </x:c>
      <x:c r="T159" s="62" t="n">
        <x:f>IF(O159="","",(1/'Metadata'!$B$5)^(O159-1))</x:f>
        <x:v>69.18309709189363</x:v>
      </x:c>
      <x:c r="U159" s="60" t="n">
        <x:f>IF(T159="","",I159*T159)</x:f>
        <x:v>4713.435057009755</x:v>
      </x:c>
    </x:row>
    <x:row r="160" ht="18" customHeight="1">
      <x:c r="A160" s="46" t="str">
        <x:v>LME_035</x:v>
      </x:c>
      <x:c r="B160" s="46" t="str">
        <x:v>Gulf of Thailand</x:v>
      </x:c>
      <x:c r="C160" s="46" t="str">
        <x:v>LME</x:v>
      </x:c>
      <x:c r="D160" s="58" t="n">
        <x:v>2019</x:v>
      </x:c>
      <x:c r="E160" s="46" t="str">
        <x:v>Scyllaridae</x:v>
      </x:c>
      <x:c r="F160" s="46" t="str">
        <x:v>Slipper lobsters</x:v>
      </x:c>
      <x:c r="G160" s="46" t="str">
        <x:v>Lobsters, crabs</x:v>
      </x:c>
      <x:c r="H160" s="46" t="str">
        <x:v>Crustaceans</x:v>
      </x:c>
      <x:c r="I160" s="60" t="n">
        <x:v>61.7776573533</x:v>
      </x:c>
      <x:c r="J160" s="60" t="n">
        <x:v>61.7776573533</x:v>
      </x:c>
      <x:c r="K160" s="60" t="n">
        <x:v>0</x:v>
      </x:c>
      <x:c r="L160" s="60" t="n">
        <x:v>16.9903649404</x:v>
      </x:c>
      <x:c r="M160" s="60" t="n">
        <x:v>44.7872924129</x:v>
      </x:c>
      <x:c r="N160" s="46" t="str">
        <x:v>scyllaridae</x:v>
      </x:c>
      <x:c r="O160" s="62" t="n">
        <x:v>2.87</x:v>
      </x:c>
      <x:c r="P160" s="46" t="str">
        <x:v>exact_sea_around_us</x:v>
      </x:c>
      <x:c r="Q160" s="62" t="str">
        <x:v>Sea Around Us exploited organisms</x:v>
      </x:c>
      <x:c r="R160" s="46" t="str">
        <x:v>high</x:v>
      </x:c>
      <x:c r="S160" s="46" t="str">
        <x:v>Scyllaridae</x:v>
      </x:c>
      <x:c r="T160" s="62" t="n">
        <x:f>IF(O160="","",(1/'Metadata'!$B$5)^(O160-1))</x:f>
        <x:v>74.13102413009177</x:v>
      </x:c>
      <x:c r="U160" s="60" t="n">
        <x:f>IF(T160="","",I160*T160)</x:f>
        <x:v>4579.641007958024</x:v>
      </x:c>
    </x:row>
    <x:row r="161" ht="18" customHeight="1">
      <x:c r="A161" s="46" t="str">
        <x:v>LME_035</x:v>
      </x:c>
      <x:c r="B161" s="46" t="str">
        <x:v>Gulf of Thailand</x:v>
      </x:c>
      <x:c r="C161" s="46" t="str">
        <x:v>LME</x:v>
      </x:c>
      <x:c r="D161" s="58" t="n">
        <x:v>2019</x:v>
      </x:c>
      <x:c r="E161" s="46" t="str">
        <x:v>Thryssa</x:v>
      </x:c>
      <x:c r="F161" s="46" t="str">
        <x:v>Thryssas</x:v>
      </x:c>
      <x:c r="G161" s="46" t="str">
        <x:v>Small pelagics (&lt;30 cm)</x:v>
      </x:c>
      <x:c r="H161" s="46" t="str">
        <x:v>Anchovies</x:v>
      </x:c>
      <x:c r="I161" s="60" t="n">
        <x:v>54.995046542299995</x:v>
      </x:c>
      <x:c r="J161" s="60" t="n">
        <x:v>52.8468881854</x:v>
      </x:c>
      <x:c r="K161" s="60" t="n">
        <x:v>2.1481583569000002</x:v>
      </x:c>
      <x:c r="L161" s="60" t="n">
        <x:v>52.8468881854</x:v>
      </x:c>
      <x:c r="M161" s="60" t="n">
        <x:v>2.1481583569000002</x:v>
      </x:c>
      <x:c r="N161" s="46" t="str">
        <x:v>thryssa</x:v>
      </x:c>
      <x:c r="O161" s="62" t="n">
        <x:v>3.34</x:v>
      </x:c>
      <x:c r="P161" s="46" t="str">
        <x:v>exact_sea_around_us</x:v>
      </x:c>
      <x:c r="Q161" s="62" t="str">
        <x:v>Sea Around Us exploited organisms</x:v>
      </x:c>
      <x:c r="R161" s="46" t="str">
        <x:v>high</x:v>
      </x:c>
      <x:c r="S161" s="46" t="str">
        <x:v>Thryssa</x:v>
      </x:c>
      <x:c r="T161" s="62" t="n">
        <x:f>IF(O161="","",(1/'Metadata'!$B$5)^(O161-1))</x:f>
        <x:v>218.77616239495518</x:v>
      </x:c>
      <x:c r="U161" s="60" t="n">
        <x:f>IF(T161="","",I161*T161)</x:f>
        <x:v>12031.605233256341</x:v>
      </x:c>
    </x:row>
    <x:row r="162" ht="18" customHeight="1">
      <x:c r="A162" s="46" t="str">
        <x:v>LME_035</x:v>
      </x:c>
      <x:c r="B162" s="46" t="str">
        <x:v>Gulf of Thailand</x:v>
      </x:c>
      <x:c r="C162" s="46" t="str">
        <x:v>LME</x:v>
      </x:c>
      <x:c r="D162" s="58" t="n">
        <x:v>2019</x:v>
      </x:c>
      <x:c r="E162" s="46" t="str">
        <x:v>Perciformes</x:v>
      </x:c>
      <x:c r="F162" s="46" t="str">
        <x:v>Perch-likes</x:v>
      </x:c>
      <x:c r="G162" s="46" t="str">
        <x:v>Medium demersals (30 - 89 cm)</x:v>
      </x:c>
      <x:c r="H162" s="46" t="str">
        <x:v>Perch-likes</x:v>
      </x:c>
      <x:c r="I162" s="60" t="n">
        <x:v>47.1864124396</x:v>
      </x:c>
      <x:c r="J162" s="60" t="n">
        <x:v>44.7659709474</x:v>
      </x:c>
      <x:c r="K162" s="60" t="n">
        <x:v>2.4204414922</x:v>
      </x:c>
      <x:c r="L162" s="60" t="n">
        <x:v>41.1754480639</x:v>
      </x:c>
      <x:c r="M162" s="60" t="n">
        <x:v>6.0109643757</x:v>
      </x:c>
      <x:c r="N162" s="46" t="str">
        <x:v>perciformes</x:v>
      </x:c>
      <x:c r="O162" s="62" t="n">
        <x:v>3.53</x:v>
      </x:c>
      <x:c r="P162" s="46" t="str">
        <x:v>exact_sea_around_us</x:v>
      </x:c>
      <x:c r="Q162" s="62" t="str">
        <x:v>Sea Around Us exploited organisms</x:v>
      </x:c>
      <x:c r="R162" s="46" t="str">
        <x:v>high</x:v>
      </x:c>
      <x:c r="S162" s="46" t="str">
        <x:v>Perciformes</x:v>
      </x:c>
      <x:c r="T162" s="62" t="n">
        <x:f>IF(O162="","",(1/'Metadata'!$B$5)^(O162-1))</x:f>
        <x:v>338.84415613920237</x:v>
      </x:c>
      <x:c r="U162" s="60" t="n">
        <x:f>IF(T162="","",I162*T162)</x:f>
        <x:v>15988.840104332623</x:v>
      </x:c>
    </x:row>
    <x:row r="163" ht="18" customHeight="1">
      <x:c r="A163" s="46" t="str">
        <x:v>LME_035</x:v>
      </x:c>
      <x:c r="B163" s="46" t="str">
        <x:v>Gulf of Thailand</x:v>
      </x:c>
      <x:c r="C163" s="46" t="str">
        <x:v>LME</x:v>
      </x:c>
      <x:c r="D163" s="58" t="n">
        <x:v>2019</x:v>
      </x:c>
      <x:c r="E163" s="46" t="str">
        <x:v>Octopus</x:v>
      </x:c>
      <x:c r="F163" s="46" t="str">
        <x:v>Octopuses, pikas</x:v>
      </x:c>
      <x:c r="G163" s="46" t="str">
        <x:v>Cephalopods</x:v>
      </x:c>
      <x:c r="H163" s="46" t="str">
        <x:v>Other fishes &amp; inverts</x:v>
      </x:c>
      <x:c r="I163" s="60" t="n">
        <x:v>43.018021179</x:v>
      </x:c>
      <x:c r="J163" s="60" t="n">
        <x:v>40.8280255918</x:v>
      </x:c>
      <x:c r="K163" s="60" t="n">
        <x:v>2.1899955872</x:v>
      </x:c>
      <x:c r="L163" s="60" t="n">
        <x:v>40.8280255918</x:v>
      </x:c>
      <x:c r="M163" s="60" t="n">
        <x:v>2.1899955872</x:v>
      </x:c>
      <x:c r="N163" s="46" t="str">
        <x:v>octopus</x:v>
      </x:c>
      <x:c r="O163" s="62" t="n">
        <x:v>3.8</x:v>
      </x:c>
      <x:c r="P163" s="46" t="str">
        <x:v>exact_sea_around_us</x:v>
      </x:c>
      <x:c r="Q163" s="62" t="str">
        <x:v>Sea Around Us exploited organisms</x:v>
      </x:c>
      <x:c r="R163" s="46" t="str">
        <x:v>high</x:v>
      </x:c>
      <x:c r="S163" s="46" t="str">
        <x:v>Octopus</x:v>
      </x:c>
      <x:c r="T163" s="62" t="n">
        <x:f>IF(O163="","",(1/'Metadata'!$B$5)^(O163-1))</x:f>
        <x:v>630.957344480193</x:v>
      </x:c>
      <x:c r="U163" s="60" t="n">
        <x:f>IF(T163="","",I163*T163)</x:f>
        <x:v>27142.536407894542</x:v>
      </x:c>
    </x:row>
    <x:row r="164" ht="18" customHeight="1">
      <x:c r="A164" s="46" t="str">
        <x:v>LME_035</x:v>
      </x:c>
      <x:c r="B164" s="46" t="str">
        <x:v>Gulf of Thailand</x:v>
      </x:c>
      <x:c r="C164" s="46" t="str">
        <x:v>LME</x:v>
      </x:c>
      <x:c r="D164" s="58" t="n">
        <x:v>2019</x:v>
      </x:c>
      <x:c r="E164" s="46" t="str">
        <x:v>Photopectoralis bindus</x:v>
      </x:c>
      <x:c r="F164" s="46" t="str">
        <x:v>Orangefin ponyfish</x:v>
      </x:c>
      <x:c r="G164" s="46" t="str">
        <x:v>Large reef assoc. fish (&gt;=90 cm)</x:v>
      </x:c>
      <x:c r="H164" s="46" t="str">
        <x:v>Perch-likes</x:v>
      </x:c>
      <x:c r="I164" s="60" t="n">
        <x:v>42.5081179266</x:v>
      </x:c>
      <x:c r="J164" s="60" t="n">
        <x:v>0</x:v>
      </x:c>
      <x:c r="K164" s="60" t="n">
        <x:v>42.5081179266</x:v>
      </x:c>
      <x:c r="L164" s="60" t="n">
        <x:v>0</x:v>
      </x:c>
      <x:c r="M164" s="60" t="n">
        <x:v>42.5081179266</x:v>
      </x:c>
      <x:c r="N164" s="46" t="str">
        <x:v>photopectoralis bindus</x:v>
      </x:c>
      <x:c r="O164" s="62" t="n">
        <x:v>2.93</x:v>
      </x:c>
      <x:c r="P164" s="46" t="str">
        <x:v>exact_2020_supplement</x:v>
      </x:c>
      <x:c r="Q164" s="62" t="str">
        <x:v>2020 supplement MeanTL</x:v>
      </x:c>
      <x:c r="R164" s="46" t="str">
        <x:v>high</x:v>
      </x:c>
      <x:c r="S164" s="46" t="str">
        <x:v>Photopectoralis bindus</x:v>
      </x:c>
      <x:c r="T164" s="62" t="n">
        <x:f>IF(O164="","",(1/'Metadata'!$B$5)^(O164-1))</x:f>
        <x:v>85.11380382023768</x:v>
      </x:c>
      <x:c r="U164" s="60" t="n">
        <x:f>IF(T164="","",I164*T164)</x:f>
        <x:v>3618.027609972161</x:v>
      </x:c>
    </x:row>
    <x:row r="165" ht="18" customHeight="1">
      <x:c r="A165" s="46" t="str">
        <x:v>LME_035</x:v>
      </x:c>
      <x:c r="B165" s="46" t="str">
        <x:v>Gulf of Thailand</x:v>
      </x:c>
      <x:c r="C165" s="46" t="str">
        <x:v>LME</x:v>
      </x:c>
      <x:c r="D165" s="58" t="n">
        <x:v>2019</x:v>
      </x:c>
      <x:c r="E165" s="46" t="str">
        <x:v>Hyporhamphus</x:v>
      </x:c>
      <x:c r="F165" s="46" t="str">
        <x:v>Sea garfishes</x:v>
      </x:c>
      <x:c r="G165" s="46" t="str">
        <x:v>Small reef assoc. fish (&lt;30 cm)</x:v>
      </x:c>
      <x:c r="H165" s="46" t="str">
        <x:v>Other fishes &amp; inverts</x:v>
      </x:c>
      <x:c r="I165" s="60" t="n">
        <x:v>39.1557080349</x:v>
      </x:c>
      <x:c r="J165" s="60" t="n">
        <x:v>39.1557080349</x:v>
      </x:c>
      <x:c r="K165" s="60" t="n">
        <x:v>0</x:v>
      </x:c>
      <x:c r="L165" s="60" t="n">
        <x:v>25.6916734347</x:v>
      </x:c>
      <x:c r="M165" s="60" t="n">
        <x:v>13.4640346002</x:v>
      </x:c>
      <x:c r="N165" s="46" t="str">
        <x:v>hyporhamphus</x:v>
      </x:c>
      <x:c r="O165" s="62" t="n">
        <x:v>3.3</x:v>
      </x:c>
      <x:c r="P165" s="46" t="str">
        <x:v>exact_sea_around_us</x:v>
      </x:c>
      <x:c r="Q165" s="62" t="str">
        <x:v>Sea Around Us exploited organisms</x:v>
      </x:c>
      <x:c r="R165" s="46" t="str">
        <x:v>high</x:v>
      </x:c>
      <x:c r="S165" s="46" t="str">
        <x:v>Hyporhamphus</x:v>
      </x:c>
      <x:c r="T165" s="62" t="n">
        <x:f>IF(O165="","",(1/'Metadata'!$B$5)^(O165-1))</x:f>
        <x:v>199.52623149688787</x:v>
      </x:c>
      <x:c r="U165" s="60" t="n">
        <x:f>IF(T165="","",I165*T165)</x:f>
        <x:v>7812.59086579601</x:v>
      </x:c>
    </x:row>
    <x:row r="166" ht="18" customHeight="1">
      <x:c r="A166" s="46" t="str">
        <x:v>LME_035</x:v>
      </x:c>
      <x:c r="B166" s="46" t="str">
        <x:v>Gulf of Thailand</x:v>
      </x:c>
      <x:c r="C166" s="46" t="str">
        <x:v>LME</x:v>
      </x:c>
      <x:c r="D166" s="58" t="n">
        <x:v>2019</x:v>
      </x:c>
      <x:c r="E166" s="46" t="str">
        <x:v>Panulirus polyphagus</x:v>
      </x:c>
      <x:c r="F166" s="46" t="str">
        <x:v>Mud spiny lobster</x:v>
      </x:c>
      <x:c r="G166" s="46" t="str">
        <x:v>Lobsters, crabs</x:v>
      </x:c>
      <x:c r="H166" s="46" t="str">
        <x:v>Crustaceans</x:v>
      </x:c>
      <x:c r="I166" s="60" t="n">
        <x:v>37.4449750955</x:v>
      </x:c>
      <x:c r="J166" s="60" t="n">
        <x:v>37.4449750955</x:v>
      </x:c>
      <x:c r="K166" s="60" t="n">
        <x:v>0</x:v>
      </x:c>
      <x:c r="L166" s="60" t="n">
        <x:v>20.74620043</x:v>
      </x:c>
      <x:c r="M166" s="60" t="n">
        <x:v>16.6987746655</x:v>
      </x:c>
      <x:c r="N166" s="46" t="str">
        <x:v>panulirus polyphagus</x:v>
      </x:c>
      <x:c r="O166" s="62" t="n">
        <x:v>2.94</x:v>
      </x:c>
      <x:c r="P166" s="46" t="str">
        <x:v>exact_sea_around_us</x:v>
      </x:c>
      <x:c r="Q166" s="62" t="str">
        <x:v>Sea Around Us exploited organisms</x:v>
      </x:c>
      <x:c r="R166" s="46" t="str">
        <x:v>high</x:v>
      </x:c>
      <x:c r="S166" s="46" t="str">
        <x:v>Panulirus polyphagus</x:v>
      </x:c>
      <x:c r="T166" s="62" t="n">
        <x:f>IF(O166="","",(1/'Metadata'!$B$5)^(O166-1))</x:f>
        <x:v>87.09635899560806</x:v>
      </x:c>
      <x:c r="U166" s="60" t="n">
        <x:f>IF(T166="","",I166*T166)</x:f>
        <x:v>3261.320993499271</x:v>
      </x:c>
    </x:row>
    <x:row r="167" ht="18" customHeight="1">
      <x:c r="A167" s="46" t="str">
        <x:v>LME_035</x:v>
      </x:c>
      <x:c r="B167" s="46" t="str">
        <x:v>Gulf of Thailand</x:v>
      </x:c>
      <x:c r="C167" s="46" t="str">
        <x:v>LME</x:v>
      </x:c>
      <x:c r="D167" s="58" t="n">
        <x:v>2019</x:v>
      </x:c>
      <x:c r="E167" s="46" t="str">
        <x:v>Platycaranx malabaricus</x:v>
      </x:c>
      <x:c r="F167" s="46" t="str">
        <x:v>Malabar trevally</x:v>
      </x:c>
      <x:c r="G167" s="46" t="str">
        <x:v>Medium reef assoc. fish (30 - 89 cm)</x:v>
      </x:c>
      <x:c r="H167" s="46" t="str">
        <x:v>Perch-likes</x:v>
      </x:c>
      <x:c r="I167" s="60" t="n">
        <x:v>35.746010263100004</x:v>
      </x:c>
      <x:c r="J167" s="60" t="n">
        <x:v>33.7146756842</x:v>
      </x:c>
      <x:c r="K167" s="60" t="n">
        <x:v>2.0313345789</x:v>
      </x:c>
      <x:c r="L167" s="60" t="n">
        <x:v>33.7146756842</x:v>
      </x:c>
      <x:c r="M167" s="60" t="n">
        <x:v>2.0313345789</x:v>
      </x:c>
      <x:c r="N167" s="46" t="str">
        <x:v>platycaranx malabaricus</x:v>
      </x:c>
      <x:c r="O167" s="62" t="n">
        <x:v>3.88</x:v>
      </x:c>
      <x:c r="P167" s="46" t="str">
        <x:v>exact_sea_around_us</x:v>
      </x:c>
      <x:c r="Q167" s="62" t="str">
        <x:v>Sea Around Us exploited organisms</x:v>
      </x:c>
      <x:c r="R167" s="46" t="str">
        <x:v>high</x:v>
      </x:c>
      <x:c r="S167" s="46" t="str">
        <x:v>Platycaranx malabaricus</x:v>
      </x:c>
      <x:c r="T167" s="62" t="n">
        <x:f>IF(O167="","",(1/'Metadata'!$B$5)^(O167-1))</x:f>
        <x:v>758.5775750291835</x:v>
      </x:c>
      <x:c r="U167" s="60" t="n">
        <x:f>IF(T167="","",I167*T167)</x:f>
        <x:v>27116.121782350707</x:v>
      </x:c>
    </x:row>
    <x:row r="168" ht="18" customHeight="1">
      <x:c r="A168" s="46" t="str">
        <x:v>LME_035</x:v>
      </x:c>
      <x:c r="B168" s="46" t="str">
        <x:v>Gulf of Thailand</x:v>
      </x:c>
      <x:c r="C168" s="46" t="str">
        <x:v>LME</x:v>
      </x:c>
      <x:c r="D168" s="58" t="n">
        <x:v>2019</x:v>
      </x:c>
      <x:c r="E168" s="46" t="str">
        <x:v>Terapon theraps</x:v>
      </x:c>
      <x:c r="F168" s="46" t="str">
        <x:v>Largescaled terapon</x:v>
      </x:c>
      <x:c r="G168" s="46" t="str">
        <x:v>Small pelagics (&lt;30 cm)</x:v>
      </x:c>
      <x:c r="H168" s="46" t="str">
        <x:v>Perch-likes</x:v>
      </x:c>
      <x:c r="I168" s="60" t="n">
        <x:v>34.4387151375</x:v>
      </x:c>
      <x:c r="J168" s="60" t="n">
        <x:v>0</x:v>
      </x:c>
      <x:c r="K168" s="60" t="n">
        <x:v>34.4387151375</x:v>
      </x:c>
      <x:c r="L168" s="60" t="n">
        <x:v>0</x:v>
      </x:c>
      <x:c r="M168" s="60" t="n">
        <x:v>34.4387151375</x:v>
      </x:c>
      <x:c r="N168" s="46" t="str">
        <x:v>terapon theraps</x:v>
      </x:c>
      <x:c r="O168" s="62" t="n">
        <x:v>3.49</x:v>
      </x:c>
      <x:c r="P168" s="46" t="str">
        <x:v>exact_2020_supplement</x:v>
      </x:c>
      <x:c r="Q168" s="62" t="str">
        <x:v>2020 supplement MeanTL</x:v>
      </x:c>
      <x:c r="R168" s="46" t="str">
        <x:v>high</x:v>
      </x:c>
      <x:c r="S168" s="46" t="str">
        <x:v>Terapon theraps</x:v>
      </x:c>
      <x:c r="T168" s="62" t="n">
        <x:f>IF(O168="","",(1/'Metadata'!$B$5)^(O168-1))</x:f>
        <x:v>309.0295432513592</x:v>
      </x:c>
      <x:c r="U168" s="60" t="n">
        <x:f>IF(T168="","",I168*T168)</x:f>
        <x:v>10642.580409105294</x:v>
      </x:c>
    </x:row>
    <x:row r="169" ht="18" customHeight="1">
      <x:c r="A169" s="46" t="str">
        <x:v>LME_035</x:v>
      </x:c>
      <x:c r="B169" s="46" t="str">
        <x:v>Gulf of Thailand</x:v>
      </x:c>
      <x:c r="C169" s="46" t="str">
        <x:v>LME</x:v>
      </x:c>
      <x:c r="D169" s="58" t="n">
        <x:v>2019</x:v>
      </x:c>
      <x:c r="E169" s="46" t="str">
        <x:v>Makaira mazara</x:v>
      </x:c>
      <x:c r="F169" s="46" t="str">
        <x:v>Indo-Pacific blue marlin</x:v>
      </x:c>
      <x:c r="G169" s="46" t="str">
        <x:v>Large pelagics (&gt;=90 cm)</x:v>
      </x:c>
      <x:c r="H169" s="46" t="str">
        <x:v>Tuna &amp; billfishes</x:v>
      </x:c>
      <x:c r="I169" s="60" t="n">
        <x:v>29.5033612259</x:v>
      </x:c>
      <x:c r="J169" s="60" t="n">
        <x:v>29.5033612259</x:v>
      </x:c>
      <x:c r="K169" s="60" t="n">
        <x:v>0</x:v>
      </x:c>
      <x:c r="L169" s="60" t="n">
        <x:v>29.3549317035</x:v>
      </x:c>
      <x:c r="M169" s="60" t="n">
        <x:v>0.1484295224</x:v>
      </x:c>
      <x:c r="N169" s="46" t="str">
        <x:v>makaira mazara</x:v>
      </x:c>
      <x:c r="O169" s="62" t="n">
        <x:v>4.46</x:v>
      </x:c>
      <x:c r="P169" s="46" t="str">
        <x:v>exact_2020_supplement</x:v>
      </x:c>
      <x:c r="Q169" s="62" t="str">
        <x:v>2020 supplement MeanTL</x:v>
      </x:c>
      <x:c r="R169" s="46" t="str">
        <x:v>high</x:v>
      </x:c>
      <x:c r="S169" s="46" t="str">
        <x:v>Makaira mazara</x:v>
      </x:c>
      <x:c r="T169" s="62" t="n">
        <x:f>IF(O169="","",(1/'Metadata'!$B$5)^(O169-1))</x:f>
        <x:v>2884.031503126606</x:v>
      </x:c>
      <x:c r="U169" s="60" t="n">
        <x:f>IF(T169="","",I169*T169)</x:f>
        <x:v>85088.62322361961</x:v>
      </x:c>
    </x:row>
    <x:row r="170" ht="18" customHeight="1">
      <x:c r="A170" s="46" t="str">
        <x:v>LME_035</x:v>
      </x:c>
      <x:c r="B170" s="46" t="str">
        <x:v>Gulf of Thailand</x:v>
      </x:c>
      <x:c r="C170" s="46" t="str">
        <x:v>LME</x:v>
      </x:c>
      <x:c r="D170" s="58" t="n">
        <x:v>2019</x:v>
      </x:c>
      <x:c r="E170" s="46" t="str">
        <x:v>Pampus</x:v>
      </x:c>
      <x:c r="F170" s="46" t="str">
        <x:v>Silver pomfrets</x:v>
      </x:c>
      <x:c r="G170" s="46" t="str">
        <x:v>Medium benthopelagics (30 - 89 cm)</x:v>
      </x:c>
      <x:c r="H170" s="46" t="str">
        <x:v>Perch-likes</x:v>
      </x:c>
      <x:c r="I170" s="60" t="n">
        <x:v>28.3403697579</x:v>
      </x:c>
      <x:c r="J170" s="60" t="n">
        <x:v>28.3403697579</x:v>
      </x:c>
      <x:c r="K170" s="60" t="n">
        <x:v>0</x:v>
      </x:c>
      <x:c r="L170" s="60" t="n">
        <x:v>17.146164683200002</x:v>
      </x:c>
      <x:c r="M170" s="60" t="n">
        <x:v>11.194205074700001</x:v>
      </x:c>
      <x:c r="N170" s="46" t="str">
        <x:v>pampus</x:v>
      </x:c>
      <x:c r="O170" s="62" t="n">
        <x:v>3.41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Pampus</x:v>
      </x:c>
      <x:c r="T170" s="62" t="n">
        <x:f>IF(O170="","",(1/'Metadata'!$B$5)^(O170-1))</x:f>
        <x:v>257.03957827688646</x:v>
      </x:c>
      <x:c r="U170" s="60" t="n">
        <x:f>IF(T170="","",I170*T170)</x:f>
        <x:v>7284.596690781643</x:v>
      </x:c>
    </x:row>
    <x:row r="171" ht="18" customHeight="1">
      <x:c r="A171" s="46" t="str">
        <x:v>LME_035</x:v>
      </x:c>
      <x:c r="B171" s="46" t="str">
        <x:v>Gulf of Thailand</x:v>
      </x:c>
      <x:c r="C171" s="46" t="str">
        <x:v>LME</x:v>
      </x:c>
      <x:c r="D171" s="58" t="n">
        <x:v>2019</x:v>
      </x:c>
      <x:c r="E171" s="46" t="str">
        <x:v>Aluterus</x:v>
      </x:c>
      <x:c r="F171" s="46" t="str">
        <x:v>Aluterid filefishes</x:v>
      </x:c>
      <x:c r="G171" s="46" t="str">
        <x:v>Large reef assoc. fish (&gt;=90 cm)</x:v>
      </x:c>
      <x:c r="H171" s="46" t="str">
        <x:v>Other fishes &amp; inverts</x:v>
      </x:c>
      <x:c r="I171" s="60" t="n">
        <x:v>28.273266428</x:v>
      </x:c>
      <x:c r="J171" s="60" t="n">
        <x:v>27.6230068356</x:v>
      </x:c>
      <x:c r="K171" s="60" t="n">
        <x:v>0.6502595924</x:v>
      </x:c>
      <x:c r="L171" s="60" t="n">
        <x:v>27.6230068356</x:v>
      </x:c>
      <x:c r="M171" s="60" t="n">
        <x:v>0.6502595924</x:v>
      </x:c>
      <x:c r="N171" s="46" t="str">
        <x:v>aluterus</x:v>
      </x:c>
      <x:c r="O171" s="62" t="n">
        <x:v>2.81</x:v>
      </x:c>
      <x:c r="P171" s="46" t="str">
        <x:v>exact_sea_around_us</x:v>
      </x:c>
      <x:c r="Q171" s="62" t="str">
        <x:v>Sea Around Us exploited organisms</x:v>
      </x:c>
      <x:c r="R171" s="46" t="str">
        <x:v>high</x:v>
      </x:c>
      <x:c r="S171" s="46" t="str">
        <x:v>Aluterus</x:v>
      </x:c>
      <x:c r="T171" s="62" t="n">
        <x:f>IF(O171="","",(1/'Metadata'!$B$5)^(O171-1))</x:f>
        <x:v>64.56542290346556</x:v>
      </x:c>
      <x:c r="U171" s="60" t="n">
        <x:f>IF(T171="","",I171*T171)</x:f>
        <x:v>1825.475403786175</x:v>
      </x:c>
    </x:row>
    <x:row r="172" ht="18" customHeight="1">
      <x:c r="A172" s="46" t="str">
        <x:v>LME_035</x:v>
      </x:c>
      <x:c r="B172" s="46" t="str">
        <x:v>Gulf of Thailand</x:v>
      </x:c>
      <x:c r="C172" s="46" t="str">
        <x:v>LME</x:v>
      </x:c>
      <x:c r="D172" s="58" t="n">
        <x:v>2019</x:v>
      </x:c>
      <x:c r="E172" s="46" t="str">
        <x:v>Priacanthus tayenus</x:v>
      </x:c>
      <x:c r="F172" s="46" t="str">
        <x:v>Purple-spotted bigeye</x:v>
      </x:c>
      <x:c r="G172" s="46" t="str">
        <x:v>Small pelagics (&lt;30 cm)</x:v>
      </x:c>
      <x:c r="H172" s="46" t="str">
        <x:v>Perch-likes</x:v>
      </x:c>
      <x:c r="I172" s="60" t="n">
        <x:v>25.1275163458</x:v>
      </x:c>
      <x:c r="J172" s="60" t="n">
        <x:v>0</x:v>
      </x:c>
      <x:c r="K172" s="60" t="n">
        <x:v>25.1275163458</x:v>
      </x:c>
      <x:c r="L172" s="60" t="n">
        <x:v>0</x:v>
      </x:c>
      <x:c r="M172" s="60" t="n">
        <x:v>25.1275163458</x:v>
      </x:c>
      <x:c r="N172" s="46" t="str">
        <x:v>priacanthus tayenus</x:v>
      </x:c>
      <x:c r="O172" s="62" t="n">
        <x:v>3.79</x:v>
      </x:c>
      <x:c r="P172" s="46" t="str">
        <x:v>exact_2020_supplement</x:v>
      </x:c>
      <x:c r="Q172" s="62" t="str">
        <x:v>2020 supplement MeanTL</x:v>
      </x:c>
      <x:c r="R172" s="46" t="str">
        <x:v>high</x:v>
      </x:c>
      <x:c r="S172" s="46" t="str">
        <x:v>Priacanthus tayenus</x:v>
      </x:c>
      <x:c r="T172" s="62" t="n">
        <x:f>IF(O172="","",(1/'Metadata'!$B$5)^(O172-1))</x:f>
        <x:v>616.5950018614822</x:v>
      </x:c>
      <x:c r="U172" s="60" t="n">
        <x:f>IF(T172="","",I172*T172)</x:f>
        <x:v>15493.500988012975</x:v>
      </x:c>
    </x:row>
    <x:row r="173" ht="18" customHeight="1">
      <x:c r="A173" s="46" t="str">
        <x:v>LME_035</x:v>
      </x:c>
      <x:c r="B173" s="46" t="str">
        <x:v>Gulf of Thailand</x:v>
      </x:c>
      <x:c r="C173" s="46" t="str">
        <x:v>LME</x:v>
      </x:c>
      <x:c r="D173" s="58" t="n">
        <x:v>2019</x:v>
      </x:c>
      <x:c r="E173" s="46" t="str">
        <x:v>Eubleekeria splendens</x:v>
      </x:c>
      <x:c r="F173" s="46" t="str">
        <x:v>Splendid ponyfish</x:v>
      </x:c>
      <x:c r="G173" s="46" t="str">
        <x:v>Small pelagics (&lt;30 cm)</x:v>
      </x:c>
      <x:c r="H173" s="46" t="str">
        <x:v>Perch-likes</x:v>
      </x:c>
      <x:c r="I173" s="60" t="n">
        <x:v>22.851540675</x:v>
      </x:c>
      <x:c r="J173" s="60" t="n">
        <x:v>0</x:v>
      </x:c>
      <x:c r="K173" s="60" t="n">
        <x:v>22.851540675</x:v>
      </x:c>
      <x:c r="L173" s="60" t="n">
        <x:v>0</x:v>
      </x:c>
      <x:c r="M173" s="60" t="n">
        <x:v>22.851540675</x:v>
      </x:c>
      <x:c r="N173" s="46" t="str">
        <x:v>eubleekeria splendens</x:v>
      </x:c>
      <x:c r="O173" s="62" t="n">
        <x:v>2.94</x:v>
      </x:c>
      <x:c r="P173" s="46" t="str">
        <x:v>exact_2020_supplement</x:v>
      </x:c>
      <x:c r="Q173" s="62" t="str">
        <x:v>2020 supplement MeanTL</x:v>
      </x:c>
      <x:c r="R173" s="46" t="str">
        <x:v>high</x:v>
      </x:c>
      <x:c r="S173" s="46" t="str">
        <x:v>Eubleekeria splendens</x:v>
      </x:c>
      <x:c r="T173" s="62" t="n">
        <x:f>IF(O173="","",(1/'Metadata'!$B$5)^(O173-1))</x:f>
        <x:v>87.09635899560806</x:v>
      </x:c>
      <x:c r="U173" s="60" t="n">
        <x:f>IF(T173="","",I173*T173)</x:f>
        <x:v>1990.2859902325395</x:v>
      </x:c>
    </x:row>
    <x:row r="174" ht="18" customHeight="1">
      <x:c r="A174" s="46" t="str">
        <x:v>LME_035</x:v>
      </x:c>
      <x:c r="B174" s="46" t="str">
        <x:v>Gulf of Thailand</x:v>
      </x:c>
      <x:c r="C174" s="46" t="str">
        <x:v>LME</x:v>
      </x:c>
      <x:c r="D174" s="58" t="n">
        <x:v>2019</x:v>
      </x:c>
      <x:c r="E174" s="46" t="str">
        <x:v>Sphyraenidae</x:v>
      </x:c>
      <x:c r="F174" s="46" t="str">
        <x:v>Barracudas</x:v>
      </x:c>
      <x:c r="G174" s="46" t="str">
        <x:v>Medium reef assoc. fish (30 - 89 cm)</x:v>
      </x:c>
      <x:c r="H174" s="46" t="str">
        <x:v>Perch-likes</x:v>
      </x:c>
      <x:c r="I174" s="60" t="n">
        <x:v>14.226888155300001</x:v>
      </x:c>
      <x:c r="J174" s="60" t="n">
        <x:v>14.226888155300001</x:v>
      </x:c>
      <x:c r="K174" s="60" t="n">
        <x:v>0</x:v>
      </x:c>
      <x:c r="L174" s="60" t="n">
        <x:v>14.1709778721</x:v>
      </x:c>
      <x:c r="M174" s="60" t="n">
        <x:v>0.0559102832</x:v>
      </x:c>
      <x:c r="N174" s="46" t="str">
        <x:v>sphyraenidae</x:v>
      </x:c>
      <x:c r="O174" s="62" t="n">
        <x:v>4.4</x:v>
      </x:c>
      <x:c r="P174" s="46" t="str">
        <x:v>exact_sea_around_us</x:v>
      </x:c>
      <x:c r="Q174" s="62" t="str">
        <x:v>Sea Around Us exploited organisms</x:v>
      </x:c>
      <x:c r="R174" s="46" t="str">
        <x:v>high</x:v>
      </x:c>
      <x:c r="S174" s="46" t="str">
        <x:v>Sphyraenidae</x:v>
      </x:c>
      <x:c r="T174" s="62" t="n">
        <x:f>IF(O174="","",(1/'Metadata'!$B$5)^(O174-1))</x:f>
        <x:v>2511.886431509582</x:v>
      </x:c>
      <x:c r="U174" s="60" t="n">
        <x:f>IF(T174="","",I174*T174)</x:f>
        <x:v>35736.32731990246</x:v>
      </x:c>
    </x:row>
    <x:row r="175" ht="18" customHeight="1">
      <x:c r="A175" s="46" t="str">
        <x:v>LME_035</x:v>
      </x:c>
      <x:c r="B175" s="46" t="str">
        <x:v>Gulf of Thailand</x:v>
      </x:c>
      <x:c r="C175" s="46" t="str">
        <x:v>LME</x:v>
      </x:c>
      <x:c r="D175" s="58" t="n">
        <x:v>2019</x:v>
      </x:c>
      <x:c r="E175" s="46" t="str">
        <x:v>Scatophagus argus</x:v>
      </x:c>
      <x:c r="F175" s="46" t="str">
        <x:v>Spotted scat</x:v>
      </x:c>
      <x:c r="G175" s="46" t="str">
        <x:v>Medium demersals (30 - 89 cm)</x:v>
      </x:c>
      <x:c r="H175" s="46" t="str">
        <x:v>Perch-likes</x:v>
      </x:c>
      <x:c r="I175" s="60" t="n">
        <x:v>12.808705887799999</x:v>
      </x:c>
      <x:c r="J175" s="60" t="n">
        <x:v>12.808705887799999</x:v>
      </x:c>
      <x:c r="K175" s="60" t="n">
        <x:v>0</x:v>
      </x:c>
      <x:c r="L175" s="60" t="n">
        <x:v>7.1254761632</x:v>
      </x:c>
      <x:c r="M175" s="60" t="n">
        <x:v>5.683229724599999</x:v>
      </x:c>
      <x:c r="N175" s="46" t="str">
        <x:v>scatophagus argus</x:v>
      </x:c>
      <x:c r="O175" s="62" t="n">
        <x:v>2.99</x:v>
      </x:c>
      <x:c r="P175" s="46" t="str">
        <x:v>exact_2020_supplement</x:v>
      </x:c>
      <x:c r="Q175" s="62" t="str">
        <x:v>2020 supplement MeanTL</x:v>
      </x:c>
      <x:c r="R175" s="46" t="str">
        <x:v>high</x:v>
      </x:c>
      <x:c r="S175" s="46" t="str">
        <x:v>Scatophagus argus</x:v>
      </x:c>
      <x:c r="T175" s="62" t="n">
        <x:f>IF(O175="","",(1/'Metadata'!$B$5)^(O175-1))</x:f>
        <x:v>97.72372209558111</x:v>
      </x:c>
      <x:c r="U175" s="60" t="n">
        <x:f>IF(T175="","",I175*T175)</x:f>
        <x:v>1251.7144145834006</x:v>
      </x:c>
    </x:row>
    <x:row r="176" ht="18" customHeight="1">
      <x:c r="A176" s="46" t="str">
        <x:v>LME_035</x:v>
      </x:c>
      <x:c r="B176" s="46" t="str">
        <x:v>Gulf of Thailand</x:v>
      </x:c>
      <x:c r="C176" s="46" t="str">
        <x:v>LME</x:v>
      </x:c>
      <x:c r="D176" s="58" t="n">
        <x:v>2019</x:v>
      </x:c>
      <x:c r="E176" s="46" t="str">
        <x:v>Ostreidae</x:v>
      </x:c>
      <x:c r="F176" s="46" t="str">
        <x:v>True oysters</x:v>
      </x:c>
      <x:c r="G176" s="46" t="str">
        <x:v>Other demersal invertebrates</x:v>
      </x:c>
      <x:c r="H176" s="46" t="str">
        <x:v>Molluscs</x:v>
      </x:c>
      <x:c r="I176" s="60" t="n">
        <x:v>12.2339165956</x:v>
      </x:c>
      <x:c r="J176" s="60" t="n">
        <x:v>12.2339165956</x:v>
      </x:c>
      <x:c r="K176" s="60" t="n">
        <x:v>0</x:v>
      </x:c>
      <x:c r="L176" s="60" t="n">
        <x:v>6.8930343326</x:v>
      </x:c>
      <x:c r="M176" s="60" t="n">
        <x:v>5.340882263</x:v>
      </x:c>
      <x:c r="N176" s="46" t="str">
        <x:v>ostreidae</x:v>
      </x:c>
      <x:c r="O176" s="62" t="n">
        <x:v>2</x:v>
      </x:c>
      <x:c r="P176" s="46" t="str">
        <x:v>exact_sea_around_us</x:v>
      </x:c>
      <x:c r="Q176" s="62" t="str">
        <x:v>Sea Around Us exploited organisms</x:v>
      </x:c>
      <x:c r="R176" s="46" t="str">
        <x:v>high</x:v>
      </x:c>
      <x:c r="S176" s="46" t="str">
        <x:v>Ostreidae</x:v>
      </x:c>
      <x:c r="T176" s="62" t="n">
        <x:f>IF(O176="","",(1/'Metadata'!$B$5)^(O176-1))</x:f>
        <x:v>10</x:v>
      </x:c>
      <x:c r="U176" s="60" t="n">
        <x:f>IF(T176="","",I176*T176)</x:f>
        <x:v>122.339165956</x:v>
      </x:c>
    </x:row>
    <x:row r="177" ht="18" customHeight="1">
      <x:c r="A177" s="46" t="str">
        <x:v>LME_035</x:v>
      </x:c>
      <x:c r="B177" s="46" t="str">
        <x:v>Gulf of Thailand</x:v>
      </x:c>
      <x:c r="C177" s="46" t="str">
        <x:v>LME</x:v>
      </x:c>
      <x:c r="D177" s="58" t="n">
        <x:v>2019</x:v>
      </x:c>
      <x:c r="E177" s="46" t="str">
        <x:v>Istiompax indica</x:v>
      </x:c>
      <x:c r="F177" s="46" t="str">
        <x:v>Black marlin</x:v>
      </x:c>
      <x:c r="G177" s="46" t="str">
        <x:v>Large pelagics (&gt;=90 cm)</x:v>
      </x:c>
      <x:c r="H177" s="46" t="str">
        <x:v>Tuna &amp; billfishes</x:v>
      </x:c>
      <x:c r="I177" s="60" t="n">
        <x:v>11.3508928244</x:v>
      </x:c>
      <x:c r="J177" s="60" t="n">
        <x:v>11.3508928244</x:v>
      </x:c>
      <x:c r="K177" s="60" t="n">
        <x:v>0</x:v>
      </x:c>
      <x:c r="L177" s="60" t="n">
        <x:v>11.1715254593</x:v>
      </x:c>
      <x:c r="M177" s="60" t="n">
        <x:v>0.17936736509999998</x:v>
      </x:c>
      <x:c r="N177" s="46" t="str">
        <x:v>istiompax indica</x:v>
      </x:c>
      <x:c r="O177" s="62" t="n">
        <x:v>4.5</x:v>
      </x:c>
      <x:c r="P177" s="46" t="str">
        <x:v>exact_2020_supplement</x:v>
      </x:c>
      <x:c r="Q177" s="62" t="str">
        <x:v>2020 supplement MeanTL</x:v>
      </x:c>
      <x:c r="R177" s="46" t="str">
        <x:v>high</x:v>
      </x:c>
      <x:c r="S177" s="46" t="str">
        <x:v>Istiompax indica</x:v>
      </x:c>
      <x:c r="T177" s="62" t="n">
        <x:f>IF(O177="","",(1/'Metadata'!$B$5)^(O177-1))</x:f>
        <x:v>3162.2776601683795</x:v>
      </x:c>
      <x:c r="U177" s="60" t="n">
        <x:f>IF(T177="","",I177*T177)</x:f>
        <x:v>35894.674801565685</x:v>
      </x:c>
    </x:row>
    <x:row r="178" ht="18" customHeight="1">
      <x:c r="A178" s="46" t="str">
        <x:v>LME_035</x:v>
      </x:c>
      <x:c r="B178" s="46" t="str">
        <x:v>Gulf of Thailand</x:v>
      </x:c>
      <x:c r="C178" s="46" t="str">
        <x:v>LME</x:v>
      </x:c>
      <x:c r="D178" s="58" t="n">
        <x:v>2019</x:v>
      </x:c>
      <x:c r="E178" s="46" t="str">
        <x:v>Cephalopoda</x:v>
      </x:c>
      <x:c r="F178" s="46" t="str">
        <x:v>Squids, cuttlefishes, octopuses</x:v>
      </x:c>
      <x:c r="G178" s="46" t="str">
        <x:v>Cephalopods</x:v>
      </x:c>
      <x:c r="H178" s="46" t="str">
        <x:v>Other fishes &amp; inverts</x:v>
      </x:c>
      <x:c r="I178" s="60" t="n">
        <x:v>7.6003847787000005</x:v>
      </x:c>
      <x:c r="J178" s="60" t="n">
        <x:v>7.6003847787000005</x:v>
      </x:c>
      <x:c r="K178" s="60" t="n">
        <x:v>0</x:v>
      </x:c>
      <x:c r="L178" s="60" t="n">
        <x:v>7.5627413021</x:v>
      </x:c>
      <x:c r="M178" s="60" t="n">
        <x:v>0.0376434766</x:v>
      </x:c>
      <x:c r="N178" s="46" t="str">
        <x:v>cephalopoda</x:v>
      </x:c>
      <x:c r="O178" s="62" t="n">
        <x:v>3.81</x:v>
      </x:c>
      <x:c r="P178" s="46" t="str">
        <x:v>exact_sea_around_us</x:v>
      </x:c>
      <x:c r="Q178" s="62" t="str">
        <x:v>Sea Around Us exploited organisms</x:v>
      </x:c>
      <x:c r="R178" s="46" t="str">
        <x:v>high</x:v>
      </x:c>
      <x:c r="S178" s="46" t="str">
        <x:v>Cephalopoda</x:v>
      </x:c>
      <x:c r="T178" s="62" t="n">
        <x:f>IF(O178="","",(1/'Metadata'!$B$5)^(O178-1))</x:f>
        <x:v>645.6542290346556</x:v>
      </x:c>
      <x:c r="U178" s="60" t="n">
        <x:f>IF(T178="","",I178*T178)</x:f>
        <x:v>4907.22057465828</x:v>
      </x:c>
    </x:row>
    <x:row r="179" ht="18" customHeight="1">
      <x:c r="A179" s="46" t="str">
        <x:v>LME_035</x:v>
      </x:c>
      <x:c r="B179" s="46" t="str">
        <x:v>Gulf of Thailand</x:v>
      </x:c>
      <x:c r="C179" s="46" t="str">
        <x:v>LME</x:v>
      </x:c>
      <x:c r="D179" s="58" t="n">
        <x:v>2019</x:v>
      </x:c>
      <x:c r="E179" s="46" t="str">
        <x:v>Malacostraca</x:v>
      </x:c>
      <x:c r="F179" s="46" t="str">
        <x:v>Lobsters, crabs, shrimps, krill</x:v>
      </x:c>
      <x:c r="G179" s="46" t="str">
        <x:v>Shrimps</x:v>
      </x:c>
      <x:c r="H179" s="46" t="str">
        <x:v>Crustaceans</x:v>
      </x:c>
      <x:c r="I179" s="60" t="n">
        <x:v>7.4767301622</x:v>
      </x:c>
      <x:c r="J179" s="60" t="n">
        <x:v>7.4767301622</x:v>
      </x:c>
      <x:c r="K179" s="60" t="n">
        <x:v>0</x:v>
      </x:c>
      <x:c r="L179" s="60" t="n">
        <x:v>5.019542164100001</x:v>
      </x:c>
      <x:c r="M179" s="60" t="n">
        <x:v>2.4571879981</x:v>
      </x:c>
      <x:c r="N179" s="46" t="str">
        <x:v>malacostraca</x:v>
      </x:c>
      <x:c r="O179" s="62" t="n">
        <x:v>3</x:v>
      </x:c>
      <x:c r="P179" s="46" t="str">
        <x:v>exact_sea_around_us</x:v>
      </x:c>
      <x:c r="Q179" s="62" t="str">
        <x:v>Sea Around Us exploited organisms</x:v>
      </x:c>
      <x:c r="R179" s="46" t="str">
        <x:v>high</x:v>
      </x:c>
      <x:c r="S179" s="46" t="str">
        <x:v>Malacostraca</x:v>
      </x:c>
      <x:c r="T179" s="62" t="n">
        <x:f>IF(O179="","",(1/'Metadata'!$B$5)^(O179-1))</x:f>
        <x:v>100</x:v>
      </x:c>
      <x:c r="U179" s="60" t="n">
        <x:f>IF(T179="","",I179*T179)</x:f>
        <x:v>747.67301622</x:v>
      </x:c>
    </x:row>
    <x:row r="180" ht="18" customHeight="1">
      <x:c r="A180" s="46" t="str">
        <x:v>LME_035</x:v>
      </x:c>
      <x:c r="B180" s="46" t="str">
        <x:v>Gulf of Thailand</x:v>
      </x:c>
      <x:c r="C180" s="46" t="str">
        <x:v>LME</x:v>
      </x:c>
      <x:c r="D180" s="58" t="n">
        <x:v>2019</x:v>
      </x:c>
      <x:c r="E180" s="46" t="str">
        <x:v>Platycephalus indicus</x:v>
      </x:c>
      <x:c r="F180" s="46" t="str">
        <x:v>Bartail flathead</x:v>
      </x:c>
      <x:c r="G180" s="46" t="str">
        <x:v>Medium demersals (30 - 89 cm)</x:v>
      </x:c>
      <x:c r="H180" s="46" t="str">
        <x:v>Scorpionfishes</x:v>
      </x:c>
      <x:c r="I180" s="60" t="n">
        <x:v>6.8116761183</x:v>
      </x:c>
      <x:c r="J180" s="60" t="n">
        <x:v>0</x:v>
      </x:c>
      <x:c r="K180" s="60" t="n">
        <x:v>6.8116761183</x:v>
      </x:c>
      <x:c r="L180" s="60" t="n">
        <x:v>0</x:v>
      </x:c>
      <x:c r="M180" s="60" t="n">
        <x:v>6.8116761183</x:v>
      </x:c>
      <x:c r="N180" s="46" t="str">
        <x:v>platycephalus indicus</x:v>
      </x:c>
      <x:c r="O180" s="62" t="n">
        <x:v>3.6</x:v>
      </x:c>
      <x:c r="P180" s="46" t="str">
        <x:v>exact_2020_supplement</x:v>
      </x:c>
      <x:c r="Q180" s="62" t="str">
        <x:v>2020 supplement MeanTL</x:v>
      </x:c>
      <x:c r="R180" s="46" t="str">
        <x:v>high</x:v>
      </x:c>
      <x:c r="S180" s="46" t="str">
        <x:v>Platycephalus indicus</x:v>
      </x:c>
      <x:c r="T180" s="62" t="n">
        <x:f>IF(O180="","",(1/'Metadata'!$B$5)^(O180-1))</x:f>
        <x:v>398.1071705534973</x:v>
      </x:c>
      <x:c r="U180" s="60" t="n">
        <x:f>IF(T180="","",I180*T180)</x:f>
        <x:v>2711.7771061832427</x:v>
      </x:c>
    </x:row>
    <x:row r="181" ht="18" customHeight="1">
      <x:c r="A181" s="46" t="str">
        <x:v>LME_035</x:v>
      </x:c>
      <x:c r="B181" s="46" t="str">
        <x:v>Gulf of Thailand</x:v>
      </x:c>
      <x:c r="C181" s="46" t="str">
        <x:v>LME</x:v>
      </x:c>
      <x:c r="D181" s="58" t="n">
        <x:v>2019</x:v>
      </x:c>
      <x:c r="E181" s="46" t="str">
        <x:v>Makaira</x:v>
      </x:c>
      <x:c r="F181" s="46" t="str">
        <x:v>Blue marlins</x:v>
      </x:c>
      <x:c r="G181" s="46" t="str">
        <x:v>Large pelagics (&gt;=90 cm)</x:v>
      </x:c>
      <x:c r="H181" s="46" t="str">
        <x:v>Tuna &amp; billfishes</x:v>
      </x:c>
      <x:c r="I181" s="60" t="n">
        <x:v>5.2115512416</x:v>
      </x:c>
      <x:c r="J181" s="60" t="n">
        <x:v>5.2115512416</x:v>
      </x:c>
      <x:c r="K181" s="60" t="n">
        <x:v>0</x:v>
      </x:c>
      <x:c r="L181" s="60" t="n">
        <x:v>2.981088227</x:v>
      </x:c>
      <x:c r="M181" s="60" t="n">
        <x:v>2.2304630146</x:v>
      </x:c>
      <x:c r="N181" s="46" t="str">
        <x:v>makaira</x:v>
      </x:c>
      <x:c r="O181" s="62" t="n">
        <x:v>4.47</x:v>
      </x:c>
      <x:c r="P181" s="46" t="str">
        <x:v>exact_sea_around_us</x:v>
      </x:c>
      <x:c r="Q181" s="62" t="str">
        <x:v>Sea Around Us exploited organisms</x:v>
      </x:c>
      <x:c r="R181" s="46" t="str">
        <x:v>high</x:v>
      </x:c>
      <x:c r="S181" s="46" t="str">
        <x:v>Makaira</x:v>
      </x:c>
      <x:c r="T181" s="62" t="n">
        <x:f>IF(O181="","",(1/'Metadata'!$B$5)^(O181-1))</x:f>
        <x:v>2951.209226666384</x:v>
      </x:c>
      <x:c r="U181" s="60" t="n">
        <x:f>IF(T181="","",I181*T181)</x:f>
        <x:v>15380.378109454568</x:v>
      </x:c>
    </x:row>
    <x:row r="182" ht="18" customHeight="1">
      <x:c r="A182" s="46" t="str">
        <x:v>LME_035</x:v>
      </x:c>
      <x:c r="B182" s="46" t="str">
        <x:v>Gulf of Thailand</x:v>
      </x:c>
      <x:c r="C182" s="46" t="str">
        <x:v>LME</x:v>
      </x:c>
      <x:c r="D182" s="58" t="n">
        <x:v>2019</x:v>
      </x:c>
      <x:c r="E182" s="46" t="str">
        <x:v>Clupeiformes</x:v>
      </x:c>
      <x:c r="F182" s="46" t="str">
        <x:v>Herrings, shads, anchovies</x:v>
      </x:c>
      <x:c r="G182" s="46" t="str">
        <x:v>Small pelagics (&lt;30 cm)</x:v>
      </x:c>
      <x:c r="H182" s="46" t="str">
        <x:v>Other fishes &amp; inverts</x:v>
      </x:c>
      <x:c r="I182" s="60" t="n">
        <x:v>4.931722286</x:v>
      </x:c>
      <x:c r="J182" s="60" t="n">
        <x:v>3.7973152647</x:v>
      </x:c>
      <x:c r="K182" s="60" t="n">
        <x:v>1.1344070213</x:v>
      </x:c>
      <x:c r="L182" s="60" t="n">
        <x:v>2.2760635826</x:v>
      </x:c>
      <x:c r="M182" s="60" t="n">
        <x:v>2.6556587034</x:v>
      </x:c>
      <x:c r="N182" s="46" t="str">
        <x:v>clupeiformes</x:v>
      </x:c>
      <x:c r="O182" s="62" t="n">
        <x:v>3.24</x:v>
      </x:c>
      <x:c r="P182" s="46" t="str">
        <x:v>exact_sea_around_us</x:v>
      </x:c>
      <x:c r="Q182" s="62" t="str">
        <x:v>Sea Around Us exploited organisms</x:v>
      </x:c>
      <x:c r="R182" s="46" t="str">
        <x:v>high</x:v>
      </x:c>
      <x:c r="S182" s="46" t="str">
        <x:v>Clupeiformes</x:v>
      </x:c>
      <x:c r="T182" s="62" t="n">
        <x:f>IF(O182="","",(1/'Metadata'!$B$5)^(O182-1))</x:f>
        <x:v>173.78008287493762</x:v>
      </x:c>
      <x:c r="U182" s="60" t="n">
        <x:f>IF(T182="","",I182*T182)</x:f>
        <x:v>857.0351075772569</x:v>
      </x:c>
    </x:row>
    <x:row r="183" ht="18" customHeight="1">
      <x:c r="A183" s="46" t="str">
        <x:v>LME_035</x:v>
      </x:c>
      <x:c r="B183" s="46" t="str">
        <x:v>Gulf of Thailand</x:v>
      </x:c>
      <x:c r="C183" s="46" t="str">
        <x:v>LME</x:v>
      </x:c>
      <x:c r="D183" s="58" t="n">
        <x:v>2019</x:v>
      </x:c>
      <x:c r="E183" s="46" t="str">
        <x:v>Caranx sexfasciatus</x:v>
      </x:c>
      <x:c r="F183" s="46" t="str">
        <x:v>Bigeye trevally</x:v>
      </x:c>
      <x:c r="G183" s="46" t="str">
        <x:v>Large reef assoc. fish (&gt;=90 cm)</x:v>
      </x:c>
      <x:c r="H183" s="46" t="str">
        <x:v>Perch-likes</x:v>
      </x:c>
      <x:c r="I183" s="60" t="n">
        <x:v>4.1611078964</x:v>
      </x:c>
      <x:c r="J183" s="60" t="n">
        <x:v>4.1611078964</x:v>
      </x:c>
      <x:c r="K183" s="60" t="n">
        <x:v>0</x:v>
      </x:c>
      <x:c r="L183" s="60" t="n">
        <x:v>2.7853298809</x:v>
      </x:c>
      <x:c r="M183" s="60" t="n">
        <x:v>1.3757780155000001</x:v>
      </x:c>
      <x:c r="N183" s="46" t="str">
        <x:v>caranx sexfasciatus</x:v>
      </x:c>
      <x:c r="O183" s="62" t="n">
        <x:v>4.5</x:v>
      </x:c>
      <x:c r="P183" s="46" t="str">
        <x:v>exact_2020_supplement</x:v>
      </x:c>
      <x:c r="Q183" s="62" t="str">
        <x:v>2020 supplement MeanTL</x:v>
      </x:c>
      <x:c r="R183" s="46" t="str">
        <x:v>high</x:v>
      </x:c>
      <x:c r="S183" s="46" t="str">
        <x:v>Caranx sexfasciatus</x:v>
      </x:c>
      <x:c r="T183" s="62" t="n">
        <x:f>IF(O183="","",(1/'Metadata'!$B$5)^(O183-1))</x:f>
        <x:v>3162.2776601683795</x:v>
      </x:c>
      <x:c r="U183" s="60" t="n">
        <x:f>IF(T183="","",I183*T183)</x:f>
        <x:v>13158.57854233596</x:v>
      </x:c>
    </x:row>
    <x:row r="184" ht="18" customHeight="1">
      <x:c r="A184" s="46" t="str">
        <x:v>LME_035</x:v>
      </x:c>
      <x:c r="B184" s="46" t="str">
        <x:v>Gulf of Thailand</x:v>
      </x:c>
      <x:c r="C184" s="46" t="str">
        <x:v>LME</x:v>
      </x:c>
      <x:c r="D184" s="58" t="n">
        <x:v>2019</x:v>
      </x:c>
      <x:c r="E184" s="46" t="str">
        <x:v>Echinodermata</x:v>
      </x:c>
      <x:c r="F184" s="46" t="str">
        <x:v>Sea urchins, stars, cucumbers</x:v>
      </x:c>
      <x:c r="G184" s="46" t="str">
        <x:v>Other demersal invertebrates</x:v>
      </x:c>
      <x:c r="H184" s="46" t="str">
        <x:v>Other fishes &amp; inverts</x:v>
      </x:c>
      <x:c r="I184" s="60" t="n">
        <x:v>3.5917822563</x:v>
      </x:c>
      <x:c r="J184" s="60" t="n">
        <x:v>3.5917822563</x:v>
      </x:c>
      <x:c r="K184" s="60" t="n">
        <x:v>0</x:v>
      </x:c>
      <x:c r="L184" s="60" t="n">
        <x:v>2.5810089295</x:v>
      </x:c>
      <x:c r="M184" s="60" t="n">
        <x:v>1.0107733268</x:v>
      </x:c>
      <x:c r="N184" s="46" t="str">
        <x:v>echinodermata</x:v>
      </x:c>
      <x:c r="O184" s="62" t="n">
        <x:v>2.3</x:v>
      </x:c>
      <x:c r="P184" s="46" t="str">
        <x:v>exact_sea_around_us</x:v>
      </x:c>
      <x:c r="Q184" s="62" t="str">
        <x:v>Sea Around Us exploited organisms</x:v>
      </x:c>
      <x:c r="R184" s="46" t="str">
        <x:v>high</x:v>
      </x:c>
      <x:c r="S184" s="46" t="str">
        <x:v>Echinodermata</x:v>
      </x:c>
      <x:c r="T184" s="62" t="n">
        <x:f>IF(O184="","",(1/'Metadata'!$B$5)^(O184-1))</x:f>
        <x:v>19.952623149688787</x:v>
      </x:c>
      <x:c r="U184" s="60" t="n">
        <x:f>IF(T184="","",I184*T184)</x:f>
        <x:v>71.66547779569281</x:v>
      </x:c>
    </x:row>
    <x:row r="185" ht="18" customHeight="1">
      <x:c r="A185" s="46" t="str">
        <x:v>LME_035</x:v>
      </x:c>
      <x:c r="B185" s="46" t="str">
        <x:v>Gulf of Thailand</x:v>
      </x:c>
      <x:c r="C185" s="46" t="str">
        <x:v>LME</x:v>
      </x:c>
      <x:c r="D185" s="58" t="n">
        <x:v>2019</x:v>
      </x:c>
      <x:c r="E185" s="46" t="str">
        <x:v>Caesionidae</x:v>
      </x:c>
      <x:c r="F185" s="46" t="str">
        <x:v>Fusiliers</x:v>
      </x:c>
      <x:c r="G185" s="46" t="str">
        <x:v>Medium reef assoc. fish (30 - 89 cm)</x:v>
      </x:c>
      <x:c r="H185" s="46" t="str">
        <x:v>Perch-likes</x:v>
      </x:c>
      <x:c r="I185" s="60" t="n">
        <x:v>3.4320273038</x:v>
      </x:c>
      <x:c r="J185" s="60" t="n">
        <x:v>3.4306738181</x:v>
      </x:c>
      <x:c r="K185" s="60" t="n">
        <x:v>0.0013534857</x:v>
      </x:c>
      <x:c r="L185" s="60" t="n">
        <x:v>3.4273398523</x:v>
      </x:c>
      <x:c r="M185" s="60" t="n">
        <x:v>0.0046874515</x:v>
      </x:c>
      <x:c r="N185" s="46" t="str">
        <x:v>caesionidae</x:v>
      </x:c>
      <x:c r="O185" s="62" t="n">
        <x:v>3.39</x:v>
      </x:c>
      <x:c r="P185" s="46" t="str">
        <x:v>exact_sea_around_us</x:v>
      </x:c>
      <x:c r="Q185" s="62" t="str">
        <x:v>Sea Around Us exploited organisms</x:v>
      </x:c>
      <x:c r="R185" s="46" t="str">
        <x:v>high</x:v>
      </x:c>
      <x:c r="S185" s="46" t="str">
        <x:v>Caesionidae</x:v>
      </x:c>
      <x:c r="T185" s="62" t="n">
        <x:f>IF(O185="","",(1/'Metadata'!$B$5)^(O185-1))</x:f>
        <x:v>245.4708915685031</x:v>
      </x:c>
      <x:c r="U185" s="60" t="n">
        <x:f>IF(T185="","",I185*T185)</x:f>
        <x:v>842.4628021512318</x:v>
      </x:c>
    </x:row>
    <x:row r="186" ht="18" customHeight="1">
      <x:c r="A186" s="46" t="str">
        <x:v>LME_035</x:v>
      </x:c>
      <x:c r="B186" s="46" t="str">
        <x:v>Gulf of Thailand</x:v>
      </x:c>
      <x:c r="C186" s="46" t="str">
        <x:v>LME</x:v>
      </x:c>
      <x:c r="D186" s="58" t="n">
        <x:v>2019</x:v>
      </x:c>
      <x:c r="E186" s="46" t="str">
        <x:v>Menidae</x:v>
      </x:c>
      <x:c r="F186" s="46" t="str">
        <x:v>Moonfishes</x:v>
      </x:c>
      <x:c r="G186" s="46" t="str">
        <x:v>Medium reef assoc. fish (30 - 89 cm)</x:v>
      </x:c>
      <x:c r="H186" s="46" t="str">
        <x:v>Perch-likes</x:v>
      </x:c>
      <x:c r="I186" s="60" t="n">
        <x:v>3.3335934448</x:v>
      </x:c>
      <x:c r="J186" s="60" t="n">
        <x:v>3.3335934448</x:v>
      </x:c>
      <x:c r="K186" s="60" t="n">
        <x:v>0</x:v>
      </x:c>
      <x:c r="L186" s="60" t="n">
        <x:v>3.3335934448</x:v>
      </x:c>
      <x:c r="M186" s="60" t="n">
        <x:v>0</x:v>
      </x:c>
      <x:c r="N186" s="46" t="str">
        <x:v>menidae</x:v>
      </x:c>
      <x:c r="O186" s="62" t="n">
        <x:v>3.45</x:v>
      </x:c>
      <x:c r="P186" s="46" t="str">
        <x:v>exact_sea_around_us</x:v>
      </x:c>
      <x:c r="Q186" s="62" t="str">
        <x:v>Sea Around Us exploited organisms</x:v>
      </x:c>
      <x:c r="R186" s="46" t="str">
        <x:v>high</x:v>
      </x:c>
      <x:c r="S186" s="46" t="str">
        <x:v>Menidae</x:v>
      </x:c>
      <x:c r="T186" s="62" t="n">
        <x:f>IF(O186="","",(1/'Metadata'!$B$5)^(O186-1))</x:f>
        <x:v>281.8382931264455</x:v>
      </x:c>
      <x:c r="U186" s="60" t="n">
        <x:f>IF(T186="","",I186*T186)</x:f>
        <x:v>939.5342864599395</x:v>
      </x:c>
    </x:row>
    <x:row r="187" ht="18" customHeight="1">
      <x:c r="A187" s="46" t="str">
        <x:v>LME_035</x:v>
      </x:c>
      <x:c r="B187" s="46" t="str">
        <x:v>Gulf of Thailand</x:v>
      </x:c>
      <x:c r="C187" s="46" t="str">
        <x:v>LME</x:v>
      </x:c>
      <x:c r="D187" s="58" t="n">
        <x:v>2019</x:v>
      </x:c>
      <x:c r="E187" s="46" t="str">
        <x:v>Megalops cyprinoides</x:v>
      </x:c>
      <x:c r="F187" s="46" t="str">
        <x:v>Indo-Pacific tarpon</x:v>
      </x:c>
      <x:c r="G187" s="46" t="str">
        <x:v>Large pelagics (&gt;=90 cm)</x:v>
      </x:c>
      <x:c r="H187" s="46" t="str">
        <x:v>Other fishes &amp; inverts</x:v>
      </x:c>
      <x:c r="I187" s="60" t="n">
        <x:v>3.1103509681</x:v>
      </x:c>
      <x:c r="J187" s="60" t="n">
        <x:v>3.1103509681</x:v>
      </x:c>
      <x:c r="K187" s="60" t="n">
        <x:v>0</x:v>
      </x:c>
      <x:c r="L187" s="60" t="n">
        <x:v>2.0881505003000003</x:v>
      </x:c>
      <x:c r="M187" s="60" t="n">
        <x:v>1.0222004678</x:v>
      </x:c>
      <x:c r="N187" s="46" t="str">
        <x:v>megalops cyprinoides</x:v>
      </x:c>
      <x:c r="O187" s="62" t="n">
        <x:v>3.48</x:v>
      </x:c>
      <x:c r="P187" s="46" t="str">
        <x:v>exact_2020_supplement</x:v>
      </x:c>
      <x:c r="Q187" s="62" t="str">
        <x:v>2020 supplement MeanTL</x:v>
      </x:c>
      <x:c r="R187" s="46" t="str">
        <x:v>high</x:v>
      </x:c>
      <x:c r="S187" s="46" t="str">
        <x:v>Megalops cyprinoides</x:v>
      </x:c>
      <x:c r="T187" s="62" t="n">
        <x:f>IF(O187="","",(1/'Metadata'!$B$5)^(O187-1))</x:f>
        <x:v>301.9951720402016</x:v>
      </x:c>
      <x:c r="U187" s="60" t="n">
        <x:f>IF(T187="","",I187*T187)</x:f>
        <x:v>939.3109757167672</x:v>
      </x:c>
    </x:row>
    <x:row r="188" ht="18" customHeight="1">
      <x:c r="A188" s="46" t="str">
        <x:v>LME_035</x:v>
      </x:c>
      <x:c r="B188" s="46" t="str">
        <x:v>Gulf of Thailand</x:v>
      </x:c>
      <x:c r="C188" s="46" t="str">
        <x:v>LME</x:v>
      </x:c>
      <x:c r="D188" s="58" t="n">
        <x:v>2019</x:v>
      </x:c>
      <x:c r="E188" s="46" t="str">
        <x:v>Solenocera crassicornis</x:v>
      </x:c>
      <x:c r="F188" s="46" t="str">
        <x:v>Coastal mud shrimp</x:v>
      </x:c>
      <x:c r="G188" s="46" t="str">
        <x:v>Shrimps</x:v>
      </x:c>
      <x:c r="H188" s="46" t="str">
        <x:v>Crustaceans</x:v>
      </x:c>
      <x:c r="I188" s="60" t="n">
        <x:v>2.2808562215</x:v>
      </x:c>
      <x:c r="J188" s="60" t="n">
        <x:v>2.2808562215</x:v>
      </x:c>
      <x:c r="K188" s="60" t="n">
        <x:v>0</x:v>
      </x:c>
      <x:c r="L188" s="60" t="n">
        <x:v>1.5230342252</x:v>
      </x:c>
      <x:c r="M188" s="60" t="n">
        <x:v>0.7578219963</x:v>
      </x:c>
      <x:c r="N188" s="46" t="str">
        <x:v>solenocera crassicornis</x:v>
      </x:c>
      <x:c r="O188" s="62" t="n">
        <x:v>2.2</x:v>
      </x:c>
      <x:c r="P188" s="46" t="str">
        <x:v>exact_sea_around_us</x:v>
      </x:c>
      <x:c r="Q188" s="62" t="str">
        <x:v>Sea Around Us exploited organisms</x:v>
      </x:c>
      <x:c r="R188" s="46" t="str">
        <x:v>high</x:v>
      </x:c>
      <x:c r="S188" s="46" t="str">
        <x:v>Solenocera crassicornis</x:v>
      </x:c>
      <x:c r="T188" s="62" t="n">
        <x:f>IF(O188="","",(1/'Metadata'!$B$5)^(O188-1))</x:f>
        <x:v>15.848931924611142</x:v>
      </x:c>
      <x:c r="U188" s="60" t="n">
        <x:f>IF(T188="","",I188*T188)</x:f>
        <x:v>36.149134984379295</x:v>
      </x:c>
    </x:row>
    <x:row r="189" ht="18" customHeight="1">
      <x:c r="A189" s="46" t="str">
        <x:v>LME_035</x:v>
      </x:c>
      <x:c r="B189" s="46" t="str">
        <x:v>Gulf of Thailand</x:v>
      </x:c>
      <x:c r="C189" s="46" t="str">
        <x:v>LME</x:v>
      </x:c>
      <x:c r="D189" s="58" t="n">
        <x:v>2019</x:v>
      </x:c>
      <x:c r="E189" s="46" t="str">
        <x:v>Modiolus</x:v>
      </x:c>
      <x:c r="F189" s="46" t="str">
        <x:v>Horse mussels</x:v>
      </x:c>
      <x:c r="G189" s="46" t="str">
        <x:v>Other demersal invertebrates</x:v>
      </x:c>
      <x:c r="H189" s="46" t="str">
        <x:v>Molluscs</x:v>
      </x:c>
      <x:c r="I189" s="60" t="n">
        <x:v>1.6232905256999999</x:v>
      </x:c>
      <x:c r="J189" s="60" t="n">
        <x:v>1.6232905256999999</x:v>
      </x:c>
      <x:c r="K189" s="60" t="n">
        <x:v>0</x:v>
      </x:c>
      <x:c r="L189" s="60" t="n">
        <x:v>0</x:v>
      </x:c>
      <x:c r="M189" s="60" t="n">
        <x:v>1.6232905256999999</x:v>
      </x:c>
      <x:c r="N189" s="46" t="str">
        <x:v>modiolus</x:v>
      </x:c>
      <x:c r="O189" s="62" t="n">
        <x:v>2</x:v>
      </x:c>
      <x:c r="P189" s="46" t="str">
        <x:v>exact_sea_around_us</x:v>
      </x:c>
      <x:c r="Q189" s="62" t="str">
        <x:v>Sea Around Us exploited organisms</x:v>
      </x:c>
      <x:c r="R189" s="46" t="str">
        <x:v>high</x:v>
      </x:c>
      <x:c r="S189" s="46" t="str">
        <x:v>Modiolus</x:v>
      </x:c>
      <x:c r="T189" s="62" t="n">
        <x:f>IF(O189="","",(1/'Metadata'!$B$5)^(O189-1))</x:f>
        <x:v>10</x:v>
      </x:c>
      <x:c r="U189" s="60" t="n">
        <x:f>IF(T189="","",I189*T189)</x:f>
        <x:v>16.232905257</x:v>
      </x:c>
    </x:row>
    <x:row r="190" ht="18" customHeight="1">
      <x:c r="A190" s="46" t="str">
        <x:v>LME_035</x:v>
      </x:c>
      <x:c r="B190" s="46" t="str">
        <x:v>Gulf of Thailand</x:v>
      </x:c>
      <x:c r="C190" s="46" t="str">
        <x:v>LME</x:v>
      </x:c>
      <x:c r="D190" s="58" t="n">
        <x:v>2019</x:v>
      </x:c>
      <x:c r="E190" s="46" t="str">
        <x:v>Lactarius lactarius</x:v>
      </x:c>
      <x:c r="F190" s="46" t="str">
        <x:v>False trevally</x:v>
      </x:c>
      <x:c r="G190" s="46" t="str">
        <x:v>Medium pelagics (30 - 89 cm)</x:v>
      </x:c>
      <x:c r="H190" s="46" t="str">
        <x:v>Perch-likes</x:v>
      </x:c>
      <x:c r="I190" s="60" t="n">
        <x:v>1.2392143459</x:v>
      </x:c>
      <x:c r="J190" s="60" t="n">
        <x:v>1.2392143459</x:v>
      </x:c>
      <x:c r="K190" s="60" t="n">
        <x:v>0</x:v>
      </x:c>
      <x:c r="L190" s="60" t="n">
        <x:v>0.6261666906</x:v>
      </x:c>
      <x:c r="M190" s="60" t="n">
        <x:v>0.6130476553</x:v>
      </x:c>
      <x:c r="N190" s="46" t="str">
        <x:v>lactarius lactarius</x:v>
      </x:c>
      <x:c r="O190" s="62" t="n">
        <x:v>3.97</x:v>
      </x:c>
      <x:c r="P190" s="46" t="str">
        <x:v>exact_2020_supplement</x:v>
      </x:c>
      <x:c r="Q190" s="62" t="str">
        <x:v>2020 supplement MeanTL</x:v>
      </x:c>
      <x:c r="R190" s="46" t="str">
        <x:v>high</x:v>
      </x:c>
      <x:c r="S190" s="46" t="str">
        <x:v>Lactarius lactarius</x:v>
      </x:c>
      <x:c r="T190" s="62" t="n">
        <x:f>IF(O190="","",(1/'Metadata'!$B$5)^(O190-1))</x:f>
        <x:v>933.2543007969915</x:v>
      </x:c>
      <x:c r="U190" s="60" t="n">
        <x:f>IF(T190="","",I190*T190)</x:f>
        <x:v>1156.5021179205057</x:v>
      </x:c>
    </x:row>
    <x:row r="191" ht="18" customHeight="1">
      <x:c r="A191" s="46" t="str">
        <x:v>LME_035</x:v>
      </x:c>
      <x:c r="B191" s="46" t="str">
        <x:v>Gulf of Thailand</x:v>
      </x:c>
      <x:c r="C191" s="46" t="str">
        <x:v>LME</x:v>
      </x:c>
      <x:c r="D191" s="58" t="n">
        <x:v>2019</x:v>
      </x:c>
      <x:c r="E191" s="46" t="str">
        <x:v>Aluterus monoceros</x:v>
      </x:c>
      <x:c r="F191" s="46" t="str">
        <x:v>Unicorn leatherjacket filefish</x:v>
      </x:c>
      <x:c r="G191" s="46" t="str">
        <x:v>Medium reef assoc. fish (30 - 89 cm)</x:v>
      </x:c>
      <x:c r="H191" s="46" t="str">
        <x:v>Other fishes &amp; inverts</x:v>
      </x:c>
      <x:c r="I191" s="60" t="n">
        <x:v>0.604769703</x:v>
      </x:c>
      <x:c r="J191" s="60" t="n">
        <x:v>0</x:v>
      </x:c>
      <x:c r="K191" s="60" t="n">
        <x:v>0.604769703</x:v>
      </x:c>
      <x:c r="L191" s="60" t="n">
        <x:v>0</x:v>
      </x:c>
      <x:c r="M191" s="60" t="n">
        <x:v>0.604769703</x:v>
      </x:c>
      <x:c r="N191" s="46" t="str">
        <x:v>aluterus monoceros</x:v>
      </x:c>
      <x:c r="O191" s="62" t="n">
        <x:v>3.84</x:v>
      </x:c>
      <x:c r="P191" s="46" t="str">
        <x:v>exact_2020_supplement</x:v>
      </x:c>
      <x:c r="Q191" s="62" t="str">
        <x:v>2020 supplement MeanTL</x:v>
      </x:c>
      <x:c r="R191" s="46" t="str">
        <x:v>high</x:v>
      </x:c>
      <x:c r="S191" s="46" t="str">
        <x:v>Aluterus monoceros</x:v>
      </x:c>
      <x:c r="T191" s="62" t="n">
        <x:f>IF(O191="","",(1/'Metadata'!$B$5)^(O191-1))</x:f>
        <x:v>691.8309709189363</x:v>
      </x:c>
      <x:c r="U191" s="60" t="n">
        <x:f>IF(T191="","",I191*T191)</x:f>
        <x:v>418.39841080884673</x:v>
      </x:c>
    </x:row>
    <x:row r="192" ht="18" customHeight="1">
      <x:c r="A192" s="46" t="str">
        <x:v>LME_035</x:v>
      </x:c>
      <x:c r="B192" s="46" t="str">
        <x:v>Gulf of Thailand</x:v>
      </x:c>
      <x:c r="C192" s="46" t="str">
        <x:v>LME</x:v>
      </x:c>
      <x:c r="D192" s="58" t="n">
        <x:v>2019</x:v>
      </x:c>
      <x:c r="E192" s="46" t="str">
        <x:v>Chondrichthyes</x:v>
      </x:c>
      <x:c r="F192" s="46" t="str">
        <x:v>Sharks, rays, chimaeras</x:v>
      </x:c>
      <x:c r="G192" s="46" t="str">
        <x:v>Large sharks (&gt;=90 cm)</x:v>
      </x:c>
      <x:c r="H192" s="46" t="str">
        <x:v>Sharks &amp; rays</x:v>
      </x:c>
      <x:c r="I192" s="60" t="n">
        <x:v>0.4975666962</x:v>
      </x:c>
      <x:c r="J192" s="60" t="n">
        <x:v>0.4975666962</x:v>
      </x:c>
      <x:c r="K192" s="60" t="n">
        <x:v>0</x:v>
      </x:c>
      <x:c r="L192" s="60" t="n">
        <x:v>0.3725849268</x:v>
      </x:c>
      <x:c r="M192" s="60" t="n">
        <x:v>0.1249817694</x:v>
      </x:c>
      <x:c r="N192" s="46" t="str">
        <x:v>chondrichthyes</x:v>
      </x:c>
      <x:c r="O192" s="62" t="n">
        <x:v>4</x:v>
      </x:c>
      <x:c r="P192" s="46" t="str">
        <x:v>exact_sea_around_us</x:v>
      </x:c>
      <x:c r="Q192" s="62" t="str">
        <x:v>Sea Around Us exploited organisms</x:v>
      </x:c>
      <x:c r="R192" s="46" t="str">
        <x:v>high</x:v>
      </x:c>
      <x:c r="S192" s="46" t="str">
        <x:v>Chondrichthyes</x:v>
      </x:c>
      <x:c r="T192" s="62" t="n">
        <x:f>IF(O192="","",(1/'Metadata'!$B$5)^(O192-1))</x:f>
        <x:v>1000</x:v>
      </x:c>
      <x:c r="U192" s="60" t="n">
        <x:f>IF(T192="","",I192*T192)</x:f>
        <x:v>497.56669619999997</x:v>
      </x:c>
    </x:row>
    <x:row r="193" ht="18" customHeight="1">
      <x:c r="A193" s="46" t="str">
        <x:v>LME_035</x:v>
      </x:c>
      <x:c r="B193" s="46" t="str">
        <x:v>Gulf of Thailand</x:v>
      </x:c>
      <x:c r="C193" s="46" t="str">
        <x:v>LME</x:v>
      </x:c>
      <x:c r="D193" s="58" t="n">
        <x:v>2019</x:v>
      </x:c>
      <x:c r="E193" s="46" t="str">
        <x:v>Miscellaneous marine crustaceans</x:v>
      </x:c>
      <x:c r="F193" s="46" t="str">
        <x:v>Marine crabs, shrimps, lobsters nei</x:v>
      </x:c>
      <x:c r="G193" s="46" t="str">
        <x:v>Shrimps</x:v>
      </x:c>
      <x:c r="H193" s="46" t="str">
        <x:v>Crustaceans</x:v>
      </x:c>
      <x:c r="I193" s="60" t="n">
        <x:v>0.12335514809999999</x:v>
      </x:c>
      <x:c r="J193" s="60" t="n">
        <x:v>0.1218170237</x:v>
      </x:c>
      <x:c r="K193" s="60" t="n">
        <x:v>0.0015381244</x:v>
      </x:c>
      <x:c r="L193" s="60" t="n">
        <x:v>0.115932991</x:v>
      </x:c>
      <x:c r="M193" s="60" t="n">
        <x:v>0.0074221571</x:v>
      </x:c>
      <x:c r="N193" s="46" t="str">
        <x:v>miscellaneous marine crustaceans</x:v>
      </x:c>
      <x:c r="O193" s="62" t="n">
        <x:v>2.7</x:v>
      </x:c>
      <x:c r="P193" s="46" t="str">
        <x:v>exact_sea_around_us</x:v>
      </x:c>
      <x:c r="Q193" s="62" t="str">
        <x:v>Sea Around Us exploited organisms</x:v>
      </x:c>
      <x:c r="R193" s="46" t="str">
        <x:v>high</x:v>
      </x:c>
      <x:c r="S193" s="46" t="str">
        <x:v>Miscellaneous marine crustaceans</x:v>
      </x:c>
      <x:c r="T193" s="62" t="n">
        <x:f>IF(O193="","",(1/'Metadata'!$B$5)^(O193-1))</x:f>
        <x:v>50.11872336272725</x:v>
      </x:c>
      <x:c r="U193" s="60" t="n">
        <x:f>IF(T193="","",I193*T193)</x:f>
        <x:v>6.18240254299215</x:v>
      </x:c>
    </x:row>
    <x:row r="194" ht="18" customHeight="1">
      <x:c r="A194" s="46" t="str">
        <x:v>LME_035</x:v>
      </x:c>
      <x:c r="B194" s="46" t="str">
        <x:v>Gulf of Thailand</x:v>
      </x:c>
      <x:c r="C194" s="46" t="str">
        <x:v>LME</x:v>
      </x:c>
      <x:c r="D194" s="58" t="n">
        <x:v>2019</x:v>
      </x:c>
      <x:c r="E194" s="46" t="str">
        <x:v>Decapoda</x:v>
      </x:c>
      <x:c r="F194" s="46" t="str">
        <x:v>Crabs, lobsters, shrimps</x:v>
      </x:c>
      <x:c r="G194" s="46" t="str">
        <x:v>Lobsters, crabs</x:v>
      </x:c>
      <x:c r="H194" s="46" t="str">
        <x:v>Crustaceans</x:v>
      </x:c>
      <x:c r="I194" s="60" t="n">
        <x:v>0.11048491429999999</x:v>
      </x:c>
      <x:c r="J194" s="60" t="n">
        <x:v>0.10784021299999999</x:v>
      </x:c>
      <x:c r="K194" s="60" t="n">
        <x:v>0.0026447013000000003</x:v>
      </x:c>
      <x:c r="L194" s="60" t="n">
        <x:v>0.1019369018</x:v>
      </x:c>
      <x:c r="M194" s="60" t="n">
        <x:v>0.0085480125</x:v>
      </x:c>
      <x:c r="N194" s="46" t="str">
        <x:v>decapoda</x:v>
      </x:c>
      <x:c r="O194" s="62" t="n">
        <x:v>3.43</x:v>
      </x:c>
      <x:c r="P194" s="46" t="str">
        <x:v>exact_sea_around_us</x:v>
      </x:c>
      <x:c r="Q194" s="62" t="str">
        <x:v>Sea Around Us exploited organisms</x:v>
      </x:c>
      <x:c r="R194" s="46" t="str">
        <x:v>high</x:v>
      </x:c>
      <x:c r="S194" s="46" t="str">
        <x:v>Decapoda</x:v>
      </x:c>
      <x:c r="T194" s="62" t="n">
        <x:f>IF(O194="","",(1/'Metadata'!$B$5)^(O194-1))</x:f>
        <x:v>269.1534803926917</x:v>
      </x:c>
      <x:c r="U194" s="60" t="n">
        <x:f>IF(T194="","",I194*T194)</x:f>
        <x:v>29.737399214733266</x:v>
      </x:c>
    </x:row>
    <x:row r="195" ht="18" customHeight="1">
      <x:c r="A195" s="46" t="str">
        <x:v>LME_035</x:v>
      </x:c>
      <x:c r="B195" s="46" t="str">
        <x:v>Gulf of Thailand</x:v>
      </x:c>
      <x:c r="C195" s="46" t="str">
        <x:v>LME</x:v>
      </x:c>
      <x:c r="D195" s="58" t="n">
        <x:v>2019</x:v>
      </x:c>
      <x:c r="E195" s="46" t="str">
        <x:v>Netuma thalassina</x:v>
      </x:c>
      <x:c r="F195" s="46" t="str">
        <x:v>Giant catfish</x:v>
      </x:c>
      <x:c r="G195" s="46" t="str">
        <x:v>Large demersals (&gt;=90 cm)</x:v>
      </x:c>
      <x:c r="H195" s="46" t="str">
        <x:v>Other fishes &amp; inverts</x:v>
      </x:c>
      <x:c r="I195" s="60" t="n">
        <x:v>0.1044617583</x:v>
      </x:c>
      <x:c r="J195" s="60" t="n">
        <x:v>0.0984176818</x:v>
      </x:c>
      <x:c r="K195" s="60" t="n">
        <x:v>0.0060440764999999995</x:v>
      </x:c>
      <x:c r="L195" s="60" t="n">
        <x:v>0.0937510236</x:v>
      </x:c>
      <x:c r="M195" s="60" t="n">
        <x:v>0.0107107347</x:v>
      </x:c>
      <x:c r="N195" s="46" t="str">
        <x:v>netuma thalassina</x:v>
      </x:c>
      <x:c r="O195" s="62" t="n">
        <x:v>3.54</x:v>
      </x:c>
      <x:c r="P195" s="46" t="str">
        <x:v>exact_2020_supplement</x:v>
      </x:c>
      <x:c r="Q195" s="62" t="str">
        <x:v>2020 supplement MeanTL</x:v>
      </x:c>
      <x:c r="R195" s="46" t="str">
        <x:v>high</x:v>
      </x:c>
      <x:c r="S195" s="46" t="str">
        <x:v>Netuma thalassina</x:v>
      </x:c>
      <x:c r="T195" s="62" t="n">
        <x:f>IF(O195="","",(1/'Metadata'!$B$5)^(O195-1))</x:f>
        <x:v>346.73685045253166</x:v>
      </x:c>
      <x:c r="U195" s="60" t="n">
        <x:f>IF(T195="","",I195*T195)</x:f>
        <x:v>36.220741065675604</x:v>
      </x:c>
    </x:row>
    <x:row r="196" ht="18" customHeight="1">
      <x:c r="A196" s="46" t="str">
        <x:v>LME_035</x:v>
      </x:c>
      <x:c r="B196" s="46" t="str">
        <x:v>Gulf of Thailand</x:v>
      </x:c>
      <x:c r="C196" s="46" t="str">
        <x:v>LME</x:v>
      </x:c>
      <x:c r="D196" s="58" t="n">
        <x:v>2019</x:v>
      </x:c>
      <x:c r="E196" s="46" t="str">
        <x:v>Sardinella lemuru</x:v>
      </x:c>
      <x:c r="F196" s="46" t="str">
        <x:v>Bali sardinella</x:v>
      </x:c>
      <x:c r="G196" s="46" t="str">
        <x:v>Small pelagics (&lt;30 cm)</x:v>
      </x:c>
      <x:c r="H196" s="46" t="str">
        <x:v>Herring-likes</x:v>
      </x:c>
      <x:c r="I196" s="60" t="n">
        <x:v>0.08615562</x:v>
      </x:c>
      <x:c r="J196" s="60" t="n">
        <x:v>0.0776386477</x:v>
      </x:c>
      <x:c r="K196" s="60" t="n">
        <x:v>0.0085169723</x:v>
      </x:c>
      <x:c r="L196" s="60" t="n">
        <x:v>0.0744223559</x:v>
      </x:c>
      <x:c r="M196" s="60" t="n">
        <x:v>0.0117332641</x:v>
      </x:c>
      <x:c r="N196" s="46" t="str">
        <x:v>sardinella lemuru</x:v>
      </x:c>
      <x:c r="O196" s="62" t="n">
        <x:v>2.48</x:v>
      </x:c>
      <x:c r="P196" s="46" t="str">
        <x:v>exact_2020_supplement</x:v>
      </x:c>
      <x:c r="Q196" s="62" t="str">
        <x:v>2020 supplement MeanTL</x:v>
      </x:c>
      <x:c r="R196" s="46" t="str">
        <x:v>high</x:v>
      </x:c>
      <x:c r="S196" s="46" t="str">
        <x:v>Sardinella lemuru</x:v>
      </x:c>
      <x:c r="T196" s="62" t="n">
        <x:f>IF(O196="","",(1/'Metadata'!$B$5)^(O196-1))</x:f>
        <x:v>30.19951720402016</x:v>
      </x:c>
      <x:c r="U196" s="60" t="n">
        <x:f>IF(T196="","",I196*T196)</x:f>
        <x:v>2.6018581284130233</x:v>
      </x:c>
    </x:row>
    <x:row r="197" ht="18" customHeight="1">
      <x:c r="A197" s="46" t="str">
        <x:v>LME_035</x:v>
      </x:c>
      <x:c r="B197" s="46" t="str">
        <x:v>Gulf of Thailand</x:v>
      </x:c>
      <x:c r="C197" s="46" t="str">
        <x:v>LME</x:v>
      </x:c>
      <x:c r="D197" s="58" t="n">
        <x:v>2019</x:v>
      </x:c>
      <x:c r="E197" s="46" t="str">
        <x:v>Penaeus indicus</x:v>
      </x:c>
      <x:c r="F197" s="46" t="str">
        <x:v>Indian white prawn</x:v>
      </x:c>
      <x:c r="G197" s="46" t="str">
        <x:v>Shrimps</x:v>
      </x:c>
      <x:c r="H197" s="46" t="str">
        <x:v>Crustaceans</x:v>
      </x:c>
      <x:c r="I197" s="60" t="n">
        <x:v>0.0827373852</x:v>
      </x:c>
      <x:c r="J197" s="60" t="n">
        <x:v>0.0804741807</x:v>
      </x:c>
      <x:c r="K197" s="60" t="n">
        <x:v>0.0022632045</x:v>
      </x:c>
      <x:c r="L197" s="60" t="n">
        <x:v>0.0776367499</x:v>
      </x:c>
      <x:c r="M197" s="60" t="n">
        <x:v>0.0051006353</x:v>
      </x:c>
      <x:c r="N197" s="46" t="str">
        <x:v>penaeus indicus</x:v>
      </x:c>
      <x:c r="O197" s="62" t="n">
        <x:v>2.7</x:v>
      </x:c>
      <x:c r="P197" s="46" t="str">
        <x:v>exact_sea_around_us</x:v>
      </x:c>
      <x:c r="Q197" s="62" t="str">
        <x:v>Sea Around Us exploited organisms</x:v>
      </x:c>
      <x:c r="R197" s="46" t="str">
        <x:v>high</x:v>
      </x:c>
      <x:c r="S197" s="46" t="str">
        <x:v>Penaeus indicus</x:v>
      </x:c>
      <x:c r="T197" s="62" t="n">
        <x:f>IF(O197="","",(1/'Metadata'!$B$5)^(O197-1))</x:f>
        <x:v>50.11872336272725</x:v>
      </x:c>
      <x:c r="U197" s="60" t="n">
        <x:f>IF(T197="","",I197*T197)</x:f>
        <x:v>4.146692120594204</x:v>
      </x:c>
    </x:row>
    <x:row r="198" ht="18" customHeight="1">
      <x:c r="A198" s="46" t="str">
        <x:v>LME_035</x:v>
      </x:c>
      <x:c r="B198" s="46" t="str">
        <x:v>Gulf of Thailand</x:v>
      </x:c>
      <x:c r="C198" s="46" t="str">
        <x:v>LME</x:v>
      </x:c>
      <x:c r="D198" s="58" t="n">
        <x:v>2019</x:v>
      </x:c>
      <x:c r="E198" s="46" t="str">
        <x:v>Nemipterus hexodon</x:v>
      </x:c>
      <x:c r="F198" s="46" t="str">
        <x:v>Ornate threadfin bream</x:v>
      </x:c>
      <x:c r="G198" s="46" t="str">
        <x:v>Small demersals (&lt;30 cm)</x:v>
      </x:c>
      <x:c r="H198" s="46" t="str">
        <x:v>Perch-likes</x:v>
      </x:c>
      <x:c r="I198" s="60" t="n">
        <x:v>0.06383229659999999</x:v>
      </x:c>
      <x:c r="J198" s="60" t="n">
        <x:v>0.062050929</x:v>
      </x:c>
      <x:c r="K198" s="60" t="n">
        <x:v>0.0017813676</x:v>
      </x:c>
      <x:c r="L198" s="60" t="n">
        <x:v>0.0617714948</x:v>
      </x:c>
      <x:c r="M198" s="60" t="n">
        <x:v>0.0020608018</x:v>
      </x:c>
      <x:c r="N198" s="46" t="str">
        <x:v>nemipterus hexodon</x:v>
      </x:c>
      <x:c r="O198" s="62" t="n">
        <x:v>3.93</x:v>
      </x:c>
      <x:c r="P198" s="46" t="str">
        <x:v>exact_2020_supplement</x:v>
      </x:c>
      <x:c r="Q198" s="62" t="str">
        <x:v>2020 supplement MeanTL</x:v>
      </x:c>
      <x:c r="R198" s="46" t="str">
        <x:v>high</x:v>
      </x:c>
      <x:c r="S198" s="46" t="str">
        <x:v>Nemipterus hexodon</x:v>
      </x:c>
      <x:c r="T198" s="62" t="n">
        <x:f>IF(O198="","",(1/'Metadata'!$B$5)^(O198-1))</x:f>
        <x:v>851.1380382023768</x:v>
      </x:c>
      <x:c r="U198" s="60" t="n">
        <x:f>IF(T198="","",I198*T198)</x:f>
        <x:v>54.33009570207624</x:v>
      </x:c>
    </x:row>
    <x:row r="199" ht="18" customHeight="1">
      <x:c r="A199" s="46" t="str">
        <x:v>LME_035</x:v>
      </x:c>
      <x:c r="B199" s="46" t="str">
        <x:v>Gulf of Thailand</x:v>
      </x:c>
      <x:c r="C199" s="46" t="str">
        <x:v>LME</x:v>
      </x:c>
      <x:c r="D199" s="58" t="n">
        <x:v>2019</x:v>
      </x:c>
      <x:c r="E199" s="46" t="str">
        <x:v>Acetes japonicus</x:v>
      </x:c>
      <x:c r="F199" s="46" t="str">
        <x:v>Akiami paste shrimp</x:v>
      </x:c>
      <x:c r="G199" s="46" t="str">
        <x:v>Shrimps</x:v>
      </x:c>
      <x:c r="H199" s="46" t="str">
        <x:v>Crustaceans</x:v>
      </x:c>
      <x:c r="I199" s="60" t="n">
        <x:v>0.06098801</x:v>
      </x:c>
      <x:c r="J199" s="60" t="n">
        <x:v>0.0580420389</x:v>
      </x:c>
      <x:c r="K199" s="60" t="n">
        <x:v>0.0029459711</x:v>
      </x:c>
      <x:c r="L199" s="60" t="n">
        <x:v>0.0580420389</x:v>
      </x:c>
      <x:c r="M199" s="60" t="n">
        <x:v>0.0029459711</x:v>
      </x:c>
      <x:c r="N199" s="46" t="str">
        <x:v>acetes japonicus</x:v>
      </x:c>
      <x:c r="O199" s="62" t="n">
        <x:v>2.54</x:v>
      </x:c>
      <x:c r="P199" s="46" t="str">
        <x:v>exact_sea_around_us</x:v>
      </x:c>
      <x:c r="Q199" s="62" t="str">
        <x:v>Sea Around Us exploited organisms</x:v>
      </x:c>
      <x:c r="R199" s="46" t="str">
        <x:v>high</x:v>
      </x:c>
      <x:c r="S199" s="46" t="str">
        <x:v>Acetes japonicus</x:v>
      </x:c>
      <x:c r="T199" s="62" t="n">
        <x:f>IF(O199="","",(1/'Metadata'!$B$5)^(O199-1))</x:f>
        <x:v>34.673685045253166</x:v>
      </x:c>
      <x:c r="U199" s="60" t="n">
        <x:f>IF(T199="","",I199*T199)</x:f>
        <x:v>2.1146790502767505</x:v>
      </x:c>
    </x:row>
    <x:row r="200" ht="18" customHeight="1">
      <x:c r="A200" s="46" t="str">
        <x:v>LME_035</x:v>
      </x:c>
      <x:c r="B200" s="46" t="str">
        <x:v>Gulf of Thailand</x:v>
      </x:c>
      <x:c r="C200" s="46" t="str">
        <x:v>LME</x:v>
      </x:c>
      <x:c r="D200" s="58" t="n">
        <x:v>2019</x:v>
      </x:c>
      <x:c r="E200" s="46" t="str">
        <x:v>Cephalopholis boenak</x:v>
      </x:c>
      <x:c r="F200" s="46" t="str">
        <x:v>Chocolate hind</x:v>
      </x:c>
      <x:c r="G200" s="46" t="str">
        <x:v>Small reef assoc. fish (&lt;30 cm)</x:v>
      </x:c>
      <x:c r="H200" s="46" t="str">
        <x:v>Perch-likes</x:v>
      </x:c>
      <x:c r="I200" s="60" t="n">
        <x:v>0.0462497346</x:v>
      </x:c>
      <x:c r="J200" s="60" t="n">
        <x:v>0.0446975143</x:v>
      </x:c>
      <x:c r="K200" s="60" t="n">
        <x:v>0.0015522203</x:v>
      </x:c>
      <x:c r="L200" s="60" t="n">
        <x:v>0.0408361709</x:v>
      </x:c>
      <x:c r="M200" s="60" t="n">
        <x:v>0.0054135637</x:v>
      </x:c>
      <x:c r="N200" s="46" t="str">
        <x:v>cephalopholis boenak</x:v>
      </x:c>
      <x:c r="O200" s="62" t="n">
        <x:v>4.07</x:v>
      </x:c>
      <x:c r="P200" s="46" t="str">
        <x:v>exact_2020_supplement</x:v>
      </x:c>
      <x:c r="Q200" s="62" t="str">
        <x:v>2020 supplement MeanTL</x:v>
      </x:c>
      <x:c r="R200" s="46" t="str">
        <x:v>high</x:v>
      </x:c>
      <x:c r="S200" s="46" t="str">
        <x:v>Cephalopholis boenak</x:v>
      </x:c>
      <x:c r="T200" s="62" t="n">
        <x:f>IF(O200="","",(1/'Metadata'!$B$5)^(O200-1))</x:f>
        <x:v>1174.8975549395302</x:v>
      </x:c>
      <x:c r="U200" s="60" t="n">
        <x:f>IF(T200="","",I200*T200)</x:f>
        <x:v>54.33870009814219</x:v>
      </x:c>
    </x:row>
    <x:row r="201" ht="18" customHeight="1">
      <x:c r="A201" s="46" t="str">
        <x:v>LME_035</x:v>
      </x:c>
      <x:c r="B201" s="46" t="str">
        <x:v>Gulf of Thailand</x:v>
      </x:c>
      <x:c r="C201" s="46" t="str">
        <x:v>LME</x:v>
      </x:c>
      <x:c r="D201" s="58" t="n">
        <x:v>2019</x:v>
      </x:c>
      <x:c r="E201" s="46" t="str">
        <x:v>Trichiuridae</x:v>
      </x:c>
      <x:c r="F201" s="46" t="str">
        <x:v>Cutlassfishes</x:v>
      </x:c>
      <x:c r="G201" s="46" t="str">
        <x:v>Large benthopelagics (&gt;=90 cm)</x:v>
      </x:c>
      <x:c r="H201" s="46" t="str">
        <x:v>Perch-likes</x:v>
      </x:c>
      <x:c r="I201" s="60" t="n">
        <x:v>0.0329906046</x:v>
      </x:c>
      <x:c r="J201" s="60" t="n">
        <x:v>0.030934884599999997</x:v>
      </x:c>
      <x:c r="K201" s="60" t="n">
        <x:v>0.00205572</x:v>
      </x:c>
      <x:c r="L201" s="60" t="n">
        <x:v>0.0288568316</x:v>
      </x:c>
      <x:c r="M201" s="60" t="n">
        <x:v>0.004133773</x:v>
      </x:c>
      <x:c r="N201" s="46" t="str">
        <x:v>trichiuridae</x:v>
      </x:c>
      <x:c r="O201" s="62" t="n">
        <x:v>4.15</x:v>
      </x:c>
      <x:c r="P201" s="46" t="str">
        <x:v>exact_sea_around_us</x:v>
      </x:c>
      <x:c r="Q201" s="62" t="str">
        <x:v>Sea Around Us exploited organisms</x:v>
      </x:c>
      <x:c r="R201" s="46" t="str">
        <x:v>high</x:v>
      </x:c>
      <x:c r="S201" s="46" t="str">
        <x:v>Trichiuridae</x:v>
      </x:c>
      <x:c r="T201" s="62" t="n">
        <x:f>IF(O201="","",(1/'Metadata'!$B$5)^(O201-1))</x:f>
        <x:v>1412.5375446227554</x:v>
      </x:c>
      <x:c r="U201" s="60" t="n">
        <x:f>IF(T201="","",I201*T201)</x:f>
        <x:v>46.60046761730418</x:v>
      </x:c>
    </x:row>
    <x:row r="202" ht="18" customHeight="1">
      <x:c r="A202" s="46" t="str">
        <x:v>LME_035</x:v>
      </x:c>
      <x:c r="B202" s="46" t="str">
        <x:v>Gulf of Thailand</x:v>
      </x:c>
      <x:c r="C202" s="46" t="str">
        <x:v>LME</x:v>
      </x:c>
      <x:c r="D202" s="58" t="n">
        <x:v>2019</x:v>
      </x:c>
      <x:c r="E202" s="46" t="str">
        <x:v>Dussumieria acuta</x:v>
      </x:c>
      <x:c r="F202" s="46" t="str">
        <x:v>Rainbow sardine</x:v>
      </x:c>
      <x:c r="G202" s="46" t="str">
        <x:v>Small pelagics (&lt;30 cm)</x:v>
      </x:c>
      <x:c r="H202" s="46" t="str">
        <x:v>Herring-likes</x:v>
      </x:c>
      <x:c r="I202" s="60" t="n">
        <x:v>0.0245304964</x:v>
      </x:c>
      <x:c r="J202" s="60" t="n">
        <x:v>0.0231080461</x:v>
      </x:c>
      <x:c r="K202" s="60" t="n">
        <x:v>0.0014224503</x:v>
      </x:c>
      <x:c r="L202" s="60" t="n">
        <x:v>0.021917247299999998</x:v>
      </x:c>
      <x:c r="M202" s="60" t="n">
        <x:v>0.0026132491000000002</x:v>
      </x:c>
      <x:c r="N202" s="46" t="str">
        <x:v>dussumieria acuta</x:v>
      </x:c>
      <x:c r="O202" s="62" t="n">
        <x:v>3.4</x:v>
      </x:c>
      <x:c r="P202" s="46" t="str">
        <x:v>exact_2020_supplement</x:v>
      </x:c>
      <x:c r="Q202" s="62" t="str">
        <x:v>2020 supplement MeanTL</x:v>
      </x:c>
      <x:c r="R202" s="46" t="str">
        <x:v>high</x:v>
      </x:c>
      <x:c r="S202" s="46" t="str">
        <x:v>Dussumieria acuta</x:v>
      </x:c>
      <x:c r="T202" s="62" t="n">
        <x:f>IF(O202="","",(1/'Metadata'!$B$5)^(O202-1))</x:f>
        <x:v>251.18864315095797</x:v>
      </x:c>
      <x:c r="U202" s="60" t="n">
        <x:f>IF(T202="","",I202*T202)</x:f>
        <x:v>6.161782106535459</x:v>
      </x:c>
    </x:row>
    <x:row r="203" ht="18" customHeight="1">
      <x:c r="A203" s="46" t="str">
        <x:v>LME_035</x:v>
      </x:c>
      <x:c r="B203" s="46" t="str">
        <x:v>Gulf of Thailand</x:v>
      </x:c>
      <x:c r="C203" s="46" t="str">
        <x:v>LME</x:v>
      </x:c>
      <x:c r="D203" s="58" t="n">
        <x:v>2019</x:v>
      </x:c>
      <x:c r="E203" s="46" t="str">
        <x:v>Thunnus alalunga</x:v>
      </x:c>
      <x:c r="F203" s="46" t="str">
        <x:v>Albacore</x:v>
      </x:c>
      <x:c r="G203" s="46" t="str">
        <x:v>Large pelagics (&gt;=90 cm)</x:v>
      </x:c>
      <x:c r="H203" s="46" t="str">
        <x:v>Tuna &amp; billfishes</x:v>
      </x:c>
      <x:c r="I203" s="60" t="n">
        <x:v>0.0180373226</x:v>
      </x:c>
      <x:c r="J203" s="60" t="n">
        <x:v>0.0180373226</x:v>
      </x:c>
      <x:c r="K203" s="60" t="n">
        <x:v>0</x:v>
      </x:c>
      <x:c r="L203" s="60" t="n">
        <x:v>0.0155734501</x:v>
      </x:c>
      <x:c r="M203" s="60" t="n">
        <x:v>0.0024638725</x:v>
      </x:c>
      <x:c r="N203" s="46" t="str">
        <x:v>thunnus alalunga</x:v>
      </x:c>
      <x:c r="O203" s="62" t="n">
        <x:v>4.3</x:v>
      </x:c>
      <x:c r="P203" s="46" t="str">
        <x:v>exact_2020_supplement</x:v>
      </x:c>
      <x:c r="Q203" s="62" t="str">
        <x:v>2020 supplement MeanTL</x:v>
      </x:c>
      <x:c r="R203" s="46" t="str">
        <x:v>high</x:v>
      </x:c>
      <x:c r="S203" s="46" t="str">
        <x:v>Thunnus alalunga</x:v>
      </x:c>
      <x:c r="T203" s="62" t="n">
        <x:f>IF(O203="","",(1/'Metadata'!$B$5)^(O203-1))</x:f>
        <x:v>1995.2623149688789</x:v>
      </x:c>
      <x:c r="U203" s="60" t="n">
        <x:f>IF(T203="","",I203*T203)</x:f>
        <x:v>35.98919004671647</x:v>
      </x:c>
    </x:row>
    <x:row r="204" ht="18" customHeight="1">
      <x:c r="A204" s="46" t="str">
        <x:v>LME_035</x:v>
      </x:c>
      <x:c r="B204" s="46" t="str">
        <x:v>Gulf of Thailand</x:v>
      </x:c>
      <x:c r="C204" s="46" t="str">
        <x:v>LME</x:v>
      </x:c>
      <x:c r="D204" s="58" t="n">
        <x:v>2019</x:v>
      </x:c>
      <x:c r="E204" s="46" t="str">
        <x:v>Hemiramphus</x:v>
      </x:c>
      <x:c r="F204" s="46" t="str">
        <x:v>Halfbeaks</x:v>
      </x:c>
      <x:c r="G204" s="46" t="str">
        <x:v>Medium pelagics (30 - 89 cm)</x:v>
      </x:c>
      <x:c r="H204" s="46" t="str">
        <x:v>Other fishes &amp; inverts</x:v>
      </x:c>
      <x:c r="I204" s="60" t="n">
        <x:v>0.0069033209</x:v>
      </x:c>
      <x:c r="J204" s="60" t="n">
        <x:v>0.0064981628</x:v>
      </x:c>
      <x:c r="K204" s="60" t="n">
        <x:v>0.0004051581</x:v>
      </x:c>
      <x:c r="L204" s="60" t="n">
        <x:v>0.0061357419</x:v>
      </x:c>
      <x:c r="M204" s="60" t="n">
        <x:v>0.000767579</x:v>
      </x:c>
      <x:c r="N204" s="46" t="str">
        <x:v>hemiramphus</x:v>
      </x:c>
      <x:c r="O204" s="62" t="n">
        <x:v>3.05</x:v>
      </x:c>
      <x:c r="P204" s="46" t="str">
        <x:v>exact_sea_around_us</x:v>
      </x:c>
      <x:c r="Q204" s="62" t="str">
        <x:v>Sea Around Us exploited organisms</x:v>
      </x:c>
      <x:c r="R204" s="46" t="str">
        <x:v>high</x:v>
      </x:c>
      <x:c r="S204" s="46" t="str">
        <x:v>Hemiramphus</x:v>
      </x:c>
      <x:c r="T204" s="62" t="n">
        <x:f>IF(O204="","",(1/'Metadata'!$B$5)^(O204-1))</x:f>
        <x:v>112.2018454301963</x:v>
      </x:c>
      <x:c r="U204" s="60" t="n">
        <x:f>IF(T204="","",I204*T204)</x:f>
        <x:v>0.7745653445768436</x:v>
      </x:c>
    </x:row>
    <x:row r="205" ht="18" customHeight="1">
      <x:c r="A205" s="46" t="str">
        <x:v>LME_035</x:v>
      </x:c>
      <x:c r="B205" s="46" t="str">
        <x:v>Gulf of Thailand</x:v>
      </x:c>
      <x:c r="C205" s="46" t="str">
        <x:v>LME</x:v>
      </x:c>
      <x:c r="D205" s="58" t="n">
        <x:v>2019</x:v>
      </x:c>
      <x:c r="E205" s="46" t="str">
        <x:v>Teuthida</x:v>
      </x:c>
      <x:c r="F205" s="46" t="str">
        <x:v>Squids</x:v>
      </x:c>
      <x:c r="G205" s="46" t="str">
        <x:v>Cephalopods</x:v>
      </x:c>
      <x:c r="H205" s="46" t="str">
        <x:v>Other fishes &amp; inverts</x:v>
      </x:c>
      <x:c r="I205" s="60" t="n">
        <x:v>0.0016047653</x:v>
      </x:c>
      <x:c r="J205" s="60" t="n">
        <x:v>0.0016047653</x:v>
      </x:c>
      <x:c r="K205" s="60" t="n">
        <x:v>0</x:v>
      </x:c>
      <x:c r="L205" s="60" t="n">
        <x:v>0</x:v>
      </x:c>
      <x:c r="M205" s="60" t="n">
        <x:v>0.0016047653</x:v>
      </x:c>
      <x:c r="N205" s="46" t="str">
        <x:v>teuthida</x:v>
      </x:c>
      <x:c r="O205" s="62" t="n">
        <x:v>4.13</x:v>
      </x:c>
      <x:c r="P205" s="46" t="str">
        <x:v>exact_sea_around_us</x:v>
      </x:c>
      <x:c r="Q205" s="62" t="str">
        <x:v>Sea Around Us exploited organisms</x:v>
      </x:c>
      <x:c r="R205" s="46" t="str">
        <x:v>high</x:v>
      </x:c>
      <x:c r="S205" s="46" t="str">
        <x:v>Teuthida</x:v>
      </x:c>
      <x:c r="T205" s="62" t="n">
        <x:f>IF(O205="","",(1/'Metadata'!$B$5)^(O205-1))</x:f>
        <x:v>1348.9628825916532</x:v>
      </x:c>
      <x:c r="U205" s="60" t="n">
        <x:f>IF(T205="","",I205*T205)</x:f>
        <x:v>2.164768824971059</x:v>
      </x:c>
    </x:row>
    <x:row r="206" ht="18" customHeight="1">
      <x:c r="A206" s="46" t="str">
        <x:v>LME_035</x:v>
      </x:c>
      <x:c r="B206" s="46" t="str">
        <x:v>Gulf of Thailand</x:v>
      </x:c>
      <x:c r="C206" s="46" t="str">
        <x:v>LME</x:v>
      </x:c>
      <x:c r="D206" s="58" t="n">
        <x:v>2019</x:v>
      </x:c>
      <x:c r="E206" s="46" t="str">
        <x:v>Dasyatidae</x:v>
      </x:c>
      <x:c r="F206" s="46" t="str">
        <x:v>Whiptail stingrays</x:v>
      </x:c>
      <x:c r="G206" s="46" t="str">
        <x:v>Large rays (&gt;=90 cm)</x:v>
      </x:c>
      <x:c r="H206" s="46" t="str">
        <x:v>Sharks &amp; rays</x:v>
      </x:c>
      <x:c r="I206" s="60" t="n">
        <x:v>0.000748641</x:v>
      </x:c>
      <x:c r="J206" s="60" t="n">
        <x:v>0.000748641</x:v>
      </x:c>
      <x:c r="K206" s="60" t="n">
        <x:v>0</x:v>
      </x:c>
      <x:c r="L206" s="60" t="n">
        <x:v>0</x:v>
      </x:c>
      <x:c r="M206" s="60" t="n">
        <x:v>0.000748641</x:v>
      </x:c>
      <x:c r="N206" s="46" t="str">
        <x:v>dasyatidae</x:v>
      </x:c>
      <x:c r="O206" s="62" t="n">
        <x:v>3.38</x:v>
      </x:c>
      <x:c r="P206" s="46" t="str">
        <x:v>exact_sea_around_us</x:v>
      </x:c>
      <x:c r="Q206" s="62" t="str">
        <x:v>Sea Around Us exploited organisms</x:v>
      </x:c>
      <x:c r="R206" s="46" t="str">
        <x:v>high</x:v>
      </x:c>
      <x:c r="S206" s="46" t="str">
        <x:v>Dasyatidae</x:v>
      </x:c>
      <x:c r="T206" s="62" t="n">
        <x:f>IF(O206="","",(1/'Metadata'!$B$5)^(O206-1))</x:f>
        <x:v>239.88329190194898</x:v>
      </x:c>
      <x:c r="U206" s="60" t="n">
        <x:f>IF(T206="","",I206*T206)</x:f>
        <x:v>0.17958646753276697</x:v>
      </x:c>
    </x:row>
    <x:row r="207" ht="18" customHeight="1">
      <x:c r="A207" s="46" t="str">
        <x:v>LME_035</x:v>
      </x:c>
      <x:c r="B207" s="46" t="str">
        <x:v>Gulf of Thailand</x:v>
      </x:c>
      <x:c r="C207" s="46" t="str">
        <x:v>LME</x:v>
      </x:c>
      <x:c r="D207" s="58" t="n">
        <x:v>2019</x:v>
      </x:c>
      <x:c r="E207" s="46" t="str">
        <x:v>Cypselurus poecilopterus</x:v>
      </x:c>
      <x:c r="F207" s="46" t="str">
        <x:v>Yellowing flyingfish</x:v>
      </x:c>
      <x:c r="G207" s="46" t="str">
        <x:v>Small pelagics (&lt;30 cm)</x:v>
      </x:c>
      <x:c r="H207" s="46" t="str">
        <x:v>Other fishes &amp; inverts</x:v>
      </x:c>
      <x:c r="I207" s="60" t="n">
        <x:v>0.0004797031</x:v>
      </x:c>
      <x:c r="J207" s="60" t="n">
        <x:v>0.0004655034</x:v>
      </x:c>
      <x:c r="K207" s="60" t="n">
        <x:v>0.0000141997</x:v>
      </x:c>
      <x:c r="L207" s="60" t="n">
        <x:v>0.0004494742</x:v>
      </x:c>
      <x:c r="M207" s="60" t="n">
        <x:v>0.0000302289</x:v>
      </x:c>
      <x:c r="N207" s="46" t="str">
        <x:v>cypselurus poecilopterus</x:v>
      </x:c>
      <x:c r="O207" s="62" t="n">
        <x:v>3.4</x:v>
      </x:c>
      <x:c r="P207" s="46" t="str">
        <x:v>exact_2020_supplement</x:v>
      </x:c>
      <x:c r="Q207" s="62" t="str">
        <x:v>2020 supplement MeanTL</x:v>
      </x:c>
      <x:c r="R207" s="46" t="str">
        <x:v>high</x:v>
      </x:c>
      <x:c r="S207" s="46" t="str">
        <x:v>Cypselurus poecilopterus</x:v>
      </x:c>
      <x:c r="T207" s="62" t="n">
        <x:f>IF(O207="","",(1/'Metadata'!$B$5)^(O207-1))</x:f>
        <x:v>251.18864315095797</x:v>
      </x:c>
      <x:c r="U207" s="60" t="n">
        <x:f>IF(T207="","",I207*T207)</x:f>
        <x:v>0.12049597080430831</x:v>
      </x:c>
    </x:row>
    <x:row r="208" ht="18" customHeight="1">
      <x:c r="A208" s="46" t="str">
        <x:v>LME_035</x:v>
      </x:c>
      <x:c r="B208" s="46" t="str">
        <x:v>Gulf of Thailand</x:v>
      </x:c>
      <x:c r="C208" s="46" t="str">
        <x:v>LME</x:v>
      </x:c>
      <x:c r="D208" s="58" t="n">
        <x:v>2019</x:v>
      </x:c>
      <x:c r="E208" s="46" t="str">
        <x:v>Prionace glauca</x:v>
      </x:c>
      <x:c r="F208" s="46" t="str">
        <x:v>Blue shark</x:v>
      </x:c>
      <x:c r="G208" s="46" t="str">
        <x:v>Large sharks (&gt;=90 cm)</x:v>
      </x:c>
      <x:c r="H208" s="46" t="str">
        <x:v>Sharks &amp; rays</x:v>
      </x:c>
      <x:c r="I208" s="60" t="n">
        <x:v>0.00011280140000000001</x:v>
      </x:c>
      <x:c r="J208" s="60" t="n">
        <x:v>0.00011280140000000001</x:v>
      </x:c>
      <x:c r="K208" s="60" t="n">
        <x:v>0</x:v>
      </x:c>
      <x:c r="L208" s="60" t="n">
        <x:v>0.00011280140000000001</x:v>
      </x:c>
      <x:c r="M208" s="60" t="n">
        <x:v>0</x:v>
      </x:c>
      <x:c r="N208" s="46" t="str">
        <x:v>prionace glauca</x:v>
      </x:c>
      <x:c r="O208" s="62" t="n">
        <x:v>4.35</x:v>
      </x:c>
      <x:c r="P208" s="46" t="str">
        <x:v>exact_2020_supplement</x:v>
      </x:c>
      <x:c r="Q208" s="62" t="str">
        <x:v>2020 supplement MeanTL</x:v>
      </x:c>
      <x:c r="R208" s="46" t="str">
        <x:v>high</x:v>
      </x:c>
      <x:c r="S208" s="46" t="str">
        <x:v>Prionace glauca</x:v>
      </x:c>
      <x:c r="T208" s="62" t="n">
        <x:f>IF(O208="","",(1/'Metadata'!$B$5)^(O208-1))</x:f>
        <x:v>2238.7211385683377</x:v>
      </x:c>
      <x:c r="U208" s="60" t="n">
        <x:f>IF(T208="","",I208*T208)</x:f>
        <x:v>0.2525308786401025</x:v>
      </x:c>
    </x:row>
    <x:row r="209" ht="18" customHeight="1">
      <x:c r="A209" s="46" t="str">
        <x:v>LME_035</x:v>
      </x:c>
      <x:c r="B209" s="46" t="str">
        <x:v>Gulf of Thailand</x:v>
      </x:c>
      <x:c r="C209" s="46" t="str">
        <x:v>LME</x:v>
      </x:c>
      <x:c r="D209" s="58" t="n">
        <x:v>2019</x:v>
      </x:c>
      <x:c r="E209" s="46" t="str">
        <x:v>Hemiramphidae</x:v>
      </x:c>
      <x:c r="F209" s="46" t="str">
        <x:v>Halfbeaks, garfishes</x:v>
      </x:c>
      <x:c r="G209" s="46" t="str">
        <x:v>Medium pelagics (30 - 89 cm)</x:v>
      </x:c>
      <x:c r="H209" s="46" t="str">
        <x:v>Other fishes &amp; inverts</x:v>
      </x:c>
      <x:c r="I209" s="60" t="n">
        <x:v>0.0000883205</x:v>
      </x:c>
      <x:c r="J209" s="60" t="n">
        <x:v>0.0000883205</x:v>
      </x:c>
      <x:c r="K209" s="60" t="n">
        <x:v>0</x:v>
      </x:c>
      <x:c r="L209" s="60" t="n">
        <x:v>0</x:v>
      </x:c>
      <x:c r="M209" s="60" t="n">
        <x:v>0.0000883205</x:v>
      </x:c>
      <x:c r="N209" s="46" t="str">
        <x:v>hemiramphidae</x:v>
      </x:c>
      <x:c r="O209" s="62" t="n">
        <x:v>2.82</x:v>
      </x:c>
      <x:c r="P209" s="46" t="str">
        <x:v>exact_sea_around_us</x:v>
      </x:c>
      <x:c r="Q209" s="62" t="str">
        <x:v>Sea Around Us exploited organisms</x:v>
      </x:c>
      <x:c r="R209" s="46" t="str">
        <x:v>high</x:v>
      </x:c>
      <x:c r="S209" s="46" t="str">
        <x:v>Hemiramphidae</x:v>
      </x:c>
      <x:c r="T209" s="62" t="n">
        <x:f>IF(O209="","",(1/'Metadata'!$B$5)^(O209-1))</x:f>
        <x:v>66.06934480075958</x:v>
      </x:c>
      <x:c r="U209" s="60" t="n">
        <x:f>IF(T209="","",I209*T209)</x:f>
        <x:v>0.0058352775674754866</x:v>
      </x:c>
    </x:row>
    <x:row r="210" ht="18" customHeight="1">
      <x:c r="A210" s="46" t="str">
        <x:v>LME_035</x:v>
      </x:c>
      <x:c r="B210" s="46" t="str">
        <x:v>Gulf of Thailand</x:v>
      </x:c>
      <x:c r="C210" s="46" t="str">
        <x:v>LME</x:v>
      </x:c>
      <x:c r="D210" s="58" t="n">
        <x:v>2019</x:v>
      </x:c>
      <x:c r="E210" s="46" t="str">
        <x:v>Pellona ditchela</x:v>
      </x:c>
      <x:c r="F210" s="46" t="str">
        <x:v>Indian pellona</x:v>
      </x:c>
      <x:c r="G210" s="46" t="str">
        <x:v>Small pelagics (&lt;30 cm)</x:v>
      </x:c>
      <x:c r="H210" s="46" t="str">
        <x:v>Herring-likes</x:v>
      </x:c>
      <x:c r="I210" s="60" t="n">
        <x:v>0.0000811854</x:v>
      </x:c>
      <x:c r="J210" s="60" t="n">
        <x:v>0.0000811854</x:v>
      </x:c>
      <x:c r="K210" s="60" t="n">
        <x:v>0</x:v>
      </x:c>
      <x:c r="L210" s="60" t="n">
        <x:v>0.0000811854</x:v>
      </x:c>
      <x:c r="M210" s="60" t="n">
        <x:v>0</x:v>
      </x:c>
      <x:c r="N210" s="46" t="str">
        <x:v>pellona ditchela</x:v>
      </x:c>
      <x:c r="O210" s="62" t="n">
        <x:v>3.37</x:v>
      </x:c>
      <x:c r="P210" s="46" t="str">
        <x:v>exact_sea_around_us</x:v>
      </x:c>
      <x:c r="Q210" s="62" t="str">
        <x:v>Sea Around Us exploited organisms</x:v>
      </x:c>
      <x:c r="R210" s="46" t="str">
        <x:v>high</x:v>
      </x:c>
      <x:c r="S210" s="46" t="str">
        <x:v>Pellona ditchela</x:v>
      </x:c>
      <x:c r="T210" s="62" t="n">
        <x:f>IF(O210="","",(1/'Metadata'!$B$5)^(O210-1))</x:f>
        <x:v>234.42288153199226</x:v>
      </x:c>
      <x:c r="U210" s="60" t="n">
        <x:f>IF(T210="","",I210*T210)</x:f>
        <x:v>0.019031715406327407</x:v>
      </x:c>
    </x:row>
    <x:row r="211" ht="18" customHeight="1">
      <x:c r="A211" s="46" t="str">
        <x:v>LME_035</x:v>
      </x:c>
      <x:c r="B211" s="46" t="str">
        <x:v>Gulf of Thailand</x:v>
      </x:c>
      <x:c r="C211" s="46" t="str">
        <x:v>LME</x:v>
      </x:c>
      <x:c r="D211" s="58" t="n">
        <x:v>2019</x:v>
      </x:c>
      <x:c r="E211" s="46" t="str">
        <x:v>Pomadasys argenteus</x:v>
      </x:c>
      <x:c r="F211" s="46" t="str">
        <x:v>Silver grunt</x:v>
      </x:c>
      <x:c r="G211" s="46" t="str">
        <x:v>Medium demersals (30 - 89 cm)</x:v>
      </x:c>
      <x:c r="H211" s="46" t="str">
        <x:v>Perch-likes</x:v>
      </x:c>
      <x:c r="I211" s="60" t="n">
        <x:v>0.0000510434</x:v>
      </x:c>
      <x:c r="J211" s="60" t="n">
        <x:v>0.0000510434</x:v>
      </x:c>
      <x:c r="K211" s="60" t="n">
        <x:v>0</x:v>
      </x:c>
      <x:c r="L211" s="60" t="n">
        <x:v>0.0000510434</x:v>
      </x:c>
      <x:c r="M211" s="60" t="n">
        <x:v>0</x:v>
      </x:c>
      <x:c r="N211" s="46" t="str">
        <x:v>pomadasys argenteus</x:v>
      </x:c>
      <x:c r="O211" s="62" t="n">
        <x:v>3.47</x:v>
      </x:c>
      <x:c r="P211" s="46" t="str">
        <x:v>exact_2020_supplement</x:v>
      </x:c>
      <x:c r="Q211" s="62" t="str">
        <x:v>2020 supplement MeanTL</x:v>
      </x:c>
      <x:c r="R211" s="46" t="str">
        <x:v>high</x:v>
      </x:c>
      <x:c r="S211" s="46" t="str">
        <x:v>Pomadasys argenteus</x:v>
      </x:c>
      <x:c r="T211" s="62" t="n">
        <x:f>IF(O211="","",(1/'Metadata'!$B$5)^(O211-1))</x:f>
        <x:v>295.1209226666387</x:v>
      </x:c>
      <x:c r="U211" s="60" t="n">
        <x:f>IF(T211="","",I211*T211)</x:f>
        <x:v>0.015063975304042306</x:v>
      </x:c>
    </x:row>
    <x:row r="212" ht="18" customHeight="1">
      <x:c r="A212" s="46" t="str">
        <x:v>LME_035</x:v>
      </x:c>
      <x:c r="B212" s="46" t="str">
        <x:v>Gulf of Thailand</x:v>
      </x:c>
      <x:c r="C212" s="46" t="str">
        <x:v>LME</x:v>
      </x:c>
      <x:c r="D212" s="58" t="n">
        <x:v>2019</x:v>
      </x:c>
      <x:c r="E212" s="46" t="str">
        <x:v>Labridae</x:v>
      </x:c>
      <x:c r="F212" s="46" t="str">
        <x:v>Wrasses, gropers, tuskfishes</x:v>
      </x:c>
      <x:c r="G212" s="46" t="str">
        <x:v>Medium reef assoc. fish (30 - 89 cm)</x:v>
      </x:c>
      <x:c r="H212" s="46" t="str">
        <x:v>Perch-likes</x:v>
      </x:c>
      <x:c r="I212" s="60" t="n">
        <x:v>0.0000470313</x:v>
      </x:c>
      <x:c r="J212" s="60" t="n">
        <x:v>0.0000470313</x:v>
      </x:c>
      <x:c r="K212" s="60" t="n">
        <x:v>0</x:v>
      </x:c>
      <x:c r="L212" s="60" t="n">
        <x:v>0.0000470313</x:v>
      </x:c>
      <x:c r="M212" s="60" t="n">
        <x:v>0</x:v>
      </x:c>
      <x:c r="N212" s="46" t="str">
        <x:v>labridae</x:v>
      </x:c>
      <x:c r="O212" s="62" t="n">
        <x:v>3.46</x:v>
      </x:c>
      <x:c r="P212" s="46" t="str">
        <x:v>exact_sea_around_us</x:v>
      </x:c>
      <x:c r="Q212" s="62" t="str">
        <x:v>Sea Around Us exploited organisms</x:v>
      </x:c>
      <x:c r="R212" s="46" t="str">
        <x:v>high</x:v>
      </x:c>
      <x:c r="S212" s="46" t="str">
        <x:v>Labridae</x:v>
      </x:c>
      <x:c r="T212" s="62" t="n">
        <x:f>IF(O212="","",(1/'Metadata'!$B$5)^(O212-1))</x:f>
        <x:v>288.40315031266056</x:v>
      </x:c>
      <x:c r="U212" s="60" t="n">
        <x:f>IF(T212="","",I212*T212)</x:f>
        <x:v>0.013563975083299831</x:v>
      </x:c>
    </x:row>
    <x:row r="213" ht="18" customHeight="1">
      <x:c r="A213" s="46" t="str">
        <x:v>LME_035</x:v>
      </x:c>
      <x:c r="B213" s="46" t="str">
        <x:v>Gulf of Thailand</x:v>
      </x:c>
      <x:c r="C213" s="46" t="str">
        <x:v>LME</x:v>
      </x:c>
      <x:c r="D213" s="58" t="n">
        <x:v>2019</x:v>
      </x:c>
      <x:c r="E213" s="46" t="str">
        <x:v>Carcharhinus longimanus</x:v>
      </x:c>
      <x:c r="F213" s="46" t="str">
        <x:v>Oceanic whitetip shark</x:v>
      </x:c>
      <x:c r="G213" s="46" t="str">
        <x:v>Large sharks (&gt;=90 cm)</x:v>
      </x:c>
      <x:c r="H213" s="46" t="str">
        <x:v>Sharks &amp; rays</x:v>
      </x:c>
      <x:c r="I213" s="60" t="n">
        <x:v>0.000014427699999999999</x:v>
      </x:c>
      <x:c r="J213" s="60" t="n">
        <x:v>0.000014427699999999999</x:v>
      </x:c>
      <x:c r="K213" s="60" t="n">
        <x:v>0</x:v>
      </x:c>
      <x:c r="L213" s="60" t="n">
        <x:v>0.000014427699999999999</x:v>
      </x:c>
      <x:c r="M213" s="60" t="n">
        <x:v>0</x:v>
      </x:c>
      <x:c r="N213" s="46" t="str">
        <x:v>carcharhinus longimanus</x:v>
      </x:c>
      <x:c r="O213" s="62" t="n">
        <x:v>4.16</x:v>
      </x:c>
      <x:c r="P213" s="46" t="str">
        <x:v>exact_2020_supplement</x:v>
      </x:c>
      <x:c r="Q213" s="62" t="str">
        <x:v>2020 supplement MeanTL</x:v>
      </x:c>
      <x:c r="R213" s="46" t="str">
        <x:v>high</x:v>
      </x:c>
      <x:c r="S213" s="46" t="str">
        <x:v>Carcharhinus longimanus</x:v>
      </x:c>
      <x:c r="T213" s="62" t="n">
        <x:f>IF(O213="","",(1/'Metadata'!$B$5)^(O213-1))</x:f>
        <x:v>1445.439770745928</x:v>
      </x:c>
      <x:c r="U213" s="60" t="n">
        <x:f>IF(T213="","",I213*T213)</x:f>
        <x:v>0.020854371380391024</x:v>
      </x:c>
    </x:row>
    <x:row r="214" ht="18" customHeight="1">
      <x:c r="A214" s="46" t="str">
        <x:v>LME_035</x:v>
      </x:c>
      <x:c r="B214" s="46" t="str">
        <x:v>Gulf of Thailand</x:v>
      </x:c>
      <x:c r="C214" s="46" t="str">
        <x:v>LME</x:v>
      </x:c>
      <x:c r="D214" s="58" t="n">
        <x:v>2019</x:v>
      </x:c>
      <x:c r="E214" s="46" t="str">
        <x:v>Exocoetidae</x:v>
      </x:c>
      <x:c r="F214" s="46" t="str">
        <x:v>Flyingfishes</x:v>
      </x:c>
      <x:c r="G214" s="46" t="str">
        <x:v>Small pelagics (&lt;30 cm)</x:v>
      </x:c>
      <x:c r="H214" s="46" t="str">
        <x:v>Other fishes &amp; inverts</x:v>
      </x:c>
      <x:c r="I214" s="60" t="n">
        <x:v>0.0000106374</x:v>
      </x:c>
      <x:c r="J214" s="60" t="n">
        <x:v>0.0000106374</x:v>
      </x:c>
      <x:c r="K214" s="60" t="n">
        <x:v>0</x:v>
      </x:c>
      <x:c r="L214" s="60" t="n">
        <x:v>0</x:v>
      </x:c>
      <x:c r="M214" s="60" t="n">
        <x:v>0.0000106374</x:v>
      </x:c>
      <x:c r="N214" s="46" t="str">
        <x:v>exocoetidae</x:v>
      </x:c>
      <x:c r="O214" s="62" t="n">
        <x:v>3.57</x:v>
      </x:c>
      <x:c r="P214" s="46" t="str">
        <x:v>exact_sea_around_us</x:v>
      </x:c>
      <x:c r="Q214" s="62" t="str">
        <x:v>Sea Around Us exploited organisms</x:v>
      </x:c>
      <x:c r="R214" s="46" t="str">
        <x:v>high</x:v>
      </x:c>
      <x:c r="S214" s="46" t="str">
        <x:v>Exocoetidae</x:v>
      </x:c>
      <x:c r="T214" s="62" t="n">
        <x:f>IF(O214="","",(1/'Metadata'!$B$5)^(O214-1))</x:f>
        <x:v>371.5352290971724</x:v>
      </x:c>
      <x:c r="U214" s="60" t="n">
        <x:f>IF(T214="","",I214*T214)</x:f>
        <x:v>0.003952168845998262</x:v>
      </x:c>
    </x:row>
    <x:row r="215" ht="18" customHeight="1">
      <x:c r="A215" s="46" t="str">
        <x:v>LME_035</x:v>
      </x:c>
      <x:c r="B215" s="46" t="str">
        <x:v>Gulf of Thailand</x:v>
      </x:c>
      <x:c r="C215" s="46" t="str">
        <x:v>LME</x:v>
      </x:c>
      <x:c r="D215" s="58" t="n">
        <x:v>2019</x:v>
      </x:c>
      <x:c r="E215" s="46" t="str">
        <x:v>Isurus oxyrinchus</x:v>
      </x:c>
      <x:c r="F215" s="46" t="str">
        <x:v>Shortfin mako</x:v>
      </x:c>
      <x:c r="G215" s="46" t="str">
        <x:v>Large sharks (&gt;=90 cm)</x:v>
      </x:c>
      <x:c r="H215" s="46" t="str">
        <x:v>Sharks &amp; rays</x:v>
      </x:c>
      <x:c r="I215" s="60" t="n">
        <x:v>0.0000039072000000000005</x:v>
      </x:c>
      <x:c r="J215" s="60" t="n">
        <x:v>0.0000039072000000000005</x:v>
      </x:c>
      <x:c r="K215" s="60" t="n">
        <x:v>0</x:v>
      </x:c>
      <x:c r="L215" s="60" t="n">
        <x:v>0.0000039072000000000005</x:v>
      </x:c>
      <x:c r="M215" s="60" t="n">
        <x:v>0</x:v>
      </x:c>
      <x:c r="N215" s="46" t="str">
        <x:v>isurus oxyrinchus</x:v>
      </x:c>
      <x:c r="O215" s="62" t="n">
        <x:v>4.5</x:v>
      </x:c>
      <x:c r="P215" s="46" t="str">
        <x:v>exact_2020_supplement</x:v>
      </x:c>
      <x:c r="Q215" s="62" t="str">
        <x:v>2020 supplement MeanTL</x:v>
      </x:c>
      <x:c r="R215" s="46" t="str">
        <x:v>high</x:v>
      </x:c>
      <x:c r="S215" s="46" t="str">
        <x:v>Isurus oxyrinchus</x:v>
      </x:c>
      <x:c r="T215" s="62" t="n">
        <x:f>IF(O215="","",(1/'Metadata'!$B$5)^(O215-1))</x:f>
        <x:v>3162.2776601683795</x:v>
      </x:c>
      <x:c r="U215" s="60" t="n">
        <x:f>IF(T215="","",I215*T215)</x:f>
        <x:v>0.012355651273809894</x:v>
      </x:c>
    </x:row>
  </x:sheetData>
  <x:conditionalFormatting sqref="R2:R21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f2bb55963db5424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3</x:v>
      </x:c>
      <x:c r="C2" s="64" t="n">
        <x:v>3</x:v>
      </x:c>
      <x:c r="D2" s="60" t="n">
        <x:v>178334.13182762708</x:v>
      </x:c>
      <x:c r="E2" s="60" t="n">
        <x:v>178334.13182762708</x:v>
      </x:c>
      <x:c r="F2" s="62" t="n">
        <x:v>0</x:v>
      </x:c>
      <x:c r="G2" s="66" t="n">
        <x:v>1</x:v>
      </x:c>
      <x:c r="H2" s="62" t="n">
        <x:f>IF(E2=0,"",I2/E2)</x:f>
        <x:v>172.53881083572432</x:v>
      </x:c>
      <x:c r="I2" s="60" t="n">
        <x:f>SUMIF('Species'!$H$2:$H$215,A2,'Species'!$U$2:$U$215)</x:f>
        <x:v>30769559.036960073</x:v>
      </x:c>
      <x:c r="J2" s="62" t="n">
        <x:v>3.2288408625927505</x:v>
      </x:c>
      <x:c r="K2" s="62" t="n">
        <x:f>IF(J2="","",(1/'Metadata'!$B$5)^(J2-1))</x:f>
        <x:v>169.37170623503474</x:v>
      </x:c>
      <x:c r="L2" s="60" t="n">
        <x:f>IF(E2=0,"",E2*K2)</x:f>
        <x:v>30204756.18758881</x:v>
      </x:c>
      <x:c r="M2" s="60" t="n">
        <x:f>I2-L2</x:f>
        <x:v>564802.8493712619</x:v>
      </x:c>
      <x:c r="N2" s="62" t="n">
        <x:f>IF(L2=0,"",I2/L2)</x:f>
        <x:v>1.0186991361844973</x:v>
      </x:c>
      <x:c r="O2" s="66" t="n">
        <x:f>IF(L2=0,"",M2/L2)</x:f>
        <x:v>0.018699136184497343</x:v>
      </x:c>
    </x:row>
    <x:row r="3" ht="18" customHeight="1">
      <x:c r="A3" s="46" t="str">
        <x:v>Crustaceans</x:v>
      </x:c>
      <x:c r="B3" s="64" t="n">
        <x:v>36</x:v>
      </x:c>
      <x:c r="C3" s="64" t="n">
        <x:v>36</x:v>
      </x:c>
      <x:c r="D3" s="60" t="n">
        <x:v>180985.92546550703</x:v>
      </x:c>
      <x:c r="E3" s="60" t="n">
        <x:v>180985.92546550703</x:v>
      </x:c>
      <x:c r="F3" s="62" t="n">
        <x:v>0</x:v>
      </x:c>
      <x:c r="G3" s="66" t="n">
        <x:v>1</x:v>
      </x:c>
      <x:c r="H3" s="62" t="n">
        <x:f>IF(E3=0,"",I3/E3)</x:f>
        <x:v>130.05854440981756</x:v>
      </x:c>
      <x:c r="I3" s="60" t="n">
        <x:f>SUMIF('Species'!$H$2:$H$215,A3,'Species'!$U$2:$U$215)</x:f>
        <x:v>23538766.024707578</x:v>
      </x:c>
      <x:c r="J3" s="62" t="n">
        <x:v>2.8892897354525533</x:v>
      </x:c>
      <x:c r="K3" s="62" t="n">
        <x:f>IF(J3="","",(1/'Metadata'!$B$5)^(J3-1))</x:f>
        <x:v>77.49786450455403</x:v>
      </x:c>
      <x:c r="L3" s="60" t="n">
        <x:f>IF(E3=0,"",E3*K3)</x:f>
        <x:v>14026022.728957178</x:v>
      </x:c>
      <x:c r="M3" s="60" t="n">
        <x:f>I3-L3</x:f>
        <x:v>9512743.2957504</x:v>
      </x:c>
      <x:c r="N3" s="62" t="n">
        <x:f>IF(L3=0,"",I3/L3)</x:f>
        <x:v>1.6782210095889145</x:v>
      </x:c>
      <x:c r="O3" s="66" t="n">
        <x:f>IF(L3=0,"",M3/L3)</x:f>
        <x:v>0.6782210095889146</x:v>
      </x:c>
    </x:row>
    <x:row r="4" ht="18" customHeight="1">
      <x:c r="A4" s="46" t="str">
        <x:v>Flatfishes</x:v>
      </x:c>
      <x:c r="B4" s="64" t="n">
        <x:v>5</x:v>
      </x:c>
      <x:c r="C4" s="64" t="n">
        <x:v>5</x:v>
      </x:c>
      <x:c r="D4" s="60" t="n">
        <x:v>3873.4020140164002</x:v>
      </x:c>
      <x:c r="E4" s="60" t="n">
        <x:v>3873.4020140164002</x:v>
      </x:c>
      <x:c r="F4" s="62" t="n">
        <x:v>0</x:v>
      </x:c>
      <x:c r="G4" s="66" t="n">
        <x:v>1</x:v>
      </x:c>
      <x:c r="H4" s="62" t="n">
        <x:f>IF(E4=0,"",I4/E4)</x:f>
        <x:v>1439.6034943649333</x:v>
      </x:c>
      <x:c r="I4" s="60" t="n">
        <x:f>SUMIF('Species'!$H$2:$H$215,A4,'Species'!$U$2:$U$215)</x:f>
        <x:v>5576163.07445818</x:v>
      </x:c>
      <x:c r="J4" s="62" t="n">
        <x:v>3.9970718562282848</x:v>
      </x:c>
      <x:c r="K4" s="62" t="n">
        <x:f>IF(J4="","",(1/'Metadata'!$B$5)^(J4-1))</x:f>
        <x:v>993.2803781104773</x:v>
      </x:c>
      <x:c r="L4" s="60" t="n">
        <x:f>IF(E4=0,"",E4*K4)</x:f>
        <x:v>3847374.217056094</x:v>
      </x:c>
      <x:c r="M4" s="60" t="n">
        <x:f>I4-L4</x:f>
        <x:v>1728788.8574020858</x:v>
      </x:c>
      <x:c r="N4" s="62" t="n">
        <x:f>IF(L4=0,"",I4/L4)</x:f>
        <x:v>1.4493425281424555</x:v>
      </x:c>
      <x:c r="O4" s="66" t="n">
        <x:f>IF(L4=0,"",M4/L4)</x:f>
        <x:v>0.4493425281424555</x:v>
      </x:c>
    </x:row>
    <x:row r="5" ht="18" customHeight="1">
      <x:c r="A5" s="46" t="str">
        <x:v>Herring-likes</x:v>
      </x:c>
      <x:c r="B5" s="64" t="n">
        <x:v>13</x:v>
      </x:c>
      <x:c r="C5" s="64" t="n">
        <x:v>13</x:v>
      </x:c>
      <x:c r="D5" s="60" t="n">
        <x:v>145650.54575638758</x:v>
      </x:c>
      <x:c r="E5" s="60" t="n">
        <x:v>145650.54575638758</x:v>
      </x:c>
      <x:c r="F5" s="62" t="n">
        <x:v>0</x:v>
      </x:c>
      <x:c r="G5" s="66" t="n">
        <x:v>1</x:v>
      </x:c>
      <x:c r="H5" s="62" t="n">
        <x:f>IF(E5=0,"",I5/E5)</x:f>
        <x:v>169.7294194337379</x:v>
      </x:c>
      <x:c r="I5" s="60" t="n">
        <x:f>SUMIF('Species'!$H$2:$H$215,A5,'Species'!$U$2:$U$215)</x:f>
        <x:v>24721182.57143874</x:v>
      </x:c>
      <x:c r="J5" s="62" t="n">
        <x:v>2.915875490557777</x:v>
      </x:c>
      <x:c r="K5" s="62" t="n">
        <x:f>IF(J5="","",(1/'Metadata'!$B$5)^(J5-1))</x:f>
        <x:v>82.39018737678225</x:v>
      </x:c>
      <x:c r="L5" s="60" t="n">
        <x:f>IF(E5=0,"",E5*K5)</x:f>
        <x:v>12000175.75639937</x:v>
      </x:c>
      <x:c r="M5" s="60" t="n">
        <x:f>I5-L5</x:f>
        <x:v>12721006.81503937</x:v>
      </x:c>
      <x:c r="N5" s="62" t="n">
        <x:f>IF(L5=0,"",I5/L5)</x:f>
        <x:v>2.060068375103223</x:v>
      </x:c>
      <x:c r="O5" s="66" t="n">
        <x:f>IF(L5=0,"",M5/L5)</x:f>
        <x:v>1.060068375103223</x:v>
      </x:c>
    </x:row>
    <x:row r="6" ht="18" customHeight="1">
      <x:c r="A6" s="46" t="str">
        <x:v>Molluscs</x:v>
      </x:c>
      <x:c r="B6" s="64" t="n">
        <x:v>5</x:v>
      </x:c>
      <x:c r="C6" s="64" t="n">
        <x:v>5</x:v>
      </x:c>
      <x:c r="D6" s="60" t="n">
        <x:v>51978.5152997877</x:v>
      </x:c>
      <x:c r="E6" s="60" t="n">
        <x:v>51978.5152997877</x:v>
      </x:c>
      <x:c r="F6" s="62" t="n">
        <x:v>0</x:v>
      </x:c>
      <x:c r="G6" s="66" t="n">
        <x:v>1</x:v>
      </x:c>
      <x:c r="H6" s="62" t="n">
        <x:f>IF(E6=0,"",I6/E6)</x:f>
        <x:v>11.179036220245562</x:v>
      </x:c>
      <x:c r="I6" s="60" t="n">
        <x:f>SUMIF('Species'!$H$2:$H$215,A6,'Species'!$U$2:$U$215)</x:f>
        <x:v>581069.7052109148</x:v>
      </x:c>
      <x:c r="J6" s="62" t="n">
        <x:v>2.0455357476145615</x:v>
      </x:c>
      <x:c r="K6" s="62" t="n">
        <x:f>IF(J6="","",(1/'Metadata'!$B$5)^(J6-1))</x:f>
        <x:v>11.105439425806791</x:v>
      </x:c>
      <x:c r="L6" s="60" t="n">
        <x:f>IF(E6=0,"",E6*K6)</x:f>
        <x:v>577244.2531051638</x:v>
      </x:c>
      <x:c r="M6" s="60" t="n">
        <x:f>I6-L6</x:f>
        <x:v>3825.4521057510283</x:v>
      </x:c>
      <x:c r="N6" s="62" t="n">
        <x:f>IF(L6=0,"",I6/L6)</x:f>
        <x:v>1.0066270943108966</x:v>
      </x:c>
      <x:c r="O6" s="66" t="n">
        <x:f>IF(L6=0,"",M6/L6)</x:f>
        <x:v>0.0066270943108966696</x:v>
      </x:c>
    </x:row>
    <x:row r="7" ht="18" customHeight="1">
      <x:c r="A7" s="46" t="str">
        <x:v>Other fishes &amp; inverts</x:v>
      </x:c>
      <x:c r="B7" s="64" t="n">
        <x:v>35</x:v>
      </x:c>
      <x:c r="C7" s="64" t="n">
        <x:v>35</x:v>
      </x:c>
      <x:c r="D7" s="60" t="n">
        <x:v>659450.0903866689</x:v>
      </x:c>
      <x:c r="E7" s="60" t="n">
        <x:v>659450.0903866689</x:v>
      </x:c>
      <x:c r="F7" s="62" t="n">
        <x:v>0</x:v>
      </x:c>
      <x:c r="G7" s="66" t="n">
        <x:v>1</x:v>
      </x:c>
      <x:c r="H7" s="62" t="n">
        <x:f>IF(E7=0,"",I7/E7)</x:f>
        <x:v>1157.0502667059627</x:v>
      </x:c>
      <x:c r="I7" s="60" t="n">
        <x:f>SUMIF('Species'!$H$2:$H$215,A7,'Species'!$U$2:$U$215)</x:f>
        <x:v>763016902.9611665</x:v>
      </x:c>
      <x:c r="J7" s="62" t="n">
        <x:v>3.907174996362343</x:v>
      </x:c>
      <x:c r="K7" s="62" t="n">
        <x:f>IF(J7="","",(1/'Metadata'!$B$5)^(J7-1))</x:f>
        <x:v>807.5603663148926</x:v>
      </x:c>
      <x:c r="L7" s="60" t="n">
        <x:f>IF(E7=0,"",E7*K7)</x:f>
        <x:v>532545756.5590474</x:v>
      </x:c>
      <x:c r="M7" s="60" t="n">
        <x:f>I7-L7</x:f>
        <x:v>230471146.4021191</x:v>
      </x:c>
      <x:c r="N7" s="62" t="n">
        <x:f>IF(L7=0,"",I7/L7)</x:f>
        <x:v>1.4327724774135253</x:v>
      </x:c>
      <x:c r="O7" s="66" t="n">
        <x:f>IF(L7=0,"",M7/L7)</x:f>
        <x:v>0.4327724774135253</x:v>
      </x:c>
    </x:row>
    <x:row r="8" ht="18" customHeight="1">
      <x:c r="A8" s="46" t="str">
        <x:v>Perch-likes</x:v>
      </x:c>
      <x:c r="B8" s="64" t="n">
        <x:v>91</x:v>
      </x:c>
      <x:c r="C8" s="64" t="n">
        <x:v>91</x:v>
      </x:c>
      <x:c r="D8" s="60" t="n">
        <x:v>1284066.5360903968</x:v>
      </x:c>
      <x:c r="E8" s="60" t="n">
        <x:v>1284066.5360903968</x:v>
      </x:c>
      <x:c r="F8" s="62" t="n">
        <x:v>0</x:v>
      </x:c>
      <x:c r="G8" s="66" t="n">
        <x:v>1</x:v>
      </x:c>
      <x:c r="H8" s="62" t="n">
        <x:f>IF(E8=0,"",I8/E8)</x:f>
        <x:v>663.6529942965578</x:v>
      </x:c>
      <x:c r="I8" s="60" t="n">
        <x:f>SUMIF('Species'!$H$2:$H$215,A8,'Species'!$U$2:$U$215)</x:f>
        <x:v>852174601.552401</x:v>
      </x:c>
      <x:c r="J8" s="62" t="n">
        <x:v>3.6450477827589705</x:v>
      </x:c>
      <x:c r="K8" s="62" t="n">
        <x:f>IF(J8="","",(1/'Metadata'!$B$5)^(J8-1))</x:f>
        <x:v>441.6190333149076</x:v>
      </x:c>
      <x:c r="L8" s="60" t="n">
        <x:f>IF(E8=0,"",E8*K8)</x:f>
        <x:v>567068222.380263</x:v>
      </x:c>
      <x:c r="M8" s="60" t="n">
        <x:f>I8-L8</x:f>
        <x:v>285106379.172138</x:v>
      </x:c>
      <x:c r="N8" s="62" t="n">
        <x:f>IF(L8=0,"",I8/L8)</x:f>
        <x:v>1.5027726257969578</x:v>
      </x:c>
      <x:c r="O8" s="66" t="n">
        <x:f>IF(L8=0,"",M8/L8)</x:f>
        <x:v>0.5027726257969577</x:v>
      </x:c>
    </x:row>
    <x:row r="9" ht="18" customHeight="1">
      <x:c r="A9" s="46" t="str">
        <x:v>Scorpionfishes</x:v>
      </x:c>
      <x:c r="B9" s="64" t="n">
        <x:v>3</x:v>
      </x:c>
      <x:c r="C9" s="64" t="n">
        <x:v>3</x:v>
      </x:c>
      <x:c r="D9" s="60" t="n">
        <x:v>41732.16241524059</x:v>
      </x:c>
      <x:c r="E9" s="60" t="n">
        <x:v>41732.16241524059</x:v>
      </x:c>
      <x:c r="F9" s="62" t="n">
        <x:v>0</x:v>
      </x:c>
      <x:c r="G9" s="66" t="n">
        <x:v>1</x:v>
      </x:c>
      <x:c r="H9" s="62" t="n">
        <x:f>IF(E9=0,"",I9/E9)</x:f>
        <x:v>794.6360883302515</x:v>
      </x:c>
      <x:c r="I9" s="60" t="n">
        <x:f>SUMIF('Species'!$H$2:$H$215,A9,'Species'!$U$2:$U$215)</x:f>
        <x:v>33161882.299209524</x:v>
      </x:c>
      <x:c r="J9" s="62" t="n">
        <x:v>3.9001500556995605</x:v>
      </x:c>
      <x:c r="K9" s="62" t="n">
        <x:f>IF(J9="","",(1/'Metadata'!$B$5)^(J9-1))</x:f>
        <x:v>794.602735271513</x:v>
      </x:c>
      <x:c r="L9" s="60" t="n">
        <x:f>IF(E9=0,"",E9*K9)</x:f>
        <x:v>33160490.403945204</x:v>
      </x:c>
      <x:c r="M9" s="60" t="n">
        <x:f>I9-L9</x:f>
        <x:v>1391.8952643200755</x:v>
      </x:c>
      <x:c r="N9" s="62" t="n">
        <x:f>IF(L9=0,"",I9/L9)</x:f>
        <x:v>1.0000419745078364</x:v>
      </x:c>
      <x:c r="O9" s="66" t="n">
        <x:f>IF(L9=0,"",M9/L9)</x:f>
        <x:v>0.000041974507836424444</x:v>
      </x:c>
    </x:row>
    <x:row r="10" ht="18" customHeight="1">
      <x:c r="A10" s="46" t="str">
        <x:v>Sharks &amp; rays</x:v>
      </x:c>
      <x:c r="B10" s="64" t="n">
        <x:v>9</x:v>
      </x:c>
      <x:c r="C10" s="64" t="n">
        <x:v>9</x:v>
      </x:c>
      <x:c r="D10" s="60" t="n">
        <x:v>10239.425192844801</x:v>
      </x:c>
      <x:c r="E10" s="60" t="n">
        <x:v>10239.425192844801</x:v>
      </x:c>
      <x:c r="F10" s="62" t="n">
        <x:v>0</x:v>
      </x:c>
      <x:c r="G10" s="66" t="n">
        <x:v>1</x:v>
      </x:c>
      <x:c r="H10" s="62" t="n">
        <x:f>IF(E10=0,"",I10/E10)</x:f>
        <x:v>955.0864840158623</x:v>
      </x:c>
      <x:c r="I10" s="60" t="n">
        <x:f>SUMIF('Species'!$H$2:$H$215,A10,'Species'!$U$2:$U$215)</x:f>
        <x:v>9779536.605777584</x:v>
      </x:c>
      <x:c r="J10" s="62" t="n">
        <x:v>3.9308456149631184</x:v>
      </x:c>
      <x:c r="K10" s="62" t="n">
        <x:f>IF(J10="","",(1/'Metadata'!$B$5)^(J10-1))</x:f>
        <x:v>852.7969038891781</x:v>
      </x:c>
      <x:c r="L10" s="60" t="n">
        <x:f>IF(E10=0,"",E10*K10)</x:f>
        <x:v>8732150.102062898</x:v>
      </x:c>
      <x:c r="M10" s="60" t="n">
        <x:f>I10-L10</x:f>
        <x:v>1047386.5037146863</x:v>
      </x:c>
      <x:c r="N10" s="62" t="n">
        <x:f>IF(L10=0,"",I10/L10)</x:f>
        <x:v>1.1199460031576014</x:v>
      </x:c>
      <x:c r="O10" s="66" t="n">
        <x:f>IF(L10=0,"",M10/L10)</x:f>
        <x:v>0.11994600315760146</x:v>
      </x:c>
    </x:row>
    <x:row r="11" ht="18" customHeight="1">
      <x:c r="A11" s="46" t="str">
        <x:v>Tuna &amp; billfishes</x:v>
      </x:c>
      <x:c r="B11" s="64" t="n">
        <x:v>14</x:v>
      </x:c>
      <x:c r="C11" s="64" t="n">
        <x:v>14</x:v>
      </x:c>
      <x:c r="D11" s="60" t="n">
        <x:v>59514.3224133451</x:v>
      </x:c>
      <x:c r="E11" s="60" t="n">
        <x:v>59514.3224133451</x:v>
      </x:c>
      <x:c r="F11" s="62" t="n">
        <x:v>0</x:v>
      </x:c>
      <x:c r="G11" s="66" t="n">
        <x:v>1</x:v>
      </x:c>
      <x:c r="H11" s="62" t="n">
        <x:f>IF(E11=0,"",I11/E11)</x:f>
        <x:v>2109.983461370835</x:v>
      </x:c>
      <x:c r="I11" s="60" t="n">
        <x:f>SUMIF('Species'!$H$2:$H$215,A11,'Species'!$U$2:$U$215)</x:f>
        <x:v>125574236.00684975</x:v>
      </x:c>
      <x:c r="J11" s="62" t="n">
        <x:v>4.301396934524649</x:v>
      </x:c>
      <x:c r="K11" s="62" t="n">
        <x:f>IF(J11="","",(1/'Metadata'!$B$5)^(J11-1))</x:f>
        <x:v>2001.6905299717675</x:v>
      </x:c>
      <x:c r="L11" s="60" t="n">
        <x:f>IF(E11=0,"",E11*K11)</x:f>
        <x:v>119129255.5724794</x:v>
      </x:c>
      <x:c r="M11" s="60" t="n">
        <x:f>I11-L11</x:f>
        <x:v>6444980.434370354</x:v>
      </x:c>
      <x:c r="N11" s="62" t="n">
        <x:f>IF(L11=0,"",I11/L11)</x:f>
        <x:v>1.0541007362414783</x:v>
      </x:c>
      <x:c r="O11" s="66" t="n">
        <x:f>IF(L11=0,"",M11/L11)</x:f>
        <x:v>0.05410073624147819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f63b8c2091bb464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8</x:v>
      </x:c>
      <x:c r="C2" s="64" t="n">
        <x:v>8</x:v>
      </x:c>
      <x:c r="D2" s="60" t="n">
        <x:v>221324.71917598243</x:v>
      </x:c>
      <x:c r="E2" s="60" t="n">
        <x:v>221324.71917598243</x:v>
      </x:c>
      <x:c r="F2" s="62" t="n">
        <x:v>0</x:v>
      </x:c>
      <x:c r="G2" s="66" t="n">
        <x:v>1</x:v>
      </x:c>
      <x:c r="H2" s="62" t="n">
        <x:f>IF(E2=0,"",I2/E2)</x:f>
        <x:v>632.3907963061165</x:v>
      </x:c>
      <x:c r="I2" s="60" t="n">
        <x:f>SUMIF('Species'!$G$2:$G$215,A2,'Species'!$U$2:$U$215)</x:f>
        <x:v>139963715.40192714</x:v>
      </x:c>
      <x:c r="J2" s="62" t="n">
        <x:v>3.776911060578845</x:v>
      </x:c>
      <x:c r="K2" s="62" t="n">
        <x:f>IF(J2="","",(1/'Metadata'!$B$5)^(J2-1))</x:f>
        <x:v>598.2890585470891</x:v>
      </x:c>
      <x:c r="L2" s="60" t="n">
        <x:f>IF(E2=0,"",E2*K2)</x:f>
        <x:v>132416157.86899741</x:v>
      </x:c>
      <x:c r="M2" s="60" t="n">
        <x:f>I2-L2</x:f>
        <x:v>7547557.532929733</x:v>
      </x:c>
      <x:c r="N2" s="62" t="n">
        <x:f>IF(L2=0,"",I2/L2)</x:f>
        <x:v>1.0569987655161897</x:v>
      </x:c>
      <x:c r="O2" s="66" t="n">
        <x:f>IF(L2=0,"",M2/L2)</x:f>
        <x:v>0.05699876551618964</x:v>
      </x:c>
    </x:row>
    <x:row r="3" ht="18" customHeight="1">
      <x:c r="A3" s="46" t="str">
        <x:v>Jellyfish</x:v>
      </x:c>
      <x:c r="B3" s="64" t="n">
        <x:v>2</x:v>
      </x:c>
      <x:c r="C3" s="64" t="n">
        <x:v>2</x:v>
      </x:c>
      <x:c r="D3" s="60" t="n">
        <x:v>8272.5536784781</x:v>
      </x:c>
      <x:c r="E3" s="60" t="n">
        <x:v>8272.5536784781</x:v>
      </x:c>
      <x:c r="F3" s="62" t="n">
        <x:v>0</x:v>
      </x:c>
      <x:c r="G3" s="66" t="n">
        <x:v>1</x:v>
      </x:c>
      <x:c r="H3" s="62" t="n">
        <x:f>IF(E3=0,"",I3/E3)</x:f>
        <x:v>288.40315031266056</x:v>
      </x:c>
      <x:c r="I3" s="60" t="n">
        <x:f>SUMIF('Species'!$G$2:$G$215,A3,'Species'!$U$2:$U$215)</x:f>
        <x:v>2385830.5420036726</x:v>
      </x:c>
      <x:c r="J3" s="62" t="n">
        <x:v>3.4600000000000004</x:v>
      </x:c>
      <x:c r="K3" s="62" t="n">
        <x:f>IF(J3="","",(1/'Metadata'!$B$5)^(J3-1))</x:f>
        <x:v>288.40315031266084</x:v>
      </x:c>
      <x:c r="L3" s="60" t="n">
        <x:f>IF(E3=0,"",E3*K3)</x:f>
        <x:v>2385830.542003675</x:v>
      </x:c>
      <x:c r="M3" s="60" t="n">
        <x:f>I3-L3</x:f>
        <x:v>-2.3283064365386963e-9</x:v>
      </x:c>
      <x:c r="N3" s="62" t="n">
        <x:f>IF(L3=0,"",I3/L3)</x:f>
        <x:v>0.999999999999999</x:v>
      </x:c>
      <x:c r="O3" s="66" t="n">
        <x:f>IF(L3=0,"",M3/L3)</x:f>
        <x:v>-9.758892744257232e-16</x:v>
      </x:c>
    </x:row>
    <x:row r="4" ht="18" customHeight="1">
      <x:c r="A4" s="46" t="str">
        <x:v>Large benthopelagics (&gt;=90 cm)</x:v>
      </x:c>
      <x:c r="B4" s="64" t="n">
        <x:v>4</x:v>
      </x:c>
      <x:c r="C4" s="64" t="n">
        <x:v>4</x:v>
      </x:c>
      <x:c r="D4" s="60" t="n">
        <x:v>15352.941266845</x:v>
      </x:c>
      <x:c r="E4" s="60" t="n">
        <x:v>15352.941266845</x:v>
      </x:c>
      <x:c r="F4" s="62" t="n">
        <x:v>0</x:v>
      </x:c>
      <x:c r="G4" s="66" t="n">
        <x:v>1</x:v>
      </x:c>
      <x:c r="H4" s="62" t="n">
        <x:f>IF(E4=0,"",I4/E4)</x:f>
        <x:v>2274.4706765951414</x:v>
      </x:c>
      <x:c r="I4" s="60" t="n">
        <x:f>SUMIF('Species'!$G$2:$G$215,A4,'Species'!$U$2:$U$215)</x:f>
        <x:v>34919814.71092641</x:v>
      </x:c>
      <x:c r="J4" s="62" t="n">
        <x:v>4.345122128211859</x:v>
      </x:c>
      <x:c r="K4" s="62" t="n">
        <x:f>IF(J4="","",(1/'Metadata'!$B$5)^(J4-1))</x:f>
        <x:v>2213.7171428102215</x:v>
      </x:c>
      <x:c r="L4" s="60" t="n">
        <x:f>IF(E4=0,"",E4*K4)</x:f>
        <x:v>33987069.27497326</x:v>
      </x:c>
      <x:c r="M4" s="60" t="n">
        <x:f>I4-L4</x:f>
        <x:v>932745.4359531552</x:v>
      </x:c>
      <x:c r="N4" s="62" t="n">
        <x:f>IF(L4=0,"",I4/L4)</x:f>
        <x:v>1.027444126717922</x:v>
      </x:c>
      <x:c r="O4" s="66" t="n">
        <x:f>IF(L4=0,"",M4/L4)</x:f>
        <x:v>0.027444126717921874</x:v>
      </x:c>
    </x:row>
    <x:row r="5" ht="18" customHeight="1">
      <x:c r="A5" s="46" t="str">
        <x:v>Large demersals (&gt;=90 cm)</x:v>
      </x:c>
      <x:c r="B5" s="64" t="n">
        <x:v>4</x:v>
      </x:c>
      <x:c r="C5" s="64" t="n">
        <x:v>4</x:v>
      </x:c>
      <x:c r="D5" s="60" t="n">
        <x:v>5434.6065193144</x:v>
      </x:c>
      <x:c r="E5" s="60" t="n">
        <x:v>5434.6065193144</x:v>
      </x:c>
      <x:c r="F5" s="62" t="n">
        <x:v>0</x:v>
      </x:c>
      <x:c r="G5" s="66" t="n">
        <x:v>1</x:v>
      </x:c>
      <x:c r="H5" s="62" t="n">
        <x:f>IF(E5=0,"",I5/E5)</x:f>
        <x:v>2256.5483557928146</x:v>
      </x:c>
      <x:c r="I5" s="60" t="n">
        <x:f>SUMIF('Species'!$G$2:$G$215,A5,'Species'!$U$2:$U$215)</x:f>
        <x:v>12263452.405539822</x:v>
      </x:c>
      <x:c r="J5" s="62" t="n">
        <x:v>4.342671882394563</x:v>
      </x:c>
      <x:c r="K5" s="62" t="n">
        <x:f>IF(J5="","",(1/'Metadata'!$B$5)^(J5-1))</x:f>
        <x:v>2201.262739466697</x:v>
      </x:c>
      <x:c r="L5" s="60" t="n">
        <x:f>IF(E5=0,"",E5*K5)</x:f>
        <x:v>11962996.834629588</x:v>
      </x:c>
      <x:c r="M5" s="60" t="n">
        <x:f>I5-L5</x:f>
        <x:v>300455.570910234</x:v>
      </x:c>
      <x:c r="N5" s="62" t="n">
        <x:f>IF(L5=0,"",I5/L5)</x:f>
        <x:v>1.025115410048467</x:v>
      </x:c>
      <x:c r="O5" s="66" t="n">
        <x:f>IF(L5=0,"",M5/L5)</x:f>
        <x:v>0.02511541004846693</x:v>
      </x:c>
    </x:row>
    <x:row r="6" ht="18" customHeight="1">
      <x:c r="A6" s="46" t="str">
        <x:v>Large pelagics (&gt;=90 cm)</x:v>
      </x:c>
      <x:c r="B6" s="64" t="n">
        <x:v>20</x:v>
      </x:c>
      <x:c r="C6" s="64" t="n">
        <x:v>20</x:v>
      </x:c>
      <x:c r="D6" s="60" t="n">
        <x:v>98790.5673973051</x:v>
      </x:c>
      <x:c r="E6" s="60" t="n">
        <x:v>98790.5673973051</x:v>
      </x:c>
      <x:c r="F6" s="62" t="n">
        <x:v>0</x:v>
      </x:c>
      <x:c r="G6" s="66" t="n">
        <x:v>1</x:v>
      </x:c>
      <x:c r="H6" s="62" t="n">
        <x:f>IF(E6=0,"",I6/E6)</x:f>
        <x:v>2216.985346530935</x:v>
      </x:c>
      <x:c r="I6" s="60" t="n">
        <x:f>SUMIF('Species'!$G$2:$G$215,A6,'Species'!$U$2:$U$215)</x:f>
        <x:v>219017240.29530215</x:v>
      </x:c>
      <x:c r="J6" s="62" t="n">
        <x:v>4.328408607399411</x:v>
      </x:c>
      <x:c r="K6" s="62" t="n">
        <x:f>IF(J6="","",(1/'Metadata'!$B$5)^(J6-1))</x:f>
        <x:v>2130.1422548564697</x:v>
      </x:c>
      <x:c r="L6" s="60" t="n">
        <x:f>IF(E6=0,"",E6*K6)</x:f>
        <x:v>210437961.99424553</x:v>
      </x:c>
      <x:c r="M6" s="60" t="n">
        <x:f>I6-L6</x:f>
        <x:v>8579278.301056623</x:v>
      </x:c>
      <x:c r="N6" s="62" t="n">
        <x:f>IF(L6=0,"",I6/L6)</x:f>
        <x:v>1.0407686817518753</x:v>
      </x:c>
      <x:c r="O6" s="66" t="n">
        <x:f>IF(L6=0,"",M6/L6)</x:f>
        <x:v>0.04076868175187529</x:v>
      </x:c>
    </x:row>
    <x:row r="7" ht="18" customHeight="1">
      <x:c r="A7" s="46" t="str">
        <x:v>Large rays (&gt;=90 cm)</x:v>
      </x:c>
      <x:c r="B7" s="64" t="n">
        <x:v>3</x:v>
      </x:c>
      <x:c r="C7" s="64" t="n">
        <x:v>3</x:v>
      </x:c>
      <x:c r="D7" s="60" t="n">
        <x:v>7319.8423838511</x:v>
      </x:c>
      <x:c r="E7" s="60" t="n">
        <x:v>7319.8423838511</x:v>
      </x:c>
      <x:c r="F7" s="62" t="n">
        <x:v>0</x:v>
      </x:c>
      <x:c r="G7" s="66" t="n">
        <x:v>1</x:v>
      </x:c>
      <x:c r="H7" s="62" t="n">
        <x:f>IF(E7=0,"",I7/E7)</x:f>
        <x:v>656.5168318518364</x:v>
      </x:c>
      <x:c r="I7" s="60" t="n">
        <x:f>SUMIF('Species'!$G$2:$G$215,A7,'Species'!$U$2:$U$215)</x:f>
        <x:v>4805599.731500718</x:v>
      </x:c>
      <x:c r="J7" s="62" t="n">
        <x:v>3.8134933515915095</x:v>
      </x:c>
      <x:c r="K7" s="62" t="n">
        <x:f>IF(J7="","",(1/'Metadata'!$B$5)^(J7-1))</x:f>
        <x:v>650.8686469243553</x:v>
      </x:c>
      <x:c r="L7" s="60" t="n">
        <x:f>IF(E7=0,"",E7*K7)</x:f>
        <x:v>4764255.908076713</x:v>
      </x:c>
      <x:c r="M7" s="60" t="n">
        <x:f>I7-L7</x:f>
        <x:v>41343.82342400495</x:v>
      </x:c>
      <x:c r="N7" s="62" t="n">
        <x:f>IF(L7=0,"",I7/L7)</x:f>
        <x:v>1.0086779182776298</x:v>
      </x:c>
      <x:c r="O7" s="66" t="n">
        <x:f>IF(L7=0,"",M7/L7)</x:f>
        <x:v>0.00867791827762986</x:v>
      </x:c>
    </x:row>
    <x:row r="8" ht="18" customHeight="1">
      <x:c r="A8" s="46" t="str">
        <x:v>Large reef assoc. fish (&gt;=90 cm)</x:v>
      </x:c>
      <x:c r="B8" s="64" t="n">
        <x:v>7</x:v>
      </x:c>
      <x:c r="C8" s="64" t="n">
        <x:v>7</x:v>
      </x:c>
      <x:c r="D8" s="60" t="n">
        <x:v>2311.5570185537003</x:v>
      </x:c>
      <x:c r="E8" s="60" t="n">
        <x:v>2311.5570185537003</x:v>
      </x:c>
      <x:c r="F8" s="62" t="n">
        <x:v>0</x:v>
      </x:c>
      <x:c r="G8" s="66" t="n">
        <x:v>1</x:v>
      </x:c>
      <x:c r="H8" s="62" t="n">
        <x:f>IF(E8=0,"",I8/E8)</x:f>
        <x:v>550.2006006680264</x:v>
      </x:c>
      <x:c r="I8" s="60" t="n">
        <x:f>SUMIF('Species'!$G$2:$G$215,A8,'Species'!$U$2:$U$215)</x:f>
        <x:v>1271820.0600866382</x:v>
      </x:c>
      <x:c r="J8" s="62" t="n">
        <x:v>3.6552306072014216</x:v>
      </x:c>
      <x:c r="K8" s="62" t="n">
        <x:f>IF(J8="","",(1/'Metadata'!$B$5)^(J8-1))</x:f>
        <x:v>452.0959402971967</x:v>
      </x:c>
      <x:c r="L8" s="60" t="n">
        <x:f>IF(E8=0,"",E8*K8)</x:f>
        <x:v>1045045.5438536197</x:v>
      </x:c>
      <x:c r="M8" s="60" t="n">
        <x:f>I8-L8</x:f>
        <x:v>226774.51623301848</x:v>
      </x:c>
      <x:c r="N8" s="62" t="n">
        <x:f>IF(L8=0,"",I8/L8)</x:f>
        <x:v>1.216999649026572</x:v>
      </x:c>
      <x:c r="O8" s="66" t="n">
        <x:f>IF(L8=0,"",M8/L8)</x:f>
        <x:v>0.21699964902657196</x:v>
      </x:c>
    </x:row>
    <x:row r="9" ht="18" customHeight="1">
      <x:c r="A9" s="46" t="str">
        <x:v>Large sharks (&gt;=90 cm)</x:v>
      </x:c>
      <x:c r="B9" s="64" t="n">
        <x:v>6</x:v>
      </x:c>
      <x:c r="C9" s="64" t="n">
        <x:v>6</x:v>
      </x:c>
      <x:c r="D9" s="60" t="n">
        <x:v>2919.5828089937004</x:v>
      </x:c>
      <x:c r="E9" s="60" t="n">
        <x:v>2919.5828089937004</x:v>
      </x:c>
      <x:c r="F9" s="62" t="n">
        <x:v>0</x:v>
      </x:c>
      <x:c r="G9" s="66" t="n">
        <x:v>1</x:v>
      </x:c>
      <x:c r="H9" s="62" t="n">
        <x:f>IF(E9=0,"",I9/E9)</x:f>
        <x:v>1703.6464452916966</x:v>
      </x:c>
      <x:c r="I9" s="60" t="n">
        <x:f>SUMIF('Species'!$G$2:$G$215,A9,'Species'!$U$2:$U$215)</x:f>
        <x:v>4973936.874276864</x:v>
      </x:c>
      <x:c r="J9" s="62" t="n">
        <x:v>4.225065757862383</x:v>
      </x:c>
      <x:c r="K9" s="62" t="n">
        <x:f>IF(J9="","",(1/'Metadata'!$B$5)^(J9-1))</x:f>
        <x:v>1679.0582302440694</x:v>
      </x:c>
      <x:c r="L9" s="60" t="n">
        <x:f>IF(E9=0,"",E9*K9)</x:f>
        <x:v>4902149.544319971</x:v>
      </x:c>
      <x:c r="M9" s="60" t="n">
        <x:f>I9-L9</x:f>
        <x:v>71787.32995689288</x:v>
      </x:c>
      <x:c r="N9" s="62" t="n">
        <x:f>IF(L9=0,"",I9/L9)</x:f>
        <x:v>1.014644051412114</x:v>
      </x:c>
      <x:c r="O9" s="66" t="n">
        <x:f>IF(L9=0,"",M9/L9)</x:f>
        <x:v>0.014644051412113999</x:v>
      </x:c>
    </x:row>
    <x:row r="10" ht="18" customHeight="1">
      <x:c r="A10" s="46" t="str">
        <x:v>Lobsters, crabs</x:v>
      </x:c>
      <x:c r="B10" s="64" t="n">
        <x:v>15</x:v>
      </x:c>
      <x:c r="C10" s="64" t="n">
        <x:v>15</x:v>
      </x:c>
      <x:c r="D10" s="60" t="n">
        <x:v>74551.2533900322</x:v>
      </x:c>
      <x:c r="E10" s="60" t="n">
        <x:v>74551.2533900322</x:v>
      </x:c>
      <x:c r="F10" s="62" t="n">
        <x:v>0</x:v>
      </x:c>
      <x:c r="G10" s="66" t="n">
        <x:v>1</x:v>
      </x:c>
      <x:c r="H10" s="62" t="n">
        <x:f>IF(E10=0,"",I10/E10)</x:f>
        <x:v>89.0471728241312</x:v>
      </x:c>
      <x:c r="I10" s="60" t="n">
        <x:f>SUMIF('Species'!$G$2:$G$215,A10,'Species'!$U$2:$U$215)</x:f>
        <x:v>6638578.344877794</x:v>
      </x:c>
      <x:c r="J10" s="62" t="n">
        <x:v>2.702434895378489</x:v>
      </x:c>
      <x:c r="K10" s="62" t="n">
        <x:f>IF(J10="","",(1/'Metadata'!$B$5)^(J10-1))</x:f>
        <x:v>50.40050585796739</x:v>
      </x:c>
      <x:c r="L10" s="60" t="n">
        <x:f>IF(E10=0,"",E10*K10)</x:f>
        <x:v>3757420.8832031293</x:v>
      </x:c>
      <x:c r="M10" s="60" t="n">
        <x:f>I10-L10</x:f>
        <x:v>2881157.461674665</x:v>
      </x:c>
      <x:c r="N10" s="62" t="n">
        <x:f>IF(L10=0,"",I10/L10)</x:f>
        <x:v>1.7667912515615056</x:v>
      </x:c>
      <x:c r="O10" s="66" t="n">
        <x:f>IF(L10=0,"",M10/L10)</x:f>
        <x:v>0.7667912515615055</x:v>
      </x:c>
    </x:row>
    <x:row r="11" ht="18" customHeight="1">
      <x:c r="A11" s="46" t="str">
        <x:v>Medium benthopelagics (30 - 89 cm)</x:v>
      </x:c>
      <x:c r="B11" s="64" t="n">
        <x:v>7</x:v>
      </x:c>
      <x:c r="C11" s="64" t="n">
        <x:v>7</x:v>
      </x:c>
      <x:c r="D11" s="60" t="n">
        <x:v>48622.6315192198</x:v>
      </x:c>
      <x:c r="E11" s="60" t="n">
        <x:v>48622.6315192198</x:v>
      </x:c>
      <x:c r="F11" s="62" t="n">
        <x:v>0</x:v>
      </x:c>
      <x:c r="G11" s="66" t="n">
        <x:v>1</x:v>
      </x:c>
      <x:c r="H11" s="62" t="n">
        <x:f>IF(E11=0,"",I11/E11)</x:f>
        <x:v>207.01710542911238</x:v>
      </x:c>
      <x:c r="I11" s="60" t="n">
        <x:f>SUMIF('Species'!$G$2:$G$215,A11,'Species'!$U$2:$U$215)</x:f>
        <x:v>10065716.435455209</x:v>
      </x:c>
      <x:c r="J11" s="62" t="n">
        <x:v>3.2779633468729132</x:v>
      </x:c>
      <x:c r="K11" s="62" t="n">
        <x:f>IF(J11="","",(1/'Metadata'!$B$5)^(J11-1))</x:f>
        <x:v>189.65458517824308</x:v>
      </x:c>
      <x:c r="L11" s="60" t="n">
        <x:f>IF(E11=0,"",E11*K11)</x:f>
        <x:v>9221505.011052199</x:v>
      </x:c>
      <x:c r="M11" s="60" t="n">
        <x:f>I11-L11</x:f>
        <x:v>844211.4244030099</x:v>
      </x:c>
      <x:c r="N11" s="62" t="n">
        <x:f>IF(L11=0,"",I11/L11)</x:f>
        <x:v>1.0915481175134865</x:v>
      </x:c>
      <x:c r="O11" s="66" t="n">
        <x:f>IF(L11=0,"",M11/L11)</x:f>
        <x:v>0.09154811751348635</x:v>
      </x:c>
    </x:row>
    <x:row r="12" ht="18" customHeight="1">
      <x:c r="A12" s="46" t="str">
        <x:v>Medium demersals (30 - 89 cm)</x:v>
      </x:c>
      <x:c r="B12" s="64" t="n">
        <x:v>19</x:v>
      </x:c>
      <x:c r="C12" s="64" t="n">
        <x:v>19</x:v>
      </x:c>
      <x:c r="D12" s="60" t="n">
        <x:v>561378.5762461221</x:v>
      </x:c>
      <x:c r="E12" s="60" t="n">
        <x:v>561378.5762461221</x:v>
      </x:c>
      <x:c r="F12" s="62" t="n">
        <x:v>0</x:v>
      </x:c>
      <x:c r="G12" s="66" t="n">
        <x:v>1</x:v>
      </x:c>
      <x:c r="H12" s="62" t="n">
        <x:f>IF(E12=0,"",I12/E12)</x:f>
        <x:v>1243.659510858562</x:v>
      </x:c>
      <x:c r="I12" s="60" t="n">
        <x:f>SUMIF('Species'!$G$2:$G$215,A12,'Species'!$U$2:$U$215)</x:f>
        <x:v>698163805.5407282</x:v>
      </x:c>
      <x:c r="J12" s="62" t="n">
        <x:v>3.939308824086756</x:v>
      </x:c>
      <x:c r="K12" s="62" t="n">
        <x:f>IF(J12="","",(1/'Metadata'!$B$5)^(J12-1))</x:f>
        <x:v>869.5785613554661</x:v>
      </x:c>
      <x:c r="L12" s="60" t="n">
        <x:f>IF(E12=0,"",E12*K12)</x:f>
        <x:v>488162774.70788276</x:v>
      </x:c>
      <x:c r="M12" s="60" t="n">
        <x:f>I12-L12</x:f>
        <x:v>210001030.83284545</x:v>
      </x:c>
      <x:c r="N12" s="62" t="n">
        <x:f>IF(L12=0,"",I12/L12)</x:f>
        <x:v>1.4301864904764816</x:v>
      </x:c>
      <x:c r="O12" s="66" t="n">
        <x:f>IF(L12=0,"",M12/L12)</x:f>
        <x:v>0.4301864904764816</x:v>
      </x:c>
    </x:row>
    <x:row r="13" ht="18" customHeight="1">
      <x:c r="A13" s="46" t="str">
        <x:v>Medium pelagics (30 - 89 cm)</x:v>
      </x:c>
      <x:c r="B13" s="64" t="n">
        <x:v>16</x:v>
      </x:c>
      <x:c r="C13" s="64" t="n">
        <x:v>16</x:v>
      </x:c>
      <x:c r="D13" s="60" t="n">
        <x:v>440624.1550622209</x:v>
      </x:c>
      <x:c r="E13" s="60" t="n">
        <x:v>440624.1550622209</x:v>
      </x:c>
      <x:c r="F13" s="62" t="n">
        <x:v>0</x:v>
      </x:c>
      <x:c r="G13" s="66" t="n">
        <x:v>1</x:v>
      </x:c>
      <x:c r="H13" s="62" t="n">
        <x:f>IF(E13=0,"",I13/E13)</x:f>
        <x:v>987.1566360334299</x:v>
      </x:c>
      <x:c r="I13" s="60" t="n">
        <x:f>SUMIF('Species'!$G$2:$G$215,A13,'Species'!$U$2:$U$215)</x:f>
        <x:v>434965058.66629434</x:v>
      </x:c>
      <x:c r="J13" s="62" t="n">
        <x:v>3.857808492533358</x:v>
      </x:c>
      <x:c r="K13" s="62" t="n">
        <x:f>IF(J13="","",(1/'Metadata'!$B$5)^(J13-1))</x:f>
        <x:v>720.7895681136619</x:v>
      </x:c>
      <x:c r="L13" s="60" t="n">
        <x:f>IF(E13=0,"",E13*K13)</x:f>
        <x:v>317597294.42774534</x:v>
      </x:c>
      <x:c r="M13" s="60" t="n">
        <x:f>I13-L13</x:f>
        <x:v>117367764.238549</x:v>
      </x:c>
      <x:c r="N13" s="62" t="n">
        <x:f>IF(L13=0,"",I13/L13)</x:f>
        <x:v>1.3695490052899384</x:v>
      </x:c>
      <x:c r="O13" s="66" t="n">
        <x:f>IF(L13=0,"",M13/L13)</x:f>
        <x:v>0.36954900528993845</x:v>
      </x:c>
    </x:row>
    <x:row r="14" ht="18" customHeight="1">
      <x:c r="A14" s="46" t="str">
        <x:v>Medium reef assoc. fish (30 - 89 cm)</x:v>
      </x:c>
      <x:c r="B14" s="64" t="n">
        <x:v>31</x:v>
      </x:c>
      <x:c r="C14" s="64" t="n">
        <x:v>31</x:v>
      </x:c>
      <x:c r="D14" s="60" t="n">
        <x:v>146540.0399481931</x:v>
      </x:c>
      <x:c r="E14" s="60" t="n">
        <x:v>146540.0399481931</x:v>
      </x:c>
      <x:c r="F14" s="62" t="n">
        <x:v>0</x:v>
      </x:c>
      <x:c r="G14" s="66" t="n">
        <x:v>1</x:v>
      </x:c>
      <x:c r="H14" s="62" t="n">
        <x:f>IF(E14=0,"",I14/E14)</x:f>
        <x:v>608.5332624803144</x:v>
      </x:c>
      <x:c r="I14" s="60" t="n">
        <x:f>SUMIF('Species'!$G$2:$G$215,A14,'Species'!$U$2:$U$215)</x:f>
        <x:v>89174488.59366955</x:v>
      </x:c>
      <x:c r="J14" s="62" t="n">
        <x:v>3.670948310859719</x:v>
      </x:c>
      <x:c r="K14" s="62" t="n">
        <x:f>IF(J14="","",(1/'Metadata'!$B$5)^(J14-1))</x:f>
        <x:v>468.75758793263077</x:v>
      </x:c>
      <x:c r="L14" s="60" t="n">
        <x:f>IF(E14=0,"",E14*K14)</x:f>
        <x:v>68691755.66166635</x:v>
      </x:c>
      <x:c r="M14" s="60" t="n">
        <x:f>I14-L14</x:f>
        <x:v>20482732.9320032</x:v>
      </x:c>
      <x:c r="N14" s="62" t="n">
        <x:f>IF(L14=0,"",I14/L14)</x:f>
        <x:v>1.2981832788331782</x:v>
      </x:c>
      <x:c r="O14" s="66" t="n">
        <x:f>IF(L14=0,"",M14/L14)</x:f>
        <x:v>0.29818327883317813</x:v>
      </x:c>
    </x:row>
    <x:row r="15" ht="18" customHeight="1">
      <x:c r="A15" s="46" t="str">
        <x:v>Other demersal invertebrates</x:v>
      </x:c>
      <x:c r="B15" s="64" t="n">
        <x:v>7</x:v>
      </x:c>
      <x:c r="C15" s="64" t="n">
        <x:v>7</x:v>
      </x:c>
      <x:c r="D15" s="60" t="n">
        <x:v>53437.8494071857</x:v>
      </x:c>
      <x:c r="E15" s="60" t="n">
        <x:v>53437.8494071857</x:v>
      </x:c>
      <x:c r="F15" s="62" t="n">
        <x:v>0</x:v>
      </x:c>
      <x:c r="G15" s="66" t="n">
        <x:v>1</x:v>
      </x:c>
      <x:c r="H15" s="62" t="n">
        <x:f>IF(E15=0,"",I15/E15)</x:f>
        <x:v>11.608311129788477</x:v>
      </x:c>
      <x:c r="I15" s="60" t="n">
        <x:f>SUMIF('Species'!$G$2:$G$215,A15,'Species'!$U$2:$U$215)</x:f>
        <x:v>620323.1820253943</x:v>
      </x:c>
      <x:c r="J15" s="62" t="n">
        <x:v>2.056026343158862</x:v>
      </x:c>
      <x:c r="K15" s="62" t="n">
        <x:f>IF(J15="","",(1/'Metadata'!$B$5)^(J15-1))</x:f>
        <x:v>11.376962933897122</x:v>
      </x:c>
      <x:c r="L15" s="60" t="n">
        <x:f>IF(E15=0,"",E15*K15)</x:f>
        <x:v>607960.431972728</x:v>
      </x:c>
      <x:c r="M15" s="60" t="n">
        <x:f>I15-L15</x:f>
        <x:v>12362.750052666292</x:v>
      </x:c>
      <x:c r="N15" s="62" t="n">
        <x:f>IF(L15=0,"",I15/L15)</x:f>
        <x:v>1.0203347938492497</x:v>
      </x:c>
      <x:c r="O15" s="66" t="n">
        <x:f>IF(L15=0,"",M15/L15)</x:f>
        <x:v>0.020334793849249817</x:v>
      </x:c>
    </x:row>
    <x:row r="16" ht="18" customHeight="1">
      <x:c r="A16" s="46" t="str">
        <x:v>Shrimps</x:v>
      </x:c>
      <x:c r="B16" s="64" t="n">
        <x:v>21</x:v>
      </x:c>
      <x:c r="C16" s="64" t="n">
        <x:v>21</x:v>
      </x:c>
      <x:c r="D16" s="60" t="n">
        <x:v>106434.6720754748</x:v>
      </x:c>
      <x:c r="E16" s="60" t="n">
        <x:v>106434.6720754748</x:v>
      </x:c>
      <x:c r="F16" s="62" t="n">
        <x:v>0</x:v>
      </x:c>
      <x:c r="G16" s="66" t="n">
        <x:v>1</x:v>
      </x:c>
      <x:c r="H16" s="62" t="n">
        <x:f>IF(E16=0,"",I16/E16)</x:f>
        <x:v>158.78460796915468</x:v>
      </x:c>
      <x:c r="I16" s="60" t="n">
        <x:f>SUMIF('Species'!$G$2:$G$215,A16,'Species'!$U$2:$U$215)</x:f>
        <x:v>16900187.6798298</x:v>
      </x:c>
      <x:c r="J16" s="62" t="n">
        <x:v>3.0201706059233837</x:v>
      </x:c>
      <x:c r="K16" s="62" t="n">
        <x:f>IF(J16="","",(1/'Metadata'!$B$5)^(J16-1))</x:f>
        <x:v>104.75399772403499</x:v>
      </x:c>
      <x:c r="L16" s="60" t="n">
        <x:f>IF(E16=0,"",E16*K16)</x:f>
        <x:v>11149457.396352697</x:v>
      </x:c>
      <x:c r="M16" s="60" t="n">
        <x:f>I16-L16</x:f>
        <x:v>5750730.2834771015</x:v>
      </x:c>
      <x:c r="N16" s="62" t="n">
        <x:f>IF(L16=0,"",I16/L16)</x:f>
        <x:v>1.5157856637362754</x:v>
      </x:c>
      <x:c r="O16" s="66" t="n">
        <x:f>IF(L16=0,"",M16/L16)</x:f>
        <x:v>0.5157856637362754</x:v>
      </x:c>
    </x:row>
    <x:row r="17" ht="18" customHeight="1">
      <x:c r="A17" s="46" t="str">
        <x:v>Small benthopelagics (&lt;30 cm)</x:v>
      </x:c>
      <x:c r="B17" s="64" t="n">
        <x:v>4</x:v>
      </x:c>
      <x:c r="C17" s="64" t="n">
        <x:v>4</x:v>
      </x:c>
      <x:c r="D17" s="60" t="n">
        <x:v>253321.3387617584</x:v>
      </x:c>
      <x:c r="E17" s="60" t="n">
        <x:v>253321.3387617584</x:v>
      </x:c>
      <x:c r="F17" s="62" t="n">
        <x:v>0</x:v>
      </x:c>
      <x:c r="G17" s="66" t="n">
        <x:v>1</x:v>
      </x:c>
      <x:c r="H17" s="62" t="n">
        <x:f>IF(E17=0,"",I17/E17)</x:f>
        <x:v>173.63787173297652</x:v>
      </x:c>
      <x:c r="I17" s="60" t="n">
        <x:f>SUMIF('Species'!$G$2:$G$215,A17,'Species'!$U$2:$U$215)</x:f>
        <x:v>43986178.1271401</x:v>
      </x:c>
      <x:c r="J17" s="62" t="n">
        <x:v>3.239584244702906</x:v>
      </x:c>
      <x:c r="K17" s="62" t="n">
        <x:f>IF(J17="","",(1/'Metadata'!$B$5)^(J17-1))</x:f>
        <x:v>173.61380072967128</x:v>
      </x:c>
      <x:c r="L17" s="60" t="n">
        <x:f>IF(E17=0,"",E17*K17)</x:f>
        <x:v>43980080.428357475</x:v>
      </x:c>
      <x:c r="M17" s="60" t="n">
        <x:f>I17-L17</x:f>
        <x:v>6097.698782622814</x:v>
      </x:c>
      <x:c r="N17" s="62" t="n">
        <x:f>IF(L17=0,"",I17/L17)</x:f>
        <x:v>1.0001386468310933</x:v>
      </x:c>
      <x:c r="O17" s="66" t="n">
        <x:f>IF(L17=0,"",M17/L17)</x:f>
        <x:v>0.00013864683109335882</x:v>
      </x:c>
    </x:row>
    <x:row r="18" ht="18" customHeight="1">
      <x:c r="A18" s="46" t="str">
        <x:v>Small demersals (&lt;30 cm)</x:v>
      </x:c>
      <x:c r="B18" s="64" t="n">
        <x:v>6</x:v>
      </x:c>
      <x:c r="C18" s="64" t="n">
        <x:v>6</x:v>
      </x:c>
      <x:c r="D18" s="60" t="n">
        <x:v>194722.95431945234</x:v>
      </x:c>
      <x:c r="E18" s="60" t="n">
        <x:v>194722.95431945234</x:v>
      </x:c>
      <x:c r="F18" s="62" t="n">
        <x:v>0</x:v>
      </x:c>
      <x:c r="G18" s="66" t="n">
        <x:v>1</x:v>
      </x:c>
      <x:c r="H18" s="62" t="n">
        <x:f>IF(E18=0,"",I18/E18)</x:f>
        <x:v>378.8550634819325</x:v>
      </x:c>
      <x:c r="I18" s="60" t="n">
        <x:f>SUMIF('Species'!$G$2:$G$215,A18,'Species'!$U$2:$U$215)</x:f>
        <x:v>73771777.22008556</x:v>
      </x:c>
      <x:c r="J18" s="62" t="n">
        <x:v>3.567364944370324</x:v>
      </x:c>
      <x:c r="K18" s="62" t="n">
        <x:f>IF(J18="","",(1/'Metadata'!$B$5)^(J18-1))</x:f>
        <x:v>369.2877864627504</x:v>
      </x:c>
      <x:c r="L18" s="60" t="n">
        <x:f>IF(E18=0,"",E18*K18)</x:f>
        <x:v>71908808.77411781</x:v>
      </x:c>
      <x:c r="M18" s="60" t="n">
        <x:f>I18-L18</x:f>
        <x:v>1862968.4459677488</x:v>
      </x:c>
      <x:c r="N18" s="62" t="n">
        <x:f>IF(L18=0,"",I18/L18)</x:f>
        <x:v>1.0259073746002352</x:v>
      </x:c>
      <x:c r="O18" s="66" t="n">
        <x:f>IF(L18=0,"",M18/L18)</x:f>
        <x:v>0.025907374600235185</x:v>
      </x:c>
    </x:row>
    <x:row r="19" ht="18" customHeight="1">
      <x:c r="A19" s="46" t="str">
        <x:v>Small pelagics (&lt;30 cm)</x:v>
      </x:c>
      <x:c r="B19" s="64" t="n">
        <x:v>21</x:v>
      </x:c>
      <x:c r="C19" s="64" t="n">
        <x:v>21</x:v>
      </x:c>
      <x:c r="D19" s="60" t="n">
        <x:v>332801.6865959756</x:v>
      </x:c>
      <x:c r="E19" s="60" t="n">
        <x:v>332801.6865959756</x:v>
      </x:c>
      <x:c r="F19" s="62" t="n">
        <x:v>0</x:v>
      </x:c>
      <x:c r="G19" s="66" t="n">
        <x:v>1</x:v>
      </x:c>
      <x:c r="H19" s="62" t="n">
        <x:f>IF(E19=0,"",I19/E19)</x:f>
        <x:v>181.4759460572941</x:v>
      </x:c>
      <x:c r="I19" s="60" t="n">
        <x:f>SUMIF('Species'!$G$2:$G$215,A19,'Species'!$U$2:$U$215)</x:f>
        <x:v>60395500.924467765</x:v>
      </x:c>
      <x:c r="J19" s="62" t="n">
        <x:v>3.1069661107707605</x:v>
      </x:c>
      <x:c r="K19" s="62" t="n">
        <x:f>IF(J19="","",(1/'Metadata'!$B$5)^(J19-1))</x:f>
        <x:v>127.92814743035717</x:v>
      </x:c>
      <x:c r="L19" s="60" t="n">
        <x:f>IF(E19=0,"",E19*K19)</x:f>
        <x:v>42574703.227921486</x:v>
      </x:c>
      <x:c r="M19" s="60" t="n">
        <x:f>I19-L19</x:f>
        <x:v>17820797.69654628</x:v>
      </x:c>
      <x:c r="N19" s="62" t="n">
        <x:f>IF(L19=0,"",I19/L19)</x:f>
        <x:v>1.4185771442995987</x:v>
      </x:c>
      <x:c r="O19" s="66" t="n">
        <x:f>IF(L19=0,"",M19/L19)</x:f>
        <x:v>0.41857714429959864</x:v>
      </x:c>
    </x:row>
    <x:row r="20" ht="18" customHeight="1">
      <x:c r="A20" s="46" t="str">
        <x:v>Small reef assoc. fish (&lt;30 cm)</x:v>
      </x:c>
      <x:c r="B20" s="64" t="n">
        <x:v>8</x:v>
      </x:c>
      <x:c r="C20" s="64" t="n">
        <x:v>8</x:v>
      </x:c>
      <x:c r="D20" s="60" t="n">
        <x:v>37790.127272847196</x:v>
      </x:c>
      <x:c r="E20" s="60" t="n">
        <x:v>37790.127272847196</x:v>
      </x:c>
      <x:c r="F20" s="62" t="n">
        <x:v>0</x:v>
      </x:c>
      <x:c r="G20" s="66" t="n">
        <x:v>1</x:v>
      </x:c>
      <x:c r="H20" s="62" t="n">
        <x:f>IF(E20=0,"",I20/E20)</x:f>
        <x:v>239.0759883488569</x:v>
      </x:c>
      <x:c r="I20" s="60" t="n">
        <x:f>SUMIF('Species'!$G$2:$G$215,A20,'Species'!$U$2:$U$215)</x:f>
        <x:v>9034712.027585035</x:v>
      </x:c>
      <x:c r="J20" s="62" t="n">
        <x:v>3.280253706663451</x:v>
      </x:c>
      <x:c r="K20" s="62" t="n">
        <x:f>IF(J20="","",(1/'Metadata'!$B$5)^(J20-1))</x:f>
        <x:v>190.65741774556778</x:v>
      </x:c>
      <x:c r="L20" s="60" t="n">
        <x:f>IF(E20=0,"",E20*K20)</x:f>
        <x:v>7204968.082117402</x:v>
      </x:c>
      <x:c r="M20" s="60" t="n">
        <x:f>I20-L20</x:f>
        <x:v>1829743.9454676332</x:v>
      </x:c>
      <x:c r="N20" s="62" t="n">
        <x:f>IF(L20=0,"",I20/L20)</x:f>
        <x:v>1.2539558710897032</x:v>
      </x:c>
      <x:c r="O20" s="66" t="n">
        <x:f>IF(L20=0,"",M20/L20)</x:f>
        <x:v>0.25395587108970324</x:v>
      </x:c>
    </x:row>
    <x:row r="21" ht="18" customHeight="1">
      <x:c r="A21" s="46" t="str">
        <x:v>Small to medium flatfishes (&lt;90 cm)</x:v>
      </x:c>
      <x:c r="B21" s="64" t="n">
        <x:v>5</x:v>
      </x:c>
      <x:c r="C21" s="64" t="n">
        <x:v>5</x:v>
      </x:c>
      <x:c r="D21" s="60" t="n">
        <x:v>3873.4020140164002</x:v>
      </x:c>
      <x:c r="E21" s="60" t="n">
        <x:v>3873.4020140164002</x:v>
      </x:c>
      <x:c r="F21" s="62" t="n">
        <x:v>0</x:v>
      </x:c>
      <x:c r="G21" s="66" t="n">
        <x:v>1</x:v>
      </x:c>
      <x:c r="H21" s="62" t="n">
        <x:f>IF(E21=0,"",I21/E21)</x:f>
        <x:v>1439.6034943649333</x:v>
      </x:c>
      <x:c r="I21" s="60" t="n">
        <x:f>SUMIF('Species'!$G$2:$G$215,A21,'Species'!$U$2:$U$215)</x:f>
        <x:v>5576163.07445818</x:v>
      </x:c>
      <x:c r="J21" s="62" t="n">
        <x:v>3.9970718562282848</x:v>
      </x:c>
      <x:c r="K21" s="62" t="n">
        <x:f>IF(J21="","",(1/'Metadata'!$B$5)^(J21-1))</x:f>
        <x:v>993.2803781104773</x:v>
      </x:c>
      <x:c r="L21" s="60" t="n">
        <x:f>IF(E21=0,"",E21*K21)</x:f>
        <x:v>3847374.217056094</x:v>
      </x:c>
      <x:c r="M21" s="60" t="n">
        <x:f>I21-L21</x:f>
        <x:v>1728788.8574020858</x:v>
      </x:c>
      <x:c r="N21" s="62" t="n">
        <x:f>IF(L21=0,"",I21/L21)</x:f>
        <x:v>1.4493425281424555</x:v>
      </x:c>
      <x:c r="O21" s="66" t="n">
        <x:f>IF(L21=0,"",M21/L21)</x:f>
        <x:v>0.4493425281424555</x:v>
      </x:c>
    </x:row>
  </x:sheetData>
  <x:conditionalFormatting sqref="G2:G21">
    <x:cfRule type="cellIs" dxfId="2" priority="1" operator="lessThan">
      <x:formula>0.9</x:formula>
    </x:cfRule>
  </x:conditionalFormatting>
  <x:conditionalFormatting sqref="O2:O2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8838dad9849842a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LME_035</x:v>
      </x:c>
      <x:c r="B2" s="46" t="str">
        <x:v>raw_filtered_tonnes</x:v>
      </x:c>
      <x:c r="C2" s="46" t="n">
        <x:v>2615825.056861822</x:v>
      </x:c>
      <x:c r="D2" s="46" t="str">
        <x:v>tonnes</x:v>
      </x:c>
    </x:row>
    <x:row r="3" ht="18" customHeight="1">
      <x:c r="A3" s="46" t="str">
        <x:v>LME_035</x:v>
      </x:c>
      <x:c r="B3" s="46" t="str">
        <x:v>species_catch_tonnes</x:v>
      </x:c>
      <x:c r="C3" s="46" t="n">
        <x:v>2615825.0568618225</x:v>
      </x:c>
      <x:c r="D3" s="46" t="str">
        <x:v>tonnes</x:v>
      </x:c>
    </x:row>
    <x:row r="4" ht="18" customHeight="1">
      <x:c r="A4" s="46" t="str">
        <x:v>LME_035</x:v>
      </x:c>
      <x:c r="B4" s="46" t="str">
        <x:v>catch_difference_tonnes</x:v>
      </x:c>
      <x:c r="C4" s="46" t="n">
        <x:v>4.656612873077393e-10</x:v>
      </x:c>
      <x:c r="D4" s="46" t="str">
        <x:v>tonnes</x:v>
      </x:c>
    </x:row>
    <x:row r="5" ht="18" customHeight="1">
      <x:c r="A5" s="46" t="str">
        <x:v>LME_035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LME_035</x:v>
      </x:c>
      <x:c r="B6" s="46" t="str">
        <x:v>matched_catch_tonnes</x:v>
      </x:c>
      <x:c r="C6" s="46" t="n">
        <x:v>2615825.0568618225</x:v>
      </x:c>
      <x:c r="D6" s="46" t="str">
        <x:v>tonnes</x:v>
      </x:c>
    </x:row>
    <x:row r="7" ht="18" customHeight="1">
      <x:c r="A7" s="46" t="str">
        <x:v>LME_035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LME_035</x:v>
      </x:c>
      <x:c r="B8" s="46" t="str">
        <x:v>taxa_count</x:v>
      </x:c>
      <x:c r="C8" s="46" t="n">
        <x:v>214</x:v>
      </x:c>
      <x:c r="D8" s="46" t="str">
        <x:v>count</x:v>
      </x:c>
    </x:row>
    <x:row r="9" ht="18" customHeight="1">
      <x:c r="A9" s="46" t="str">
        <x:v>LME_035</x:v>
      </x:c>
      <x:c r="B9" s="46" t="str">
        <x:v>matched_taxa_count</x:v>
      </x:c>
      <x:c r="C9" s="46" t="n">
        <x:v>214</x:v>
      </x:c>
      <x:c r="D9" s="46" t="str">
        <x:v>count</x:v>
      </x:c>
    </x:row>
    <x:row r="10" ht="18" customHeight="1">
      <x:c r="A10" s="46" t="str">
        <x:v>LME_035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LME_035</x:v>
      </x:c>
      <x:c r="B11" s="46" t="str">
        <x:v>species_ppr</x:v>
      </x:c>
      <x:c r="C11" s="46" t="n">
        <x:v>1868893899.8381805</x:v>
      </x:c>
      <x:c r="D11" s="46" t="str">
        <x:v>tonnes_primary_production_equivalent</x:v>
      </x:c>
    </x:row>
    <x:row r="12" ht="18" customHeight="1">
      <x:c r="A12" s="46" t="str">
        <x:v>LME_035</x:v>
      </x:c>
      <x:c r="B12" s="46" t="str">
        <x:v>commercial_ppr</x:v>
      </x:c>
      <x:c r="C12" s="46" t="n">
        <x:v>1868893899.83818</x:v>
      </x:c>
      <x:c r="D12" s="46" t="str">
        <x:v>tonnes_primary_production_equivalent</x:v>
      </x:c>
    </x:row>
    <x:row r="13" ht="18" customHeight="1">
      <x:c r="A13" s="46" t="str">
        <x:v>LME_035</x:v>
      </x:c>
      <x:c r="B13" s="46" t="str">
        <x:v>functional_ppr</x:v>
      </x:c>
      <x:c r="C13" s="46" t="n">
        <x:v>1868893899.8381803</x:v>
      </x:c>
      <x:c r="D13" s="46" t="str">
        <x:v>tonnes_primary_production_equivalent</x:v>
      </x:c>
    </x:row>
    <x:row r="14" ht="18" customHeight="1">
      <x:c r="A14" s="46" t="str">
        <x:v>LME_035</x:v>
      </x:c>
      <x:c r="B14" s="46" t="str">
        <x:v>commercial_ppr_difference</x:v>
      </x:c>
      <x:c r="C14" s="46" t="n">
        <x:v>-4.76837158203125e-7</x:v>
      </x:c>
      <x:c r="D14" s="46" t="str">
        <x:v>tonnes_primary_production_equivalent</x:v>
      </x:c>
    </x:row>
    <x:row r="15" ht="18" customHeight="1">
      <x:c r="A15" s="46" t="str">
        <x:v>LME_035</x:v>
      </x:c>
      <x:c r="B15" s="46" t="str">
        <x:v>functional_ppr_difference</x:v>
      </x:c>
      <x:c r="C15" s="46" t="n">
        <x:v>-2.384185791015625e-7</x:v>
      </x:c>
      <x:c r="D15" s="46" t="str">
        <x:v>tonnes_primary_production_equivalent</x:v>
      </x:c>
    </x:row>
    <x:row r="16" ht="18" customHeight="1">
      <x:c r="A16" s="46" t="str">
        <x:v>LME_035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LME_035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LME_035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LME_035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5536a07f5a134e3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LME_035 - Gulf of Thailand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LME_035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raw_data/SAU_downloads/LME_035-catch.zip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