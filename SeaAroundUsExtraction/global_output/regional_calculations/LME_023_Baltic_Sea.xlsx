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9fb5e5f2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97c0b64de074d89"/>
    <x:sheet xmlns:r="http://schemas.openxmlformats.org/officeDocument/2006/relationships" name="Commercial" sheetId="2" r:id="R94deef33eb844f87"/>
    <x:sheet xmlns:r="http://schemas.openxmlformats.org/officeDocument/2006/relationships" name="Functional" sheetId="3" r:id="Rf0fd3644ff444adf"/>
    <x:sheet xmlns:r="http://schemas.openxmlformats.org/officeDocument/2006/relationships" name="Missing TL" sheetId="4" r:id="R2eab8d82c9c843c3"/>
    <x:sheet xmlns:r="http://schemas.openxmlformats.org/officeDocument/2006/relationships" name="Validation" sheetId="5" r:id="R6d3bc903f0624a35"/>
    <x:sheet xmlns:r="http://schemas.openxmlformats.org/officeDocument/2006/relationships" name="Metadata" sheetId="6" r:id="Rded63e0d7f14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36a0d9c0a4df1" /><Relationship Type="http://schemas.openxmlformats.org/officeDocument/2006/relationships/theme" Target="/xl/theme/theme1.xml" Id="R96b665526dd14aaf" /><Relationship Type="http://schemas.microsoft.com/office/2022/11/relationships/FeaturePropertyBag" Target="/xl/featurePropertyBag/featurePropertyBag.xml" Id="R42984ad18e5e4edb" /><Relationship Type="http://schemas.openxmlformats.org/officeDocument/2006/relationships/sharedStrings" Target="/xl/sharedStrings.xml" Id="Rdaee39416db844b5" /><Relationship Type="http://schemas.openxmlformats.org/officeDocument/2006/relationships/worksheet" Target="/xl/worksheets/sheet1.xml" Id="R497c0b64de074d89" /><Relationship Type="http://schemas.openxmlformats.org/officeDocument/2006/relationships/worksheet" Target="/xl/worksheets/sheet2.xml" Id="R94deef33eb844f87" /><Relationship Type="http://schemas.openxmlformats.org/officeDocument/2006/relationships/worksheet" Target="/xl/worksheets/sheet3.xml" Id="Rf0fd3644ff444adf" /><Relationship Type="http://schemas.openxmlformats.org/officeDocument/2006/relationships/worksheet" Target="/xl/worksheets/sheet4.xml" Id="R2eab8d82c9c843c3" /><Relationship Type="http://schemas.openxmlformats.org/officeDocument/2006/relationships/worksheet" Target="/xl/worksheets/sheet5.xml" Id="R6d3bc903f0624a35" /><Relationship Type="http://schemas.openxmlformats.org/officeDocument/2006/relationships/worksheet" Target="/xl/worksheets/sheet6.xml" Id="Rded63e0d7f14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3SpeciesTable" displayName="LME023SpeciesTable" ref="A1:U118" headerRowCount="1" totalsRowCount="0" totalsRowShown="0">
  <x:autoFilter ref="A1:U1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3CommercialTable" displayName="LME023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3FunctionalTable" displayName="LME023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3ValidationTable" displayName="LME02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c468d9a4b844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6cd02779a74e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1b9c4c96544c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5fe16c1d1e4b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LME_023</x:v>
      </x:c>
      <x:c r="B2" s="24" t="str">
        <x:v>Baltic Sea</x:v>
      </x:c>
      <x:c r="C2" s="24" t="str">
        <x:v>LME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433104.57718267234</x:v>
      </x:c>
      <x:c r="J2" s="31" t="n">
        <x:v>420811.7950821101</x:v>
      </x:c>
      <x:c r="K2" s="31" t="n">
        <x:v>12292.782100562199</x:v>
      </x:c>
      <x:c r="L2" s="31" t="n">
        <x:v>345198.4232407826</x:v>
      </x:c>
      <x:c r="M2" s="31" t="n">
        <x:v>87906.1539418897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103894551.71238118</x:v>
      </x:c>
    </x:row>
    <x:row r="3" ht="18" customHeight="1">
      <x:c r="A3" s="24" t="str">
        <x:v>LME_023</x:v>
      </x:c>
      <x:c r="B3" s="24" t="str">
        <x:v>Baltic Sea</x:v>
      </x:c>
      <x:c r="C3" s="24" t="str">
        <x:v>LME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355521.9904509167</x:v>
      </x:c>
      <x:c r="J3" s="31" t="n">
        <x:v>344056.570158306</x:v>
      </x:c>
      <x:c r="K3" s="31" t="n">
        <x:v>11465.420292610701</x:v>
      </x:c>
      <x:c r="L3" s="31" t="n">
        <x:v>320848.6710300472</x:v>
      </x:c>
      <x:c r="M3" s="31" t="n">
        <x:v>34673.3194208695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36380316.14301281</x:v>
      </x:c>
    </x:row>
    <x:row r="4" ht="18" customHeight="1">
      <x:c r="A4" s="24" t="str">
        <x:v>LME_023</x:v>
      </x:c>
      <x:c r="B4" s="24" t="str">
        <x:v>Baltic Sea</x:v>
      </x:c>
      <x:c r="C4" s="24" t="str">
        <x:v>LME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47691.4510807837</x:v>
      </x:c>
      <x:c r="J4" s="31" t="n">
        <x:v>42801.6676717228</x:v>
      </x:c>
      <x:c r="K4" s="31" t="n">
        <x:v>4889.7834090609</x:v>
      </x:c>
      <x:c r="L4" s="31" t="n">
        <x:v>14808.5538086921</x:v>
      </x:c>
      <x:c r="M4" s="31" t="n">
        <x:v>32882.8972720916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58673302.89941456</x:v>
      </x:c>
    </x:row>
    <x:row r="5" ht="18" customHeight="1">
      <x:c r="A5" s="24" t="str">
        <x:v>LME_023</x:v>
      </x:c>
      <x:c r="B5" s="24" t="str">
        <x:v>Baltic Sea</x:v>
      </x:c>
      <x:c r="C5" s="24" t="str">
        <x:v>LME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27084.4997167805</x:v>
      </x:c>
      <x:c r="J5" s="31" t="n">
        <x:v>22983.4259809935</x:v>
      </x:c>
      <x:c r="K5" s="31" t="n">
        <x:v>4101.073735787</x:v>
      </x:c>
      <x:c r="L5" s="31" t="n">
        <x:v>20942.9599539477</x:v>
      </x:c>
      <x:c r="M5" s="31" t="n">
        <x:v>6141.5397628328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5658754.046438681</x:v>
      </x:c>
    </x:row>
    <x:row r="6" ht="18" customHeight="1">
      <x:c r="A6" s="24" t="str">
        <x:v>LME_023</x:v>
      </x:c>
      <x:c r="B6" s="24" t="str">
        <x:v>Baltic Sea</x:v>
      </x:c>
      <x:c r="C6" s="24" t="str">
        <x:v>LME</x:v>
      </x:c>
      <x:c r="D6" s="30" t="n">
        <x:v>2019</x:v>
      </x:c>
      <x:c r="E6" s="24" t="str">
        <x:v>Mytilus edulis</x:v>
      </x:c>
      <x:c r="F6" s="24" t="str">
        <x:v>Blue mussel</x:v>
      </x:c>
      <x:c r="G6" s="24" t="str">
        <x:v>Other demersal invertebrates</x:v>
      </x:c>
      <x:c r="H6" s="24" t="str">
        <x:v>Molluscs</x:v>
      </x:c>
      <x:c r="I6" s="31" t="n">
        <x:v>14487.1052599537</x:v>
      </x:c>
      <x:c r="J6" s="31" t="n">
        <x:v>13499.307376581099</x:v>
      </x:c>
      <x:c r="K6" s="31" t="n">
        <x:v>987.7978833726</x:v>
      </x:c>
      <x:c r="L6" s="31" t="n">
        <x:v>11924.944613386999</x:v>
      </x:c>
      <x:c r="M6" s="31" t="n">
        <x:v>2562.1606465667</x:v>
      </x:c>
      <x:c r="N6" s="24" t="str">
        <x:v>mytilus edulis</x:v>
      </x:c>
      <x:c r="O6" s="32" t="n">
        <x:v>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Mytilus edulis</x:v>
      </x:c>
      <x:c r="T6" s="32" t="n">
        <x:f>IF(O6="","",(1/'Metadata'!$B$5)^(O6-1))</x:f>
        <x:v>10</x:v>
      </x:c>
      <x:c r="U6" s="31" t="n">
        <x:f>IF(T6="","",I6*T6)</x:f>
        <x:v>144871.052599537</x:v>
      </x:c>
    </x:row>
    <x:row r="7" ht="18" customHeight="1">
      <x:c r="A7" s="24" t="str">
        <x:v>LME_023</x:v>
      </x:c>
      <x:c r="B7" s="24" t="str">
        <x:v>Baltic Sea</x:v>
      </x:c>
      <x:c r="C7" s="24" t="str">
        <x:v>LME</x:v>
      </x:c>
      <x:c r="D7" s="30" t="n">
        <x:v>2019</x:v>
      </x:c>
      <x:c r="E7" s="24" t="str">
        <x:v>Scophthalmidae</x:v>
      </x:c>
      <x:c r="F7" s="24" t="str">
        <x:v>Turbots</x:v>
      </x:c>
      <x:c r="G7" s="24" t="str">
        <x:v>Small to medium flatfishes (&lt;90 cm)</x:v>
      </x:c>
      <x:c r="H7" s="24" t="str">
        <x:v>Flatfishes</x:v>
      </x:c>
      <x:c r="I7" s="31" t="n">
        <x:v>7629.1705852538</x:v>
      </x:c>
      <x:c r="J7" s="31" t="n">
        <x:v>6107.4391674699</x:v>
      </x:c>
      <x:c r="K7" s="31" t="n">
        <x:v>1521.7314177838998</x:v>
      </x:c>
      <x:c r="L7" s="31" t="n">
        <x:v>0</x:v>
      </x:c>
      <x:c r="M7" s="31" t="n">
        <x:v>7629.1705852538</x:v>
      </x:c>
      <x:c r="N7" s="24" t="str">
        <x:v>scophthalmidae</x:v>
      </x:c>
      <x:c r="O7" s="32" t="n">
        <x:v>3.71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Scophthalmidae</x:v>
      </x:c>
      <x:c r="T7" s="32" t="n">
        <x:f>IF(O7="","",(1/'Metadata'!$B$5)^(O7-1))</x:f>
        <x:v>512.8613839913648</x:v>
      </x:c>
      <x:c r="U7" s="31" t="n">
        <x:f>IF(T7="","",I7*T7)</x:f>
        <x:v>3912706.9850594746</x:v>
      </x:c>
    </x:row>
    <x:row r="8" ht="18" customHeight="1">
      <x:c r="A8" s="24" t="str">
        <x:v>LME_023</x:v>
      </x:c>
      <x:c r="B8" s="24" t="str">
        <x:v>Baltic Sea</x:v>
      </x:c>
      <x:c r="C8" s="24" t="str">
        <x:v>LME</x:v>
      </x:c>
      <x:c r="D8" s="30" t="n">
        <x:v>2019</x:v>
      </x:c>
      <x:c r="E8" s="24" t="str">
        <x:v>Osmerus eperlanus</x:v>
      </x:c>
      <x:c r="F8" s="24" t="str">
        <x:v>European smelt</x:v>
      </x:c>
      <x:c r="G8" s="24" t="str">
        <x:v>Medium pelagics (30 - 89 cm)</x:v>
      </x:c>
      <x:c r="H8" s="24" t="str">
        <x:v>Salmon, smelts, etc</x:v>
      </x:c>
      <x:c r="I8" s="31" t="n">
        <x:v>7510.5077322809</x:v>
      </x:c>
      <x:c r="J8" s="31" t="n">
        <x:v>7248.0188576110995</x:v>
      </x:c>
      <x:c r="K8" s="31" t="n">
        <x:v>262.4888746698</x:v>
      </x:c>
      <x:c r="L8" s="31" t="n">
        <x:v>6697.3292487096</x:v>
      </x:c>
      <x:c r="M8" s="31" t="n">
        <x:v>813.1784835712999</x:v>
      </x:c>
      <x:c r="N8" s="24" t="str">
        <x:v>osmerus eperlanus</x:v>
      </x:c>
      <x:c r="O8" s="32" t="n">
        <x:v>3.46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Osmerus eperlanus</x:v>
      </x:c>
      <x:c r="T8" s="32" t="n">
        <x:f>IF(O8="","",(1/'Metadata'!$B$5)^(O8-1))</x:f>
        <x:v>288.40315031266056</x:v>
      </x:c>
      <x:c r="U8" s="31" t="n">
        <x:f>IF(T8="","",I8*T8)</x:f>
        <x:v>2166054.0904374076</x:v>
      </x:c>
    </x:row>
    <x:row r="9" ht="18" customHeight="1">
      <x:c r="A9" s="24" t="str">
        <x:v>LME_023</x:v>
      </x:c>
      <x:c r="B9" s="24" t="str">
        <x:v>Baltic Sea</x:v>
      </x:c>
      <x:c r="C9" s="24" t="str">
        <x:v>LME</x:v>
      </x:c>
      <x:c r="D9" s="30" t="n">
        <x:v>2019</x:v>
      </x:c>
      <x:c r="E9" s="24" t="str">
        <x:v>Perca fluviatilis</x:v>
      </x:c>
      <x:c r="F9" s="24" t="str">
        <x:v>European perch</x:v>
      </x:c>
      <x:c r="G9" s="24" t="str">
        <x:v>Medium demersals (30 - 89 cm)</x:v>
      </x:c>
      <x:c r="H9" s="24" t="str">
        <x:v>Perch-likes</x:v>
      </x:c>
      <x:c r="I9" s="31" t="n">
        <x:v>6393.2951369769</x:v>
      </x:c>
      <x:c r="J9" s="31" t="n">
        <x:v>6150.7293827854</x:v>
      </x:c>
      <x:c r="K9" s="31" t="n">
        <x:v>242.5657541915</x:v>
      </x:c>
      <x:c r="L9" s="31" t="n">
        <x:v>4867.3468886053</x:v>
      </x:c>
      <x:c r="M9" s="31" t="n">
        <x:v>1525.9482483716001</x:v>
      </x:c>
      <x:c r="N9" s="24" t="str">
        <x:v>perca fluviatilis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Perca fluviatilis</x:v>
      </x:c>
      <x:c r="T9" s="32" t="n">
        <x:f>IF(O9="","",(1/'Metadata'!$B$5)^(O9-1))</x:f>
        <x:v>2238.7211385683377</x:v>
      </x:c>
      <x:c r="U9" s="31" t="n">
        <x:f>IF(T9="","",I9*T9)</x:f>
        <x:v>14312804.968256341</x:v>
      </x:c>
    </x:row>
    <x:row r="10" ht="18" customHeight="1">
      <x:c r="A10" s="24" t="str">
        <x:v>LME_023</x:v>
      </x:c>
      <x:c r="B10" s="24" t="str">
        <x:v>Baltic Sea</x:v>
      </x:c>
      <x:c r="C10" s="24" t="str">
        <x:v>LME</x:v>
      </x:c>
      <x:c r="D10" s="30" t="n">
        <x:v>2019</x:v>
      </x:c>
      <x:c r="E10" s="24" t="str">
        <x:v>Cyprinidae</x:v>
      </x:c>
      <x:c r="F10" s="24" t="str">
        <x:v>Carps, barbels, other cyprinids</x:v>
      </x:c>
      <x:c r="G10" s="24" t="str">
        <x:v>Medium demersals (30 - 89 cm)</x:v>
      </x:c>
      <x:c r="H10" s="24" t="str">
        <x:v>Other fishes &amp; inverts</x:v>
      </x:c>
      <x:c r="I10" s="31" t="n">
        <x:v>6079.6889230899005</x:v>
      </x:c>
      <x:c r="J10" s="31" t="n">
        <x:v>5926.4526040578</x:v>
      </x:c>
      <x:c r="K10" s="31" t="n">
        <x:v>153.2363190321</x:v>
      </x:c>
      <x:c r="L10" s="31" t="n">
        <x:v>5551.2938608123</x:v>
      </x:c>
      <x:c r="M10" s="31" t="n">
        <x:v>528.3950622776</x:v>
      </x:c>
      <x:c r="N10" s="24" t="str">
        <x:v>cyprinidae</x:v>
      </x:c>
      <x:c r="O10" s="32" t="n">
        <x:v>2.8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Cyprinidae</x:v>
      </x:c>
      <x:c r="T10" s="32" t="n">
        <x:f>IF(O10="","",(1/'Metadata'!$B$5)^(O10-1))</x:f>
        <x:v>63.0957344480193</x:v>
      </x:c>
      <x:c r="U10" s="31" t="n">
        <x:f>IF(T10="","",I10*T10)</x:f>
        <x:v>383602.4378178448</x:v>
      </x:c>
    </x:row>
    <x:row r="11" ht="18" customHeight="1">
      <x:c r="A11" s="24" t="str">
        <x:v>LME_023</x:v>
      </x:c>
      <x:c r="B11" s="24" t="str">
        <x:v>Baltic Sea</x:v>
      </x:c>
      <x:c r="C11" s="24" t="str">
        <x:v>LME</x:v>
      </x:c>
      <x:c r="D11" s="30" t="n">
        <x:v>2019</x:v>
      </x:c>
      <x:c r="E11" s="24" t="str">
        <x:v>Pleuronectes platessa</x:v>
      </x:c>
      <x:c r="F11" s="24" t="str">
        <x:v>European plaice</x:v>
      </x:c>
      <x:c r="G11" s="24" t="str">
        <x:v>Large flatfishes (&gt;=90 cm)</x:v>
      </x:c>
      <x:c r="H11" s="24" t="str">
        <x:v>Flatfishes</x:v>
      </x:c>
      <x:c r="I11" s="31" t="n">
        <x:v>4882.5768914376995</x:v>
      </x:c>
      <x:c r="J11" s="31" t="n">
        <x:v>4687.6491469405</x:v>
      </x:c>
      <x:c r="K11" s="31" t="n">
        <x:v>194.9277444972</x:v>
      </x:c>
      <x:c r="L11" s="31" t="n">
        <x:v>4321.0857629536</x:v>
      </x:c>
      <x:c r="M11" s="31" t="n">
        <x:v>561.4911284841</x:v>
      </x:c>
      <x:c r="N11" s="24" t="str">
        <x:v>pleuronectes platessa</x:v>
      </x:c>
      <x:c r="O11" s="32" t="n">
        <x:v>3.26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Pleuronectes platessa</x:v>
      </x:c>
      <x:c r="T11" s="32" t="n">
        <x:f>IF(O11="","",(1/'Metadata'!$B$5)^(O11-1))</x:f>
        <x:v>181.97008586099827</x:v>
      </x:c>
      <x:c r="U11" s="31" t="n">
        <x:f>IF(T11="","",I11*T11)</x:f>
        <x:v>888482.9361578441</x:v>
      </x:c>
    </x:row>
    <x:row r="12" ht="18" customHeight="1">
      <x:c r="A12" s="24" t="str">
        <x:v>LME_023</x:v>
      </x:c>
      <x:c r="B12" s="24" t="str">
        <x:v>Baltic Sea</x:v>
      </x:c>
      <x:c r="C12" s="24" t="str">
        <x:v>LME</x:v>
      </x:c>
      <x:c r="D12" s="30" t="n">
        <x:v>2019</x:v>
      </x:c>
      <x:c r="E12" s="24" t="str">
        <x:v>Merlangius merlangus</x:v>
      </x:c>
      <x:c r="F12" s="24" t="str">
        <x:v>Whiting</x:v>
      </x:c>
      <x:c r="G12" s="24" t="str">
        <x:v>Medium benthopelagics (30 - 89 cm)</x:v>
      </x:c>
      <x:c r="H12" s="24" t="str">
        <x:v>Cod-likes</x:v>
      </x:c>
      <x:c r="I12" s="31" t="n">
        <x:v>3977.3912058436</x:v>
      </x:c>
      <x:c r="J12" s="31" t="n">
        <x:v>3780.7109252152</x:v>
      </x:c>
      <x:c r="K12" s="31" t="n">
        <x:v>196.6802806284</x:v>
      </x:c>
      <x:c r="L12" s="31" t="n">
        <x:v>3700.6453545476</x:v>
      </x:c>
      <x:c r="M12" s="31" t="n">
        <x:v>276.745851296</x:v>
      </x:c>
      <x:c r="N12" s="24" t="str">
        <x:v>merlangius merlangus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Merlangius merlangus</x:v>
      </x:c>
      <x:c r="T12" s="32" t="n">
        <x:f>IF(O12="","",(1/'Metadata'!$B$5)^(O12-1))</x:f>
        <x:v>2290.867652767775</x:v>
      </x:c>
      <x:c r="U12" s="31" t="n">
        <x:f>IF(T12="","",I12*T12)</x:f>
        <x:v>9111676.855870117</x:v>
      </x:c>
    </x:row>
    <x:row r="13" ht="18" customHeight="1">
      <x:c r="A13" s="24" t="str">
        <x:v>LME_023</x:v>
      </x:c>
      <x:c r="B13" s="24" t="str">
        <x:v>Baltic Sea</x:v>
      </x:c>
      <x:c r="C13" s="24" t="str">
        <x:v>LME</x:v>
      </x:c>
      <x:c r="D13" s="30" t="n">
        <x:v>2019</x:v>
      </x:c>
      <x:c r="E13" s="24" t="str">
        <x:v>Rutilus rutilus</x:v>
      </x:c>
      <x:c r="F13" s="24" t="str">
        <x:v>Roach</x:v>
      </x:c>
      <x:c r="G13" s="24" t="str">
        <x:v>Medium benthopelagics (30 - 89 cm)</x:v>
      </x:c>
      <x:c r="H13" s="24" t="str">
        <x:v>Other fishes &amp; inverts</x:v>
      </x:c>
      <x:c r="I13" s="31" t="n">
        <x:v>3101.1789167288</x:v>
      </x:c>
      <x:c r="J13" s="31" t="n">
        <x:v>3004.5167418537</x:v>
      </x:c>
      <x:c r="K13" s="31" t="n">
        <x:v>96.6621748751</x:v>
      </x:c>
      <x:c r="L13" s="31" t="n">
        <x:v>2550.4530724327</x:v>
      </x:c>
      <x:c r="M13" s="31" t="n">
        <x:v>550.7258442961</x:v>
      </x:c>
      <x:c r="N13" s="24" t="str">
        <x:v>rutilus rutilus</x:v>
      </x:c>
      <x:c r="O13" s="32" t="n">
        <x:v>2.96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Rutilus rutilus</x:v>
      </x:c>
      <x:c r="T13" s="32" t="n">
        <x:f>IF(O13="","",(1/'Metadata'!$B$5)^(O13-1))</x:f>
        <x:v>91.20108393559097</x:v>
      </x:c>
      <x:c r="U13" s="31" t="n">
        <x:f>IF(T13="","",I13*T13)</x:f>
        <x:v>282830.87868386833</x:v>
      </x:c>
    </x:row>
    <x:row r="14" ht="18" customHeight="1">
      <x:c r="A14" s="24" t="str">
        <x:v>LME_023</x:v>
      </x:c>
      <x:c r="B14" s="24" t="str">
        <x:v>Baltic Sea</x:v>
      </x:c>
      <x:c r="C14" s="24" t="str">
        <x:v>LME</x:v>
      </x:c>
      <x:c r="D14" s="30" t="n">
        <x:v>2019</x:v>
      </x:c>
      <x:c r="E14" s="24" t="str">
        <x:v>Sander lucioperca</x:v>
      </x:c>
      <x:c r="F14" s="24" t="str">
        <x:v>Pike-perch</x:v>
      </x:c>
      <x:c r="G14" s="24" t="str">
        <x:v>Large pelagics (&gt;=90 cm)</x:v>
      </x:c>
      <x:c r="H14" s="24" t="str">
        <x:v>Perch-likes</x:v>
      </x:c>
      <x:c r="I14" s="31" t="n">
        <x:v>2435.6661003869</x:v>
      </x:c>
      <x:c r="J14" s="31" t="n">
        <x:v>2405.1650174992</x:v>
      </x:c>
      <x:c r="K14" s="31" t="n">
        <x:v>30.5010828877</x:v>
      </x:c>
      <x:c r="L14" s="31" t="n">
        <x:v>2224.1603882846</x:v>
      </x:c>
      <x:c r="M14" s="31" t="n">
        <x:v>211.50571210229998</x:v>
      </x:c>
      <x:c r="N14" s="24" t="str">
        <x:v>sander lucioperca</x:v>
      </x:c>
      <x:c r="O14" s="32" t="n">
        <x:v>4.04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Sander lucioperca</x:v>
      </x:c>
      <x:c r="T14" s="32" t="n">
        <x:f>IF(O14="","",(1/'Metadata'!$B$5)^(O14-1))</x:f>
        <x:v>1096.4781961431852</x:v>
      </x:c>
      <x:c r="U14" s="31" t="n">
        <x:f>IF(T14="","",I14*T14)</x:f>
        <x:v>2670654.7721593343</x:v>
      </x:c>
    </x:row>
    <x:row r="15" ht="18" customHeight="1">
      <x:c r="A15" s="24" t="str">
        <x:v>LME_023</x:v>
      </x:c>
      <x:c r="B15" s="24" t="str">
        <x:v>Baltic Sea</x:v>
      </x:c>
      <x:c r="C15" s="24" t="str">
        <x:v>LME</x:v>
      </x:c>
      <x:c r="D15" s="30" t="n">
        <x:v>2019</x:v>
      </x:c>
      <x:c r="E15" s="24" t="str">
        <x:v>Marine fishes not identified</x:v>
      </x:c>
      <x:c r="F15" s="24" t="str">
        <x:v>Marine fishes nei</x:v>
      </x:c>
      <x:c r="G15" s="24" t="str">
        <x:v>Medium demersals (30 - 89 cm)</x:v>
      </x:c>
      <x:c r="H15" s="24" t="str">
        <x:v>Other fishes &amp; inverts</x:v>
      </x:c>
      <x:c r="I15" s="31" t="n">
        <x:v>2236.8842254327</x:v>
      </x:c>
      <x:c r="J15" s="31" t="n">
        <x:v>1612.0725925365</x:v>
      </x:c>
      <x:c r="K15" s="31" t="n">
        <x:v>624.8116328962</x:v>
      </x:c>
      <x:c r="L15" s="31" t="n">
        <x:v>882.9485760160001</x:v>
      </x:c>
      <x:c r="M15" s="31" t="n">
        <x:v>1353.9356494167</x:v>
      </x:c>
      <x:c r="N15" s="24" t="str">
        <x:v>marine fishes not identified</x:v>
      </x:c>
      <x:c r="O15" s="32" t="n">
        <x:v>3.28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fishes not identified</x:v>
      </x:c>
      <x:c r="T15" s="32" t="n">
        <x:f>IF(O15="","",(1/'Metadata'!$B$5)^(O15-1))</x:f>
        <x:v>190.54607179632464</x:v>
      </x:c>
      <x:c r="U15" s="31" t="n">
        <x:f>IF(T15="","",I15*T15)</x:f>
        <x:v>426229.5022193653</x:v>
      </x:c>
    </x:row>
    <x:row r="16" ht="18" customHeight="1">
      <x:c r="A16" s="24" t="str">
        <x:v>LME_023</x:v>
      </x:c>
      <x:c r="B16" s="24" t="str">
        <x:v>Baltic Sea</x:v>
      </x:c>
      <x:c r="C16" s="24" t="str">
        <x:v>LME</x:v>
      </x:c>
      <x:c r="D16" s="30" t="n">
        <x:v>2019</x:v>
      </x:c>
      <x:c r="E16" s="24" t="str">
        <x:v>Esox lucius</x:v>
      </x:c>
      <x:c r="F16" s="24" t="str">
        <x:v>Northern pike</x:v>
      </x:c>
      <x:c r="G16" s="24" t="str">
        <x:v>Large demersals (&gt;=90 cm)</x:v>
      </x:c>
      <x:c r="H16" s="24" t="str">
        <x:v>Salmon, smelts, etc</x:v>
      </x:c>
      <x:c r="I16" s="31" t="n">
        <x:v>1739.6527296991999</x:v>
      </x:c>
      <x:c r="J16" s="31" t="n">
        <x:v>1716.6944156827</x:v>
      </x:c>
      <x:c r="K16" s="31" t="n">
        <x:v>22.958314016499997</x:v>
      </x:c>
      <x:c r="L16" s="31" t="n">
        <x:v>1118.282321485</x:v>
      </x:c>
      <x:c r="M16" s="31" t="n">
        <x:v>621.3704082142</x:v>
      </x:c>
      <x:c r="N16" s="24" t="str">
        <x:v>esox lucius</x:v>
      </x:c>
      <x:c r="O16" s="32" t="n">
        <x:v>4.07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Esox lucius</x:v>
      </x:c>
      <x:c r="T16" s="32" t="n">
        <x:f>IF(O16="","",(1/'Metadata'!$B$5)^(O16-1))</x:f>
        <x:v>1174.8975549395302</x:v>
      </x:c>
      <x:c r="U16" s="31" t="n">
        <x:f>IF(T16="","",I16*T16)</x:f>
        <x:v>2043913.7385674694</x:v>
      </x:c>
    </x:row>
    <x:row r="17" ht="18" customHeight="1">
      <x:c r="A17" s="24" t="str">
        <x:v>LME_023</x:v>
      </x:c>
      <x:c r="B17" s="24" t="str">
        <x:v>Baltic Sea</x:v>
      </x:c>
      <x:c r="C17" s="24" t="str">
        <x:v>LME</x:v>
      </x:c>
      <x:c r="D17" s="30" t="n">
        <x:v>2019</x:v>
      </x:c>
      <x:c r="E17" s="24" t="str">
        <x:v>Coregonus albula</x:v>
      </x:c>
      <x:c r="F17" s="24" t="str">
        <x:v>Vendace</x:v>
      </x:c>
      <x:c r="G17" s="24" t="str">
        <x:v>Medium pelagics (30 - 89 cm)</x:v>
      </x:c>
      <x:c r="H17" s="24" t="str">
        <x:v>Salmon, smelts, etc</x:v>
      </x:c>
      <x:c r="I17" s="31" t="n">
        <x:v>1706.2863061511998</x:v>
      </x:c>
      <x:c r="J17" s="31" t="n">
        <x:v>1421.2795312301</x:v>
      </x:c>
      <x:c r="K17" s="31" t="n">
        <x:v>285.00677492110003</x:v>
      </x:c>
      <x:c r="L17" s="31" t="n">
        <x:v>1262.8491541055</x:v>
      </x:c>
      <x:c r="M17" s="31" t="n">
        <x:v>443.4371520457</x:v>
      </x:c>
      <x:c r="N17" s="24" t="str">
        <x:v>coregonus albula</x:v>
      </x:c>
      <x:c r="O17" s="32" t="n">
        <x:v>3.06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Coregonus albula</x:v>
      </x:c>
      <x:c r="T17" s="32" t="n">
        <x:f>IF(O17="","",(1/'Metadata'!$B$5)^(O17-1))</x:f>
        <x:v>114.81536214968828</x:v>
      </x:c>
      <x:c r="U17" s="31" t="n">
        <x:f>IF(T17="","",I17*T17)</x:f>
        <x:v>195907.8801718039</x:v>
      </x:c>
    </x:row>
    <x:row r="18" ht="18" customHeight="1">
      <x:c r="A18" s="24" t="str">
        <x:v>LME_023</x:v>
      </x:c>
      <x:c r="B18" s="24" t="str">
        <x:v>Baltic Sea</x:v>
      </x:c>
      <x:c r="C18" s="24" t="str">
        <x:v>LME</x:v>
      </x:c>
      <x:c r="D18" s="30" t="n">
        <x:v>2019</x:v>
      </x:c>
      <x:c r="E18" s="24" t="str">
        <x:v>Coregonus</x:v>
      </x:c>
      <x:c r="F18" s="24" t="str">
        <x:v>Whitefishes</x:v>
      </x:c>
      <x:c r="G18" s="24" t="str">
        <x:v>Medium pelagics (30 - 89 cm)</x:v>
      </x:c>
      <x:c r="H18" s="24" t="str">
        <x:v>Salmon, smelts, etc</x:v>
      </x:c>
      <x:c r="I18" s="31" t="n">
        <x:v>1483.4886920191</x:v>
      </x:c>
      <x:c r="J18" s="31" t="n">
        <x:v>1439.561898467</x:v>
      </x:c>
      <x:c r="K18" s="31" t="n">
        <x:v>43.9267935521</x:v>
      </x:c>
      <x:c r="L18" s="31" t="n">
        <x:v>908.8350370789</x:v>
      </x:c>
      <x:c r="M18" s="31" t="n">
        <x:v>574.6536549401999</x:v>
      </x:c>
      <x:c r="N18" s="24" t="str">
        <x:v>coregonus</x:v>
      </x:c>
      <x:c r="O18" s="32" t="n">
        <x:v>3.3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Coregonus</x:v>
      </x:c>
      <x:c r="T18" s="32" t="n">
        <x:f>IF(O18="","",(1/'Metadata'!$B$5)^(O18-1))</x:f>
        <x:v>199.52623149688787</x:v>
      </x:c>
      <x:c r="U18" s="31" t="n">
        <x:f>IF(T18="","",I18*T18)</x:f>
        <x:v>295994.90818681836</x:v>
      </x:c>
    </x:row>
    <x:row r="19" ht="18" customHeight="1">
      <x:c r="A19" s="24" t="str">
        <x:v>LME_023</x:v>
      </x:c>
      <x:c r="B19" s="24" t="str">
        <x:v>Baltic Sea</x:v>
      </x:c>
      <x:c r="C19" s="24" t="str">
        <x:v>LME</x:v>
      </x:c>
      <x:c r="D19" s="30" t="n">
        <x:v>2019</x:v>
      </x:c>
      <x:c r="E19" s="24" t="str">
        <x:v>Gobiidae</x:v>
      </x:c>
      <x:c r="F19" s="24" t="str">
        <x:v>Gobies</x:v>
      </x:c>
      <x:c r="G19" s="24" t="str">
        <x:v>Small reef assoc. fish (&lt;30 cm)</x:v>
      </x:c>
      <x:c r="H19" s="24" t="str">
        <x:v>Perch-likes</x:v>
      </x:c>
      <x:c r="I19" s="31" t="n">
        <x:v>1178.1109429589</x:v>
      </x:c>
      <x:c r="J19" s="31" t="n">
        <x:v>1045.4511712968</x:v>
      </x:c>
      <x:c r="K19" s="31" t="n">
        <x:v>132.6597716621</x:v>
      </x:c>
      <x:c r="L19" s="31" t="n">
        <x:v>876.6283645218</x:v>
      </x:c>
      <x:c r="M19" s="31" t="n">
        <x:v>301.4825784371</x:v>
      </x:c>
      <x:c r="N19" s="24" t="str">
        <x:v>gobiidae</x:v>
      </x:c>
      <x:c r="O19" s="32" t="n">
        <x:v>3.11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Gobiidae</x:v>
      </x:c>
      <x:c r="T19" s="32" t="n">
        <x:f>IF(O19="","",(1/'Metadata'!$B$5)^(O19-1))</x:f>
        <x:v>128.82495516931337</x:v>
      </x:c>
      <x:c r="U19" s="31" t="n">
        <x:f>IF(T19="","",I19*T19)</x:f>
        <x:v>151770.0894111578</x:v>
      </x:c>
    </x:row>
    <x:row r="20" ht="18" customHeight="1">
      <x:c r="A20" s="24" t="str">
        <x:v>LME_023</x:v>
      </x:c>
      <x:c r="B20" s="24" t="str">
        <x:v>Baltic Sea</x:v>
      </x:c>
      <x:c r="C20" s="24" t="str">
        <x:v>LME</x:v>
      </x:c>
      <x:c r="D20" s="30" t="n">
        <x:v>2019</x:v>
      </x:c>
      <x:c r="E20" s="24" t="str">
        <x:v>Belone belone</x:v>
      </x:c>
      <x:c r="F20" s="24" t="str">
        <x:v>Garfish</x:v>
      </x:c>
      <x:c r="G20" s="24" t="str">
        <x:v>Medium pelagics (30 - 89 cm)</x:v>
      </x:c>
      <x:c r="H20" s="24" t="str">
        <x:v>Other fishes &amp; inverts</x:v>
      </x:c>
      <x:c r="I20" s="31" t="n">
        <x:v>1150.0308288372</x:v>
      </x:c>
      <x:c r="J20" s="31" t="n">
        <x:v>1113.0988531107</x:v>
      </x:c>
      <x:c r="K20" s="31" t="n">
        <x:v>36.9319757265</x:v>
      </x:c>
      <x:c r="L20" s="31" t="n">
        <x:v>378.3993550625</x:v>
      </x:c>
      <x:c r="M20" s="31" t="n">
        <x:v>771.6314737747</x:v>
      </x:c>
      <x:c r="N20" s="24" t="str">
        <x:v>belone belone</x:v>
      </x:c>
      <x:c r="O20" s="32" t="n">
        <x:v>4.16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Belone belone</x:v>
      </x:c>
      <x:c r="T20" s="32" t="n">
        <x:f>IF(O20="","",(1/'Metadata'!$B$5)^(O20-1))</x:f>
        <x:v>1445.439770745928</x:v>
      </x:c>
      <x:c r="U20" s="31" t="n">
        <x:f>IF(T20="","",I20*T20)</x:f>
        <x:v>1662300.297585192</x:v>
      </x:c>
    </x:row>
    <x:row r="21" ht="18" customHeight="1">
      <x:c r="A21" s="24" t="str">
        <x:v>LME_023</x:v>
      </x:c>
      <x:c r="B21" s="24" t="str">
        <x:v>Baltic Sea</x:v>
      </x:c>
      <x:c r="C21" s="24" t="str">
        <x:v>LME</x:v>
      </x:c>
      <x:c r="D21" s="30" t="n">
        <x:v>2019</x:v>
      </x:c>
      <x:c r="E21" s="24" t="str">
        <x:v>Scophthalmus maximus</x:v>
      </x:c>
      <x:c r="F21" s="24" t="str">
        <x:v>Turbot</x:v>
      </x:c>
      <x:c r="G21" s="24" t="str">
        <x:v>Large flatfishes (&gt;=90 cm)</x:v>
      </x:c>
      <x:c r="H21" s="24" t="str">
        <x:v>Flatfishes</x:v>
      </x:c>
      <x:c r="I21" s="31" t="n">
        <x:v>1135.5225781124</x:v>
      </x:c>
      <x:c r="J21" s="31" t="n">
        <x:v>582.4980000989</x:v>
      </x:c>
      <x:c r="K21" s="31" t="n">
        <x:v>553.0245780135</x:v>
      </x:c>
      <x:c r="L21" s="31" t="n">
        <x:v>173.4069188696</x:v>
      </x:c>
      <x:c r="M21" s="31" t="n">
        <x:v>962.1156592428</x:v>
      </x:c>
      <x:c r="N21" s="24" t="str">
        <x:v>scophthalmus maximus</x:v>
      </x:c>
      <x:c r="O21" s="32" t="n">
        <x:v>4.36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Scophthalmus maximus</x:v>
      </x:c>
      <x:c r="T21" s="32" t="n">
        <x:f>IF(O21="","",(1/'Metadata'!$B$5)^(O21-1))</x:f>
        <x:v>2290.867652767775</x:v>
      </x:c>
      <x:c r="U21" s="31" t="n">
        <x:f>IF(T21="","",I21*T21)</x:f>
        <x:v>2601331.943185166</x:v>
      </x:c>
    </x:row>
    <x:row r="22" ht="18" customHeight="1">
      <x:c r="A22" s="24" t="str">
        <x:v>LME_023</x:v>
      </x:c>
      <x:c r="B22" s="24" t="str">
        <x:v>Baltic Sea</x:v>
      </x:c>
      <x:c r="C22" s="24" t="str">
        <x:v>LME</x:v>
      </x:c>
      <x:c r="D22" s="30" t="n">
        <x:v>2019</x:v>
      </x:c>
      <x:c r="E22" s="24" t="str">
        <x:v>Limanda limanda</x:v>
      </x:c>
      <x:c r="F22" s="24" t="str">
        <x:v>Common dab</x:v>
      </x:c>
      <x:c r="G22" s="24" t="str">
        <x:v>Small to medium flatfishes (&lt;90 cm)</x:v>
      </x:c>
      <x:c r="H22" s="24" t="str">
        <x:v>Flatfishes</x:v>
      </x:c>
      <x:c r="I22" s="31" t="n">
        <x:v>929.4945779746</x:v>
      </x:c>
      <x:c r="J22" s="31" t="n">
        <x:v>790.5110047033</x:v>
      </x:c>
      <x:c r="K22" s="31" t="n">
        <x:v>138.9835732713</x:v>
      </x:c>
      <x:c r="L22" s="31" t="n">
        <x:v>738.7826926809</x:v>
      </x:c>
      <x:c r="M22" s="31" t="n">
        <x:v>190.7118852937</x:v>
      </x:c>
      <x:c r="N22" s="24" t="str">
        <x:v>limanda limanda</x:v>
      </x:c>
      <x:c r="O22" s="32" t="n">
        <x:v>3.29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Limanda limanda</x:v>
      </x:c>
      <x:c r="T22" s="32" t="n">
        <x:f>IF(O22="","",(1/'Metadata'!$B$5)^(O22-1))</x:f>
        <x:v>194.98445997580455</x:v>
      </x:c>
      <x:c r="U22" s="31" t="n">
        <x:f>IF(T22="","",I22*T22)</x:f>
        <x:v>181236.99833681574</x:v>
      </x:c>
    </x:row>
    <x:row r="23" ht="18" customHeight="1">
      <x:c r="A23" s="24" t="str">
        <x:v>LME_023</x:v>
      </x:c>
      <x:c r="B23" s="24" t="str">
        <x:v>Baltic Sea</x:v>
      </x:c>
      <x:c r="C23" s="24" t="str">
        <x:v>LME</x:v>
      </x:c>
      <x:c r="D23" s="30" t="n">
        <x:v>2019</x:v>
      </x:c>
      <x:c r="E23" s="24" t="str">
        <x:v>Salmo salar</x:v>
      </x:c>
      <x:c r="F23" s="24" t="str">
        <x:v>Atlantic salmon</x:v>
      </x:c>
      <x:c r="G23" s="24" t="str">
        <x:v>Large benthopelagics (&gt;=90 cm)</x:v>
      </x:c>
      <x:c r="H23" s="24" t="str">
        <x:v>Salmon, smelts, etc</x:v>
      </x:c>
      <x:c r="I23" s="31" t="n">
        <x:v>846.4419841768</x:v>
      </x:c>
      <x:c r="J23" s="31" t="n">
        <x:v>759.8191230709</x:v>
      </x:c>
      <x:c r="K23" s="31" t="n">
        <x:v>86.6228611059</x:v>
      </x:c>
      <x:c r="L23" s="31" t="n">
        <x:v>525.4036282885</x:v>
      </x:c>
      <x:c r="M23" s="31" t="n">
        <x:v>321.0383558883</x:v>
      </x:c>
      <x:c r="N23" s="24" t="str">
        <x:v>salmo salar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salar</x:v>
      </x:c>
      <x:c r="T23" s="32" t="n">
        <x:f>IF(O23="","",(1/'Metadata'!$B$5)^(O23-1))</x:f>
        <x:v>3162.2776601683795</x:v>
      </x:c>
      <x:c r="U23" s="31" t="n">
        <x:f>IF(T23="","",I23*T23)</x:f>
        <x:v>2676684.577190892</x:v>
      </x:c>
    </x:row>
    <x:row r="24" ht="18" customHeight="1">
      <x:c r="A24" s="24" t="str">
        <x:v>LME_023</x:v>
      </x:c>
      <x:c r="B24" s="24" t="str">
        <x:v>Baltic Sea</x:v>
      </x:c>
      <x:c r="C24" s="24" t="str">
        <x:v>LME</x:v>
      </x:c>
      <x:c r="D24" s="30" t="n">
        <x:v>2019</x:v>
      </x:c>
      <x:c r="E24" s="24" t="str">
        <x:v>Salmo trutta</x:v>
      </x:c>
      <x:c r="F24" s="24" t="str">
        <x:v>Sea trout</x:v>
      </x:c>
      <x:c r="G24" s="24" t="str">
        <x:v>Large pelagics (&gt;=90 cm)</x:v>
      </x:c>
      <x:c r="H24" s="24" t="str">
        <x:v>Salmon, smelts, etc</x:v>
      </x:c>
      <x:c r="I24" s="31" t="n">
        <x:v>690.6746772642</x:v>
      </x:c>
      <x:c r="J24" s="31" t="n">
        <x:v>680.4006802437</x:v>
      </x:c>
      <x:c r="K24" s="31" t="n">
        <x:v>10.2739970205</x:v>
      </x:c>
      <x:c r="L24" s="31" t="n">
        <x:v>291.2131443148</x:v>
      </x:c>
      <x:c r="M24" s="31" t="n">
        <x:v>399.4615329494</x:v>
      </x:c>
      <x:c r="N24" s="24" t="str">
        <x:v>salmo trutta</x:v>
      </x:c>
      <x:c r="O24" s="32" t="n">
        <x:v>3.36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Salmo trutta</x:v>
      </x:c>
      <x:c r="T24" s="32" t="n">
        <x:f>IF(O24="","",(1/'Metadata'!$B$5)^(O24-1))</x:f>
        <x:v>229.08676527677724</x:v>
      </x:c>
      <x:c r="U24" s="31" t="n">
        <x:f>IF(T24="","",I24*T24)</x:f>
        <x:v>158224.42767303766</x:v>
      </x:c>
    </x:row>
    <x:row r="25" ht="18" customHeight="1">
      <x:c r="A25" s="24" t="str">
        <x:v>LME_023</x:v>
      </x:c>
      <x:c r="B25" s="24" t="str">
        <x:v>Baltic Sea</x:v>
      </x:c>
      <x:c r="C25" s="24" t="str">
        <x:v>LME</x:v>
      </x:c>
      <x:c r="D25" s="30" t="n">
        <x:v>2019</x:v>
      </x:c>
      <x:c r="E25" s="24" t="str">
        <x:v>Ammodytes tobianus</x:v>
      </x:c>
      <x:c r="F25" s="24" t="str">
        <x:v>Small sandeel</x:v>
      </x:c>
      <x:c r="G25" s="24" t="str">
        <x:v>Small demersals (&lt;30 cm)</x:v>
      </x:c>
      <x:c r="H25" s="24" t="str">
        <x:v>Perch-likes</x:v>
      </x:c>
      <x:c r="I25" s="31" t="n">
        <x:v>600.4186825923</x:v>
      </x:c>
      <x:c r="J25" s="31" t="n">
        <x:v>590.8250329898</x:v>
      </x:c>
      <x:c r="K25" s="31" t="n">
        <x:v>9.5936496025</x:v>
      </x:c>
      <x:c r="L25" s="31" t="n">
        <x:v>557.2168143473</x:v>
      </x:c>
      <x:c r="M25" s="31" t="n">
        <x:v>43.201868245</x:v>
      </x:c>
      <x:c r="N25" s="24" t="str">
        <x:v>ammodytes tobianus</x:v>
      </x:c>
      <x:c r="O25" s="32" t="n">
        <x:v>3.08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Ammodytes tobianus</x:v>
      </x:c>
      <x:c r="T25" s="32" t="n">
        <x:f>IF(O25="","",(1/'Metadata'!$B$5)^(O25-1))</x:f>
        <x:v>120.22644346174131</x:v>
      </x:c>
      <x:c r="U25" s="31" t="n">
        <x:f>IF(T25="","",I25*T25)</x:f>
        <x:v>72186.20279605636</x:v>
      </x:c>
    </x:row>
    <x:row r="26" ht="18" customHeight="1">
      <x:c r="A26" s="24" t="str">
        <x:v>LME_023</x:v>
      </x:c>
      <x:c r="B26" s="24" t="str">
        <x:v>Baltic Sea</x:v>
      </x:c>
      <x:c r="C26" s="24" t="str">
        <x:v>LME</x:v>
      </x:c>
      <x:c r="D26" s="30" t="n">
        <x:v>2019</x:v>
      </x:c>
      <x:c r="E26" s="24" t="str">
        <x:v>Anguilla anguilla</x:v>
      </x:c>
      <x:c r="F26" s="24" t="str">
        <x:v>European eel</x:v>
      </x:c>
      <x:c r="G26" s="24" t="str">
        <x:v>Large demersals (&gt;=90 cm)</x:v>
      </x:c>
      <x:c r="H26" s="24" t="str">
        <x:v>Other fishes &amp; inverts</x:v>
      </x:c>
      <x:c r="I26" s="31" t="n">
        <x:v>565.5916951236001</x:v>
      </x:c>
      <x:c r="J26" s="31" t="n">
        <x:v>527.0353771707</x:v>
      </x:c>
      <x:c r="K26" s="31" t="n">
        <x:v>38.556317952899995</x:v>
      </x:c>
      <x:c r="L26" s="31" t="n">
        <x:v>361.0362072088</x:v>
      </x:c>
      <x:c r="M26" s="31" t="n">
        <x:v>204.55548791479998</x:v>
      </x:c>
      <x:c r="N26" s="24" t="str">
        <x:v>anguilla anguilla</x:v>
      </x:c>
      <x:c r="O26" s="32" t="n">
        <x:v>3.55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Anguilla anguilla</x:v>
      </x:c>
      <x:c r="T26" s="32" t="n">
        <x:f>IF(O26="","",(1/'Metadata'!$B$5)^(O26-1))</x:f>
        <x:v>354.8133892335753</x:v>
      </x:c>
      <x:c r="U26" s="31" t="n">
        <x:f>IF(T26="","",I26*T26)</x:f>
        <x:v>200679.50626916758</x:v>
      </x:c>
    </x:row>
    <x:row r="27" ht="18" customHeight="1">
      <x:c r="A27" s="24" t="str">
        <x:v>LME_023</x:v>
      </x:c>
      <x:c r="B27" s="24" t="str">
        <x:v>Baltic Sea</x:v>
      </x:c>
      <x:c r="C27" s="24" t="str">
        <x:v>LME</x:v>
      </x:c>
      <x:c r="D27" s="30" t="n">
        <x:v>2019</x:v>
      </x:c>
      <x:c r="E27" s="24" t="str">
        <x:v>Myoxocephalus quadricornis</x:v>
      </x:c>
      <x:c r="F27" s="24" t="str">
        <x:v>Fourhorn sculpin</x:v>
      </x:c>
      <x:c r="G27" s="24" t="str">
        <x:v>Medium demersals (30 - 89 cm)</x:v>
      </x:c>
      <x:c r="H27" s="24" t="str">
        <x:v>Scorpionfishes</x:v>
      </x:c>
      <x:c r="I27" s="31" t="n">
        <x:v>506.7824574918</x:v>
      </x:c>
      <x:c r="J27" s="31" t="n">
        <x:v>506.7824574918</x:v>
      </x:c>
      <x:c r="K27" s="31" t="n">
        <x:v>0</x:v>
      </x:c>
      <x:c r="L27" s="31" t="n">
        <x:v>506.7824574918</x:v>
      </x:c>
      <x:c r="M27" s="31" t="n">
        <x:v>0</x:v>
      </x:c>
      <x:c r="N27" s="24" t="str">
        <x:v>myoxocephalus quadricornis</x:v>
      </x:c>
      <x:c r="O27" s="32" t="n">
        <x:v>3.69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Myoxocephalus quadricornis</x:v>
      </x:c>
      <x:c r="T27" s="32" t="n">
        <x:f>IF(O27="","",(1/'Metadata'!$B$5)^(O27-1))</x:f>
        <x:v>489.77881936844614</x:v>
      </x:c>
      <x:c r="U27" s="31" t="n">
        <x:f>IF(T27="","",I27*T27)</x:f>
        <x:v>248211.31370697354</x:v>
      </x:c>
    </x:row>
    <x:row r="28" ht="18" customHeight="1">
      <x:c r="A28" s="24" t="str">
        <x:v>LME_023</x:v>
      </x:c>
      <x:c r="B28" s="24" t="str">
        <x:v>Baltic Sea</x:v>
      </x:c>
      <x:c r="C28" s="24" t="str">
        <x:v>LME</x:v>
      </x:c>
      <x:c r="D28" s="30" t="n">
        <x:v>2019</x:v>
      </x:c>
      <x:c r="E28" s="24" t="str">
        <x:v>Pelecus cultratus</x:v>
      </x:c>
      <x:c r="F28" s="24" t="str">
        <x:v>Sichel</x:v>
      </x:c>
      <x:c r="G28" s="24" t="str">
        <x:v>Medium pelagics (30 - 89 cm)</x:v>
      </x:c>
      <x:c r="H28" s="24" t="str">
        <x:v>Other fishes &amp; inverts</x:v>
      </x:c>
      <x:c r="I28" s="31" t="n">
        <x:v>387.8169188653</x:v>
      </x:c>
      <x:c r="J28" s="31" t="n">
        <x:v>368.34634317020004</x:v>
      </x:c>
      <x:c r="K28" s="31" t="n">
        <x:v>19.470575695099996</x:v>
      </x:c>
      <x:c r="L28" s="31" t="n">
        <x:v>333.2747551547</x:v>
      </x:c>
      <x:c r="M28" s="31" t="n">
        <x:v>54.5421637106</x:v>
      </x:c>
      <x:c r="N28" s="24" t="str">
        <x:v>pelecus cultratus</x:v>
      </x:c>
      <x:c r="O28" s="32" t="n">
        <x:v>3.33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Pelecus cultratus</x:v>
      </x:c>
      <x:c r="T28" s="32" t="n">
        <x:f>IF(O28="","",(1/'Metadata'!$B$5)^(O28-1))</x:f>
        <x:v>213.79620895022325</x:v>
      </x:c>
      <x:c r="U28" s="31" t="n">
        <x:f>IF(T28="","",I28*T28)</x:f>
        <x:v>82913.78702015746</x:v>
      </x:c>
    </x:row>
    <x:row r="29" ht="18" customHeight="1">
      <x:c r="A29" s="24" t="str">
        <x:v>LME_023</x:v>
      </x:c>
      <x:c r="B29" s="24" t="str">
        <x:v>Baltic Sea</x:v>
      </x:c>
      <x:c r="C29" s="24" t="str">
        <x:v>LME</x:v>
      </x:c>
      <x:c r="D29" s="30" t="n">
        <x:v>2019</x:v>
      </x:c>
      <x:c r="E29" s="24" t="str">
        <x:v>Gasterosteus aculeatus</x:v>
      </x:c>
      <x:c r="F29" s="24" t="str">
        <x:v>Three-spined stickleback</x:v>
      </x:c>
      <x:c r="G29" s="24" t="str">
        <x:v>Small benthopelagics (&lt;30 cm)</x:v>
      </x:c>
      <x:c r="H29" s="24" t="str">
        <x:v>Other fishes &amp; inverts</x:v>
      </x:c>
      <x:c r="I29" s="31" t="n">
        <x:v>312.8985728268</x:v>
      </x:c>
      <x:c r="J29" s="31" t="n">
        <x:v>307.6524919919</x:v>
      </x:c>
      <x:c r="K29" s="31" t="n">
        <x:v>5.2460808349</x:v>
      </x:c>
      <x:c r="L29" s="31" t="n">
        <x:v>301.4704896157</x:v>
      </x:c>
      <x:c r="M29" s="31" t="n">
        <x:v>11.428083211099999</x:v>
      </x:c>
      <x:c r="N29" s="24" t="str">
        <x:v>gasterosteus aculeatus</x:v>
      </x:c>
      <x:c r="O29" s="32" t="n">
        <x:v>3.31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Gasterosteus aculeatus</x:v>
      </x:c>
      <x:c r="T29" s="32" t="n">
        <x:f>IF(O29="","",(1/'Metadata'!$B$5)^(O29-1))</x:f>
        <x:v>204.17379446695296</x:v>
      </x:c>
      <x:c r="U29" s="31" t="n">
        <x:f>IF(T29="","",I29*T29)</x:f>
        <x:v>63885.68889734197</x:v>
      </x:c>
    </x:row>
    <x:row r="30" ht="18" customHeight="1">
      <x:c r="A30" s="24" t="str">
        <x:v>LME_023</x:v>
      </x:c>
      <x:c r="B30" s="24" t="str">
        <x:v>Baltic Sea</x:v>
      </x:c>
      <x:c r="C30" s="24" t="str">
        <x:v>LME</x:v>
      </x:c>
      <x:c r="D30" s="30" t="n">
        <x:v>2019</x:v>
      </x:c>
      <x:c r="E30" s="24" t="str">
        <x:v>Scomber scombrus</x:v>
      </x:c>
      <x:c r="F30" s="24" t="str">
        <x:v>Atlantic mackerel</x:v>
      </x:c>
      <x:c r="G30" s="24" t="str">
        <x:v>Medium pelagics (30 - 89 cm)</x:v>
      </x:c>
      <x:c r="H30" s="24" t="str">
        <x:v>Perch-likes</x:v>
      </x:c>
      <x:c r="I30" s="31" t="n">
        <x:v>227.3533608856</x:v>
      </x:c>
      <x:c r="J30" s="31" t="n">
        <x:v>225.5418126385</x:v>
      </x:c>
      <x:c r="K30" s="31" t="n">
        <x:v>1.8115482471</x:v>
      </x:c>
      <x:c r="L30" s="31" t="n">
        <x:v>222.96920984780002</x:v>
      </x:c>
      <x:c r="M30" s="31" t="n">
        <x:v>4.3841510378</x:v>
      </x:c>
      <x:c r="N30" s="24" t="str">
        <x:v>scomber scombrus</x:v>
      </x:c>
      <x:c r="O30" s="32" t="n">
        <x:v>3.63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Scomber scombrus</x:v>
      </x:c>
      <x:c r="T30" s="32" t="n">
        <x:f>IF(O30="","",(1/'Metadata'!$B$5)^(O30-1))</x:f>
        <x:v>426.57951880159254</x:v>
      </x:c>
      <x:c r="U30" s="31" t="n">
        <x:f>IF(T30="","",I30*T30)</x:f>
        <x:v>96984.28728450407</x:v>
      </x:c>
    </x:row>
    <x:row r="31" ht="18" customHeight="1">
      <x:c r="A31" s="24" t="str">
        <x:v>LME_023</x:v>
      </x:c>
      <x:c r="B31" s="24" t="str">
        <x:v>Baltic Sea</x:v>
      </x:c>
      <x:c r="C31" s="24" t="str">
        <x:v>LME</x:v>
      </x:c>
      <x:c r="D31" s="30" t="n">
        <x:v>2019</x:v>
      </x:c>
      <x:c r="E31" s="24" t="str">
        <x:v>Marine finfishes not identified</x:v>
      </x:c>
      <x:c r="F31" s="24" t="str">
        <x:v>Finfishes</x:v>
      </x:c>
      <x:c r="G31" s="24" t="str">
        <x:v>Medium demersals (30 - 89 cm)</x:v>
      </x:c>
      <x:c r="H31" s="24" t="str">
        <x:v>Other fishes &amp; inverts</x:v>
      </x:c>
      <x:c r="I31" s="31" t="n">
        <x:v>210.01378067320002</x:v>
      </x:c>
      <x:c r="J31" s="31" t="n">
        <x:v>206.5717401629</x:v>
      </x:c>
      <x:c r="K31" s="31" t="n">
        <x:v>3.4420405103</x:v>
      </x:c>
      <x:c r="L31" s="31" t="n">
        <x:v>0</x:v>
      </x:c>
      <x:c r="M31" s="31" t="n">
        <x:v>210.01378067320002</x:v>
      </x:c>
      <x:c r="N31" s="24" t="str">
        <x:v>marine finfishes not identified</x:v>
      </x:c>
      <x:c r="O31" s="32" t="n">
        <x:v>3.23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finfishes not identified</x:v>
      </x:c>
      <x:c r="T31" s="32" t="n">
        <x:f>IF(O31="","",(1/'Metadata'!$B$5)^(O31-1))</x:f>
        <x:v>169.82436524617444</x:v>
      </x:c>
      <x:c r="U31" s="31" t="n">
        <x:f>IF(T31="","",I31*T31)</x:f>
        <x:v>35665.45699577549</x:v>
      </x:c>
    </x:row>
    <x:row r="32" ht="18" customHeight="1">
      <x:c r="A32" s="24" t="str">
        <x:v>LME_023</x:v>
      </x:c>
      <x:c r="B32" s="24" t="str">
        <x:v>Baltic Sea</x:v>
      </x:c>
      <x:c r="C32" s="24" t="str">
        <x:v>LME</x:v>
      </x:c>
      <x:c r="D32" s="30" t="n">
        <x:v>2019</x:v>
      </x:c>
      <x:c r="E32" s="24" t="str">
        <x:v>Leuciscus idus</x:v>
      </x:c>
      <x:c r="F32" s="24" t="str">
        <x:v>Ide</x:v>
      </x:c>
      <x:c r="G32" s="24" t="str">
        <x:v>Medium benthopelagics (30 - 89 cm)</x:v>
      </x:c>
      <x:c r="H32" s="24" t="str">
        <x:v>Other fishes &amp; inverts</x:v>
      </x:c>
      <x:c r="I32" s="31" t="n">
        <x:v>191.7757310058</x:v>
      </x:c>
      <x:c r="J32" s="31" t="n">
        <x:v>185.8602783471</x:v>
      </x:c>
      <x:c r="K32" s="31" t="n">
        <x:v>5.9154526587</x:v>
      </x:c>
      <x:c r="L32" s="31" t="n">
        <x:v>119.2128623989</x:v>
      </x:c>
      <x:c r="M32" s="31" t="n">
        <x:v>72.56286860690001</x:v>
      </x:c>
      <x:c r="N32" s="24" t="str">
        <x:v>leuciscus idus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Leuciscus idus</x:v>
      </x:c>
      <x:c r="T32" s="32" t="n">
        <x:f>IF(O32="","",(1/'Metadata'!$B$5)^(O32-1))</x:f>
        <x:v>616.5950018614822</x:v>
      </x:c>
      <x:c r="U32" s="31" t="n">
        <x:f>IF(T32="","",I32*T32)</x:f>
        <x:v>118247.95721650835</x:v>
      </x:c>
    </x:row>
    <x:row r="33" ht="18" customHeight="1">
      <x:c r="A33" s="24" t="str">
        <x:v>LME_023</x:v>
      </x:c>
      <x:c r="B33" s="24" t="str">
        <x:v>Baltic Sea</x:v>
      </x:c>
      <x:c r="C33" s="24" t="str">
        <x:v>LME</x:v>
      </x:c>
      <x:c r="D33" s="30" t="n">
        <x:v>2019</x:v>
      </x:c>
      <x:c r="E33" s="24" t="str">
        <x:v>Gymnocephalus cernua</x:v>
      </x:c>
      <x:c r="F33" s="24" t="str">
        <x:v>Ruffe</x:v>
      </x:c>
      <x:c r="G33" s="24" t="str">
        <x:v>Small demersals (&lt;30 cm)</x:v>
      </x:c>
      <x:c r="H33" s="24" t="str">
        <x:v>Perch-likes</x:v>
      </x:c>
      <x:c r="I33" s="31" t="n">
        <x:v>188.90096007749997</x:v>
      </x:c>
      <x:c r="J33" s="31" t="n">
        <x:v>166.1862893705</x:v>
      </x:c>
      <x:c r="K33" s="31" t="n">
        <x:v>22.714670707</x:v>
      </x:c>
      <x:c r="L33" s="31" t="n">
        <x:v>131.0206759014</x:v>
      </x:c>
      <x:c r="M33" s="31" t="n">
        <x:v>57.8802841761</x:v>
      </x:c>
      <x:c r="N33" s="24" t="str">
        <x:v>gymnocephalus cernua</x:v>
      </x:c>
      <x:c r="O33" s="32" t="n">
        <x:v>3.32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Gymnocephalus cernua</x:v>
      </x:c>
      <x:c r="T33" s="32" t="n">
        <x:f>IF(O33="","",(1/'Metadata'!$B$5)^(O33-1))</x:f>
        <x:v>208.92961308540387</x:v>
      </x:c>
      <x:c r="U33" s="31" t="n">
        <x:f>IF(T33="","",I33*T33)</x:f>
        <x:v>39467.00450045339</x:v>
      </x:c>
    </x:row>
    <x:row r="34" ht="18" customHeight="1">
      <x:c r="A34" s="24" t="str">
        <x:v>LME_023</x:v>
      </x:c>
      <x:c r="B34" s="24" t="str">
        <x:v>Baltic Sea</x:v>
      </x:c>
      <x:c r="C34" s="24" t="str">
        <x:v>LME</x:v>
      </x:c>
      <x:c r="D34" s="30" t="n">
        <x:v>2019</x:v>
      </x:c>
      <x:c r="E34" s="24" t="str">
        <x:v>Vimba</x:v>
      </x:c>
      <x:c r="F34" s="24" t="str">
        <x:v>Vimba breams</x:v>
      </x:c>
      <x:c r="G34" s="24" t="str">
        <x:v>Medium demersals (30 - 89 cm)</x:v>
      </x:c>
      <x:c r="H34" s="24" t="str">
        <x:v>Other fishes &amp; inverts</x:v>
      </x:c>
      <x:c r="I34" s="31" t="n">
        <x:v>165.2808131879</x:v>
      </x:c>
      <x:c r="J34" s="31" t="n">
        <x:v>157.3107089773</x:v>
      </x:c>
      <x:c r="K34" s="31" t="n">
        <x:v>7.9701042106</x:v>
      </x:c>
      <x:c r="L34" s="31" t="n">
        <x:v>148.2646467396</x:v>
      </x:c>
      <x:c r="M34" s="31" t="n">
        <x:v>17.0161664483</x:v>
      </x:c>
      <x:c r="N34" s="24" t="str">
        <x:v>vimba</x:v>
      </x:c>
      <x:c r="O34" s="32" t="n">
        <x:v>3.05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Vimba</x:v>
      </x:c>
      <x:c r="T34" s="32" t="n">
        <x:f>IF(O34="","",(1/'Metadata'!$B$5)^(O34-1))</x:f>
        <x:v>112.2018454301963</x:v>
      </x:c>
      <x:c r="U34" s="31" t="n">
        <x:f>IF(T34="","",I34*T34)</x:f>
        <x:v>18544.812253885906</x:v>
      </x:c>
    </x:row>
    <x:row r="35" ht="18" customHeight="1">
      <x:c r="A35" s="24" t="str">
        <x:v>LME_023</x:v>
      </x:c>
      <x:c r="B35" s="24" t="str">
        <x:v>Baltic Sea</x:v>
      </x:c>
      <x:c r="C35" s="24" t="str">
        <x:v>LME</x:v>
      </x:c>
      <x:c r="D35" s="30" t="n">
        <x:v>2019</x:v>
      </x:c>
      <x:c r="E35" s="24" t="str">
        <x:v>Lota lota</x:v>
      </x:c>
      <x:c r="F35" s="24" t="str">
        <x:v>Burbot</x:v>
      </x:c>
      <x:c r="G35" s="24" t="str">
        <x:v>Large demersals (&gt;=90 cm)</x:v>
      </x:c>
      <x:c r="H35" s="24" t="str">
        <x:v>Cod-likes</x:v>
      </x:c>
      <x:c r="I35" s="31" t="n">
        <x:v>112.6341475246</x:v>
      </x:c>
      <x:c r="J35" s="31" t="n">
        <x:v>107.07323584219999</x:v>
      </x:c>
      <x:c r="K35" s="31" t="n">
        <x:v>5.5609116824</x:v>
      </x:c>
      <x:c r="L35" s="31" t="n">
        <x:v>34.6722217548</x:v>
      </x:c>
      <x:c r="M35" s="31" t="n">
        <x:v>77.9619257698</x:v>
      </x:c>
      <x:c r="N35" s="24" t="str">
        <x:v>lota lota</x:v>
      </x:c>
      <x:c r="O35" s="32" t="n">
        <x:v>3.84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Lota lota</x:v>
      </x:c>
      <x:c r="T35" s="32" t="n">
        <x:f>IF(O35="","",(1/'Metadata'!$B$5)^(O35-1))</x:f>
        <x:v>691.8309709189363</x:v>
      </x:c>
      <x:c r="U35" s="31" t="n">
        <x:f>IF(T35="","",I35*T35)</x:f>
        <x:v>77923.79164057072</x:v>
      </x:c>
    </x:row>
    <x:row r="36" ht="18" customHeight="1">
      <x:c r="A36" s="24" t="str">
        <x:v>LME_023</x:v>
      </x:c>
      <x:c r="B36" s="24" t="str">
        <x:v>Baltic Sea</x:v>
      </x:c>
      <x:c r="C36" s="24" t="str">
        <x:v>LME</x:v>
      </x:c>
      <x:c r="D36" s="30" t="n">
        <x:v>2019</x:v>
      </x:c>
      <x:c r="E36" s="24" t="str">
        <x:v>Carassius carassius</x:v>
      </x:c>
      <x:c r="F36" s="24" t="str">
        <x:v>Crucian carp</x:v>
      </x:c>
      <x:c r="G36" s="24" t="str">
        <x:v>Medium demersals (30 - 89 cm)</x:v>
      </x:c>
      <x:c r="H36" s="24" t="str">
        <x:v>Other fishes &amp; inverts</x:v>
      </x:c>
      <x:c r="I36" s="31" t="n">
        <x:v>107.39738421230001</x:v>
      </x:c>
      <x:c r="J36" s="31" t="n">
        <x:v>106.56258578830001</x:v>
      </x:c>
      <x:c r="K36" s="31" t="n">
        <x:v>0.8347984239999999</x:v>
      </x:c>
      <x:c r="L36" s="31" t="n">
        <x:v>102.8820522992</x:v>
      </x:c>
      <x:c r="M36" s="31" t="n">
        <x:v>4.5153319131</x:v>
      </x:c>
      <x:c r="N36" s="24" t="str">
        <x:v>carassius carassius</x:v>
      </x:c>
      <x:c r="O36" s="32" t="n">
        <x:v>3.11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Carassius carassius</x:v>
      </x:c>
      <x:c r="T36" s="32" t="n">
        <x:f>IF(O36="","",(1/'Metadata'!$B$5)^(O36-1))</x:f>
        <x:v>128.82495516931337</x:v>
      </x:c>
      <x:c r="U36" s="31" t="n">
        <x:f>IF(T36="","",I36*T36)</x:f>
        <x:v>13835.463206451072</x:v>
      </x:c>
    </x:row>
    <x:row r="37" ht="18" customHeight="1">
      <x:c r="A37" s="24" t="str">
        <x:v>LME_023</x:v>
      </x:c>
      <x:c r="B37" s="24" t="str">
        <x:v>Baltic Sea</x:v>
      </x:c>
      <x:c r="C37" s="24" t="str">
        <x:v>LME</x:v>
      </x:c>
      <x:c r="D37" s="30" t="n">
        <x:v>2019</x:v>
      </x:c>
      <x:c r="E37" s="24" t="str">
        <x:v>Zoarces viviparus</x:v>
      </x:c>
      <x:c r="F37" s="24" t="str">
        <x:v>Eelpout</x:v>
      </x:c>
      <x:c r="G37" s="24" t="str">
        <x:v>Medium demersals (30 - 89 cm)</x:v>
      </x:c>
      <x:c r="H37" s="24" t="str">
        <x:v>Perch-likes</x:v>
      </x:c>
      <x:c r="I37" s="31" t="n">
        <x:v>79.3379727998</x:v>
      </x:c>
      <x:c r="J37" s="31" t="n">
        <x:v>69.4843118397</x:v>
      </x:c>
      <x:c r="K37" s="31" t="n">
        <x:v>9.8536609601</x:v>
      </x:c>
      <x:c r="L37" s="31" t="n">
        <x:v>56.0904416713</x:v>
      </x:c>
      <x:c r="M37" s="31" t="n">
        <x:v>23.2475311285</x:v>
      </x:c>
      <x:c r="N37" s="24" t="str">
        <x:v>zoarces viviparus</x:v>
      </x:c>
      <x:c r="O37" s="32" t="n">
        <x:v>3.47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Zoarces viviparus</x:v>
      </x:c>
      <x:c r="T37" s="32" t="n">
        <x:f>IF(O37="","",(1/'Metadata'!$B$5)^(O37-1))</x:f>
        <x:v>295.1209226666387</x:v>
      </x:c>
      <x:c r="U37" s="31" t="n">
        <x:f>IF(T37="","",I37*T37)</x:f>
        <x:v>23414.29573517766</x:v>
      </x:c>
    </x:row>
    <x:row r="38" ht="18" customHeight="1">
      <x:c r="A38" s="24" t="str">
        <x:v>LME_023</x:v>
      </x:c>
      <x:c r="B38" s="24" t="str">
        <x:v>Baltic Sea</x:v>
      </x:c>
      <x:c r="C38" s="24" t="str">
        <x:v>LME</x:v>
      </x:c>
      <x:c r="D38" s="30" t="n">
        <x:v>2019</x:v>
      </x:c>
      <x:c r="E38" s="24" t="str">
        <x:v>Crangon crangon</x:v>
      </x:c>
      <x:c r="F38" s="24" t="str">
        <x:v>Common shrimp</x:v>
      </x:c>
      <x:c r="G38" s="24" t="str">
        <x:v>Shrimps</x:v>
      </x:c>
      <x:c r="H38" s="24" t="str">
        <x:v>Crustaceans</x:v>
      </x:c>
      <x:c r="I38" s="31" t="n">
        <x:v>77.1510220097</x:v>
      </x:c>
      <x:c r="J38" s="31" t="n">
        <x:v>0.00016693969999999998</x:v>
      </x:c>
      <x:c r="K38" s="31" t="n">
        <x:v>77.15085507</x:v>
      </x:c>
      <x:c r="L38" s="31" t="n">
        <x:v>7.531999999999999e-7</x:v>
      </x:c>
      <x:c r="M38" s="31" t="n">
        <x:v>77.1510212565</x:v>
      </x:c>
      <x:c r="N38" s="24" t="str">
        <x:v>crangon crangon</x:v>
      </x:c>
      <x:c r="O38" s="32" t="n">
        <x:v>3.19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Crangon crangon</x:v>
      </x:c>
      <x:c r="T38" s="32" t="n">
        <x:f>IF(O38="","",(1/'Metadata'!$B$5)^(O38-1))</x:f>
        <x:v>154.88166189124811</x:v>
      </x:c>
      <x:c r="U38" s="31" t="n">
        <x:f>IF(T38="","",I38*T38)</x:f>
        <x:v>11949.278505470596</x:v>
      </x:c>
    </x:row>
    <x:row r="39" ht="18" customHeight="1">
      <x:c r="A39" s="24" t="str">
        <x:v>LME_023</x:v>
      </x:c>
      <x:c r="B39" s="24" t="str">
        <x:v>Baltic Sea</x:v>
      </x:c>
      <x:c r="C39" s="24" t="str">
        <x:v>LME</x:v>
      </x:c>
      <x:c r="D39" s="30" t="n">
        <x:v>2019</x:v>
      </x:c>
      <x:c r="E39" s="24" t="str">
        <x:v>Perciformes</x:v>
      </x:c>
      <x:c r="F39" s="24" t="str">
        <x:v>Perch-likes</x:v>
      </x:c>
      <x:c r="G39" s="24" t="str">
        <x:v>Medium demersals (30 - 89 cm)</x:v>
      </x:c>
      <x:c r="H39" s="24" t="str">
        <x:v>Perch-likes</x:v>
      </x:c>
      <x:c r="I39" s="31" t="n">
        <x:v>64.4548442615</x:v>
      </x:c>
      <x:c r="J39" s="31" t="n">
        <x:v>39.7966854195</x:v>
      </x:c>
      <x:c r="K39" s="31" t="n">
        <x:v>24.658158842</x:v>
      </x:c>
      <x:c r="L39" s="31" t="n">
        <x:v>0</x:v>
      </x:c>
      <x:c r="M39" s="31" t="n">
        <x:v>64.4548442615</x:v>
      </x:c>
      <x:c r="N39" s="24" t="str">
        <x:v>perciformes</x:v>
      </x:c>
      <x:c r="O39" s="32" t="n">
        <x:v>3.53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Perciformes</x:v>
      </x:c>
      <x:c r="T39" s="32" t="n">
        <x:f>IF(O39="","",(1/'Metadata'!$B$5)^(O39-1))</x:f>
        <x:v>338.84415613920237</x:v>
      </x:c>
      <x:c r="U39" s="31" t="n">
        <x:f>IF(T39="","",I39*T39)</x:f>
        <x:v>21840.14731287168</x:v>
      </x:c>
    </x:row>
    <x:row r="40" ht="18" customHeight="1">
      <x:c r="A40" s="24" t="str">
        <x:v>LME_023</x:v>
      </x:c>
      <x:c r="B40" s="24" t="str">
        <x:v>Baltic Sea</x:v>
      </x:c>
      <x:c r="C40" s="24" t="str">
        <x:v>LME</x:v>
      </x:c>
      <x:c r="D40" s="30" t="n">
        <x:v>2019</x:v>
      </x:c>
      <x:c r="E40" s="24" t="str">
        <x:v>Alosa fallax</x:v>
      </x:c>
      <x:c r="F40" s="24" t="str">
        <x:v>Twaite shad</x:v>
      </x:c>
      <x:c r="G40" s="24" t="str">
        <x:v>Medium pelagics (30 - 89 cm)</x:v>
      </x:c>
      <x:c r="H40" s="24" t="str">
        <x:v>Herring-likes</x:v>
      </x:c>
      <x:c r="I40" s="31" t="n">
        <x:v>62.3295933619</x:v>
      </x:c>
      <x:c r="J40" s="31" t="n">
        <x:v>59.829772180300004</x:v>
      </x:c>
      <x:c r="K40" s="31" t="n">
        <x:v>2.4998211816</x:v>
      </x:c>
      <x:c r="L40" s="31" t="n">
        <x:v>55.7957392443</x:v>
      </x:c>
      <x:c r="M40" s="31" t="n">
        <x:v>6.5338541176</x:v>
      </x:c>
      <x:c r="N40" s="24" t="str">
        <x:v>alosa fallax</x:v>
      </x:c>
      <x:c r="O40" s="32" t="n">
        <x:v>4.03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Alosa fallax</x:v>
      </x:c>
      <x:c r="T40" s="32" t="n">
        <x:f>IF(O40="","",(1/'Metadata'!$B$5)^(O40-1))</x:f>
        <x:v>1071.519305237607</x:v>
      </x:c>
      <x:c r="U40" s="31" t="n">
        <x:f>IF(T40="","",I40*T40)</x:f>
        <x:v>66787.36257488566</x:v>
      </x:c>
    </x:row>
    <x:row r="41" ht="18" customHeight="1">
      <x:c r="A41" s="24" t="str">
        <x:v>LME_023</x:v>
      </x:c>
      <x:c r="B41" s="24" t="str">
        <x:v>Baltic Sea</x:v>
      </x:c>
      <x:c r="C41" s="24" t="str">
        <x:v>LME</x:v>
      </x:c>
      <x:c r="D41" s="30" t="n">
        <x:v>2019</x:v>
      </x:c>
      <x:c r="E41" s="24" t="str">
        <x:v>Solea solea</x:v>
      </x:c>
      <x:c r="F41" s="24" t="str">
        <x:v>Common sole</x:v>
      </x:c>
      <x:c r="G41" s="24" t="str">
        <x:v>Small to medium flatfishes (&lt;90 cm)</x:v>
      </x:c>
      <x:c r="H41" s="24" t="str">
        <x:v>Flatfishes</x:v>
      </x:c>
      <x:c r="I41" s="31" t="n">
        <x:v>62.0677780985</x:v>
      </x:c>
      <x:c r="J41" s="31" t="n">
        <x:v>59.6123093154</x:v>
      </x:c>
      <x:c r="K41" s="31" t="n">
        <x:v>2.4554687831</x:v>
      </x:c>
      <x:c r="L41" s="31" t="n">
        <x:v>55.7159757466</x:v>
      </x:c>
      <x:c r="M41" s="31" t="n">
        <x:v>6.3518023519</x:v>
      </x:c>
      <x:c r="N41" s="24" t="str">
        <x:v>solea solea</x:v>
      </x:c>
      <x:c r="O41" s="32" t="n">
        <x:v>3.21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Solea solea</x:v>
      </x:c>
      <x:c r="T41" s="32" t="n">
        <x:f>IF(O41="","",(1/'Metadata'!$B$5)^(O41-1))</x:f>
        <x:v>162.18100973589299</x:v>
      </x:c>
      <x:c r="U41" s="31" t="n">
        <x:f>IF(T41="","",I41*T41)</x:f>
        <x:v>10066.214924078075</x:v>
      </x:c>
    </x:row>
    <x:row r="42" ht="18" customHeight="1">
      <x:c r="A42" s="24" t="str">
        <x:v>LME_023</x:v>
      </x:c>
      <x:c r="B42" s="24" t="str">
        <x:v>Baltic Sea</x:v>
      </x:c>
      <x:c r="C42" s="24" t="str">
        <x:v>LME</x:v>
      </x:c>
      <x:c r="D42" s="30" t="n">
        <x:v>2019</x:v>
      </x:c>
      <x:c r="E42" s="24" t="str">
        <x:v>Scophthalmus rhombus</x:v>
      </x:c>
      <x:c r="F42" s="24" t="str">
        <x:v>Brill</x:v>
      </x:c>
      <x:c r="G42" s="24" t="str">
        <x:v>Small to medium flatfishes (&lt;90 cm)</x:v>
      </x:c>
      <x:c r="H42" s="24" t="str">
        <x:v>Flatfishes</x:v>
      </x:c>
      <x:c r="I42" s="31" t="n">
        <x:v>47.448759185</x:v>
      </x:c>
      <x:c r="J42" s="31" t="n">
        <x:v>37.0330043385</x:v>
      </x:c>
      <x:c r="K42" s="31" t="n">
        <x:v>10.4157548465</x:v>
      </x:c>
      <x:c r="L42" s="31" t="n">
        <x:v>34.3872733571</x:v>
      </x:c>
      <x:c r="M42" s="31" t="n">
        <x:v>13.0614858279</x:v>
      </x:c>
      <x:c r="N42" s="24" t="str">
        <x:v>scophthalmus rhombus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Scophthalmus rhombus</x:v>
      </x:c>
      <x:c r="T42" s="32" t="n">
        <x:f>IF(O42="","",(1/'Metadata'!$B$5)^(O42-1))</x:f>
        <x:v>2630.2679918953813</x:v>
      </x:c>
      <x:c r="U42" s="31" t="n">
        <x:f>IF(T42="","",I42*T42)</x:f>
        <x:v>124802.95253945747</x:v>
      </x:c>
    </x:row>
    <x:row r="43" ht="18" customHeight="1">
      <x:c r="A43" s="24" t="str">
        <x:v>LME_023</x:v>
      </x:c>
      <x:c r="B43" s="24" t="str">
        <x:v>Baltic Sea</x:v>
      </x:c>
      <x:c r="C43" s="24" t="str">
        <x:v>LME</x:v>
      </x:c>
      <x:c r="D43" s="30" t="n">
        <x:v>2019</x:v>
      </x:c>
      <x:c r="E43" s="24" t="str">
        <x:v>Buccinum undatum</x:v>
      </x:c>
      <x:c r="F43" s="24" t="str">
        <x:v>Whelk</x:v>
      </x:c>
      <x:c r="G43" s="24" t="str">
        <x:v>Other demersal invertebrates</x:v>
      </x:c>
      <x:c r="H43" s="24" t="str">
        <x:v>Molluscs</x:v>
      </x:c>
      <x:c r="I43" s="31" t="n">
        <x:v>32.6634663567</x:v>
      </x:c>
      <x:c r="J43" s="31" t="n">
        <x:v>32.568231852</x:v>
      </x:c>
      <x:c r="K43" s="31" t="n">
        <x:v>0.0952345047</x:v>
      </x:c>
      <x:c r="L43" s="31" t="n">
        <x:v>32.402215319999996</x:v>
      </x:c>
      <x:c r="M43" s="31" t="n">
        <x:v>0.2612510367</x:v>
      </x:c>
      <x:c r="N43" s="24" t="str">
        <x:v>buccinum undatum</x:v>
      </x:c>
      <x:c r="O43" s="32" t="n">
        <x:v>3.75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Buccinum undatum</x:v>
      </x:c>
      <x:c r="T43" s="32" t="n">
        <x:f>IF(O43="","",(1/'Metadata'!$B$5)^(O43-1))</x:f>
        <x:v>562.341325190349</x:v>
      </x:c>
      <x:c r="U43" s="31" t="n">
        <x:f>IF(T43="","",I43*T43)</x:f>
        <x:v>18368.01695633706</x:v>
      </x:c>
    </x:row>
    <x:row r="44" ht="18" customHeight="1">
      <x:c r="A44" s="24" t="str">
        <x:v>LME_023</x:v>
      </x:c>
      <x:c r="B44" s="24" t="str">
        <x:v>Baltic Sea</x:v>
      </x:c>
      <x:c r="C44" s="24" t="str">
        <x:v>LME</x:v>
      </x:c>
      <x:c r="D44" s="30" t="n">
        <x:v>2019</x:v>
      </x:c>
      <x:c r="E44" s="24" t="str">
        <x:v>Cyclopterus lumpus</x:v>
      </x:c>
      <x:c r="F44" s="24" t="str">
        <x:v>Lumpfish</x:v>
      </x:c>
      <x:c r="G44" s="24" t="str">
        <x:v>Medium benthopelagics (30 - 89 cm)</x:v>
      </x:c>
      <x:c r="H44" s="24" t="str">
        <x:v>Scorpionfishes</x:v>
      </x:c>
      <x:c r="I44" s="31" t="n">
        <x:v>28.8026208642</x:v>
      </x:c>
      <x:c r="J44" s="31" t="n">
        <x:v>15.3046692172</x:v>
      </x:c>
      <x:c r="K44" s="31" t="n">
        <x:v>13.497951646999999</x:v>
      </x:c>
      <x:c r="L44" s="31" t="n">
        <x:v>13.5840222528</x:v>
      </x:c>
      <x:c r="M44" s="31" t="n">
        <x:v>15.218598611400001</x:v>
      </x:c>
      <x:c r="N44" s="24" t="str">
        <x:v>cyclopterus lumpus</x:v>
      </x:c>
      <x:c r="O44" s="32" t="n">
        <x:v>3.89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Cyclopterus lumpus</x:v>
      </x:c>
      <x:c r="T44" s="32" t="n">
        <x:f>IF(O44="","",(1/'Metadata'!$B$5)^(O44-1))</x:f>
        <x:v>776.247116628692</x:v>
      </x:c>
      <x:c r="U44" s="31" t="n">
        <x:f>IF(T44="","",I44*T44)</x:f>
        <x:v>22357.951397184654</x:v>
      </x:c>
    </x:row>
    <x:row r="45" ht="18" customHeight="1">
      <x:c r="A45" s="24" t="str">
        <x:v>LME_023</x:v>
      </x:c>
      <x:c r="B45" s="24" t="str">
        <x:v>Baltic Sea</x:v>
      </x:c>
      <x:c r="C45" s="24" t="str">
        <x:v>LME</x:v>
      </x:c>
      <x:c r="D45" s="30" t="n">
        <x:v>2019</x:v>
      </x:c>
      <x:c r="E45" s="24" t="str">
        <x:v>Brachyura</x:v>
      </x:c>
      <x:c r="F45" s="24" t="str">
        <x:v>Marine crabs</x:v>
      </x:c>
      <x:c r="G45" s="24" t="str">
        <x:v>Lobsters, crabs</x:v>
      </x:c>
      <x:c r="H45" s="24" t="str">
        <x:v>Crustaceans</x:v>
      </x:c>
      <x:c r="I45" s="31" t="n">
        <x:v>27.5273891677</x:v>
      </x:c>
      <x:c r="J45" s="31" t="n">
        <x:v>27.4012187169</x:v>
      </x:c>
      <x:c r="K45" s="31" t="n">
        <x:v>0.1261704508</x:v>
      </x:c>
      <x:c r="L45" s="31" t="n">
        <x:v>27.197587714</x:v>
      </x:c>
      <x:c r="M45" s="31" t="n">
        <x:v>0.3298014537</x:v>
      </x:c>
      <x:c r="N45" s="24" t="str">
        <x:v>brachyura</x:v>
      </x:c>
      <x:c r="O45" s="32" t="n">
        <x:v>2.6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Brachyura</x:v>
      </x:c>
      <x:c r="T45" s="32" t="n">
        <x:f>IF(O45="","",(1/'Metadata'!$B$5)^(O45-1))</x:f>
        <x:v>39.810717055349734</x:v>
      </x:c>
      <x:c r="U45" s="31" t="n">
        <x:f>IF(T45="","",I45*T45)</x:f>
        <x:v>1095.8851014278039</x:v>
      </x:c>
    </x:row>
    <x:row r="46" ht="18" customHeight="1">
      <x:c r="A46" s="24" t="str">
        <x:v>LME_023</x:v>
      </x:c>
      <x:c r="B46" s="24" t="str">
        <x:v>Baltic Sea</x:v>
      </x:c>
      <x:c r="C46" s="24" t="str">
        <x:v>LME</x:v>
      </x:c>
      <x:c r="D46" s="30" t="n">
        <x:v>2019</x:v>
      </x:c>
      <x:c r="E46" s="24" t="str">
        <x:v>Osteichthyes</x:v>
      </x:c>
      <x:c r="F46" s="24" t="str">
        <x:v>Bony fishes</x:v>
      </x:c>
      <x:c r="G46" s="24" t="str">
        <x:v>Medium demersals (30 - 89 cm)</x:v>
      </x:c>
      <x:c r="H46" s="24" t="str">
        <x:v>Other fishes &amp; inverts</x:v>
      </x:c>
      <x:c r="I46" s="31" t="n">
        <x:v>20.5019620244</x:v>
      </x:c>
      <x:c r="J46" s="31" t="n">
        <x:v>20.4938608247</x:v>
      </x:c>
      <x:c r="K46" s="31" t="n">
        <x:v>0.0081011997</x:v>
      </x:c>
      <x:c r="L46" s="31" t="n">
        <x:v>20.4897282031</x:v>
      </x:c>
      <x:c r="M46" s="31" t="n">
        <x:v>0.012233821300000001</x:v>
      </x:c>
      <x:c r="N46" s="24" t="str">
        <x:v>osteichthyes</x:v>
      </x:c>
      <x:c r="O46" s="32" t="n">
        <x:v>3.79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Osteichthyes</x:v>
      </x:c>
      <x:c r="T46" s="32" t="n">
        <x:f>IF(O46="","",(1/'Metadata'!$B$5)^(O46-1))</x:f>
        <x:v>616.5950018614822</x:v>
      </x:c>
      <x:c r="U46" s="31" t="n">
        <x:f>IF(T46="","",I46*T46)</x:f>
        <x:v>12641.407312598954</x:v>
      </x:c>
    </x:row>
    <x:row r="47" ht="18" customHeight="1">
      <x:c r="A47" s="24" t="str">
        <x:v>LME_023</x:v>
      </x:c>
      <x:c r="B47" s="24" t="str">
        <x:v>Baltic Sea</x:v>
      </x:c>
      <x:c r="C47" s="24" t="str">
        <x:v>LME</x:v>
      </x:c>
      <x:c r="D47" s="30" t="n">
        <x:v>2019</x:v>
      </x:c>
      <x:c r="E47" s="24" t="str">
        <x:v>Petromyzontidae</x:v>
      </x:c>
      <x:c r="F47" s="24" t="str">
        <x:v>Lampreys</x:v>
      </x:c>
      <x:c r="G47" s="24" t="str">
        <x:v>Large demersals (&gt;=90 cm)</x:v>
      </x:c>
      <x:c r="H47" s="24" t="str">
        <x:v>Other fishes &amp; inverts</x:v>
      </x:c>
      <x:c r="I47" s="31" t="n">
        <x:v>18.0058565621</x:v>
      </x:c>
      <x:c r="J47" s="31" t="n">
        <x:v>16.1559315636</x:v>
      </x:c>
      <x:c r="K47" s="31" t="n">
        <x:v>1.8499249985000001</x:v>
      </x:c>
      <x:c r="L47" s="31" t="n">
        <x:v>13.170790865299999</x:v>
      </x:c>
      <x:c r="M47" s="31" t="n">
        <x:v>4.8350656968</x:v>
      </x:c>
      <x:c r="N47" s="24" t="str">
        <x:v>petromyzontidae</x:v>
      </x:c>
      <x:c r="O47" s="32" t="n">
        <x:v>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Petromyzontidae</x:v>
      </x:c>
      <x:c r="T47" s="32" t="n">
        <x:f>IF(O47="","",(1/'Metadata'!$B$5)^(O47-1))</x:f>
        <x:v>1000</x:v>
      </x:c>
      <x:c r="U47" s="31" t="n">
        <x:f>IF(T47="","",I47*T47)</x:f>
        <x:v>18005.8565621</x:v>
      </x:c>
    </x:row>
    <x:row r="48" ht="18" customHeight="1">
      <x:c r="A48" s="24" t="str">
        <x:v>LME_023</x:v>
      </x:c>
      <x:c r="B48" s="24" t="str">
        <x:v>Baltic Sea</x:v>
      </x:c>
      <x:c r="C48" s="24" t="str">
        <x:v>LME</x:v>
      </x:c>
      <x:c r="D48" s="30" t="n">
        <x:v>2019</x:v>
      </x:c>
      <x:c r="E48" s="24" t="str">
        <x:v>Tinca tinca</x:v>
      </x:c>
      <x:c r="F48" s="24" t="str">
        <x:v>Tench</x:v>
      </x:c>
      <x:c r="G48" s="24" t="str">
        <x:v>Medium demersals (30 - 89 cm)</x:v>
      </x:c>
      <x:c r="H48" s="24" t="str">
        <x:v>Other fishes &amp; inverts</x:v>
      </x:c>
      <x:c r="I48" s="31" t="n">
        <x:v>15.1823712744</x:v>
      </x:c>
      <x:c r="J48" s="31" t="n">
        <x:v>14.8825428935</x:v>
      </x:c>
      <x:c r="K48" s="31" t="n">
        <x:v>0.2998283809</x:v>
      </x:c>
      <x:c r="L48" s="31" t="n">
        <x:v>13.6429847886</x:v>
      </x:c>
      <x:c r="M48" s="31" t="n">
        <x:v>1.5393864858</x:v>
      </x:c>
      <x:c r="N48" s="24" t="str">
        <x:v>tinca tinca</x:v>
      </x:c>
      <x:c r="O48" s="32" t="n">
        <x:v>3.69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Tinca tinca</x:v>
      </x:c>
      <x:c r="T48" s="32" t="n">
        <x:f>IF(O48="","",(1/'Metadata'!$B$5)^(O48-1))</x:f>
        <x:v>489.77881936844614</x:v>
      </x:c>
      <x:c r="U48" s="31" t="n">
        <x:f>IF(T48="","",I48*T48)</x:f>
        <x:v>7436.003877989043</x:v>
      </x:c>
    </x:row>
    <x:row r="49" ht="18" customHeight="1">
      <x:c r="A49" s="24" t="str">
        <x:v>LME_023</x:v>
      </x:c>
      <x:c r="B49" s="24" t="str">
        <x:v>Baltic Sea</x:v>
      </x:c>
      <x:c r="C49" s="24" t="str">
        <x:v>LME</x:v>
      </x:c>
      <x:c r="D49" s="30" t="n">
        <x:v>2019</x:v>
      </x:c>
      <x:c r="E49" s="24" t="str">
        <x:v>Palaemon serratus</x:v>
      </x:c>
      <x:c r="F49" s="24" t="str">
        <x:v>Common prawn</x:v>
      </x:c>
      <x:c r="G49" s="24" t="str">
        <x:v>Shrimps</x:v>
      </x:c>
      <x:c r="H49" s="24" t="str">
        <x:v>Crustaceans</x:v>
      </x:c>
      <x:c r="I49" s="31" t="n">
        <x:v>13.8598098921</x:v>
      </x:c>
      <x:c r="J49" s="31" t="n">
        <x:v>13.280635006599999</x:v>
      </x:c>
      <x:c r="K49" s="31" t="n">
        <x:v>0.5791748855000001</x:v>
      </x:c>
      <x:c r="L49" s="31" t="n">
        <x:v>12.345883945599999</x:v>
      </x:c>
      <x:c r="M49" s="31" t="n">
        <x:v>1.5139259465</x:v>
      </x:c>
      <x:c r="N49" s="24" t="str">
        <x:v>palaemon serratus</x:v>
      </x:c>
      <x:c r="O49" s="32" t="n">
        <x:v>2.69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Palaemon serratus</x:v>
      </x:c>
      <x:c r="T49" s="32" t="n">
        <x:f>IF(O49="","",(1/'Metadata'!$B$5)^(O49-1))</x:f>
        <x:v>48.97788193684461</x:v>
      </x:c>
      <x:c r="U49" s="31" t="n">
        <x:f>IF(T49="","",I49*T49)</x:f>
        <x:v>678.8241325623848</x:v>
      </x:c>
    </x:row>
    <x:row r="50" ht="18" customHeight="1">
      <x:c r="A50" s="24" t="str">
        <x:v>LME_023</x:v>
      </x:c>
      <x:c r="B50" s="24" t="str">
        <x:v>Baltic Sea</x:v>
      </x:c>
      <x:c r="C50" s="24" t="str">
        <x:v>LME</x:v>
      </x:c>
      <x:c r="D50" s="30" t="n">
        <x:v>2019</x:v>
      </x:c>
      <x:c r="E50" s="24" t="str">
        <x:v>Leuciscus aspius</x:v>
      </x:c>
      <x:c r="F50" s="24" t="str">
        <x:v>Asp</x:v>
      </x:c>
      <x:c r="G50" s="24" t="str">
        <x:v>Large benthopelagics (&gt;=90 cm)</x:v>
      </x:c>
      <x:c r="H50" s="24" t="str">
        <x:v>Other fishes &amp; inverts</x:v>
      </x:c>
      <x:c r="I50" s="31" t="n">
        <x:v>10.0567086754</x:v>
      </x:c>
      <x:c r="J50" s="31" t="n">
        <x:v>9.9504308369</x:v>
      </x:c>
      <x:c r="K50" s="31" t="n">
        <x:v>0.1062778385</x:v>
      </x:c>
      <x:c r="L50" s="31" t="n">
        <x:v>9.3498387712</x:v>
      </x:c>
      <x:c r="M50" s="31" t="n">
        <x:v>0.7068699042</x:v>
      </x:c>
      <x:c r="N50" s="24" t="str">
        <x:v>leuciscus aspius</x:v>
      </x:c>
      <x:c r="O50" s="32" t="n">
        <x:v>4.47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Leuciscus aspius</x:v>
      </x:c>
      <x:c r="T50" s="32" t="n">
        <x:f>IF(O50="","",(1/'Metadata'!$B$5)^(O50-1))</x:f>
        <x:v>2951.209226666384</x:v>
      </x:c>
      <x:c r="U50" s="31" t="n">
        <x:f>IF(T50="","",I50*T50)</x:f>
        <x:v>29679.451432736347</x:v>
      </x:c>
    </x:row>
    <x:row r="51" ht="18" customHeight="1">
      <x:c r="A51" s="24" t="str">
        <x:v>LME_023</x:v>
      </x:c>
      <x:c r="B51" s="24" t="str">
        <x:v>Baltic Sea</x:v>
      </x:c>
      <x:c r="C51" s="24" t="str">
        <x:v>LME</x:v>
      </x:c>
      <x:c r="D51" s="30" t="n">
        <x:v>2019</x:v>
      </x:c>
      <x:c r="E51" s="24" t="str">
        <x:v>Scardinius erythrophthalmus</x:v>
      </x:c>
      <x:c r="F51" s="24" t="str">
        <x:v>Rudd</x:v>
      </x:c>
      <x:c r="G51" s="24" t="str">
        <x:v>Medium benthopelagics (30 - 89 cm)</x:v>
      </x:c>
      <x:c r="H51" s="24" t="str">
        <x:v>Other fishes &amp; inverts</x:v>
      </x:c>
      <x:c r="I51" s="31" t="n">
        <x:v>8.7408944653</x:v>
      </x:c>
      <x:c r="J51" s="31" t="n">
        <x:v>8.595984208299999</x:v>
      </x:c>
      <x:c r="K51" s="31" t="n">
        <x:v>0.14491025700000001</x:v>
      </x:c>
      <x:c r="L51" s="31" t="n">
        <x:v>8.434745577</x:v>
      </x:c>
      <x:c r="M51" s="31" t="n">
        <x:v>0.30614888830000003</x:v>
      </x:c>
      <x:c r="N51" s="24" t="str">
        <x:v>scardinius erythrophthalmus</x:v>
      </x:c>
      <x:c r="O51" s="32" t="n">
        <x:v>2.89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Scardinius erythrophthalmus</x:v>
      </x:c>
      <x:c r="T51" s="32" t="n">
        <x:f>IF(O51="","",(1/'Metadata'!$B$5)^(O51-1))</x:f>
        <x:v>77.6247116628692</x:v>
      </x:c>
      <x:c r="U51" s="31" t="n">
        <x:f>IF(T51="","",I51*T51)</x:f>
        <x:v>678.5094125444818</x:v>
      </x:c>
    </x:row>
    <x:row r="52" ht="18" customHeight="1">
      <x:c r="A52" s="24" t="str">
        <x:v>LME_023</x:v>
      </x:c>
      <x:c r="B52" s="24" t="str">
        <x:v>Baltic Sea</x:v>
      </x:c>
      <x:c r="C52" s="24" t="str">
        <x:v>LME</x:v>
      </x:c>
      <x:c r="D52" s="30" t="n">
        <x:v>2019</x:v>
      </x:c>
      <x:c r="E52" s="24" t="str">
        <x:v>Microstomus kitt</x:v>
      </x:c>
      <x:c r="F52" s="24" t="str">
        <x:v>Lemon sole</x:v>
      </x:c>
      <x:c r="G52" s="24" t="str">
        <x:v>Small to medium flatfishes (&lt;90 cm)</x:v>
      </x:c>
      <x:c r="H52" s="24" t="str">
        <x:v>Flatfishes</x:v>
      </x:c>
      <x:c r="I52" s="31" t="n">
        <x:v>7.7091133917</x:v>
      </x:c>
      <x:c r="J52" s="31" t="n">
        <x:v>7.5759205002</x:v>
      </x:c>
      <x:c r="K52" s="31" t="n">
        <x:v>0.1331928915</x:v>
      </x:c>
      <x:c r="L52" s="31" t="n">
        <x:v>7.3613198374</x:v>
      </x:c>
      <x:c r="M52" s="31" t="n">
        <x:v>0.34779355430000003</x:v>
      </x:c>
      <x:c r="N52" s="24" t="str">
        <x:v>microstomus kitt</x:v>
      </x:c>
      <x:c r="O52" s="32" t="n">
        <x:v>3.22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Microstomus kitt</x:v>
      </x:c>
      <x:c r="T52" s="32" t="n">
        <x:f>IF(O52="","",(1/'Metadata'!$B$5)^(O52-1))</x:f>
        <x:v>165.95869074375614</x:v>
      </x:c>
      <x:c r="U52" s="31" t="n">
        <x:f>IF(T52="","",I52*T52)</x:f>
        <x:v>1279.3943652816893</x:v>
      </x:c>
    </x:row>
    <x:row r="53" ht="18" customHeight="1">
      <x:c r="A53" s="24" t="str">
        <x:v>LME_023</x:v>
      </x:c>
      <x:c r="B53" s="24" t="str">
        <x:v>Baltic Sea</x:v>
      </x:c>
      <x:c r="C53" s="24" t="str">
        <x:v>LME</x:v>
      </x:c>
      <x:c r="D53" s="30" t="n">
        <x:v>2019</x:v>
      </x:c>
      <x:c r="E53" s="24" t="str">
        <x:v>Salmo</x:v>
      </x:c>
      <x:c r="F53" s="24" t="str">
        <x:v>Trouts</x:v>
      </x:c>
      <x:c r="G53" s="24" t="str">
        <x:v>Large benthopelagics (&gt;=90 cm)</x:v>
      </x:c>
      <x:c r="H53" s="24" t="str">
        <x:v>Salmon, smelts, etc</x:v>
      </x:c>
      <x:c r="I53" s="31" t="n">
        <x:v>6.6266757444</x:v>
      </x:c>
      <x:c r="J53" s="31" t="n">
        <x:v>5.9186777014</x:v>
      </x:c>
      <x:c r="K53" s="31" t="n">
        <x:v>0.707998043</x:v>
      </x:c>
      <x:c r="L53" s="31" t="n">
        <x:v>0.6866058754</x:v>
      </x:c>
      <x:c r="M53" s="31" t="n">
        <x:v>5.940069868999999</x:v>
      </x:c>
      <x:c r="N53" s="24" t="str">
        <x:v>salmo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Salmo</x:v>
      </x:c>
      <x:c r="T53" s="32" t="n">
        <x:f>IF(O53="","",(1/'Metadata'!$B$5)^(O53-1))</x:f>
        <x:v>1000</x:v>
      </x:c>
      <x:c r="U53" s="31" t="n">
        <x:f>IF(T53="","",I53*T53)</x:f>
        <x:v>6626.6757443999995</x:v>
      </x:c>
    </x:row>
    <x:row r="54" ht="18" customHeight="1">
      <x:c r="A54" s="24" t="str">
        <x:v>LME_023</x:v>
      </x:c>
      <x:c r="B54" s="24" t="str">
        <x:v>Baltic Sea</x:v>
      </x:c>
      <x:c r="C54" s="24" t="str">
        <x:v>LME</x:v>
      </x:c>
      <x:c r="D54" s="30" t="n">
        <x:v>2019</x:v>
      </x:c>
      <x:c r="E54" s="24" t="str">
        <x:v>Trachinus draco</x:v>
      </x:c>
      <x:c r="F54" s="24" t="str">
        <x:v>Greater weever</x:v>
      </x:c>
      <x:c r="G54" s="24" t="str">
        <x:v>Medium demersals (30 - 89 cm)</x:v>
      </x:c>
      <x:c r="H54" s="24" t="str">
        <x:v>Perch-likes</x:v>
      </x:c>
      <x:c r="I54" s="31" t="n">
        <x:v>6.2433923055</x:v>
      </x:c>
      <x:c r="J54" s="31" t="n">
        <x:v>4.2005167992</x:v>
      </x:c>
      <x:c r="K54" s="31" t="n">
        <x:v>2.0428755063</x:v>
      </x:c>
      <x:c r="L54" s="31" t="n">
        <x:v>0.11928513</x:v>
      </x:c>
      <x:c r="M54" s="31" t="n">
        <x:v>6.1241071755</x:v>
      </x:c>
      <x:c r="N54" s="24" t="str">
        <x:v>trachinus draco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Trachinus draco</x:v>
      </x:c>
      <x:c r="T54" s="32" t="n">
        <x:f>IF(O54="","",(1/'Metadata'!$B$5)^(O54-1))</x:f>
        <x:v>1513.5612484362073</x:v>
      </x:c>
      <x:c r="U54" s="31" t="n">
        <x:f>IF(T54="","",I54*T54)</x:f>
        <x:v>9449.75665238959</x:v>
      </x:c>
    </x:row>
    <x:row r="55" ht="18" customHeight="1">
      <x:c r="A55" s="24" t="str">
        <x:v>LME_023</x:v>
      </x:c>
      <x:c r="B55" s="24" t="str">
        <x:v>Baltic Sea</x:v>
      </x:c>
      <x:c r="C55" s="24" t="str">
        <x:v>LME</x:v>
      </x:c>
      <x:c r="D55" s="30" t="n">
        <x:v>2019</x:v>
      </x:c>
      <x:c r="E55" s="24" t="str">
        <x:v>Pollachius virens</x:v>
      </x:c>
      <x:c r="F55" s="24" t="str">
        <x:v>Saithe</x:v>
      </x:c>
      <x:c r="G55" s="24" t="str">
        <x:v>Large demersals (&gt;=90 cm)</x:v>
      </x:c>
      <x:c r="H55" s="24" t="str">
        <x:v>Cod-likes</x:v>
      </x:c>
      <x:c r="I55" s="31" t="n">
        <x:v>4.6695357016</x:v>
      </x:c>
      <x:c r="J55" s="31" t="n">
        <x:v>3.3630287584</x:v>
      </x:c>
      <x:c r="K55" s="31" t="n">
        <x:v>1.3065069431999998</x:v>
      </x:c>
      <x:c r="L55" s="31" t="n">
        <x:v>3.2556506354</x:v>
      </x:c>
      <x:c r="M55" s="31" t="n">
        <x:v>1.4138850661999998</x:v>
      </x:c>
      <x:c r="N55" s="24" t="str">
        <x:v>pollachius virens</x:v>
      </x:c>
      <x:c r="O55" s="32" t="n">
        <x:v>4.31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Pollachius virens</x:v>
      </x:c>
      <x:c r="T55" s="32" t="n">
        <x:f>IF(O55="","",(1/'Metadata'!$B$5)^(O55-1))</x:f>
        <x:v>2041.7379446695275</x:v>
      </x:c>
      <x:c r="U55" s="31" t="n">
        <x:f>IF(T55="","",I55*T55)</x:f>
        <x:v>9533.968225945764</x:v>
      </x:c>
    </x:row>
    <x:row r="56" ht="18" customHeight="1">
      <x:c r="A56" s="24" t="str">
        <x:v>LME_023</x:v>
      </x:c>
      <x:c r="B56" s="24" t="str">
        <x:v>Baltic Sea</x:v>
      </x:c>
      <x:c r="C56" s="24" t="str">
        <x:v>LME</x:v>
      </x:c>
      <x:c r="D56" s="30" t="n">
        <x:v>2019</x:v>
      </x:c>
      <x:c r="E56" s="24" t="str">
        <x:v>Silurus glanis</x:v>
      </x:c>
      <x:c r="F56" s="24" t="str">
        <x:v>Wels catfish</x:v>
      </x:c>
      <x:c r="G56" s="24" t="str">
        <x:v>Large demersals (&gt;=90 cm)</x:v>
      </x:c>
      <x:c r="H56" s="24" t="str">
        <x:v>Other fishes &amp; inverts</x:v>
      </x:c>
      <x:c r="I56" s="31" t="n">
        <x:v>2.224893406</x:v>
      </x:c>
      <x:c r="J56" s="31" t="n">
        <x:v>2.2247747962</x:v>
      </x:c>
      <x:c r="K56" s="31" t="n">
        <x:v>0.0001186098</x:v>
      </x:c>
      <x:c r="L56" s="31" t="n">
        <x:v>1.9882735306</x:v>
      </x:c>
      <x:c r="M56" s="31" t="n">
        <x:v>0.2366198754</x:v>
      </x:c>
      <x:c r="N56" s="24" t="str">
        <x:v>silurus glanis</x:v>
      </x:c>
      <x:c r="O56" s="32" t="n">
        <x:v>4.36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Silurus glanis</x:v>
      </x:c>
      <x:c r="T56" s="32" t="n">
        <x:f>IF(O56="","",(1/'Metadata'!$B$5)^(O56-1))</x:f>
        <x:v>2290.867652767775</x:v>
      </x:c>
      <x:c r="U56" s="31" t="n">
        <x:f>IF(T56="","",I56*T56)</x:f>
        <x:v>5096.93633466172</x:v>
      </x:c>
    </x:row>
    <x:row r="57" ht="18" customHeight="1">
      <x:c r="A57" s="24" t="str">
        <x:v>LME_023</x:v>
      </x:c>
      <x:c r="B57" s="24" t="str">
        <x:v>Baltic Sea</x:v>
      </x:c>
      <x:c r="C57" s="24" t="str">
        <x:v>LME</x:v>
      </x:c>
      <x:c r="D57" s="30" t="n">
        <x:v>2019</x:v>
      </x:c>
      <x:c r="E57" s="24" t="str">
        <x:v>Symphodus melops</x:v>
      </x:c>
      <x:c r="F57" s="24" t="str">
        <x:v>Corkwing wrasse</x:v>
      </x:c>
      <x:c r="G57" s="24" t="str">
        <x:v>Small reef assoc. fish (&lt;30 cm)</x:v>
      </x:c>
      <x:c r="H57" s="24" t="str">
        <x:v>Perch-likes</x:v>
      </x:c>
      <x:c r="I57" s="31" t="n">
        <x:v>1.0795164492</x:v>
      </x:c>
      <x:c r="J57" s="31" t="n">
        <x:v>0.7153543928</x:v>
      </x:c>
      <x:c r="K57" s="31" t="n">
        <x:v>0.3641620564</x:v>
      </x:c>
      <x:c r="L57" s="31" t="n">
        <x:v>0.0018620544999999999</x:v>
      </x:c>
      <x:c r="M57" s="31" t="n">
        <x:v>1.0776543947</x:v>
      </x:c>
      <x:c r="N57" s="24" t="str">
        <x:v>symphodus melops</x:v>
      </x:c>
      <x:c r="O57" s="32" t="n">
        <x:v>3.38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Symphodus melops</x:v>
      </x:c>
      <x:c r="T57" s="32" t="n">
        <x:f>IF(O57="","",(1/'Metadata'!$B$5)^(O57-1))</x:f>
        <x:v>239.88329190194898</x:v>
      </x:c>
      <x:c r="U57" s="31" t="n">
        <x:f>IF(T57="","",I57*T57)</x:f>
        <x:v>258.9579594963991</x:v>
      </x:c>
    </x:row>
    <x:row r="58" ht="18" customHeight="1">
      <x:c r="A58" s="24" t="str">
        <x:v>LME_023</x:v>
      </x:c>
      <x:c r="B58" s="24" t="str">
        <x:v>Baltic Sea</x:v>
      </x:c>
      <x:c r="C58" s="24" t="str">
        <x:v>LME</x:v>
      </x:c>
      <x:c r="D58" s="30" t="n">
        <x:v>2019</x:v>
      </x:c>
      <x:c r="E58" s="24" t="str">
        <x:v>Cancer pagurus</x:v>
      </x:c>
      <x:c r="F58" s="24" t="str">
        <x:v>Edible crab</x:v>
      </x:c>
      <x:c r="G58" s="24" t="str">
        <x:v>Lobsters, crabs</x:v>
      </x:c>
      <x:c r="H58" s="24" t="str">
        <x:v>Crustaceans</x:v>
      </x:c>
      <x:c r="I58" s="31" t="n">
        <x:v>0.9067024979</x:v>
      </x:c>
      <x:c r="J58" s="31" t="n">
        <x:v>0.8707382384000001</x:v>
      </x:c>
      <x:c r="K58" s="31" t="n">
        <x:v>0.0359642595</x:v>
      </x:c>
      <x:c r="L58" s="31" t="n">
        <x:v>0.8580947184</x:v>
      </x:c>
      <x:c r="M58" s="31" t="n">
        <x:v>0.048607779500000003</x:v>
      </x:c>
      <x:c r="N58" s="24" t="str">
        <x:v>cancer pagurus</x:v>
      </x:c>
      <x:c r="O58" s="32" t="n">
        <x:v>3.1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Cancer pagurus</x:v>
      </x:c>
      <x:c r="T58" s="32" t="n">
        <x:f>IF(O58="","",(1/'Metadata'!$B$5)^(O58-1))</x:f>
        <x:v>125.89254117941675</x:v>
      </x:c>
      <x:c r="U58" s="31" t="n">
        <x:f>IF(T58="","",I58*T58)</x:f>
        <x:v>114.14708155435578</x:v>
      </x:c>
    </x:row>
    <x:row r="59" ht="18" customHeight="1">
      <x:c r="A59" s="24" t="str">
        <x:v>LME_023</x:v>
      </x:c>
      <x:c r="B59" s="24" t="str">
        <x:v>Baltic Sea</x:v>
      </x:c>
      <x:c r="C59" s="24" t="str">
        <x:v>LME</x:v>
      </x:c>
      <x:c r="D59" s="30" t="n">
        <x:v>2019</x:v>
      </x:c>
      <x:c r="E59" s="24" t="str">
        <x:v>Cyprinus carpio</x:v>
      </x:c>
      <x:c r="F59" s="24" t="str">
        <x:v>Common carp</x:v>
      </x:c>
      <x:c r="G59" s="24" t="str">
        <x:v>Large benthopelagics (&gt;=90 cm)</x:v>
      </x:c>
      <x:c r="H59" s="24" t="str">
        <x:v>Other fishes &amp; inverts</x:v>
      </x:c>
      <x:c r="I59" s="31" t="n">
        <x:v>0.6626507341</x:v>
      </x:c>
      <x:c r="J59" s="31" t="n">
        <x:v>0.6602383685000001</x:v>
      </x:c>
      <x:c r="K59" s="31" t="n">
        <x:v>0.0024123656</x:v>
      </x:c>
      <x:c r="L59" s="31" t="n">
        <x:v>0.6429769616000001</x:v>
      </x:c>
      <x:c r="M59" s="31" t="n">
        <x:v>0.0196737725</x:v>
      </x:c>
      <x:c r="N59" s="24" t="str">
        <x:v>cyprinus carpio</x:v>
      </x:c>
      <x:c r="O59" s="32" t="n">
        <x:v>3.06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Cyprinus carpio</x:v>
      </x:c>
      <x:c r="T59" s="32" t="n">
        <x:f>IF(O59="","",(1/'Metadata'!$B$5)^(O59-1))</x:f>
        <x:v>114.81536214968828</x:v>
      </x:c>
      <x:c r="U59" s="31" t="n">
        <x:f>IF(T59="","",I59*T59)</x:f>
        <x:v>76.0824840144483</x:v>
      </x:c>
    </x:row>
    <x:row r="60" ht="18" customHeight="1">
      <x:c r="A60" s="24" t="str">
        <x:v>LME_023</x:v>
      </x:c>
      <x:c r="B60" s="24" t="str">
        <x:v>Baltic Sea</x:v>
      </x:c>
      <x:c r="C60" s="24" t="str">
        <x:v>LME</x:v>
      </x:c>
      <x:c r="D60" s="30" t="n">
        <x:v>2019</x:v>
      </x:c>
      <x:c r="E60" s="24" t="str">
        <x:v>Melanogrammus aeglefinus</x:v>
      </x:c>
      <x:c r="F60" s="24" t="str">
        <x:v>Haddock</x:v>
      </x:c>
      <x:c r="G60" s="24" t="str">
        <x:v>Medium demersals (30 - 89 cm)</x:v>
      </x:c>
      <x:c r="H60" s="24" t="str">
        <x:v>Cod-likes</x:v>
      </x:c>
      <x:c r="I60" s="31" t="n">
        <x:v>0.3696047302</x:v>
      </x:c>
      <x:c r="J60" s="31" t="n">
        <x:v>0.29419586929999997</x:v>
      </x:c>
      <x:c r="K60" s="31" t="n">
        <x:v>0.0754088609</x:v>
      </x:c>
      <x:c r="L60" s="31" t="n">
        <x:v>0.1828326751</x:v>
      </x:c>
      <x:c r="M60" s="31" t="n">
        <x:v>0.1867720551</x:v>
      </x:c>
      <x:c r="N60" s="24" t="str">
        <x:v>melanogrammus aeglefinus</x:v>
      </x:c>
      <x:c r="O60" s="32" t="n">
        <x:v>4.03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Melanogrammus aeglefinus</x:v>
      </x:c>
      <x:c r="T60" s="32" t="n">
        <x:f>IF(O60="","",(1/'Metadata'!$B$5)^(O60-1))</x:f>
        <x:v>1071.519305237607</x:v>
      </x:c>
      <x:c r="U60" s="31" t="n">
        <x:f>IF(T60="","",I60*T60)</x:f>
        <x:v>396.03860371643725</x:v>
      </x:c>
    </x:row>
    <x:row r="61" ht="18" customHeight="1">
      <x:c r="A61" s="24" t="str">
        <x:v>LME_023</x:v>
      </x:c>
      <x:c r="B61" s="24" t="str">
        <x:v>Baltic Sea</x:v>
      </x:c>
      <x:c r="C61" s="24" t="str">
        <x:v>LME</x:v>
      </x:c>
      <x:c r="D61" s="30" t="n">
        <x:v>2019</x:v>
      </x:c>
      <x:c r="E61" s="24" t="str">
        <x:v>Engraulis encrasicolus</x:v>
      </x:c>
      <x:c r="F61" s="24" t="str">
        <x:v>European anchovy</x:v>
      </x:c>
      <x:c r="G61" s="24" t="str">
        <x:v>Small pelagics (&lt;30 cm)</x:v>
      </x:c>
      <x:c r="H61" s="24" t="str">
        <x:v>Anchovies</x:v>
      </x:c>
      <x:c r="I61" s="31" t="n">
        <x:v>0.2711890629</x:v>
      </x:c>
      <x:c r="J61" s="31" t="n">
        <x:v>0.1790382363</x:v>
      </x:c>
      <x:c r="K61" s="31" t="n">
        <x:v>0.0921508266</x:v>
      </x:c>
      <x:c r="L61" s="31" t="n">
        <x:v>0.000510348</x:v>
      </x:c>
      <x:c r="M61" s="31" t="n">
        <x:v>0.2706787149</x:v>
      </x:c>
      <x:c r="N61" s="24" t="str">
        <x:v>engraulis encrasicolus</x:v>
      </x:c>
      <x:c r="O61" s="32" t="n">
        <x:v>3.11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Engraulis encrasicolus</x:v>
      </x:c>
      <x:c r="T61" s="32" t="n">
        <x:f>IF(O61="","",(1/'Metadata'!$B$5)^(O61-1))</x:f>
        <x:v>128.82495516931337</x:v>
      </x:c>
      <x:c r="U61" s="31" t="n">
        <x:f>IF(T61="","",I61*T61)</x:f>
        <x:v>34.9359188705006</x:v>
      </x:c>
    </x:row>
    <x:row r="62" ht="18" customHeight="1">
      <x:c r="A62" s="24" t="str">
        <x:v>LME_023</x:v>
      </x:c>
      <x:c r="B62" s="24" t="str">
        <x:v>Baltic Sea</x:v>
      </x:c>
      <x:c r="C62" s="24" t="str">
        <x:v>LME</x:v>
      </x:c>
      <x:c r="D62" s="30" t="n">
        <x:v>2019</x:v>
      </x:c>
      <x:c r="E62" s="24" t="str">
        <x:v>Scombridae</x:v>
      </x:c>
      <x:c r="F62" s="24" t="str">
        <x:v>Mackerels, tunas, bonitos</x:v>
      </x:c>
      <x:c r="G62" s="24" t="str">
        <x:v>Medium pelagics (30 - 89 cm)</x:v>
      </x:c>
      <x:c r="H62" s="24" t="str">
        <x:v>Perch-likes</x:v>
      </x:c>
      <x:c r="I62" s="31" t="n">
        <x:v>0.22760582680000002</x:v>
      </x:c>
      <x:c r="J62" s="31" t="n">
        <x:v>0.1490333634</x:v>
      </x:c>
      <x:c r="K62" s="31" t="n">
        <x:v>0.0785724634</x:v>
      </x:c>
      <x:c r="L62" s="31" t="n">
        <x:v>0</x:v>
      </x:c>
      <x:c r="M62" s="31" t="n">
        <x:v>0.22760582680000002</x:v>
      </x:c>
      <x:c r="N62" s="24" t="str">
        <x:v>scombridae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Scombridae</x:v>
      </x:c>
      <x:c r="T62" s="32" t="n">
        <x:f>IF(O62="","",(1/'Metadata'!$B$5)^(O62-1))</x:f>
        <x:v>1819.7008586099826</x:v>
      </x:c>
      <x:c r="U62" s="31" t="n">
        <x:f>IF(T62="","",I62*T62)</x:f>
        <x:v>414.174518452595</x:v>
      </x:c>
    </x:row>
    <x:row r="63" ht="18" customHeight="1">
      <x:c r="A63" s="24" t="str">
        <x:v>LME_023</x:v>
      </x:c>
      <x:c r="B63" s="24" t="str">
        <x:v>Baltic Sea</x:v>
      </x:c>
      <x:c r="C63" s="24" t="str">
        <x:v>LME</x:v>
      </x:c>
      <x:c r="D63" s="30" t="n">
        <x:v>2019</x:v>
      </x:c>
      <x:c r="E63" s="24" t="str">
        <x:v>Mugilidae</x:v>
      </x:c>
      <x:c r="F63" s="24" t="str">
        <x:v>Mullets, grey mullets</x:v>
      </x:c>
      <x:c r="G63" s="24" t="str">
        <x:v>Medium reef assoc. fish (30 - 89 cm)</x:v>
      </x:c>
      <x:c r="H63" s="24" t="str">
        <x:v>Perch-likes</x:v>
      </x:c>
      <x:c r="I63" s="31" t="n">
        <x:v>0.21855366520000002</x:v>
      </x:c>
      <x:c r="J63" s="31" t="n">
        <x:v>0.1025692862</x:v>
      </x:c>
      <x:c r="K63" s="31" t="n">
        <x:v>0.11598437900000001</x:v>
      </x:c>
      <x:c r="L63" s="31" t="n">
        <x:v>0</x:v>
      </x:c>
      <x:c r="M63" s="31" t="n">
        <x:v>0.21855366520000002</x:v>
      </x:c>
      <x:c r="N63" s="24" t="str">
        <x:v>mugilidae</x:v>
      </x:c>
      <x:c r="O63" s="32" t="n">
        <x:v>2.53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Mugilidae</x:v>
      </x:c>
      <x:c r="T63" s="32" t="n">
        <x:f>IF(O63="","",(1/'Metadata'!$B$5)^(O63-1))</x:f>
        <x:v>33.88441561392024</x:v>
      </x:c>
      <x:c r="U63" s="31" t="n">
        <x:f>IF(T63="","",I63*T63)</x:f>
        <x:v>7.405563225582378</x:v>
      </x:c>
    </x:row>
    <x:row r="64" ht="18" customHeight="1">
      <x:c r="A64" s="24" t="str">
        <x:v>LME_023</x:v>
      </x:c>
      <x:c r="B64" s="24" t="str">
        <x:v>Baltic Sea</x:v>
      </x:c>
      <x:c r="C64" s="24" t="str">
        <x:v>LME</x:v>
      </x:c>
      <x:c r="D64" s="30" t="n">
        <x:v>2019</x:v>
      </x:c>
      <x:c r="E64" s="24" t="str">
        <x:v>Pollachius pollachius</x:v>
      </x:c>
      <x:c r="F64" s="24" t="str">
        <x:v>Pollack</x:v>
      </x:c>
      <x:c r="G64" s="24" t="str">
        <x:v>Large benthopelagics (&gt;=90 cm)</x:v>
      </x:c>
      <x:c r="H64" s="24" t="str">
        <x:v>Cod-likes</x:v>
      </x:c>
      <x:c r="I64" s="31" t="n">
        <x:v>0.175956293</x:v>
      </x:c>
      <x:c r="J64" s="31" t="n">
        <x:v>0.1535435264</x:v>
      </x:c>
      <x:c r="K64" s="31" t="n">
        <x:v>0.0224127666</x:v>
      </x:c>
      <x:c r="L64" s="31" t="n">
        <x:v>0.11566765820000001</x:v>
      </x:c>
      <x:c r="M64" s="31" t="n">
        <x:v>0.0602886348</x:v>
      </x:c>
      <x:c r="N64" s="24" t="str">
        <x:v>pollachius pollachius</x:v>
      </x:c>
      <x:c r="O64" s="32" t="n">
        <x:v>4.32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Pollachius pollachius</x:v>
      </x:c>
      <x:c r="T64" s="32" t="n">
        <x:f>IF(O64="","",(1/'Metadata'!$B$5)^(O64-1))</x:f>
        <x:v>2089.2961308540407</x:v>
      </x:c>
      <x:c r="U64" s="31" t="n">
        <x:f>IF(T64="","",I64*T64)</x:f>
        <x:v>367.62480216431993</x:v>
      </x:c>
    </x:row>
    <x:row r="65" ht="18" customHeight="1">
      <x:c r="A65" s="24" t="str">
        <x:v>LME_023</x:v>
      </x:c>
      <x:c r="B65" s="24" t="str">
        <x:v>Baltic Sea</x:v>
      </x:c>
      <x:c r="C65" s="24" t="str">
        <x:v>LME</x:v>
      </x:c>
      <x:c r="D65" s="30" t="n">
        <x:v>2019</x:v>
      </x:c>
      <x:c r="E65" s="24" t="str">
        <x:v>Hippoglossoides platessoides</x:v>
      </x:c>
      <x:c r="F65" s="24" t="str">
        <x:v>American plaice</x:v>
      </x:c>
      <x:c r="G65" s="24" t="str">
        <x:v>Small to medium flatfishes (&lt;90 cm)</x:v>
      </x:c>
      <x:c r="H65" s="24" t="str">
        <x:v>Flatfishes</x:v>
      </x:c>
      <x:c r="I65" s="31" t="n">
        <x:v>0.12834462089999998</x:v>
      </x:c>
      <x:c r="J65" s="31" t="n">
        <x:v>0.0698851184</x:v>
      </x:c>
      <x:c r="K65" s="31" t="n">
        <x:v>0.058459502499999996</x:v>
      </x:c>
      <x:c r="L65" s="31" t="n">
        <x:v>0.000019967399999999998</x:v>
      </x:c>
      <x:c r="M65" s="31" t="n">
        <x:v>0.1283246535</x:v>
      </x:c>
      <x:c r="N65" s="24" t="str">
        <x:v>hippoglossoides platessoides</x:v>
      </x:c>
      <x:c r="O65" s="32" t="n">
        <x:v>4.08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Hippoglossoides platessoides</x:v>
      </x:c>
      <x:c r="T65" s="32" t="n">
        <x:f>IF(O65="","",(1/'Metadata'!$B$5)^(O65-1))</x:f>
        <x:v>1202.2644346174131</x:v>
      </x:c>
      <x:c r="U65" s="31" t="n">
        <x:f>IF(T65="","",I65*T65)</x:f>
        <x:v>154.3041730825247</x:v>
      </x:c>
    </x:row>
    <x:row r="66" ht="18" customHeight="1">
      <x:c r="A66" s="24" t="str">
        <x:v>LME_023</x:v>
      </x:c>
      <x:c r="B66" s="24" t="str">
        <x:v>Baltic Sea</x:v>
      </x:c>
      <x:c r="C66" s="24" t="str">
        <x:v>LME</x:v>
      </x:c>
      <x:c r="D66" s="30" t="n">
        <x:v>2019</x:v>
      </x:c>
      <x:c r="E66" s="24" t="str">
        <x:v>Pleuronectiformes</x:v>
      </x:c>
      <x:c r="F66" s="24" t="str">
        <x:v>Flatfishes</x:v>
      </x:c>
      <x:c r="G66" s="24" t="str">
        <x:v>Small to medium flatfishes (&lt;90 cm)</x:v>
      </x:c>
      <x:c r="H66" s="24" t="str">
        <x:v>Flatfishes</x:v>
      </x:c>
      <x:c r="I66" s="31" t="n">
        <x:v>0.0730355467</x:v>
      </x:c>
      <x:c r="J66" s="31" t="n">
        <x:v>0.0730355467</x:v>
      </x:c>
      <x:c r="K66" s="31" t="n">
        <x:v>0</x:v>
      </x:c>
      <x:c r="L66" s="31" t="n">
        <x:v>0</x:v>
      </x:c>
      <x:c r="M66" s="31" t="n">
        <x:v>0.0730355467</x:v>
      </x:c>
      <x:c r="N66" s="24" t="str">
        <x:v>pleuronectiformes</x:v>
      </x:c>
      <x:c r="O66" s="32" t="n">
        <x:v>3.57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Pleuronectiformes</x:v>
      </x:c>
      <x:c r="T66" s="32" t="n">
        <x:f>IF(O66="","",(1/'Metadata'!$B$5)^(O66-1))</x:f>
        <x:v>371.5352290971724</x:v>
      </x:c>
      <x:c r="U66" s="31" t="n">
        <x:f>IF(T66="","",I66*T66)</x:f>
        <x:v>27.135278575421733</x:v>
      </x:c>
    </x:row>
    <x:row r="67" ht="18" customHeight="1">
      <x:c r="A67" s="24" t="str">
        <x:v>LME_023</x:v>
      </x:c>
      <x:c r="B67" s="24" t="str">
        <x:v>Baltic Sea</x:v>
      </x:c>
      <x:c r="C67" s="24" t="str">
        <x:v>LME</x:v>
      </x:c>
      <x:c r="D67" s="30" t="n">
        <x:v>2019</x:v>
      </x:c>
      <x:c r="E67" s="24" t="str">
        <x:v>Triglidae</x:v>
      </x:c>
      <x:c r="F67" s="24" t="str">
        <x:v>Searobins, gurnards</x:v>
      </x:c>
      <x:c r="G67" s="24" t="str">
        <x:v>Medium demersals (30 - 89 cm)</x:v>
      </x:c>
      <x:c r="H67" s="24" t="str">
        <x:v>Scorpionfishes</x:v>
      </x:c>
      <x:c r="I67" s="31" t="n">
        <x:v>0.0636913201</x:v>
      </x:c>
      <x:c r="J67" s="31" t="n">
        <x:v>0.0584424227</x:v>
      </x:c>
      <x:c r="K67" s="31" t="n">
        <x:v>0.0052488974</x:v>
      </x:c>
      <x:c r="L67" s="31" t="n">
        <x:v>0.0499748036</x:v>
      </x:c>
      <x:c r="M67" s="31" t="n">
        <x:v>0.0137165165</x:v>
      </x:c>
      <x:c r="N67" s="24" t="str">
        <x:v>triglidae</x:v>
      </x:c>
      <x:c r="O67" s="32" t="n">
        <x:v>3.74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Triglidae</x:v>
      </x:c>
      <x:c r="T67" s="32" t="n">
        <x:f>IF(O67="","",(1/'Metadata'!$B$5)^(O67-1))</x:f>
        <x:v>549.5408738576248</x:v>
      </x:c>
      <x:c r="U67" s="31" t="n">
        <x:f>IF(T67="","",I67*T67)</x:f>
        <x:v>35.0009837048997</x:v>
      </x:c>
    </x:row>
    <x:row r="68" ht="18" customHeight="1">
      <x:c r="A68" s="24" t="str">
        <x:v>LME_023</x:v>
      </x:c>
      <x:c r="B68" s="24" t="str">
        <x:v>Baltic Sea</x:v>
      </x:c>
      <x:c r="C68" s="24" t="str">
        <x:v>LME</x:v>
      </x:c>
      <x:c r="D68" s="30" t="n">
        <x:v>2019</x:v>
      </x:c>
      <x:c r="E68" s="24" t="str">
        <x:v>Anarhichas</x:v>
      </x:c>
      <x:c r="F68" s="24" t="str">
        <x:v>Wolffishes</x:v>
      </x:c>
      <x:c r="G68" s="24" t="str">
        <x:v>Large demersals (&gt;=90 cm)</x:v>
      </x:c>
      <x:c r="H68" s="24" t="str">
        <x:v>Perch-likes</x:v>
      </x:c>
      <x:c r="I68" s="31" t="n">
        <x:v>0.0627612813</x:v>
      </x:c>
      <x:c r="J68" s="31" t="n">
        <x:v>0.0439993905</x:v>
      </x:c>
      <x:c r="K68" s="31" t="n">
        <x:v>0.0187618908</x:v>
      </x:c>
      <x:c r="L68" s="31" t="n">
        <x:v>0.016916159599999998</x:v>
      </x:c>
      <x:c r="M68" s="31" t="n">
        <x:v>0.0458451217</x:v>
      </x:c>
      <x:c r="N68" s="24" t="str">
        <x:v>anarhichas</x:v>
      </x:c>
      <x:c r="O68" s="32" t="n">
        <x:v>3.35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Anarhichas</x:v>
      </x:c>
      <x:c r="T68" s="32" t="n">
        <x:f>IF(O68="","",(1/'Metadata'!$B$5)^(O68-1))</x:f>
        <x:v>223.872113856834</x:v>
      </x:c>
      <x:c r="U68" s="31" t="n">
        <x:f>IF(T68="","",I68*T68)</x:f>
        <x:v>14.050500712994387</x:v>
      </x:c>
    </x:row>
    <x:row r="69" ht="18" customHeight="1">
      <x:c r="A69" s="24" t="str">
        <x:v>LME_023</x:v>
      </x:c>
      <x:c r="B69" s="24" t="str">
        <x:v>Baltic Sea</x:v>
      </x:c>
      <x:c r="C69" s="24" t="str">
        <x:v>LME</x:v>
      </x:c>
      <x:c r="D69" s="30" t="n">
        <x:v>2019</x:v>
      </x:c>
      <x:c r="E69" s="24" t="str">
        <x:v>Merluccius merluccius</x:v>
      </x:c>
      <x:c r="F69" s="24" t="str">
        <x:v>European hake</x:v>
      </x:c>
      <x:c r="G69" s="24" t="str">
        <x:v>Large demersals (&gt;=90 cm)</x:v>
      </x:c>
      <x:c r="H69" s="24" t="str">
        <x:v>Cod-likes</x:v>
      </x:c>
      <x:c r="I69" s="31" t="n">
        <x:v>0.0382500663</x:v>
      </x:c>
      <x:c r="J69" s="31" t="n">
        <x:v>0.023725376700000002</x:v>
      </x:c>
      <x:c r="K69" s="31" t="n">
        <x:v>0.0145246896</x:v>
      </x:c>
      <x:c r="L69" s="31" t="n">
        <x:v>0</x:v>
      </x:c>
      <x:c r="M69" s="31" t="n">
        <x:v>0.0382500663</x:v>
      </x:c>
      <x:c r="N69" s="24" t="str">
        <x:v>merluccius merluccius</x:v>
      </x:c>
      <x:c r="O69" s="32" t="n">
        <x:v>4.42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Merluccius merluccius</x:v>
      </x:c>
      <x:c r="T69" s="32" t="n">
        <x:f>IF(O69="","",(1/'Metadata'!$B$5)^(O69-1))</x:f>
        <x:v>2630.2679918953813</x:v>
      </x:c>
      <x:c r="U69" s="31" t="n">
        <x:f>IF(T69="","",I69*T69)</x:f>
        <x:v>100.60792507676621</x:v>
      </x:c>
    </x:row>
    <x:row r="70" ht="18" customHeight="1">
      <x:c r="A70" s="24" t="str">
        <x:v>LME_023</x:v>
      </x:c>
      <x:c r="B70" s="24" t="str">
        <x:v>Baltic Sea</x:v>
      </x:c>
      <x:c r="C70" s="24" t="str">
        <x:v>LME</x:v>
      </x:c>
      <x:c r="D70" s="30" t="n">
        <x:v>2019</x:v>
      </x:c>
      <x:c r="E70" s="24" t="str">
        <x:v>Anarhichas lupus</x:v>
      </x:c>
      <x:c r="F70" s="24" t="str">
        <x:v>Atlantic wolffish</x:v>
      </x:c>
      <x:c r="G70" s="24" t="str">
        <x:v>Large demersals (&gt;=90 cm)</x:v>
      </x:c>
      <x:c r="H70" s="24" t="str">
        <x:v>Perch-likes</x:v>
      </x:c>
      <x:c r="I70" s="31" t="n">
        <x:v>0.028742374699999997</x:v>
      </x:c>
      <x:c r="J70" s="31" t="n">
        <x:v>0.0195384835</x:v>
      </x:c>
      <x:c r="K70" s="31" t="n">
        <x:v>0.009203891200000001</x:v>
      </x:c>
      <x:c r="L70" s="31" t="n">
        <x:v>0.0005394955</x:v>
      </x:c>
      <x:c r="M70" s="31" t="n">
        <x:v>0.0282028792</x:v>
      </x:c>
      <x:c r="N70" s="24" t="str">
        <x:v>anarhichas lupus</x:v>
      </x:c>
      <x:c r="O70" s="32" t="n">
        <x:v>3.55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Anarhichas lupus</x:v>
      </x:c>
      <x:c r="T70" s="32" t="n">
        <x:f>IF(O70="","",(1/'Metadata'!$B$5)^(O70-1))</x:f>
        <x:v>354.8133892335753</x:v>
      </x:c>
      <x:c r="U70" s="31" t="n">
        <x:f>IF(T70="","",I70*T70)</x:f>
        <x:v>10.198179381928366</x:v>
      </x:c>
    </x:row>
    <x:row r="71" ht="18" customHeight="1">
      <x:c r="A71" s="24" t="str">
        <x:v>LME_023</x:v>
      </x:c>
      <x:c r="B71" s="24" t="str">
        <x:v>Baltic Sea</x:v>
      </x:c>
      <x:c r="C71" s="24" t="str">
        <x:v>LME</x:v>
      </x:c>
      <x:c r="D71" s="30" t="n">
        <x:v>2019</x:v>
      </x:c>
      <x:c r="E71" s="24" t="str">
        <x:v>Nephrops norvegicus</x:v>
      </x:c>
      <x:c r="F71" s="24" t="str">
        <x:v>Norway lobster</x:v>
      </x:c>
      <x:c r="G71" s="24" t="str">
        <x:v>Lobsters, crabs</x:v>
      </x:c>
      <x:c r="H71" s="24" t="str">
        <x:v>Crustaceans</x:v>
      </x:c>
      <x:c r="I71" s="31" t="n">
        <x:v>0.0226939609</x:v>
      </x:c>
      <x:c r="J71" s="31" t="n">
        <x:v>0.014012048599999999</x:v>
      </x:c>
      <x:c r="K71" s="31" t="n">
        <x:v>0.0086819123</x:v>
      </x:c>
      <x:c r="L71" s="31" t="n">
        <x:v>0</x:v>
      </x:c>
      <x:c r="M71" s="31" t="n">
        <x:v>0.0226939609</x:v>
      </x:c>
      <x:c r="N71" s="24" t="str">
        <x:v>nephrops norvegicus</x:v>
      </x:c>
      <x:c r="O71" s="32" t="n">
        <x:v>2.87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Nephrops norvegicus</x:v>
      </x:c>
      <x:c r="T71" s="32" t="n">
        <x:f>IF(O71="","",(1/'Metadata'!$B$5)^(O71-1))</x:f>
        <x:v>74.13102413009177</x:v>
      </x:c>
      <x:c r="U71" s="31" t="n">
        <x:f>IF(T71="","",I71*T71)</x:f>
        <x:v>1.6823265630852593</x:v>
      </x:c>
    </x:row>
    <x:row r="72" ht="18" customHeight="1">
      <x:c r="A72" s="24" t="str">
        <x:v>LME_023</x:v>
      </x:c>
      <x:c r="B72" s="24" t="str">
        <x:v>Baltic Sea</x:v>
      </x:c>
      <x:c r="C72" s="24" t="str">
        <x:v>LME</x:v>
      </x:c>
      <x:c r="D72" s="30" t="n">
        <x:v>2019</x:v>
      </x:c>
      <x:c r="E72" s="24" t="str">
        <x:v>Raja</x:v>
      </x:c>
      <x:c r="F72" s="24" t="str">
        <x:v>Stingrays, skates</x:v>
      </x:c>
      <x:c r="G72" s="24" t="str">
        <x:v>Small to medium rays (&lt;90 cm)</x:v>
      </x:c>
      <x:c r="H72" s="24" t="str">
        <x:v>Sharks &amp; rays</x:v>
      </x:c>
      <x:c r="I72" s="31" t="n">
        <x:v>0.021827263200000002</x:v>
      </x:c>
      <x:c r="J72" s="31" t="n">
        <x:v>0.0214198994</x:v>
      </x:c>
      <x:c r="K72" s="31" t="n">
        <x:v>0.0004073638</x:v>
      </x:c>
      <x:c r="L72" s="31" t="n">
        <x:v>0.0207620798</x:v>
      </x:c>
      <x:c r="M72" s="31" t="n">
        <x:v>0.0010651834</x:v>
      </x:c>
      <x:c r="N72" s="24" t="str">
        <x:v>raja</x:v>
      </x:c>
      <x:c r="O72" s="32" t="n">
        <x:v>3.8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Raja</x:v>
      </x:c>
      <x:c r="T72" s="32" t="n">
        <x:f>IF(O72="","",(1/'Metadata'!$B$5)^(O72-1))</x:f>
        <x:v>630.957344480193</x:v>
      </x:c>
      <x:c r="U72" s="31" t="n">
        <x:f>IF(T72="","",I72*T72)</x:f>
        <x:v>13.772072025942242</x:v>
      </x:c>
    </x:row>
    <x:row r="73" ht="18" customHeight="1">
      <x:c r="A73" s="24" t="str">
        <x:v>LME_023</x:v>
      </x:c>
      <x:c r="B73" s="24" t="str">
        <x:v>Baltic Sea</x:v>
      </x:c>
      <x:c r="C73" s="24" t="str">
        <x:v>LME</x:v>
      </x:c>
      <x:c r="D73" s="30" t="n">
        <x:v>2019</x:v>
      </x:c>
      <x:c r="E73" s="24" t="str">
        <x:v>Cephalopoda</x:v>
      </x:c>
      <x:c r="F73" s="24" t="str">
        <x:v>Squids, cuttlefishes, octopuses</x:v>
      </x:c>
      <x:c r="G73" s="24" t="str">
        <x:v>Cephalopods</x:v>
      </x:c>
      <x:c r="H73" s="24" t="str">
        <x:v>Other fishes &amp; inverts</x:v>
      </x:c>
      <x:c r="I73" s="31" t="n">
        <x:v>0.019846803</x:v>
      </x:c>
      <x:c r="J73" s="31" t="n">
        <x:v>0.019846803</x:v>
      </x:c>
      <x:c r="K73" s="31" t="n">
        <x:v>0</x:v>
      </x:c>
      <x:c r="L73" s="31" t="n">
        <x:v>0.019846803</x:v>
      </x:c>
      <x:c r="M73" s="31" t="n">
        <x:v>0</x:v>
      </x:c>
      <x:c r="N73" s="24" t="str">
        <x:v>cephalopoda</x:v>
      </x:c>
      <x:c r="O73" s="32" t="n">
        <x:v>3.81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Cephalopoda</x:v>
      </x:c>
      <x:c r="T73" s="32" t="n">
        <x:f>IF(O73="","",(1/'Metadata'!$B$5)^(O73-1))</x:f>
        <x:v>645.6542290346556</x:v>
      </x:c>
      <x:c r="U73" s="31" t="n">
        <x:f>IF(T73="","",I73*T73)</x:f>
        <x:v>12.81417228976769</x:v>
      </x:c>
    </x:row>
    <x:row r="74" ht="18" customHeight="1">
      <x:c r="A74" s="24" t="str">
        <x:v>LME_023</x:v>
      </x:c>
      <x:c r="B74" s="24" t="str">
        <x:v>Baltic Sea</x:v>
      </x:c>
      <x:c r="C74" s="24" t="str">
        <x:v>LME</x:v>
      </x:c>
      <x:c r="D74" s="30" t="n">
        <x:v>2019</x:v>
      </x:c>
      <x:c r="E74" s="24" t="str">
        <x:v>Salmonidae</x:v>
      </x:c>
      <x:c r="F74" s="24" t="str">
        <x:v>Salmonids</x:v>
      </x:c>
      <x:c r="G74" s="24" t="str">
        <x:v>Large benthopelagics (&gt;=90 cm)</x:v>
      </x:c>
      <x:c r="H74" s="24" t="str">
        <x:v>Salmon, smelts, etc</x:v>
      </x:c>
      <x:c r="I74" s="31" t="n">
        <x:v>0.018597967000000003</x:v>
      </x:c>
      <x:c r="J74" s="31" t="n">
        <x:v>0.0183466754</x:v>
      </x:c>
      <x:c r="K74" s="31" t="n">
        <x:v>0.0002512916</x:v>
      </x:c>
      <x:c r="L74" s="31" t="n">
        <x:v>0.0178481612</x:v>
      </x:c>
      <x:c r="M74" s="31" t="n">
        <x:v>0.0007498058</x:v>
      </x:c>
      <x:c r="N74" s="24" t="str">
        <x:v>salmonidae</x:v>
      </x:c>
      <x:c r="O74" s="32" t="n">
        <x:v>3.3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Salmonidae</x:v>
      </x:c>
      <x:c r="T74" s="32" t="n">
        <x:f>IF(O74="","",(1/'Metadata'!$B$5)^(O74-1))</x:f>
        <x:v>199.52623149688787</x:v>
      </x:c>
      <x:c r="U74" s="31" t="n">
        <x:f>IF(T74="","",I74*T74)</x:f>
        <x:v>3.710782269013482</x:v>
      </x:c>
    </x:row>
    <x:row r="75" ht="18" customHeight="1">
      <x:c r="A75" s="24" t="str">
        <x:v>LME_023</x:v>
      </x:c>
      <x:c r="B75" s="24" t="str">
        <x:v>Baltic Sea</x:v>
      </x:c>
      <x:c r="C75" s="24" t="str">
        <x:v>LME</x:v>
      </x:c>
      <x:c r="D75" s="30" t="n">
        <x:v>2019</x:v>
      </x:c>
      <x:c r="E75" s="24" t="str">
        <x:v>Eutrigla gurnardus</x:v>
      </x:c>
      <x:c r="F75" s="24" t="str">
        <x:v>Grey gurnard</x:v>
      </x:c>
      <x:c r="G75" s="24" t="str">
        <x:v>Medium demersals (30 - 89 cm)</x:v>
      </x:c>
      <x:c r="H75" s="24" t="str">
        <x:v>Scorpionfishes</x:v>
      </x:c>
      <x:c r="I75" s="31" t="n">
        <x:v>0.0155674713</x:v>
      </x:c>
      <x:c r="J75" s="31" t="n">
        <x:v>0.0126515445</x:v>
      </x:c>
      <x:c r="K75" s="31" t="n">
        <x:v>0.0029159268</x:v>
      </x:c>
      <x:c r="L75" s="31" t="n">
        <x:v>0.0077725543</x:v>
      </x:c>
      <x:c r="M75" s="31" t="n">
        <x:v>0.007794917</x:v>
      </x:c>
      <x:c r="N75" s="24" t="str">
        <x:v>eutrigla gurnardus</x:v>
      </x:c>
      <x:c r="O75" s="32" t="n">
        <x:v>3.87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Eutrigla gurnardus</x:v>
      </x:c>
      <x:c r="T75" s="32" t="n">
        <x:f>IF(O75="","",(1/'Metadata'!$B$5)^(O75-1))</x:f>
        <x:v>741.3102413009177</x:v>
      </x:c>
      <x:c r="U75" s="31" t="n">
        <x:f>IF(T75="","",I75*T75)</x:f>
        <x:v>11.54032590584811</x:v>
      </x:c>
    </x:row>
    <x:row r="76" ht="18" customHeight="1">
      <x:c r="A76" s="24" t="str">
        <x:v>LME_023</x:v>
      </x:c>
      <x:c r="B76" s="24" t="str">
        <x:v>Baltic Sea</x:v>
      </x:c>
      <x:c r="C76" s="24" t="str">
        <x:v>LME</x:v>
      </x:c>
      <x:c r="D76" s="30" t="n">
        <x:v>2019</x:v>
      </x:c>
      <x:c r="E76" s="24" t="str">
        <x:v>Acipenseridae</x:v>
      </x:c>
      <x:c r="F76" s="24" t="str">
        <x:v>Sturgeons</x:v>
      </x:c>
      <x:c r="G76" s="24" t="str">
        <x:v>Large demersals (&gt;=90 cm)</x:v>
      </x:c>
      <x:c r="H76" s="24" t="str">
        <x:v>Other fishes &amp; inverts</x:v>
      </x:c>
      <x:c r="I76" s="31" t="n">
        <x:v>0.0130696167</x:v>
      </x:c>
      <x:c r="J76" s="31" t="n">
        <x:v>0.0111548334</x:v>
      </x:c>
      <x:c r="K76" s="31" t="n">
        <x:v>0.0019147832999999999</x:v>
      </x:c>
      <x:c r="L76" s="31" t="n">
        <x:v>0.0048873038</x:v>
      </x:c>
      <x:c r="M76" s="31" t="n">
        <x:v>0.0081823129</x:v>
      </x:c>
      <x:c r="N76" s="24" t="str">
        <x:v>acipenseridae</x:v>
      </x:c>
      <x:c r="O76" s="32" t="n">
        <x:v>3.6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Acipenseridae</x:v>
      </x:c>
      <x:c r="T76" s="32" t="n">
        <x:f>IF(O76="","",(1/'Metadata'!$B$5)^(O76-1))</x:f>
        <x:v>398.1071705534973</x:v>
      </x:c>
      <x:c r="U76" s="31" t="n">
        <x:f>IF(T76="","",I76*T76)</x:f>
        <x:v>5.203108124655737</x:v>
      </x:c>
    </x:row>
    <x:row r="77" ht="18" customHeight="1">
      <x:c r="A77" s="24" t="str">
        <x:v>LME_023</x:v>
      </x:c>
      <x:c r="B77" s="24" t="str">
        <x:v>Baltic Sea</x:v>
      </x:c>
      <x:c r="C77" s="24" t="str">
        <x:v>LME</x:v>
      </x:c>
      <x:c r="D77" s="30" t="n">
        <x:v>2019</x:v>
      </x:c>
      <x:c r="E77" s="24" t="str">
        <x:v>Ostrea edulis</x:v>
      </x:c>
      <x:c r="F77" s="24" t="str">
        <x:v>European flat oyster</x:v>
      </x:c>
      <x:c r="G77" s="24" t="str">
        <x:v>Other demersal invertebrates</x:v>
      </x:c>
      <x:c r="H77" s="24" t="str">
        <x:v>Molluscs</x:v>
      </x:c>
      <x:c r="I77" s="31" t="n">
        <x:v>0.012624879100000002</x:v>
      </x:c>
      <x:c r="J77" s="31" t="n">
        <x:v>0.012389531700000001</x:v>
      </x:c>
      <x:c r="K77" s="31" t="n">
        <x:v>0.0002353474</x:v>
      </x:c>
      <x:c r="L77" s="31" t="n">
        <x:v>0.0118239385</x:v>
      </x:c>
      <x:c r="M77" s="31" t="n">
        <x:v>0.0008009406000000001</x:v>
      </x:c>
      <x:c r="N77" s="24" t="str">
        <x:v>ostrea edulis</x:v>
      </x:c>
      <x:c r="O77" s="32" t="n">
        <x:v>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Ostrea edulis</x:v>
      </x:c>
      <x:c r="T77" s="32" t="n">
        <x:f>IF(O77="","",(1/'Metadata'!$B$5)^(O77-1))</x:f>
        <x:v>10</x:v>
      </x:c>
      <x:c r="U77" s="31" t="n">
        <x:f>IF(T77="","",I77*T77)</x:f>
        <x:v>0.12624879100000003</x:v>
      </x:c>
    </x:row>
    <x:row r="78" ht="18" customHeight="1">
      <x:c r="A78" s="24" t="str">
        <x:v>LME_023</x:v>
      </x:c>
      <x:c r="B78" s="24" t="str">
        <x:v>Baltic Sea</x:v>
      </x:c>
      <x:c r="C78" s="24" t="str">
        <x:v>LME</x:v>
      </x:c>
      <x:c r="D78" s="30" t="n">
        <x:v>2019</x:v>
      </x:c>
      <x:c r="E78" s="24" t="str">
        <x:v>Gastropoda</x:v>
      </x:c>
      <x:c r="F78" s="24" t="str">
        <x:v>Sea snails</x:v>
      </x:c>
      <x:c r="G78" s="24" t="str">
        <x:v>Other demersal invertebrates</x:v>
      </x:c>
      <x:c r="H78" s="24" t="str">
        <x:v>Molluscs</x:v>
      </x:c>
      <x:c r="I78" s="31" t="n">
        <x:v>0.0124712052</x:v>
      </x:c>
      <x:c r="J78" s="31" t="n">
        <x:v>0.0098720576</x:v>
      </x:c>
      <x:c r="K78" s="31" t="n">
        <x:v>0.0025991476</x:v>
      </x:c>
      <x:c r="L78" s="31" t="n">
        <x:v>0.005677200499999999</x:v>
      </x:c>
      <x:c r="M78" s="31" t="n">
        <x:v>0.0067940047</x:v>
      </x:c>
      <x:c r="N78" s="24" t="str">
        <x:v>gastropoda</x:v>
      </x:c>
      <x:c r="O78" s="32" t="n">
        <x:v>3.06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Gastropoda</x:v>
      </x:c>
      <x:c r="T78" s="32" t="n">
        <x:f>IF(O78="","",(1/'Metadata'!$B$5)^(O78-1))</x:f>
        <x:v>114.81536214968828</x:v>
      </x:c>
      <x:c r="U78" s="31" t="n">
        <x:f>IF(T78="","",I78*T78)</x:f>
        <x:v>1.4318859414810756</x:v>
      </x:c>
    </x:row>
    <x:row r="79" ht="18" customHeight="1">
      <x:c r="A79" s="24" t="str">
        <x:v>LME_023</x:v>
      </x:c>
      <x:c r="B79" s="24" t="str">
        <x:v>Baltic Sea</x:v>
      </x:c>
      <x:c r="C79" s="24" t="str">
        <x:v>LME</x:v>
      </x:c>
      <x:c r="D79" s="30" t="n">
        <x:v>2019</x:v>
      </x:c>
      <x:c r="E79" s="24" t="str">
        <x:v>Cerastoderma edule</x:v>
      </x:c>
      <x:c r="F79" s="24" t="str">
        <x:v>Common cockle</x:v>
      </x:c>
      <x:c r="G79" s="24" t="str">
        <x:v>Other demersal invertebrates</x:v>
      </x:c>
      <x:c r="H79" s="24" t="str">
        <x:v>Molluscs</x:v>
      </x:c>
      <x:c r="I79" s="31" t="n">
        <x:v>0.0072434717</x:v>
      </x:c>
      <x:c r="J79" s="31" t="n">
        <x:v>0.006346865100000001</x:v>
      </x:c>
      <x:c r="K79" s="31" t="n">
        <x:v>0.0008966066000000001</x:v>
      </x:c>
      <x:c r="L79" s="31" t="n">
        <x:v>0.0042582504</x:v>
      </x:c>
      <x:c r="M79" s="31" t="n">
        <x:v>0.0029852213000000002</x:v>
      </x:c>
      <x:c r="N79" s="24" t="str">
        <x:v>cerastoderma edule</x:v>
      </x:c>
      <x:c r="O79" s="32" t="n">
        <x:v>2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Cerastoderma edule</x:v>
      </x:c>
      <x:c r="T79" s="32" t="n">
        <x:f>IF(O79="","",(1/'Metadata'!$B$5)^(O79-1))</x:f>
        <x:v>10</x:v>
      </x:c>
      <x:c r="U79" s="31" t="n">
        <x:f>IF(T79="","",I79*T79)</x:f>
        <x:v>0.07243471700000001</x:v>
      </x:c>
    </x:row>
    <x:row r="80" ht="18" customHeight="1">
      <x:c r="A80" s="24" t="str">
        <x:v>LME_023</x:v>
      </x:c>
      <x:c r="B80" s="24" t="str">
        <x:v>Baltic Sea</x:v>
      </x:c>
      <x:c r="C80" s="24" t="str">
        <x:v>LME</x:v>
      </x:c>
      <x:c r="D80" s="30" t="n">
        <x:v>2019</x:v>
      </x:c>
      <x:c r="E80" s="24" t="str">
        <x:v>Labrus bergylta</x:v>
      </x:c>
      <x:c r="F80" s="24" t="str">
        <x:v>Ballan wrasse</x:v>
      </x:c>
      <x:c r="G80" s="24" t="str">
        <x:v>Medium reef assoc. fish (30 - 89 cm)</x:v>
      </x:c>
      <x:c r="H80" s="24" t="str">
        <x:v>Perch-likes</x:v>
      </x:c>
      <x:c r="I80" s="31" t="n">
        <x:v>0.0071301155</x:v>
      </x:c>
      <x:c r="J80" s="31" t="n">
        <x:v>0.0071301155</x:v>
      </x:c>
      <x:c r="K80" s="31" t="n">
        <x:v>0</x:v>
      </x:c>
      <x:c r="L80" s="31" t="n">
        <x:v>0.0071301155</x:v>
      </x:c>
      <x:c r="M80" s="31" t="n">
        <x:v>0</x:v>
      </x:c>
      <x:c r="N80" s="24" t="str">
        <x:v>labrus bergylta</x:v>
      </x:c>
      <x:c r="O80" s="32" t="n">
        <x:v>3.2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Labrus bergylta</x:v>
      </x:c>
      <x:c r="T80" s="32" t="n">
        <x:f>IF(O80="","",(1/'Metadata'!$B$5)^(O80-1))</x:f>
        <x:v>158.48931924611142</x:v>
      </x:c>
      <x:c r="U80" s="31" t="n">
        <x:f>IF(T80="","",I80*T80)</x:f>
        <x:v>1.1300471517411474</x:v>
      </x:c>
    </x:row>
    <x:row r="81" ht="18" customHeight="1">
      <x:c r="A81" s="24" t="str">
        <x:v>LME_023</x:v>
      </x:c>
      <x:c r="B81" s="24" t="str">
        <x:v>Baltic Sea</x:v>
      </x:c>
      <x:c r="C81" s="24" t="str">
        <x:v>LME</x:v>
      </x:c>
      <x:c r="D81" s="30" t="n">
        <x:v>2019</x:v>
      </x:c>
      <x:c r="E81" s="24" t="str">
        <x:v>Chelidonichthys lucerna</x:v>
      </x:c>
      <x:c r="F81" s="24" t="str">
        <x:v>Tub gurnard</x:v>
      </x:c>
      <x:c r="G81" s="24" t="str">
        <x:v>Medium demersals (30 - 89 cm)</x:v>
      </x:c>
      <x:c r="H81" s="24" t="str">
        <x:v>Scorpionfishes</x:v>
      </x:c>
      <x:c r="I81" s="31" t="n">
        <x:v>0.0051795879</x:v>
      </x:c>
      <x:c r="J81" s="31" t="n">
        <x:v>0.0051795879</x:v>
      </x:c>
      <x:c r="K81" s="31" t="n">
        <x:v>0</x:v>
      </x:c>
      <x:c r="L81" s="31" t="n">
        <x:v>0.0051795879</x:v>
      </x:c>
      <x:c r="M81" s="31" t="n">
        <x:v>0</x:v>
      </x:c>
      <x:c r="N81" s="24" t="str">
        <x:v>chelidonichthys lucerna</x:v>
      </x:c>
      <x:c r="O81" s="32" t="n">
        <x:v>3.98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Chelidonichthys lucerna</x:v>
      </x:c>
      <x:c r="T81" s="32" t="n">
        <x:f>IF(O81="","",(1/'Metadata'!$B$5)^(O81-1))</x:f>
        <x:v>954.992586021436</x:v>
      </x:c>
      <x:c r="U81" s="31" t="n">
        <x:f>IF(T81="","",I81*T81)</x:f>
        <x:v>4.946468043146339</x:v>
      </x:c>
    </x:row>
    <x:row r="82" ht="18" customHeight="1">
      <x:c r="A82" s="24" t="str">
        <x:v>LME_023</x:v>
      </x:c>
      <x:c r="B82" s="24" t="str">
        <x:v>Baltic Sea</x:v>
      </x:c>
      <x:c r="C82" s="24" t="str">
        <x:v>LME</x:v>
      </x:c>
      <x:c r="D82" s="30" t="n">
        <x:v>2019</x:v>
      </x:c>
      <x:c r="E82" s="24" t="str">
        <x:v>Ctenolabrus rupestris</x:v>
      </x:c>
      <x:c r="F82" s="24" t="str">
        <x:v>Goldsinny-wrasse</x:v>
      </x:c>
      <x:c r="G82" s="24" t="str">
        <x:v>Small reef assoc. fish (&lt;30 cm)</x:v>
      </x:c>
      <x:c r="H82" s="24" t="str">
        <x:v>Perch-likes</x:v>
      </x:c>
      <x:c r="I82" s="31" t="n">
        <x:v>0.0048255682</x:v>
      </x:c>
      <x:c r="J82" s="31" t="n">
        <x:v>0.004786200599999999</x:v>
      </x:c>
      <x:c r="K82" s="31" t="n">
        <x:v>0.000039367600000000006</x:v>
      </x:c>
      <x:c r="L82" s="31" t="n">
        <x:v>0.0043383351</x:v>
      </x:c>
      <x:c r="M82" s="31" t="n">
        <x:v>0.0004872331</x:v>
      </x:c>
      <x:c r="N82" s="24" t="str">
        <x:v>ctenolabrus rupestris</x:v>
      </x:c>
      <x:c r="O82" s="32" t="n">
        <x:v>3.58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Ctenolabrus rupestris</x:v>
      </x:c>
      <x:c r="T82" s="32" t="n">
        <x:f>IF(O82="","",(1/'Metadata'!$B$5)^(O82-1))</x:f>
        <x:v>380.1893963205613</x:v>
      </x:c>
      <x:c r="U82" s="31" t="n">
        <x:f>IF(T82="","",I82*T82)</x:f>
        <x:v>1.8346298608616975</x:v>
      </x:c>
    </x:row>
    <x:row r="83" ht="18" customHeight="1">
      <x:c r="A83" s="24" t="str">
        <x:v>LME_023</x:v>
      </x:c>
      <x:c r="B83" s="24" t="str">
        <x:v>Baltic Sea</x:v>
      </x:c>
      <x:c r="C83" s="24" t="str">
        <x:v>LME</x:v>
      </x:c>
      <x:c r="D83" s="30" t="n">
        <x:v>2019</x:v>
      </x:c>
      <x:c r="E83" s="24" t="str">
        <x:v>Squalus acanthias</x:v>
      </x:c>
      <x:c r="F83" s="24" t="str">
        <x:v>Picked dogfish</x:v>
      </x:c>
      <x:c r="G83" s="24" t="str">
        <x:v>Large sharks (&gt;=90 cm)</x:v>
      </x:c>
      <x:c r="H83" s="24" t="str">
        <x:v>Sharks &amp; rays</x:v>
      </x:c>
      <x:c r="I83" s="31" t="n">
        <x:v>0.0047527021</x:v>
      </x:c>
      <x:c r="J83" s="31" t="n">
        <x:v>0.0039107097</x:v>
      </x:c>
      <x:c r="K83" s="31" t="n">
        <x:v>0.0008419924000000001</x:v>
      </x:c>
      <x:c r="L83" s="31" t="n">
        <x:v>0.0023729581999999997</x:v>
      </x:c>
      <x:c r="M83" s="31" t="n">
        <x:v>0.0023797439</x:v>
      </x:c>
      <x:c r="N83" s="24" t="str">
        <x:v>squalus acanthias</x:v>
      </x:c>
      <x:c r="O83" s="32" t="n">
        <x:v>4.37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Squalus acanthias</x:v>
      </x:c>
      <x:c r="T83" s="32" t="n">
        <x:f>IF(O83="","",(1/'Metadata'!$B$5)^(O83-1))</x:f>
        <x:v>2344.228815319923</x:v>
      </x:c>
      <x:c r="U83" s="31" t="n">
        <x:f>IF(T83="","",I83*T83)</x:f>
        <x:v>11.141421213451508</x:v>
      </x:c>
    </x:row>
    <x:row r="84" ht="18" customHeight="1">
      <x:c r="A84" s="24" t="str">
        <x:v>LME_023</x:v>
      </x:c>
      <x:c r="B84" s="24" t="str">
        <x:v>Baltic Sea</x:v>
      </x:c>
      <x:c r="C84" s="24" t="str">
        <x:v>LME</x:v>
      </x:c>
      <x:c r="D84" s="30" t="n">
        <x:v>2019</x:v>
      </x:c>
      <x:c r="E84" s="24" t="str">
        <x:v>Buglossidium luteum</x:v>
      </x:c>
      <x:c r="F84" s="24" t="str">
        <x:v>Solenette</x:v>
      </x:c>
      <x:c r="G84" s="24" t="str">
        <x:v>Small to medium flatfishes (&lt;90 cm)</x:v>
      </x:c>
      <x:c r="H84" s="24" t="str">
        <x:v>Flatfishes</x:v>
      </x:c>
      <x:c r="I84" s="31" t="n">
        <x:v>0.0035152695</x:v>
      </x:c>
      <x:c r="J84" s="31" t="n">
        <x:v>0.0035152695</x:v>
      </x:c>
      <x:c r="K84" s="31" t="n">
        <x:v>0</x:v>
      </x:c>
      <x:c r="L84" s="31" t="n">
        <x:v>0.0035152695</x:v>
      </x:c>
      <x:c r="M84" s="31" t="n">
        <x:v>0</x:v>
      </x:c>
      <x:c r="N84" s="24" t="str">
        <x:v>buglossidium luteum</x:v>
      </x:c>
      <x:c r="O84" s="32" t="n">
        <x:v>3.31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Buglossidium luteum</x:v>
      </x:c>
      <x:c r="T84" s="32" t="n">
        <x:f>IF(O84="","",(1/'Metadata'!$B$5)^(O84-1))</x:f>
        <x:v>204.17379446695296</x:v>
      </x:c>
      <x:c r="U84" s="31" t="n">
        <x:f>IF(T84="","",I84*T84)</x:f>
        <x:v>0.7177259123889485</x:v>
      </x:c>
    </x:row>
    <x:row r="85" ht="18" customHeight="1">
      <x:c r="A85" s="24" t="str">
        <x:v>LME_023</x:v>
      </x:c>
      <x:c r="B85" s="24" t="str">
        <x:v>Baltic Sea</x:v>
      </x:c>
      <x:c r="C85" s="24" t="str">
        <x:v>LME</x:v>
      </x:c>
      <x:c r="D85" s="30" t="n">
        <x:v>2019</x:v>
      </x:c>
      <x:c r="E85" s="24" t="str">
        <x:v>Salvelinus</x:v>
      </x:c>
      <x:c r="F85" s="24" t="str">
        <x:v>Chars</x:v>
      </x:c>
      <x:c r="G85" s="24" t="str">
        <x:v>Large benthopelagics (&gt;=90 cm)</x:v>
      </x:c>
      <x:c r="H85" s="24" t="str">
        <x:v>Salmon, smelts, etc</x:v>
      </x:c>
      <x:c r="I85" s="31" t="n">
        <x:v>0.0029243501999999997</x:v>
      </x:c>
      <x:c r="J85" s="31" t="n">
        <x:v>0.0029243501999999997</x:v>
      </x:c>
      <x:c r="K85" s="31" t="n">
        <x:v>0</x:v>
      </x:c>
      <x:c r="L85" s="31" t="n">
        <x:v>0.0029243501999999997</x:v>
      </x:c>
      <x:c r="M85" s="31" t="n">
        <x:v>0</x:v>
      </x:c>
      <x:c r="N85" s="24" t="str">
        <x:v>salvelinus</x:v>
      </x:c>
      <x:c r="O85" s="32" t="n">
        <x:v>4.1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Salvelinus</x:v>
      </x:c>
      <x:c r="T85" s="32" t="n">
        <x:f>IF(O85="","",(1/'Metadata'!$B$5)^(O85-1))</x:f>
        <x:v>1258.9254117941662</x:v>
      </x:c>
      <x:c r="U85" s="31" t="n">
        <x:f>IF(T85="","",I85*T85)</x:f>
        <x:v>3.6815387797653516</x:v>
      </x:c>
    </x:row>
    <x:row r="86" ht="18" customHeight="1">
      <x:c r="A86" s="24" t="str">
        <x:v>LME_023</x:v>
      </x:c>
      <x:c r="B86" s="24" t="str">
        <x:v>Baltic Sea</x:v>
      </x:c>
      <x:c r="C86" s="24" t="str">
        <x:v>LME</x:v>
      </x:c>
      <x:c r="D86" s="30" t="n">
        <x:v>2019</x:v>
      </x:c>
      <x:c r="E86" s="24" t="str">
        <x:v>Raja clavata</x:v>
      </x:c>
      <x:c r="F86" s="24" t="str">
        <x:v>Thornback ray</x:v>
      </x:c>
      <x:c r="G86" s="24" t="str">
        <x:v>Large rays (&gt;=90 cm)</x:v>
      </x:c>
      <x:c r="H86" s="24" t="str">
        <x:v>Sharks &amp; rays</x:v>
      </x:c>
      <x:c r="I86" s="31" t="n">
        <x:v>0.0026374992000000002</x:v>
      </x:c>
      <x:c r="J86" s="31" t="n">
        <x:v>0.002637349</x:v>
      </x:c>
      <x:c r="K86" s="31" t="n">
        <x:v>1.502e-7</x:v>
      </x:c>
      <x:c r="L86" s="31" t="n">
        <x:v>0.0026353096</x:v>
      </x:c>
      <x:c r="M86" s="31" t="n">
        <x:v>0.0000021896</x:v>
      </x:c>
      <x:c r="N86" s="24" t="str">
        <x:v>raja clavata</x:v>
      </x:c>
      <x:c r="O86" s="32" t="n">
        <x:v>3.84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Raja clavata</x:v>
      </x:c>
      <x:c r="T86" s="32" t="n">
        <x:f>IF(O86="","",(1/'Metadata'!$B$5)^(O86-1))</x:f>
        <x:v>691.8309709189363</x:v>
      </x:c>
      <x:c r="U86" s="31" t="n">
        <x:f>IF(T86="","",I86*T86)</x:f>
        <x:v>1.8247036323339179</x:v>
      </x:c>
    </x:row>
    <x:row r="87" ht="18" customHeight="1">
      <x:c r="A87" s="24" t="str">
        <x:v>LME_023</x:v>
      </x:c>
      <x:c r="B87" s="24" t="str">
        <x:v>Baltic Sea</x:v>
      </x:c>
      <x:c r="C87" s="24" t="str">
        <x:v>LME</x:v>
      </x:c>
      <x:c r="D87" s="30" t="n">
        <x:v>2019</x:v>
      </x:c>
      <x:c r="E87" s="24" t="str">
        <x:v>Loliginidae</x:v>
      </x:c>
      <x:c r="F87" s="24" t="str">
        <x:v>Common pencil squids</x:v>
      </x:c>
      <x:c r="G87" s="24" t="str">
        <x:v>Cephalopods</x:v>
      </x:c>
      <x:c r="H87" s="24" t="str">
        <x:v>Other fishes &amp; inverts</x:v>
      </x:c>
      <x:c r="I87" s="31" t="n">
        <x:v>0.0025178084999999996</x:v>
      </x:c>
      <x:c r="J87" s="31" t="n">
        <x:v>0.0024996027</x:v>
      </x:c>
      <x:c r="K87" s="31" t="n">
        <x:v>0.0000182058</x:v>
      </x:c>
      <x:c r="L87" s="31" t="n">
        <x:v>0.0024170769</x:v>
      </x:c>
      <x:c r="M87" s="31" t="n">
        <x:v>0.0001007316</x:v>
      </x:c>
      <x:c r="N87" s="24" t="str">
        <x:v>loliginidae</x:v>
      </x:c>
      <x:c r="O87" s="32" t="n">
        <x:v>3.9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Loliginidae</x:v>
      </x:c>
      <x:c r="T87" s="32" t="n">
        <x:f>IF(O87="","",(1/'Metadata'!$B$5)^(O87-1))</x:f>
        <x:v>794.3282347242813</x:v>
      </x:c>
      <x:c r="U87" s="31" t="n">
        <x:f>IF(T87="","",I87*T87)</x:f>
        <x:v>1.9999663811787902</x:v>
      </x:c>
    </x:row>
    <x:row r="88" ht="18" customHeight="1">
      <x:c r="A88" s="24" t="str">
        <x:v>LME_023</x:v>
      </x:c>
      <x:c r="B88" s="24" t="str">
        <x:v>Baltic Sea</x:v>
      </x:c>
      <x:c r="C88" s="24" t="str">
        <x:v>LME</x:v>
      </x:c>
      <x:c r="D88" s="30" t="n">
        <x:v>2019</x:v>
      </x:c>
      <x:c r="E88" s="24" t="str">
        <x:v>Acipenser sturio</x:v>
      </x:c>
      <x:c r="F88" s="24" t="str">
        <x:v>Sturgeon</x:v>
      </x:c>
      <x:c r="G88" s="24" t="str">
        <x:v>Large demersals (&gt;=90 cm)</x:v>
      </x:c>
      <x:c r="H88" s="24" t="str">
        <x:v>Other fishes &amp; inverts</x:v>
      </x:c>
      <x:c r="I88" s="31" t="n">
        <x:v>0.0020778999</x:v>
      </x:c>
      <x:c r="J88" s="31" t="n">
        <x:v>0.0011599657</x:v>
      </x:c>
      <x:c r="K88" s="31" t="n">
        <x:v>0.0009179342</x:v>
      </x:c>
      <x:c r="L88" s="31" t="n">
        <x:v>0</x:v>
      </x:c>
      <x:c r="M88" s="31" t="n">
        <x:v>0.0020778999</x:v>
      </x:c>
      <x:c r="N88" s="24" t="str">
        <x:v>acipenser sturio</x:v>
      </x:c>
      <x:c r="O88" s="32" t="n">
        <x:v>3.51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Acipenser sturio</x:v>
      </x:c>
      <x:c r="T88" s="32" t="n">
        <x:f>IF(O88="","",(1/'Metadata'!$B$5)^(O88-1))</x:f>
        <x:v>323.5936569296281</x:v>
      </x:c>
      <x:c r="U88" s="31" t="n">
        <x:f>IF(T88="","",I88*T88)</x:f>
        <x:v>0.6723952273747086</x:v>
      </x:c>
    </x:row>
    <x:row r="89" ht="18" customHeight="1">
      <x:c r="A89" s="24" t="str">
        <x:v>LME_023</x:v>
      </x:c>
      <x:c r="B89" s="24" t="str">
        <x:v>Baltic Sea</x:v>
      </x:c>
      <x:c r="C89" s="24" t="str">
        <x:v>LME</x:v>
      </x:c>
      <x:c r="D89" s="30" t="n">
        <x:v>2019</x:v>
      </x:c>
      <x:c r="E89" s="24" t="str">
        <x:v>Octopodidae</x:v>
      </x:c>
      <x:c r="F89" s="24" t="str">
        <x:v>Octopuses</x:v>
      </x:c>
      <x:c r="G89" s="24" t="str">
        <x:v>Cephalopods</x:v>
      </x:c>
      <x:c r="H89" s="24" t="str">
        <x:v>Other fishes &amp; inverts</x:v>
      </x:c>
      <x:c r="I89" s="31" t="n">
        <x:v>0.0018476658</x:v>
      </x:c>
      <x:c r="J89" s="31" t="n">
        <x:v>0.0017946401</x:v>
      </x:c>
      <x:c r="K89" s="31" t="n">
        <x:v>0.0000530257</x:v>
      </x:c>
      <x:c r="L89" s="31" t="n">
        <x:v>0.0014932513</x:v>
      </x:c>
      <x:c r="M89" s="31" t="n">
        <x:v>0.0003544145</x:v>
      </x:c>
      <x:c r="N89" s="24" t="str">
        <x:v>octopodidae</x:v>
      </x:c>
      <x:c r="O89" s="32" t="n">
        <x:v>3.59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Octopodidae</x:v>
      </x:c>
      <x:c r="T89" s="32" t="n">
        <x:f>IF(O89="","",(1/'Metadata'!$B$5)^(O89-1))</x:f>
        <x:v>389.04514499428046</x:v>
      </x:c>
      <x:c r="U89" s="31" t="n">
        <x:f>IF(T89="","",I89*T89)</x:f>
        <x:v>0.7188254090619731</x:v>
      </x:c>
    </x:row>
    <x:row r="90" ht="18" customHeight="1">
      <x:c r="A90" s="24" t="str">
        <x:v>LME_023</x:v>
      </x:c>
      <x:c r="B90" s="24" t="str">
        <x:v>Baltic Sea</x:v>
      </x:c>
      <x:c r="C90" s="24" t="str">
        <x:v>LME</x:v>
      </x:c>
      <x:c r="D90" s="30" t="n">
        <x:v>2019</x:v>
      </x:c>
      <x:c r="E90" s="24" t="str">
        <x:v>Decapoda</x:v>
      </x:c>
      <x:c r="F90" s="24" t="str">
        <x:v>Crabs, lobsters, shrimps</x:v>
      </x:c>
      <x:c r="G90" s="24" t="str">
        <x:v>Lobsters, crabs</x:v>
      </x:c>
      <x:c r="H90" s="24" t="str">
        <x:v>Crustaceans</x:v>
      </x:c>
      <x:c r="I90" s="31" t="n">
        <x:v>0.0011726303000000001</x:v>
      </x:c>
      <x:c r="J90" s="31" t="n">
        <x:v>0.0011726303000000001</x:v>
      </x:c>
      <x:c r="K90" s="31" t="n">
        <x:v>0</x:v>
      </x:c>
      <x:c r="L90" s="31" t="n">
        <x:v>0.0011726303000000001</x:v>
      </x:c>
      <x:c r="M90" s="31" t="n">
        <x:v>0</x:v>
      </x:c>
      <x:c r="N90" s="24" t="str">
        <x:v>decapoda</x:v>
      </x:c>
      <x:c r="O90" s="32" t="n">
        <x:v>3.43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Decapoda</x:v>
      </x:c>
      <x:c r="T90" s="32" t="n">
        <x:f>IF(O90="","",(1/'Metadata'!$B$5)^(O90-1))</x:f>
        <x:v>269.1534803926917</x:v>
      </x:c>
      <x:c r="U90" s="31" t="n">
        <x:f>IF(T90="","",I90*T90)</x:f>
        <x:v>0.3156175264589262</x:v>
      </x:c>
    </x:row>
    <x:row r="91" ht="18" customHeight="1">
      <x:c r="A91" s="24" t="str">
        <x:v>LME_023</x:v>
      </x:c>
      <x:c r="B91" s="24" t="str">
        <x:v>Baltic Sea</x:v>
      </x:c>
      <x:c r="C91" s="24" t="str">
        <x:v>LME</x:v>
      </x:c>
      <x:c r="D91" s="30" t="n">
        <x:v>2019</x:v>
      </x:c>
      <x:c r="E91" s="24" t="str">
        <x:v>Belonidae</x:v>
      </x:c>
      <x:c r="F91" s="24" t="str">
        <x:v>Needlefishes, garfishes</x:v>
      </x:c>
      <x:c r="G91" s="24" t="str">
        <x:v>Medium pelagics (30 - 89 cm)</x:v>
      </x:c>
      <x:c r="H91" s="24" t="str">
        <x:v>Other fishes &amp; inverts</x:v>
      </x:c>
      <x:c r="I91" s="31" t="n">
        <x:v>0.0007483549</x:v>
      </x:c>
      <x:c r="J91" s="31" t="n">
        <x:v>0.0004974978999999999</x:v>
      </x:c>
      <x:c r="K91" s="31" t="n">
        <x:v>0.000250857</x:v>
      </x:c>
      <x:c r="L91" s="31" t="n">
        <x:v>0</x:v>
      </x:c>
      <x:c r="M91" s="31" t="n">
        <x:v>0.0007483549</x:v>
      </x:c>
      <x:c r="N91" s="24" t="str">
        <x:v>belonidae</x:v>
      </x:c>
      <x:c r="O91" s="32" t="n">
        <x:v>4.38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Belonidae</x:v>
      </x:c>
      <x:c r="T91" s="32" t="n">
        <x:f>IF(O91="","",(1/'Metadata'!$B$5)^(O91-1))</x:f>
        <x:v>2398.83291901949</x:v>
      </x:c>
      <x:c r="U91" s="31" t="n">
        <x:f>IF(T91="","",I91*T91)</x:f>
        <x:v>1.7951783692295384</x:v>
      </x:c>
    </x:row>
    <x:row r="92" ht="18" customHeight="1">
      <x:c r="A92" s="24" t="str">
        <x:v>LME_023</x:v>
      </x:c>
      <x:c r="B92" s="24" t="str">
        <x:v>Baltic Sea</x:v>
      </x:c>
      <x:c r="C92" s="24" t="str">
        <x:v>LME</x:v>
      </x:c>
      <x:c r="D92" s="30" t="n">
        <x:v>2019</x:v>
      </x:c>
      <x:c r="E92" s="24" t="str">
        <x:v>Trachinus</x:v>
      </x:c>
      <x:c r="F92" s="24" t="str">
        <x:v>Weevers</x:v>
      </x:c>
      <x:c r="G92" s="24" t="str">
        <x:v>Medium demersals (30 - 89 cm)</x:v>
      </x:c>
      <x:c r="H92" s="24" t="str">
        <x:v>Perch-likes</x:v>
      </x:c>
      <x:c r="I92" s="31" t="n">
        <x:v>0.0004219431</x:v>
      </x:c>
      <x:c r="J92" s="31" t="n">
        <x:v>0.0004219431</x:v>
      </x:c>
      <x:c r="K92" s="31" t="n">
        <x:v>0</x:v>
      </x:c>
      <x:c r="L92" s="31" t="n">
        <x:v>0.0004219431</x:v>
      </x:c>
      <x:c r="M92" s="31" t="n">
        <x:v>0</x:v>
      </x:c>
      <x:c r="N92" s="24" t="str">
        <x:v>trachinus</x:v>
      </x:c>
      <x:c r="O92" s="32" t="n">
        <x:v>3.95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Trachinus</x:v>
      </x:c>
      <x:c r="T92" s="32" t="n">
        <x:f>IF(O92="","",(1/'Metadata'!$B$5)^(O92-1))</x:f>
        <x:v>891.2509381337459</x:v>
      </x:c>
      <x:c r="U92" s="31" t="n">
        <x:f>IF(T92="","",I92*T92)</x:f>
        <x:v>0.37605718371406094</x:v>
      </x:c>
    </x:row>
    <x:row r="93" ht="18" customHeight="1">
      <x:c r="A93" s="24" t="str">
        <x:v>LME_023</x:v>
      </x:c>
      <x:c r="B93" s="24" t="str">
        <x:v>Baltic Sea</x:v>
      </x:c>
      <x:c r="C93" s="24" t="str">
        <x:v>LME</x:v>
      </x:c>
      <x:c r="D93" s="30" t="n">
        <x:v>2019</x:v>
      </x:c>
      <x:c r="E93" s="24" t="str">
        <x:v>Sepia officinalis</x:v>
      </x:c>
      <x:c r="F93" s="24" t="str">
        <x:v>Common cuttlefish</x:v>
      </x:c>
      <x:c r="G93" s="24" t="str">
        <x:v>Cephalopods</x:v>
      </x:c>
      <x:c r="H93" s="24" t="str">
        <x:v>Other fishes &amp; inverts</x:v>
      </x:c>
      <x:c r="I93" s="31" t="n">
        <x:v>0.0001764838</x:v>
      </x:c>
      <x:c r="J93" s="31" t="n">
        <x:v>0.000176443</x:v>
      </x:c>
      <x:c r="K93" s="31" t="n">
        <x:v>4.08e-8</x:v>
      </x:c>
      <x:c r="L93" s="31" t="n">
        <x:v>0.000176348</x:v>
      </x:c>
      <x:c r="M93" s="31" t="n">
        <x:v>1.3579999999999999e-7</x:v>
      </x:c>
      <x:c r="N93" s="24" t="str">
        <x:v>sepia officinalis</x:v>
      </x:c>
      <x:c r="O93" s="32" t="n">
        <x:v>4.27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Sepia officinalis</x:v>
      </x:c>
      <x:c r="T93" s="32" t="n">
        <x:f>IF(O93="","",(1/'Metadata'!$B$5)^(O93-1))</x:f>
        <x:v>1862.0871366628655</x:v>
      </x:c>
      <x:c r="U93" s="31" t="n">
        <x:f>IF(T93="","",I93*T93)</x:f>
        <x:v>0.32862821380938184</x:v>
      </x:c>
    </x:row>
    <x:row r="94" ht="18" customHeight="1">
      <x:c r="A94" s="24" t="str">
        <x:v>LME_023</x:v>
      </x:c>
      <x:c r="B94" s="24" t="str">
        <x:v>Baltic Sea</x:v>
      </x:c>
      <x:c r="C94" s="24" t="str">
        <x:v>LME</x:v>
      </x:c>
      <x:c r="D94" s="30" t="n">
        <x:v>2019</x:v>
      </x:c>
      <x:c r="E94" s="24" t="str">
        <x:v>Loligo</x:v>
      </x:c>
      <x:c r="F94" s="24" t="str">
        <x:v>Common squids</x:v>
      </x:c>
      <x:c r="G94" s="24" t="str">
        <x:v>Cephalopods</x:v>
      </x:c>
      <x:c r="H94" s="24" t="str">
        <x:v>Other fishes &amp; inverts</x:v>
      </x:c>
      <x:c r="I94" s="31" t="n">
        <x:v>0.0001622816</x:v>
      </x:c>
      <x:c r="J94" s="31" t="n">
        <x:v>0.0001526981</x:v>
      </x:c>
      <x:c r="K94" s="31" t="n">
        <x:v>0.0000095835</x:v>
      </x:c>
      <x:c r="L94" s="31" t="n">
        <x:v>0</x:v>
      </x:c>
      <x:c r="M94" s="31" t="n">
        <x:v>0.0001622816</x:v>
      </x:c>
      <x:c r="N94" s="24" t="str">
        <x:v>loligo</x:v>
      </x:c>
      <x:c r="O94" s="32" t="n">
        <x:v>3.99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Loligo</x:v>
      </x:c>
      <x:c r="T94" s="32" t="n">
        <x:f>IF(O94="","",(1/'Metadata'!$B$5)^(O94-1))</x:f>
        <x:v>977.2372209558112</x:v>
      </x:c>
      <x:c r="U94" s="31" t="n">
        <x:f>IF(T94="","",I94*T94)</x:f>
        <x:v>0.15858761979626257</x:v>
      </x:c>
    </x:row>
    <x:row r="95" ht="18" customHeight="1">
      <x:c r="A95" s="24" t="str">
        <x:v>LME_023</x:v>
      </x:c>
      <x:c r="B95" s="24" t="str">
        <x:v>Baltic Sea</x:v>
      </x:c>
      <x:c r="C95" s="24" t="str">
        <x:v>LME</x:v>
      </x:c>
      <x:c r="D95" s="30" t="n">
        <x:v>2019</x:v>
      </x:c>
      <x:c r="E95" s="24" t="str">
        <x:v>Spisula</x:v>
      </x:c>
      <x:c r="F95" s="24" t="str">
        <x:v>Surf clams</x:v>
      </x:c>
      <x:c r="G95" s="24" t="str">
        <x:v>Other demersal invertebrates</x:v>
      </x:c>
      <x:c r="H95" s="24" t="str">
        <x:v>Molluscs</x:v>
      </x:c>
      <x:c r="I95" s="31" t="n">
        <x:v>0.0001020674</x:v>
      </x:c>
      <x:c r="J95" s="31" t="n">
        <x:v>0.0000891543</x:v>
      </x:c>
      <x:c r="K95" s="31" t="n">
        <x:v>0.0000129131</x:v>
      </x:c>
      <x:c r="L95" s="31" t="n">
        <x:v>0</x:v>
      </x:c>
      <x:c r="M95" s="31" t="n">
        <x:v>0.0001020674</x:v>
      </x:c>
      <x:c r="N95" s="24" t="str">
        <x:v>spisula</x:v>
      </x:c>
      <x:c r="O95" s="32" t="n">
        <x:v>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Spisula</x:v>
      </x:c>
      <x:c r="T95" s="32" t="n">
        <x:f>IF(O95="","",(1/'Metadata'!$B$5)^(O95-1))</x:f>
        <x:v>10</x:v>
      </x:c>
      <x:c r="U95" s="31" t="n">
        <x:f>IF(T95="","",I95*T95)</x:f>
        <x:v>0.001020674</x:v>
      </x:c>
    </x:row>
    <x:row r="96" ht="18" customHeight="1">
      <x:c r="A96" s="24" t="str">
        <x:v>LME_023</x:v>
      </x:c>
      <x:c r="B96" s="24" t="str">
        <x:v>Baltic Sea</x:v>
      </x:c>
      <x:c r="C96" s="24" t="str">
        <x:v>LME</x:v>
      </x:c>
      <x:c r="D96" s="30" t="n">
        <x:v>2019</x:v>
      </x:c>
      <x:c r="E96" s="24" t="str">
        <x:v>Reinhardtius hippoglossoides</x:v>
      </x:c>
      <x:c r="F96" s="24" t="str">
        <x:v>Greenland halibut</x:v>
      </x:c>
      <x:c r="G96" s="24" t="str">
        <x:v>Small to medium flatfishes (&lt;90 cm)</x:v>
      </x:c>
      <x:c r="H96" s="24" t="str">
        <x:v>Flatfishes</x:v>
      </x:c>
      <x:c r="I96" s="31" t="n">
        <x:v>0.0000705676</x:v>
      </x:c>
      <x:c r="J96" s="31" t="n">
        <x:v>0.0000705676</x:v>
      </x:c>
      <x:c r="K96" s="31" t="n">
        <x:v>0</x:v>
      </x:c>
      <x:c r="L96" s="31" t="n">
        <x:v>0.0000705676</x:v>
      </x:c>
      <x:c r="M96" s="31" t="n">
        <x:v>0</x:v>
      </x:c>
      <x:c r="N96" s="24" t="str">
        <x:v>reinhardtius hippoglossoides</x:v>
      </x:c>
      <x:c r="O96" s="32" t="n">
        <x:v>4.38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Reinhardtius hippoglossoides</x:v>
      </x:c>
      <x:c r="T96" s="32" t="n">
        <x:f>IF(O96="","",(1/'Metadata'!$B$5)^(O96-1))</x:f>
        <x:v>2398.83291901949</x:v>
      </x:c>
      <x:c r="U96" s="31" t="n">
        <x:f>IF(T96="","",I96*T96)</x:f>
        <x:v>0.16927988189619977</x:v>
      </x:c>
    </x:row>
    <x:row r="97" ht="18" customHeight="1">
      <x:c r="A97" s="24" t="str">
        <x:v>LME_023</x:v>
      </x:c>
      <x:c r="B97" s="24" t="str">
        <x:v>Baltic Sea</x:v>
      </x:c>
      <x:c r="C97" s="24" t="str">
        <x:v>LME</x:v>
      </x:c>
      <x:c r="D97" s="30" t="n">
        <x:v>2019</x:v>
      </x:c>
      <x:c r="E97" s="24" t="str">
        <x:v>Scyliorhinus canicula</x:v>
      </x:c>
      <x:c r="F97" s="24" t="str">
        <x:v>Small-spotted catshark</x:v>
      </x:c>
      <x:c r="G97" s="24" t="str">
        <x:v>Small to medium sharks (&lt;90 cm)</x:v>
      </x:c>
      <x:c r="H97" s="24" t="str">
        <x:v>Sharks &amp; rays</x:v>
      </x:c>
      <x:c r="I97" s="31" t="n">
        <x:v>0.0000662737</x:v>
      </x:c>
      <x:c r="J97" s="31" t="n">
        <x:v>0.0000662737</x:v>
      </x:c>
      <x:c r="K97" s="31" t="n">
        <x:v>0</x:v>
      </x:c>
      <x:c r="L97" s="31" t="n">
        <x:v>0.0000662737</x:v>
      </x:c>
      <x:c r="M97" s="31" t="n">
        <x:v>0</x:v>
      </x:c>
      <x:c r="N97" s="24" t="str">
        <x:v>scyliorhinus canicula</x:v>
      </x:c>
      <x:c r="O97" s="32" t="n">
        <x:v>3.82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Scyliorhinus canicula</x:v>
      </x:c>
      <x:c r="T97" s="32" t="n">
        <x:f>IF(O97="","",(1/'Metadata'!$B$5)^(O97-1))</x:f>
        <x:v>660.6934480075957</x:v>
      </x:c>
      <x:c r="U97" s="31" t="n">
        <x:f>IF(T97="","",I97*T97)</x:f>
        <x:v>0.043786599365221</x:v>
      </x:c>
    </x:row>
    <x:row r="98" ht="18" customHeight="1">
      <x:c r="A98" s="24" t="str">
        <x:v>LME_023</x:v>
      </x:c>
      <x:c r="B98" s="24" t="str">
        <x:v>Baltic Sea</x:v>
      </x:c>
      <x:c r="C98" s="24" t="str">
        <x:v>LME</x:v>
      </x:c>
      <x:c r="D98" s="30" t="n">
        <x:v>2019</x:v>
      </x:c>
      <x:c r="E98" s="24" t="str">
        <x:v>Gadidae</x:v>
      </x:c>
      <x:c r="F98" s="24" t="str">
        <x:v>Cods, haddocks</x:v>
      </x:c>
      <x:c r="G98" s="24" t="str">
        <x:v>Medium demersals (30 - 89 cm)</x:v>
      </x:c>
      <x:c r="H98" s="24" t="str">
        <x:v>Cod-likes</x:v>
      </x:c>
      <x:c r="I98" s="31" t="n">
        <x:v>0.000027395199999999998</x:v>
      </x:c>
      <x:c r="J98" s="31" t="n">
        <x:v>0</x:v>
      </x:c>
      <x:c r="K98" s="31" t="n">
        <x:v>0.000027395199999999998</x:v>
      </x:c>
      <x:c r="L98" s="31" t="n">
        <x:v>0</x:v>
      </x:c>
      <x:c r="M98" s="31" t="n">
        <x:v>0.000027395199999999998</x:v>
      </x:c>
      <x:c r="N98" s="24" t="str">
        <x:v>gadidae</x:v>
      </x:c>
      <x:c r="O98" s="32" t="n">
        <x:v>3.84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Gadidae</x:v>
      </x:c>
      <x:c r="T98" s="32" t="n">
        <x:f>IF(O98="","",(1/'Metadata'!$B$5)^(O98-1))</x:f>
        <x:v>691.8309709189363</x:v>
      </x:c>
      <x:c r="U98" s="31" t="n">
        <x:f>IF(T98="","",I98*T98)</x:f>
        <x:v>0.01895284781451844</x:v>
      </x:c>
    </x:row>
    <x:row r="99" ht="18" customHeight="1">
      <x:c r="A99" s="24" t="str">
        <x:v>LME_023</x:v>
      </x:c>
      <x:c r="B99" s="24" t="str">
        <x:v>Baltic Sea</x:v>
      </x:c>
      <x:c r="C99" s="24" t="str">
        <x:v>LME</x:v>
      </x:c>
      <x:c r="D99" s="30" t="n">
        <x:v>2019</x:v>
      </x:c>
      <x:c r="E99" s="24" t="str">
        <x:v>Squalidae</x:v>
      </x:c>
      <x:c r="F99" s="24" t="str">
        <x:v>Dogfish sharks</x:v>
      </x:c>
      <x:c r="G99" s="24" t="str">
        <x:v>Large sharks (&gt;=90 cm)</x:v>
      </x:c>
      <x:c r="H99" s="24" t="str">
        <x:v>Sharks &amp; rays</x:v>
      </x:c>
      <x:c r="I99" s="31" t="n">
        <x:v>0.0000254207</x:v>
      </x:c>
      <x:c r="J99" s="31" t="n">
        <x:v>0</x:v>
      </x:c>
      <x:c r="K99" s="31" t="n">
        <x:v>0.0000254207</x:v>
      </x:c>
      <x:c r="L99" s="31" t="n">
        <x:v>0</x:v>
      </x:c>
      <x:c r="M99" s="31" t="n">
        <x:v>0.0000254207</x:v>
      </x:c>
      <x:c r="N99" s="24" t="str">
        <x:v>squalidae</x:v>
      </x:c>
      <x:c r="O99" s="32" t="n">
        <x:v>4.23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Squalidae</x:v>
      </x:c>
      <x:c r="T99" s="32" t="n">
        <x:f>IF(O99="","",(1/'Metadata'!$B$5)^(O99-1))</x:f>
        <x:v>1698.243652461746</x:v>
      </x:c>
      <x:c r="U99" s="31" t="n">
        <x:f>IF(T99="","",I99*T99)</x:f>
        <x:v>0.04317054241613431</x:v>
      </x:c>
    </x:row>
    <x:row r="100" ht="18" customHeight="1">
      <x:c r="A100" s="24" t="str">
        <x:v>LME_023</x:v>
      </x:c>
      <x:c r="B100" s="24" t="str">
        <x:v>Baltic Sea</x:v>
      </x:c>
      <x:c r="C100" s="24" t="str">
        <x:v>LME</x:v>
      </x:c>
      <x:c r="D100" s="30" t="n">
        <x:v>2019</x:v>
      </x:c>
      <x:c r="E100" s="24" t="str">
        <x:v>Mullidae</x:v>
      </x:c>
      <x:c r="F100" s="24" t="str">
        <x:v>Goatfishes</x:v>
      </x:c>
      <x:c r="G100" s="24" t="str">
        <x:v>Medium reef assoc. fish (30 - 89 cm)</x:v>
      </x:c>
      <x:c r="H100" s="24" t="str">
        <x:v>Perch-likes</x:v>
      </x:c>
      <x:c r="I100" s="31" t="n">
        <x:v>0.0000217682</x:v>
      </x:c>
      <x:c r="J100" s="31" t="n">
        <x:v>0</x:v>
      </x:c>
      <x:c r="K100" s="31" t="n">
        <x:v>0.0000217682</x:v>
      </x:c>
      <x:c r="L100" s="31" t="n">
        <x:v>0</x:v>
      </x:c>
      <x:c r="M100" s="31" t="n">
        <x:v>0.0000217682</x:v>
      </x:c>
      <x:c r="N100" s="24" t="str">
        <x:v>mullidae</x:v>
      </x:c>
      <x:c r="O100" s="32" t="n">
        <x:v>3.46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Mullidae</x:v>
      </x:c>
      <x:c r="T100" s="32" t="n">
        <x:f>IF(O100="","",(1/'Metadata'!$B$5)^(O100-1))</x:f>
        <x:v>288.40315031266056</x:v>
      </x:c>
      <x:c r="U100" s="31" t="n">
        <x:f>IF(T100="","",I100*T100)</x:f>
        <x:v>0.006278017456636057</x:v>
      </x:c>
    </x:row>
    <x:row r="101" ht="18" customHeight="1">
      <x:c r="A101" s="24" t="str">
        <x:v>LME_023</x:v>
      </x:c>
      <x:c r="B101" s="24" t="str">
        <x:v>Baltic Sea</x:v>
      </x:c>
      <x:c r="C101" s="24" t="str">
        <x:v>LME</x:v>
      </x:c>
      <x:c r="D101" s="30" t="n">
        <x:v>2019</x:v>
      </x:c>
      <x:c r="E101" s="24" t="str">
        <x:v>Soleidae</x:v>
      </x:c>
      <x:c r="F101" s="24" t="str">
        <x:v>Soles</x:v>
      </x:c>
      <x:c r="G101" s="24" t="str">
        <x:v>Small to medium flatfishes (&lt;90 cm)</x:v>
      </x:c>
      <x:c r="H101" s="24" t="str">
        <x:v>Flatfishes</x:v>
      </x:c>
      <x:c r="I101" s="31" t="n">
        <x:v>0.0000174385</x:v>
      </x:c>
      <x:c r="J101" s="31" t="n">
        <x:v>0</x:v>
      </x:c>
      <x:c r="K101" s="31" t="n">
        <x:v>0.0000174385</x:v>
      </x:c>
      <x:c r="L101" s="31" t="n">
        <x:v>0</x:v>
      </x:c>
      <x:c r="M101" s="31" t="n">
        <x:v>0.0000174385</x:v>
      </x:c>
      <x:c r="N101" s="24" t="str">
        <x:v>soleidae</x:v>
      </x:c>
      <x:c r="O101" s="32" t="n">
        <x:v>3.15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Soleidae</x:v>
      </x:c>
      <x:c r="T101" s="32" t="n">
        <x:f>IF(O101="","",(1/'Metadata'!$B$5)^(O101-1))</x:f>
        <x:v>141.2537544622754</x:v>
      </x:c>
      <x:c r="U101" s="31" t="n">
        <x:f>IF(T101="","",I101*T101)</x:f>
        <x:v>0.0024632535971903895</x:v>
      </x:c>
    </x:row>
    <x:row r="102" ht="18" customHeight="1">
      <x:c r="A102" s="24" t="str">
        <x:v>LME_023</x:v>
      </x:c>
      <x:c r="B102" s="24" t="str">
        <x:v>Baltic Sea</x:v>
      </x:c>
      <x:c r="C102" s="24" t="str">
        <x:v>LME</x:v>
      </x:c>
      <x:c r="D102" s="30" t="n">
        <x:v>2019</x:v>
      </x:c>
      <x:c r="E102" s="24" t="str">
        <x:v>Congridae</x:v>
      </x:c>
      <x:c r="F102" s="24" t="str">
        <x:v>Conger, garden eels</x:v>
      </x:c>
      <x:c r="G102" s="24" t="str">
        <x:v>Large demersals (&gt;=90 cm)</x:v>
      </x:c>
      <x:c r="H102" s="24" t="str">
        <x:v>Other fishes &amp; inverts</x:v>
      </x:c>
      <x:c r="I102" s="31" t="n">
        <x:v>0.0000172615</x:v>
      </x:c>
      <x:c r="J102" s="31" t="n">
        <x:v>0</x:v>
      </x:c>
      <x:c r="K102" s="31" t="n">
        <x:v>0.0000172615</x:v>
      </x:c>
      <x:c r="L102" s="31" t="n">
        <x:v>0</x:v>
      </x:c>
      <x:c r="M102" s="31" t="n">
        <x:v>0.0000172615</x:v>
      </x:c>
      <x:c r="N102" s="24" t="str">
        <x:v>congridae</x:v>
      </x:c>
      <x:c r="O102" s="32" t="n">
        <x:v>4.18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Congridae</x:v>
      </x:c>
      <x:c r="T102" s="32" t="n">
        <x:f>IF(O102="","",(1/'Metadata'!$B$5)^(O102-1))</x:f>
        <x:v>1513.5612484362073</x:v>
      </x:c>
      <x:c r="U102" s="31" t="n">
        <x:f>IF(T102="","",I102*T102)</x:f>
        <x:v>0.026126337489881593</x:v>
      </x:c>
    </x:row>
    <x:row r="103" ht="18" customHeight="1">
      <x:c r="A103" s="24" t="str">
        <x:v>LME_023</x:v>
      </x:c>
      <x:c r="B103" s="24" t="str">
        <x:v>Baltic Sea</x:v>
      </x:c>
      <x:c r="C103" s="24" t="str">
        <x:v>LME</x:v>
      </x:c>
      <x:c r="D103" s="30" t="n">
        <x:v>2019</x:v>
      </x:c>
      <x:c r="E103" s="24" t="str">
        <x:v>Conger conger</x:v>
      </x:c>
      <x:c r="F103" s="24" t="str">
        <x:v>European conger</x:v>
      </x:c>
      <x:c r="G103" s="24" t="str">
        <x:v>Large demersals (&gt;=90 cm)</x:v>
      </x:c>
      <x:c r="H103" s="24" t="str">
        <x:v>Other fishes &amp; inverts</x:v>
      </x:c>
      <x:c r="I103" s="31" t="n">
        <x:v>0.0000167292</x:v>
      </x:c>
      <x:c r="J103" s="31" t="n">
        <x:v>0.000016594299999999998</x:v>
      </x:c>
      <x:c r="K103" s="31" t="n">
        <x:v>1.349e-7</x:v>
      </x:c>
      <x:c r="L103" s="31" t="n">
        <x:v>0.000015608499999999998</x:v>
      </x:c>
      <x:c r="M103" s="31" t="n">
        <x:v>0.0000011207</x:v>
      </x:c>
      <x:c r="N103" s="24" t="str">
        <x:v>conger conger</x:v>
      </x:c>
      <x:c r="O103" s="32" t="n">
        <x:v>4.31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Conger conger</x:v>
      </x:c>
      <x:c r="T103" s="32" t="n">
        <x:f>IF(O103="","",(1/'Metadata'!$B$5)^(O103-1))</x:f>
        <x:v>2041.7379446695275</x:v>
      </x:c>
      <x:c r="U103" s="31" t="n">
        <x:f>IF(T103="","",I103*T103)</x:f>
        <x:v>0.034156642423965454</x:v>
      </x:c>
    </x:row>
    <x:row r="104" ht="18" customHeight="1">
      <x:c r="A104" s="24" t="str">
        <x:v>LME_023</x:v>
      </x:c>
      <x:c r="B104" s="24" t="str">
        <x:v>Baltic Sea</x:v>
      </x:c>
      <x:c r="C104" s="24" t="str">
        <x:v>LME</x:v>
      </x:c>
      <x:c r="D104" s="30" t="n">
        <x:v>2019</x:v>
      </x:c>
      <x:c r="E104" s="24" t="str">
        <x:v>Pleuronectidae</x:v>
      </x:c>
      <x:c r="F104" s="24" t="str">
        <x:v>Righteye flounders</x:v>
      </x:c>
      <x:c r="G104" s="24" t="str">
        <x:v>Small to medium flatfishes (&lt;90 cm)</x:v>
      </x:c>
      <x:c r="H104" s="24" t="str">
        <x:v>Flatfishes</x:v>
      </x:c>
      <x:c r="I104" s="31" t="n">
        <x:v>0.0000163897</x:v>
      </x:c>
      <x:c r="J104" s="31" t="n">
        <x:v>0</x:v>
      </x:c>
      <x:c r="K104" s="31" t="n">
        <x:v>0.0000163897</x:v>
      </x:c>
      <x:c r="L104" s="31" t="n">
        <x:v>0</x:v>
      </x:c>
      <x:c r="M104" s="31" t="n">
        <x:v>0.0000163897</x:v>
      </x:c>
      <x:c r="N104" s="24" t="str">
        <x:v>pleuronectidae</x:v>
      </x:c>
      <x:c r="O104" s="32" t="n">
        <x:v>3.49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Pleuronectidae</x:v>
      </x:c>
      <x:c r="T104" s="32" t="n">
        <x:f>IF(O104="","",(1/'Metadata'!$B$5)^(O104-1))</x:f>
        <x:v>309.0295432513592</x:v>
      </x:c>
      <x:c r="U104" s="31" t="n">
        <x:f>IF(T104="","",I104*T104)</x:f>
        <x:v>0.005064901505026802</x:v>
      </x:c>
    </x:row>
    <x:row r="105" ht="18" customHeight="1">
      <x:c r="A105" s="24" t="str">
        <x:v>LME_023</x:v>
      </x:c>
      <x:c r="B105" s="24" t="str">
        <x:v>Baltic Sea</x:v>
      </x:c>
      <x:c r="C105" s="24" t="str">
        <x:v>LME</x:v>
      </x:c>
      <x:c r="D105" s="30" t="n">
        <x:v>2019</x:v>
      </x:c>
      <x:c r="E105" s="24" t="str">
        <x:v>Squaliformes</x:v>
      </x:c>
      <x:c r="F105" s="24" t="str">
        <x:v>Bramble, sleeper, dogfish sharks</x:v>
      </x:c>
      <x:c r="G105" s="24" t="str">
        <x:v>Large sharks (&gt;=90 cm)</x:v>
      </x:c>
      <x:c r="H105" s="24" t="str">
        <x:v>Sharks &amp; rays</x:v>
      </x:c>
      <x:c r="I105" s="31" t="n">
        <x:v>0.000014973400000000001</x:v>
      </x:c>
      <x:c r="J105" s="31" t="n">
        <x:v>0</x:v>
      </x:c>
      <x:c r="K105" s="31" t="n">
        <x:v>0.000014973400000000001</x:v>
      </x:c>
      <x:c r="L105" s="31" t="n">
        <x:v>0</x:v>
      </x:c>
      <x:c r="M105" s="31" t="n">
        <x:v>0.000014973400000000001</x:v>
      </x:c>
      <x:c r="N105" s="24" t="str">
        <x:v>squaliformes</x:v>
      </x:c>
      <x:c r="O105" s="32" t="n">
        <x:v>4.19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Squaliformes</x:v>
      </x:c>
      <x:c r="T105" s="32" t="n">
        <x:f>IF(O105="","",(1/'Metadata'!$B$5)^(O105-1))</x:f>
        <x:v>1548.8166189124827</x:v>
      </x:c>
      <x:c r="U105" s="31" t="n">
        <x:f>IF(T105="","",I105*T105)</x:f>
        <x:v>0.02319105076162417</x:v>
      </x:c>
    </x:row>
    <x:row r="106" ht="18" customHeight="1">
      <x:c r="A106" s="24" t="str">
        <x:v>LME_023</x:v>
      </x:c>
      <x:c r="B106" s="24" t="str">
        <x:v>Baltic Sea</x:v>
      </x:c>
      <x:c r="C106" s="24" t="str">
        <x:v>LME</x:v>
      </x:c>
      <x:c r="D106" s="30" t="n">
        <x:v>2019</x:v>
      </x:c>
      <x:c r="E106" s="24" t="str">
        <x:v>Sciaenidae</x:v>
      </x:c>
      <x:c r="F106" s="24" t="str">
        <x:v>Drums, croakers</x:v>
      </x:c>
      <x:c r="G106" s="24" t="str">
        <x:v>Medium demersals (30 - 89 cm)</x:v>
      </x:c>
      <x:c r="H106" s="24" t="str">
        <x:v>Perch-likes</x:v>
      </x:c>
      <x:c r="I106" s="31" t="n">
        <x:v>0.0000135697</x:v>
      </x:c>
      <x:c r="J106" s="31" t="n">
        <x:v>0</x:v>
      </x:c>
      <x:c r="K106" s="31" t="n">
        <x:v>0.0000135697</x:v>
      </x:c>
      <x:c r="L106" s="31" t="n">
        <x:v>0</x:v>
      </x:c>
      <x:c r="M106" s="31" t="n">
        <x:v>0.0000135697</x:v>
      </x:c>
      <x:c r="N106" s="24" t="str">
        <x:v>sciaenidae</x:v>
      </x:c>
      <x:c r="O106" s="32" t="n">
        <x:v>3.76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Sciaenidae</x:v>
      </x:c>
      <x:c r="T106" s="32" t="n">
        <x:f>IF(O106="","",(1/'Metadata'!$B$5)^(O106-1))</x:f>
        <x:v>575.4399373371566</x:v>
      </x:c>
      <x:c r="U106" s="31" t="n">
        <x:f>IF(T106="","",I106*T106)</x:f>
        <x:v>0.0078085473176840135</x:v>
      </x:c>
    </x:row>
    <x:row r="107" ht="18" customHeight="1">
      <x:c r="A107" s="24" t="str">
        <x:v>LME_023</x:v>
      </x:c>
      <x:c r="B107" s="24" t="str">
        <x:v>Baltic Sea</x:v>
      </x:c>
      <x:c r="C107" s="24" t="str">
        <x:v>LME</x:v>
      </x:c>
      <x:c r="D107" s="30" t="n">
        <x:v>2019</x:v>
      </x:c>
      <x:c r="E107" s="24" t="str">
        <x:v>Miscellaneous marine crustaceans</x:v>
      </x:c>
      <x:c r="F107" s="24" t="str">
        <x:v>Marine crabs, shrimps, lobsters nei</x:v>
      </x:c>
      <x:c r="G107" s="24" t="str">
        <x:v>Shrimps</x:v>
      </x:c>
      <x:c r="H107" s="24" t="str">
        <x:v>Crustaceans</x:v>
      </x:c>
      <x:c r="I107" s="31" t="n">
        <x:v>0.0000114675</x:v>
      </x:c>
      <x:c r="J107" s="31" t="n">
        <x:v>0</x:v>
      </x:c>
      <x:c r="K107" s="31" t="n">
        <x:v>0.0000114675</x:v>
      </x:c>
      <x:c r="L107" s="31" t="n">
        <x:v>0</x:v>
      </x:c>
      <x:c r="M107" s="31" t="n">
        <x:v>0.0000114675</x:v>
      </x:c>
      <x:c r="N107" s="24" t="str">
        <x:v>miscellaneous marine crustaceans</x:v>
      </x:c>
      <x:c r="O107" s="32" t="n">
        <x:v>2.7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Miscellaneous marine crustaceans</x:v>
      </x:c>
      <x:c r="T107" s="32" t="n">
        <x:f>IF(O107="","",(1/'Metadata'!$B$5)^(O107-1))</x:f>
        <x:v>50.11872336272725</x:v>
      </x:c>
      <x:c r="U107" s="31" t="n">
        <x:f>IF(T107="","",I107*T107)</x:f>
        <x:v>0.0005747364601620747</x:v>
      </x:c>
    </x:row>
    <x:row r="108" ht="18" customHeight="1">
      <x:c r="A108" s="24" t="str">
        <x:v>LME_023</x:v>
      </x:c>
      <x:c r="B108" s="24" t="str">
        <x:v>Baltic Sea</x:v>
      </x:c>
      <x:c r="C108" s="24" t="str">
        <x:v>LME</x:v>
      </x:c>
      <x:c r="D108" s="30" t="n">
        <x:v>2019</x:v>
      </x:c>
      <x:c r="E108" s="24" t="str">
        <x:v>Clupeidae</x:v>
      </x:c>
      <x:c r="F108" s="24" t="str">
        <x:v>Herrings, sardines, menhadens</x:v>
      </x:c>
      <x:c r="G108" s="24" t="str">
        <x:v>Small pelagics (&lt;30 cm)</x:v>
      </x:c>
      <x:c r="H108" s="24" t="str">
        <x:v>Herring-likes</x:v>
      </x:c>
      <x:c r="I108" s="31" t="n">
        <x:v>0.000008784</x:v>
      </x:c>
      <x:c r="J108" s="31" t="n">
        <x:v>0</x:v>
      </x:c>
      <x:c r="K108" s="31" t="n">
        <x:v>0.000008784</x:v>
      </x:c>
      <x:c r="L108" s="31" t="n">
        <x:v>0</x:v>
      </x:c>
      <x:c r="M108" s="31" t="n">
        <x:v>0.000008784</x:v>
      </x:c>
      <x:c r="N108" s="24" t="str">
        <x:v>clupeidae</x:v>
      </x:c>
      <x:c r="O108" s="32" t="n">
        <x:v>3.16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Clupeidae</x:v>
      </x:c>
      <x:c r="T108" s="32" t="n">
        <x:f>IF(O108="","",(1/'Metadata'!$B$5)^(O108-1))</x:f>
        <x:v>144.5439770745928</x:v>
      </x:c>
      <x:c r="U108" s="31" t="n">
        <x:f>IF(T108="","",I108*T108)</x:f>
        <x:v>0.0012696742946232229</x:v>
      </x:c>
    </x:row>
    <x:row r="109" ht="18" customHeight="1">
      <x:c r="A109" s="24" t="str">
        <x:v>LME_023</x:v>
      </x:c>
      <x:c r="B109" s="24" t="str">
        <x:v>Baltic Sea</x:v>
      </x:c>
      <x:c r="C109" s="24" t="str">
        <x:v>LME</x:v>
      </x:c>
      <x:c r="D109" s="30" t="n">
        <x:v>2019</x:v>
      </x:c>
      <x:c r="E109" s="24" t="str">
        <x:v>Eledone</x:v>
      </x:c>
      <x:c r="F109" s="24" t="str">
        <x:v>Horned, musky octopuses</x:v>
      </x:c>
      <x:c r="G109" s="24" t="str">
        <x:v>Cephalopods</x:v>
      </x:c>
      <x:c r="H109" s="24" t="str">
        <x:v>Other fishes &amp; inverts</x:v>
      </x:c>
      <x:c r="I109" s="31" t="n">
        <x:v>0.000008737700000000001</x:v>
      </x:c>
      <x:c r="J109" s="31" t="n">
        <x:v>0.000008737700000000001</x:v>
      </x:c>
      <x:c r="K109" s="31" t="n">
        <x:v>0</x:v>
      </x:c>
      <x:c r="L109" s="31" t="n">
        <x:v>0.000008737700000000001</x:v>
      </x:c>
      <x:c r="M109" s="31" t="n">
        <x:v>0</x:v>
      </x:c>
      <x:c r="N109" s="24" t="str">
        <x:v>eledone</x:v>
      </x:c>
      <x:c r="O109" s="32" t="n">
        <x:v>3.67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Eledone</x:v>
      </x:c>
      <x:c r="T109" s="32" t="n">
        <x:f>IF(O109="","",(1/'Metadata'!$B$5)^(O109-1))</x:f>
        <x:v>467.73514128719813</x:v>
      </x:c>
      <x:c r="U109" s="31" t="n">
        <x:f>IF(T109="","",I109*T109)</x:f>
        <x:v>0.004086929344025152</x:v>
      </x:c>
    </x:row>
    <x:row r="110" ht="18" customHeight="1">
      <x:c r="A110" s="24" t="str">
        <x:v>LME_023</x:v>
      </x:c>
      <x:c r="B110" s="24" t="str">
        <x:v>Baltic Sea</x:v>
      </x:c>
      <x:c r="C110" s="24" t="str">
        <x:v>LME</x:v>
      </x:c>
      <x:c r="D110" s="30" t="n">
        <x:v>2019</x:v>
      </x:c>
      <x:c r="E110" s="24" t="str">
        <x:v>Amblyraja radiata</x:v>
      </x:c>
      <x:c r="F110" s="24" t="str">
        <x:v>Starry ray</x:v>
      </x:c>
      <x:c r="G110" s="24" t="str">
        <x:v>Large rays (&gt;=90 cm)</x:v>
      </x:c>
      <x:c r="H110" s="24" t="str">
        <x:v>Sharks &amp; rays</x:v>
      </x:c>
      <x:c r="I110" s="31" t="n">
        <x:v>0.0000066977</x:v>
      </x:c>
      <x:c r="J110" s="31" t="n">
        <x:v>0.0000066977</x:v>
      </x:c>
      <x:c r="K110" s="31" t="n">
        <x:v>0</x:v>
      </x:c>
      <x:c r="L110" s="31" t="n">
        <x:v>0.0000066977</x:v>
      </x:c>
      <x:c r="M110" s="31" t="n">
        <x:v>0</x:v>
      </x:c>
      <x:c r="N110" s="24" t="str">
        <x:v>amblyraja radiata</x:v>
      </x:c>
      <x:c r="O110" s="32" t="n">
        <x:v>4.2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Amblyraja radiata</x:v>
      </x:c>
      <x:c r="T110" s="32" t="n">
        <x:f>IF(O110="","",(1/'Metadata'!$B$5)^(O110-1))</x:f>
        <x:v>1584.893192461114</x:v>
      </x:c>
      <x:c r="U110" s="31" t="n">
        <x:f>IF(T110="","",I110*T110)</x:f>
        <x:v>0.010615139135146804</x:v>
      </x:c>
    </x:row>
    <x:row r="111" ht="18" customHeight="1">
      <x:c r="A111" s="24" t="str">
        <x:v>LME_023</x:v>
      </x:c>
      <x:c r="B111" s="24" t="str">
        <x:v>Baltic Sea</x:v>
      </x:c>
      <x:c r="C111" s="24" t="str">
        <x:v>LME</x:v>
      </x:c>
      <x:c r="D111" s="30" t="n">
        <x:v>2019</x:v>
      </x:c>
      <x:c r="E111" s="24" t="str">
        <x:v>Chelon labrosus</x:v>
      </x:c>
      <x:c r="F111" s="24" t="str">
        <x:v>Thicklip grey mullet</x:v>
      </x:c>
      <x:c r="G111" s="24" t="str">
        <x:v>Medium demersals (30 - 89 cm)</x:v>
      </x:c>
      <x:c r="H111" s="24" t="str">
        <x:v>Perch-likes</x:v>
      </x:c>
      <x:c r="I111" s="31" t="n">
        <x:v>0.0000036188999999999998</x:v>
      </x:c>
      <x:c r="J111" s="31" t="n">
        <x:v>0.0000030528</x:v>
      </x:c>
      <x:c r="K111" s="31" t="n">
        <x:v>5.661e-7</x:v>
      </x:c>
      <x:c r="L111" s="31" t="n">
        <x:v>0</x:v>
      </x:c>
      <x:c r="M111" s="31" t="n">
        <x:v>0.0000036188999999999998</x:v>
      </x:c>
      <x:c r="N111" s="24" t="str">
        <x:v>chelon labrosus</x:v>
      </x:c>
      <x:c r="O111" s="32" t="n">
        <x:v>2.59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Chelon labrosus</x:v>
      </x:c>
      <x:c r="T111" s="32" t="n">
        <x:f>IF(O111="","",(1/'Metadata'!$B$5)^(O111-1))</x:f>
        <x:v>38.904514499428046</x:v>
      </x:c>
      <x:c r="U111" s="31" t="n">
        <x:f>IF(T111="","",I111*T111)</x:f>
        <x:v>0.00014079154752198015</x:v>
      </x:c>
    </x:row>
    <x:row r="112" ht="18" customHeight="1">
      <x:c r="A112" s="24" t="str">
        <x:v>LME_023</x:v>
      </x:c>
      <x:c r="B112" s="24" t="str">
        <x:v>Baltic Sea</x:v>
      </x:c>
      <x:c r="C112" s="24" t="str">
        <x:v>LME</x:v>
      </x:c>
      <x:c r="D112" s="30" t="n">
        <x:v>2019</x:v>
      </x:c>
      <x:c r="E112" s="24" t="str">
        <x:v>Zeus faber</x:v>
      </x:c>
      <x:c r="F112" s="24" t="str">
        <x:v>John dory</x:v>
      </x:c>
      <x:c r="G112" s="24" t="str">
        <x:v>Medium benthopelagics (30 - 89 cm)</x:v>
      </x:c>
      <x:c r="H112" s="24" t="str">
        <x:v>Other fishes &amp; inverts</x:v>
      </x:c>
      <x:c r="I112" s="31" t="n">
        <x:v>0.0000034535</x:v>
      </x:c>
      <x:c r="J112" s="31" t="n">
        <x:v>0.0000034535</x:v>
      </x:c>
      <x:c r="K112" s="31" t="n">
        <x:v>0</x:v>
      </x:c>
      <x:c r="L112" s="31" t="n">
        <x:v>0.0000034535</x:v>
      </x:c>
      <x:c r="M112" s="31" t="n">
        <x:v>0</x:v>
      </x:c>
      <x:c r="N112" s="24" t="str">
        <x:v>zeus faber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Zeus faber</x:v>
      </x:c>
      <x:c r="T112" s="32" t="n">
        <x:f>IF(O112="","",(1/'Metadata'!$B$5)^(O112-1))</x:f>
        <x:v>3162.2776601683795</x:v>
      </x:c>
      <x:c r="U112" s="31" t="n">
        <x:f>IF(T112="","",I112*T112)</x:f>
        <x:v>0.010920925899391499</x:v>
      </x:c>
    </x:row>
    <x:row r="113" ht="18" customHeight="1">
      <x:c r="A113" s="24" t="str">
        <x:v>LME_023</x:v>
      </x:c>
      <x:c r="B113" s="24" t="str">
        <x:v>Baltic Sea</x:v>
      </x:c>
      <x:c r="C113" s="24" t="str">
        <x:v>LME</x:v>
      </x:c>
      <x:c r="D113" s="30" t="n">
        <x:v>2019</x:v>
      </x:c>
      <x:c r="E113" s="24" t="str">
        <x:v>Labridae</x:v>
      </x:c>
      <x:c r="F113" s="24" t="str">
        <x:v>Wrasses, gropers, tuskfishes</x:v>
      </x:c>
      <x:c r="G113" s="24" t="str">
        <x:v>Medium reef assoc. fish (30 - 89 cm)</x:v>
      </x:c>
      <x:c r="H113" s="24" t="str">
        <x:v>Perch-likes</x:v>
      </x:c>
      <x:c r="I113" s="31" t="n">
        <x:v>0.000003351</x:v>
      </x:c>
      <x:c r="J113" s="31" t="n">
        <x:v>0.000003351</x:v>
      </x:c>
      <x:c r="K113" s="31" t="n">
        <x:v>0</x:v>
      </x:c>
      <x:c r="L113" s="31" t="n">
        <x:v>0.000003351</x:v>
      </x:c>
      <x:c r="M113" s="31" t="n">
        <x:v>0</x:v>
      </x:c>
      <x:c r="N113" s="24" t="str">
        <x:v>labridae</x:v>
      </x:c>
      <x:c r="O113" s="32" t="n">
        <x:v>3.46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Labridae</x:v>
      </x:c>
      <x:c r="T113" s="32" t="n">
        <x:f>IF(O113="","",(1/'Metadata'!$B$5)^(O113-1))</x:f>
        <x:v>288.40315031266056</x:v>
      </x:c>
      <x:c r="U113" s="31" t="n">
        <x:f>IF(T113="","",I113*T113)</x:f>
        <x:v>0.0009664389566977256</x:v>
      </x:c>
    </x:row>
    <x:row r="114" ht="18" customHeight="1">
      <x:c r="A114" s="24" t="str">
        <x:v>LME_023</x:v>
      </x:c>
      <x:c r="B114" s="24" t="str">
        <x:v>Baltic Sea</x:v>
      </x:c>
      <x:c r="C114" s="24" t="str">
        <x:v>LME</x:v>
      </x:c>
      <x:c r="D114" s="30" t="n">
        <x:v>2019</x:v>
      </x:c>
      <x:c r="E114" s="24" t="str">
        <x:v>Crangonidae</x:v>
      </x:c>
      <x:c r="F114" s="24" t="str">
        <x:v>Brown shrimps</x:v>
      </x:c>
      <x:c r="G114" s="24" t="str">
        <x:v>Shrimps</x:v>
      </x:c>
      <x:c r="H114" s="24" t="str">
        <x:v>Crustaceans</x:v>
      </x:c>
      <x:c r="I114" s="31" t="n">
        <x:v>0.0000027783</x:v>
      </x:c>
      <x:c r="J114" s="31" t="n">
        <x:v>0</x:v>
      </x:c>
      <x:c r="K114" s="31" t="n">
        <x:v>0.0000027783</x:v>
      </x:c>
      <x:c r="L114" s="31" t="n">
        <x:v>0</x:v>
      </x:c>
      <x:c r="M114" s="31" t="n">
        <x:v>0.0000027783</x:v>
      </x:c>
      <x:c r="N114" s="24" t="str">
        <x:v>crangonidae</x:v>
      </x:c>
      <x:c r="O114" s="32" t="n">
        <x:v>3.19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Crangonidae</x:v>
      </x:c>
      <x:c r="T114" s="32" t="n">
        <x:f>IF(O114="","",(1/'Metadata'!$B$5)^(O114-1))</x:f>
        <x:v>154.88166189124811</x:v>
      </x:c>
      <x:c r="U114" s="31" t="n">
        <x:f>IF(T114="","",I114*T114)</x:f>
        <x:v>0.00043030772123245467</x:v>
      </x:c>
    </x:row>
    <x:row r="115" ht="18" customHeight="1">
      <x:c r="A115" s="24" t="str">
        <x:v>LME_023</x:v>
      </x:c>
      <x:c r="B115" s="24" t="str">
        <x:v>Baltic Sea</x:v>
      </x:c>
      <x:c r="C115" s="24" t="str">
        <x:v>LME</x:v>
      </x:c>
      <x:c r="D115" s="30" t="n">
        <x:v>2019</x:v>
      </x:c>
      <x:c r="E115" s="24" t="str">
        <x:v>Carangidae</x:v>
      </x:c>
      <x:c r="F115" s="24" t="str">
        <x:v>Jacks, pompanos</x:v>
      </x:c>
      <x:c r="G115" s="24" t="str">
        <x:v>Medium pelagics (30 - 89 cm)</x:v>
      </x:c>
      <x:c r="H115" s="24" t="str">
        <x:v>Perch-likes</x:v>
      </x:c>
      <x:c r="I115" s="31" t="n">
        <x:v>0.0000025808</x:v>
      </x:c>
      <x:c r="J115" s="31" t="n">
        <x:v>0</x:v>
      </x:c>
      <x:c r="K115" s="31" t="n">
        <x:v>0.0000025808</x:v>
      </x:c>
      <x:c r="L115" s="31" t="n">
        <x:v>0</x:v>
      </x:c>
      <x:c r="M115" s="31" t="n">
        <x:v>0.0000025808</x:v>
      </x:c>
      <x:c r="N115" s="24" t="str">
        <x:v>carangidae</x:v>
      </x:c>
      <x:c r="O115" s="32" t="n">
        <x:v>4.05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Carangidae</x:v>
      </x:c>
      <x:c r="T115" s="32" t="n">
        <x:f>IF(O115="","",(1/'Metadata'!$B$5)^(O115-1))</x:f>
        <x:v>1122.018454301963</x:v>
      </x:c>
      <x:c r="U115" s="31" t="n">
        <x:f>IF(T115="","",I115*T115)</x:f>
        <x:v>0.002895705226862506</x:v>
      </x:c>
    </x:row>
    <x:row r="116" ht="18" customHeight="1">
      <x:c r="A116" s="24" t="str">
        <x:v>LME_023</x:v>
      </x:c>
      <x:c r="B116" s="24" t="str">
        <x:v>Baltic Sea</x:v>
      </x:c>
      <x:c r="C116" s="24" t="str">
        <x:v>LME</x:v>
      </x:c>
      <x:c r="D116" s="30" t="n">
        <x:v>2019</x:v>
      </x:c>
      <x:c r="E116" s="24" t="str">
        <x:v>Bivalvia</x:v>
      </x:c>
      <x:c r="F116" s="24" t="str">
        <x:v>Clams</x:v>
      </x:c>
      <x:c r="G116" s="24" t="str">
        <x:v>Other demersal invertebrates</x:v>
      </x:c>
      <x:c r="H116" s="24" t="str">
        <x:v>Molluscs</x:v>
      </x:c>
      <x:c r="I116" s="31" t="n">
        <x:v>0.0000025008</x:v>
      </x:c>
      <x:c r="J116" s="31" t="n">
        <x:v>0</x:v>
      </x:c>
      <x:c r="K116" s="31" t="n">
        <x:v>0.0000025008</x:v>
      </x:c>
      <x:c r="L116" s="31" t="n">
        <x:v>0</x:v>
      </x:c>
      <x:c r="M116" s="31" t="n">
        <x:v>0.0000025008</x:v>
      </x:c>
      <x:c r="N116" s="24" t="str">
        <x:v>bivalvia</x:v>
      </x:c>
      <x:c r="O116" s="32" t="n">
        <x:v>2.23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Bivalvia</x:v>
      </x:c>
      <x:c r="T116" s="32" t="n">
        <x:f>IF(O116="","",(1/'Metadata'!$B$5)^(O116-1))</x:f>
        <x:v>16.982436524617444</x:v>
      </x:c>
      <x:c r="U116" s="31" t="n">
        <x:f>IF(T116="","",I116*T116)</x:f>
        <x:v>0.0000424696772607633</x:v>
      </x:c>
    </x:row>
    <x:row r="117" ht="18" customHeight="1">
      <x:c r="A117" s="24" t="str">
        <x:v>LME_023</x:v>
      </x:c>
      <x:c r="B117" s="24" t="str">
        <x:v>Baltic Sea</x:v>
      </x:c>
      <x:c r="C117" s="24" t="str">
        <x:v>LME</x:v>
      </x:c>
      <x:c r="D117" s="30" t="n">
        <x:v>2019</x:v>
      </x:c>
      <x:c r="E117" s="24" t="str">
        <x:v>Dicentrarchus labrax</x:v>
      </x:c>
      <x:c r="F117" s="24" t="str">
        <x:v>European seabass</x:v>
      </x:c>
      <x:c r="G117" s="24" t="str">
        <x:v>Large demersals (&gt;=90 cm)</x:v>
      </x:c>
      <x:c r="H117" s="24" t="str">
        <x:v>Perch-likes</x:v>
      </x:c>
      <x:c r="I117" s="31" t="n">
        <x:v>0.0000014312000000000002</x:v>
      </x:c>
      <x:c r="J117" s="31" t="n">
        <x:v>0.0000014312000000000002</x:v>
      </x:c>
      <x:c r="K117" s="31" t="n">
        <x:v>0</x:v>
      </x:c>
      <x:c r="L117" s="31" t="n">
        <x:v>0.0000014312000000000002</x:v>
      </x:c>
      <x:c r="M117" s="31" t="n">
        <x:v>0</x:v>
      </x:c>
      <x:c r="N117" s="24" t="str">
        <x:v>dicentrarchus labrax</x:v>
      </x:c>
      <x:c r="O117" s="32" t="n">
        <x:v>3.79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Dicentrarchus labrax</x:v>
      </x:c>
      <x:c r="T117" s="32" t="n">
        <x:f>IF(O117="","",(1/'Metadata'!$B$5)^(O117-1))</x:f>
        <x:v>616.5950018614822</x:v>
      </x:c>
      <x:c r="U117" s="31" t="n">
        <x:f>IF(T117="","",I117*T117)</x:f>
        <x:v>0.0008824707666641534</x:v>
      </x:c>
    </x:row>
    <x:row r="118" ht="18" customHeight="1">
      <x:c r="A118" s="24" t="str">
        <x:v>LME_023</x:v>
      </x:c>
      <x:c r="B118" s="24" t="str">
        <x:v>Baltic Sea</x:v>
      </x:c>
      <x:c r="C118" s="24" t="str">
        <x:v>LME</x:v>
      </x:c>
      <x:c r="D118" s="30" t="n">
        <x:v>2019</x:v>
      </x:c>
      <x:c r="E118" s="24" t="str">
        <x:v>Bramidae</x:v>
      </x:c>
      <x:c r="F118" s="24" t="str">
        <x:v>Pomfrets</x:v>
      </x:c>
      <x:c r="G118" s="24" t="str">
        <x:v>Medium pelagics (30 - 89 cm)</x:v>
      </x:c>
      <x:c r="H118" s="24" t="str">
        <x:v>Perch-likes</x:v>
      </x:c>
      <x:c r="I118" s="31" t="n">
        <x:v>7.352e-7</x:v>
      </x:c>
      <x:c r="J118" s="31" t="n">
        <x:v>6.267e-7</x:v>
      </x:c>
      <x:c r="K118" s="31" t="n">
        <x:v>1.085e-7</x:v>
      </x:c>
      <x:c r="L118" s="31" t="n">
        <x:v>0</x:v>
      </x:c>
      <x:c r="M118" s="31" t="n">
        <x:v>7.352e-7</x:v>
      </x:c>
      <x:c r="N118" s="24" t="str">
        <x:v>bramidae</x:v>
      </x:c>
      <x:c r="O118" s="32" t="n">
        <x:v>4.14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Bramidae</x:v>
      </x:c>
      <x:c r="T118" s="32" t="n">
        <x:f>IF(O118="","",(1/'Metadata'!$B$5)^(O118-1))</x:f>
        <x:v>1380.3842646028838</x:v>
      </x:c>
      <x:c r="U118" s="31" t="n">
        <x:f>IF(T118="","",I118*T118)</x:f>
        <x:v>0.0010148585113360401</x:v>
      </x:c>
    </x:row>
  </x:sheetData>
  <x:conditionalFormatting sqref="R2:R1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4c468d9a4b844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0.2711890629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34.9359188705006</x:v>
      </x:c>
    </x:row>
    <x:row r="3" ht="18" customHeight="1">
      <x:c r="A3" s="24" t="str">
        <x:v>Cod-likes</x:v>
      </x:c>
      <x:c r="B3" s="31" t="n">
        <x:v>51786.729808338205</x:v>
      </x:c>
      <x:c r="C3" s="32" t="n">
        <x:v>4.110213581737287</x:v>
      </x:c>
      <x:c r="D3" s="32" t="n">
        <x:f>IF(C3="","",(1/'Metadata'!$B$5)^(C3-1))</x:f>
        <x:v>1288.8832559124012</x:v>
      </x:c>
      <x:c r="E3" s="31" t="n">
        <x:f>IF(B3=0,"",B3*D3)</x:f>
        <x:v>66747048.92842674</x:v>
      </x:c>
    </x:row>
    <x:row r="4" ht="18" customHeight="1">
      <x:c r="A4" s="24" t="str">
        <x:v>Crustaceans</x:v>
      </x:c>
      <x:c r="B4" s="31" t="n">
        <x:v>119.46880440439999</x:v>
      </x:c>
      <x:c r="C4" s="32" t="n">
        <x:v>2.9953077190229394</x:v>
      </x:c>
      <x:c r="D4" s="32" t="n">
        <x:f>IF(C4="","",(1/'Metadata'!$B$5)^(C4-1))</x:f>
        <x:v>98.92537814021793</x:v>
      </x:c>
      <x:c r="E4" s="31" t="n">
        <x:f>IF(B4=0,"",B4*D4)</x:f>
        <x:v>11818.496651665002</x:v>
      </x:c>
    </x:row>
    <x:row r="5" ht="18" customHeight="1">
      <x:c r="A5" s="24" t="str">
        <x:v>Flatfishes</x:v>
      </x:c>
      <x:c r="B5" s="31" t="n">
        <x:v>41778.69500006709</x:v>
      </x:c>
      <x:c r="C5" s="32" t="n">
        <x:v>3.4128748891533567</x:v>
      </x:c>
      <x:c r="D5" s="32" t="n">
        <x:f>IF(C5="","",(1/'Metadata'!$B$5)^(C5-1))</x:f>
        <x:v>258.7467414380589</x:v>
      </x:c>
      <x:c r="E5" s="31" t="n">
        <x:f>IF(B5=0,"",B5*D5)</x:f>
        <x:v>10810101.192801883</x:v>
      </x:c>
    </x:row>
    <x:row r="6" ht="18" customHeight="1">
      <x:c r="A6" s="24" t="str">
        <x:v>Herring-likes</x:v>
      </x:c>
      <x:c r="B6" s="31" t="n">
        <x:v>788688.897235735</x:v>
      </x:c>
      <x:c r="C6" s="32" t="n">
        <x:v>3.2132642659304724</x:v>
      </x:c>
      <x:c r="D6" s="32" t="n">
        <x:f>IF(C6="","",(1/'Metadata'!$B$5)^(C6-1))</x:f>
        <x:v>163.404595389291</x:v>
      </x:c>
      <x:c r="E6" s="31" t="n">
        <x:f>IF(B6=0,"",B6*D6)</x:f>
        <x:v>128875390.14083137</x:v>
      </x:c>
    </x:row>
    <x:row r="7" ht="18" customHeight="1">
      <x:c r="A7" s="24" t="str">
        <x:v>Molluscs</x:v>
      </x:c>
      <x:c r="B7" s="31" t="n">
        <x:v>14519.8011704346</x:v>
      </x:c>
      <x:c r="C7" s="32" t="n">
        <x:v>2.0039376769355037</x:v>
      </x:c>
      <x:c r="D7" s="32" t="n">
        <x:f>IF(C7="","",(1/'Metadata'!$B$5)^(C7-1))</x:f>
        <x:v>10.091080644812877</x:v>
      </x:c>
      <x:c r="E7" s="31" t="n">
        <x:f>IF(B7=0,"",B7*D7)</x:f>
        <x:v>146520.48455750395</x:v>
      </x:c>
    </x:row>
    <x:row r="8" ht="18" customHeight="1">
      <x:c r="A8" s="24" t="str">
        <x:v>Other fishes &amp; inverts</x:v>
      </x:c>
      <x:c r="B8" s="31" t="n">
        <x:v>14583.973620221299</x:v>
      </x:c>
      <x:c r="C8" s="32" t="n">
        <x:v>3.0985952997722928</x:v>
      </x:c>
      <x:c r="D8" s="32" t="n">
        <x:f>IF(C8="","",(1/'Metadata'!$B$5)^(C8-1))</x:f>
        <x:v>125.48600689152317</x:v>
      </x:c>
      <x:c r="E8" s="31" t="n">
        <x:f>IF(B8=0,"",B8*D8)</x:f>
        <x:v>1830084.614212882</x:v>
      </x:c>
    </x:row>
    <x:row r="9" ht="18" customHeight="1">
      <x:c r="A9" s="24" t="str">
        <x:v>Perch-likes</x:v>
      </x:c>
      <x:c r="B9" s="31" t="n">
        <x:v>11175.4109975239</x:v>
      </x:c>
      <x:c r="C9" s="32" t="n">
        <x:v>4.040212447425251</x:v>
      </x:c>
      <x:c r="D9" s="32" t="n">
        <x:f>IF(C9="","",(1/'Metadata'!$B$5)^(C9-1))</x:f>
        <x:v>1097.0147006676023</x:v>
      </x:c>
      <x:c r="E9" s="31" t="n">
        <x:f>IF(B9=0,"",B9*D9)</x:f>
        <x:v>12259590.150286112</x:v>
      </x:c>
    </x:row>
    <x:row r="10" ht="18" customHeight="1">
      <x:c r="A10" s="24" t="str">
        <x:v>Salmon, smelts, etc</x:v>
      </x:c>
      <x:c r="B10" s="31" t="n">
        <x:v>13983.700319652999</x:v>
      </x:c>
      <x:c r="C10" s="32" t="n">
        <x:v>3.5283742447782616</x:v>
      </x:c>
      <x:c r="D10" s="32" t="n">
        <x:f>IF(C10="","",(1/'Metadata'!$B$5)^(C10-1))</x:f>
        <x:v>337.57808466959165</x:v>
      </x:c>
      <x:c r="E10" s="31" t="n">
        <x:f>IF(B10=0,"",B10*D10)</x:f>
        <x:v>4720590.770502016</x:v>
      </x:c>
    </x:row>
    <x:row r="11" ht="18" customHeight="1">
      <x:c r="A11" s="24" t="str">
        <x:v>Scorpionfishes</x:v>
      </x:c>
      <x:c r="B11" s="31" t="n">
        <x:v>535.6695167353</x:v>
      </x:c>
      <x:c r="C11" s="32" t="n">
        <x:v>3.7007678573896152</x:v>
      </x:c>
      <x:c r="D11" s="32" t="n">
        <x:f>IF(C11="","",(1/'Metadata'!$B$5)^(C11-1))</x:f>
        <x:v>502.074145037321</x:v>
      </x:c>
      <x:c r="E11" s="31" t="n">
        <x:f>IF(B11=0,"",B11*D11)</x:f>
        <x:v>268945.81463743065</x:v>
      </x:c>
    </x:row>
    <x:row r="12" ht="18" customHeight="1">
      <x:c r="A12" s="24" t="str">
        <x:v>Sharks &amp; rays</x:v>
      </x:c>
      <x:c r="B12" s="31" t="n">
        <x:v>0.029330830000000002</x:v>
      </x:c>
      <x:c r="C12" s="32" t="n">
        <x:v>3.8966667239215527</x:v>
      </x:c>
      <x:c r="D12" s="32" t="n">
        <x:f>IF(C12="","",(1/'Metadata'!$B$5)^(C12-1))</x:f>
        <x:v>788.2549813210164</x:v>
      </x:c>
      <x:c r="E12" s="31" t="n">
        <x:f>IF(B12=0,"",B12*D12)</x:f>
        <x:v>23.12017285377991</x:v>
      </x:c>
    </x:row>
  </x:sheetData>
  <x:pageMargins left="0.7" right="0.7" top="0.75" bottom="0.75" header="0.3" footer="0.3"/>
  <x:tableParts count="1">
    <x:tablePart xmlns:r="http://schemas.openxmlformats.org/officeDocument/2006/relationships" r:id="Rcf6cd02779a74e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0.024559780399999998</x:v>
      </x:c>
      <x:c r="C2" s="32" t="n">
        <x:v>3.8071207497848794</x:v>
      </x:c>
      <x:c r="D2" s="32" t="n">
        <x:f>IF(C2="","",(1/'Metadata'!$B$5)^(C2-1))</x:f>
        <x:v>641.3878811372139</x:v>
      </x:c>
      <x:c r="E2" s="31" t="n">
        <x:f>IF(B2=0,"",B2*D2)</x:f>
        <x:v>15.752345511951274</x:v>
      </x:c>
    </x:row>
    <x:row r="3" ht="18" customHeight="1">
      <x:c r="A3" s="24" t="str">
        <x:v>Large benthopelagics (&gt;=90 cm)</x:v>
      </x:c>
      <x:c r="B3" s="31" t="n">
        <x:v>48555.4365787246</x:v>
      </x:c>
      <x:c r="C3" s="32" t="n">
        <x:v>4.097200216148116</x:v>
      </x:c>
      <x:c r="D3" s="32" t="n">
        <x:f>IF(C3="","",(1/'Metadata'!$B$5)^(C3-1))</x:f>
        <x:v>1250.8355509140517</x:v>
      </x:c>
      <x:c r="E3" s="31" t="n">
        <x:f>IF(B3=0,"",B3*D3)</x:f>
        <x:v>60734866.26282128</x:v>
      </x:c>
    </x:row>
    <x:row r="4" ht="18" customHeight="1">
      <x:c r="A4" s="24" t="str">
        <x:v>Large demersals (&gt;=90 cm)</x:v>
      </x:c>
      <x:c r="B4" s="31" t="n">
        <x:v>2442.9237946779</x:v>
      </x:c>
      <x:c r="C4" s="32" t="n">
        <x:v>3.9391886804413327</x:v>
      </x:c>
      <x:c r="D4" s="32" t="n">
        <x:f>IF(C4="","",(1/'Metadata'!$B$5)^(C4-1))</x:f>
        <x:v>869.3380335728496</x:v>
      </x:c>
      <x:c r="E4" s="31" t="n">
        <x:f>IF(B4=0,"",B4*D4)</x:f>
        <x:v>2123726.567833609</x:v>
      </x:c>
    </x:row>
    <x:row r="5" ht="18" customHeight="1">
      <x:c r="A5" s="24" t="str">
        <x:v>Large flatfishes (&gt;=90 cm)</x:v>
      </x:c>
      <x:c r="B5" s="31" t="n">
        <x:v>6018.0994695500995</x:v>
      </x:c>
      <x:c r="C5" s="32" t="n">
        <x:v>3.467553039334695</x:v>
      </x:c>
      <x:c r="D5" s="32" t="n">
        <x:f>IF(C5="","",(1/'Metadata'!$B$5)^(C5-1))</x:f>
        <x:v>293.4627881077116</x:v>
      </x:c>
      <x:c r="E5" s="31" t="n">
        <x:f>IF(B5=0,"",B5*D5)</x:f>
        <x:v>1766088.2494437124</x:v>
      </x:c>
    </x:row>
    <x:row r="6" ht="18" customHeight="1">
      <x:c r="A6" s="24" t="str">
        <x:v>Large pelagics (&gt;=90 cm)</x:v>
      </x:c>
      <x:c r="B6" s="31" t="n">
        <x:v>3126.3407776511</x:v>
      </x:c>
      <x:c r="C6" s="32" t="n">
        <x:v>3.889773644672055</x:v>
      </x:c>
      <x:c r="D6" s="32" t="n">
        <x:f>IF(C6="","",(1/'Metadata'!$B$5)^(C6-1))</x:f>
        <x:v>775.8426401817314</x:v>
      </x:c>
      <x:c r="E6" s="31" t="n">
        <x:f>IF(B6=0,"",B6*D6)</x:f>
        <x:v>2425548.483040637</x:v>
      </x:c>
    </x:row>
    <x:row r="7" ht="18" customHeight="1">
      <x:c r="A7" s="24" t="str">
        <x:v>Large rays (&gt;=90 cm)</x:v>
      </x:c>
      <x:c r="B7" s="31" t="n">
        <x:v>0.0026441969000000004</x:v>
      </x:c>
      <x:c r="C7" s="32" t="n">
        <x:v>3.840911873090842</x:v>
      </x:c>
      <x:c r="D7" s="32" t="n">
        <x:f>IF(C7="","",(1/'Metadata'!$B$5)^(C7-1))</x:f>
        <x:v>693.2851105303912</x:v>
      </x:c>
      <x:c r="E7" s="31" t="n">
        <x:f>IF(B7=0,"",B7*D7)</x:f>
        <x:v>1.833182340080618</x:v>
      </x:c>
    </x:row>
    <x:row r="8" ht="18" customHeight="1">
      <x:c r="A8" s="24" t="str">
        <x:v>Large sharks (&gt;=90 cm)</x:v>
      </x:c>
      <x:c r="B8" s="31" t="n">
        <x:v>0.004793096199999999</x:v>
      </x:c>
      <x:c r="C8" s="32" t="n">
        <x:v>4.36869518371027</x:v>
      </x:c>
      <x:c r="D8" s="32" t="n">
        <x:f>IF(C8="","",(1/'Metadata'!$B$5)^(C8-1))</x:f>
        <x:v>2337.1962655589696</x:v>
      </x:c>
      <x:c r="E8" s="31" t="n">
        <x:f>IF(B8=0,"",B8*D8)</x:f>
        <x:v>11.202406539104887</x:v>
      </x:c>
    </x:row>
    <x:row r="9" ht="18" customHeight="1">
      <x:c r="A9" s="24" t="str">
        <x:v>Lobsters, crabs</x:v>
      </x:c>
      <x:c r="B9" s="31" t="n">
        <x:v>28.4579582568</x:v>
      </x:c>
      <x:c r="C9" s="32" t="n">
        <x:v>2.6161800750913664</x:v>
      </x:c>
      <x:c r="D9" s="32" t="n">
        <x:f>IF(C9="","",(1/'Metadata'!$B$5)^(C9-1))</x:f>
        <x:v>41.321880278304874</x:v>
      </x:c>
      <x:c r="E9" s="31" t="n">
        <x:f>IF(B9=0,"",B9*D9)</x:f>
        <x:v>1175.9363440524874</x:v>
      </x:c>
    </x:row>
    <x:row r="10" ht="18" customHeight="1">
      <x:c r="A10" s="24" t="str">
        <x:v>Medium benthopelagics (30 - 89 cm)</x:v>
      </x:c>
      <x:c r="B10" s="31" t="n">
        <x:v>7307.889372361199</x:v>
      </x:c>
      <x:c r="C10" s="32" t="n">
        <x:v>3.747326659156356</x:v>
      </x:c>
      <x:c r="D10" s="32" t="n">
        <x:f>IF(C10="","",(1/'Metadata'!$B$5)^(C10-1))</x:f>
        <x:v>558.8904119755192</x:v>
      </x:c>
      <x:c r="E10" s="31" t="n">
        <x:f>IF(B10=0,"",B10*D10)</x:f>
        <x:v>4084309.301990469</x:v>
      </x:c>
    </x:row>
    <x:row r="11" ht="18" customHeight="1">
      <x:c r="A11" s="24" t="str">
        <x:v>Medium demersals (30 - 89 cm)</x:v>
      </x:c>
      <x:c r="B11" s="31" t="n">
        <x:v>15885.517773366697</x:v>
      </x:c>
      <x:c r="C11" s="32" t="n">
        <x:v>3.5391914544035363</x:v>
      </x:c>
      <x:c r="D11" s="32" t="n">
        <x:f>IF(C11="","",(1/'Metadata'!$B$5)^(C11-1))</x:f>
        <x:v>346.0919153805286</x:v>
      </x:c>
      <x:c r="E11" s="31" t="n">
        <x:f>IF(B11=0,"",B11*D11)</x:f>
        <x:v>5497849.27299591</x:v>
      </x:c>
    </x:row>
    <x:row r="12" ht="18" customHeight="1">
      <x:c r="A12" s="24" t="str">
        <x:v>Medium pelagics (30 - 89 cm)</x:v>
      </x:c>
      <x:c r="B12" s="31" t="n">
        <x:v>445632.6189725713</x:v>
      </x:c>
      <x:c r="C12" s="32" t="n">
        <x:v>3.3820450404361786</x:v>
      </x:c>
      <x:c r="D12" s="32" t="n">
        <x:f>IF(C12="","",(1/'Metadata'!$B$5)^(C12-1))</x:f>
        <x:v>241.01553715821453</x:v>
      </x:c>
      <x:c r="E12" s="31" t="n">
        <x:f>IF(B12=0,"",B12*D12)</x:f>
        <x:v>107404385.03689621</x:v>
      </x:c>
    </x:row>
    <x:row r="13" ht="18" customHeight="1">
      <x:c r="A13" s="24" t="str">
        <x:v>Medium reef assoc. fish (30 - 89 cm)</x:v>
      </x:c>
      <x:c r="B13" s="31" t="n">
        <x:v>0.22570889990000004</x:v>
      </x:c>
      <x:c r="C13" s="32" t="n">
        <x:v>2.5512687148939484</x:v>
      </x:c>
      <x:c r="D13" s="32" t="n">
        <x:f>IF(C13="","",(1/'Metadata'!$B$5)^(C13-1))</x:f>
        <x:v>35.5851429591673</x:v>
      </x:c>
      <x:c r="E13" s="31" t="n">
        <x:f>IF(B13=0,"",B13*D13)</x:f>
        <x:v>8.031883470097883</x:v>
      </x:c>
    </x:row>
    <x:row r="14" ht="18" customHeight="1">
      <x:c r="A14" s="24" t="str">
        <x:v>Other demersal invertebrates</x:v>
      </x:c>
      <x:c r="B14" s="31" t="n">
        <x:v>14519.8011704346</x:v>
      </x:c>
      <x:c r="C14" s="32" t="n">
        <x:v>2.0039376769355037</x:v>
      </x:c>
      <x:c r="D14" s="32" t="n">
        <x:f>IF(C14="","",(1/'Metadata'!$B$5)^(C14-1))</x:f>
        <x:v>10.091080644812877</x:v>
      </x:c>
      <x:c r="E14" s="31" t="n">
        <x:f>IF(B14=0,"",B14*D14)</x:f>
        <x:v>146520.48455750395</x:v>
      </x:c>
    </x:row>
    <x:row r="15" ht="18" customHeight="1">
      <x:c r="A15" s="24" t="str">
        <x:v>Shrimps</x:v>
      </x:c>
      <x:c r="B15" s="31" t="n">
        <x:v>91.0108461476</x:v>
      </x:c>
      <x:c r="C15" s="32" t="n">
        <x:v>3.113856212105904</x:v>
      </x:c>
      <x:c r="D15" s="32" t="n">
        <x:f>IF(C15="","",(1/'Metadata'!$B$5)^(C15-1))</x:f>
        <x:v>129.97391841209634</x:v>
      </x:c>
      <x:c r="E15" s="31" t="n">
        <x:f>IF(B15=0,"",B15*D15)</x:f>
        <x:v>11829.036291804015</x:v>
      </x:c>
    </x:row>
    <x:row r="16" ht="18" customHeight="1">
      <x:c r="A16" s="24" t="str">
        <x:v>Small benthopelagics (&lt;30 cm)</x:v>
      </x:c>
      <x:c r="B16" s="31" t="n">
        <x:v>312.8985728268</x:v>
      </x:c>
      <x:c r="C16" s="32" t="n">
        <x:v>3.3099999999999996</x:v>
      </x:c>
      <x:c r="D16" s="32" t="n">
        <x:f>IF(C16="","",(1/'Metadata'!$B$5)^(C16-1))</x:f>
        <x:v>204.17379446695276</x:v>
      </x:c>
      <x:c r="E16" s="31" t="n">
        <x:f>IF(B16=0,"",B16*D16)</x:f>
        <x:v>63885.688897341905</x:v>
      </x:c>
    </x:row>
    <x:row r="17" ht="18" customHeight="1">
      <x:c r="A17" s="24" t="str">
        <x:v>Small demersals (&lt;30 cm)</x:v>
      </x:c>
      <x:c r="B17" s="31" t="n">
        <x:v>789.3196426698</x:v>
      </x:c>
      <x:c r="C17" s="32" t="n">
        <x:v>3.137437098949235</x:v>
      </x:c>
      <x:c r="D17" s="32" t="n">
        <x:f>IF(C17="","",(1/'Metadata'!$B$5)^(C17-1))</x:f>
        <x:v>137.22621949888077</x:v>
      </x:c>
      <x:c r="E17" s="31" t="n">
        <x:f>IF(B17=0,"",B17*D17)</x:f>
        <x:v>108315.3505397841</x:v>
      </x:c>
    </x:row>
    <x:row r="18" ht="18" customHeight="1">
      <x:c r="A18" s="24" t="str">
        <x:v>Small pelagics (&lt;30 cm)</x:v>
      </x:c>
      <x:c r="B18" s="31" t="n">
        <x:v>355522.2616487636</x:v>
      </x:c>
      <x:c r="C18" s="32" t="n">
        <x:v>3.0100000762827723</x:v>
      </x:c>
      <x:c r="D18" s="32" t="n">
        <x:f>IF(C18="","",(1/'Metadata'!$B$5)^(C18-1))</x:f>
        <x:v>102.3293172019702</x:v>
      </x:c>
      <x:c r="E18" s="31" t="n">
        <x:f>IF(B18=0,"",B18*D18)</x:f>
        <x:v>36380350.28461818</x:v>
      </x:c>
    </x:row>
    <x:row r="19" ht="18" customHeight="1">
      <x:c r="A19" s="24" t="str">
        <x:v>Small reef assoc. fish (&lt;30 cm)</x:v>
      </x:c>
      <x:c r="B19" s="31" t="n">
        <x:v>1179.1952849763</x:v>
      </x:c>
      <x:c r="C19" s="32" t="n">
        <x:v>3.1102490999260946</x:v>
      </x:c>
      <x:c r="D19" s="32" t="n">
        <x:f>IF(C19="","",(1/'Metadata'!$B$5)^(C19-1))</x:f>
        <x:v>128.8988669802681</x:v>
      </x:c>
      <x:c r="E19" s="31" t="n">
        <x:f>IF(B19=0,"",B19*D19)</x:f>
        <x:v>151996.93618191945</x:v>
      </x:c>
    </x:row>
    <x:row r="20" ht="18" customHeight="1">
      <x:c r="A20" s="24" t="str">
        <x:v>Small to medium flatfishes (&lt;90 cm)</x:v>
      </x:c>
      <x:c r="B20" s="31" t="n">
        <x:v>35760.59553051699</x:v>
      </x:c>
      <x:c r="C20" s="32" t="n">
        <x:v>3.4036731814714614</x:v>
      </x:c>
      <x:c r="D20" s="32" t="n">
        <x:f>IF(C20="","",(1/'Metadata'!$B$5)^(C20-1))</x:f>
        <x:v>253.32215941971873</x:v>
      </x:c>
      <x:c r="E20" s="31" t="n">
        <x:f>IF(B20=0,"",B20*D20)</x:f>
        <x:v>9058951.281925706</x:v>
      </x:c>
    </x:row>
    <x:row r="21" ht="18" customHeight="1">
      <x:c r="A21" s="24" t="str">
        <x:v>Small to medium rays (&lt;90 cm)</x:v>
      </x:c>
      <x:c r="B21" s="31" t="n">
        <x:v>0.021827263200000002</x:v>
      </x:c>
      <x:c r="C21" s="32" t="n">
        <x:v>3.8</x:v>
      </x:c>
      <x:c r="D21" s="32" t="n">
        <x:f>IF(C21="","",(1/'Metadata'!$B$5)^(C21-1))</x:f>
        <x:v>630.957344480193</x:v>
      </x:c>
      <x:c r="E21" s="31" t="n">
        <x:f>IF(B21=0,"",B21*D21)</x:f>
        <x:v>13.772072025942242</x:v>
      </x:c>
    </x:row>
    <x:row r="22" ht="18" customHeight="1">
      <x:c r="A22" s="24" t="str">
        <x:v>Small to medium sharks (&lt;90 cm)</x:v>
      </x:c>
      <x:c r="B22" s="31" t="n">
        <x:v>0.0000662737</x:v>
      </x:c>
      <x:c r="C22" s="32" t="n">
        <x:v>3.82</x:v>
      </x:c>
      <x:c r="D22" s="32" t="n">
        <x:f>IF(C22="","",(1/'Metadata'!$B$5)^(C22-1))</x:f>
        <x:v>660.6934480075957</x:v>
      </x:c>
      <x:c r="E22" s="31" t="n">
        <x:f>IF(B22=0,"",B22*D22)</x:f>
        <x:v>0.043786599365221</x:v>
      </x:c>
    </x:row>
  </x:sheetData>
  <x:pageMargins left="0.7" right="0.7" top="0.75" bottom="0.75" header="0.3" footer="0.3"/>
  <x:tableParts count="1">
    <x:tablePart xmlns:r="http://schemas.openxmlformats.org/officeDocument/2006/relationships" r:id="R641b9c4c96544c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LME_023</x:v>
      </x:c>
      <x:c r="B2" s="24" t="str">
        <x:v>raw_filtered_tonnes</x:v>
      </x:c>
      <x:c r="C2" s="24" t="n">
        <x:v>937172.6469930056</x:v>
      </x:c>
      <x:c r="D2" s="24" t="str">
        <x:v>tonnes</x:v>
      </x:c>
    </x:row>
    <x:row r="3" ht="18" customHeight="1">
      <x:c r="A3" s="24" t="str">
        <x:v>LME_023</x:v>
      </x:c>
      <x:c r="B3" s="24" t="str">
        <x:v>species_catch_tonnes</x:v>
      </x:c>
      <x:c r="C3" s="24" t="n">
        <x:v>937172.6469930055</x:v>
      </x:c>
      <x:c r="D3" s="24" t="str">
        <x:v>tonnes</x:v>
      </x:c>
    </x:row>
    <x:row r="4" ht="18" customHeight="1">
      <x:c r="A4" s="24" t="str">
        <x:v>LME_023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LME_023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LME_023</x:v>
      </x:c>
      <x:c r="B6" s="24" t="str">
        <x:v>matched_catch_tonnes</x:v>
      </x:c>
      <x:c r="C6" s="24" t="n">
        <x:v>937172.6469930055</x:v>
      </x:c>
      <x:c r="D6" s="24" t="str">
        <x:v>tonnes</x:v>
      </x:c>
    </x:row>
    <x:row r="7" ht="18" customHeight="1">
      <x:c r="A7" s="24" t="str">
        <x:v>LME_023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LME_023</x:v>
      </x:c>
      <x:c r="B8" s="24" t="str">
        <x:v>taxa_count</x:v>
      </x:c>
      <x:c r="C8" s="24" t="n">
        <x:v>117</x:v>
      </x:c>
      <x:c r="D8" s="24" t="str">
        <x:v>count</x:v>
      </x:c>
    </x:row>
    <x:row r="9" ht="18" customHeight="1">
      <x:c r="A9" s="24" t="str">
        <x:v>LME_023</x:v>
      </x:c>
      <x:c r="B9" s="24" t="str">
        <x:v>matched_taxa_count</x:v>
      </x:c>
      <x:c r="C9" s="24" t="n">
        <x:v>117</x:v>
      </x:c>
      <x:c r="D9" s="24" t="str">
        <x:v>count</x:v>
      </x:c>
    </x:row>
    <x:row r="10" ht="18" customHeight="1">
      <x:c r="A10" s="24" t="str">
        <x:v>LME_023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LME_023</x:v>
      </x:c>
      <x:c r="B11" s="24" t="str">
        <x:v>species_ppr</x:v>
      </x:c>
      <x:c r="C11" s="24" t="n">
        <x:v>250346631.37596366</x:v>
      </x:c>
      <x:c r="D11" s="24" t="str">
        <x:v>tonnes_primary_production_equivalent</x:v>
      </x:c>
    </x:row>
    <x:row r="12" ht="18" customHeight="1">
      <x:c r="A12" s="24" t="str">
        <x:v>LME_023</x:v>
      </x:c>
      <x:c r="B12" s="24" t="str">
        <x:v>commercial_ppr</x:v>
      </x:c>
      <x:c r="C12" s="24" t="n">
        <x:v>225670148.64899933</x:v>
      </x:c>
      <x:c r="D12" s="24" t="str">
        <x:v>tonnes_primary_production_equivalent</x:v>
      </x:c>
    </x:row>
    <x:row r="13" ht="18" customHeight="1">
      <x:c r="A13" s="24" t="str">
        <x:v>LME_023</x:v>
      </x:c>
      <x:c r="B13" s="24" t="str">
        <x:v>functional_ppr</x:v>
      </x:c>
      <x:c r="C13" s="24" t="n">
        <x:v>229959848.8100546</x:v>
      </x:c>
      <x:c r="D13" s="24" t="str">
        <x:v>tonnes_primary_production_equivalent</x:v>
      </x:c>
    </x:row>
    <x:row r="14" ht="18" customHeight="1">
      <x:c r="A14" s="24" t="str">
        <x:v>LME_023</x:v>
      </x:c>
      <x:c r="B14" s="24" t="str">
        <x:v>commercial_ppr_difference</x:v>
      </x:c>
      <x:c r="C14" s="24" t="n">
        <x:v>-24676482.726964325</x:v>
      </x:c>
      <x:c r="D14" s="24" t="str">
        <x:v>tonnes_primary_production_equivalent</x:v>
      </x:c>
    </x:row>
    <x:row r="15" ht="18" customHeight="1">
      <x:c r="A15" s="24" t="str">
        <x:v>LME_023</x:v>
      </x:c>
      <x:c r="B15" s="24" t="str">
        <x:v>functional_ppr_difference</x:v>
      </x:c>
      <x:c r="C15" s="24" t="n">
        <x:v>-20386782.565909058</x:v>
      </x:c>
      <x:c r="D15" s="24" t="str">
        <x:v>tonnes_primary_production_equivalent</x:v>
      </x:c>
    </x:row>
    <x:row r="16" ht="18" customHeight="1">
      <x:c r="A16" s="24" t="str">
        <x:v>LME_023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75fe16c1d1e4b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LME_023 - Baltic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