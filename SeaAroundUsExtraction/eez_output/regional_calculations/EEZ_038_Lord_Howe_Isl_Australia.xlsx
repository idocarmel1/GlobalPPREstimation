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cf0be7f66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5236a0a7e97452c"/>
    <x:sheet xmlns:r="http://schemas.openxmlformats.org/officeDocument/2006/relationships" name="Commercial" sheetId="2" r:id="Redf57755ae114dc8"/>
    <x:sheet xmlns:r="http://schemas.openxmlformats.org/officeDocument/2006/relationships" name="Functional" sheetId="3" r:id="R7f6587a7e7774900"/>
    <x:sheet xmlns:r="http://schemas.openxmlformats.org/officeDocument/2006/relationships" name="Missing TL" sheetId="4" r:id="R9bd30e7e390e4c73"/>
    <x:sheet xmlns:r="http://schemas.openxmlformats.org/officeDocument/2006/relationships" name="Validation" sheetId="5" r:id="Rffc14f8842f44e06"/>
    <x:sheet xmlns:r="http://schemas.openxmlformats.org/officeDocument/2006/relationships" name="Metadata" sheetId="6" r:id="R422f6780a3ab40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b461e80d546f8" /><Relationship Type="http://schemas.openxmlformats.org/officeDocument/2006/relationships/theme" Target="/xl/theme/theme1.xml" Id="R8f247feebfd44d22" /><Relationship Type="http://schemas.microsoft.com/office/2022/11/relationships/FeaturePropertyBag" Target="/xl/featurePropertyBag/featurePropertyBag.xml" Id="R94532005d189402a" /><Relationship Type="http://schemas.openxmlformats.org/officeDocument/2006/relationships/sharedStrings" Target="/xl/sharedStrings.xml" Id="R4112461077b74b8b" /><Relationship Type="http://schemas.openxmlformats.org/officeDocument/2006/relationships/worksheet" Target="/xl/worksheets/sheet1.xml" Id="R45236a0a7e97452c" /><Relationship Type="http://schemas.openxmlformats.org/officeDocument/2006/relationships/worksheet" Target="/xl/worksheets/sheet2.xml" Id="Redf57755ae114dc8" /><Relationship Type="http://schemas.openxmlformats.org/officeDocument/2006/relationships/worksheet" Target="/xl/worksheets/sheet3.xml" Id="R7f6587a7e7774900" /><Relationship Type="http://schemas.openxmlformats.org/officeDocument/2006/relationships/worksheet" Target="/xl/worksheets/sheet4.xml" Id="R9bd30e7e390e4c73" /><Relationship Type="http://schemas.openxmlformats.org/officeDocument/2006/relationships/worksheet" Target="/xl/worksheets/sheet5.xml" Id="Rffc14f8842f44e06" /><Relationship Type="http://schemas.openxmlformats.org/officeDocument/2006/relationships/worksheet" Target="/xl/worksheets/sheet6.xml" Id="R422f6780a3ab40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38SpeciesTable" displayName="EEZ038SpeciesTable" ref="A1:U19" headerRowCount="1" totalsRowCount="0" totalsRowShown="0">
  <x:autoFilter ref="A1:U1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38CommercialTable" displayName="EEZ038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38FunctionalTable" displayName="EEZ038FunctionalTable" ref="A1:O8" headerRowCount="1" totalsRowCount="0" totalsRowShown="0">
  <x:autoFilter ref="A1:O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38ValidationTable" displayName="EEZ03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0f8285dc3345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e3c8f349744a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fd9685180849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c764e6e65145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EEZ_038</x:v>
      </x:c>
      <x:c r="B2" s="24" t="str">
        <x:v>Lord Howe Isl. (Australia)</x:v>
      </x:c>
      <x:c r="C2" s="24" t="str">
        <x:v>EEZ</x:v>
      </x:c>
      <x:c r="D2" s="30" t="n">
        <x:v>2019</x:v>
      </x:c>
      <x:c r="E2" s="24" t="str">
        <x:v>Prionace glauca</x:v>
      </x:c>
      <x:c r="F2" s="24" t="str">
        <x:v>Blue shark</x:v>
      </x:c>
      <x:c r="G2" s="24" t="str">
        <x:v>Large sharks (&gt;=90 cm)</x:v>
      </x:c>
      <x:c r="H2" s="24" t="str">
        <x:v>Sharks &amp; rays</x:v>
      </x:c>
      <x:c r="I2" s="31" t="n">
        <x:v>22.028991824000002</x:v>
      </x:c>
      <x:c r="J2" s="31" t="n">
        <x:v>14.7827253779</x:v>
      </x:c>
      <x:c r="K2" s="31" t="n">
        <x:v>7.2462664461</x:v>
      </x:c>
      <x:c r="L2" s="31" t="n">
        <x:v>14.7827253779</x:v>
      </x:c>
      <x:c r="M2" s="31" t="n">
        <x:v>7.2462664461</x:v>
      </x:c>
      <x:c r="N2" s="24" t="str">
        <x:v>prionace glauca</x:v>
      </x:c>
      <x:c r="O2" s="32" t="n">
        <x:v>4.35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Prionace glauca</x:v>
      </x:c>
      <x:c r="T2" s="32" t="n">
        <x:f>IF(O2="","",(1/'Metadata'!$B$5)^(O2-1))</x:f>
        <x:v>2238.7211385683377</x:v>
      </x:c>
      <x:c r="U2" s="31" t="n">
        <x:f>IF(T2="","",I2*T2)</x:f>
        <x:v>49316.76965773789</x:v>
      </x:c>
    </x:row>
    <x:row r="3" ht="18" customHeight="1">
      <x:c r="A3" s="24" t="str">
        <x:v>EEZ_038</x:v>
      </x:c>
      <x:c r="B3" s="24" t="str">
        <x:v>Lord Howe Isl. (Australia)</x:v>
      </x:c>
      <x:c r="C3" s="24" t="str">
        <x:v>EEZ</x:v>
      </x:c>
      <x:c r="D3" s="30" t="n">
        <x:v>2019</x:v>
      </x:c>
      <x:c r="E3" s="24" t="str">
        <x:v>Xiphias gladius</x:v>
      </x:c>
      <x:c r="F3" s="24" t="str">
        <x:v>Swordfish</x:v>
      </x:c>
      <x:c r="G3" s="24" t="str">
        <x:v>Large pelagics (&gt;=90 cm)</x:v>
      </x:c>
      <x:c r="H3" s="24" t="str">
        <x:v>Tuna &amp; billfishes</x:v>
      </x:c>
      <x:c r="I3" s="31" t="n">
        <x:v>18.7778227238</x:v>
      </x:c>
      <x:c r="J3" s="31" t="n">
        <x:v>18.7778227238</x:v>
      </x:c>
      <x:c r="K3" s="31" t="n">
        <x:v>0</x:v>
      </x:c>
      <x:c r="L3" s="31" t="n">
        <x:v>18.7778227238</x:v>
      </x:c>
      <x:c r="M3" s="31" t="n">
        <x:v>0</x:v>
      </x:c>
      <x:c r="N3" s="24" t="str">
        <x:v>xiphias gladius</x:v>
      </x:c>
      <x:c r="O3" s="32" t="n">
        <x:v>4.53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Xiphias gladius</x:v>
      </x:c>
      <x:c r="T3" s="32" t="n">
        <x:f>IF(O3="","",(1/'Metadata'!$B$5)^(O3-1))</x:f>
        <x:v>3388.4415613920273</x:v>
      </x:c>
      <x:c r="U3" s="31" t="n">
        <x:f>IF(T3="","",I3*T3)</x:f>
        <x:v>63627.554949775564</x:v>
      </x:c>
    </x:row>
    <x:row r="4" ht="18" customHeight="1">
      <x:c r="A4" s="24" t="str">
        <x:v>EEZ_038</x:v>
      </x:c>
      <x:c r="B4" s="24" t="str">
        <x:v>Lord Howe Isl. (Australia)</x:v>
      </x:c>
      <x:c r="C4" s="24" t="str">
        <x:v>EEZ</x:v>
      </x:c>
      <x:c r="D4" s="30" t="n">
        <x:v>2019</x:v>
      </x:c>
      <x:c r="E4" s="24" t="str">
        <x:v>Thunnus albacares</x:v>
      </x:c>
      <x:c r="F4" s="24" t="str">
        <x:v>Yellowfin tuna</x:v>
      </x:c>
      <x:c r="G4" s="24" t="str">
        <x:v>Large pelagics (&gt;=90 cm)</x:v>
      </x:c>
      <x:c r="H4" s="24" t="str">
        <x:v>Tuna &amp; billfishes</x:v>
      </x:c>
      <x:c r="I4" s="31" t="n">
        <x:v>18.3182419858</x:v>
      </x:c>
      <x:c r="J4" s="31" t="n">
        <x:v>18.036783948300002</x:v>
      </x:c>
      <x:c r="K4" s="31" t="n">
        <x:v>0.2814580375</x:v>
      </x:c>
      <x:c r="L4" s="31" t="n">
        <x:v>6.3967839483</x:v>
      </x:c>
      <x:c r="M4" s="31" t="n">
        <x:v>11.9214580375</x:v>
      </x:c>
      <x:c r="N4" s="24" t="str">
        <x:v>thunnus albacares</x:v>
      </x:c>
      <x:c r="O4" s="32" t="n">
        <x:v>4.41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albacares</x:v>
      </x:c>
      <x:c r="T4" s="32" t="n">
        <x:f>IF(O4="","",(1/'Metadata'!$B$5)^(O4-1))</x:f>
        <x:v>2570.3957827688646</x:v>
      </x:c>
      <x:c r="U4" s="31" t="n">
        <x:f>IF(T4="","",I4*T4)</x:f>
        <x:v>47085.131948039874</x:v>
      </x:c>
    </x:row>
    <x:row r="5" ht="18" customHeight="1">
      <x:c r="A5" s="24" t="str">
        <x:v>EEZ_038</x:v>
      </x:c>
      <x:c r="B5" s="24" t="str">
        <x:v>Lord Howe Isl. (Australia)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12.5580550692</x:v>
      </x:c>
      <x:c r="J5" s="31" t="n">
        <x:v>7.76</x:v>
      </x:c>
      <x:c r="K5" s="31" t="n">
        <x:v>4.7980550692</x:v>
      </x:c>
      <x:c r="L5" s="31" t="n">
        <x:v>0</x:v>
      </x:c>
      <x:c r="M5" s="31" t="n">
        <x:v>12.5580550692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2392.8880628379816</x:v>
      </x:c>
    </x:row>
    <x:row r="6" ht="18" customHeight="1">
      <x:c r="A6" s="24" t="str">
        <x:v>EEZ_038</x:v>
      </x:c>
      <x:c r="B6" s="24" t="str">
        <x:v>Lord Howe Isl. (Australia)</x:v>
      </x:c>
      <x:c r="C6" s="24" t="str">
        <x:v>EEZ</x:v>
      </x:c>
      <x:c r="D6" s="30" t="n">
        <x:v>2019</x:v>
      </x:c>
      <x:c r="E6" s="24" t="str">
        <x:v>Seriola lalandi</x:v>
      </x:c>
      <x:c r="F6" s="24" t="str">
        <x:v>Yellowtail amberjack</x:v>
      </x:c>
      <x:c r="G6" s="24" t="str">
        <x:v>Large benthopelagics (&gt;=90 cm)</x:v>
      </x:c>
      <x:c r="H6" s="24" t="str">
        <x:v>Perch-likes</x:v>
      </x:c>
      <x:c r="I6" s="31" t="n">
        <x:v>11.64</x:v>
      </x:c>
      <x:c r="J6" s="31" t="n">
        <x:v>11.64</x:v>
      </x:c>
      <x:c r="K6" s="31" t="n">
        <x:v>0</x:v>
      </x:c>
      <x:c r="L6" s="31" t="n">
        <x:v>0</x:v>
      </x:c>
      <x:c r="M6" s="31" t="n">
        <x:v>11.64</x:v>
      </x:c>
      <x:c r="N6" s="24" t="str">
        <x:v>seriola lalandi</x:v>
      </x:c>
      <x:c r="O6" s="32" t="n">
        <x:v>4.16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Seriola lalandi</x:v>
      </x:c>
      <x:c r="T6" s="32" t="n">
        <x:f>IF(O6="","",(1/'Metadata'!$B$5)^(O6-1))</x:f>
        <x:v>1445.439770745928</x:v>
      </x:c>
      <x:c r="U6" s="31" t="n">
        <x:f>IF(T6="","",I6*T6)</x:f>
        <x:v>16824.918931482604</x:v>
      </x:c>
    </x:row>
    <x:row r="7" ht="18" customHeight="1">
      <x:c r="A7" s="24" t="str">
        <x:v>EEZ_038</x:v>
      </x:c>
      <x:c r="B7" s="24" t="str">
        <x:v>Lord Howe Isl. (Australia)</x:v>
      </x:c>
      <x:c r="C7" s="24" t="str">
        <x:v>EEZ</x:v>
      </x:c>
      <x:c r="D7" s="30" t="n">
        <x:v>2019</x:v>
      </x:c>
      <x:c r="E7" s="24" t="str">
        <x:v>Thunnus alalunga</x:v>
      </x:c>
      <x:c r="F7" s="24" t="str">
        <x:v>Albacore</x:v>
      </x:c>
      <x:c r="G7" s="24" t="str">
        <x:v>Large pelagics (&gt;=90 cm)</x:v>
      </x:c>
      <x:c r="H7" s="24" t="str">
        <x:v>Tuna &amp; billfishes</x:v>
      </x:c>
      <x:c r="I7" s="31" t="n">
        <x:v>9.3353921132</x:v>
      </x:c>
      <x:c r="J7" s="31" t="n">
        <x:v>9.3353921132</x:v>
      </x:c>
      <x:c r="K7" s="31" t="n">
        <x:v>0</x:v>
      </x:c>
      <x:c r="L7" s="31" t="n">
        <x:v>9.3353921132</x:v>
      </x:c>
      <x:c r="M7" s="31" t="n">
        <x:v>0</x:v>
      </x:c>
      <x:c r="N7" s="24" t="str">
        <x:v>thunnus alalunga</x:v>
      </x:c>
      <x:c r="O7" s="32" t="n">
        <x:v>4.3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alalunga</x:v>
      </x:c>
      <x:c r="T7" s="32" t="n">
        <x:f>IF(O7="","",(1/'Metadata'!$B$5)^(O7-1))</x:f>
        <x:v>1995.2623149688789</x:v>
      </x:c>
      <x:c r="U7" s="31" t="n">
        <x:f>IF(T7="","",I7*T7)</x:f>
        <x:v>18626.556078925645</x:v>
      </x:c>
    </x:row>
    <x:row r="8" ht="18" customHeight="1">
      <x:c r="A8" s="24" t="str">
        <x:v>EEZ_038</x:v>
      </x:c>
      <x:c r="B8" s="24" t="str">
        <x:v>Lord Howe Isl. (Australia)</x:v>
      </x:c>
      <x:c r="C8" s="24" t="str">
        <x:v>EEZ</x:v>
      </x:c>
      <x:c r="D8" s="30" t="n">
        <x:v>2019</x:v>
      </x:c>
      <x:c r="E8" s="24" t="str">
        <x:v>Kajikia audax</x:v>
      </x:c>
      <x:c r="F8" s="24" t="str">
        <x:v>Striped marlin</x:v>
      </x:c>
      <x:c r="G8" s="24" t="str">
        <x:v>Large pelagics (&gt;=90 cm)</x:v>
      </x:c>
      <x:c r="H8" s="24" t="str">
        <x:v>Tuna &amp; billfishes</x:v>
      </x:c>
      <x:c r="I8" s="31" t="n">
        <x:v>5.6103884628</x:v>
      </x:c>
      <x:c r="J8" s="31" t="n">
        <x:v>5.6103884628</x:v>
      </x:c>
      <x:c r="K8" s="31" t="n">
        <x:v>0</x:v>
      </x:c>
      <x:c r="L8" s="31" t="n">
        <x:v>5.6103884628</x:v>
      </x:c>
      <x:c r="M8" s="31" t="n">
        <x:v>0</x:v>
      </x:c>
      <x:c r="N8" s="24" t="str">
        <x:v>kajikia audax</x:v>
      </x:c>
      <x:c r="O8" s="32" t="n">
        <x:v>4.58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Kajikia audax</x:v>
      </x:c>
      <x:c r="T8" s="32" t="n">
        <x:f>IF(O8="","",(1/'Metadata'!$B$5)^(O8-1))</x:f>
        <x:v>3801.8939632056126</x:v>
      </x:c>
      <x:c r="U8" s="31" t="n">
        <x:f>IF(T8="","",I8*T8)</x:f>
        <x:v>21330.102027957735</x:v>
      </x:c>
    </x:row>
    <x:row r="9" ht="18" customHeight="1">
      <x:c r="A9" s="24" t="str">
        <x:v>EEZ_038</x:v>
      </x:c>
      <x:c r="B9" s="24" t="str">
        <x:v>Lord Howe Isl. (Australia)</x:v>
      </x:c>
      <x:c r="C9" s="24" t="str">
        <x:v>EEZ</x:v>
      </x:c>
      <x:c r="D9" s="30" t="n">
        <x:v>2019</x:v>
      </x:c>
      <x:c r="E9" s="24" t="str">
        <x:v>Centroberyx affinis</x:v>
      </x:c>
      <x:c r="F9" s="24" t="str">
        <x:v>Redfish</x:v>
      </x:c>
      <x:c r="G9" s="24" t="str">
        <x:v>Medium benthopelagics (30 - 89 cm)</x:v>
      </x:c>
      <x:c r="H9" s="24" t="str">
        <x:v>Other fishes &amp; inverts</x:v>
      </x:c>
      <x:c r="I9" s="31" t="n">
        <x:v>3.88</x:v>
      </x:c>
      <x:c r="J9" s="31" t="n">
        <x:v>3.88</x:v>
      </x:c>
      <x:c r="K9" s="31" t="n">
        <x:v>0</x:v>
      </x:c>
      <x:c r="L9" s="31" t="n">
        <x:v>0</x:v>
      </x:c>
      <x:c r="M9" s="31" t="n">
        <x:v>3.88</x:v>
      </x:c>
      <x:c r="N9" s="24" t="str">
        <x:v>centroberyx affinis</x:v>
      </x:c>
      <x:c r="O9" s="32" t="n">
        <x:v>3.81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Centroberyx affinis</x:v>
      </x:c>
      <x:c r="T9" s="32" t="n">
        <x:f>IF(O9="","",(1/'Metadata'!$B$5)^(O9-1))</x:f>
        <x:v>645.6542290346556</x:v>
      </x:c>
      <x:c r="U9" s="31" t="n">
        <x:f>IF(T9="","",I9*T9)</x:f>
        <x:v>2505.1384086544635</x:v>
      </x:c>
    </x:row>
    <x:row r="10" ht="18" customHeight="1">
      <x:c r="A10" s="24" t="str">
        <x:v>EEZ_038</x:v>
      </x:c>
      <x:c r="B10" s="24" t="str">
        <x:v>Lord Howe Isl. (Australia)</x:v>
      </x:c>
      <x:c r="C10" s="24" t="str">
        <x:v>EEZ</x:v>
      </x:c>
      <x:c r="D10" s="30" t="n">
        <x:v>2019</x:v>
      </x:c>
      <x:c r="E10" s="24" t="str">
        <x:v>Pseudocaranx dentex</x:v>
      </x:c>
      <x:c r="F10" s="24" t="str">
        <x:v>White trevally</x:v>
      </x:c>
      <x:c r="G10" s="24" t="str">
        <x:v>Large reef assoc. fish (&gt;=90 cm)</x:v>
      </x:c>
      <x:c r="H10" s="24" t="str">
        <x:v>Perch-likes</x:v>
      </x:c>
      <x:c r="I10" s="31" t="n">
        <x:v>3.88</x:v>
      </x:c>
      <x:c r="J10" s="31" t="n">
        <x:v>3.88</x:v>
      </x:c>
      <x:c r="K10" s="31" t="n">
        <x:v>0</x:v>
      </x:c>
      <x:c r="L10" s="31" t="n">
        <x:v>0</x:v>
      </x:c>
      <x:c r="M10" s="31" t="n">
        <x:v>3.88</x:v>
      </x:c>
      <x:c r="N10" s="24" t="str">
        <x:v>pseudocaranx dentex</x:v>
      </x:c>
      <x:c r="O10" s="32" t="n">
        <x:v>3.92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Pseudocaranx dentex</x:v>
      </x:c>
      <x:c r="T10" s="32" t="n">
        <x:f>IF(O10="","",(1/'Metadata'!$B$5)^(O10-1))</x:f>
        <x:v>831.7637711026708</x:v>
      </x:c>
      <x:c r="U10" s="31" t="n">
        <x:f>IF(T10="","",I10*T10)</x:f>
        <x:v>3227.2434318783626</x:v>
      </x:c>
    </x:row>
    <x:row r="11" ht="18" customHeight="1">
      <x:c r="A11" s="24" t="str">
        <x:v>EEZ_038</x:v>
      </x:c>
      <x:c r="B11" s="24" t="str">
        <x:v>Lord Howe Isl. (Australia)</x:v>
      </x:c>
      <x:c r="C11" s="24" t="str">
        <x:v>EEZ</x:v>
      </x:c>
      <x:c r="D11" s="30" t="n">
        <x:v>2019</x:v>
      </x:c>
      <x:c r="E11" s="24" t="str">
        <x:v>Isurus</x:v>
      </x:c>
      <x:c r="F11" s="24" t="str">
        <x:v>Mako sharks</x:v>
      </x:c>
      <x:c r="G11" s="24" t="str">
        <x:v>Large sharks (&gt;=90 cm)</x:v>
      </x:c>
      <x:c r="H11" s="24" t="str">
        <x:v>Sharks &amp; rays</x:v>
      </x:c>
      <x:c r="I11" s="31" t="n">
        <x:v>2.1798130799</x:v>
      </x:c>
      <x:c r="J11" s="31" t="n">
        <x:v>2.1798130799</x:v>
      </x:c>
      <x:c r="K11" s="31" t="n">
        <x:v>0</x:v>
      </x:c>
      <x:c r="L11" s="31" t="n">
        <x:v>2.1798130799</x:v>
      </x:c>
      <x:c r="M11" s="31" t="n">
        <x:v>0</x:v>
      </x:c>
      <x:c r="N11" s="24" t="str">
        <x:v>isurus</x:v>
      </x:c>
      <x:c r="O11" s="32" t="n">
        <x:v>4.5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Isurus</x:v>
      </x:c>
      <x:c r="T11" s="32" t="n">
        <x:f>IF(O11="","",(1/'Metadata'!$B$5)^(O11-1))</x:f>
        <x:v>3162.2776601683795</x:v>
      </x:c>
      <x:c r="U11" s="31" t="n">
        <x:f>IF(T11="","",I11*T11)</x:f>
        <x:v>6893.174205910602</x:v>
      </x:c>
    </x:row>
    <x:row r="12" ht="18" customHeight="1">
      <x:c r="A12" s="24" t="str">
        <x:v>EEZ_038</x:v>
      </x:c>
      <x:c r="B12" s="24" t="str">
        <x:v>Lord Howe Isl. (Australia)</x:v>
      </x:c>
      <x:c r="C12" s="24" t="str">
        <x:v>EEZ</x:v>
      </x:c>
      <x:c r="D12" s="30" t="n">
        <x:v>2019</x:v>
      </x:c>
      <x:c r="E12" s="24" t="str">
        <x:v>Thunnus maccoyii</x:v>
      </x:c>
      <x:c r="F12" s="24" t="str">
        <x:v>Southern bluefin tuna</x:v>
      </x:c>
      <x:c r="G12" s="24" t="str">
        <x:v>Large pelagics (&gt;=90 cm)</x:v>
      </x:c>
      <x:c r="H12" s="24" t="str">
        <x:v>Tuna &amp; billfishes</x:v>
      </x:c>
      <x:c r="I12" s="31" t="n">
        <x:v>1.9783727938</x:v>
      </x:c>
      <x:c r="J12" s="31" t="n">
        <x:v>1.8681126262</x:v>
      </x:c>
      <x:c r="K12" s="31" t="n">
        <x:v>0.1102601676</x:v>
      </x:c>
      <x:c r="L12" s="31" t="n">
        <x:v>1.8681126262</x:v>
      </x:c>
      <x:c r="M12" s="31" t="n">
        <x:v>0.1102601676</x:v>
      </x:c>
      <x:c r="N12" s="24" t="str">
        <x:v>thunnus maccoyii</x:v>
      </x:c>
      <x:c r="O12" s="32" t="n">
        <x:v>3.93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maccoyii</x:v>
      </x:c>
      <x:c r="T12" s="32" t="n">
        <x:f>IF(O12="","",(1/'Metadata'!$B$5)^(O12-1))</x:f>
        <x:v>851.1380382023768</x:v>
      </x:c>
      <x:c r="U12" s="31" t="n">
        <x:f>IF(T12="","",I12*T12)</x:f>
        <x:v>1683.8683385478873</x:v>
      </x:c>
    </x:row>
    <x:row r="13" ht="18" customHeight="1">
      <x:c r="A13" s="24" t="str">
        <x:v>EEZ_038</x:v>
      </x:c>
      <x:c r="B13" s="24" t="str">
        <x:v>Lord Howe Isl. (Australia)</x:v>
      </x:c>
      <x:c r="C13" s="24" t="str">
        <x:v>EEZ</x:v>
      </x:c>
      <x:c r="D13" s="30" t="n">
        <x:v>2019</x:v>
      </x:c>
      <x:c r="E13" s="24" t="str">
        <x:v>Thunnus obesus</x:v>
      </x:c>
      <x:c r="F13" s="24" t="str">
        <x:v>Bigeye tuna</x:v>
      </x:c>
      <x:c r="G13" s="24" t="str">
        <x:v>Large pelagics (&gt;=90 cm)</x:v>
      </x:c>
      <x:c r="H13" s="24" t="str">
        <x:v>Tuna &amp; billfishes</x:v>
      </x:c>
      <x:c r="I13" s="31" t="n">
        <x:v>0.414174379</x:v>
      </x:c>
      <x:c r="J13" s="31" t="n">
        <x:v>0.2964506013</x:v>
      </x:c>
      <x:c r="K13" s="31" t="n">
        <x:v>0.1177237777</x:v>
      </x:c>
      <x:c r="L13" s="31" t="n">
        <x:v>0.2964506013</x:v>
      </x:c>
      <x:c r="M13" s="31" t="n">
        <x:v>0.1177237777</x:v>
      </x:c>
      <x:c r="N13" s="24" t="str">
        <x:v>thunnus obesus</x:v>
      </x:c>
      <x:c r="O13" s="32" t="n">
        <x:v>4.49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obesus</x:v>
      </x:c>
      <x:c r="T13" s="32" t="n">
        <x:f>IF(O13="","",(1/'Metadata'!$B$5)^(O13-1))</x:f>
        <x:v>3090.295432513592</x:v>
      </x:c>
      <x:c r="U13" s="31" t="n">
        <x:f>IF(T13="","",I13*T13)</x:f>
        <x:v>1279.9211916878533</x:v>
      </x:c>
    </x:row>
    <x:row r="14" ht="18" customHeight="1">
      <x:c r="A14" s="24" t="str">
        <x:v>EEZ_038</x:v>
      </x:c>
      <x:c r="B14" s="24" t="str">
        <x:v>Lord Howe Isl. (Australia)</x:v>
      </x:c>
      <x:c r="C14" s="24" t="str">
        <x:v>EEZ</x:v>
      </x:c>
      <x:c r="D14" s="30" t="n">
        <x:v>2019</x:v>
      </x:c>
      <x:c r="E14" s="24" t="str">
        <x:v>Istiompax indica</x:v>
      </x:c>
      <x:c r="F14" s="24" t="str">
        <x:v>Black marlin</x:v>
      </x:c>
      <x:c r="G14" s="24" t="str">
        <x:v>Large pelagics (&gt;=90 cm)</x:v>
      </x:c>
      <x:c r="H14" s="24" t="str">
        <x:v>Tuna &amp; billfishes</x:v>
      </x:c>
      <x:c r="I14" s="31" t="n">
        <x:v>0.3114839132</x:v>
      </x:c>
      <x:c r="J14" s="31" t="n">
        <x:v>0.3114839132</x:v>
      </x:c>
      <x:c r="K14" s="31" t="n">
        <x:v>0</x:v>
      </x:c>
      <x:c r="L14" s="31" t="n">
        <x:v>0.3114839132</x:v>
      </x:c>
      <x:c r="M14" s="31" t="n">
        <x:v>0</x:v>
      </x:c>
      <x:c r="N14" s="24" t="str">
        <x:v>istiompax indica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Istiompax indica</x:v>
      </x:c>
      <x:c r="T14" s="32" t="n">
        <x:f>IF(O14="","",(1/'Metadata'!$B$5)^(O14-1))</x:f>
        <x:v>3162.2776601683795</x:v>
      </x:c>
      <x:c r="U14" s="31" t="n">
        <x:f>IF(T14="","",I14*T14)</x:f>
        <x:v>984.9986202141866</x:v>
      </x:c>
    </x:row>
    <x:row r="15" ht="18" customHeight="1">
      <x:c r="A15" s="24" t="str">
        <x:v>EEZ_038</x:v>
      </x:c>
      <x:c r="B15" s="24" t="str">
        <x:v>Lord Howe Isl. (Australia)</x:v>
      </x:c>
      <x:c r="C15" s="24" t="str">
        <x:v>EEZ</x:v>
      </x:c>
      <x:c r="D15" s="30" t="n">
        <x:v>2019</x:v>
      </x:c>
      <x:c r="E15" s="24" t="str">
        <x:v>Sphyrna</x:v>
      </x:c>
      <x:c r="F15" s="24" t="str">
        <x:v>Hammerhead sharks</x:v>
      </x:c>
      <x:c r="G15" s="24" t="str">
        <x:v>Large sharks (&gt;=90 cm)</x:v>
      </x:c>
      <x:c r="H15" s="24" t="str">
        <x:v>Sharks &amp; rays</x:v>
      </x:c>
      <x:c r="I15" s="31" t="n">
        <x:v>0.2466290989</x:v>
      </x:c>
      <x:c r="J15" s="31" t="n">
        <x:v>0.2466290989</x:v>
      </x:c>
      <x:c r="K15" s="31" t="n">
        <x:v>0</x:v>
      </x:c>
      <x:c r="L15" s="31" t="n">
        <x:v>0.2466290989</x:v>
      </x:c>
      <x:c r="M15" s="31" t="n">
        <x:v>0</x:v>
      </x:c>
      <x:c r="N15" s="24" t="str">
        <x:v>sphyrna</x:v>
      </x:c>
      <x:c r="O15" s="32" t="n">
        <x:v>4.2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Sphyrna</x:v>
      </x:c>
      <x:c r="T15" s="32" t="n">
        <x:f>IF(O15="","",(1/'Metadata'!$B$5)^(O15-1))</x:f>
        <x:v>1584.893192461114</x:v>
      </x:c>
      <x:c r="U15" s="31" t="n">
        <x:f>IF(T15="","",I15*T15)</x:f>
        <x:v>390.88077990942884</x:v>
      </x:c>
    </x:row>
    <x:row r="16" ht="18" customHeight="1">
      <x:c r="A16" s="24" t="str">
        <x:v>EEZ_038</x:v>
      </x:c>
      <x:c r="B16" s="24" t="str">
        <x:v>Lord Howe Isl. (Australia)</x:v>
      </x:c>
      <x:c r="C16" s="24" t="str">
        <x:v>EEZ</x:v>
      </x:c>
      <x:c r="D16" s="30" t="n">
        <x:v>2019</x:v>
      </x:c>
      <x:c r="E16" s="24" t="str">
        <x:v>Katsuwonus pelamis</x:v>
      </x:c>
      <x:c r="F16" s="24" t="str">
        <x:v>Skipjack tuna</x:v>
      </x:c>
      <x:c r="G16" s="24" t="str">
        <x:v>Large pelagics (&gt;=90 cm)</x:v>
      </x:c>
      <x:c r="H16" s="24" t="str">
        <x:v>Tuna &amp; billfishes</x:v>
      </x:c>
      <x:c r="I16" s="31" t="n">
        <x:v>0.1858905419</x:v>
      </x:c>
      <x:c r="J16" s="31" t="n">
        <x:v>0.1858905419</x:v>
      </x:c>
      <x:c r="K16" s="31" t="n">
        <x:v>0</x:v>
      </x:c>
      <x:c r="L16" s="31" t="n">
        <x:v>0.1858905419</x:v>
      </x:c>
      <x:c r="M16" s="31" t="n">
        <x:v>0</x:v>
      </x:c>
      <x:c r="N16" s="24" t="str">
        <x:v>katsuwonus pelamis</x:v>
      </x:c>
      <x:c r="O16" s="32" t="n">
        <x:v>4.43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Katsuwonus pelamis</x:v>
      </x:c>
      <x:c r="T16" s="32" t="n">
        <x:f>IF(O16="","",(1/'Metadata'!$B$5)^(O16-1))</x:f>
        <x:v>2691.534803926914</x:v>
      </x:c>
      <x:c r="U16" s="31" t="n">
        <x:f>IF(T16="","",I16*T16)</x:f>
        <x:v>500.3308632446843</x:v>
      </x:c>
    </x:row>
    <x:row r="17" ht="18" customHeight="1">
      <x:c r="A17" s="24" t="str">
        <x:v>EEZ_038</x:v>
      </x:c>
      <x:c r="B17" s="24" t="str">
        <x:v>Lord Howe Isl. (Australia)</x:v>
      </x:c>
      <x:c r="C17" s="24" t="str">
        <x:v>EEZ</x:v>
      </x:c>
      <x:c r="D17" s="30" t="n">
        <x:v>2019</x:v>
      </x:c>
      <x:c r="E17" s="24" t="str">
        <x:v>Carcharhinus longimanus</x:v>
      </x:c>
      <x:c r="F17" s="24" t="str">
        <x:v>Oceanic whitetip shark</x:v>
      </x:c>
      <x:c r="G17" s="24" t="str">
        <x:v>Large sharks (&gt;=90 cm)</x:v>
      </x:c>
      <x:c r="H17" s="24" t="str">
        <x:v>Sharks &amp; rays</x:v>
      </x:c>
      <x:c r="I17" s="31" t="n">
        <x:v>0.1525278249</x:v>
      </x:c>
      <x:c r="J17" s="31" t="n">
        <x:v>0.1525278249</x:v>
      </x:c>
      <x:c r="K17" s="31" t="n">
        <x:v>0</x:v>
      </x:c>
      <x:c r="L17" s="31" t="n">
        <x:v>0.1525278249</x:v>
      </x:c>
      <x:c r="M17" s="31" t="n">
        <x:v>0</x:v>
      </x:c>
      <x:c r="N17" s="24" t="str">
        <x:v>carcharhinus longimanus</x:v>
      </x:c>
      <x:c r="O17" s="32" t="n">
        <x:v>4.16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Carcharhinus longimanus</x:v>
      </x:c>
      <x:c r="T17" s="32" t="n">
        <x:f>IF(O17="","",(1/'Metadata'!$B$5)^(O17-1))</x:f>
        <x:v>1445.439770745928</x:v>
      </x:c>
      <x:c r="U17" s="31" t="n">
        <x:f>IF(T17="","",I17*T17)</x:f>
        <x:v>220.46978425583103</x:v>
      </x:c>
    </x:row>
    <x:row r="18" ht="18" customHeight="1">
      <x:c r="A18" s="24" t="str">
        <x:v>EEZ_038</x:v>
      </x:c>
      <x:c r="B18" s="24" t="str">
        <x:v>Lord Howe Isl. (Australia)</x:v>
      </x:c>
      <x:c r="C18" s="24" t="str">
        <x:v>EEZ</x:v>
      </x:c>
      <x:c r="D18" s="30" t="n">
        <x:v>2019</x:v>
      </x:c>
      <x:c r="E18" s="24" t="str">
        <x:v>Carcharhinus falciformis</x:v>
      </x:c>
      <x:c r="F18" s="24" t="str">
        <x:v>Silky shark</x:v>
      </x:c>
      <x:c r="G18" s="24" t="str">
        <x:v>Large sharks (&gt;=90 cm)</x:v>
      </x:c>
      <x:c r="H18" s="24" t="str">
        <x:v>Sharks &amp; rays</x:v>
      </x:c>
      <x:c r="I18" s="31" t="n">
        <x:v>0.0551001259</x:v>
      </x:c>
      <x:c r="J18" s="31" t="n">
        <x:v>0.0551001259</x:v>
      </x:c>
      <x:c r="K18" s="31" t="n">
        <x:v>0</x:v>
      </x:c>
      <x:c r="L18" s="31" t="n">
        <x:v>0.0551001259</x:v>
      </x:c>
      <x:c r="M18" s="31" t="n">
        <x:v>0</x:v>
      </x:c>
      <x:c r="N18" s="24" t="str">
        <x:v>carcharhinus falciformis</x:v>
      </x:c>
      <x:c r="O18" s="32" t="n">
        <x:v>4.51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Carcharhinus falciformis</x:v>
      </x:c>
      <x:c r="T18" s="32" t="n">
        <x:f>IF(O18="","",(1/'Metadata'!$B$5)^(O18-1))</x:f>
        <x:v>3235.936569296281</x:v>
      </x:c>
      <x:c r="U18" s="31" t="n">
        <x:f>IF(T18="","",I18*T18)</x:f>
        <x:v>178.30051237263916</x:v>
      </x:c>
    </x:row>
    <x:row r="19" ht="18" customHeight="1">
      <x:c r="A19" s="24" t="str">
        <x:v>EEZ_038</x:v>
      </x:c>
      <x:c r="B19" s="24" t="str">
        <x:v>Lord Howe Isl. (Australia)</x:v>
      </x:c>
      <x:c r="C19" s="24" t="str">
        <x:v>EEZ</x:v>
      </x:c>
      <x:c r="D19" s="30" t="n">
        <x:v>2019</x:v>
      </x:c>
      <x:c r="E19" s="24" t="str">
        <x:v>Marine pelagic fishes not identified</x:v>
      </x:c>
      <x:c r="F19" s="24" t="str">
        <x:v>Pelagic fishes</x:v>
      </x:c>
      <x:c r="G19" s="24" t="str">
        <x:v>Medium pelagics (30 - 89 cm)</x:v>
      </x:c>
      <x:c r="H19" s="24" t="str">
        <x:v>Other fishes &amp; inverts</x:v>
      </x:c>
      <x:c r="I19" s="31" t="n">
        <x:v>0.0117685448</x:v>
      </x:c>
      <x:c r="J19" s="31" t="n">
        <x:v>0.0117685448</x:v>
      </x:c>
      <x:c r="K19" s="31" t="n">
        <x:v>0</x:v>
      </x:c>
      <x:c r="L19" s="31" t="n">
        <x:v>0.0117685448</x:v>
      </x:c>
      <x:c r="M19" s="31" t="n">
        <x:v>0</x:v>
      </x:c>
      <x:c r="N19" s="24" t="str">
        <x:v>marine pelagic fishes not identified</x:v>
      </x:c>
      <x:c r="O19" s="32" t="n">
        <x:v>3.35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Marine pelagic fishes not identified</x:v>
      </x:c>
      <x:c r="T19" s="32" t="n">
        <x:f>IF(O19="","",(1/'Metadata'!$B$5)^(O19-1))</x:f>
        <x:v>223.872113856834</x:v>
      </x:c>
      <x:c r="U19" s="31" t="n">
        <x:f>IF(T19="","",I19*T19)</x:f>
        <x:v>2.634649001394852</x:v>
      </x:c>
    </x:row>
  </x:sheetData>
  <x:conditionalFormatting sqref="R2:R1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b0f8285dc3345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3</x:v>
      </x:c>
      <x:c r="C2" s="33" t="n">
        <x:v>3</x:v>
      </x:c>
      <x:c r="D2" s="31" t="n">
        <x:v>16.449823614</x:v>
      </x:c>
      <x:c r="E2" s="31" t="n">
        <x:v>16.449823614</x:v>
      </x:c>
      <x:c r="F2" s="32" t="n">
        <x:v>0</x:v>
      </x:c>
      <x:c r="G2" s="34" t="n">
        <x:v>1</x:v>
      </x:c>
      <x:c r="H2" s="32" t="n">
        <x:f>IF(E2=0,"",I2/E2)</x:f>
        <x:v>297.91572453840905</x:v>
      </x:c>
      <x:c r="I2" s="31" t="n">
        <x:f>IF(C2=0,"",SUMIF('Species'!$H$2:$H$19,A2,'Species'!$U$2:$U$19))</x:f>
        <x:v>4900.66112049384</x:v>
      </x:c>
      <x:c r="J2" s="32" t="n">
        <x:v>3.405060538423352</x:v>
      </x:c>
      <x:c r="K2" s="32" t="n">
        <x:f>IF(J2="","",(1/'Metadata'!$B$5)^(J2-1))</x:f>
        <x:v>254.13269288001035</x:v>
      </x:c>
      <x:c r="L2" s="31" t="n">
        <x:f>IF(E2=0,"",E2*K2)</x:f>
        <x:v>4180.437972427004</x:v>
      </x:c>
      <x:c r="M2" s="31" t="n">
        <x:f>IF(E2=0,"",I2-L2)</x:f>
        <x:v>720.2231480668361</x:v>
      </x:c>
      <x:c r="N2" s="32" t="n">
        <x:f>IF(L2=0,"",I2/L2)</x:f>
        <x:v>1.1722841369294859</x:v>
      </x:c>
      <x:c r="O2" s="34" t="n">
        <x:f>IF(L2=0,"",M2/L2)</x:f>
        <x:v>0.17228413692948583</x:v>
      </x:c>
    </x:row>
    <x:row r="3" ht="18" customHeight="1">
      <x:c r="A3" s="24" t="str">
        <x:v>Perch-likes</x:v>
      </x:c>
      <x:c r="B3" s="33" t="n">
        <x:v>2</x:v>
      </x:c>
      <x:c r="C3" s="33" t="n">
        <x:v>2</x:v>
      </x:c>
      <x:c r="D3" s="31" t="n">
        <x:v>15.52</x:v>
      </x:c>
      <x:c r="E3" s="31" t="n">
        <x:v>15.52</x:v>
      </x:c>
      <x:c r="F3" s="32" t="n">
        <x:v>0</x:v>
      </x:c>
      <x:c r="G3" s="34" t="n">
        <x:v>1</x:v>
      </x:c>
      <x:c r="H3" s="32" t="n">
        <x:f>IF(E3=0,"",I3/E3)</x:f>
        <x:v>1292.0207708351138</x:v>
      </x:c>
      <x:c r="I3" s="31" t="n">
        <x:f>IF(C3=0,"",SUMIF('Species'!$H$2:$H$19,A3,'Species'!$U$2:$U$19))</x:f>
        <x:v>20052.162363360967</x:v>
      </x:c>
      <x:c r="J3" s="32" t="n">
        <x:v>4.1000000000000005</x:v>
      </x:c>
      <x:c r="K3" s="32" t="n">
        <x:f>IF(J3="","",(1/'Metadata'!$B$5)^(J3-1))</x:f>
        <x:v>1258.9254117941687</x:v>
      </x:c>
      <x:c r="L3" s="31" t="n">
        <x:f>IF(E3=0,"",E3*K3)</x:f>
        <x:v>19538.5223910455</x:v>
      </x:c>
      <x:c r="M3" s="31" t="n">
        <x:f>IF(E3=0,"",I3-L3)</x:f>
        <x:v>513.6399723154682</x:v>
      </x:c>
      <x:c r="N3" s="32" t="n">
        <x:f>IF(L3=0,"",I3/L3)</x:f>
        <x:v>1.02628857812456</x:v>
      </x:c>
      <x:c r="O3" s="34" t="n">
        <x:f>IF(L3=0,"",M3/L3)</x:f>
        <x:v>0.026288578124560192</x:v>
      </x:c>
    </x:row>
    <x:row r="4" ht="18" customHeight="1">
      <x:c r="A4" s="24" t="str">
        <x:v>Sharks &amp; rays</x:v>
      </x:c>
      <x:c r="B4" s="33" t="n">
        <x:v>5</x:v>
      </x:c>
      <x:c r="C4" s="33" t="n">
        <x:v>5</x:v>
      </x:c>
      <x:c r="D4" s="31" t="n">
        <x:v>24.663061953600007</x:v>
      </x:c>
      <x:c r="E4" s="31" t="n">
        <x:v>24.663061953600007</x:v>
      </x:c>
      <x:c r="F4" s="32" t="n">
        <x:v>0</x:v>
      </x:c>
      <x:c r="G4" s="34" t="n">
        <x:v>1</x:v>
      </x:c>
      <x:c r="H4" s="32" t="n">
        <x:f>IF(E4=0,"",I4/E4)</x:f>
        <x:v>2311.1321314207826</x:v>
      </x:c>
      <x:c r="I4" s="31" t="n">
        <x:f>IF(C4=0,"",SUMIF('Species'!$H$2:$H$19,A4,'Species'!$U$2:$U$19))</x:f>
        <x:v>56999.59494018639</x:v>
      </x:c>
      <x:c r="J4" s="32" t="n">
        <x:v>4.360939977001663</x:v>
      </x:c>
      <x:c r="K4" s="32" t="n">
        <x:f>IF(J4="","",(1/'Metadata'!$B$5)^(J4-1))</x:f>
        <x:v>2295.831323788356</x:v>
      </x:c>
      <x:c r="L4" s="31" t="n">
        <x:f>IF(E4=0,"",E4*K4)</x:f>
        <x:v>56622.230173607735</x:v>
      </x:c>
      <x:c r="M4" s="31" t="n">
        <x:f>IF(E4=0,"",I4-L4)</x:f>
        <x:v>377.3647665786557</x:v>
      </x:c>
      <x:c r="N4" s="32" t="n">
        <x:f>IF(L4=0,"",I4/L4)</x:f>
        <x:v>1.00666460443931</x:v>
      </x:c>
      <x:c r="O4" s="34" t="n">
        <x:f>IF(L4=0,"",M4/L4)</x:f>
        <x:v>0.006664604439309946</x:v>
      </x:c>
    </x:row>
    <x:row r="5" ht="18" customHeight="1">
      <x:c r="A5" s="24" t="str">
        <x:v>Tuna &amp; billfishes</x:v>
      </x:c>
      <x:c r="B5" s="33" t="n">
        <x:v>8</x:v>
      </x:c>
      <x:c r="C5" s="33" t="n">
        <x:v>8</x:v>
      </x:c>
      <x:c r="D5" s="31" t="n">
        <x:v>54.9317669135</x:v>
      </x:c>
      <x:c r="E5" s="31" t="n">
        <x:v>54.9317669135</x:v>
      </x:c>
      <x:c r="F5" s="32" t="n">
        <x:v>0</x:v>
      </x:c>
      <x:c r="G5" s="34" t="n">
        <x:v>1</x:v>
      </x:c>
      <x:c r="H5" s="32" t="n">
        <x:f>IF(E5=0,"",I5/E5)</x:f>
        <x:v>2823.838968490773</x:v>
      </x:c>
      <x:c r="I5" s="31" t="n">
        <x:f>IF(C5=0,"",SUMIF('Species'!$H$2:$H$19,A5,'Species'!$U$2:$U$19))</x:f>
        <x:v>155118.4640183934</x:v>
      </x:c>
      <x:c r="J5" s="32" t="n">
        <x:v>4.4335834031598145</x:v>
      </x:c>
      <x:c r="K5" s="32" t="n">
        <x:f>IF(J5="","",(1/'Metadata'!$B$5)^(J5-1))</x:f>
        <x:v>2713.834774735781</x:v>
      </x:c>
      <x:c r="L5" s="31" t="n">
        <x:f>IF(E5=0,"",E5*K5)</x:f>
        <x:v>149075.7392875367</x:v>
      </x:c>
      <x:c r="M5" s="31" t="n">
        <x:f>IF(E5=0,"",I5-L5)</x:f>
        <x:v>6042.7247308566875</x:v>
      </x:c>
      <x:c r="N5" s="32" t="n">
        <x:f>IF(L5=0,"",I5/L5)</x:f>
        <x:v>1.0405345950973384</x:v>
      </x:c>
      <x:c r="O5" s="34" t="n">
        <x:f>IF(L5=0,"",M5/L5)</x:f>
        <x:v>0.04053459509733843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de3c8f349744a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1</x:v>
      </x:c>
      <x:c r="C2" s="33" t="n">
        <x:v>1</x:v>
      </x:c>
      <x:c r="D2" s="31" t="n">
        <x:v>11.64</x:v>
      </x:c>
      <x:c r="E2" s="31" t="n">
        <x:v>11.64</x:v>
      </x:c>
      <x:c r="F2" s="32" t="n">
        <x:v>0</x:v>
      </x:c>
      <x:c r="G2" s="34" t="n">
        <x:v>1</x:v>
      </x:c>
      <x:c r="H2" s="32" t="n">
        <x:f>IF(E2=0,"",I2/E2)</x:f>
        <x:v>1445.4397707459282</x:v>
      </x:c>
      <x:c r="I2" s="31" t="n">
        <x:f>IF(C2=0,"",SUMIF('Species'!$G$2:$G$19,A2,'Species'!$U$2:$U$19))</x:f>
        <x:v>16824.918931482604</x:v>
      </x:c>
      <x:c r="J2" s="32" t="n">
        <x:v>4.16</x:v>
      </x:c>
      <x:c r="K2" s="32" t="n">
        <x:f>IF(J2="","",(1/'Metadata'!$B$5)^(J2-1))</x:f>
        <x:v>1445.439770745928</x:v>
      </x:c>
      <x:c r="L2" s="31" t="n">
        <x:f>IF(E2=0,"",E2*K2)</x:f>
        <x:v>16824.918931482604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8</x:v>
      </x:c>
      <x:c r="C3" s="33" t="n">
        <x:v>8</x:v>
      </x:c>
      <x:c r="D3" s="31" t="n">
        <x:v>54.9317669135</x:v>
      </x:c>
      <x:c r="E3" s="31" t="n">
        <x:v>54.9317669135</x:v>
      </x:c>
      <x:c r="F3" s="32" t="n">
        <x:v>0</x:v>
      </x:c>
      <x:c r="G3" s="34" t="n">
        <x:v>1</x:v>
      </x:c>
      <x:c r="H3" s="32" t="n">
        <x:f>IF(E3=0,"",I3/E3)</x:f>
        <x:v>2823.838968490773</x:v>
      </x:c>
      <x:c r="I3" s="31" t="n">
        <x:f>IF(C3=0,"",SUMIF('Species'!$G$2:$G$19,A3,'Species'!$U$2:$U$19))</x:f>
        <x:v>155118.4640183934</x:v>
      </x:c>
      <x:c r="J3" s="32" t="n">
        <x:v>4.4335834031598145</x:v>
      </x:c>
      <x:c r="K3" s="32" t="n">
        <x:f>IF(J3="","",(1/'Metadata'!$B$5)^(J3-1))</x:f>
        <x:v>2713.834774735781</x:v>
      </x:c>
      <x:c r="L3" s="31" t="n">
        <x:f>IF(E3=0,"",E3*K3)</x:f>
        <x:v>149075.7392875367</x:v>
      </x:c>
      <x:c r="M3" s="31" t="n">
        <x:f>IF(E3=0,"",I3-L3)</x:f>
        <x:v>6042.7247308566875</x:v>
      </x:c>
      <x:c r="N3" s="32" t="n">
        <x:f>IF(L3=0,"",I3/L3)</x:f>
        <x:v>1.0405345950973384</x:v>
      </x:c>
      <x:c r="O3" s="34" t="n">
        <x:f>IF(L3=0,"",M3/L3)</x:f>
        <x:v>0.04053459509733843</x:v>
      </x:c>
    </x:row>
    <x:row r="4" ht="18" customHeight="1">
      <x:c r="A4" s="24" t="str">
        <x:v>Large reef assoc. fish (&gt;=90 cm)</x:v>
      </x:c>
      <x:c r="B4" s="33" t="n">
        <x:v>1</x:v>
      </x:c>
      <x:c r="C4" s="33" t="n">
        <x:v>1</x:v>
      </x:c>
      <x:c r="D4" s="31" t="n">
        <x:v>3.88</x:v>
      </x:c>
      <x:c r="E4" s="31" t="n">
        <x:v>3.88</x:v>
      </x:c>
      <x:c r="F4" s="32" t="n">
        <x:v>0</x:v>
      </x:c>
      <x:c r="G4" s="34" t="n">
        <x:v>1</x:v>
      </x:c>
      <x:c r="H4" s="32" t="n">
        <x:f>IF(E4=0,"",I4/E4)</x:f>
        <x:v>831.7637711026708</x:v>
      </x:c>
      <x:c r="I4" s="31" t="n">
        <x:f>IF(C4=0,"",SUMIF('Species'!$G$2:$G$19,A4,'Species'!$U$2:$U$19))</x:f>
        <x:v>3227.2434318783626</x:v>
      </x:c>
      <x:c r="J4" s="32" t="n">
        <x:v>3.92</x:v>
      </x:c>
      <x:c r="K4" s="32" t="n">
        <x:f>IF(J4="","",(1/'Metadata'!$B$5)^(J4-1))</x:f>
        <x:v>831.7637711026708</x:v>
      </x:c>
      <x:c r="L4" s="31" t="n">
        <x:f>IF(E4=0,"",E4*K4)</x:f>
        <x:v>3227.2434318783626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sharks (&gt;=90 cm)</x:v>
      </x:c>
      <x:c r="B5" s="33" t="n">
        <x:v>5</x:v>
      </x:c>
      <x:c r="C5" s="33" t="n">
        <x:v>5</x:v>
      </x:c>
      <x:c r="D5" s="31" t="n">
        <x:v>24.663061953600007</x:v>
      </x:c>
      <x:c r="E5" s="31" t="n">
        <x:v>24.663061953600007</x:v>
      </x:c>
      <x:c r="F5" s="32" t="n">
        <x:v>0</x:v>
      </x:c>
      <x:c r="G5" s="34" t="n">
        <x:v>1</x:v>
      </x:c>
      <x:c r="H5" s="32" t="n">
        <x:f>IF(E5=0,"",I5/E5)</x:f>
        <x:v>2311.1321314207826</x:v>
      </x:c>
      <x:c r="I5" s="31" t="n">
        <x:f>IF(C5=0,"",SUMIF('Species'!$G$2:$G$19,A5,'Species'!$U$2:$U$19))</x:f>
        <x:v>56999.59494018639</x:v>
      </x:c>
      <x:c r="J5" s="32" t="n">
        <x:v>4.360939977001663</x:v>
      </x:c>
      <x:c r="K5" s="32" t="n">
        <x:f>IF(J5="","",(1/'Metadata'!$B$5)^(J5-1))</x:f>
        <x:v>2295.831323788356</x:v>
      </x:c>
      <x:c r="L5" s="31" t="n">
        <x:f>IF(E5=0,"",E5*K5)</x:f>
        <x:v>56622.230173607735</x:v>
      </x:c>
      <x:c r="M5" s="31" t="n">
        <x:f>IF(E5=0,"",I5-L5)</x:f>
        <x:v>377.3647665786557</x:v>
      </x:c>
      <x:c r="N5" s="32" t="n">
        <x:f>IF(L5=0,"",I5/L5)</x:f>
        <x:v>1.00666460443931</x:v>
      </x:c>
      <x:c r="O5" s="34" t="n">
        <x:f>IF(L5=0,"",M5/L5)</x:f>
        <x:v>0.006664604439309946</x:v>
      </x:c>
    </x:row>
    <x:row r="6" ht="18" customHeight="1">
      <x:c r="A6" s="24" t="str">
        <x:v>Medium benthopelagics (30 - 89 cm)</x:v>
      </x:c>
      <x:c r="B6" s="33" t="n">
        <x:v>1</x:v>
      </x:c>
      <x:c r="C6" s="33" t="n">
        <x:v>1</x:v>
      </x:c>
      <x:c r="D6" s="31" t="n">
        <x:v>3.88</x:v>
      </x:c>
      <x:c r="E6" s="31" t="n">
        <x:v>3.88</x:v>
      </x:c>
      <x:c r="F6" s="32" t="n">
        <x:v>0</x:v>
      </x:c>
      <x:c r="G6" s="34" t="n">
        <x:v>1</x:v>
      </x:c>
      <x:c r="H6" s="32" t="n">
        <x:f>IF(E6=0,"",I6/E6)</x:f>
        <x:v>645.6542290346556</x:v>
      </x:c>
      <x:c r="I6" s="31" t="n">
        <x:f>IF(C6=0,"",SUMIF('Species'!$G$2:$G$19,A6,'Species'!$U$2:$U$19))</x:f>
        <x:v>2505.1384086544635</x:v>
      </x:c>
      <x:c r="J6" s="32" t="n">
        <x:v>3.81</x:v>
      </x:c>
      <x:c r="K6" s="32" t="n">
        <x:f>IF(J6="","",(1/'Metadata'!$B$5)^(J6-1))</x:f>
        <x:v>645.6542290346556</x:v>
      </x:c>
      <x:c r="L6" s="31" t="n">
        <x:f>IF(E6=0,"",E6*K6)</x:f>
        <x:v>2505.1384086544635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demersals (30 - 89 cm)</x:v>
      </x:c>
      <x:c r="B7" s="33" t="n">
        <x:v>1</x:v>
      </x:c>
      <x:c r="C7" s="33" t="n">
        <x:v>1</x:v>
      </x:c>
      <x:c r="D7" s="31" t="n">
        <x:v>12.5580550692</x:v>
      </x:c>
      <x:c r="E7" s="31" t="n">
        <x:v>12.5580550692</x:v>
      </x:c>
      <x:c r="F7" s="32" t="n">
        <x:v>0</x:v>
      </x:c>
      <x:c r="G7" s="34" t="n">
        <x:v>1</x:v>
      </x:c>
      <x:c r="H7" s="32" t="n">
        <x:f>IF(E7=0,"",I7/E7)</x:f>
        <x:v>190.5460717963246</x:v>
      </x:c>
      <x:c r="I7" s="31" t="n">
        <x:f>IF(C7=0,"",SUMIF('Species'!$G$2:$G$19,A7,'Species'!$U$2:$U$19))</x:f>
        <x:v>2392.8880628379816</x:v>
      </x:c>
      <x:c r="J7" s="32" t="n">
        <x:v>3.28</x:v>
      </x:c>
      <x:c r="K7" s="32" t="n">
        <x:f>IF(J7="","",(1/'Metadata'!$B$5)^(J7-1))</x:f>
        <x:v>190.54607179632464</x:v>
      </x:c>
      <x:c r="L7" s="31" t="n">
        <x:f>IF(E7=0,"",E7*K7)</x:f>
        <x:v>2392.8880628379816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pelagics (30 - 89 cm)</x:v>
      </x:c>
      <x:c r="B8" s="33" t="n">
        <x:v>1</x:v>
      </x:c>
      <x:c r="C8" s="33" t="n">
        <x:v>1</x:v>
      </x:c>
      <x:c r="D8" s="31" t="n">
        <x:v>0.0117685448</x:v>
      </x:c>
      <x:c r="E8" s="31" t="n">
        <x:v>0.0117685448</x:v>
      </x:c>
      <x:c r="F8" s="32" t="n">
        <x:v>0</x:v>
      </x:c>
      <x:c r="G8" s="34" t="n">
        <x:v>1</x:v>
      </x:c>
      <x:c r="H8" s="32" t="n">
        <x:f>IF(E8=0,"",I8/E8)</x:f>
        <x:v>223.872113856834</x:v>
      </x:c>
      <x:c r="I8" s="31" t="n">
        <x:f>IF(C8=0,"",SUMIF('Species'!$G$2:$G$19,A8,'Species'!$U$2:$U$19))</x:f>
        <x:v>2.634649001394852</x:v>
      </x:c>
      <x:c r="J8" s="32" t="n">
        <x:v>3.35</x:v>
      </x:c>
      <x:c r="K8" s="32" t="n">
        <x:f>IF(J8="","",(1/'Metadata'!$B$5)^(J8-1))</x:f>
        <x:v>223.872113856834</x:v>
      </x:c>
      <x:c r="L8" s="31" t="n">
        <x:f>IF(E8=0,"",E8*K8)</x:f>
        <x:v>2.634649001394852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</x:sheetData>
  <x:conditionalFormatting sqref="G2:G8">
    <x:cfRule type="cellIs" dxfId="2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cfd9685180849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EEZ_038</x:v>
      </x:c>
      <x:c r="B2" s="24" t="str">
        <x:v>raw_filtered_tonnes</x:v>
      </x:c>
      <x:c r="C2" s="24" t="n">
        <x:v>111.56465248110001</x:v>
      </x:c>
      <x:c r="D2" s="24" t="str">
        <x:v>tonnes</x:v>
      </x:c>
    </x:row>
    <x:row r="3" ht="18" customHeight="1">
      <x:c r="A3" s="24" t="str">
        <x:v>EEZ_038</x:v>
      </x:c>
      <x:c r="B3" s="24" t="str">
        <x:v>species_catch_tonnes</x:v>
      </x:c>
      <x:c r="C3" s="24" t="n">
        <x:v>111.5646524811</x:v>
      </x:c>
      <x:c r="D3" s="24" t="str">
        <x:v>tonnes</x:v>
      </x:c>
    </x:row>
    <x:row r="4" ht="18" customHeight="1">
      <x:c r="A4" s="24" t="str">
        <x:v>EEZ_038</x:v>
      </x:c>
      <x:c r="B4" s="24" t="str">
        <x:v>catch_difference_tonnes</x:v>
      </x:c>
      <x:c r="C4" s="24" t="n">
        <x:v>-1.4210854715202004e-14</x:v>
      </x:c>
      <x:c r="D4" s="24" t="str">
        <x:v>tonnes</x:v>
      </x:c>
    </x:row>
    <x:row r="5" ht="18" customHeight="1">
      <x:c r="A5" s="24" t="str">
        <x:v>EEZ_038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EEZ_038</x:v>
      </x:c>
      <x:c r="B6" s="24" t="str">
        <x:v>matched_catch_tonnes</x:v>
      </x:c>
      <x:c r="C6" s="24" t="n">
        <x:v>111.5646524811</x:v>
      </x:c>
      <x:c r="D6" s="24" t="str">
        <x:v>tonnes</x:v>
      </x:c>
    </x:row>
    <x:row r="7" ht="18" customHeight="1">
      <x:c r="A7" s="24" t="str">
        <x:v>EEZ_038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EEZ_038</x:v>
      </x:c>
      <x:c r="B8" s="24" t="str">
        <x:v>taxa_count</x:v>
      </x:c>
      <x:c r="C8" s="24" t="n">
        <x:v>18</x:v>
      </x:c>
      <x:c r="D8" s="24" t="str">
        <x:v>count</x:v>
      </x:c>
    </x:row>
    <x:row r="9" ht="18" customHeight="1">
      <x:c r="A9" s="24" t="str">
        <x:v>EEZ_038</x:v>
      </x:c>
      <x:c r="B9" s="24" t="str">
        <x:v>matched_taxa_count</x:v>
      </x:c>
      <x:c r="C9" s="24" t="n">
        <x:v>18</x:v>
      </x:c>
      <x:c r="D9" s="24" t="str">
        <x:v>count</x:v>
      </x:c>
    </x:row>
    <x:row r="10" ht="18" customHeight="1">
      <x:c r="A10" s="24" t="str">
        <x:v>EEZ_038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EEZ_038</x:v>
      </x:c>
      <x:c r="B11" s="24" t="str">
        <x:v>species_ppr</x:v>
      </x:c>
      <x:c r="C11" s="24" t="n">
        <x:v>237070.8824424346</x:v>
      </x:c>
      <x:c r="D11" s="24" t="str">
        <x:v>tonnes_primary_production_equivalent</x:v>
      </x:c>
    </x:row>
    <x:row r="12" ht="18" customHeight="1">
      <x:c r="A12" s="24" t="str">
        <x:v>EEZ_038</x:v>
      </x:c>
      <x:c r="B12" s="24" t="str">
        <x:v>commercial_ppr</x:v>
      </x:c>
      <x:c r="C12" s="24" t="n">
        <x:v>237070.8824424346</x:v>
      </x:c>
      <x:c r="D12" s="24" t="str">
        <x:v>tonnes_primary_production_equivalent</x:v>
      </x:c>
    </x:row>
    <x:row r="13" ht="18" customHeight="1">
      <x:c r="A13" s="24" t="str">
        <x:v>EEZ_038</x:v>
      </x:c>
      <x:c r="B13" s="24" t="str">
        <x:v>functional_ppr</x:v>
      </x:c>
      <x:c r="C13" s="24" t="n">
        <x:v>237070.88244243458</x:v>
      </x:c>
      <x:c r="D13" s="24" t="str">
        <x:v>tonnes_primary_production_equivalent</x:v>
      </x:c>
    </x:row>
    <x:row r="14" ht="18" customHeight="1">
      <x:c r="A14" s="24" t="str">
        <x:v>EEZ_038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EEZ_038</x:v>
      </x:c>
      <x:c r="B15" s="24" t="str">
        <x:v>functional_ppr_difference</x:v>
      </x:c>
      <x:c r="C15" s="24" t="n">
        <x:v>-2.9103830456733704e-11</x:v>
      </x:c>
      <x:c r="D15" s="24" t="str">
        <x:v>tonnes_primary_production_equivalent</x:v>
      </x:c>
    </x:row>
    <x:row r="16" ht="18" customHeight="1">
      <x:c r="A16" s="24" t="str">
        <x:v>EEZ_038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EEZ_038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EEZ_038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EEZ_038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8c764e6e65145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EEZ_038 - Lord Howe Isl. (Australia)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EEZ_038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raw_data/SAU_downloads/EEZ_038-catch.zip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