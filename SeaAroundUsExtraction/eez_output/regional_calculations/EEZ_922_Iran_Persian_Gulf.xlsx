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2a3ca1b6c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ce25a23305d4fc7"/>
    <x:sheet xmlns:r="http://schemas.openxmlformats.org/officeDocument/2006/relationships" name="Commercial" sheetId="2" r:id="R9645c8a026bf46cc"/>
    <x:sheet xmlns:r="http://schemas.openxmlformats.org/officeDocument/2006/relationships" name="Functional" sheetId="3" r:id="R7cd012df8d0142ad"/>
    <x:sheet xmlns:r="http://schemas.openxmlformats.org/officeDocument/2006/relationships" name="Missing TL" sheetId="4" r:id="Rc044573710794bb5"/>
    <x:sheet xmlns:r="http://schemas.openxmlformats.org/officeDocument/2006/relationships" name="Validation" sheetId="5" r:id="Raa639216dc1e422e"/>
    <x:sheet xmlns:r="http://schemas.openxmlformats.org/officeDocument/2006/relationships" name="Metadata" sheetId="6" r:id="R73f5faa3983d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b5a105b6b48f6" /><Relationship Type="http://schemas.openxmlformats.org/officeDocument/2006/relationships/theme" Target="/xl/theme/theme1.xml" Id="R4918f2a5d9bf427b" /><Relationship Type="http://schemas.microsoft.com/office/2022/11/relationships/FeaturePropertyBag" Target="/xl/featurePropertyBag/featurePropertyBag.xml" Id="R09d27dc6fa1d4d5c" /><Relationship Type="http://schemas.openxmlformats.org/officeDocument/2006/relationships/sharedStrings" Target="/xl/sharedStrings.xml" Id="Rafc6b05ec65c4186" /><Relationship Type="http://schemas.openxmlformats.org/officeDocument/2006/relationships/worksheet" Target="/xl/worksheets/sheet1.xml" Id="Race25a23305d4fc7" /><Relationship Type="http://schemas.openxmlformats.org/officeDocument/2006/relationships/worksheet" Target="/xl/worksheets/sheet2.xml" Id="R9645c8a026bf46cc" /><Relationship Type="http://schemas.openxmlformats.org/officeDocument/2006/relationships/worksheet" Target="/xl/worksheets/sheet3.xml" Id="R7cd012df8d0142ad" /><Relationship Type="http://schemas.openxmlformats.org/officeDocument/2006/relationships/worksheet" Target="/xl/worksheets/sheet4.xml" Id="Rc044573710794bb5" /><Relationship Type="http://schemas.openxmlformats.org/officeDocument/2006/relationships/worksheet" Target="/xl/worksheets/sheet5.xml" Id="Raa639216dc1e422e" /><Relationship Type="http://schemas.openxmlformats.org/officeDocument/2006/relationships/worksheet" Target="/xl/worksheets/sheet6.xml" Id="R73f5faa3983d49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22SpeciesTable" displayName="EEZ922SpeciesTable" ref="A1:U166" headerRowCount="1" totalsRowCount="0" totalsRowShown="0">
  <x:autoFilter ref="A1:U1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22CommercialTable" displayName="EEZ922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22FunctionalTable" displayName="EEZ922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22ValidationTable" displayName="EEZ92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95036cba2646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3b0ac852234c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3403ec01f74d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9919bc556042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EEZ_922</x:v>
      </x:c>
      <x:c r="B2" s="24" t="str">
        <x:v>Iran (Persian Gulf)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116924.7621324764</x:v>
      </x:c>
      <x:c r="J2" s="31" t="n">
        <x:v>106667.6649700156</x:v>
      </x:c>
      <x:c r="K2" s="31" t="n">
        <x:v>10257.0971624608</x:v>
      </x:c>
      <x:c r="L2" s="31" t="n">
        <x:v>85103.1215822472</x:v>
      </x:c>
      <x:c r="M2" s="31" t="n">
        <x:v>31821.6405502292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22279554.12006303</x:v>
      </x:c>
    </x:row>
    <x:row r="3" ht="18" customHeight="1">
      <x:c r="A3" s="24" t="str">
        <x:v>EEZ_922</x:v>
      </x:c>
      <x:c r="B3" s="24" t="str">
        <x:v>Iran (Persian Gulf)</x:v>
      </x:c>
      <x:c r="C3" s="24" t="str">
        <x:v>EEZ</x:v>
      </x:c>
      <x:c r="D3" s="30" t="n">
        <x:v>2019</x:v>
      </x:c>
      <x:c r="E3" s="24" t="str">
        <x:v>Trichiurus lepturus</x:v>
      </x:c>
      <x:c r="F3" s="24" t="str">
        <x:v>Largehead hairtail</x:v>
      </x:c>
      <x:c r="G3" s="24" t="str">
        <x:v>Large benthopelagics (&gt;=90 cm)</x:v>
      </x:c>
      <x:c r="H3" s="24" t="str">
        <x:v>Perch-likes</x:v>
      </x:c>
      <x:c r="I3" s="31" t="n">
        <x:v>34807.3594088062</x:v>
      </x:c>
      <x:c r="J3" s="31" t="n">
        <x:v>34807.3594088062</x:v>
      </x:c>
      <x:c r="K3" s="31" t="n">
        <x:v>0</x:v>
      </x:c>
      <x:c r="L3" s="31" t="n">
        <x:v>33737.4801221549</x:v>
      </x:c>
      <x:c r="M3" s="31" t="n">
        <x:v>1069.8792866513</x:v>
      </x:c>
      <x:c r="N3" s="24" t="str">
        <x:v>trichiurus lepturus</x:v>
      </x:c>
      <x:c r="O3" s="32" t="n">
        <x:v>4.42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Trichiurus lepturus</x:v>
      </x:c>
      <x:c r="T3" s="32" t="n">
        <x:f>IF(O3="","",(1/'Metadata'!$B$5)^(O3-1))</x:f>
        <x:v>2630.2679918953813</x:v>
      </x:c>
      <x:c r="U3" s="31" t="n">
        <x:f>IF(T3="","",I3*T3)</x:f>
        <x:v>91552683.3353815</x:v>
      </x:c>
    </x:row>
    <x:row r="4" ht="18" customHeight="1">
      <x:c r="A4" s="24" t="str">
        <x:v>EEZ_922</x:v>
      </x:c>
      <x:c r="B4" s="24" t="str">
        <x:v>Iran (Persian Gulf)</x:v>
      </x:c>
      <x:c r="C4" s="24" t="str">
        <x:v>EEZ</x:v>
      </x:c>
      <x:c r="D4" s="30" t="n">
        <x:v>2019</x:v>
      </x:c>
      <x:c r="E4" s="24" t="str">
        <x:v>Scomberoides commersonnianus</x:v>
      </x:c>
      <x:c r="F4" s="24" t="str">
        <x:v>Talang queenfish</x:v>
      </x:c>
      <x:c r="G4" s="24" t="str">
        <x:v>Large reef assoc. fish (&gt;=90 cm)</x:v>
      </x:c>
      <x:c r="H4" s="24" t="str">
        <x:v>Perch-likes</x:v>
      </x:c>
      <x:c r="I4" s="31" t="n">
        <x:v>24458.9399855275</x:v>
      </x:c>
      <x:c r="J4" s="31" t="n">
        <x:v>24458.9399855275</x:v>
      </x:c>
      <x:c r="K4" s="31" t="n">
        <x:v>0</x:v>
      </x:c>
      <x:c r="L4" s="31" t="n">
        <x:v>24086.0186028017</x:v>
      </x:c>
      <x:c r="M4" s="31" t="n">
        <x:v>372.92138272579996</x:v>
      </x:c>
      <x:c r="N4" s="24" t="str">
        <x:v>scomberoides commersonnianus</x:v>
      </x:c>
      <x:c r="O4" s="32" t="n">
        <x:v>4.48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Scomberoides commersonnianus</x:v>
      </x:c>
      <x:c r="T4" s="32" t="n">
        <x:f>IF(O4="","",(1/'Metadata'!$B$5)^(O4-1))</x:f>
        <x:v>3019.951720402019</x:v>
      </x:c>
      <x:c r="U4" s="31" t="n">
        <x:f>IF(T4="","",I4*T4)</x:f>
        <x:v>73864817.8885035</x:v>
      </x:c>
    </x:row>
    <x:row r="5" ht="18" customHeight="1">
      <x:c r="A5" s="24" t="str">
        <x:v>EEZ_922</x:v>
      </x:c>
      <x:c r="B5" s="24" t="str">
        <x:v>Iran (Persian Gulf)</x:v>
      </x:c>
      <x:c r="C5" s="24" t="str">
        <x:v>EEZ</x:v>
      </x:c>
      <x:c r="D5" s="30" t="n">
        <x:v>2019</x:v>
      </x:c>
      <x:c r="E5" s="24" t="str">
        <x:v>Scomberomorus commerson</x:v>
      </x:c>
      <x:c r="F5" s="24" t="str">
        <x:v>Narrow-barred Spanish mackerel</x:v>
      </x:c>
      <x:c r="G5" s="24" t="str">
        <x:v>Large pelagics (&gt;=90 cm)</x:v>
      </x:c>
      <x:c r="H5" s="24" t="str">
        <x:v>Perch-likes</x:v>
      </x:c>
      <x:c r="I5" s="31" t="n">
        <x:v>17836.5447977158</x:v>
      </x:c>
      <x:c r="J5" s="31" t="n">
        <x:v>17836.5447977158</x:v>
      </x:c>
      <x:c r="K5" s="31" t="n">
        <x:v>0</x:v>
      </x:c>
      <x:c r="L5" s="31" t="n">
        <x:v>16919.6407899821</x:v>
      </x:c>
      <x:c r="M5" s="31" t="n">
        <x:v>916.9040077336999</x:v>
      </x:c>
      <x:c r="N5" s="24" t="str">
        <x:v>scomberomorus commerson</x:v>
      </x:c>
      <x:c r="O5" s="32" t="n">
        <x:v>4.5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Scomberomorus commerson</x:v>
      </x:c>
      <x:c r="T5" s="32" t="n">
        <x:f>IF(O5="","",(1/'Metadata'!$B$5)^(O5-1))</x:f>
        <x:v>3162.2776601683795</x:v>
      </x:c>
      <x:c r="U5" s="31" t="n">
        <x:f>IF(T5="","",I5*T5)</x:f>
        <x:v>56404107.1484092</x:v>
      </x:c>
    </x:row>
    <x:row r="6" ht="18" customHeight="1">
      <x:c r="A6" s="24" t="str">
        <x:v>EEZ_922</x:v>
      </x:c>
      <x:c r="B6" s="24" t="str">
        <x:v>Iran (Persian Gulf)</x:v>
      </x:c>
      <x:c r="C6" s="24" t="str">
        <x:v>EEZ</x:v>
      </x:c>
      <x:c r="D6" s="30" t="n">
        <x:v>2019</x:v>
      </x:c>
      <x:c r="E6" s="24" t="str">
        <x:v>Ariidae</x:v>
      </x:c>
      <x:c r="F6" s="24" t="str">
        <x:v>Sea catfishes, coblers</x:v>
      </x:c>
      <x:c r="G6" s="24" t="str">
        <x:v>Medium demersals (30 - 89 cm)</x:v>
      </x:c>
      <x:c r="H6" s="24" t="str">
        <x:v>Other fishes &amp; inverts</x:v>
      </x:c>
      <x:c r="I6" s="31" t="n">
        <x:v>12822.015674201699</x:v>
      </x:c>
      <x:c r="J6" s="31" t="n">
        <x:v>12822.015674201699</x:v>
      </x:c>
      <x:c r="K6" s="31" t="n">
        <x:v>0</x:v>
      </x:c>
      <x:c r="L6" s="31" t="n">
        <x:v>9948.984649151</x:v>
      </x:c>
      <x:c r="M6" s="31" t="n">
        <x:v>2873.0310250507</x:v>
      </x:c>
      <x:c r="N6" s="24" t="str">
        <x:v>ariidae</x:v>
      </x:c>
      <x:c r="O6" s="32" t="n">
        <x:v>3.48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Ariidae</x:v>
      </x:c>
      <x:c r="T6" s="32" t="n">
        <x:f>IF(O6="","",(1/'Metadata'!$B$5)^(O6-1))</x:f>
        <x:v>301.9951720402016</x:v>
      </x:c>
      <x:c r="U6" s="31" t="n">
        <x:f>IF(T6="","",I6*T6)</x:f>
        <x:v>3872186.829432704</x:v>
      </x:c>
    </x:row>
    <x:row r="7" ht="18" customHeight="1">
      <x:c r="A7" s="24" t="str">
        <x:v>EEZ_922</x:v>
      </x:c>
      <x:c r="B7" s="24" t="str">
        <x:v>Iran (Persian Gulf)</x:v>
      </x:c>
      <x:c r="C7" s="24" t="str">
        <x:v>EEZ</x:v>
      </x:c>
      <x:c r="D7" s="30" t="n">
        <x:v>2019</x:v>
      </x:c>
      <x:c r="E7" s="24" t="str">
        <x:v>Caranx ignobilis</x:v>
      </x:c>
      <x:c r="F7" s="24" t="str">
        <x:v>Giant trevally</x:v>
      </x:c>
      <x:c r="G7" s="24" t="str">
        <x:v>Large reef assoc. fish (&gt;=90 cm)</x:v>
      </x:c>
      <x:c r="H7" s="24" t="str">
        <x:v>Perch-likes</x:v>
      </x:c>
      <x:c r="I7" s="31" t="n">
        <x:v>12164.3307316285</x:v>
      </x:c>
      <x:c r="J7" s="31" t="n">
        <x:v>12164.3307316285</x:v>
      </x:c>
      <x:c r="K7" s="31" t="n">
        <x:v>0</x:v>
      </x:c>
      <x:c r="L7" s="31" t="n">
        <x:v>12164.3307316285</x:v>
      </x:c>
      <x:c r="M7" s="31" t="n">
        <x:v>0</x:v>
      </x:c>
      <x:c r="N7" s="24" t="str">
        <x:v>caranx ignobilis</x:v>
      </x:c>
      <x:c r="O7" s="32" t="n">
        <x:v>4.22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ignobilis</x:v>
      </x:c>
      <x:c r="T7" s="32" t="n">
        <x:f>IF(O7="","",(1/'Metadata'!$B$5)^(O7-1))</x:f>
        <x:v>1659.5869074375596</x:v>
      </x:c>
      <x:c r="U7" s="31" t="n">
        <x:f>IF(T7="","",I7*T7)</x:f>
        <x:v>20187764.019951012</x:v>
      </x:c>
    </x:row>
    <x:row r="8" ht="18" customHeight="1">
      <x:c r="A8" s="24" t="str">
        <x:v>EEZ_922</x:v>
      </x:c>
      <x:c r="B8" s="24" t="str">
        <x:v>Iran (Persian Gulf)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11958.6643531287</x:v>
      </x:c>
      <x:c r="J8" s="31" t="n">
        <x:v>11958.6643531287</x:v>
      </x:c>
      <x:c r="K8" s="31" t="n">
        <x:v>0</x:v>
      </x:c>
      <x:c r="L8" s="31" t="n">
        <x:v>11958.6643531287</x:v>
      </x:c>
      <x:c r="M8" s="31" t="n">
        <x:v>0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30738500.420830365</x:v>
      </x:c>
    </x:row>
    <x:row r="9" ht="18" customHeight="1">
      <x:c r="A9" s="24" t="str">
        <x:v>EEZ_922</x:v>
      </x:c>
      <x:c r="B9" s="24" t="str">
        <x:v>Iran (Persian Gulf)</x:v>
      </x:c>
      <x:c r="C9" s="24" t="str">
        <x:v>EEZ</x:v>
      </x:c>
      <x:c r="D9" s="30" t="n">
        <x:v>2019</x:v>
      </x:c>
      <x:c r="E9" s="24" t="str">
        <x:v>Sphyraena barracuda</x:v>
      </x:c>
      <x:c r="F9" s="24" t="str">
        <x:v>Great barracuda</x:v>
      </x:c>
      <x:c r="G9" s="24" t="str">
        <x:v>Large pelagics (&gt;=90 cm)</x:v>
      </x:c>
      <x:c r="H9" s="24" t="str">
        <x:v>Perch-likes</x:v>
      </x:c>
      <x:c r="I9" s="31" t="n">
        <x:v>10610.5941594616</x:v>
      </x:c>
      <x:c r="J9" s="31" t="n">
        <x:v>10610.5887344878</x:v>
      </x:c>
      <x:c r="K9" s="31" t="n">
        <x:v>0.0054249738</x:v>
      </x:c>
      <x:c r="L9" s="31" t="n">
        <x:v>10610.5887344878</x:v>
      </x:c>
      <x:c r="M9" s="31" t="n">
        <x:v>0.0054249738</x:v>
      </x:c>
      <x:c r="N9" s="24" t="str">
        <x:v>sphyraena barracuda</x:v>
      </x:c>
      <x:c r="O9" s="32" t="n">
        <x:v>4.49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Sphyraena barracuda</x:v>
      </x:c>
      <x:c r="T9" s="32" t="n">
        <x:f>IF(O9="","",(1/'Metadata'!$B$5)^(O9-1))</x:f>
        <x:v>3090.295432513592</x:v>
      </x:c>
      <x:c r="U9" s="31" t="n">
        <x:f>IF(T9="","",I9*T9)</x:f>
        <x:v>32789870.667239577</x:v>
      </x:c>
    </x:row>
    <x:row r="10" ht="18" customHeight="1">
      <x:c r="A10" s="24" t="str">
        <x:v>EEZ_922</x:v>
      </x:c>
      <x:c r="B10" s="24" t="str">
        <x:v>Iran (Persian Gulf)</x:v>
      </x:c>
      <x:c r="C10" s="24" t="str">
        <x:v>EEZ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9423.232693342301</x:v>
      </x:c>
      <x:c r="J10" s="31" t="n">
        <x:v>6815.8702478779</x:v>
      </x:c>
      <x:c r="K10" s="31" t="n">
        <x:v>2607.3624454644</x:v>
      </x:c>
      <x:c r="L10" s="31" t="n">
        <x:v>5959.9464735683</x:v>
      </x:c>
      <x:c r="M10" s="31" t="n">
        <x:v>3463.286219774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10573040.981111651</x:v>
      </x:c>
    </x:row>
    <x:row r="11" ht="18" customHeight="1">
      <x:c r="A11" s="24" t="str">
        <x:v>EEZ_922</x:v>
      </x:c>
      <x:c r="B11" s="24" t="str">
        <x:v>Iran (Persian Gulf)</x:v>
      </x:c>
      <x:c r="C11" s="24" t="str">
        <x:v>EEZ</x:v>
      </x:c>
      <x:c r="D11" s="30" t="n">
        <x:v>2019</x:v>
      </x:c>
      <x:c r="E11" s="24" t="str">
        <x:v>Portunus pelagicus</x:v>
      </x:c>
      <x:c r="F11" s="24" t="str">
        <x:v>Blue swimming crab</x:v>
      </x:c>
      <x:c r="G11" s="24" t="str">
        <x:v>Lobsters, crabs</x:v>
      </x:c>
      <x:c r="H11" s="24" t="str">
        <x:v>Crustaceans</x:v>
      </x:c>
      <x:c r="I11" s="31" t="n">
        <x:v>8748.0694966955</x:v>
      </x:c>
      <x:c r="J11" s="31" t="n">
        <x:v>8748.0694966955</x:v>
      </x:c>
      <x:c r="K11" s="31" t="n">
        <x:v>0</x:v>
      </x:c>
      <x:c r="L11" s="31" t="n">
        <x:v>3307.1884295356</x:v>
      </x:c>
      <x:c r="M11" s="31" t="n">
        <x:v>5440.8810671599</x:v>
      </x:c>
      <x:c r="N11" s="24" t="str">
        <x:v>portunus pelagicus</x:v>
      </x:c>
      <x:c r="O11" s="32" t="n">
        <x:v>2.48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Portunus pelagicus</x:v>
      </x:c>
      <x:c r="T11" s="32" t="n">
        <x:f>IF(O11="","",(1/'Metadata'!$B$5)^(O11-1))</x:f>
        <x:v>30.19951720402016</x:v>
      </x:c>
      <x:c r="U11" s="31" t="n">
        <x:f>IF(T11="","",I11*T11)</x:f>
        <x:v>264187.4752674197</x:v>
      </x:c>
    </x:row>
    <x:row r="12" ht="18" customHeight="1">
      <x:c r="A12" s="24" t="str">
        <x:v>EEZ_922</x:v>
      </x:c>
      <x:c r="B12" s="24" t="str">
        <x:v>Iran (Persian Gulf)</x:v>
      </x:c>
      <x:c r="C12" s="24" t="str">
        <x:v>EEZ</x:v>
      </x:c>
      <x:c r="D12" s="30" t="n">
        <x:v>2019</x:v>
      </x:c>
      <x:c r="E12" s="24" t="str">
        <x:v>Parastromateus niger</x:v>
      </x:c>
      <x:c r="F12" s="24" t="str">
        <x:v>Black pomfret</x:v>
      </x:c>
      <x:c r="G12" s="24" t="str">
        <x:v>Medium benthopelagics (30 - 89 cm)</x:v>
      </x:c>
      <x:c r="H12" s="24" t="str">
        <x:v>Perch-likes</x:v>
      </x:c>
      <x:c r="I12" s="31" t="n">
        <x:v>8651.6685970091</x:v>
      </x:c>
      <x:c r="J12" s="31" t="n">
        <x:v>8651.6685970091</x:v>
      </x:c>
      <x:c r="K12" s="31" t="n">
        <x:v>0</x:v>
      </x:c>
      <x:c r="L12" s="31" t="n">
        <x:v>8169.1055348611</x:v>
      </x:c>
      <x:c r="M12" s="31" t="n">
        <x:v>482.56306214800003</x:v>
      </x:c>
      <x:c r="N12" s="24" t="str">
        <x:v>parastromateus niger</x:v>
      </x:c>
      <x:c r="O12" s="32" t="n">
        <x:v>2.93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Parastromateus niger</x:v>
      </x:c>
      <x:c r="T12" s="32" t="n">
        <x:f>IF(O12="","",(1/'Metadata'!$B$5)^(O12-1))</x:f>
        <x:v>85.11380382023768</x:v>
      </x:c>
      <x:c r="U12" s="31" t="n">
        <x:f>IF(T12="","",I12*T12)</x:f>
        <x:v>736376.4236835435</x:v>
      </x:c>
    </x:row>
    <x:row r="13" ht="18" customHeight="1">
      <x:c r="A13" s="24" t="str">
        <x:v>EEZ_922</x:v>
      </x:c>
      <x:c r="B13" s="24" t="str">
        <x:v>Iran (Persian Gulf)</x:v>
      </x:c>
      <x:c r="C13" s="24" t="str">
        <x:v>EEZ</x:v>
      </x:c>
      <x:c r="D13" s="30" t="n">
        <x:v>2019</x:v>
      </x:c>
      <x:c r="E13" s="24" t="str">
        <x:v>Scomberomorus guttatus</x:v>
      </x:c>
      <x:c r="F13" s="24" t="str">
        <x:v>Indo-Pacific king mackerel</x:v>
      </x:c>
      <x:c r="G13" s="24" t="str">
        <x:v>Medium pelagics (30 - 89 cm)</x:v>
      </x:c>
      <x:c r="H13" s="24" t="str">
        <x:v>Perch-likes</x:v>
      </x:c>
      <x:c r="I13" s="31" t="n">
        <x:v>8039.2064658287</x:v>
      </x:c>
      <x:c r="J13" s="31" t="n">
        <x:v>8039.2064658287</x:v>
      </x:c>
      <x:c r="K13" s="31" t="n">
        <x:v>0</x:v>
      </x:c>
      <x:c r="L13" s="31" t="n">
        <x:v>7000.095145318601</x:v>
      </x:c>
      <x:c r="M13" s="31" t="n">
        <x:v>1039.1113205101</x:v>
      </x:c>
      <x:c r="N13" s="24" t="str">
        <x:v>scomberomorus guttatus</x:v>
      </x:c>
      <x:c r="O13" s="32" t="n">
        <x:v>4.28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Scomberomorus guttatus</x:v>
      </x:c>
      <x:c r="T13" s="32" t="n">
        <x:f>IF(O13="","",(1/'Metadata'!$B$5)^(O13-1))</x:f>
        <x:v>1905.4607179632483</x:v>
      </x:c>
      <x:c r="U13" s="31" t="n">
        <x:f>IF(T13="","",I13*T13)</x:f>
        <x:v>15318392.124232743</x:v>
      </x:c>
    </x:row>
    <x:row r="14" ht="18" customHeight="1">
      <x:c r="A14" s="24" t="str">
        <x:v>EEZ_922</x:v>
      </x:c>
      <x:c r="B14" s="24" t="str">
        <x:v>Iran (Persian Gulf)</x:v>
      </x:c>
      <x:c r="C14" s="24" t="str">
        <x:v>EEZ</x:v>
      </x:c>
      <x:c r="D14" s="30" t="n">
        <x:v>2019</x:v>
      </x:c>
      <x:c r="E14" s="24" t="str">
        <x:v>Penaeus semisulcatus</x:v>
      </x:c>
      <x:c r="F14" s="24" t="str">
        <x:v>Green tiger prawn</x:v>
      </x:c>
      <x:c r="G14" s="24" t="str">
        <x:v>Shrimps</x:v>
      </x:c>
      <x:c r="H14" s="24" t="str">
        <x:v>Crustaceans</x:v>
      </x:c>
      <x:c r="I14" s="31" t="n">
        <x:v>7829.952326161199</x:v>
      </x:c>
      <x:c r="J14" s="31" t="n">
        <x:v>7829.952326161199</x:v>
      </x:c>
      <x:c r="K14" s="31" t="n">
        <x:v>0</x:v>
      </x:c>
      <x:c r="L14" s="31" t="n">
        <x:v>0</x:v>
      </x:c>
      <x:c r="M14" s="31" t="n">
        <x:v>7829.952326161199</x:v>
      </x:c>
      <x:c r="N14" s="24" t="str">
        <x:v>penaeus semisulcatus</x:v>
      </x:c>
      <x:c r="O14" s="32" t="n">
        <x:v>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Penaeus semisulcatus</x:v>
      </x:c>
      <x:c r="T14" s="32" t="n">
        <x:f>IF(O14="","",(1/'Metadata'!$B$5)^(O14-1))</x:f>
        <x:v>10</x:v>
      </x:c>
      <x:c r="U14" s="31" t="n">
        <x:f>IF(T14="","",I14*T14)</x:f>
        <x:v>78299.52326161199</x:v>
      </x:c>
    </x:row>
    <x:row r="15" ht="18" customHeight="1">
      <x:c r="A15" s="24" t="str">
        <x:v>EEZ_922</x:v>
      </x:c>
      <x:c r="B15" s="24" t="str">
        <x:v>Iran (Persian Gulf)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7198.5545902323</x:v>
      </x:c>
      <x:c r="J15" s="31" t="n">
        <x:v>7198.5545902323</x:v>
      </x:c>
      <x:c r="K15" s="31" t="n">
        <x:v>0</x:v>
      </x:c>
      <x:c r="L15" s="31" t="n">
        <x:v>7198.5545902323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1611555.6328291206</x:v>
      </x:c>
    </x:row>
    <x:row r="16" ht="18" customHeight="1">
      <x:c r="A16" s="24" t="str">
        <x:v>EEZ_922</x:v>
      </x:c>
      <x:c r="B16" s="24" t="str">
        <x:v>Iran (Persian Gulf)</x:v>
      </x:c>
      <x:c r="C16" s="24" t="str">
        <x:v>EEZ</x:v>
      </x:c>
      <x:c r="D16" s="30" t="n">
        <x:v>2019</x:v>
      </x:c>
      <x:c r="E16" s="24" t="str">
        <x:v>Otolithes ruber</x:v>
      </x:c>
      <x:c r="F16" s="24" t="str">
        <x:v>Tigertooth croaker</x:v>
      </x:c>
      <x:c r="G16" s="24" t="str">
        <x:v>Medium benthopelagics (30 - 89 cm)</x:v>
      </x:c>
      <x:c r="H16" s="24" t="str">
        <x:v>Perch-likes</x:v>
      </x:c>
      <x:c r="I16" s="31" t="n">
        <x:v>7029.3015390458</x:v>
      </x:c>
      <x:c r="J16" s="31" t="n">
        <x:v>7028.896687176</x:v>
      </x:c>
      <x:c r="K16" s="31" t="n">
        <x:v>0.4048518698</x:v>
      </x:c>
      <x:c r="L16" s="31" t="n">
        <x:v>5836.8053015989</x:v>
      </x:c>
      <x:c r="M16" s="31" t="n">
        <x:v>1192.4962374469</x:v>
      </x:c>
      <x:c r="N16" s="24" t="str">
        <x:v>otolithes ruber</x:v>
      </x:c>
      <x:c r="O16" s="32" t="n">
        <x:v>3.6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Otolithes ruber</x:v>
      </x:c>
      <x:c r="T16" s="32" t="n">
        <x:f>IF(O16="","",(1/'Metadata'!$B$5)^(O16-1))</x:f>
        <x:v>398.1071705534973</x:v>
      </x:c>
      <x:c r="U16" s="31" t="n">
        <x:f>IF(T16="","",I16*T16)</x:f>
        <x:v>2798415.346676868</x:v>
      </x:c>
    </x:row>
    <x:row r="17" ht="18" customHeight="1">
      <x:c r="A17" s="24" t="str">
        <x:v>EEZ_922</x:v>
      </x:c>
      <x:c r="B17" s="24" t="str">
        <x:v>Iran (Persian Gulf)</x:v>
      </x:c>
      <x:c r="C17" s="24" t="str">
        <x:v>EEZ</x:v>
      </x:c>
      <x:c r="D17" s="30" t="n">
        <x:v>2019</x:v>
      </x:c>
      <x:c r="E17" s="24" t="str">
        <x:v>Nemipterus japonicus</x:v>
      </x:c>
      <x:c r="F17" s="24" t="str">
        <x:v>Japanese threadfin bream</x:v>
      </x:c>
      <x:c r="G17" s="24" t="str">
        <x:v>Small demersals (&lt;30 cm)</x:v>
      </x:c>
      <x:c r="H17" s="24" t="str">
        <x:v>Perch-likes</x:v>
      </x:c>
      <x:c r="I17" s="31" t="n">
        <x:v>6717.010433485</x:v>
      </x:c>
      <x:c r="J17" s="31" t="n">
        <x:v>6716.2853282416</x:v>
      </x:c>
      <x:c r="K17" s="31" t="n">
        <x:v>0.7251052434</x:v>
      </x:c>
      <x:c r="L17" s="31" t="n">
        <x:v>5554.9215473384</x:v>
      </x:c>
      <x:c r="M17" s="31" t="n">
        <x:v>1162.0888861466</x:v>
      </x:c>
      <x:c r="N17" s="24" t="str">
        <x:v>nemipterus japonicus</x:v>
      </x:c>
      <x:c r="O17" s="32" t="n">
        <x:v>3.77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Nemipterus japonicus</x:v>
      </x:c>
      <x:c r="T17" s="32" t="n">
        <x:f>IF(O17="","",(1/'Metadata'!$B$5)^(O17-1))</x:f>
        <x:v>588.843655355589</x:v>
      </x:c>
      <x:c r="U17" s="31" t="n">
        <x:f>IF(T17="","",I17*T17)</x:f>
        <x:v>3955268.976714937</x:v>
      </x:c>
    </x:row>
    <x:row r="18" ht="18" customHeight="1">
      <x:c r="A18" s="24" t="str">
        <x:v>EEZ_922</x:v>
      </x:c>
      <x:c r="B18" s="24" t="str">
        <x:v>Iran (Persian Gulf)</x:v>
      </x:c>
      <x:c r="C18" s="24" t="str">
        <x:v>EEZ</x:v>
      </x:c>
      <x:c r="D18" s="30" t="n">
        <x:v>2019</x:v>
      </x:c>
      <x:c r="E18" s="24" t="str">
        <x:v>Auxis thazard</x:v>
      </x:c>
      <x:c r="F18" s="24" t="str">
        <x:v>Frigate tuna</x:v>
      </x:c>
      <x:c r="G18" s="24" t="str">
        <x:v>Medium pelagics (30 - 89 cm)</x:v>
      </x:c>
      <x:c r="H18" s="24" t="str">
        <x:v>Tuna &amp; billfishes</x:v>
      </x:c>
      <x:c r="I18" s="31" t="n">
        <x:v>6521.170792184301</x:v>
      </x:c>
      <x:c r="J18" s="31" t="n">
        <x:v>6521.170792184301</x:v>
      </x:c>
      <x:c r="K18" s="31" t="n">
        <x:v>0</x:v>
      </x:c>
      <x:c r="L18" s="31" t="n">
        <x:v>6521.170792184301</x:v>
      </x:c>
      <x:c r="M18" s="31" t="n">
        <x:v>0</x:v>
      </x:c>
      <x:c r="N18" s="24" t="str">
        <x:v>auxis thazard</x:v>
      </x:c>
      <x:c r="O18" s="32" t="n">
        <x:v>4.37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Auxis thazard</x:v>
      </x:c>
      <x:c r="T18" s="32" t="n">
        <x:f>IF(O18="","",(1/'Metadata'!$B$5)^(O18-1))</x:f>
        <x:v>2344.228815319923</x:v>
      </x:c>
      <x:c r="U18" s="31" t="n">
        <x:f>IF(T18="","",I18*T18)</x:f>
        <x:v>15287116.480661087</x:v>
      </x:c>
    </x:row>
    <x:row r="19" ht="18" customHeight="1">
      <x:c r="A19" s="24" t="str">
        <x:v>EEZ_922</x:v>
      </x:c>
      <x:c r="B19" s="24" t="str">
        <x:v>Iran (Persian Gulf)</x:v>
      </x:c>
      <x:c r="C19" s="24" t="str">
        <x:v>EEZ</x:v>
      </x:c>
      <x:c r="D19" s="30" t="n">
        <x:v>2019</x:v>
      </x:c>
      <x:c r="E19" s="24" t="str">
        <x:v>Penaeidae</x:v>
      </x:c>
      <x:c r="F19" s="24" t="str">
        <x:v>Commercial shrimps and prawns</x:v>
      </x:c>
      <x:c r="G19" s="24" t="str">
        <x:v>Shrimps</x:v>
      </x:c>
      <x:c r="H19" s="24" t="str">
        <x:v>Crustaceans</x:v>
      </x:c>
      <x:c r="I19" s="31" t="n">
        <x:v>6426.1119922614</x:v>
      </x:c>
      <x:c r="J19" s="31" t="n">
        <x:v>6426.1119922614</x:v>
      </x:c>
      <x:c r="K19" s="31" t="n">
        <x:v>0</x:v>
      </x:c>
      <x:c r="L19" s="31" t="n">
        <x:v>6426.1119922614</x:v>
      </x:c>
      <x:c r="M19" s="31" t="n">
        <x:v>0</x:v>
      </x:c>
      <x:c r="N19" s="24" t="str">
        <x:v>penaeidae</x:v>
      </x:c>
      <x:c r="O19" s="32" t="n">
        <x:v>3.31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Penaeidae</x:v>
      </x:c>
      <x:c r="T19" s="32" t="n">
        <x:f>IF(O19="","",(1/'Metadata'!$B$5)^(O19-1))</x:f>
        <x:v>204.17379446695296</x:v>
      </x:c>
      <x:c r="U19" s="31" t="n">
        <x:f>IF(T19="","",I19*T19)</x:f>
        <x:v>1312043.6691296005</x:v>
      </x:c>
    </x:row>
    <x:row r="20" ht="18" customHeight="1">
      <x:c r="A20" s="24" t="str">
        <x:v>EEZ_922</x:v>
      </x:c>
      <x:c r="B20" s="24" t="str">
        <x:v>Iran (Persian Gulf)</x:v>
      </x:c>
      <x:c r="C20" s="24" t="str">
        <x:v>EEZ</x:v>
      </x:c>
      <x:c r="D20" s="30" t="n">
        <x:v>2019</x:v>
      </x:c>
      <x:c r="E20" s="24" t="str">
        <x:v>Pomadasys kaakan</x:v>
      </x:c>
      <x:c r="F20" s="24" t="str">
        <x:v>Javelin grunter</x:v>
      </x:c>
      <x:c r="G20" s="24" t="str">
        <x:v>Medium reef assoc. fish (30 - 89 cm)</x:v>
      </x:c>
      <x:c r="H20" s="24" t="str">
        <x:v>Perch-likes</x:v>
      </x:c>
      <x:c r="I20" s="31" t="n">
        <x:v>6225.6306161032</x:v>
      </x:c>
      <x:c r="J20" s="31" t="n">
        <x:v>6225.6306161032</x:v>
      </x:c>
      <x:c r="K20" s="31" t="n">
        <x:v>0</x:v>
      </x:c>
      <x:c r="L20" s="31" t="n">
        <x:v>5675.327152910099</x:v>
      </x:c>
      <x:c r="M20" s="31" t="n">
        <x:v>550.3034631931</x:v>
      </x:c>
      <x:c r="N20" s="24" t="str">
        <x:v>pomadasys kaakan</x:v>
      </x:c>
      <x:c r="O20" s="32" t="n">
        <x:v>3.46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Pomadasys kaakan</x:v>
      </x:c>
      <x:c r="T20" s="32" t="n">
        <x:f>IF(O20="","",(1/'Metadata'!$B$5)^(O20-1))</x:f>
        <x:v>288.40315031266056</x:v>
      </x:c>
      <x:c r="U20" s="31" t="n">
        <x:f>IF(T20="","",I20*T20)</x:f>
        <x:v>1795491.4823671128</x:v>
      </x:c>
    </x:row>
    <x:row r="21" ht="18" customHeight="1">
      <x:c r="A21" s="24" t="str">
        <x:v>EEZ_922</x:v>
      </x:c>
      <x:c r="B21" s="24" t="str">
        <x:v>Iran (Persian Gulf)</x:v>
      </x:c>
      <x:c r="C21" s="24" t="str">
        <x:v>EEZ</x:v>
      </x:c>
      <x:c r="D21" s="30" t="n">
        <x:v>2019</x:v>
      </x:c>
      <x:c r="E21" s="24" t="str">
        <x:v>Netuma thalassina</x:v>
      </x:c>
      <x:c r="F21" s="24" t="str">
        <x:v>Giant catfish</x:v>
      </x:c>
      <x:c r="G21" s="24" t="str">
        <x:v>Large demersals (&gt;=90 cm)</x:v>
      </x:c>
      <x:c r="H21" s="24" t="str">
        <x:v>Other fishes &amp; inverts</x:v>
      </x:c>
      <x:c r="I21" s="31" t="n">
        <x:v>5665.8757190551</x:v>
      </x:c>
      <x:c r="J21" s="31" t="n">
        <x:v>0</x:v>
      </x:c>
      <x:c r="K21" s="31" t="n">
        <x:v>5665.8757190551</x:v>
      </x:c>
      <x:c r="L21" s="31" t="n">
        <x:v>0</x:v>
      </x:c>
      <x:c r="M21" s="31" t="n">
        <x:v>5665.8757190551</x:v>
      </x:c>
      <x:c r="N21" s="24" t="str">
        <x:v>netuma thalassina</x:v>
      </x:c>
      <x:c r="O21" s="32" t="n">
        <x:v>3.54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Netuma thalassina</x:v>
      </x:c>
      <x:c r="T21" s="32" t="n">
        <x:f>IF(O21="","",(1/'Metadata'!$B$5)^(O21-1))</x:f>
        <x:v>346.73685045253166</x:v>
      </x:c>
      <x:c r="U21" s="31" t="n">
        <x:f>IF(T21="","",I21*T21)</x:f>
        <x:v>1964567.9018806382</x:v>
      </x:c>
    </x:row>
    <x:row r="22" ht="18" customHeight="1">
      <x:c r="A22" s="24" t="str">
        <x:v>EEZ_922</x:v>
      </x:c>
      <x:c r="B22" s="24" t="str">
        <x:v>Iran (Persian Gulf)</x:v>
      </x:c>
      <x:c r="C22" s="24" t="str">
        <x:v>EEZ</x:v>
      </x:c>
      <x:c r="D22" s="30" t="n">
        <x:v>2019</x:v>
      </x:c>
      <x:c r="E22" s="24" t="str">
        <x:v>Chirocentrus nudus</x:v>
      </x:c>
      <x:c r="F22" s="24" t="str">
        <x:v>Whitefin wolf-herring</x:v>
      </x:c>
      <x:c r="G22" s="24" t="str">
        <x:v>Large pelagics (&gt;=90 cm)</x:v>
      </x:c>
      <x:c r="H22" s="24" t="str">
        <x:v>Herring-likes</x:v>
      </x:c>
      <x:c r="I22" s="31" t="n">
        <x:v>5219.2699768421</x:v>
      </x:c>
      <x:c r="J22" s="31" t="n">
        <x:v>5219.2699768421</x:v>
      </x:c>
      <x:c r="K22" s="31" t="n">
        <x:v>0</x:v>
      </x:c>
      <x:c r="L22" s="31" t="n">
        <x:v>4608.209659094</x:v>
      </x:c>
      <x:c r="M22" s="31" t="n">
        <x:v>611.0603177481</x:v>
      </x:c>
      <x:c r="N22" s="24" t="str">
        <x:v>chirocentrus nudus</x:v>
      </x:c>
      <x:c r="O22" s="32" t="n">
        <x:v>4.19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Chirocentrus nudus</x:v>
      </x:c>
      <x:c r="T22" s="32" t="n">
        <x:f>IF(O22="","",(1/'Metadata'!$B$5)^(O22-1))</x:f>
        <x:v>1548.8166189124827</x:v>
      </x:c>
      <x:c r="U22" s="31" t="n">
        <x:f>IF(T22="","",I22*T22)</x:f>
        <x:v>8083692.078724013</x:v>
      </x:c>
    </x:row>
    <x:row r="23" ht="18" customHeight="1">
      <x:c r="A23" s="24" t="str">
        <x:v>EEZ_922</x:v>
      </x:c>
      <x:c r="B23" s="24" t="str">
        <x:v>Iran (Persian Gulf)</x:v>
      </x:c>
      <x:c r="C23" s="24" t="str">
        <x:v>EEZ</x:v>
      </x:c>
      <x:c r="D23" s="30" t="n">
        <x:v>2019</x:v>
      </x:c>
      <x:c r="E23" s="24" t="str">
        <x:v>Psettodes erumei</x:v>
      </x:c>
      <x:c r="F23" s="24" t="str">
        <x:v>Indian halibut</x:v>
      </x:c>
      <x:c r="G23" s="24" t="str">
        <x:v>Small to medium flatfishes (&lt;90 cm)</x:v>
      </x:c>
      <x:c r="H23" s="24" t="str">
        <x:v>Flatfishes</x:v>
      </x:c>
      <x:c r="I23" s="31" t="n">
        <x:v>5051.435501328</x:v>
      </x:c>
      <x:c r="J23" s="31" t="n">
        <x:v>5051.435501328</x:v>
      </x:c>
      <x:c r="K23" s="31" t="n">
        <x:v>0</x:v>
      </x:c>
      <x:c r="L23" s="31" t="n">
        <x:v>3713.3879938431</x:v>
      </x:c>
      <x:c r="M23" s="31" t="n">
        <x:v>1338.0475074849</x:v>
      </x:c>
      <x:c r="N23" s="24" t="str">
        <x:v>psettodes erumei</x:v>
      </x:c>
      <x:c r="O23" s="32" t="n">
        <x:v>4.39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Psettodes erumei</x:v>
      </x:c>
      <x:c r="T23" s="32" t="n">
        <x:f>IF(O23="","",(1/'Metadata'!$B$5)^(O23-1))</x:f>
        <x:v>2454.7089156850284</x:v>
      </x:c>
      <x:c r="U23" s="31" t="n">
        <x:f>IF(T23="","",I23*T23)</x:f>
        <x:v>12399803.762117714</x:v>
      </x:c>
    </x:row>
    <x:row r="24" ht="18" customHeight="1">
      <x:c r="A24" s="24" t="str">
        <x:v>EEZ_922</x:v>
      </x:c>
      <x:c r="B24" s="24" t="str">
        <x:v>Iran (Persian Gulf)</x:v>
      </x:c>
      <x:c r="C24" s="24" t="str">
        <x:v>EEZ</x:v>
      </x:c>
      <x:c r="D24" s="30" t="n">
        <x:v>2019</x:v>
      </x:c>
      <x:c r="E24" s="24" t="str">
        <x:v>Pomadasys stridens</x:v>
      </x:c>
      <x:c r="F24" s="24" t="str">
        <x:v>Striped piggy</x:v>
      </x:c>
      <x:c r="G24" s="24" t="str">
        <x:v>Small reef assoc. fish (&lt;30 cm)</x:v>
      </x:c>
      <x:c r="H24" s="24" t="str">
        <x:v>Perch-likes</x:v>
      </x:c>
      <x:c r="I24" s="31" t="n">
        <x:v>4730.6122453341</x:v>
      </x:c>
      <x:c r="J24" s="31" t="n">
        <x:v>4730.6122453341</x:v>
      </x:c>
      <x:c r="K24" s="31" t="n">
        <x:v>0</x:v>
      </x:c>
      <x:c r="L24" s="31" t="n">
        <x:v>1123.6104842757</x:v>
      </x:c>
      <x:c r="M24" s="31" t="n">
        <x:v>3607.0017610584</x:v>
      </x:c>
      <x:c r="N24" s="24" t="str">
        <x:v>pomadasys stridens</x:v>
      </x:c>
      <x:c r="O24" s="32" t="n">
        <x:v>4.02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Pomadasys stridens</x:v>
      </x:c>
      <x:c r="T24" s="32" t="n">
        <x:f>IF(O24="","",(1/'Metadata'!$B$5)^(O24-1))</x:f>
        <x:v>1047.1285480508984</x:v>
      </x:c>
      <x:c r="U24" s="31" t="n">
        <x:f>IF(T24="","",I24*T24)</x:f>
        <x:v>4953559.131848497</x:v>
      </x:c>
    </x:row>
    <x:row r="25" ht="18" customHeight="1">
      <x:c r="A25" s="24" t="str">
        <x:v>EEZ_922</x:v>
      </x:c>
      <x:c r="B25" s="24" t="str">
        <x:v>Iran (Persian Gulf)</x:v>
      </x:c>
      <x:c r="C25" s="24" t="str">
        <x:v>EEZ</x:v>
      </x:c>
      <x:c r="D25" s="30" t="n">
        <x:v>2019</x:v>
      </x:c>
      <x:c r="E25" s="24" t="str">
        <x:v>Lethrinus nebulosus</x:v>
      </x:c>
      <x:c r="F25" s="24" t="str">
        <x:v>Spangled emperor</x:v>
      </x:c>
      <x:c r="G25" s="24" t="str">
        <x:v>Medium demersals (30 - 89 cm)</x:v>
      </x:c>
      <x:c r="H25" s="24" t="str">
        <x:v>Perch-likes</x:v>
      </x:c>
      <x:c r="I25" s="31" t="n">
        <x:v>4699.7822447456</x:v>
      </x:c>
      <x:c r="J25" s="31" t="n">
        <x:v>4699.7822447456</x:v>
      </x:c>
      <x:c r="K25" s="31" t="n">
        <x:v>0</x:v>
      </x:c>
      <x:c r="L25" s="31" t="n">
        <x:v>4699.7822447456</x:v>
      </x:c>
      <x:c r="M25" s="31" t="n">
        <x:v>0</x:v>
      </x:c>
      <x:c r="N25" s="24" t="str">
        <x:v>lethrinus nebulosus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Lethrinus nebulosus</x:v>
      </x:c>
      <x:c r="T25" s="32" t="n">
        <x:f>IF(O25="","",(1/'Metadata'!$B$5)^(O25-1))</x:f>
        <x:v>575.4399373371566</x:v>
      </x:c>
      <x:c r="U25" s="31" t="n">
        <x:f>IF(T25="","",I25*T25)</x:f>
        <x:v>2704442.4004146894</x:v>
      </x:c>
    </x:row>
    <x:row r="26" ht="18" customHeight="1">
      <x:c r="A26" s="24" t="str">
        <x:v>EEZ_922</x:v>
      </x:c>
      <x:c r="B26" s="24" t="str">
        <x:v>Iran (Persian Gulf)</x:v>
      </x:c>
      <x:c r="C26" s="24" t="str">
        <x:v>EEZ</x:v>
      </x:c>
      <x:c r="D26" s="30" t="n">
        <x:v>2019</x:v>
      </x:c>
      <x:c r="E26" s="24" t="str">
        <x:v>Epinephelus coioides</x:v>
      </x:c>
      <x:c r="F26" s="24" t="str">
        <x:v>Orange-spotted grouper</x:v>
      </x:c>
      <x:c r="G26" s="24" t="str">
        <x:v>Large reef assoc. fish (&gt;=90 cm)</x:v>
      </x:c>
      <x:c r="H26" s="24" t="str">
        <x:v>Perch-likes</x:v>
      </x:c>
      <x:c r="I26" s="31" t="n">
        <x:v>4509.3839425694</x:v>
      </x:c>
      <x:c r="J26" s="31" t="n">
        <x:v>4509.3839425694</x:v>
      </x:c>
      <x:c r="K26" s="31" t="n">
        <x:v>0</x:v>
      </x:c>
      <x:c r="L26" s="31" t="n">
        <x:v>3953.4936416257</x:v>
      </x:c>
      <x:c r="M26" s="31" t="n">
        <x:v>555.8903009437</x:v>
      </x:c>
      <x:c r="N26" s="24" t="str">
        <x:v>epinephelus coioides</x:v>
      </x:c>
      <x:c r="O26" s="32" t="n">
        <x:v>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Epinephelus coioides</x:v>
      </x:c>
      <x:c r="T26" s="32" t="n">
        <x:f>IF(O26="","",(1/'Metadata'!$B$5)^(O26-1))</x:f>
        <x:v>1000</x:v>
      </x:c>
      <x:c r="U26" s="31" t="n">
        <x:f>IF(T26="","",I26*T26)</x:f>
        <x:v>4509383.942569399</x:v>
      </x:c>
    </x:row>
    <x:row r="27" ht="18" customHeight="1">
      <x:c r="A27" s="24" t="str">
        <x:v>EEZ_922</x:v>
      </x:c>
      <x:c r="B27" s="24" t="str">
        <x:v>Iran (Persian Gulf)</x:v>
      </x:c>
      <x:c r="C27" s="24" t="str">
        <x:v>EEZ</x:v>
      </x:c>
      <x:c r="D27" s="30" t="n">
        <x:v>2019</x:v>
      </x:c>
      <x:c r="E27" s="24" t="str">
        <x:v>Lutjanus johnii</x:v>
      </x:c>
      <x:c r="F27" s="24" t="str">
        <x:v>John's snapper</x:v>
      </x:c>
      <x:c r="G27" s="24" t="str">
        <x:v>Medium reef assoc. fish (30 - 89 cm)</x:v>
      </x:c>
      <x:c r="H27" s="24" t="str">
        <x:v>Perch-likes</x:v>
      </x:c>
      <x:c r="I27" s="31" t="n">
        <x:v>4025.3141822544003</x:v>
      </x:c>
      <x:c r="J27" s="31" t="n">
        <x:v>4025.3141822544003</x:v>
      </x:c>
      <x:c r="K27" s="31" t="n">
        <x:v>0</x:v>
      </x:c>
      <x:c r="L27" s="31" t="n">
        <x:v>3860.5024851568</x:v>
      </x:c>
      <x:c r="M27" s="31" t="n">
        <x:v>164.8116970976</x:v>
      </x:c>
      <x:c r="N27" s="24" t="str">
        <x:v>lutjanus johnii</x:v>
      </x:c>
      <x:c r="O27" s="32" t="n">
        <x:v>4.2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johnii</x:v>
      </x:c>
      <x:c r="T27" s="32" t="n">
        <x:f>IF(O27="","",(1/'Metadata'!$B$5)^(O27-1))</x:f>
        <x:v>1584.893192461114</x:v>
      </x:c>
      <x:c r="U27" s="31" t="n">
        <x:f>IF(T27="","",I27*T27)</x:f>
        <x:v>6379693.044972175</x:v>
      </x:c>
    </x:row>
    <x:row r="28" ht="18" customHeight="1">
      <x:c r="A28" s="24" t="str">
        <x:v>EEZ_922</x:v>
      </x:c>
      <x:c r="B28" s="24" t="str">
        <x:v>Iran (Persian Gulf)</x:v>
      </x:c>
      <x:c r="C28" s="24" t="str">
        <x:v>EEZ</x:v>
      </x:c>
      <x:c r="D28" s="30" t="n">
        <x:v>2019</x:v>
      </x:c>
      <x:c r="E28" s="24" t="str">
        <x:v>Saurida tumbil</x:v>
      </x:c>
      <x:c r="F28" s="24" t="str">
        <x:v>Greater lizardfish</x:v>
      </x:c>
      <x:c r="G28" s="24" t="str">
        <x:v>Medium demersals (30 - 89 cm)</x:v>
      </x:c>
      <x:c r="H28" s="24" t="str">
        <x:v>Other fishes &amp; inverts</x:v>
      </x:c>
      <x:c r="I28" s="31" t="n">
        <x:v>4011.0645948230003</x:v>
      </x:c>
      <x:c r="J28" s="31" t="n">
        <x:v>4010.9934358702003</x:v>
      </x:c>
      <x:c r="K28" s="31" t="n">
        <x:v>0.0711589528</x:v>
      </x:c>
      <x:c r="L28" s="31" t="n">
        <x:v>4010.9934358702003</x:v>
      </x:c>
      <x:c r="M28" s="31" t="n">
        <x:v>0.0711589528</x:v>
      </x:c>
      <x:c r="N28" s="24" t="str">
        <x:v>saurida tumbil</x:v>
      </x:c>
      <x:c r="O28" s="32" t="n">
        <x:v>4.4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Saurida tumbil</x:v>
      </x:c>
      <x:c r="T28" s="32" t="n">
        <x:f>IF(O28="","",(1/'Metadata'!$B$5)^(O28-1))</x:f>
        <x:v>2511.886431509582</x:v>
      </x:c>
      <x:c r="U28" s="31" t="n">
        <x:f>IF(T28="","",I28*T28)</x:f>
        <x:v>10075338.731644373</x:v>
      </x:c>
    </x:row>
    <x:row r="29" ht="18" customHeight="1">
      <x:c r="A29" s="24" t="str">
        <x:v>EEZ_922</x:v>
      </x:c>
      <x:c r="B29" s="24" t="str">
        <x:v>Iran (Persian Gulf)</x:v>
      </x:c>
      <x:c r="C29" s="24" t="str">
        <x:v>EEZ</x:v>
      </x:c>
      <x:c r="D29" s="30" t="n">
        <x:v>2019</x:v>
      </x:c>
      <x:c r="E29" s="24" t="str">
        <x:v>Acanthopagrus bifasciatus</x:v>
      </x:c>
      <x:c r="F29" s="24" t="str">
        <x:v>Twobar seabream</x:v>
      </x:c>
      <x:c r="G29" s="24" t="str">
        <x:v>Medium reef assoc. fish (30 - 89 cm)</x:v>
      </x:c>
      <x:c r="H29" s="24" t="str">
        <x:v>Perch-likes</x:v>
      </x:c>
      <x:c r="I29" s="31" t="n">
        <x:v>3978.9567470849</x:v>
      </x:c>
      <x:c r="J29" s="31" t="n">
        <x:v>3978.9567470849</x:v>
      </x:c>
      <x:c r="K29" s="31" t="n">
        <x:v>0</x:v>
      </x:c>
      <x:c r="L29" s="31" t="n">
        <x:v>3978.9567470849</x:v>
      </x:c>
      <x:c r="M29" s="31" t="n">
        <x:v>0</x:v>
      </x:c>
      <x:c r="N29" s="24" t="str">
        <x:v>acanthopagrus bifasciatus</x:v>
      </x:c>
      <x:c r="O29" s="32" t="n">
        <x:v>3.39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Acanthopagrus bifasciatus</x:v>
      </x:c>
      <x:c r="T29" s="32" t="n">
        <x:f>IF(O29="","",(1/'Metadata'!$B$5)^(O29-1))</x:f>
        <x:v>245.4708915685031</x:v>
      </x:c>
      <x:c r="U29" s="31" t="n">
        <x:f>IF(T29="","",I29*T29)</x:f>
        <x:v>976718.0602194413</x:v>
      </x:c>
    </x:row>
    <x:row r="30" ht="18" customHeight="1">
      <x:c r="A30" s="24" t="str">
        <x:v>EEZ_922</x:v>
      </x:c>
      <x:c r="B30" s="24" t="str">
        <x:v>Iran (Persian Gulf)</x:v>
      </x:c>
      <x:c r="C30" s="24" t="str">
        <x:v>EEZ</x:v>
      </x:c>
      <x:c r="D30" s="30" t="n">
        <x:v>2019</x:v>
      </x:c>
      <x:c r="E30" s="24" t="str">
        <x:v>Clupeiformes</x:v>
      </x:c>
      <x:c r="F30" s="24" t="str">
        <x:v>Herrings, shads, anchovies</x:v>
      </x:c>
      <x:c r="G30" s="24" t="str">
        <x:v>Small pelagics (&lt;30 cm)</x:v>
      </x:c>
      <x:c r="H30" s="24" t="str">
        <x:v>Other fishes &amp; inverts</x:v>
      </x:c>
      <x:c r="I30" s="31" t="n">
        <x:v>3901.8762835323</x:v>
      </x:c>
      <x:c r="J30" s="31" t="n">
        <x:v>3901.8762835323</x:v>
      </x:c>
      <x:c r="K30" s="31" t="n">
        <x:v>0</x:v>
      </x:c>
      <x:c r="L30" s="31" t="n">
        <x:v>1079.6667634409</x:v>
      </x:c>
      <x:c r="M30" s="31" t="n">
        <x:v>2822.2095200914</x:v>
      </x:c>
      <x:c r="N30" s="24" t="str">
        <x:v>clupeiformes</x:v>
      </x:c>
      <x:c r="O30" s="32" t="n">
        <x:v>3.24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Clupeiformes</x:v>
      </x:c>
      <x:c r="T30" s="32" t="n">
        <x:f>IF(O30="","",(1/'Metadata'!$B$5)^(O30-1))</x:f>
        <x:v>173.78008287493762</x:v>
      </x:c>
      <x:c r="U30" s="31" t="n">
        <x:f>IF(T30="","",I30*T30)</x:f>
        <x:v>678068.3839199967</x:v>
      </x:c>
    </x:row>
    <x:row r="31" ht="18" customHeight="1">
      <x:c r="A31" s="24" t="str">
        <x:v>EEZ_922</x:v>
      </x:c>
      <x:c r="B31" s="24" t="str">
        <x:v>Iran (Persian Gulf)</x:v>
      </x:c>
      <x:c r="C31" s="24" t="str">
        <x:v>EEZ</x:v>
      </x:c>
      <x:c r="D31" s="30" t="n">
        <x:v>2019</x:v>
      </x:c>
      <x:c r="E31" s="24" t="str">
        <x:v>Rachycentron canadum</x:v>
      </x:c>
      <x:c r="F31" s="24" t="str">
        <x:v>Cobia</x:v>
      </x:c>
      <x:c r="G31" s="24" t="str">
        <x:v>Large pelagics (&gt;=90 cm)</x:v>
      </x:c>
      <x:c r="H31" s="24" t="str">
        <x:v>Perch-likes</x:v>
      </x:c>
      <x:c r="I31" s="31" t="n">
        <x:v>3367.0559912933</x:v>
      </x:c>
      <x:c r="J31" s="31" t="n">
        <x:v>3367.0559912933</x:v>
      </x:c>
      <x:c r="K31" s="31" t="n">
        <x:v>0</x:v>
      </x:c>
      <x:c r="L31" s="31" t="n">
        <x:v>3367.0559912933</x:v>
      </x:c>
      <x:c r="M31" s="31" t="n">
        <x:v>0</x:v>
      </x:c>
      <x:c r="N31" s="24" t="str">
        <x:v>rachycentron canadum</x:v>
      </x:c>
      <x:c r="O31" s="32" t="n">
        <x:v>3.96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Rachycentron canadum</x:v>
      </x:c>
      <x:c r="T31" s="32" t="n">
        <x:f>IF(O31="","",(1/'Metadata'!$B$5)^(O31-1))</x:f>
        <x:v>912.0108393559096</x:v>
      </x:c>
      <x:c r="U31" s="31" t="n">
        <x:f>IF(T31="","",I31*T31)</x:f>
        <x:v>3070791.560777747</x:v>
      </x:c>
    </x:row>
    <x:row r="32" ht="18" customHeight="1">
      <x:c r="A32" s="24" t="str">
        <x:v>EEZ_922</x:v>
      </x:c>
      <x:c r="B32" s="24" t="str">
        <x:v>Iran (Persian Gulf)</x:v>
      </x:c>
      <x:c r="C32" s="24" t="str">
        <x:v>EEZ</x:v>
      </x:c>
      <x:c r="D32" s="30" t="n">
        <x:v>2019</x:v>
      </x:c>
      <x:c r="E32" s="24" t="str">
        <x:v>Platycephalus indicus</x:v>
      </x:c>
      <x:c r="F32" s="24" t="str">
        <x:v>Bartail flathead</x:v>
      </x:c>
      <x:c r="G32" s="24" t="str">
        <x:v>Medium demersals (30 - 89 cm)</x:v>
      </x:c>
      <x:c r="H32" s="24" t="str">
        <x:v>Scorpionfishes</x:v>
      </x:c>
      <x:c r="I32" s="31" t="n">
        <x:v>3266.0326211298</x:v>
      </x:c>
      <x:c r="J32" s="31" t="n">
        <x:v>3266.0326211298</x:v>
      </x:c>
      <x:c r="K32" s="31" t="n">
        <x:v>0</x:v>
      </x:c>
      <x:c r="L32" s="31" t="n">
        <x:v>1982.4567764386</x:v>
      </x:c>
      <x:c r="M32" s="31" t="n">
        <x:v>1283.5758446912</x:v>
      </x:c>
      <x:c r="N32" s="24" t="str">
        <x:v>platycephalus indicus</x:v>
      </x:c>
      <x:c r="O32" s="32" t="n">
        <x:v>3.6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Platycephalus indicus</x:v>
      </x:c>
      <x:c r="T32" s="32" t="n">
        <x:f>IF(O32="","",(1/'Metadata'!$B$5)^(O32-1))</x:f>
        <x:v>398.1071705534973</x:v>
      </x:c>
      <x:c r="U32" s="31" t="n">
        <x:f>IF(T32="","",I32*T32)</x:f>
        <x:v>1300231.0057334073</x:v>
      </x:c>
    </x:row>
    <x:row r="33" ht="18" customHeight="1">
      <x:c r="A33" s="24" t="str">
        <x:v>EEZ_922</x:v>
      </x:c>
      <x:c r="B33" s="24" t="str">
        <x:v>Iran (Persian Gulf)</x:v>
      </x:c>
      <x:c r="C33" s="24" t="str">
        <x:v>EEZ</x:v>
      </x:c>
      <x:c r="D33" s="30" t="n">
        <x:v>2019</x:v>
      </x:c>
      <x:c r="E33" s="24" t="str">
        <x:v>Clupeidae</x:v>
      </x:c>
      <x:c r="F33" s="24" t="str">
        <x:v>Herrings, sardines, menhadens</x:v>
      </x:c>
      <x:c r="G33" s="24" t="str">
        <x:v>Small pelagics (&lt;30 cm)</x:v>
      </x:c>
      <x:c r="H33" s="24" t="str">
        <x:v>Herring-likes</x:v>
      </x:c>
      <x:c r="I33" s="31" t="n">
        <x:v>3175.5655100606</x:v>
      </x:c>
      <x:c r="J33" s="31" t="n">
        <x:v>3175.5655100606</x:v>
      </x:c>
      <x:c r="K33" s="31" t="n">
        <x:v>0</x:v>
      </x:c>
      <x:c r="L33" s="31" t="n">
        <x:v>1505.7243728907001</x:v>
      </x:c>
      <x:c r="M33" s="31" t="n">
        <x:v>1669.8411371699</x:v>
      </x:c>
      <x:c r="N33" s="24" t="str">
        <x:v>clupeidae</x:v>
      </x:c>
      <x:c r="O33" s="32" t="n">
        <x:v>3.16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Clupeidae</x:v>
      </x:c>
      <x:c r="T33" s="32" t="n">
        <x:f>IF(O33="","",(1/'Metadata'!$B$5)^(O33-1))</x:f>
        <x:v>144.5439770745928</x:v>
      </x:c>
      <x:c r="U33" s="31" t="n">
        <x:f>IF(T33="","",I33*T33)</x:f>
        <x:v>459008.8682850669</x:v>
      </x:c>
    </x:row>
    <x:row r="34" ht="18" customHeight="1">
      <x:c r="A34" s="24" t="str">
        <x:v>EEZ_922</x:v>
      </x:c>
      <x:c r="B34" s="24" t="str">
        <x:v>Iran (Persian Gulf)</x:v>
      </x:c>
      <x:c r="C34" s="24" t="str">
        <x:v>EEZ</x:v>
      </x:c>
      <x:c r="D34" s="30" t="n">
        <x:v>2019</x:v>
      </x:c>
      <x:c r="E34" s="24" t="str">
        <x:v>Sepia</x:v>
      </x:c>
      <x:c r="F34" s="24" t="str">
        <x:v>Sepia cuttlefishes</x:v>
      </x:c>
      <x:c r="G34" s="24" t="str">
        <x:v>Cephalopods</x:v>
      </x:c>
      <x:c r="H34" s="24" t="str">
        <x:v>Other fishes &amp; inverts</x:v>
      </x:c>
      <x:c r="I34" s="31" t="n">
        <x:v>2796.2550025808</x:v>
      </x:c>
      <x:c r="J34" s="31" t="n">
        <x:v>2796.2550025808</x:v>
      </x:c>
      <x:c r="K34" s="31" t="n">
        <x:v>0</x:v>
      </x:c>
      <x:c r="L34" s="31" t="n">
        <x:v>2756.8935403338</x:v>
      </x:c>
      <x:c r="M34" s="31" t="n">
        <x:v>39.361462247</x:v>
      </x:c>
      <x:c r="N34" s="24" t="str">
        <x:v>sepia</x:v>
      </x:c>
      <x:c r="O34" s="32" t="n">
        <x:v>3.69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Sepia</x:v>
      </x:c>
      <x:c r="T34" s="32" t="n">
        <x:f>IF(O34="","",(1/'Metadata'!$B$5)^(O34-1))</x:f>
        <x:v>489.77881936844614</x:v>
      </x:c>
      <x:c r="U34" s="31" t="n">
        <x:f>IF(T34="","",I34*T34)</x:f>
        <x:v>1369546.4738171354</x:v>
      </x:c>
    </x:row>
    <x:row r="35" ht="18" customHeight="1">
      <x:c r="A35" s="24" t="str">
        <x:v>EEZ_922</x:v>
      </x:c>
      <x:c r="B35" s="24" t="str">
        <x:v>Iran (Persian Gulf)</x:v>
      </x:c>
      <x:c r="C35" s="24" t="str">
        <x:v>EEZ</x:v>
      </x:c>
      <x:c r="D35" s="30" t="n">
        <x:v>2019</x:v>
      </x:c>
      <x:c r="E35" s="24" t="str">
        <x:v>Portunidae</x:v>
      </x:c>
      <x:c r="F35" s="24" t="str">
        <x:v>Swimming crabs</x:v>
      </x:c>
      <x:c r="G35" s="24" t="str">
        <x:v>Lobsters, crabs</x:v>
      </x:c>
      <x:c r="H35" s="24" t="str">
        <x:v>Crustaceans</x:v>
      </x:c>
      <x:c r="I35" s="31" t="n">
        <x:v>2788.1394747741997</x:v>
      </x:c>
      <x:c r="J35" s="31" t="n">
        <x:v>2788.1394747741997</x:v>
      </x:c>
      <x:c r="K35" s="31" t="n">
        <x:v>0</x:v>
      </x:c>
      <x:c r="L35" s="31" t="n">
        <x:v>0</x:v>
      </x:c>
      <x:c r="M35" s="31" t="n">
        <x:v>2788.1394747741997</x:v>
      </x:c>
      <x:c r="N35" s="24" t="str">
        <x:v>portunidae</x:v>
      </x:c>
      <x:c r="O35" s="32" t="n">
        <x:v>3.56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Portunidae</x:v>
      </x:c>
      <x:c r="T35" s="32" t="n">
        <x:f>IF(O35="","",(1/'Metadata'!$B$5)^(O35-1))</x:f>
        <x:v>363.0780547701014</x:v>
      </x:c>
      <x:c r="U35" s="31" t="n">
        <x:f>IF(T35="","",I35*T35)</x:f>
        <x:v>1012312.2569287487</x:v>
      </x:c>
    </x:row>
    <x:row r="36" ht="18" customHeight="1">
      <x:c r="A36" s="24" t="str">
        <x:v>EEZ_922</x:v>
      </x:c>
      <x:c r="B36" s="24" t="str">
        <x:v>Iran (Persian Gulf)</x:v>
      </x:c>
      <x:c r="C36" s="24" t="str">
        <x:v>EEZ</x:v>
      </x:c>
      <x:c r="D36" s="30" t="n">
        <x:v>2019</x:v>
      </x:c>
      <x:c r="E36" s="24" t="str">
        <x:v>Myliobatidae</x:v>
      </x:c>
      <x:c r="F36" s="24" t="str">
        <x:v>Eagle/manta rays</x:v>
      </x:c>
      <x:c r="G36" s="24" t="str">
        <x:v>Large rays (&gt;=90 cm)</x:v>
      </x:c>
      <x:c r="H36" s="24" t="str">
        <x:v>Sharks &amp; rays</x:v>
      </x:c>
      <x:c r="I36" s="31" t="n">
        <x:v>2731.0873913538</x:v>
      </x:c>
      <x:c r="J36" s="31" t="n">
        <x:v>2731.0873913538</x:v>
      </x:c>
      <x:c r="K36" s="31" t="n">
        <x:v>0</x:v>
      </x:c>
      <x:c r="L36" s="31" t="n">
        <x:v>535.7363186434</x:v>
      </x:c>
      <x:c r="M36" s="31" t="n">
        <x:v>2195.3510727104</x:v>
      </x:c>
      <x:c r="N36" s="24" t="str">
        <x:v>myliobatidae</x:v>
      </x:c>
      <x:c r="O36" s="32" t="n">
        <x:v>3.36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Myliobatidae</x:v>
      </x:c>
      <x:c r="T36" s="32" t="n">
        <x:f>IF(O36="","",(1/'Metadata'!$B$5)^(O36-1))</x:f>
        <x:v>229.08676527677724</x:v>
      </x:c>
      <x:c r="U36" s="31" t="n">
        <x:f>IF(T36="","",I36*T36)</x:f>
        <x:v>625655.9761734338</x:v>
      </x:c>
    </x:row>
    <x:row r="37" ht="18" customHeight="1">
      <x:c r="A37" s="24" t="str">
        <x:v>EEZ_922</x:v>
      </x:c>
      <x:c r="B37" s="24" t="str">
        <x:v>Iran (Persian Gulf)</x:v>
      </x:c>
      <x:c r="C37" s="24" t="str">
        <x:v>EEZ</x:v>
      </x:c>
      <x:c r="D37" s="30" t="n">
        <x:v>2019</x:v>
      </x:c>
      <x:c r="E37" s="24" t="str">
        <x:v>Siganidae</x:v>
      </x:c>
      <x:c r="F37" s="24" t="str">
        <x:v>Rabbitfishes</x:v>
      </x:c>
      <x:c r="G37" s="24" t="str">
        <x:v>Medium reef assoc. fish (30 - 89 cm)</x:v>
      </x:c>
      <x:c r="H37" s="24" t="str">
        <x:v>Perch-likes</x:v>
      </x:c>
      <x:c r="I37" s="31" t="n">
        <x:v>2513.0229708803</x:v>
      </x:c>
      <x:c r="J37" s="31" t="n">
        <x:v>2513.0229708803</x:v>
      </x:c>
      <x:c r="K37" s="31" t="n">
        <x:v>0</x:v>
      </x:c>
      <x:c r="L37" s="31" t="n">
        <x:v>0</x:v>
      </x:c>
      <x:c r="M37" s="31" t="n">
        <x:v>2513.0229708803</x:v>
      </x:c>
      <x:c r="N37" s="24" t="str">
        <x:v>siganidae</x:v>
      </x:c>
      <x:c r="O37" s="32" t="n">
        <x:v>2.11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Siganidae</x:v>
      </x:c>
      <x:c r="T37" s="32" t="n">
        <x:f>IF(O37="","",(1/'Metadata'!$B$5)^(O37-1))</x:f>
        <x:v>12.882495516931336</x:v>
      </x:c>
      <x:c r="U37" s="31" t="n">
        <x:f>IF(T37="","",I37*T37)</x:f>
        <x:v>32374.00715631093</x:v>
      </x:c>
    </x:row>
    <x:row r="38" ht="18" customHeight="1">
      <x:c r="A38" s="24" t="str">
        <x:v>EEZ_922</x:v>
      </x:c>
      <x:c r="B38" s="24" t="str">
        <x:v>Iran (Persian Gulf)</x:v>
      </x:c>
      <x:c r="C38" s="24" t="str">
        <x:v>EEZ</x:v>
      </x:c>
      <x:c r="D38" s="30" t="n">
        <x:v>2019</x:v>
      </x:c>
      <x:c r="E38" s="24" t="str">
        <x:v>Rastrelliger kanagurta</x:v>
      </x:c>
      <x:c r="F38" s="24" t="str">
        <x:v>Indian mackerel</x:v>
      </x:c>
      <x:c r="G38" s="24" t="str">
        <x:v>Medium pelagics (30 - 89 cm)</x:v>
      </x:c>
      <x:c r="H38" s="24" t="str">
        <x:v>Perch-likes</x:v>
      </x:c>
      <x:c r="I38" s="31" t="n">
        <x:v>2280.9209303085</x:v>
      </x:c>
      <x:c r="J38" s="31" t="n">
        <x:v>2280.5636986054</x:v>
      </x:c>
      <x:c r="K38" s="31" t="n">
        <x:v>0.3572317031</x:v>
      </x:c>
      <x:c r="L38" s="31" t="n">
        <x:v>2268.6921310199</x:v>
      </x:c>
      <x:c r="M38" s="31" t="n">
        <x:v>12.2287992886</x:v>
      </x:c>
      <x:c r="N38" s="24" t="str">
        <x:v>rastrelliger kanagurta</x:v>
      </x:c>
      <x:c r="O38" s="32" t="n">
        <x:v>3.19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Rastrelliger kanagurta</x:v>
      </x:c>
      <x:c r="T38" s="32" t="n">
        <x:f>IF(O38="","",(1/'Metadata'!$B$5)^(O38-1))</x:f>
        <x:v>154.88166189124811</x:v>
      </x:c>
      <x:c r="U38" s="31" t="n">
        <x:f>IF(T38="","",I38*T38)</x:f>
        <x:v>353272.8243287122</x:v>
      </x:c>
    </x:row>
    <x:row r="39" ht="18" customHeight="1">
      <x:c r="A39" s="24" t="str">
        <x:v>EEZ_922</x:v>
      </x:c>
      <x:c r="B39" s="24" t="str">
        <x:v>Iran (Persian Gulf)</x:v>
      </x:c>
      <x:c r="C39" s="24" t="str">
        <x:v>EEZ</x:v>
      </x:c>
      <x:c r="D39" s="30" t="n">
        <x:v>2019</x:v>
      </x:c>
      <x:c r="E39" s="24" t="str">
        <x:v>Pampus argenteus</x:v>
      </x:c>
      <x:c r="F39" s="24" t="str">
        <x:v>Silver pomfret</x:v>
      </x:c>
      <x:c r="G39" s="24" t="str">
        <x:v>Medium benthopelagics (30 - 89 cm)</x:v>
      </x:c>
      <x:c r="H39" s="24" t="str">
        <x:v>Perch-likes</x:v>
      </x:c>
      <x:c r="I39" s="31" t="n">
        <x:v>2148.7872647806003</x:v>
      </x:c>
      <x:c r="J39" s="31" t="n">
        <x:v>2148.7872647806003</x:v>
      </x:c>
      <x:c r="K39" s="31" t="n">
        <x:v>0</x:v>
      </x:c>
      <x:c r="L39" s="31" t="n">
        <x:v>1531.4417553762</x:v>
      </x:c>
      <x:c r="M39" s="31" t="n">
        <x:v>617.3455094044</x:v>
      </x:c>
      <x:c r="N39" s="24" t="str">
        <x:v>pampus argenteus</x:v>
      </x:c>
      <x:c r="O39" s="32" t="n">
        <x:v>3.3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Pampus argenteus</x:v>
      </x:c>
      <x:c r="T39" s="32" t="n">
        <x:f>IF(O39="","",(1/'Metadata'!$B$5)^(O39-1))</x:f>
        <x:v>199.52623149688787</x:v>
      </x:c>
      <x:c r="U39" s="31" t="n">
        <x:f>IF(T39="","",I39*T39)</x:f>
        <x:v>428739.4252301786</x:v>
      </x:c>
    </x:row>
    <x:row r="40" ht="18" customHeight="1">
      <x:c r="A40" s="24" t="str">
        <x:v>EEZ_922</x:v>
      </x:c>
      <x:c r="B40" s="24" t="str">
        <x:v>Iran (Persian Gulf)</x:v>
      </x:c>
      <x:c r="C40" s="24" t="str">
        <x:v>EEZ</x:v>
      </x:c>
      <x:c r="D40" s="30" t="n">
        <x:v>2019</x:v>
      </x:c>
      <x:c r="E40" s="24" t="str">
        <x:v>Thunnus tonggol</x:v>
      </x:c>
      <x:c r="F40" s="24" t="str">
        <x:v>Longtail tuna</x:v>
      </x:c>
      <x:c r="G40" s="24" t="str">
        <x:v>Large pelagics (&gt;=90 cm)</x:v>
      </x:c>
      <x:c r="H40" s="24" t="str">
        <x:v>Tuna &amp; billfishes</x:v>
      </x:c>
      <x:c r="I40" s="31" t="n">
        <x:v>1816.5337968864</x:v>
      </x:c>
      <x:c r="J40" s="31" t="n">
        <x:v>1816.5337968864</x:v>
      </x:c>
      <x:c r="K40" s="31" t="n">
        <x:v>0</x:v>
      </x:c>
      <x:c r="L40" s="31" t="n">
        <x:v>1816.5337968864</x:v>
      </x:c>
      <x:c r="M40" s="31" t="n">
        <x:v>0</x:v>
      </x:c>
      <x:c r="N40" s="24" t="str">
        <x:v>thunnus tonggol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Thunnus tonggol</x:v>
      </x:c>
      <x:c r="T40" s="32" t="n">
        <x:f>IF(O40="","",(1/'Metadata'!$B$5)^(O40-1))</x:f>
        <x:v>3162.2776601683795</x:v>
      </x:c>
      <x:c r="U40" s="31" t="n">
        <x:f>IF(T40="","",I40*T40)</x:f>
        <x:v>5744384.244834707</x:v>
      </x:c>
    </x:row>
    <x:row r="41" ht="18" customHeight="1">
      <x:c r="A41" s="24" t="str">
        <x:v>EEZ_922</x:v>
      </x:c>
      <x:c r="B41" s="24" t="str">
        <x:v>Iran (Persian Gulf)</x:v>
      </x:c>
      <x:c r="C41" s="24" t="str">
        <x:v>EEZ</x:v>
      </x:c>
      <x:c r="D41" s="30" t="n">
        <x:v>2019</x:v>
      </x:c>
      <x:c r="E41" s="24" t="str">
        <x:v>Sphyraena</x:v>
      </x:c>
      <x:c r="F41" s="24" t="str">
        <x:v>Barracudas, sennets</x:v>
      </x:c>
      <x:c r="G41" s="24" t="str">
        <x:v>Large pelagics (&gt;=90 cm)</x:v>
      </x:c>
      <x:c r="H41" s="24" t="str">
        <x:v>Perch-likes</x:v>
      </x:c>
      <x:c r="I41" s="31" t="n">
        <x:v>1665.6706712027</x:v>
      </x:c>
      <x:c r="J41" s="31" t="n">
        <x:v>1665.6706712027</x:v>
      </x:c>
      <x:c r="K41" s="31" t="n">
        <x:v>0</x:v>
      </x:c>
      <x:c r="L41" s="31" t="n">
        <x:v>57.213854280999996</x:v>
      </x:c>
      <x:c r="M41" s="31" t="n">
        <x:v>1608.4568169217</x:v>
      </x:c>
      <x:c r="N41" s="24" t="str">
        <x:v>sphyraena</x:v>
      </x:c>
      <x:c r="O41" s="32" t="n">
        <x:v>4.4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Sphyraena</x:v>
      </x:c>
      <x:c r="T41" s="32" t="n">
        <x:f>IF(O41="","",(1/'Metadata'!$B$5)^(O41-1))</x:f>
        <x:v>2511.886431509582</x:v>
      </x:c>
      <x:c r="U41" s="31" t="n">
        <x:f>IF(T41="","",I41*T41)</x:f>
        <x:v>4183975.5583575205</x:v>
      </x:c>
    </x:row>
    <x:row r="42" ht="18" customHeight="1">
      <x:c r="A42" s="24" t="str">
        <x:v>EEZ_922</x:v>
      </x:c>
      <x:c r="B42" s="24" t="str">
        <x:v>Iran (Persian Gulf)</x:v>
      </x:c>
      <x:c r="C42" s="24" t="str">
        <x:v>EEZ</x:v>
      </x:c>
      <x:c r="D42" s="30" t="n">
        <x:v>2019</x:v>
      </x:c>
      <x:c r="E42" s="24" t="str">
        <x:v>Saurida</x:v>
      </x:c>
      <x:c r="F42" s="24" t="str">
        <x:v>Lizardfishes</x:v>
      </x:c>
      <x:c r="G42" s="24" t="str">
        <x:v>Medium demersals (30 - 89 cm)</x:v>
      </x:c>
      <x:c r="H42" s="24" t="str">
        <x:v>Other fishes &amp; inverts</x:v>
      </x:c>
      <x:c r="I42" s="31" t="n">
        <x:v>1619.3073064495</x:v>
      </x:c>
      <x:c r="J42" s="31" t="n">
        <x:v>1619.3073064495</x:v>
      </x:c>
      <x:c r="K42" s="31" t="n">
        <x:v>0</x:v>
      </x:c>
      <x:c r="L42" s="31" t="n">
        <x:v>384.6163284028</x:v>
      </x:c>
      <x:c r="M42" s="31" t="n">
        <x:v>1234.6909780467</x:v>
      </x:c>
      <x:c r="N42" s="24" t="str">
        <x:v>saurida</x:v>
      </x:c>
      <x:c r="O42" s="32" t="n">
        <x:v>4.35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Saurida</x:v>
      </x:c>
      <x:c r="T42" s="32" t="n">
        <x:f>IF(O42="","",(1/'Metadata'!$B$5)^(O42-1))</x:f>
        <x:v>2238.7211385683377</x:v>
      </x:c>
      <x:c r="U42" s="31" t="n">
        <x:f>IF(T42="","",I42*T42)</x:f>
        <x:v>3625177.4967866526</x:v>
      </x:c>
    </x:row>
    <x:row r="43" ht="18" customHeight="1">
      <x:c r="A43" s="24" t="str">
        <x:v>EEZ_922</x:v>
      </x:c>
      <x:c r="B43" s="24" t="str">
        <x:v>Iran (Persian Gulf)</x:v>
      </x:c>
      <x:c r="C43" s="24" t="str">
        <x:v>EEZ</x:v>
      </x:c>
      <x:c r="D43" s="30" t="n">
        <x:v>2019</x:v>
      </x:c>
      <x:c r="E43" s="24" t="str">
        <x:v>Sciaenidae</x:v>
      </x:c>
      <x:c r="F43" s="24" t="str">
        <x:v>Drums, croakers</x:v>
      </x:c>
      <x:c r="G43" s="24" t="str">
        <x:v>Medium demersals (30 - 89 cm)</x:v>
      </x:c>
      <x:c r="H43" s="24" t="str">
        <x:v>Perch-likes</x:v>
      </x:c>
      <x:c r="I43" s="31" t="n">
        <x:v>1592.6399860901</x:v>
      </x:c>
      <x:c r="J43" s="31" t="n">
        <x:v>1592.6399860901</x:v>
      </x:c>
      <x:c r="K43" s="31" t="n">
        <x:v>0</x:v>
      </x:c>
      <x:c r="L43" s="31" t="n">
        <x:v>14.703953372500001</x:v>
      </x:c>
      <x:c r="M43" s="31" t="n">
        <x:v>1577.9360327176</x:v>
      </x:c>
      <x:c r="N43" s="24" t="str">
        <x:v>sciaenidae</x:v>
      </x:c>
      <x:c r="O43" s="32" t="n">
        <x:v>3.76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Sciaenidae</x:v>
      </x:c>
      <x:c r="T43" s="32" t="n">
        <x:f>IF(O43="","",(1/'Metadata'!$B$5)^(O43-1))</x:f>
        <x:v>575.4399373371566</x:v>
      </x:c>
      <x:c r="U43" s="31" t="n">
        <x:f>IF(T43="","",I43*T43)</x:f>
        <x:v>916468.6537963371</x:v>
      </x:c>
    </x:row>
    <x:row r="44" ht="18" customHeight="1">
      <x:c r="A44" s="24" t="str">
        <x:v>EEZ_922</x:v>
      </x:c>
      <x:c r="B44" s="24" t="str">
        <x:v>Iran (Persian Gulf)</x:v>
      </x:c>
      <x:c r="C44" s="24" t="str">
        <x:v>EEZ</x:v>
      </x:c>
      <x:c r="D44" s="30" t="n">
        <x:v>2019</x:v>
      </x:c>
      <x:c r="E44" s="24" t="str">
        <x:v>Serranidae</x:v>
      </x:c>
      <x:c r="F44" s="24" t="str">
        <x:v>Basses, groupers, hinds</x:v>
      </x:c>
      <x:c r="G44" s="24" t="str">
        <x:v>Medium reef assoc. fish (30 - 89 cm)</x:v>
      </x:c>
      <x:c r="H44" s="24" t="str">
        <x:v>Perch-likes</x:v>
      </x:c>
      <x:c r="I44" s="31" t="n">
        <x:v>1577.9360327176</x:v>
      </x:c>
      <x:c r="J44" s="31" t="n">
        <x:v>1577.9360327176</x:v>
      </x:c>
      <x:c r="K44" s="31" t="n">
        <x:v>0</x:v>
      </x:c>
      <x:c r="L44" s="31" t="n">
        <x:v>0</x:v>
      </x:c>
      <x:c r="M44" s="31" t="n">
        <x:v>1577.9360327176</x:v>
      </x:c>
      <x:c r="N44" s="24" t="str">
        <x:v>serranidae</x:v>
      </x:c>
      <x:c r="O44" s="32" t="n">
        <x:v>3.98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Serranidae</x:v>
      </x:c>
      <x:c r="T44" s="32" t="n">
        <x:f>IF(O44="","",(1/'Metadata'!$B$5)^(O44-1))</x:f>
        <x:v>954.992586021436</x:v>
      </x:c>
      <x:c r="U44" s="31" t="n">
        <x:f>IF(T44="","",I44*T44)</x:f>
        <x:v>1506917.212461386</x:v>
      </x:c>
    </x:row>
    <x:row r="45" ht="18" customHeight="1">
      <x:c r="A45" s="24" t="str">
        <x:v>EEZ_922</x:v>
      </x:c>
      <x:c r="B45" s="24" t="str">
        <x:v>Iran (Persian Gulf)</x:v>
      </x:c>
      <x:c r="C45" s="24" t="str">
        <x:v>EEZ</x:v>
      </x:c>
      <x:c r="D45" s="30" t="n">
        <x:v>2019</x:v>
      </x:c>
      <x:c r="E45" s="24" t="str">
        <x:v>Photopectoralis bindus</x:v>
      </x:c>
      <x:c r="F45" s="24" t="str">
        <x:v>Orangefin ponyfish</x:v>
      </x:c>
      <x:c r="G45" s="24" t="str">
        <x:v>Large reef assoc. fish (&gt;=90 cm)</x:v>
      </x:c>
      <x:c r="H45" s="24" t="str">
        <x:v>Perch-likes</x:v>
      </x:c>
      <x:c r="I45" s="31" t="n">
        <x:v>1554.1830656000002</x:v>
      </x:c>
      <x:c r="J45" s="31" t="n">
        <x:v>1554.1830656000002</x:v>
      </x:c>
      <x:c r="K45" s="31" t="n">
        <x:v>0</x:v>
      </x:c>
      <x:c r="L45" s="31" t="n">
        <x:v>0</x:v>
      </x:c>
      <x:c r="M45" s="31" t="n">
        <x:v>1554.1830656000002</x:v>
      </x:c>
      <x:c r="N45" s="24" t="str">
        <x:v>photopectoralis bindus</x:v>
      </x:c>
      <x:c r="O45" s="32" t="n">
        <x:v>2.93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Photopectoralis bindus</x:v>
      </x:c>
      <x:c r="T45" s="32" t="n">
        <x:f>IF(O45="","",(1/'Metadata'!$B$5)^(O45-1))</x:f>
        <x:v>85.11380382023768</x:v>
      </x:c>
      <x:c r="U45" s="31" t="n">
        <x:f>IF(T45="","",I45*T45)</x:f>
        <x:v>132282.432546214</x:v>
      </x:c>
    </x:row>
    <x:row r="46" ht="18" customHeight="1">
      <x:c r="A46" s="24" t="str">
        <x:v>EEZ_922</x:v>
      </x:c>
      <x:c r="B46" s="24" t="str">
        <x:v>Iran (Persian Gulf)</x:v>
      </x:c>
      <x:c r="C46" s="24" t="str">
        <x:v>EEZ</x:v>
      </x:c>
      <x:c r="D46" s="30" t="n">
        <x:v>2019</x:v>
      </x:c>
      <x:c r="E46" s="24" t="str">
        <x:v>Sparidae</x:v>
      </x:c>
      <x:c r="F46" s="24" t="str">
        <x:v>Porgies, seabreams</x:v>
      </x:c>
      <x:c r="G46" s="24" t="str">
        <x:v>Medium benthopelagics (30 - 89 cm)</x:v>
      </x:c>
      <x:c r="H46" s="24" t="str">
        <x:v>Perch-likes</x:v>
      </x:c>
      <x:c r="I46" s="31" t="n">
        <x:v>1552.9699329354</x:v>
      </x:c>
      <x:c r="J46" s="31" t="n">
        <x:v>1552.9699329354</x:v>
      </x:c>
      <x:c r="K46" s="31" t="n">
        <x:v>0</x:v>
      </x:c>
      <x:c r="L46" s="31" t="n">
        <x:v>0</x:v>
      </x:c>
      <x:c r="M46" s="31" t="n">
        <x:v>1552.9699329354</x:v>
      </x:c>
      <x:c r="N46" s="24" t="str">
        <x:v>sparidae</x:v>
      </x:c>
      <x:c r="O46" s="32" t="n">
        <x:v>3.31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Sparidae</x:v>
      </x:c>
      <x:c r="T46" s="32" t="n">
        <x:f>IF(O46="","",(1/'Metadata'!$B$5)^(O46-1))</x:f>
        <x:v>204.17379446695296</x:v>
      </x:c>
      <x:c r="U46" s="31" t="n">
        <x:f>IF(T46="","",I46*T46)</x:f>
        <x:v>317075.7639005101</x:v>
      </x:c>
    </x:row>
    <x:row r="47" ht="18" customHeight="1">
      <x:c r="A47" s="24" t="str">
        <x:v>EEZ_922</x:v>
      </x:c>
      <x:c r="B47" s="24" t="str">
        <x:v>Iran (Persian Gulf)</x:v>
      </x:c>
      <x:c r="C47" s="24" t="str">
        <x:v>EEZ</x:v>
      </x:c>
      <x:c r="D47" s="30" t="n">
        <x:v>2019</x:v>
      </x:c>
      <x:c r="E47" s="24" t="str">
        <x:v>Caranx</x:v>
      </x:c>
      <x:c r="F47" s="24" t="str">
        <x:v>Jacks</x:v>
      </x:c>
      <x:c r="G47" s="24" t="str">
        <x:v>Medium reef assoc. fish (30 - 89 cm)</x:v>
      </x:c>
      <x:c r="H47" s="24" t="str">
        <x:v>Perch-likes</x:v>
      </x:c>
      <x:c r="I47" s="31" t="n">
        <x:v>1552.9699329354</x:v>
      </x:c>
      <x:c r="J47" s="31" t="n">
        <x:v>1552.9699329354</x:v>
      </x:c>
      <x:c r="K47" s="31" t="n">
        <x:v>0</x:v>
      </x:c>
      <x:c r="L47" s="31" t="n">
        <x:v>0</x:v>
      </x:c>
      <x:c r="M47" s="31" t="n">
        <x:v>1552.9699329354</x:v>
      </x:c>
      <x:c r="N47" s="24" t="str">
        <x:v>caranx</x:v>
      </x:c>
      <x:c r="O47" s="32" t="n">
        <x:v>4.12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Caranx</x:v>
      </x:c>
      <x:c r="T47" s="32" t="n">
        <x:f>IF(O47="","",(1/'Metadata'!$B$5)^(O47-1))</x:f>
        <x:v>1318.2567385564075</x:v>
      </x:c>
      <x:c r="U47" s="31" t="n">
        <x:f>IF(T47="","",I47*T47)</x:f>
        <x:v>2047213.0788675833</x:v>
      </x:c>
    </x:row>
    <x:row r="48" ht="18" customHeight="1">
      <x:c r="A48" s="24" t="str">
        <x:v>EEZ_922</x:v>
      </x:c>
      <x:c r="B48" s="24" t="str">
        <x:v>Iran (Persian Gulf)</x:v>
      </x:c>
      <x:c r="C48" s="24" t="str">
        <x:v>EEZ</x:v>
      </x:c>
      <x:c r="D48" s="30" t="n">
        <x:v>2019</x:v>
      </x:c>
      <x:c r="E48" s="24" t="str">
        <x:v>Chanos chanos</x:v>
      </x:c>
      <x:c r="F48" s="24" t="str">
        <x:v>Milkfish</x:v>
      </x:c>
      <x:c r="G48" s="24" t="str">
        <x:v>Large benthopelagics (&gt;=90 cm)</x:v>
      </x:c>
      <x:c r="H48" s="24" t="str">
        <x:v>Other fishes &amp; inverts</x:v>
      </x:c>
      <x:c r="I48" s="31" t="n">
        <x:v>1552.9699329354</x:v>
      </x:c>
      <x:c r="J48" s="31" t="n">
        <x:v>1552.9699329354</x:v>
      </x:c>
      <x:c r="K48" s="31" t="n">
        <x:v>0</x:v>
      </x:c>
      <x:c r="L48" s="31" t="n">
        <x:v>0</x:v>
      </x:c>
      <x:c r="M48" s="31" t="n">
        <x:v>1552.9699329354</x:v>
      </x:c>
      <x:c r="N48" s="24" t="str">
        <x:v>chanos chanos</x:v>
      </x:c>
      <x:c r="O48" s="32" t="n">
        <x:v>2.03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Chanos chanos</x:v>
      </x:c>
      <x:c r="T48" s="32" t="n">
        <x:f>IF(O48="","",(1/'Metadata'!$B$5)^(O48-1))</x:f>
        <x:v>10.71519305237606</x:v>
      </x:c>
      <x:c r="U48" s="31" t="n">
        <x:f>IF(T48="","",I48*T48)</x:f>
        <x:v>16640.372635938314</x:v>
      </x:c>
    </x:row>
    <x:row r="49" ht="18" customHeight="1">
      <x:c r="A49" s="24" t="str">
        <x:v>EEZ_922</x:v>
      </x:c>
      <x:c r="B49" s="24" t="str">
        <x:v>Iran (Persian Gulf)</x:v>
      </x:c>
      <x:c r="C49" s="24" t="str">
        <x:v>EEZ</x:v>
      </x:c>
      <x:c r="D49" s="30" t="n">
        <x:v>2019</x:v>
      </x:c>
      <x:c r="E49" s="24" t="str">
        <x:v>Siganus</x:v>
      </x:c>
      <x:c r="F49" s="24" t="str">
        <x:v>Spinefoots</x:v>
      </x:c>
      <x:c r="G49" s="24" t="str">
        <x:v>Medium reef assoc. fish (30 - 89 cm)</x:v>
      </x:c>
      <x:c r="H49" s="24" t="str">
        <x:v>Perch-likes</x:v>
      </x:c>
      <x:c r="I49" s="31" t="n">
        <x:v>1425.4900043845</x:v>
      </x:c>
      <x:c r="J49" s="31" t="n">
        <x:v>1425.4900043845</x:v>
      </x:c>
      <x:c r="K49" s="31" t="n">
        <x:v>0</x:v>
      </x:c>
      <x:c r="L49" s="31" t="n">
        <x:v>1414.519213732</x:v>
      </x:c>
      <x:c r="M49" s="31" t="n">
        <x:v>10.9707906525</x:v>
      </x:c>
      <x:c r="N49" s="24" t="str">
        <x:v>siganus</x:v>
      </x:c>
      <x:c r="O49" s="32" t="n">
        <x:v>2.11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Siganus</x:v>
      </x:c>
      <x:c r="T49" s="32" t="n">
        <x:f>IF(O49="","",(1/'Metadata'!$B$5)^(O49-1))</x:f>
        <x:v>12.882495516931336</x:v>
      </x:c>
      <x:c r="U49" s="31" t="n">
        <x:f>IF(T49="","",I49*T49)</x:f>
        <x:v>18363.868590913753</x:v>
      </x:c>
    </x:row>
    <x:row r="50" ht="18" customHeight="1">
      <x:c r="A50" s="24" t="str">
        <x:v>EEZ_922</x:v>
      </x:c>
      <x:c r="B50" s="24" t="str">
        <x:v>Iran (Persian Gulf)</x:v>
      </x:c>
      <x:c r="C50" s="24" t="str">
        <x:v>EEZ</x:v>
      </x:c>
      <x:c r="D50" s="30" t="n">
        <x:v>2019</x:v>
      </x:c>
      <x:c r="E50" s="24" t="str">
        <x:v>Katsuwonus pelamis</x:v>
      </x:c>
      <x:c r="F50" s="24" t="str">
        <x:v>Skipjack tuna</x:v>
      </x:c>
      <x:c r="G50" s="24" t="str">
        <x:v>Large pelagics (&gt;=90 cm)</x:v>
      </x:c>
      <x:c r="H50" s="24" t="str">
        <x:v>Tuna &amp; billfishes</x:v>
      </x:c>
      <x:c r="I50" s="31" t="n">
        <x:v>1355.2988640960998</x:v>
      </x:c>
      <x:c r="J50" s="31" t="n">
        <x:v>1355.2988640960998</x:v>
      </x:c>
      <x:c r="K50" s="31" t="n">
        <x:v>0</x:v>
      </x:c>
      <x:c r="L50" s="31" t="n">
        <x:v>1355.2988640960998</x:v>
      </x:c>
      <x:c r="M50" s="31" t="n">
        <x:v>0</x:v>
      </x:c>
      <x:c r="N50" s="24" t="str">
        <x:v>katsuwonus pelamis</x:v>
      </x:c>
      <x:c r="O50" s="32" t="n">
        <x:v>4.43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Katsuwonus pelamis</x:v>
      </x:c>
      <x:c r="T50" s="32" t="n">
        <x:f>IF(O50="","",(1/'Metadata'!$B$5)^(O50-1))</x:f>
        <x:v>2691.534803926914</x:v>
      </x:c>
      <x:c r="U50" s="31" t="n">
        <x:f>IF(T50="","",I50*T50)</x:f>
        <x:v>3647834.062437265</x:v>
      </x:c>
    </x:row>
    <x:row r="51" ht="18" customHeight="1">
      <x:c r="A51" s="24" t="str">
        <x:v>EEZ_922</x:v>
      </x:c>
      <x:c r="B51" s="24" t="str">
        <x:v>Iran (Persian Gulf)</x:v>
      </x:c>
      <x:c r="C51" s="24" t="str">
        <x:v>EEZ</x:v>
      </x:c>
      <x:c r="D51" s="30" t="n">
        <x:v>2019</x:v>
      </x:c>
      <x:c r="E51" s="24" t="str">
        <x:v>Euthynnus affinis</x:v>
      </x:c>
      <x:c r="F51" s="24" t="str">
        <x:v>Kawakawa</x:v>
      </x:c>
      <x:c r="G51" s="24" t="str">
        <x:v>Large pelagics (&gt;=90 cm)</x:v>
      </x:c>
      <x:c r="H51" s="24" t="str">
        <x:v>Tuna &amp; billfishes</x:v>
      </x:c>
      <x:c r="I51" s="31" t="n">
        <x:v>1336.5828295305</x:v>
      </x:c>
      <x:c r="J51" s="31" t="n">
        <x:v>1336.5828295305</x:v>
      </x:c>
      <x:c r="K51" s="31" t="n">
        <x:v>0</x:v>
      </x:c>
      <x:c r="L51" s="31" t="n">
        <x:v>1336.5828295305</x:v>
      </x:c>
      <x:c r="M51" s="31" t="n">
        <x:v>0</x:v>
      </x:c>
      <x:c r="N51" s="24" t="str">
        <x:v>euthynnus affinis</x:v>
      </x:c>
      <x:c r="O51" s="32" t="n">
        <x:v>4.5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Euthynnus affinis</x:v>
      </x:c>
      <x:c r="T51" s="32" t="n">
        <x:f>IF(O51="","",(1/'Metadata'!$B$5)^(O51-1))</x:f>
        <x:v>3162.2776601683795</x:v>
      </x:c>
      <x:c r="U51" s="31" t="n">
        <x:f>IF(T51="","",I51*T51)</x:f>
        <x:v>4226646.022788942</x:v>
      </x:c>
    </x:row>
    <x:row r="52" ht="18" customHeight="1">
      <x:c r="A52" s="24" t="str">
        <x:v>EEZ_922</x:v>
      </x:c>
      <x:c r="B52" s="24" t="str">
        <x:v>Iran (Persian Gulf)</x:v>
      </x:c>
      <x:c r="C52" s="24" t="str">
        <x:v>EEZ</x:v>
      </x:c>
      <x:c r="D52" s="30" t="n">
        <x:v>2019</x:v>
      </x:c>
      <x:c r="E52" s="24" t="str">
        <x:v>Drepane punctata</x:v>
      </x:c>
      <x:c r="F52" s="24" t="str">
        <x:v>Spotted sicklefish</x:v>
      </x:c>
      <x:c r="G52" s="24" t="str">
        <x:v>Medium reef assoc. fish (30 - 89 cm)</x:v>
      </x:c>
      <x:c r="H52" s="24" t="str">
        <x:v>Perch-likes</x:v>
      </x:c>
      <x:c r="I52" s="31" t="n">
        <x:v>1332.357111718</x:v>
      </x:c>
      <x:c r="J52" s="31" t="n">
        <x:v>1332.357111718</x:v>
      </x:c>
      <x:c r="K52" s="31" t="n">
        <x:v>0</x:v>
      </x:c>
      <x:c r="L52" s="31" t="n">
        <x:v>1222.715431952</x:v>
      </x:c>
      <x:c r="M52" s="31" t="n">
        <x:v>109.64167976600001</x:v>
      </x:c>
      <x:c r="N52" s="24" t="str">
        <x:v>drepane punctata</x:v>
      </x:c>
      <x:c r="O52" s="32" t="n">
        <x:v>3.32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Drepane punctata</x:v>
      </x:c>
      <x:c r="T52" s="32" t="n">
        <x:f>IF(O52="","",(1/'Metadata'!$B$5)^(O52-1))</x:f>
        <x:v>208.92961308540387</x:v>
      </x:c>
      <x:c r="U52" s="31" t="n">
        <x:f>IF(T52="","",I52*T52)</x:f>
        <x:v>278368.85584282794</x:v>
      </x:c>
    </x:row>
    <x:row r="53" ht="18" customHeight="1">
      <x:c r="A53" s="24" t="str">
        <x:v>EEZ_922</x:v>
      </x:c>
      <x:c r="B53" s="24" t="str">
        <x:v>Iran (Persian Gulf)</x:v>
      </x:c>
      <x:c r="C53" s="24" t="str">
        <x:v>EEZ</x:v>
      </x:c>
      <x:c r="D53" s="30" t="n">
        <x:v>2019</x:v>
      </x:c>
      <x:c r="E53" s="24" t="str">
        <x:v>Moolgarda seheli</x:v>
      </x:c>
      <x:c r="F53" s="24" t="str">
        <x:v>Bluespot mullet</x:v>
      </x:c>
      <x:c r="G53" s="24" t="str">
        <x:v>Medium reef assoc. fish (30 - 89 cm)</x:v>
      </x:c>
      <x:c r="H53" s="24" t="str">
        <x:v>Perch-likes</x:v>
      </x:c>
      <x:c r="I53" s="31" t="n">
        <x:v>1252.6345314901</x:v>
      </x:c>
      <x:c r="J53" s="31" t="n">
        <x:v>1252.6345314901</x:v>
      </x:c>
      <x:c r="K53" s="31" t="n">
        <x:v>0</x:v>
      </x:c>
      <x:c r="L53" s="31" t="n">
        <x:v>1252.6345314901</x:v>
      </x:c>
      <x:c r="M53" s="31" t="n">
        <x:v>0</x:v>
      </x:c>
      <x:c r="N53" s="24" t="str">
        <x:v>moolgarda seheli</x:v>
      </x:c>
      <x:c r="O53" s="32" t="n">
        <x:v>2.32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Moolgarda seheli</x:v>
      </x:c>
      <x:c r="T53" s="32" t="n">
        <x:f>IF(O53="","",(1/'Metadata'!$B$5)^(O53-1))</x:f>
        <x:v>20.892961308540386</x:v>
      </x:c>
      <x:c r="U53" s="31" t="n">
        <x:f>IF(T53="","",I53*T53)</x:f>
        <x:v>26171.244800164273</x:v>
      </x:c>
    </x:row>
    <x:row r="54" ht="18" customHeight="1">
      <x:c r="A54" s="24" t="str">
        <x:v>EEZ_922</x:v>
      </x:c>
      <x:c r="B54" s="24" t="str">
        <x:v>Iran (Persian Gulf)</x:v>
      </x:c>
      <x:c r="C54" s="24" t="str">
        <x:v>EEZ</x:v>
      </x:c>
      <x:c r="D54" s="30" t="n">
        <x:v>2019</x:v>
      </x:c>
      <x:c r="E54" s="24" t="str">
        <x:v>Eleutheronema tetradactylum</x:v>
      </x:c>
      <x:c r="F54" s="24" t="str">
        <x:v>Fourfinger threadfin</x:v>
      </x:c>
      <x:c r="G54" s="24" t="str">
        <x:v>Large demersals (&gt;=90 cm)</x:v>
      </x:c>
      <x:c r="H54" s="24" t="str">
        <x:v>Perch-likes</x:v>
      </x:c>
      <x:c r="I54" s="31" t="n">
        <x:v>1251.2666052053</x:v>
      </x:c>
      <x:c r="J54" s="31" t="n">
        <x:v>1251.2666052053</x:v>
      </x:c>
      <x:c r="K54" s="31" t="n">
        <x:v>0</x:v>
      </x:c>
      <x:c r="L54" s="31" t="n">
        <x:v>1244.9814134033998</x:v>
      </x:c>
      <x:c r="M54" s="31" t="n">
        <x:v>6.2851918019</x:v>
      </x:c>
      <x:c r="N54" s="24" t="str">
        <x:v>eleutheronema tetradactylum</x:v>
      </x:c>
      <x:c r="O54" s="32" t="n">
        <x:v>4.06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Eleutheronema tetradactylum</x:v>
      </x:c>
      <x:c r="T54" s="32" t="n">
        <x:f>IF(O54="","",(1/'Metadata'!$B$5)^(O54-1))</x:f>
        <x:v>1148.1536214968817</x:v>
      </x:c>
      <x:c r="U54" s="31" t="n">
        <x:f>IF(T54="","",I54*T54)</x:f>
        <x:v>1436646.2842245742</x:v>
      </x:c>
    </x:row>
    <x:row r="55" ht="18" customHeight="1">
      <x:c r="A55" s="24" t="str">
        <x:v>EEZ_922</x:v>
      </x:c>
      <x:c r="B55" s="24" t="str">
        <x:v>Iran (Persian Gulf)</x:v>
      </x:c>
      <x:c r="C55" s="24" t="str">
        <x:v>EEZ</x:v>
      </x:c>
      <x:c r="D55" s="30" t="n">
        <x:v>2019</x:v>
      </x:c>
      <x:c r="E55" s="24" t="str">
        <x:v>Rhizoprionodon acutus</x:v>
      </x:c>
      <x:c r="F55" s="24" t="str">
        <x:v>Milk shark</x:v>
      </x:c>
      <x:c r="G55" s="24" t="str">
        <x:v>Large sharks (&gt;=90 cm)</x:v>
      </x:c>
      <x:c r="H55" s="24" t="str">
        <x:v>Sharks &amp; rays</x:v>
      </x:c>
      <x:c r="I55" s="31" t="n">
        <x:v>1212.2448482626</x:v>
      </x:c>
      <x:c r="J55" s="31" t="n">
        <x:v>1212.2448482626</x:v>
      </x:c>
      <x:c r="K55" s="31" t="n">
        <x:v>0</x:v>
      </x:c>
      <x:c r="L55" s="31" t="n">
        <x:v>1212.2448482626</x:v>
      </x:c>
      <x:c r="M55" s="31" t="n">
        <x:v>0</x:v>
      </x:c>
      <x:c r="N55" s="24" t="str">
        <x:v>rhizoprionodon acutus</x:v>
      </x:c>
      <x:c r="O55" s="32" t="n">
        <x:v>4.25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Rhizoprionodon acutus</x:v>
      </x:c>
      <x:c r="T55" s="32" t="n">
        <x:f>IF(O55="","",(1/'Metadata'!$B$5)^(O55-1))</x:f>
        <x:v>1778.2794100389228</x:v>
      </x:c>
      <x:c r="U55" s="31" t="n">
        <x:f>IF(T55="","",I55*T55)</x:f>
        <x:v>2155710.05359114</x:v>
      </x:c>
    </x:row>
    <x:row r="56" ht="18" customHeight="1">
      <x:c r="A56" s="24" t="str">
        <x:v>EEZ_922</x:v>
      </x:c>
      <x:c r="B56" s="24" t="str">
        <x:v>Iran (Persian Gulf)</x:v>
      </x:c>
      <x:c r="C56" s="24" t="str">
        <x:v>EEZ</x:v>
      </x:c>
      <x:c r="D56" s="30" t="n">
        <x:v>2019</x:v>
      </x:c>
      <x:c r="E56" s="24" t="str">
        <x:v>Aetobatus narinari</x:v>
      </x:c>
      <x:c r="F56" s="24" t="str">
        <x:v>Spotted eagle ray</x:v>
      </x:c>
      <x:c r="G56" s="24" t="str">
        <x:v>Large rays (&gt;=90 cm)</x:v>
      </x:c>
      <x:c r="H56" s="24" t="str">
        <x:v>Sharks &amp; rays</x:v>
      </x:c>
      <x:c r="I56" s="31" t="n">
        <x:v>1127.7755166278</x:v>
      </x:c>
      <x:c r="J56" s="31" t="n">
        <x:v>1127.7755166278</x:v>
      </x:c>
      <x:c r="K56" s="31" t="n">
        <x:v>0</x:v>
      </x:c>
      <x:c r="L56" s="31" t="n">
        <x:v>267.8681593218</x:v>
      </x:c>
      <x:c r="M56" s="31" t="n">
        <x:v>859.907357306</x:v>
      </x:c>
      <x:c r="N56" s="24" t="str">
        <x:v>aetobatus narinari</x:v>
      </x:c>
      <x:c r="O56" s="32" t="n">
        <x:v>4.17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Aetobatus narinari</x:v>
      </x:c>
      <x:c r="T56" s="32" t="n">
        <x:f>IF(O56="","",(1/'Metadata'!$B$5)^(O56-1))</x:f>
        <x:v>1479.1083881682073</x:v>
      </x:c>
      <x:c r="U56" s="31" t="n">
        <x:f>IF(T56="","",I56*T56)</x:f>
        <x:v>1668102.2266149125</x:v>
      </x:c>
    </x:row>
    <x:row r="57" ht="18" customHeight="1">
      <x:c r="A57" s="24" t="str">
        <x:v>EEZ_922</x:v>
      </x:c>
      <x:c r="B57" s="24" t="str">
        <x:v>Iran (Persian Gulf)</x:v>
      </x:c>
      <x:c r="C57" s="24" t="str">
        <x:v>EEZ</x:v>
      </x:c>
      <x:c r="D57" s="30" t="n">
        <x:v>2019</x:v>
      </x:c>
      <x:c r="E57" s="24" t="str">
        <x:v>Lutjanus malabaricus</x:v>
      </x:c>
      <x:c r="F57" s="24" t="str">
        <x:v>Malabar blood snapper</x:v>
      </x:c>
      <x:c r="G57" s="24" t="str">
        <x:v>Medium reef assoc. fish (30 - 89 cm)</x:v>
      </x:c>
      <x:c r="H57" s="24" t="str">
        <x:v>Perch-likes</x:v>
      </x:c>
      <x:c r="I57" s="31" t="n">
        <x:v>1094.2868301593</x:v>
      </x:c>
      <x:c r="J57" s="31" t="n">
        <x:v>1094.2868301593</x:v>
      </x:c>
      <x:c r="K57" s="31" t="n">
        <x:v>0</x:v>
      </x:c>
      <x:c r="L57" s="31" t="n">
        <x:v>1088.0016383575</x:v>
      </x:c>
      <x:c r="M57" s="31" t="n">
        <x:v>6.2851918018</x:v>
      </x:c>
      <x:c r="N57" s="24" t="str">
        <x:v>lutjanus malabaricus</x:v>
      </x:c>
      <x:c r="O57" s="32" t="n">
        <x:v>4.48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Lutjanus malabaricus</x:v>
      </x:c>
      <x:c r="T57" s="32" t="n">
        <x:f>IF(O57="","",(1/'Metadata'!$B$5)^(O57-1))</x:f>
        <x:v>3019.951720402019</x:v>
      </x:c>
      <x:c r="U57" s="31" t="n">
        <x:f>IF(T57="","",I57*T57)</x:f>
        <x:v>3304693.39535285</x:v>
      </x:c>
    </x:row>
    <x:row r="58" ht="18" customHeight="1">
      <x:c r="A58" s="24" t="str">
        <x:v>EEZ_922</x:v>
      </x:c>
      <x:c r="B58" s="24" t="str">
        <x:v>Iran (Persian Gulf)</x:v>
      </x:c>
      <x:c r="C58" s="24" t="str">
        <x:v>EEZ</x:v>
      </x:c>
      <x:c r="D58" s="30" t="n">
        <x:v>2019</x:v>
      </x:c>
      <x:c r="E58" s="24" t="str">
        <x:v>Tenualosa ilisha</x:v>
      </x:c>
      <x:c r="F58" s="24" t="str">
        <x:v>Hilsa shad</x:v>
      </x:c>
      <x:c r="G58" s="24" t="str">
        <x:v>Medium pelagics (30 - 89 cm)</x:v>
      </x:c>
      <x:c r="H58" s="24" t="str">
        <x:v>Herring-likes</x:v>
      </x:c>
      <x:c r="I58" s="31" t="n">
        <x:v>996.3607561773999</x:v>
      </x:c>
      <x:c r="J58" s="31" t="n">
        <x:v>996.3607561773999</x:v>
      </x:c>
      <x:c r="K58" s="31" t="n">
        <x:v>0</x:v>
      </x:c>
      <x:c r="L58" s="31" t="n">
        <x:v>971.9183434514</x:v>
      </x:c>
      <x:c r="M58" s="31" t="n">
        <x:v>24.442412726</x:v>
      </x:c>
      <x:c r="N58" s="24" t="str">
        <x:v>tenualosa ilisha</x:v>
      </x:c>
      <x:c r="O58" s="32" t="n">
        <x:v>2.2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Tenualosa ilisha</x:v>
      </x:c>
      <x:c r="T58" s="32" t="n">
        <x:f>IF(O58="","",(1/'Metadata'!$B$5)^(O58-1))</x:f>
        <x:v>15.848931924611142</x:v>
      </x:c>
      <x:c r="U58" s="31" t="n">
        <x:f>IF(T58="","",I58*T58)</x:f>
        <x:v>15791.253797009691</x:v>
      </x:c>
    </x:row>
    <x:row r="59" ht="18" customHeight="1">
      <x:c r="A59" s="24" t="str">
        <x:v>EEZ_922</x:v>
      </x:c>
      <x:c r="B59" s="24" t="str">
        <x:v>Iran (Persian Gulf)</x:v>
      </x:c>
      <x:c r="C59" s="24" t="str">
        <x:v>EEZ</x:v>
      </x:c>
      <x:c r="D59" s="30" t="n">
        <x:v>2019</x:v>
      </x:c>
      <x:c r="E59" s="24" t="str">
        <x:v>Grammoplites suppositus</x:v>
      </x:c>
      <x:c r="F59" s="24" t="str">
        <x:v>Spotfin flathead</x:v>
      </x:c>
      <x:c r="G59" s="24" t="str">
        <x:v>Small demersals (&lt;30 cm)</x:v>
      </x:c>
      <x:c r="H59" s="24" t="str">
        <x:v>Scorpionfishes</x:v>
      </x:c>
      <x:c r="I59" s="31" t="n">
        <x:v>961.6927121005999</x:v>
      </x:c>
      <x:c r="J59" s="31" t="n">
        <x:v>961.6927121005999</x:v>
      </x:c>
      <x:c r="K59" s="31" t="n">
        <x:v>0</x:v>
      </x:c>
      <x:c r="L59" s="31" t="n">
        <x:v>228.4203307984</x:v>
      </x:c>
      <x:c r="M59" s="31" t="n">
        <x:v>733.2723813022</x:v>
      </x:c>
      <x:c r="N59" s="24" t="str">
        <x:v>grammoplites suppositus</x:v>
      </x:c>
      <x:c r="O59" s="32" t="n">
        <x:v>3.84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Grammoplites suppositus</x:v>
      </x:c>
      <x:c r="T59" s="32" t="n">
        <x:f>IF(O59="","",(1/'Metadata'!$B$5)^(O59-1))</x:f>
        <x:v>691.8309709189363</x:v>
      </x:c>
      <x:c r="U59" s="31" t="n">
        <x:f>IF(T59="","",I59*T59)</x:f>
        <x:v>665328.8027382231</x:v>
      </x:c>
    </x:row>
    <x:row r="60" ht="18" customHeight="1">
      <x:c r="A60" s="24" t="str">
        <x:v>EEZ_922</x:v>
      </x:c>
      <x:c r="B60" s="24" t="str">
        <x:v>Iran (Persian Gulf)</x:v>
      </x:c>
      <x:c r="C60" s="24" t="str">
        <x:v>EEZ</x:v>
      </x:c>
      <x:c r="D60" s="30" t="n">
        <x:v>2019</x:v>
      </x:c>
      <x:c r="E60" s="24" t="str">
        <x:v>Anodontostoma chacunda</x:v>
      </x:c>
      <x:c r="F60" s="24" t="str">
        <x:v>Chacunda gizzard shad</x:v>
      </x:c>
      <x:c r="G60" s="24" t="str">
        <x:v>Small pelagics (&lt;30 cm)</x:v>
      </x:c>
      <x:c r="H60" s="24" t="str">
        <x:v>Herring-likes</x:v>
      </x:c>
      <x:c r="I60" s="31" t="n">
        <x:v>833.5164280076</x:v>
      </x:c>
      <x:c r="J60" s="31" t="n">
        <x:v>833.5164280076</x:v>
      </x:c>
      <x:c r="K60" s="31" t="n">
        <x:v>0</x:v>
      </x:c>
      <x:c r="L60" s="31" t="n">
        <x:v>197.964286687</x:v>
      </x:c>
      <x:c r="M60" s="31" t="n">
        <x:v>635.5521413206</x:v>
      </x:c>
      <x:c r="N60" s="24" t="str">
        <x:v>anodontostoma chacunda</x:v>
      </x:c>
      <x:c r="O60" s="32" t="n">
        <x:v>2.84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Anodontostoma chacunda</x:v>
      </x:c>
      <x:c r="T60" s="32" t="n">
        <x:f>IF(O60="","",(1/'Metadata'!$B$5)^(O60-1))</x:f>
        <x:v>69.18309709189363</x:v>
      </x:c>
      <x:c r="U60" s="31" t="n">
        <x:f>IF(T60="","",I60*T60)</x:f>
        <x:v>57665.247966538154</x:v>
      </x:c>
    </x:row>
    <x:row r="61" ht="18" customHeight="1">
      <x:c r="A61" s="24" t="str">
        <x:v>EEZ_922</x:v>
      </x:c>
      <x:c r="B61" s="24" t="str">
        <x:v>Iran (Persian Gulf)</x:v>
      </x:c>
      <x:c r="C61" s="24" t="str">
        <x:v>EEZ</x:v>
      </x:c>
      <x:c r="D61" s="30" t="n">
        <x:v>2019</x:v>
      </x:c>
      <x:c r="E61" s="24" t="str">
        <x:v>Metapenaeus affinis</x:v>
      </x:c>
      <x:c r="F61" s="24" t="str">
        <x:v>Jinga shrimp</x:v>
      </x:c>
      <x:c r="G61" s="24" t="str">
        <x:v>Shrimps</x:v>
      </x:c>
      <x:c r="H61" s="24" t="str">
        <x:v>Crustaceans</x:v>
      </x:c>
      <x:c r="I61" s="31" t="n">
        <x:v>809.24344316</x:v>
      </x:c>
      <x:c r="J61" s="31" t="n">
        <x:v>809.24344316</x:v>
      </x:c>
      <x:c r="K61" s="31" t="n">
        <x:v>0</x:v>
      </x:c>
      <x:c r="L61" s="31" t="n">
        <x:v>0</x:v>
      </x:c>
      <x:c r="M61" s="31" t="n">
        <x:v>809.24344316</x:v>
      </x:c>
      <x:c r="N61" s="24" t="str">
        <x:v>metapenaeus affinis</x:v>
      </x:c>
      <x:c r="O61" s="32" t="n">
        <x:v>3.44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Metapenaeus affinis</x:v>
      </x:c>
      <x:c r="T61" s="32" t="n">
        <x:f>IF(O61="","",(1/'Metadata'!$B$5)^(O61-1))</x:f>
        <x:v>275.4228703338166</x:v>
      </x:c>
      <x:c r="U61" s="31" t="n">
        <x:f>IF(T61="","",I61*T61)</x:f>
        <x:v>222884.15191394795</x:v>
      </x:c>
    </x:row>
    <x:row r="62" ht="18" customHeight="1">
      <x:c r="A62" s="24" t="str">
        <x:v>EEZ_922</x:v>
      </x:c>
      <x:c r="B62" s="24" t="str">
        <x:v>Iran (Persian Gulf)</x:v>
      </x:c>
      <x:c r="C62" s="24" t="str">
        <x:v>EEZ</x:v>
      </x:c>
      <x:c r="D62" s="30" t="n">
        <x:v>2019</x:v>
      </x:c>
      <x:c r="E62" s="24" t="str">
        <x:v>Chiloscyllium arabicum</x:v>
      </x:c>
      <x:c r="F62" s="24" t="str">
        <x:v>Arabian carpetshark</x:v>
      </x:c>
      <x:c r="G62" s="24" t="str">
        <x:v>Small to medium sharks (&lt;90 cm)</x:v>
      </x:c>
      <x:c r="H62" s="24" t="str">
        <x:v>Sharks &amp; rays</x:v>
      </x:c>
      <x:c r="I62" s="31" t="n">
        <x:v>764.03681276</x:v>
      </x:c>
      <x:c r="J62" s="31" t="n">
        <x:v>764.03681276</x:v>
      </x:c>
      <x:c r="K62" s="31" t="n">
        <x:v>0</x:v>
      </x:c>
      <x:c r="L62" s="31" t="n">
        <x:v>0</x:v>
      </x:c>
      <x:c r="M62" s="31" t="n">
        <x:v>764.03681276</x:v>
      </x:c>
      <x:c r="N62" s="24" t="str">
        <x:v>chiloscyllium arabicum</x:v>
      </x:c>
      <x:c r="O62" s="32" t="n">
        <x:v>4.06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Chiloscyllium arabicum</x:v>
      </x:c>
      <x:c r="T62" s="32" t="n">
        <x:f>IF(O62="","",(1/'Metadata'!$B$5)^(O62-1))</x:f>
        <x:v>1148.1536214968817</x:v>
      </x:c>
      <x:c r="U62" s="31" t="n">
        <x:f>IF(T62="","",I62*T62)</x:f>
        <x:v>877231.6335273288</x:v>
      </x:c>
    </x:row>
    <x:row r="63" ht="18" customHeight="1">
      <x:c r="A63" s="24" t="str">
        <x:v>EEZ_922</x:v>
      </x:c>
      <x:c r="B63" s="24" t="str">
        <x:v>Iran (Persian Gulf)</x:v>
      </x:c>
      <x:c r="C63" s="24" t="str">
        <x:v>EEZ</x:v>
      </x:c>
      <x:c r="D63" s="30" t="n">
        <x:v>2019</x:v>
      </x:c>
      <x:c r="E63" s="24" t="str">
        <x:v>Parapenaeopsis stylifera</x:v>
      </x:c>
      <x:c r="F63" s="24" t="str">
        <x:v>Kiddi shrimp</x:v>
      </x:c>
      <x:c r="G63" s="24" t="str">
        <x:v>Shrimps</x:v>
      </x:c>
      <x:c r="H63" s="24" t="str">
        <x:v>Crustaceans</x:v>
      </x:c>
      <x:c r="I63" s="31" t="n">
        <x:v>666.0145152</x:v>
      </x:c>
      <x:c r="J63" s="31" t="n">
        <x:v>666.0145152</x:v>
      </x:c>
      <x:c r="K63" s="31" t="n">
        <x:v>0</x:v>
      </x:c>
      <x:c r="L63" s="31" t="n">
        <x:v>0</x:v>
      </x:c>
      <x:c r="M63" s="31" t="n">
        <x:v>666.0145152</x:v>
      </x:c>
      <x:c r="N63" s="24" t="str">
        <x:v>parapenaeopsis stylifera</x:v>
      </x:c>
      <x:c r="O63" s="32" t="n">
        <x:v>2.66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Parapenaeopsis stylifera</x:v>
      </x:c>
      <x:c r="T63" s="32" t="n">
        <x:f>IF(O63="","",(1/'Metadata'!$B$5)^(O63-1))</x:f>
        <x:v>45.708818961487516</x:v>
      </x:c>
      <x:c r="U63" s="31" t="n">
        <x:f>IF(T63="","",I63*T63)</x:f>
        <x:v>30442.736900999676</x:v>
      </x:c>
    </x:row>
    <x:row r="64" ht="18" customHeight="1">
      <x:c r="A64" s="24" t="str">
        <x:v>EEZ_922</x:v>
      </x:c>
      <x:c r="B64" s="24" t="str">
        <x:v>Iran (Persian Gulf)</x:v>
      </x:c>
      <x:c r="C64" s="24" t="str">
        <x:v>EEZ</x:v>
      </x:c>
      <x:c r="D64" s="30" t="n">
        <x:v>2019</x:v>
      </x:c>
      <x:c r="E64" s="24" t="str">
        <x:v>Planiliza klunzingeri</x:v>
      </x:c>
      <x:c r="F64" s="24" t="str">
        <x:v>Klunzinger's mullet</x:v>
      </x:c>
      <x:c r="G64" s="24" t="str">
        <x:v>Small demersals (&lt;30 cm)</x:v>
      </x:c>
      <x:c r="H64" s="24" t="str">
        <x:v>Perch-likes</x:v>
      </x:c>
      <x:c r="I64" s="31" t="n">
        <x:v>631.1227690624</x:v>
      </x:c>
      <x:c r="J64" s="31" t="n">
        <x:v>631.1227690624</x:v>
      </x:c>
      <x:c r="K64" s="31" t="n">
        <x:v>0</x:v>
      </x:c>
      <x:c r="L64" s="31" t="n">
        <x:v>631.1227690624</x:v>
      </x:c>
      <x:c r="M64" s="31" t="n">
        <x:v>0</x:v>
      </x:c>
      <x:c r="N64" s="24" t="str">
        <x:v>planiliza klunzingeri</x:v>
      </x:c>
      <x:c r="O64" s="32" t="n">
        <x:v>2.63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Planiliza klunzingeri</x:v>
      </x:c>
      <x:c r="T64" s="32" t="n">
        <x:f>IF(O64="","",(1/'Metadata'!$B$5)^(O64-1))</x:f>
        <x:v>42.65795188015925</x:v>
      </x:c>
      <x:c r="U64" s="31" t="n">
        <x:f>IF(T64="","",I64*T64)</x:f>
        <x:v>26922.404713136722</x:v>
      </x:c>
    </x:row>
    <x:row r="65" ht="18" customHeight="1">
      <x:c r="A65" s="24" t="str">
        <x:v>EEZ_922</x:v>
      </x:c>
      <x:c r="B65" s="24" t="str">
        <x:v>Iran (Persian Gulf)</x:v>
      </x:c>
      <x:c r="C65" s="24" t="str">
        <x:v>EEZ</x:v>
      </x:c>
      <x:c r="D65" s="30" t="n">
        <x:v>2019</x:v>
      </x:c>
      <x:c r="E65" s="24" t="str">
        <x:v>Soleidae</x:v>
      </x:c>
      <x:c r="F65" s="24" t="str">
        <x:v>Soles</x:v>
      </x:c>
      <x:c r="G65" s="24" t="str">
        <x:v>Small to medium flatfishes (&lt;90 cm)</x:v>
      </x:c>
      <x:c r="H65" s="24" t="str">
        <x:v>Flatfishes</x:v>
      </x:c>
      <x:c r="I65" s="31" t="n">
        <x:v>620.0924788759</x:v>
      </x:c>
      <x:c r="J65" s="31" t="n">
        <x:v>617.3151313746</x:v>
      </x:c>
      <x:c r="K65" s="31" t="n">
        <x:v>2.7773475013</x:v>
      </x:c>
      <x:c r="L65" s="31" t="n">
        <x:v>146.6240980205</x:v>
      </x:c>
      <x:c r="M65" s="31" t="n">
        <x:v>473.4683808554</x:v>
      </x:c>
      <x:c r="N65" s="24" t="str">
        <x:v>soleidae</x:v>
      </x:c>
      <x:c r="O65" s="32" t="n">
        <x:v>3.15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Soleidae</x:v>
      </x:c>
      <x:c r="T65" s="32" t="n">
        <x:f>IF(O65="","",(1/'Metadata'!$B$5)^(O65-1))</x:f>
        <x:v>141.2537544622754</x:v>
      </x:c>
      <x:c r="U65" s="31" t="n">
        <x:f>IF(T65="","",I65*T65)</x:f>
        <x:v>87590.39075504008</x:v>
      </x:c>
    </x:row>
    <x:row r="66" ht="18" customHeight="1">
      <x:c r="A66" s="24" t="str">
        <x:v>EEZ_922</x:v>
      </x:c>
      <x:c r="B66" s="24" t="str">
        <x:v>Iran (Persian Gulf)</x:v>
      </x:c>
      <x:c r="C66" s="24" t="str">
        <x:v>EEZ</x:v>
      </x:c>
      <x:c r="D66" s="30" t="n">
        <x:v>2019</x:v>
      </x:c>
      <x:c r="E66" s="24" t="str">
        <x:v>Istiophorus platypterus</x:v>
      </x:c>
      <x:c r="F66" s="24" t="str">
        <x:v>Indo-Pacific sailfish</x:v>
      </x:c>
      <x:c r="G66" s="24" t="str">
        <x:v>Large pelagics (&gt;=90 cm)</x:v>
      </x:c>
      <x:c r="H66" s="24" t="str">
        <x:v>Tuna &amp; billfishes</x:v>
      </x:c>
      <x:c r="I66" s="31" t="n">
        <x:v>609.3371565603</x:v>
      </x:c>
      <x:c r="J66" s="31" t="n">
        <x:v>609.3371565603</x:v>
      </x:c>
      <x:c r="K66" s="31" t="n">
        <x:v>0</x:v>
      </x:c>
      <x:c r="L66" s="31" t="n">
        <x:v>609.3371565603</x:v>
      </x:c>
      <x:c r="M66" s="31" t="n">
        <x:v>0</x:v>
      </x:c>
      <x:c r="N66" s="24" t="str">
        <x:v>istiophorus platypterus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Istiophorus platypterus</x:v>
      </x:c>
      <x:c r="T66" s="32" t="n">
        <x:f>IF(O66="","",(1/'Metadata'!$B$5)^(O66-1))</x:f>
        <x:v>3162.2776601683795</x:v>
      </x:c>
      <x:c r="U66" s="31" t="n">
        <x:f>IF(T66="","",I66*T66)</x:f>
        <x:v>1926893.2777011588</x:v>
      </x:c>
    </x:row>
    <x:row r="67" ht="18" customHeight="1">
      <x:c r="A67" s="24" t="str">
        <x:v>EEZ_922</x:v>
      </x:c>
      <x:c r="B67" s="24" t="str">
        <x:v>Iran (Persian Gulf)</x:v>
      </x:c>
      <x:c r="C67" s="24" t="str">
        <x:v>EEZ</x:v>
      </x:c>
      <x:c r="D67" s="30" t="n">
        <x:v>2019</x:v>
      </x:c>
      <x:c r="E67" s="24" t="str">
        <x:v>Rhinobatidae</x:v>
      </x:c>
      <x:c r="F67" s="24" t="str">
        <x:v>Guitarfishes, fanrays</x:v>
      </x:c>
      <x:c r="G67" s="24" t="str">
        <x:v>Large rays (&gt;=90 cm)</x:v>
      </x:c>
      <x:c r="H67" s="24" t="str">
        <x:v>Sharks &amp; rays</x:v>
      </x:c>
      <x:c r="I67" s="31" t="n">
        <x:v>582.1709713026</x:v>
      </x:c>
      <x:c r="J67" s="31" t="n">
        <x:v>0</x:v>
      </x:c>
      <x:c r="K67" s="31" t="n">
        <x:v>582.1709713026</x:v>
      </x:c>
      <x:c r="L67" s="31" t="n">
        <x:v>0</x:v>
      </x:c>
      <x:c r="M67" s="31" t="n">
        <x:v>582.1709713026</x:v>
      </x:c>
      <x:c r="N67" s="24" t="str">
        <x:v>rhinobatidae</x:v>
      </x:c>
      <x:c r="O67" s="32" t="n">
        <x:v>3.7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Rhinobatidae</x:v>
      </x:c>
      <x:c r="T67" s="32" t="n">
        <x:f>IF(O67="","",(1/'Metadata'!$B$5)^(O67-1))</x:f>
        <x:v>501.18723362727246</x:v>
      </x:c>
      <x:c r="U67" s="31" t="n">
        <x:f>IF(T67="","",I67*T67)</x:f>
        <x:v>291776.65860525233</x:v>
      </x:c>
    </x:row>
    <x:row r="68" ht="18" customHeight="1">
      <x:c r="A68" s="24" t="str">
        <x:v>EEZ_922</x:v>
      </x:c>
      <x:c r="B68" s="24" t="str">
        <x:v>Iran (Persian Gulf)</x:v>
      </x:c>
      <x:c r="C68" s="24" t="str">
        <x:v>EEZ</x:v>
      </x:c>
      <x:c r="D68" s="30" t="n">
        <x:v>2019</x:v>
      </x:c>
      <x:c r="E68" s="24" t="str">
        <x:v>Sardinella gibbosa</x:v>
      </x:c>
      <x:c r="F68" s="24" t="str">
        <x:v>Goldstripe sardinella</x:v>
      </x:c>
      <x:c r="G68" s="24" t="str">
        <x:v>Small pelagics (&lt;30 cm)</x:v>
      </x:c>
      <x:c r="H68" s="24" t="str">
        <x:v>Herring-likes</x:v>
      </x:c>
      <x:c r="I68" s="31" t="n">
        <x:v>568.8762435203</x:v>
      </x:c>
      <x:c r="J68" s="31" t="n">
        <x:v>568.8062657747</x:v>
      </x:c>
      <x:c r="K68" s="31" t="n">
        <x:v>0.0699777456</x:v>
      </x:c>
      <x:c r="L68" s="31" t="n">
        <x:v>135.09430994309997</x:v>
      </x:c>
      <x:c r="M68" s="31" t="n">
        <x:v>433.7819335772</x:v>
      </x:c>
      <x:c r="N68" s="24" t="str">
        <x:v>sardinella gibbosa</x:v>
      </x:c>
      <x:c r="O68" s="32" t="n">
        <x:v>2.85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Sardinella gibbosa</x:v>
      </x:c>
      <x:c r="T68" s="32" t="n">
        <x:f>IF(O68="","",(1/'Metadata'!$B$5)^(O68-1))</x:f>
        <x:v>70.79457843841381</x:v>
      </x:c>
      <x:c r="U68" s="31" t="n">
        <x:f>IF(T68="","",I68*T68)</x:f>
        <x:v>40273.353843648074</x:v>
      </x:c>
    </x:row>
    <x:row r="69" ht="18" customHeight="1">
      <x:c r="A69" s="24" t="str">
        <x:v>EEZ_922</x:v>
      </x:c>
      <x:c r="B69" s="24" t="str">
        <x:v>Iran (Persian Gulf)</x:v>
      </x:c>
      <x:c r="C69" s="24" t="str">
        <x:v>EEZ</x:v>
      </x:c>
      <x:c r="D69" s="30" t="n">
        <x:v>2019</x:v>
      </x:c>
      <x:c r="E69" s="24" t="str">
        <x:v>Himantura uarnak</x:v>
      </x:c>
      <x:c r="F69" s="24" t="str">
        <x:v>Honeycomb stingray</x:v>
      </x:c>
      <x:c r="G69" s="24" t="str">
        <x:v>Large rays (&gt;=90 cm)</x:v>
      </x:c>
      <x:c r="H69" s="24" t="str">
        <x:v>Sharks &amp; rays</x:v>
      </x:c>
      <x:c r="I69" s="31" t="n">
        <x:v>552.9906866536</x:v>
      </x:c>
      <x:c r="J69" s="31" t="n">
        <x:v>552.4384512</x:v>
      </x:c>
      <x:c r="K69" s="31" t="n">
        <x:v>0.5522354536</x:v>
      </x:c>
      <x:c r="L69" s="31" t="n">
        <x:v>0</x:v>
      </x:c>
      <x:c r="M69" s="31" t="n">
        <x:v>552.9906866536</x:v>
      </x:c>
      <x:c r="N69" s="24" t="str">
        <x:v>himantura uarnak</x:v>
      </x:c>
      <x:c r="O69" s="32" t="n">
        <x:v>3.6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Himantura uarnak</x:v>
      </x:c>
      <x:c r="T69" s="32" t="n">
        <x:f>IF(O69="","",(1/'Metadata'!$B$5)^(O69-1))</x:f>
        <x:v>398.1071705534973</x:v>
      </x:c>
      <x:c r="U69" s="31" t="n">
        <x:f>IF(T69="","",I69*T69)</x:f>
        <x:v>220149.55760610037</x:v>
      </x:c>
    </x:row>
    <x:row r="70" ht="18" customHeight="1">
      <x:c r="A70" s="24" t="str">
        <x:v>EEZ_922</x:v>
      </x:c>
      <x:c r="B70" s="24" t="str">
        <x:v>Iran (Persian Gulf)</x:v>
      </x:c>
      <x:c r="C70" s="24" t="str">
        <x:v>EEZ</x:v>
      </x:c>
      <x:c r="D70" s="30" t="n">
        <x:v>2019</x:v>
      </x:c>
      <x:c r="E70" s="24" t="str">
        <x:v>Pastinachus sephen</x:v>
      </x:c>
      <x:c r="F70" s="24" t="str">
        <x:v>Cowtail stingray</x:v>
      </x:c>
      <x:c r="G70" s="24" t="str">
        <x:v>Large rays (&gt;=90 cm)</x:v>
      </x:c>
      <x:c r="H70" s="24" t="str">
        <x:v>Sharks &amp; rays</x:v>
      </x:c>
      <x:c r="I70" s="31" t="n">
        <x:v>552.4384512</x:v>
      </x:c>
      <x:c r="J70" s="31" t="n">
        <x:v>552.4384512</x:v>
      </x:c>
      <x:c r="K70" s="31" t="n">
        <x:v>0</x:v>
      </x:c>
      <x:c r="L70" s="31" t="n">
        <x:v>0</x:v>
      </x:c>
      <x:c r="M70" s="31" t="n">
        <x:v>552.4384512</x:v>
      </x:c>
      <x:c r="N70" s="24" t="str">
        <x:v>pastinachus sephen</x:v>
      </x:c>
      <x:c r="O70" s="32" t="n">
        <x:v>3.71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Pastinachus sephen</x:v>
      </x:c>
      <x:c r="T70" s="32" t="n">
        <x:f>IF(O70="","",(1/'Metadata'!$B$5)^(O70-1))</x:f>
        <x:v>512.8613839913648</x:v>
      </x:c>
      <x:c r="U70" s="31" t="n">
        <x:f>IF(T70="","",I70*T70)</x:f>
        <x:v>283324.3486524781</x:v>
      </x:c>
    </x:row>
    <x:row r="71" ht="18" customHeight="1">
      <x:c r="A71" s="24" t="str">
        <x:v>EEZ_922</x:v>
      </x:c>
      <x:c r="B71" s="24" t="str">
        <x:v>Iran (Persian Gulf)</x:v>
      </x:c>
      <x:c r="C71" s="24" t="str">
        <x:v>EEZ</x:v>
      </x:c>
      <x:c r="D71" s="30" t="n">
        <x:v>2019</x:v>
      </x:c>
      <x:c r="E71" s="24" t="str">
        <x:v>Aetomylaeus nichofii</x:v>
      </x:c>
      <x:c r="F71" s="24" t="str">
        <x:v>Banded eagle ray</x:v>
      </x:c>
      <x:c r="G71" s="24" t="str">
        <x:v>Small to medium rays (&lt;90 cm)</x:v>
      </x:c>
      <x:c r="H71" s="24" t="str">
        <x:v>Sharks &amp; rays</x:v>
      </x:c>
      <x:c r="I71" s="31" t="n">
        <x:v>551.1329792</x:v>
      </x:c>
      <x:c r="J71" s="31" t="n">
        <x:v>551.1329792</x:v>
      </x:c>
      <x:c r="K71" s="31" t="n">
        <x:v>0</x:v>
      </x:c>
      <x:c r="L71" s="31" t="n">
        <x:v>0</x:v>
      </x:c>
      <x:c r="M71" s="31" t="n">
        <x:v>551.1329792</x:v>
      </x:c>
      <x:c r="N71" s="24" t="str">
        <x:v>aetomylaeus nichofii</x:v>
      </x:c>
      <x:c r="O71" s="32" t="n">
        <x:v>3.76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Aetomylaeus nichofii</x:v>
      </x:c>
      <x:c r="T71" s="32" t="n">
        <x:f>IF(O71="","",(1/'Metadata'!$B$5)^(O71-1))</x:f>
        <x:v>575.4399373371566</x:v>
      </x:c>
      <x:c r="U71" s="31" t="n">
        <x:f>IF(T71="","",I71*T71)</x:f>
        <x:v>317143.92701528844</x:v>
      </x:c>
    </x:row>
    <x:row r="72" ht="18" customHeight="1">
      <x:c r="A72" s="24" t="str">
        <x:v>EEZ_922</x:v>
      </x:c>
      <x:c r="B72" s="24" t="str">
        <x:v>Iran (Persian Gulf)</x:v>
      </x:c>
      <x:c r="C72" s="24" t="str">
        <x:v>EEZ</x:v>
      </x:c>
      <x:c r="D72" s="30" t="n">
        <x:v>2019</x:v>
      </x:c>
      <x:c r="E72" s="24" t="str">
        <x:v>Aetomylaeus maculatus</x:v>
      </x:c>
      <x:c r="F72" s="24" t="str">
        <x:v>Mottled eagle ray</x:v>
      </x:c>
      <x:c r="G72" s="24" t="str">
        <x:v>Large rays (&gt;=90 cm)</x:v>
      </x:c>
      <x:c r="H72" s="24" t="str">
        <x:v>Sharks &amp; rays</x:v>
      </x:c>
      <x:c r="I72" s="31" t="n">
        <x:v>551.1329792</x:v>
      </x:c>
      <x:c r="J72" s="31" t="n">
        <x:v>551.1329792</x:v>
      </x:c>
      <x:c r="K72" s="31" t="n">
        <x:v>0</x:v>
      </x:c>
      <x:c r="L72" s="31" t="n">
        <x:v>0</x:v>
      </x:c>
      <x:c r="M72" s="31" t="n">
        <x:v>551.1329792</x:v>
      </x:c>
      <x:c r="N72" s="24" t="str">
        <x:v>aetomylaeus maculatus</x:v>
      </x:c>
      <x:c r="O72" s="32" t="n">
        <x:v>3.8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Aetomylaeus maculatus</x:v>
      </x:c>
      <x:c r="T72" s="32" t="n">
        <x:f>IF(O72="","",(1/'Metadata'!$B$5)^(O72-1))</x:f>
        <x:v>630.957344480193</x:v>
      </x:c>
      <x:c r="U72" s="31" t="n">
        <x:f>IF(T72="","",I72*T72)</x:f>
        <x:v>347741.40101148945</x:v>
      </x:c>
    </x:row>
    <x:row r="73" ht="18" customHeight="1">
      <x:c r="A73" s="24" t="str">
        <x:v>EEZ_922</x:v>
      </x:c>
      <x:c r="B73" s="24" t="str">
        <x:v>Iran (Persian Gulf)</x:v>
      </x:c>
      <x:c r="C73" s="24" t="str">
        <x:v>EEZ</x:v>
      </x:c>
      <x:c r="D73" s="30" t="n">
        <x:v>2019</x:v>
      </x:c>
      <x:c r="E73" s="24" t="str">
        <x:v>Nematalosa nasus</x:v>
      </x:c>
      <x:c r="F73" s="24" t="str">
        <x:v>Bloch's gizzard shad</x:v>
      </x:c>
      <x:c r="G73" s="24" t="str">
        <x:v>Small pelagics (&lt;30 cm)</x:v>
      </x:c>
      <x:c r="H73" s="24" t="str">
        <x:v>Herring-likes</x:v>
      </x:c>
      <x:c r="I73" s="31" t="n">
        <x:v>517.1650561594</x:v>
      </x:c>
      <x:c r="J73" s="31" t="n">
        <x:v>489.11843158</x:v>
      </x:c>
      <x:c r="K73" s="31" t="n">
        <x:v>28.0466245794</x:v>
      </x:c>
      <x:c r="L73" s="31" t="n">
        <x:v>116.1680539357</x:v>
      </x:c>
      <x:c r="M73" s="31" t="n">
        <x:v>400.9970022237</x:v>
      </x:c>
      <x:c r="N73" s="24" t="str">
        <x:v>nematalosa nasus</x:v>
      </x:c>
      <x:c r="O73" s="32" t="n">
        <x:v>2.67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Nematalosa nasus</x:v>
      </x:c>
      <x:c r="T73" s="32" t="n">
        <x:f>IF(O73="","",(1/'Metadata'!$B$5)^(O73-1))</x:f>
        <x:v>46.77351412871981</x:v>
      </x:c>
      <x:c r="U73" s="31" t="n">
        <x:f>IF(T73="","",I73*T73)</x:f>
        <x:v>24189.62706115187</x:v>
      </x:c>
    </x:row>
    <x:row r="74" ht="18" customHeight="1">
      <x:c r="A74" s="24" t="str">
        <x:v>EEZ_922</x:v>
      </x:c>
      <x:c r="B74" s="24" t="str">
        <x:v>Iran (Persian Gulf)</x:v>
      </x:c>
      <x:c r="C74" s="24" t="str">
        <x:v>EEZ</x:v>
      </x:c>
      <x:c r="D74" s="30" t="n">
        <x:v>2019</x:v>
      </x:c>
      <x:c r="E74" s="24" t="str">
        <x:v>Alepes</x:v>
      </x:c>
      <x:c r="F74" s="24" t="str">
        <x:v>Crevalles</x:v>
      </x:c>
      <x:c r="G74" s="24" t="str">
        <x:v>Medium reef assoc. fish (30 - 89 cm)</x:v>
      </x:c>
      <x:c r="H74" s="24" t="str">
        <x:v>Perch-likes</x:v>
      </x:c>
      <x:c r="I74" s="31" t="n">
        <x:v>512.9179698904001</x:v>
      </x:c>
      <x:c r="J74" s="31" t="n">
        <x:v>512.9179698904001</x:v>
      </x:c>
      <x:c r="K74" s="31" t="n">
        <x:v>0</x:v>
      </x:c>
      <x:c r="L74" s="31" t="n">
        <x:v>121.82417640690001</x:v>
      </x:c>
      <x:c r="M74" s="31" t="n">
        <x:v>391.0937934835</x:v>
      </x:c>
      <x:c r="N74" s="24" t="str">
        <x:v>alepes</x:v>
      </x:c>
      <x:c r="O74" s="32" t="n">
        <x:v>3.32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Alepes</x:v>
      </x:c>
      <x:c r="T74" s="32" t="n">
        <x:f>IF(O74="","",(1/'Metadata'!$B$5)^(O74-1))</x:f>
        <x:v>208.92961308540387</x:v>
      </x:c>
      <x:c r="U74" s="31" t="n">
        <x:f>IF(T74="","",I74*T74)</x:f>
        <x:v>107163.75299375212</x:v>
      </x:c>
    </x:row>
    <x:row r="75" ht="18" customHeight="1">
      <x:c r="A75" s="24" t="str">
        <x:v>EEZ_922</x:v>
      </x:c>
      <x:c r="B75" s="24" t="str">
        <x:v>Iran (Persian Gulf)</x:v>
      </x:c>
      <x:c r="C75" s="24" t="str">
        <x:v>EEZ</x:v>
      </x:c>
      <x:c r="D75" s="30" t="n">
        <x:v>2019</x:v>
      </x:c>
      <x:c r="E75" s="24" t="str">
        <x:v>Istiompax indica</x:v>
      </x:c>
      <x:c r="F75" s="24" t="str">
        <x:v>Black marlin</x:v>
      </x:c>
      <x:c r="G75" s="24" t="str">
        <x:v>Large pelagics (&gt;=90 cm)</x:v>
      </x:c>
      <x:c r="H75" s="24" t="str">
        <x:v>Tuna &amp; billfishes</x:v>
      </x:c>
      <x:c r="I75" s="31" t="n">
        <x:v>467.4720097975</x:v>
      </x:c>
      <x:c r="J75" s="31" t="n">
        <x:v>467.4720097975</x:v>
      </x:c>
      <x:c r="K75" s="31" t="n">
        <x:v>0</x:v>
      </x:c>
      <x:c r="L75" s="31" t="n">
        <x:v>467.4720097975</x:v>
      </x:c>
      <x:c r="M75" s="31" t="n">
        <x:v>0</x:v>
      </x:c>
      <x:c r="N75" s="24" t="str">
        <x:v>istiompax indica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Istiompax indica</x:v>
      </x:c>
      <x:c r="T75" s="32" t="n">
        <x:f>IF(O75="","",(1/'Metadata'!$B$5)^(O75-1))</x:f>
        <x:v>3162.2776601683795</x:v>
      </x:c>
      <x:c r="U75" s="31" t="n">
        <x:f>IF(T75="","",I75*T75)</x:f>
        <x:v>1478276.293336648</x:v>
      </x:c>
    </x:row>
    <x:row r="76" ht="18" customHeight="1">
      <x:c r="A76" s="24" t="str">
        <x:v>EEZ_922</x:v>
      </x:c>
      <x:c r="B76" s="24" t="str">
        <x:v>Iran (Persian Gulf)</x:v>
      </x:c>
      <x:c r="C76" s="24" t="str">
        <x:v>EEZ</x:v>
      </x:c>
      <x:c r="D76" s="30" t="n">
        <x:v>2019</x:v>
      </x:c>
      <x:c r="E76" s="24" t="str">
        <x:v>Dussumieria acuta</x:v>
      </x:c>
      <x:c r="F76" s="24" t="str">
        <x:v>Rainbow sardine</x:v>
      </x:c>
      <x:c r="G76" s="24" t="str">
        <x:v>Small pelagics (&lt;30 cm)</x:v>
      </x:c>
      <x:c r="H76" s="24" t="str">
        <x:v>Herring-likes</x:v>
      </x:c>
      <x:c r="I76" s="31" t="n">
        <x:v>457.0601072196</x:v>
      </x:c>
      <x:c r="J76" s="31" t="n">
        <x:v>457.0601072196</x:v>
      </x:c>
      <x:c r="K76" s="31" t="n">
        <x:v>0</x:v>
      </x:c>
      <x:c r="L76" s="31" t="n">
        <x:v>108.5540429122</x:v>
      </x:c>
      <x:c r="M76" s="31" t="n">
        <x:v>348.5060643074</x:v>
      </x:c>
      <x:c r="N76" s="24" t="str">
        <x:v>dussumieria acuta</x:v>
      </x:c>
      <x:c r="O76" s="32" t="n">
        <x:v>3.4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Dussumieria acuta</x:v>
      </x:c>
      <x:c r="T76" s="32" t="n">
        <x:f>IF(O76="","",(1/'Metadata'!$B$5)^(O76-1))</x:f>
        <x:v>251.18864315095797</x:v>
      </x:c>
      <x:c r="U76" s="31" t="n">
        <x:f>IF(T76="","",I76*T76)</x:f>
        <x:v>114808.3081709227</x:v>
      </x:c>
    </x:row>
    <x:row r="77" ht="18" customHeight="1">
      <x:c r="A77" s="24" t="str">
        <x:v>EEZ_922</x:v>
      </x:c>
      <x:c r="B77" s="24" t="str">
        <x:v>Iran (Persian Gulf)</x:v>
      </x:c>
      <x:c r="C77" s="24" t="str">
        <x:v>EEZ</x:v>
      </x:c>
      <x:c r="D77" s="30" t="n">
        <x:v>2019</x:v>
      </x:c>
      <x:c r="E77" s="24" t="str">
        <x:v>Metapenaeus</x:v>
      </x:c>
      <x:c r="F77" s="24" t="str">
        <x:v>Indo-Pacific prawns</x:v>
      </x:c>
      <x:c r="G77" s="24" t="str">
        <x:v>Shrimps</x:v>
      </x:c>
      <x:c r="H77" s="24" t="str">
        <x:v>Crustaceans</x:v>
      </x:c>
      <x:c r="I77" s="31" t="n">
        <x:v>453.2835916437</x:v>
      </x:c>
      <x:c r="J77" s="31" t="n">
        <x:v>453.2835916437</x:v>
      </x:c>
      <x:c r="K77" s="31" t="n">
        <x:v>0</x:v>
      </x:c>
      <x:c r="L77" s="31" t="n">
        <x:v>0</x:v>
      </x:c>
      <x:c r="M77" s="31" t="n">
        <x:v>453.2835916437</x:v>
      </x:c>
      <x:c r="N77" s="24" t="str">
        <x:v>metapenaeus</x:v>
      </x:c>
      <x:c r="O77" s="32" t="n">
        <x:v>2.7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Metapenaeus</x:v>
      </x:c>
      <x:c r="T77" s="32" t="n">
        <x:f>IF(O77="","",(1/'Metadata'!$B$5)^(O77-1))</x:f>
        <x:v>50.11872336272725</x:v>
      </x:c>
      <x:c r="U77" s="31" t="n">
        <x:f>IF(T77="","",I77*T77)</x:f>
        <x:v>22717.994934454025</x:v>
      </x:c>
    </x:row>
    <x:row r="78" ht="18" customHeight="1">
      <x:c r="A78" s="24" t="str">
        <x:v>EEZ_922</x:v>
      </x:c>
      <x:c r="B78" s="24" t="str">
        <x:v>Iran (Persian Gulf)</x:v>
      </x:c>
      <x:c r="C78" s="24" t="str">
        <x:v>EEZ</x:v>
      </x:c>
      <x:c r="D78" s="30" t="n">
        <x:v>2019</x:v>
      </x:c>
      <x:c r="E78" s="24" t="str">
        <x:v>Carcharhinus falciformis</x:v>
      </x:c>
      <x:c r="F78" s="24" t="str">
        <x:v>Silky shark</x:v>
      </x:c>
      <x:c r="G78" s="24" t="str">
        <x:v>Large sharks (&gt;=90 cm)</x:v>
      </x:c>
      <x:c r="H78" s="24" t="str">
        <x:v>Sharks &amp; rays</x:v>
      </x:c>
      <x:c r="I78" s="31" t="n">
        <x:v>442.9724571275</x:v>
      </x:c>
      <x:c r="J78" s="31" t="n">
        <x:v>442.9724571275</x:v>
      </x:c>
      <x:c r="K78" s="31" t="n">
        <x:v>0</x:v>
      </x:c>
      <x:c r="L78" s="31" t="n">
        <x:v>442.9724571275</x:v>
      </x:c>
      <x:c r="M78" s="31" t="n">
        <x:v>0</x:v>
      </x:c>
      <x:c r="N78" s="24" t="str">
        <x:v>carcharhinus falciformis</x:v>
      </x:c>
      <x:c r="O78" s="32" t="n">
        <x:v>4.51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Carcharhinus falciformis</x:v>
      </x:c>
      <x:c r="T78" s="32" t="n">
        <x:f>IF(O78="","",(1/'Metadata'!$B$5)^(O78-1))</x:f>
        <x:v>3235.936569296281</x:v>
      </x:c>
      <x:c r="U78" s="31" t="n">
        <x:f>IF(T78="","",I78*T78)</x:f>
        <x:v>1433430.7732099062</x:v>
      </x:c>
    </x:row>
    <x:row r="79" ht="18" customHeight="1">
      <x:c r="A79" s="24" t="str">
        <x:v>EEZ_922</x:v>
      </x:c>
      <x:c r="B79" s="24" t="str">
        <x:v>Iran (Persian Gulf)</x:v>
      </x:c>
      <x:c r="C79" s="24" t="str">
        <x:v>EEZ</x:v>
      </x:c>
      <x:c r="D79" s="30" t="n">
        <x:v>2019</x:v>
      </x:c>
      <x:c r="E79" s="24" t="str">
        <x:v>Carangidae</x:v>
      </x:c>
      <x:c r="F79" s="24" t="str">
        <x:v>Jacks, pompanos</x:v>
      </x:c>
      <x:c r="G79" s="24" t="str">
        <x:v>Medium pelagics (30 - 89 cm)</x:v>
      </x:c>
      <x:c r="H79" s="24" t="str">
        <x:v>Perch-likes</x:v>
      </x:c>
      <x:c r="I79" s="31" t="n">
        <x:v>396.0706864709</x:v>
      </x:c>
      <x:c r="J79" s="31" t="n">
        <x:v>396.0706864709</x:v>
      </x:c>
      <x:c r="K79" s="31" t="n">
        <x:v>0</x:v>
      </x:c>
      <x:c r="L79" s="31" t="n">
        <x:v>112.25227683989999</x:v>
      </x:c>
      <x:c r="M79" s="31" t="n">
        <x:v>283.818409631</x:v>
      </x:c>
      <x:c r="N79" s="24" t="str">
        <x:v>carangidae</x:v>
      </x:c>
      <x:c r="O79" s="32" t="n">
        <x:v>4.05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Carangidae</x:v>
      </x:c>
      <x:c r="T79" s="32" t="n">
        <x:f>IF(O79="","",(1/'Metadata'!$B$5)^(O79-1))</x:f>
        <x:v>1122.018454301963</x:v>
      </x:c>
      <x:c r="U79" s="31" t="n">
        <x:f>IF(T79="","",I79*T79)</x:f>
        <x:v>444398.61942839663</x:v>
      </x:c>
    </x:row>
    <x:row r="80" ht="18" customHeight="1">
      <x:c r="A80" s="24" t="str">
        <x:v>EEZ_922</x:v>
      </x:c>
      <x:c r="B80" s="24" t="str">
        <x:v>Iran (Persian Gulf)</x:v>
      </x:c>
      <x:c r="C80" s="24" t="str">
        <x:v>EEZ</x:v>
      </x:c>
      <x:c r="D80" s="30" t="n">
        <x:v>2019</x:v>
      </x:c>
      <x:c r="E80" s="24" t="str">
        <x:v>Alectis ciliaris</x:v>
      </x:c>
      <x:c r="F80" s="24" t="str">
        <x:v>African pompano</x:v>
      </x:c>
      <x:c r="G80" s="24" t="str">
        <x:v>Large pelagics (&gt;=90 cm)</x:v>
      </x:c>
      <x:c r="H80" s="24" t="str">
        <x:v>Perch-likes</x:v>
      </x:c>
      <x:c r="I80" s="31" t="n">
        <x:v>374.8292587833</x:v>
      </x:c>
      <x:c r="J80" s="31" t="n">
        <x:v>374.8292587833</x:v>
      </x:c>
      <x:c r="K80" s="31" t="n">
        <x:v>0</x:v>
      </x:c>
      <x:c r="L80" s="31" t="n">
        <x:v>374.8292587833</x:v>
      </x:c>
      <x:c r="M80" s="31" t="n">
        <x:v>0</x:v>
      </x:c>
      <x:c r="N80" s="24" t="str">
        <x:v>alectis ciliaris</x:v>
      </x:c>
      <x:c r="O80" s="32" t="n">
        <x:v>3.95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Alectis ciliaris</x:v>
      </x:c>
      <x:c r="T80" s="32" t="n">
        <x:f>IF(O80="","",(1/'Metadata'!$B$5)^(O80-1))</x:f>
        <x:v>891.2509381337459</x:v>
      </x:c>
      <x:c r="U80" s="31" t="n">
        <x:f>IF(T80="","",I80*T80)</x:f>
        <x:v>334066.92853059276</x:v>
      </x:c>
    </x:row>
    <x:row r="81" ht="18" customHeight="1">
      <x:c r="A81" s="24" t="str">
        <x:v>EEZ_922</x:v>
      </x:c>
      <x:c r="B81" s="24" t="str">
        <x:v>Iran (Persian Gulf)</x:v>
      </x:c>
      <x:c r="C81" s="24" t="str">
        <x:v>EEZ</x:v>
      </x:c>
      <x:c r="D81" s="30" t="n">
        <x:v>2019</x:v>
      </x:c>
      <x:c r="E81" s="24" t="str">
        <x:v>Rhynchobatus djiddensis</x:v>
      </x:c>
      <x:c r="F81" s="24" t="str">
        <x:v>Giant guitarfish</x:v>
      </x:c>
      <x:c r="G81" s="24" t="str">
        <x:v>Large rays (&gt;=90 cm)</x:v>
      </x:c>
      <x:c r="H81" s="24" t="str">
        <x:v>Sharks &amp; rays</x:v>
      </x:c>
      <x:c r="I81" s="31" t="n">
        <x:v>362.1132577794</x:v>
      </x:c>
      <x:c r="J81" s="31" t="n">
        <x:v>362.1132577794</x:v>
      </x:c>
      <x:c r="K81" s="31" t="n">
        <x:v>0</x:v>
      </x:c>
      <x:c r="L81" s="31" t="n">
        <x:v>239.9011944726</x:v>
      </x:c>
      <x:c r="M81" s="31" t="n">
        <x:v>122.2120633068</x:v>
      </x:c>
      <x:c r="N81" s="24" t="str">
        <x:v>rhynchobatus djiddensis</x:v>
      </x:c>
      <x:c r="O81" s="32" t="n">
        <x:v>3.6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Rhynchobatus djiddensis</x:v>
      </x:c>
      <x:c r="T81" s="32" t="n">
        <x:f>IF(O81="","",(1/'Metadata'!$B$5)^(O81-1))</x:f>
        <x:v>398.1071705534973</x:v>
      </x:c>
      <x:c r="U81" s="31" t="n">
        <x:f>IF(T81="","",I81*T81)</x:f>
        <x:v>144159.88447446615</x:v>
      </x:c>
    </x:row>
    <x:row r="82" ht="18" customHeight="1">
      <x:c r="A82" s="24" t="str">
        <x:v>EEZ_922</x:v>
      </x:c>
      <x:c r="B82" s="24" t="str">
        <x:v>Iran (Persian Gulf)</x:v>
      </x:c>
      <x:c r="C82" s="24" t="str">
        <x:v>EEZ</x:v>
      </x:c>
      <x:c r="D82" s="30" t="n">
        <x:v>2019</x:v>
      </x:c>
      <x:c r="E82" s="24" t="str">
        <x:v>Sardinella</x:v>
      </x:c>
      <x:c r="F82" s="24" t="str">
        <x:v>Sardinellas</x:v>
      </x:c>
      <x:c r="G82" s="24" t="str">
        <x:v>Small pelagics (&lt;30 cm)</x:v>
      </x:c>
      <x:c r="H82" s="24" t="str">
        <x:v>Herring-likes</x:v>
      </x:c>
      <x:c r="I82" s="31" t="n">
        <x:v>344.3775806552</x:v>
      </x:c>
      <x:c r="J82" s="31" t="n">
        <x:v>344.3775806552</x:v>
      </x:c>
      <x:c r="K82" s="31" t="n">
        <x:v>0</x:v>
      </x:c>
      <x:c r="L82" s="31" t="n">
        <x:v>81.79623273509999</x:v>
      </x:c>
      <x:c r="M82" s="31" t="n">
        <x:v>262.58134792010003</x:v>
      </x:c>
      <x:c r="N82" s="24" t="str">
        <x:v>sardinella</x:v>
      </x:c>
      <x:c r="O82" s="32" t="n">
        <x:v>2.77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Sardinella</x:v>
      </x:c>
      <x:c r="T82" s="32" t="n">
        <x:f>IF(O82="","",(1/'Metadata'!$B$5)^(O82-1))</x:f>
        <x:v>58.8843655355589</x:v>
      </x:c>
      <x:c r="U82" s="31" t="n">
        <x:f>IF(T82="","",I82*T82)</x:f>
        <x:v>20278.455341552213</x:v>
      </x:c>
    </x:row>
    <x:row r="83" ht="18" customHeight="1">
      <x:c r="A83" s="24" t="str">
        <x:v>EEZ_922</x:v>
      </x:c>
      <x:c r="B83" s="24" t="str">
        <x:v>Iran (Persian Gulf)</x:v>
      </x:c>
      <x:c r="C83" s="24" t="str">
        <x:v>EEZ</x:v>
      </x:c>
      <x:c r="D83" s="30" t="n">
        <x:v>2019</x:v>
      </x:c>
      <x:c r="E83" s="24" t="str">
        <x:v>Carcharhinus dussumieri</x:v>
      </x:c>
      <x:c r="F83" s="24" t="str">
        <x:v>Whitecheek shark</x:v>
      </x:c>
      <x:c r="G83" s="24" t="str">
        <x:v>Small to medium sharks (&lt;90 cm)</x:v>
      </x:c>
      <x:c r="H83" s="24" t="str">
        <x:v>Sharks &amp; rays</x:v>
      </x:c>
      <x:c r="I83" s="31" t="n">
        <x:v>323.8152039835</x:v>
      </x:c>
      <x:c r="J83" s="31" t="n">
        <x:v>323.8152039835</x:v>
      </x:c>
      <x:c r="K83" s="31" t="n">
        <x:v>0</x:v>
      </x:c>
      <x:c r="L83" s="31" t="n">
        <x:v>231.61580373500001</x:v>
      </x:c>
      <x:c r="M83" s="31" t="n">
        <x:v>92.1994002485</x:v>
      </x:c>
      <x:c r="N83" s="24" t="str">
        <x:v>carcharhinus dussumieri</x:v>
      </x:c>
      <x:c r="O83" s="32" t="n">
        <x:v>3.9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Carcharhinus dussumieri</x:v>
      </x:c>
      <x:c r="T83" s="32" t="n">
        <x:f>IF(O83="","",(1/'Metadata'!$B$5)^(O83-1))</x:f>
        <x:v>794.3282347242813</x:v>
      </x:c>
      <x:c r="U83" s="31" t="n">
        <x:f>IF(T83="","",I83*T83)</x:f>
        <x:v>257215.55935709662</x:v>
      </x:c>
    </x:row>
    <x:row r="84" ht="18" customHeight="1">
      <x:c r="A84" s="24" t="str">
        <x:v>EEZ_922</x:v>
      </x:c>
      <x:c r="B84" s="24" t="str">
        <x:v>Iran (Persian Gulf)</x:v>
      </x:c>
      <x:c r="C84" s="24" t="str">
        <x:v>EEZ</x:v>
      </x:c>
      <x:c r="D84" s="30" t="n">
        <x:v>2019</x:v>
      </x:c>
      <x:c r="E84" s="24" t="str">
        <x:v>Sillago sihama</x:v>
      </x:c>
      <x:c r="F84" s="24" t="str">
        <x:v>Silver sillago</x:v>
      </x:c>
      <x:c r="G84" s="24" t="str">
        <x:v>Medium demersals (30 - 89 cm)</x:v>
      </x:c>
      <x:c r="H84" s="24" t="str">
        <x:v>Perch-likes</x:v>
      </x:c>
      <x:c r="I84" s="31" t="n">
        <x:v>321.4107596115</x:v>
      </x:c>
      <x:c r="J84" s="31" t="n">
        <x:v>320.56423729290003</x:v>
      </x:c>
      <x:c r="K84" s="31" t="n">
        <x:v>0.8465223186</x:v>
      </x:c>
      <x:c r="L84" s="31" t="n">
        <x:v>76.1401102639</x:v>
      </x:c>
      <x:c r="M84" s="31" t="n">
        <x:v>245.2706493476</x:v>
      </x:c>
      <x:c r="N84" s="24" t="str">
        <x:v>sillago sihama</x:v>
      </x:c>
      <x:c r="O84" s="32" t="n">
        <x:v>3.33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Sillago sihama</x:v>
      </x:c>
      <x:c r="T84" s="32" t="n">
        <x:f>IF(O84="","",(1/'Metadata'!$B$5)^(O84-1))</x:f>
        <x:v>213.79620895022325</x:v>
      </x:c>
      <x:c r="U84" s="31" t="n">
        <x:f>IF(T84="","",I84*T84)</x:f>
        <x:v>68716.40192075023</x:v>
      </x:c>
    </x:row>
    <x:row r="85" ht="18" customHeight="1">
      <x:c r="A85" s="24" t="str">
        <x:v>EEZ_922</x:v>
      </x:c>
      <x:c r="B85" s="24" t="str">
        <x:v>Iran (Persian Gulf)</x:v>
      </x:c>
      <x:c r="C85" s="24" t="str">
        <x:v>EEZ</x:v>
      </x:c>
      <x:c r="D85" s="30" t="n">
        <x:v>2019</x:v>
      </x:c>
      <x:c r="E85" s="24" t="str">
        <x:v>Sphyraena obtusata</x:v>
      </x:c>
      <x:c r="F85" s="24" t="str">
        <x:v>Obtuse barracuda</x:v>
      </x:c>
      <x:c r="G85" s="24" t="str">
        <x:v>Medium reef assoc. fish (30 - 89 cm)</x:v>
      </x:c>
      <x:c r="H85" s="24" t="str">
        <x:v>Perch-likes</x:v>
      </x:c>
      <x:c r="I85" s="31" t="n">
        <x:v>280.26473318250004</x:v>
      </x:c>
      <x:c r="J85" s="31" t="n">
        <x:v>280.26473318250004</x:v>
      </x:c>
      <x:c r="K85" s="31" t="n">
        <x:v>0</x:v>
      </x:c>
      <x:c r="L85" s="31" t="n">
        <x:v>66.56821067940001</x:v>
      </x:c>
      <x:c r="M85" s="31" t="n">
        <x:v>213.6965225031</x:v>
      </x:c>
      <x:c r="N85" s="24" t="str">
        <x:v>sphyraena obtusata</x:v>
      </x:c>
      <x:c r="O85" s="32" t="n">
        <x:v>4.5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Sphyraena obtusata</x:v>
      </x:c>
      <x:c r="T85" s="32" t="n">
        <x:f>IF(O85="","",(1/'Metadata'!$B$5)^(O85-1))</x:f>
        <x:v>3162.2776601683795</x:v>
      </x:c>
      <x:c r="U85" s="31" t="n">
        <x:f>IF(T85="","",I85*T85)</x:f>
        <x:v>886274.9046760714</x:v>
      </x:c>
    </x:row>
    <x:row r="86" ht="18" customHeight="1">
      <x:c r="A86" s="24" t="str">
        <x:v>EEZ_922</x:v>
      </x:c>
      <x:c r="B86" s="24" t="str">
        <x:v>Iran (Persian Gulf)</x:v>
      </x:c>
      <x:c r="C86" s="24" t="str">
        <x:v>EEZ</x:v>
      </x:c>
      <x:c r="D86" s="30" t="n">
        <x:v>2019</x:v>
      </x:c>
      <x:c r="E86" s="24" t="str">
        <x:v>Carcharhinus sorrah</x:v>
      </x:c>
      <x:c r="F86" s="24" t="str">
        <x:v>Spottail shark</x:v>
      </x:c>
      <x:c r="G86" s="24" t="str">
        <x:v>Large sharks (&gt;=90 cm)</x:v>
      </x:c>
      <x:c r="H86" s="24" t="str">
        <x:v>Sharks &amp; rays</x:v>
      </x:c>
      <x:c r="I86" s="31" t="n">
        <x:v>271.27867900809997</x:v>
      </x:c>
      <x:c r="J86" s="31" t="n">
        <x:v>271.27867900809997</x:v>
      </x:c>
      <x:c r="K86" s="31" t="n">
        <x:v>0</x:v>
      </x:c>
      <x:c r="L86" s="31" t="n">
        <x:v>271.27867900809997</x:v>
      </x:c>
      <x:c r="M86" s="31" t="n">
        <x:v>0</x:v>
      </x:c>
      <x:c r="N86" s="24" t="str">
        <x:v>carcharhinus sorrah</x:v>
      </x:c>
      <x:c r="O86" s="32" t="n">
        <x:v>4.15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Carcharhinus sorrah</x:v>
      </x:c>
      <x:c r="T86" s="32" t="n">
        <x:f>IF(O86="","",(1/'Metadata'!$B$5)^(O86-1))</x:f>
        <x:v>1412.5375446227554</x:v>
      </x:c>
      <x:c r="U86" s="31" t="n">
        <x:f>IF(T86="","",I86*T86)</x:f>
        <x:v>383191.31915460614</x:v>
      </x:c>
    </x:row>
    <x:row r="87" ht="18" customHeight="1">
      <x:c r="A87" s="24" t="str">
        <x:v>EEZ_922</x:v>
      </x:c>
      <x:c r="B87" s="24" t="str">
        <x:v>Iran (Persian Gulf)</x:v>
      </x:c>
      <x:c r="C87" s="24" t="str">
        <x:v>EEZ</x:v>
      </x:c>
      <x:c r="D87" s="30" t="n">
        <x:v>2019</x:v>
      </x:c>
      <x:c r="E87" s="24" t="str">
        <x:v>Muraenesox cinereus</x:v>
      </x:c>
      <x:c r="F87" s="24" t="str">
        <x:v>Daggertooth pike conger</x:v>
      </x:c>
      <x:c r="G87" s="24" t="str">
        <x:v>Large demersals (&gt;=90 cm)</x:v>
      </x:c>
      <x:c r="H87" s="24" t="str">
        <x:v>Other fishes &amp; inverts</x:v>
      </x:c>
      <x:c r="I87" s="31" t="n">
        <x:v>240.881126753</x:v>
      </x:c>
      <x:c r="J87" s="31" t="n">
        <x:v>240.881126753</x:v>
      </x:c>
      <x:c r="K87" s="31" t="n">
        <x:v>0</x:v>
      </x:c>
      <x:c r="L87" s="31" t="n">
        <x:v>57.2138542807</x:v>
      </x:c>
      <x:c r="M87" s="31" t="n">
        <x:v>183.6672724723</x:v>
      </x:c>
      <x:c r="N87" s="24" t="str">
        <x:v>muraenesox cinereus</x:v>
      </x:c>
      <x:c r="O87" s="32" t="n">
        <x:v>4.38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Muraenesox cinereus</x:v>
      </x:c>
      <x:c r="T87" s="32" t="n">
        <x:f>IF(O87="","",(1/'Metadata'!$B$5)^(O87-1))</x:f>
        <x:v>2398.83291901949</x:v>
      </x:c>
      <x:c r="U87" s="31" t="n">
        <x:f>IF(T87="","",I87*T87)</x:f>
        <x:v>577833.5764256028</x:v>
      </x:c>
    </x:row>
    <x:row r="88" ht="18" customHeight="1">
      <x:c r="A88" s="24" t="str">
        <x:v>EEZ_922</x:v>
      </x:c>
      <x:c r="B88" s="24" t="str">
        <x:v>Iran (Persian Gulf)</x:v>
      </x:c>
      <x:c r="C88" s="24" t="str">
        <x:v>EEZ</x:v>
      </x:c>
      <x:c r="D88" s="30" t="n">
        <x:v>2019</x:v>
      </x:c>
      <x:c r="E88" s="24" t="str">
        <x:v>Scarus persicus</x:v>
      </x:c>
      <x:c r="F88" s="24" t="str">
        <x:v>Gulf parrotfish</x:v>
      </x:c>
      <x:c r="G88" s="24" t="str">
        <x:v>Medium benthopelagics (30 - 89 cm)</x:v>
      </x:c>
      <x:c r="H88" s="24" t="str">
        <x:v>Perch-likes</x:v>
      </x:c>
      <x:c r="I88" s="31" t="n">
        <x:v>233.8678281295</x:v>
      </x:c>
      <x:c r="J88" s="31" t="n">
        <x:v>233.8678281295</x:v>
      </x:c>
      <x:c r="K88" s="31" t="n">
        <x:v>0</x:v>
      </x:c>
      <x:c r="L88" s="31" t="n">
        <x:v>233.8678281295</x:v>
      </x:c>
      <x:c r="M88" s="31" t="n">
        <x:v>0</x:v>
      </x:c>
      <x:c r="N88" s="24" t="str">
        <x:v>scarus persicus</x:v>
      </x:c>
      <x:c r="O88" s="32" t="n">
        <x:v>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Scarus persicus</x:v>
      </x:c>
      <x:c r="T88" s="32" t="n">
        <x:f>IF(O88="","",(1/'Metadata'!$B$5)^(O88-1))</x:f>
        <x:v>10</x:v>
      </x:c>
      <x:c r="U88" s="31" t="n">
        <x:f>IF(T88="","",I88*T88)</x:f>
        <x:v>2338.678281295</x:v>
      </x:c>
    </x:row>
    <x:row r="89" ht="18" customHeight="1">
      <x:c r="A89" s="24" t="str">
        <x:v>EEZ_922</x:v>
      </x:c>
      <x:c r="B89" s="24" t="str">
        <x:v>Iran (Persian Gulf)</x:v>
      </x:c>
      <x:c r="C89" s="24" t="str">
        <x:v>EEZ</x:v>
      </x:c>
      <x:c r="D89" s="30" t="n">
        <x:v>2019</x:v>
      </x:c>
      <x:c r="E89" s="24" t="str">
        <x:v>Upeneus sulphureus</x:v>
      </x:c>
      <x:c r="F89" s="24" t="str">
        <x:v>Sulphur goatfish</x:v>
      </x:c>
      <x:c r="G89" s="24" t="str">
        <x:v>Small demersals (&lt;30 cm)</x:v>
      </x:c>
      <x:c r="H89" s="24" t="str">
        <x:v>Perch-likes</x:v>
      </x:c>
      <x:c r="I89" s="31" t="n">
        <x:v>216.13907149530002</x:v>
      </x:c>
      <x:c r="J89" s="31" t="n">
        <x:v>216.13907149530002</x:v>
      </x:c>
      <x:c r="K89" s="31" t="n">
        <x:v>0</x:v>
      </x:c>
      <x:c r="L89" s="31" t="n">
        <x:v>51.3401886312</x:v>
      </x:c>
      <x:c r="M89" s="31" t="n">
        <x:v>164.7988828641</x:v>
      </x:c>
      <x:c r="N89" s="24" t="str">
        <x:v>upeneus sulphureus</x:v>
      </x:c>
      <x:c r="O89" s="32" t="n">
        <x:v>3.08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Upeneus sulphureus</x:v>
      </x:c>
      <x:c r="T89" s="32" t="n">
        <x:f>IF(O89="","",(1/'Metadata'!$B$5)^(O89-1))</x:f>
        <x:v>120.22644346174131</x:v>
      </x:c>
      <x:c r="U89" s="31" t="n">
        <x:f>IF(T89="","",I89*T89)</x:f>
        <x:v>25985.63185900295</x:v>
      </x:c>
    </x:row>
    <x:row r="90" ht="18" customHeight="1">
      <x:c r="A90" s="24" t="str">
        <x:v>EEZ_922</x:v>
      </x:c>
      <x:c r="B90" s="24" t="str">
        <x:v>Iran (Persian Gulf)</x:v>
      </x:c>
      <x:c r="C90" s="24" t="str">
        <x:v>EEZ</x:v>
      </x:c>
      <x:c r="D90" s="30" t="n">
        <x:v>2019</x:v>
      </x:c>
      <x:c r="E90" s="24" t="str">
        <x:v>Sphyraena jello</x:v>
      </x:c>
      <x:c r="F90" s="24" t="str">
        <x:v>Pickhandle barracuda</x:v>
      </x:c>
      <x:c r="G90" s="24" t="str">
        <x:v>Large reef assoc. fish (&gt;=90 cm)</x:v>
      </x:c>
      <x:c r="H90" s="24" t="str">
        <x:v>Perch-likes</x:v>
      </x:c>
      <x:c r="I90" s="31" t="n">
        <x:v>207.9088053582</x:v>
      </x:c>
      <x:c r="J90" s="31" t="n">
        <x:v>207.9088053582</x:v>
      </x:c>
      <x:c r="K90" s="31" t="n">
        <x:v>0</x:v>
      </x:c>
      <x:c r="L90" s="31" t="n">
        <x:v>49.3823000791</x:v>
      </x:c>
      <x:c r="M90" s="31" t="n">
        <x:v>158.5265052791</x:v>
      </x:c>
      <x:c r="N90" s="24" t="str">
        <x:v>sphyraena jello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Sphyraena jello</x:v>
      </x:c>
      <x:c r="T90" s="32" t="n">
        <x:f>IF(O90="","",(1/'Metadata'!$B$5)^(O90-1))</x:f>
        <x:v>3162.2776601683795</x:v>
      </x:c>
      <x:c r="U90" s="31" t="n">
        <x:f>IF(T90="","",I90*T90)</x:f>
        <x:v>657465.3705365318</x:v>
      </x:c>
    </x:row>
    <x:row r="91" ht="18" customHeight="1">
      <x:c r="A91" s="24" t="str">
        <x:v>EEZ_922</x:v>
      </x:c>
      <x:c r="B91" s="24" t="str">
        <x:v>Iran (Persian Gulf)</x:v>
      </x:c>
      <x:c r="C91" s="24" t="str">
        <x:v>EEZ</x:v>
      </x:c>
      <x:c r="D91" s="30" t="n">
        <x:v>2019</x:v>
      </x:c>
      <x:c r="E91" s="24" t="str">
        <x:v>Scyphozoa</x:v>
      </x:c>
      <x:c r="F91" s="24" t="str">
        <x:v>True jellyfishes</x:v>
      </x:c>
      <x:c r="G91" s="24" t="str">
        <x:v>Jellyfish</x:v>
      </x:c>
      <x:c r="H91" s="24" t="str">
        <x:v>Other fishes &amp; inverts</x:v>
      </x:c>
      <x:c r="I91" s="31" t="n">
        <x:v>191.2756507395</x:v>
      </x:c>
      <x:c r="J91" s="31" t="n">
        <x:v>191.2756507395</x:v>
      </x:c>
      <x:c r="K91" s="31" t="n">
        <x:v>0</x:v>
      </x:c>
      <x:c r="L91" s="31" t="n">
        <x:v>0</x:v>
      </x:c>
      <x:c r="M91" s="31" t="n">
        <x:v>191.2756507395</x:v>
      </x:c>
      <x:c r="N91" s="24" t="str">
        <x:v>scyphozoa</x:v>
      </x:c>
      <x:c r="O91" s="32" t="n">
        <x:v>3.46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Scyphozoa</x:v>
      </x:c>
      <x:c r="T91" s="32" t="n">
        <x:f>IF(O91="","",(1/'Metadata'!$B$5)^(O91-1))</x:f>
        <x:v>288.40315031266056</x:v>
      </x:c>
      <x:c r="U91" s="31" t="n">
        <x:f>IF(T91="","",I91*T91)</x:f>
        <x:v>55164.50025137598</x:v>
      </x:c>
    </x:row>
    <x:row r="92" ht="18" customHeight="1">
      <x:c r="A92" s="24" t="str">
        <x:v>EEZ_922</x:v>
      </x:c>
      <x:c r="B92" s="24" t="str">
        <x:v>Iran (Persian Gulf)</x:v>
      </x:c>
      <x:c r="C92" s="24" t="str">
        <x:v>EEZ</x:v>
      </x:c>
      <x:c r="D92" s="30" t="n">
        <x:v>2019</x:v>
      </x:c>
      <x:c r="E92" s="24" t="str">
        <x:v>Diagramma pictum</x:v>
      </x:c>
      <x:c r="F92" s="24" t="str">
        <x:v>Painted sweetlips</x:v>
      </x:c>
      <x:c r="G92" s="24" t="str">
        <x:v>Large reef assoc. fish (&gt;=90 cm)</x:v>
      </x:c>
      <x:c r="H92" s="24" t="str">
        <x:v>Perch-likes</x:v>
      </x:c>
      <x:c r="I92" s="31" t="n">
        <x:v>167.60930117639998</x:v>
      </x:c>
      <x:c r="J92" s="31" t="n">
        <x:v>167.60930117639998</x:v>
      </x:c>
      <x:c r="K92" s="31" t="n">
        <x:v>0</x:v>
      </x:c>
      <x:c r="L92" s="31" t="n">
        <x:v>39.810400507299995</x:v>
      </x:c>
      <x:c r="M92" s="31" t="n">
        <x:v>127.7989006691</x:v>
      </x:c>
      <x:c r="N92" s="24" t="str">
        <x:v>diagramma pictum</x:v>
      </x:c>
      <x:c r="O92" s="32" t="n">
        <x:v>3.7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Diagramma pictum</x:v>
      </x:c>
      <x:c r="T92" s="32" t="n">
        <x:f>IF(O92="","",(1/'Metadata'!$B$5)^(O92-1))</x:f>
        <x:v>501.18723362727246</x:v>
      </x:c>
      <x:c r="U92" s="31" t="n">
        <x:f>IF(T92="","",I92*T92)</x:f>
        <x:v>84003.64198680026</x:v>
      </x:c>
    </x:row>
    <x:row r="93" ht="18" customHeight="1">
      <x:c r="A93" s="24" t="str">
        <x:v>EEZ_922</x:v>
      </x:c>
      <x:c r="B93" s="24" t="str">
        <x:v>Iran (Persian Gulf)</x:v>
      </x:c>
      <x:c r="C93" s="24" t="str">
        <x:v>EEZ</x:v>
      </x:c>
      <x:c r="D93" s="30" t="n">
        <x:v>2019</x:v>
      </x:c>
      <x:c r="E93" s="24" t="str">
        <x:v>Gerreidae</x:v>
      </x:c>
      <x:c r="F93" s="24" t="str">
        <x:v>Mojarras, silverbellies</x:v>
      </x:c>
      <x:c r="G93" s="24" t="str">
        <x:v>Small benthopelagics (&lt;30 cm)</x:v>
      </x:c>
      <x:c r="H93" s="24" t="str">
        <x:v>Perch-likes</x:v>
      </x:c>
      <x:c r="I93" s="31" t="n">
        <x:v>160.2821184341</x:v>
      </x:c>
      <x:c r="J93" s="31" t="n">
        <x:v>160.2821184341</x:v>
      </x:c>
      <x:c r="K93" s="31" t="n">
        <x:v>0</x:v>
      </x:c>
      <x:c r="L93" s="31" t="n">
        <x:v>38.0700551275</x:v>
      </x:c>
      <x:c r="M93" s="31" t="n">
        <x:v>122.2120633066</x:v>
      </x:c>
      <x:c r="N93" s="24" t="str">
        <x:v>gerreidae</x:v>
      </x:c>
      <x:c r="O93" s="32" t="n">
        <x:v>3.03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Gerreidae</x:v>
      </x:c>
      <x:c r="T93" s="32" t="n">
        <x:f>IF(O93="","",(1/'Metadata'!$B$5)^(O93-1))</x:f>
        <x:v>107.1519305237606</x:v>
      </x:c>
      <x:c r="U93" s="31" t="n">
        <x:f>IF(T93="","",I93*T93)</x:f>
        <x:v>17174.53841865185</x:v>
      </x:c>
    </x:row>
    <x:row r="94" ht="18" customHeight="1">
      <x:c r="A94" s="24" t="str">
        <x:v>EEZ_922</x:v>
      </x:c>
      <x:c r="B94" s="24" t="str">
        <x:v>Iran (Persian Gulf)</x:v>
      </x:c>
      <x:c r="C94" s="24" t="str">
        <x:v>EEZ</x:v>
      </x:c>
      <x:c r="D94" s="30" t="n">
        <x:v>2019</x:v>
      </x:c>
      <x:c r="E94" s="24" t="str">
        <x:v>Platycaranx malabaricus</x:v>
      </x:c>
      <x:c r="F94" s="24" t="str">
        <x:v>Malabar trevally</x:v>
      </x:c>
      <x:c r="G94" s="24" t="str">
        <x:v>Medium reef assoc. fish (30 - 89 cm)</x:v>
      </x:c>
      <x:c r="H94" s="24" t="str">
        <x:v>Perch-likes</x:v>
      </x:c>
      <x:c r="I94" s="31" t="n">
        <x:v>152.0390383742</x:v>
      </x:c>
      <x:c r="J94" s="31" t="n">
        <x:v>152.0390383742</x:v>
      </x:c>
      <x:c r="K94" s="31" t="n">
        <x:v>0</x:v>
      </x:c>
      <x:c r="L94" s="31" t="n">
        <x:v>36.1121665842</x:v>
      </x:c>
      <x:c r="M94" s="31" t="n">
        <x:v>115.92687179</x:v>
      </x:c>
      <x:c r="N94" s="24" t="str">
        <x:v>platycaranx malabaricus</x:v>
      </x:c>
      <x:c r="O94" s="32" t="n">
        <x:v>3.88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Platycaranx malabaricus</x:v>
      </x:c>
      <x:c r="T94" s="32" t="n">
        <x:f>IF(O94="","",(1/'Metadata'!$B$5)^(O94-1))</x:f>
        <x:v>758.5775750291835</x:v>
      </x:c>
      <x:c r="U94" s="31" t="n">
        <x:f>IF(T94="","",I94*T94)</x:f>
        <x:v>115333.40503966963</x:v>
      </x:c>
    </x:row>
    <x:row r="95" ht="18" customHeight="1">
      <x:c r="A95" s="24" t="str">
        <x:v>EEZ_922</x:v>
      </x:c>
      <x:c r="B95" s="24" t="str">
        <x:v>Iran (Persian Gulf)</x:v>
      </x:c>
      <x:c r="C95" s="24" t="str">
        <x:v>EEZ</x:v>
      </x:c>
      <x:c r="D95" s="30" t="n">
        <x:v>2019</x:v>
      </x:c>
      <x:c r="E95" s="24" t="str">
        <x:v>Gerres</x:v>
      </x:c>
      <x:c r="F95" s="24" t="str">
        <x:v>Silver biddies</x:v>
      </x:c>
      <x:c r="G95" s="24" t="str">
        <x:v>Small benthopelagics (&lt;30 cm)</x:v>
      </x:c>
      <x:c r="H95" s="24" t="str">
        <x:v>Perch-likes</x:v>
      </x:c>
      <x:c r="I95" s="31" t="n">
        <x:v>152.0390345495</x:v>
      </x:c>
      <x:c r="J95" s="31" t="n">
        <x:v>152.0390345495</x:v>
      </x:c>
      <x:c r="K95" s="31" t="n">
        <x:v>0</x:v>
      </x:c>
      <x:c r="L95" s="31" t="n">
        <x:v>36.1121665842</x:v>
      </x:c>
      <x:c r="M95" s="31" t="n">
        <x:v>115.9268679653</x:v>
      </x:c>
      <x:c r="N95" s="24" t="str">
        <x:v>gerres</x:v>
      </x:c>
      <x:c r="O95" s="32" t="n">
        <x:v>3.27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Gerres</x:v>
      </x:c>
      <x:c r="T95" s="32" t="n">
        <x:f>IF(O95="","",(1/'Metadata'!$B$5)^(O95-1))</x:f>
        <x:v>186.20871366628674</x:v>
      </x:c>
      <x:c r="U95" s="31" t="n">
        <x:f>IF(T95="","",I95*T95)</x:f>
        <x:v>28310.993050526522</x:v>
      </x:c>
    </x:row>
    <x:row r="96" ht="18" customHeight="1">
      <x:c r="A96" s="24" t="str">
        <x:v>EEZ_922</x:v>
      </x:c>
      <x:c r="B96" s="24" t="str">
        <x:v>Iran (Persian Gulf)</x:v>
      </x:c>
      <x:c r="C96" s="24" t="str">
        <x:v>EEZ</x:v>
      </x:c>
      <x:c r="D96" s="30" t="n">
        <x:v>2019</x:v>
      </x:c>
      <x:c r="E96" s="24" t="str">
        <x:v>Pomadasys</x:v>
      </x:c>
      <x:c r="F96" s="24" t="str">
        <x:v>Grunters</x:v>
      </x:c>
      <x:c r="G96" s="24" t="str">
        <x:v>Medium demersals (30 - 89 cm)</x:v>
      </x:c>
      <x:c r="H96" s="24" t="str">
        <x:v>Perch-likes</x:v>
      </x:c>
      <x:c r="I96" s="31" t="n">
        <x:v>147.4380264768</x:v>
      </x:c>
      <x:c r="J96" s="31" t="n">
        <x:v>147.4380264768</x:v>
      </x:c>
      <x:c r="K96" s="31" t="n">
        <x:v>0</x:v>
      </x:c>
      <x:c r="L96" s="31" t="n">
        <x:v>58.4848949171</x:v>
      </x:c>
      <x:c r="M96" s="31" t="n">
        <x:v>88.9531315597</x:v>
      </x:c>
      <x:c r="N96" s="24" t="str">
        <x:v>pomadasys</x:v>
      </x:c>
      <x:c r="O96" s="32" t="n">
        <x:v>3.59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Pomadasys</x:v>
      </x:c>
      <x:c r="T96" s="32" t="n">
        <x:f>IF(O96="","",(1/'Metadata'!$B$5)^(O96-1))</x:f>
        <x:v>389.04514499428046</x:v>
      </x:c>
      <x:c r="U96" s="31" t="n">
        <x:f>IF(T96="","",I96*T96)</x:f>
        <x:v>57360.048388337214</x:v>
      </x:c>
    </x:row>
    <x:row r="97" ht="18" customHeight="1">
      <x:c r="A97" s="24" t="str">
        <x:v>EEZ_922</x:v>
      </x:c>
      <x:c r="B97" s="24" t="str">
        <x:v>Iran (Persian Gulf)</x:v>
      </x:c>
      <x:c r="C97" s="24" t="str">
        <x:v>EEZ</x:v>
      </x:c>
      <x:c r="D97" s="30" t="n">
        <x:v>2019</x:v>
      </x:c>
      <x:c r="E97" s="24" t="str">
        <x:v>Polynemidae</x:v>
      </x:c>
      <x:c r="F97" s="24" t="str">
        <x:v>Threadfins</x:v>
      </x:c>
      <x:c r="G97" s="24" t="str">
        <x:v>Small demersals (&lt;30 cm)</x:v>
      </x:c>
      <x:c r="H97" s="24" t="str">
        <x:v>Perch-likes</x:v>
      </x:c>
      <x:c r="I97" s="31" t="n">
        <x:v>141.04826432040002</x:v>
      </x:c>
      <x:c r="J97" s="31" t="n">
        <x:v>141.04826432040002</x:v>
      </x:c>
      <x:c r="K97" s="31" t="n">
        <x:v>0</x:v>
      </x:c>
      <x:c r="L97" s="31" t="n">
        <x:v>33.501648508200006</x:v>
      </x:c>
      <x:c r="M97" s="31" t="n">
        <x:v>107.5466158122</x:v>
      </x:c>
      <x:c r="N97" s="24" t="str">
        <x:v>polynemidae</x:v>
      </x:c>
      <x:c r="O97" s="32" t="n">
        <x:v>3.62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Polynemidae</x:v>
      </x:c>
      <x:c r="T97" s="32" t="n">
        <x:f>IF(O97="","",(1/'Metadata'!$B$5)^(O97-1))</x:f>
        <x:v>416.8693834703355</x:v>
      </x:c>
      <x:c r="U97" s="31" t="n">
        <x:f>IF(T97="","",I97*T97)</x:f>
        <x:v>58798.70298680608</x:v>
      </x:c>
    </x:row>
    <x:row r="98" ht="18" customHeight="1">
      <x:c r="A98" s="24" t="str">
        <x:v>EEZ_922</x:v>
      </x:c>
      <x:c r="B98" s="24" t="str">
        <x:v>Iran (Persian Gulf)</x:v>
      </x:c>
      <x:c r="C98" s="24" t="str">
        <x:v>EEZ</x:v>
      </x:c>
      <x:c r="D98" s="30" t="n">
        <x:v>2019</x:v>
      </x:c>
      <x:c r="E98" s="24" t="str">
        <x:v>Echinoidea</x:v>
      </x:c>
      <x:c r="F98" s="24" t="str">
        <x:v>Sea urchins, sea hedgehogs</x:v>
      </x:c>
      <x:c r="G98" s="24" t="str">
        <x:v>Other demersal invertebrates</x:v>
      </x:c>
      <x:c r="H98" s="24" t="str">
        <x:v>Other fishes &amp; inverts</x:v>
      </x:c>
      <x:c r="I98" s="31" t="n">
        <x:v>136.4687753931</x:v>
      </x:c>
      <x:c r="J98" s="31" t="n">
        <x:v>136.4687753931</x:v>
      </x:c>
      <x:c r="K98" s="31" t="n">
        <x:v>0</x:v>
      </x:c>
      <x:c r="L98" s="31" t="n">
        <x:v>32.4139326479</x:v>
      </x:c>
      <x:c r="M98" s="31" t="n">
        <x:v>104.0548427452</x:v>
      </x:c>
      <x:c r="N98" s="24" t="str">
        <x:v>echinoidea</x:v>
      </x:c>
      <x:c r="O98" s="32" t="n">
        <x:v>2.51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Echinoidea</x:v>
      </x:c>
      <x:c r="T98" s="32" t="n">
        <x:f>IF(O98="","",(1/'Metadata'!$B$5)^(O98-1))</x:f>
        <x:v>32.35936569296281</x:v>
      </x:c>
      <x:c r="U98" s="31" t="n">
        <x:f>IF(T98="","",I98*T98)</x:f>
        <x:v>4416.043008616128</x:v>
      </x:c>
    </x:row>
    <x:row r="99" ht="18" customHeight="1">
      <x:c r="A99" s="24" t="str">
        <x:v>EEZ_922</x:v>
      </x:c>
      <x:c r="B99" s="24" t="str">
        <x:v>Iran (Persian Gulf)</x:v>
      </x:c>
      <x:c r="C99" s="24" t="str">
        <x:v>EEZ</x:v>
      </x:c>
      <x:c r="D99" s="30" t="n">
        <x:v>2019</x:v>
      </x:c>
      <x:c r="E99" s="24" t="str">
        <x:v>Tetraodontidae</x:v>
      </x:c>
      <x:c r="F99" s="24" t="str">
        <x:v>Puffers, tobies</x:v>
      </x:c>
      <x:c r="G99" s="24" t="str">
        <x:v>Large reef assoc. fish (&gt;=90 cm)</x:v>
      </x:c>
      <x:c r="H99" s="24" t="str">
        <x:v>Other fishes &amp; inverts</x:v>
      </x:c>
      <x:c r="I99" s="31" t="n">
        <x:v>128.2256950032</x:v>
      </x:c>
      <x:c r="J99" s="31" t="n">
        <x:v>128.2256950032</x:v>
      </x:c>
      <x:c r="K99" s="31" t="n">
        <x:v>0</x:v>
      </x:c>
      <x:c r="L99" s="31" t="n">
        <x:v>30.456044101499998</x:v>
      </x:c>
      <x:c r="M99" s="31" t="n">
        <x:v>97.7696509017</x:v>
      </x:c>
      <x:c r="N99" s="24" t="str">
        <x:v>tetraodontidae</x:v>
      </x:c>
      <x:c r="O99" s="32" t="n">
        <x:v>3.5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Tetraodontidae</x:v>
      </x:c>
      <x:c r="T99" s="32" t="n">
        <x:f>IF(O99="","",(1/'Metadata'!$B$5)^(O99-1))</x:f>
        <x:v>316.22776601683796</x:v>
      </x:c>
      <x:c r="U99" s="31" t="n">
        <x:f>IF(T99="","",I99*T99)</x:f>
        <x:v>40548.52507681836</x:v>
      </x:c>
    </x:row>
    <x:row r="100" ht="18" customHeight="1">
      <x:c r="A100" s="24" t="str">
        <x:v>EEZ_922</x:v>
      </x:c>
      <x:c r="B100" s="24" t="str">
        <x:v>Iran (Persian Gulf)</x:v>
      </x:c>
      <x:c r="C100" s="24" t="str">
        <x:v>EEZ</x:v>
      </x:c>
      <x:c r="D100" s="30" t="n">
        <x:v>2019</x:v>
      </x:c>
      <x:c r="E100" s="24" t="str">
        <x:v>Gastropoda</x:v>
      </x:c>
      <x:c r="F100" s="24" t="str">
        <x:v>Sea snails</x:v>
      </x:c>
      <x:c r="G100" s="24" t="str">
        <x:v>Other demersal invertebrates</x:v>
      </x:c>
      <x:c r="H100" s="24" t="str">
        <x:v>Molluscs</x:v>
      </x:c>
      <x:c r="I100" s="31" t="n">
        <x:v>128.2256915456</x:v>
      </x:c>
      <x:c r="J100" s="31" t="n">
        <x:v>128.2256915456</x:v>
      </x:c>
      <x:c r="K100" s="31" t="n">
        <x:v>0</x:v>
      </x:c>
      <x:c r="L100" s="31" t="n">
        <x:v>30.4560441041</x:v>
      </x:c>
      <x:c r="M100" s="31" t="n">
        <x:v>97.7696474415</x:v>
      </x:c>
      <x:c r="N100" s="24" t="str">
        <x:v>gastropoda</x:v>
      </x:c>
      <x:c r="O100" s="32" t="n">
        <x:v>3.06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Gastropoda</x:v>
      </x:c>
      <x:c r="T100" s="32" t="n">
        <x:f>IF(O100="","",(1/'Metadata'!$B$5)^(O100-1))</x:f>
        <x:v>114.81536214968828</x:v>
      </x:c>
      <x:c r="U100" s="31" t="n">
        <x:f>IF(T100="","",I100*T100)</x:f>
        <x:v>14722.279211702287</x:v>
      </x:c>
    </x:row>
    <x:row r="101" ht="18" customHeight="1">
      <x:c r="A101" s="24" t="str">
        <x:v>EEZ_922</x:v>
      </x:c>
      <x:c r="B101" s="24" t="str">
        <x:v>Iran (Persian Gulf)</x:v>
      </x:c>
      <x:c r="C101" s="24" t="str">
        <x:v>EEZ</x:v>
      </x:c>
      <x:c r="D101" s="30" t="n">
        <x:v>2019</x:v>
      </x:c>
      <x:c r="E101" s="24" t="str">
        <x:v>Sphyraena forsteri</x:v>
      </x:c>
      <x:c r="F101" s="24" t="str">
        <x:v>Bigeye barracuda</x:v>
      </x:c>
      <x:c r="G101" s="24" t="str">
        <x:v>Medium reef assoc. fish (30 - 89 cm)</x:v>
      </x:c>
      <x:c r="H101" s="24" t="str">
        <x:v>Perch-likes</x:v>
      </x:c>
      <x:c r="I101" s="31" t="n">
        <x:v>128.1661082171</x:v>
      </x:c>
      <x:c r="J101" s="31" t="n">
        <x:v>128.1661082171</x:v>
      </x:c>
      <x:c r="K101" s="31" t="n">
        <x:v>0</x:v>
      </x:c>
      <x:c r="L101" s="31" t="n">
        <x:v>0</x:v>
      </x:c>
      <x:c r="M101" s="31" t="n">
        <x:v>128.1661082171</x:v>
      </x:c>
      <x:c r="N101" s="24" t="str">
        <x:v>sphyraena forsteri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Sphyraena forsteri</x:v>
      </x:c>
      <x:c r="T101" s="32" t="n">
        <x:f>IF(O101="","",(1/'Metadata'!$B$5)^(O101-1))</x:f>
        <x:v>2630.2679918953813</x:v>
      </x:c>
      <x:c r="U101" s="31" t="n">
        <x:f>IF(T101="","",I101*T101)</x:f>
        <x:v>337111.21208923776</x:v>
      </x:c>
    </x:row>
    <x:row r="102" ht="18" customHeight="1">
      <x:c r="A102" s="24" t="str">
        <x:v>EEZ_922</x:v>
      </x:c>
      <x:c r="B102" s="24" t="str">
        <x:v>Iran (Persian Gulf)</x:v>
      </x:c>
      <x:c r="C102" s="24" t="str">
        <x:v>EEZ</x:v>
      </x:c>
      <x:c r="D102" s="30" t="n">
        <x:v>2019</x:v>
      </x:c>
      <x:c r="E102" s="24" t="str">
        <x:v>Muraenesocidae</x:v>
      </x:c>
      <x:c r="F102" s="24" t="str">
        <x:v>Pike congers</x:v>
      </x:c>
      <x:c r="G102" s="24" t="str">
        <x:v>Large demersals (&gt;=90 cm)</x:v>
      </x:c>
      <x:c r="H102" s="24" t="str">
        <x:v>Other fishes &amp; inverts</x:v>
      </x:c>
      <x:c r="I102" s="31" t="n">
        <x:v>111.8392608988</x:v>
      </x:c>
      <x:c r="J102" s="31" t="n">
        <x:v>111.8392608988</x:v>
      </x:c>
      <x:c r="K102" s="31" t="n">
        <x:v>0</x:v>
      </x:c>
      <x:c r="L102" s="31" t="n">
        <x:v>26.639993785399998</x:v>
      </x:c>
      <x:c r="M102" s="31" t="n">
        <x:v>85.1992671134</x:v>
      </x:c>
      <x:c r="N102" s="24" t="str">
        <x:v>muraenesocidae</x:v>
      </x:c>
      <x:c r="O102" s="32" t="n">
        <x:v>3.9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Muraenesocidae</x:v>
      </x:c>
      <x:c r="T102" s="32" t="n">
        <x:f>IF(O102="","",(1/'Metadata'!$B$5)^(O102-1))</x:f>
        <x:v>794.3282347242813</x:v>
      </x:c>
      <x:c r="U102" s="31" t="n">
        <x:f>IF(T102="","",I102*T102)</x:f>
        <x:v>88837.08268261215</x:v>
      </x:c>
    </x:row>
    <x:row r="103" ht="18" customHeight="1">
      <x:c r="A103" s="24" t="str">
        <x:v>EEZ_922</x:v>
      </x:c>
      <x:c r="B103" s="24" t="str">
        <x:v>Iran (Persian Gulf)</x:v>
      </x:c>
      <x:c r="C103" s="24" t="str">
        <x:v>EEZ</x:v>
      </x:c>
      <x:c r="D103" s="30" t="n">
        <x:v>2019</x:v>
      </x:c>
      <x:c r="E103" s="24" t="str">
        <x:v>Drepane</x:v>
      </x:c>
      <x:c r="F103" s="24" t="str">
        <x:v>Sicklefishes</x:v>
      </x:c>
      <x:c r="G103" s="24" t="str">
        <x:v>Medium benthopelagics (30 - 89 cm)</x:v>
      </x:c>
      <x:c r="H103" s="24" t="str">
        <x:v>Perch-likes</x:v>
      </x:c>
      <x:c r="I103" s="31" t="n">
        <x:v>111.7395341127</x:v>
      </x:c>
      <x:c r="J103" s="31" t="n">
        <x:v>111.7395341127</x:v>
      </x:c>
      <x:c r="K103" s="31" t="n">
        <x:v>0</x:v>
      </x:c>
      <x:c r="L103" s="31" t="n">
        <x:v>26.5402669993</x:v>
      </x:c>
      <x:c r="M103" s="31" t="n">
        <x:v>85.1992671134</x:v>
      </x:c>
      <x:c r="N103" s="24" t="str">
        <x:v>drepane</x:v>
      </x:c>
      <x:c r="O103" s="32" t="n">
        <x:v>3.32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Drepane</x:v>
      </x:c>
      <x:c r="T103" s="32" t="n">
        <x:f>IF(O103="","",(1/'Metadata'!$B$5)^(O103-1))</x:f>
        <x:v>208.92961308540387</x:v>
      </x:c>
      <x:c r="U103" s="31" t="n">
        <x:f>IF(T103="","",I103*T103)</x:f>
        <x:v>23345.697628509697</x:v>
      </x:c>
    </x:row>
    <x:row r="104" ht="18" customHeight="1">
      <x:c r="A104" s="24" t="str">
        <x:v>EEZ_922</x:v>
      </x:c>
      <x:c r="B104" s="24" t="str">
        <x:v>Iran (Persian Gulf)</x:v>
      </x:c>
      <x:c r="C104" s="24" t="str">
        <x:v>EEZ</x:v>
      </x:c>
      <x:c r="D104" s="30" t="n">
        <x:v>2019</x:v>
      </x:c>
      <x:c r="E104" s="24" t="str">
        <x:v>Marine groundfishes not identified</x:v>
      </x:c>
      <x:c r="F104" s="24" t="str">
        <x:v>Groundfishes</x:v>
      </x:c>
      <x:c r="G104" s="24" t="str">
        <x:v>Medium demersals (30 - 89 cm)</x:v>
      </x:c>
      <x:c r="H104" s="24" t="str">
        <x:v>Other fishes &amp; inverts</x:v>
      </x:c>
      <x:c r="I104" s="31" t="n">
        <x:v>104.4123489364</x:v>
      </x:c>
      <x:c r="J104" s="31" t="n">
        <x:v>104.4123489364</x:v>
      </x:c>
      <x:c r="K104" s="31" t="n">
        <x:v>0</x:v>
      </x:c>
      <x:c r="L104" s="31" t="n">
        <x:v>24.799921632500002</x:v>
      </x:c>
      <x:c r="M104" s="31" t="n">
        <x:v>79.6124273039</x:v>
      </x:c>
      <x:c r="N104" s="24" t="str">
        <x:v>marine groundfishes not identified</x:v>
      </x:c>
      <x:c r="O104" s="32" t="n">
        <x:v>3.22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Marine groundfishes not identified</x:v>
      </x:c>
      <x:c r="T104" s="32" t="n">
        <x:f>IF(O104="","",(1/'Metadata'!$B$5)^(O104-1))</x:f>
        <x:v>165.95869074375614</x:v>
      </x:c>
      <x:c r="U104" s="31" t="n">
        <x:f>IF(T104="","",I104*T104)</x:f>
        <x:v>17328.13672696516</x:v>
      </x:c>
    </x:row>
    <x:row r="105" ht="18" customHeight="1">
      <x:c r="A105" s="24" t="str">
        <x:v>EEZ_922</x:v>
      </x:c>
      <x:c r="B105" s="24" t="str">
        <x:v>Iran (Persian Gulf)</x:v>
      </x:c>
      <x:c r="C105" s="24" t="str">
        <x:v>EEZ</x:v>
      </x:c>
      <x:c r="D105" s="30" t="n">
        <x:v>2019</x:v>
      </x:c>
      <x:c r="E105" s="24" t="str">
        <x:v>Gnathanodon speciosus</x:v>
      </x:c>
      <x:c r="F105" s="24" t="str">
        <x:v>Golden trevally</x:v>
      </x:c>
      <x:c r="G105" s="24" t="str">
        <x:v>Large reef assoc. fish (&gt;=90 cm)</x:v>
      </x:c>
      <x:c r="H105" s="24" t="str">
        <x:v>Perch-likes</x:v>
      </x:c>
      <x:c r="I105" s="31" t="n">
        <x:v>96.16927124600001</x:v>
      </x:c>
      <x:c r="J105" s="31" t="n">
        <x:v>96.16927124600001</x:v>
      </x:c>
      <x:c r="K105" s="31" t="n">
        <x:v>0</x:v>
      </x:c>
      <x:c r="L105" s="31" t="n">
        <x:v>22.8420330802</x:v>
      </x:c>
      <x:c r="M105" s="31" t="n">
        <x:v>73.3272381658</x:v>
      </x:c>
      <x:c r="N105" s="24" t="str">
        <x:v>gnathanodon speciosus</x:v>
      </x:c>
      <x:c r="O105" s="32" t="n">
        <x:v>3.84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Gnathanodon speciosus</x:v>
      </x:c>
      <x:c r="T105" s="32" t="n">
        <x:f>IF(O105="","",(1/'Metadata'!$B$5)^(O105-1))</x:f>
        <x:v>691.8309709189363</x:v>
      </x:c>
      <x:c r="U105" s="31" t="n">
        <x:f>IF(T105="","",I105*T105)</x:f>
        <x:v>66532.88029868672</x:v>
      </x:c>
    </x:row>
    <x:row r="106" ht="18" customHeight="1">
      <x:c r="A106" s="24" t="str">
        <x:v>EEZ_922</x:v>
      </x:c>
      <x:c r="B106" s="24" t="str">
        <x:v>Iran (Persian Gulf)</x:v>
      </x:c>
      <x:c r="C106" s="24" t="str">
        <x:v>EEZ</x:v>
      </x:c>
      <x:c r="D106" s="30" t="n">
        <x:v>2019</x:v>
      </x:c>
      <x:c r="E106" s="24" t="str">
        <x:v>Carangoides</x:v>
      </x:c>
      <x:c r="F106" s="24" t="str">
        <x:v>Trevallies</x:v>
      </x:c>
      <x:c r="G106" s="24" t="str">
        <x:v>Medium reef assoc. fish (30 - 89 cm)</x:v>
      </x:c>
      <x:c r="H106" s="24" t="str">
        <x:v>Perch-likes</x:v>
      </x:c>
      <x:c r="I106" s="31" t="n">
        <x:v>89.9045996348</x:v>
      </x:c>
      <x:c r="J106" s="31" t="n">
        <x:v>89.9045996348</x:v>
      </x:c>
      <x:c r="K106" s="31" t="n">
        <x:v>0</x:v>
      </x:c>
      <x:c r="L106" s="31" t="n">
        <x:v>41.768289055400004</x:v>
      </x:c>
      <x:c r="M106" s="31" t="n">
        <x:v>48.136310579399996</x:v>
      </x:c>
      <x:c r="N106" s="24" t="str">
        <x:v>carangoides</x:v>
      </x:c>
      <x:c r="O106" s="32" t="n">
        <x:v>4.34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Carangoides</x:v>
      </x:c>
      <x:c r="T106" s="32" t="n">
        <x:f>IF(O106="","",(1/'Metadata'!$B$5)^(O106-1))</x:f>
        <x:v>2187.761623949552</x:v>
      </x:c>
      <x:c r="U106" s="31" t="n">
        <x:f>IF(T106="","",I106*T106)</x:f>
        <x:v>196689.83289756434</x:v>
      </x:c>
    </x:row>
    <x:row r="107" ht="18" customHeight="1">
      <x:c r="A107" s="24" t="str">
        <x:v>EEZ_922</x:v>
      </x:c>
      <x:c r="B107" s="24" t="str">
        <x:v>Iran (Persian Gulf)</x:v>
      </x:c>
      <x:c r="C107" s="24" t="str">
        <x:v>EEZ</x:v>
      </x:c>
      <x:c r="D107" s="30" t="n">
        <x:v>2019</x:v>
      </x:c>
      <x:c r="E107" s="24" t="str">
        <x:v>Platycaranx chrysophrys</x:v>
      </x:c>
      <x:c r="F107" s="24" t="str">
        <x:v>Longnose trevally</x:v>
      </x:c>
      <x:c r="G107" s="24" t="str">
        <x:v>Small pelagics (&lt;30 cm)</x:v>
      </x:c>
      <x:c r="H107" s="24" t="str">
        <x:v>Perch-likes</x:v>
      </x:c>
      <x:c r="I107" s="31" t="n">
        <x:v>88.165306545</x:v>
      </x:c>
      <x:c r="J107" s="31" t="n">
        <x:v>85.9373568</x:v>
      </x:c>
      <x:c r="K107" s="31" t="n">
        <x:v>2.227949745</x:v>
      </x:c>
      <x:c r="L107" s="31" t="n">
        <x:v>0</x:v>
      </x:c>
      <x:c r="M107" s="31" t="n">
        <x:v>88.165306545</x:v>
      </x:c>
      <x:c r="N107" s="24" t="str">
        <x:v>platycaranx chrysophrys</x:v>
      </x:c>
      <x:c r="O107" s="32" t="n">
        <x:v>4.3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Platycaranx chrysophrys</x:v>
      </x:c>
      <x:c r="T107" s="32" t="n">
        <x:f>IF(O107="","",(1/'Metadata'!$B$5)^(O107-1))</x:f>
        <x:v>1995.2623149688789</x:v>
      </x:c>
      <x:c r="U107" s="31" t="n">
        <x:f>IF(T107="","",I107*T107)</x:f>
        <x:v>175912.91363691757</x:v>
      </x:c>
    </x:row>
    <x:row r="108" ht="18" customHeight="1">
      <x:c r="A108" s="24" t="str">
        <x:v>EEZ_922</x:v>
      </x:c>
      <x:c r="B108" s="24" t="str">
        <x:v>Iran (Persian Gulf)</x:v>
      </x:c>
      <x:c r="C108" s="24" t="str">
        <x:v>EEZ</x:v>
      </x:c>
      <x:c r="D108" s="30" t="n">
        <x:v>2019</x:v>
      </x:c>
      <x:c r="E108" s="24" t="str">
        <x:v>Ophichthidae</x:v>
      </x:c>
      <x:c r="F108" s="24" t="str">
        <x:v>Snake eels</x:v>
      </x:c>
      <x:c r="G108" s="24" t="str">
        <x:v>Medium demersals (30 - 89 cm)</x:v>
      </x:c>
      <x:c r="H108" s="24" t="str">
        <x:v>Other fishes &amp; inverts</x:v>
      </x:c>
      <x:c r="I108" s="31" t="n">
        <x:v>87.9261909065</x:v>
      </x:c>
      <x:c r="J108" s="31" t="n">
        <x:v>87.9261909065</x:v>
      </x:c>
      <x:c r="K108" s="31" t="n">
        <x:v>0</x:v>
      </x:c>
      <x:c r="L108" s="31" t="n">
        <x:v>20.8841445306</x:v>
      </x:c>
      <x:c r="M108" s="31" t="n">
        <x:v>67.0420463759</x:v>
      </x:c>
      <x:c r="N108" s="24" t="str">
        <x:v>ophichthidae</x:v>
      </x:c>
      <x:c r="O108" s="32" t="n">
        <x:v>3.64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Ophichthidae</x:v>
      </x:c>
      <x:c r="T108" s="32" t="n">
        <x:f>IF(O108="","",(1/'Metadata'!$B$5)^(O108-1))</x:f>
        <x:v>436.5158322401661</x:v>
      </x:c>
      <x:c r="U108" s="31" t="n">
        <x:f>IF(T108="","",I108*T108)</x:f>
        <x:v>38381.17439925857</x:v>
      </x:c>
    </x:row>
    <x:row r="109" ht="18" customHeight="1">
      <x:c r="A109" s="24" t="str">
        <x:v>EEZ_922</x:v>
      </x:c>
      <x:c r="B109" s="24" t="str">
        <x:v>Iran (Persian Gulf)</x:v>
      </x:c>
      <x:c r="C109" s="24" t="str">
        <x:v>EEZ</x:v>
      </x:c>
      <x:c r="D109" s="30" t="n">
        <x:v>2019</x:v>
      </x:c>
      <x:c r="E109" s="24" t="str">
        <x:v>Megalaspis cordyla</x:v>
      </x:c>
      <x:c r="F109" s="24" t="str">
        <x:v>Torpedo scad</x:v>
      </x:c>
      <x:c r="G109" s="24" t="str">
        <x:v>Medium pelagics (30 - 89 cm)</x:v>
      </x:c>
      <x:c r="H109" s="24" t="str">
        <x:v>Perch-likes</x:v>
      </x:c>
      <x:c r="I109" s="31" t="n">
        <x:v>79.6831102782</x:v>
      </x:c>
      <x:c r="J109" s="31" t="n">
        <x:v>79.6831102782</x:v>
      </x:c>
      <x:c r="K109" s="31" t="n">
        <x:v>0</x:v>
      </x:c>
      <x:c r="L109" s="31" t="n">
        <x:v>18.9262559817</x:v>
      </x:c>
      <x:c r="M109" s="31" t="n">
        <x:v>60.7568542965</x:v>
      </x:c>
      <x:c r="N109" s="24" t="str">
        <x:v>megalaspis cordyla</x:v>
      </x:c>
      <x:c r="O109" s="32" t="n">
        <x:v>4.24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Megalaspis cordyla</x:v>
      </x:c>
      <x:c r="T109" s="32" t="n">
        <x:f>IF(O109="","",(1/'Metadata'!$B$5)^(O109-1))</x:f>
        <x:v>1737.8008287493763</x:v>
      </x:c>
      <x:c r="U109" s="31" t="n">
        <x:f>IF(T109="","",I109*T109)</x:f>
        <x:v>138473.3750787839</x:v>
      </x:c>
    </x:row>
    <x:row r="110" ht="18" customHeight="1">
      <x:c r="A110" s="24" t="str">
        <x:v>EEZ_922</x:v>
      </x:c>
      <x:c r="B110" s="24" t="str">
        <x:v>Iran (Persian Gulf)</x:v>
      </x:c>
      <x:c r="C110" s="24" t="str">
        <x:v>EEZ</x:v>
      </x:c>
      <x:c r="D110" s="30" t="n">
        <x:v>2019</x:v>
      </x:c>
      <x:c r="E110" s="24" t="str">
        <x:v>Mene maculata</x:v>
      </x:c>
      <x:c r="F110" s="24" t="str">
        <x:v>Moonfish</x:v>
      </x:c>
      <x:c r="G110" s="24" t="str">
        <x:v>Medium reef assoc. fish (30 - 89 cm)</x:v>
      </x:c>
      <x:c r="H110" s="24" t="str">
        <x:v>Perch-likes</x:v>
      </x:c>
      <x:c r="I110" s="31" t="n">
        <x:v>79.6831082734</x:v>
      </x:c>
      <x:c r="J110" s="31" t="n">
        <x:v>79.6831082734</x:v>
      </x:c>
      <x:c r="K110" s="31" t="n">
        <x:v>0</x:v>
      </x:c>
      <x:c r="L110" s="31" t="n">
        <x:v>18.9262559815</x:v>
      </x:c>
      <x:c r="M110" s="31" t="n">
        <x:v>60.7568522919</x:v>
      </x:c>
      <x:c r="N110" s="24" t="str">
        <x:v>mene maculata</x:v>
      </x:c>
      <x:c r="O110" s="32" t="n">
        <x:v>3.45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Mene maculata</x:v>
      </x:c>
      <x:c r="T110" s="32" t="n">
        <x:f>IF(O110="","",(1/'Metadata'!$B$5)^(O110-1))</x:f>
        <x:v>281.8382931264455</x:v>
      </x:c>
      <x:c r="U110" s="31" t="n">
        <x:f>IF(T110="","",I110*T110)</x:f>
        <x:v>22457.7512267848</x:v>
      </x:c>
    </x:row>
    <x:row r="111" ht="18" customHeight="1">
      <x:c r="A111" s="24" t="str">
        <x:v>EEZ_922</x:v>
      </x:c>
      <x:c r="B111" s="24" t="str">
        <x:v>Iran (Persian Gulf)</x:v>
      </x:c>
      <x:c r="C111" s="24" t="str">
        <x:v>EEZ</x:v>
      </x:c>
      <x:c r="D111" s="30" t="n">
        <x:v>2019</x:v>
      </x:c>
      <x:c r="E111" s="24" t="str">
        <x:v>Istiophoridae</x:v>
      </x:c>
      <x:c r="F111" s="24" t="str">
        <x:v>Billfishes</x:v>
      </x:c>
      <x:c r="G111" s="24" t="str">
        <x:v>Large pelagics (&gt;=90 cm)</x:v>
      </x:c>
      <x:c r="H111" s="24" t="str">
        <x:v>Tuna &amp; billfishes</x:v>
      </x:c>
      <x:c r="I111" s="31" t="n">
        <x:v>77.907697256</x:v>
      </x:c>
      <x:c r="J111" s="31" t="n">
        <x:v>77.907697256</x:v>
      </x:c>
      <x:c r="K111" s="31" t="n">
        <x:v>0</x:v>
      </x:c>
      <x:c r="L111" s="31" t="n">
        <x:v>77.907697256</x:v>
      </x:c>
      <x:c r="M111" s="31" t="n">
        <x:v>0</x:v>
      </x:c>
      <x:c r="N111" s="24" t="str">
        <x:v>istiophoridae</x:v>
      </x:c>
      <x:c r="O111" s="32" t="n">
        <x:v>4.48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Istiophoridae</x:v>
      </x:c>
      <x:c r="T111" s="32" t="n">
        <x:f>IF(O111="","",(1/'Metadata'!$B$5)^(O111-1))</x:f>
        <x:v>3019.951720402019</x:v>
      </x:c>
      <x:c r="U111" s="31" t="n">
        <x:f>IF(T111="","",I111*T111)</x:f>
        <x:v>235277.48436081686</x:v>
      </x:c>
    </x:row>
    <x:row r="112" ht="18" customHeight="1">
      <x:c r="A112" s="24" t="str">
        <x:v>EEZ_922</x:v>
      </x:c>
      <x:c r="B112" s="24" t="str">
        <x:v>Iran (Persian Gulf)</x:v>
      </x:c>
      <x:c r="C112" s="24" t="str">
        <x:v>EEZ</x:v>
      </x:c>
      <x:c r="D112" s="30" t="n">
        <x:v>2019</x:v>
      </x:c>
      <x:c r="E112" s="24" t="str">
        <x:v>Thryssa</x:v>
      </x:c>
      <x:c r="F112" s="24" t="str">
        <x:v>Thryssas</x:v>
      </x:c>
      <x:c r="G112" s="24" t="str">
        <x:v>Small pelagics (&lt;30 cm)</x:v>
      </x:c>
      <x:c r="H112" s="24" t="str">
        <x:v>Anchovies</x:v>
      </x:c>
      <x:c r="I112" s="31" t="n">
        <x:v>77.0436435597</x:v>
      </x:c>
      <x:c r="J112" s="31" t="n">
        <x:v>76.64543642940001</x:v>
      </x:c>
      <x:c r="K112" s="31" t="n">
        <x:v>0.3982071303</x:v>
      </x:c>
      <x:c r="L112" s="31" t="n">
        <x:v>17.1859105999</x:v>
      </x:c>
      <x:c r="M112" s="31" t="n">
        <x:v>59.8577329598</x:v>
      </x:c>
      <x:c r="N112" s="24" t="str">
        <x:v>thryssa</x:v>
      </x:c>
      <x:c r="O112" s="32" t="n">
        <x:v>3.34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Thryssa</x:v>
      </x:c>
      <x:c r="T112" s="32" t="n">
        <x:f>IF(O112="","",(1/'Metadata'!$B$5)^(O112-1))</x:f>
        <x:v>218.77616239495518</x:v>
      </x:c>
      <x:c r="U112" s="31" t="n">
        <x:f>IF(T112="","",I112*T112)</x:f>
        <x:v>16855.31267491597</x:v>
      </x:c>
    </x:row>
    <x:row r="113" ht="18" customHeight="1">
      <x:c r="A113" s="24" t="str">
        <x:v>EEZ_922</x:v>
      </x:c>
      <x:c r="B113" s="24" t="str">
        <x:v>Iran (Persian Gulf)</x:v>
      </x:c>
      <x:c r="C113" s="24" t="str">
        <x:v>EEZ</x:v>
      </x:c>
      <x:c r="D113" s="30" t="n">
        <x:v>2019</x:v>
      </x:c>
      <x:c r="E113" s="24" t="str">
        <x:v>Scyris indica</x:v>
      </x:c>
      <x:c r="F113" s="24" t="str">
        <x:v>Indian threadfish</x:v>
      </x:c>
      <x:c r="G113" s="24" t="str">
        <x:v>Large reef assoc. fish (&gt;=90 cm)</x:v>
      </x:c>
      <x:c r="H113" s="24" t="str">
        <x:v>Perch-likes</x:v>
      </x:c>
      <x:c r="I113" s="31" t="n">
        <x:v>76.509806042</x:v>
      </x:c>
      <x:c r="J113" s="31" t="n">
        <x:v>76.509806042</x:v>
      </x:c>
      <x:c r="K113" s="31" t="n">
        <x:v>0</x:v>
      </x:c>
      <x:c r="L113" s="31" t="n">
        <x:v>0</x:v>
      </x:c>
      <x:c r="M113" s="31" t="n">
        <x:v>76.509806042</x:v>
      </x:c>
      <x:c r="N113" s="24" t="str">
        <x:v>scyris indica</x:v>
      </x:c>
      <x:c r="O113" s="32" t="n">
        <x:v>4.09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Scyris indica</x:v>
      </x:c>
      <x:c r="T113" s="32" t="n">
        <x:f>IF(O113="","",(1/'Metadata'!$B$5)^(O113-1))</x:f>
        <x:v>1230.268770812381</x:v>
      </x:c>
      <x:c r="U113" s="31" t="n">
        <x:f>IF(T113="","",I113*T113)</x:f>
        <x:v>94127.62503438501</x:v>
      </x:c>
    </x:row>
    <x:row r="114" ht="18" customHeight="1">
      <x:c r="A114" s="24" t="str">
        <x:v>EEZ_922</x:v>
      </x:c>
      <x:c r="B114" s="24" t="str">
        <x:v>Iran (Persian Gulf)</x:v>
      </x:c>
      <x:c r="C114" s="24" t="str">
        <x:v>EEZ</x:v>
      </x:c>
      <x:c r="D114" s="30" t="n">
        <x:v>2019</x:v>
      </x:c>
      <x:c r="E114" s="24" t="str">
        <x:v>Atropus armatus</x:v>
      </x:c>
      <x:c r="F114" s="24" t="str">
        <x:v>Longfin trevally</x:v>
      </x:c>
      <x:c r="G114" s="24" t="str">
        <x:v>Medium reef assoc. fish (30 - 89 cm)</x:v>
      </x:c>
      <x:c r="H114" s="24" t="str">
        <x:v>Perch-likes</x:v>
      </x:c>
      <x:c r="I114" s="31" t="n">
        <x:v>72.61121720279999</x:v>
      </x:c>
      <x:c r="J114" s="31" t="n">
        <x:v>72.61121720279999</x:v>
      </x:c>
      <x:c r="K114" s="31" t="n">
        <x:v>0</x:v>
      </x:c>
      <x:c r="L114" s="31" t="n">
        <x:v>0</x:v>
      </x:c>
      <x:c r="M114" s="31" t="n">
        <x:v>72.61121720279999</x:v>
      </x:c>
      <x:c r="N114" s="24" t="str">
        <x:v>atropus armatus</x:v>
      </x:c>
      <x:c r="O114" s="32" t="n">
        <x:v>4.15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Atropus armatus</x:v>
      </x:c>
      <x:c r="T114" s="32" t="n">
        <x:f>IF(O114="","",(1/'Metadata'!$B$5)^(O114-1))</x:f>
        <x:v>1412.5375446227554</x:v>
      </x:c>
      <x:c r="U114" s="31" t="n">
        <x:f>IF(T114="","",I114*T114)</x:f>
        <x:v>102566.07045971268</x:v>
      </x:c>
    </x:row>
    <x:row r="115" ht="18" customHeight="1">
      <x:c r="A115" s="24" t="str">
        <x:v>EEZ_922</x:v>
      </x:c>
      <x:c r="B115" s="24" t="str">
        <x:v>Iran (Persian Gulf)</x:v>
      </x:c>
      <x:c r="C115" s="24" t="str">
        <x:v>EEZ</x:v>
      </x:c>
      <x:c r="D115" s="30" t="n">
        <x:v>2019</x:v>
      </x:c>
      <x:c r="E115" s="24" t="str">
        <x:v>Sepia pharaonis</x:v>
      </x:c>
      <x:c r="F115" s="24" t="str">
        <x:v>Pharaoh cuttlefish</x:v>
      </x:c>
      <x:c r="G115" s="24" t="str">
        <x:v>Cephalopods</x:v>
      </x:c>
      <x:c r="H115" s="24" t="str">
        <x:v>Other fishes &amp; inverts</x:v>
      </x:c>
      <x:c r="I115" s="31" t="n">
        <x:v>70.271692796</x:v>
      </x:c>
      <x:c r="J115" s="31" t="n">
        <x:v>70.271692796</x:v>
      </x:c>
      <x:c r="K115" s="31" t="n">
        <x:v>0</x:v>
      </x:c>
      <x:c r="L115" s="31" t="n">
        <x:v>0</x:v>
      </x:c>
      <x:c r="M115" s="31" t="n">
        <x:v>70.271692796</x:v>
      </x:c>
      <x:c r="N115" s="24" t="str">
        <x:v>sepia pharaonis</x:v>
      </x:c>
      <x:c r="O115" s="32" t="n">
        <x:v>3.8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Sepia pharaonis</x:v>
      </x:c>
      <x:c r="T115" s="32" t="n">
        <x:f>IF(O115="","",(1/'Metadata'!$B$5)^(O115-1))</x:f>
        <x:v>630.957344480193</x:v>
      </x:c>
      <x:c r="U115" s="31" t="n">
        <x:f>IF(T115="","",I115*T115)</x:f>
        <x:v>44338.440678692066</x:v>
      </x:c>
    </x:row>
    <x:row r="116" ht="18" customHeight="1">
      <x:c r="A116" s="24" t="str">
        <x:v>EEZ_922</x:v>
      </x:c>
      <x:c r="B116" s="24" t="str">
        <x:v>Iran (Persian Gulf)</x:v>
      </x:c>
      <x:c r="C116" s="24" t="str">
        <x:v>EEZ</x:v>
      </x:c>
      <x:c r="D116" s="30" t="n">
        <x:v>2019</x:v>
      </x:c>
      <x:c r="E116" s="24" t="str">
        <x:v>Epinephelus</x:v>
      </x:c>
      <x:c r="F116" s="24" t="str">
        <x:v>Seabasses, hinds</x:v>
      </x:c>
      <x:c r="G116" s="24" t="str">
        <x:v>Medium reef assoc. fish (30 - 89 cm)</x:v>
      </x:c>
      <x:c r="H116" s="24" t="str">
        <x:v>Perch-likes</x:v>
      </x:c>
      <x:c r="I116" s="31" t="n">
        <x:v>65.56976696950001</x:v>
      </x:c>
      <x:c r="J116" s="31" t="n">
        <x:v>65.56976696950001</x:v>
      </x:c>
      <x:c r="K116" s="31" t="n">
        <x:v>0</x:v>
      </x:c>
      <x:c r="L116" s="31" t="n">
        <x:v>16.684941548</x:v>
      </x:c>
      <x:c r="M116" s="31" t="n">
        <x:v>48.884825421500004</x:v>
      </x:c>
      <x:c r="N116" s="24" t="str">
        <x:v>epinephelus</x:v>
      </x:c>
      <x:c r="O116" s="32" t="n">
        <x:v>3.84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Epinephelus</x:v>
      </x:c>
      <x:c r="T116" s="32" t="n">
        <x:f>IF(O116="","",(1/'Metadata'!$B$5)^(O116-1))</x:f>
        <x:v>691.8309709189363</x:v>
      </x:c>
      <x:c r="U116" s="31" t="n">
        <x:f>IF(T116="","",I116*T116)</x:f>
        <x:v>45363.195545437586</x:v>
      </x:c>
    </x:row>
    <x:row r="117" ht="18" customHeight="1">
      <x:c r="A117" s="24" t="str">
        <x:v>EEZ_922</x:v>
      </x:c>
      <x:c r="B117" s="24" t="str">
        <x:v>Iran (Persian Gulf)</x:v>
      </x:c>
      <x:c r="C117" s="24" t="str">
        <x:v>EEZ</x:v>
      </x:c>
      <x:c r="D117" s="30" t="n">
        <x:v>2019</x:v>
      </x:c>
      <x:c r="E117" s="24" t="str">
        <x:v>Terapon jarbua</x:v>
      </x:c>
      <x:c r="F117" s="24" t="str">
        <x:v>Jarbua terapon</x:v>
      </x:c>
      <x:c r="G117" s="24" t="str">
        <x:v>Medium demersals (30 - 89 cm)</x:v>
      </x:c>
      <x:c r="H117" s="24" t="str">
        <x:v>Perch-likes</x:v>
      </x:c>
      <x:c r="I117" s="31" t="n">
        <x:v>65.2807026443</x:v>
      </x:c>
      <x:c r="J117" s="31" t="n">
        <x:v>64.1128474729</x:v>
      </x:c>
      <x:c r="K117" s="31" t="n">
        <x:v>1.1678551714</x:v>
      </x:c>
      <x:c r="L117" s="31" t="n">
        <x:v>15.2280220511</x:v>
      </x:c>
      <x:c r="M117" s="31" t="n">
        <x:v>50.0526805932</x:v>
      </x:c>
      <x:c r="N117" s="24" t="str">
        <x:v>terapon jarbua</x:v>
      </x:c>
      <x:c r="O117" s="32" t="n">
        <x:v>3.93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Terapon jarbua</x:v>
      </x:c>
      <x:c r="T117" s="32" t="n">
        <x:f>IF(O117="","",(1/'Metadata'!$B$5)^(O117-1))</x:f>
        <x:v>851.1380382023768</x:v>
      </x:c>
      <x:c r="U117" s="31" t="n">
        <x:f>IF(T117="","",I117*T117)</x:f>
        <x:v>55562.88918114222</x:v>
      </x:c>
    </x:row>
    <x:row r="118" ht="18" customHeight="1">
      <x:c r="A118" s="24" t="str">
        <x:v>EEZ_922</x:v>
      </x:c>
      <x:c r="B118" s="24" t="str">
        <x:v>Iran (Persian Gulf)</x:v>
      </x:c>
      <x:c r="C118" s="24" t="str">
        <x:v>EEZ</x:v>
      </x:c>
      <x:c r="D118" s="30" t="n">
        <x:v>2019</x:v>
      </x:c>
      <x:c r="E118" s="24" t="str">
        <x:v>Plectorhinchus</x:v>
      </x:c>
      <x:c r="F118" s="24" t="str">
        <x:v>Sweetlips</x:v>
      </x:c>
      <x:c r="G118" s="24" t="str">
        <x:v>Medium reef assoc. fish (30 - 89 cm)</x:v>
      </x:c>
      <x:c r="H118" s="24" t="str">
        <x:v>Perch-likes</x:v>
      </x:c>
      <x:c r="I118" s="31" t="n">
        <x:v>64.1128474728</x:v>
      </x:c>
      <x:c r="J118" s="31" t="n">
        <x:v>64.1128474728</x:v>
      </x:c>
      <x:c r="K118" s="31" t="n">
        <x:v>0</x:v>
      </x:c>
      <x:c r="L118" s="31" t="n">
        <x:v>15.2280220511</x:v>
      </x:c>
      <x:c r="M118" s="31" t="n">
        <x:v>48.8848254217</x:v>
      </x:c>
      <x:c r="N118" s="24" t="str">
        <x:v>plectorhinchus</x:v>
      </x:c>
      <x:c r="O118" s="32" t="n">
        <x:v>3.43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Plectorhinchus</x:v>
      </x:c>
      <x:c r="T118" s="32" t="n">
        <x:f>IF(O118="","",(1/'Metadata'!$B$5)^(O118-1))</x:f>
        <x:v>269.1534803926917</x:v>
      </x:c>
      <x:c r="U118" s="31" t="n">
        <x:f>IF(T118="","",I118*T118)</x:f>
        <x:v>17256.196035189907</x:v>
      </x:c>
    </x:row>
    <x:row r="119" ht="18" customHeight="1">
      <x:c r="A119" s="24" t="str">
        <x:v>EEZ_922</x:v>
      </x:c>
      <x:c r="B119" s="24" t="str">
        <x:v>Iran (Persian Gulf)</x:v>
      </x:c>
      <x:c r="C119" s="24" t="str">
        <x:v>EEZ</x:v>
      </x:c>
      <x:c r="D119" s="30" t="n">
        <x:v>2019</x:v>
      </x:c>
      <x:c r="E119" s="24" t="str">
        <x:v>Trachinotus mookalee</x:v>
      </x:c>
      <x:c r="F119" s="24" t="str">
        <x:v>Indian pompano</x:v>
      </x:c>
      <x:c r="G119" s="24" t="str">
        <x:v>Medium demersals (30 - 89 cm)</x:v>
      </x:c>
      <x:c r="H119" s="24" t="str">
        <x:v>Perch-likes</x:v>
      </x:c>
      <x:c r="I119" s="31" t="n">
        <x:v>64.1128474727</x:v>
      </x:c>
      <x:c r="J119" s="31" t="n">
        <x:v>64.1128474727</x:v>
      </x:c>
      <x:c r="K119" s="31" t="n">
        <x:v>0</x:v>
      </x:c>
      <x:c r="L119" s="31" t="n">
        <x:v>15.2280220511</x:v>
      </x:c>
      <x:c r="M119" s="31" t="n">
        <x:v>48.8848254216</x:v>
      </x:c>
      <x:c r="N119" s="24" t="str">
        <x:v>trachinotus mookalee</x:v>
      </x:c>
      <x:c r="O119" s="32" t="n">
        <x:v>3.78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Trachinotus mookalee</x:v>
      </x:c>
      <x:c r="T119" s="32" t="n">
        <x:f>IF(O119="","",(1/'Metadata'!$B$5)^(O119-1))</x:f>
        <x:v>602.5595860743575</x:v>
      </x:c>
      <x:c r="U119" s="31" t="n">
        <x:f>IF(T119="","",I119*T119)</x:f>
        <x:v>38631.81083519853</x:v>
      </x:c>
    </x:row>
    <x:row r="120" ht="18" customHeight="1">
      <x:c r="A120" s="24" t="str">
        <x:v>EEZ_922</x:v>
      </x:c>
      <x:c r="B120" s="24" t="str">
        <x:v>Iran (Persian Gulf)</x:v>
      </x:c>
      <x:c r="C120" s="24" t="str">
        <x:v>EEZ</x:v>
      </x:c>
      <x:c r="D120" s="30" t="n">
        <x:v>2019</x:v>
      </x:c>
      <x:c r="E120" s="24" t="str">
        <x:v>Alepes djedaba</x:v>
      </x:c>
      <x:c r="F120" s="24" t="str">
        <x:v>Shrimp scad</x:v>
      </x:c>
      <x:c r="G120" s="24" t="str">
        <x:v>Medium reef assoc. fish (30 - 89 cm)</x:v>
      </x:c>
      <x:c r="H120" s="24" t="str">
        <x:v>Perch-likes</x:v>
      </x:c>
      <x:c r="I120" s="31" t="n">
        <x:v>64.1128474727</x:v>
      </x:c>
      <x:c r="J120" s="31" t="n">
        <x:v>64.1128474727</x:v>
      </x:c>
      <x:c r="K120" s="31" t="n">
        <x:v>0</x:v>
      </x:c>
      <x:c r="L120" s="31" t="n">
        <x:v>15.2280220511</x:v>
      </x:c>
      <x:c r="M120" s="31" t="n">
        <x:v>48.8848254216</x:v>
      </x:c>
      <x:c r="N120" s="24" t="str">
        <x:v>alepes djedaba</x:v>
      </x:c>
      <x:c r="O120" s="32" t="n">
        <x:v>3.32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Alepes djedaba</x:v>
      </x:c>
      <x:c r="T120" s="32" t="n">
        <x:f>IF(O120="","",(1/'Metadata'!$B$5)^(O120-1))</x:f>
        <x:v>208.92961308540387</x:v>
      </x:c>
      <x:c r="U120" s="31" t="n">
        <x:f>IF(T120="","",I120*T120)</x:f>
        <x:v>13395.072416274725</x:v>
      </x:c>
    </x:row>
    <x:row r="121" ht="18" customHeight="1">
      <x:c r="A121" s="24" t="str">
        <x:v>EEZ_922</x:v>
      </x:c>
      <x:c r="B121" s="24" t="str">
        <x:v>Iran (Persian Gulf)</x:v>
      </x:c>
      <x:c r="C121" s="24" t="str">
        <x:v>EEZ</x:v>
      </x:c>
      <x:c r="D121" s="30" t="n">
        <x:v>2019</x:v>
      </x:c>
      <x:c r="E121" s="24" t="str">
        <x:v>Gerres longirostris</x:v>
      </x:c>
      <x:c r="F121" s="24" t="str">
        <x:v>Strongspine silver-biddy</x:v>
      </x:c>
      <x:c r="G121" s="24" t="str">
        <x:v>Medium demersals (30 - 89 cm)</x:v>
      </x:c>
      <x:c r="H121" s="24" t="str">
        <x:v>Perch-likes</x:v>
      </x:c>
      <x:c r="I121" s="31" t="n">
        <x:v>64.1090466409</x:v>
      </x:c>
      <x:c r="J121" s="31" t="n">
        <x:v>64.1090466409</x:v>
      </x:c>
      <x:c r="K121" s="31" t="n">
        <x:v>0</x:v>
      </x:c>
      <x:c r="L121" s="31" t="n">
        <x:v>15.2280220511</x:v>
      </x:c>
      <x:c r="M121" s="31" t="n">
        <x:v>48.8810245898</x:v>
      </x:c>
      <x:c r="N121" s="24" t="str">
        <x:v>gerres longirostris</x:v>
      </x:c>
      <x:c r="O121" s="32" t="n">
        <x:v>3.5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Gerres longirostris</x:v>
      </x:c>
      <x:c r="T121" s="32" t="n">
        <x:f>IF(O121="","",(1/'Metadata'!$B$5)^(O121-1))</x:f>
        <x:v>316.22776601683796</x:v>
      </x:c>
      <x:c r="U121" s="31" t="n">
        <x:f>IF(T121="","",I121*T121)</x:f>
        <x:v>20273.060600721077</x:v>
      </x:c>
    </x:row>
    <x:row r="122" ht="18" customHeight="1">
      <x:c r="A122" s="24" t="str">
        <x:v>EEZ_922</x:v>
      </x:c>
      <x:c r="B122" s="24" t="str">
        <x:v>Iran (Persian Gulf)</x:v>
      </x:c>
      <x:c r="C122" s="24" t="str">
        <x:v>EEZ</x:v>
      </x:c>
      <x:c r="D122" s="30" t="n">
        <x:v>2019</x:v>
      </x:c>
      <x:c r="E122" s="24" t="str">
        <x:v>Turrum coeruleopinnatum</x:v>
      </x:c>
      <x:c r="F122" s="24" t="str">
        <x:v>Coastal trevally</x:v>
      </x:c>
      <x:c r="G122" s="24" t="str">
        <x:v>Medium reef assoc. fish (30 - 89 cm)</x:v>
      </x:c>
      <x:c r="H122" s="24" t="str">
        <x:v>Perch-likes</x:v>
      </x:c>
      <x:c r="I122" s="31" t="n">
        <x:v>63.8494678478</x:v>
      </x:c>
      <x:c r="J122" s="31" t="n">
        <x:v>63.8494678478</x:v>
      </x:c>
      <x:c r="K122" s="31" t="n">
        <x:v>0</x:v>
      </x:c>
      <x:c r="L122" s="31" t="n">
        <x:v>32.4139326481</x:v>
      </x:c>
      <x:c r="M122" s="31" t="n">
        <x:v>31.4355351997</x:v>
      </x:c>
      <x:c r="N122" s="24" t="str">
        <x:v>turrum coeruleopinnatum</x:v>
      </x:c>
      <x:c r="O122" s="32" t="n">
        <x:v>4.44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Turrum coeruleopinnatum</x:v>
      </x:c>
      <x:c r="T122" s="32" t="n">
        <x:f>IF(O122="","",(1/'Metadata'!$B$5)^(O122-1))</x:f>
        <x:v>2754.228703338169</x:v>
      </x:c>
      <x:c r="U122" s="31" t="n">
        <x:f>IF(T122="","",I122*T122)</x:f>
        <x:v>175856.0370392783</x:v>
      </x:c>
    </x:row>
    <x:row r="123" ht="18" customHeight="1">
      <x:c r="A123" s="24" t="str">
        <x:v>EEZ_922</x:v>
      </x:c>
      <x:c r="B123" s="24" t="str">
        <x:v>Iran (Persian Gulf)</x:v>
      </x:c>
      <x:c r="C123" s="24" t="str">
        <x:v>EEZ</x:v>
      </x:c>
      <x:c r="D123" s="30" t="n">
        <x:v>2019</x:v>
      </x:c>
      <x:c r="E123" s="24" t="str">
        <x:v>Palinuridae</x:v>
      </x:c>
      <x:c r="F123" s="24" t="str">
        <x:v>Spiny lobsters</x:v>
      </x:c>
      <x:c r="G123" s="24" t="str">
        <x:v>Lobsters, crabs</x:v>
      </x:c>
      <x:c r="H123" s="24" t="str">
        <x:v>Crustaceans</x:v>
      </x:c>
      <x:c r="I123" s="31" t="n">
        <x:v>57.6660398128</x:v>
      </x:c>
      <x:c r="J123" s="31" t="n">
        <x:v>57.6660398128</x:v>
      </x:c>
      <x:c r="K123" s="31" t="n">
        <x:v>0</x:v>
      </x:c>
      <x:c r="L123" s="31" t="n">
        <x:v>57.6660398128</x:v>
      </x:c>
      <x:c r="M123" s="31" t="n">
        <x:v>0</x:v>
      </x:c>
      <x:c r="N123" s="24" t="str">
        <x:v>palinuridae</x:v>
      </x:c>
      <x:c r="O123" s="32" t="n">
        <x:v>3.14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Palinuridae</x:v>
      </x:c>
      <x:c r="T123" s="32" t="n">
        <x:f>IF(O123="","",(1/'Metadata'!$B$5)^(O123-1))</x:f>
        <x:v>138.03842646028852</x:v>
      </x:c>
      <x:c r="U123" s="31" t="n">
        <x:f>IF(T123="","",I123*T123)</x:f>
        <x:v>7960.129395955263</x:v>
      </x:c>
    </x:row>
    <x:row r="124" ht="18" customHeight="1">
      <x:c r="A124" s="24" t="str">
        <x:v>EEZ_922</x:v>
      </x:c>
      <x:c r="B124" s="24" t="str">
        <x:v>Iran (Persian Gulf)</x:v>
      </x:c>
      <x:c r="C124" s="24" t="str">
        <x:v>EEZ</x:v>
      </x:c>
      <x:c r="D124" s="30" t="n">
        <x:v>2019</x:v>
      </x:c>
      <x:c r="E124" s="24" t="str">
        <x:v>Scolopsis taeniata</x:v>
      </x:c>
      <x:c r="F124" s="24" t="str">
        <x:v>Black-streaked monocle bream</x:v>
      </x:c>
      <x:c r="G124" s="24" t="str">
        <x:v>Small reef assoc. fish (&lt;30 cm)</x:v>
      </x:c>
      <x:c r="H124" s="24" t="str">
        <x:v>Perch-likes</x:v>
      </x:c>
      <x:c r="I124" s="31" t="n">
        <x:v>55.8697671795</x:v>
      </x:c>
      <x:c r="J124" s="31" t="n">
        <x:v>55.8697671795</x:v>
      </x:c>
      <x:c r="K124" s="31" t="n">
        <x:v>0</x:v>
      </x:c>
      <x:c r="L124" s="31" t="n">
        <x:v>13.2701335014</x:v>
      </x:c>
      <x:c r="M124" s="31" t="n">
        <x:v>42.5996336781</x:v>
      </x:c>
      <x:c r="N124" s="24" t="str">
        <x:v>scolopsis taeniata</x:v>
      </x:c>
      <x:c r="O124" s="32" t="n">
        <x:v>3.51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Scolopsis taeniata</x:v>
      </x:c>
      <x:c r="T124" s="32" t="n">
        <x:f>IF(O124="","",(1/'Metadata'!$B$5)^(O124-1))</x:f>
        <x:v>323.5936569296281</x:v>
      </x:c>
      <x:c r="U124" s="31" t="n">
        <x:f>IF(T124="","",I124*T124)</x:f>
        <x:v>18079.10227342132</x:v>
      </x:c>
    </x:row>
    <x:row r="125" ht="18" customHeight="1">
      <x:c r="A125" s="24" t="str">
        <x:v>EEZ_922</x:v>
      </x:c>
      <x:c r="B125" s="24" t="str">
        <x:v>Iran (Persian Gulf)</x:v>
      </x:c>
      <x:c r="C125" s="24" t="str">
        <x:v>EEZ</x:v>
      </x:c>
      <x:c r="D125" s="30" t="n">
        <x:v>2019</x:v>
      </x:c>
      <x:c r="E125" s="24" t="str">
        <x:v>Lethrinus lentjan</x:v>
      </x:c>
      <x:c r="F125" s="24" t="str">
        <x:v>Pink ear emperor</x:v>
      </x:c>
      <x:c r="G125" s="24" t="str">
        <x:v>Medium demersals (30 - 89 cm)</x:v>
      </x:c>
      <x:c r="H125" s="24" t="str">
        <x:v>Perch-likes</x:v>
      </x:c>
      <x:c r="I125" s="31" t="n">
        <x:v>40.2995043376</x:v>
      </x:c>
      <x:c r="J125" s="31" t="n">
        <x:v>40.2995043376</x:v>
      </x:c>
      <x:c r="K125" s="31" t="n">
        <x:v>0</x:v>
      </x:c>
      <x:c r="L125" s="31" t="n">
        <x:v>9.571899575</x:v>
      </x:c>
      <x:c r="M125" s="31" t="n">
        <x:v>30.727604762600002</x:v>
      </x:c>
      <x:c r="N125" s="24" t="str">
        <x:v>lethrinus lentjan</x:v>
      </x:c>
      <x:c r="O125" s="32" t="n">
        <x:v>3.94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Lethrinus lentjan</x:v>
      </x:c>
      <x:c r="T125" s="32" t="n">
        <x:f>IF(O125="","",(1/'Metadata'!$B$5)^(O125-1))</x:f>
        <x:v>870.9635899560806</x:v>
      </x:c>
      <x:c r="U125" s="31" t="n">
        <x:f>IF(T125="","",I125*T125)</x:f>
        <x:v>35099.40097132674</x:v>
      </x:c>
    </x:row>
    <x:row r="126" ht="18" customHeight="1">
      <x:c r="A126" s="24" t="str">
        <x:v>EEZ_922</x:v>
      </x:c>
      <x:c r="B126" s="24" t="str">
        <x:v>Iran (Persian Gulf)</x:v>
      </x:c>
      <x:c r="C126" s="24" t="str">
        <x:v>EEZ</x:v>
      </x:c>
      <x:c r="D126" s="30" t="n">
        <x:v>2019</x:v>
      </x:c>
      <x:c r="E126" s="24" t="str">
        <x:v>Lutjanus russellii</x:v>
      </x:c>
      <x:c r="F126" s="24" t="str">
        <x:v>Russell's snapper</x:v>
      </x:c>
      <x:c r="G126" s="24" t="str">
        <x:v>Medium reef assoc. fish (30 - 89 cm)</x:v>
      </x:c>
      <x:c r="H126" s="24" t="str">
        <x:v>Perch-likes</x:v>
      </x:c>
      <x:c r="I126" s="31" t="n">
        <x:v>40.297115243</x:v>
      </x:c>
      <x:c r="J126" s="31" t="n">
        <x:v>40.297115243</x:v>
      </x:c>
      <x:c r="K126" s="31" t="n">
        <x:v>0</x:v>
      </x:c>
      <x:c r="L126" s="31" t="n">
        <x:v>9.5718995752</x:v>
      </x:c>
      <x:c r="M126" s="31" t="n">
        <x:v>30.7252156678</x:v>
      </x:c>
      <x:c r="N126" s="24" t="str">
        <x:v>lutjanus russellii</x:v>
      </x:c>
      <x:c r="O126" s="32" t="n">
        <x:v>4.1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Lutjanus russellii</x:v>
      </x:c>
      <x:c r="T126" s="32" t="n">
        <x:f>IF(O126="","",(1/'Metadata'!$B$5)^(O126-1))</x:f>
        <x:v>1258.9254117941662</x:v>
      </x:c>
      <x:c r="U126" s="31" t="n">
        <x:f>IF(T126="","",I126*T126)</x:f>
        <x:v>50731.062401410745</x:v>
      </x:c>
    </x:row>
    <x:row r="127" ht="18" customHeight="1">
      <x:c r="A127" s="24" t="str">
        <x:v>EEZ_922</x:v>
      </x:c>
      <x:c r="B127" s="24" t="str">
        <x:v>Iran (Persian Gulf)</x:v>
      </x:c>
      <x:c r="C127" s="24" t="str">
        <x:v>EEZ</x:v>
      </x:c>
      <x:c r="D127" s="30" t="n">
        <x:v>2019</x:v>
      </x:c>
      <x:c r="E127" s="24" t="str">
        <x:v>Thunnus obesus</x:v>
      </x:c>
      <x:c r="F127" s="24" t="str">
        <x:v>Bigeye tuna</x:v>
      </x:c>
      <x:c r="G127" s="24" t="str">
        <x:v>Large pelagics (&gt;=90 cm)</x:v>
      </x:c>
      <x:c r="H127" s="24" t="str">
        <x:v>Tuna &amp; billfishes</x:v>
      </x:c>
      <x:c r="I127" s="31" t="n">
        <x:v>39.0855784546</x:v>
      </x:c>
      <x:c r="J127" s="31" t="n">
        <x:v>39.0855784546</x:v>
      </x:c>
      <x:c r="K127" s="31" t="n">
        <x:v>0</x:v>
      </x:c>
      <x:c r="L127" s="31" t="n">
        <x:v>39.0855784546</x:v>
      </x:c>
      <x:c r="M127" s="31" t="n">
        <x:v>0</x:v>
      </x:c>
      <x:c r="N127" s="24" t="str">
        <x:v>thunnus obesus</x:v>
      </x:c>
      <x:c r="O127" s="32" t="n">
        <x:v>4.49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Thunnus obesus</x:v>
      </x:c>
      <x:c r="T127" s="32" t="n">
        <x:f>IF(O127="","",(1/'Metadata'!$B$5)^(O127-1))</x:f>
        <x:v>3090.295432513592</x:v>
      </x:c>
      <x:c r="U127" s="31" t="n">
        <x:f>IF(T127="","",I127*T127)</x:f>
        <x:v>120785.98457540204</x:v>
      </x:c>
    </x:row>
    <x:row r="128" ht="18" customHeight="1">
      <x:c r="A128" s="24" t="str">
        <x:v>EEZ_922</x:v>
      </x:c>
      <x:c r="B128" s="24" t="str">
        <x:v>Iran (Persian Gulf)</x:v>
      </x:c>
      <x:c r="C128" s="24" t="str">
        <x:v>EEZ</x:v>
      </x:c>
      <x:c r="D128" s="30" t="n">
        <x:v>2019</x:v>
      </x:c>
      <x:c r="E128" s="24" t="str">
        <x:v>Platax orbicularis</x:v>
      </x:c>
      <x:c r="F128" s="24" t="str">
        <x:v>Orbicular batfish</x:v>
      </x:c>
      <x:c r="G128" s="24" t="str">
        <x:v>Medium reef assoc. fish (30 - 89 cm)</x:v>
      </x:c>
      <x:c r="H128" s="24" t="str">
        <x:v>Perch-likes</x:v>
      </x:c>
      <x:c r="I128" s="31" t="n">
        <x:v>32.054523335700004</x:v>
      </x:c>
      <x:c r="J128" s="31" t="n">
        <x:v>32.054523335700004</x:v>
      </x:c>
      <x:c r="K128" s="31" t="n">
        <x:v>0</x:v>
      </x:c>
      <x:c r="L128" s="31" t="n">
        <x:v>7.6140110257</x:v>
      </x:c>
      <x:c r="M128" s="31" t="n">
        <x:v>24.440512310000003</x:v>
      </x:c>
      <x:c r="N128" s="24" t="str">
        <x:v>platax orbicularis</x:v>
      </x:c>
      <x:c r="O128" s="32" t="n">
        <x:v>3.33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Platax orbicularis</x:v>
      </x:c>
      <x:c r="T128" s="32" t="n">
        <x:f>IF(O128="","",(1/'Metadata'!$B$5)^(O128-1))</x:f>
        <x:v>213.79620895022325</x:v>
      </x:c>
      <x:c r="U128" s="31" t="n">
        <x:f>IF(T128="","",I128*T128)</x:f>
        <x:v>6853.1355688791255</x:v>
      </x:c>
    </x:row>
    <x:row r="129" ht="18" customHeight="1">
      <x:c r="A129" s="24" t="str">
        <x:v>EEZ_922</x:v>
      </x:c>
      <x:c r="B129" s="24" t="str">
        <x:v>Iran (Persian Gulf)</x:v>
      </x:c>
      <x:c r="C129" s="24" t="str">
        <x:v>EEZ</x:v>
      </x:c>
      <x:c r="D129" s="30" t="n">
        <x:v>2019</x:v>
      </x:c>
      <x:c r="E129" s="24" t="str">
        <x:v>Carcharhinus longimanus</x:v>
      </x:c>
      <x:c r="F129" s="24" t="str">
        <x:v>Oceanic whitetip shark</x:v>
      </x:c>
      <x:c r="G129" s="24" t="str">
        <x:v>Large sharks (&gt;=90 cm)</x:v>
      </x:c>
      <x:c r="H129" s="24" t="str">
        <x:v>Sharks &amp; rays</x:v>
      </x:c>
      <x:c r="I129" s="31" t="n">
        <x:v>31.793075851300003</x:v>
      </x:c>
      <x:c r="J129" s="31" t="n">
        <x:v>31.793075851300003</x:v>
      </x:c>
      <x:c r="K129" s="31" t="n">
        <x:v>0</x:v>
      </x:c>
      <x:c r="L129" s="31" t="n">
        <x:v>31.793075851300003</x:v>
      </x:c>
      <x:c r="M129" s="31" t="n">
        <x:v>0</x:v>
      </x:c>
      <x:c r="N129" s="24" t="str">
        <x:v>carcharhinus longimanus</x:v>
      </x:c>
      <x:c r="O129" s="32" t="n">
        <x:v>4.16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Carcharhinus longimanus</x:v>
      </x:c>
      <x:c r="T129" s="32" t="n">
        <x:f>IF(O129="","",(1/'Metadata'!$B$5)^(O129-1))</x:f>
        <x:v>1445.439770745928</x:v>
      </x:c>
      <x:c r="U129" s="31" t="n">
        <x:f>IF(T129="","",I129*T129)</x:f>
        <x:v>45954.97626981098</x:v>
      </x:c>
    </x:row>
    <x:row r="130" ht="18" customHeight="1">
      <x:c r="A130" s="24" t="str">
        <x:v>EEZ_922</x:v>
      </x:c>
      <x:c r="B130" s="24" t="str">
        <x:v>Iran (Persian Gulf)</x:v>
      </x:c>
      <x:c r="C130" s="24" t="str">
        <x:v>EEZ</x:v>
      </x:c>
      <x:c r="D130" s="30" t="n">
        <x:v>2019</x:v>
      </x:c>
      <x:c r="E130" s="24" t="str">
        <x:v>Xiphias gladius</x:v>
      </x:c>
      <x:c r="F130" s="24" t="str">
        <x:v>Swordfish</x:v>
      </x:c>
      <x:c r="G130" s="24" t="str">
        <x:v>Large pelagics (&gt;=90 cm)</x:v>
      </x:c>
      <x:c r="H130" s="24" t="str">
        <x:v>Tuna &amp; billfishes</x:v>
      </x:c>
      <x:c r="I130" s="31" t="n">
        <x:v>30.8304779253</x:v>
      </x:c>
      <x:c r="J130" s="31" t="n">
        <x:v>30.8304779253</x:v>
      </x:c>
      <x:c r="K130" s="31" t="n">
        <x:v>0</x:v>
      </x:c>
      <x:c r="L130" s="31" t="n">
        <x:v>30.8304779253</x:v>
      </x:c>
      <x:c r="M130" s="31" t="n">
        <x:v>0</x:v>
      </x:c>
      <x:c r="N130" s="24" t="str">
        <x:v>xiphias gladius</x:v>
      </x:c>
      <x:c r="O130" s="32" t="n">
        <x:v>4.53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Xiphias gladius</x:v>
      </x:c>
      <x:c r="T130" s="32" t="n">
        <x:f>IF(O130="","",(1/'Metadata'!$B$5)^(O130-1))</x:f>
        <x:v>3388.4415613920273</x:v>
      </x:c>
      <x:c r="U130" s="31" t="n">
        <x:f>IF(T130="","",I130*T130)</x:f>
        <x:v>104467.27275966595</x:v>
      </x:c>
    </x:row>
    <x:row r="131" ht="18" customHeight="1">
      <x:c r="A131" s="24" t="str">
        <x:v>EEZ_922</x:v>
      </x:c>
      <x:c r="B131" s="24" t="str">
        <x:v>Iran (Persian Gulf)</x:v>
      </x:c>
      <x:c r="C131" s="24" t="str">
        <x:v>EEZ</x:v>
      </x:c>
      <x:c r="D131" s="30" t="n">
        <x:v>2019</x:v>
      </x:c>
      <x:c r="E131" s="24" t="str">
        <x:v>Siganus sutor</x:v>
      </x:c>
      <x:c r="F131" s="24" t="str">
        <x:v>Shoemaker spinefoot</x:v>
      </x:c>
      <x:c r="G131" s="24" t="str">
        <x:v>Medium reef assoc. fish (30 - 89 cm)</x:v>
      </x:c>
      <x:c r="H131" s="24" t="str">
        <x:v>Perch-likes</x:v>
      </x:c>
      <x:c r="I131" s="31" t="n">
        <x:v>25.3408274802</x:v>
      </x:c>
      <x:c r="J131" s="31" t="n">
        <x:v>25.3408274802</x:v>
      </x:c>
      <x:c r="K131" s="31" t="n">
        <x:v>0</x:v>
      </x:c>
      <x:c r="L131" s="31" t="n">
        <x:v>0</x:v>
      </x:c>
      <x:c r="M131" s="31" t="n">
        <x:v>25.3408274802</x:v>
      </x:c>
      <x:c r="N131" s="24" t="str">
        <x:v>siganus sutor</x:v>
      </x:c>
      <x:c r="O131" s="32" t="n">
        <x:v>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Siganus sutor</x:v>
      </x:c>
      <x:c r="T131" s="32" t="n">
        <x:f>IF(O131="","",(1/'Metadata'!$B$5)^(O131-1))</x:f>
        <x:v>10</x:v>
      </x:c>
      <x:c r="U131" s="31" t="n">
        <x:f>IF(T131="","",I131*T131)</x:f>
        <x:v>253.40827480200002</x:v>
      </x:c>
    </x:row>
    <x:row r="132" ht="18" customHeight="1">
      <x:c r="A132" s="24" t="str">
        <x:v>EEZ_922</x:v>
      </x:c>
      <x:c r="B132" s="24" t="str">
        <x:v>Iran (Persian Gulf)</x:v>
      </x:c>
      <x:c r="C132" s="24" t="str">
        <x:v>EEZ</x:v>
      </x:c>
      <x:c r="D132" s="30" t="n">
        <x:v>2019</x:v>
      </x:c>
      <x:c r="E132" s="24" t="str">
        <x:v>Lutjanus fulviflamma</x:v>
      </x:c>
      <x:c r="F132" s="24" t="str">
        <x:v>Dory snapper</x:v>
      </x:c>
      <x:c r="G132" s="24" t="str">
        <x:v>Medium reef assoc. fish (30 - 89 cm)</x:v>
      </x:c>
      <x:c r="H132" s="24" t="str">
        <x:v>Perch-likes</x:v>
      </x:c>
      <x:c r="I132" s="31" t="n">
        <x:v>23.8133433972</x:v>
      </x:c>
      <x:c r="J132" s="31" t="n">
        <x:v>23.8133433972</x:v>
      </x:c>
      <x:c r="K132" s="31" t="n">
        <x:v>0</x:v>
      </x:c>
      <x:c r="L132" s="31" t="n">
        <x:v>5.656122475399999</x:v>
      </x:c>
      <x:c r="M132" s="31" t="n">
        <x:v>18.1572209218</x:v>
      </x:c>
      <x:c r="N132" s="24" t="str">
        <x:v>lutjanus fulviflamma</x:v>
      </x:c>
      <x:c r="O132" s="32" t="n">
        <x:v>3.79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Lutjanus fulviflamma</x:v>
      </x:c>
      <x:c r="T132" s="32" t="n">
        <x:f>IF(O132="","",(1/'Metadata'!$B$5)^(O132-1))</x:f>
        <x:v>616.5950018614822</x:v>
      </x:c>
      <x:c r="U132" s="31" t="n">
        <x:f>IF(T132="","",I132*T132)</x:f>
        <x:v>14683.188516324648</x:v>
      </x:c>
    </x:row>
    <x:row r="133" ht="18" customHeight="1">
      <x:c r="A133" s="24" t="str">
        <x:v>EEZ_922</x:v>
      </x:c>
      <x:c r="B133" s="24" t="str">
        <x:v>Iran (Persian Gulf)</x:v>
      </x:c>
      <x:c r="C133" s="24" t="str">
        <x:v>EEZ</x:v>
      </x:c>
      <x:c r="D133" s="30" t="n">
        <x:v>2019</x:v>
      </x:c>
      <x:c r="E133" s="24" t="str">
        <x:v>Loliginidae</x:v>
      </x:c>
      <x:c r="F133" s="24" t="str">
        <x:v>Common pencil squids</x:v>
      </x:c>
      <x:c r="G133" s="24" t="str">
        <x:v>Cephalopods</x:v>
      </x:c>
      <x:c r="H133" s="24" t="str">
        <x:v>Other fishes &amp; inverts</x:v>
      </x:c>
      <x:c r="I133" s="31" t="n">
        <x:v>20.6031376434</x:v>
      </x:c>
      <x:c r="J133" s="31" t="n">
        <x:v>20.6031376434</x:v>
      </x:c>
      <x:c r="K133" s="31" t="n">
        <x:v>0</x:v>
      </x:c>
      <x:c r="L133" s="31" t="n">
        <x:v>9.571899575100002</x:v>
      </x:c>
      <x:c r="M133" s="31" t="n">
        <x:v>11.0312380683</x:v>
      </x:c>
      <x:c r="N133" s="24" t="str">
        <x:v>loliginidae</x:v>
      </x:c>
      <x:c r="O133" s="32" t="n">
        <x:v>3.9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Loliginidae</x:v>
      </x:c>
      <x:c r="T133" s="32" t="n">
        <x:f>IF(O133="","",(1/'Metadata'!$B$5)^(O133-1))</x:f>
        <x:v>794.3282347242813</x:v>
      </x:c>
      <x:c r="U133" s="31" t="n">
        <x:f>IF(T133="","",I133*T133)</x:f>
        <x:v>16365.653954063311</x:v>
      </x:c>
    </x:row>
    <x:row r="134" ht="18" customHeight="1">
      <x:c r="A134" s="24" t="str">
        <x:v>EEZ_922</x:v>
      </x:c>
      <x:c r="B134" s="24" t="str">
        <x:v>Iran (Persian Gulf)</x:v>
      </x:c>
      <x:c r="C134" s="24" t="str">
        <x:v>EEZ</x:v>
      </x:c>
      <x:c r="D134" s="30" t="n">
        <x:v>2019</x:v>
      </x:c>
      <x:c r="E134" s="24" t="str">
        <x:v>Uroteuthis duvaucelii</x:v>
      </x:c>
      <x:c r="F134" s="24" t="str">
        <x:v>Indian squid</x:v>
      </x:c>
      <x:c r="G134" s="24" t="str">
        <x:v>Cephalopods</x:v>
      </x:c>
      <x:c r="H134" s="24" t="str">
        <x:v>Other fishes &amp; inverts</x:v>
      </x:c>
      <x:c r="I134" s="31" t="n">
        <x:v>19.6939776</x:v>
      </x:c>
      <x:c r="J134" s="31" t="n">
        <x:v>19.6939776</x:v>
      </x:c>
      <x:c r="K134" s="31" t="n">
        <x:v>0</x:v>
      </x:c>
      <x:c r="L134" s="31" t="n">
        <x:v>0</x:v>
      </x:c>
      <x:c r="M134" s="31" t="n">
        <x:v>19.6939776</x:v>
      </x:c>
      <x:c r="N134" s="24" t="str">
        <x:v>uroteuthis duvaucelii</x:v>
      </x:c>
      <x:c r="O134" s="32" t="n">
        <x:v>3.77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Uroteuthis duvaucelii</x:v>
      </x:c>
      <x:c r="T134" s="32" t="n">
        <x:f>IF(O134="","",(1/'Metadata'!$B$5)^(O134-1))</x:f>
        <x:v>588.843655355589</x:v>
      </x:c>
      <x:c r="U134" s="31" t="n">
        <x:f>IF(T134="","",I134*T134)</x:f>
        <x:v>11596.67375847509</x:v>
      </x:c>
    </x:row>
    <x:row r="135" ht="18" customHeight="1">
      <x:c r="A135" s="24" t="str">
        <x:v>EEZ_922</x:v>
      </x:c>
      <x:c r="B135" s="24" t="str">
        <x:v>Iran (Persian Gulf)</x:v>
      </x:c>
      <x:c r="C135" s="24" t="str">
        <x:v>EEZ</x:v>
      </x:c>
      <x:c r="D135" s="30" t="n">
        <x:v>2019</x:v>
      </x:c>
      <x:c r="E135" s="24" t="str">
        <x:v>Kajikia audax</x:v>
      </x:c>
      <x:c r="F135" s="24" t="str">
        <x:v>Striped marlin</x:v>
      </x:c>
      <x:c r="G135" s="24" t="str">
        <x:v>Large pelagics (&gt;=90 cm)</x:v>
      </x:c>
      <x:c r="H135" s="24" t="str">
        <x:v>Tuna &amp; billfishes</x:v>
      </x:c>
      <x:c r="I135" s="31" t="n">
        <x:v>18.6503829861</x:v>
      </x:c>
      <x:c r="J135" s="31" t="n">
        <x:v>18.6503829861</x:v>
      </x:c>
      <x:c r="K135" s="31" t="n">
        <x:v>0</x:v>
      </x:c>
      <x:c r="L135" s="31" t="n">
        <x:v>18.6503829861</x:v>
      </x:c>
      <x:c r="M135" s="31" t="n">
        <x:v>0</x:v>
      </x:c>
      <x:c r="N135" s="24" t="str">
        <x:v>kajikia audax</x:v>
      </x:c>
      <x:c r="O135" s="32" t="n">
        <x:v>4.58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Kajikia audax</x:v>
      </x:c>
      <x:c r="T135" s="32" t="n">
        <x:f>IF(O135="","",(1/'Metadata'!$B$5)^(O135-1))</x:f>
        <x:v>3801.8939632056126</x:v>
      </x:c>
      <x:c r="U135" s="31" t="n">
        <x:f>IF(T135="","",I135*T135)</x:f>
        <x:v>70906.77848632625</x:v>
      </x:c>
    </x:row>
    <x:row r="136" ht="18" customHeight="1">
      <x:c r="A136" s="24" t="str">
        <x:v>EEZ_922</x:v>
      </x:c>
      <x:c r="B136" s="24" t="str">
        <x:v>Iran (Persian Gulf)</x:v>
      </x:c>
      <x:c r="C136" s="24" t="str">
        <x:v>EEZ</x:v>
      </x:c>
      <x:c r="D136" s="30" t="n">
        <x:v>2019</x:v>
      </x:c>
      <x:c r="E136" s="24" t="str">
        <x:v>Isurus oxyrinchus</x:v>
      </x:c>
      <x:c r="F136" s="24" t="str">
        <x:v>Shortfin mako</x:v>
      </x:c>
      <x:c r="G136" s="24" t="str">
        <x:v>Large sharks (&gt;=90 cm)</x:v>
      </x:c>
      <x:c r="H136" s="24" t="str">
        <x:v>Sharks &amp; rays</x:v>
      </x:c>
      <x:c r="I136" s="31" t="n">
        <x:v>17.5673014718</x:v>
      </x:c>
      <x:c r="J136" s="31" t="n">
        <x:v>17.5673014718</x:v>
      </x:c>
      <x:c r="K136" s="31" t="n">
        <x:v>0</x:v>
      </x:c>
      <x:c r="L136" s="31" t="n">
        <x:v>17.5673014718</x:v>
      </x:c>
      <x:c r="M136" s="31" t="n">
        <x:v>0</x:v>
      </x:c>
      <x:c r="N136" s="24" t="str">
        <x:v>isurus oxyrinchus</x:v>
      </x:c>
      <x:c r="O136" s="32" t="n">
        <x:v>4.5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Isurus oxyrinchus</x:v>
      </x:c>
      <x:c r="T136" s="32" t="n">
        <x:f>IF(O136="","",(1/'Metadata'!$B$5)^(O136-1))</x:f>
        <x:v>3162.2776601683795</x:v>
      </x:c>
      <x:c r="U136" s="31" t="n">
        <x:f>IF(T136="","",I136*T136)</x:f>
        <x:v>55552.68499371623</x:v>
      </x:c>
    </x:row>
    <x:row r="137" ht="18" customHeight="1">
      <x:c r="A137" s="24" t="str">
        <x:v>EEZ_922</x:v>
      </x:c>
      <x:c r="B137" s="24" t="str">
        <x:v>Iran (Persian Gulf)</x:v>
      </x:c>
      <x:c r="C137" s="24" t="str">
        <x:v>EEZ</x:v>
      </x:c>
      <x:c r="D137" s="30" t="n">
        <x:v>2019</x:v>
      </x:c>
      <x:c r="E137" s="24" t="str">
        <x:v>Cnidaria</x:v>
      </x:c>
      <x:c r="F137" s="24" t="str">
        <x:v>Cnidarians, coelenterates</x:v>
      </x:c>
      <x:c r="G137" s="24" t="str">
        <x:v>Jellyfish</x:v>
      </x:c>
      <x:c r="H137" s="24" t="str">
        <x:v>Other fishes &amp; inverts</x:v>
      </x:c>
      <x:c r="I137" s="31" t="n">
        <x:v>16.7824014668</x:v>
      </x:c>
      <x:c r="J137" s="31" t="n">
        <x:v>16.7824014668</x:v>
      </x:c>
      <x:c r="K137" s="31" t="n">
        <x:v>0</x:v>
      </x:c>
      <x:c r="L137" s="31" t="n">
        <x:v>16.7824014668</x:v>
      </x:c>
      <x:c r="M137" s="31" t="n">
        <x:v>0</x:v>
      </x:c>
      <x:c r="N137" s="24" t="str">
        <x:v>cnidaria</x:v>
      </x:c>
      <x:c r="O137" s="32" t="n">
        <x:v>2.5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Cnidaria</x:v>
      </x:c>
      <x:c r="T137" s="32" t="n">
        <x:f>IF(O137="","",(1/'Metadata'!$B$5)^(O137-1))</x:f>
        <x:v>31.622776601683793</x:v>
      </x:c>
      <x:c r="U137" s="31" t="n">
        <x:f>IF(T137="","",I137*T137)</x:f>
        <x:v>530.7061324243867</x:v>
      </x:c>
    </x:row>
    <x:row r="138" ht="18" customHeight="1">
      <x:c r="A138" s="24" t="str">
        <x:v>EEZ_922</x:v>
      </x:c>
      <x:c r="B138" s="24" t="str">
        <x:v>Iran (Persian Gulf)</x:v>
      </x:c>
      <x:c r="C138" s="24" t="str">
        <x:v>EEZ</x:v>
      </x:c>
      <x:c r="D138" s="30" t="n">
        <x:v>2019</x:v>
      </x:c>
      <x:c r="E138" s="24" t="str">
        <x:v>Thenus orientalis</x:v>
      </x:c>
      <x:c r="F138" s="24" t="str">
        <x:v>Flathead lobster</x:v>
      </x:c>
      <x:c r="G138" s="24" t="str">
        <x:v>Lobsters, crabs</x:v>
      </x:c>
      <x:c r="H138" s="24" t="str">
        <x:v>Crustaceans</x:v>
      </x:c>
      <x:c r="I138" s="31" t="n">
        <x:v>15.570263042</x:v>
      </x:c>
      <x:c r="J138" s="31" t="n">
        <x:v>15.570263042</x:v>
      </x:c>
      <x:c r="K138" s="31" t="n">
        <x:v>0</x:v>
      </x:c>
      <x:c r="L138" s="31" t="n">
        <x:v>3.6982339271000004</x:v>
      </x:c>
      <x:c r="M138" s="31" t="n">
        <x:v>11.8720291149</x:v>
      </x:c>
      <x:c r="N138" s="24" t="str">
        <x:v>thenus orientalis</x:v>
      </x:c>
      <x:c r="O138" s="32" t="n">
        <x:v>2.5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Thenus orientalis</x:v>
      </x:c>
      <x:c r="T138" s="32" t="n">
        <x:f>IF(O138="","",(1/'Metadata'!$B$5)^(O138-1))</x:f>
        <x:v>31.622776601683793</x:v>
      </x:c>
      <x:c r="U138" s="31" t="n">
        <x:f>IF(T138="","",I138*T138)</x:f>
        <x:v>492.37494980661955</x:v>
      </x:c>
    </x:row>
    <x:row r="139" ht="18" customHeight="1">
      <x:c r="A139" s="24" t="str">
        <x:v>EEZ_922</x:v>
      </x:c>
      <x:c r="B139" s="24" t="str">
        <x:v>Iran (Persian Gulf)</x:v>
      </x:c>
      <x:c r="C139" s="24" t="str">
        <x:v>EEZ</x:v>
      </x:c>
      <x:c r="D139" s="30" t="n">
        <x:v>2019</x:v>
      </x:c>
      <x:c r="E139" s="24" t="str">
        <x:v>Sphyrna zygaena</x:v>
      </x:c>
      <x:c r="F139" s="24" t="str">
        <x:v>Smooth hammerhead</x:v>
      </x:c>
      <x:c r="G139" s="24" t="str">
        <x:v>Large sharks (&gt;=90 cm)</x:v>
      </x:c>
      <x:c r="H139" s="24" t="str">
        <x:v>Sharks &amp; rays</x:v>
      </x:c>
      <x:c r="I139" s="31" t="n">
        <x:v>12.1739417382</x:v>
      </x:c>
      <x:c r="J139" s="31" t="n">
        <x:v>12.1739417382</x:v>
      </x:c>
      <x:c r="K139" s="31" t="n">
        <x:v>0</x:v>
      </x:c>
      <x:c r="L139" s="31" t="n">
        <x:v>12.1739417382</x:v>
      </x:c>
      <x:c r="M139" s="31" t="n">
        <x:v>0</x:v>
      </x:c>
      <x:c r="N139" s="24" t="str">
        <x:v>sphyrna zygaena</x:v>
      </x:c>
      <x:c r="O139" s="32" t="n">
        <x:v>4.94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Sphyrna zygaena</x:v>
      </x:c>
      <x:c r="T139" s="32" t="n">
        <x:f>IF(O139="","",(1/'Metadata'!$B$5)^(O139-1))</x:f>
        <x:v>8709.635899560813</x:v>
      </x:c>
      <x:c r="U139" s="31" t="n">
        <x:f>IF(T139="","",I139*T139)</x:f>
        <x:v>106030.60000218848</x:v>
      </x:c>
    </x:row>
    <x:row r="140" ht="18" customHeight="1">
      <x:c r="A140" s="24" t="str">
        <x:v>EEZ_922</x:v>
      </x:c>
      <x:c r="B140" s="24" t="str">
        <x:v>Iran (Persian Gulf)</x:v>
      </x:c>
      <x:c r="C140" s="24" t="str">
        <x:v>EEZ</x:v>
      </x:c>
      <x:c r="D140" s="30" t="n">
        <x:v>2019</x:v>
      </x:c>
      <x:c r="E140" s="24" t="str">
        <x:v>Atule mate</x:v>
      </x:c>
      <x:c r="F140" s="24" t="str">
        <x:v>Yellowtail scad</x:v>
      </x:c>
      <x:c r="G140" s="24" t="str">
        <x:v>Small pelagics (&lt;30 cm)</x:v>
      </x:c>
      <x:c r="H140" s="24" t="str">
        <x:v>Perch-likes</x:v>
      </x:c>
      <x:c r="I140" s="31" t="n">
        <x:v>11.9066716975</x:v>
      </x:c>
      <x:c r="J140" s="31" t="n">
        <x:v>11.9066716975</x:v>
      </x:c>
      <x:c r="K140" s="31" t="n">
        <x:v>0</x:v>
      </x:c>
      <x:c r="L140" s="31" t="n">
        <x:v>2.8280612378</x:v>
      </x:c>
      <x:c r="M140" s="31" t="n">
        <x:v>9.0786104597</x:v>
      </x:c>
      <x:c r="N140" s="24" t="str">
        <x:v>atule mate</x:v>
      </x:c>
      <x:c r="O140" s="32" t="n">
        <x:v>4.22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Atule mate</x:v>
      </x:c>
      <x:c r="T140" s="32" t="n">
        <x:f>IF(O140="","",(1/'Metadata'!$B$5)^(O140-1))</x:f>
        <x:v>1659.5869074375596</x:v>
      </x:c>
      <x:c r="U140" s="31" t="n">
        <x:f>IF(T140="","",I140*T140)</x:f>
        <x:v>19760.156460328344</x:v>
      </x:c>
    </x:row>
    <x:row r="141" ht="18" customHeight="1">
      <x:c r="A141" s="24" t="str">
        <x:v>EEZ_922</x:v>
      </x:c>
      <x:c r="B141" s="24" t="str">
        <x:v>Iran (Persian Gulf)</x:v>
      </x:c>
      <x:c r="C141" s="24" t="str">
        <x:v>EEZ</x:v>
      </x:c>
      <x:c r="D141" s="30" t="n">
        <x:v>2019</x:v>
      </x:c>
      <x:c r="E141" s="24" t="str">
        <x:v>Ephippidae</x:v>
      </x:c>
      <x:c r="F141" s="24" t="str">
        <x:v>Spade-, batfishes, scats</x:v>
      </x:c>
      <x:c r="G141" s="24" t="str">
        <x:v>Medium reef assoc. fish (30 - 89 cm)</x:v>
      </x:c>
      <x:c r="H141" s="24" t="str">
        <x:v>Perch-likes</x:v>
      </x:c>
      <x:c r="I141" s="31" t="n">
        <x:v>7.9683109614</x:v>
      </x:c>
      <x:c r="J141" s="31" t="n">
        <x:v>7.9683109614</x:v>
      </x:c>
      <x:c r="K141" s="31" t="n">
        <x:v>0</x:v>
      </x:c>
      <x:c r="L141" s="31" t="n">
        <x:v>1.8926255979</x:v>
      </x:c>
      <x:c r="M141" s="31" t="n">
        <x:v>6.0756853635</x:v>
      </x:c>
      <x:c r="N141" s="24" t="str">
        <x:v>ephippidae</x:v>
      </x:c>
      <x:c r="O141" s="32" t="n">
        <x:v>3.57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Ephippidae</x:v>
      </x:c>
      <x:c r="T141" s="32" t="n">
        <x:f>IF(O141="","",(1/'Metadata'!$B$5)^(O141-1))</x:f>
        <x:v>371.5352290971724</x:v>
      </x:c>
      <x:c r="U141" s="31" t="n">
        <x:f>IF(T141="","",I141*T141)</x:f>
        <x:v>2960.5082385612595</x:v>
      </x:c>
    </x:row>
    <x:row r="142" ht="18" customHeight="1">
      <x:c r="A142" s="24" t="str">
        <x:v>EEZ_922</x:v>
      </x:c>
      <x:c r="B142" s="24" t="str">
        <x:v>Iran (Persian Gulf)</x:v>
      </x:c>
      <x:c r="C142" s="24" t="str">
        <x:v>EEZ</x:v>
      </x:c>
      <x:c r="D142" s="30" t="n">
        <x:v>2019</x:v>
      </x:c>
      <x:c r="E142" s="24" t="str">
        <x:v>Lutjanus quinquelineatus</x:v>
      </x:c>
      <x:c r="F142" s="24" t="str">
        <x:v>Five-lined snapper</x:v>
      </x:c>
      <x:c r="G142" s="24" t="str">
        <x:v>Medium reef assoc. fish (30 - 89 cm)</x:v>
      </x:c>
      <x:c r="H142" s="24" t="str">
        <x:v>Perch-likes</x:v>
      </x:c>
      <x:c r="I142" s="31" t="n">
        <x:v>7.0093170483</x:v>
      </x:c>
      <x:c r="J142" s="31" t="n">
        <x:v>7.0093170483</x:v>
      </x:c>
      <x:c r="K142" s="31" t="n">
        <x:v>0</x:v>
      </x:c>
      <x:c r="L142" s="31" t="n">
        <x:v>1.7403453779</x:v>
      </x:c>
      <x:c r="M142" s="31" t="n">
        <x:v>5.2689716704</x:v>
      </x:c>
      <x:c r="N142" s="24" t="str">
        <x:v>lutjanus quinquelineatus</x:v>
      </x:c>
      <x:c r="O142" s="32" t="n">
        <x:v>3.68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Lutjanus quinquelineatus</x:v>
      </x:c>
      <x:c r="T142" s="32" t="n">
        <x:f>IF(O142="","",(1/'Metadata'!$B$5)^(O142-1))</x:f>
        <x:v>478.6300923226385</x:v>
      </x:c>
      <x:c r="U142" s="31" t="n">
        <x:f>IF(T142="","",I142*T142)</x:f>
        <x:v>3354.870065946473</x:v>
      </x:c>
    </x:row>
    <x:row r="143" ht="18" customHeight="1">
      <x:c r="A143" s="24" t="str">
        <x:v>EEZ_922</x:v>
      </x:c>
      <x:c r="B143" s="24" t="str">
        <x:v>Iran (Persian Gulf)</x:v>
      </x:c>
      <x:c r="C143" s="24" t="str">
        <x:v>EEZ</x:v>
      </x:c>
      <x:c r="D143" s="30" t="n">
        <x:v>2019</x:v>
      </x:c>
      <x:c r="E143" s="24" t="str">
        <x:v>Sphyrna</x:v>
      </x:c>
      <x:c r="F143" s="24" t="str">
        <x:v>Hammerhead sharks</x:v>
      </x:c>
      <x:c r="G143" s="24" t="str">
        <x:v>Large sharks (&gt;=90 cm)</x:v>
      </x:c>
      <x:c r="H143" s="24" t="str">
        <x:v>Sharks &amp; rays</x:v>
      </x:c>
      <x:c r="I143" s="31" t="n">
        <x:v>6.9213697737</x:v>
      </x:c>
      <x:c r="J143" s="31" t="n">
        <x:v>6.9213697737</x:v>
      </x:c>
      <x:c r="K143" s="31" t="n">
        <x:v>0</x:v>
      </x:c>
      <x:c r="L143" s="31" t="n">
        <x:v>6.9213697737</x:v>
      </x:c>
      <x:c r="M143" s="31" t="n">
        <x:v>0</x:v>
      </x:c>
      <x:c r="N143" s="24" t="str">
        <x:v>sphyrna</x:v>
      </x:c>
      <x:c r="O143" s="32" t="n">
        <x:v>4.2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Sphyrna</x:v>
      </x:c>
      <x:c r="T143" s="32" t="n">
        <x:f>IF(O143="","",(1/'Metadata'!$B$5)^(O143-1))</x:f>
        <x:v>1584.893192461114</x:v>
      </x:c>
      <x:c r="U143" s="31" t="n">
        <x:f>IF(T143="","",I143*T143)</x:f>
        <x:v>10969.631836843251</x:v>
      </x:c>
    </x:row>
    <x:row r="144" ht="18" customHeight="1">
      <x:c r="A144" s="24" t="str">
        <x:v>EEZ_922</x:v>
      </x:c>
      <x:c r="B144" s="24" t="str">
        <x:v>Iran (Persian Gulf)</x:v>
      </x:c>
      <x:c r="C144" s="24" t="str">
        <x:v>EEZ</x:v>
      </x:c>
      <x:c r="D144" s="30" t="n">
        <x:v>2019</x:v>
      </x:c>
      <x:c r="E144" s="24" t="str">
        <x:v>Perciformes</x:v>
      </x:c>
      <x:c r="F144" s="24" t="str">
        <x:v>Perch-likes</x:v>
      </x:c>
      <x:c r="G144" s="24" t="str">
        <x:v>Medium demersals (30 - 89 cm)</x:v>
      </x:c>
      <x:c r="H144" s="24" t="str">
        <x:v>Perch-likes</x:v>
      </x:c>
      <x:c r="I144" s="31" t="n">
        <x:v>6.4112846399</x:v>
      </x:c>
      <x:c r="J144" s="31" t="n">
        <x:v>6.4112846399</x:v>
      </x:c>
      <x:c r="K144" s="31" t="n">
        <x:v>0</x:v>
      </x:c>
      <x:c r="L144" s="31" t="n">
        <x:v>1.5228022043</x:v>
      </x:c>
      <x:c r="M144" s="31" t="n">
        <x:v>4.8884824356</x:v>
      </x:c>
      <x:c r="N144" s="24" t="str">
        <x:v>perciformes</x:v>
      </x:c>
      <x:c r="O144" s="32" t="n">
        <x:v>3.53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Perciformes</x:v>
      </x:c>
      <x:c r="T144" s="32" t="n">
        <x:f>IF(O144="","",(1/'Metadata'!$B$5)^(O144-1))</x:f>
        <x:v>338.84415613920237</x:v>
      </x:c>
      <x:c r="U144" s="31" t="n">
        <x:f>IF(T144="","",I144*T144)</x:f>
        <x:v>2172.4263335751452</x:v>
      </x:c>
    </x:row>
    <x:row r="145" ht="18" customHeight="1">
      <x:c r="A145" s="24" t="str">
        <x:v>EEZ_922</x:v>
      </x:c>
      <x:c r="B145" s="24" t="str">
        <x:v>Iran (Persian Gulf)</x:v>
      </x:c>
      <x:c r="C145" s="24" t="str">
        <x:v>EEZ</x:v>
      </x:c>
      <x:c r="D145" s="30" t="n">
        <x:v>2019</x:v>
      </x:c>
      <x:c r="E145" s="24" t="str">
        <x:v>Aluterus monoceros</x:v>
      </x:c>
      <x:c r="F145" s="24" t="str">
        <x:v>Unicorn leatherjacket filefish</x:v>
      </x:c>
      <x:c r="G145" s="24" t="str">
        <x:v>Medium reef assoc. fish (30 - 89 cm)</x:v>
      </x:c>
      <x:c r="H145" s="24" t="str">
        <x:v>Other fishes &amp; inverts</x:v>
      </x:c>
      <x:c r="I145" s="31" t="n">
        <x:v>6.13277228</x:v>
      </x:c>
      <x:c r="J145" s="31" t="n">
        <x:v>6.13277228</x:v>
      </x:c>
      <x:c r="K145" s="31" t="n">
        <x:v>0</x:v>
      </x:c>
      <x:c r="L145" s="31" t="n">
        <x:v>1.5228022044</x:v>
      </x:c>
      <x:c r="M145" s="31" t="n">
        <x:v>4.6099700756</x:v>
      </x:c>
      <x:c r="N145" s="24" t="str">
        <x:v>aluterus monoceros</x:v>
      </x:c>
      <x:c r="O145" s="32" t="n">
        <x:v>3.84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Aluterus monoceros</x:v>
      </x:c>
      <x:c r="T145" s="32" t="n">
        <x:f>IF(O145="","",(1/'Metadata'!$B$5)^(O145-1))</x:f>
        <x:v>691.8309709189363</x:v>
      </x:c>
      <x:c r="U145" s="31" t="n">
        <x:f>IF(T145="","",I145*T145)</x:f>
        <x:v>4242.8418008971385</x:v>
      </x:c>
    </x:row>
    <x:row r="146" ht="18" customHeight="1">
      <x:c r="A146" s="24" t="str">
        <x:v>EEZ_922</x:v>
      </x:c>
      <x:c r="B146" s="24" t="str">
        <x:v>Iran (Persian Gulf)</x:v>
      </x:c>
      <x:c r="C146" s="24" t="str">
        <x:v>EEZ</x:v>
      </x:c>
      <x:c r="D146" s="30" t="n">
        <x:v>2019</x:v>
      </x:c>
      <x:c r="E146" s="24" t="str">
        <x:v>Carcharhinus</x:v>
      </x:c>
      <x:c r="F146" s="24" t="str">
        <x:v>Sharp-nosed sharks</x:v>
      </x:c>
      <x:c r="G146" s="24" t="str">
        <x:v>Large sharks (&gt;=90 cm)</x:v>
      </x:c>
      <x:c r="H146" s="24" t="str">
        <x:v>Sharks &amp; rays</x:v>
      </x:c>
      <x:c r="I146" s="31" t="n">
        <x:v>5.5626487543000005</x:v>
      </x:c>
      <x:c r="J146" s="31" t="n">
        <x:v>5.5626487543000005</x:v>
      </x:c>
      <x:c r="K146" s="31" t="n">
        <x:v>0</x:v>
      </x:c>
      <x:c r="L146" s="31" t="n">
        <x:v>0</x:v>
      </x:c>
      <x:c r="M146" s="31" t="n">
        <x:v>5.5626487543000005</x:v>
      </x:c>
      <x:c r="N146" s="24" t="str">
        <x:v>carcharhinus</x:v>
      </x:c>
      <x:c r="O146" s="32" t="n">
        <x:v>4.26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Carcharhinus</x:v>
      </x:c>
      <x:c r="T146" s="32" t="n">
        <x:f>IF(O146="","",(1/'Metadata'!$B$5)^(O146-1))</x:f>
        <x:v>1819.7008586099826</x:v>
      </x:c>
      <x:c r="U146" s="31" t="n">
        <x:f>IF(T146="","",I146*T146)</x:f>
        <x:v>10122.35671434546</x:v>
      </x:c>
    </x:row>
    <x:row r="147" ht="18" customHeight="1">
      <x:c r="A147" s="24" t="str">
        <x:v>EEZ_922</x:v>
      </x:c>
      <x:c r="B147" s="24" t="str">
        <x:v>Iran (Persian Gulf)</x:v>
      </x:c>
      <x:c r="C147" s="24" t="str">
        <x:v>EEZ</x:v>
      </x:c>
      <x:c r="D147" s="30" t="n">
        <x:v>2019</x:v>
      </x:c>
      <x:c r="E147" s="24" t="str">
        <x:v>Synanceiidae</x:v>
      </x:c>
      <x:c r="F147" s="24" t="str">
        <x:v>Stonefishes</x:v>
      </x:c>
      <x:c r="G147" s="24" t="str">
        <x:v>Medium demersals (30 - 89 cm)</x:v>
      </x:c>
      <x:c r="H147" s="24" t="str">
        <x:v>Scorpionfishes</x:v>
      </x:c>
      <x:c r="I147" s="31" t="n">
        <x:v>4.5794888921</x:v>
      </x:c>
      <x:c r="J147" s="31" t="n">
        <x:v>4.5794888921</x:v>
      </x:c>
      <x:c r="K147" s="31" t="n">
        <x:v>0</x:v>
      </x:c>
      <x:c r="L147" s="31" t="n">
        <x:v>1.0877158603000001</x:v>
      </x:c>
      <x:c r="M147" s="31" t="n">
        <x:v>3.4917730317999998</x:v>
      </x:c>
      <x:c r="N147" s="24" t="str">
        <x:v>synanceiidae</x:v>
      </x:c>
      <x:c r="O147" s="32" t="n">
        <x:v>4.2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Synanceiidae</x:v>
      </x:c>
      <x:c r="T147" s="32" t="n">
        <x:f>IF(O147="","",(1/'Metadata'!$B$5)^(O147-1))</x:f>
        <x:v>1584.893192461114</x:v>
      </x:c>
      <x:c r="U147" s="31" t="n">
        <x:f>IF(T147="","",I147*T147)</x:f>
        <x:v>7258.000770040579</x:v>
      </x:c>
    </x:row>
    <x:row r="148" ht="18" customHeight="1">
      <x:c r="A148" s="24" t="str">
        <x:v>EEZ_922</x:v>
      </x:c>
      <x:c r="B148" s="24" t="str">
        <x:v>Iran (Persian Gulf)</x:v>
      </x:c>
      <x:c r="C148" s="24" t="str">
        <x:v>EEZ</x:v>
      </x:c>
      <x:c r="D148" s="30" t="n">
        <x:v>2019</x:v>
      </x:c>
      <x:c r="E148" s="24" t="str">
        <x:v>Nemipteridae</x:v>
      </x:c>
      <x:c r="F148" s="24" t="str">
        <x:v>Threadfins, whiptail breams</x:v>
      </x:c>
      <x:c r="G148" s="24" t="str">
        <x:v>Small demersals (&lt;30 cm)</x:v>
      </x:c>
      <x:c r="H148" s="24" t="str">
        <x:v>Perch-likes</x:v>
      </x:c>
      <x:c r="I148" s="31" t="n">
        <x:v>3.4812364555</x:v>
      </x:c>
      <x:c r="J148" s="31" t="n">
        <x:v>3.4812364555</x:v>
      </x:c>
      <x:c r="K148" s="31" t="n">
        <x:v>0</x:v>
      </x:c>
      <x:c r="L148" s="31" t="n">
        <x:v>3.4812364555</x:v>
      </x:c>
      <x:c r="M148" s="31" t="n">
        <x:v>0</x:v>
      </x:c>
      <x:c r="N148" s="24" t="str">
        <x:v>nemipteridae</x:v>
      </x:c>
      <x:c r="O148" s="32" t="n">
        <x:v>3.51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Nemipteridae</x:v>
      </x:c>
      <x:c r="T148" s="32" t="n">
        <x:f>IF(O148="","",(1/'Metadata'!$B$5)^(O148-1))</x:f>
        <x:v>323.5936569296281</x:v>
      </x:c>
      <x:c r="U148" s="31" t="n">
        <x:f>IF(T148="","",I148*T148)</x:f>
        <x:v>1126.5060352719815</x:v>
      </x:c>
    </x:row>
    <x:row r="149" ht="18" customHeight="1">
      <x:c r="A149" s="24" t="str">
        <x:v>EEZ_922</x:v>
      </x:c>
      <x:c r="B149" s="24" t="str">
        <x:v>Iran (Persian Gulf)</x:v>
      </x:c>
      <x:c r="C149" s="24" t="str">
        <x:v>EEZ</x:v>
      </x:c>
      <x:c r="D149" s="30" t="n">
        <x:v>2019</x:v>
      </x:c>
      <x:c r="E149" s="24" t="str">
        <x:v>Chaetodontidae</x:v>
      </x:c>
      <x:c r="F149" s="24" t="str">
        <x:v>Butterflyfishes</x:v>
      </x:c>
      <x:c r="G149" s="24" t="str">
        <x:v>Small reef assoc. fish (&lt;30 cm)</x:v>
      </x:c>
      <x:c r="H149" s="24" t="str">
        <x:v>Perch-likes</x:v>
      </x:c>
      <x:c r="I149" s="31" t="n">
        <x:v>2.7476934523</x:v>
      </x:c>
      <x:c r="J149" s="31" t="n">
        <x:v>2.7476934523</x:v>
      </x:c>
      <x:c r="K149" s="31" t="n">
        <x:v>0</x:v>
      </x:c>
      <x:c r="L149" s="31" t="n">
        <x:v>0.6526295164</x:v>
      </x:c>
      <x:c r="M149" s="31" t="n">
        <x:v>2.0950639359</x:v>
      </x:c>
      <x:c r="N149" s="24" t="str">
        <x:v>chaetodontidae</x:v>
      </x:c>
      <x:c r="O149" s="32" t="n">
        <x:v>3.24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Chaetodontidae</x:v>
      </x:c>
      <x:c r="T149" s="32" t="n">
        <x:f>IF(O149="","",(1/'Metadata'!$B$5)^(O149-1))</x:f>
        <x:v>173.78008287493762</x:v>
      </x:c>
      <x:c r="U149" s="31" t="n">
        <x:f>IF(T149="","",I149*T149)</x:f>
        <x:v>477.4943958556175</x:v>
      </x:c>
    </x:row>
    <x:row r="150" ht="18" customHeight="1">
      <x:c r="A150" s="24" t="str">
        <x:v>EEZ_922</x:v>
      </x:c>
      <x:c r="B150" s="24" t="str">
        <x:v>Iran (Persian Gulf)</x:v>
      </x:c>
      <x:c r="C150" s="24" t="str">
        <x:v>EEZ</x:v>
      </x:c>
      <x:c r="D150" s="30" t="n">
        <x:v>2019</x:v>
      </x:c>
      <x:c r="E150" s="24" t="str">
        <x:v>Scorpaenidae</x:v>
      </x:c>
      <x:c r="F150" s="24" t="str">
        <x:v>Scorpionfishes, rockfishes</x:v>
      </x:c>
      <x:c r="G150" s="24" t="str">
        <x:v>Large reef assoc. fish (&gt;=90 cm)</x:v>
      </x:c>
      <x:c r="H150" s="24" t="str">
        <x:v>Scorpionfishes</x:v>
      </x:c>
      <x:c r="I150" s="31" t="n">
        <x:v>2.7476933831</x:v>
      </x:c>
      <x:c r="J150" s="31" t="n">
        <x:v>2.7476933831</x:v>
      </x:c>
      <x:c r="K150" s="31" t="n">
        <x:v>0</x:v>
      </x:c>
      <x:c r="L150" s="31" t="n">
        <x:v>0.6526295163</x:v>
      </x:c>
      <x:c r="M150" s="31" t="n">
        <x:v>2.0950638668</x:v>
      </x:c>
      <x:c r="N150" s="24" t="str">
        <x:v>scorpaenidae</x:v>
      </x:c>
      <x:c r="O150" s="32" t="n">
        <x:v>3.92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Scorpaenidae</x:v>
      </x:c>
      <x:c r="T150" s="32" t="n">
        <x:f>IF(O150="","",(1/'Metadata'!$B$5)^(O150-1))</x:f>
        <x:v>831.7637711026708</x:v>
      </x:c>
      <x:c r="U150" s="31" t="n">
        <x:f>IF(T150="","",I150*T150)</x:f>
        <x:v>2285.4318101611116</x:v>
      </x:c>
    </x:row>
    <x:row r="151" ht="18" customHeight="1">
      <x:c r="A151" s="24" t="str">
        <x:v>EEZ_922</x:v>
      </x:c>
      <x:c r="B151" s="24" t="str">
        <x:v>Iran (Persian Gulf)</x:v>
      </x:c>
      <x:c r="C151" s="24" t="str">
        <x:v>EEZ</x:v>
      </x:c>
      <x:c r="D151" s="30" t="n">
        <x:v>2019</x:v>
      </x:c>
      <x:c r="E151" s="24" t="str">
        <x:v>Hemiramphus archipelagicus</x:v>
      </x:c>
      <x:c r="F151" s="24" t="str">
        <x:v>Jumping halfbeak</x:v>
      </x:c>
      <x:c r="G151" s="24" t="str">
        <x:v>Medium pelagics (30 - 89 cm)</x:v>
      </x:c>
      <x:c r="H151" s="24" t="str">
        <x:v>Other fishes &amp; inverts</x:v>
      </x:c>
      <x:c r="I151" s="31" t="n">
        <x:v>2.7475305593</x:v>
      </x:c>
      <x:c r="J151" s="31" t="n">
        <x:v>2.7475305593</x:v>
      </x:c>
      <x:c r="K151" s="31" t="n">
        <x:v>0</x:v>
      </x:c>
      <x:c r="L151" s="31" t="n">
        <x:v>0.6526295162</x:v>
      </x:c>
      <x:c r="M151" s="31" t="n">
        <x:v>2.0949010431</x:v>
      </x:c>
      <x:c r="N151" s="24" t="str">
        <x:v>hemiramphus archipelagicus</x:v>
      </x:c>
      <x:c r="O151" s="32" t="n">
        <x:v>3.25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Hemiramphus archipelagicus</x:v>
      </x:c>
      <x:c r="T151" s="32" t="n">
        <x:f>IF(O151="","",(1/'Metadata'!$B$5)^(O151-1))</x:f>
        <x:v>177.82794100389228</x:v>
      </x:c>
      <x:c r="U151" s="31" t="n">
        <x:f>IF(T151="","",I151*T151)</x:f>
        <x:v>488.58770220559154</x:v>
      </x:c>
    </x:row>
    <x:row r="152" ht="18" customHeight="1">
      <x:c r="A152" s="24" t="str">
        <x:v>EEZ_922</x:v>
      </x:c>
      <x:c r="B152" s="24" t="str">
        <x:v>Iran (Persian Gulf)</x:v>
      </x:c>
      <x:c r="C152" s="24" t="str">
        <x:v>EEZ</x:v>
      </x:c>
      <x:c r="D152" s="30" t="n">
        <x:v>2019</x:v>
      </x:c>
      <x:c r="E152" s="24" t="str">
        <x:v>Sardinella sindensis</x:v>
      </x:c>
      <x:c r="F152" s="24" t="str">
        <x:v>Sind sardinella</x:v>
      </x:c>
      <x:c r="G152" s="24" t="str">
        <x:v>Small pelagics (&lt;30 cm)</x:v>
      </x:c>
      <x:c r="H152" s="24" t="str">
        <x:v>Herring-likes</x:v>
      </x:c>
      <x:c r="I152" s="31" t="n">
        <x:v>1.9692441984</x:v>
      </x:c>
      <x:c r="J152" s="31" t="n">
        <x:v>0</x:v>
      </x:c>
      <x:c r="K152" s="31" t="n">
        <x:v>1.9692441984</x:v>
      </x:c>
      <x:c r="L152" s="31" t="n">
        <x:v>0</x:v>
      </x:c>
      <x:c r="M152" s="31" t="n">
        <x:v>1.9692441984</x:v>
      </x:c>
      <x:c r="N152" s="24" t="str">
        <x:v>sardinella sindensis</x:v>
      </x:c>
      <x:c r="O152" s="32" t="n">
        <x:v>2.9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Sardinella sindensis</x:v>
      </x:c>
      <x:c r="T152" s="32" t="n">
        <x:f>IF(O152="","",(1/'Metadata'!$B$5)^(O152-1))</x:f>
        <x:v>79.43282347242814</x:v>
      </x:c>
      <x:c r="U152" s="31" t="n">
        <x:f>IF(T152="","",I152*T152)</x:f>
        <x:v>156.42262678561045</x:v>
      </x:c>
    </x:row>
    <x:row r="153" ht="18" customHeight="1">
      <x:c r="A153" s="24" t="str">
        <x:v>EEZ_922</x:v>
      </x:c>
      <x:c r="B153" s="24" t="str">
        <x:v>Iran (Persian Gulf)</x:v>
      </x:c>
      <x:c r="C153" s="24" t="str">
        <x:v>EEZ</x:v>
      </x:c>
      <x:c r="D153" s="30" t="n">
        <x:v>2019</x:v>
      </x:c>
      <x:c r="E153" s="24" t="str">
        <x:v>Scombridae</x:v>
      </x:c>
      <x:c r="F153" s="24" t="str">
        <x:v>Mackerels, tunas, bonitos</x:v>
      </x:c>
      <x:c r="G153" s="24" t="str">
        <x:v>Medium pelagics (30 - 89 cm)</x:v>
      </x:c>
      <x:c r="H153" s="24" t="str">
        <x:v>Perch-likes</x:v>
      </x:c>
      <x:c r="I153" s="31" t="n">
        <x:v>1.3133495482</x:v>
      </x:c>
      <x:c r="J153" s="31" t="n">
        <x:v>1.3133495482</x:v>
      </x:c>
      <x:c r="K153" s="31" t="n">
        <x:v>0</x:v>
      </x:c>
      <x:c r="L153" s="31" t="n">
        <x:v>1.3133495482</x:v>
      </x:c>
      <x:c r="M153" s="31" t="n">
        <x:v>0</x:v>
      </x:c>
      <x:c r="N153" s="24" t="str">
        <x:v>scombridae</x:v>
      </x:c>
      <x:c r="O153" s="32" t="n">
        <x:v>4.26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Scombridae</x:v>
      </x:c>
      <x:c r="T153" s="32" t="n">
        <x:f>IF(O153="","",(1/'Metadata'!$B$5)^(O153-1))</x:f>
        <x:v>1819.7008586099826</x:v>
      </x:c>
      <x:c r="U153" s="31" t="n">
        <x:f>IF(T153="","",I153*T153)</x:f>
        <x:v>2389.9033005145725</x:v>
      </x:c>
    </x:row>
    <x:row r="154" ht="18" customHeight="1">
      <x:c r="A154" s="24" t="str">
        <x:v>EEZ_922</x:v>
      </x:c>
      <x:c r="B154" s="24" t="str">
        <x:v>Iran (Persian Gulf)</x:v>
      </x:c>
      <x:c r="C154" s="24" t="str">
        <x:v>EEZ</x:v>
      </x:c>
      <x:c r="D154" s="30" t="n">
        <x:v>2019</x:v>
      </x:c>
      <x:c r="E154" s="24" t="str">
        <x:v>Harpadon nehereus</x:v>
      </x:c>
      <x:c r="F154" s="24" t="str">
        <x:v>Bombay-duck</x:v>
      </x:c>
      <x:c r="G154" s="24" t="str">
        <x:v>Medium benthopelagics (30 - 89 cm)</x:v>
      </x:c>
      <x:c r="H154" s="24" t="str">
        <x:v>Other fishes &amp; inverts</x:v>
      </x:c>
      <x:c r="I154" s="31" t="n">
        <x:v>1.2207310492999999</x:v>
      </x:c>
      <x:c r="J154" s="31" t="n">
        <x:v>0</x:v>
      </x:c>
      <x:c r="K154" s="31" t="n">
        <x:v>1.2207310492999999</x:v>
      </x:c>
      <x:c r="L154" s="31" t="n">
        <x:v>0</x:v>
      </x:c>
      <x:c r="M154" s="31" t="n">
        <x:v>1.2207310492999999</x:v>
      </x:c>
      <x:c r="N154" s="24" t="str">
        <x:v>harpadon nehereus</x:v>
      </x:c>
      <x:c r="O154" s="32" t="n">
        <x:v>4.2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Harpadon nehereus</x:v>
      </x:c>
      <x:c r="T154" s="32" t="n">
        <x:f>IF(O154="","",(1/'Metadata'!$B$5)^(O154-1))</x:f>
        <x:v>1584.893192461114</x:v>
      </x:c>
      <x:c r="U154" s="31" t="n">
        <x:f>IF(T154="","",I154*T154)</x:f>
        <x:v>1934.7283298614823</x:v>
      </x:c>
    </x:row>
    <x:row r="155" ht="18" customHeight="1">
      <x:c r="A155" s="24" t="str">
        <x:v>EEZ_922</x:v>
      </x:c>
      <x:c r="B155" s="24" t="str">
        <x:v>Iran (Persian Gulf)</x:v>
      </x:c>
      <x:c r="C155" s="24" t="str">
        <x:v>EEZ</x:v>
      </x:c>
      <x:c r="D155" s="30" t="n">
        <x:v>2019</x:v>
      </x:c>
      <x:c r="E155" s="24" t="str">
        <x:v>Mugil cephalus</x:v>
      </x:c>
      <x:c r="F155" s="24" t="str">
        <x:v>Flathead grey mullet</x:v>
      </x:c>
      <x:c r="G155" s="24" t="str">
        <x:v>Large benthopelagics (&gt;=90 cm)</x:v>
      </x:c>
      <x:c r="H155" s="24" t="str">
        <x:v>Perch-likes</x:v>
      </x:c>
      <x:c r="I155" s="31" t="n">
        <x:v>1.0899746241</x:v>
      </x:c>
      <x:c r="J155" s="31" t="n">
        <x:v>0</x:v>
      </x:c>
      <x:c r="K155" s="31" t="n">
        <x:v>1.0899746241</x:v>
      </x:c>
      <x:c r="L155" s="31" t="n">
        <x:v>0</x:v>
      </x:c>
      <x:c r="M155" s="31" t="n">
        <x:v>1.0899746241</x:v>
      </x:c>
      <x:c r="N155" s="24" t="str">
        <x:v>mugil cephalus</x:v>
      </x:c>
      <x:c r="O155" s="32" t="n">
        <x:v>2.14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Mugil cephalus</x:v>
      </x:c>
      <x:c r="T155" s="32" t="n">
        <x:f>IF(O155="","",(1/'Metadata'!$B$5)^(O155-1))</x:f>
        <x:v>13.803842646028853</x:v>
      </x:c>
      <x:c r="U155" s="31" t="n">
        <x:f>IF(T155="","",I155*T155)</x:f>
        <x:v>15.045838199240848</x:v>
      </x:c>
    </x:row>
    <x:row r="156" ht="18" customHeight="1">
      <x:c r="A156" s="24" t="str">
        <x:v>EEZ_922</x:v>
      </x:c>
      <x:c r="B156" s="24" t="str">
        <x:v>Iran (Persian Gulf)</x:v>
      </x:c>
      <x:c r="C156" s="24" t="str">
        <x:v>EEZ</x:v>
      </x:c>
      <x:c r="D156" s="30" t="n">
        <x:v>2019</x:v>
      </x:c>
      <x:c r="E156" s="24" t="str">
        <x:v>Scomberoides</x:v>
      </x:c>
      <x:c r="F156" s="24" t="str">
        <x:v>Queenfishes</x:v>
      </x:c>
      <x:c r="G156" s="24" t="str">
        <x:v>Medium pelagics (30 - 89 cm)</x:v>
      </x:c>
      <x:c r="H156" s="24" t="str">
        <x:v>Perch-likes</x:v>
      </x:c>
      <x:c r="I156" s="31" t="n">
        <x:v>0.9738405578999999</x:v>
      </x:c>
      <x:c r="J156" s="31" t="n">
        <x:v>0.9738405578999999</x:v>
      </x:c>
      <x:c r="K156" s="31" t="n">
        <x:v>0</x:v>
      </x:c>
      <x:c r="L156" s="31" t="n">
        <x:v>0.9738405578999999</x:v>
      </x:c>
      <x:c r="M156" s="31" t="n">
        <x:v>0</x:v>
      </x:c>
      <x:c r="N156" s="24" t="str">
        <x:v>scomberoides</x:v>
      </x:c>
      <x:c r="O156" s="32" t="n">
        <x:v>4.47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Scomberoides</x:v>
      </x:c>
      <x:c r="T156" s="32" t="n">
        <x:f>IF(O156="","",(1/'Metadata'!$B$5)^(O156-1))</x:f>
        <x:v>2951.209226666384</x:v>
      </x:c>
      <x:c r="U156" s="31" t="n">
        <x:f>IF(T156="","",I156*T156)</x:f>
        <x:v>2874.007239776419</x:v>
      </x:c>
    </x:row>
    <x:row r="157" ht="18" customHeight="1">
      <x:c r="A157" s="24" t="str">
        <x:v>EEZ_922</x:v>
      </x:c>
      <x:c r="B157" s="24" t="str">
        <x:v>Iran (Persian Gulf)</x:v>
      </x:c>
      <x:c r="C157" s="24" t="str">
        <x:v>EEZ</x:v>
      </x:c>
      <x:c r="D157" s="30" t="n">
        <x:v>2019</x:v>
      </x:c>
      <x:c r="E157" s="24" t="str">
        <x:v>Upeneus vittatus</x:v>
      </x:c>
      <x:c r="F157" s="24" t="str">
        <x:v>Yellowstriped goatfish</x:v>
      </x:c>
      <x:c r="G157" s="24" t="str">
        <x:v>Small reef assoc. fish (&lt;30 cm)</x:v>
      </x:c>
      <x:c r="H157" s="24" t="str">
        <x:v>Perch-likes</x:v>
      </x:c>
      <x:c r="I157" s="31" t="n">
        <x:v>0.7742689591</x:v>
      </x:c>
      <x:c r="J157" s="31" t="n">
        <x:v>0</x:v>
      </x:c>
      <x:c r="K157" s="31" t="n">
        <x:v>0.7742689591</x:v>
      </x:c>
      <x:c r="L157" s="31" t="n">
        <x:v>0</x:v>
      </x:c>
      <x:c r="M157" s="31" t="n">
        <x:v>0.7742689591</x:v>
      </x:c>
      <x:c r="N157" s="24" t="str">
        <x:v>upeneus vittatus</x:v>
      </x:c>
      <x:c r="O157" s="32" t="n">
        <x:v>3.62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Upeneus vittatus</x:v>
      </x:c>
      <x:c r="T157" s="32" t="n">
        <x:f>IF(O157="","",(1/'Metadata'!$B$5)^(O157-1))</x:f>
        <x:v>416.8693834703355</x:v>
      </x:c>
      <x:c r="U157" s="31" t="n">
        <x:f>IF(T157="","",I157*T157)</x:f>
        <x:v>322.76902362023543</x:v>
      </x:c>
    </x:row>
    <x:row r="158" ht="18" customHeight="1">
      <x:c r="A158" s="24" t="str">
        <x:v>EEZ_922</x:v>
      </x:c>
      <x:c r="B158" s="24" t="str">
        <x:v>Iran (Persian Gulf)</x:v>
      </x:c>
      <x:c r="C158" s="24" t="str">
        <x:v>EEZ</x:v>
      </x:c>
      <x:c r="D158" s="30" t="n">
        <x:v>2019</x:v>
      </x:c>
      <x:c r="E158" s="24" t="str">
        <x:v>Lutjanus</x:v>
      </x:c>
      <x:c r="F158" s="24" t="str">
        <x:v>Snappers</x:v>
      </x:c>
      <x:c r="G158" s="24" t="str">
        <x:v>Medium reef assoc. fish (30 - 89 cm)</x:v>
      </x:c>
      <x:c r="H158" s="24" t="str">
        <x:v>Perch-likes</x:v>
      </x:c>
      <x:c r="I158" s="31" t="n">
        <x:v>0.317865643</x:v>
      </x:c>
      <x:c r="J158" s="31" t="n">
        <x:v>0.317865643</x:v>
      </x:c>
      <x:c r="K158" s="31" t="n">
        <x:v>0</x:v>
      </x:c>
      <x:c r="L158" s="31" t="n">
        <x:v>0</x:v>
      </x:c>
      <x:c r="M158" s="31" t="n">
        <x:v>0.317865643</x:v>
      </x:c>
      <x:c r="N158" s="24" t="str">
        <x:v>lutjanus</x:v>
      </x:c>
      <x:c r="O158" s="32" t="n">
        <x:v>4.02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Lutjanus</x:v>
      </x:c>
      <x:c r="T158" s="32" t="n">
        <x:f>IF(O158="","",(1/'Metadata'!$B$5)^(O158-1))</x:f>
        <x:v>1047.1285480508984</x:v>
      </x:c>
      <x:c r="U158" s="31" t="n">
        <x:f>IF(T158="","",I158*T158)</x:f>
        <x:v>332.8461892298552</x:v>
      </x:c>
    </x:row>
    <x:row r="159" ht="18" customHeight="1">
      <x:c r="A159" s="24" t="str">
        <x:v>EEZ_922</x:v>
      </x:c>
      <x:c r="B159" s="24" t="str">
        <x:v>Iran (Persian Gulf)</x:v>
      </x:c>
      <x:c r="C159" s="24" t="str">
        <x:v>EEZ</x:v>
      </x:c>
      <x:c r="D159" s="30" t="n">
        <x:v>2019</x:v>
      </x:c>
      <x:c r="E159" s="24" t="str">
        <x:v>Monacanthidae</x:v>
      </x:c>
      <x:c r="F159" s="24" t="str">
        <x:v>Filefishes</x:v>
      </x:c>
      <x:c r="G159" s="24" t="str">
        <x:v>Medium reef assoc. fish (30 - 89 cm)</x:v>
      </x:c>
      <x:c r="H159" s="24" t="str">
        <x:v>Other fishes &amp; inverts</x:v>
      </x:c>
      <x:c r="I159" s="31" t="n">
        <x:v>0.2781324377</x:v>
      </x:c>
      <x:c r="J159" s="31" t="n">
        <x:v>0.2781324377</x:v>
      </x:c>
      <x:c r="K159" s="31" t="n">
        <x:v>0</x:v>
      </x:c>
      <x:c r="L159" s="31" t="n">
        <x:v>0</x:v>
      </x:c>
      <x:c r="M159" s="31" t="n">
        <x:v>0.2781324377</x:v>
      </x:c>
      <x:c r="N159" s="24" t="str">
        <x:v>monacanthidae</x:v>
      </x:c>
      <x:c r="O159" s="32" t="n">
        <x:v>3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Monacanthidae</x:v>
      </x:c>
      <x:c r="T159" s="32" t="n">
        <x:f>IF(O159="","",(1/'Metadata'!$B$5)^(O159-1))</x:f>
        <x:v>100</x:v>
      </x:c>
      <x:c r="U159" s="31" t="n">
        <x:f>IF(T159="","",I159*T159)</x:f>
        <x:v>27.81324377</x:v>
      </x:c>
    </x:row>
    <x:row r="160" ht="18" customHeight="1">
      <x:c r="A160" s="24" t="str">
        <x:v>EEZ_922</x:v>
      </x:c>
      <x:c r="B160" s="24" t="str">
        <x:v>Iran (Persian Gulf)</x:v>
      </x:c>
      <x:c r="C160" s="24" t="str">
        <x:v>EEZ</x:v>
      </x:c>
      <x:c r="D160" s="30" t="n">
        <x:v>2019</x:v>
      </x:c>
      <x:c r="E160" s="24" t="str">
        <x:v>Scomberomorus</x:v>
      </x:c>
      <x:c r="F160" s="24" t="str">
        <x:v>Spanish mackerels</x:v>
      </x:c>
      <x:c r="G160" s="24" t="str">
        <x:v>Large pelagics (&gt;=90 cm)</x:v>
      </x:c>
      <x:c r="H160" s="24" t="str">
        <x:v>Perch-likes</x:v>
      </x:c>
      <x:c r="I160" s="31" t="n">
        <x:v>0.2429537071</x:v>
      </x:c>
      <x:c r="J160" s="31" t="n">
        <x:v>0.2429537071</x:v>
      </x:c>
      <x:c r="K160" s="31" t="n">
        <x:v>0</x:v>
      </x:c>
      <x:c r="L160" s="31" t="n">
        <x:v>0.2429537071</x:v>
      </x:c>
      <x:c r="M160" s="31" t="n">
        <x:v>0</x:v>
      </x:c>
      <x:c r="N160" s="24" t="str">
        <x:v>scomberomorus</x:v>
      </x:c>
      <x:c r="O160" s="32" t="n">
        <x:v>4.35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Scomberomorus</x:v>
      </x:c>
      <x:c r="T160" s="32" t="n">
        <x:f>IF(O160="","",(1/'Metadata'!$B$5)^(O160-1))</x:f>
        <x:v>2238.7211385683377</x:v>
      </x:c>
      <x:c r="U160" s="31" t="n">
        <x:f>IF(T160="","",I160*T160)</x:f>
        <x:v>543.9055997783104</x:v>
      </x:c>
    </x:row>
    <x:row r="161" ht="18" customHeight="1">
      <x:c r="A161" s="24" t="str">
        <x:v>EEZ_922</x:v>
      </x:c>
      <x:c r="B161" s="24" t="str">
        <x:v>Iran (Persian Gulf)</x:v>
      </x:c>
      <x:c r="C161" s="24" t="str">
        <x:v>EEZ</x:v>
      </x:c>
      <x:c r="D161" s="30" t="n">
        <x:v>2019</x:v>
      </x:c>
      <x:c r="E161" s="24" t="str">
        <x:v>Mugilidae</x:v>
      </x:c>
      <x:c r="F161" s="24" t="str">
        <x:v>Mullets, grey mullets</x:v>
      </x:c>
      <x:c r="G161" s="24" t="str">
        <x:v>Medium reef assoc. fish (30 - 89 cm)</x:v>
      </x:c>
      <x:c r="H161" s="24" t="str">
        <x:v>Perch-likes</x:v>
      </x:c>
      <x:c r="I161" s="31" t="n">
        <x:v>0.2284980062</x:v>
      </x:c>
      <x:c r="J161" s="31" t="n">
        <x:v>0</x:v>
      </x:c>
      <x:c r="K161" s="31" t="n">
        <x:v>0.2284980062</x:v>
      </x:c>
      <x:c r="L161" s="31" t="n">
        <x:v>0</x:v>
      </x:c>
      <x:c r="M161" s="31" t="n">
        <x:v>0.2284980062</x:v>
      </x:c>
      <x:c r="N161" s="24" t="str">
        <x:v>mugilidae</x:v>
      </x:c>
      <x:c r="O161" s="32" t="n">
        <x:v>2.53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Mugilidae</x:v>
      </x:c>
      <x:c r="T161" s="32" t="n">
        <x:f>IF(O161="","",(1/'Metadata'!$B$5)^(O161-1))</x:f>
        <x:v>33.88441561392024</x:v>
      </x:c>
      <x:c r="U161" s="31" t="n">
        <x:f>IF(T161="","",I161*T161)</x:f>
        <x:v>7.742521409032923</x:v>
      </x:c>
    </x:row>
    <x:row r="162" ht="18" customHeight="1">
      <x:c r="A162" s="24" t="str">
        <x:v>EEZ_922</x:v>
      </x:c>
      <x:c r="B162" s="24" t="str">
        <x:v>Iran (Persian Gulf)</x:v>
      </x:c>
      <x:c r="C162" s="24" t="str">
        <x:v>EEZ</x:v>
      </x:c>
      <x:c r="D162" s="30" t="n">
        <x:v>2019</x:v>
      </x:c>
      <x:c r="E162" s="24" t="str">
        <x:v>Scomberoides lysan</x:v>
      </x:c>
      <x:c r="F162" s="24" t="str">
        <x:v>Doublespotted queenfish</x:v>
      </x:c>
      <x:c r="G162" s="24" t="str">
        <x:v>Medium reef assoc. fish (30 - 89 cm)</x:v>
      </x:c>
      <x:c r="H162" s="24" t="str">
        <x:v>Perch-likes</x:v>
      </x:c>
      <x:c r="I162" s="31" t="n">
        <x:v>0.1053650361</x:v>
      </x:c>
      <x:c r="J162" s="31" t="n">
        <x:v>0</x:v>
      </x:c>
      <x:c r="K162" s="31" t="n">
        <x:v>0.1053650361</x:v>
      </x:c>
      <x:c r="L162" s="31" t="n">
        <x:v>0</x:v>
      </x:c>
      <x:c r="M162" s="31" t="n">
        <x:v>0.1053650361</x:v>
      </x:c>
      <x:c r="N162" s="24" t="str">
        <x:v>scomberoides lysan</x:v>
      </x:c>
      <x:c r="O162" s="32" t="n">
        <x:v>4.38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Scomberoides lysan</x:v>
      </x:c>
      <x:c r="T162" s="32" t="n">
        <x:f>IF(O162="","",(1/'Metadata'!$B$5)^(O162-1))</x:f>
        <x:v>2398.83291901949</x:v>
      </x:c>
      <x:c r="U162" s="31" t="n">
        <x:f>IF(T162="","",I162*T162)</x:f>
        <x:v>252.75311711035695</x:v>
      </x:c>
    </x:row>
    <x:row r="163" ht="18" customHeight="1">
      <x:c r="A163" s="24" t="str">
        <x:v>EEZ_922</x:v>
      </x:c>
      <x:c r="B163" s="24" t="str">
        <x:v>Iran (Persian Gulf)</x:v>
      </x:c>
      <x:c r="C163" s="24" t="str">
        <x:v>EEZ</x:v>
      </x:c>
      <x:c r="D163" s="30" t="n">
        <x:v>2019</x:v>
      </x:c>
      <x:c r="E163" s="24" t="str">
        <x:v>Leiognathidae</x:v>
      </x:c>
      <x:c r="F163" s="24" t="str">
        <x:v>Slipmouths, ponyfishes</x:v>
      </x:c>
      <x:c r="G163" s="24" t="str">
        <x:v>Small benthopelagics (&lt;30 cm)</x:v>
      </x:c>
      <x:c r="H163" s="24" t="str">
        <x:v>Perch-likes</x:v>
      </x:c>
      <x:c r="I163" s="31" t="n">
        <x:v>0.015386187999999999</x:v>
      </x:c>
      <x:c r="J163" s="31" t="n">
        <x:v>0</x:v>
      </x:c>
      <x:c r="K163" s="31" t="n">
        <x:v>0.015386187999999999</x:v>
      </x:c>
      <x:c r="L163" s="31" t="n">
        <x:v>0</x:v>
      </x:c>
      <x:c r="M163" s="31" t="n">
        <x:v>0.015386187999999999</x:v>
      </x:c>
      <x:c r="N163" s="24" t="str">
        <x:v>leiognathidae</x:v>
      </x:c>
      <x:c r="O163" s="32" t="n">
        <x:v>3.24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Leiognathidae</x:v>
      </x:c>
      <x:c r="T163" s="32" t="n">
        <x:f>IF(O163="","",(1/'Metadata'!$B$5)^(O163-1))</x:f>
        <x:v>173.78008287493762</x:v>
      </x:c>
      <x:c r="U163" s="31" t="n">
        <x:f>IF(T163="","",I163*T163)</x:f>
        <x:v>2.6738130257693706</x:v>
      </x:c>
    </x:row>
    <x:row r="164" ht="18" customHeight="1">
      <x:c r="A164" s="24" t="str">
        <x:v>EEZ_922</x:v>
      </x:c>
      <x:c r="B164" s="24" t="str">
        <x:v>Iran (Persian Gulf)</x:v>
      </x:c>
      <x:c r="C164" s="24" t="str">
        <x:v>EEZ</x:v>
      </x:c>
      <x:c r="D164" s="30" t="n">
        <x:v>2019</x:v>
      </x:c>
      <x:c r="E164" s="24" t="str">
        <x:v>Prionace glauca</x:v>
      </x:c>
      <x:c r="F164" s="24" t="str">
        <x:v>Blue shark</x:v>
      </x:c>
      <x:c r="G164" s="24" t="str">
        <x:v>Large sharks (&gt;=90 cm)</x:v>
      </x:c>
      <x:c r="H164" s="24" t="str">
        <x:v>Sharks &amp; rays</x:v>
      </x:c>
      <x:c r="I164" s="31" t="n">
        <x:v>0.0005949585000000001</x:v>
      </x:c>
      <x:c r="J164" s="31" t="n">
        <x:v>0.0005949585000000001</x:v>
      </x:c>
      <x:c r="K164" s="31" t="n">
        <x:v>0</x:v>
      </x:c>
      <x:c r="L164" s="31" t="n">
        <x:v>0.0005949585000000001</x:v>
      </x:c>
      <x:c r="M164" s="31" t="n">
        <x:v>0</x:v>
      </x:c>
      <x:c r="N164" s="24" t="str">
        <x:v>prionace glauca</x:v>
      </x:c>
      <x:c r="O164" s="32" t="n">
        <x:v>4.35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Prionace glauca</x:v>
      </x:c>
      <x:c r="T164" s="32" t="n">
        <x:f>IF(O164="","",(1/'Metadata'!$B$5)^(O164-1))</x:f>
        <x:v>2238.7211385683377</x:v>
      </x:c>
      <x:c r="U164" s="31" t="n">
        <x:f>IF(T164="","",I164*T164)</x:f>
        <x:v>1.3319461705209106</x:v>
      </x:c>
    </x:row>
    <x:row r="165" ht="18" customHeight="1">
      <x:c r="A165" s="24" t="str">
        <x:v>EEZ_922</x:v>
      </x:c>
      <x:c r="B165" s="24" t="str">
        <x:v>Iran (Persian Gulf)</x:v>
      </x:c>
      <x:c r="C165" s="24" t="str">
        <x:v>EEZ</x:v>
      </x:c>
      <x:c r="D165" s="30" t="n">
        <x:v>2019</x:v>
      </x:c>
      <x:c r="E165" s="24" t="str">
        <x:v>Carcharhinidae</x:v>
      </x:c>
      <x:c r="F165" s="24" t="str">
        <x:v>Requiem sharks</x:v>
      </x:c>
      <x:c r="G165" s="24" t="str">
        <x:v>Large sharks (&gt;=90 cm)</x:v>
      </x:c>
      <x:c r="H165" s="24" t="str">
        <x:v>Sharks &amp; rays</x:v>
      </x:c>
      <x:c r="I165" s="31" t="n">
        <x:v>0.0000287069</x:v>
      </x:c>
      <x:c r="J165" s="31" t="n">
        <x:v>0.0000287069</x:v>
      </x:c>
      <x:c r="K165" s="31" t="n">
        <x:v>0</x:v>
      </x:c>
      <x:c r="L165" s="31" t="n">
        <x:v>0.0000287069</x:v>
      </x:c>
      <x:c r="M165" s="31" t="n">
        <x:v>0</x:v>
      </x:c>
      <x:c r="N165" s="24" t="str">
        <x:v>carcharhinidae</x:v>
      </x:c>
      <x:c r="O165" s="32" t="n">
        <x:v>4.24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Carcharhinidae</x:v>
      </x:c>
      <x:c r="T165" s="32" t="n">
        <x:f>IF(O165="","",(1/'Metadata'!$B$5)^(O165-1))</x:f>
        <x:v>1737.8008287493763</x:v>
      </x:c>
      <x:c r="U165" s="31" t="n">
        <x:f>IF(T165="","",I165*T165)</x:f>
        <x:v>0.04988687461082547</x:v>
      </x:c>
    </x:row>
    <x:row r="166" ht="18" customHeight="1">
      <x:c r="A166" s="24" t="str">
        <x:v>EEZ_922</x:v>
      </x:c>
      <x:c r="B166" s="24" t="str">
        <x:v>Iran (Persian Gulf)</x:v>
      </x:c>
      <x:c r="C166" s="24" t="str">
        <x:v>EEZ</x:v>
      </x:c>
      <x:c r="D166" s="30" t="n">
        <x:v>2019</x:v>
      </x:c>
      <x:c r="E166" s="24" t="str">
        <x:v>Glaucostegus granulatus</x:v>
      </x:c>
      <x:c r="F166" s="24" t="str">
        <x:v>Granulated guitarfish</x:v>
      </x:c>
      <x:c r="G166" s="24" t="str">
        <x:v>Large rays (&gt;=90 cm)</x:v>
      </x:c>
      <x:c r="H166" s="24" t="str">
        <x:v>Sharks &amp; rays</x:v>
      </x:c>
      <x:c r="I166" s="31" t="n">
        <x:v>0.000023031700000000002</x:v>
      </x:c>
      <x:c r="J166" s="31" t="n">
        <x:v>0</x:v>
      </x:c>
      <x:c r="K166" s="31" t="n">
        <x:v>0.000023031700000000002</x:v>
      </x:c>
      <x:c r="L166" s="31" t="n">
        <x:v>0</x:v>
      </x:c>
      <x:c r="M166" s="31" t="n">
        <x:v>0.000023031700000000002</x:v>
      </x:c>
      <x:c r="N166" s="24" t="str">
        <x:v>glaucostegus granulatus</x:v>
      </x:c>
      <x:c r="O166" s="32" t="n">
        <x:v>3.5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Glaucostegus granulatus</x:v>
      </x:c>
      <x:c r="T166" s="32" t="n">
        <x:f>IF(O166="","",(1/'Metadata'!$B$5)^(O166-1))</x:f>
        <x:v>316.22776601683796</x:v>
      </x:c>
      <x:c r="U166" s="31" t="n">
        <x:f>IF(T166="","",I166*T166)</x:f>
        <x:v>0.007283263038570007</x:v>
      </x:c>
    </x:row>
  </x:sheetData>
  <x:conditionalFormatting sqref="R2:R1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895036cba26465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77.0436435597</x:v>
      </x:c>
      <x:c r="E2" s="31" t="n">
        <x:v>77.0436435597</x:v>
      </x:c>
      <x:c r="F2" s="32" t="n">
        <x:v>0</x:v>
      </x:c>
      <x:c r="G2" s="34" t="n">
        <x:v>1</x:v>
      </x:c>
      <x:c r="H2" s="32" t="n">
        <x:f>IF(E2=0,"",I2/E2)</x:f>
        <x:v>218.77616239495518</x:v>
      </x:c>
      <x:c r="I2" s="31" t="n">
        <x:f>IF(C2=0,"",SUMIF('Species'!$H$2:$H$166,A2,'Species'!$U$2:$U$166))</x:f>
        <x:v>16855.31267491597</x:v>
      </x:c>
      <x:c r="J2" s="32" t="n">
        <x:v>3.34</x:v>
      </x:c>
      <x:c r="K2" s="32" t="n">
        <x:f>IF(J2="","",(1/'Metadata'!$B$5)^(J2-1))</x:f>
        <x:v>218.77616239495518</x:v>
      </x:c>
      <x:c r="L2" s="31" t="n">
        <x:f>IF(E2=0,"",E2*K2)</x:f>
        <x:v>16855.31267491597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Crustaceans</x:v>
      </x:c>
      <x:c r="B3" s="33" t="n">
        <x:v>9</x:v>
      </x:c>
      <x:c r="C3" s="33" t="n">
        <x:v>9</x:v>
      </x:c>
      <x:c r="D3" s="31" t="n">
        <x:v>27794.051142750795</x:v>
      </x:c>
      <x:c r="E3" s="31" t="n">
        <x:v>27794.051142750795</x:v>
      </x:c>
      <x:c r="F3" s="32" t="n">
        <x:v>0</x:v>
      </x:c>
      <x:c r="G3" s="34" t="n">
        <x:v>1</x:v>
      </x:c>
      <x:c r="H3" s="32" t="n">
        <x:f>IF(E3=0,"",I3/E3)</x:f>
        <x:v>106.18604310413055</x:v>
      </x:c>
      <x:c r="I3" s="31" t="n">
        <x:f>IF(C3=0,"",SUMIF('Species'!$H$2:$H$166,A3,'Species'!$U$2:$U$166))</x:f>
        <x:v>2951340.312682545</x:v>
      </x:c>
      <x:c r="J3" s="32" t="n">
        <x:v>2.682249615961809</x:v>
      </x:c>
      <x:c r="K3" s="32" t="n">
        <x:f>IF(J3="","",(1/'Metadata'!$B$5)^(J3-1))</x:f>
        <x:v>48.11157960699631</x:v>
      </x:c>
      <x:c r="L3" s="31" t="n">
        <x:f>IF(E3=0,"",E3*K3)</x:f>
        <x:v>1337215.7041553815</x:v>
      </x:c>
      <x:c r="M3" s="31" t="n">
        <x:f>IF(E3=0,"",I3-L3)</x:f>
        <x:v>1614124.6085271633</x:v>
      </x:c>
      <x:c r="N3" s="32" t="n">
        <x:f>IF(L3=0,"",I3/L3)</x:f>
        <x:v>2.2070787110196886</x:v>
      </x:c>
      <x:c r="O3" s="34" t="n">
        <x:f>IF(L3=0,"",M3/L3)</x:f>
        <x:v>1.2070787110196886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5671.5279802039</x:v>
      </x:c>
      <x:c r="E4" s="31" t="n">
        <x:v>5671.5279802039</x:v>
      </x:c>
      <x:c r="F4" s="32" t="n">
        <x:v>0</x:v>
      </x:c>
      <x:c r="G4" s="34" t="n">
        <x:v>1</x:v>
      </x:c>
      <x:c r="H4" s="32" t="n">
        <x:f>IF(E4=0,"",I4/E4)</x:f>
        <x:v>2201.768940655709</x:v>
      </x:c>
      <x:c r="I4" s="31" t="n">
        <x:f>IF(C4=0,"",SUMIF('Species'!$H$2:$H$166,A4,'Species'!$U$2:$U$166))</x:f>
        <x:v>12487394.152872754</x:v>
      </x:c>
      <x:c r="J4" s="32" t="n">
        <x:v>4.254425481723802</x:v>
      </x:c>
      <x:c r="K4" s="32" t="n">
        <x:f>IF(J4="","",(1/'Metadata'!$B$5)^(J4-1))</x:f>
        <x:v>1796.492803098196</x:v>
      </x:c>
      <x:c r="L4" s="31" t="n">
        <x:f>IF(E4=0,"",E4*K4)</x:f>
        <x:v>10188859.199006354</x:v>
      </x:c>
      <x:c r="M4" s="31" t="n">
        <x:f>IF(E4=0,"",I4-L4)</x:f>
        <x:v>2298534.9538664</x:v>
      </x:c>
      <x:c r="N4" s="32" t="n">
        <x:f>IF(L4=0,"",I4/L4)</x:f>
        <x:v>1.2255929647247024</x:v>
      </x:c>
      <x:c r="O4" s="34" t="n">
        <x:f>IF(L4=0,"",M4/L4)</x:f>
        <x:v>0.2255929647247024</x:v>
      </x:c>
    </x:row>
    <x:row r="5" ht="18" customHeight="1">
      <x:c r="A5" s="24" t="str">
        <x:v>Herring-likes</x:v>
      </x:c>
      <x:c r="B5" s="33" t="n">
        <x:v>9</x:v>
      </x:c>
      <x:c r="C5" s="33" t="n">
        <x:v>9</x:v>
      </x:c>
      <x:c r="D5" s="31" t="n">
        <x:v>12114.160902840598</x:v>
      </x:c>
      <x:c r="E5" s="31" t="n">
        <x:v>12114.160902840598</x:v>
      </x:c>
      <x:c r="F5" s="32" t="n">
        <x:v>0</x:v>
      </x:c>
      <x:c r="G5" s="34" t="n">
        <x:v>1</x:v>
      </x:c>
      <x:c r="H5" s="32" t="n">
        <x:f>IF(E5=0,"",I5/E5)</x:f>
        <x:v>727.7320886293899</x:v>
      </x:c>
      <x:c r="I5" s="31" t="n">
        <x:f>IF(C5=0,"",SUMIF('Species'!$H$2:$H$166,A5,'Species'!$U$2:$U$166))</x:f>
        <x:v>8815863.615816684</x:v>
      </x:c>
      <x:c r="J5" s="32" t="n">
        <x:v>3.4652402205722534</x:v>
      </x:c>
      <x:c r="K5" s="32" t="n">
        <x:f>IF(J5="","",(1/'Metadata'!$B$5)^(J5-1))</x:f>
        <x:v>291.9041171848226</x:v>
      </x:c>
      <x:c r="L5" s="31" t="n">
        <x:f>IF(E5=0,"",E5*K5)</x:f>
        <x:v>3536173.4437785787</x:v>
      </x:c>
      <x:c r="M5" s="31" t="n">
        <x:f>IF(E5=0,"",I5-L5)</x:f>
        <x:v>5279690.172038106</x:v>
      </x:c>
      <x:c r="N5" s="32" t="n">
        <x:f>IF(L5=0,"",I5/L5)</x:f>
        <x:v>2.4930518132041883</x:v>
      </x:c>
      <x:c r="O5" s="34" t="n">
        <x:f>IF(L5=0,"",M5/L5)</x:f>
        <x:v>1.4930518132041886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128.2256915456</x:v>
      </x:c>
      <x:c r="E6" s="31" t="n">
        <x:v>128.2256915456</x:v>
      </x:c>
      <x:c r="F6" s="32" t="n">
        <x:v>0</x:v>
      </x:c>
      <x:c r="G6" s="34" t="n">
        <x:v>1</x:v>
      </x:c>
      <x:c r="H6" s="32" t="n">
        <x:f>IF(E6=0,"",I6/E6)</x:f>
        <x:v>114.81536214968828</x:v>
      </x:c>
      <x:c r="I6" s="31" t="n">
        <x:f>IF(C6=0,"",SUMIF('Species'!$H$2:$H$166,A6,'Species'!$U$2:$U$166))</x:f>
        <x:v>14722.279211702287</x:v>
      </x:c>
      <x:c r="J6" s="32" t="n">
        <x:v>3.06</x:v>
      </x:c>
      <x:c r="K6" s="32" t="n">
        <x:f>IF(J6="","",(1/'Metadata'!$B$5)^(J6-1))</x:f>
        <x:v>114.81536214968828</x:v>
      </x:c>
      <x:c r="L6" s="31" t="n">
        <x:f>IF(E6=0,"",E6*K6)</x:f>
        <x:v>14722.279211702287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24</x:v>
      </x:c>
      <x:c r="C7" s="33" t="n">
        <x:v>24</x:v>
      </x:c>
      <x:c r="D7" s="31" t="n">
        <x:v>157631.4406607495</x:v>
      </x:c>
      <x:c r="E7" s="31" t="n">
        <x:v>157631.4406607495</x:v>
      </x:c>
      <x:c r="F7" s="32" t="n">
        <x:v>0</x:v>
      </x:c>
      <x:c r="G7" s="34" t="n">
        <x:v>1</x:v>
      </x:c>
      <x:c r="H7" s="32" t="n">
        <x:f>IF(E7=0,"",I7/E7)</x:f>
        <x:v>294.32370999533464</x:v>
      </x:c>
      <x:c r="I7" s="31" t="n">
        <x:f>IF(C7=0,"",SUMIF('Species'!$H$2:$H$166,A7,'Species'!$U$2:$U$166))</x:f>
        <x:v>46394670.42718124</x:v>
      </x:c>
      <x:c r="J7" s="32" t="n">
        <x:v>3.3446012404222674</x:v>
      </x:c>
      <x:c r="K7" s="32" t="n">
        <x:f>IF(J7="","",(1/'Metadata'!$B$5)^(J7-1))</x:f>
        <x:v>221.10636276325175</x:v>
      </x:c>
      <x:c r="L7" s="31" t="n">
        <x:f>IF(E7=0,"",E7*K7)</x:f>
        <x:v>34853314.50162967</x:v>
      </x:c>
      <x:c r="M7" s="31" t="n">
        <x:f>IF(E7=0,"",I7-L7)</x:f>
        <x:v>11541355.925551564</x:v>
      </x:c>
      <x:c r="N7" s="32" t="n">
        <x:f>IF(L7=0,"",I7/L7)</x:f>
        <x:v>1.3311408424301199</x:v>
      </x:c>
      <x:c r="O7" s="34" t="n">
        <x:f>IF(L7=0,"",M7/L7)</x:f>
        <x:v>0.3311408424301199</x:v>
      </x:c>
    </x:row>
    <x:row r="8" ht="18" customHeight="1">
      <x:c r="A8" s="24" t="str">
        <x:v>Perch-likes</x:v>
      </x:c>
      <x:c r="B8" s="33" t="n">
        <x:v>82</x:v>
      </x:c>
      <x:c r="C8" s="33" t="n">
        <x:v>82</x:v>
      </x:c>
      <x:c r="D8" s="31" t="n">
        <x:v>190277.8563091868</x:v>
      </x:c>
      <x:c r="E8" s="31" t="n">
        <x:v>190277.8563091868</x:v>
      </x:c>
      <x:c r="F8" s="32" t="n">
        <x:v>0</x:v>
      </x:c>
      <x:c r="G8" s="34" t="n">
        <x:v>1</x:v>
      </x:c>
      <x:c r="H8" s="32" t="n">
        <x:f>IF(E8=0,"",I8/E8)</x:f>
        <x:v>1795.166854062978</x:v>
      </x:c>
      <x:c r="I8" s="31" t="n">
        <x:f>IF(C8=0,"",SUMIF('Species'!$H$2:$H$166,A8,'Species'!$U$2:$U$166))</x:f>
        <x:v>341580500.70841026</x:v>
      </x:c>
      <x:c r="J8" s="32" t="n">
        <x:v>4.040059051247041</x:v>
      </x:c>
      <x:c r="K8" s="32" t="n">
        <x:f>IF(J8="","",(1/'Metadata'!$B$5)^(J8-1))</x:f>
        <x:v>1096.627294991248</x:v>
      </x:c>
      <x:c r="L8" s="31" t="n">
        <x:f>IF(E8=0,"",E8*K8)</x:f>
        <x:v>208663890.8610769</x:v>
      </x:c>
      <x:c r="M8" s="31" t="n">
        <x:f>IF(E8=0,"",I8-L8)</x:f>
        <x:v>132916609.84733337</x:v>
      </x:c>
      <x:c r="N8" s="32" t="n">
        <x:f>IF(L8=0,"",I8/L8)</x:f>
        <x:v>1.636989031973078</x:v>
      </x:c>
      <x:c r="O8" s="34" t="n">
        <x:f>IF(L8=0,"",M8/L8)</x:f>
        <x:v>0.636989031973078</x:v>
      </x:c>
    </x:row>
    <x:row r="9" ht="18" customHeight="1">
      <x:c r="A9" s="24" t="str">
        <x:v>Scorpionfishes</x:v>
      </x:c>
      <x:c r="B9" s="33" t="n">
        <x:v>4</x:v>
      </x:c>
      <x:c r="C9" s="33" t="n">
        <x:v>4</x:v>
      </x:c>
      <x:c r="D9" s="31" t="n">
        <x:v>4235.0525155056</x:v>
      </x:c>
      <x:c r="E9" s="31" t="n">
        <x:v>4235.0525155056</x:v>
      </x:c>
      <x:c r="F9" s="32" t="n">
        <x:v>0</x:v>
      </x:c>
      <x:c r="G9" s="34" t="n">
        <x:v>1</x:v>
      </x:c>
      <x:c r="H9" s="32" t="n">
        <x:f>IF(E9=0,"",I9/E9)</x:f>
        <x:v>466.3704248815047</x:v>
      </x:c>
      <x:c r="I9" s="31" t="n">
        <x:f>IF(C9=0,"",SUMIF('Species'!$H$2:$H$166,A9,'Species'!$U$2:$U$166))</x:f>
        <x:v>1975103.241051832</x:v>
      </x:c>
      <x:c r="J9" s="32" t="n">
        <x:v>3.6553554425272594</x:v>
      </x:c>
      <x:c r="K9" s="32" t="n">
        <x:f>IF(J9="","",(1/'Metadata'!$B$5)^(J9-1))</x:f>
        <x:v>452.22591122351935</x:v>
      </x:c>
      <x:c r="L9" s="31" t="n">
        <x:f>IF(E9=0,"",E9*K9)</x:f>
        <x:v>1915200.4829039779</x:v>
      </x:c>
      <x:c r="M9" s="31" t="n">
        <x:f>IF(E9=0,"",I9-L9)</x:f>
        <x:v>59902.758147854125</x:v>
      </x:c>
      <x:c r="N9" s="32" t="n">
        <x:f>IF(L9=0,"",I9/L9)</x:f>
        <x:v>1.0312775391832738</x:v>
      </x:c>
      <x:c r="O9" s="34" t="n">
        <x:f>IF(L9=0,"",M9/L9)</x:f>
        <x:v>0.03127753918327383</x:v>
      </x:c>
    </x:row>
    <x:row r="10" ht="18" customHeight="1">
      <x:c r="A10" s="24" t="str">
        <x:v>Sharks &amp; rays</x:v>
      </x:c>
      <x:c r="B10" s="33" t="n">
        <x:v>22</x:v>
      </x:c>
      <x:c r="C10" s="33" t="n">
        <x:v>22</x:v>
      </x:c>
      <x:c r="D10" s="31" t="n">
        <x:v>19522.4419120876</x:v>
      </x:c>
      <x:c r="E10" s="31" t="n">
        <x:v>19522.4419120876</x:v>
      </x:c>
      <x:c r="F10" s="32" t="n">
        <x:v>0</x:v>
      </x:c>
      <x:c r="G10" s="34" t="n">
        <x:v>1</x:v>
      </x:c>
      <x:c r="H10" s="32" t="n">
        <x:f>IF(E10=0,"",I10/E10)</x:f>
        <x:v>1014.5506401417377</x:v>
      </x:c>
      <x:c r="I10" s="31" t="n">
        <x:f>IF(C10=0,"",SUMIF('Species'!$H$2:$H$166,A10,'Species'!$U$2:$U$166))</x:f>
        <x:v>19806505.939038366</x:v>
      </x:c>
      <x:c r="J10" s="32" t="n">
        <x:v>3.9274098739569125</x:v>
      </x:c>
      <x:c r="K10" s="32" t="n">
        <x:f>IF(J10="","",(1/'Metadata'!$B$5)^(J10-1))</x:f>
        <x:v>846.0769702551763</x:v>
      </x:c>
      <x:c r="L10" s="31" t="n">
        <x:f>IF(E10=0,"",E10*K10)</x:f>
        <x:v>16517488.50496175</x:v>
      </x:c>
      <x:c r="M10" s="31" t="n">
        <x:f>IF(E10=0,"",I10-L10)</x:f>
        <x:v>3289017.4340766165</x:v>
      </x:c>
      <x:c r="N10" s="32" t="n">
        <x:f>IF(L10=0,"",I10/L10)</x:f>
        <x:v>1.1991233372487964</x:v>
      </x:c>
      <x:c r="O10" s="34" t="n">
        <x:f>IF(L10=0,"",M10/L10)</x:f>
        <x:v>0.1991233372487964</x:v>
      </x:c>
    </x:row>
    <x:row r="11" ht="18" customHeight="1">
      <x:c r="A11" s="24" t="str">
        <x:v>Tuna &amp; billfishes</x:v>
      </x:c>
      <x:c r="B11" s="33" t="n">
        <x:v>11</x:v>
      </x:c>
      <x:c r="C11" s="33" t="n">
        <x:v>11</x:v>
      </x:c>
      <x:c r="D11" s="31" t="n">
        <x:v>24231.533938805806</x:v>
      </x:c>
      <x:c r="E11" s="31" t="n">
        <x:v>24231.533938805806</x:v>
      </x:c>
      <x:c r="F11" s="32" t="n">
        <x:v>0</x:v>
      </x:c>
      <x:c r="G11" s="34" t="n">
        <x:v>1</x:v>
      </x:c>
      <x:c r="H11" s="32" t="n">
        <x:f>IF(E11=0,"",I11/E11)</x:f>
        <x:v>2623.898614232997</x:v>
      </x:c>
      <x:c r="I11" s="31" t="n">
        <x:f>IF(C11=0,"",SUMIF('Species'!$H$2:$H$166,A11,'Species'!$U$2:$U$166))</x:f>
        <x:v>63581088.32277238</x:v>
      </x:c>
      <x:c r="J11" s="32" t="n">
        <x:v>4.41670213759052</x:v>
      </x:c>
      <x:c r="K11" s="32" t="n">
        <x:f>IF(J11="","",(1/'Metadata'!$B$5)^(J11-1))</x:f>
        <x:v>2610.370408510729</x:v>
      </x:c>
      <x:c r="L11" s="31" t="n">
        <x:f>IF(E11=0,"",E11*K11)</x:f>
        <x:v>63253279.1466821</x:v>
      </x:c>
      <x:c r="M11" s="31" t="n">
        <x:f>IF(E11=0,"",I11-L11)</x:f>
        <x:v>327809.1760902852</x:v>
      </x:c>
      <x:c r="N11" s="32" t="n">
        <x:f>IF(L11=0,"",I11/L11)</x:f>
        <x:v>1.0051824850903004</x:v>
      </x:c>
      <x:c r="O11" s="34" t="n">
        <x:f>IF(L11=0,"",M11/L11)</x:f>
        <x:v>0.005182485090300336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a3b0ac852234c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2906.8238106201998</x:v>
      </x:c>
      <x:c r="E2" s="31" t="n">
        <x:v>2906.8238106201998</x:v>
      </x:c>
      <x:c r="F2" s="32" t="n">
        <x:v>0</x:v>
      </x:c>
      <x:c r="G2" s="34" t="n">
        <x:v>1</x:v>
      </x:c>
      <x:c r="H2" s="32" t="n">
        <x:f>IF(E2=0,"",I2/E2)</x:f>
        <x:v>496.0215465899646</x:v>
      </x:c>
      <x:c r="I2" s="31" t="n">
        <x:f>IF(C2=0,"",SUMIF('Species'!$G$2:$G$166,A2,'Species'!$U$2:$U$166))</x:f>
        <x:v>1441847.2422083658</x:v>
      </x:c>
      <x:c r="J2" s="32" t="n">
        <x:v>3.6946896765021906</x:v>
      </x:c>
      <x:c r="K2" s="32" t="n">
        <x:f>IF(J2="","",(1/'Metadata'!$B$5)^(J2-1))</x:f>
        <x:v>495.09629517636023</x:v>
      </x:c>
      <x:c r="L2" s="31" t="n">
        <x:f>IF(E2=0,"",E2*K2)</x:f>
        <x:v>1439157.6993684906</x:v>
      </x:c>
      <x:c r="M2" s="31" t="n">
        <x:f>IF(E2=0,"",I2-L2)</x:f>
        <x:v>2689.542839875212</x:v>
      </x:c>
      <x:c r="N2" s="32" t="n">
        <x:f>IF(L2=0,"",I2/L2)</x:f>
        <x:v>1.0018688312205504</x:v>
      </x:c>
      <x:c r="O2" s="34" t="n">
        <x:f>IF(L2=0,"",M2/L2)</x:f>
        <x:v>0.0018688312205503235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208.0580522063</x:v>
      </x:c>
      <x:c r="E3" s="31" t="n">
        <x:v>208.0580522063</x:v>
      </x:c>
      <x:c r="F3" s="32" t="n">
        <x:v>0</x:v>
      </x:c>
      <x:c r="G3" s="34" t="n">
        <x:v>1</x:v>
      </x:c>
      <x:c r="H3" s="32" t="n">
        <x:f>IF(E3=0,"",I3/E3)</x:f>
        <x:v>267.6907035954358</x:v>
      </x:c>
      <x:c r="I3" s="31" t="n">
        <x:f>IF(C3=0,"",SUMIF('Species'!$G$2:$G$166,A3,'Species'!$U$2:$U$166))</x:f>
        <x:v>55695.20638380037</x:v>
      </x:c>
      <x:c r="J3" s="32" t="n">
        <x:v>3.382564374522967</x:v>
      </x:c>
      <x:c r="K3" s="32" t="n">
        <x:f>IF(J3="","",(1/'Metadata'!$B$5)^(J3-1))</x:f>
        <x:v>241.3039185614621</x:v>
      </x:c>
      <x:c r="L3" s="31" t="n">
        <x:f>IF(E3=0,"",E3*K3)</x:f>
        <x:v>50205.22328564544</x:v>
      </x:c>
      <x:c r="M3" s="31" t="n">
        <x:f>IF(E3=0,"",I3-L3)</x:f>
        <x:v>5489.983098154924</x:v>
      </x:c>
      <x:c r="N3" s="32" t="n">
        <x:f>IF(L3=0,"",I3/L3)</x:f>
        <x:v>1.109350835209304</x:v>
      </x:c>
      <x:c r="O3" s="34" t="n">
        <x:f>IF(L3=0,"",M3/L3)</x:f>
        <x:v>0.10935083520930394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36361.4193163657</x:v>
      </x:c>
      <x:c r="E4" s="31" t="n">
        <x:v>36361.4193163657</x:v>
      </x:c>
      <x:c r="F4" s="32" t="n">
        <x:v>0</x:v>
      </x:c>
      <x:c r="G4" s="34" t="n">
        <x:v>1</x:v>
      </x:c>
      <x:c r="H4" s="32" t="n">
        <x:f>IF(E4=0,"",I4/E4)</x:f>
        <x:v>2518.310354091204</x:v>
      </x:c>
      <x:c r="I4" s="31" t="n">
        <x:f>IF(C4=0,"",SUMIF('Species'!$G$2:$G$166,A4,'Species'!$U$2:$U$166))</x:f>
        <x:v>91569338.75385563</x:v>
      </x:c>
      <x:c r="J4" s="32" t="n">
        <x:v>4.317856482181187</x:v>
      </x:c>
      <x:c r="K4" s="32" t="n">
        <x:f>IF(J4="","",(1/'Metadata'!$B$5)^(J4-1))</x:f>
        <x:v>2079.0095399417733</x:v>
      </x:c>
      <x:c r="L4" s="31" t="n">
        <x:f>IF(E4=0,"",E4*K4)</x:f>
        <x:v>75595737.64454736</x:v>
      </x:c>
      <x:c r="M4" s="31" t="n">
        <x:f>IF(E4=0,"",I4-L4)</x:f>
        <x:v>15973601.109308273</x:v>
      </x:c>
      <x:c r="N4" s="32" t="n">
        <x:f>IF(L4=0,"",I4/L4)</x:f>
        <x:v>1.2113029333005052</x:v>
      </x:c>
      <x:c r="O4" s="34" t="n">
        <x:f>IF(L4=0,"",M4/L4)</x:f>
        <x:v>0.2113029333005051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7269.862711912199</x:v>
      </x:c>
      <x:c r="E5" s="31" t="n">
        <x:v>7269.862711912199</x:v>
      </x:c>
      <x:c r="F5" s="32" t="n">
        <x:v>0</x:v>
      </x:c>
      <x:c r="G5" s="34" t="n">
        <x:v>1</x:v>
      </x:c>
      <x:c r="H5" s="32" t="n">
        <x:f>IF(E5=0,"",I5/E5)</x:f>
        <x:v>559.5545619517549</x:v>
      </x:c>
      <x:c r="I5" s="31" t="n">
        <x:f>IF(C5=0,"",SUMIF('Species'!$G$2:$G$166,A5,'Species'!$U$2:$U$166))</x:f>
        <x:v>4067884.845213427</x:v>
      </x:c>
      <x:c r="J5" s="32" t="n">
        <x:v>3.662871772205433</x:v>
      </x:c>
      <x:c r="K5" s="32" t="n">
        <x:f>IF(J5="","",(1/'Metadata'!$B$5)^(J5-1))</x:f>
        <x:v>460.1207003984439</x:v>
      </x:c>
      <x:c r="L5" s="31" t="n">
        <x:f>IF(E5=0,"",E5*K5)</x:f>
        <x:v>3345014.322805572</x:v>
      </x:c>
      <x:c r="M5" s="31" t="n">
        <x:f>IF(E5=0,"",I5-L5)</x:f>
        <x:v>722870.5224078554</x:v>
      </x:c>
      <x:c r="N5" s="32" t="n">
        <x:f>IF(L5=0,"",I5/L5)</x:f>
        <x:v>1.2161038646320534</x:v>
      </x:c>
      <x:c r="O5" s="34" t="n">
        <x:f>IF(L5=0,"",M5/L5)</x:f>
        <x:v>0.2161038646320535</x:v>
      </x:c>
    </x:row>
    <x:row r="6" ht="18" customHeight="1">
      <x:c r="A6" s="24" t="str">
        <x:v>Large pelagics (&gt;=90 cm)</x:v>
      </x:c>
      <x:c r="B6" s="33" t="n">
        <x:v>17</x:v>
      </x:c>
      <x:c r="C6" s="33" t="n">
        <x:v>17</x:v>
      </x:c>
      <x:c r="D6" s="31" t="n">
        <x:v>56784.5709556274</x:v>
      </x:c>
      <x:c r="E6" s="31" t="n">
        <x:v>56784.5709556274</x:v>
      </x:c>
      <x:c r="F6" s="32" t="n">
        <x:v>0</x:v>
      </x:c>
      <x:c r="G6" s="34" t="n">
        <x:v>1</x:v>
      </x:c>
      <x:c r="H6" s="32" t="n">
        <x:f>IF(E6=0,"",I6/E6)</x:f>
        <x:v>2697.2294958331695</x:v>
      </x:c>
      <x:c r="I6" s="31" t="n">
        <x:f>IF(C6=0,"",SUMIF('Species'!$G$2:$G$166,A6,'Species'!$U$2:$U$166))</x:f>
        <x:v>153161019.68974975</x:v>
      </x:c>
      <x:c r="J6" s="32" t="n">
        <x:v>4.410438131984538</x:v>
      </x:c>
      <x:c r="K6" s="32" t="n">
        <x:f>IF(J6="","",(1/'Metadata'!$B$5)^(J6-1))</x:f>
        <x:v>2572.990199472762</x:v>
      </x:c>
      <x:c r="L6" s="31" t="n">
        <x:f>IF(E6=0,"",E6*K6)</x:f>
        <x:v>146106144.55009496</x:v>
      </x:c>
      <x:c r="M6" s="31" t="n">
        <x:f>IF(E6=0,"",I6-L6)</x:f>
        <x:v>7054875.139654785</x:v>
      </x:c>
      <x:c r="N6" s="32" t="n">
        <x:f>IF(L6=0,"",I6/L6)</x:f>
        <x:v>1.048285957865625</x:v>
      </x:c>
      <x:c r="O6" s="34" t="n">
        <x:f>IF(L6=0,"",M6/L6)</x:f>
        <x:v>0.048285957865624896</x:v>
      </x:c>
    </x:row>
    <x:row r="7" ht="18" customHeight="1">
      <x:c r="A7" s="24" t="str">
        <x:v>Large rays (&gt;=90 cm)</x:v>
      </x:c>
      <x:c r="B7" s="33" t="n">
        <x:v>8</x:v>
      </x:c>
      <x:c r="C7" s="33" t="n">
        <x:v>8</x:v>
      </x:c>
      <x:c r="D7" s="31" t="n">
        <x:v>6459.7092771489</x:v>
      </x:c>
      <x:c r="E7" s="31" t="n">
        <x:v>6459.7092771489</x:v>
      </x:c>
      <x:c r="F7" s="32" t="n">
        <x:v>0</x:v>
      </x:c>
      <x:c r="G7" s="34" t="n">
        <x:v>1</x:v>
      </x:c>
      <x:c r="H7" s="32" t="n">
        <x:f>IF(E7=0,"",I7/E7)</x:f>
        <x:v>554.3453902931511</x:v>
      </x:c>
      <x:c r="I7" s="31" t="n">
        <x:f>IF(C7=0,"",SUMIF('Species'!$G$2:$G$166,A7,'Species'!$U$2:$U$166))</x:f>
        <x:v>3580910.0604213956</x:v>
      </x:c>
      <x:c r="J7" s="32" t="n">
        <x:v>3.6335282876612083</x:v>
      </x:c>
      <x:c r="K7" s="32" t="n">
        <x:f>IF(J7="","",(1/'Metadata'!$B$5)^(J7-1))</x:f>
        <x:v>430.0592445183861</x:v>
      </x:c>
      <x:c r="L7" s="31" t="n">
        <x:f>IF(E7=0,"",E7*K7)</x:f>
        <x:v>2778057.691539066</x:v>
      </x:c>
      <x:c r="M7" s="31" t="n">
        <x:f>IF(E7=0,"",I7-L7)</x:f>
        <x:v>802852.3688823297</x:v>
      </x:c>
      <x:c r="N7" s="32" t="n">
        <x:f>IF(L7=0,"",I7/L7)</x:f>
        <x:v>1.2889977307985794</x:v>
      </x:c>
      <x:c r="O7" s="34" t="n">
        <x:f>IF(L7=0,"",M7/L7)</x:f>
        <x:v>0.2889977307985793</x:v>
      </x:c>
    </x:row>
    <x:row r="8" ht="18" customHeight="1">
      <x:c r="A8" s="24" t="str">
        <x:v>Large reef assoc. fish (&gt;=90 cm)</x:v>
      </x:c>
      <x:c r="B8" s="33" t="n">
        <x:v>10</x:v>
      </x:c>
      <x:c r="C8" s="33" t="n">
        <x:v>10</x:v>
      </x:c>
      <x:c r="D8" s="31" t="n">
        <x:v>43366.008297534296</x:v>
      </x:c>
      <x:c r="E8" s="31" t="n">
        <x:v>43366.008297534296</x:v>
      </x:c>
      <x:c r="F8" s="32" t="n">
        <x:v>0</x:v>
      </x:c>
      <x:c r="G8" s="34" t="n">
        <x:v>1</x:v>
      </x:c>
      <x:c r="H8" s="32" t="n">
        <x:f>IF(E8=0,"",I8/E8)</x:f>
        <x:v>2297.633922741716</x:v>
      </x:c>
      <x:c r="I8" s="31" t="n">
        <x:f>IF(C8=0,"",SUMIF('Species'!$G$2:$G$166,A8,'Species'!$U$2:$U$166))</x:f>
        <x:v>99639211.75831354</x:v>
      </x:c>
      <x:c r="J8" s="32" t="n">
        <x:v>4.293647174878253</x:v>
      </x:c>
      <x:c r="K8" s="32" t="n">
        <x:f>IF(J8="","",(1/'Metadata'!$B$5)^(J8-1))</x:f>
        <x:v>1966.2882087066587</x:v>
      </x:c>
      <x:c r="L8" s="31" t="n">
        <x:f>IF(E8=0,"",E8*K8)</x:f>
        <x:v>85270070.77411681</x:v>
      </x:c>
      <x:c r="M8" s="31" t="n">
        <x:f>IF(E8=0,"",I8-L8)</x:f>
        <x:v>14369140.984196723</x:v>
      </x:c>
      <x:c r="N8" s="32" t="n">
        <x:f>IF(L8=0,"",I8/L8)</x:f>
        <x:v>1.1685132996108452</x:v>
      </x:c>
      <x:c r="O8" s="34" t="n">
        <x:f>IF(L8=0,"",M8/L8)</x:f>
        <x:v>0.1685132996108452</x:v>
      </x:c>
    </x:row>
    <x:row r="9" ht="18" customHeight="1">
      <x:c r="A9" s="24" t="str">
        <x:v>Large sharks (&gt;=90 cm)</x:v>
      </x:c>
      <x:c r="B9" s="33" t="n">
        <x:v>11</x:v>
      </x:c>
      <x:c r="C9" s="33" t="n">
        <x:v>11</x:v>
      </x:c>
      <x:c r="D9" s="31" t="n">
        <x:v>11423.747638995199</x:v>
      </x:c>
      <x:c r="E9" s="31" t="n">
        <x:v>11423.747638995199</x:v>
      </x:c>
      <x:c r="F9" s="32" t="n">
        <x:v>0</x:v>
      </x:c>
      <x:c r="G9" s="34" t="n">
        <x:v>1</x:v>
      </x:c>
      <x:c r="H9" s="32" t="n">
        <x:f>IF(E9=0,"",I9/E9)</x:f>
        <x:v>1293.2712823842396</x:v>
      </x:c>
      <x:c r="I9" s="31" t="n">
        <x:f>IF(C9=0,"",SUMIF('Species'!$G$2:$G$166,A9,'Species'!$U$2:$U$166))</x:f>
        <x:v>14774004.75871725</x:v>
      </x:c>
      <x:c r="J9" s="32" t="n">
        <x:v>4.093574846132984</x:v>
      </x:c>
      <x:c r="K9" s="32" t="n">
        <x:f>IF(J9="","",(1/'Metadata'!$B$5)^(J9-1))</x:f>
        <x:v>1240.4373831690039</x:v>
      </x:c>
      <x:c r="L9" s="31" t="n">
        <x:f>IF(E9=0,"",E9*K9)</x:f>
        <x:v>14170443.62729829</x:v>
      </x:c>
      <x:c r="M9" s="31" t="n">
        <x:f>IF(E9=0,"",I9-L9)</x:f>
        <x:v>603561.1314189602</x:v>
      </x:c>
      <x:c r="N9" s="32" t="n">
        <x:f>IF(L9=0,"",I9/L9)</x:f>
        <x:v>1.0425929594932544</x:v>
      </x:c>
      <x:c r="O9" s="34" t="n">
        <x:f>IF(L9=0,"",M9/L9)</x:f>
        <x:v>0.04259295949325434</x:v>
      </x:c>
    </x:row>
    <x:row r="10" ht="18" customHeight="1">
      <x:c r="A10" s="24" t="str">
        <x:v>Lobsters, crabs</x:v>
      </x:c>
      <x:c r="B10" s="33" t="n">
        <x:v>4</x:v>
      </x:c>
      <x:c r="C10" s="33" t="n">
        <x:v>4</x:v>
      </x:c>
      <x:c r="D10" s="31" t="n">
        <x:v>11609.4452743245</x:v>
      </x:c>
      <x:c r="E10" s="31" t="n">
        <x:v>11609.4452743245</x:v>
      </x:c>
      <x:c r="F10" s="32" t="n">
        <x:v>0</x:v>
      </x:c>
      <x:c r="G10" s="34" t="n">
        <x:v>1</x:v>
      </x:c>
      <x:c r="H10" s="32" t="n">
        <x:f>IF(E10=0,"",I10/E10)</x:f>
        <x:v>110.68162226353195</x:v>
      </x:c>
      <x:c r="I10" s="31" t="n">
        <x:f>IF(C10=0,"",SUMIF('Species'!$G$2:$G$166,A10,'Species'!$U$2:$U$166))</x:f>
        <x:v>1284952.2365419304</x:v>
      </x:c>
      <x:c r="J10" s="32" t="n">
        <x:v>2.742679357388233</x:v>
      </x:c>
      <x:c r="K10" s="32" t="n">
        <x:f>IF(J10="","",(1/'Metadata'!$B$5)^(J10-1))</x:f>
        <x:v>55.29417177907295</x:v>
      </x:c>
      <x:c r="L10" s="31" t="n">
        <x:f>IF(E10=0,"",E10*K10)</x:f>
        <x:v>641934.6612582456</x:v>
      </x:c>
      <x:c r="M10" s="31" t="n">
        <x:f>IF(E10=0,"",I10-L10)</x:f>
        <x:v>643017.5752836848</x:v>
      </x:c>
      <x:c r="N10" s="32" t="n">
        <x:f>IF(L10=0,"",I10/L10)</x:f>
        <x:v>2.001686953658674</x:v>
      </x:c>
      <x:c r="O10" s="34" t="n">
        <x:f>IF(L10=0,"",M10/L10)</x:f>
        <x:v>1.0016869536586739</x:v>
      </x:c>
    </x:row>
    <x:row r="11" ht="18" customHeight="1">
      <x:c r="A11" s="24" t="str">
        <x:v>Medium benthopelagics (30 - 89 cm)</x:v>
      </x:c>
      <x:c r="B11" s="33" t="n">
        <x:v>7</x:v>
      </x:c>
      <x:c r="C11" s="33" t="n">
        <x:v>7</x:v>
      </x:c>
      <x:c r="D11" s="31" t="n">
        <x:v>19729.5554270624</x:v>
      </x:c>
      <x:c r="E11" s="31" t="n">
        <x:v>19729.5554270624</x:v>
      </x:c>
      <x:c r="F11" s="32" t="n">
        <x:v>0</x:v>
      </x:c>
      <x:c r="G11" s="34" t="n">
        <x:v>1</x:v>
      </x:c>
      <x:c r="H11" s="32" t="n">
        <x:f>IF(E11=0,"",I11/E11)</x:f>
        <x:v>218.36407209770726</x:v>
      </x:c>
      <x:c r="I11" s="31" t="n">
        <x:f>IF(C11=0,"",SUMIF('Species'!$G$2:$G$166,A11,'Species'!$U$2:$U$166))</x:f>
        <x:v>4308226.063730766</x:v>
      </x:c>
      <x:c r="J11" s="32" t="n">
        <x:v>3.230181298160295</x:v>
      </x:c>
      <x:c r="K11" s="32" t="n">
        <x:f>IF(J11="","",(1/'Metadata'!$B$5)^(J11-1))</x:f>
        <x:v>169.8952739812379</x:v>
      </x:c>
      <x:c r="L11" s="31" t="n">
        <x:f>IF(E11=0,"",E11*K11)</x:f>
        <x:v>3351958.2248087856</x:v>
      </x:c>
      <x:c r="M11" s="31" t="n">
        <x:f>IF(E11=0,"",I11-L11)</x:f>
        <x:v>956267.8389219805</x:v>
      </x:c>
      <x:c r="N11" s="32" t="n">
        <x:f>IF(L11=0,"",I11/L11)</x:f>
        <x:v>1.285286323631474</x:v>
      </x:c>
      <x:c r="O11" s="34" t="n">
        <x:f>IF(L11=0,"",M11/L11)</x:f>
        <x:v>0.28528632363147405</x:v>
      </x:c>
    </x:row>
    <x:row r="12" ht="18" customHeight="1">
      <x:c r="A12" s="24" t="str">
        <x:v>Medium demersals (30 - 89 cm)</x:v>
      </x:c>
      <x:c r="B12" s="33" t="n">
        <x:v>17</x:v>
      </x:c>
      <x:c r="C12" s="33" t="n">
        <x:v>17</x:v>
      </x:c>
      <x:c r="D12" s="31" t="n">
        <x:v>145841.58476047483</x:v>
      </x:c>
      <x:c r="E12" s="31" t="n">
        <x:v>145841.58476047483</x:v>
      </x:c>
      <x:c r="F12" s="32" t="n">
        <x:v>0</x:v>
      </x:c>
      <x:c r="G12" s="34" t="n">
        <x:v>1</x:v>
      </x:c>
      <x:c r="H12" s="32" t="n">
        <x:f>IF(E12=0,"",I12/E12)</x:f>
        <x:v>309.33689223202344</x:v>
      </x:c>
      <x:c r="I12" s="31" t="n">
        <x:f>IF(C12=0,"",SUMIF('Species'!$G$2:$G$166,A12,'Species'!$U$2:$U$166))</x:f>
        <x:v>45114182.58799852</x:v>
      </x:c>
      <x:c r="J12" s="32" t="n">
        <x:v>3.369570604560135</x:v>
      </x:c>
      <x:c r="K12" s="32" t="n">
        <x:f>IF(J12="","",(1/'Metadata'!$B$5)^(J12-1))</x:f>
        <x:v>234.19121759287572</x:v>
      </x:c>
      <x:c r="L12" s="31" t="n">
        <x:f>IF(E12=0,"",E12*K12)</x:f>
        <x:v>34154818.31073019</x:v>
      </x:c>
      <x:c r="M12" s="31" t="n">
        <x:f>IF(E12=0,"",I12-L12)</x:f>
        <x:v>10959364.277268328</x:v>
      </x:c>
      <x:c r="N12" s="32" t="n">
        <x:f>IF(L12=0,"",I12/L12)</x:f>
        <x:v>1.3208731540470615</x:v>
      </x:c>
      <x:c r="O12" s="34" t="n">
        <x:f>IF(L12=0,"",M12/L12)</x:f>
        <x:v>0.32087315404706157</x:v>
      </x:c>
    </x:row>
    <x:row r="13" ht="18" customHeight="1">
      <x:c r="A13" s="24" t="str">
        <x:v>Medium pelagics (30 - 89 cm)</x:v>
      </x:c>
      <x:c r="B13" s="33" t="n">
        <x:v>10</x:v>
      </x:c>
      <x:c r="C13" s="33" t="n">
        <x:v>10</x:v>
      </x:c>
      <x:c r="D13" s="31" t="n">
        <x:v>25517.002052145705</x:v>
      </x:c>
      <x:c r="E13" s="31" t="n">
        <x:v>25517.002052145705</x:v>
      </x:c>
      <x:c r="F13" s="32" t="n">
        <x:v>0</x:v>
      </x:c>
      <x:c r="G13" s="34" t="n">
        <x:v>1</x:v>
      </x:c>
      <x:c r="H13" s="32" t="n">
        <x:f>IF(E13=0,"",I13/E13)</x:f>
        <x:v>1300.1038578436262</x:v>
      </x:c>
      <x:c r="I13" s="31" t="n">
        <x:f>IF(C13=0,"",SUMIF('Species'!$G$2:$G$166,A13,'Species'!$U$2:$U$166))</x:f>
        <x:v>33174752.808598354</x:v>
      </x:c>
      <x:c r="J13" s="32" t="n">
        <x:v>3.8581895013148646</x:v>
      </x:c>
      <x:c r="K13" s="32" t="n">
        <x:f>IF(J13="","",(1/'Metadata'!$B$5)^(J13-1))</x:f>
        <x:v>721.4221979711936</x:v>
      </x:c>
      <x:c r="L13" s="31" t="n">
        <x:f>IF(E13=0,"",E13*K13)</x:f>
        <x:v>18408531.70609441</x:v>
      </x:c>
      <x:c r="M13" s="31" t="n">
        <x:f>IF(E13=0,"",I13-L13)</x:f>
        <x:v>14766221.102503944</x:v>
      </x:c>
      <x:c r="N13" s="32" t="n">
        <x:f>IF(L13=0,"",I13/L13)</x:f>
        <x:v>1.8021400803854102</x:v>
      </x:c>
      <x:c r="O13" s="34" t="n">
        <x:f>IF(L13=0,"",M13/L13)</x:f>
        <x:v>0.8021400803854103</x:v>
      </x:c>
    </x:row>
    <x:row r="14" ht="18" customHeight="1">
      <x:c r="A14" s="24" t="str">
        <x:v>Medium reef assoc. fish (30 - 89 cm)</x:v>
      </x:c>
      <x:c r="B14" s="33" t="n">
        <x:v>32</x:v>
      </x:c>
      <x:c r="C14" s="33" t="n">
        <x:v>32</x:v>
      </x:c>
      <x:c r="D14" s="31" t="n">
        <x:v>26695.3767351345</x:v>
      </x:c>
      <x:c r="E14" s="31" t="n">
        <x:v>26695.3767351345</x:v>
      </x:c>
      <x:c r="F14" s="32" t="n">
        <x:v>0</x:v>
      </x:c>
      <x:c r="G14" s="34" t="n">
        <x:v>1</x:v>
      </x:c>
      <x:c r="H14" s="32" t="n">
        <x:f>IF(E14=0,"",I14/E14)</x:f>
        <x:v>691.8490806192785</x:v>
      </x:c>
      <x:c r="I14" s="31" t="n">
        <x:f>IF(C14=0,"",SUMIF('Species'!$G$2:$G$166,A14,'Species'!$U$2:$U$166))</x:f>
        <x:v>18469171.850988083</x:v>
      </x:c>
      <x:c r="J14" s="32" t="n">
        <x:v>3.435242151527486</x:v>
      </x:c>
      <x:c r="K14" s="32" t="n">
        <x:f>IF(J14="","",(1/'Metadata'!$B$5)^(J14-1))</x:f>
        <x:v>272.4219840199479</x:v>
      </x:c>
      <x:c r="L14" s="31" t="n">
        <x:f>IF(E14=0,"",E14*K14)</x:f>
        <x:v>7272407.4943453</x:v>
      </x:c>
      <x:c r="M14" s="31" t="n">
        <x:f>IF(E14=0,"",I14-L14)</x:f>
        <x:v>11196764.356642783</x:v>
      </x:c>
      <x:c r="N14" s="32" t="n">
        <x:f>IF(L14=0,"",I14/L14)</x:f>
        <x:v>2.539622795525263</x:v>
      </x:c>
      <x:c r="O14" s="34" t="n">
        <x:f>IF(L14=0,"",M14/L14)</x:f>
        <x:v>1.5396227955252628</x:v>
      </x:c>
    </x:row>
    <x:row r="15" ht="18" customHeight="1">
      <x:c r="A15" s="24" t="str">
        <x:v>Other demersal invertebrates</x:v>
      </x:c>
      <x:c r="B15" s="33" t="n">
        <x:v>2</x:v>
      </x:c>
      <x:c r="C15" s="33" t="n">
        <x:v>2</x:v>
      </x:c>
      <x:c r="D15" s="31" t="n">
        <x:v>264.6944669387</x:v>
      </x:c>
      <x:c r="E15" s="31" t="n">
        <x:v>264.6944669387</x:v>
      </x:c>
      <x:c r="F15" s="32" t="n">
        <x:v>0</x:v>
      </x:c>
      <x:c r="G15" s="34" t="n">
        <x:v>1</x:v>
      </x:c>
      <x:c r="H15" s="32" t="n">
        <x:f>IF(E15=0,"",I15/E15)</x:f>
        <x:v>72.30344646664118</x:v>
      </x:c>
      <x:c r="I15" s="31" t="n">
        <x:f>IF(C15=0,"",SUMIF('Species'!$G$2:$G$166,A15,'Species'!$U$2:$U$166))</x:f>
        <x:v>19138.322220318416</x:v>
      </x:c>
      <x:c r="J15" s="32" t="n">
        <x:v>2.7764359824582683</x:v>
      </x:c>
      <x:c r="K15" s="32" t="n">
        <x:f>IF(J15="","",(1/'Metadata'!$B$5)^(J15-1))</x:f>
        <x:v>59.76349433163223</x:v>
      </x:c>
      <x:c r="L15" s="31" t="n">
        <x:f>IF(E15=0,"",E15*K15)</x:f>
        <x:v>15819.06627450541</x:v>
      </x:c>
      <x:c r="M15" s="31" t="n">
        <x:f>IF(E15=0,"",I15-L15)</x:f>
        <x:v>3319.2559458130054</x:v>
      </x:c>
      <x:c r="N15" s="32" t="n">
        <x:f>IF(L15=0,"",I15/L15)</x:f>
        <x:v>1.2098262873556855</x:v>
      </x:c>
      <x:c r="O15" s="34" t="n">
        <x:f>IF(L15=0,"",M15/L15)</x:f>
        <x:v>0.20982628735568548</x:v>
      </x:c>
    </x:row>
    <x:row r="16" ht="18" customHeight="1">
      <x:c r="A16" s="24" t="str">
        <x:v>Shrimps</x:v>
      </x:c>
      <x:c r="B16" s="33" t="n">
        <x:v>5</x:v>
      </x:c>
      <x:c r="C16" s="33" t="n">
        <x:v>5</x:v>
      </x:c>
      <x:c r="D16" s="31" t="n">
        <x:v>16184.605868426299</x:v>
      </x:c>
      <x:c r="E16" s="31" t="n">
        <x:v>16184.605868426299</x:v>
      </x:c>
      <x:c r="F16" s="32" t="n">
        <x:v>0</x:v>
      </x:c>
      <x:c r="G16" s="34" t="n">
        <x:v>1</x:v>
      </x:c>
      <x:c r="H16" s="32" t="n">
        <x:f>IF(E16=0,"",I16/E16)</x:f>
        <x:v>102.961300984875</x:v>
      </x:c>
      <x:c r="I16" s="31" t="n">
        <x:f>IF(C16=0,"",SUMIF('Species'!$G$2:$G$166,A16,'Species'!$U$2:$U$166))</x:f>
        <x:v>1666388.0761406142</x:v>
      </x:c>
      <x:c r="J16" s="32" t="n">
        <x:v>2.6389025130582855</x:v>
      </x:c>
      <x:c r="K16" s="32" t="n">
        <x:f>IF(J16="","",(1/'Metadata'!$B$5)^(J16-1))</x:f>
        <x:v>43.5414124444905</x:v>
      </x:c>
      <x:c r="L16" s="31" t="n">
        <x:f>IF(E16=0,"",E16*K16)</x:f>
        <x:v>704700.5993686707</x:v>
      </x:c>
      <x:c r="M16" s="31" t="n">
        <x:f>IF(E16=0,"",I16-L16)</x:f>
        <x:v>961687.4767719435</x:v>
      </x:c>
      <x:c r="N16" s="32" t="n">
        <x:f>IF(L16=0,"",I16/L16)</x:f>
        <x:v>2.3646752644080378</x:v>
      </x:c>
      <x:c r="O16" s="34" t="n">
        <x:f>IF(L16=0,"",M16/L16)</x:f>
        <x:v>1.364675264408038</x:v>
      </x:c>
    </x:row>
    <x:row r="17" ht="18" customHeight="1">
      <x:c r="A17" s="24" t="str">
        <x:v>Small benthopelagics (&lt;30 cm)</x:v>
      </x:c>
      <x:c r="B17" s="33" t="n">
        <x:v>3</x:v>
      </x:c>
      <x:c r="C17" s="33" t="n">
        <x:v>3</x:v>
      </x:c>
      <x:c r="D17" s="31" t="n">
        <x:v>312.33653917159995</x:v>
      </x:c>
      <x:c r="E17" s="31" t="n">
        <x:v>312.33653917159995</x:v>
      </x:c>
      <x:c r="F17" s="32" t="n">
        <x:v>0</x:v>
      </x:c>
      <x:c r="G17" s="34" t="n">
        <x:v>1</x:v>
      </x:c>
      <x:c r="H17" s="32" t="n">
        <x:f>IF(E17=0,"",I17/E17)</x:f>
        <x:v>145.63843667747307</x:v>
      </x:c>
      <x:c r="I17" s="31" t="n">
        <x:f>IF(C17=0,"",SUMIF('Species'!$G$2:$G$166,A17,'Species'!$U$2:$U$166))</x:f>
        <x:v>45488.205282204144</x:v>
      </x:c>
      <x:c r="J17" s="32" t="n">
        <x:v>3.1468374327516986</x:v>
      </x:c>
      <x:c r="K17" s="32" t="n">
        <x:f>IF(J17="","",(1/'Metadata'!$B$5)^(J17-1))</x:f>
        <x:v>140.22886946989175</x:v>
      </x:c>
      <x:c r="L17" s="31" t="n">
        <x:f>IF(E17=0,"",E17*K17)</x:f>
        <x:v>43798.59978217202</x:v>
      </x:c>
      <x:c r="M17" s="31" t="n">
        <x:f>IF(E17=0,"",I17-L17)</x:f>
        <x:v>1689.6055000321212</x:v>
      </x:c>
      <x:c r="N17" s="32" t="n">
        <x:f>IF(L17=0,"",I17/L17)</x:f>
        <x:v>1.0385767012743605</x:v>
      </x:c>
      <x:c r="O17" s="34" t="n">
        <x:f>IF(L17=0,"",M17/L17)</x:f>
        <x:v>0.038576701274360505</x:v>
      </x:c>
    </x:row>
    <x:row r="18" ht="18" customHeight="1">
      <x:c r="A18" s="24" t="str">
        <x:v>Small demersals (&lt;30 cm)</x:v>
      </x:c>
      <x:c r="B18" s="33" t="n">
        <x:v>6</x:v>
      </x:c>
      <x:c r="C18" s="33" t="n">
        <x:v>6</x:v>
      </x:c>
      <x:c r="D18" s="31" t="n">
        <x:v>8670.4944869192</x:v>
      </x:c>
      <x:c r="E18" s="31" t="n">
        <x:v>8670.4944869192</x:v>
      </x:c>
      <x:c r="F18" s="32" t="n">
        <x:v>0</x:v>
      </x:c>
      <x:c r="G18" s="34" t="n">
        <x:v>1</x:v>
      </x:c>
      <x:c r="H18" s="32" t="n">
        <x:f>IF(E18=0,"",I18/E18)</x:f>
        <x:v>545.9239991661952</x:v>
      </x:c>
      <x:c r="I18" s="31" t="n">
        <x:f>IF(C18=0,"",SUMIF('Species'!$G$2:$G$166,A18,'Species'!$U$2:$U$166))</x:f>
        <x:v>4733431.025047378</x:v>
      </x:c>
      <x:c r="J18" s="32" t="n">
        <x:v>3.6750388892369976</x:v>
      </x:c>
      <x:c r="K18" s="32" t="n">
        <x:f>IF(J18="","",(1/'Metadata'!$B$5)^(J18-1))</x:f>
        <x:v>473.1936295558122</x:v>
      </x:c>
      <x:c r="L18" s="31" t="n">
        <x:f>IF(E18=0,"",E18*K18)</x:f>
        <x:v>4102822.756308956</x:v>
      </x:c>
      <x:c r="M18" s="31" t="n">
        <x:f>IF(E18=0,"",I18-L18)</x:f>
        <x:v>630608.2687384216</x:v>
      </x:c>
      <x:c r="N18" s="32" t="n">
        <x:f>IF(L18=0,"",I18/L18)</x:f>
        <x:v>1.153701075136314</x:v>
      </x:c>
      <x:c r="O18" s="34" t="n">
        <x:f>IF(L18=0,"",M18/L18)</x:f>
        <x:v>0.15370107513631395</x:v>
      </x:c>
    </x:row>
    <x:row r="19" ht="18" customHeight="1">
      <x:c r="A19" s="24" t="str">
        <x:v>Small pelagics (&lt;30 cm)</x:v>
      </x:c>
      <x:c r="B19" s="33" t="n">
        <x:v>11</x:v>
      </x:c>
      <x:c r="C19" s="33" t="n">
        <x:v>11</x:v>
      </x:c>
      <x:c r="D19" s="31" t="n">
        <x:v>9977.522075155599</x:v>
      </x:c>
      <x:c r="E19" s="31" t="n">
        <x:v>9977.522075155599</x:v>
      </x:c>
      <x:c r="F19" s="32" t="n">
        <x:v>0</x:v>
      </x:c>
      <x:c r="G19" s="34" t="n">
        <x:v>1</x:v>
      </x:c>
      <x:c r="H19" s="32" t="n">
        <x:f>IF(E19=0,"",I19/E19)</x:f>
        <x:v>161.05973385809455</x:v>
      </x:c>
      <x:c r="I19" s="31" t="n">
        <x:f>IF(C19=0,"",SUMIF('Species'!$G$2:$G$166,A19,'Species'!$U$2:$U$166))</x:f>
        <x:v>1606977.049987824</x:v>
      </x:c>
      <x:c r="J19" s="32" t="n">
        <x:v>3.131689852242412</x:v>
      </x:c>
      <x:c r="K19" s="32" t="n">
        <x:f>IF(J19="","",(1/'Metadata'!$B$5)^(J19-1))</x:f>
        <x:v>135.42219607012478</x:v>
      </x:c>
      <x:c r="L19" s="31" t="n">
        <x:f>IF(E19=0,"",E19*K19)</x:f>
        <x:v>1351177.9507557198</x:v>
      </x:c>
      <x:c r="M19" s="31" t="n">
        <x:f>IF(E19=0,"",I19-L19)</x:f>
        <x:v>255799.09923210414</x:v>
      </x:c>
      <x:c r="N19" s="32" t="n">
        <x:f>IF(L19=0,"",I19/L19)</x:f>
        <x:v>1.1893156257390336</x:v>
      </x:c>
      <x:c r="O19" s="34" t="n">
        <x:f>IF(L19=0,"",M19/L19)</x:f>
        <x:v>0.18931562573903354</x:v>
      </x:c>
    </x:row>
    <x:row r="20" ht="18" customHeight="1">
      <x:c r="A20" s="24" t="str">
        <x:v>Small reef assoc. fish (&lt;30 cm)</x:v>
      </x:c>
      <x:c r="B20" s="33" t="n">
        <x:v>4</x:v>
      </x:c>
      <x:c r="C20" s="33" t="n">
        <x:v>4</x:v>
      </x:c>
      <x:c r="D20" s="31" t="n">
        <x:v>4790.003974925</x:v>
      </x:c>
      <x:c r="E20" s="31" t="n">
        <x:v>4790.003974925</x:v>
      </x:c>
      <x:c r="F20" s="32" t="n">
        <x:v>0</x:v>
      </x:c>
      <x:c r="G20" s="34" t="n">
        <x:v>1</x:v>
      </x:c>
      <x:c r="H20" s="32" t="n">
        <x:f>IF(E20=0,"",I20/E20)</x:f>
        <x:v>1038.0865075627107</x:v>
      </x:c>
      <x:c r="I20" s="31" t="n">
        <x:f>IF(C20=0,"",SUMIF('Species'!$G$2:$G$166,A20,'Species'!$U$2:$U$166))</x:f>
        <x:v>4972438.497541395</x:v>
      </x:c>
      <x:c r="J20" s="32" t="n">
        <x:v>4.013539360322041</x:v>
      </x:c>
      <x:c r="K20" s="32" t="n">
        <x:f>IF(J20="","",(1/'Metadata'!$B$5)^(J20-1))</x:f>
        <x:v>1031.6665756507239</x:v>
      </x:c>
      <x:c r="L20" s="31" t="n">
        <x:f>IF(E20=0,"",E20*K20)</x:f>
        <x:v>4941686.998164231</x:v>
      </x:c>
      <x:c r="M20" s="31" t="n">
        <x:f>IF(E20=0,"",I20-L20)</x:f>
        <x:v>30751.49937716406</x:v>
      </x:c>
      <x:c r="N20" s="32" t="n">
        <x:f>IF(L20=0,"",I20/L20)</x:f>
        <x:v>1.006222874777093</x:v>
      </x:c>
      <x:c r="O20" s="34" t="n">
        <x:f>IF(L20=0,"",M20/L20)</x:f>
        <x:v>0.006222874777092887</x:v>
      </x:c>
    </x:row>
    <x:row r="21" ht="18" customHeight="1">
      <x:c r="A21" s="24" t="str">
        <x:v>Small to medium flatfishes (&lt;90 cm)</x:v>
      </x:c>
      <x:c r="B21" s="33" t="n">
        <x:v>2</x:v>
      </x:c>
      <x:c r="C21" s="33" t="n">
        <x:v>2</x:v>
      </x:c>
      <x:c r="D21" s="31" t="n">
        <x:v>5671.5279802039</x:v>
      </x:c>
      <x:c r="E21" s="31" t="n">
        <x:v>5671.5279802039</x:v>
      </x:c>
      <x:c r="F21" s="32" t="n">
        <x:v>0</x:v>
      </x:c>
      <x:c r="G21" s="34" t="n">
        <x:v>1</x:v>
      </x:c>
      <x:c r="H21" s="32" t="n">
        <x:f>IF(E21=0,"",I21/E21)</x:f>
        <x:v>2201.768940655709</x:v>
      </x:c>
      <x:c r="I21" s="31" t="n">
        <x:f>IF(C21=0,"",SUMIF('Species'!$G$2:$G$166,A21,'Species'!$U$2:$U$166))</x:f>
        <x:v>12487394.152872754</x:v>
      </x:c>
      <x:c r="J21" s="32" t="n">
        <x:v>4.254425481723802</x:v>
      </x:c>
      <x:c r="K21" s="32" t="n">
        <x:f>IF(J21="","",(1/'Metadata'!$B$5)^(J21-1))</x:f>
        <x:v>1796.492803098196</x:v>
      </x:c>
      <x:c r="L21" s="31" t="n">
        <x:f>IF(E21=0,"",E21*K21)</x:f>
        <x:v>10188859.199006354</x:v>
      </x:c>
      <x:c r="M21" s="31" t="n">
        <x:f>IF(E21=0,"",I21-L21)</x:f>
        <x:v>2298534.9538664</x:v>
      </x:c>
      <x:c r="N21" s="32" t="n">
        <x:f>IF(L21=0,"",I21/L21)</x:f>
        <x:v>1.2255929647247024</x:v>
      </x:c>
      <x:c r="O21" s="34" t="n">
        <x:f>IF(L21=0,"",M21/L21)</x:f>
        <x:v>0.2255929647247024</x:v>
      </x:c>
    </x:row>
    <x:row r="22" ht="18" customHeight="1">
      <x:c r="A22" s="24" t="str">
        <x:v>Small to medium rays (&lt;90 cm)</x:v>
      </x:c>
      <x:c r="B22" s="33" t="n">
        <x:v>1</x:v>
      </x:c>
      <x:c r="C22" s="33" t="n">
        <x:v>1</x:v>
      </x:c>
      <x:c r="D22" s="31" t="n">
        <x:v>551.1329792</x:v>
      </x:c>
      <x:c r="E22" s="31" t="n">
        <x:v>551.1329792</x:v>
      </x:c>
      <x:c r="F22" s="32" t="n">
        <x:v>0</x:v>
      </x:c>
      <x:c r="G22" s="34" t="n">
        <x:v>1</x:v>
      </x:c>
      <x:c r="H22" s="32" t="n">
        <x:f>IF(E22=0,"",I22/E22)</x:f>
        <x:v>575.4399373371566</x:v>
      </x:c>
      <x:c r="I22" s="31" t="n">
        <x:f>IF(C22=0,"",SUMIF('Species'!$G$2:$G$166,A22,'Species'!$U$2:$U$166))</x:f>
        <x:v>317143.92701528844</x:v>
      </x:c>
      <x:c r="J22" s="32" t="n">
        <x:v>3.76</x:v>
      </x:c>
      <x:c r="K22" s="32" t="n">
        <x:f>IF(J22="","",(1/'Metadata'!$B$5)^(J22-1))</x:f>
        <x:v>575.4399373371566</x:v>
      </x:c>
      <x:c r="L22" s="31" t="n">
        <x:f>IF(E22=0,"",E22*K22)</x:f>
        <x:v>317143.92701528844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sharks (&lt;90 cm)</x:v>
      </x:c>
      <x:c r="B23" s="33" t="n">
        <x:v>2</x:v>
      </x:c>
      <x:c r="C23" s="33" t="n">
        <x:v>2</x:v>
      </x:c>
      <x:c r="D23" s="31" t="n">
        <x:v>1087.8520167435</x:v>
      </x:c>
      <x:c r="E23" s="31" t="n">
        <x:v>1087.8520167435</x:v>
      </x:c>
      <x:c r="F23" s="32" t="n">
        <x:v>0</x:v>
      </x:c>
      <x:c r="G23" s="34" t="n">
        <x:v>1</x:v>
      </x:c>
      <x:c r="H23" s="32" t="n">
        <x:f>IF(E23=0,"",I23/E23)</x:f>
        <x:v>1042.8322744488803</x:v>
      </x:c>
      <x:c r="I23" s="31" t="n">
        <x:f>IF(C23=0,"",SUMIF('Species'!$G$2:$G$166,A23,'Species'!$U$2:$U$166))</x:f>
        <x:v>1134447.1928844254</x:v>
      </x:c>
      <x:c r="J23" s="32" t="n">
        <x:v>4.012373639208341</x:v>
      </x:c>
      <x:c r="K23" s="32" t="n">
        <x:f>IF(J23="","",(1/'Metadata'!$B$5)^(J23-1))</x:f>
        <x:v>1028.901118196353</x:v>
      </x:c>
      <x:c r="L23" s="31" t="n">
        <x:f>IF(E23=0,"",E23*K23)</x:f>
        <x:v>1119292.1564595448</x:v>
      </x:c>
      <x:c r="M23" s="31" t="n">
        <x:f>IF(E23=0,"",I23-L23)</x:f>
        <x:v>15155.036424880615</x:v>
      </x:c>
      <x:c r="N23" s="32" t="n">
        <x:f>IF(L23=0,"",I23/L23)</x:f>
        <x:v>1.0135398397437339</x:v>
      </x:c>
      <x:c r="O23" s="34" t="n">
        <x:f>IF(L23=0,"",M23/L23)</x:f>
        <x:v>0.013539839743733942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53403ec01f74d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EEZ_922</x:v>
      </x:c>
      <x:c r="B2" s="24" t="str">
        <x:v>raw_filtered_tonnes</x:v>
      </x:c>
      <x:c r="C2" s="24" t="n">
        <x:v>441683.3346972359</x:v>
      </x:c>
      <x:c r="D2" s="24" t="str">
        <x:v>tonnes</x:v>
      </x:c>
    </x:row>
    <x:row r="3" ht="18" customHeight="1">
      <x:c r="A3" s="24" t="str">
        <x:v>EEZ_922</x:v>
      </x:c>
      <x:c r="B3" s="24" t="str">
        <x:v>species_catch_tonnes</x:v>
      </x:c>
      <x:c r="C3" s="24" t="n">
        <x:v>441683.33469723596</x:v>
      </x:c>
      <x:c r="D3" s="24" t="str">
        <x:v>tonnes</x:v>
      </x:c>
    </x:row>
    <x:row r="4" ht="18" customHeight="1">
      <x:c r="A4" s="24" t="str">
        <x:v>EEZ_922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EEZ_922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EEZ_922</x:v>
      </x:c>
      <x:c r="B6" s="24" t="str">
        <x:v>matched_catch_tonnes</x:v>
      </x:c>
      <x:c r="C6" s="24" t="n">
        <x:v>441683.33469723596</x:v>
      </x:c>
      <x:c r="D6" s="24" t="str">
        <x:v>tonnes</x:v>
      </x:c>
    </x:row>
    <x:row r="7" ht="18" customHeight="1">
      <x:c r="A7" s="24" t="str">
        <x:v>EEZ_922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EEZ_922</x:v>
      </x:c>
      <x:c r="B8" s="24" t="str">
        <x:v>taxa_count</x:v>
      </x:c>
      <x:c r="C8" s="24" t="n">
        <x:v>165</x:v>
      </x:c>
      <x:c r="D8" s="24" t="str">
        <x:v>count</x:v>
      </x:c>
    </x:row>
    <x:row r="9" ht="18" customHeight="1">
      <x:c r="A9" s="24" t="str">
        <x:v>EEZ_922</x:v>
      </x:c>
      <x:c r="B9" s="24" t="str">
        <x:v>matched_taxa_count</x:v>
      </x:c>
      <x:c r="C9" s="24" t="n">
        <x:v>165</x:v>
      </x:c>
      <x:c r="D9" s="24" t="str">
        <x:v>count</x:v>
      </x:c>
    </x:row>
    <x:row r="10" ht="18" customHeight="1">
      <x:c r="A10" s="24" t="str">
        <x:v>EEZ_922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EEZ_922</x:v>
      </x:c>
      <x:c r="B11" s="24" t="str">
        <x:v>species_ppr</x:v>
      </x:c>
      <x:c r="C11" s="24" t="n">
        <x:v>497624044.3117129</x:v>
      </x:c>
      <x:c r="D11" s="24" t="str">
        <x:v>tonnes_primary_production_equivalent</x:v>
      </x:c>
    </x:row>
    <x:row r="12" ht="18" customHeight="1">
      <x:c r="A12" s="24" t="str">
        <x:v>EEZ_922</x:v>
      </x:c>
      <x:c r="B12" s="24" t="str">
        <x:v>commercial_ppr</x:v>
      </x:c>
      <x:c r="C12" s="24" t="n">
        <x:v>497624044.3117129</x:v>
      </x:c>
      <x:c r="D12" s="24" t="str">
        <x:v>tonnes_primary_production_equivalent</x:v>
      </x:c>
    </x:row>
    <x:row r="13" ht="18" customHeight="1">
      <x:c r="A13" s="24" t="str">
        <x:v>EEZ_922</x:v>
      </x:c>
      <x:c r="B13" s="24" t="str">
        <x:v>functional_ppr</x:v>
      </x:c>
      <x:c r="C13" s="24" t="n">
        <x:v>497624044.311713</x:v>
      </x:c>
      <x:c r="D13" s="24" t="str">
        <x:v>tonnes_primary_production_equivalent</x:v>
      </x:c>
    </x:row>
    <x:row r="14" ht="18" customHeight="1">
      <x:c r="A14" s="24" t="str">
        <x:v>EEZ_922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EEZ_922</x:v>
      </x:c>
      <x:c r="B15" s="24" t="str">
        <x:v>functional_ppr_difference</x:v>
      </x:c>
      <x:c r="C15" s="24" t="n">
        <x:v>5.960464477539063e-8</x:v>
      </x:c>
      <x:c r="D15" s="24" t="str">
        <x:v>tonnes_primary_production_equivalent</x:v>
      </x:c>
    </x:row>
    <x:row r="16" ht="18" customHeight="1">
      <x:c r="A16" s="24" t="str">
        <x:v>EEZ_922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EEZ_922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EEZ_922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EEZ_922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199919bc556042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EEZ_922 - Iran (Persian Gulf)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EEZ_922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raw_data/SAU_downloads/EEZ_922-catch.zip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