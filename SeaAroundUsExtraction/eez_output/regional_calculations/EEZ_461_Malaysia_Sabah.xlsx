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4ccb7269e94d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cccbb331b104078"/>
    <x:sheet xmlns:r="http://schemas.openxmlformats.org/officeDocument/2006/relationships" name="Commercial" sheetId="2" r:id="R4c6187adc5244e25"/>
    <x:sheet xmlns:r="http://schemas.openxmlformats.org/officeDocument/2006/relationships" name="Functional" sheetId="3" r:id="Rde037043aaab4ff5"/>
    <x:sheet xmlns:r="http://schemas.openxmlformats.org/officeDocument/2006/relationships" name="Missing TL" sheetId="4" r:id="Rab8de4be4df246fb"/>
    <x:sheet xmlns:r="http://schemas.openxmlformats.org/officeDocument/2006/relationships" name="Validation" sheetId="5" r:id="Ra09f80ba6d9b48c8"/>
    <x:sheet xmlns:r="http://schemas.openxmlformats.org/officeDocument/2006/relationships" name="Metadata" sheetId="6" r:id="R1439e3e82b904d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8ce99afc54162" /><Relationship Type="http://schemas.openxmlformats.org/officeDocument/2006/relationships/theme" Target="/xl/theme/theme1.xml" Id="Rd173184e38e74e44" /><Relationship Type="http://schemas.microsoft.com/office/2022/11/relationships/FeaturePropertyBag" Target="/xl/featurePropertyBag/featurePropertyBag.xml" Id="R6f8507a3de424698" /><Relationship Type="http://schemas.openxmlformats.org/officeDocument/2006/relationships/sharedStrings" Target="/xl/sharedStrings.xml" Id="R7717e580801141ef" /><Relationship Type="http://schemas.openxmlformats.org/officeDocument/2006/relationships/worksheet" Target="/xl/worksheets/sheet1.xml" Id="Racccbb331b104078" /><Relationship Type="http://schemas.openxmlformats.org/officeDocument/2006/relationships/worksheet" Target="/xl/worksheets/sheet2.xml" Id="R4c6187adc5244e25" /><Relationship Type="http://schemas.openxmlformats.org/officeDocument/2006/relationships/worksheet" Target="/xl/worksheets/sheet3.xml" Id="Rde037043aaab4ff5" /><Relationship Type="http://schemas.openxmlformats.org/officeDocument/2006/relationships/worksheet" Target="/xl/worksheets/sheet4.xml" Id="Rab8de4be4df246fb" /><Relationship Type="http://schemas.openxmlformats.org/officeDocument/2006/relationships/worksheet" Target="/xl/worksheets/sheet5.xml" Id="Ra09f80ba6d9b48c8" /><Relationship Type="http://schemas.openxmlformats.org/officeDocument/2006/relationships/worksheet" Target="/xl/worksheets/sheet6.xml" Id="R1439e3e82b904d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61SpeciesTable" displayName="EEZ461SpeciesTable" ref="A1:U115" headerRowCount="1" totalsRowCount="0" totalsRowShown="0">
  <x:autoFilter ref="A1:U11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61CommercialTable" displayName="EEZ461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61FunctionalTable" displayName="EEZ461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61ValidationTable" displayName="EEZ46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e05568beb14c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fa23461075343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07ec0bcf1341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3d896e067144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EEZ_461</x:v>
      </x:c>
      <x:c r="B2" s="24" t="str">
        <x:v>Malaysia (Sabah)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80281.3854879378</x:v>
      </x:c>
      <x:c r="J2" s="31" t="n">
        <x:v>80167.3402475862</x:v>
      </x:c>
      <x:c r="K2" s="31" t="n">
        <x:v>114.0452403516</x:v>
      </x:c>
      <x:c r="L2" s="31" t="n">
        <x:v>23737.9579241657</x:v>
      </x:c>
      <x:c r="M2" s="31" t="n">
        <x:v>56543.4275637721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15297302.643093012</x:v>
      </x:c>
    </x:row>
    <x:row r="3" ht="18" customHeight="1">
      <x:c r="A3" s="24" t="str">
        <x:v>EEZ_461</x:v>
      </x:c>
      <x:c r="B3" s="24" t="str">
        <x:v>Malaysia (Sabah)</x:v>
      </x:c>
      <x:c r="C3" s="24" t="str">
        <x:v>EEZ</x:v>
      </x:c>
      <x:c r="D3" s="30" t="n">
        <x:v>2019</x:v>
      </x:c>
      <x:c r="E3" s="24" t="str">
        <x:v>Carangoides</x:v>
      </x:c>
      <x:c r="F3" s="24" t="str">
        <x:v>Trevallies</x:v>
      </x:c>
      <x:c r="G3" s="24" t="str">
        <x:v>Medium reef assoc. fish (30 - 89 cm)</x:v>
      </x:c>
      <x:c r="H3" s="24" t="str">
        <x:v>Perch-likes</x:v>
      </x:c>
      <x:c r="I3" s="31" t="n">
        <x:v>26112.4671943887</x:v>
      </x:c>
      <x:c r="J3" s="31" t="n">
        <x:v>26112.4671943887</x:v>
      </x:c>
      <x:c r="K3" s="31" t="n">
        <x:v>0</x:v>
      </x:c>
      <x:c r="L3" s="31" t="n">
        <x:v>8098.2252023764</x:v>
      </x:c>
      <x:c r="M3" s="31" t="n">
        <x:v>18014.2419920123</x:v>
      </x:c>
      <x:c r="N3" s="24" t="str">
        <x:v>carangoides</x:v>
      </x:c>
      <x:c r="O3" s="32" t="n">
        <x:v>4.34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Carangoides</x:v>
      </x:c>
      <x:c r="T3" s="32" t="n">
        <x:f>IF(O3="","",(1/'Metadata'!$B$5)^(O3-1))</x:f>
        <x:v>2187.761623949552</x:v>
      </x:c>
      <x:c r="U3" s="31" t="n">
        <x:f>IF(T3="","",I3*T3)</x:f>
        <x:v>57127853.634525225</x:v>
      </x:c>
    </x:row>
    <x:row r="4" ht="18" customHeight="1">
      <x:c r="A4" s="24" t="str">
        <x:v>EEZ_461</x:v>
      </x:c>
      <x:c r="B4" s="24" t="str">
        <x:v>Malaysia (Sabah)</x:v>
      </x:c>
      <x:c r="C4" s="24" t="str">
        <x:v>EEZ</x:v>
      </x:c>
      <x:c r="D4" s="30" t="n">
        <x:v>2019</x:v>
      </x:c>
      <x:c r="E4" s="24" t="str">
        <x:v>Epinephelus</x:v>
      </x:c>
      <x:c r="F4" s="24" t="str">
        <x:v>Seabasses, hinds</x:v>
      </x:c>
      <x:c r="G4" s="24" t="str">
        <x:v>Medium reef assoc. fish (30 - 89 cm)</x:v>
      </x:c>
      <x:c r="H4" s="24" t="str">
        <x:v>Perch-likes</x:v>
      </x:c>
      <x:c r="I4" s="31" t="n">
        <x:v>23069.2007410325</x:v>
      </x:c>
      <x:c r="J4" s="31" t="n">
        <x:v>23069.2007410325</x:v>
      </x:c>
      <x:c r="K4" s="31" t="n">
        <x:v>0</x:v>
      </x:c>
      <x:c r="L4" s="31" t="n">
        <x:v>6429.2555685218</x:v>
      </x:c>
      <x:c r="M4" s="31" t="n">
        <x:v>16639.9451725107</x:v>
      </x:c>
      <x:c r="N4" s="24" t="str">
        <x:v>epinephelus</x:v>
      </x:c>
      <x:c r="O4" s="32" t="n">
        <x:v>3.84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Epinephelus</x:v>
      </x:c>
      <x:c r="T4" s="32" t="n">
        <x:f>IF(O4="","",(1/'Metadata'!$B$5)^(O4-1))</x:f>
        <x:v>691.8309709189363</x:v>
      </x:c>
      <x:c r="U4" s="31" t="n">
        <x:f>IF(T4="","",I4*T4)</x:f>
        <x:v>15959987.546992358</x:v>
      </x:c>
    </x:row>
    <x:row r="5" ht="18" customHeight="1">
      <x:c r="A5" s="24" t="str">
        <x:v>EEZ_461</x:v>
      </x:c>
      <x:c r="B5" s="24" t="str">
        <x:v>Malaysia (Sabah)</x:v>
      </x:c>
      <x:c r="C5" s="24" t="str">
        <x:v>EEZ</x:v>
      </x:c>
      <x:c r="D5" s="30" t="n">
        <x:v>2019</x:v>
      </x:c>
      <x:c r="E5" s="24" t="str">
        <x:v>Rastrelliger</x:v>
      </x:c>
      <x:c r="F5" s="24" t="str">
        <x:v>Indian mackerels</x:v>
      </x:c>
      <x:c r="G5" s="24" t="str">
        <x:v>Medium pelagics (30 - 89 cm)</x:v>
      </x:c>
      <x:c r="H5" s="24" t="str">
        <x:v>Perch-likes</x:v>
      </x:c>
      <x:c r="I5" s="31" t="n">
        <x:v>22997.5707122908</x:v>
      </x:c>
      <x:c r="J5" s="31" t="n">
        <x:v>22997.5707122908</x:v>
      </x:c>
      <x:c r="K5" s="31" t="n">
        <x:v>0</x:v>
      </x:c>
      <x:c r="L5" s="31" t="n">
        <x:v>5040.5072077131</x:v>
      </x:c>
      <x:c r="M5" s="31" t="n">
        <x:v>17957.0635045777</x:v>
      </x:c>
      <x:c r="N5" s="24" t="str">
        <x:v>rastrelliger</x:v>
      </x:c>
      <x:c r="O5" s="32" t="n">
        <x:v>3.1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Rastrelliger</x:v>
      </x:c>
      <x:c r="T5" s="32" t="n">
        <x:f>IF(O5="","",(1/'Metadata'!$B$5)^(O5-1))</x:f>
        <x:v>125.89254117941675</x:v>
      </x:c>
      <x:c r="U5" s="31" t="n">
        <x:f>IF(T5="","",I5*T5)</x:f>
        <x:v>2895222.6179236183</x:v>
      </x:c>
    </x:row>
    <x:row r="6" ht="18" customHeight="1">
      <x:c r="A6" s="24" t="str">
        <x:v>EEZ_461</x:v>
      </x:c>
      <x:c r="B6" s="24" t="str">
        <x:v>Malaysia (Sabah)</x:v>
      </x:c>
      <x:c r="C6" s="24" t="str">
        <x:v>EEZ</x:v>
      </x:c>
      <x:c r="D6" s="30" t="n">
        <x:v>2019</x:v>
      </x:c>
      <x:c r="E6" s="24" t="str">
        <x:v>Lutjanus malabaricus</x:v>
      </x:c>
      <x:c r="F6" s="24" t="str">
        <x:v>Malabar blood snapper</x:v>
      </x:c>
      <x:c r="G6" s="24" t="str">
        <x:v>Medium reef assoc. fish (30 - 89 cm)</x:v>
      </x:c>
      <x:c r="H6" s="24" t="str">
        <x:v>Perch-likes</x:v>
      </x:c>
      <x:c r="I6" s="31" t="n">
        <x:v>21946.9593506342</x:v>
      </x:c>
      <x:c r="J6" s="31" t="n">
        <x:v>21946.9593506342</x:v>
      </x:c>
      <x:c r="K6" s="31" t="n">
        <x:v>0</x:v>
      </x:c>
      <x:c r="L6" s="31" t="n">
        <x:v>6806.6583400345</x:v>
      </x:c>
      <x:c r="M6" s="31" t="n">
        <x:v>15140.3010105997</x:v>
      </x:c>
      <x:c r="N6" s="24" t="str">
        <x:v>lutjanus malabaricus</x:v>
      </x:c>
      <x:c r="O6" s="32" t="n">
        <x:v>4.48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Lutjanus malabaricus</x:v>
      </x:c>
      <x:c r="T6" s="32" t="n">
        <x:f>IF(O6="","",(1/'Metadata'!$B$5)^(O6-1))</x:f>
        <x:v>3019.951720402019</x:v>
      </x:c>
      <x:c r="U6" s="31" t="n">
        <x:f>IF(T6="","",I6*T6)</x:f>
        <x:v>66278757.64854093</x:v>
      </x:c>
    </x:row>
    <x:row r="7" ht="18" customHeight="1">
      <x:c r="A7" s="24" t="str">
        <x:v>EEZ_461</x:v>
      </x:c>
      <x:c r="B7" s="24" t="str">
        <x:v>Malaysia (Sabah)</x:v>
      </x:c>
      <x:c r="C7" s="24" t="str">
        <x:v>EEZ</x:v>
      </x:c>
      <x:c r="D7" s="30" t="n">
        <x:v>2019</x:v>
      </x:c>
      <x:c r="E7" s="24" t="str">
        <x:v>Scomberomorus</x:v>
      </x:c>
      <x:c r="F7" s="24" t="str">
        <x:v>Spanish mackerels</x:v>
      </x:c>
      <x:c r="G7" s="24" t="str">
        <x:v>Large pelagics (&gt;=90 cm)</x:v>
      </x:c>
      <x:c r="H7" s="24" t="str">
        <x:v>Perch-likes</x:v>
      </x:c>
      <x:c r="I7" s="31" t="n">
        <x:v>20561.2324154736</x:v>
      </x:c>
      <x:c r="J7" s="31" t="n">
        <x:v>20561.2324154736</x:v>
      </x:c>
      <x:c r="K7" s="31" t="n">
        <x:v>0</x:v>
      </x:c>
      <x:c r="L7" s="31" t="n">
        <x:v>6380.307829772901</x:v>
      </x:c>
      <x:c r="M7" s="31" t="n">
        <x:v>14180.924585700699</x:v>
      </x:c>
      <x:c r="N7" s="24" t="str">
        <x:v>scomberomorus</x:v>
      </x:c>
      <x:c r="O7" s="32" t="n">
        <x:v>4.35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Scomberomorus</x:v>
      </x:c>
      <x:c r="T7" s="32" t="n">
        <x:f>IF(O7="","",(1/'Metadata'!$B$5)^(O7-1))</x:f>
        <x:v>2238.7211385683377</x:v>
      </x:c>
      <x:c r="U7" s="31" t="n">
        <x:f>IF(T7="","",I7*T7)</x:f>
        <x:v>46030865.643537275</x:v>
      </x:c>
    </x:row>
    <x:row r="8" ht="18" customHeight="1">
      <x:c r="A8" s="24" t="str">
        <x:v>EEZ_461</x:v>
      </x:c>
      <x:c r="B8" s="24" t="str">
        <x:v>Malaysia (Sabah)</x:v>
      </x:c>
      <x:c r="C8" s="24" t="str">
        <x:v>EEZ</x:v>
      </x:c>
      <x:c r="D8" s="30" t="n">
        <x:v>2019</x:v>
      </x:c>
      <x:c r="E8" s="24" t="str">
        <x:v>Sardinella</x:v>
      </x:c>
      <x:c r="F8" s="24" t="str">
        <x:v>Sardinellas</x:v>
      </x:c>
      <x:c r="G8" s="24" t="str">
        <x:v>Small pelagics (&lt;30 cm)</x:v>
      </x:c>
      <x:c r="H8" s="24" t="str">
        <x:v>Herring-likes</x:v>
      </x:c>
      <x:c r="I8" s="31" t="n">
        <x:v>20105.9175154192</x:v>
      </x:c>
      <x:c r="J8" s="31" t="n">
        <x:v>20105.9175154192</x:v>
      </x:c>
      <x:c r="K8" s="31" t="n">
        <x:v>0</x:v>
      </x:c>
      <x:c r="L8" s="31" t="n">
        <x:v>6277.8528693079</x:v>
      </x:c>
      <x:c r="M8" s="31" t="n">
        <x:v>13828.0646461113</x:v>
      </x:c>
      <x:c r="N8" s="24" t="str">
        <x:v>sardinella</x:v>
      </x:c>
      <x:c r="O8" s="32" t="n">
        <x:v>2.77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Sardinella</x:v>
      </x:c>
      <x:c r="T8" s="32" t="n">
        <x:f>IF(O8="","",(1/'Metadata'!$B$5)^(O8-1))</x:f>
        <x:v>58.8843655355589</x:v>
      </x:c>
      <x:c r="U8" s="31" t="n">
        <x:f>IF(T8="","",I8*T8)</x:f>
        <x:v>1183924.1964057405</x:v>
      </x:c>
    </x:row>
    <x:row r="9" ht="18" customHeight="1">
      <x:c r="A9" s="24" t="str">
        <x:v>EEZ_461</x:v>
      </x:c>
      <x:c r="B9" s="24" t="str">
        <x:v>Malaysia (Sabah)</x:v>
      </x:c>
      <x:c r="C9" s="24" t="str">
        <x:v>EEZ</x:v>
      </x:c>
      <x:c r="D9" s="30" t="n">
        <x:v>2019</x:v>
      </x:c>
      <x:c r="E9" s="24" t="str">
        <x:v>Lutjanus johnii</x:v>
      </x:c>
      <x:c r="F9" s="24" t="str">
        <x:v>John's snapper</x:v>
      </x:c>
      <x:c r="G9" s="24" t="str">
        <x:v>Medium reef assoc. fish (30 - 89 cm)</x:v>
      </x:c>
      <x:c r="H9" s="24" t="str">
        <x:v>Perch-likes</x:v>
      </x:c>
      <x:c r="I9" s="31" t="n">
        <x:v>19088.3420419412</x:v>
      </x:c>
      <x:c r="J9" s="31" t="n">
        <x:v>19088.3420419412</x:v>
      </x:c>
      <x:c r="K9" s="31" t="n">
        <x:v>0</x:v>
      </x:c>
      <x:c r="L9" s="31" t="n">
        <x:v>5919.9109419938</x:v>
      </x:c>
      <x:c r="M9" s="31" t="n">
        <x:v>13168.4310999474</x:v>
      </x:c>
      <x:c r="N9" s="24" t="str">
        <x:v>lutjanus johnii</x:v>
      </x:c>
      <x:c r="O9" s="32" t="n">
        <x:v>4.2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Lutjanus johnii</x:v>
      </x:c>
      <x:c r="T9" s="32" t="n">
        <x:f>IF(O9="","",(1/'Metadata'!$B$5)^(O9-1))</x:f>
        <x:v>1584.893192461114</x:v>
      </x:c>
      <x:c r="U9" s="31" t="n">
        <x:f>IF(T9="","",I9*T9)</x:f>
        <x:v>30252983.357641887</x:v>
      </x:c>
    </x:row>
    <x:row r="10" ht="18" customHeight="1">
      <x:c r="A10" s="24" t="str">
        <x:v>EEZ_461</x:v>
      </x:c>
      <x:c r="B10" s="24" t="str">
        <x:v>Malaysia (Sabah)</x:v>
      </x:c>
      <x:c r="C10" s="24" t="str">
        <x:v>EEZ</x:v>
      </x:c>
      <x:c r="D10" s="30" t="n">
        <x:v>2019</x:v>
      </x:c>
      <x:c r="E10" s="24" t="str">
        <x:v>Penaeus merguiensis</x:v>
      </x:c>
      <x:c r="F10" s="24" t="str">
        <x:v>Banana prawn</x:v>
      </x:c>
      <x:c r="G10" s="24" t="str">
        <x:v>Shrimps</x:v>
      </x:c>
      <x:c r="H10" s="24" t="str">
        <x:v>Crustaceans</x:v>
      </x:c>
      <x:c r="I10" s="31" t="n">
        <x:v>18247.9045310812</x:v>
      </x:c>
      <x:c r="J10" s="31" t="n">
        <x:v>18247.9045310812</x:v>
      </x:c>
      <x:c r="K10" s="31" t="n">
        <x:v>0</x:v>
      </x:c>
      <x:c r="L10" s="31" t="n">
        <x:v>5664.2547990857</x:v>
      </x:c>
      <x:c r="M10" s="31" t="n">
        <x:v>12583.6497319955</x:v>
      </x:c>
      <x:c r="N10" s="24" t="str">
        <x:v>penaeus merguiensis</x:v>
      </x:c>
      <x:c r="O10" s="32" t="n">
        <x:v>3.77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Penaeus merguiensis</x:v>
      </x:c>
      <x:c r="T10" s="32" t="n">
        <x:f>IF(O10="","",(1/'Metadata'!$B$5)^(O10-1))</x:f>
        <x:v>588.843655355589</x:v>
      </x:c>
      <x:c r="U10" s="31" t="n">
        <x:f>IF(T10="","",I10*T10)</x:f>
        <x:v>10745162.80666167</x:v>
      </x:c>
    </x:row>
    <x:row r="11" ht="18" customHeight="1">
      <x:c r="A11" s="24" t="str">
        <x:v>EEZ_461</x:v>
      </x:c>
      <x:c r="B11" s="24" t="str">
        <x:v>Malaysia (Sabah)</x:v>
      </x:c>
      <x:c r="C11" s="24" t="str">
        <x:v>EEZ</x:v>
      </x:c>
      <x:c r="D11" s="30" t="n">
        <x:v>2019</x:v>
      </x:c>
      <x:c r="E11" s="24" t="str">
        <x:v>Dussumieria</x:v>
      </x:c>
      <x:c r="F11" s="24" t="str">
        <x:v>Rainbow sardines</x:v>
      </x:c>
      <x:c r="G11" s="24" t="str">
        <x:v>Small pelagics (&lt;30 cm)</x:v>
      </x:c>
      <x:c r="H11" s="24" t="str">
        <x:v>Herring-likes</x:v>
      </x:c>
      <x:c r="I11" s="31" t="n">
        <x:v>15672.311810125</x:v>
      </x:c>
      <x:c r="J11" s="31" t="n">
        <x:v>15672.311810125</x:v>
      </x:c>
      <x:c r="K11" s="31" t="n">
        <x:v>0</x:v>
      </x:c>
      <x:c r="L11" s="31" t="n">
        <x:v>4860.587445795</x:v>
      </x:c>
      <x:c r="M11" s="31" t="n">
        <x:v>10811.724364329999</x:v>
      </x:c>
      <x:c r="N11" s="24" t="str">
        <x:v>dussumieria</x:v>
      </x:c>
      <x:c r="O11" s="32" t="n">
        <x:v>3.4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Dussumieria</x:v>
      </x:c>
      <x:c r="T11" s="32" t="n">
        <x:f>IF(O11="","",(1/'Metadata'!$B$5)^(O11-1))</x:f>
        <x:v>251.18864315095797</x:v>
      </x:c>
      <x:c r="U11" s="31" t="n">
        <x:f>IF(T11="","",I11*T11)</x:f>
        <x:v>3936706.738624033</x:v>
      </x:c>
    </x:row>
    <x:row r="12" ht="18" customHeight="1">
      <x:c r="A12" s="24" t="str">
        <x:v>EEZ_461</x:v>
      </x:c>
      <x:c r="B12" s="24" t="str">
        <x:v>Malaysia (Sabah)</x:v>
      </x:c>
      <x:c r="C12" s="24" t="str">
        <x:v>EEZ</x:v>
      </x:c>
      <x:c r="D12" s="30" t="n">
        <x:v>2019</x:v>
      </x:c>
      <x:c r="E12" s="24" t="str">
        <x:v>Sphyraena</x:v>
      </x:c>
      <x:c r="F12" s="24" t="str">
        <x:v>Barracudas, sennets</x:v>
      </x:c>
      <x:c r="G12" s="24" t="str">
        <x:v>Large pelagics (&gt;=90 cm)</x:v>
      </x:c>
      <x:c r="H12" s="24" t="str">
        <x:v>Perch-likes</x:v>
      </x:c>
      <x:c r="I12" s="31" t="n">
        <x:v>14254.9962576284</x:v>
      </x:c>
      <x:c r="J12" s="31" t="n">
        <x:v>14254.9962576284</x:v>
      </x:c>
      <x:c r="K12" s="31" t="n">
        <x:v>0</x:v>
      </x:c>
      <x:c r="L12" s="31" t="n">
        <x:v>4119.3041047101</x:v>
      </x:c>
      <x:c r="M12" s="31" t="n">
        <x:v>10135.6921529183</x:v>
      </x:c>
      <x:c r="N12" s="24" t="str">
        <x:v>sphyraena</x:v>
      </x:c>
      <x:c r="O12" s="32" t="n">
        <x:v>4.4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Sphyraena</x:v>
      </x:c>
      <x:c r="T12" s="32" t="n">
        <x:f>IF(O12="","",(1/'Metadata'!$B$5)^(O12-1))</x:f>
        <x:v>2511.886431509582</x:v>
      </x:c>
      <x:c r="U12" s="31" t="n">
        <x:f>IF(T12="","",I12*T12)</x:f>
        <x:v>35806931.68075665</x:v>
      </x:c>
    </x:row>
    <x:row r="13" ht="18" customHeight="1">
      <x:c r="A13" s="24" t="str">
        <x:v>EEZ_461</x:v>
      </x:c>
      <x:c r="B13" s="24" t="str">
        <x:v>Malaysia (Sabah)</x:v>
      </x:c>
      <x:c r="C13" s="24" t="str">
        <x:v>EEZ</x:v>
      </x:c>
      <x:c r="D13" s="30" t="n">
        <x:v>2019</x:v>
      </x:c>
      <x:c r="E13" s="24" t="str">
        <x:v>Portunus pelagicus</x:v>
      </x:c>
      <x:c r="F13" s="24" t="str">
        <x:v>Blue swimming crab</x:v>
      </x:c>
      <x:c r="G13" s="24" t="str">
        <x:v>Lobsters, crabs</x:v>
      </x:c>
      <x:c r="H13" s="24" t="str">
        <x:v>Crustaceans</x:v>
      </x:c>
      <x:c r="I13" s="31" t="n">
        <x:v>13665.2262084001</x:v>
      </x:c>
      <x:c r="J13" s="31" t="n">
        <x:v>13665.2262084001</x:v>
      </x:c>
      <x:c r="K13" s="31" t="n">
        <x:v>0</x:v>
      </x:c>
      <x:c r="L13" s="31" t="n">
        <x:v>4255.465656645099</x:v>
      </x:c>
      <x:c r="M13" s="31" t="n">
        <x:v>9409.760551755</x:v>
      </x:c>
      <x:c r="N13" s="24" t="str">
        <x:v>portunus pelagicus</x:v>
      </x:c>
      <x:c r="O13" s="32" t="n">
        <x:v>2.48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Portunus pelagicus</x:v>
      </x:c>
      <x:c r="T13" s="32" t="n">
        <x:f>IF(O13="","",(1/'Metadata'!$B$5)^(O13-1))</x:f>
        <x:v>30.19951720402016</x:v>
      </x:c>
      <x:c r="U13" s="31" t="n">
        <x:f>IF(T13="","",I13*T13)</x:f>
        <x:v>412683.233977406</x:v>
      </x:c>
    </x:row>
    <x:row r="14" ht="18" customHeight="1">
      <x:c r="A14" s="24" t="str">
        <x:v>EEZ_461</x:v>
      </x:c>
      <x:c r="B14" s="24" t="str">
        <x:v>Malaysia (Sabah)</x:v>
      </x:c>
      <x:c r="C14" s="24" t="str">
        <x:v>EEZ</x:v>
      </x:c>
      <x:c r="D14" s="30" t="n">
        <x:v>2019</x:v>
      </x:c>
      <x:c r="E14" s="24" t="str">
        <x:v>Elagatis bipinnulata</x:v>
      </x:c>
      <x:c r="F14" s="24" t="str">
        <x:v>Rainbow runner</x:v>
      </x:c>
      <x:c r="G14" s="24" t="str">
        <x:v>Large pelagics (&gt;=90 cm)</x:v>
      </x:c>
      <x:c r="H14" s="24" t="str">
        <x:v>Perch-likes</x:v>
      </x:c>
      <x:c r="I14" s="31" t="n">
        <x:v>13013.8142408131</x:v>
      </x:c>
      <x:c r="J14" s="31" t="n">
        <x:v>13013.8142408131</x:v>
      </x:c>
      <x:c r="K14" s="31" t="n">
        <x:v>0</x:v>
      </x:c>
      <x:c r="L14" s="31" t="n">
        <x:v>4036.2611896221997</x:v>
      </x:c>
      <x:c r="M14" s="31" t="n">
        <x:v>8977.5530511909</x:v>
      </x:c>
      <x:c r="N14" s="24" t="str">
        <x:v>elagatis bipinnulata</x:v>
      </x:c>
      <x:c r="O14" s="32" t="n">
        <x:v>4.27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Elagatis bipinnulata</x:v>
      </x:c>
      <x:c r="T14" s="32" t="n">
        <x:f>IF(O14="","",(1/'Metadata'!$B$5)^(O14-1))</x:f>
        <x:v>1862.0871366628655</x:v>
      </x:c>
      <x:c r="U14" s="31" t="n">
        <x:f>IF(T14="","",I14*T14)</x:f>
        <x:v>24232856.09673809</x:v>
      </x:c>
    </x:row>
    <x:row r="15" ht="18" customHeight="1">
      <x:c r="A15" s="24" t="str">
        <x:v>EEZ_461</x:v>
      </x:c>
      <x:c r="B15" s="24" t="str">
        <x:v>Malaysia (Sabah)</x:v>
      </x:c>
      <x:c r="C15" s="24" t="str">
        <x:v>EEZ</x:v>
      </x:c>
      <x:c r="D15" s="30" t="n">
        <x:v>2019</x:v>
      </x:c>
      <x:c r="E15" s="24" t="str">
        <x:v>Ariidae</x:v>
      </x:c>
      <x:c r="F15" s="24" t="str">
        <x:v>Sea catfishes, coblers</x:v>
      </x:c>
      <x:c r="G15" s="24" t="str">
        <x:v>Medium demersals (30 - 89 cm)</x:v>
      </x:c>
      <x:c r="H15" s="24" t="str">
        <x:v>Other fishes &amp; inverts</x:v>
      </x:c>
      <x:c r="I15" s="31" t="n">
        <x:v>11270.573738020199</x:v>
      </x:c>
      <x:c r="J15" s="31" t="n">
        <x:v>11270.573738020199</x:v>
      </x:c>
      <x:c r="K15" s="31" t="n">
        <x:v>0</x:v>
      </x:c>
      <x:c r="L15" s="31" t="n">
        <x:v>6888.1623788028</x:v>
      </x:c>
      <x:c r="M15" s="31" t="n">
        <x:v>4382.4113592174</x:v>
      </x:c>
      <x:c r="N15" s="24" t="str">
        <x:v>ariidae</x:v>
      </x:c>
      <x:c r="O15" s="32" t="n">
        <x:v>3.48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Ariidae</x:v>
      </x:c>
      <x:c r="T15" s="32" t="n">
        <x:f>IF(O15="","",(1/'Metadata'!$B$5)^(O15-1))</x:f>
        <x:v>301.9951720402016</x:v>
      </x:c>
      <x:c r="U15" s="31" t="n">
        <x:f>IF(T15="","",I15*T15)</x:f>
        <x:v>3403658.8550051884</x:v>
      </x:c>
    </x:row>
    <x:row r="16" ht="18" customHeight="1">
      <x:c r="A16" s="24" t="str">
        <x:v>EEZ_461</x:v>
      </x:c>
      <x:c r="B16" s="24" t="str">
        <x:v>Malaysia (Sabah)</x:v>
      </x:c>
      <x:c r="C16" s="24" t="str">
        <x:v>EEZ</x:v>
      </x:c>
      <x:c r="D16" s="30" t="n">
        <x:v>2019</x:v>
      </x:c>
      <x:c r="E16" s="24" t="str">
        <x:v>Leiognathidae</x:v>
      </x:c>
      <x:c r="F16" s="24" t="str">
        <x:v>Slipmouths, ponyfishes</x:v>
      </x:c>
      <x:c r="G16" s="24" t="str">
        <x:v>Small benthopelagics (&lt;30 cm)</x:v>
      </x:c>
      <x:c r="H16" s="24" t="str">
        <x:v>Perch-likes</x:v>
      </x:c>
      <x:c r="I16" s="31" t="n">
        <x:v>10356.4189347397</x:v>
      </x:c>
      <x:c r="J16" s="31" t="n">
        <x:v>10355.3034075549</x:v>
      </x:c>
      <x:c r="K16" s="31" t="n">
        <x:v>1.1155271848</x:v>
      </x:c>
      <x:c r="L16" s="31" t="n">
        <x:v>10253.539503948099</x:v>
      </x:c>
      <x:c r="M16" s="31" t="n">
        <x:v>102.8794307916</x:v>
      </x:c>
      <x:c r="N16" s="24" t="str">
        <x:v>leiognathidae</x:v>
      </x:c>
      <x:c r="O16" s="32" t="n">
        <x:v>3.24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Leiognathidae</x:v>
      </x:c>
      <x:c r="T16" s="32" t="n">
        <x:f>IF(O16="","",(1/'Metadata'!$B$5)^(O16-1))</x:f>
        <x:v>173.78008287493762</x:v>
      </x:c>
      <x:c r="U16" s="31" t="n">
        <x:f>IF(T16="","",I16*T16)</x:f>
        <x:v>1799739.3407666383</x:v>
      </x:c>
    </x:row>
    <x:row r="17" ht="18" customHeight="1">
      <x:c r="A17" s="24" t="str">
        <x:v>EEZ_461</x:v>
      </x:c>
      <x:c r="B17" s="24" t="str">
        <x:v>Malaysia (Sabah)</x:v>
      </x:c>
      <x:c r="C17" s="24" t="str">
        <x:v>EEZ</x:v>
      </x:c>
      <x:c r="D17" s="30" t="n">
        <x:v>2019</x:v>
      </x:c>
      <x:c r="E17" s="24" t="str">
        <x:v>Lates calcarifer</x:v>
      </x:c>
      <x:c r="F17" s="24" t="str">
        <x:v>Barramundi</x:v>
      </x:c>
      <x:c r="G17" s="24" t="str">
        <x:v>Large demersals (&gt;=90 cm)</x:v>
      </x:c>
      <x:c r="H17" s="24" t="str">
        <x:v>Perch-likes</x:v>
      </x:c>
      <x:c r="I17" s="31" t="n">
        <x:v>8584.6426391407</x:v>
      </x:c>
      <x:c r="J17" s="31" t="n">
        <x:v>8584.6426391407</x:v>
      </x:c>
      <x:c r="K17" s="31" t="n">
        <x:v>0</x:v>
      </x:c>
      <x:c r="L17" s="31" t="n">
        <x:v>2662.8661797751</x:v>
      </x:c>
      <x:c r="M17" s="31" t="n">
        <x:v>5921.7764593656</x:v>
      </x:c>
      <x:c r="N17" s="24" t="str">
        <x:v>lates calcarifer</x:v>
      </x:c>
      <x:c r="O17" s="32" t="n">
        <x:v>4.35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Lates calcarifer</x:v>
      </x:c>
      <x:c r="T17" s="32" t="n">
        <x:f>IF(O17="","",(1/'Metadata'!$B$5)^(O17-1))</x:f>
        <x:v>2238.7211385683377</x:v>
      </x:c>
      <x:c r="U17" s="31" t="n">
        <x:f>IF(T17="","",I17*T17)</x:f>
        <x:v>19218620.943299368</x:v>
      </x:c>
    </x:row>
    <x:row r="18" ht="18" customHeight="1">
      <x:c r="A18" s="24" t="str">
        <x:v>EEZ_461</x:v>
      </x:c>
      <x:c r="B18" s="24" t="str">
        <x:v>Malaysia (Sabah)</x:v>
      </x:c>
      <x:c r="C18" s="24" t="str">
        <x:v>EEZ</x:v>
      </x:c>
      <x:c r="D18" s="30" t="n">
        <x:v>2019</x:v>
      </x:c>
      <x:c r="E18" s="24" t="str">
        <x:v>Alepes</x:v>
      </x:c>
      <x:c r="F18" s="24" t="str">
        <x:v>Crevalles</x:v>
      </x:c>
      <x:c r="G18" s="24" t="str">
        <x:v>Medium reef assoc. fish (30 - 89 cm)</x:v>
      </x:c>
      <x:c r="H18" s="24" t="str">
        <x:v>Perch-likes</x:v>
      </x:c>
      <x:c r="I18" s="31" t="n">
        <x:v>8163.1143994949</x:v>
      </x:c>
      <x:c r="J18" s="31" t="n">
        <x:v>8163.1143994949</x:v>
      </x:c>
      <x:c r="K18" s="31" t="n">
        <x:v>0</x:v>
      </x:c>
      <x:c r="L18" s="31" t="n">
        <x:v>2531.728078458</x:v>
      </x:c>
      <x:c r="M18" s="31" t="n">
        <x:v>5631.3863210369</x:v>
      </x:c>
      <x:c r="N18" s="24" t="str">
        <x:v>alepes</x:v>
      </x:c>
      <x:c r="O18" s="32" t="n">
        <x:v>3.32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Alepes</x:v>
      </x:c>
      <x:c r="T18" s="32" t="n">
        <x:f>IF(O18="","",(1/'Metadata'!$B$5)^(O18-1))</x:f>
        <x:v>208.92961308540387</x:v>
      </x:c>
      <x:c r="U18" s="31" t="n">
        <x:f>IF(T18="","",I18*T18)</x:f>
        <x:v>1705516.3330583584</x:v>
      </x:c>
    </x:row>
    <x:row r="19" ht="18" customHeight="1">
      <x:c r="A19" s="24" t="str">
        <x:v>EEZ_461</x:v>
      </x:c>
      <x:c r="B19" s="24" t="str">
        <x:v>Malaysia (Sabah)</x:v>
      </x:c>
      <x:c r="C19" s="24" t="str">
        <x:v>EEZ</x:v>
      </x:c>
      <x:c r="D19" s="30" t="n">
        <x:v>2019</x:v>
      </x:c>
      <x:c r="E19" s="24" t="str">
        <x:v>Carcharhinus</x:v>
      </x:c>
      <x:c r="F19" s="24" t="str">
        <x:v>Sharp-nosed sharks</x:v>
      </x:c>
      <x:c r="G19" s="24" t="str">
        <x:v>Large sharks (&gt;=90 cm)</x:v>
      </x:c>
      <x:c r="H19" s="24" t="str">
        <x:v>Sharks &amp; rays</x:v>
      </x:c>
      <x:c r="I19" s="31" t="n">
        <x:v>7917.439532773</x:v>
      </x:c>
      <x:c r="J19" s="31" t="n">
        <x:v>7917.439532773</x:v>
      </x:c>
      <x:c r="K19" s="31" t="n">
        <x:v>0</x:v>
      </x:c>
      <x:c r="L19" s="31" t="n">
        <x:v>2455.5375670449</x:v>
      </x:c>
      <x:c r="M19" s="31" t="n">
        <x:v>5461.9019657281</x:v>
      </x:c>
      <x:c r="N19" s="24" t="str">
        <x:v>carcharhinus</x:v>
      </x:c>
      <x:c r="O19" s="32" t="n">
        <x:v>4.26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Carcharhinus</x:v>
      </x:c>
      <x:c r="T19" s="32" t="n">
        <x:f>IF(O19="","",(1/'Metadata'!$B$5)^(O19-1))</x:f>
        <x:v>1819.7008586099826</x:v>
      </x:c>
      <x:c r="U19" s="31" t="n">
        <x:f>IF(T19="","",I19*T19)</x:f>
        <x:v>14407371.515779648</x:v>
      </x:c>
    </x:row>
    <x:row r="20" ht="18" customHeight="1">
      <x:c r="A20" s="24" t="str">
        <x:v>EEZ_461</x:v>
      </x:c>
      <x:c r="B20" s="24" t="str">
        <x:v>Malaysia (Sabah)</x:v>
      </x:c>
      <x:c r="C20" s="24" t="str">
        <x:v>EEZ</x:v>
      </x:c>
      <x:c r="D20" s="30" t="n">
        <x:v>2019</x:v>
      </x:c>
      <x:c r="E20" s="24" t="str">
        <x:v>Pennahia</x:v>
      </x:c>
      <x:c r="F20" s="24" t="str">
        <x:v>Pennah croakers</x:v>
      </x:c>
      <x:c r="G20" s="24" t="str">
        <x:v>Medium benthopelagics (30 - 89 cm)</x:v>
      </x:c>
      <x:c r="H20" s="24" t="str">
        <x:v>Perch-likes</x:v>
      </x:c>
      <x:c r="I20" s="31" t="n">
        <x:v>7859.4059089685</x:v>
      </x:c>
      <x:c r="J20" s="31" t="n">
        <x:v>7859.4059089685</x:v>
      </x:c>
      <x:c r="K20" s="31" t="n">
        <x:v>0</x:v>
      </x:c>
      <x:c r="L20" s="31" t="n">
        <x:v>2438.096365632</x:v>
      </x:c>
      <x:c r="M20" s="31" t="n">
        <x:v>5421.309543336501</x:v>
      </x:c>
      <x:c r="N20" s="24" t="str">
        <x:v>pennahia</x:v>
      </x:c>
      <x:c r="O20" s="32" t="n">
        <x:v>3.73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Pennahia</x:v>
      </x:c>
      <x:c r="T20" s="32" t="n">
        <x:f>IF(O20="","",(1/'Metadata'!$B$5)^(O20-1))</x:f>
        <x:v>537.0317963702527</x:v>
      </x:c>
      <x:c r="U20" s="31" t="n">
        <x:f>IF(T20="","",I20*T20)</x:f>
        <x:v>4220750.873696332</x:v>
      </x:c>
    </x:row>
    <x:row r="21" ht="18" customHeight="1">
      <x:c r="A21" s="24" t="str">
        <x:v>EEZ_461</x:v>
      </x:c>
      <x:c r="B21" s="24" t="str">
        <x:v>Malaysia (Sabah)</x:v>
      </x:c>
      <x:c r="C21" s="24" t="str">
        <x:v>EEZ</x:v>
      </x:c>
      <x:c r="D21" s="30" t="n">
        <x:v>2019</x:v>
      </x:c>
      <x:c r="E21" s="24" t="str">
        <x:v>Mugil</x:v>
      </x:c>
      <x:c r="F21" s="24" t="str">
        <x:v>Grey mullets</x:v>
      </x:c>
      <x:c r="G21" s="24" t="str">
        <x:v>Medium demersals (30 - 89 cm)</x:v>
      </x:c>
      <x:c r="H21" s="24" t="str">
        <x:v>Perch-likes</x:v>
      </x:c>
      <x:c r="I21" s="31" t="n">
        <x:v>7702.0851990161</x:v>
      </x:c>
      <x:c r="J21" s="31" t="n">
        <x:v>7702.0851990161</x:v>
      </x:c>
      <x:c r="K21" s="31" t="n">
        <x:v>0</x:v>
      </x:c>
      <x:c r="L21" s="31" t="n">
        <x:v>2405.2319626373</x:v>
      </x:c>
      <x:c r="M21" s="31" t="n">
        <x:v>5296.8532363788</x:v>
      </x:c>
      <x:c r="N21" s="24" t="str">
        <x:v>mugil</x:v>
      </x:c>
      <x:c r="O21" s="32" t="n">
        <x:v>2.26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Mugil</x:v>
      </x:c>
      <x:c r="T21" s="32" t="n">
        <x:f>IF(O21="","",(1/'Metadata'!$B$5)^(O21-1))</x:f>
        <x:v>18.197008586099827</x:v>
      </x:c>
      <x:c r="U21" s="31" t="n">
        <x:f>IF(T21="","",I21*T21)</x:f>
        <x:v>140154.91049736837</x:v>
      </x:c>
    </x:row>
    <x:row r="22" ht="18" customHeight="1">
      <x:c r="A22" s="24" t="str">
        <x:v>EEZ_461</x:v>
      </x:c>
      <x:c r="B22" s="24" t="str">
        <x:v>Malaysia (Sabah)</x:v>
      </x:c>
      <x:c r="C22" s="24" t="str">
        <x:v>EEZ</x:v>
      </x:c>
      <x:c r="D22" s="30" t="n">
        <x:v>2019</x:v>
      </x:c>
      <x:c r="E22" s="24" t="str">
        <x:v>Pristipomoides</x:v>
      </x:c>
      <x:c r="F22" s="24" t="str">
        <x:v>Jobfishes</x:v>
      </x:c>
      <x:c r="G22" s="24" t="str">
        <x:v>Medium demersals (30 - 89 cm)</x:v>
      </x:c>
      <x:c r="H22" s="24" t="str">
        <x:v>Perch-likes</x:v>
      </x:c>
      <x:c r="I22" s="31" t="n">
        <x:v>7225.1299938964</x:v>
      </x:c>
      <x:c r="J22" s="31" t="n">
        <x:v>7225.1299938964</x:v>
      </x:c>
      <x:c r="K22" s="31" t="n">
        <x:v>0</x:v>
      </x:c>
      <x:c r="L22" s="31" t="n">
        <x:v>2240.7354022959003</x:v>
      </x:c>
      <x:c r="M22" s="31" t="n">
        <x:v>4984.3945916005005</x:v>
      </x:c>
      <x:c r="N22" s="24" t="str">
        <x:v>pristipomoides</x:v>
      </x:c>
      <x:c r="O22" s="32" t="n">
        <x:v>3.91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Pristipomoides</x:v>
      </x:c>
      <x:c r="T22" s="32" t="n">
        <x:f>IF(O22="","",(1/'Metadata'!$B$5)^(O22-1))</x:f>
        <x:v>812.8305161640995</x:v>
      </x:c>
      <x:c r="U22" s="31" t="n">
        <x:f>IF(T22="","",I22*T22)</x:f>
        <x:v>5872806.142291528</x:v>
      </x:c>
    </x:row>
    <x:row r="23" ht="18" customHeight="1">
      <x:c r="A23" s="24" t="str">
        <x:v>EEZ_461</x:v>
      </x:c>
      <x:c r="B23" s="24" t="str">
        <x:v>Malaysia (Sabah)</x:v>
      </x:c>
      <x:c r="C23" s="24" t="str">
        <x:v>EEZ</x:v>
      </x:c>
      <x:c r="D23" s="30" t="n">
        <x:v>2019</x:v>
      </x:c>
      <x:c r="E23" s="24" t="str">
        <x:v>Carangidae</x:v>
      </x:c>
      <x:c r="F23" s="24" t="str">
        <x:v>Jacks, pompanos</x:v>
      </x:c>
      <x:c r="G23" s="24" t="str">
        <x:v>Medium pelagics (30 - 89 cm)</x:v>
      </x:c>
      <x:c r="H23" s="24" t="str">
        <x:v>Perch-likes</x:v>
      </x:c>
      <x:c r="I23" s="31" t="n">
        <x:v>6737.3922460553</x:v>
      </x:c>
      <x:c r="J23" s="31" t="n">
        <x:v>6736.8391881606</x:v>
      </x:c>
      <x:c r="K23" s="31" t="n">
        <x:v>0.5530578947</x:v>
      </x:c>
      <x:c r="L23" s="31" t="n">
        <x:v>2112.0472269125</x:v>
      </x:c>
      <x:c r="M23" s="31" t="n">
        <x:v>4625.3450191428</x:v>
      </x:c>
      <x:c r="N23" s="24" t="str">
        <x:v>carangidae</x:v>
      </x:c>
      <x:c r="O23" s="32" t="n">
        <x:v>4.05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Carangidae</x:v>
      </x:c>
      <x:c r="T23" s="32" t="n">
        <x:f>IF(O23="","",(1/'Metadata'!$B$5)^(O23-1))</x:f>
        <x:v>1122.018454301963</x:v>
      </x:c>
      <x:c r="U23" s="31" t="n">
        <x:f>IF(T23="","",I23*T23)</x:f>
        <x:v>7559478.433944998</x:v>
      </x:c>
    </x:row>
    <x:row r="24" ht="18" customHeight="1">
      <x:c r="A24" s="24" t="str">
        <x:v>EEZ_461</x:v>
      </x:c>
      <x:c r="B24" s="24" t="str">
        <x:v>Malaysia (Sabah)</x:v>
      </x:c>
      <x:c r="C24" s="24" t="str">
        <x:v>EEZ</x:v>
      </x:c>
      <x:c r="D24" s="30" t="n">
        <x:v>2019</x:v>
      </x:c>
      <x:c r="E24" s="24" t="str">
        <x:v>Scomberoides</x:v>
      </x:c>
      <x:c r="F24" s="24" t="str">
        <x:v>Queenfishes</x:v>
      </x:c>
      <x:c r="G24" s="24" t="str">
        <x:v>Medium pelagics (30 - 89 cm)</x:v>
      </x:c>
      <x:c r="H24" s="24" t="str">
        <x:v>Perch-likes</x:v>
      </x:c>
      <x:c r="I24" s="31" t="n">
        <x:v>6689.1416532709</x:v>
      </x:c>
      <x:c r="J24" s="31" t="n">
        <x:v>6689.1416532709</x:v>
      </x:c>
      <x:c r="K24" s="31" t="n">
        <x:v>0</x:v>
      </x:c>
      <x:c r="L24" s="31" t="n">
        <x:v>2074.5850099038003</x:v>
      </x:c>
      <x:c r="M24" s="31" t="n">
        <x:v>4614.5566433671</x:v>
      </x:c>
      <x:c r="N24" s="24" t="str">
        <x:v>scomberoides</x:v>
      </x:c>
      <x:c r="O24" s="32" t="n">
        <x:v>4.47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Scomberoides</x:v>
      </x:c>
      <x:c r="T24" s="32" t="n">
        <x:f>IF(O24="","",(1/'Metadata'!$B$5)^(O24-1))</x:f>
        <x:v>2951.209226666384</x:v>
      </x:c>
      <x:c r="U24" s="31" t="n">
        <x:f>IF(T24="","",I24*T24)</x:f>
        <x:v>19741056.56561151</x:v>
      </x:c>
    </x:row>
    <x:row r="25" ht="18" customHeight="1">
      <x:c r="A25" s="24" t="str">
        <x:v>EEZ_461</x:v>
      </x:c>
      <x:c r="B25" s="24" t="str">
        <x:v>Malaysia (Sabah)</x:v>
      </x:c>
      <x:c r="C25" s="24" t="str">
        <x:v>EEZ</x:v>
      </x:c>
      <x:c r="D25" s="30" t="n">
        <x:v>2019</x:v>
      </x:c>
      <x:c r="E25" s="24" t="str">
        <x:v>Rhizostomeae</x:v>
      </x:c>
      <x:c r="F25" s="24" t="str">
        <x:v>Oral arm jellyfishes</x:v>
      </x:c>
      <x:c r="G25" s="24" t="str">
        <x:v>Jellyfish</x:v>
      </x:c>
      <x:c r="H25" s="24" t="str">
        <x:v>Other fishes &amp; inverts</x:v>
      </x:c>
      <x:c r="I25" s="31" t="n">
        <x:v>6428.1066666666</x:v>
      </x:c>
      <x:c r="J25" s="31" t="n">
        <x:v>6428.1066666666</x:v>
      </x:c>
      <x:c r="K25" s="31" t="n">
        <x:v>0</x:v>
      </x:c>
      <x:c r="L25" s="31" t="n">
        <x:v>6428.1066666666</x:v>
      </x:c>
      <x:c r="M25" s="31" t="n">
        <x:v>0</x:v>
      </x:c>
      <x:c r="N25" s="24" t="str">
        <x:v>rhizostomeae</x:v>
      </x:c>
      <x:c r="O25" s="32" t="n">
        <x:v>3.46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Rhizostomeae</x:v>
      </x:c>
      <x:c r="T25" s="32" t="n">
        <x:f>IF(O25="","",(1/'Metadata'!$B$5)^(O25-1))</x:f>
        <x:v>288.40315031266056</x:v>
      </x:c>
      <x:c r="U25" s="31" t="n">
        <x:f>IF(T25="","",I25*T25)</x:f>
        <x:v>1853886.2132124628</x:v>
      </x:c>
    </x:row>
    <x:row r="26" ht="18" customHeight="1">
      <x:c r="A26" s="24" t="str">
        <x:v>EEZ_461</x:v>
      </x:c>
      <x:c r="B26" s="24" t="str">
        <x:v>Malaysia (Sabah)</x:v>
      </x:c>
      <x:c r="C26" s="24" t="str">
        <x:v>EEZ</x:v>
      </x:c>
      <x:c r="D26" s="30" t="n">
        <x:v>2019</x:v>
      </x:c>
      <x:c r="E26" s="24" t="str">
        <x:v>Megalaspis cordyla</x:v>
      </x:c>
      <x:c r="F26" s="24" t="str">
        <x:v>Torpedo scad</x:v>
      </x:c>
      <x:c r="G26" s="24" t="str">
        <x:v>Medium pelagics (30 - 89 cm)</x:v>
      </x:c>
      <x:c r="H26" s="24" t="str">
        <x:v>Perch-likes</x:v>
      </x:c>
      <x:c r="I26" s="31" t="n">
        <x:v>6179.7961669486995</x:v>
      </x:c>
      <x:c r="J26" s="31" t="n">
        <x:v>6179.7961669486995</x:v>
      </x:c>
      <x:c r="K26" s="31" t="n">
        <x:v>0</x:v>
      </x:c>
      <x:c r="L26" s="31" t="n">
        <x:v>1915.5657302754</x:v>
      </x:c>
      <x:c r="M26" s="31" t="n">
        <x:v>4264.2304366733</x:v>
      </x:c>
      <x:c r="N26" s="24" t="str">
        <x:v>megalaspis cordyla</x:v>
      </x:c>
      <x:c r="O26" s="32" t="n">
        <x:v>4.24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Megalaspis cordyla</x:v>
      </x:c>
      <x:c r="T26" s="32" t="n">
        <x:f>IF(O26="","",(1/'Metadata'!$B$5)^(O26-1))</x:f>
        <x:v>1737.8008287493763</x:v>
      </x:c>
      <x:c r="U26" s="31" t="n">
        <x:f>IF(T26="","",I26*T26)</x:f>
        <x:v>10739254.900425669</x:v>
      </x:c>
    </x:row>
    <x:row r="27" ht="18" customHeight="1">
      <x:c r="A27" s="24" t="str">
        <x:v>EEZ_461</x:v>
      </x:c>
      <x:c r="B27" s="24" t="str">
        <x:v>Malaysia (Sabah)</x:v>
      </x:c>
      <x:c r="C27" s="24" t="str">
        <x:v>EEZ</x:v>
      </x:c>
      <x:c r="D27" s="30" t="n">
        <x:v>2019</x:v>
      </x:c>
      <x:c r="E27" s="24" t="str">
        <x:v>Siganus</x:v>
      </x:c>
      <x:c r="F27" s="24" t="str">
        <x:v>Spinefoots</x:v>
      </x:c>
      <x:c r="G27" s="24" t="str">
        <x:v>Medium reef assoc. fish (30 - 89 cm)</x:v>
      </x:c>
      <x:c r="H27" s="24" t="str">
        <x:v>Perch-likes</x:v>
      </x:c>
      <x:c r="I27" s="31" t="n">
        <x:v>5452.463224817</x:v>
      </x:c>
      <x:c r="J27" s="31" t="n">
        <x:v>5452.463224817</x:v>
      </x:c>
      <x:c r="K27" s="31" t="n">
        <x:v>0</x:v>
      </x:c>
      <x:c r="L27" s="31" t="n">
        <x:v>1195.1812756236</x:v>
      </x:c>
      <x:c r="M27" s="31" t="n">
        <x:v>4257.2819491934</x:v>
      </x:c>
      <x:c r="N27" s="24" t="str">
        <x:v>siganus</x:v>
      </x:c>
      <x:c r="O27" s="32" t="n">
        <x:v>2.11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Siganus</x:v>
      </x:c>
      <x:c r="T27" s="32" t="n">
        <x:f>IF(O27="","",(1/'Metadata'!$B$5)^(O27-1))</x:f>
        <x:v>12.882495516931336</x:v>
      </x:c>
      <x:c r="U27" s="31" t="n">
        <x:f>IF(T27="","",I27*T27)</x:f>
        <x:v>70241.33304993798</x:v>
      </x:c>
    </x:row>
    <x:row r="28" ht="18" customHeight="1">
      <x:c r="A28" s="24" t="str">
        <x:v>EEZ_461</x:v>
      </x:c>
      <x:c r="B28" s="24" t="str">
        <x:v>Malaysia (Sabah)</x:v>
      </x:c>
      <x:c r="C28" s="24" t="str">
        <x:v>EEZ</x:v>
      </x:c>
      <x:c r="D28" s="30" t="n">
        <x:v>2019</x:v>
      </x:c>
      <x:c r="E28" s="24" t="str">
        <x:v>Himantura</x:v>
      </x:c>
      <x:c r="F28" s="24" t="str">
        <x:v>Whiprays</x:v>
      </x:c>
      <x:c r="G28" s="24" t="str">
        <x:v>Large rays (&gt;=90 cm)</x:v>
      </x:c>
      <x:c r="H28" s="24" t="str">
        <x:v>Sharks &amp; rays</x:v>
      </x:c>
      <x:c r="I28" s="31" t="n">
        <x:v>5427.7807607972</x:v>
      </x:c>
      <x:c r="J28" s="31" t="n">
        <x:v>5427.7807607972</x:v>
      </x:c>
      <x:c r="K28" s="31" t="n">
        <x:v>0</x:v>
      </x:c>
      <x:c r="L28" s="31" t="n">
        <x:v>1683.5349151222001</x:v>
      </x:c>
      <x:c r="M28" s="31" t="n">
        <x:v>3744.245845675</x:v>
      </x:c>
      <x:c r="N28" s="24" t="str">
        <x:v>himantura</x:v>
      </x:c>
      <x:c r="O28" s="32" t="n">
        <x:v>3.85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Himantura</x:v>
      </x:c>
      <x:c r="T28" s="32" t="n">
        <x:f>IF(O28="","",(1/'Metadata'!$B$5)^(O28-1))</x:f>
        <x:v>707.945784384138</x:v>
      </x:c>
      <x:c r="U28" s="31" t="n">
        <x:f>IF(T28="","",I28*T28)</x:f>
        <x:v>3842574.5081677074</x:v>
      </x:c>
    </x:row>
    <x:row r="29" ht="18" customHeight="1">
      <x:c r="A29" s="24" t="str">
        <x:v>EEZ_461</x:v>
      </x:c>
      <x:c r="B29" s="24" t="str">
        <x:v>Malaysia (Sabah)</x:v>
      </x:c>
      <x:c r="C29" s="24" t="str">
        <x:v>EEZ</x:v>
      </x:c>
      <x:c r="D29" s="30" t="n">
        <x:v>2019</x:v>
      </x:c>
      <x:c r="E29" s="24" t="str">
        <x:v>Thunnus tonggol</x:v>
      </x:c>
      <x:c r="F29" s="24" t="str">
        <x:v>Longtail tuna</x:v>
      </x:c>
      <x:c r="G29" s="24" t="str">
        <x:v>Large pelagics (&gt;=90 cm)</x:v>
      </x:c>
      <x:c r="H29" s="24" t="str">
        <x:v>Tuna &amp; billfishes</x:v>
      </x:c>
      <x:c r="I29" s="31" t="n">
        <x:v>5312.2452255397</x:v>
      </x:c>
      <x:c r="J29" s="31" t="n">
        <x:v>5312.2452255397</x:v>
      </x:c>
      <x:c r="K29" s="31" t="n">
        <x:v>0</x:v>
      </x:c>
      <x:c r="L29" s="31" t="n">
        <x:v>1675.2732934022</x:v>
      </x:c>
      <x:c r="M29" s="31" t="n">
        <x:v>3636.9719321375</x:v>
      </x:c>
      <x:c r="N29" s="24" t="str">
        <x:v>thunnus tonggol</x:v>
      </x:c>
      <x:c r="O29" s="32" t="n">
        <x:v>4.5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Thunnus tonggol</x:v>
      </x:c>
      <x:c r="T29" s="32" t="n">
        <x:f>IF(O29="","",(1/'Metadata'!$B$5)^(O29-1))</x:f>
        <x:v>3162.2776601683795</x:v>
      </x:c>
      <x:c r="U29" s="31" t="n">
        <x:f>IF(T29="","",I29*T29)</x:f>
        <x:v>16798794.40206033</x:v>
      </x:c>
    </x:row>
    <x:row r="30" ht="18" customHeight="1">
      <x:c r="A30" s="24" t="str">
        <x:v>EEZ_461</x:v>
      </x:c>
      <x:c r="B30" s="24" t="str">
        <x:v>Malaysia (Sabah)</x:v>
      </x:c>
      <x:c r="C30" s="24" t="str">
        <x:v>EEZ</x:v>
      </x:c>
      <x:c r="D30" s="30" t="n">
        <x:v>2019</x:v>
      </x:c>
      <x:c r="E30" s="24" t="str">
        <x:v>Parastromateus niger</x:v>
      </x:c>
      <x:c r="F30" s="24" t="str">
        <x:v>Black pomfret</x:v>
      </x:c>
      <x:c r="G30" s="24" t="str">
        <x:v>Medium benthopelagics (30 - 89 cm)</x:v>
      </x:c>
      <x:c r="H30" s="24" t="str">
        <x:v>Perch-likes</x:v>
      </x:c>
      <x:c r="I30" s="31" t="n">
        <x:v>4796.724036804</x:v>
      </x:c>
      <x:c r="J30" s="31" t="n">
        <x:v>4796.724036804</x:v>
      </x:c>
      <x:c r="K30" s="31" t="n">
        <x:v>0</x:v>
      </x:c>
      <x:c r="L30" s="31" t="n">
        <x:v>1491.8673800729</x:v>
      </x:c>
      <x:c r="M30" s="31" t="n">
        <x:v>3304.8566567311</x:v>
      </x:c>
      <x:c r="N30" s="24" t="str">
        <x:v>parastromateus niger</x:v>
      </x:c>
      <x:c r="O30" s="32" t="n">
        <x:v>2.93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Parastromateus niger</x:v>
      </x:c>
      <x:c r="T30" s="32" t="n">
        <x:f>IF(O30="","",(1/'Metadata'!$B$5)^(O30-1))</x:f>
        <x:v>85.11380382023768</x:v>
      </x:c>
      <x:c r="U30" s="31" t="n">
        <x:f>IF(T30="","",I30*T30)</x:f>
        <x:v>408267.4286483542</x:v>
      </x:c>
    </x:row>
    <x:row r="31" ht="18" customHeight="1">
      <x:c r="A31" s="24" t="str">
        <x:v>EEZ_461</x:v>
      </x:c>
      <x:c r="B31" s="24" t="str">
        <x:v>Malaysia (Sabah)</x:v>
      </x:c>
      <x:c r="C31" s="24" t="str">
        <x:v>EEZ</x:v>
      </x:c>
      <x:c r="D31" s="30" t="n">
        <x:v>2019</x:v>
      </x:c>
      <x:c r="E31" s="24" t="str">
        <x:v>Lutjanus quinquelineatus</x:v>
      </x:c>
      <x:c r="F31" s="24" t="str">
        <x:v>Five-lined snapper</x:v>
      </x:c>
      <x:c r="G31" s="24" t="str">
        <x:v>Medium reef assoc. fish (30 - 89 cm)</x:v>
      </x:c>
      <x:c r="H31" s="24" t="str">
        <x:v>Perch-likes</x:v>
      </x:c>
      <x:c r="I31" s="31" t="n">
        <x:v>4694.3105989771</x:v>
      </x:c>
      <x:c r="J31" s="31" t="n">
        <x:v>4694.3105989771</x:v>
      </x:c>
      <x:c r="K31" s="31" t="n">
        <x:v>0</x:v>
      </x:c>
      <x:c r="L31" s="31" t="n">
        <x:v>1439.3580953726</x:v>
      </x:c>
      <x:c r="M31" s="31" t="n">
        <x:v>3254.9525036045</x:v>
      </x:c>
      <x:c r="N31" s="24" t="str">
        <x:v>lutjanus quinquelineatus</x:v>
      </x:c>
      <x:c r="O31" s="32" t="n">
        <x:v>3.68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Lutjanus quinquelineatus</x:v>
      </x:c>
      <x:c r="T31" s="32" t="n">
        <x:f>IF(O31="","",(1/'Metadata'!$B$5)^(O31-1))</x:f>
        <x:v>478.6300923226385</x:v>
      </x:c>
      <x:c r="U31" s="31" t="n">
        <x:f>IF(T31="","",I31*T31)</x:f>
        <x:v>2246838.31537955</x:v>
      </x:c>
    </x:row>
    <x:row r="32" ht="18" customHeight="1">
      <x:c r="A32" s="24" t="str">
        <x:v>EEZ_461</x:v>
      </x:c>
      <x:c r="B32" s="24" t="str">
        <x:v>Malaysia (Sabah)</x:v>
      </x:c>
      <x:c r="C32" s="24" t="str">
        <x:v>EEZ</x:v>
      </x:c>
      <x:c r="D32" s="30" t="n">
        <x:v>2019</x:v>
      </x:c>
      <x:c r="E32" s="24" t="str">
        <x:v>Trichiuridae</x:v>
      </x:c>
      <x:c r="F32" s="24" t="str">
        <x:v>Cutlassfishes</x:v>
      </x:c>
      <x:c r="G32" s="24" t="str">
        <x:v>Large benthopelagics (&gt;=90 cm)</x:v>
      </x:c>
      <x:c r="H32" s="24" t="str">
        <x:v>Perch-likes</x:v>
      </x:c>
      <x:c r="I32" s="31" t="n">
        <x:v>4466.7834771079</x:v>
      </x:c>
      <x:c r="J32" s="31" t="n">
        <x:v>4466.7834771079</x:v>
      </x:c>
      <x:c r="K32" s="31" t="n">
        <x:v>0</x:v>
      </x:c>
      <x:c r="L32" s="31" t="n">
        <x:v>4466.7834771079</x:v>
      </x:c>
      <x:c r="M32" s="31" t="n">
        <x:v>0</x:v>
      </x:c>
      <x:c r="N32" s="24" t="str">
        <x:v>trichiuridae</x:v>
      </x:c>
      <x:c r="O32" s="32" t="n">
        <x:v>4.15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Trichiuridae</x:v>
      </x:c>
      <x:c r="T32" s="32" t="n">
        <x:f>IF(O32="","",(1/'Metadata'!$B$5)^(O32-1))</x:f>
        <x:v>1412.5375446227554</x:v>
      </x:c>
      <x:c r="U32" s="31" t="n">
        <x:f>IF(T32="","",I32*T32)</x:f>
        <x:v>6309499.365115486</x:v>
      </x:c>
    </x:row>
    <x:row r="33" ht="18" customHeight="1">
      <x:c r="A33" s="24" t="str">
        <x:v>EEZ_461</x:v>
      </x:c>
      <x:c r="B33" s="24" t="str">
        <x:v>Malaysia (Sabah)</x:v>
      </x:c>
      <x:c r="C33" s="24" t="str">
        <x:v>EEZ</x:v>
      </x:c>
      <x:c r="D33" s="30" t="n">
        <x:v>2019</x:v>
      </x:c>
      <x:c r="E33" s="24" t="str">
        <x:v>Plotosus</x:v>
      </x:c>
      <x:c r="F33" s="24" t="str">
        <x:v>Eel catfishes</x:v>
      </x:c>
      <x:c r="G33" s="24" t="str">
        <x:v>Medium reef assoc. fish (30 - 89 cm)</x:v>
      </x:c>
      <x:c r="H33" s="24" t="str">
        <x:v>Other fishes &amp; inverts</x:v>
      </x:c>
      <x:c r="I33" s="31" t="n">
        <x:v>4418.0952278479</x:v>
      </x:c>
      <x:c r="J33" s="31" t="n">
        <x:v>4418.0952278479</x:v>
      </x:c>
      <x:c r="K33" s="31" t="n">
        <x:v>0</x:v>
      </x:c>
      <x:c r="L33" s="31" t="n">
        <x:v>1374.669891127</x:v>
      </x:c>
      <x:c r="M33" s="31" t="n">
        <x:v>3043.4253367209</x:v>
      </x:c>
      <x:c r="N33" s="24" t="str">
        <x:v>plotosus</x:v>
      </x:c>
      <x:c r="O33" s="32" t="n">
        <x:v>3.49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Plotosus</x:v>
      </x:c>
      <x:c r="T33" s="32" t="n">
        <x:f>IF(O33="","",(1/'Metadata'!$B$5)^(O33-1))</x:f>
        <x:v>309.0295432513592</x:v>
      </x:c>
      <x:c r="U33" s="31" t="n">
        <x:f>IF(T33="","",I33*T33)</x:f>
        <x:v>1365321.9503028463</x:v>
      </x:c>
    </x:row>
    <x:row r="34" ht="18" customHeight="1">
      <x:c r="A34" s="24" t="str">
        <x:v>EEZ_461</x:v>
      </x:c>
      <x:c r="B34" s="24" t="str">
        <x:v>Malaysia (Sabah)</x:v>
      </x:c>
      <x:c r="C34" s="24" t="str">
        <x:v>EEZ</x:v>
      </x:c>
      <x:c r="D34" s="30" t="n">
        <x:v>2019</x:v>
      </x:c>
      <x:c r="E34" s="24" t="str">
        <x:v>Scyris indica</x:v>
      </x:c>
      <x:c r="F34" s="24" t="str">
        <x:v>Indian threadfish</x:v>
      </x:c>
      <x:c r="G34" s="24" t="str">
        <x:v>Large reef assoc. fish (&gt;=90 cm)</x:v>
      </x:c>
      <x:c r="H34" s="24" t="str">
        <x:v>Perch-likes</x:v>
      </x:c>
      <x:c r="I34" s="31" t="n">
        <x:v>4290.3240008165</x:v>
      </x:c>
      <x:c r="J34" s="31" t="n">
        <x:v>4290.3240008165</x:v>
      </x:c>
      <x:c r="K34" s="31" t="n">
        <x:v>0</x:v>
      </x:c>
      <x:c r="L34" s="31" t="n">
        <x:v>1353.0700462749</x:v>
      </x:c>
      <x:c r="M34" s="31" t="n">
        <x:v>2937.2539545416003</x:v>
      </x:c>
      <x:c r="N34" s="24" t="str">
        <x:v>scyris indica</x:v>
      </x:c>
      <x:c r="O34" s="32" t="n">
        <x:v>4.09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Scyris indica</x:v>
      </x:c>
      <x:c r="T34" s="32" t="n">
        <x:f>IF(O34="","",(1/'Metadata'!$B$5)^(O34-1))</x:f>
        <x:v>1230.268770812381</x:v>
      </x:c>
      <x:c r="U34" s="31" t="n">
        <x:f>IF(T34="","",I34*T34)</x:f>
        <x:v>5278251.634871373</x:v>
      </x:c>
    </x:row>
    <x:row r="35" ht="18" customHeight="1">
      <x:c r="A35" s="24" t="str">
        <x:v>EEZ_461</x:v>
      </x:c>
      <x:c r="B35" s="24" t="str">
        <x:v>Malaysia (Sabah)</x:v>
      </x:c>
      <x:c r="C35" s="24" t="str">
        <x:v>EEZ</x:v>
      </x:c>
      <x:c r="D35" s="30" t="n">
        <x:v>2019</x:v>
      </x:c>
      <x:c r="E35" s="24" t="str">
        <x:v>Pomadasys</x:v>
      </x:c>
      <x:c r="F35" s="24" t="str">
        <x:v>Grunters</x:v>
      </x:c>
      <x:c r="G35" s="24" t="str">
        <x:v>Medium demersals (30 - 89 cm)</x:v>
      </x:c>
      <x:c r="H35" s="24" t="str">
        <x:v>Perch-likes</x:v>
      </x:c>
      <x:c r="I35" s="31" t="n">
        <x:v>3713.0394173492</x:v>
      </x:c>
      <x:c r="J35" s="31" t="n">
        <x:v>3713.0394173492</x:v>
      </x:c>
      <x:c r="K35" s="31" t="n">
        <x:v>0</x:v>
      </x:c>
      <x:c r="L35" s="31" t="n">
        <x:v>1100.377060684</x:v>
      </x:c>
      <x:c r="M35" s="31" t="n">
        <x:v>2612.6623566652</x:v>
      </x:c>
      <x:c r="N35" s="24" t="str">
        <x:v>pomadasys</x:v>
      </x:c>
      <x:c r="O35" s="32" t="n">
        <x:v>3.59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Pomadasys</x:v>
      </x:c>
      <x:c r="T35" s="32" t="n">
        <x:f>IF(O35="","",(1/'Metadata'!$B$5)^(O35-1))</x:f>
        <x:v>389.04514499428046</x:v>
      </x:c>
      <x:c r="U35" s="31" t="n">
        <x:f>IF(T35="","",I35*T35)</x:f>
        <x:v>1444539.9584920981</x:v>
      </x:c>
    </x:row>
    <x:row r="36" ht="18" customHeight="1">
      <x:c r="A36" s="24" t="str">
        <x:v>EEZ_461</x:v>
      </x:c>
      <x:c r="B36" s="24" t="str">
        <x:v>Malaysia (Sabah)</x:v>
      </x:c>
      <x:c r="C36" s="24" t="str">
        <x:v>EEZ</x:v>
      </x:c>
      <x:c r="D36" s="30" t="n">
        <x:v>2019</x:v>
      </x:c>
      <x:c r="E36" s="24" t="str">
        <x:v>Sciaenidae</x:v>
      </x:c>
      <x:c r="F36" s="24" t="str">
        <x:v>Drums, croakers</x:v>
      </x:c>
      <x:c r="G36" s="24" t="str">
        <x:v>Medium demersals (30 - 89 cm)</x:v>
      </x:c>
      <x:c r="H36" s="24" t="str">
        <x:v>Perch-likes</x:v>
      </x:c>
      <x:c r="I36" s="31" t="n">
        <x:v>3689.5503675411</x:v>
      </x:c>
      <x:c r="J36" s="31" t="n">
        <x:v>3588.82178698</x:v>
      </x:c>
      <x:c r="K36" s="31" t="n">
        <x:v>100.7285805611</x:v>
      </x:c>
      <x:c r="L36" s="31" t="n">
        <x:v>3587.9919720787</x:v>
      </x:c>
      <x:c r="M36" s="31" t="n">
        <x:v>101.5583954624</x:v>
      </x:c>
      <x:c r="N36" s="24" t="str">
        <x:v>sciaenidae</x:v>
      </x:c>
      <x:c r="O36" s="32" t="n">
        <x:v>3.76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Sciaenidae</x:v>
      </x:c>
      <x:c r="T36" s="32" t="n">
        <x:f>IF(O36="","",(1/'Metadata'!$B$5)^(O36-1))</x:f>
        <x:v>575.4399373371566</x:v>
      </x:c>
      <x:c r="U36" s="31" t="n">
        <x:f>IF(T36="","",I36*T36)</x:f>
        <x:v>2123114.632300134</x:v>
      </x:c>
    </x:row>
    <x:row r="37" ht="18" customHeight="1">
      <x:c r="A37" s="24" t="str">
        <x:v>EEZ_461</x:v>
      </x:c>
      <x:c r="B37" s="24" t="str">
        <x:v>Malaysia (Sabah)</x:v>
      </x:c>
      <x:c r="C37" s="24" t="str">
        <x:v>EEZ</x:v>
      </x:c>
      <x:c r="D37" s="30" t="n">
        <x:v>2019</x:v>
      </x:c>
      <x:c r="E37" s="24" t="str">
        <x:v>Haemulidae</x:v>
      </x:c>
      <x:c r="F37" s="24" t="str">
        <x:v>Grunts, sweetlips, bonnetmouths</x:v>
      </x:c>
      <x:c r="G37" s="24" t="str">
        <x:v>Medium demersals (30 - 89 cm)</x:v>
      </x:c>
      <x:c r="H37" s="24" t="str">
        <x:v>Perch-likes</x:v>
      </x:c>
      <x:c r="I37" s="31" t="n">
        <x:v>3480.6980281069</x:v>
      </x:c>
      <x:c r="J37" s="31" t="n">
        <x:v>3480.6980281069</x:v>
      </x:c>
      <x:c r="K37" s="31" t="n">
        <x:v>0</x:v>
      </x:c>
      <x:c r="L37" s="31" t="n">
        <x:v>3435.9166779204</x:v>
      </x:c>
      <x:c r="M37" s="31" t="n">
        <x:v>44.7813501865</x:v>
      </x:c>
      <x:c r="N37" s="24" t="str">
        <x:v>haemulidae</x:v>
      </x:c>
      <x:c r="O37" s="32" t="n">
        <x:v>3.36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Haemulidae</x:v>
      </x:c>
      <x:c r="T37" s="32" t="n">
        <x:f>IF(O37="","",(1/'Metadata'!$B$5)^(O37-1))</x:f>
        <x:v>229.08676527677724</x:v>
      </x:c>
      <x:c r="U37" s="31" t="n">
        <x:f>IF(T37="","",I37*T37)</x:f>
        <x:v>797381.8521642667</x:v>
      </x:c>
    </x:row>
    <x:row r="38" ht="18" customHeight="1">
      <x:c r="A38" s="24" t="str">
        <x:v>EEZ_461</x:v>
      </x:c>
      <x:c r="B38" s="24" t="str">
        <x:v>Malaysia (Sabah)</x:v>
      </x:c>
      <x:c r="C38" s="24" t="str">
        <x:v>EEZ</x:v>
      </x:c>
      <x:c r="D38" s="30" t="n">
        <x:v>2019</x:v>
      </x:c>
      <x:c r="E38" s="24" t="str">
        <x:v>Lutjanus</x:v>
      </x:c>
      <x:c r="F38" s="24" t="str">
        <x:v>Snappers</x:v>
      </x:c>
      <x:c r="G38" s="24" t="str">
        <x:v>Medium reef assoc. fish (30 - 89 cm)</x:v>
      </x:c>
      <x:c r="H38" s="24" t="str">
        <x:v>Perch-likes</x:v>
      </x:c>
      <x:c r="I38" s="31" t="n">
        <x:v>3144.5093556803</x:v>
      </x:c>
      <x:c r="J38" s="31" t="n">
        <x:v>3144.5093556803</x:v>
      </x:c>
      <x:c r="K38" s="31" t="n">
        <x:v>0</x:v>
      </x:c>
      <x:c r="L38" s="31" t="n">
        <x:v>991.3946065037</x:v>
      </x:c>
      <x:c r="M38" s="31" t="n">
        <x:v>2153.1147491766</x:v>
      </x:c>
      <x:c r="N38" s="24" t="str">
        <x:v>lutjanus</x:v>
      </x:c>
      <x:c r="O38" s="32" t="n">
        <x:v>4.02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Lutjanus</x:v>
      </x:c>
      <x:c r="T38" s="32" t="n">
        <x:f>IF(O38="","",(1/'Metadata'!$B$5)^(O38-1))</x:f>
        <x:v>1047.1285480508984</x:v>
      </x:c>
      <x:c r="U38" s="31" t="n">
        <x:f>IF(T38="","",I38*T38)</x:f>
        <x:v>3292705.5159459785</x:v>
      </x:c>
    </x:row>
    <x:row r="39" ht="18" customHeight="1">
      <x:c r="A39" s="24" t="str">
        <x:v>EEZ_461</x:v>
      </x:c>
      <x:c r="B39" s="24" t="str">
        <x:v>Malaysia (Sabah)</x:v>
      </x:c>
      <x:c r="C39" s="24" t="str">
        <x:v>EEZ</x:v>
      </x:c>
      <x:c r="D39" s="30" t="n">
        <x:v>2019</x:v>
      </x:c>
      <x:c r="E39" s="24" t="str">
        <x:v>Muraenesox</x:v>
      </x:c>
      <x:c r="F39" s="24" t="str">
        <x:v>Congers</x:v>
      </x:c>
      <x:c r="G39" s="24" t="str">
        <x:v>Large demersals (&gt;=90 cm)</x:v>
      </x:c>
      <x:c r="H39" s="24" t="str">
        <x:v>Other fishes &amp; inverts</x:v>
      </x:c>
      <x:c r="I39" s="31" t="n">
        <x:v>2530.7513508245</x:v>
      </x:c>
      <x:c r="J39" s="31" t="n">
        <x:v>2530.7513508245</x:v>
      </x:c>
      <x:c r="K39" s="31" t="n">
        <x:v>0</x:v>
      </x:c>
      <x:c r="L39" s="31" t="n">
        <x:v>784.854063484</x:v>
      </x:c>
      <x:c r="M39" s="31" t="n">
        <x:v>1745.8972873405</x:v>
      </x:c>
      <x:c r="N39" s="24" t="str">
        <x:v>muraenesox</x:v>
      </x:c>
      <x:c r="O39" s="32" t="n">
        <x:v>3.99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Muraenesox</x:v>
      </x:c>
      <x:c r="T39" s="32" t="n">
        <x:f>IF(O39="","",(1/'Metadata'!$B$5)^(O39-1))</x:f>
        <x:v>977.2372209558112</x:v>
      </x:c>
      <x:c r="U39" s="31" t="n">
        <x:f>IF(T39="","",I39*T39)</x:f>
        <x:v>2473144.4170098994</x:v>
      </x:c>
    </x:row>
    <x:row r="40" ht="18" customHeight="1">
      <x:c r="A40" s="24" t="str">
        <x:v>EEZ_461</x:v>
      </x:c>
      <x:c r="B40" s="24" t="str">
        <x:v>Malaysia (Sabah)</x:v>
      </x:c>
      <x:c r="C40" s="24" t="str">
        <x:v>EEZ</x:v>
      </x:c>
      <x:c r="D40" s="30" t="n">
        <x:v>2019</x:v>
      </x:c>
      <x:c r="E40" s="24" t="str">
        <x:v>Acetes</x:v>
      </x:c>
      <x:c r="F40" s="24" t="str">
        <x:v>Acetes shrimps</x:v>
      </x:c>
      <x:c r="G40" s="24" t="str">
        <x:v>Shrimps</x:v>
      </x:c>
      <x:c r="H40" s="24" t="str">
        <x:v>Crustaceans</x:v>
      </x:c>
      <x:c r="I40" s="31" t="n">
        <x:v>2435.011709718</x:v>
      </x:c>
      <x:c r="J40" s="31" t="n">
        <x:v>2435.011709718</x:v>
      </x:c>
      <x:c r="K40" s="31" t="n">
        <x:v>0</x:v>
      </x:c>
      <x:c r="L40" s="31" t="n">
        <x:v>771.1903026118</x:v>
      </x:c>
      <x:c r="M40" s="31" t="n">
        <x:v>1663.8214071062</x:v>
      </x:c>
      <x:c r="N40" s="24" t="str">
        <x:v>acetes</x:v>
      </x:c>
      <x:c r="O40" s="32" t="n">
        <x:v>2.7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Acetes</x:v>
      </x:c>
      <x:c r="T40" s="32" t="n">
        <x:f>IF(O40="","",(1/'Metadata'!$B$5)^(O40-1))</x:f>
        <x:v>50.11872336272725</x:v>
      </x:c>
      <x:c r="U40" s="31" t="n">
        <x:f>IF(T40="","",I40*T40)</x:f>
        <x:v>122039.67826435795</x:v>
      </x:c>
    </x:row>
    <x:row r="41" ht="18" customHeight="1">
      <x:c r="A41" s="24" t="str">
        <x:v>EEZ_461</x:v>
      </x:c>
      <x:c r="B41" s="24" t="str">
        <x:v>Malaysia (Sabah)</x:v>
      </x:c>
      <x:c r="C41" s="24" t="str">
        <x:v>EEZ</x:v>
      </x:c>
      <x:c r="D41" s="30" t="n">
        <x:v>2019</x:v>
      </x:c>
      <x:c r="E41" s="24" t="str">
        <x:v>Nemipteridae</x:v>
      </x:c>
      <x:c r="F41" s="24" t="str">
        <x:v>Threadfins, whiptail breams</x:v>
      </x:c>
      <x:c r="G41" s="24" t="str">
        <x:v>Small demersals (&lt;30 cm)</x:v>
      </x:c>
      <x:c r="H41" s="24" t="str">
        <x:v>Perch-likes</x:v>
      </x:c>
      <x:c r="I41" s="31" t="n">
        <x:v>2434.6235432601</x:v>
      </x:c>
      <x:c r="J41" s="31" t="n">
        <x:v>2433.1398644236</x:v>
      </x:c>
      <x:c r="K41" s="31" t="n">
        <x:v>1.4836788365</x:v>
      </x:c>
      <x:c r="L41" s="31" t="n">
        <x:v>2347.2921249575998</x:v>
      </x:c>
      <x:c r="M41" s="31" t="n">
        <x:v>87.3314183025</x:v>
      </x:c>
      <x:c r="N41" s="24" t="str">
        <x:v>nemipteridae</x:v>
      </x:c>
      <x:c r="O41" s="32" t="n">
        <x:v>3.51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Nemipteridae</x:v>
      </x:c>
      <x:c r="T41" s="32" t="n">
        <x:f>IF(O41="","",(1/'Metadata'!$B$5)^(O41-1))</x:f>
        <x:v>323.5936569296281</x:v>
      </x:c>
      <x:c r="U41" s="31" t="n">
        <x:f>IF(T41="","",I41*T41)</x:f>
        <x:v>787828.7356105044</x:v>
      </x:c>
    </x:row>
    <x:row r="42" ht="18" customHeight="1">
      <x:c r="A42" s="24" t="str">
        <x:v>EEZ_461</x:v>
      </x:c>
      <x:c r="B42" s="24" t="str">
        <x:v>Malaysia (Sabah)</x:v>
      </x:c>
      <x:c r="C42" s="24" t="str">
        <x:v>EEZ</x:v>
      </x:c>
      <x:c r="D42" s="30" t="n">
        <x:v>2019</x:v>
      </x:c>
      <x:c r="E42" s="24" t="str">
        <x:v>Anodontostoma chacunda</x:v>
      </x:c>
      <x:c r="F42" s="24" t="str">
        <x:v>Chacunda gizzard shad</x:v>
      </x:c>
      <x:c r="G42" s="24" t="str">
        <x:v>Small pelagics (&lt;30 cm)</x:v>
      </x:c>
      <x:c r="H42" s="24" t="str">
        <x:v>Herring-likes</x:v>
      </x:c>
      <x:c r="I42" s="31" t="n">
        <x:v>2360.3966190514</x:v>
      </x:c>
      <x:c r="J42" s="31" t="n">
        <x:v>2360.3966190514</x:v>
      </x:c>
      <x:c r="K42" s="31" t="n">
        <x:v>0</x:v>
      </x:c>
      <x:c r="L42" s="31" t="n">
        <x:v>753.9545154002</x:v>
      </x:c>
      <x:c r="M42" s="31" t="n">
        <x:v>1606.4421036512</x:v>
      </x:c>
      <x:c r="N42" s="24" t="str">
        <x:v>anodontostoma chacunda</x:v>
      </x:c>
      <x:c r="O42" s="32" t="n">
        <x:v>2.84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Anodontostoma chacunda</x:v>
      </x:c>
      <x:c r="T42" s="32" t="n">
        <x:f>IF(O42="","",(1/'Metadata'!$B$5)^(O42-1))</x:f>
        <x:v>69.18309709189363</x:v>
      </x:c>
      <x:c r="U42" s="31" t="n">
        <x:f>IF(T42="","",I42*T42)</x:f>
        <x:v>163299.54847121047</x:v>
      </x:c>
    </x:row>
    <x:row r="43" ht="18" customHeight="1">
      <x:c r="A43" s="24" t="str">
        <x:v>EEZ_461</x:v>
      </x:c>
      <x:c r="B43" s="24" t="str">
        <x:v>Malaysia (Sabah)</x:v>
      </x:c>
      <x:c r="C43" s="24" t="str">
        <x:v>EEZ</x:v>
      </x:c>
      <x:c r="D43" s="30" t="n">
        <x:v>2019</x:v>
      </x:c>
      <x:c r="E43" s="24" t="str">
        <x:v>Nemipterus</x:v>
      </x:c>
      <x:c r="F43" s="24" t="str">
        <x:v>Threadfin breams</x:v>
      </x:c>
      <x:c r="G43" s="24" t="str">
        <x:v>Small demersals (&lt;30 cm)</x:v>
      </x:c>
      <x:c r="H43" s="24" t="str">
        <x:v>Perch-likes</x:v>
      </x:c>
      <x:c r="I43" s="31" t="n">
        <x:v>2314.8277176992</x:v>
      </x:c>
      <x:c r="J43" s="31" t="n">
        <x:v>2314.8277176992</x:v>
      </x:c>
      <x:c r="K43" s="31" t="n">
        <x:v>0</x:v>
      </x:c>
      <x:c r="L43" s="31" t="n">
        <x:v>506.712798882</x:v>
      </x:c>
      <x:c r="M43" s="31" t="n">
        <x:v>1808.1149188172</x:v>
      </x:c>
      <x:c r="N43" s="24" t="str">
        <x:v>nemipterus</x:v>
      </x:c>
      <x:c r="O43" s="32" t="n">
        <x:v>3.72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Nemipterus</x:v>
      </x:c>
      <x:c r="T43" s="32" t="n">
        <x:f>IF(O43="","",(1/'Metadata'!$B$5)^(O43-1))</x:f>
        <x:v>524.8074602497728</x:v>
      </x:c>
      <x:c r="U43" s="31" t="n">
        <x:f>IF(T43="","",I43*T43)</x:f>
        <x:v>1214838.8554414953</x:v>
      </x:c>
    </x:row>
    <x:row r="44" ht="18" customHeight="1">
      <x:c r="A44" s="24" t="str">
        <x:v>EEZ_461</x:v>
      </x:c>
      <x:c r="B44" s="24" t="str">
        <x:v>Malaysia (Sabah)</x:v>
      </x:c>
      <x:c r="C44" s="24" t="str">
        <x:v>EEZ</x:v>
      </x:c>
      <x:c r="D44" s="30" t="n">
        <x:v>2019</x:v>
      </x:c>
      <x:c r="E44" s="24" t="str">
        <x:v>Synodontidae</x:v>
      </x:c>
      <x:c r="F44" s="24" t="str">
        <x:v>Lizardfishes, sauries</x:v>
      </x:c>
      <x:c r="G44" s="24" t="str">
        <x:v>Medium demersals (30 - 89 cm)</x:v>
      </x:c>
      <x:c r="H44" s="24" t="str">
        <x:v>Other fishes &amp; inverts</x:v>
      </x:c>
      <x:c r="I44" s="31" t="n">
        <x:v>1964.9551858901</x:v>
      </x:c>
      <x:c r="J44" s="31" t="n">
        <x:v>1803.5618217913</x:v>
      </x:c>
      <x:c r="K44" s="31" t="n">
        <x:v>161.3933640988</x:v>
      </x:c>
      <x:c r="L44" s="31" t="n">
        <x:v>1801.3521663663</x:v>
      </x:c>
      <x:c r="M44" s="31" t="n">
        <x:v>163.6030195238</x:v>
      </x:c>
      <x:c r="N44" s="24" t="str">
        <x:v>synodontidae</x:v>
      </x:c>
      <x:c r="O44" s="32" t="n">
        <x:v>4.3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Synodontidae</x:v>
      </x:c>
      <x:c r="T44" s="32" t="n">
        <x:f>IF(O44="","",(1/'Metadata'!$B$5)^(O44-1))</x:f>
        <x:v>1995.2623149688789</x:v>
      </x:c>
      <x:c r="U44" s="31" t="n">
        <x:f>IF(T44="","",I44*T44)</x:f>
        <x:v>3920601.0330091845</x:v>
      </x:c>
    </x:row>
    <x:row r="45" ht="18" customHeight="1">
      <x:c r="A45" s="24" t="str">
        <x:v>EEZ_461</x:v>
      </x:c>
      <x:c r="B45" s="24" t="str">
        <x:v>Malaysia (Sabah)</x:v>
      </x:c>
      <x:c r="C45" s="24" t="str">
        <x:v>EEZ</x:v>
      </x:c>
      <x:c r="D45" s="30" t="n">
        <x:v>2019</x:v>
      </x:c>
      <x:c r="E45" s="24" t="str">
        <x:v>Leiognathus</x:v>
      </x:c>
      <x:c r="F45" s="24" t="str">
        <x:v>Ponyfishes</x:v>
      </x:c>
      <x:c r="G45" s="24" t="str">
        <x:v>Small benthopelagics (&lt;30 cm)</x:v>
      </x:c>
      <x:c r="H45" s="24" t="str">
        <x:v>Perch-likes</x:v>
      </x:c>
      <x:c r="I45" s="31" t="n">
        <x:v>1903.4291185303</x:v>
      </x:c>
      <x:c r="J45" s="31" t="n">
        <x:v>1903.4291185303</x:v>
      </x:c>
      <x:c r="K45" s="31" t="n">
        <x:v>0</x:v>
      </x:c>
      <x:c r="L45" s="31" t="n">
        <x:v>416.7529179209</x:v>
      </x:c>
      <x:c r="M45" s="31" t="n">
        <x:v>1486.6762006094</x:v>
      </x:c>
      <x:c r="N45" s="24" t="str">
        <x:v>leiognathus</x:v>
      </x:c>
      <x:c r="O45" s="32" t="n">
        <x:v>3.22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Leiognathus</x:v>
      </x:c>
      <x:c r="T45" s="32" t="n">
        <x:f>IF(O45="","",(1/'Metadata'!$B$5)^(O45-1))</x:f>
        <x:v>165.95869074375614</x:v>
      </x:c>
      <x:c r="U45" s="31" t="n">
        <x:f>IF(T45="","",I45*T45)</x:f>
        <x:v>315890.6044348304</x:v>
      </x:c>
    </x:row>
    <x:row r="46" ht="18" customHeight="1">
      <x:c r="A46" s="24" t="str">
        <x:v>EEZ_461</x:v>
      </x:c>
      <x:c r="B46" s="24" t="str">
        <x:v>Malaysia (Sabah)</x:v>
      </x:c>
      <x:c r="C46" s="24" t="str">
        <x:v>EEZ</x:v>
      </x:c>
      <x:c r="D46" s="30" t="n">
        <x:v>2019</x:v>
      </x:c>
      <x:c r="E46" s="24" t="str">
        <x:v>Platycephalidae</x:v>
      </x:c>
      <x:c r="F46" s="24" t="str">
        <x:v>Flatheads</x:v>
      </x:c>
      <x:c r="G46" s="24" t="str">
        <x:v>Medium demersals (30 - 89 cm)</x:v>
      </x:c>
      <x:c r="H46" s="24" t="str">
        <x:v>Scorpionfishes</x:v>
      </x:c>
      <x:c r="I46" s="31" t="n">
        <x:v>1725.3308994791</x:v>
      </x:c>
      <x:c r="J46" s="31" t="n">
        <x:v>1611.3994766962</x:v>
      </x:c>
      <x:c r="K46" s="31" t="n">
        <x:v>113.9314227829</x:v>
      </x:c>
      <x:c r="L46" s="31" t="n">
        <x:v>1609.8396282618</x:v>
      </x:c>
      <x:c r="M46" s="31" t="n">
        <x:v>115.4912712173</x:v>
      </x:c>
      <x:c r="N46" s="24" t="str">
        <x:v>platycephalidae</x:v>
      </x:c>
      <x:c r="O46" s="32" t="n">
        <x:v>3.9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Platycephalidae</x:v>
      </x:c>
      <x:c r="T46" s="32" t="n">
        <x:f>IF(O46="","",(1/'Metadata'!$B$5)^(O46-1))</x:f>
        <x:v>794.3282347242813</x:v>
      </x:c>
      <x:c r="U46" s="31" t="n">
        <x:f>IF(T46="","",I46*T46)</x:f>
        <x:v>1370479.0476984899</x:v>
      </x:c>
    </x:row>
    <x:row r="47" ht="18" customHeight="1">
      <x:c r="A47" s="24" t="str">
        <x:v>EEZ_461</x:v>
      </x:c>
      <x:c r="B47" s="24" t="str">
        <x:v>Malaysia (Sabah)</x:v>
      </x:c>
      <x:c r="C47" s="24" t="str">
        <x:v>EEZ</x:v>
      </x:c>
      <x:c r="D47" s="30" t="n">
        <x:v>2019</x:v>
      </x:c>
      <x:c r="E47" s="24" t="str">
        <x:v>Caesio</x:v>
      </x:c>
      <x:c r="F47" s="24" t="str">
        <x:v>Caesios</x:v>
      </x:c>
      <x:c r="G47" s="24" t="str">
        <x:v>Medium reef assoc. fish (30 - 89 cm)</x:v>
      </x:c>
      <x:c r="H47" s="24" t="str">
        <x:v>Perch-likes</x:v>
      </x:c>
      <x:c r="I47" s="31" t="n">
        <x:v>1714.2671065151999</x:v>
      </x:c>
      <x:c r="J47" s="31" t="n">
        <x:v>1714.2671065151999</x:v>
      </x:c>
      <x:c r="K47" s="31" t="n">
        <x:v>0</x:v>
      </x:c>
      <x:c r="L47" s="31" t="n">
        <x:v>531.4976640447</x:v>
      </x:c>
      <x:c r="M47" s="31" t="n">
        <x:v>1182.7694424704998</x:v>
      </x:c>
      <x:c r="N47" s="24" t="str">
        <x:v>caesio</x:v>
      </x:c>
      <x:c r="O47" s="32" t="n">
        <x:v>3.4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Caesio</x:v>
      </x:c>
      <x:c r="T47" s="32" t="n">
        <x:f>IF(O47="","",(1/'Metadata'!$B$5)^(O47-1))</x:f>
        <x:v>251.18864315095797</x:v>
      </x:c>
      <x:c r="U47" s="31" t="n">
        <x:f>IF(T47="","",I47*T47)</x:f>
        <x:v>430604.4284838718</x:v>
      </x:c>
    </x:row>
    <x:row r="48" ht="18" customHeight="1">
      <x:c r="A48" s="24" t="str">
        <x:v>EEZ_461</x:v>
      </x:c>
      <x:c r="B48" s="24" t="str">
        <x:v>Malaysia (Sabah)</x:v>
      </x:c>
      <x:c r="C48" s="24" t="str">
        <x:v>EEZ</x:v>
      </x:c>
      <x:c r="D48" s="30" t="n">
        <x:v>2019</x:v>
      </x:c>
      <x:c r="E48" s="24" t="str">
        <x:v>Pleuronectiformes</x:v>
      </x:c>
      <x:c r="F48" s="24" t="str">
        <x:v>Flatfishes</x:v>
      </x:c>
      <x:c r="G48" s="24" t="str">
        <x:v>Small to medium flatfishes (&lt;90 cm)</x:v>
      </x:c>
      <x:c r="H48" s="24" t="str">
        <x:v>Flatfishes</x:v>
      </x:c>
      <x:c r="I48" s="31" t="n">
        <x:v>1518.3024807039</x:v>
      </x:c>
      <x:c r="J48" s="31" t="n">
        <x:v>1518.3024807039</x:v>
      </x:c>
      <x:c r="K48" s="31" t="n">
        <x:v>0</x:v>
      </x:c>
      <x:c r="L48" s="31" t="n">
        <x:v>1518.3024807039</x:v>
      </x:c>
      <x:c r="M48" s="31" t="n">
        <x:v>0</x:v>
      </x:c>
      <x:c r="N48" s="24" t="str">
        <x:v>pleuronectiformes</x:v>
      </x:c>
      <x:c r="O48" s="32" t="n">
        <x:v>3.57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Pleuronectiformes</x:v>
      </x:c>
      <x:c r="T48" s="32" t="n">
        <x:f>IF(O48="","",(1/'Metadata'!$B$5)^(O48-1))</x:f>
        <x:v>371.5352290971724</x:v>
      </x:c>
      <x:c r="U48" s="31" t="n">
        <x:f>IF(T48="","",I48*T48)</x:f>
        <x:v>564102.8600071287</x:v>
      </x:c>
    </x:row>
    <x:row r="49" ht="18" customHeight="1">
      <x:c r="A49" s="24" t="str">
        <x:v>EEZ_461</x:v>
      </x:c>
      <x:c r="B49" s="24" t="str">
        <x:v>Malaysia (Sabah)</x:v>
      </x:c>
      <x:c r="C49" s="24" t="str">
        <x:v>EEZ</x:v>
      </x:c>
      <x:c r="D49" s="30" t="n">
        <x:v>2019</x:v>
      </x:c>
      <x:c r="E49" s="24" t="str">
        <x:v>Mollusca</x:v>
      </x:c>
      <x:c r="F49" s="24" t="str">
        <x:v>Clams, seasnails, squids, octopuses</x:v>
      </x:c>
      <x:c r="G49" s="24" t="str">
        <x:v>Other demersal invertebrates</x:v>
      </x:c>
      <x:c r="H49" s="24" t="str">
        <x:v>Molluscs</x:v>
      </x:c>
      <x:c r="I49" s="31" t="n">
        <x:v>1477.0176455206</x:v>
      </x:c>
      <x:c r="J49" s="31" t="n">
        <x:v>1477.0176455206</x:v>
      </x:c>
      <x:c r="K49" s="31" t="n">
        <x:v>0</x:v>
      </x:c>
      <x:c r="L49" s="31" t="n">
        <x:v>463.4241469388</x:v>
      </x:c>
      <x:c r="M49" s="31" t="n">
        <x:v>1013.5934985818</x:v>
      </x:c>
      <x:c r="N49" s="24" t="str">
        <x:v>mollusca</x:v>
      </x:c>
      <x:c r="O49" s="32" t="n">
        <x:v>2.1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Mollusca</x:v>
      </x:c>
      <x:c r="T49" s="32" t="n">
        <x:f>IF(O49="","",(1/'Metadata'!$B$5)^(O49-1))</x:f>
        <x:v>12.589254117941675</x:v>
      </x:c>
      <x:c r="U49" s="31" t="n">
        <x:f>IF(T49="","",I49*T49)</x:f>
        <x:v>18594.55047614273</x:v>
      </x:c>
    </x:row>
    <x:row r="50" ht="18" customHeight="1">
      <x:c r="A50" s="24" t="str">
        <x:v>EEZ_461</x:v>
      </x:c>
      <x:c r="B50" s="24" t="str">
        <x:v>Malaysia (Sabah)</x:v>
      </x:c>
      <x:c r="C50" s="24" t="str">
        <x:v>EEZ</x:v>
      </x:c>
      <x:c r="D50" s="30" t="n">
        <x:v>2019</x:v>
      </x:c>
      <x:c r="E50" s="24" t="str">
        <x:v>Tetraodontidae</x:v>
      </x:c>
      <x:c r="F50" s="24" t="str">
        <x:v>Puffers, tobies</x:v>
      </x:c>
      <x:c r="G50" s="24" t="str">
        <x:v>Large reef assoc. fish (&gt;=90 cm)</x:v>
      </x:c>
      <x:c r="H50" s="24" t="str">
        <x:v>Other fishes &amp; inverts</x:v>
      </x:c>
      <x:c r="I50" s="31" t="n">
        <x:v>1212.6224770364</x:v>
      </x:c>
      <x:c r="J50" s="31" t="n">
        <x:v>1212.6224770364</x:v>
      </x:c>
      <x:c r="K50" s="31" t="n">
        <x:v>0</x:v>
      </x:c>
      <x:c r="L50" s="31" t="n">
        <x:v>1212.6224770364</x:v>
      </x:c>
      <x:c r="M50" s="31" t="n">
        <x:v>0</x:v>
      </x:c>
      <x:c r="N50" s="24" t="str">
        <x:v>tetraodontidae</x:v>
      </x:c>
      <x:c r="O50" s="32" t="n">
        <x:v>3.5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Tetraodontidae</x:v>
      </x:c>
      <x:c r="T50" s="32" t="n">
        <x:f>IF(O50="","",(1/'Metadata'!$B$5)^(O50-1))</x:f>
        <x:v>316.22776601683796</x:v>
      </x:c>
      <x:c r="U50" s="31" t="n">
        <x:f>IF(T50="","",I50*T50)</x:f>
        <x:v>383464.8969350251</x:v>
      </x:c>
    </x:row>
    <x:row r="51" ht="18" customHeight="1">
      <x:c r="A51" s="24" t="str">
        <x:v>EEZ_461</x:v>
      </x:c>
      <x:c r="B51" s="24" t="str">
        <x:v>Malaysia (Sabah)</x:v>
      </x:c>
      <x:c r="C51" s="24" t="str">
        <x:v>EEZ</x:v>
      </x:c>
      <x:c r="D51" s="30" t="n">
        <x:v>2019</x:v>
      </x:c>
      <x:c r="E51" s="24" t="str">
        <x:v>Trichiurus</x:v>
      </x:c>
      <x:c r="F51" s="24" t="str">
        <x:v>Hairtails</x:v>
      </x:c>
      <x:c r="G51" s="24" t="str">
        <x:v>Large benthopelagics (&gt;=90 cm)</x:v>
      </x:c>
      <x:c r="H51" s="24" t="str">
        <x:v>Perch-likes</x:v>
      </x:c>
      <x:c r="I51" s="31" t="n">
        <x:v>982.6484974845</x:v>
      </x:c>
      <x:c r="J51" s="31" t="n">
        <x:v>982.6484974845</x:v>
      </x:c>
      <x:c r="K51" s="31" t="n">
        <x:v>0</x:v>
      </x:c>
      <x:c r="L51" s="31" t="n">
        <x:v>304.7620457044</x:v>
      </x:c>
      <x:c r="M51" s="31" t="n">
        <x:v>677.8864517801001</x:v>
      </x:c>
      <x:c r="N51" s="24" t="str">
        <x:v>trichiurus</x:v>
      </x:c>
      <x:c r="O51" s="32" t="n">
        <x:v>4.42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Trichiurus</x:v>
      </x:c>
      <x:c r="T51" s="32" t="n">
        <x:f>IF(O51="","",(1/'Metadata'!$B$5)^(O51-1))</x:f>
        <x:v>2630.2679918953813</x:v>
      </x:c>
      <x:c r="U51" s="31" t="n">
        <x:f>IF(T51="","",I51*T51)</x:f>
        <x:v>2584628.8902175697</x:v>
      </x:c>
    </x:row>
    <x:row r="52" ht="18" customHeight="1">
      <x:c r="A52" s="24" t="str">
        <x:v>EEZ_461</x:v>
      </x:c>
      <x:c r="B52" s="24" t="str">
        <x:v>Malaysia (Sabah)</x:v>
      </x:c>
      <x:c r="C52" s="24" t="str">
        <x:v>EEZ</x:v>
      </x:c>
      <x:c r="D52" s="30" t="n">
        <x:v>2019</x:v>
      </x:c>
      <x:c r="E52" s="24" t="str">
        <x:v>Drepane</x:v>
      </x:c>
      <x:c r="F52" s="24" t="str">
        <x:v>Sicklefishes</x:v>
      </x:c>
      <x:c r="G52" s="24" t="str">
        <x:v>Medium benthopelagics (30 - 89 cm)</x:v>
      </x:c>
      <x:c r="H52" s="24" t="str">
        <x:v>Perch-likes</x:v>
      </x:c>
      <x:c r="I52" s="31" t="n">
        <x:v>964.2488641109</x:v>
      </x:c>
      <x:c r="J52" s="31" t="n">
        <x:v>964.2488641109</x:v>
      </x:c>
      <x:c r="K52" s="31" t="n">
        <x:v>0</x:v>
      </x:c>
      <x:c r="L52" s="31" t="n">
        <x:v>304.0148441186</x:v>
      </x:c>
      <x:c r="M52" s="31" t="n">
        <x:v>660.2340199923</x:v>
      </x:c>
      <x:c r="N52" s="24" t="str">
        <x:v>drepane</x:v>
      </x:c>
      <x:c r="O52" s="32" t="n">
        <x:v>3.32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Drepane</x:v>
      </x:c>
      <x:c r="T52" s="32" t="n">
        <x:f>IF(O52="","",(1/'Metadata'!$B$5)^(O52-1))</x:f>
        <x:v>208.92961308540387</x:v>
      </x:c>
      <x:c r="U52" s="31" t="n">
        <x:f>IF(T52="","",I52*T52)</x:f>
        <x:v>201460.1420967305</x:v>
      </x:c>
    </x:row>
    <x:row r="53" ht="18" customHeight="1">
      <x:c r="A53" s="24" t="str">
        <x:v>EEZ_461</x:v>
      </x:c>
      <x:c r="B53" s="24" t="str">
        <x:v>Malaysia (Sabah)</x:v>
      </x:c>
      <x:c r="C53" s="24" t="str">
        <x:v>EEZ</x:v>
      </x:c>
      <x:c r="D53" s="30" t="n">
        <x:v>2019</x:v>
      </x:c>
      <x:c r="E53" s="24" t="str">
        <x:v>Penaeus monodon</x:v>
      </x:c>
      <x:c r="F53" s="24" t="str">
        <x:v>Giant tiger prawn</x:v>
      </x:c>
      <x:c r="G53" s="24" t="str">
        <x:v>Shrimps</x:v>
      </x:c>
      <x:c r="H53" s="24" t="str">
        <x:v>Crustaceans</x:v>
      </x:c>
      <x:c r="I53" s="31" t="n">
        <x:v>846.3845978883</x:v>
      </x:c>
      <x:c r="J53" s="31" t="n">
        <x:v>846.3845978883</x:v>
      </x:c>
      <x:c r="K53" s="31" t="n">
        <x:v>0</x:v>
      </x:c>
      <x:c r="L53" s="31" t="n">
        <x:v>262.0497893397</x:v>
      </x:c>
      <x:c r="M53" s="31" t="n">
        <x:v>584.3348085486</x:v>
      </x:c>
      <x:c r="N53" s="24" t="str">
        <x:v>penaeus monodon</x:v>
      </x:c>
      <x:c r="O53" s="32" t="n">
        <x:v>2.6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Penaeus monodon</x:v>
      </x:c>
      <x:c r="T53" s="32" t="n">
        <x:f>IF(O53="","",(1/'Metadata'!$B$5)^(O53-1))</x:f>
        <x:v>39.810717055349734</x:v>
      </x:c>
      <x:c r="U53" s="31" t="n">
        <x:f>IF(T53="","",I53*T53)</x:f>
        <x:v>33695.177746537076</x:v>
      </x:c>
    </x:row>
    <x:row r="54" ht="18" customHeight="1">
      <x:c r="A54" s="24" t="str">
        <x:v>EEZ_461</x:v>
      </x:c>
      <x:c r="B54" s="24" t="str">
        <x:v>Malaysia (Sabah)</x:v>
      </x:c>
      <x:c r="C54" s="24" t="str">
        <x:v>EEZ</x:v>
      </x:c>
      <x:c r="D54" s="30" t="n">
        <x:v>2019</x:v>
      </x:c>
      <x:c r="E54" s="24" t="str">
        <x:v>Mullidae</x:v>
      </x:c>
      <x:c r="F54" s="24" t="str">
        <x:v>Goatfishes</x:v>
      </x:c>
      <x:c r="G54" s="24" t="str">
        <x:v>Medium reef assoc. fish (30 - 89 cm)</x:v>
      </x:c>
      <x:c r="H54" s="24" t="str">
        <x:v>Perch-likes</x:v>
      </x:c>
      <x:c r="I54" s="31" t="n">
        <x:v>718.7610897172</x:v>
      </x:c>
      <x:c r="J54" s="31" t="n">
        <x:v>718.7610897172</x:v>
      </x:c>
      <x:c r="K54" s="31" t="n">
        <x:v>0</x:v>
      </x:c>
      <x:c r="L54" s="31" t="n">
        <x:v>718.7610897172</x:v>
      </x:c>
      <x:c r="M54" s="31" t="n">
        <x:v>0</x:v>
      </x:c>
      <x:c r="N54" s="24" t="str">
        <x:v>mullidae</x:v>
      </x:c>
      <x:c r="O54" s="32" t="n">
        <x:v>3.46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Mullidae</x:v>
      </x:c>
      <x:c r="T54" s="32" t="n">
        <x:f>IF(O54="","",(1/'Metadata'!$B$5)^(O54-1))</x:f>
        <x:v>288.40315031266056</x:v>
      </x:c>
      <x:c r="U54" s="31" t="n">
        <x:f>IF(T54="","",I54*T54)</x:f>
        <x:v>207292.9625966013</x:v>
      </x:c>
    </x:row>
    <x:row r="55" ht="18" customHeight="1">
      <x:c r="A55" s="24" t="str">
        <x:v>EEZ_461</x:v>
      </x:c>
      <x:c r="B55" s="24" t="str">
        <x:v>Malaysia (Sabah)</x:v>
      </x:c>
      <x:c r="C55" s="24" t="str">
        <x:v>EEZ</x:v>
      </x:c>
      <x:c r="D55" s="30" t="n">
        <x:v>2019</x:v>
      </x:c>
      <x:c r="E55" s="24" t="str">
        <x:v>Scarus</x:v>
      </x:c>
      <x:c r="F55" s="24" t="str">
        <x:v>Parrots</x:v>
      </x:c>
      <x:c r="G55" s="24" t="str">
        <x:v>Medium reef assoc. fish (30 - 89 cm)</x:v>
      </x:c>
      <x:c r="H55" s="24" t="str">
        <x:v>Perch-likes</x:v>
      </x:c>
      <x:c r="I55" s="31" t="n">
        <x:v>653.0259534386</x:v>
      </x:c>
      <x:c r="J55" s="31" t="n">
        <x:v>653.0259534386</x:v>
      </x:c>
      <x:c r="K55" s="31" t="n">
        <x:v>0</x:v>
      </x:c>
      <x:c r="L55" s="31" t="n">
        <x:v>202.8687111466</x:v>
      </x:c>
      <x:c r="M55" s="31" t="n">
        <x:v>450.157242292</x:v>
      </x:c>
      <x:c r="N55" s="24" t="str">
        <x:v>scarus</x:v>
      </x:c>
      <x:c r="O55" s="32" t="n">
        <x:v>2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Scarus</x:v>
      </x:c>
      <x:c r="T55" s="32" t="n">
        <x:f>IF(O55="","",(1/'Metadata'!$B$5)^(O55-1))</x:f>
        <x:v>10</x:v>
      </x:c>
      <x:c r="U55" s="31" t="n">
        <x:f>IF(T55="","",I55*T55)</x:f>
        <x:v>6530.259534386</x:v>
      </x:c>
    </x:row>
    <x:row r="56" ht="18" customHeight="1">
      <x:c r="A56" s="24" t="str">
        <x:v>EEZ_461</x:v>
      </x:c>
      <x:c r="B56" s="24" t="str">
        <x:v>Malaysia (Sabah)</x:v>
      </x:c>
      <x:c r="C56" s="24" t="str">
        <x:v>EEZ</x:v>
      </x:c>
      <x:c r="D56" s="30" t="n">
        <x:v>2019</x:v>
      </x:c>
      <x:c r="E56" s="24" t="str">
        <x:v>Parapenaeopsis</x:v>
      </x:c>
      <x:c r="F56" s="24" t="str">
        <x:v>Leafy-legged shrimps</x:v>
      </x:c>
      <x:c r="G56" s="24" t="str">
        <x:v>Shrimps</x:v>
      </x:c>
      <x:c r="H56" s="24" t="str">
        <x:v>Crustaceans</x:v>
      </x:c>
      <x:c r="I56" s="31" t="n">
        <x:v>553.5867354459</x:v>
      </x:c>
      <x:c r="J56" s="31" t="n">
        <x:v>553.5867354459</x:v>
      </x:c>
      <x:c r="K56" s="31" t="n">
        <x:v>0</x:v>
      </x:c>
      <x:c r="L56" s="31" t="n">
        <x:v>170.7401822315</x:v>
      </x:c>
      <x:c r="M56" s="31" t="n">
        <x:v>382.8465532144</x:v>
      </x:c>
      <x:c r="N56" s="24" t="str">
        <x:v>parapenaeopsis</x:v>
      </x:c>
      <x:c r="O56" s="32" t="n">
        <x:v>2.72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Parapenaeopsis</x:v>
      </x:c>
      <x:c r="T56" s="32" t="n">
        <x:f>IF(O56="","",(1/'Metadata'!$B$5)^(O56-1))</x:f>
        <x:v>52.480746024977286</x:v>
      </x:c>
      <x:c r="U56" s="31" t="n">
        <x:f>IF(T56="","",I56*T56)</x:f>
        <x:v>29052.644865732567</x:v>
      </x:c>
    </x:row>
    <x:row r="57" ht="18" customHeight="1">
      <x:c r="A57" s="24" t="str">
        <x:v>EEZ_461</x:v>
      </x:c>
      <x:c r="B57" s="24" t="str">
        <x:v>Malaysia (Sabah)</x:v>
      </x:c>
      <x:c r="C57" s="24" t="str">
        <x:v>EEZ</x:v>
      </x:c>
      <x:c r="D57" s="30" t="n">
        <x:v>2019</x:v>
      </x:c>
      <x:c r="E57" s="24" t="str">
        <x:v>Terapontidae</x:v>
      </x:c>
      <x:c r="F57" s="24" t="str">
        <x:v>Grunters, tigerperches</x:v>
      </x:c>
      <x:c r="G57" s="24" t="str">
        <x:v>Medium demersals (30 - 89 cm)</x:v>
      </x:c>
      <x:c r="H57" s="24" t="str">
        <x:v>Perch-likes</x:v>
      </x:c>
      <x:c r="I57" s="31" t="n">
        <x:v>493.86138731560004</x:v>
      </x:c>
      <x:c r="J57" s="31" t="n">
        <x:v>493.86138731560004</x:v>
      </x:c>
      <x:c r="K57" s="31" t="n">
        <x:v>0</x:v>
      </x:c>
      <x:c r="L57" s="31" t="n">
        <x:v>493.86138731560004</x:v>
      </x:c>
      <x:c r="M57" s="31" t="n">
        <x:v>0</x:v>
      </x:c>
      <x:c r="N57" s="24" t="str">
        <x:v>terapontidae</x:v>
      </x:c>
      <x:c r="O57" s="32" t="n">
        <x:v>3.64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Terapontidae</x:v>
      </x:c>
      <x:c r="T57" s="32" t="n">
        <x:f>IF(O57="","",(1/'Metadata'!$B$5)^(O57-1))</x:f>
        <x:v>436.5158322401661</x:v>
      </x:c>
      <x:c r="U57" s="31" t="n">
        <x:f>IF(T57="","",I57*T57)</x:f>
        <x:v>215578.31449535216</x:v>
      </x:c>
    </x:row>
    <x:row r="58" ht="18" customHeight="1">
      <x:c r="A58" s="24" t="str">
        <x:v>EEZ_461</x:v>
      </x:c>
      <x:c r="B58" s="24" t="str">
        <x:v>Malaysia (Sabah)</x:v>
      </x:c>
      <x:c r="C58" s="24" t="str">
        <x:v>EEZ</x:v>
      </x:c>
      <x:c r="D58" s="30" t="n">
        <x:v>2019</x:v>
      </x:c>
      <x:c r="E58" s="24" t="str">
        <x:v>Istiophorus</x:v>
      </x:c>
      <x:c r="F58" s="24" t="str">
        <x:v>Sailfishes</x:v>
      </x:c>
      <x:c r="G58" s="24" t="str">
        <x:v>Large pelagics (&gt;=90 cm)</x:v>
      </x:c>
      <x:c r="H58" s="24" t="str">
        <x:v>Tuna &amp; billfishes</x:v>
      </x:c>
      <x:c r="I58" s="31" t="n">
        <x:v>446.8411251824</x:v>
      </x:c>
      <x:c r="J58" s="31" t="n">
        <x:v>446.8411251824</x:v>
      </x:c>
      <x:c r="K58" s="31" t="n">
        <x:v>0</x:v>
      </x:c>
      <x:c r="L58" s="31" t="n">
        <x:v>141.3655272241</x:v>
      </x:c>
      <x:c r="M58" s="31" t="n">
        <x:v>305.4755979583</x:v>
      </x:c>
      <x:c r="N58" s="24" t="str">
        <x:v>istiophorus</x:v>
      </x:c>
      <x:c r="O58" s="32" t="n">
        <x:v>4.5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Istiophorus</x:v>
      </x:c>
      <x:c r="T58" s="32" t="n">
        <x:f>IF(O58="","",(1/'Metadata'!$B$5)^(O58-1))</x:f>
        <x:v>3162.2776601683795</x:v>
      </x:c>
      <x:c r="U58" s="31" t="n">
        <x:f>IF(T58="","",I58*T58)</x:f>
        <x:v>1413035.7078088059</x:v>
      </x:c>
    </x:row>
    <x:row r="59" ht="18" customHeight="1">
      <x:c r="A59" s="24" t="str">
        <x:v>EEZ_461</x:v>
      </x:c>
      <x:c r="B59" s="24" t="str">
        <x:v>Malaysia (Sabah)</x:v>
      </x:c>
      <x:c r="C59" s="24" t="str">
        <x:v>EEZ</x:v>
      </x:c>
      <x:c r="D59" s="30" t="n">
        <x:v>2019</x:v>
      </x:c>
      <x:c r="E59" s="24" t="str">
        <x:v>Plectorhinchus</x:v>
      </x:c>
      <x:c r="F59" s="24" t="str">
        <x:v>Sweetlips</x:v>
      </x:c>
      <x:c r="G59" s="24" t="str">
        <x:v>Medium reef assoc. fish (30 - 89 cm)</x:v>
      </x:c>
      <x:c r="H59" s="24" t="str">
        <x:v>Perch-likes</x:v>
      </x:c>
      <x:c r="I59" s="31" t="n">
        <x:v>350.2084983533</x:v>
      </x:c>
      <x:c r="J59" s="31" t="n">
        <x:v>350.2084983533</x:v>
      </x:c>
      <x:c r="K59" s="31" t="n">
        <x:v>0</x:v>
      </x:c>
      <x:c r="L59" s="31" t="n">
        <x:v>109.2369983097</x:v>
      </x:c>
      <x:c r="M59" s="31" t="n">
        <x:v>240.9715000436</x:v>
      </x:c>
      <x:c r="N59" s="24" t="str">
        <x:v>plectorhinchus</x:v>
      </x:c>
      <x:c r="O59" s="32" t="n">
        <x:v>3.43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Plectorhinchus</x:v>
      </x:c>
      <x:c r="T59" s="32" t="n">
        <x:f>IF(O59="","",(1/'Metadata'!$B$5)^(O59-1))</x:f>
        <x:v>269.1534803926917</x:v>
      </x:c>
      <x:c r="U59" s="31" t="n">
        <x:f>IF(T59="","",I59*T59)</x:f>
        <x:v>94259.83619488892</x:v>
      </x:c>
    </x:row>
    <x:row r="60" ht="18" customHeight="1">
      <x:c r="A60" s="24" t="str">
        <x:v>EEZ_461</x:v>
      </x:c>
      <x:c r="B60" s="24" t="str">
        <x:v>Malaysia (Sabah)</x:v>
      </x:c>
      <x:c r="C60" s="24" t="str">
        <x:v>EEZ</x:v>
      </x:c>
      <x:c r="D60" s="30" t="n">
        <x:v>2019</x:v>
      </x:c>
      <x:c r="E60" s="24" t="str">
        <x:v>Engraulidae</x:v>
      </x:c>
      <x:c r="F60" s="24" t="str">
        <x:v>Anchovies, round herrings</x:v>
      </x:c>
      <x:c r="G60" s="24" t="str">
        <x:v>Small pelagics (&lt;30 cm)</x:v>
      </x:c>
      <x:c r="H60" s="24" t="str">
        <x:v>Anchovies</x:v>
      </x:c>
      <x:c r="I60" s="31" t="n">
        <x:v>349.89919578129997</x:v>
      </x:c>
      <x:c r="J60" s="31" t="n">
        <x:v>349.89919578129997</x:v>
      </x:c>
      <x:c r="K60" s="31" t="n">
        <x:v>0</x:v>
      </x:c>
      <x:c r="L60" s="31" t="n">
        <x:v>211.0012090603</x:v>
      </x:c>
      <x:c r="M60" s="31" t="n">
        <x:v>138.897986721</x:v>
      </x:c>
      <x:c r="N60" s="24" t="str">
        <x:v>engraulidae</x:v>
      </x:c>
      <x:c r="O60" s="32" t="n">
        <x:v>3.2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Engraulidae</x:v>
      </x:c>
      <x:c r="T60" s="32" t="n">
        <x:f>IF(O60="","",(1/'Metadata'!$B$5)^(O60-1))</x:f>
        <x:v>158.48931924611142</x:v>
      </x:c>
      <x:c r="U60" s="31" t="n">
        <x:f>IF(T60="","",I60*T60)</x:f>
        <x:v>55455.285344140095</x:v>
      </x:c>
    </x:row>
    <x:row r="61" ht="18" customHeight="1">
      <x:c r="A61" s="24" t="str">
        <x:v>EEZ_461</x:v>
      </x:c>
      <x:c r="B61" s="24" t="str">
        <x:v>Malaysia (Sabah)</x:v>
      </x:c>
      <x:c r="C61" s="24" t="str">
        <x:v>EEZ</x:v>
      </x:c>
      <x:c r="D61" s="30" t="n">
        <x:v>2019</x:v>
      </x:c>
      <x:c r="E61" s="24" t="str">
        <x:v>Clupeidae</x:v>
      </x:c>
      <x:c r="F61" s="24" t="str">
        <x:v>Herrings, sardines, menhadens</x:v>
      </x:c>
      <x:c r="G61" s="24" t="str">
        <x:v>Small pelagics (&lt;30 cm)</x:v>
      </x:c>
      <x:c r="H61" s="24" t="str">
        <x:v>Herring-likes</x:v>
      </x:c>
      <x:c r="I61" s="31" t="n">
        <x:v>319.4493732079</x:v>
      </x:c>
      <x:c r="J61" s="31" t="n">
        <x:v>319.4493732079</x:v>
      </x:c>
      <x:c r="K61" s="31" t="n">
        <x:v>0</x:v>
      </x:c>
      <x:c r="L61" s="31" t="n">
        <x:v>319.4493732079</x:v>
      </x:c>
      <x:c r="M61" s="31" t="n">
        <x:v>0</x:v>
      </x:c>
      <x:c r="N61" s="24" t="str">
        <x:v>clupeidae</x:v>
      </x:c>
      <x:c r="O61" s="32" t="n">
        <x:v>3.16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Clupeidae</x:v>
      </x:c>
      <x:c r="T61" s="32" t="n">
        <x:f>IF(O61="","",(1/'Metadata'!$B$5)^(O61-1))</x:f>
        <x:v>144.5439770745928</x:v>
      </x:c>
      <x:c r="U61" s="31" t="n">
        <x:f>IF(T61="","",I61*T61)</x:f>
        <x:v>46174.48287745573</x:v>
      </x:c>
    </x:row>
    <x:row r="62" ht="18" customHeight="1">
      <x:c r="A62" s="24" t="str">
        <x:v>EEZ_461</x:v>
      </x:c>
      <x:c r="B62" s="24" t="str">
        <x:v>Malaysia (Sabah)</x:v>
      </x:c>
      <x:c r="C62" s="24" t="str">
        <x:v>EEZ</x:v>
      </x:c>
      <x:c r="D62" s="30" t="n">
        <x:v>2019</x:v>
      </x:c>
      <x:c r="E62" s="24" t="str">
        <x:v>Sillago</x:v>
      </x:c>
      <x:c r="F62" s="24" t="str">
        <x:v>Smelt-whitings</x:v>
      </x:c>
      <x:c r="G62" s="24" t="str">
        <x:v>Medium demersals (30 - 89 cm)</x:v>
      </x:c>
      <x:c r="H62" s="24" t="str">
        <x:v>Perch-likes</x:v>
      </x:c>
      <x:c r="I62" s="31" t="n">
        <x:v>301.6655830606</x:v>
      </x:c>
      <x:c r="J62" s="31" t="n">
        <x:v>301.6655830606</x:v>
      </x:c>
      <x:c r="K62" s="31" t="n">
        <x:v>0</x:v>
      </x:c>
      <x:c r="L62" s="31" t="n">
        <x:v>95.9588205739</x:v>
      </x:c>
      <x:c r="M62" s="31" t="n">
        <x:v>205.7067624867</x:v>
      </x:c>
      <x:c r="N62" s="24" t="str">
        <x:v>sillago</x:v>
      </x:c>
      <x:c r="O62" s="32" t="n">
        <x:v>3.33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Sillago</x:v>
      </x:c>
      <x:c r="T62" s="32" t="n">
        <x:f>IF(O62="","",(1/'Metadata'!$B$5)^(O62-1))</x:f>
        <x:v>213.79620895022325</x:v>
      </x:c>
      <x:c r="U62" s="31" t="n">
        <x:f>IF(T62="","",I62*T62)</x:f>
        <x:v>64494.95802911496</x:v>
      </x:c>
    </x:row>
    <x:row r="63" ht="18" customHeight="1">
      <x:c r="A63" s="24" t="str">
        <x:v>EEZ_461</x:v>
      </x:c>
      <x:c r="B63" s="24" t="str">
        <x:v>Malaysia (Sabah)</x:v>
      </x:c>
      <x:c r="C63" s="24" t="str">
        <x:v>EEZ</x:v>
      </x:c>
      <x:c r="D63" s="30" t="n">
        <x:v>2019</x:v>
      </x:c>
      <x:c r="E63" s="24" t="str">
        <x:v>Paralichthyidae</x:v>
      </x:c>
      <x:c r="F63" s="24" t="str">
        <x:v>Largetooth flounders</x:v>
      </x:c>
      <x:c r="G63" s="24" t="str">
        <x:v>Small to medium flatfishes (&lt;90 cm)</x:v>
      </x:c>
      <x:c r="H63" s="24" t="str">
        <x:v>Flatfishes</x:v>
      </x:c>
      <x:c r="I63" s="31" t="n">
        <x:v>287.6221590802</x:v>
      </x:c>
      <x:c r="J63" s="31" t="n">
        <x:v>287.6221590802</x:v>
      </x:c>
      <x:c r="K63" s="31" t="n">
        <x:v>0</x:v>
      </x:c>
      <x:c r="L63" s="31" t="n">
        <x:v>90.787671936</x:v>
      </x:c>
      <x:c r="M63" s="31" t="n">
        <x:v>196.8344871442</x:v>
      </x:c>
      <x:c r="N63" s="24" t="str">
        <x:v>paralichthyidae</x:v>
      </x:c>
      <x:c r="O63" s="32" t="n">
        <x:v>4.06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Paralichthyidae</x:v>
      </x:c>
      <x:c r="T63" s="32" t="n">
        <x:f>IF(O63="","",(1/'Metadata'!$B$5)^(O63-1))</x:f>
        <x:v>1148.1536214968817</x:v>
      </x:c>
      <x:c r="U63" s="31" t="n">
        <x:f>IF(T63="","",I63*T63)</x:f>
        <x:v>330234.4235706838</x:v>
      </x:c>
    </x:row>
    <x:row r="64" ht="18" customHeight="1">
      <x:c r="A64" s="24" t="str">
        <x:v>EEZ_461</x:v>
      </x:c>
      <x:c r="B64" s="24" t="str">
        <x:v>Malaysia (Sabah)</x:v>
      </x:c>
      <x:c r="C64" s="24" t="str">
        <x:v>EEZ</x:v>
      </x:c>
      <x:c r="D64" s="30" t="n">
        <x:v>2019</x:v>
      </x:c>
      <x:c r="E64" s="24" t="str">
        <x:v>Balistidae</x:v>
      </x:c>
      <x:c r="F64" s="24" t="str">
        <x:v>Triggerfishes</x:v>
      </x:c>
      <x:c r="G64" s="24" t="str">
        <x:v>Medium reef assoc. fish (30 - 89 cm)</x:v>
      </x:c>
      <x:c r="H64" s="24" t="str">
        <x:v>Other fishes &amp; inverts</x:v>
      </x:c>
      <x:c r="I64" s="31" t="n">
        <x:v>265.2904558281</x:v>
      </x:c>
      <x:c r="J64" s="31" t="n">
        <x:v>265.2904558281</x:v>
      </x:c>
      <x:c r="K64" s="31" t="n">
        <x:v>0</x:v>
      </x:c>
      <x:c r="L64" s="31" t="n">
        <x:v>81.6982592399</x:v>
      </x:c>
      <x:c r="M64" s="31" t="n">
        <x:v>183.5921965882</x:v>
      </x:c>
      <x:c r="N64" s="24" t="str">
        <x:v>balistidae</x:v>
      </x:c>
      <x:c r="O64" s="32" t="n">
        <x:v>3.25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Balistidae</x:v>
      </x:c>
      <x:c r="T64" s="32" t="n">
        <x:f>IF(O64="","",(1/'Metadata'!$B$5)^(O64-1))</x:f>
        <x:v>177.82794100389228</x:v>
      </x:c>
      <x:c r="U64" s="31" t="n">
        <x:f>IF(T64="","",I64*T64)</x:f>
        <x:v>47176.055527895056</x:v>
      </x:c>
    </x:row>
    <x:row r="65" ht="18" customHeight="1">
      <x:c r="A65" s="24" t="str">
        <x:v>EEZ_461</x:v>
      </x:c>
      <x:c r="B65" s="24" t="str">
        <x:v>Malaysia (Sabah)</x:v>
      </x:c>
      <x:c r="C65" s="24" t="str">
        <x:v>EEZ</x:v>
      </x:c>
      <x:c r="D65" s="30" t="n">
        <x:v>2019</x:v>
      </x:c>
      <x:c r="E65" s="24" t="str">
        <x:v>Gerreidae</x:v>
      </x:c>
      <x:c r="F65" s="24" t="str">
        <x:v>Mojarras, silverbellies</x:v>
      </x:c>
      <x:c r="G65" s="24" t="str">
        <x:v>Small benthopelagics (&lt;30 cm)</x:v>
      </x:c>
      <x:c r="H65" s="24" t="str">
        <x:v>Perch-likes</x:v>
      </x:c>
      <x:c r="I65" s="31" t="n">
        <x:v>210.2123748986</x:v>
      </x:c>
      <x:c r="J65" s="31" t="n">
        <x:v>210.2123748986</x:v>
      </x:c>
      <x:c r="K65" s="31" t="n">
        <x:v>0</x:v>
      </x:c>
      <x:c r="L65" s="31" t="n">
        <x:v>210.2123748986</x:v>
      </x:c>
      <x:c r="M65" s="31" t="n">
        <x:v>0</x:v>
      </x:c>
      <x:c r="N65" s="24" t="str">
        <x:v>gerreidae</x:v>
      </x:c>
      <x:c r="O65" s="32" t="n">
        <x:v>3.03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Gerreidae</x:v>
      </x:c>
      <x:c r="T65" s="32" t="n">
        <x:f>IF(O65="","",(1/'Metadata'!$B$5)^(O65-1))</x:f>
        <x:v>107.1519305237606</x:v>
      </x:c>
      <x:c r="U65" s="31" t="n">
        <x:f>IF(T65="","",I65*T65)</x:f>
        <x:v>22524.6617903695</x:v>
      </x:c>
    </x:row>
    <x:row r="66" ht="18" customHeight="1">
      <x:c r="A66" s="24" t="str">
        <x:v>EEZ_461</x:v>
      </x:c>
      <x:c r="B66" s="24" t="str">
        <x:v>Malaysia (Sabah)</x:v>
      </x:c>
      <x:c r="C66" s="24" t="str">
        <x:v>EEZ</x:v>
      </x:c>
      <x:c r="D66" s="30" t="n">
        <x:v>2019</x:v>
      </x:c>
      <x:c r="E66" s="24" t="str">
        <x:v>Lutjanidae</x:v>
      </x:c>
      <x:c r="F66" s="24" t="str">
        <x:v>Snappers</x:v>
      </x:c>
      <x:c r="G66" s="24" t="str">
        <x:v>Medium reef assoc. fish (30 - 89 cm)</x:v>
      </x:c>
      <x:c r="H66" s="24" t="str">
        <x:v>Perch-likes</x:v>
      </x:c>
      <x:c r="I66" s="31" t="n">
        <x:v>189.7347087553</x:v>
      </x:c>
      <x:c r="J66" s="31" t="n">
        <x:v>189.7347087553</x:v>
      </x:c>
      <x:c r="K66" s="31" t="n">
        <x:v>0</x:v>
      </x:c>
      <x:c r="L66" s="31" t="n">
        <x:v>10.0914986529</x:v>
      </x:c>
      <x:c r="M66" s="31" t="n">
        <x:v>179.6432101024</x:v>
      </x:c>
      <x:c r="N66" s="24" t="str">
        <x:v>lutjanidae</x:v>
      </x:c>
      <x:c r="O66" s="32" t="n">
        <x:v>4.02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Lutjanidae</x:v>
      </x:c>
      <x:c r="T66" s="32" t="n">
        <x:f>IF(O66="","",(1/'Metadata'!$B$5)^(O66-1))</x:f>
        <x:v>1047.1285480508984</x:v>
      </x:c>
      <x:c r="U66" s="31" t="n">
        <x:f>IF(T66="","",I66*T66)</x:f>
        <x:v>198676.63009379737</x:v>
      </x:c>
    </x:row>
    <x:row r="67" ht="18" customHeight="1">
      <x:c r="A67" s="24" t="str">
        <x:v>EEZ_461</x:v>
      </x:c>
      <x:c r="B67" s="24" t="str">
        <x:v>Malaysia (Sabah)</x:v>
      </x:c>
      <x:c r="C67" s="24" t="str">
        <x:v>EEZ</x:v>
      </x:c>
      <x:c r="D67" s="30" t="n">
        <x:v>2019</x:v>
      </x:c>
      <x:c r="E67" s="24" t="str">
        <x:v>Scombridae</x:v>
      </x:c>
      <x:c r="F67" s="24" t="str">
        <x:v>Mackerels, tunas, bonitos</x:v>
      </x:c>
      <x:c r="G67" s="24" t="str">
        <x:v>Medium pelagics (30 - 89 cm)</x:v>
      </x:c>
      <x:c r="H67" s="24" t="str">
        <x:v>Perch-likes</x:v>
      </x:c>
      <x:c r="I67" s="31" t="n">
        <x:v>179.1254007458</x:v>
      </x:c>
      <x:c r="J67" s="31" t="n">
        <x:v>179.1254007458</x:v>
      </x:c>
      <x:c r="K67" s="31" t="n">
        <x:v>0</x:v>
      </x:c>
      <x:c r="L67" s="31" t="n">
        <x:v>0</x:v>
      </x:c>
      <x:c r="M67" s="31" t="n">
        <x:v>179.1254007458</x:v>
      </x:c>
      <x:c r="N67" s="24" t="str">
        <x:v>scombridae</x:v>
      </x:c>
      <x:c r="O67" s="32" t="n">
        <x:v>4.26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Scombridae</x:v>
      </x:c>
      <x:c r="T67" s="32" t="n">
        <x:f>IF(O67="","",(1/'Metadata'!$B$5)^(O67-1))</x:f>
        <x:v>1819.7008586099826</x:v>
      </x:c>
      <x:c r="U67" s="31" t="n">
        <x:f>IF(T67="","",I67*T67)</x:f>
        <x:v>325954.64553598943</x:v>
      </x:c>
    </x:row>
    <x:row r="68" ht="18" customHeight="1">
      <x:c r="A68" s="24" t="str">
        <x:v>EEZ_461</x:v>
      </x:c>
      <x:c r="B68" s="24" t="str">
        <x:v>Malaysia (Sabah)</x:v>
      </x:c>
      <x:c r="C68" s="24" t="str">
        <x:v>EEZ</x:v>
      </x:c>
      <x:c r="D68" s="30" t="n">
        <x:v>2019</x:v>
      </x:c>
      <x:c r="E68" s="24" t="str">
        <x:v>Megalops cyprinoides</x:v>
      </x:c>
      <x:c r="F68" s="24" t="str">
        <x:v>Indo-Pacific tarpon</x:v>
      </x:c>
      <x:c r="G68" s="24" t="str">
        <x:v>Large pelagics (&gt;=90 cm)</x:v>
      </x:c>
      <x:c r="H68" s="24" t="str">
        <x:v>Other fishes &amp; inverts</x:v>
      </x:c>
      <x:c r="I68" s="31" t="n">
        <x:v>142.0337083577</x:v>
      </x:c>
      <x:c r="J68" s="31" t="n">
        <x:v>142.0337083577</x:v>
      </x:c>
      <x:c r="K68" s="31" t="n">
        <x:v>0</x:v>
      </x:c>
      <x:c r="L68" s="31" t="n">
        <x:v>44.0619825114</x:v>
      </x:c>
      <x:c r="M68" s="31" t="n">
        <x:v>97.9717258463</x:v>
      </x:c>
      <x:c r="N68" s="24" t="str">
        <x:v>megalops cyprinoides</x:v>
      </x:c>
      <x:c r="O68" s="32" t="n">
        <x:v>3.48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Megalops cyprinoides</x:v>
      </x:c>
      <x:c r="T68" s="32" t="n">
        <x:f>IF(O68="","",(1/'Metadata'!$B$5)^(O68-1))</x:f>
        <x:v>301.9951720402016</x:v>
      </x:c>
      <x:c r="U68" s="31" t="n">
        <x:f>IF(T68="","",I68*T68)</x:f>
        <x:v>42893.494190991434</x:v>
      </x:c>
    </x:row>
    <x:row r="69" ht="18" customHeight="1">
      <x:c r="A69" s="24" t="str">
        <x:v>EEZ_461</x:v>
      </x:c>
      <x:c r="B69" s="24" t="str">
        <x:v>Malaysia (Sabah)</x:v>
      </x:c>
      <x:c r="C69" s="24" t="str">
        <x:v>EEZ</x:v>
      </x:c>
      <x:c r="D69" s="30" t="n">
        <x:v>2019</x:v>
      </x:c>
      <x:c r="E69" s="24" t="str">
        <x:v>Serranidae</x:v>
      </x:c>
      <x:c r="F69" s="24" t="str">
        <x:v>Basses, groupers, hinds</x:v>
      </x:c>
      <x:c r="G69" s="24" t="str">
        <x:v>Medium reef assoc. fish (30 - 89 cm)</x:v>
      </x:c>
      <x:c r="H69" s="24" t="str">
        <x:v>Perch-likes</x:v>
      </x:c>
      <x:c r="I69" s="31" t="n">
        <x:v>137.8130293844</x:v>
      </x:c>
      <x:c r="J69" s="31" t="n">
        <x:v>137.8130293844</x:v>
      </x:c>
      <x:c r="K69" s="31" t="n">
        <x:v>0</x:v>
      </x:c>
      <x:c r="L69" s="31" t="n">
        <x:v>3.2227968604</x:v>
      </x:c>
      <x:c r="M69" s="31" t="n">
        <x:v>134.59023252400002</x:v>
      </x:c>
      <x:c r="N69" s="24" t="str">
        <x:v>serranidae</x:v>
      </x:c>
      <x:c r="O69" s="32" t="n">
        <x:v>3.98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Serranidae</x:v>
      </x:c>
      <x:c r="T69" s="32" t="n">
        <x:f>IF(O69="","",(1/'Metadata'!$B$5)^(O69-1))</x:f>
        <x:v>954.992586021436</x:v>
      </x:c>
      <x:c r="U69" s="31" t="n">
        <x:f>IF(T69="","",I69*T69)</x:f>
        <x:v>131610.4213192563</x:v>
      </x:c>
    </x:row>
    <x:row r="70" ht="18" customHeight="1">
      <x:c r="A70" s="24" t="str">
        <x:v>EEZ_461</x:v>
      </x:c>
      <x:c r="B70" s="24" t="str">
        <x:v>Malaysia (Sabah)</x:v>
      </x:c>
      <x:c r="C70" s="24" t="str">
        <x:v>EEZ</x:v>
      </x:c>
      <x:c r="D70" s="30" t="n">
        <x:v>2019</x:v>
      </x:c>
      <x:c r="E70" s="24" t="str">
        <x:v>Istiophoridae</x:v>
      </x:c>
      <x:c r="F70" s="24" t="str">
        <x:v>Billfishes</x:v>
      </x:c>
      <x:c r="G70" s="24" t="str">
        <x:v>Large pelagics (&gt;=90 cm)</x:v>
      </x:c>
      <x:c r="H70" s="24" t="str">
        <x:v>Tuna &amp; billfishes</x:v>
      </x:c>
      <x:c r="I70" s="31" t="n">
        <x:v>134.3440505595</x:v>
      </x:c>
      <x:c r="J70" s="31" t="n">
        <x:v>134.3440505595</x:v>
      </x:c>
      <x:c r="K70" s="31" t="n">
        <x:v>0</x:v>
      </x:c>
      <x:c r="L70" s="31" t="n">
        <x:v>0</x:v>
      </x:c>
      <x:c r="M70" s="31" t="n">
        <x:v>134.3440505595</x:v>
      </x:c>
      <x:c r="N70" s="24" t="str">
        <x:v>istiophoridae</x:v>
      </x:c>
      <x:c r="O70" s="32" t="n">
        <x:v>4.48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Istiophoridae</x:v>
      </x:c>
      <x:c r="T70" s="32" t="n">
        <x:f>IF(O70="","",(1/'Metadata'!$B$5)^(O70-1))</x:f>
        <x:v>3019.951720402019</x:v>
      </x:c>
      <x:c r="U70" s="31" t="n">
        <x:f>IF(T70="","",I70*T70)</x:f>
        <x:v>405712.5466129379</x:v>
      </x:c>
    </x:row>
    <x:row r="71" ht="18" customHeight="1">
      <x:c r="A71" s="24" t="str">
        <x:v>EEZ_461</x:v>
      </x:c>
      <x:c r="B71" s="24" t="str">
        <x:v>Malaysia (Sabah)</x:v>
      </x:c>
      <x:c r="C71" s="24" t="str">
        <x:v>EEZ</x:v>
      </x:c>
      <x:c r="D71" s="30" t="n">
        <x:v>2019</x:v>
      </x:c>
      <x:c r="E71" s="24" t="str">
        <x:v>Panulirus longipes</x:v>
      </x:c>
      <x:c r="F71" s="24" t="str">
        <x:v>Longlegged spiny lobster</x:v>
      </x:c>
      <x:c r="G71" s="24" t="str">
        <x:v>Lobsters, crabs</x:v>
      </x:c>
      <x:c r="H71" s="24" t="str">
        <x:v>Crustaceans</x:v>
      </x:c>
      <x:c r="I71" s="31" t="n">
        <x:v>131.2757666682</x:v>
      </x:c>
      <x:c r="J71" s="31" t="n">
        <x:v>131.2757666682</x:v>
      </x:c>
      <x:c r="K71" s="31" t="n">
        <x:v>0</x:v>
      </x:c>
      <x:c r="L71" s="31" t="n">
        <x:v>40.3901506355</x:v>
      </x:c>
      <x:c r="M71" s="31" t="n">
        <x:v>90.8856160327</x:v>
      </x:c>
      <x:c r="N71" s="24" t="str">
        <x:v>panulirus longipes</x:v>
      </x:c>
      <x:c r="O71" s="32" t="n">
        <x:v>2.6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Panulirus longipes</x:v>
      </x:c>
      <x:c r="T71" s="32" t="n">
        <x:f>IF(O71="","",(1/'Metadata'!$B$5)^(O71-1))</x:f>
        <x:v>39.810717055349734</x:v>
      </x:c>
      <x:c r="U71" s="31" t="n">
        <x:f>IF(T71="","",I71*T71)</x:f>
        <x:v>5226.182403051822</x:v>
      </x:c>
    </x:row>
    <x:row r="72" ht="18" customHeight="1">
      <x:c r="A72" s="24" t="str">
        <x:v>EEZ_461</x:v>
      </x:c>
      <x:c r="B72" s="24" t="str">
        <x:v>Malaysia (Sabah)</x:v>
      </x:c>
      <x:c r="C72" s="24" t="str">
        <x:v>EEZ</x:v>
      </x:c>
      <x:c r="D72" s="30" t="n">
        <x:v>2019</x:v>
      </x:c>
      <x:c r="E72" s="24" t="str">
        <x:v>Decapterus</x:v>
      </x:c>
      <x:c r="F72" s="24" t="str">
        <x:v>Scads</x:v>
      </x:c>
      <x:c r="G72" s="24" t="str">
        <x:v>Medium pelagics (30 - 89 cm)</x:v>
      </x:c>
      <x:c r="H72" s="24" t="str">
        <x:v>Perch-likes</x:v>
      </x:c>
      <x:c r="I72" s="31" t="n">
        <x:v>129.5356605881</x:v>
      </x:c>
      <x:c r="J72" s="31" t="n">
        <x:v>129.5356605881</x:v>
      </x:c>
      <x:c r="K72" s="31" t="n">
        <x:v>0</x:v>
      </x:c>
      <x:c r="L72" s="31" t="n">
        <x:v>40.3901506354</x:v>
      </x:c>
      <x:c r="M72" s="31" t="n">
        <x:v>89.1455099527</x:v>
      </x:c>
      <x:c r="N72" s="24" t="str">
        <x:v>decapterus</x:v>
      </x:c>
      <x:c r="O72" s="32" t="n">
        <x:v>3.63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Decapterus</x:v>
      </x:c>
      <x:c r="T72" s="32" t="n">
        <x:f>IF(O72="","",(1/'Metadata'!$B$5)^(O72-1))</x:f>
        <x:v>426.57951880159254</x:v>
      </x:c>
      <x:c r="U72" s="31" t="n">
        <x:f>IF(T72="","",I72*T72)</x:f>
        <x:v>55257.25976131811</x:v>
      </x:c>
    </x:row>
    <x:row r="73" ht="18" customHeight="1">
      <x:c r="A73" s="24" t="str">
        <x:v>EEZ_461</x:v>
      </x:c>
      <x:c r="B73" s="24" t="str">
        <x:v>Malaysia (Sabah)</x:v>
      </x:c>
      <x:c r="C73" s="24" t="str">
        <x:v>EEZ</x:v>
      </x:c>
      <x:c r="D73" s="30" t="n">
        <x:v>2019</x:v>
      </x:c>
      <x:c r="E73" s="24" t="str">
        <x:v>Octopodidae</x:v>
      </x:c>
      <x:c r="F73" s="24" t="str">
        <x:v>Octopuses</x:v>
      </x:c>
      <x:c r="G73" s="24" t="str">
        <x:v>Cephalopods</x:v>
      </x:c>
      <x:c r="H73" s="24" t="str">
        <x:v>Other fishes &amp; inverts</x:v>
      </x:c>
      <x:c r="I73" s="31" t="n">
        <x:v>115.2022352682</x:v>
      </x:c>
      <x:c r="J73" s="31" t="n">
        <x:v>115.2022352682</x:v>
      </x:c>
      <x:c r="K73" s="31" t="n">
        <x:v>0</x:v>
      </x:c>
      <x:c r="L73" s="31" t="n">
        <x:v>43.5153321023</x:v>
      </x:c>
      <x:c r="M73" s="31" t="n">
        <x:v>71.6869031659</x:v>
      </x:c>
      <x:c r="N73" s="24" t="str">
        <x:v>octopodidae</x:v>
      </x:c>
      <x:c r="O73" s="32" t="n">
        <x:v>3.59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Octopodidae</x:v>
      </x:c>
      <x:c r="T73" s="32" t="n">
        <x:f>IF(O73="","",(1/'Metadata'!$B$5)^(O73-1))</x:f>
        <x:v>389.04514499428046</x:v>
      </x:c>
      <x:c r="U73" s="31" t="n">
        <x:f>IF(T73="","",I73*T73)</x:f>
        <x:v>44818.87032358208</x:v>
      </x:c>
    </x:row>
    <x:row r="74" ht="18" customHeight="1">
      <x:c r="A74" s="24" t="str">
        <x:v>EEZ_461</x:v>
      </x:c>
      <x:c r="B74" s="24" t="str">
        <x:v>Malaysia (Sabah)</x:v>
      </x:c>
      <x:c r="C74" s="24" t="str">
        <x:v>EEZ</x:v>
      </x:c>
      <x:c r="D74" s="30" t="n">
        <x:v>2019</x:v>
      </x:c>
      <x:c r="E74" s="24" t="str">
        <x:v>Clupeiformes</x:v>
      </x:c>
      <x:c r="F74" s="24" t="str">
        <x:v>Herrings, shads, anchovies</x:v>
      </x:c>
      <x:c r="G74" s="24" t="str">
        <x:v>Small pelagics (&lt;30 cm)</x:v>
      </x:c>
      <x:c r="H74" s="24" t="str">
        <x:v>Other fishes &amp; inverts</x:v>
      </x:c>
      <x:c r="I74" s="31" t="n">
        <x:v>96.4981323255</x:v>
      </x:c>
      <x:c r="J74" s="31" t="n">
        <x:v>96.4981323255</x:v>
      </x:c>
      <x:c r="K74" s="31" t="n">
        <x:v>0</x:v>
      </x:c>
      <x:c r="L74" s="31" t="n">
        <x:v>30.2926129771</x:v>
      </x:c>
      <x:c r="M74" s="31" t="n">
        <x:v>66.2055193484</x:v>
      </x:c>
      <x:c r="N74" s="24" t="str">
        <x:v>clupeiformes</x:v>
      </x:c>
      <x:c r="O74" s="32" t="n">
        <x:v>3.24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Clupeiformes</x:v>
      </x:c>
      <x:c r="T74" s="32" t="n">
        <x:f>IF(O74="","",(1/'Metadata'!$B$5)^(O74-1))</x:f>
        <x:v>173.78008287493762</x:v>
      </x:c>
      <x:c r="U74" s="31" t="n">
        <x:f>IF(T74="","",I74*T74)</x:f>
        <x:v>16769.453432802085</x:v>
      </x:c>
    </x:row>
    <x:row r="75" ht="18" customHeight="1">
      <x:c r="A75" s="24" t="str">
        <x:v>EEZ_461</x:v>
      </x:c>
      <x:c r="B75" s="24" t="str">
        <x:v>Malaysia (Sabah)</x:v>
      </x:c>
      <x:c r="C75" s="24" t="str">
        <x:v>EEZ</x:v>
      </x:c>
      <x:c r="D75" s="30" t="n">
        <x:v>2019</x:v>
      </x:c>
      <x:c r="E75" s="24" t="str">
        <x:v>Panulirus polyphagus</x:v>
      </x:c>
      <x:c r="F75" s="24" t="str">
        <x:v>Mud spiny lobster</x:v>
      </x:c>
      <x:c r="G75" s="24" t="str">
        <x:v>Lobsters, crabs</x:v>
      </x:c>
      <x:c r="H75" s="24" t="str">
        <x:v>Crustaceans</x:v>
      </x:c>
      <x:c r="I75" s="31" t="n">
        <x:v>88.4595618307</x:v>
      </x:c>
      <x:c r="J75" s="31" t="n">
        <x:v>88.4595618307</x:v>
      </x:c>
      <x:c r="K75" s="31" t="n">
        <x:v>0</x:v>
      </x:c>
      <x:c r="L75" s="31" t="n">
        <x:v>27.538739069800002</x:v>
      </x:c>
      <x:c r="M75" s="31" t="n">
        <x:v>60.9208227609</x:v>
      </x:c>
      <x:c r="N75" s="24" t="str">
        <x:v>panulirus polyphagus</x:v>
      </x:c>
      <x:c r="O75" s="32" t="n">
        <x:v>2.94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Panulirus polyphagus</x:v>
      </x:c>
      <x:c r="T75" s="32" t="n">
        <x:f>IF(O75="","",(1/'Metadata'!$B$5)^(O75-1))</x:f>
        <x:v>87.09635899560806</x:v>
      </x:c>
      <x:c r="U75" s="31" t="n">
        <x:f>IF(T75="","",I75*T75)</x:f>
        <x:v>7704.505753800835</x:v>
      </x:c>
    </x:row>
    <x:row r="76" ht="18" customHeight="1">
      <x:c r="A76" s="24" t="str">
        <x:v>EEZ_461</x:v>
      </x:c>
      <x:c r="B76" s="24" t="str">
        <x:v>Malaysia (Sabah)</x:v>
      </x:c>
      <x:c r="C76" s="24" t="str">
        <x:v>EEZ</x:v>
      </x:c>
      <x:c r="D76" s="30" t="n">
        <x:v>2019</x:v>
      </x:c>
      <x:c r="E76" s="24" t="str">
        <x:v>Rastrelliger kanagurta</x:v>
      </x:c>
      <x:c r="F76" s="24" t="str">
        <x:v>Indian mackerel</x:v>
      </x:c>
      <x:c r="G76" s="24" t="str">
        <x:v>Medium pelagics (30 - 89 cm)</x:v>
      </x:c>
      <x:c r="H76" s="24" t="str">
        <x:v>Perch-likes</x:v>
      </x:c>
      <x:c r="I76" s="31" t="n">
        <x:v>73.85833879859999</x:v>
      </x:c>
      <x:c r="J76" s="31" t="n">
        <x:v>73.85833879859999</x:v>
      </x:c>
      <x:c r="K76" s="31" t="n">
        <x:v>0</x:v>
      </x:c>
      <x:c r="L76" s="31" t="n">
        <x:v>73.85833879859999</x:v>
      </x:c>
      <x:c r="M76" s="31" t="n">
        <x:v>0</x:v>
      </x:c>
      <x:c r="N76" s="24" t="str">
        <x:v>rastrelliger kanagurta</x:v>
      </x:c>
      <x:c r="O76" s="32" t="n">
        <x:v>3.19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Rastrelliger kanagurta</x:v>
      </x:c>
      <x:c r="T76" s="32" t="n">
        <x:f>IF(O76="","",(1/'Metadata'!$B$5)^(O76-1))</x:f>
        <x:v>154.88166189124811</x:v>
      </x:c>
      <x:c r="U76" s="31" t="n">
        <x:f>IF(T76="","",I76*T76)</x:f>
        <x:v>11439.302257654015</x:v>
      </x:c>
    </x:row>
    <x:row r="77" ht="18" customHeight="1">
      <x:c r="A77" s="24" t="str">
        <x:v>EEZ_461</x:v>
      </x:c>
      <x:c r="B77" s="24" t="str">
        <x:v>Malaysia (Sabah)</x:v>
      </x:c>
      <x:c r="C77" s="24" t="str">
        <x:v>EEZ</x:v>
      </x:c>
      <x:c r="D77" s="30" t="n">
        <x:v>2019</x:v>
      </x:c>
      <x:c r="E77" s="24" t="str">
        <x:v>Chirocentrus</x:v>
      </x:c>
      <x:c r="F77" s="24" t="str">
        <x:v>Wolf herrings</x:v>
      </x:c>
      <x:c r="G77" s="24" t="str">
        <x:v>Large pelagics (&gt;=90 cm)</x:v>
      </x:c>
      <x:c r="H77" s="24" t="str">
        <x:v>Herring-likes</x:v>
      </x:c>
      <x:c r="I77" s="31" t="n">
        <x:v>70.584078817</x:v>
      </x:c>
      <x:c r="J77" s="31" t="n">
        <x:v>70.584078817</x:v>
      </x:c>
      <x:c r="K77" s="31" t="n">
        <x:v>0</x:v>
      </x:c>
      <x:c r="L77" s="31" t="n">
        <x:v>22.0309912559</x:v>
      </x:c>
      <x:c r="M77" s="31" t="n">
        <x:v>48.5530875611</x:v>
      </x:c>
      <x:c r="N77" s="24" t="str">
        <x:v>chirocentrus</x:v>
      </x:c>
      <x:c r="O77" s="32" t="n">
        <x:v>4.3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Chirocentrus</x:v>
      </x:c>
      <x:c r="T77" s="32" t="n">
        <x:f>IF(O77="","",(1/'Metadata'!$B$5)^(O77-1))</x:f>
        <x:v>1995.2623149688789</x:v>
      </x:c>
      <x:c r="U77" s="31" t="n">
        <x:f>IF(T77="","",I77*T77)</x:f>
        <x:v>140833.75250035324</x:v>
      </x:c>
    </x:row>
    <x:row r="78" ht="18" customHeight="1">
      <x:c r="A78" s="24" t="str">
        <x:v>EEZ_461</x:v>
      </x:c>
      <x:c r="B78" s="24" t="str">
        <x:v>Malaysia (Sabah)</x:v>
      </x:c>
      <x:c r="C78" s="24" t="str">
        <x:v>EEZ</x:v>
      </x:c>
      <x:c r="D78" s="30" t="n">
        <x:v>2019</x:v>
      </x:c>
      <x:c r="E78" s="24" t="str">
        <x:v>Loliginidae</x:v>
      </x:c>
      <x:c r="F78" s="24" t="str">
        <x:v>Common pencil squids</x:v>
      </x:c>
      <x:c r="G78" s="24" t="str">
        <x:v>Cephalopods</x:v>
      </x:c>
      <x:c r="H78" s="24" t="str">
        <x:v>Other fishes &amp; inverts</x:v>
      </x:c>
      <x:c r="I78" s="31" t="n">
        <x:v>67.5327990939</x:v>
      </x:c>
      <x:c r="J78" s="31" t="n">
        <x:v>67.5327990939</x:v>
      </x:c>
      <x:c r="K78" s="31" t="n">
        <x:v>0</x:v>
      </x:c>
      <x:c r="L78" s="31" t="n">
        <x:v>62.861240413599994</x:v>
      </x:c>
      <x:c r="M78" s="31" t="n">
        <x:v>4.6715586803</x:v>
      </x:c>
      <x:c r="N78" s="24" t="str">
        <x:v>loliginidae</x:v>
      </x:c>
      <x:c r="O78" s="32" t="n">
        <x:v>3.9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Loliginidae</x:v>
      </x:c>
      <x:c r="T78" s="32" t="n">
        <x:f>IF(O78="","",(1/'Metadata'!$B$5)^(O78-1))</x:f>
        <x:v>794.3282347242813</x:v>
      </x:c>
      <x:c r="U78" s="31" t="n">
        <x:f>IF(T78="","",I78*T78)</x:f>
        <x:v>53643.209090247125</x:v>
      </x:c>
    </x:row>
    <x:row r="79" ht="18" customHeight="1">
      <x:c r="A79" s="24" t="str">
        <x:v>EEZ_461</x:v>
      </x:c>
      <x:c r="B79" s="24" t="str">
        <x:v>Malaysia (Sabah)</x:v>
      </x:c>
      <x:c r="C79" s="24" t="str">
        <x:v>EEZ</x:v>
      </x:c>
      <x:c r="D79" s="30" t="n">
        <x:v>2019</x:v>
      </x:c>
      <x:c r="E79" s="24" t="str">
        <x:v>Elasmobranchii</x:v>
      </x:c>
      <x:c r="F79" s="24" t="str">
        <x:v>Sharks, rays, skates</x:v>
      </x:c>
      <x:c r="G79" s="24" t="str">
        <x:v>Large sharks (&gt;=90 cm)</x:v>
      </x:c>
      <x:c r="H79" s="24" t="str">
        <x:v>Sharks &amp; rays</x:v>
      </x:c>
      <x:c r="I79" s="31" t="n">
        <x:v>51.0741012358</x:v>
      </x:c>
      <x:c r="J79" s="31" t="n">
        <x:v>51.0741012358</x:v>
      </x:c>
      <x:c r="K79" s="31" t="n">
        <x:v>0</x:v>
      </x:c>
      <x:c r="L79" s="31" t="n">
        <x:v>51.0741012358</x:v>
      </x:c>
      <x:c r="M79" s="31" t="n">
        <x:v>0</x:v>
      </x:c>
      <x:c r="N79" s="24" t="str">
        <x:v>elasmobranchii</x:v>
      </x:c>
      <x:c r="O79" s="32" t="n">
        <x:v>4.05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Elasmobranchii</x:v>
      </x:c>
      <x:c r="T79" s="32" t="n">
        <x:f>IF(O79="","",(1/'Metadata'!$B$5)^(O79-1))</x:f>
        <x:v>1122.018454301963</x:v>
      </x:c>
      <x:c r="U79" s="31" t="n">
        <x:f>IF(T79="","",I79*T79)</x:f>
        <x:v>57306.08412345429</x:v>
      </x:c>
    </x:row>
    <x:row r="80" ht="18" customHeight="1">
      <x:c r="A80" s="24" t="str">
        <x:v>EEZ_461</x:v>
      </x:c>
      <x:c r="B80" s="24" t="str">
        <x:v>Malaysia (Sabah)</x:v>
      </x:c>
      <x:c r="C80" s="24" t="str">
        <x:v>EEZ</x:v>
      </x:c>
      <x:c r="D80" s="30" t="n">
        <x:v>2019</x:v>
      </x:c>
      <x:c r="E80" s="24" t="str">
        <x:v>Malacostraca</x:v>
      </x:c>
      <x:c r="F80" s="24" t="str">
        <x:v>Lobsters, crabs, shrimps, krill</x:v>
      </x:c>
      <x:c r="G80" s="24" t="str">
        <x:v>Shrimps</x:v>
      </x:c>
      <x:c r="H80" s="24" t="str">
        <x:v>Crustaceans</x:v>
      </x:c>
      <x:c r="I80" s="31" t="n">
        <x:v>50.3556680735</x:v>
      </x:c>
      <x:c r="J80" s="31" t="n">
        <x:v>50.3556680735</x:v>
      </x:c>
      <x:c r="K80" s="31" t="n">
        <x:v>0</x:v>
      </x:c>
      <x:c r="L80" s="31" t="n">
        <x:v>15.6052854728</x:v>
      </x:c>
      <x:c r="M80" s="31" t="n">
        <x:v>34.7503826007</x:v>
      </x:c>
      <x:c r="N80" s="24" t="str">
        <x:v>malacostraca</x:v>
      </x:c>
      <x:c r="O80" s="32" t="n">
        <x:v>3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Malacostraca</x:v>
      </x:c>
      <x:c r="T80" s="32" t="n">
        <x:f>IF(O80="","",(1/'Metadata'!$B$5)^(O80-1))</x:f>
        <x:v>100</x:v>
      </x:c>
      <x:c r="U80" s="31" t="n">
        <x:f>IF(T80="","",I80*T80)</x:f>
        <x:v>5035.56680735</x:v>
      </x:c>
    </x:row>
    <x:row r="81" ht="18" customHeight="1">
      <x:c r="A81" s="24" t="str">
        <x:v>EEZ_461</x:v>
      </x:c>
      <x:c r="B81" s="24" t="str">
        <x:v>Malaysia (Sabah)</x:v>
      </x:c>
      <x:c r="C81" s="24" t="str">
        <x:v>EEZ</x:v>
      </x:c>
      <x:c r="D81" s="30" t="n">
        <x:v>2019</x:v>
      </x:c>
      <x:c r="E81" s="24" t="str">
        <x:v>Upeneus</x:v>
      </x:c>
      <x:c r="F81" s="24" t="str">
        <x:v>Upeneid goatfishes</x:v>
      </x:c>
      <x:c r="G81" s="24" t="str">
        <x:v>Small reef assoc. fish (&lt;30 cm)</x:v>
      </x:c>
      <x:c r="H81" s="24" t="str">
        <x:v>Perch-likes</x:v>
      </x:c>
      <x:c r="I81" s="31" t="n">
        <x:v>47.7063034147</x:v>
      </x:c>
      <x:c r="J81" s="31" t="n">
        <x:v>47.7063034147</x:v>
      </x:c>
      <x:c r="K81" s="31" t="n">
        <x:v>0</x:v>
      </x:c>
      <x:c r="L81" s="31" t="n">
        <x:v>12.3955064092</x:v>
      </x:c>
      <x:c r="M81" s="31" t="n">
        <x:v>35.3107970055</x:v>
      </x:c>
      <x:c r="N81" s="24" t="str">
        <x:v>upeneus</x:v>
      </x:c>
      <x:c r="O81" s="32" t="n">
        <x:v>3.54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Upeneus</x:v>
      </x:c>
      <x:c r="T81" s="32" t="n">
        <x:f>IF(O81="","",(1/'Metadata'!$B$5)^(O81-1))</x:f>
        <x:v>346.73685045253166</x:v>
      </x:c>
      <x:c r="U81" s="31" t="n">
        <x:f>IF(T81="","",I81*T81)</x:f>
        <x:v>16541.533392745936</x:v>
      </x:c>
    </x:row>
    <x:row r="82" ht="18" customHeight="1">
      <x:c r="A82" s="24" t="str">
        <x:v>EEZ_461</x:v>
      </x:c>
      <x:c r="B82" s="24" t="str">
        <x:v>Malaysia (Sabah)</x:v>
      </x:c>
      <x:c r="C82" s="24" t="str">
        <x:v>EEZ</x:v>
      </x:c>
      <x:c r="D82" s="30" t="n">
        <x:v>2019</x:v>
      </x:c>
      <x:c r="E82" s="24" t="str">
        <x:v>Decapterus russelli</x:v>
      </x:c>
      <x:c r="F82" s="24" t="str">
        <x:v>Indian scad</x:v>
      </x:c>
      <x:c r="G82" s="24" t="str">
        <x:v>Medium pelagics (30 - 89 cm)</x:v>
      </x:c>
      <x:c r="H82" s="24" t="str">
        <x:v>Perch-likes</x:v>
      </x:c>
      <x:c r="I82" s="31" t="n">
        <x:v>47.4639770377</x:v>
      </x:c>
      <x:c r="J82" s="31" t="n">
        <x:v>47.4639770377</x:v>
      </x:c>
      <x:c r="K82" s="31" t="n">
        <x:v>0</x:v>
      </x:c>
      <x:c r="L82" s="31" t="n">
        <x:v>27.7024442609</x:v>
      </x:c>
      <x:c r="M82" s="31" t="n">
        <x:v>19.7615327768</x:v>
      </x:c>
      <x:c r="N82" s="24" t="str">
        <x:v>decapterus russelli</x:v>
      </x:c>
      <x:c r="O82" s="32" t="n">
        <x:v>3.68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Decapterus russelli</x:v>
      </x:c>
      <x:c r="T82" s="32" t="n">
        <x:f>IF(O82="","",(1/'Metadata'!$B$5)^(O82-1))</x:f>
        <x:v>478.6300923226385</x:v>
      </x:c>
      <x:c r="U82" s="31" t="n">
        <x:f>IF(T82="","",I82*T82)</x:f>
        <x:v>22717.687711553943</x:v>
      </x:c>
    </x:row>
    <x:row r="83" ht="18" customHeight="1">
      <x:c r="A83" s="24" t="str">
        <x:v>EEZ_461</x:v>
      </x:c>
      <x:c r="B83" s="24" t="str">
        <x:v>Malaysia (Sabah)</x:v>
      </x:c>
      <x:c r="C83" s="24" t="str">
        <x:v>EEZ</x:v>
      </x:c>
      <x:c r="D83" s="30" t="n">
        <x:v>2019</x:v>
      </x:c>
      <x:c r="E83" s="24" t="str">
        <x:v>Lethrinidae</x:v>
      </x:c>
      <x:c r="F83" s="24" t="str">
        <x:v>Emperors, scavengers</x:v>
      </x:c>
      <x:c r="G83" s="24" t="str">
        <x:v>Medium reef assoc. fish (30 - 89 cm)</x:v>
      </x:c>
      <x:c r="H83" s="24" t="str">
        <x:v>Perch-likes</x:v>
      </x:c>
      <x:c r="I83" s="31" t="n">
        <x:v>44.7813501865</x:v>
      </x:c>
      <x:c r="J83" s="31" t="n">
        <x:v>44.7813501865</x:v>
      </x:c>
      <x:c r="K83" s="31" t="n">
        <x:v>0</x:v>
      </x:c>
      <x:c r="L83" s="31" t="n">
        <x:v>0</x:v>
      </x:c>
      <x:c r="M83" s="31" t="n">
        <x:v>44.7813501865</x:v>
      </x:c>
      <x:c r="N83" s="24" t="str">
        <x:v>lethrinidae</x:v>
      </x:c>
      <x:c r="O83" s="32" t="n">
        <x:v>3.59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Lethrinidae</x:v>
      </x:c>
      <x:c r="T83" s="32" t="n">
        <x:f>IF(O83="","",(1/'Metadata'!$B$5)^(O83-1))</x:f>
        <x:v>389.04514499428046</x:v>
      </x:c>
      <x:c r="U83" s="31" t="n">
        <x:f>IF(T83="","",I83*T83)</x:f>
        <x:v>17421.96687634654</x:v>
      </x:c>
    </x:row>
    <x:row r="84" ht="18" customHeight="1">
      <x:c r="A84" s="24" t="str">
        <x:v>EEZ_461</x:v>
      </x:c>
      <x:c r="B84" s="24" t="str">
        <x:v>Malaysia (Sabah)</x:v>
      </x:c>
      <x:c r="C84" s="24" t="str">
        <x:v>EEZ</x:v>
      </x:c>
      <x:c r="D84" s="30" t="n">
        <x:v>2019</x:v>
      </x:c>
      <x:c r="E84" s="24" t="str">
        <x:v>Marine groundfishes not identified</x:v>
      </x:c>
      <x:c r="F84" s="24" t="str">
        <x:v>Groundfishes</x:v>
      </x:c>
      <x:c r="G84" s="24" t="str">
        <x:v>Medium demersals (30 - 89 cm)</x:v>
      </x:c>
      <x:c r="H84" s="24" t="str">
        <x:v>Other fishes &amp; inverts</x:v>
      </x:c>
      <x:c r="I84" s="31" t="n">
        <x:v>43.1440245425</x:v>
      </x:c>
      <x:c r="J84" s="31" t="n">
        <x:v>43.1440245425</x:v>
      </x:c>
      <x:c r="K84" s="31" t="n">
        <x:v>0</x:v>
      </x:c>
      <x:c r="L84" s="31" t="n">
        <x:v>43.1440245425</x:v>
      </x:c>
      <x:c r="M84" s="31" t="n">
        <x:v>0</x:v>
      </x:c>
      <x:c r="N84" s="24" t="str">
        <x:v>marine groundfishes not identified</x:v>
      </x:c>
      <x:c r="O84" s="32" t="n">
        <x:v>3.22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Marine groundfishes not identified</x:v>
      </x:c>
      <x:c r="T84" s="32" t="n">
        <x:f>IF(O84="","",(1/'Metadata'!$B$5)^(O84-1))</x:f>
        <x:v>165.95869074375614</x:v>
      </x:c>
      <x:c r="U84" s="31" t="n">
        <x:f>IF(T84="","",I84*T84)</x:f>
        <x:v>7160.125826489782</x:v>
      </x:c>
    </x:row>
    <x:row r="85" ht="18" customHeight="1">
      <x:c r="A85" s="24" t="str">
        <x:v>EEZ_461</x:v>
      </x:c>
      <x:c r="B85" s="24" t="str">
        <x:v>Malaysia (Sabah)</x:v>
      </x:c>
      <x:c r="C85" s="24" t="str">
        <x:v>EEZ</x:v>
      </x:c>
      <x:c r="D85" s="30" t="n">
        <x:v>2019</x:v>
      </x:c>
      <x:c r="E85" s="24" t="str">
        <x:v>Lactarius lactarius</x:v>
      </x:c>
      <x:c r="F85" s="24" t="str">
        <x:v>False trevally</x:v>
      </x:c>
      <x:c r="G85" s="24" t="str">
        <x:v>Medium pelagics (30 - 89 cm)</x:v>
      </x:c>
      <x:c r="H85" s="24" t="str">
        <x:v>Perch-likes</x:v>
      </x:c>
      <x:c r="I85" s="31" t="n">
        <x:v>38.4180347084</x:v>
      </x:c>
      <x:c r="J85" s="31" t="n">
        <x:v>38.4180347084</x:v>
      </x:c>
      <x:c r="K85" s="31" t="n">
        <x:v>0</x:v>
      </x:c>
      <x:c r="L85" s="31" t="n">
        <x:v>11.9334535969</x:v>
      </x:c>
      <x:c r="M85" s="31" t="n">
        <x:v>26.4845811115</x:v>
      </x:c>
      <x:c r="N85" s="24" t="str">
        <x:v>lactarius lactarius</x:v>
      </x:c>
      <x:c r="O85" s="32" t="n">
        <x:v>3.97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Lactarius lactarius</x:v>
      </x:c>
      <x:c r="T85" s="32" t="n">
        <x:f>IF(O85="","",(1/'Metadata'!$B$5)^(O85-1))</x:f>
        <x:v>933.2543007969915</x:v>
      </x:c>
      <x:c r="U85" s="31" t="n">
        <x:f>IF(T85="","",I85*T85)</x:f>
        <x:v>35853.7961197824</x:v>
      </x:c>
    </x:row>
    <x:row r="86" ht="18" customHeight="1">
      <x:c r="A86" s="24" t="str">
        <x:v>EEZ_461</x:v>
      </x:c>
      <x:c r="B86" s="24" t="str">
        <x:v>Malaysia (Sabah)</x:v>
      </x:c>
      <x:c r="C86" s="24" t="str">
        <x:v>EEZ</x:v>
      </x:c>
      <x:c r="D86" s="30" t="n">
        <x:v>2019</x:v>
      </x:c>
      <x:c r="E86" s="24" t="str">
        <x:v>Scolopsis</x:v>
      </x:c>
      <x:c r="F86" s="24" t="str">
        <x:v>Monocle breams</x:v>
      </x:c>
      <x:c r="G86" s="24" t="str">
        <x:v>Small reef assoc. fish (&lt;30 cm)</x:v>
      </x:c>
      <x:c r="H86" s="24" t="str">
        <x:v>Perch-likes</x:v>
      </x:c>
      <x:c r="I86" s="31" t="n">
        <x:v>35.372700955</x:v>
      </x:c>
      <x:c r="J86" s="31" t="n">
        <x:v>35.372700955</x:v>
      </x:c>
      <x:c r="K86" s="31" t="n">
        <x:v>0</x:v>
      </x:c>
      <x:c r="L86" s="31" t="n">
        <x:v>14.728940743</x:v>
      </x:c>
      <x:c r="M86" s="31" t="n">
        <x:v>20.643760212</x:v>
      </x:c>
      <x:c r="N86" s="24" t="str">
        <x:v>scolopsis</x:v>
      </x:c>
      <x:c r="O86" s="32" t="n">
        <x:v>3.3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Scolopsis</x:v>
      </x:c>
      <x:c r="T86" s="32" t="n">
        <x:f>IF(O86="","",(1/'Metadata'!$B$5)^(O86-1))</x:f>
        <x:v>199.52623149688787</x:v>
      </x:c>
      <x:c r="U86" s="31" t="n">
        <x:f>IF(T86="","",I86*T86)</x:f>
        <x:v>7057.781719417517</x:v>
      </x:c>
    </x:row>
    <x:row r="87" ht="18" customHeight="1">
      <x:c r="A87" s="24" t="str">
        <x:v>EEZ_461</x:v>
      </x:c>
      <x:c r="B87" s="24" t="str">
        <x:v>Malaysia (Sabah)</x:v>
      </x:c>
      <x:c r="C87" s="24" t="str">
        <x:v>EEZ</x:v>
      </x:c>
      <x:c r="D87" s="30" t="n">
        <x:v>2019</x:v>
      </x:c>
      <x:c r="E87" s="24" t="str">
        <x:v>Sergestidae</x:v>
      </x:c>
      <x:c r="F87" s="24" t="str">
        <x:v>Sergestid shrimp</x:v>
      </x:c>
      <x:c r="G87" s="24" t="str">
        <x:v>Shrimps</x:v>
      </x:c>
      <x:c r="H87" s="24" t="str">
        <x:v>Crustaceans</x:v>
      </x:c>
      <x:c r="I87" s="31" t="n">
        <x:v>33.8705114916</x:v>
      </x:c>
      <x:c r="J87" s="31" t="n">
        <x:v>33.8705114916</x:v>
      </x:c>
      <x:c r="K87" s="31" t="n">
        <x:v>0</x:v>
      </x:c>
      <x:c r="L87" s="31" t="n">
        <x:v>33.2696557282</x:v>
      </x:c>
      <x:c r="M87" s="31" t="n">
        <x:v>0.6008557634</x:v>
      </x:c>
      <x:c r="N87" s="24" t="str">
        <x:v>sergestidae</x:v>
      </x:c>
      <x:c r="O87" s="32" t="n">
        <x:v>2.93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Sergestidae</x:v>
      </x:c>
      <x:c r="T87" s="32" t="n">
        <x:f>IF(O87="","",(1/'Metadata'!$B$5)^(O87-1))</x:f>
        <x:v>85.11380382023768</x:v>
      </x:c>
      <x:c r="U87" s="31" t="n">
        <x:f>IF(T87="","",I87*T87)</x:f>
        <x:v>2882.8480703871483</x:v>
      </x:c>
    </x:row>
    <x:row r="88" ht="18" customHeight="1">
      <x:c r="A88" s="24" t="str">
        <x:v>EEZ_461</x:v>
      </x:c>
      <x:c r="B88" s="24" t="str">
        <x:v>Malaysia (Sabah)</x:v>
      </x:c>
      <x:c r="C88" s="24" t="str">
        <x:v>EEZ</x:v>
      </x:c>
      <x:c r="D88" s="30" t="n">
        <x:v>2019</x:v>
      </x:c>
      <x:c r="E88" s="24" t="str">
        <x:v>Solenocera crassicornis</x:v>
      </x:c>
      <x:c r="F88" s="24" t="str">
        <x:v>Coastal mud shrimp</x:v>
      </x:c>
      <x:c r="G88" s="24" t="str">
        <x:v>Shrimps</x:v>
      </x:c>
      <x:c r="H88" s="24" t="str">
        <x:v>Crustaceans</x:v>
      </x:c>
      <x:c r="I88" s="31" t="n">
        <x:v>32.7264585127</x:v>
      </x:c>
      <x:c r="J88" s="31" t="n">
        <x:v>32.7264585127</x:v>
      </x:c>
      <x:c r="K88" s="31" t="n">
        <x:v>0</x:v>
      </x:c>
      <x:c r="L88" s="31" t="n">
        <x:v>10.0975376586</x:v>
      </x:c>
      <x:c r="M88" s="31" t="n">
        <x:v>22.6289208541</x:v>
      </x:c>
      <x:c r="N88" s="24" t="str">
        <x:v>solenocera crassicornis</x:v>
      </x:c>
      <x:c r="O88" s="32" t="n">
        <x:v>2.2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Solenocera crassicornis</x:v>
      </x:c>
      <x:c r="T88" s="32" t="n">
        <x:f>IF(O88="","",(1/'Metadata'!$B$5)^(O88-1))</x:f>
        <x:v>15.848931924611142</x:v>
      </x:c>
      <x:c r="U88" s="31" t="n">
        <x:f>IF(T88="","",I88*T88)</x:f>
        <x:v>518.679413101393</x:v>
      </x:c>
    </x:row>
    <x:row r="89" ht="18" customHeight="1">
      <x:c r="A89" s="24" t="str">
        <x:v>EEZ_461</x:v>
      </x:c>
      <x:c r="B89" s="24" t="str">
        <x:v>Malaysia (Sabah)</x:v>
      </x:c>
      <x:c r="C89" s="24" t="str">
        <x:v>EEZ</x:v>
      </x:c>
      <x:c r="D89" s="30" t="n">
        <x:v>2019</x:v>
      </x:c>
      <x:c r="E89" s="24" t="str">
        <x:v>Selar crumenophthalmus</x:v>
      </x:c>
      <x:c r="F89" s="24" t="str">
        <x:v>Bigeye scad</x:v>
      </x:c>
      <x:c r="G89" s="24" t="str">
        <x:v>Medium pelagics (30 - 89 cm)</x:v>
      </x:c>
      <x:c r="H89" s="24" t="str">
        <x:v>Perch-likes</x:v>
      </x:c>
      <x:c r="I89" s="31" t="n">
        <x:v>30.3984042054</x:v>
      </x:c>
      <x:c r="J89" s="31" t="n">
        <x:v>30.3984042054</x:v>
      </x:c>
      <x:c r="K89" s="31" t="n">
        <x:v>0</x:v>
      </x:c>
      <x:c r="L89" s="31" t="n">
        <x:v>15.604275163599999</x:v>
      </x:c>
      <x:c r="M89" s="31" t="n">
        <x:v>14.7941290418</x:v>
      </x:c>
      <x:c r="N89" s="24" t="str">
        <x:v>selar crumenophthalmus</x:v>
      </x:c>
      <x:c r="O89" s="32" t="n">
        <x:v>3.81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Selar crumenophthalmus</x:v>
      </x:c>
      <x:c r="T89" s="32" t="n">
        <x:f>IF(O89="","",(1/'Metadata'!$B$5)^(O89-1))</x:f>
        <x:v>645.6542290346556</x:v>
      </x:c>
      <x:c r="U89" s="31" t="n">
        <x:f>IF(T89="","",I89*T89)</x:f>
        <x:v>19626.85823112137</x:v>
      </x:c>
    </x:row>
    <x:row r="90" ht="18" customHeight="1">
      <x:c r="A90" s="24" t="str">
        <x:v>EEZ_461</x:v>
      </x:c>
      <x:c r="B90" s="24" t="str">
        <x:v>Malaysia (Sabah)</x:v>
      </x:c>
      <x:c r="C90" s="24" t="str">
        <x:v>EEZ</x:v>
      </x:c>
      <x:c r="D90" s="30" t="n">
        <x:v>2019</x:v>
      </x:c>
      <x:c r="E90" s="24" t="str">
        <x:v>Sphyraenidae</x:v>
      </x:c>
      <x:c r="F90" s="24" t="str">
        <x:v>Barracudas</x:v>
      </x:c>
      <x:c r="G90" s="24" t="str">
        <x:v>Medium reef assoc. fish (30 - 89 cm)</x:v>
      </x:c>
      <x:c r="H90" s="24" t="str">
        <x:v>Perch-likes</x:v>
      </x:c>
      <x:c r="I90" s="31" t="n">
        <x:v>29.3746550079</x:v>
      </x:c>
      <x:c r="J90" s="31" t="n">
        <x:v>29.3746550079</x:v>
      </x:c>
      <x:c r="K90" s="31" t="n">
        <x:v>0</x:v>
      </x:c>
      <x:c r="L90" s="31" t="n">
        <x:v>29.3746550079</x:v>
      </x:c>
      <x:c r="M90" s="31" t="n">
        <x:v>0</x:v>
      </x:c>
      <x:c r="N90" s="24" t="str">
        <x:v>sphyraenidae</x:v>
      </x:c>
      <x:c r="O90" s="32" t="n">
        <x:v>4.4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Sphyraenidae</x:v>
      </x:c>
      <x:c r="T90" s="32" t="n">
        <x:f>IF(O90="","",(1/'Metadata'!$B$5)^(O90-1))</x:f>
        <x:v>2511.886431509582</x:v>
      </x:c>
      <x:c r="U90" s="31" t="n">
        <x:f>IF(T90="","",I90*T90)</x:f>
        <x:v>73785.797344619</x:v>
      </x:c>
    </x:row>
    <x:row r="91" ht="18" customHeight="1">
      <x:c r="A91" s="24" t="str">
        <x:v>EEZ_461</x:v>
      </x:c>
      <x:c r="B91" s="24" t="str">
        <x:v>Malaysia (Sabah)</x:v>
      </x:c>
      <x:c r="C91" s="24" t="str">
        <x:v>EEZ</x:v>
      </x:c>
      <x:c r="D91" s="30" t="n">
        <x:v>2019</x:v>
      </x:c>
      <x:c r="E91" s="24" t="str">
        <x:v>Tegillarca granosa</x:v>
      </x:c>
      <x:c r="F91" s="24" t="str">
        <x:v>Granular ark</x:v>
      </x:c>
      <x:c r="G91" s="24" t="str">
        <x:v>Other demersal invertebrates</x:v>
      </x:c>
      <x:c r="H91" s="24" t="str">
        <x:v>Molluscs</x:v>
      </x:c>
      <x:c r="I91" s="31" t="n">
        <x:v>23.6569372614</x:v>
      </x:c>
      <x:c r="J91" s="31" t="n">
        <x:v>23.6569372614</x:v>
      </x:c>
      <x:c r="K91" s="31" t="n">
        <x:v>0</x:v>
      </x:c>
      <x:c r="L91" s="31" t="n">
        <x:v>23.6569372614</x:v>
      </x:c>
      <x:c r="M91" s="31" t="n">
        <x:v>0</x:v>
      </x:c>
      <x:c r="N91" s="24" t="str">
        <x:v>tegillarca granosa</x:v>
      </x:c>
      <x:c r="O91" s="32" t="n">
        <x:v>2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Tegillarca granosa</x:v>
      </x:c>
      <x:c r="T91" s="32" t="n">
        <x:f>IF(O91="","",(1/'Metadata'!$B$5)^(O91-1))</x:f>
        <x:v>10</x:v>
      </x:c>
      <x:c r="U91" s="31" t="n">
        <x:f>IF(T91="","",I91*T91)</x:f>
        <x:v>236.569372614</x:v>
      </x:c>
    </x:row>
    <x:row r="92" ht="18" customHeight="1">
      <x:c r="A92" s="24" t="str">
        <x:v>EEZ_461</x:v>
      </x:c>
      <x:c r="B92" s="24" t="str">
        <x:v>Malaysia (Sabah)</x:v>
      </x:c>
      <x:c r="C92" s="24" t="str">
        <x:v>EEZ</x:v>
      </x:c>
      <x:c r="D92" s="30" t="n">
        <x:v>2019</x:v>
      </x:c>
      <x:c r="E92" s="24" t="str">
        <x:v>Saurida</x:v>
      </x:c>
      <x:c r="F92" s="24" t="str">
        <x:v>Lizardfishes</x:v>
      </x:c>
      <x:c r="G92" s="24" t="str">
        <x:v>Medium demersals (30 - 89 cm)</x:v>
      </x:c>
      <x:c r="H92" s="24" t="str">
        <x:v>Other fishes &amp; inverts</x:v>
      </x:c>
      <x:c r="I92" s="31" t="n">
        <x:v>15.7723023822</x:v>
      </x:c>
      <x:c r="J92" s="31" t="n">
        <x:v>15.7723023822</x:v>
      </x:c>
      <x:c r="K92" s="31" t="n">
        <x:v>0</x:v>
      </x:c>
      <x:c r="L92" s="31" t="n">
        <x:v>15.401381234599999</x:v>
      </x:c>
      <x:c r="M92" s="31" t="n">
        <x:v>0.3709211476</x:v>
      </x:c>
      <x:c r="N92" s="24" t="str">
        <x:v>saurida</x:v>
      </x:c>
      <x:c r="O92" s="32" t="n">
        <x:v>4.35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Saurida</x:v>
      </x:c>
      <x:c r="T92" s="32" t="n">
        <x:f>IF(O92="","",(1/'Metadata'!$B$5)^(O92-1))</x:f>
        <x:v>2238.7211385683377</x:v>
      </x:c>
      <x:c r="U92" s="31" t="n">
        <x:f>IF(T92="","",I92*T92)</x:f>
        <x:v>35309.78674692289</x:v>
      </x:c>
    </x:row>
    <x:row r="93" ht="18" customHeight="1">
      <x:c r="A93" s="24" t="str">
        <x:v>EEZ_461</x:v>
      </x:c>
      <x:c r="B93" s="24" t="str">
        <x:v>Malaysia (Sabah)</x:v>
      </x:c>
      <x:c r="C93" s="24" t="str">
        <x:v>EEZ</x:v>
      </x:c>
      <x:c r="D93" s="30" t="n">
        <x:v>2019</x:v>
      </x:c>
      <x:c r="E93" s="24" t="str">
        <x:v>Penaeus</x:v>
      </x:c>
      <x:c r="F93" s="24" t="str">
        <x:v>Tiger prawns</x:v>
      </x:c>
      <x:c r="G93" s="24" t="str">
        <x:v>Shrimps</x:v>
      </x:c>
      <x:c r="H93" s="24" t="str">
        <x:v>Crustaceans</x:v>
      </x:c>
      <x:c r="I93" s="31" t="n">
        <x:v>15.727865638599999</x:v>
      </x:c>
      <x:c r="J93" s="31" t="n">
        <x:v>15.727865638599999</x:v>
      </x:c>
      <x:c r="K93" s="31" t="n">
        <x:v>0</x:v>
      </x:c>
      <x:c r="L93" s="31" t="n">
        <x:v>15.0611627561</x:v>
      </x:c>
      <x:c r="M93" s="31" t="n">
        <x:v>0.6667028825</x:v>
      </x:c>
      <x:c r="N93" s="24" t="str">
        <x:v>penaeus</x:v>
      </x:c>
      <x:c r="O93" s="32" t="n">
        <x:v>2.7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Penaeus</x:v>
      </x:c>
      <x:c r="T93" s="32" t="n">
        <x:f>IF(O93="","",(1/'Metadata'!$B$5)^(O93-1))</x:f>
        <x:v>50.11872336272725</x:v>
      </x:c>
      <x:c r="U93" s="31" t="n">
        <x:f>IF(T93="","",I93*T93)</x:f>
        <x:v>788.2605470271369</x:v>
      </x:c>
    </x:row>
    <x:row r="94" ht="18" customHeight="1">
      <x:c r="A94" s="24" t="str">
        <x:v>EEZ_461</x:v>
      </x:c>
      <x:c r="B94" s="24" t="str">
        <x:v>Malaysia (Sabah)</x:v>
      </x:c>
      <x:c r="C94" s="24" t="str">
        <x:v>EEZ</x:v>
      </x:c>
      <x:c r="D94" s="30" t="n">
        <x:v>2019</x:v>
      </x:c>
      <x:c r="E94" s="24" t="str">
        <x:v>Priacanthus</x:v>
      </x:c>
      <x:c r="F94" s="24" t="str">
        <x:v>Bigeyes</x:v>
      </x:c>
      <x:c r="G94" s="24" t="str">
        <x:v>Medium reef assoc. fish (30 - 89 cm)</x:v>
      </x:c>
      <x:c r="H94" s="24" t="str">
        <x:v>Perch-likes</x:v>
      </x:c>
      <x:c r="I94" s="31" t="n">
        <x:v>13.6314735255</x:v>
      </x:c>
      <x:c r="J94" s="31" t="n">
        <x:v>13.6314735255</x:v>
      </x:c>
      <x:c r="K94" s="31" t="n">
        <x:v>0</x:v>
      </x:c>
      <x:c r="L94" s="31" t="n">
        <x:v>13.2128485489</x:v>
      </x:c>
      <x:c r="M94" s="31" t="n">
        <x:v>0.41862497660000003</x:v>
      </x:c>
      <x:c r="N94" s="24" t="str">
        <x:v>priacanthus</x:v>
      </x:c>
      <x:c r="O94" s="32" t="n">
        <x:v>3.81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Priacanthus</x:v>
      </x:c>
      <x:c r="T94" s="32" t="n">
        <x:f>IF(O94="","",(1/'Metadata'!$B$5)^(O94-1))</x:f>
        <x:v>645.6542290346556</x:v>
      </x:c>
      <x:c r="U94" s="31" t="n">
        <x:f>IF(T94="","",I94*T94)</x:f>
        <x:v>8801.218529713022</x:v>
      </x:c>
    </x:row>
    <x:row r="95" ht="18" customHeight="1">
      <x:c r="A95" s="24" t="str">
        <x:v>EEZ_461</x:v>
      </x:c>
      <x:c r="B95" s="24" t="str">
        <x:v>Malaysia (Sabah)</x:v>
      </x:c>
      <x:c r="C95" s="24" t="str">
        <x:v>EEZ</x:v>
      </x:c>
      <x:c r="D95" s="30" t="n">
        <x:v>2019</x:v>
      </x:c>
      <x:c r="E95" s="24" t="str">
        <x:v>Sepiidae</x:v>
      </x:c>
      <x:c r="F95" s="24" t="str">
        <x:v>Cuttlefishes</x:v>
      </x:c>
      <x:c r="G95" s="24" t="str">
        <x:v>Cephalopods</x:v>
      </x:c>
      <x:c r="H95" s="24" t="str">
        <x:v>Other fishes &amp; inverts</x:v>
      </x:c>
      <x:c r="I95" s="31" t="n">
        <x:v>12.8722199096</x:v>
      </x:c>
      <x:c r="J95" s="31" t="n">
        <x:v>12.8722199096</x:v>
      </x:c>
      <x:c r="K95" s="31" t="n">
        <x:v>0</x:v>
      </x:c>
      <x:c r="L95" s="31" t="n">
        <x:v>12.4247788367</x:v>
      </x:c>
      <x:c r="M95" s="31" t="n">
        <x:v>0.4474410729</x:v>
      </x:c>
      <x:c r="N95" s="24" t="str">
        <x:v>sepiidae</x:v>
      </x:c>
      <x:c r="O95" s="32" t="n">
        <x:v>3.6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Sepiidae</x:v>
      </x:c>
      <x:c r="T95" s="32" t="n">
        <x:f>IF(O95="","",(1/'Metadata'!$B$5)^(O95-1))</x:f>
        <x:v>398.1071705534973</x:v>
      </x:c>
      <x:c r="U95" s="31" t="n">
        <x:f>IF(T95="","",I95*T95)</x:f>
        <x:v>5124.523046953251</x:v>
      </x:c>
    </x:row>
    <x:row r="96" ht="18" customHeight="1">
      <x:c r="A96" s="24" t="str">
        <x:v>EEZ_461</x:v>
      </x:c>
      <x:c r="B96" s="24" t="str">
        <x:v>Malaysia (Sabah)</x:v>
      </x:c>
      <x:c r="C96" s="24" t="str">
        <x:v>EEZ</x:v>
      </x:c>
      <x:c r="D96" s="30" t="n">
        <x:v>2019</x:v>
      </x:c>
      <x:c r="E96" s="24" t="str">
        <x:v>Metapenaeus</x:v>
      </x:c>
      <x:c r="F96" s="24" t="str">
        <x:v>Indo-Pacific prawns</x:v>
      </x:c>
      <x:c r="G96" s="24" t="str">
        <x:v>Shrimps</x:v>
      </x:c>
      <x:c r="H96" s="24" t="str">
        <x:v>Crustaceans</x:v>
      </x:c>
      <x:c r="I96" s="31" t="n">
        <x:v>12.2760671787</x:v>
      </x:c>
      <x:c r="J96" s="31" t="n">
        <x:v>12.2760671787</x:v>
      </x:c>
      <x:c r="K96" s="31" t="n">
        <x:v>0</x:v>
      </x:c>
      <x:c r="L96" s="31" t="n">
        <x:v>11.797539678</x:v>
      </x:c>
      <x:c r="M96" s="31" t="n">
        <x:v>0.4785275007</x:v>
      </x:c>
      <x:c r="N96" s="24" t="str">
        <x:v>metapenaeus</x:v>
      </x:c>
      <x:c r="O96" s="32" t="n">
        <x:v>2.7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Metapenaeus</x:v>
      </x:c>
      <x:c r="T96" s="32" t="n">
        <x:f>IF(O96="","",(1/'Metadata'!$B$5)^(O96-1))</x:f>
        <x:v>50.11872336272725</x:v>
      </x:c>
      <x:c r="U96" s="31" t="n">
        <x:f>IF(T96="","",I96*T96)</x:f>
        <x:v>615.2608149115209</x:v>
      </x:c>
    </x:row>
    <x:row r="97" ht="18" customHeight="1">
      <x:c r="A97" s="24" t="str">
        <x:v>EEZ_461</x:v>
      </x:c>
      <x:c r="B97" s="24" t="str">
        <x:v>Malaysia (Sabah)</x:v>
      </x:c>
      <x:c r="C97" s="24" t="str">
        <x:v>EEZ</x:v>
      </x:c>
      <x:c r="D97" s="30" t="n">
        <x:v>2019</x:v>
      </x:c>
      <x:c r="E97" s="24" t="str">
        <x:v>Sepioteuthis lessoniana</x:v>
      </x:c>
      <x:c r="F97" s="24" t="str">
        <x:v>Bigfin reef squid</x:v>
      </x:c>
      <x:c r="G97" s="24" t="str">
        <x:v>Cephalopods</x:v>
      </x:c>
      <x:c r="H97" s="24" t="str">
        <x:v>Other fishes &amp; inverts</x:v>
      </x:c>
      <x:c r="I97" s="31" t="n">
        <x:v>11.601943202500001</x:v>
      </x:c>
      <x:c r="J97" s="31" t="n">
        <x:v>11.601943202500001</x:v>
      </x:c>
      <x:c r="K97" s="31" t="n">
        <x:v>0</x:v>
      </x:c>
      <x:c r="L97" s="31" t="n">
        <x:v>6.2587828472</x:v>
      </x:c>
      <x:c r="M97" s="31" t="n">
        <x:v>5.3431603553</x:v>
      </x:c>
      <x:c r="N97" s="24" t="str">
        <x:v>sepioteuthis lessoniana</x:v>
      </x:c>
      <x:c r="O97" s="32" t="n">
        <x:v>3.98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Sepioteuthis lessoniana</x:v>
      </x:c>
      <x:c r="T97" s="32" t="n">
        <x:f>IF(O97="","",(1/'Metadata'!$B$5)^(O97-1))</x:f>
        <x:v>954.992586021436</x:v>
      </x:c>
      <x:c r="U97" s="31" t="n">
        <x:f>IF(T97="","",I97*T97)</x:f>
        <x:v>11079.769741829297</x:v>
      </x:c>
    </x:row>
    <x:row r="98" ht="18" customHeight="1">
      <x:c r="A98" s="24" t="str">
        <x:v>EEZ_461</x:v>
      </x:c>
      <x:c r="B98" s="24" t="str">
        <x:v>Malaysia (Sabah)</x:v>
      </x:c>
      <x:c r="C98" s="24" t="str">
        <x:v>EEZ</x:v>
      </x:c>
      <x:c r="D98" s="30" t="n">
        <x:v>2019</x:v>
      </x:c>
      <x:c r="E98" s="24" t="str">
        <x:v>Chirocentrus dorab</x:v>
      </x:c>
      <x:c r="F98" s="24" t="str">
        <x:v>Dorab wolf-herring</x:v>
      </x:c>
      <x:c r="G98" s="24" t="str">
        <x:v>Large benthopelagics (&gt;=90 cm)</x:v>
      </x:c>
      <x:c r="H98" s="24" t="str">
        <x:v>Herring-likes</x:v>
      </x:c>
      <x:c r="I98" s="31" t="n">
        <x:v>11.0847980955</x:v>
      </x:c>
      <x:c r="J98" s="31" t="n">
        <x:v>11.0847980955</x:v>
      </x:c>
      <x:c r="K98" s="31" t="n">
        <x:v>0</x:v>
      </x:c>
      <x:c r="L98" s="31" t="n">
        <x:v>4.2248949247</x:v>
      </x:c>
      <x:c r="M98" s="31" t="n">
        <x:v>6.8599031708</x:v>
      </x:c>
      <x:c r="N98" s="24" t="str">
        <x:v>chirocentrus dorab</x:v>
      </x:c>
      <x:c r="O98" s="32" t="n">
        <x:v>4.2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Chirocentrus dorab</x:v>
      </x:c>
      <x:c r="T98" s="32" t="n">
        <x:f>IF(O98="","",(1/'Metadata'!$B$5)^(O98-1))</x:f>
        <x:v>1584.893192461114</x:v>
      </x:c>
      <x:c r="U98" s="31" t="n">
        <x:f>IF(T98="","",I98*T98)</x:f>
        <x:v>17568.22104136387</x:v>
      </x:c>
    </x:row>
    <x:row r="99" ht="18" customHeight="1">
      <x:c r="A99" s="24" t="str">
        <x:v>EEZ_461</x:v>
      </x:c>
      <x:c r="B99" s="24" t="str">
        <x:v>Malaysia (Sabah)</x:v>
      </x:c>
      <x:c r="C99" s="24" t="str">
        <x:v>EEZ</x:v>
      </x:c>
      <x:c r="D99" s="30" t="n">
        <x:v>2019</x:v>
      </x:c>
      <x:c r="E99" s="24" t="str">
        <x:v>Cephea</x:v>
      </x:c>
      <x:c r="F99" s="24" t="str">
        <x:v>Cepheid jellyfishes</x:v>
      </x:c>
      <x:c r="G99" s="24" t="str">
        <x:v>Jellyfish</x:v>
      </x:c>
      <x:c r="H99" s="24" t="str">
        <x:v>Other fishes &amp; inverts</x:v>
      </x:c>
      <x:c r="I99" s="31" t="n">
        <x:v>8.846011345600001</x:v>
      </x:c>
      <x:c r="J99" s="31" t="n">
        <x:v>8.846011345600001</x:v>
      </x:c>
      <x:c r="K99" s="31" t="n">
        <x:v>0</x:v>
      </x:c>
      <x:c r="L99" s="31" t="n">
        <x:v>1.9633699109</x:v>
      </x:c>
      <x:c r="M99" s="31" t="n">
        <x:v>6.8826414347</x:v>
      </x:c>
      <x:c r="N99" s="24" t="str">
        <x:v>cephea</x:v>
      </x:c>
      <x:c r="O99" s="32" t="n">
        <x:v>3.46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Cephea</x:v>
      </x:c>
      <x:c r="T99" s="32" t="n">
        <x:f>IF(O99="","",(1/'Metadata'!$B$5)^(O99-1))</x:f>
        <x:v>288.40315031266056</x:v>
      </x:c>
      <x:c r="U99" s="31" t="n">
        <x:f>IF(T99="","",I99*T99)</x:f>
        <x:v>2551.2175397725778</x:v>
      </x:c>
    </x:row>
    <x:row r="100" ht="18" customHeight="1">
      <x:c r="A100" s="24" t="str">
        <x:v>EEZ_461</x:v>
      </x:c>
      <x:c r="B100" s="24" t="str">
        <x:v>Malaysia (Sabah)</x:v>
      </x:c>
      <x:c r="C100" s="24" t="str">
        <x:v>EEZ</x:v>
      </x:c>
      <x:c r="D100" s="30" t="n">
        <x:v>2019</x:v>
      </x:c>
      <x:c r="E100" s="24" t="str">
        <x:v>Veneridae</x:v>
      </x:c>
      <x:c r="F100" s="24" t="str">
        <x:v>Venus clams</x:v>
      </x:c>
      <x:c r="G100" s="24" t="str">
        <x:v>Other demersal invertebrates</x:v>
      </x:c>
      <x:c r="H100" s="24" t="str">
        <x:v>Molluscs</x:v>
      </x:c>
      <x:c r="I100" s="31" t="n">
        <x:v>6.7885647239999996</x:v>
      </x:c>
      <x:c r="J100" s="31" t="n">
        <x:v>6.7885647239999996</x:v>
      </x:c>
      <x:c r="K100" s="31" t="n">
        <x:v>0</x:v>
      </x:c>
      <x:c r="L100" s="31" t="n">
        <x:v>5.8053642802</x:v>
      </x:c>
      <x:c r="M100" s="31" t="n">
        <x:v>0.9832004438</x:v>
      </x:c>
      <x:c r="N100" s="24" t="str">
        <x:v>veneridae</x:v>
      </x:c>
      <x:c r="O100" s="32" t="n">
        <x:v>2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Veneridae</x:v>
      </x:c>
      <x:c r="T100" s="32" t="n">
        <x:f>IF(O100="","",(1/'Metadata'!$B$5)^(O100-1))</x:f>
        <x:v>10</x:v>
      </x:c>
      <x:c r="U100" s="31" t="n">
        <x:f>IF(T100="","",I100*T100)</x:f>
        <x:v>67.88564724</x:v>
      </x:c>
    </x:row>
    <x:row r="101" ht="18" customHeight="1">
      <x:c r="A101" s="24" t="str">
        <x:v>EEZ_461</x:v>
      </x:c>
      <x:c r="B101" s="24" t="str">
        <x:v>Malaysia (Sabah)</x:v>
      </x:c>
      <x:c r="C101" s="24" t="str">
        <x:v>EEZ</x:v>
      </x:c>
      <x:c r="D101" s="30" t="n">
        <x:v>2019</x:v>
      </x:c>
      <x:c r="E101" s="24" t="str">
        <x:v>Trichiurus lepturus</x:v>
      </x:c>
      <x:c r="F101" s="24" t="str">
        <x:v>Largehead hairtail</x:v>
      </x:c>
      <x:c r="G101" s="24" t="str">
        <x:v>Large benthopelagics (&gt;=90 cm)</x:v>
      </x:c>
      <x:c r="H101" s="24" t="str">
        <x:v>Perch-likes</x:v>
      </x:c>
      <x:c r="I101" s="31" t="n">
        <x:v>5.274753147</x:v>
      </x:c>
      <x:c r="J101" s="31" t="n">
        <x:v>5.274753147</x:v>
      </x:c>
      <x:c r="K101" s="31" t="n">
        <x:v>0</x:v>
      </x:c>
      <x:c r="L101" s="31" t="n">
        <x:v>5.1267831823</x:v>
      </x:c>
      <x:c r="M101" s="31" t="n">
        <x:v>0.14796996469999998</x:v>
      </x:c>
      <x:c r="N101" s="24" t="str">
        <x:v>trichiurus lepturus</x:v>
      </x:c>
      <x:c r="O101" s="32" t="n">
        <x:v>4.42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Trichiurus lepturus</x:v>
      </x:c>
      <x:c r="T101" s="32" t="n">
        <x:f>IF(O101="","",(1/'Metadata'!$B$5)^(O101-1))</x:f>
        <x:v>2630.2679918953813</x:v>
      </x:c>
      <x:c r="U101" s="31" t="n">
        <x:f>IF(T101="","",I101*T101)</x:f>
        <x:v>13874.014367703534</x:v>
      </x:c>
    </x:row>
    <x:row r="102" ht="18" customHeight="1">
      <x:c r="A102" s="24" t="str">
        <x:v>EEZ_461</x:v>
      </x:c>
      <x:c r="B102" s="24" t="str">
        <x:v>Malaysia (Sabah)</x:v>
      </x:c>
      <x:c r="C102" s="24" t="str">
        <x:v>EEZ</x:v>
      </x:c>
      <x:c r="D102" s="30" t="n">
        <x:v>2019</x:v>
      </x:c>
      <x:c r="E102" s="24" t="str">
        <x:v>Mugilidae</x:v>
      </x:c>
      <x:c r="F102" s="24" t="str">
        <x:v>Mullets, grey mullets</x:v>
      </x:c>
      <x:c r="G102" s="24" t="str">
        <x:v>Medium reef assoc. fish (30 - 89 cm)</x:v>
      </x:c>
      <x:c r="H102" s="24" t="str">
        <x:v>Perch-likes</x:v>
      </x:c>
      <x:c r="I102" s="31" t="n">
        <x:v>4.1810334644</x:v>
      </x:c>
      <x:c r="J102" s="31" t="n">
        <x:v>4.1810334644</x:v>
      </x:c>
      <x:c r="K102" s="31" t="n">
        <x:v>0</x:v>
      </x:c>
      <x:c r="L102" s="31" t="n">
        <x:v>2.3790550336</x:v>
      </x:c>
      <x:c r="M102" s="31" t="n">
        <x:v>1.8019784308</x:v>
      </x:c>
      <x:c r="N102" s="24" t="str">
        <x:v>mugilidae</x:v>
      </x:c>
      <x:c r="O102" s="32" t="n">
        <x:v>2.53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Mugilidae</x:v>
      </x:c>
      <x:c r="T102" s="32" t="n">
        <x:f>IF(O102="","",(1/'Metadata'!$B$5)^(O102-1))</x:f>
        <x:v>33.88441561392024</x:v>
      </x:c>
      <x:c r="U102" s="31" t="n">
        <x:f>IF(T102="","",I102*T102)</x:f>
        <x:v>141.67187560343837</x:v>
      </x:c>
    </x:row>
    <x:row r="103" ht="18" customHeight="1">
      <x:c r="A103" s="24" t="str">
        <x:v>EEZ_461</x:v>
      </x:c>
      <x:c r="B103" s="24" t="str">
        <x:v>Malaysia (Sabah)</x:v>
      </x:c>
      <x:c r="C103" s="24" t="str">
        <x:v>EEZ</x:v>
      </x:c>
      <x:c r="D103" s="30" t="n">
        <x:v>2019</x:v>
      </x:c>
      <x:c r="E103" s="24" t="str">
        <x:v>Miscellaneous aquatic invertebrates</x:v>
      </x:c>
      <x:c r="F103" s="24" t="str">
        <x:v>Aquatic invertebrates</x:v>
      </x:c>
      <x:c r="G103" s="24" t="str">
        <x:v>Other demersal invertebrates</x:v>
      </x:c>
      <x:c r="H103" s="24" t="str">
        <x:v>Other fishes &amp; inverts</x:v>
      </x:c>
      <x:c r="I103" s="31" t="n">
        <x:v>3.917417601</x:v>
      </x:c>
      <x:c r="J103" s="31" t="n">
        <x:v>3.917417601</x:v>
      </x:c>
      <x:c r="K103" s="31" t="n">
        <x:v>0</x:v>
      </x:c>
      <x:c r="L103" s="31" t="n">
        <x:v>0.7509549691</x:v>
      </x:c>
      <x:c r="M103" s="31" t="n">
        <x:v>3.1664626319</x:v>
      </x:c>
      <x:c r="N103" s="24" t="str">
        <x:v>miscellaneous aquatic invertebrates</x:v>
      </x:c>
      <x:c r="O103" s="32" t="n">
        <x:v>2.43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Miscellaneous aquatic invertebrates</x:v>
      </x:c>
      <x:c r="T103" s="32" t="n">
        <x:f>IF(O103="","",(1/'Metadata'!$B$5)^(O103-1))</x:f>
        <x:v>26.915348039269166</x:v>
      </x:c>
      <x:c r="U103" s="31" t="n">
        <x:f>IF(T103="","",I103*T103)</x:f>
        <x:v>105.43865814607386</x:v>
      </x:c>
    </x:row>
    <x:row r="104" ht="18" customHeight="1">
      <x:c r="A104" s="24" t="str">
        <x:v>EEZ_461</x:v>
      </x:c>
      <x:c r="B104" s="24" t="str">
        <x:v>Malaysia (Sabah)</x:v>
      </x:c>
      <x:c r="C104" s="24" t="str">
        <x:v>EEZ</x:v>
      </x:c>
      <x:c r="D104" s="30" t="n">
        <x:v>2019</x:v>
      </x:c>
      <x:c r="E104" s="24" t="str">
        <x:v>Auxis</x:v>
      </x:c>
      <x:c r="F104" s="24" t="str">
        <x:v>Bullet and frigate tunas</x:v>
      </x:c>
      <x:c r="G104" s="24" t="str">
        <x:v>Medium pelagics (30 - 89 cm)</x:v>
      </x:c>
      <x:c r="H104" s="24" t="str">
        <x:v>Tuna &amp; billfishes</x:v>
      </x:c>
      <x:c r="I104" s="31" t="n">
        <x:v>3.6065364403999998</x:v>
      </x:c>
      <x:c r="J104" s="31" t="n">
        <x:v>3.6065364403999998</x:v>
      </x:c>
      <x:c r="K104" s="31" t="n">
        <x:v>0</x:v>
      </x:c>
      <x:c r="L104" s="31" t="n">
        <x:v>0</x:v>
      </x:c>
      <x:c r="M104" s="31" t="n">
        <x:v>3.6065364403999998</x:v>
      </x:c>
      <x:c r="N104" s="24" t="str">
        <x:v>auxis</x:v>
      </x:c>
      <x:c r="O104" s="32" t="n">
        <x:v>4.24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Auxis</x:v>
      </x:c>
      <x:c r="T104" s="32" t="n">
        <x:f>IF(O104="","",(1/'Metadata'!$B$5)^(O104-1))</x:f>
        <x:v>1737.8008287493763</x:v>
      </x:c>
      <x:c r="U104" s="31" t="n">
        <x:f>IF(T104="","",I104*T104)</x:f>
        <x:v>6267.442015041945</x:v>
      </x:c>
    </x:row>
    <x:row r="105" ht="18" customHeight="1">
      <x:c r="A105" s="24" t="str">
        <x:v>EEZ_461</x:v>
      </x:c>
      <x:c r="B105" s="24" t="str">
        <x:v>Malaysia (Sabah)</x:v>
      </x:c>
      <x:c r="C105" s="24" t="str">
        <x:v>EEZ</x:v>
      </x:c>
      <x:c r="D105" s="30" t="n">
        <x:v>2019</x:v>
      </x:c>
      <x:c r="E105" s="24" t="str">
        <x:v>Polynemidae</x:v>
      </x:c>
      <x:c r="F105" s="24" t="str">
        <x:v>Threadfins</x:v>
      </x:c>
      <x:c r="G105" s="24" t="str">
        <x:v>Small demersals (&lt;30 cm)</x:v>
      </x:c>
      <x:c r="H105" s="24" t="str">
        <x:v>Perch-likes</x:v>
      </x:c>
      <x:c r="I105" s="31" t="n">
        <x:v>3.3641479093</x:v>
      </x:c>
      <x:c r="J105" s="31" t="n">
        <x:v>3.3641479093</x:v>
      </x:c>
      <x:c r="K105" s="31" t="n">
        <x:v>0</x:v>
      </x:c>
      <x:c r="L105" s="31" t="n">
        <x:v>1.7023295509</x:v>
      </x:c>
      <x:c r="M105" s="31" t="n">
        <x:v>1.6618183584</x:v>
      </x:c>
      <x:c r="N105" s="24" t="str">
        <x:v>polynemidae</x:v>
      </x:c>
      <x:c r="O105" s="32" t="n">
        <x:v>3.62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Polynemidae</x:v>
      </x:c>
      <x:c r="T105" s="32" t="n">
        <x:f>IF(O105="","",(1/'Metadata'!$B$5)^(O105-1))</x:f>
        <x:v>416.8693834703355</x:v>
      </x:c>
      <x:c r="U105" s="31" t="n">
        <x:f>IF(T105="","",I105*T105)</x:f>
        <x:v>1402.4102648529092</x:v>
      </x:c>
    </x:row>
    <x:row r="106" ht="18" customHeight="1">
      <x:c r="A106" s="24" t="str">
        <x:v>EEZ_461</x:v>
      </x:c>
      <x:c r="B106" s="24" t="str">
        <x:v>Malaysia (Sabah)</x:v>
      </x:c>
      <x:c r="C106" s="24" t="str">
        <x:v>EEZ</x:v>
      </x:c>
      <x:c r="D106" s="30" t="n">
        <x:v>2019</x:v>
      </x:c>
      <x:c r="E106" s="24" t="str">
        <x:v>Muraenesox cinereus</x:v>
      </x:c>
      <x:c r="F106" s="24" t="str">
        <x:v>Daggertooth pike conger</x:v>
      </x:c>
      <x:c r="G106" s="24" t="str">
        <x:v>Large demersals (&gt;=90 cm)</x:v>
      </x:c>
      <x:c r="H106" s="24" t="str">
        <x:v>Other fishes &amp; inverts</x:v>
      </x:c>
      <x:c r="I106" s="31" t="n">
        <x:v>2.4955750059</x:v>
      </x:c>
      <x:c r="J106" s="31" t="n">
        <x:v>2.4955750059</x:v>
      </x:c>
      <x:c r="K106" s="31" t="n">
        <x:v>0</x:v>
      </x:c>
      <x:c r="L106" s="31" t="n">
        <x:v>2.3654462944</x:v>
      </x:c>
      <x:c r="M106" s="31" t="n">
        <x:v>0.1301287115</x:v>
      </x:c>
      <x:c r="N106" s="24" t="str">
        <x:v>muraenesox cinereus</x:v>
      </x:c>
      <x:c r="O106" s="32" t="n">
        <x:v>4.38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Muraenesox cinereus</x:v>
      </x:c>
      <x:c r="T106" s="32" t="n">
        <x:f>IF(O106="","",(1/'Metadata'!$B$5)^(O106-1))</x:f>
        <x:v>2398.83291901949</x:v>
      </x:c>
      <x:c r="U106" s="31" t="n">
        <x:f>IF(T106="","",I106*T106)</x:f>
        <x:v>5986.467476035178</x:v>
      </x:c>
    </x:row>
    <x:row r="107" ht="18" customHeight="1">
      <x:c r="A107" s="24" t="str">
        <x:v>EEZ_461</x:v>
      </x:c>
      <x:c r="B107" s="24" t="str">
        <x:v>Malaysia (Sabah)</x:v>
      </x:c>
      <x:c r="C107" s="24" t="str">
        <x:v>EEZ</x:v>
      </x:c>
      <x:c r="D107" s="30" t="n">
        <x:v>2019</x:v>
      </x:c>
      <x:c r="E107" s="24" t="str">
        <x:v>Thenus orientalis</x:v>
      </x:c>
      <x:c r="F107" s="24" t="str">
        <x:v>Flathead lobster</x:v>
      </x:c>
      <x:c r="G107" s="24" t="str">
        <x:v>Lobsters, crabs</x:v>
      </x:c>
      <x:c r="H107" s="24" t="str">
        <x:v>Crustaceans</x:v>
      </x:c>
      <x:c r="I107" s="31" t="n">
        <x:v>2.3972378964999996</x:v>
      </x:c>
      <x:c r="J107" s="31" t="n">
        <x:v>2.3972378964999996</x:v>
      </x:c>
      <x:c r="K107" s="31" t="n">
        <x:v>0</x:v>
      </x:c>
      <x:c r="L107" s="31" t="n">
        <x:v>2.3308058674999996</x:v>
      </x:c>
      <x:c r="M107" s="31" t="n">
        <x:v>0.066432029</x:v>
      </x:c>
      <x:c r="N107" s="24" t="str">
        <x:v>thenus orientalis</x:v>
      </x:c>
      <x:c r="O107" s="32" t="n">
        <x:v>2.5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Thenus orientalis</x:v>
      </x:c>
      <x:c r="T107" s="32" t="n">
        <x:f>IF(O107="","",(1/'Metadata'!$B$5)^(O107-1))</x:f>
        <x:v>31.622776601683793</x:v>
      </x:c>
      <x:c r="U107" s="31" t="n">
        <x:f>IF(T107="","",I107*T107)</x:f>
        <x:v>75.80731846210986</x:v>
      </x:c>
    </x:row>
    <x:row r="108" ht="18" customHeight="1">
      <x:c r="A108" s="24" t="str">
        <x:v>EEZ_461</x:v>
      </x:c>
      <x:c r="B108" s="24" t="str">
        <x:v>Malaysia (Sabah)</x:v>
      </x:c>
      <x:c r="C108" s="24" t="str">
        <x:v>EEZ</x:v>
      </x:c>
      <x:c r="D108" s="30" t="n">
        <x:v>2019</x:v>
      </x:c>
      <x:c r="E108" s="24" t="str">
        <x:v>Batoidea</x:v>
      </x:c>
      <x:c r="F108" s="24" t="str">
        <x:v>Batoids, skates, rays, sawfishes</x:v>
      </x:c>
      <x:c r="G108" s="24" t="str">
        <x:v>Large rays (&gt;=90 cm)</x:v>
      </x:c>
      <x:c r="H108" s="24" t="str">
        <x:v>Sharks &amp; rays</x:v>
      </x:c>
      <x:c r="I108" s="31" t="n">
        <x:v>1.9105715858</x:v>
      </x:c>
      <x:c r="J108" s="31" t="n">
        <x:v>1.9105715858</x:v>
      </x:c>
      <x:c r="K108" s="31" t="n">
        <x:v>0</x:v>
      </x:c>
      <x:c r="L108" s="31" t="n">
        <x:v>1.7580016655000001</x:v>
      </x:c>
      <x:c r="M108" s="31" t="n">
        <x:v>0.1525699203</x:v>
      </x:c>
      <x:c r="N108" s="24" t="str">
        <x:v>batoidea</x:v>
      </x:c>
      <x:c r="O108" s="32" t="n">
        <x:v>3.72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Batoidea</x:v>
      </x:c>
      <x:c r="T108" s="32" t="n">
        <x:f>IF(O108="","",(1/'Metadata'!$B$5)^(O108-1))</x:f>
        <x:v>524.8074602497728</x:v>
      </x:c>
      <x:c r="U108" s="31" t="n">
        <x:f>IF(T108="","",I108*T108)</x:f>
        <x:v>1002.6822215690789</x:v>
      </x:c>
    </x:row>
    <x:row r="109" ht="18" customHeight="1">
      <x:c r="A109" s="24" t="str">
        <x:v>EEZ_461</x:v>
      </x:c>
      <x:c r="B109" s="24" t="str">
        <x:v>Malaysia (Sabah)</x:v>
      </x:c>
      <x:c r="C109" s="24" t="str">
        <x:v>EEZ</x:v>
      </x:c>
      <x:c r="D109" s="30" t="n">
        <x:v>2019</x:v>
      </x:c>
      <x:c r="E109" s="24" t="str">
        <x:v>Penaeus semisulcatus</x:v>
      </x:c>
      <x:c r="F109" s="24" t="str">
        <x:v>Green tiger prawn</x:v>
      </x:c>
      <x:c r="G109" s="24" t="str">
        <x:v>Shrimps</x:v>
      </x:c>
      <x:c r="H109" s="24" t="str">
        <x:v>Crustaceans</x:v>
      </x:c>
      <x:c r="I109" s="31" t="n">
        <x:v>1.521823377</x:v>
      </x:c>
      <x:c r="J109" s="31" t="n">
        <x:v>1.521823377</x:v>
      </x:c>
      <x:c r="K109" s="31" t="n">
        <x:v>0</x:v>
      </x:c>
      <x:c r="L109" s="31" t="n">
        <x:v>1.4363405586</x:v>
      </x:c>
      <x:c r="M109" s="31" t="n">
        <x:v>0.0854828184</x:v>
      </x:c>
      <x:c r="N109" s="24" t="str">
        <x:v>penaeus semisulcatus</x:v>
      </x:c>
      <x:c r="O109" s="32" t="n">
        <x:v>2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Penaeus semisulcatus</x:v>
      </x:c>
      <x:c r="T109" s="32" t="n">
        <x:f>IF(O109="","",(1/'Metadata'!$B$5)^(O109-1))</x:f>
        <x:v>10</x:v>
      </x:c>
      <x:c r="U109" s="31" t="n">
        <x:f>IF(T109="","",I109*T109)</x:f>
        <x:v>15.218233770000001</x:v>
      </x:c>
    </x:row>
    <x:row r="110" ht="18" customHeight="1">
      <x:c r="A110" s="24" t="str">
        <x:v>EEZ_461</x:v>
      </x:c>
      <x:c r="B110" s="24" t="str">
        <x:v>Malaysia (Sabah)</x:v>
      </x:c>
      <x:c r="C110" s="24" t="str">
        <x:v>EEZ</x:v>
      </x:c>
      <x:c r="D110" s="30" t="n">
        <x:v>2019</x:v>
      </x:c>
      <x:c r="E110" s="24" t="str">
        <x:v>Scylla serrata</x:v>
      </x:c>
      <x:c r="F110" s="24" t="str">
        <x:v>Indo-Pacific swamp crab</x:v>
      </x:c>
      <x:c r="G110" s="24" t="str">
        <x:v>Lobsters, crabs</x:v>
      </x:c>
      <x:c r="H110" s="24" t="str">
        <x:v>Crustaceans</x:v>
      </x:c>
      <x:c r="I110" s="31" t="n">
        <x:v>1.1740630404999999</x:v>
      </x:c>
      <x:c r="J110" s="31" t="n">
        <x:v>1.1740630404999999</x:v>
      </x:c>
      <x:c r="K110" s="31" t="n">
        <x:v>0</x:v>
      </x:c>
      <x:c r="L110" s="31" t="n">
        <x:v>1.1740630404999999</x:v>
      </x:c>
      <x:c r="M110" s="31" t="n">
        <x:v>0</x:v>
      </x:c>
      <x:c r="N110" s="24" t="str">
        <x:v>scylla serrata</x:v>
      </x:c>
      <x:c r="O110" s="32" t="n">
        <x:v>3.17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Scylla serrata</x:v>
      </x:c>
      <x:c r="T110" s="32" t="n">
        <x:f>IF(O110="","",(1/'Metadata'!$B$5)^(O110-1))</x:f>
        <x:v>147.91083881682073</x:v>
      </x:c>
      <x:c r="U110" s="31" t="n">
        <x:f>IF(T110="","",I110*T110)</x:f>
        <x:v>173.65664914418196</x:v>
      </x:c>
    </x:row>
    <x:row r="111" ht="18" customHeight="1">
      <x:c r="A111" s="24" t="str">
        <x:v>EEZ_461</x:v>
      </x:c>
      <x:c r="B111" s="24" t="str">
        <x:v>Malaysia (Sabah)</x:v>
      </x:c>
      <x:c r="C111" s="24" t="str">
        <x:v>EEZ</x:v>
      </x:c>
      <x:c r="D111" s="30" t="n">
        <x:v>2019</x:v>
      </x:c>
      <x:c r="E111" s="24" t="str">
        <x:v>Pampus argenteus</x:v>
      </x:c>
      <x:c r="F111" s="24" t="str">
        <x:v>Silver pomfret</x:v>
      </x:c>
      <x:c r="G111" s="24" t="str">
        <x:v>Medium benthopelagics (30 - 89 cm)</x:v>
      </x:c>
      <x:c r="H111" s="24" t="str">
        <x:v>Perch-likes</x:v>
      </x:c>
      <x:c r="I111" s="31" t="n">
        <x:v>1.1369545492</x:v>
      </x:c>
      <x:c r="J111" s="31" t="n">
        <x:v>1.1369545492</x:v>
      </x:c>
      <x:c r="K111" s="31" t="n">
        <x:v>0</x:v>
      </x:c>
      <x:c r="L111" s="31" t="n">
        <x:v>0.4144479648</x:v>
      </x:c>
      <x:c r="M111" s="31" t="n">
        <x:v>0.7225065843999999</x:v>
      </x:c>
      <x:c r="N111" s="24" t="str">
        <x:v>pampus argenteus</x:v>
      </x:c>
      <x:c r="O111" s="32" t="n">
        <x:v>3.3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Pampus argenteus</x:v>
      </x:c>
      <x:c r="T111" s="32" t="n">
        <x:f>IF(O111="","",(1/'Metadata'!$B$5)^(O111-1))</x:f>
        <x:v>199.52623149688787</x:v>
      </x:c>
      <x:c r="U111" s="31" t="n">
        <x:f>IF(T111="","",I111*T111)</x:f>
        <x:v>226.852256585119</x:v>
      </x:c>
    </x:row>
    <x:row r="112" ht="18" customHeight="1">
      <x:c r="A112" s="24" t="str">
        <x:v>EEZ_461</x:v>
      </x:c>
      <x:c r="B112" s="24" t="str">
        <x:v>Malaysia (Sabah)</x:v>
      </x:c>
      <x:c r="C112" s="24" t="str">
        <x:v>EEZ</x:v>
      </x:c>
      <x:c r="D112" s="30" t="n">
        <x:v>2019</x:v>
      </x:c>
      <x:c r="E112" s="24" t="str">
        <x:v>Plotosidae</x:v>
      </x:c>
      <x:c r="F112" s="24" t="str">
        <x:v>Eeltail catfishes</x:v>
      </x:c>
      <x:c r="G112" s="24" t="str">
        <x:v>Medium reef assoc. fish (30 - 89 cm)</x:v>
      </x:c>
      <x:c r="H112" s="24" t="str">
        <x:v>Other fishes &amp; inverts</x:v>
      </x:c>
      <x:c r="I112" s="31" t="n">
        <x:v>1.0968793029000001</x:v>
      </x:c>
      <x:c r="J112" s="31" t="n">
        <x:v>1.0968793029000001</x:v>
      </x:c>
      <x:c r="K112" s="31" t="n">
        <x:v>0</x:v>
      </x:c>
      <x:c r="L112" s="31" t="n">
        <x:v>0.9563232142000001</x:v>
      </x:c>
      <x:c r="M112" s="31" t="n">
        <x:v>0.1405560887</x:v>
      </x:c>
      <x:c r="N112" s="24" t="str">
        <x:v>plotosidae</x:v>
      </x:c>
      <x:c r="O112" s="32" t="n">
        <x:v>3.49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Plotosidae</x:v>
      </x:c>
      <x:c r="T112" s="32" t="n">
        <x:f>IF(O112="","",(1/'Metadata'!$B$5)^(O112-1))</x:f>
        <x:v>309.0295432513592</x:v>
      </x:c>
      <x:c r="U112" s="31" t="n">
        <x:f>IF(T112="","",I112*T112)</x:f>
        <x:v>338.9681099770563</x:v>
      </x:c>
    </x:row>
    <x:row r="113" ht="18" customHeight="1">
      <x:c r="A113" s="24" t="str">
        <x:v>EEZ_461</x:v>
      </x:c>
      <x:c r="B113" s="24" t="str">
        <x:v>Malaysia (Sabah)</x:v>
      </x:c>
      <x:c r="C113" s="24" t="str">
        <x:v>EEZ</x:v>
      </x:c>
      <x:c r="D113" s="30" t="n">
        <x:v>2019</x:v>
      </x:c>
      <x:c r="E113" s="24" t="str">
        <x:v>Penaeus latisulcatus</x:v>
      </x:c>
      <x:c r="F113" s="24" t="str">
        <x:v>Western king prawn</x:v>
      </x:c>
      <x:c r="G113" s="24" t="str">
        <x:v>Shrimps</x:v>
      </x:c>
      <x:c r="H113" s="24" t="str">
        <x:v>Crustaceans</x:v>
      </x:c>
      <x:c r="I113" s="31" t="n">
        <x:v>0.9231240022</x:v>
      </x:c>
      <x:c r="J113" s="31" t="n">
        <x:v>0.9231240022</x:v>
      </x:c>
      <x:c r="K113" s="31" t="n">
        <x:v>0</x:v>
      </x:c>
      <x:c r="L113" s="31" t="n">
        <x:v>0.8969396253</x:v>
      </x:c>
      <x:c r="M113" s="31" t="n">
        <x:v>0.0261843769</x:v>
      </x:c>
      <x:c r="N113" s="24" t="str">
        <x:v>penaeus latisulcatus</x:v>
      </x:c>
      <x:c r="O113" s="32" t="n">
        <x:v>2.7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Penaeus latisulcatus</x:v>
      </x:c>
      <x:c r="T113" s="32" t="n">
        <x:f>IF(O113="","",(1/'Metadata'!$B$5)^(O113-1))</x:f>
        <x:v>50.11872336272725</x:v>
      </x:c>
      <x:c r="U113" s="31" t="n">
        <x:f>IF(T113="","",I113*T113)</x:f>
        <x:v>46.265796495755424</x:v>
      </x:c>
    </x:row>
    <x:row r="114" ht="18" customHeight="1">
      <x:c r="A114" s="24" t="str">
        <x:v>EEZ_461</x:v>
      </x:c>
      <x:c r="B114" s="24" t="str">
        <x:v>Malaysia (Sabah)</x:v>
      </x:c>
      <x:c r="C114" s="24" t="str">
        <x:v>EEZ</x:v>
      </x:c>
      <x:c r="D114" s="30" t="n">
        <x:v>2019</x:v>
      </x:c>
      <x:c r="E114" s="24" t="str">
        <x:v>Psettodes erumei</x:v>
      </x:c>
      <x:c r="F114" s="24" t="str">
        <x:v>Indian halibut</x:v>
      </x:c>
      <x:c r="G114" s="24" t="str">
        <x:v>Small to medium flatfishes (&lt;90 cm)</x:v>
      </x:c>
      <x:c r="H114" s="24" t="str">
        <x:v>Flatfishes</x:v>
      </x:c>
      <x:c r="I114" s="31" t="n">
        <x:v>0.5257921941</x:v>
      </x:c>
      <x:c r="J114" s="31" t="n">
        <x:v>0.5257921941</x:v>
      </x:c>
      <x:c r="K114" s="31" t="n">
        <x:v>0</x:v>
      </x:c>
      <x:c r="L114" s="31" t="n">
        <x:v>0.5257921941</x:v>
      </x:c>
      <x:c r="M114" s="31" t="n">
        <x:v>0</x:v>
      </x:c>
      <x:c r="N114" s="24" t="str">
        <x:v>psettodes erumei</x:v>
      </x:c>
      <x:c r="O114" s="32" t="n">
        <x:v>4.39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Psettodes erumei</x:v>
      </x:c>
      <x:c r="T114" s="32" t="n">
        <x:f>IF(O114="","",(1/'Metadata'!$B$5)^(O114-1))</x:f>
        <x:v>2454.7089156850284</x:v>
      </x:c>
      <x:c r="U114" s="31" t="n">
        <x:f>IF(T114="","",I114*T114)</x:f>
        <x:v>1290.666786654863</x:v>
      </x:c>
    </x:row>
    <x:row r="115" ht="18" customHeight="1">
      <x:c r="A115" s="24" t="str">
        <x:v>EEZ_461</x:v>
      </x:c>
      <x:c r="B115" s="24" t="str">
        <x:v>Malaysia (Sabah)</x:v>
      </x:c>
      <x:c r="C115" s="24" t="str">
        <x:v>EEZ</x:v>
      </x:c>
      <x:c r="D115" s="30" t="n">
        <x:v>2019</x:v>
      </x:c>
      <x:c r="E115" s="24" t="str">
        <x:v>Seriolina nigrofasciata</x:v>
      </x:c>
      <x:c r="F115" s="24" t="str">
        <x:v>Blackbanded trevally</x:v>
      </x:c>
      <x:c r="G115" s="24" t="str">
        <x:v>Medium reef assoc. fish (30 - 89 cm)</x:v>
      </x:c>
      <x:c r="H115" s="24" t="str">
        <x:v>Perch-likes</x:v>
      </x:c>
      <x:c r="I115" s="31" t="n">
        <x:v>0.14845897249999998</x:v>
      </x:c>
      <x:c r="J115" s="31" t="n">
        <x:v>0.14845897249999998</x:v>
      </x:c>
      <x:c r="K115" s="31" t="n">
        <x:v>0</x:v>
      </x:c>
      <x:c r="L115" s="31" t="n">
        <x:v>0.14845897249999998</x:v>
      </x:c>
      <x:c r="M115" s="31" t="n">
        <x:v>0</x:v>
      </x:c>
      <x:c r="N115" s="24" t="str">
        <x:v>seriolina nigrofasciata</x:v>
      </x:c>
      <x:c r="O115" s="32" t="n">
        <x:v>4.17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Seriolina nigrofasciata</x:v>
      </x:c>
      <x:c r="T115" s="32" t="n">
        <x:f>IF(O115="","",(1/'Metadata'!$B$5)^(O115-1))</x:f>
        <x:v>1479.1083881682073</x:v>
      </x:c>
      <x:c r="U115" s="31" t="n">
        <x:f>IF(T115="","",I115*T115)</x:f>
        <x:v>219.58691152358318</x:v>
      </x:c>
    </x:row>
  </x:sheetData>
  <x:conditionalFormatting sqref="R2:R11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4e05568beb14c2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349.89919578129997</x:v>
      </x:c>
      <x:c r="E2" s="31" t="n">
        <x:v>349.89919578129997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IF(C2=0,"",SUMIF('Species'!$H$2:$H$115,A2,'Species'!$U$2:$U$115))</x:f>
        <x:v>55455.285344140095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55455.285344140095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16</x:v>
      </x:c>
      <x:c r="C3" s="33" t="n">
        <x:v>16</x:v>
      </x:c>
      <x:c r="D3" s="31" t="n">
        <x:v>36118.8219302437</x:v>
      </x:c>
      <x:c r="E3" s="31" t="n">
        <x:v>36118.8219302437</x:v>
      </x:c>
      <x:c r="F3" s="32" t="n">
        <x:v>0</x:v>
      </x:c>
      <x:c r="G3" s="34" t="n">
        <x:v>1</x:v>
      </x:c>
      <x:c r="H3" s="32" t="n">
        <x:f>IF(E3=0,"",I3/E3)</x:f>
        <x:v>314.6757060701983</x:v>
      </x:c>
      <x:c r="I3" s="31" t="n">
        <x:f>IF(C3=0,"",SUMIF('Species'!$H$2:$H$115,A3,'Species'!$U$2:$U$115))</x:f>
        <x:v>11365715.7933232</x:v>
      </x:c>
      <x:c r="J3" s="32" t="n">
        <x:v>3.155689969118687</x:v>
      </x:c>
      <x:c r="K3" s="32" t="n">
        <x:f>IF(J3="","",(1/'Metadata'!$B$5)^(J3-1))</x:f>
        <x:v>143.1165864582555</x:v>
      </x:c>
      <x:c r="L3" s="31" t="n">
        <x:f>IF(E3=0,"",E3*K3)</x:f>
        <x:v>5169202.501550058</x:v>
      </x:c>
      <x:c r="M3" s="31" t="n">
        <x:f>IF(E3=0,"",I3-L3)</x:f>
        <x:v>6196513.291773142</x:v>
      </x:c>
      <x:c r="N3" s="32" t="n">
        <x:f>IF(L3=0,"",I3/L3)</x:f>
        <x:v>2.198736805129037</x:v>
      </x:c>
      <x:c r="O3" s="34" t="n">
        <x:f>IF(L3=0,"",M3/L3)</x:f>
        <x:v>1.198736805129037</x:v>
      </x:c>
    </x:row>
    <x:row r="4" ht="18" customHeight="1">
      <x:c r="A4" s="24" t="str">
        <x:v>Flatfishes</x:v>
      </x:c>
      <x:c r="B4" s="33" t="n">
        <x:v>3</x:v>
      </x:c>
      <x:c r="C4" s="33" t="n">
        <x:v>3</x:v>
      </x:c>
      <x:c r="D4" s="31" t="n">
        <x:v>1806.4504319782</x:v>
      </x:c>
      <x:c r="E4" s="31" t="n">
        <x:v>1806.4504319782</x:v>
      </x:c>
      <x:c r="F4" s="32" t="n">
        <x:v>0</x:v>
      </x:c>
      <x:c r="G4" s="34" t="n">
        <x:v>1</x:v>
      </x:c>
      <x:c r="H4" s="32" t="n">
        <x:f>IF(E4=0,"",I4/E4)</x:f>
        <x:v>495.79436806560307</x:v>
      </x:c>
      <x:c r="I4" s="31" t="n">
        <x:f>IF(C4=0,"",SUMIF('Species'!$H$2:$H$115,A4,'Species'!$U$2:$U$115))</x:f>
        <x:v>895627.9503644673</x:v>
      </x:c>
      <x:c r="J4" s="32" t="n">
        <x:v>3.648256233908203</x:v>
      </x:c>
      <x:c r="K4" s="32" t="n">
        <x:f>IF(J4="","",(1/'Metadata'!$B$5)^(J4-1))</x:f>
        <x:v>444.8936774880891</x:v>
      </x:c>
      <x:c r="L4" s="31" t="n">
        <x:f>IF(E4=0,"",E4*K4)</x:f>
        <x:v>803678.3758827285</x:v>
      </x:c>
      <x:c r="M4" s="31" t="n">
        <x:f>IF(E4=0,"",I4-L4)</x:f>
        <x:v>91949.57448173885</x:v>
      </x:c>
      <x:c r="N4" s="32" t="n">
        <x:f>IF(L4=0,"",I4/L4)</x:f>
        <x:v>1.114410910186236</x:v>
      </x:c>
      <x:c r="O4" s="34" t="n">
        <x:f>IF(L4=0,"",M4/L4)</x:f>
        <x:v>0.11441091018623598</x:v>
      </x:c>
    </x:row>
    <x:row r="5" ht="18" customHeight="1">
      <x:c r="A5" s="24" t="str">
        <x:v>Herring-likes</x:v>
      </x:c>
      <x:c r="B5" s="33" t="n">
        <x:v>6</x:v>
      </x:c>
      <x:c r="C5" s="33" t="n">
        <x:v>6</x:v>
      </x:c>
      <x:c r="D5" s="31" t="n">
        <x:v>38539.74419471601</x:v>
      </x:c>
      <x:c r="E5" s="31" t="n">
        <x:v>38539.74419471601</x:v>
      </x:c>
      <x:c r="F5" s="32" t="n">
        <x:v>0</x:v>
      </x:c>
      <x:c r="G5" s="34" t="n">
        <x:v>1</x:v>
      </x:c>
      <x:c r="H5" s="32" t="n">
        <x:f>IF(E5=0,"",I5/E5)</x:f>
        <x:v>142.4116079284371</x:v>
      </x:c>
      <x:c r="I5" s="31" t="n">
        <x:f>IF(C5=0,"",SUMIF('Species'!$H$2:$H$115,A5,'Species'!$U$2:$U$115))</x:f>
        <x:v>5488506.939920156</x:v>
      </x:c>
      <x:c r="J5" s="32" t="n">
        <x:v>3.03692482205267</x:v>
      </x:c>
      <x:c r="K5" s="32" t="n">
        <x:f>IF(J5="","",(1/'Metadata'!$B$5)^(J5-1))</x:f>
        <x:v>108.87416119053107</x:v>
      </x:c>
      <x:c r="L5" s="31" t="n">
        <x:f>IF(E5=0,"",E5*K5)</x:f>
        <x:v>4195982.321697345</x:v>
      </x:c>
      <x:c r="M5" s="31" t="n">
        <x:f>IF(E5=0,"",I5-L5)</x:f>
        <x:v>1292524.6182228113</x:v>
      </x:c>
      <x:c r="N5" s="32" t="n">
        <x:f>IF(L5=0,"",I5/L5)</x:f>
        <x:v>1.308038623408681</x:v>
      </x:c>
      <x:c r="O5" s="34" t="n">
        <x:f>IF(L5=0,"",M5/L5)</x:f>
        <x:v>0.30803862340868093</x:v>
      </x:c>
    </x:row>
    <x:row r="6" ht="18" customHeight="1">
      <x:c r="A6" s="24" t="str">
        <x:v>Molluscs</x:v>
      </x:c>
      <x:c r="B6" s="33" t="n">
        <x:v>3</x:v>
      </x:c>
      <x:c r="C6" s="33" t="n">
        <x:v>3</x:v>
      </x:c>
      <x:c r="D6" s="31" t="n">
        <x:v>1507.4631475059998</x:v>
      </x:c>
      <x:c r="E6" s="31" t="n">
        <x:v>1507.4631475059998</x:v>
      </x:c>
      <x:c r="F6" s="32" t="n">
        <x:v>0</x:v>
      </x:c>
      <x:c r="G6" s="34" t="n">
        <x:v>1</x:v>
      </x:c>
      <x:c r="H6" s="32" t="n">
        <x:f>IF(E6=0,"",I6/E6)</x:f>
        <x:v>12.536960208456115</x:v>
      </x:c>
      <x:c r="I6" s="31" t="n">
        <x:f>IF(C6=0,"",SUMIF('Species'!$H$2:$H$115,A6,'Species'!$U$2:$U$115))</x:f>
        <x:v>18899.00549599673</x:v>
      </x:c>
      <x:c r="J6" s="32" t="n">
        <x:v>2.0979803485056485</x:v>
      </x:c>
      <x:c r="K6" s="32" t="n">
        <x:f>IF(J6="","",(1/'Metadata'!$B$5)^(J6-1))</x:f>
        <x:v>12.530844725410875</x:v>
      </x:c>
      <x:c r="L6" s="31" t="n">
        <x:f>IF(E6=0,"",E6*K6)</x:f>
        <x:v>18889.786630676834</x:v>
      </x:c>
      <x:c r="M6" s="31" t="n">
        <x:f>IF(E6=0,"",I6-L6)</x:f>
        <x:v>9.218865319897304</x:v>
      </x:c>
      <x:c r="N6" s="32" t="n">
        <x:f>IF(L6=0,"",I6/L6)</x:f>
        <x:v>1.000488034380702</x:v>
      </x:c>
      <x:c r="O6" s="34" t="n">
        <x:f>IF(L6=0,"",M6/L6)</x:f>
        <x:v>0.00048803438070210676</x:v>
      </x:c>
    </x:row>
    <x:row r="7" ht="18" customHeight="1">
      <x:c r="A7" s="24" t="str">
        <x:v>Other fishes &amp; inverts</x:v>
      </x:c>
      <x:c r="B7" s="33" t="n">
        <x:v>20</x:v>
      </x:c>
      <x:c r="C7" s="33" t="n">
        <x:v>20</x:v>
      </x:c>
      <x:c r="D7" s="31" t="n">
        <x:v>108892.7938383891</x:v>
      </x:c>
      <x:c r="E7" s="31" t="n">
        <x:v>108892.7938383891</x:v>
      </x:c>
      <x:c r="F7" s="32" t="n">
        <x:v>0</x:v>
      </x:c>
      <x:c r="G7" s="34" t="n">
        <x:v>1</x:v>
      </x:c>
      <x:c r="H7" s="32" t="n">
        <x:f>IF(E7=0,"",I7/E7)</x:f>
        <x:v>266.04457803952545</x:v>
      </x:c>
      <x:c r="I7" s="31" t="n">
        <x:f>IF(C7=0,"",SUMIF('Species'!$H$2:$H$115,A7,'Species'!$U$2:$U$115))</x:f>
        <x:v>28970337.388279267</x:v>
      </x:c>
      <x:c r="J7" s="32" t="n">
        <x:v>3.358322684325254</x:v>
      </x:c>
      <x:c r="K7" s="32" t="n">
        <x:f>IF(J7="","",(1/'Metadata'!$B$5)^(J7-1))</x:f>
        <x:v>228.2037014269573</x:v>
      </x:c>
      <x:c r="L7" s="31" t="n">
        <x:f>IF(E7=0,"",E7*K7)</x:f>
        <x:v>24849738.612642962</x:v>
      </x:c>
      <x:c r="M7" s="31" t="n">
        <x:f>IF(E7=0,"",I7-L7)</x:f>
        <x:v>4120598.775636304</x:v>
      </x:c>
      <x:c r="N7" s="32" t="n">
        <x:f>IF(L7=0,"",I7/L7)</x:f>
        <x:v>1.1658206084123492</x:v>
      </x:c>
      <x:c r="O7" s="34" t="n">
        <x:f>IF(L7=0,"",M7/L7)</x:f>
        <x:v>0.16582060841234927</x:v>
      </x:c>
    </x:row>
    <x:row r="8" ht="18" customHeight="1">
      <x:c r="A8" s="24" t="str">
        <x:v>Perch-likes</x:v>
      </x:c>
      <x:c r="B8" s="33" t="n">
        <x:v>56</x:v>
      </x:c>
      <x:c r="C8" s="33" t="n">
        <x:v>56</x:v>
      </x:c>
      <x:c r="D8" s="31" t="n">
        <x:v>282323.2117226735</x:v>
      </x:c>
      <x:c r="E8" s="31" t="n">
        <x:v>282323.2117226735</x:v>
      </x:c>
      <x:c r="F8" s="32" t="n">
        <x:v>0</x:v>
      </x:c>
      <x:c r="G8" s="34" t="n">
        <x:v>1</x:v>
      </x:c>
      <x:c r="H8" s="32" t="n">
        <x:f>IF(E8=0,"",I8/E8)</x:f>
        <x:v>1341.158654576546</x:v>
      </x:c>
      <x:c r="I8" s="31" t="n">
        <x:f>IF(C8=0,"",SUMIF('Species'!$H$2:$H$115,A8,'Species'!$U$2:$U$115))</x:f>
        <x:v>378640218.78971016</x:v>
      </x:c>
      <x:c r="J8" s="32" t="n">
        <x:v>3.879397703794572</x:v>
      </x:c>
      <x:c r="K8" s="32" t="n">
        <x:f>IF(J8="","",(1/'Metadata'!$B$5)^(J8-1))</x:f>
        <x:v>757.5262797785186</x:v>
      </x:c>
      <x:c r="L8" s="31" t="n">
        <x:f>IF(E8=0,"",E8*K8)</x:f>
        <x:v>213867252.27139992</x:v>
      </x:c>
      <x:c r="M8" s="31" t="n">
        <x:f>IF(E8=0,"",I8-L8)</x:f>
        <x:v>164772966.51831025</x:v>
      </x:c>
      <x:c r="N8" s="32" t="n">
        <x:f>IF(L8=0,"",I8/L8)</x:f>
        <x:v>1.7704450530332316</x:v>
      </x:c>
      <x:c r="O8" s="34" t="n">
        <x:f>IF(L8=0,"",M8/L8)</x:f>
        <x:v>0.7704450530332317</x:v>
      </x:c>
    </x:row>
    <x:row r="9" ht="18" customHeight="1">
      <x:c r="A9" s="24" t="str">
        <x:v>Scorpionfishes</x:v>
      </x:c>
      <x:c r="B9" s="33" t="n">
        <x:v>1</x:v>
      </x:c>
      <x:c r="C9" s="33" t="n">
        <x:v>1</x:v>
      </x:c>
      <x:c r="D9" s="31" t="n">
        <x:v>1725.3308994791</x:v>
      </x:c>
      <x:c r="E9" s="31" t="n">
        <x:v>1725.3308994791</x:v>
      </x:c>
      <x:c r="F9" s="32" t="n">
        <x:v>0</x:v>
      </x:c>
      <x:c r="G9" s="34" t="n">
        <x:v>1</x:v>
      </x:c>
      <x:c r="H9" s="32" t="n">
        <x:f>IF(E9=0,"",I9/E9)</x:f>
        <x:v>794.3282347242813</x:v>
      </x:c>
      <x:c r="I9" s="31" t="n">
        <x:f>IF(C9=0,"",SUMIF('Species'!$H$2:$H$115,A9,'Species'!$U$2:$U$115))</x:f>
        <x:v>1370479.0476984899</x:v>
      </x:c>
      <x:c r="J9" s="32" t="n">
        <x:v>3.9</x:v>
      </x:c>
      <x:c r="K9" s="32" t="n">
        <x:f>IF(J9="","",(1/'Metadata'!$B$5)^(J9-1))</x:f>
        <x:v>794.3282347242813</x:v>
      </x:c>
      <x:c r="L9" s="31" t="n">
        <x:f>IF(E9=0,"",E9*K9)</x:f>
        <x:v>1370479.0476984899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Sharks &amp; rays</x:v>
      </x:c>
      <x:c r="B10" s="33" t="n">
        <x:v>4</x:v>
      </x:c>
      <x:c r="C10" s="33" t="n">
        <x:v>4</x:v>
      </x:c>
      <x:c r="D10" s="31" t="n">
        <x:v>13398.2049663918</x:v>
      </x:c>
      <x:c r="E10" s="31" t="n">
        <x:v>13398.2049663918</x:v>
      </x:c>
      <x:c r="F10" s="32" t="n">
        <x:v>0</x:v>
      </x:c>
      <x:c r="G10" s="34" t="n">
        <x:v>1</x:v>
      </x:c>
      <x:c r="H10" s="32" t="n">
        <x:f>IF(E10=0,"",I10/E10)</x:f>
        <x:v>1366.4707202358077</x:v>
      </x:c>
      <x:c r="I10" s="31" t="n">
        <x:f>IF(C10=0,"",SUMIF('Species'!$H$2:$H$115,A10,'Species'!$U$2:$U$115))</x:f>
        <x:v>18308254.79029238</x:v>
      </x:c>
      <x:c r="J10" s="32" t="n">
        <x:v>4.093026335434158</x:v>
      </x:c>
      <x:c r="K10" s="32" t="n">
        <x:f>IF(J10="","",(1/'Metadata'!$B$5)^(J10-1))</x:f>
        <x:v>1238.8717089104114</x:v>
      </x:c>
      <x:c r="L10" s="31" t="n">
        <x:f>IF(E10=0,"",E10*K10)</x:f>
        <x:v>16598657.083045771</x:v>
      </x:c>
      <x:c r="M10" s="31" t="n">
        <x:f>IF(E10=0,"",I10-L10)</x:f>
        <x:v>1709597.7072466072</x:v>
      </x:c>
      <x:c r="N10" s="32" t="n">
        <x:f>IF(L10=0,"",I10/L10)</x:f>
        <x:v>1.1029961459347712</x:v>
      </x:c>
      <x:c r="O10" s="34" t="n">
        <x:f>IF(L10=0,"",M10/L10)</x:f>
        <x:v>0.10299614593477127</x:v>
      </x:c>
    </x:row>
    <x:row r="11" ht="18" customHeight="1">
      <x:c r="A11" s="24" t="str">
        <x:v>Tuna &amp; billfishes</x:v>
      </x:c>
      <x:c r="B11" s="33" t="n">
        <x:v>4</x:v>
      </x:c>
      <x:c r="C11" s="33" t="n">
        <x:v>4</x:v>
      </x:c>
      <x:c r="D11" s="31" t="n">
        <x:v>5897.036937722</x:v>
      </x:c>
      <x:c r="E11" s="31" t="n">
        <x:v>5897.036937722</x:v>
      </x:c>
      <x:c r="F11" s="32" t="n">
        <x:v>0</x:v>
      </x:c>
      <x:c r="G11" s="34" t="n">
        <x:v>1</x:v>
      </x:c>
      <x:c r="H11" s="32" t="n">
        <x:f>IF(E11=0,"",I11/E11)</x:f>
        <x:v>3158.1640568273956</x:v>
      </x:c>
      <x:c r="I11" s="31" t="n">
        <x:f>IF(C11=0,"",SUMIF('Species'!$H$2:$H$115,A11,'Species'!$U$2:$U$115))</x:f>
        <x:v>18623810.098497115</x:v>
      </x:c>
      <x:c r="J11" s="32" t="n">
        <x:v>4.499385355641491</x:v>
      </x:c>
      <x:c r="K11" s="32" t="n">
        <x:f>IF(J11="","",(1/'Metadata'!$B$5)^(J11-1))</x:f>
        <x:v>3157.805346014588</x:v>
      </x:c>
      <x:c r="L11" s="31" t="n">
        <x:f>IF(E11=0,"",E11*K11)</x:f>
        <x:v>18621694.767584026</x:v>
      </x:c>
      <x:c r="M11" s="31" t="n">
        <x:f>IF(E11=0,"",I11-L11)</x:f>
        <x:v>2115.3309130892158</x:v>
      </x:c>
      <x:c r="N11" s="32" t="n">
        <x:f>IF(L11=0,"",I11/L11)</x:f>
        <x:v>1.000113594972933</x:v>
      </x:c>
      <x:c r="O11" s="34" t="n">
        <x:f>IF(L11=0,"",M11/L11)</x:f>
        <x:v>0.00011359497293294204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fa23461075343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4</x:v>
      </x:c>
      <x:c r="C2" s="33" t="n">
        <x:v>4</x:v>
      </x:c>
      <x:c r="D2" s="31" t="n">
        <x:v>207.2091974742</x:v>
      </x:c>
      <x:c r="E2" s="31" t="n">
        <x:v>207.2091974742</x:v>
      </x:c>
      <x:c r="F2" s="32" t="n">
        <x:v>0</x:v>
      </x:c>
      <x:c r="G2" s="34" t="n">
        <x:v>1</x:v>
      </x:c>
      <x:c r="H2" s="32" t="n">
        <x:f>IF(E2=0,"",I2/E2)</x:f>
        <x:v>553.3845678683692</x:v>
      </x:c>
      <x:c r="I2" s="31" t="n">
        <x:f>IF(C2=0,"",SUMIF('Species'!$G$2:$G$115,A2,'Species'!$U$2:$U$115))</x:f>
        <x:v>114666.37220261175</x:v>
      </x:c>
      <x:c r="J2" s="32" t="n">
        <x:v>3.7134918530600745</x:v>
      </x:c>
      <x:c r="K2" s="32" t="n">
        <x:f>IF(J2="","",(1/'Metadata'!$B$5)^(J2-1))</x:f>
        <x:v>517.00155943384</x:v>
      </x:c>
      <x:c r="L2" s="31" t="n">
        <x:f>IF(E2=0,"",E2*K2)</x:f>
        <x:v>107127.47822319591</x:v>
      </x:c>
      <x:c r="M2" s="31" t="n">
        <x:f>IF(E2=0,"",I2-L2)</x:f>
        <x:v>7538.893979415836</x:v>
      </x:c>
      <x:c r="N2" s="32" t="n">
        <x:f>IF(L2=0,"",I2/L2)</x:f>
        <x:v>1.0703731115905561</x:v>
      </x:c>
      <x:c r="O2" s="34" t="n">
        <x:f>IF(L2=0,"",M2/L2)</x:f>
        <x:v>0.07037311159055612</x:v>
      </x:c>
    </x:row>
    <x:row r="3" ht="18" customHeight="1">
      <x:c r="A3" s="24" t="str">
        <x:v>Jellyfish</x:v>
      </x:c>
      <x:c r="B3" s="33" t="n">
        <x:v>2</x:v>
      </x:c>
      <x:c r="C3" s="33" t="n">
        <x:v>2</x:v>
      </x:c>
      <x:c r="D3" s="31" t="n">
        <x:v>6436.9526780122005</x:v>
      </x:c>
      <x:c r="E3" s="31" t="n">
        <x:v>6436.9526780122005</x:v>
      </x:c>
      <x:c r="F3" s="32" t="n">
        <x:v>0</x:v>
      </x:c>
      <x:c r="G3" s="34" t="n">
        <x:v>1</x:v>
      </x:c>
      <x:c r="H3" s="32" t="n">
        <x:f>IF(E3=0,"",I3/E3)</x:f>
        <x:v>288.40315031266056</x:v>
      </x:c>
      <x:c r="I3" s="31" t="n">
        <x:f>IF(C3=0,"",SUMIF('Species'!$G$2:$G$115,A3,'Species'!$U$2:$U$115))</x:f>
        <x:v>1856437.4307522355</x:v>
      </x:c>
      <x:c r="J3" s="32" t="n">
        <x:v>3.4600000000000004</x:v>
      </x:c>
      <x:c r="K3" s="32" t="n">
        <x:f>IF(J3="","",(1/'Metadata'!$B$5)^(J3-1))</x:f>
        <x:v>288.40315031266084</x:v>
      </x:c>
      <x:c r="L3" s="31" t="n">
        <x:f>IF(E3=0,"",E3*K3)</x:f>
        <x:v>1856437.4307522373</x:v>
      </x:c>
      <x:c r="M3" s="31" t="n">
        <x:f>IF(E3=0,"",I3-L3)</x:f>
        <x:v>-1.862645149230957e-9</x:v>
      </x:c>
      <x:c r="N3" s="32" t="n">
        <x:f>IF(L3=0,"",I3/L3)</x:f>
        <x:v>0.999999999999999</x:v>
      </x:c>
      <x:c r="O3" s="34" t="n">
        <x:f>IF(L3=0,"",M3/L3)</x:f>
        <x:v>-1.003343887801381e-15</x:v>
      </x:c>
    </x:row>
    <x:row r="4" ht="18" customHeight="1">
      <x:c r="A4" s="24" t="str">
        <x:v>Large benthopelagics (&gt;=90 cm)</x:v>
      </x:c>
      <x:c r="B4" s="33" t="n">
        <x:v>4</x:v>
      </x:c>
      <x:c r="C4" s="33" t="n">
        <x:v>4</x:v>
      </x:c>
      <x:c r="D4" s="31" t="n">
        <x:v>5465.7915258349</x:v>
      </x:c>
      <x:c r="E4" s="31" t="n">
        <x:v>5465.7915258349</x:v>
      </x:c>
      <x:c r="F4" s="32" t="n">
        <x:v>0</x:v>
      </x:c>
      <x:c r="G4" s="34" t="n">
        <x:v>1</x:v>
      </x:c>
      <x:c r="H4" s="32" t="n">
        <x:f>IF(E4=0,"",I4/E4)</x:f>
        <x:v>1632.9877289600322</x:v>
      </x:c>
      <x:c r="I4" s="31" t="n">
        <x:f>IF(C4=0,"",SUMIF('Species'!$G$2:$G$115,A4,'Species'!$U$2:$U$115))</x:f>
        <x:v>8925570.490742123</x:v>
      </x:c>
      <x:c r="J4" s="32" t="n">
        <x:v>4.198902984373238</x:v>
      </x:c>
      <x:c r="K4" s="32" t="n">
        <x:f>IF(J4="","",(1/'Metadata'!$B$5)^(J4-1))</x:f>
        <x:v>1580.8948488826263</x:v>
      </x:c>
      <x:c r="L4" s="31" t="n">
        <x:f>IF(E4=0,"",E4*K4)</x:f>
        <x:v>8640841.668258704</x:v>
      </x:c>
      <x:c r="M4" s="31" t="n">
        <x:f>IF(E4=0,"",I4-L4)</x:f>
        <x:v>284728.8224834185</x:v>
      </x:c>
      <x:c r="N4" s="32" t="n">
        <x:f>IF(L4=0,"",I4/L4)</x:f>
        <x:v>1.0329515148425115</x:v>
      </x:c>
      <x:c r="O4" s="34" t="n">
        <x:f>IF(L4=0,"",M4/L4)</x:f>
        <x:v>0.0329515148425115</x:v>
      </x:c>
    </x:row>
    <x:row r="5" ht="18" customHeight="1">
      <x:c r="A5" s="24" t="str">
        <x:v>Large demersals (&gt;=90 cm)</x:v>
      </x:c>
      <x:c r="B5" s="33" t="n">
        <x:v>3</x:v>
      </x:c>
      <x:c r="C5" s="33" t="n">
        <x:v>3</x:v>
      </x:c>
      <x:c r="D5" s="31" t="n">
        <x:v>11117.8895649711</x:v>
      </x:c>
      <x:c r="E5" s="31" t="n">
        <x:v>11117.8895649711</x:v>
      </x:c>
      <x:c r="F5" s="32" t="n">
        <x:v>0</x:v>
      </x:c>
      <x:c r="G5" s="34" t="n">
        <x:v>1</x:v>
      </x:c>
      <x:c r="H5" s="32" t="n">
        <x:f>IF(E5=0,"",I5/E5)</x:f>
        <x:v>1951.6070654405448</x:v>
      </x:c>
      <x:c r="I5" s="31" t="n">
        <x:f>IF(C5=0,"",SUMIF('Species'!$G$2:$G$115,A5,'Species'!$U$2:$U$115))</x:f>
        <x:v>21697751.827785302</x:v>
      </x:c>
      <x:c r="J5" s="32" t="n">
        <x:v>4.268060382438327</x:v>
      </x:c>
      <x:c r="K5" s="32" t="n">
        <x:f>IF(J5="","",(1/'Metadata'!$B$5)^(J5-1))</x:f>
        <x:v>1853.7893484020126</x:v>
      </x:c>
      <x:c r="L5" s="31" t="n">
        <x:f>IF(E5=0,"",E5*K5)</x:f>
        <x:v>20610225.25225331</x:v>
      </x:c>
      <x:c r="M5" s="31" t="n">
        <x:f>IF(E5=0,"",I5-L5)</x:f>
        <x:v>1087526.575531993</x:v>
      </x:c>
      <x:c r="N5" s="32" t="n">
        <x:f>IF(L5=0,"",I5/L5)</x:f>
        <x:v>1.0527663604944393</x:v>
      </x:c>
      <x:c r="O5" s="34" t="n">
        <x:f>IF(L5=0,"",M5/L5)</x:f>
        <x:v>0.052766360494439245</x:v>
      </x:c>
    </x:row>
    <x:row r="6" ht="18" customHeight="1">
      <x:c r="A6" s="24" t="str">
        <x:v>Large pelagics (&gt;=90 cm)</x:v>
      </x:c>
      <x:c r="B6" s="33" t="n">
        <x:v>8</x:v>
      </x:c>
      <x:c r="C6" s="33" t="n">
        <x:v>8</x:v>
      </x:c>
      <x:c r="D6" s="31" t="n">
        <x:v>53936.0911023714</x:v>
      </x:c>
      <x:c r="E6" s="31" t="n">
        <x:v>53936.0911023714</x:v>
      </x:c>
      <x:c r="F6" s="32" t="n">
        <x:v>0</x:v>
      </x:c>
      <x:c r="G6" s="34" t="n">
        <x:v>1</x:v>
      </x:c>
      <x:c r="H6" s="32" t="n">
        <x:f>IF(E6=0,"",I6/E6)</x:f>
        <x:v>2315.1830392602405</x:v>
      </x:c>
      <x:c r="I6" s="31" t="n">
        <x:f>IF(C6=0,"",SUMIF('Species'!$G$2:$G$115,A6,'Species'!$U$2:$U$115))</x:f>
        <x:v>124871923.32420543</x:v>
      </x:c>
      <x:c r="J6" s="32" t="n">
        <x:v>4.357895897049288</x:v>
      </x:c>
      <x:c r="K6" s="32" t="n">
        <x:f>IF(J6="","",(1/'Metadata'!$B$5)^(J6-1))</x:f>
        <x:v>2279.7955260539266</x:v>
      </x:c>
      <x:c r="L6" s="31" t="n">
        <x:f>IF(E6=0,"",E6*K6)</x:f>
        <x:v>122963259.18802331</x:v>
      </x:c>
      <x:c r="M6" s="31" t="n">
        <x:f>IF(E6=0,"",I6-L6)</x:f>
        <x:v>1908664.1361821145</x:v>
      </x:c>
      <x:c r="N6" s="32" t="n">
        <x:f>IF(L6=0,"",I6/L6)</x:f>
        <x:v>1.0155222311834105</x:v>
      </x:c>
      <x:c r="O6" s="34" t="n">
        <x:f>IF(L6=0,"",M6/L6)</x:f>
        <x:v>0.01552223118341043</x:v>
      </x:c>
    </x:row>
    <x:row r="7" ht="18" customHeight="1">
      <x:c r="A7" s="24" t="str">
        <x:v>Large rays (&gt;=90 cm)</x:v>
      </x:c>
      <x:c r="B7" s="33" t="n">
        <x:v>2</x:v>
      </x:c>
      <x:c r="C7" s="33" t="n">
        <x:v>2</x:v>
      </x:c>
      <x:c r="D7" s="31" t="n">
        <x:v>5429.691332383</x:v>
      </x:c>
      <x:c r="E7" s="31" t="n">
        <x:v>5429.691332383</x:v>
      </x:c>
      <x:c r="F7" s="32" t="n">
        <x:v>0</x:v>
      </x:c>
      <x:c r="G7" s="34" t="n">
        <x:v>1</x:v>
      </x:c>
      <x:c r="H7" s="32" t="n">
        <x:f>IF(E7=0,"",I7/E7)</x:f>
        <x:v>707.8813426218088</x:v>
      </x:c>
      <x:c r="I7" s="31" t="n">
        <x:f>IF(C7=0,"",SUMIF('Species'!$G$2:$G$115,A7,'Species'!$U$2:$U$115))</x:f>
        <x:v>3843577.1903892765</x:v>
      </x:c>
      <x:c r="J7" s="32" t="n">
        <x:v>3.8499542562751823</x:v>
      </x:c>
      <x:c r="K7" s="32" t="n">
        <x:f>IF(J7="","",(1/'Metadata'!$B$5)^(J7-1))</x:f>
        <x:v>707.8712212177436</x:v>
      </x:c>
      <x:c r="L7" s="31" t="n">
        <x:f>IF(E7=0,"",E7*K7)</x:f>
        <x:v>3843522.234289352</x:v>
      </x:c>
      <x:c r="M7" s="31" t="n">
        <x:f>IF(E7=0,"",I7-L7)</x:f>
        <x:v>54.95609992463142</x:v>
      </x:c>
      <x:c r="N7" s="32" t="n">
        <x:f>IF(L7=0,"",I7/L7)</x:f>
        <x:v>1.0000142983691975</x:v>
      </x:c>
      <x:c r="O7" s="34" t="n">
        <x:f>IF(L7=0,"",M7/L7)</x:f>
        <x:v>0.000014298369197490157</x:v>
      </x:c>
    </x:row>
    <x:row r="8" ht="18" customHeight="1">
      <x:c r="A8" s="24" t="str">
        <x:v>Large reef assoc. fish (&gt;=90 cm)</x:v>
      </x:c>
      <x:c r="B8" s="33" t="n">
        <x:v>2</x:v>
      </x:c>
      <x:c r="C8" s="33" t="n">
        <x:v>2</x:v>
      </x:c>
      <x:c r="D8" s="31" t="n">
        <x:v>5502.9464778529</x:v>
      </x:c>
      <x:c r="E8" s="31" t="n">
        <x:v>5502.9464778529</x:v>
      </x:c>
      <x:c r="F8" s="32" t="n">
        <x:v>0</x:v>
      </x:c>
      <x:c r="G8" s="34" t="n">
        <x:v>1</x:v>
      </x:c>
      <x:c r="H8" s="32" t="n">
        <x:f>IF(E8=0,"",I8/E8)</x:f>
        <x:v>1028.851825943153</x:v>
      </x:c>
      <x:c r="I8" s="31" t="n">
        <x:f>IF(C8=0,"",SUMIF('Species'!$G$2:$G$115,A8,'Species'!$U$2:$U$115))</x:f>
        <x:v>5661716.531806398</x:v>
      </x:c>
      <x:c r="J8" s="32" t="n">
        <x:v>3.9599883300099576</x:v>
      </x:c>
      <x:c r="K8" s="32" t="n">
        <x:f>IF(J8="","",(1/'Metadata'!$B$5)^(J8-1))</x:f>
        <x:v>911.9863329095659</x:v>
      </x:c>
      <x:c r="L8" s="31" t="n">
        <x:f>IF(E8=0,"",E8*K8)</x:f>
        <x:v>5018611.978534678</x:v>
      </x:c>
      <x:c r="M8" s="31" t="n">
        <x:f>IF(E8=0,"",I8-L8)</x:f>
        <x:v>643104.5532717202</x:v>
      </x:c>
      <x:c r="N8" s="32" t="n">
        <x:f>IF(L8=0,"",I8/L8)</x:f>
        <x:v>1.1281439083201432</x:v>
      </x:c>
      <x:c r="O8" s="34" t="n">
        <x:f>IF(L8=0,"",M8/L8)</x:f>
        <x:v>0.1281439083201432</x:v>
      </x:c>
    </x:row>
    <x:row r="9" ht="18" customHeight="1">
      <x:c r="A9" s="24" t="str">
        <x:v>Large sharks (&gt;=90 cm)</x:v>
      </x:c>
      <x:c r="B9" s="33" t="n">
        <x:v>2</x:v>
      </x:c>
      <x:c r="C9" s="33" t="n">
        <x:v>2</x:v>
      </x:c>
      <x:c r="D9" s="31" t="n">
        <x:v>7968.5136340088</x:v>
      </x:c>
      <x:c r="E9" s="31" t="n">
        <x:v>7968.5136340088</x:v>
      </x:c>
      <x:c r="F9" s="32" t="n">
        <x:v>0</x:v>
      </x:c>
      <x:c r="G9" s="34" t="n">
        <x:v>1</x:v>
      </x:c>
      <x:c r="H9" s="32" t="n">
        <x:f>IF(E9=0,"",I9/E9)</x:f>
        <x:v>1815.229070848212</x:v>
      </x:c>
      <x:c r="I9" s="31" t="n">
        <x:f>IF(C9=0,"",SUMIF('Species'!$G$2:$G$115,A9,'Species'!$U$2:$U$115))</x:f>
        <x:v>14464677.599903103</x:v>
      </x:c>
      <x:c r="J9" s="32" t="n">
        <x:v>4.258654007290175</x:v>
      </x:c>
      <x:c r="K9" s="32" t="n">
        <x:f>IF(J9="","",(1/'Metadata'!$B$5)^(J9-1))</x:f>
        <x:v>1814.0698580072624</x:v>
      </x:c>
      <x:c r="L9" s="31" t="n">
        <x:f>IF(E9=0,"",E9*K9)</x:f>
        <x:v>14455440.396575278</x:v>
      </x:c>
      <x:c r="M9" s="31" t="n">
        <x:f>IF(E9=0,"",I9-L9)</x:f>
        <x:v>9237.203327825293</x:v>
      </x:c>
      <x:c r="N9" s="32" t="n">
        <x:f>IF(L9=0,"",I9/L9)</x:f>
        <x:v>1.0006390122386042</x:v>
      </x:c>
      <x:c r="O9" s="34" t="n">
        <x:f>IF(L9=0,"",M9/L9)</x:f>
        <x:v>0.0006390122386042097</x:v>
      </x:c>
    </x:row>
    <x:row r="10" ht="18" customHeight="1">
      <x:c r="A10" s="24" t="str">
        <x:v>Lobsters, crabs</x:v>
      </x:c>
      <x:c r="B10" s="33" t="n">
        <x:v>5</x:v>
      </x:c>
      <x:c r="C10" s="33" t="n">
        <x:v>5</x:v>
      </x:c>
      <x:c r="D10" s="31" t="n">
        <x:v>13888.532837835999</x:v>
      </x:c>
      <x:c r="E10" s="31" t="n">
        <x:v>13888.532837835999</x:v>
      </x:c>
      <x:c r="F10" s="32" t="n">
        <x:v>0</x:v>
      </x:c>
      <x:c r="G10" s="34" t="n">
        <x:v>1</x:v>
      </x:c>
      <x:c r="H10" s="32" t="n">
        <x:f>IF(E10=0,"",I10/E10)</x:f>
        <x:v>30.66294986477633</x:v>
      </x:c>
      <x:c r="I10" s="31" t="n">
        <x:f>IF(C10=0,"",SUMIF('Species'!$G$2:$G$115,A10,'Species'!$U$2:$U$115))</x:f>
        <x:v>425863.386101865</x:v>
      </x:c>
      <x:c r="J10" s="32" t="n">
        <x:v>2.4841258885562105</x:v>
      </x:c>
      <x:c r="K10" s="32" t="n">
        <x:f>IF(J10="","",(1/'Metadata'!$B$5)^(J10-1))</x:f>
        <x:v>30.4877860830556</x:v>
      </x:c>
      <x:c r="L10" s="31" t="n">
        <x:f>IF(E10=0,"",E10*K10)</x:f>
        <x:v>423430.6181674371</x:v>
      </x:c>
      <x:c r="M10" s="31" t="n">
        <x:f>IF(E10=0,"",I10-L10)</x:f>
        <x:v>2432.7679344278877</x:v>
      </x:c>
      <x:c r="N10" s="32" t="n">
        <x:f>IF(L10=0,"",I10/L10)</x:f>
        <x:v>1.005745375582325</x:v>
      </x:c>
      <x:c r="O10" s="34" t="n">
        <x:f>IF(L10=0,"",M10/L10)</x:f>
        <x:v>0.005745375582324797</x:v>
      </x:c>
    </x:row>
    <x:row r="11" ht="18" customHeight="1">
      <x:c r="A11" s="24" t="str">
        <x:v>Medium benthopelagics (30 - 89 cm)</x:v>
      </x:c>
      <x:c r="B11" s="33" t="n">
        <x:v>4</x:v>
      </x:c>
      <x:c r="C11" s="33" t="n">
        <x:v>4</x:v>
      </x:c>
      <x:c r="D11" s="31" t="n">
        <x:v>13621.5157644326</x:v>
      </x:c>
      <x:c r="E11" s="31" t="n">
        <x:v>13621.5157644326</x:v>
      </x:c>
      <x:c r="F11" s="32" t="n">
        <x:v>0</x:v>
      </x:c>
      <x:c r="G11" s="34" t="n">
        <x:v>1</x:v>
      </x:c>
      <x:c r="H11" s="32" t="n">
        <x:f>IF(E11=0,"",I11/E11)</x:f>
        <x:v>354.6378670508571</x:v>
      </x:c>
      <x:c r="I11" s="31" t="n">
        <x:f>IF(C11=0,"",SUMIF('Species'!$G$2:$G$115,A11,'Species'!$U$2:$U$115))</x:f>
        <x:v>4830705.296698002</x:v>
      </x:c>
      <x:c r="J11" s="32" t="n">
        <x:v>3.4192262045287034</x:v>
      </x:c>
      <x:c r="K11" s="32" t="n">
        <x:f>IF(J11="","",(1/'Metadata'!$B$5)^(J11-1))</x:f>
        <x:v>262.5585737219173</x:v>
      </x:c>
      <x:c r="L11" s="31" t="n">
        <x:f>IF(E11=0,"",E11*K11)</x:f>
        <x:v>3576445.7510400354</x:v>
      </x:c>
      <x:c r="M11" s="31" t="n">
        <x:f>IF(E11=0,"",I11-L11)</x:f>
        <x:v>1254259.5456579668</x:v>
      </x:c>
      <x:c r="N11" s="32" t="n">
        <x:f>IF(L11=0,"",I11/L11)</x:f>
        <x:v>1.3507000058069458</x:v>
      </x:c>
      <x:c r="O11" s="34" t="n">
        <x:f>IF(L11=0,"",M11/L11)</x:f>
        <x:v>0.3507000058069457</x:v>
      </x:c>
    </x:row>
    <x:row r="12" ht="18" customHeight="1">
      <x:c r="A12" s="24" t="str">
        <x:v>Medium demersals (30 - 89 cm)</x:v>
      </x:c>
      <x:c r="B12" s="33" t="n">
        <x:v>13</x:v>
      </x:c>
      <x:c r="C12" s="33" t="n">
        <x:v>13</x:v>
      </x:c>
      <x:c r="D12" s="31" t="n">
        <x:v>121907.19161453782</x:v>
      </x:c>
      <x:c r="E12" s="31" t="n">
        <x:v>121907.19161453782</x:v>
      </x:c>
      <x:c r="F12" s="32" t="n">
        <x:v>0</x:v>
      </x:c>
      <x:c r="G12" s="34" t="n">
        <x:v>1</x:v>
      </x:c>
      <x:c r="H12" s="32" t="n">
        <x:f>IF(E12=0,"",I12/E12)</x:f>
        <x:v>284.5819167858835</x:v>
      </x:c>
      <x:c r="I12" s="31" t="n">
        <x:f>IF(C12=0,"",SUMIF('Species'!$G$2:$G$115,A12,'Species'!$U$2:$U$115))</x:f>
        <x:v>34692582.25964916</x:v>
      </x:c>
      <x:c r="J12" s="32" t="n">
        <x:v>3.324553749904523</x:v>
      </x:c>
      <x:c r="K12" s="32" t="n">
        <x:f>IF(J12="","",(1/'Metadata'!$B$5)^(J12-1))</x:f>
        <x:v>211.13184842877115</x:v>
      </x:c>
      <x:c r="L12" s="31" t="n">
        <x:f>IF(E12=0,"",E12*K12)</x:f>
        <x:v>25738490.70233776</x:v>
      </x:c>
      <x:c r="M12" s="31" t="n">
        <x:f>IF(E12=0,"",I12-L12)</x:f>
        <x:v>8954091.557311397</x:v>
      </x:c>
      <x:c r="N12" s="32" t="n">
        <x:f>IF(L12=0,"",I12/L12)</x:f>
        <x:v>1.3478872036773362</x:v>
      </x:c>
      <x:c r="O12" s="34" t="n">
        <x:f>IF(L12=0,"",M12/L12)</x:f>
        <x:v>0.34788720367733605</x:v>
      </x:c>
    </x:row>
    <x:row r="13" ht="18" customHeight="1">
      <x:c r="A13" s="24" t="str">
        <x:v>Medium pelagics (30 - 89 cm)</x:v>
      </x:c>
      <x:c r="B13" s="33" t="n">
        <x:v>11</x:v>
      </x:c>
      <x:c r="C13" s="33" t="n">
        <x:v>11</x:v>
      </x:c>
      <x:c r="D13" s="31" t="n">
        <x:v>43106.3071310901</x:v>
      </x:c>
      <x:c r="E13" s="31" t="n">
        <x:v>43106.3071310901</x:v>
      </x:c>
      <x:c r="F13" s="32" t="n">
        <x:v>0</x:v>
      </x:c>
      <x:c r="G13" s="34" t="n">
        <x:v>1</x:v>
      </x:c>
      <x:c r="H13" s="32" t="n">
        <x:f>IF(E13=0,"",I13/E13)</x:f>
        <x:v>960.6976859233223</x:v>
      </x:c>
      <x:c r="I13" s="31" t="n">
        <x:f>IF(C13=0,"",SUMIF('Species'!$G$2:$G$115,A13,'Species'!$U$2:$U$115))</x:f>
        <x:v>41412129.50953826</x:v>
      </x:c>
      <x:c r="J13" s="32" t="n">
        <x:v>3.633085517858158</x:v>
      </x:c>
      <x:c r="K13" s="32" t="n">
        <x:f>IF(J13="","",(1/'Metadata'!$B$5)^(J13-1))</x:f>
        <x:v>429.6210160322539</x:v>
      </x:c>
      <x:c r="L13" s="31" t="n">
        <x:f>IF(E13=0,"",E13*K13)</x:f>
        <x:v>18519375.46705732</x:v>
      </x:c>
      <x:c r="M13" s="31" t="n">
        <x:f>IF(E13=0,"",I13-L13)</x:f>
        <x:v>22892754.04248094</x:v>
      </x:c>
      <x:c r="N13" s="32" t="n">
        <x:f>IF(L13=0,"",I13/L13)</x:f>
        <x:v>2.236151515109302</x:v>
      </x:c>
      <x:c r="O13" s="34" t="n">
        <x:f>IF(L13=0,"",M13/L13)</x:f>
        <x:v>1.2361515151093019</x:v>
      </x:c>
    </x:row>
    <x:row r="14" ht="18" customHeight="1">
      <x:c r="A14" s="24" t="str">
        <x:v>Medium reef assoc. fish (30 - 89 cm)</x:v>
      </x:c>
      <x:c r="B14" s="33" t="n">
        <x:v>22</x:v>
      </x:c>
      <x:c r="C14" s="33" t="n">
        <x:v>22</x:v>
      </x:c>
      <x:c r="D14" s="31" t="n">
        <x:v>120211.7768272656</x:v>
      </x:c>
      <x:c r="E14" s="31" t="n">
        <x:v>120211.7768272656</x:v>
      </x:c>
      <x:c r="F14" s="32" t="n">
        <x:v>0</x:v>
      </x:c>
      <x:c r="G14" s="34" t="n">
        <x:v>1</x:v>
      </x:c>
      <x:c r="H14" s="32" t="n">
        <x:f>IF(E14=0,"",I14/E14)</x:f>
        <x:v>1493.340088440642</x:v>
      </x:c>
      <x:c r="I14" s="31" t="n">
        <x:f>IF(C14=0,"",SUMIF('Species'!$G$2:$G$115,A14,'Species'!$U$2:$U$115))</x:f>
        <x:v>179517065.4388355</x:v>
      </x:c>
      <x:c r="J14" s="32" t="n">
        <x:v>3.9738346134725564</x:v>
      </x:c>
      <x:c r="K14" s="32" t="n">
        <x:f>IF(J14="","",(1/'Metadata'!$B$5)^(J14-1))</x:f>
        <x:v>941.5309776620275</x:v>
      </x:c>
      <x:c r="L14" s="31" t="n">
        <x:f>IF(E14=0,"",E14*K14)</x:f>
        <x:v>113183111.76266484</x:v>
      </x:c>
      <x:c r="M14" s="31" t="n">
        <x:f>IF(E14=0,"",I14-L14)</x:f>
        <x:v>66333953.67617066</x:v>
      </x:c>
      <x:c r="N14" s="32" t="n">
        <x:f>IF(L14=0,"",I14/L14)</x:f>
        <x:v>1.586076426448384</x:v>
      </x:c>
      <x:c r="O14" s="34" t="n">
        <x:f>IF(L14=0,"",M14/L14)</x:f>
        <x:v>0.586076426448384</x:v>
      </x:c>
    </x:row>
    <x:row r="15" ht="18" customHeight="1">
      <x:c r="A15" s="24" t="str">
        <x:v>Other demersal invertebrates</x:v>
      </x:c>
      <x:c r="B15" s="33" t="n">
        <x:v>4</x:v>
      </x:c>
      <x:c r="C15" s="33" t="n">
        <x:v>4</x:v>
      </x:c>
      <x:c r="D15" s="31" t="n">
        <x:v>1511.3805651069997</x:v>
      </x:c>
      <x:c r="E15" s="31" t="n">
        <x:v>1511.3805651069997</x:v>
      </x:c>
      <x:c r="F15" s="32" t="n">
        <x:v>0</x:v>
      </x:c>
      <x:c r="G15" s="34" t="n">
        <x:v>1</x:v>
      </x:c>
      <x:c r="H15" s="32" t="n">
        <x:f>IF(E15=0,"",I15/E15)</x:f>
        <x:v>12.574228220803784</x:v>
      </x:c>
      <x:c r="I15" s="31" t="n">
        <x:f>IF(C15=0,"",SUMIF('Species'!$G$2:$G$115,A15,'Species'!$U$2:$U$115))</x:f>
        <x:v>19004.444154142806</x:v>
      </x:c>
      <x:c r="J15" s="32" t="n">
        <x:v>2.098840925686982</x:v>
      </x:c>
      <x:c r="K15" s="32" t="n">
        <x:f>IF(J15="","",(1/'Metadata'!$B$5)^(J15-1))</x:f>
        <x:v>12.555699865954075</x:v>
      </x:c>
      <x:c r="L15" s="31" t="n">
        <x:f>IF(E15=0,"",E15*K15)</x:f>
        <x:v>18976.44075871955</x:v>
      </x:c>
      <x:c r="M15" s="31" t="n">
        <x:f>IF(E15=0,"",I15-L15)</x:f>
        <x:v>28.003395423256734</x:v>
      </x:c>
      <x:c r="N15" s="32" t="n">
        <x:f>IF(L15=0,"",I15/L15)</x:f>
        <x:v>1.0014756927170545</x:v>
      </x:c>
      <x:c r="O15" s="34" t="n">
        <x:f>IF(L15=0,"",M15/L15)</x:f>
        <x:v>0.0014756927170544011</x:v>
      </x:c>
    </x:row>
    <x:row r="16" ht="18" customHeight="1">
      <x:c r="A16" s="24" t="str">
        <x:v>Shrimps</x:v>
      </x:c>
      <x:c r="B16" s="33" t="n">
        <x:v>11</x:v>
      </x:c>
      <x:c r="C16" s="33" t="n">
        <x:v>11</x:v>
      </x:c>
      <x:c r="D16" s="31" t="n">
        <x:v>22230.289092407704</x:v>
      </x:c>
      <x:c r="E16" s="31" t="n">
        <x:v>22230.289092407704</x:v>
      </x:c>
      <x:c r="F16" s="32" t="n">
        <x:v>0</x:v>
      </x:c>
      <x:c r="G16" s="34" t="n">
        <x:v>1</x:v>
      </x:c>
      <x:c r="H16" s="32" t="n">
        <x:f>IF(E16=0,"",I16/E16)</x:f>
        <x:v>492.11471617603104</x:v>
      </x:c>
      <x:c r="I16" s="31" t="n">
        <x:f>IF(C16=0,"",SUMIF('Species'!$G$2:$G$115,A16,'Species'!$U$2:$U$115))</x:f>
        <x:v>10939852.407221336</x:v>
      </x:c>
      <x:c r="J16" s="32" t="n">
        <x:v>3.5752544537203983</x:v>
      </x:c>
      <x:c r="K16" s="32" t="n">
        <x:f>IF(J16="","",(1/'Metadata'!$B$5)^(J16-1))</x:f>
        <x:v>376.05767244993876</x:v>
      </x:c>
      <x:c r="L16" s="31" t="n">
        <x:f>IF(E16=0,"",E16*K16)</x:f>
        <x:v>8359870.7739801025</x:v>
      </x:c>
      <x:c r="M16" s="31" t="n">
        <x:f>IF(E16=0,"",I16-L16)</x:f>
        <x:v>2579981.6332412334</x:v>
      </x:c>
      <x:c r="N16" s="32" t="n">
        <x:f>IF(L16=0,"",I16/L16)</x:f>
        <x:v>1.3086150136759727</x:v>
      </x:c>
      <x:c r="O16" s="34" t="n">
        <x:f>IF(L16=0,"",M16/L16)</x:f>
        <x:v>0.30861501367597266</x:v>
      </x:c>
    </x:row>
    <x:row r="17" ht="18" customHeight="1">
      <x:c r="A17" s="24" t="str">
        <x:v>Small benthopelagics (&lt;30 cm)</x:v>
      </x:c>
      <x:c r="B17" s="33" t="n">
        <x:v>3</x:v>
      </x:c>
      <x:c r="C17" s="33" t="n">
        <x:v>3</x:v>
      </x:c>
      <x:c r="D17" s="31" t="n">
        <x:v>12470.060428168601</x:v>
      </x:c>
      <x:c r="E17" s="31" t="n">
        <x:v>12470.060428168601</x:v>
      </x:c>
      <x:c r="F17" s="32" t="n">
        <x:v>0</x:v>
      </x:c>
      <x:c r="G17" s="34" t="n">
        <x:v>1</x:v>
      </x:c>
      <x:c r="H17" s="32" t="n">
        <x:f>IF(E17=0,"",I17/E17)</x:f>
        <x:v>171.4630509858608</x:v>
      </x:c>
      <x:c r="I17" s="31" t="n">
        <x:f>IF(C17=0,"",SUMIF('Species'!$G$2:$G$115,A17,'Species'!$U$2:$U$115))</x:f>
        <x:v>2138154.606991838</x:v>
      </x:c>
      <x:c r="J17" s="32" t="n">
        <x:v>3.2334071545544725</x:v>
      </x:c>
      <x:c r="K17" s="32" t="n">
        <x:f>IF(J17="","",(1/'Metadata'!$B$5)^(J17-1))</x:f>
        <x:v>171.16192198607357</x:v>
      </x:c>
      <x:c r="L17" s="31" t="n">
        <x:f>IF(E17=0,"",E17*K17)</x:f>
        <x:v>2134399.510167817</x:v>
      </x:c>
      <x:c r="M17" s="31" t="n">
        <x:f>IF(E17=0,"",I17-L17)</x:f>
        <x:v>3755.0968240210786</x:v>
      </x:c>
      <x:c r="N17" s="32" t="n">
        <x:f>IF(L17=0,"",I17/L17)</x:f>
        <x:v>1.0017593223790264</x:v>
      </x:c>
      <x:c r="O17" s="34" t="n">
        <x:f>IF(L17=0,"",M17/L17)</x:f>
        <x:v>0.0017593223790263305</x:v>
      </x:c>
    </x:row>
    <x:row r="18" ht="18" customHeight="1">
      <x:c r="A18" s="24" t="str">
        <x:v>Small demersals (&lt;30 cm)</x:v>
      </x:c>
      <x:c r="B18" s="33" t="n">
        <x:v>3</x:v>
      </x:c>
      <x:c r="C18" s="33" t="n">
        <x:v>3</x:v>
      </x:c>
      <x:c r="D18" s="31" t="n">
        <x:v>4752.815408868601</x:v>
      </x:c>
      <x:c r="E18" s="31" t="n">
        <x:v>4752.815408868601</x:v>
      </x:c>
      <x:c r="F18" s="32" t="n">
        <x:v>0</x:v>
      </x:c>
      <x:c r="G18" s="34" t="n">
        <x:v>1</x:v>
      </x:c>
      <x:c r="H18" s="32" t="n">
        <x:f>IF(E18=0,"",I18/E18)</x:f>
        <x:v>421.65954890175675</x:v>
      </x:c>
      <x:c r="I18" s="31" t="n">
        <x:f>IF(C18=0,"",SUMIF('Species'!$G$2:$G$115,A18,'Species'!$U$2:$U$115))</x:f>
        <x:v>2004070.0013168526</x:v>
      </x:c>
      <x:c r="J18" s="32" t="n">
        <x:v>3.612356989518063</x:v>
      </x:c>
      <x:c r="K18" s="32" t="n">
        <x:f>IF(J18="","",(1/'Metadata'!$B$5)^(J18-1))</x:f>
        <x:v>409.59720978063314</x:v>
      </x:c>
      <x:c r="L18" s="31" t="n">
        <x:f>IF(E18=0,"",E18*K18)</x:f>
        <x:v>1946739.930074978</x:v>
      </x:c>
      <x:c r="M18" s="31" t="n">
        <x:f>IF(E18=0,"",I18-L18)</x:f>
        <x:v>57330.07124187471</x:v>
      </x:c>
      <x:c r="N18" s="32" t="n">
        <x:f>IF(L18=0,"",I18/L18)</x:f>
        <x:v>1.0294492707301004</x:v>
      </x:c>
      <x:c r="O18" s="34" t="n">
        <x:f>IF(L18=0,"",M18/L18)</x:f>
        <x:v>0.029449270730100383</x:v>
      </x:c>
    </x:row>
    <x:row r="19" ht="18" customHeight="1">
      <x:c r="A19" s="24" t="str">
        <x:v>Small pelagics (&lt;30 cm)</x:v>
      </x:c>
      <x:c r="B19" s="33" t="n">
        <x:v>6</x:v>
      </x:c>
      <x:c r="C19" s="33" t="n">
        <x:v>6</x:v>
      </x:c>
      <x:c r="D19" s="31" t="n">
        <x:v>38904.472645910304</x:v>
      </x:c>
      <x:c r="E19" s="31" t="n">
        <x:v>38904.472645910304</x:v>
      </x:c>
      <x:c r="F19" s="32" t="n">
        <x:v>0</x:v>
      </x:c>
      <x:c r="G19" s="34" t="n">
        <x:v>1</x:v>
      </x:c>
      <x:c r="H19" s="32" t="n">
        <x:f>IF(E19=0,"",I19/E19)</x:f>
        <x:v>138.8614042998288</x:v>
      </x:c>
      <x:c r="I19" s="31" t="n">
        <x:f>IF(C19=0,"",SUMIF('Species'!$G$2:$G$115,A19,'Species'!$U$2:$U$115))</x:f>
        <x:v>5402329.705155381</x:v>
      </x:c>
      <x:c r="J19" s="32" t="n">
        <x:v>3.0362722183623108</x:v>
      </x:c>
      <x:c r="K19" s="32" t="n">
        <x:f>IF(J19="","",(1/'Metadata'!$B$5)^(J19-1))</x:f>
        <x:v>108.7106815119819</x:v>
      </x:c>
      <x:c r="L19" s="31" t="n">
        <x:f>IF(E19=0,"",E19*K19)</x:f>
        <x:v>4229331.735201167</x:v>
      </x:c>
      <x:c r="M19" s="31" t="n">
        <x:f>IF(E19=0,"",I19-L19)</x:f>
        <x:v>1172997.969954214</x:v>
      </x:c>
      <x:c r="N19" s="32" t="n">
        <x:f>IF(L19=0,"",I19/L19)</x:f>
        <x:v>1.2773483007235469</x:v>
      </x:c>
      <x:c r="O19" s="34" t="n">
        <x:f>IF(L19=0,"",M19/L19)</x:f>
        <x:v>0.277348300723547</x:v>
      </x:c>
    </x:row>
    <x:row r="20" ht="18" customHeight="1">
      <x:c r="A20" s="24" t="str">
        <x:v>Small reef assoc. fish (&lt;30 cm)</x:v>
      </x:c>
      <x:c r="B20" s="33" t="n">
        <x:v>2</x:v>
      </x:c>
      <x:c r="C20" s="33" t="n">
        <x:v>2</x:v>
      </x:c>
      <x:c r="D20" s="31" t="n">
        <x:v>83.0790043697</x:v>
      </x:c>
      <x:c r="E20" s="31" t="n">
        <x:v>83.0790043697</x:v>
      </x:c>
      <x:c r="F20" s="32" t="n">
        <x:v>0</x:v>
      </x:c>
      <x:c r="G20" s="34" t="n">
        <x:v>1</x:v>
      </x:c>
      <x:c r="H20" s="32" t="n">
        <x:f>IF(E20=0,"",I20/E20)</x:f>
        <x:v>284.0587136449896</x:v>
      </x:c>
      <x:c r="I20" s="31" t="n">
        <x:f>IF(C20=0,"",SUMIF('Species'!$G$2:$G$115,A20,'Species'!$U$2:$U$115))</x:f>
        <x:v>23599.31511216345</x:v>
      </x:c>
      <x:c r="J20" s="32" t="n">
        <x:v>3.4378147572469437</x:v>
      </x:c>
      <x:c r="K20" s="32" t="n">
        <x:f>IF(J20="","",(1/'Metadata'!$B$5)^(J20-1))</x:f>
        <x:v>274.04050379094383</x:v>
      </x:c>
      <x:c r="L20" s="31" t="n">
        <x:f>IF(E20=0,"",E20*K20)</x:f>
        <x:v>22767.01221192261</x:v>
      </x:c>
      <x:c r="M20" s="31" t="n">
        <x:f>IF(E20=0,"",I20-L20)</x:f>
        <x:v>832.3029002408402</x:v>
      </x:c>
      <x:c r="N20" s="32" t="n">
        <x:f>IF(L20=0,"",I20/L20)</x:f>
        <x:v>1.0365574056223759</x:v>
      </x:c>
      <x:c r="O20" s="34" t="n">
        <x:f>IF(L20=0,"",M20/L20)</x:f>
        <x:v>0.036557405622375895</x:v>
      </x:c>
    </x:row>
    <x:row r="21" ht="18" customHeight="1">
      <x:c r="A21" s="24" t="str">
        <x:v>Small to medium flatfishes (&lt;90 cm)</x:v>
      </x:c>
      <x:c r="B21" s="33" t="n">
        <x:v>3</x:v>
      </x:c>
      <x:c r="C21" s="33" t="n">
        <x:v>3</x:v>
      </x:c>
      <x:c r="D21" s="31" t="n">
        <x:v>1806.4504319782</x:v>
      </x:c>
      <x:c r="E21" s="31" t="n">
        <x:v>1806.4504319782</x:v>
      </x:c>
      <x:c r="F21" s="32" t="n">
        <x:v>0</x:v>
      </x:c>
      <x:c r="G21" s="34" t="n">
        <x:v>1</x:v>
      </x:c>
      <x:c r="H21" s="32" t="n">
        <x:f>IF(E21=0,"",I21/E21)</x:f>
        <x:v>495.79436806560307</x:v>
      </x:c>
      <x:c r="I21" s="31" t="n">
        <x:f>IF(C21=0,"",SUMIF('Species'!$G$2:$G$115,A21,'Species'!$U$2:$U$115))</x:f>
        <x:v>895627.9503644673</x:v>
      </x:c>
      <x:c r="J21" s="32" t="n">
        <x:v>3.648256233908203</x:v>
      </x:c>
      <x:c r="K21" s="32" t="n">
        <x:f>IF(J21="","",(1/'Metadata'!$B$5)^(J21-1))</x:f>
        <x:v>444.8936774880891</x:v>
      </x:c>
      <x:c r="L21" s="31" t="n">
        <x:f>IF(E21=0,"",E21*K21)</x:f>
        <x:v>803678.3758827285</x:v>
      </x:c>
      <x:c r="M21" s="31" t="n">
        <x:f>IF(E21=0,"",I21-L21)</x:f>
        <x:v>91949.57448173885</x:v>
      </x:c>
      <x:c r="N21" s="32" t="n">
        <x:f>IF(L21=0,"",I21/L21)</x:f>
        <x:v>1.114410910186236</x:v>
      </x:c>
      <x:c r="O21" s="34" t="n">
        <x:f>IF(L21=0,"",M21/L21)</x:f>
        <x:v>0.11441091018623598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407ec0bcf1341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EEZ_461</x:v>
      </x:c>
      <x:c r="B2" s="24" t="str">
        <x:v>raw_filtered_tonnes</x:v>
      </x:c>
      <x:c r="C2" s="24" t="n">
        <x:v>490558.95726488077</x:v>
      </x:c>
      <x:c r="D2" s="24" t="str">
        <x:v>tonnes</x:v>
      </x:c>
    </x:row>
    <x:row r="3" ht="18" customHeight="1">
      <x:c r="A3" s="24" t="str">
        <x:v>EEZ_461</x:v>
      </x:c>
      <x:c r="B3" s="24" t="str">
        <x:v>species_catch_tonnes</x:v>
      </x:c>
      <x:c r="C3" s="24" t="n">
        <x:v>490558.95726488077</x:v>
      </x:c>
      <x:c r="D3" s="24" t="str">
        <x:v>tonnes</x:v>
      </x:c>
    </x:row>
    <x:row r="4" ht="18" customHeight="1">
      <x:c r="A4" s="24" t="str">
        <x:v>EEZ_461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EEZ_461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EEZ_461</x:v>
      </x:c>
      <x:c r="B6" s="24" t="str">
        <x:v>matched_catch_tonnes</x:v>
      </x:c>
      <x:c r="C6" s="24" t="n">
        <x:v>490558.95726488077</x:v>
      </x:c>
      <x:c r="D6" s="24" t="str">
        <x:v>tonnes</x:v>
      </x:c>
    </x:row>
    <x:row r="7" ht="18" customHeight="1">
      <x:c r="A7" s="24" t="str">
        <x:v>EEZ_461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EEZ_461</x:v>
      </x:c>
      <x:c r="B8" s="24" t="str">
        <x:v>taxa_count</x:v>
      </x:c>
      <x:c r="C8" s="24" t="n">
        <x:v>114</x:v>
      </x:c>
      <x:c r="D8" s="24" t="str">
        <x:v>count</x:v>
      </x:c>
    </x:row>
    <x:row r="9" ht="18" customHeight="1">
      <x:c r="A9" s="24" t="str">
        <x:v>EEZ_461</x:v>
      </x:c>
      <x:c r="B9" s="24" t="str">
        <x:v>matched_taxa_count</x:v>
      </x:c>
      <x:c r="C9" s="24" t="n">
        <x:v>114</x:v>
      </x:c>
      <x:c r="D9" s="24" t="str">
        <x:v>count</x:v>
      </x:c>
    </x:row>
    <x:row r="10" ht="18" customHeight="1">
      <x:c r="A10" s="24" t="str">
        <x:v>EEZ_461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EEZ_461</x:v>
      </x:c>
      <x:c r="B11" s="24" t="str">
        <x:v>species_ppr</x:v>
      </x:c>
      <x:c r="C11" s="24" t="n">
        <x:v>463737305.0889255</x:v>
      </x:c>
      <x:c r="D11" s="24" t="str">
        <x:v>tonnes_primary_production_equivalent</x:v>
      </x:c>
    </x:row>
    <x:row r="12" ht="18" customHeight="1">
      <x:c r="A12" s="24" t="str">
        <x:v>EEZ_461</x:v>
      </x:c>
      <x:c r="B12" s="24" t="str">
        <x:v>commercial_ppr</x:v>
      </x:c>
      <x:c r="C12" s="24" t="n">
        <x:v>463737305.0889254</x:v>
      </x:c>
      <x:c r="D12" s="24" t="str">
        <x:v>tonnes_primary_production_equivalent</x:v>
      </x:c>
    </x:row>
    <x:row r="13" ht="18" customHeight="1">
      <x:c r="A13" s="24" t="str">
        <x:v>EEZ_461</x:v>
      </x:c>
      <x:c r="B13" s="24" t="str">
        <x:v>functional_ppr</x:v>
      </x:c>
      <x:c r="C13" s="24" t="n">
        <x:v>463737305.0889255</x:v>
      </x:c>
      <x:c r="D13" s="24" t="str">
        <x:v>tonnes_primary_production_equivalent</x:v>
      </x:c>
    </x:row>
    <x:row r="14" ht="18" customHeight="1">
      <x:c r="A14" s="24" t="str">
        <x:v>EEZ_461</x:v>
      </x:c>
      <x:c r="B14" s="24" t="str">
        <x:v>commercial_ppr_difference</x:v>
      </x:c>
      <x:c r="C14" s="24" t="n">
        <x:v>-5.960464477539063e-8</x:v>
      </x:c>
      <x:c r="D14" s="24" t="str">
        <x:v>tonnes_primary_production_equivalent</x:v>
      </x:c>
    </x:row>
    <x:row r="15" ht="18" customHeight="1">
      <x:c r="A15" s="24" t="str">
        <x:v>EEZ_461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EEZ_461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EEZ_461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EEZ_461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EEZ_461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013d896e067144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EEZ_461 - Malaysia (Sabah)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EEZ_461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raw_data/SAU_downloads/EEZ_461-catch.zip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