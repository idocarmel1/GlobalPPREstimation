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ce5c070b8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58d93d737cc4086"/>
    <x:sheet xmlns:r="http://schemas.openxmlformats.org/officeDocument/2006/relationships" name="Commercial" sheetId="2" r:id="R6d505efd27ca4b7d"/>
    <x:sheet xmlns:r="http://schemas.openxmlformats.org/officeDocument/2006/relationships" name="Functional" sheetId="3" r:id="R42b260194cee4f58"/>
    <x:sheet xmlns:r="http://schemas.openxmlformats.org/officeDocument/2006/relationships" name="Missing TL" sheetId="4" r:id="R9128d533f9554aad"/>
    <x:sheet xmlns:r="http://schemas.openxmlformats.org/officeDocument/2006/relationships" name="Validation" sheetId="5" r:id="R9879dd47e72e463c"/>
    <x:sheet xmlns:r="http://schemas.openxmlformats.org/officeDocument/2006/relationships" name="Metadata" sheetId="6" r:id="R74dd35b3e213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06f10181a447d" /><Relationship Type="http://schemas.openxmlformats.org/officeDocument/2006/relationships/theme" Target="/xl/theme/theme1.xml" Id="R08cb7e7f5de8460c" /><Relationship Type="http://schemas.microsoft.com/office/2022/11/relationships/FeaturePropertyBag" Target="/xl/featurePropertyBag/featurePropertyBag.xml" Id="R6c6e81e0a3354199" /><Relationship Type="http://schemas.openxmlformats.org/officeDocument/2006/relationships/sharedStrings" Target="/xl/sharedStrings.xml" Id="R23d6945eaeae40a3" /><Relationship Type="http://schemas.openxmlformats.org/officeDocument/2006/relationships/worksheet" Target="/xl/worksheets/sheet1.xml" Id="R458d93d737cc4086" /><Relationship Type="http://schemas.openxmlformats.org/officeDocument/2006/relationships/worksheet" Target="/xl/worksheets/sheet2.xml" Id="R6d505efd27ca4b7d" /><Relationship Type="http://schemas.openxmlformats.org/officeDocument/2006/relationships/worksheet" Target="/xl/worksheets/sheet3.xml" Id="R42b260194cee4f58" /><Relationship Type="http://schemas.openxmlformats.org/officeDocument/2006/relationships/worksheet" Target="/xl/worksheets/sheet4.xml" Id="R9128d533f9554aad" /><Relationship Type="http://schemas.openxmlformats.org/officeDocument/2006/relationships/worksheet" Target="/xl/worksheets/sheet5.xml" Id="R9879dd47e72e463c" /><Relationship Type="http://schemas.openxmlformats.org/officeDocument/2006/relationships/worksheet" Target="/xl/worksheets/sheet6.xml" Id="R74dd35b3e21343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16SpeciesTable" displayName="EEZ016SpeciesTable" ref="A1:U110" headerRowCount="1" totalsRowCount="0" totalsRowShown="0">
  <x:autoFilter ref="A1:U1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16CommercialTable" displayName="EEZ01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16FunctionalTable" displayName="EEZ016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16ValidationTable" displayName="EEZ0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21c05d72c04d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0393870dc446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c7349e1b37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7ee28cc6cf4f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EEZ_016</x:v>
      </x:c>
      <x:c r="B2" s="24" t="str">
        <x:v>American Samoa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1727.1934360400999</x:v>
      </x:c>
      <x:c r="J2" s="31" t="n">
        <x:v>1727.1875806758</x:v>
      </x:c>
      <x:c r="K2" s="31" t="n">
        <x:v>0.0058553643</x:v>
      </x:c>
      <x:c r="L2" s="31" t="n">
        <x:v>1727.1875806758</x:v>
      </x:c>
      <x:c r="M2" s="31" t="n">
        <x:v>0.0058553643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3446203.973592422</x:v>
      </x:c>
    </x:row>
    <x:row r="3" ht="18" customHeight="1">
      <x:c r="A3" s="24" t="str">
        <x:v>EEZ_016</x:v>
      </x:c>
      <x:c r="B3" s="24" t="str">
        <x:v>American Samoa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1608.2611168405</x:v>
      </x:c>
      <x:c r="J3" s="31" t="n">
        <x:v>881.6482244926999</x:v>
      </x:c>
      <x:c r="K3" s="31" t="n">
        <x:v>726.6128923478001</x:v>
      </x:c>
      <x:c r="L3" s="31" t="n">
        <x:v>881.6482244926999</x:v>
      </x:c>
      <x:c r="M3" s="31" t="n">
        <x:v>726.6128923478001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3600448.158608351</x:v>
      </x:c>
    </x:row>
    <x:row r="4" ht="18" customHeight="1">
      <x:c r="A4" s="24" t="str">
        <x:v>EEZ_016</x:v>
      </x:c>
      <x:c r="B4" s="24" t="str">
        <x:v>American Samoa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664.5790576427</x:v>
      </x:c>
      <x:c r="J4" s="31" t="n">
        <x:v>655.8878148175</x:v>
      </x:c>
      <x:c r="K4" s="31" t="n">
        <x:v>8.6912428252</x:v>
      </x:c>
      <x:c r="L4" s="31" t="n">
        <x:v>655.8878148175</x:v>
      </x:c>
      <x:c r="M4" s="31" t="n">
        <x:v>8.6912428252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1708231.2070813023</x:v>
      </x:c>
    </x:row>
    <x:row r="5" ht="18" customHeight="1">
      <x:c r="A5" s="24" t="str">
        <x:v>EEZ_016</x:v>
      </x:c>
      <x:c r="B5" s="24" t="str">
        <x:v>American Samoa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299.27570199630003</x:v>
      </x:c>
      <x:c r="J5" s="31" t="n">
        <x:v>18.9522422879</x:v>
      </x:c>
      <x:c r="K5" s="31" t="n">
        <x:v>280.32345970840004</x:v>
      </x:c>
      <x:c r="L5" s="31" t="n">
        <x:v>11.0632914645</x:v>
      </x:c>
      <x:c r="M5" s="31" t="n">
        <x:v>288.2124105318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57025.809399482445</x:v>
      </x:c>
    </x:row>
    <x:row r="6" ht="18" customHeight="1">
      <x:c r="A6" s="24" t="str">
        <x:v>EEZ_016</x:v>
      </x:c>
      <x:c r="B6" s="24" t="str">
        <x:v>American Samoa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203.169562939</x:v>
      </x:c>
      <x:c r="J6" s="31" t="n">
        <x:v>202.4054213219</x:v>
      </x:c>
      <x:c r="K6" s="31" t="n">
        <x:v>0.7641416171</x:v>
      </x:c>
      <x:c r="L6" s="31" t="n">
        <x:v>202.4054213219</x:v>
      </x:c>
      <x:c r="M6" s="31" t="n">
        <x:v>0.7641416171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546837.9497489381</x:v>
      </x:c>
    </x:row>
    <x:row r="7" ht="18" customHeight="1">
      <x:c r="A7" s="24" t="str">
        <x:v>EEZ_016</x:v>
      </x:c>
      <x:c r="B7" s="24" t="str">
        <x:v>American Samoa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182.8952344183</x:v>
      </x:c>
      <x:c r="J7" s="31" t="n">
        <x:v>153.0129147572</x:v>
      </x:c>
      <x:c r="K7" s="31" t="n">
        <x:v>29.882319661100002</x:v>
      </x:c>
      <x:c r="L7" s="31" t="n">
        <x:v>153.0129147572</x:v>
      </x:c>
      <x:c r="M7" s="31" t="n">
        <x:v>29.882319661100002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40945.142743566</x:v>
      </x:c>
    </x:row>
    <x:row r="8" ht="18" customHeight="1">
      <x:c r="A8" s="24" t="str">
        <x:v>EEZ_016</x:v>
      </x:c>
      <x:c r="B8" s="24" t="str">
        <x:v>American Samoa</x:v>
      </x:c>
      <x:c r="C8" s="24" t="str">
        <x:v>EEZ</x:v>
      </x:c>
      <x:c r="D8" s="30" t="n">
        <x:v>2019</x:v>
      </x:c>
      <x:c r="E8" s="24" t="str">
        <x:v>Thunnus obesus</x:v>
      </x:c>
      <x:c r="F8" s="24" t="str">
        <x:v>Bigeye tuna</x:v>
      </x:c>
      <x:c r="G8" s="24" t="str">
        <x:v>Large pelagics (&gt;=90 cm)</x:v>
      </x:c>
      <x:c r="H8" s="24" t="str">
        <x:v>Tuna &amp; billfishes</x:v>
      </x:c>
      <x:c r="I8" s="31" t="n">
        <x:v>150.5915297517</x:v>
      </x:c>
      <x:c r="J8" s="31" t="n">
        <x:v>141.3027673592</x:v>
      </x:c>
      <x:c r="K8" s="31" t="n">
        <x:v>9.2887623925</x:v>
      </x:c>
      <x:c r="L8" s="31" t="n">
        <x:v>141.3027673592</x:v>
      </x:c>
      <x:c r="M8" s="31" t="n">
        <x:v>9.2887623925</x:v>
      </x:c>
      <x:c r="N8" s="24" t="str">
        <x:v>thunnus obesus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obesus</x:v>
      </x:c>
      <x:c r="T8" s="32" t="n">
        <x:f>IF(O8="","",(1/'Metadata'!$B$5)^(O8-1))</x:f>
        <x:v>3090.295432513592</x:v>
      </x:c>
      <x:c r="U8" s="31" t="n">
        <x:f>IF(T8="","",I8*T8)</x:f>
        <x:v>465372.3165669132</x:v>
      </x:c>
    </x:row>
    <x:row r="9" ht="18" customHeight="1">
      <x:c r="A9" s="24" t="str">
        <x:v>EEZ_016</x:v>
      </x:c>
      <x:c r="B9" s="24" t="str">
        <x:v>American Samoa</x:v>
      </x:c>
      <x:c r="C9" s="24" t="str">
        <x:v>EEZ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138.98900456610002</x:v>
      </x:c>
      <x:c r="J9" s="31" t="n">
        <x:v>38.6312102962</x:v>
      </x:c>
      <x:c r="K9" s="31" t="n">
        <x:v>100.35779426990001</x:v>
      </x:c>
      <x:c r="L9" s="31" t="n">
        <x:v>38.6312102962</x:v>
      </x:c>
      <x:c r="M9" s="31" t="n">
        <x:v>100.35779426990001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470956.11964827956</x:v>
      </x:c>
    </x:row>
    <x:row r="10" ht="18" customHeight="1">
      <x:c r="A10" s="24" t="str">
        <x:v>EEZ_016</x:v>
      </x:c>
      <x:c r="B10" s="24" t="str">
        <x:v>American Samoa</x:v>
      </x:c>
      <x:c r="C10" s="24" t="str">
        <x:v>EEZ</x:v>
      </x:c>
      <x:c r="D10" s="30" t="n">
        <x:v>2019</x:v>
      </x:c>
      <x:c r="E10" s="24" t="str">
        <x:v>Isurus</x:v>
      </x:c>
      <x:c r="F10" s="24" t="str">
        <x:v>Mako sharks</x:v>
      </x:c>
      <x:c r="G10" s="24" t="str">
        <x:v>Large sharks (&gt;=90 cm)</x:v>
      </x:c>
      <x:c r="H10" s="24" t="str">
        <x:v>Sharks &amp; rays</x:v>
      </x:c>
      <x:c r="I10" s="31" t="n">
        <x:v>115.84166204030001</x:v>
      </x:c>
      <x:c r="J10" s="31" t="n">
        <x:v>37.1370894013</x:v>
      </x:c>
      <x:c r="K10" s="31" t="n">
        <x:v>78.704572639</x:v>
      </x:c>
      <x:c r="L10" s="31" t="n">
        <x:v>37.1370894013</x:v>
      </x:c>
      <x:c r="M10" s="31" t="n">
        <x:v>78.704572639</x:v>
      </x:c>
      <x:c r="N10" s="24" t="str">
        <x:v>isurus</x:v>
      </x:c>
      <x:c r="O10" s="32" t="n">
        <x:v>4.5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Isurus</x:v>
      </x:c>
      <x:c r="T10" s="32" t="n">
        <x:f>IF(O10="","",(1/'Metadata'!$B$5)^(O10-1))</x:f>
        <x:v>3162.2776601683795</x:v>
      </x:c>
      <x:c r="U10" s="31" t="n">
        <x:f>IF(T10="","",I10*T10)</x:f>
        <x:v>366323.4999868161</x:v>
      </x:c>
    </x:row>
    <x:row r="11" ht="18" customHeight="1">
      <x:c r="A11" s="24" t="str">
        <x:v>EEZ_016</x:v>
      </x:c>
      <x:c r="B11" s="24" t="str">
        <x:v>American Samoa</x:v>
      </x:c>
      <x:c r="C11" s="24" t="str">
        <x:v>EEZ</x:v>
      </x:c>
      <x:c r="D11" s="30" t="n">
        <x:v>2019</x:v>
      </x:c>
      <x:c r="E11" s="24" t="str">
        <x:v>Carcharhinus falciformis</x:v>
      </x:c>
      <x:c r="F11" s="24" t="str">
        <x:v>Silky shark</x:v>
      </x:c>
      <x:c r="G11" s="24" t="str">
        <x:v>Large sharks (&gt;=90 cm)</x:v>
      </x:c>
      <x:c r="H11" s="24" t="str">
        <x:v>Sharks &amp; rays</x:v>
      </x:c>
      <x:c r="I11" s="31" t="n">
        <x:v>88.0882973352</x:v>
      </x:c>
      <x:c r="J11" s="31" t="n">
        <x:v>0.8178012642999999</x:v>
      </x:c>
      <x:c r="K11" s="31" t="n">
        <x:v>87.27049607090001</x:v>
      </x:c>
      <x:c r="L11" s="31" t="n">
        <x:v>0.8178012642999999</x:v>
      </x:c>
      <x:c r="M11" s="31" t="n">
        <x:v>87.27049607090001</x:v>
      </x:c>
      <x:c r="N11" s="24" t="str">
        <x:v>carcharhinus falciformis</x:v>
      </x:c>
      <x:c r="O11" s="32" t="n">
        <x:v>4.51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falciformis</x:v>
      </x:c>
      <x:c r="T11" s="32" t="n">
        <x:f>IF(O11="","",(1/'Metadata'!$B$5)^(O11-1))</x:f>
        <x:v>3235.936569296281</x:v>
      </x:c>
      <x:c r="U11" s="31" t="n">
        <x:f>IF(T11="","",I11*T11)</x:f>
        <x:v>285048.1426740178</x:v>
      </x:c>
    </x:row>
    <x:row r="12" ht="18" customHeight="1">
      <x:c r="A12" s="24" t="str">
        <x:v>EEZ_016</x:v>
      </x:c>
      <x:c r="B12" s="24" t="str">
        <x:v>American Samoa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81.1909196514</x:v>
      </x:c>
      <x:c r="J12" s="31" t="n">
        <x:v>0.6993245774</x:v>
      </x:c>
      <x:c r="K12" s="31" t="n">
        <x:v>80.491595074</x:v>
      </x:c>
      <x:c r="L12" s="31" t="n">
        <x:v>0.6993245774</x:v>
      </x:c>
      <x:c r="M12" s="31" t="n">
        <x:v>80.491595074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147743.18620098667</x:v>
      </x:c>
    </x:row>
    <x:row r="13" ht="18" customHeight="1">
      <x:c r="A13" s="24" t="str">
        <x:v>EEZ_016</x:v>
      </x:c>
      <x:c r="B13" s="24" t="str">
        <x:v>American Samoa</x:v>
      </x:c>
      <x:c r="C13" s="24" t="str">
        <x:v>EEZ</x:v>
      </x:c>
      <x:c r="D13" s="30" t="n">
        <x:v>2019</x:v>
      </x:c>
      <x:c r="E13" s="24" t="str">
        <x:v>Carcharhinus longimanus</x:v>
      </x:c>
      <x:c r="F13" s="24" t="str">
        <x:v>Oceanic whitetip shark</x:v>
      </x:c>
      <x:c r="G13" s="24" t="str">
        <x:v>Large sharks (&gt;=90 cm)</x:v>
      </x:c>
      <x:c r="H13" s="24" t="str">
        <x:v>Sharks &amp; rays</x:v>
      </x:c>
      <x:c r="I13" s="31" t="n">
        <x:v>50.4662705432</x:v>
      </x:c>
      <x:c r="J13" s="31" t="n">
        <x:v>16.7003467995</x:v>
      </x:c>
      <x:c r="K13" s="31" t="n">
        <x:v>33.7659237437</x:v>
      </x:c>
      <x:c r="L13" s="31" t="n">
        <x:v>16.7003467995</x:v>
      </x:c>
      <x:c r="M13" s="31" t="n">
        <x:v>33.7659237437</x:v>
      </x:c>
      <x:c r="N13" s="24" t="str">
        <x:v>carcharhinus longimanus</x:v>
      </x:c>
      <x:c r="O13" s="32" t="n">
        <x:v>4.16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Carcharhinus longimanus</x:v>
      </x:c>
      <x:c r="T13" s="32" t="n">
        <x:f>IF(O13="","",(1/'Metadata'!$B$5)^(O13-1))</x:f>
        <x:v>1445.439770745928</x:v>
      </x:c>
      <x:c r="U13" s="31" t="n">
        <x:f>IF(T13="","",I13*T13)</x:f>
        <x:v>72945.95452436498</x:v>
      </x:c>
    </x:row>
    <x:row r="14" ht="18" customHeight="1">
      <x:c r="A14" s="24" t="str">
        <x:v>EEZ_016</x:v>
      </x:c>
      <x:c r="B14" s="24" t="str">
        <x:v>American Samoa</x:v>
      </x:c>
      <x:c r="C14" s="24" t="str">
        <x:v>EEZ</x:v>
      </x:c>
      <x:c r="D14" s="30" t="n">
        <x:v>2019</x:v>
      </x:c>
      <x:c r="E14" s="24" t="str">
        <x:v>Selar crumenophthalmus</x:v>
      </x:c>
      <x:c r="F14" s="24" t="str">
        <x:v>Bigeye scad</x:v>
      </x:c>
      <x:c r="G14" s="24" t="str">
        <x:v>Medium pelagics (30 - 89 cm)</x:v>
      </x:c>
      <x:c r="H14" s="24" t="str">
        <x:v>Perch-likes</x:v>
      </x:c>
      <x:c r="I14" s="31" t="n">
        <x:v>43.4866279516</x:v>
      </x:c>
      <x:c r="J14" s="31" t="n">
        <x:v>43.4866279516</x:v>
      </x:c>
      <x:c r="K14" s="31" t="n">
        <x:v>0</x:v>
      </x:c>
      <x:c r="L14" s="31" t="n">
        <x:v>0</x:v>
      </x:c>
      <x:c r="M14" s="31" t="n">
        <x:v>43.4866279516</x:v>
      </x:c>
      <x:c r="N14" s="24" t="str">
        <x:v>selar crumenophthalmus</x:v>
      </x:c>
      <x:c r="O14" s="32" t="n">
        <x:v>3.81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Selar crumenophthalmus</x:v>
      </x:c>
      <x:c r="T14" s="32" t="n">
        <x:f>IF(O14="","",(1/'Metadata'!$B$5)^(O14-1))</x:f>
        <x:v>645.6542290346556</x:v>
      </x:c>
      <x:c r="U14" s="31" t="n">
        <x:f>IF(T14="","",I14*T14)</x:f>
        <x:v>28077.325243407202</x:v>
      </x:c>
    </x:row>
    <x:row r="15" ht="18" customHeight="1">
      <x:c r="A15" s="24" t="str">
        <x:v>EEZ_016</x:v>
      </x:c>
      <x:c r="B15" s="24" t="str">
        <x:v>American Samoa</x:v>
      </x:c>
      <x:c r="C15" s="24" t="str">
        <x:v>EEZ</x:v>
      </x:c>
      <x:c r="D15" s="30" t="n">
        <x:v>2019</x:v>
      </x:c>
      <x:c r="E15" s="24" t="str">
        <x:v>Thunnus orientalis</x:v>
      </x:c>
      <x:c r="F15" s="24" t="str">
        <x:v>Pacific bluefin tuna</x:v>
      </x:c>
      <x:c r="G15" s="24" t="str">
        <x:v>Large pelagics (&gt;=90 cm)</x:v>
      </x:c>
      <x:c r="H15" s="24" t="str">
        <x:v>Tuna &amp; billfishes</x:v>
      </x:c>
      <x:c r="I15" s="31" t="n">
        <x:v>35.508861808</x:v>
      </x:c>
      <x:c r="J15" s="31" t="n">
        <x:v>34.9441441939</x:v>
      </x:c>
      <x:c r="K15" s="31" t="n">
        <x:v>0.5647176141</x:v>
      </x:c>
      <x:c r="L15" s="31" t="n">
        <x:v>34.9441441939</x:v>
      </x:c>
      <x:c r="M15" s="31" t="n">
        <x:v>0.5647176141</x:v>
      </x:c>
      <x:c r="N15" s="24" t="str">
        <x:v>thunnus orientalis</x:v>
      </x:c>
      <x:c r="O15" s="32" t="n">
        <x:v>4.05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orientalis</x:v>
      </x:c>
      <x:c r="T15" s="32" t="n">
        <x:f>IF(O15="","",(1/'Metadata'!$B$5)^(O15-1))</x:f>
        <x:v>1122.018454301963</x:v>
      </x:c>
      <x:c r="U15" s="31" t="n">
        <x:f>IF(T15="","",I15*T15)</x:f>
        <x:v>39841.598239834166</x:v>
      </x:c>
    </x:row>
    <x:row r="16" ht="18" customHeight="1">
      <x:c r="A16" s="24" t="str">
        <x:v>EEZ_016</x:v>
      </x:c>
      <x:c r="B16" s="24" t="str">
        <x:v>American Samoa</x:v>
      </x:c>
      <x:c r="C16" s="24" t="str">
        <x:v>EEZ</x:v>
      </x:c>
      <x:c r="D16" s="30" t="n">
        <x:v>2019</x:v>
      </x:c>
      <x:c r="E16" s="24" t="str">
        <x:v>Coryphaena hippurus</x:v>
      </x:c>
      <x:c r="F16" s="24" t="str">
        <x:v>Common dolphinfish</x:v>
      </x:c>
      <x:c r="G16" s="24" t="str">
        <x:v>Large pelagics (&gt;=90 cm)</x:v>
      </x:c>
      <x:c r="H16" s="24" t="str">
        <x:v>Perch-likes</x:v>
      </x:c>
      <x:c r="I16" s="31" t="n">
        <x:v>34.4724919818</x:v>
      </x:c>
      <x:c r="J16" s="31" t="n">
        <x:v>0</x:v>
      </x:c>
      <x:c r="K16" s="31" t="n">
        <x:v>34.4724919818</x:v>
      </x:c>
      <x:c r="L16" s="31" t="n">
        <x:v>0</x:v>
      </x:c>
      <x:c r="M16" s="31" t="n">
        <x:v>34.4724919818</x:v>
      </x:c>
      <x:c r="N16" s="24" t="str">
        <x:v>coryphaena hippurus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Coryphaena hippurus</x:v>
      </x:c>
      <x:c r="T16" s="32" t="n">
        <x:f>IF(O16="","",(1/'Metadata'!$B$5)^(O16-1))</x:f>
        <x:v>2344.228815319923</x:v>
      </x:c>
      <x:c r="U16" s="31" t="n">
        <x:f>IF(T16="","",I16*T16)</x:f>
        <x:v>80811.40903962054</x:v>
      </x:c>
    </x:row>
    <x:row r="17" ht="18" customHeight="1">
      <x:c r="A17" s="24" t="str">
        <x:v>EEZ_016</x:v>
      </x:c>
      <x:c r="B17" s="24" t="str">
        <x:v>American Samoa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18.5571995911</x:v>
      </x:c>
      <x:c r="J17" s="31" t="n">
        <x:v>0</x:v>
      </x:c>
      <x:c r="K17" s="31" t="n">
        <x:v>18.5571995911</x:v>
      </x:c>
      <x:c r="L17" s="31" t="n">
        <x:v>0</x:v>
      </x:c>
      <x:c r="M17" s="31" t="n">
        <x:v>18.5571995911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56041.84683098609</x:v>
      </x:c>
    </x:row>
    <x:row r="18" ht="18" customHeight="1">
      <x:c r="A18" s="24" t="str">
        <x:v>EEZ_016</x:v>
      </x:c>
      <x:c r="B18" s="24" t="str">
        <x:v>American Samoa</x:v>
      </x:c>
      <x:c r="C18" s="24" t="str">
        <x:v>EEZ</x:v>
      </x:c>
      <x:c r="D18" s="30" t="n">
        <x:v>2019</x:v>
      </x:c>
      <x:c r="E18" s="24" t="str">
        <x:v>Octopodidae</x:v>
      </x:c>
      <x:c r="F18" s="24" t="str">
        <x:v>Octopuses</x:v>
      </x:c>
      <x:c r="G18" s="24" t="str">
        <x:v>Cephalopods</x:v>
      </x:c>
      <x:c r="H18" s="24" t="str">
        <x:v>Other fishes &amp; inverts</x:v>
      </x:c>
      <x:c r="I18" s="31" t="n">
        <x:v>18.365598012</x:v>
      </x:c>
      <x:c r="J18" s="31" t="n">
        <x:v>18.365598012</x:v>
      </x:c>
      <x:c r="K18" s="31" t="n">
        <x:v>0</x:v>
      </x:c>
      <x:c r="L18" s="31" t="n">
        <x:v>0.0177280729</x:v>
      </x:c>
      <x:c r="M18" s="31" t="n">
        <x:v>18.3478699391</x:v>
      </x:c>
      <x:c r="N18" s="24" t="str">
        <x:v>octopodidae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Octopodidae</x:v>
      </x:c>
      <x:c r="T18" s="32" t="n">
        <x:f>IF(O18="","",(1/'Metadata'!$B$5)^(O18-1))</x:f>
        <x:v>389.04514499428046</x:v>
      </x:c>
      <x:c r="U18" s="31" t="n">
        <x:f>IF(T18="","",I18*T18)</x:f>
        <x:v>7145.046741485209</x:v>
      </x:c>
    </x:row>
    <x:row r="19" ht="18" customHeight="1">
      <x:c r="A19" s="24" t="str">
        <x:v>EEZ_016</x:v>
      </x:c>
      <x:c r="B19" s="24" t="str">
        <x:v>American Samoa</x:v>
      </x:c>
      <x:c r="C19" s="24" t="str">
        <x:v>EEZ</x:v>
      </x:c>
      <x:c r="D19" s="30" t="n">
        <x:v>2019</x:v>
      </x:c>
      <x:c r="E19" s="24" t="str">
        <x:v>Kajikia audax</x:v>
      </x:c>
      <x:c r="F19" s="24" t="str">
        <x:v>Striped marlin</x:v>
      </x:c>
      <x:c r="G19" s="24" t="str">
        <x:v>Large pelagics (&gt;=90 cm)</x:v>
      </x:c>
      <x:c r="H19" s="24" t="str">
        <x:v>Tuna &amp; billfishes</x:v>
      </x:c>
      <x:c r="I19" s="31" t="n">
        <x:v>13.980921832400002</x:v>
      </x:c>
      <x:c r="J19" s="31" t="n">
        <x:v>13.980921832400002</x:v>
      </x:c>
      <x:c r="K19" s="31" t="n">
        <x:v>0</x:v>
      </x:c>
      <x:c r="L19" s="31" t="n">
        <x:v>13.980921832400002</x:v>
      </x:c>
      <x:c r="M19" s="31" t="n">
        <x:v>0</x:v>
      </x:c>
      <x:c r="N19" s="24" t="str">
        <x:v>kajikia audax</x:v>
      </x:c>
      <x:c r="O19" s="32" t="n">
        <x:v>4.58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Kajikia audax</x:v>
      </x:c>
      <x:c r="T19" s="32" t="n">
        <x:f>IF(O19="","",(1/'Metadata'!$B$5)^(O19-1))</x:f>
        <x:v>3801.8939632056126</x:v>
      </x:c>
      <x:c r="U19" s="31" t="n">
        <x:f>IF(T19="","",I19*T19)</x:f>
        <x:v>53153.98231465112</x:v>
      </x:c>
    </x:row>
    <x:row r="20" ht="18" customHeight="1">
      <x:c r="A20" s="24" t="str">
        <x:v>EEZ_016</x:v>
      </x:c>
      <x:c r="B20" s="24" t="str">
        <x:v>American Samoa</x:v>
      </x:c>
      <x:c r="C20" s="24" t="str">
        <x:v>EEZ</x:v>
      </x:c>
      <x:c r="D20" s="30" t="n">
        <x:v>2019</x:v>
      </x:c>
      <x:c r="E20" s="24" t="str">
        <x:v>Caranx</x:v>
      </x:c>
      <x:c r="F20" s="24" t="str">
        <x:v>Jacks</x:v>
      </x:c>
      <x:c r="G20" s="24" t="str">
        <x:v>Medium reef assoc. fish (30 - 89 cm)</x:v>
      </x:c>
      <x:c r="H20" s="24" t="str">
        <x:v>Perch-likes</x:v>
      </x:c>
      <x:c r="I20" s="31" t="n">
        <x:v>13.119535445599999</x:v>
      </x:c>
      <x:c r="J20" s="31" t="n">
        <x:v>13.119535445599999</x:v>
      </x:c>
      <x:c r="K20" s="31" t="n">
        <x:v>0</x:v>
      </x:c>
      <x:c r="L20" s="31" t="n">
        <x:v>0</x:v>
      </x:c>
      <x:c r="M20" s="31" t="n">
        <x:v>13.119535445599999</x:v>
      </x:c>
      <x:c r="N20" s="24" t="str">
        <x:v>caranx</x:v>
      </x:c>
      <x:c r="O20" s="32" t="n">
        <x:v>4.12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Caranx</x:v>
      </x:c>
      <x:c r="T20" s="32" t="n">
        <x:f>IF(O20="","",(1/'Metadata'!$B$5)^(O20-1))</x:f>
        <x:v>1318.2567385564075</x:v>
      </x:c>
      <x:c r="U20" s="31" t="n">
        <x:f>IF(T20="","",I20*T20)</x:f>
        <x:v>17294.91600789184</x:v>
      </x:c>
    </x:row>
    <x:row r="21" ht="18" customHeight="1">
      <x:c r="A21" s="24" t="str">
        <x:v>EEZ_016</x:v>
      </x:c>
      <x:c r="B21" s="24" t="str">
        <x:v>American Samoa</x:v>
      </x:c>
      <x:c r="C21" s="24" t="str">
        <x:v>EEZ</x:v>
      </x:c>
      <x:c r="D21" s="30" t="n">
        <x:v>2019</x:v>
      </x:c>
      <x:c r="E21" s="24" t="str">
        <x:v>Echinozoa</x:v>
      </x:c>
      <x:c r="F21" s="24" t="str">
        <x:v>Sea urchins and sea cucumbers</x:v>
      </x:c>
      <x:c r="G21" s="24" t="str">
        <x:v>Other demersal invertebrates</x:v>
      </x:c>
      <x:c r="H21" s="24" t="str">
        <x:v>Other fishes &amp; inverts</x:v>
      </x:c>
      <x:c r="I21" s="31" t="n">
        <x:v>12.4994642966</x:v>
      </x:c>
      <x:c r="J21" s="31" t="n">
        <x:v>12.4994642966</x:v>
      </x:c>
      <x:c r="K21" s="31" t="n">
        <x:v>0</x:v>
      </x:c>
      <x:c r="L21" s="31" t="n">
        <x:v>0</x:v>
      </x:c>
      <x:c r="M21" s="31" t="n">
        <x:v>12.4994642966</x:v>
      </x:c>
      <x:c r="N21" s="24" t="str">
        <x:v>echinozoa</x:v>
      </x:c>
      <x:c r="O21" s="32" t="n">
        <x:v>2.3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Echinozoa</x:v>
      </x:c>
      <x:c r="T21" s="32" t="n">
        <x:f>IF(O21="","",(1/'Metadata'!$B$5)^(O21-1))</x:f>
        <x:v>19.952623149688787</x:v>
      </x:c>
      <x:c r="U21" s="31" t="n">
        <x:f>IF(T21="","",I21*T21)</x:f>
        <x:v>249.39710068304962</x:v>
      </x:c>
    </x:row>
    <x:row r="22" ht="18" customHeight="1">
      <x:c r="A22" s="24" t="str">
        <x:v>EEZ_016</x:v>
      </x:c>
      <x:c r="B22" s="24" t="str">
        <x:v>American Samoa</x:v>
      </x:c>
      <x:c r="C22" s="24" t="str">
        <x:v>EEZ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10.394340294700001</x:v>
      </x:c>
      <x:c r="J22" s="31" t="n">
        <x:v>4.3528430799999995</x:v>
      </x:c>
      <x:c r="K22" s="31" t="n">
        <x:v>6.0414972147</x:v>
      </x:c>
      <x:c r="L22" s="31" t="n">
        <x:v>4.3528430799999995</x:v>
      </x:c>
      <x:c r="M22" s="31" t="n">
        <x:v>6.0414972147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32869.79010611782</x:v>
      </x:c>
    </x:row>
    <x:row r="23" ht="18" customHeight="1">
      <x:c r="A23" s="24" t="str">
        <x:v>EEZ_016</x:v>
      </x:c>
      <x:c r="B23" s="24" t="str">
        <x:v>American Samoa</x:v>
      </x:c>
      <x:c r="C23" s="24" t="str">
        <x:v>EEZ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8.4539112658</x:v>
      </x:c>
      <x:c r="J23" s="31" t="n">
        <x:v>5.1611126832</x:v>
      </x:c>
      <x:c r="K23" s="31" t="n">
        <x:v>3.2927985826</x:v>
      </x:c>
      <x:c r="L23" s="31" t="n">
        <x:v>5.1611126832</x:v>
      </x:c>
      <x:c r="M23" s="31" t="n">
        <x:v>3.2927985826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9485.444451258867</x:v>
      </x:c>
    </x:row>
    <x:row r="24" ht="18" customHeight="1">
      <x:c r="A24" s="24" t="str">
        <x:v>EEZ_016</x:v>
      </x:c>
      <x:c r="B24" s="24" t="str">
        <x:v>American Samoa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7.286721039800001</x:v>
      </x:c>
      <x:c r="J24" s="31" t="n">
        <x:v>0</x:v>
      </x:c>
      <x:c r="K24" s="31" t="n">
        <x:v>7.286721039800001</x:v>
      </x:c>
      <x:c r="L24" s="31" t="n">
        <x:v>0</x:v>
      </x:c>
      <x:c r="M24" s="31" t="n">
        <x:v>7.286721039800001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13259.652532575486</x:v>
      </x:c>
    </x:row>
    <x:row r="25" ht="18" customHeight="1">
      <x:c r="A25" s="24" t="str">
        <x:v>EEZ_016</x:v>
      </x:c>
      <x:c r="B25" s="24" t="str">
        <x:v>American Samoa</x:v>
      </x:c>
      <x:c r="C25" s="24" t="str">
        <x:v>EEZ</x:v>
      </x:c>
      <x:c r="D25" s="30" t="n">
        <x:v>2019</x:v>
      </x:c>
      <x:c r="E25" s="24" t="str">
        <x:v>Istiompax indica</x:v>
      </x:c>
      <x:c r="F25" s="24" t="str">
        <x:v>Black marlin</x:v>
      </x:c>
      <x:c r="G25" s="24" t="str">
        <x:v>Large pelagics (&gt;=90 cm)</x:v>
      </x:c>
      <x:c r="H25" s="24" t="str">
        <x:v>Tuna &amp; billfishes</x:v>
      </x:c>
      <x:c r="I25" s="31" t="n">
        <x:v>6.5655868642</x:v>
      </x:c>
      <x:c r="J25" s="31" t="n">
        <x:v>6.5655868642</x:v>
      </x:c>
      <x:c r="K25" s="31" t="n">
        <x:v>0</x:v>
      </x:c>
      <x:c r="L25" s="31" t="n">
        <x:v>6.5655868642</x:v>
      </x:c>
      <x:c r="M25" s="31" t="n">
        <x:v>0</x:v>
      </x:c>
      <x:c r="N25" s="24" t="str">
        <x:v>istiompax indica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Istiompax indica</x:v>
      </x:c>
      <x:c r="T25" s="32" t="n">
        <x:f>IF(O25="","",(1/'Metadata'!$B$5)^(O25-1))</x:f>
        <x:v>3162.2776601683795</x:v>
      </x:c>
      <x:c r="U25" s="31" t="n">
        <x:f>IF(T25="","",I25*T25)</x:f>
        <x:v>20762.208666554623</x:v>
      </x:c>
    </x:row>
    <x:row r="26" ht="18" customHeight="1">
      <x:c r="A26" s="24" t="str">
        <x:v>EEZ_016</x:v>
      </x:c>
      <x:c r="B26" s="24" t="str">
        <x:v>American Samoa</x:v>
      </x:c>
      <x:c r="C26" s="24" t="str">
        <x:v>EEZ</x:v>
      </x:c>
      <x:c r="D26" s="30" t="n">
        <x:v>2019</x:v>
      </x:c>
      <x:c r="E26" s="24" t="str">
        <x:v>Holocentridae</x:v>
      </x:c>
      <x:c r="F26" s="24" t="str">
        <x:v>Squirrel-, soldierfishes</x:v>
      </x:c>
      <x:c r="G26" s="24" t="str">
        <x:v>Small reef assoc. fish (&lt;30 cm)</x:v>
      </x:c>
      <x:c r="H26" s="24" t="str">
        <x:v>Other fishes &amp; inverts</x:v>
      </x:c>
      <x:c r="I26" s="31" t="n">
        <x:v>6.2544855724</x:v>
      </x:c>
      <x:c r="J26" s="31" t="n">
        <x:v>6.2544855724</x:v>
      </x:c>
      <x:c r="K26" s="31" t="n">
        <x:v>0</x:v>
      </x:c>
      <x:c r="L26" s="31" t="n">
        <x:v>0.366541956</x:v>
      </x:c>
      <x:c r="M26" s="31" t="n">
        <x:v>5.887943616399999</x:v>
      </x:c>
      <x:c r="N26" s="24" t="str">
        <x:v>holocentridae</x:v>
      </x:c>
      <x:c r="O26" s="32" t="n">
        <x:v>3.49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Holocentridae</x:v>
      </x:c>
      <x:c r="T26" s="32" t="n">
        <x:f>IF(O26="","",(1/'Metadata'!$B$5)^(O26-1))</x:f>
        <x:v>309.0295432513592</x:v>
      </x:c>
      <x:c r="U26" s="31" t="n">
        <x:f>IF(T26="","",I26*T26)</x:f>
        <x:v>1932.820819710988</x:v>
      </x:c>
    </x:row>
    <x:row r="27" ht="18" customHeight="1">
      <x:c r="A27" s="24" t="str">
        <x:v>EEZ_016</x:v>
      </x:c>
      <x:c r="B27" s="24" t="str">
        <x:v>American Samoa</x:v>
      </x:c>
      <x:c r="C27" s="24" t="str">
        <x:v>EEZ</x:v>
      </x:c>
      <x:c r="D27" s="30" t="n">
        <x:v>2019</x:v>
      </x:c>
      <x:c r="E27" s="24" t="str">
        <x:v>Acanthurus</x:v>
      </x:c>
      <x:c r="F27" s="24" t="str">
        <x:v>Surgeonfishes</x:v>
      </x:c>
      <x:c r="G27" s="24" t="str">
        <x:v>Small reef assoc. fish (&lt;30 cm)</x:v>
      </x:c>
      <x:c r="H27" s="24" t="str">
        <x:v>Perch-likes</x:v>
      </x:c>
      <x:c r="I27" s="31" t="n">
        <x:v>4.889207971</x:v>
      </x:c>
      <x:c r="J27" s="31" t="n">
        <x:v>4.889207971</x:v>
      </x:c>
      <x:c r="K27" s="31" t="n">
        <x:v>0</x:v>
      </x:c>
      <x:c r="L27" s="31" t="n">
        <x:v>0</x:v>
      </x:c>
      <x:c r="M27" s="31" t="n">
        <x:v>4.889207971</x:v>
      </x:c>
      <x:c r="N27" s="24" t="str">
        <x:v>acanthurus</x:v>
      </x:c>
      <x:c r="O27" s="32" t="n">
        <x:v>2.03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Acanthurus</x:v>
      </x:c>
      <x:c r="T27" s="32" t="n">
        <x:f>IF(O27="","",(1/'Metadata'!$B$5)^(O27-1))</x:f>
        <x:v>10.71519305237606</x:v>
      </x:c>
      <x:c r="U27" s="31" t="n">
        <x:f>IF(T27="","",I27*T27)</x:f>
        <x:v>52.388807282480855</x:v>
      </x:c>
    </x:row>
    <x:row r="28" ht="18" customHeight="1">
      <x:c r="A28" s="24" t="str">
        <x:v>EEZ_016</x:v>
      </x:c>
      <x:c r="B28" s="24" t="str">
        <x:v>American Samoa</x:v>
      </x:c>
      <x:c r="C28" s="24" t="str">
        <x:v>EEZ</x:v>
      </x:c>
      <x:c r="D28" s="30" t="n">
        <x:v>2019</x:v>
      </x:c>
      <x:c r="E28" s="24" t="str">
        <x:v>Lethrinidae</x:v>
      </x:c>
      <x:c r="F28" s="24" t="str">
        <x:v>Emperors, scavengers</x:v>
      </x:c>
      <x:c r="G28" s="24" t="str">
        <x:v>Medium reef assoc. fish (30 - 89 cm)</x:v>
      </x:c>
      <x:c r="H28" s="24" t="str">
        <x:v>Perch-likes</x:v>
      </x:c>
      <x:c r="I28" s="31" t="n">
        <x:v>3.7830748577999995</x:v>
      </x:c>
      <x:c r="J28" s="31" t="n">
        <x:v>3.7830748577999995</x:v>
      </x:c>
      <x:c r="K28" s="31" t="n">
        <x:v>0</x:v>
      </x:c>
      <x:c r="L28" s="31" t="n">
        <x:v>3.1777902681</x:v>
      </x:c>
      <x:c r="M28" s="31" t="n">
        <x:v>0.6052845897</x:v>
      </x:c>
      <x:c r="N28" s="24" t="str">
        <x:v>lethrinidae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Lethrinidae</x:v>
      </x:c>
      <x:c r="T28" s="32" t="n">
        <x:f>IF(O28="","",(1/'Metadata'!$B$5)^(O28-1))</x:f>
        <x:v>389.04514499428046</x:v>
      </x:c>
      <x:c r="U28" s="31" t="n">
        <x:f>IF(T28="","",I28*T28)</x:f>
        <x:v>1471.7869065770178</x:v>
      </x:c>
    </x:row>
    <x:row r="29" ht="18" customHeight="1">
      <x:c r="A29" s="24" t="str">
        <x:v>EEZ_016</x:v>
      </x:c>
      <x:c r="B29" s="24" t="str">
        <x:v>American Samoa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3.6905323284000002</x:v>
      </x:c>
      <x:c r="J29" s="31" t="n">
        <x:v>3.6905323284000002</x:v>
      </x:c>
      <x:c r="K29" s="31" t="n">
        <x:v>0</x:v>
      </x:c>
      <x:c r="L29" s="31" t="n">
        <x:v>0</x:v>
      </x:c>
      <x:c r="M29" s="31" t="n">
        <x:v>3.6905323284000002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125.05153125211439</x:v>
      </x:c>
    </x:row>
    <x:row r="30" ht="18" customHeight="1">
      <x:c r="A30" s="24" t="str">
        <x:v>EEZ_016</x:v>
      </x:c>
      <x:c r="B30" s="24" t="str">
        <x:v>American Samoa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3.5246953564</x:v>
      </x:c>
      <x:c r="J30" s="31" t="n">
        <x:v>3.5246953564</x:v>
      </x:c>
      <x:c r="K30" s="31" t="n">
        <x:v>0</x:v>
      </x:c>
      <x:c r="L30" s="31" t="n">
        <x:v>0.5345959123</x:v>
      </x:c>
      <x:c r="M30" s="31" t="n">
        <x:v>2.9900994441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3366.057933346183</x:v>
      </x:c>
    </x:row>
    <x:row r="31" ht="18" customHeight="1">
      <x:c r="A31" s="24" t="str">
        <x:v>EEZ_016</x:v>
      </x:c>
      <x:c r="B31" s="24" t="str">
        <x:v>American Samoa</x:v>
      </x:c>
      <x:c r="C31" s="24" t="str">
        <x:v>EEZ</x:v>
      </x:c>
      <x:c r="D31" s="30" t="n">
        <x:v>2019</x:v>
      </x:c>
      <x:c r="E31" s="24" t="str">
        <x:v>Acanthurus lineatus</x:v>
      </x:c>
      <x:c r="F31" s="24" t="str">
        <x:v>Lined surgeonfish</x:v>
      </x:c>
      <x:c r="G31" s="24" t="str">
        <x:v>Small reef assoc. fish (&lt;30 cm)</x:v>
      </x:c>
      <x:c r="H31" s="24" t="str">
        <x:v>Perch-likes</x:v>
      </x:c>
      <x:c r="I31" s="31" t="n">
        <x:v>3.3054388932</x:v>
      </x:c>
      <x:c r="J31" s="31" t="n">
        <x:v>3.3054388932</x:v>
      </x:c>
      <x:c r="K31" s="31" t="n">
        <x:v>0</x:v>
      </x:c>
      <x:c r="L31" s="31" t="n">
        <x:v>0</x:v>
      </x:c>
      <x:c r="M31" s="31" t="n">
        <x:v>3.3054388932</x:v>
      </x:c>
      <x:c r="N31" s="24" t="str">
        <x:v>acanthurus lineatus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Acanthurus lineatus</x:v>
      </x:c>
      <x:c r="T31" s="32" t="n">
        <x:f>IF(O31="","",(1/'Metadata'!$B$5)^(O31-1))</x:f>
        <x:v>10</x:v>
      </x:c>
      <x:c r="U31" s="31" t="n">
        <x:f>IF(T31="","",I31*T31)</x:f>
        <x:v>33.054388931999995</x:v>
      </x:c>
    </x:row>
    <x:row r="32" ht="18" customHeight="1">
      <x:c r="A32" s="24" t="str">
        <x:v>EEZ_016</x:v>
      </x:c>
      <x:c r="B32" s="24" t="str">
        <x:v>American Samoa</x:v>
      </x:c>
      <x:c r="C32" s="24" t="str">
        <x:v>EEZ</x:v>
      </x:c>
      <x:c r="D32" s="30" t="n">
        <x:v>2019</x:v>
      </x:c>
      <x:c r="E32" s="24" t="str">
        <x:v>Scarus</x:v>
      </x:c>
      <x:c r="F32" s="24" t="str">
        <x:v>Parrots</x:v>
      </x:c>
      <x:c r="G32" s="24" t="str">
        <x:v>Medium reef assoc. fish (30 - 89 cm)</x:v>
      </x:c>
      <x:c r="H32" s="24" t="str">
        <x:v>Perch-likes</x:v>
      </x:c>
      <x:c r="I32" s="31" t="n">
        <x:v>2.5889336619999996</x:v>
      </x:c>
      <x:c r="J32" s="31" t="n">
        <x:v>2.5889336619999996</x:v>
      </x:c>
      <x:c r="K32" s="31" t="n">
        <x:v>0</x:v>
      </x:c>
      <x:c r="L32" s="31" t="n">
        <x:v>0</x:v>
      </x:c>
      <x:c r="M32" s="31" t="n">
        <x:v>2.5889336619999996</x:v>
      </x:c>
      <x:c r="N32" s="24" t="str">
        <x:v>scarus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Scarus</x:v>
      </x:c>
      <x:c r="T32" s="32" t="n">
        <x:f>IF(O32="","",(1/'Metadata'!$B$5)^(O32-1))</x:f>
        <x:v>10</x:v>
      </x:c>
      <x:c r="U32" s="31" t="n">
        <x:f>IF(T32="","",I32*T32)</x:f>
        <x:v>25.889336619999995</x:v>
      </x:c>
    </x:row>
    <x:row r="33" ht="18" customHeight="1">
      <x:c r="A33" s="24" t="str">
        <x:v>EEZ_016</x:v>
      </x:c>
      <x:c r="B33" s="24" t="str">
        <x:v>American Samoa</x:v>
      </x:c>
      <x:c r="C33" s="24" t="str">
        <x:v>EEZ</x:v>
      </x:c>
      <x:c r="D33" s="30" t="n">
        <x:v>2019</x:v>
      </x:c>
      <x:c r="E33" s="24" t="str">
        <x:v>Naso</x:v>
      </x:c>
      <x:c r="F33" s="24" t="str">
        <x:v>Unicornfishes</x:v>
      </x:c>
      <x:c r="G33" s="24" t="str">
        <x:v>Medium reef assoc. fish (30 - 89 cm)</x:v>
      </x:c>
      <x:c r="H33" s="24" t="str">
        <x:v>Perch-likes</x:v>
      </x:c>
      <x:c r="I33" s="31" t="n">
        <x:v>2.1476565306</x:v>
      </x:c>
      <x:c r="J33" s="31" t="n">
        <x:v>2.1476565306</x:v>
      </x:c>
      <x:c r="K33" s="31" t="n">
        <x:v>0</x:v>
      </x:c>
      <x:c r="L33" s="31" t="n">
        <x:v>0.5082771321</x:v>
      </x:c>
      <x:c r="M33" s="31" t="n">
        <x:v>1.6393793985</x:v>
      </x:c>
      <x:c r="N33" s="24" t="str">
        <x:v>naso</x:v>
      </x:c>
      <x:c r="O33" s="32" t="n">
        <x:v>3.28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Naso</x:v>
      </x:c>
      <x:c r="T33" s="32" t="n">
        <x:f>IF(O33="","",(1/'Metadata'!$B$5)^(O33-1))</x:f>
        <x:v>190.54607179632464</x:v>
      </x:c>
      <x:c r="U33" s="31" t="n">
        <x:f>IF(T33="","",I33*T33)</x:f>
        <x:v>409.22751547355307</x:v>
      </x:c>
    </x:row>
    <x:row r="34" ht="18" customHeight="1">
      <x:c r="A34" s="24" t="str">
        <x:v>EEZ_016</x:v>
      </x:c>
      <x:c r="B34" s="24" t="str">
        <x:v>American Samoa</x:v>
      </x:c>
      <x:c r="C34" s="24" t="str">
        <x:v>EEZ</x:v>
      </x:c>
      <x:c r="D34" s="30" t="n">
        <x:v>2019</x:v>
      </x:c>
      <x:c r="E34" s="24" t="str">
        <x:v>Cnidaria</x:v>
      </x:c>
      <x:c r="F34" s="24" t="str">
        <x:v>Cnidarians, coelenterates</x:v>
      </x:c>
      <x:c r="G34" s="24" t="str">
        <x:v>Jellyfish</x:v>
      </x:c>
      <x:c r="H34" s="24" t="str">
        <x:v>Other fishes &amp; inverts</x:v>
      </x:c>
      <x:c r="I34" s="31" t="n">
        <x:v>2.001328654</x:v>
      </x:c>
      <x:c r="J34" s="31" t="n">
        <x:v>2.001328654</x:v>
      </x:c>
      <x:c r="K34" s="31" t="n">
        <x:v>0</x:v>
      </x:c>
      <x:c r="L34" s="31" t="n">
        <x:v>0</x:v>
      </x:c>
      <x:c r="M34" s="31" t="n">
        <x:v>2.001328654</x:v>
      </x:c>
      <x:c r="N34" s="24" t="str">
        <x:v>cnidaria</x:v>
      </x:c>
      <x:c r="O34" s="32" t="n">
        <x:v>2.5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Cnidaria</x:v>
      </x:c>
      <x:c r="T34" s="32" t="n">
        <x:f>IF(O34="","",(1/'Metadata'!$B$5)^(O34-1))</x:f>
        <x:v>31.622776601683793</x:v>
      </x:c>
      <x:c r="U34" s="31" t="n">
        <x:f>IF(T34="","",I34*T34)</x:f>
        <x:v>63.28756893199051</x:v>
      </x:c>
    </x:row>
    <x:row r="35" ht="18" customHeight="1">
      <x:c r="A35" s="24" t="str">
        <x:v>EEZ_016</x:v>
      </x:c>
      <x:c r="B35" s="24" t="str">
        <x:v>American Samoa</x:v>
      </x:c>
      <x:c r="C35" s="24" t="str">
        <x:v>EEZ</x:v>
      </x:c>
      <x:c r="D35" s="30" t="n">
        <x:v>2019</x:v>
      </x:c>
      <x:c r="E35" s="24" t="str">
        <x:v>Sphyraena</x:v>
      </x:c>
      <x:c r="F35" s="24" t="str">
        <x:v>Barracudas, sennets</x:v>
      </x:c>
      <x:c r="G35" s="24" t="str">
        <x:v>Large pelagics (&gt;=90 cm)</x:v>
      </x:c>
      <x:c r="H35" s="24" t="str">
        <x:v>Perch-likes</x:v>
      </x:c>
      <x:c r="I35" s="31" t="n">
        <x:v>1.9637045964</x:v>
      </x:c>
      <x:c r="J35" s="31" t="n">
        <x:v>1.9637045964</x:v>
      </x:c>
      <x:c r="K35" s="31" t="n">
        <x:v>0</x:v>
      </x:c>
      <x:c r="L35" s="31" t="n">
        <x:v>0.8762495954</x:v>
      </x:c>
      <x:c r="M35" s="31" t="n">
        <x:v>1.087455001</x:v>
      </x:c>
      <x:c r="N35" s="24" t="str">
        <x:v>sphyraena</x:v>
      </x:c>
      <x:c r="O35" s="32" t="n">
        <x:v>4.4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Sphyraena</x:v>
      </x:c>
      <x:c r="T35" s="32" t="n">
        <x:f>IF(O35="","",(1/'Metadata'!$B$5)^(O35-1))</x:f>
        <x:v>2511.886431509582</x:v>
      </x:c>
      <x:c r="U35" s="31" t="n">
        <x:f>IF(T35="","",I35*T35)</x:f>
        <x:v>4932.60293119016</x:v>
      </x:c>
    </x:row>
    <x:row r="36" ht="18" customHeight="1">
      <x:c r="A36" s="24" t="str">
        <x:v>EEZ_016</x:v>
      </x:c>
      <x:c r="B36" s="24" t="str">
        <x:v>American Samoa</x:v>
      </x:c>
      <x:c r="C36" s="24" t="str">
        <x:v>EEZ</x:v>
      </x:c>
      <x:c r="D36" s="30" t="n">
        <x:v>2019</x:v>
      </x:c>
      <x:c r="E36" s="24" t="str">
        <x:v>Lutjanus kasmira</x:v>
      </x:c>
      <x:c r="F36" s="24" t="str">
        <x:v>Common bluestripe snapper</x:v>
      </x:c>
      <x:c r="G36" s="24" t="str">
        <x:v>Medium reef assoc. fish (30 - 89 cm)</x:v>
      </x:c>
      <x:c r="H36" s="24" t="str">
        <x:v>Perch-likes</x:v>
      </x:c>
      <x:c r="I36" s="31" t="n">
        <x:v>1.8784630238</x:v>
      </x:c>
      <x:c r="J36" s="31" t="n">
        <x:v>1.8784630238</x:v>
      </x:c>
      <x:c r="K36" s="31" t="n">
        <x:v>0</x:v>
      </x:c>
      <x:c r="L36" s="31" t="n">
        <x:v>1.8784630238</x:v>
      </x:c>
      <x:c r="M36" s="31" t="n">
        <x:v>0</x:v>
      </x:c>
      <x:c r="N36" s="24" t="str">
        <x:v>lutjanus kasmira</x:v>
      </x:c>
      <x:c r="O36" s="32" t="n">
        <x:v>3.87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kasmira</x:v>
      </x:c>
      <x:c r="T36" s="32" t="n">
        <x:f>IF(O36="","",(1/'Metadata'!$B$5)^(O36-1))</x:f>
        <x:v>741.3102413009177</x:v>
      </x:c>
      <x:c r="U36" s="31" t="n">
        <x:f>IF(T36="","",I36*T36)</x:f>
        <x:v>1392.5238774480295</x:v>
      </x:c>
    </x:row>
    <x:row r="37" ht="18" customHeight="1">
      <x:c r="A37" s="24" t="str">
        <x:v>EEZ_016</x:v>
      </x:c>
      <x:c r="B37" s="24" t="str">
        <x:v>American Samoa</x:v>
      </x:c>
      <x:c r="C37" s="24" t="str">
        <x:v>EEZ</x:v>
      </x:c>
      <x:c r="D37" s="30" t="n">
        <x:v>2019</x:v>
      </x:c>
      <x:c r="E37" s="24" t="str">
        <x:v>Bivalvia</x:v>
      </x:c>
      <x:c r="F37" s="24" t="str">
        <x:v>Clams</x:v>
      </x:c>
      <x:c r="G37" s="24" t="str">
        <x:v>Other demersal invertebrates</x:v>
      </x:c>
      <x:c r="H37" s="24" t="str">
        <x:v>Molluscs</x:v>
      </x:c>
      <x:c r="I37" s="31" t="n">
        <x:v>1.8386765019000002</x:v>
      </x:c>
      <x:c r="J37" s="31" t="n">
        <x:v>1.8386765019000002</x:v>
      </x:c>
      <x:c r="K37" s="31" t="n">
        <x:v>0</x:v>
      </x:c>
      <x:c r="L37" s="31" t="n">
        <x:v>0</x:v>
      </x:c>
      <x:c r="M37" s="31" t="n">
        <x:v>1.8386765019000002</x:v>
      </x:c>
      <x:c r="N37" s="24" t="str">
        <x:v>bivalvia</x:v>
      </x:c>
      <x:c r="O37" s="32" t="n">
        <x:v>2.23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Bivalvia</x:v>
      </x:c>
      <x:c r="T37" s="32" t="n">
        <x:f>IF(O37="","",(1/'Metadata'!$B$5)^(O37-1))</x:f>
        <x:v>16.982436524617444</x:v>
      </x:c>
      <x:c r="U37" s="31" t="n">
        <x:f>IF(T37="","",I37*T37)</x:f>
        <x:v>31.2252069828224</x:v>
      </x:c>
    </x:row>
    <x:row r="38" ht="18" customHeight="1">
      <x:c r="A38" s="24" t="str">
        <x:v>EEZ_016</x:v>
      </x:c>
      <x:c r="B38" s="24" t="str">
        <x:v>American Samoa</x:v>
      </x:c>
      <x:c r="C38" s="24" t="str">
        <x:v>EEZ</x:v>
      </x:c>
      <x:c r="D38" s="30" t="n">
        <x:v>2019</x:v>
      </x:c>
      <x:c r="E38" s="24" t="str">
        <x:v>Lampris</x:v>
      </x:c>
      <x:c r="F38" s="24" t="str">
        <x:v>Opahs</x:v>
      </x:c>
      <x:c r="G38" s="24" t="str">
        <x:v>Large pelagics (&gt;=90 cm)</x:v>
      </x:c>
      <x:c r="H38" s="24" t="str">
        <x:v>Other fishes &amp; inverts</x:v>
      </x:c>
      <x:c r="I38" s="31" t="n">
        <x:v>1.7264997203</x:v>
      </x:c>
      <x:c r="J38" s="31" t="n">
        <x:v>1.7264997203</x:v>
      </x:c>
      <x:c r="K38" s="31" t="n">
        <x:v>0</x:v>
      </x:c>
      <x:c r="L38" s="31" t="n">
        <x:v>1.7264997203</x:v>
      </x:c>
      <x:c r="M38" s="31" t="n">
        <x:v>0</x:v>
      </x:c>
      <x:c r="N38" s="24" t="str">
        <x:v>lampris</x:v>
      </x:c>
      <x:c r="O38" s="32" t="n">
        <x:v>4.22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Lampris</x:v>
      </x:c>
      <x:c r="T38" s="32" t="n">
        <x:f>IF(O38="","",(1/'Metadata'!$B$5)^(O38-1))</x:f>
        <x:v>1659.5869074375596</x:v>
      </x:c>
      <x:c r="U38" s="31" t="n">
        <x:f>IF(T38="","",I38*T38)</x:f>
        <x:v>2865.276331504489</x:v>
      </x:c>
    </x:row>
    <x:row r="39" ht="18" customHeight="1">
      <x:c r="A39" s="24" t="str">
        <x:v>EEZ_016</x:v>
      </x:c>
      <x:c r="B39" s="24" t="str">
        <x:v>American Samoa</x:v>
      </x:c>
      <x:c r="C39" s="24" t="str">
        <x:v>EEZ</x:v>
      </x:c>
      <x:c r="D39" s="30" t="n">
        <x:v>2019</x:v>
      </x:c>
      <x:c r="E39" s="24" t="str">
        <x:v>Sphyrna</x:v>
      </x:c>
      <x:c r="F39" s="24" t="str">
        <x:v>Hammerhead sharks</x:v>
      </x:c>
      <x:c r="G39" s="24" t="str">
        <x:v>Large sharks (&gt;=90 cm)</x:v>
      </x:c>
      <x:c r="H39" s="24" t="str">
        <x:v>Sharks &amp; rays</x:v>
      </x:c>
      <x:c r="I39" s="31" t="n">
        <x:v>1.608915348</x:v>
      </x:c>
      <x:c r="J39" s="31" t="n">
        <x:v>1.608915348</x:v>
      </x:c>
      <x:c r="K39" s="31" t="n">
        <x:v>0</x:v>
      </x:c>
      <x:c r="L39" s="31" t="n">
        <x:v>1.608915348</x:v>
      </x:c>
      <x:c r="M39" s="31" t="n">
        <x:v>0</x:v>
      </x:c>
      <x:c r="N39" s="24" t="str">
        <x:v>sphyrna</x:v>
      </x:c>
      <x:c r="O39" s="32" t="n">
        <x:v>4.2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Sphyrna</x:v>
      </x:c>
      <x:c r="T39" s="32" t="n">
        <x:f>IF(O39="","",(1/'Metadata'!$B$5)^(O39-1))</x:f>
        <x:v>1584.893192461114</x:v>
      </x:c>
      <x:c r="U39" s="31" t="n">
        <x:f>IF(T39="","",I39*T39)</x:f>
        <x:v>2549.9589822914045</x:v>
      </x:c>
    </x:row>
    <x:row r="40" ht="18" customHeight="1">
      <x:c r="A40" s="24" t="str">
        <x:v>EEZ_016</x:v>
      </x:c>
      <x:c r="B40" s="24" t="str">
        <x:v>American Samoa</x:v>
      </x:c>
      <x:c r="C40" s="24" t="str">
        <x:v>EEZ</x:v>
      </x:c>
      <x:c r="D40" s="30" t="n">
        <x:v>2019</x:v>
      </x:c>
      <x:c r="E40" s="24" t="str">
        <x:v>Scaridae</x:v>
      </x:c>
      <x:c r="F40" s="24" t="str">
        <x:v>Parrotfishes</x:v>
      </x:c>
      <x:c r="G40" s="24" t="str">
        <x:v>Medium reef assoc. fish (30 - 89 cm)</x:v>
      </x:c>
      <x:c r="H40" s="24" t="str">
        <x:v>Perch-likes</x:v>
      </x:c>
      <x:c r="I40" s="31" t="n">
        <x:v>1.4585656993</x:v>
      </x:c>
      <x:c r="J40" s="31" t="n">
        <x:v>1.4585656993</x:v>
      </x:c>
      <x:c r="K40" s="31" t="n">
        <x:v>0</x:v>
      </x:c>
      <x:c r="L40" s="31" t="n">
        <x:v>1.4585656993</x:v>
      </x:c>
      <x:c r="M40" s="31" t="n">
        <x:v>0</x:v>
      </x:c>
      <x:c r="N40" s="24" t="str">
        <x:v>scaridae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Scaridae</x:v>
      </x:c>
      <x:c r="T40" s="32" t="n">
        <x:f>IF(O40="","",(1/'Metadata'!$B$5)^(O40-1))</x:f>
        <x:v>10</x:v>
      </x:c>
      <x:c r="U40" s="31" t="n">
        <x:f>IF(T40="","",I40*T40)</x:f>
        <x:v>14.585656993</x:v>
      </x:c>
    </x:row>
    <x:row r="41" ht="18" customHeight="1">
      <x:c r="A41" s="24" t="str">
        <x:v>EEZ_016</x:v>
      </x:c>
      <x:c r="B41" s="24" t="str">
        <x:v>American Samoa</x:v>
      </x:c>
      <x:c r="C41" s="24" t="str">
        <x:v>EEZ</x:v>
      </x:c>
      <x:c r="D41" s="30" t="n">
        <x:v>2019</x:v>
      </x:c>
      <x:c r="E41" s="24" t="str">
        <x:v>Aprion virescens</x:v>
      </x:c>
      <x:c r="F41" s="24" t="str">
        <x:v>Green jobfish</x:v>
      </x:c>
      <x:c r="G41" s="24" t="str">
        <x:v>Large reef assoc. fish (&gt;=90 cm)</x:v>
      </x:c>
      <x:c r="H41" s="24" t="str">
        <x:v>Perch-likes</x:v>
      </x:c>
      <x:c r="I41" s="31" t="n">
        <x:v>1.3062633908999999</x:v>
      </x:c>
      <x:c r="J41" s="31" t="n">
        <x:v>1.3062633908999999</x:v>
      </x:c>
      <x:c r="K41" s="31" t="n">
        <x:v>0</x:v>
      </x:c>
      <x:c r="L41" s="31" t="n">
        <x:v>0.7655896363</x:v>
      </x:c>
      <x:c r="M41" s="31" t="n">
        <x:v>0.5406737546</x:v>
      </x:c>
      <x:c r="N41" s="24" t="str">
        <x:v>aprion virescens</x:v>
      </x:c>
      <x:c r="O41" s="32" t="n">
        <x:v>4.28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Aprion virescens</x:v>
      </x:c>
      <x:c r="T41" s="32" t="n">
        <x:f>IF(O41="","",(1/'Metadata'!$B$5)^(O41-1))</x:f>
        <x:v>1905.4607179632483</x:v>
      </x:c>
      <x:c r="U41" s="31" t="n">
        <x:f>IF(T41="","",I41*T41)</x:f>
        <x:v>2489.033578673421</x:v>
      </x:c>
    </x:row>
    <x:row r="42" ht="18" customHeight="1">
      <x:c r="A42" s="24" t="str">
        <x:v>EEZ_016</x:v>
      </x:c>
      <x:c r="B42" s="24" t="str">
        <x:v>American Samoa</x:v>
      </x:c>
      <x:c r="C42" s="24" t="str">
        <x:v>EEZ</x:v>
      </x:c>
      <x:c r="D42" s="30" t="n">
        <x:v>2019</x:v>
      </x:c>
      <x:c r="E42" s="24" t="str">
        <x:v>Cephalopholis argus</x:v>
      </x:c>
      <x:c r="F42" s="24" t="str">
        <x:v>Peacock hind</x:v>
      </x:c>
      <x:c r="G42" s="24" t="str">
        <x:v>Medium reef assoc. fish (30 - 89 cm)</x:v>
      </x:c>
      <x:c r="H42" s="24" t="str">
        <x:v>Perch-likes</x:v>
      </x:c>
      <x:c r="I42" s="31" t="n">
        <x:v>1.2922224408</x:v>
      </x:c>
      <x:c r="J42" s="31" t="n">
        <x:v>1.2922224408</x:v>
      </x:c>
      <x:c r="K42" s="31" t="n">
        <x:v>0</x:v>
      </x:c>
      <x:c r="L42" s="31" t="n">
        <x:v>0.0083633589</x:v>
      </x:c>
      <x:c r="M42" s="31" t="n">
        <x:v>1.2838590819000002</x:v>
      </x:c>
      <x:c r="N42" s="24" t="str">
        <x:v>cephalopholis argus</x:v>
      </x:c>
      <x:c r="O42" s="32" t="n">
        <x:v>4.48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Cephalopholis argus</x:v>
      </x:c>
      <x:c r="T42" s="32" t="n">
        <x:f>IF(O42="","",(1/'Metadata'!$B$5)^(O42-1))</x:f>
        <x:v>3019.951720402019</x:v>
      </x:c>
      <x:c r="U42" s="31" t="n">
        <x:f>IF(T42="","",I42*T42)</x:f>
        <x:v>3902.4493832360563</x:v>
      </x:c>
    </x:row>
    <x:row r="43" ht="18" customHeight="1">
      <x:c r="A43" s="24" t="str">
        <x:v>EEZ_016</x:v>
      </x:c>
      <x:c r="B43" s="24" t="str">
        <x:v>American Samoa</x:v>
      </x:c>
      <x:c r="C43" s="24" t="str">
        <x:v>EEZ</x:v>
      </x:c>
      <x:c r="D43" s="30" t="n">
        <x:v>2019</x:v>
      </x:c>
      <x:c r="E43" s="24" t="str">
        <x:v>Aphareus rutilans</x:v>
      </x:c>
      <x:c r="F43" s="24" t="str">
        <x:v>Rusty jobfish</x:v>
      </x:c>
      <x:c r="G43" s="24" t="str">
        <x:v>Medium reef assoc. fish (30 - 89 cm)</x:v>
      </x:c>
      <x:c r="H43" s="24" t="str">
        <x:v>Perch-likes</x:v>
      </x:c>
      <x:c r="I43" s="31" t="n">
        <x:v>1.22043732</x:v>
      </x:c>
      <x:c r="J43" s="31" t="n">
        <x:v>1.22043732</x:v>
      </x:c>
      <x:c r="K43" s="31" t="n">
        <x:v>0</x:v>
      </x:c>
      <x:c r="L43" s="31" t="n">
        <x:v>1.22043732</x:v>
      </x:c>
      <x:c r="M43" s="31" t="n">
        <x:v>0</x:v>
      </x:c>
      <x:c r="N43" s="24" t="str">
        <x:v>aphareus rutilans</x:v>
      </x:c>
      <x:c r="O43" s="32" t="n">
        <x:v>4.11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Aphareus rutilans</x:v>
      </x:c>
      <x:c r="T43" s="32" t="n">
        <x:f>IF(O43="","",(1/'Metadata'!$B$5)^(O43-1))</x:f>
        <x:v>1288.249551693135</x:v>
      </x:c>
      <x:c r="U43" s="31" t="n">
        <x:f>IF(T43="","",I43*T43)</x:f>
        <x:v>1572.227830359571</x:v>
      </x:c>
    </x:row>
    <x:row r="44" ht="18" customHeight="1">
      <x:c r="A44" s="24" t="str">
        <x:v>EEZ_016</x:v>
      </x:c>
      <x:c r="B44" s="24" t="str">
        <x:v>American Samoa</x:v>
      </x:c>
      <x:c r="C44" s="24" t="str">
        <x:v>EEZ</x:v>
      </x:c>
      <x:c r="D44" s="30" t="n">
        <x:v>2019</x:v>
      </x:c>
      <x:c r="E44" s="24" t="str">
        <x:v>Acanthuridae</x:v>
      </x:c>
      <x:c r="F44" s="24" t="str">
        <x:v>Surgeons, tangs, unicornfishes</x:v>
      </x:c>
      <x:c r="G44" s="24" t="str">
        <x:v>Small reef assoc. fish (&lt;30 cm)</x:v>
      </x:c>
      <x:c r="H44" s="24" t="str">
        <x:v>Perch-likes</x:v>
      </x:c>
      <x:c r="I44" s="31" t="n">
        <x:v>1.1814432232</x:v>
      </x:c>
      <x:c r="J44" s="31" t="n">
        <x:v>1.1814432232</x:v>
      </x:c>
      <x:c r="K44" s="31" t="n">
        <x:v>0</x:v>
      </x:c>
      <x:c r="L44" s="31" t="n">
        <x:v>1.1814432232</x:v>
      </x:c>
      <x:c r="M44" s="31" t="n">
        <x:v>0</x:v>
      </x:c>
      <x:c r="N44" s="24" t="str">
        <x:v>acanthuridae</x:v>
      </x:c>
      <x:c r="O44" s="32" t="n">
        <x:v>2.28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Acanthuridae</x:v>
      </x:c>
      <x:c r="T44" s="32" t="n">
        <x:f>IF(O44="","",(1/'Metadata'!$B$5)^(O44-1))</x:f>
        <x:v>19.054607179632463</x:v>
      </x:c>
      <x:c r="U44" s="31" t="n">
        <x:f>IF(T44="","",I44*T44)</x:f>
        <x:v>22.51193652311484</x:v>
      </x:c>
    </x:row>
    <x:row r="45" ht="18" customHeight="1">
      <x:c r="A45" s="24" t="str">
        <x:v>EEZ_016</x:v>
      </x:c>
      <x:c r="B45" s="24" t="str">
        <x:v>American Samoa</x:v>
      </x:c>
      <x:c r="C45" s="24" t="str">
        <x:v>EEZ</x:v>
      </x:c>
      <x:c r="D45" s="30" t="n">
        <x:v>2019</x:v>
      </x:c>
      <x:c r="E45" s="24" t="str">
        <x:v>Labridae</x:v>
      </x:c>
      <x:c r="F45" s="24" t="str">
        <x:v>Wrasses, gropers, tuskfishes</x:v>
      </x:c>
      <x:c r="G45" s="24" t="str">
        <x:v>Medium reef assoc. fish (30 - 89 cm)</x:v>
      </x:c>
      <x:c r="H45" s="24" t="str">
        <x:v>Perch-likes</x:v>
      </x:c>
      <x:c r="I45" s="31" t="n">
        <x:v>1.120564036</x:v>
      </x:c>
      <x:c r="J45" s="31" t="n">
        <x:v>1.120564036</x:v>
      </x:c>
      <x:c r="K45" s="31" t="n">
        <x:v>0</x:v>
      </x:c>
      <x:c r="L45" s="31" t="n">
        <x:v>0</x:v>
      </x:c>
      <x:c r="M45" s="31" t="n">
        <x:v>1.120564036</x:v>
      </x:c>
      <x:c r="N45" s="24" t="str">
        <x:v>labridae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Labridae</x:v>
      </x:c>
      <x:c r="T45" s="32" t="n">
        <x:f>IF(O45="","",(1/'Metadata'!$B$5)^(O45-1))</x:f>
        <x:v>288.40315031266056</x:v>
      </x:c>
      <x:c r="U45" s="31" t="n">
        <x:f>IF(T45="","",I45*T45)</x:f>
        <x:v>323.17419810946956</x:v>
      </x:c>
    </x:row>
    <x:row r="46" ht="18" customHeight="1">
      <x:c r="A46" s="24" t="str">
        <x:v>EEZ_016</x:v>
      </x:c>
      <x:c r="B46" s="24" t="str">
        <x:v>American Samoa</x:v>
      </x:c>
      <x:c r="C46" s="24" t="str">
        <x:v>EEZ</x:v>
      </x:c>
      <x:c r="D46" s="30" t="n">
        <x:v>2019</x:v>
      </x:c>
      <x:c r="E46" s="24" t="str">
        <x:v>Acanthurus xanthopterus</x:v>
      </x:c>
      <x:c r="F46" s="24" t="str">
        <x:v>Yellowfin surgeonfish</x:v>
      </x:c>
      <x:c r="G46" s="24" t="str">
        <x:v>Medium reef assoc. fish (30 - 89 cm)</x:v>
      </x:c>
      <x:c r="H46" s="24" t="str">
        <x:v>Perch-likes</x:v>
      </x:c>
      <x:c r="I46" s="31" t="n">
        <x:v>1.0395594069</x:v>
      </x:c>
      <x:c r="J46" s="31" t="n">
        <x:v>1.0395594069</x:v>
      </x:c>
      <x:c r="K46" s="31" t="n">
        <x:v>0</x:v>
      </x:c>
      <x:c r="L46" s="31" t="n">
        <x:v>0</x:v>
      </x:c>
      <x:c r="M46" s="31" t="n">
        <x:v>1.0395594069</x:v>
      </x:c>
      <x:c r="N46" s="24" t="str">
        <x:v>acanthurus xanthopterus</x:v>
      </x:c>
      <x:c r="O46" s="32" t="n">
        <x:v>2.87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Acanthurus xanthopterus</x:v>
      </x:c>
      <x:c r="T46" s="32" t="n">
        <x:f>IF(O46="","",(1/'Metadata'!$B$5)^(O46-1))</x:f>
        <x:v>74.13102413009177</x:v>
      </x:c>
      <x:c r="U46" s="31" t="n">
        <x:f>IF(T46="","",I46*T46)</x:f>
        <x:v>77.0636034775678</x:v>
      </x:c>
    </x:row>
    <x:row r="47" ht="18" customHeight="1">
      <x:c r="A47" s="24" t="str">
        <x:v>EEZ_016</x:v>
      </x:c>
      <x:c r="B47" s="24" t="str">
        <x:v>American Samoa</x:v>
      </x:c>
      <x:c r="C47" s="24" t="str">
        <x:v>EEZ</x:v>
      </x:c>
      <x:c r="D47" s="30" t="n">
        <x:v>2019</x:v>
      </x:c>
      <x:c r="E47" s="24" t="str">
        <x:v>Acanthurus triostegus</x:v>
      </x:c>
      <x:c r="F47" s="24" t="str">
        <x:v>Convict surgeonfish</x:v>
      </x:c>
      <x:c r="G47" s="24" t="str">
        <x:v>Small reef assoc. fish (&lt;30 cm)</x:v>
      </x:c>
      <x:c r="H47" s="24" t="str">
        <x:v>Perch-likes</x:v>
      </x:c>
      <x:c r="I47" s="31" t="n">
        <x:v>1.0019501148</x:v>
      </x:c>
      <x:c r="J47" s="31" t="n">
        <x:v>1.0019501148</x:v>
      </x:c>
      <x:c r="K47" s="31" t="n">
        <x:v>0</x:v>
      </x:c>
      <x:c r="L47" s="31" t="n">
        <x:v>0</x:v>
      </x:c>
      <x:c r="M47" s="31" t="n">
        <x:v>1.0019501148</x:v>
      </x:c>
      <x:c r="N47" s="24" t="str">
        <x:v>acanthurus triostegus</x:v>
      </x:c>
      <x:c r="O47" s="32" t="n">
        <x:v>2.78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Acanthurus triostegus</x:v>
      </x:c>
      <x:c r="T47" s="32" t="n">
        <x:f>IF(O47="","",(1/'Metadata'!$B$5)^(O47-1))</x:f>
        <x:v>60.255958607435744</x:v>
      </x:c>
      <x:c r="U47" s="31" t="n">
        <x:f>IF(T47="","",I47*T47)</x:f>
        <x:v>60.373464644104295</x:v>
      </x:c>
    </x:row>
    <x:row r="48" ht="18" customHeight="1">
      <x:c r="A48" s="24" t="str">
        <x:v>EEZ_016</x:v>
      </x:c>
      <x:c r="B48" s="24" t="str">
        <x:v>American Samoa</x:v>
      </x:c>
      <x:c r="C48" s="24" t="str">
        <x:v>EEZ</x:v>
      </x:c>
      <x:c r="D48" s="30" t="n">
        <x:v>2019</x:v>
      </x:c>
      <x:c r="E48" s="24" t="str">
        <x:v>Lutjanus gibbus</x:v>
      </x:c>
      <x:c r="F48" s="24" t="str">
        <x:v>Humpback red snapper</x:v>
      </x:c>
      <x:c r="G48" s="24" t="str">
        <x:v>Medium reef assoc. fish (30 - 89 cm)</x:v>
      </x:c>
      <x:c r="H48" s="24" t="str">
        <x:v>Perch-likes</x:v>
      </x:c>
      <x:c r="I48" s="31" t="n">
        <x:v>0.9578608148000001</x:v>
      </x:c>
      <x:c r="J48" s="31" t="n">
        <x:v>0.9578608148000001</x:v>
      </x:c>
      <x:c r="K48" s="31" t="n">
        <x:v>0</x:v>
      </x:c>
      <x:c r="L48" s="31" t="n">
        <x:v>0.6081265431</x:v>
      </x:c>
      <x:c r="M48" s="31" t="n">
        <x:v>0.34973427170000004</x:v>
      </x:c>
      <x:c r="N48" s="24" t="str">
        <x:v>lutjanus gibbus</x:v>
      </x:c>
      <x:c r="O48" s="32" t="n">
        <x:v>4.12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Lutjanus gibbus</x:v>
      </x:c>
      <x:c r="T48" s="32" t="n">
        <x:f>IF(O48="","",(1/'Metadata'!$B$5)^(O48-1))</x:f>
        <x:v>1318.2567385564075</x:v>
      </x:c>
      <x:c r="U48" s="31" t="n">
        <x:f>IF(T48="","",I48*T48)</x:f>
        <x:v>1262.7064737092312</x:v>
      </x:c>
    </x:row>
    <x:row r="49" ht="18" customHeight="1">
      <x:c r="A49" s="24" t="str">
        <x:v>EEZ_016</x:v>
      </x:c>
      <x:c r="B49" s="24" t="str">
        <x:v>American Samoa</x:v>
      </x:c>
      <x:c r="C49" s="24" t="str">
        <x:v>EEZ</x:v>
      </x:c>
      <x:c r="D49" s="30" t="n">
        <x:v>2019</x:v>
      </x:c>
      <x:c r="E49" s="24" t="str">
        <x:v>Diodon</x:v>
      </x:c>
      <x:c r="F49" s="24" t="str">
        <x:v>Porcupinefishes</x:v>
      </x:c>
      <x:c r="G49" s="24" t="str">
        <x:v>Medium reef assoc. fish (30 - 89 cm)</x:v>
      </x:c>
      <x:c r="H49" s="24" t="str">
        <x:v>Other fishes &amp; inverts</x:v>
      </x:c>
      <x:c r="I49" s="31" t="n">
        <x:v>0.9032659039000001</x:v>
      </x:c>
      <x:c r="J49" s="31" t="n">
        <x:v>0.9032659039000001</x:v>
      </x:c>
      <x:c r="K49" s="31" t="n">
        <x:v>0</x:v>
      </x:c>
      <x:c r="L49" s="31" t="n">
        <x:v>0</x:v>
      </x:c>
      <x:c r="M49" s="31" t="n">
        <x:v>0.9032659039000001</x:v>
      </x:c>
      <x:c r="N49" s="24" t="str">
        <x:v>diodon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Diodon</x:v>
      </x:c>
      <x:c r="T49" s="32" t="n">
        <x:f>IF(O49="","",(1/'Metadata'!$B$5)^(O49-1))</x:f>
        <x:v>229.08676527677724</x:v>
      </x:c>
      <x:c r="U49" s="31" t="n">
        <x:f>IF(T49="","",I49*T49)</x:f>
        <x:v>206.92626410925536</x:v>
      </x:c>
    </x:row>
    <x:row r="50" ht="18" customHeight="1">
      <x:c r="A50" s="24" t="str">
        <x:v>EEZ_016</x:v>
      </x:c>
      <x:c r="B50" s="24" t="str">
        <x:v>American Samoa</x:v>
      </x:c>
      <x:c r="C50" s="24" t="str">
        <x:v>EEZ</x:v>
      </x:c>
      <x:c r="D50" s="30" t="n">
        <x:v>2019</x:v>
      </x:c>
      <x:c r="E50" s="24" t="str">
        <x:v>Mulloidichthys flavolineatus</x:v>
      </x:c>
      <x:c r="F50" s="24" t="str">
        <x:v>Yellowstripe goatfish</x:v>
      </x:c>
      <x:c r="G50" s="24" t="str">
        <x:v>Medium reef assoc. fish (30 - 89 cm)</x:v>
      </x:c>
      <x:c r="H50" s="24" t="str">
        <x:v>Perch-likes</x:v>
      </x:c>
      <x:c r="I50" s="31" t="n">
        <x:v>0.8634064832</x:v>
      </x:c>
      <x:c r="J50" s="31" t="n">
        <x:v>0.8634064832</x:v>
      </x:c>
      <x:c r="K50" s="31" t="n">
        <x:v>0</x:v>
      </x:c>
      <x:c r="L50" s="31" t="n">
        <x:v>0</x:v>
      </x:c>
      <x:c r="M50" s="31" t="n">
        <x:v>0.8634064832</x:v>
      </x:c>
      <x:c r="N50" s="24" t="str">
        <x:v>mulloidichthys flavolineatus</x:v>
      </x:c>
      <x:c r="O50" s="32" t="n">
        <x:v>3.84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Mulloidichthys flavolineatus</x:v>
      </x:c>
      <x:c r="T50" s="32" t="n">
        <x:f>IF(O50="","",(1/'Metadata'!$B$5)^(O50-1))</x:f>
        <x:v>691.8309709189363</x:v>
      </x:c>
      <x:c r="U50" s="31" t="n">
        <x:f>IF(T50="","",I50*T50)</x:f>
        <x:v>597.3313455699603</x:v>
      </x:c>
    </x:row>
    <x:row r="51" ht="18" customHeight="1">
      <x:c r="A51" s="24" t="str">
        <x:v>EEZ_016</x:v>
      </x:c>
      <x:c r="B51" s="24" t="str">
        <x:v>American Samoa</x:v>
      </x:c>
      <x:c r="C51" s="24" t="str">
        <x:v>EEZ</x:v>
      </x:c>
      <x:c r="D51" s="30" t="n">
        <x:v>2019</x:v>
      </x:c>
      <x:c r="E51" s="24" t="str">
        <x:v>Lutjanus monostigma</x:v>
      </x:c>
      <x:c r="F51" s="24" t="str">
        <x:v>One-spot snapper</x:v>
      </x:c>
      <x:c r="G51" s="24" t="str">
        <x:v>Medium reef assoc. fish (30 - 89 cm)</x:v>
      </x:c>
      <x:c r="H51" s="24" t="str">
        <x:v>Perch-likes</x:v>
      </x:c>
      <x:c r="I51" s="31" t="n">
        <x:v>0.7879057134</x:v>
      </x:c>
      <x:c r="J51" s="31" t="n">
        <x:v>0.7879057134</x:v>
      </x:c>
      <x:c r="K51" s="31" t="n">
        <x:v>0</x:v>
      </x:c>
      <x:c r="L51" s="31" t="n">
        <x:v>0.012575692</x:v>
      </x:c>
      <x:c r="M51" s="31" t="n">
        <x:v>0.7753300214000001</x:v>
      </x:c>
      <x:c r="N51" s="24" t="str">
        <x:v>lutjanus monostigma</x:v>
      </x:c>
      <x:c r="O51" s="32" t="n">
        <x:v>4.27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monostigma</x:v>
      </x:c>
      <x:c r="T51" s="32" t="n">
        <x:f>IF(O51="","",(1/'Metadata'!$B$5)^(O51-1))</x:f>
        <x:v>1862.0871366628655</x:v>
      </x:c>
      <x:c r="U51" s="31" t="n">
        <x:f>IF(T51="","",I51*T51)</x:f>
        <x:v>1467.1490938253185</x:v>
      </x:c>
    </x:row>
    <x:row r="52" ht="18" customHeight="1">
      <x:c r="A52" s="24" t="str">
        <x:v>EEZ_016</x:v>
      </x:c>
      <x:c r="B52" s="24" t="str">
        <x:v>American Samoa</x:v>
      </x:c>
      <x:c r="C52" s="24" t="str">
        <x:v>EEZ</x:v>
      </x:c>
      <x:c r="D52" s="30" t="n">
        <x:v>2019</x:v>
      </x:c>
      <x:c r="E52" s="24" t="str">
        <x:v>Monacanthidae</x:v>
      </x:c>
      <x:c r="F52" s="24" t="str">
        <x:v>Filefishes</x:v>
      </x:c>
      <x:c r="G52" s="24" t="str">
        <x:v>Medium reef assoc. fish (30 - 89 cm)</x:v>
      </x:c>
      <x:c r="H52" s="24" t="str">
        <x:v>Other fishes &amp; inverts</x:v>
      </x:c>
      <x:c r="I52" s="31" t="n">
        <x:v>0.7836876419</x:v>
      </x:c>
      <x:c r="J52" s="31" t="n">
        <x:v>0.7836876419</x:v>
      </x:c>
      <x:c r="K52" s="31" t="n">
        <x:v>0</x:v>
      </x:c>
      <x:c r="L52" s="31" t="n">
        <x:v>0</x:v>
      </x:c>
      <x:c r="M52" s="31" t="n">
        <x:v>0.7836876419</x:v>
      </x:c>
      <x:c r="N52" s="24" t="str">
        <x:v>monacanthidae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Monacanthidae</x:v>
      </x:c>
      <x:c r="T52" s="32" t="n">
        <x:f>IF(O52="","",(1/'Metadata'!$B$5)^(O52-1))</x:f>
        <x:v>100</x:v>
      </x:c>
      <x:c r="U52" s="31" t="n">
        <x:f>IF(T52="","",I52*T52)</x:f>
        <x:v>78.36876419</x:v>
      </x:c>
    </x:row>
    <x:row r="53" ht="18" customHeight="1">
      <x:c r="A53" s="24" t="str">
        <x:v>EEZ_016</x:v>
      </x:c>
      <x:c r="B53" s="24" t="str">
        <x:v>American Samoa</x:v>
      </x:c>
      <x:c r="C53" s="24" t="str">
        <x:v>EEZ</x:v>
      </x:c>
      <x:c r="D53" s="30" t="n">
        <x:v>2019</x:v>
      </x:c>
      <x:c r="E53" s="24" t="str">
        <x:v>Panulirus</x:v>
      </x:c>
      <x:c r="F53" s="24" t="str">
        <x:v>Spiny lobsters</x:v>
      </x:c>
      <x:c r="G53" s="24" t="str">
        <x:v>Lobsters, crabs</x:v>
      </x:c>
      <x:c r="H53" s="24" t="str">
        <x:v>Crustaceans</x:v>
      </x:c>
      <x:c r="I53" s="31" t="n">
        <x:v>0.7596910347999999</x:v>
      </x:c>
      <x:c r="J53" s="31" t="n">
        <x:v>0.7596910347999999</x:v>
      </x:c>
      <x:c r="K53" s="31" t="n">
        <x:v>0</x:v>
      </x:c>
      <x:c r="L53" s="31" t="n">
        <x:v>0.1945873127</x:v>
      </x:c>
      <x:c r="M53" s="31" t="n">
        <x:v>0.5651037221</x:v>
      </x:c>
      <x:c r="N53" s="24" t="str">
        <x:v>panulirus</x:v>
      </x:c>
      <x:c r="O53" s="32" t="n">
        <x:v>2.6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Panulirus</x:v>
      </x:c>
      <x:c r="T53" s="32" t="n">
        <x:f>IF(O53="","",(1/'Metadata'!$B$5)^(O53-1))</x:f>
        <x:v>39.810717055349734</x:v>
      </x:c>
      <x:c r="U53" s="31" t="n">
        <x:f>IF(T53="","",I53*T53)</x:f>
        <x:v>30.243844835908643</x:v>
      </x:c>
    </x:row>
    <x:row r="54" ht="18" customHeight="1">
      <x:c r="A54" s="24" t="str">
        <x:v>EEZ_016</x:v>
      </x:c>
      <x:c r="B54" s="24" t="str">
        <x:v>American Samoa</x:v>
      </x:c>
      <x:c r="C54" s="24" t="str">
        <x:v>EEZ</x:v>
      </x:c>
      <x:c r="D54" s="30" t="n">
        <x:v>2019</x:v>
      </x:c>
      <x:c r="E54" s="24" t="str">
        <x:v>Gymnothorax</x:v>
      </x:c>
      <x:c r="F54" s="24" t="str">
        <x:v>Morays</x:v>
      </x:c>
      <x:c r="G54" s="24" t="str">
        <x:v>Large reef assoc. fish (&gt;=90 cm)</x:v>
      </x:c>
      <x:c r="H54" s="24" t="str">
        <x:v>Other fishes &amp; inverts</x:v>
      </x:c>
      <x:c r="I54" s="31" t="n">
        <x:v>0.7499357131</x:v>
      </x:c>
      <x:c r="J54" s="31" t="n">
        <x:v>0.7499357131</x:v>
      </x:c>
      <x:c r="K54" s="31" t="n">
        <x:v>0</x:v>
      </x:c>
      <x:c r="L54" s="31" t="n">
        <x:v>0</x:v>
      </x:c>
      <x:c r="M54" s="31" t="n">
        <x:v>0.7499357131</x:v>
      </x:c>
      <x:c r="N54" s="24" t="str">
        <x:v>gymnothorax</x:v>
      </x:c>
      <x:c r="O54" s="32" t="n">
        <x:v>4.22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Gymnothorax</x:v>
      </x:c>
      <x:c r="T54" s="32" t="n">
        <x:f>IF(O54="","",(1/'Metadata'!$B$5)^(O54-1))</x:f>
        <x:v>1659.5869074375596</x:v>
      </x:c>
      <x:c r="U54" s="31" t="n">
        <x:f>IF(T54="","",I54*T54)</x:f>
        <x:v>1244.5834908806098</x:v>
      </x:c>
    </x:row>
    <x:row r="55" ht="18" customHeight="1">
      <x:c r="A55" s="24" t="str">
        <x:v>EEZ_016</x:v>
      </x:c>
      <x:c r="B55" s="24" t="str">
        <x:v>American Samoa</x:v>
      </x:c>
      <x:c r="C55" s="24" t="str">
        <x:v>EEZ</x:v>
      </x:c>
      <x:c r="D55" s="30" t="n">
        <x:v>2019</x:v>
      </x:c>
      <x:c r="E55" s="24" t="str">
        <x:v>Epinephelus hexagonatus</x:v>
      </x:c>
      <x:c r="F55" s="24" t="str">
        <x:v>Starspotted grouper</x:v>
      </x:c>
      <x:c r="G55" s="24" t="str">
        <x:v>Small reef assoc. fish (&lt;30 cm)</x:v>
      </x:c>
      <x:c r="H55" s="24" t="str">
        <x:v>Perch-likes</x:v>
      </x:c>
      <x:c r="I55" s="31" t="n">
        <x:v>0.6345362614</x:v>
      </x:c>
      <x:c r="J55" s="31" t="n">
        <x:v>0.6345362614</x:v>
      </x:c>
      <x:c r="K55" s="31" t="n">
        <x:v>0</x:v>
      </x:c>
      <x:c r="L55" s="31" t="n">
        <x:v>0</x:v>
      </x:c>
      <x:c r="M55" s="31" t="n">
        <x:v>0.6345362614</x:v>
      </x:c>
      <x:c r="N55" s="24" t="str">
        <x:v>epinephelus hexagonatus</x:v>
      </x:c>
      <x:c r="O55" s="32" t="n">
        <x:v>4.05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Epinephelus hexagonatus</x:v>
      </x:c>
      <x:c r="T55" s="32" t="n">
        <x:f>IF(O55="","",(1/'Metadata'!$B$5)^(O55-1))</x:f>
        <x:v>1122.018454301963</x:v>
      </x:c>
      <x:c r="U55" s="31" t="n">
        <x:f>IF(T55="","",I55*T55)</x:f>
        <x:v>711.9613952145743</x:v>
      </x:c>
    </x:row>
    <x:row r="56" ht="18" customHeight="1">
      <x:c r="A56" s="24" t="str">
        <x:v>EEZ_016</x:v>
      </x:c>
      <x:c r="B56" s="24" t="str">
        <x:v>American Samoa</x:v>
      </x:c>
      <x:c r="C56" s="24" t="str">
        <x:v>EEZ</x:v>
      </x:c>
      <x:c r="D56" s="30" t="n">
        <x:v>2019</x:v>
      </x:c>
      <x:c r="E56" s="24" t="str">
        <x:v>Carangidae</x:v>
      </x:c>
      <x:c r="F56" s="24" t="str">
        <x:v>Jacks, pompanos</x:v>
      </x:c>
      <x:c r="G56" s="24" t="str">
        <x:v>Medium pelagics (30 - 89 cm)</x:v>
      </x:c>
      <x:c r="H56" s="24" t="str">
        <x:v>Perch-likes</x:v>
      </x:c>
      <x:c r="I56" s="31" t="n">
        <x:v>0.5687279442000001</x:v>
      </x:c>
      <x:c r="J56" s="31" t="n">
        <x:v>0.0628784601</x:v>
      </x:c>
      <x:c r="K56" s="31" t="n">
        <x:v>0.5058494841</x:v>
      </x:c>
      <x:c r="L56" s="31" t="n">
        <x:v>0.0628784601</x:v>
      </x:c>
      <x:c r="M56" s="31" t="n">
        <x:v>0.5058494841</x:v>
      </x:c>
      <x:c r="N56" s="24" t="str">
        <x:v>carangidae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Carangidae</x:v>
      </x:c>
      <x:c r="T56" s="32" t="n">
        <x:f>IF(O56="","",(1/'Metadata'!$B$5)^(O56-1))</x:f>
        <x:v>1122.018454301963</x:v>
      </x:c>
      <x:c r="U56" s="31" t="n">
        <x:f>IF(T56="","",I56*T56)</x:f>
        <x:v>638.1232488696171</x:v>
      </x:c>
    </x:row>
    <x:row r="57" ht="18" customHeight="1">
      <x:c r="A57" s="24" t="str">
        <x:v>EEZ_016</x:v>
      </x:c>
      <x:c r="B57" s="24" t="str">
        <x:v>American Samoa</x:v>
      </x:c>
      <x:c r="C57" s="24" t="str">
        <x:v>EEZ</x:v>
      </x:c>
      <x:c r="D57" s="30" t="n">
        <x:v>2019</x:v>
      </x:c>
      <x:c r="E57" s="24" t="str">
        <x:v>Abudefduf</x:v>
      </x:c>
      <x:c r="F57" s="24" t="str">
        <x:v>Sergeants</x:v>
      </x:c>
      <x:c r="G57" s="24" t="str">
        <x:v>Small reef assoc. fish (&lt;30 cm)</x:v>
      </x:c>
      <x:c r="H57" s="24" t="str">
        <x:v>Perch-likes</x:v>
      </x:c>
      <x:c r="I57" s="31" t="n">
        <x:v>0.5313517932999999</x:v>
      </x:c>
      <x:c r="J57" s="31" t="n">
        <x:v>0.5313517932999999</x:v>
      </x:c>
      <x:c r="K57" s="31" t="n">
        <x:v>0</x:v>
      </x:c>
      <x:c r="L57" s="31" t="n">
        <x:v>0</x:v>
      </x:c>
      <x:c r="M57" s="31" t="n">
        <x:v>0.5313517932999999</x:v>
      </x:c>
      <x:c r="N57" s="24" t="str">
        <x:v>abudefduf</x:v>
      </x:c>
      <x:c r="O57" s="32" t="n">
        <x:v>2.66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Abudefduf</x:v>
      </x:c>
      <x:c r="T57" s="32" t="n">
        <x:f>IF(O57="","",(1/'Metadata'!$B$5)^(O57-1))</x:f>
        <x:v>45.708818961487516</x:v>
      </x:c>
      <x:c r="U57" s="31" t="n">
        <x:f>IF(T57="","",I57*T57)</x:f>
        <x:v>24.287462924811432</x:v>
      </x:c>
    </x:row>
    <x:row r="58" ht="18" customHeight="1">
      <x:c r="A58" s="24" t="str">
        <x:v>EEZ_016</x:v>
      </x:c>
      <x:c r="B58" s="24" t="str">
        <x:v>American Samoa</x:v>
      </x:c>
      <x:c r="C58" s="24" t="str">
        <x:v>EEZ</x:v>
      </x:c>
      <x:c r="D58" s="30" t="n">
        <x:v>2019</x:v>
      </x:c>
      <x:c r="E58" s="24" t="str">
        <x:v>Scorpaenidae</x:v>
      </x:c>
      <x:c r="F58" s="24" t="str">
        <x:v>Scorpionfishes, rockfishes</x:v>
      </x:c>
      <x:c r="G58" s="24" t="str">
        <x:v>Large reef assoc. fish (&gt;=90 cm)</x:v>
      </x:c>
      <x:c r="H58" s="24" t="str">
        <x:v>Scorpionfishes</x:v>
      </x:c>
      <x:c r="I58" s="31" t="n">
        <x:v>0.505636038</x:v>
      </x:c>
      <x:c r="J58" s="31" t="n">
        <x:v>0.505636038</x:v>
      </x:c>
      <x:c r="K58" s="31" t="n">
        <x:v>0</x:v>
      </x:c>
      <x:c r="L58" s="31" t="n">
        <x:v>0</x:v>
      </x:c>
      <x:c r="M58" s="31" t="n">
        <x:v>0.505636038</x:v>
      </x:c>
      <x:c r="N58" s="24" t="str">
        <x:v>scorpaenidae</x:v>
      </x:c>
      <x:c r="O58" s="32" t="n">
        <x:v>3.92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Scorpaenidae</x:v>
      </x:c>
      <x:c r="T58" s="32" t="n">
        <x:f>IF(O58="","",(1/'Metadata'!$B$5)^(O58-1))</x:f>
        <x:v>831.7637711026708</x:v>
      </x:c>
      <x:c r="U58" s="31" t="n">
        <x:f>IF(T58="","",I58*T58)</x:f>
        <x:v>420.56973777229337</x:v>
      </x:c>
    </x:row>
    <x:row r="59" ht="18" customHeight="1">
      <x:c r="A59" s="24" t="str">
        <x:v>EEZ_016</x:v>
      </x:c>
      <x:c r="B59" s="24" t="str">
        <x:v>American Samoa</x:v>
      </x:c>
      <x:c r="C59" s="24" t="str">
        <x:v>EEZ</x:v>
      </x:c>
      <x:c r="D59" s="30" t="n">
        <x:v>2019</x:v>
      </x:c>
      <x:c r="E59" s="24" t="str">
        <x:v>Variola louti</x:v>
      </x:c>
      <x:c r="F59" s="24" t="str">
        <x:v>Yellow-edged lyretail</x:v>
      </x:c>
      <x:c r="G59" s="24" t="str">
        <x:v>Medium reef assoc. fish (30 - 89 cm)</x:v>
      </x:c>
      <x:c r="H59" s="24" t="str">
        <x:v>Perch-likes</x:v>
      </x:c>
      <x:c r="I59" s="31" t="n">
        <x:v>0.46496401439999996</x:v>
      </x:c>
      <x:c r="J59" s="31" t="n">
        <x:v>0.46496401439999996</x:v>
      </x:c>
      <x:c r="K59" s="31" t="n">
        <x:v>0</x:v>
      </x:c>
      <x:c r="L59" s="31" t="n">
        <x:v>0.4103180344</x:v>
      </x:c>
      <x:c r="M59" s="31" t="n">
        <x:v>0.054645980000000004</x:v>
      </x:c>
      <x:c r="N59" s="24" t="str">
        <x:v>variola louti</x:v>
      </x:c>
      <x:c r="O59" s="32" t="n">
        <x:v>4.33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Variola louti</x:v>
      </x:c>
      <x:c r="T59" s="32" t="n">
        <x:f>IF(O59="","",(1/'Metadata'!$B$5)^(O59-1))</x:f>
        <x:v>2137.9620895022326</x:v>
      </x:c>
      <x:c r="U59" s="31" t="n">
        <x:f>IF(T59="","",I59*T59)</x:f>
        <x:v>994.0754357699701</x:v>
      </x:c>
    </x:row>
    <x:row r="60" ht="18" customHeight="1">
      <x:c r="A60" s="24" t="str">
        <x:v>EEZ_016</x:v>
      </x:c>
      <x:c r="B60" s="24" t="str">
        <x:v>American Samoa</x:v>
      </x:c>
      <x:c r="C60" s="24" t="str">
        <x:v>EEZ</x:v>
      </x:c>
      <x:c r="D60" s="30" t="n">
        <x:v>2019</x:v>
      </x:c>
      <x:c r="E60" s="24" t="str">
        <x:v>Lutjanidae</x:v>
      </x:c>
      <x:c r="F60" s="24" t="str">
        <x:v>Snappers</x:v>
      </x:c>
      <x:c r="G60" s="24" t="str">
        <x:v>Medium reef assoc. fish (30 - 89 cm)</x:v>
      </x:c>
      <x:c r="H60" s="24" t="str">
        <x:v>Perch-likes</x:v>
      </x:c>
      <x:c r="I60" s="31" t="n">
        <x:v>0.4070630521</x:v>
      </x:c>
      <x:c r="J60" s="31" t="n">
        <x:v>0.4070630521</x:v>
      </x:c>
      <x:c r="K60" s="31" t="n">
        <x:v>0</x:v>
      </x:c>
      <x:c r="L60" s="31" t="n">
        <x:v>0.39677675</x:v>
      </x:c>
      <x:c r="M60" s="31" t="n">
        <x:v>0.0102863021</x:v>
      </x:c>
      <x:c r="N60" s="24" t="str">
        <x:v>lutjanidae</x:v>
      </x:c>
      <x:c r="O60" s="32" t="n">
        <x:v>4.02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Lutjanidae</x:v>
      </x:c>
      <x:c r="T60" s="32" t="n">
        <x:f>IF(O60="","",(1/'Metadata'!$B$5)^(O60-1))</x:f>
        <x:v>1047.1285480508984</x:v>
      </x:c>
      <x:c r="U60" s="31" t="n">
        <x:f>IF(T60="","",I60*T60)</x:f>
        <x:v>426.2473427106402</x:v>
      </x:c>
    </x:row>
    <x:row r="61" ht="18" customHeight="1">
      <x:c r="A61" s="24" t="str">
        <x:v>EEZ_016</x:v>
      </x:c>
      <x:c r="B61" s="24" t="str">
        <x:v>American Samoa</x:v>
      </x:c>
      <x:c r="C61" s="24" t="str">
        <x:v>EEZ</x:v>
      </x:c>
      <x:c r="D61" s="30" t="n">
        <x:v>2019</x:v>
      </x:c>
      <x:c r="E61" s="24" t="str">
        <x:v>Etelis carbunculus</x:v>
      </x:c>
      <x:c r="F61" s="24" t="str">
        <x:v>Deep-water red snapper</x:v>
      </x:c>
      <x:c r="G61" s="24" t="str">
        <x:v>Large demersals (&gt;=90 cm)</x:v>
      </x:c>
      <x:c r="H61" s="24" t="str">
        <x:v>Perch-likes</x:v>
      </x:c>
      <x:c r="I61" s="31" t="n">
        <x:v>0.3914021296</x:v>
      </x:c>
      <x:c r="J61" s="31" t="n">
        <x:v>0.3914021296</x:v>
      </x:c>
      <x:c r="K61" s="31" t="n">
        <x:v>0</x:v>
      </x:c>
      <x:c r="L61" s="31" t="n">
        <x:v>0.3914021296</x:v>
      </x:c>
      <x:c r="M61" s="31" t="n">
        <x:v>0</x:v>
      </x:c>
      <x:c r="N61" s="24" t="str">
        <x:v>etelis carbunculus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Etelis carbunculus</x:v>
      </x:c>
      <x:c r="T61" s="32" t="n">
        <x:f>IF(O61="","",(1/'Metadata'!$B$5)^(O61-1))</x:f>
        <x:v>3090.295432513592</x:v>
      </x:c>
      <x:c r="U61" s="31" t="n">
        <x:f>IF(T61="","",I61*T61)</x:f>
        <x:v>1209.5482133789728</x:v>
      </x:c>
    </x:row>
    <x:row r="62" ht="18" customHeight="1">
      <x:c r="A62" s="24" t="str">
        <x:v>EEZ_016</x:v>
      </x:c>
      <x:c r="B62" s="24" t="str">
        <x:v>American Samoa</x:v>
      </x:c>
      <x:c r="C62" s="24" t="str">
        <x:v>EEZ</x:v>
      </x:c>
      <x:c r="D62" s="30" t="n">
        <x:v>2019</x:v>
      </x:c>
      <x:c r="E62" s="24" t="str">
        <x:v>Kuhlia mugil</x:v>
      </x:c>
      <x:c r="F62" s="24" t="str">
        <x:v>Barred flagtail</x:v>
      </x:c>
      <x:c r="G62" s="24" t="str">
        <x:v>Medium reef assoc. fish (30 - 89 cm)</x:v>
      </x:c>
      <x:c r="H62" s="24" t="str">
        <x:v>Perch-likes</x:v>
      </x:c>
      <x:c r="I62" s="31" t="n">
        <x:v>0.39087948009999995</x:v>
      </x:c>
      <x:c r="J62" s="31" t="n">
        <x:v>0.39087948009999995</x:v>
      </x:c>
      <x:c r="K62" s="31" t="n">
        <x:v>0</x:v>
      </x:c>
      <x:c r="L62" s="31" t="n">
        <x:v>0</x:v>
      </x:c>
      <x:c r="M62" s="31" t="n">
        <x:v>0.39087948009999995</x:v>
      </x:c>
      <x:c r="N62" s="24" t="str">
        <x:v>kuhlia mugil</x:v>
      </x:c>
      <x:c r="O62" s="32" t="n">
        <x:v>3.83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Kuhlia mugil</x:v>
      </x:c>
      <x:c r="T62" s="32" t="n">
        <x:f>IF(O62="","",(1/'Metadata'!$B$5)^(O62-1))</x:f>
        <x:v>676.0829753919819</x:v>
      </x:c>
      <x:c r="U62" s="31" t="n">
        <x:f>IF(T62="","",I62*T62)</x:f>
        <x:v>264.26696192567897</x:v>
      </x:c>
    </x:row>
    <x:row r="63" ht="18" customHeight="1">
      <x:c r="A63" s="24" t="str">
        <x:v>EEZ_016</x:v>
      </x:c>
      <x:c r="B63" s="24" t="str">
        <x:v>American Samoa</x:v>
      </x:c>
      <x:c r="C63" s="24" t="str">
        <x:v>EEZ</x:v>
      </x:c>
      <x:c r="D63" s="30" t="n">
        <x:v>2019</x:v>
      </x:c>
      <x:c r="E63" s="24" t="str">
        <x:v>Etelis coruscans</x:v>
      </x:c>
      <x:c r="F63" s="24" t="str">
        <x:v>Deepwater longtail red snapper</x:v>
      </x:c>
      <x:c r="G63" s="24" t="str">
        <x:v>Large bathydemersals (&gt;=90 cm)</x:v>
      </x:c>
      <x:c r="H63" s="24" t="str">
        <x:v>Perch-likes</x:v>
      </x:c>
      <x:c r="I63" s="31" t="n">
        <x:v>0.3586179672</x:v>
      </x:c>
      <x:c r="J63" s="31" t="n">
        <x:v>0.3586179672</x:v>
      </x:c>
      <x:c r="K63" s="31" t="n">
        <x:v>0</x:v>
      </x:c>
      <x:c r="L63" s="31" t="n">
        <x:v>0.3586179672</x:v>
      </x:c>
      <x:c r="M63" s="31" t="n">
        <x:v>0</x:v>
      </x:c>
      <x:c r="N63" s="24" t="str">
        <x:v>etelis coruscans</x:v>
      </x:c>
      <x:c r="O63" s="32" t="n">
        <x:v>4.42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Etelis coruscans</x:v>
      </x:c>
      <x:c r="T63" s="32" t="n">
        <x:f>IF(O63="","",(1/'Metadata'!$B$5)^(O63-1))</x:f>
        <x:v>2630.2679918953813</x:v>
      </x:c>
      <x:c r="U63" s="31" t="n">
        <x:f>IF(T63="","",I63*T63)</x:f>
        <x:v>943.2613604447478</x:v>
      </x:c>
    </x:row>
    <x:row r="64" ht="18" customHeight="1">
      <x:c r="A64" s="24" t="str">
        <x:v>EEZ_016</x:v>
      </x:c>
      <x:c r="B64" s="24" t="str">
        <x:v>American Samoa</x:v>
      </x:c>
      <x:c r="C64" s="24" t="str">
        <x:v>EEZ</x:v>
      </x:c>
      <x:c r="D64" s="30" t="n">
        <x:v>2019</x:v>
      </x:c>
      <x:c r="E64" s="24" t="str">
        <x:v>Cirrhitus pinnulatus</x:v>
      </x:c>
      <x:c r="F64" s="24" t="str">
        <x:v>Stocky hawkfish</x:v>
      </x:c>
      <x:c r="G64" s="24" t="str">
        <x:v>Small reef assoc. fish (&lt;30 cm)</x:v>
      </x:c>
      <x:c r="H64" s="24" t="str">
        <x:v>Perch-likes</x:v>
      </x:c>
      <x:c r="I64" s="31" t="n">
        <x:v>0.34812703700000003</x:v>
      </x:c>
      <x:c r="J64" s="31" t="n">
        <x:v>0.34812703700000003</x:v>
      </x:c>
      <x:c r="K64" s="31" t="n">
        <x:v>0</x:v>
      </x:c>
      <x:c r="L64" s="31" t="n">
        <x:v>0</x:v>
      </x:c>
      <x:c r="M64" s="31" t="n">
        <x:v>0.34812703700000003</x:v>
      </x:c>
      <x:c r="N64" s="24" t="str">
        <x:v>cirrhitus pinnulatus</x:v>
      </x:c>
      <x:c r="O64" s="32" t="n">
        <x:v>3.68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Cirrhitus pinnulatus</x:v>
      </x:c>
      <x:c r="T64" s="32" t="n">
        <x:f>IF(O64="","",(1/'Metadata'!$B$5)^(O64-1))</x:f>
        <x:v>478.6300923226385</x:v>
      </x:c>
      <x:c r="U64" s="31" t="n">
        <x:f>IF(T64="","",I64*T64)</x:f>
        <x:v>166.6240758593166</x:v>
      </x:c>
    </x:row>
    <x:row r="65" ht="18" customHeight="1">
      <x:c r="A65" s="24" t="str">
        <x:v>EEZ_016</x:v>
      </x:c>
      <x:c r="B65" s="24" t="str">
        <x:v>American Samoa</x:v>
      </x:c>
      <x:c r="C65" s="24" t="str">
        <x:v>EEZ</x:v>
      </x:c>
      <x:c r="D65" s="30" t="n">
        <x:v>2019</x:v>
      </x:c>
      <x:c r="E65" s="24" t="str">
        <x:v>Lutjanus fulvus</x:v>
      </x:c>
      <x:c r="F65" s="24" t="str">
        <x:v>Blacktail snapper</x:v>
      </x:c>
      <x:c r="G65" s="24" t="str">
        <x:v>Medium reef assoc. fish (30 - 89 cm)</x:v>
      </x:c>
      <x:c r="H65" s="24" t="str">
        <x:v>Perch-likes</x:v>
      </x:c>
      <x:c r="I65" s="31" t="n">
        <x:v>0.3378407349</x:v>
      </x:c>
      <x:c r="J65" s="31" t="n">
        <x:v>0.3378407349</x:v>
      </x:c>
      <x:c r="K65" s="31" t="n">
        <x:v>0</x:v>
      </x:c>
      <x:c r="L65" s="31" t="n">
        <x:v>0</x:v>
      </x:c>
      <x:c r="M65" s="31" t="n">
        <x:v>0.3378407349</x:v>
      </x:c>
      <x:c r="N65" s="24" t="str">
        <x:v>lutjanus fulvus</x:v>
      </x:c>
      <x:c r="O65" s="32" t="n">
        <x:v>3.61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Lutjanus fulvus</x:v>
      </x:c>
      <x:c r="T65" s="32" t="n">
        <x:f>IF(O65="","",(1/'Metadata'!$B$5)^(O65-1))</x:f>
        <x:v>407.3802778041126</x:v>
      </x:c>
      <x:c r="U65" s="31" t="n">
        <x:f>IF(T65="","",I65*T65)</x:f>
        <x:v>137.62965243710755</x:v>
      </x:c>
    </x:row>
    <x:row r="66" ht="18" customHeight="1">
      <x:c r="A66" s="24" t="str">
        <x:v>EEZ_016</x:v>
      </x:c>
      <x:c r="B66" s="24" t="str">
        <x:v>American Samoa</x:v>
      </x:c>
      <x:c r="C66" s="24" t="str">
        <x:v>EEZ</x:v>
      </x:c>
      <x:c r="D66" s="30" t="n">
        <x:v>2019</x:v>
      </x:c>
      <x:c r="E66" s="24" t="str">
        <x:v>Sphyrna lewini</x:v>
      </x:c>
      <x:c r="F66" s="24" t="str">
        <x:v>Scalloped hammerhead</x:v>
      </x:c>
      <x:c r="G66" s="24" t="str">
        <x:v>Large sharks (&gt;=90 cm)</x:v>
      </x:c>
      <x:c r="H66" s="24" t="str">
        <x:v>Sharks &amp; rays</x:v>
      </x:c>
      <x:c r="I66" s="31" t="n">
        <x:v>0.33687639399999997</x:v>
      </x:c>
      <x:c r="J66" s="31" t="n">
        <x:v>0.33687639399999997</x:v>
      </x:c>
      <x:c r="K66" s="31" t="n">
        <x:v>0</x:v>
      </x:c>
      <x:c r="L66" s="31" t="n">
        <x:v>0</x:v>
      </x:c>
      <x:c r="M66" s="31" t="n">
        <x:v>0.33687639399999997</x:v>
      </x:c>
      <x:c r="N66" s="24" t="str">
        <x:v>sphyrna lewini</x:v>
      </x:c>
      <x:c r="O66" s="32" t="n">
        <x:v>4.08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Sphyrna lewini</x:v>
      </x:c>
      <x:c r="T66" s="32" t="n">
        <x:f>IF(O66="","",(1/'Metadata'!$B$5)^(O66-1))</x:f>
        <x:v>1202.2644346174131</x:v>
      </x:c>
      <x:c r="U66" s="31" t="n">
        <x:f>IF(T66="","",I66*T66)</x:f>
        <x:v>405.0145073683629</x:v>
      </x:c>
    </x:row>
    <x:row r="67" ht="18" customHeight="1">
      <x:c r="A67" s="24" t="str">
        <x:v>EEZ_016</x:v>
      </x:c>
      <x:c r="B67" s="24" t="str">
        <x:v>American Samoa</x:v>
      </x:c>
      <x:c r="C67" s="24" t="str">
        <x:v>EEZ</x:v>
      </x:c>
      <x:c r="D67" s="30" t="n">
        <x:v>2019</x:v>
      </x:c>
      <x:c r="E67" s="24" t="str">
        <x:v>Muraenidae</x:v>
      </x:c>
      <x:c r="F67" s="24" t="str">
        <x:v>Moray eels</x:v>
      </x:c>
      <x:c r="G67" s="24" t="str">
        <x:v>Large reef assoc. fish (&gt;=90 cm)</x:v>
      </x:c>
      <x:c r="H67" s="24" t="str">
        <x:v>Other fishes &amp; inverts</x:v>
      </x:c>
      <x:c r="I67" s="31" t="n">
        <x:v>0.32916166750000003</x:v>
      </x:c>
      <x:c r="J67" s="31" t="n">
        <x:v>0.32916166750000003</x:v>
      </x:c>
      <x:c r="K67" s="31" t="n">
        <x:v>0</x:v>
      </x:c>
      <x:c r="L67" s="31" t="n">
        <x:v>0</x:v>
      </x:c>
      <x:c r="M67" s="31" t="n">
        <x:v>0.32916166750000003</x:v>
      </x:c>
      <x:c r="N67" s="24" t="str">
        <x:v>muraenidae</x:v>
      </x:c>
      <x:c r="O67" s="32" t="n">
        <x:v>4.07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Muraenidae</x:v>
      </x:c>
      <x:c r="T67" s="32" t="n">
        <x:f>IF(O67="","",(1/'Metadata'!$B$5)^(O67-1))</x:f>
        <x:v>1174.8975549395302</x:v>
      </x:c>
      <x:c r="U67" s="31" t="n">
        <x:f>IF(T67="","",I67*T67)</x:f>
        <x:v>386.73123832556865</x:v>
      </x:c>
    </x:row>
    <x:row r="68" ht="18" customHeight="1">
      <x:c r="A68" s="24" t="str">
        <x:v>EEZ_016</x:v>
      </x:c>
      <x:c r="B68" s="24" t="str">
        <x:v>American Samoa</x:v>
      </x:c>
      <x:c r="C68" s="24" t="str">
        <x:v>EEZ</x:v>
      </x:c>
      <x:c r="D68" s="30" t="n">
        <x:v>2019</x:v>
      </x:c>
      <x:c r="E68" s="24" t="str">
        <x:v>Pempheridae</x:v>
      </x:c>
      <x:c r="F68" s="24" t="str">
        <x:v>Sweepers</x:v>
      </x:c>
      <x:c r="G68" s="24" t="str">
        <x:v>Small reef assoc. fish (&lt;30 cm)</x:v>
      </x:c>
      <x:c r="H68" s="24" t="str">
        <x:v>Perch-likes</x:v>
      </x:c>
      <x:c r="I68" s="31" t="n">
        <x:v>0.2725870059</x:v>
      </x:c>
      <x:c r="J68" s="31" t="n">
        <x:v>0.2725870059</x:v>
      </x:c>
      <x:c r="K68" s="31" t="n">
        <x:v>0</x:v>
      </x:c>
      <x:c r="L68" s="31" t="n">
        <x:v>0</x:v>
      </x:c>
      <x:c r="M68" s="31" t="n">
        <x:v>0.2725870059</x:v>
      </x:c>
      <x:c r="N68" s="24" t="str">
        <x:v>pempheridae</x:v>
      </x:c>
      <x:c r="O68" s="32" t="n">
        <x:v>3.58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Pempheridae</x:v>
      </x:c>
      <x:c r="T68" s="32" t="n">
        <x:f>IF(O68="","",(1/'Metadata'!$B$5)^(O68-1))</x:f>
        <x:v>380.1893963205613</x:v>
      </x:c>
      <x:c r="U68" s="31" t="n">
        <x:f>IF(T68="","",I68*T68)</x:f>
        <x:v>103.63468921795028</x:v>
      </x:c>
    </x:row>
    <x:row r="69" ht="18" customHeight="1">
      <x:c r="A69" s="24" t="str">
        <x:v>EEZ_016</x:v>
      </x:c>
      <x:c r="B69" s="24" t="str">
        <x:v>American Samoa</x:v>
      </x:c>
      <x:c r="C69" s="24" t="str">
        <x:v>EEZ</x:v>
      </x:c>
      <x:c r="D69" s="30" t="n">
        <x:v>2019</x:v>
      </x:c>
      <x:c r="E69" s="24" t="str">
        <x:v>Balistidae</x:v>
      </x:c>
      <x:c r="F69" s="24" t="str">
        <x:v>Triggerfishes</x:v>
      </x:c>
      <x:c r="G69" s="24" t="str">
        <x:v>Medium reef assoc. fish (30 - 89 cm)</x:v>
      </x:c>
      <x:c r="H69" s="24" t="str">
        <x:v>Other fishes &amp; inverts</x:v>
      </x:c>
      <x:c r="I69" s="31" t="n">
        <x:v>0.2725672581</x:v>
      </x:c>
      <x:c r="J69" s="31" t="n">
        <x:v>0.2725672581</x:v>
      </x:c>
      <x:c r="K69" s="31" t="n">
        <x:v>0</x:v>
      </x:c>
      <x:c r="L69" s="31" t="n">
        <x:v>0.0221600911</x:v>
      </x:c>
      <x:c r="M69" s="31" t="n">
        <x:v>0.250407167</x:v>
      </x:c>
      <x:c r="N69" s="24" t="str">
        <x:v>balistidae</x:v>
      </x:c>
      <x:c r="O69" s="32" t="n">
        <x:v>3.25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Balistidae</x:v>
      </x:c>
      <x:c r="T69" s="32" t="n">
        <x:f>IF(O69="","",(1/'Metadata'!$B$5)^(O69-1))</x:f>
        <x:v>177.82794100389228</x:v>
      </x:c>
      <x:c r="U69" s="31" t="n">
        <x:f>IF(T69="","",I69*T69)</x:f>
        <x:v>48.47007429299948</x:v>
      </x:c>
    </x:row>
    <x:row r="70" ht="18" customHeight="1">
      <x:c r="A70" s="24" t="str">
        <x:v>EEZ_016</x:v>
      </x:c>
      <x:c r="B70" s="24" t="str">
        <x:v>American Samoa</x:v>
      </x:c>
      <x:c r="C70" s="24" t="str">
        <x:v>EEZ</x:v>
      </x:c>
      <x:c r="D70" s="30" t="n">
        <x:v>2019</x:v>
      </x:c>
      <x:c r="E70" s="24" t="str">
        <x:v>Caranx sexfasciatus</x:v>
      </x:c>
      <x:c r="F70" s="24" t="str">
        <x:v>Bigeye trevally</x:v>
      </x:c>
      <x:c r="G70" s="24" t="str">
        <x:v>Large reef assoc. fish (&gt;=90 cm)</x:v>
      </x:c>
      <x:c r="H70" s="24" t="str">
        <x:v>Perch-likes</x:v>
      </x:c>
      <x:c r="I70" s="31" t="n">
        <x:v>0.2571055915</x:v>
      </x:c>
      <x:c r="J70" s="31" t="n">
        <x:v>0.2571055915</x:v>
      </x:c>
      <x:c r="K70" s="31" t="n">
        <x:v>0</x:v>
      </x:c>
      <x:c r="L70" s="31" t="n">
        <x:v>0.2571055915</x:v>
      </x:c>
      <x:c r="M70" s="31" t="n">
        <x:v>0</x:v>
      </x:c>
      <x:c r="N70" s="24" t="str">
        <x:v>caranx sexfasciatus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Caranx sexfasciatus</x:v>
      </x:c>
      <x:c r="T70" s="32" t="n">
        <x:f>IF(O70="","",(1/'Metadata'!$B$5)^(O70-1))</x:f>
        <x:v>3162.2776601683795</x:v>
      </x:c>
      <x:c r="U70" s="31" t="n">
        <x:f>IF(T70="","",I70*T70)</x:f>
        <x:v>813.0392683048273</x:v>
      </x:c>
    </x:row>
    <x:row r="71" ht="18" customHeight="1">
      <x:c r="A71" s="24" t="str">
        <x:v>EEZ_016</x:v>
      </x:c>
      <x:c r="B71" s="24" t="str">
        <x:v>American Samoa</x:v>
      </x:c>
      <x:c r="C71" s="24" t="str">
        <x:v>EEZ</x:v>
      </x:c>
      <x:c r="D71" s="30" t="n">
        <x:v>2019</x:v>
      </x:c>
      <x:c r="E71" s="24" t="str">
        <x:v>Pomacentridae</x:v>
      </x:c>
      <x:c r="F71" s="24" t="str">
        <x:v>Damselfishes</x:v>
      </x:c>
      <x:c r="G71" s="24" t="str">
        <x:v>Small reef assoc. fish (&lt;30 cm)</x:v>
      </x:c>
      <x:c r="H71" s="24" t="str">
        <x:v>Perch-likes</x:v>
      </x:c>
      <x:c r="I71" s="31" t="n">
        <x:v>0.2070118299</x:v>
      </x:c>
      <x:c r="J71" s="31" t="n">
        <x:v>0.2070118299</x:v>
      </x:c>
      <x:c r="K71" s="31" t="n">
        <x:v>0</x:v>
      </x:c>
      <x:c r="L71" s="31" t="n">
        <x:v>0</x:v>
      </x:c>
      <x:c r="M71" s="31" t="n">
        <x:v>0.2070118299</x:v>
      </x:c>
      <x:c r="N71" s="24" t="str">
        <x:v>pomacentridae</x:v>
      </x:c>
      <x:c r="O71" s="32" t="n">
        <x:v>2.57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Pomacentridae</x:v>
      </x:c>
      <x:c r="T71" s="32" t="n">
        <x:f>IF(O71="","",(1/'Metadata'!$B$5)^(O71-1))</x:f>
        <x:v>37.15352290971724</x:v>
      </x:c>
      <x:c r="U71" s="31" t="n">
        <x:f>IF(T71="","",I71*T71)</x:f>
        <x:v>7.691218764772138</x:v>
      </x:c>
    </x:row>
    <x:row r="72" ht="18" customHeight="1">
      <x:c r="A72" s="24" t="str">
        <x:v>EEZ_016</x:v>
      </x:c>
      <x:c r="B72" s="24" t="str">
        <x:v>American Samoa</x:v>
      </x:c>
      <x:c r="C72" s="24" t="str">
        <x:v>EEZ</x:v>
      </x:c>
      <x:c r="D72" s="30" t="n">
        <x:v>2019</x:v>
      </x:c>
      <x:c r="E72" s="24" t="str">
        <x:v>Cephalopholis urodeta</x:v>
      </x:c>
      <x:c r="F72" s="24" t="str">
        <x:v>Darkfin hind</x:v>
      </x:c>
      <x:c r="G72" s="24" t="str">
        <x:v>Small reef assoc. fish (&lt;30 cm)</x:v>
      </x:c>
      <x:c r="H72" s="24" t="str">
        <x:v>Perch-likes</x:v>
      </x:c>
      <x:c r="I72" s="31" t="n">
        <x:v>0.17432819970000002</x:v>
      </x:c>
      <x:c r="J72" s="31" t="n">
        <x:v>0.17432819970000002</x:v>
      </x:c>
      <x:c r="K72" s="31" t="n">
        <x:v>0</x:v>
      </x:c>
      <x:c r="L72" s="31" t="n">
        <x:v>0.0132832823</x:v>
      </x:c>
      <x:c r="M72" s="31" t="n">
        <x:v>0.16104491740000001</x:v>
      </x:c>
      <x:c r="N72" s="24" t="str">
        <x:v>cephalopholis urodeta</x:v>
      </x:c>
      <x:c r="O72" s="32" t="n">
        <x:v>4.02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Cephalopholis urodeta</x:v>
      </x:c>
      <x:c r="T72" s="32" t="n">
        <x:f>IF(O72="","",(1/'Metadata'!$B$5)^(O72-1))</x:f>
        <x:v>1047.1285480508984</x:v>
      </x:c>
      <x:c r="U72" s="31" t="n">
        <x:f>IF(T72="","",I72*T72)</x:f>
        <x:v>182.5440346361881</x:v>
      </x:c>
    </x:row>
    <x:row r="73" ht="18" customHeight="1">
      <x:c r="A73" s="24" t="str">
        <x:v>EEZ_016</x:v>
      </x:c>
      <x:c r="B73" s="24" t="str">
        <x:v>American Samoa</x:v>
      </x:c>
      <x:c r="C73" s="24" t="str">
        <x:v>EEZ</x:v>
      </x:c>
      <x:c r="D73" s="30" t="n">
        <x:v>2019</x:v>
      </x:c>
      <x:c r="E73" s="24" t="str">
        <x:v>Lethrinus olivaceus</x:v>
      </x:c>
      <x:c r="F73" s="24" t="str">
        <x:v>Longface emperor</x:v>
      </x:c>
      <x:c r="G73" s="24" t="str">
        <x:v>Medium demersals (30 - 89 cm)</x:v>
      </x:c>
      <x:c r="H73" s="24" t="str">
        <x:v>Perch-likes</x:v>
      </x:c>
      <x:c r="I73" s="31" t="n">
        <x:v>0.1517027468</x:v>
      </x:c>
      <x:c r="J73" s="31" t="n">
        <x:v>0.1517027468</x:v>
      </x:c>
      <x:c r="K73" s="31" t="n">
        <x:v>0</x:v>
      </x:c>
      <x:c r="L73" s="31" t="n">
        <x:v>0.1517027468</x:v>
      </x:c>
      <x:c r="M73" s="31" t="n">
        <x:v>0</x:v>
      </x:c>
      <x:c r="N73" s="24" t="str">
        <x:v>lethrinus olivaceus</x:v>
      </x:c>
      <x:c r="O73" s="32" t="n">
        <x:v>3.95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Lethrinus olivaceus</x:v>
      </x:c>
      <x:c r="T73" s="32" t="n">
        <x:f>IF(O73="","",(1/'Metadata'!$B$5)^(O73-1))</x:f>
        <x:v>891.2509381337459</x:v>
      </x:c>
      <x:c r="U73" s="31" t="n">
        <x:f>IF(T73="","",I73*T73)</x:f>
        <x:v>135.20521540296613</x:v>
      </x:c>
    </x:row>
    <x:row r="74" ht="18" customHeight="1">
      <x:c r="A74" s="24" t="str">
        <x:v>EEZ_016</x:v>
      </x:c>
      <x:c r="B74" s="24" t="str">
        <x:v>American Samoa</x:v>
      </x:c>
      <x:c r="C74" s="24" t="str">
        <x:v>EEZ</x:v>
      </x:c>
      <x:c r="D74" s="30" t="n">
        <x:v>2019</x:v>
      </x:c>
      <x:c r="E74" s="24" t="str">
        <x:v>Caranx lugubris</x:v>
      </x:c>
      <x:c r="F74" s="24" t="str">
        <x:v>Black jack</x:v>
      </x:c>
      <x:c r="G74" s="24" t="str">
        <x:v>Large benthopelagics (&gt;=90 cm)</x:v>
      </x:c>
      <x:c r="H74" s="24" t="str">
        <x:v>Perch-likes</x:v>
      </x:c>
      <x:c r="I74" s="31" t="n">
        <x:v>0.1507626991</x:v>
      </x:c>
      <x:c r="J74" s="31" t="n">
        <x:v>0.1507626991</x:v>
      </x:c>
      <x:c r="K74" s="31" t="n">
        <x:v>0</x:v>
      </x:c>
      <x:c r="L74" s="31" t="n">
        <x:v>0.1507626991</x:v>
      </x:c>
      <x:c r="M74" s="31" t="n">
        <x:v>0</x:v>
      </x:c>
      <x:c r="N74" s="24" t="str">
        <x:v>caranx lugubris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Caranx lugubris</x:v>
      </x:c>
      <x:c r="T74" s="32" t="n">
        <x:f>IF(O74="","",(1/'Metadata'!$B$5)^(O74-1))</x:f>
        <x:v>3162.2776601683795</x:v>
      </x:c>
      <x:c r="U74" s="31" t="n">
        <x:f>IF(T74="","",I74*T74)</x:f>
        <x:v>476.7535153506175</x:v>
      </x:c>
    </x:row>
    <x:row r="75" ht="18" customHeight="1">
      <x:c r="A75" s="24" t="str">
        <x:v>EEZ_016</x:v>
      </x:c>
      <x:c r="B75" s="24" t="str">
        <x:v>American Samoa</x:v>
      </x:c>
      <x:c r="C75" s="24" t="str">
        <x:v>EEZ</x:v>
      </x:c>
      <x:c r="D75" s="30" t="n">
        <x:v>2019</x:v>
      </x:c>
      <x:c r="E75" s="24" t="str">
        <x:v>Terapon jarbua</x:v>
      </x:c>
      <x:c r="F75" s="24" t="str">
        <x:v>Jarbua terapon</x:v>
      </x:c>
      <x:c r="G75" s="24" t="str">
        <x:v>Medium demersals (30 - 89 cm)</x:v>
      </x:c>
      <x:c r="H75" s="24" t="str">
        <x:v>Perch-likes</x:v>
      </x:c>
      <x:c r="I75" s="31" t="n">
        <x:v>0.1266500947</x:v>
      </x:c>
      <x:c r="J75" s="31" t="n">
        <x:v>0.1266500947</x:v>
      </x:c>
      <x:c r="K75" s="31" t="n">
        <x:v>0</x:v>
      </x:c>
      <x:c r="L75" s="31" t="n">
        <x:v>0</x:v>
      </x:c>
      <x:c r="M75" s="31" t="n">
        <x:v>0.1266500947</x:v>
      </x:c>
      <x:c r="N75" s="24" t="str">
        <x:v>terapon jarbua</x:v>
      </x:c>
      <x:c r="O75" s="32" t="n">
        <x:v>3.93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Terapon jarbua</x:v>
      </x:c>
      <x:c r="T75" s="32" t="n">
        <x:f>IF(O75="","",(1/'Metadata'!$B$5)^(O75-1))</x:f>
        <x:v>851.1380382023768</x:v>
      </x:c>
      <x:c r="U75" s="31" t="n">
        <x:f>IF(T75="","",I75*T75)</x:f>
        <x:v>107.79671314110324</x:v>
      </x:c>
    </x:row>
    <x:row r="76" ht="18" customHeight="1">
      <x:c r="A76" s="24" t="str">
        <x:v>EEZ_016</x:v>
      </x:c>
      <x:c r="B76" s="24" t="str">
        <x:v>American Samoa</x:v>
      </x:c>
      <x:c r="C76" s="24" t="str">
        <x:v>EEZ</x:v>
      </x:c>
      <x:c r="D76" s="30" t="n">
        <x:v>2019</x:v>
      </x:c>
      <x:c r="E76" s="24" t="str">
        <x:v>Mullidae</x:v>
      </x:c>
      <x:c r="F76" s="24" t="str">
        <x:v>Goatfishes</x:v>
      </x:c>
      <x:c r="G76" s="24" t="str">
        <x:v>Medium reef assoc. fish (30 - 89 cm)</x:v>
      </x:c>
      <x:c r="H76" s="24" t="str">
        <x:v>Perch-likes</x:v>
      </x:c>
      <x:c r="I76" s="31" t="n">
        <x:v>0.1266305515</x:v>
      </x:c>
      <x:c r="J76" s="31" t="n">
        <x:v>0.1266305515</x:v>
      </x:c>
      <x:c r="K76" s="31" t="n">
        <x:v>0</x:v>
      </x:c>
      <x:c r="L76" s="31" t="n">
        <x:v>0.1266305515</x:v>
      </x:c>
      <x:c r="M76" s="31" t="n">
        <x:v>0</x:v>
      </x:c>
      <x:c r="N76" s="24" t="str">
        <x:v>mullidae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Mullidae</x:v>
      </x:c>
      <x:c r="T76" s="32" t="n">
        <x:f>IF(O76="","",(1/'Metadata'!$B$5)^(O76-1))</x:f>
        <x:v>288.40315031266056</x:v>
      </x:c>
      <x:c r="U76" s="31" t="n">
        <x:f>IF(T76="","",I76*T76)</x:f>
        <x:v>36.5206499784296</x:v>
      </x:c>
    </x:row>
    <x:row r="77" ht="18" customHeight="1">
      <x:c r="A77" s="24" t="str">
        <x:v>EEZ_016</x:v>
      </x:c>
      <x:c r="B77" s="24" t="str">
        <x:v>American Samoa</x:v>
      </x:c>
      <x:c r="C77" s="24" t="str">
        <x:v>EEZ</x:v>
      </x:c>
      <x:c r="D77" s="30" t="n">
        <x:v>2019</x:v>
      </x:c>
      <x:c r="E77" s="24" t="str">
        <x:v>Bothus mancus</x:v>
      </x:c>
      <x:c r="F77" s="24" t="str">
        <x:v>Flowery flounder</x:v>
      </x:c>
      <x:c r="G77" s="24" t="str">
        <x:v>Small to medium flatfishes (&lt;90 cm)</x:v>
      </x:c>
      <x:c r="H77" s="24" t="str">
        <x:v>Flatfishes</x:v>
      </x:c>
      <x:c r="I77" s="31" t="n">
        <x:v>0.12472141310000001</x:v>
      </x:c>
      <x:c r="J77" s="31" t="n">
        <x:v>0.12472141310000001</x:v>
      </x:c>
      <x:c r="K77" s="31" t="n">
        <x:v>0</x:v>
      </x:c>
      <x:c r="L77" s="31" t="n">
        <x:v>0</x:v>
      </x:c>
      <x:c r="M77" s="31" t="n">
        <x:v>0.12472141310000001</x:v>
      </x:c>
      <x:c r="N77" s="24" t="str">
        <x:v>bothus mancus</x:v>
      </x:c>
      <x:c r="O77" s="32" t="n">
        <x:v>4.38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Bothus mancus</x:v>
      </x:c>
      <x:c r="T77" s="32" t="n">
        <x:f>IF(O77="","",(1/'Metadata'!$B$5)^(O77-1))</x:f>
        <x:v>2398.83291901949</x:v>
      </x:c>
      <x:c r="U77" s="31" t="n">
        <x:f>IF(T77="","",I77*T77)</x:f>
        <x:v>299.18583145090867</x:v>
      </x:c>
    </x:row>
    <x:row r="78" ht="18" customHeight="1">
      <x:c r="A78" s="24" t="str">
        <x:v>EEZ_016</x:v>
      </x:c>
      <x:c r="B78" s="24" t="str">
        <x:v>American Samoa</x:v>
      </x:c>
      <x:c r="C78" s="24" t="str">
        <x:v>EEZ</x:v>
      </x:c>
      <x:c r="D78" s="30" t="n">
        <x:v>2019</x:v>
      </x:c>
      <x:c r="E78" s="24" t="str">
        <x:v>Siganus spinus</x:v>
      </x:c>
      <x:c r="F78" s="24" t="str">
        <x:v>Little spinefoot</x:v>
      </x:c>
      <x:c r="G78" s="24" t="str">
        <x:v>Small reef assoc. fish (&lt;30 cm)</x:v>
      </x:c>
      <x:c r="H78" s="24" t="str">
        <x:v>Perch-likes</x:v>
      </x:c>
      <x:c r="I78" s="31" t="n">
        <x:v>0.1231141784</x:v>
      </x:c>
      <x:c r="J78" s="31" t="n">
        <x:v>0.1231141784</x:v>
      </x:c>
      <x:c r="K78" s="31" t="n">
        <x:v>0</x:v>
      </x:c>
      <x:c r="L78" s="31" t="n">
        <x:v>0</x:v>
      </x:c>
      <x:c r="M78" s="31" t="n">
        <x:v>0.1231141784</x:v>
      </x:c>
      <x:c r="N78" s="24" t="str">
        <x:v>siganus spinus</x:v>
      </x:c>
      <x:c r="O78" s="32" t="n">
        <x:v>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Siganus spinus</x:v>
      </x:c>
      <x:c r="T78" s="32" t="n">
        <x:f>IF(O78="","",(1/'Metadata'!$B$5)^(O78-1))</x:f>
        <x:v>10</x:v>
      </x:c>
      <x:c r="U78" s="31" t="n">
        <x:f>IF(T78="","",I78*T78)</x:f>
        <x:v>1.231141784</x:v>
      </x:c>
    </x:row>
    <x:row r="79" ht="18" customHeight="1">
      <x:c r="A79" s="24" t="str">
        <x:v>EEZ_016</x:v>
      </x:c>
      <x:c r="B79" s="24" t="str">
        <x:v>American Samoa</x:v>
      </x:c>
      <x:c r="C79" s="24" t="str">
        <x:v>EEZ</x:v>
      </x:c>
      <x:c r="D79" s="30" t="n">
        <x:v>2019</x:v>
      </x:c>
      <x:c r="E79" s="24" t="str">
        <x:v>Lutjanus bohar</x:v>
      </x:c>
      <x:c r="F79" s="24" t="str">
        <x:v>Two-spot red snapper</x:v>
      </x:c>
      <x:c r="G79" s="24" t="str">
        <x:v>Medium reef assoc. fish (30 - 89 cm)</x:v>
      </x:c>
      <x:c r="H79" s="24" t="str">
        <x:v>Perch-likes</x:v>
      </x:c>
      <x:c r="I79" s="31" t="n">
        <x:v>0.1100954196</x:v>
      </x:c>
      <x:c r="J79" s="31" t="n">
        <x:v>0.1100954196</x:v>
      </x:c>
      <x:c r="K79" s="31" t="n">
        <x:v>0</x:v>
      </x:c>
      <x:c r="L79" s="31" t="n">
        <x:v>0.1100954196</x:v>
      </x:c>
      <x:c r="M79" s="31" t="n">
        <x:v>0</x:v>
      </x:c>
      <x:c r="N79" s="24" t="str">
        <x:v>lutjanus bohar</x:v>
      </x:c>
      <x:c r="O79" s="32" t="n">
        <x:v>4.27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Lutjanus bohar</x:v>
      </x:c>
      <x:c r="T79" s="32" t="n">
        <x:f>IF(O79="","",(1/'Metadata'!$B$5)^(O79-1))</x:f>
        <x:v>1862.0871366628655</x:v>
      </x:c>
      <x:c r="U79" s="31" t="n">
        <x:f>IF(T79="","",I79*T79)</x:f>
        <x:v>205.00726464266072</x:v>
      </x:c>
    </x:row>
    <x:row r="80" ht="18" customHeight="1">
      <x:c r="A80" s="24" t="str">
        <x:v>EEZ_016</x:v>
      </x:c>
      <x:c r="B80" s="24" t="str">
        <x:v>American Samoa</x:v>
      </x:c>
      <x:c r="C80" s="24" t="str">
        <x:v>EEZ</x:v>
      </x:c>
      <x:c r="D80" s="30" t="n">
        <x:v>2019</x:v>
      </x:c>
      <x:c r="E80" s="24" t="str">
        <x:v>Gerres</x:v>
      </x:c>
      <x:c r="F80" s="24" t="str">
        <x:v>Silver biddies</x:v>
      </x:c>
      <x:c r="G80" s="24" t="str">
        <x:v>Small benthopelagics (&lt;30 cm)</x:v>
      </x:c>
      <x:c r="H80" s="24" t="str">
        <x:v>Perch-likes</x:v>
      </x:c>
      <x:c r="I80" s="31" t="n">
        <x:v>0.108649066</x:v>
      </x:c>
      <x:c r="J80" s="31" t="n">
        <x:v>0.108649066</x:v>
      </x:c>
      <x:c r="K80" s="31" t="n">
        <x:v>0</x:v>
      </x:c>
      <x:c r="L80" s="31" t="n">
        <x:v>0</x:v>
      </x:c>
      <x:c r="M80" s="31" t="n">
        <x:v>0.108649066</x:v>
      </x:c>
      <x:c r="N80" s="24" t="str">
        <x:v>gerres</x:v>
      </x:c>
      <x:c r="O80" s="32" t="n">
        <x:v>3.27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Gerres</x:v>
      </x:c>
      <x:c r="T80" s="32" t="n">
        <x:f>IF(O80="","",(1/'Metadata'!$B$5)^(O80-1))</x:f>
        <x:v>186.20871366628674</x:v>
      </x:c>
      <x:c r="U80" s="31" t="n">
        <x:f>IF(T80="","",I80*T80)</x:f>
        <x:v>20.23140282090349</x:v>
      </x:c>
    </x:row>
    <x:row r="81" ht="18" customHeight="1">
      <x:c r="A81" s="24" t="str">
        <x:v>EEZ_016</x:v>
      </x:c>
      <x:c r="B81" s="24" t="str">
        <x:v>American Samoa</x:v>
      </x:c>
      <x:c r="C81" s="24" t="str">
        <x:v>EEZ</x:v>
      </x:c>
      <x:c r="D81" s="30" t="n">
        <x:v>2019</x:v>
      </x:c>
      <x:c r="E81" s="24" t="str">
        <x:v>Gnathodentex aureolineatus</x:v>
      </x:c>
      <x:c r="F81" s="24" t="str">
        <x:v>Striped large-eye bream</x:v>
      </x:c>
      <x:c r="G81" s="24" t="str">
        <x:v>Medium reef assoc. fish (30 - 89 cm)</x:v>
      </x:c>
      <x:c r="H81" s="24" t="str">
        <x:v>Perch-likes</x:v>
      </x:c>
      <x:c r="I81" s="31" t="n">
        <x:v>0.10157723340000001</x:v>
      </x:c>
      <x:c r="J81" s="31" t="n">
        <x:v>0.10157723340000001</x:v>
      </x:c>
      <x:c r="K81" s="31" t="n">
        <x:v>0</x:v>
      </x:c>
      <x:c r="L81" s="31" t="n">
        <x:v>0</x:v>
      </x:c>
      <x:c r="M81" s="31" t="n">
        <x:v>0.10157723340000001</x:v>
      </x:c>
      <x:c r="N81" s="24" t="str">
        <x:v>gnathodentex aureolineatus</x:v>
      </x:c>
      <x:c r="O81" s="32" t="n">
        <x:v>3.29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Gnathodentex aureolineatus</x:v>
      </x:c>
      <x:c r="T81" s="32" t="n">
        <x:f>IF(O81="","",(1/'Metadata'!$B$5)^(O81-1))</x:f>
        <x:v>194.98445997580455</x:v>
      </x:c>
      <x:c r="U81" s="31" t="n">
        <x:f>IF(T81="","",I81*T81)</x:f>
        <x:v>19.80598200033526</x:v>
      </x:c>
    </x:row>
    <x:row r="82" ht="18" customHeight="1">
      <x:c r="A82" s="24" t="str">
        <x:v>EEZ_016</x:v>
      </x:c>
      <x:c r="B82" s="24" t="str">
        <x:v>American Samoa</x:v>
      </x:c>
      <x:c r="C82" s="24" t="str">
        <x:v>EEZ</x:v>
      </x:c>
      <x:c r="D82" s="30" t="n">
        <x:v>2019</x:v>
      </x:c>
      <x:c r="E82" s="24" t="str">
        <x:v>Naso lituratus</x:v>
      </x:c>
      <x:c r="F82" s="24" t="str">
        <x:v>Orangespine unicornfish</x:v>
      </x:c>
      <x:c r="G82" s="24" t="str">
        <x:v>Medium reef assoc. fish (30 - 89 cm)</x:v>
      </x:c>
      <x:c r="H82" s="24" t="str">
        <x:v>Perch-likes</x:v>
      </x:c>
      <x:c r="I82" s="31" t="n">
        <x:v>0.0877550149</x:v>
      </x:c>
      <x:c r="J82" s="31" t="n">
        <x:v>0.0877550149</x:v>
      </x:c>
      <x:c r="K82" s="31" t="n">
        <x:v>0</x:v>
      </x:c>
      <x:c r="L82" s="31" t="n">
        <x:v>0</x:v>
      </x:c>
      <x:c r="M82" s="31" t="n">
        <x:v>0.0877550149</x:v>
      </x:c>
      <x:c r="N82" s="24" t="str">
        <x:v>naso lituratus</x:v>
      </x:c>
      <x:c r="O82" s="32" t="n">
        <x:v>2.32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Naso lituratus</x:v>
      </x:c>
      <x:c r="T82" s="32" t="n">
        <x:f>IF(O82="","",(1/'Metadata'!$B$5)^(O82-1))</x:f>
        <x:v>20.892961308540386</x:v>
      </x:c>
      <x:c r="U82" s="31" t="n">
        <x:f>IF(T82="","",I82*T82)</x:f>
        <x:v>1.833462130936085</x:v>
      </x:c>
    </x:row>
    <x:row r="83" ht="18" customHeight="1">
      <x:c r="A83" s="24" t="str">
        <x:v>EEZ_016</x:v>
      </x:c>
      <x:c r="B83" s="24" t="str">
        <x:v>American Samoa</x:v>
      </x:c>
      <x:c r="C83" s="24" t="str">
        <x:v>EEZ</x:v>
      </x:c>
      <x:c r="D83" s="30" t="n">
        <x:v>2019</x:v>
      </x:c>
      <x:c r="E83" s="24" t="str">
        <x:v>Cephalopholis sonnerati</x:v>
      </x:c>
      <x:c r="F83" s="24" t="str">
        <x:v>Tomato hind</x:v>
      </x:c>
      <x:c r="G83" s="24" t="str">
        <x:v>Medium reef assoc. fish (30 - 89 cm)</x:v>
      </x:c>
      <x:c r="H83" s="24" t="str">
        <x:v>Perch-likes</x:v>
      </x:c>
      <x:c r="I83" s="31" t="n">
        <x:v>0.0773802281</x:v>
      </x:c>
      <x:c r="J83" s="31" t="n">
        <x:v>0.0773802281</x:v>
      </x:c>
      <x:c r="K83" s="31" t="n">
        <x:v>0</x:v>
      </x:c>
      <x:c r="L83" s="31" t="n">
        <x:v>0.0773802281</x:v>
      </x:c>
      <x:c r="M83" s="31" t="n">
        <x:v>0</x:v>
      </x:c>
      <x:c r="N83" s="24" t="str">
        <x:v>cephalopholis sonnerati</x:v>
      </x:c>
      <x:c r="O83" s="32" t="n">
        <x:v>3.81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Cephalopholis sonnerati</x:v>
      </x:c>
      <x:c r="T83" s="32" t="n">
        <x:f>IF(O83="","",(1/'Metadata'!$B$5)^(O83-1))</x:f>
        <x:v>645.6542290346556</x:v>
      </x:c>
      <x:c r="U83" s="31" t="n">
        <x:f>IF(T83="","",I83*T83)</x:f>
        <x:v>49.9608715164313</x:v>
      </x:c>
    </x:row>
    <x:row r="84" ht="18" customHeight="1">
      <x:c r="A84" s="24" t="str">
        <x:v>EEZ_016</x:v>
      </x:c>
      <x:c r="B84" s="24" t="str">
        <x:v>American Samoa</x:v>
      </x:c>
      <x:c r="C84" s="24" t="str">
        <x:v>EEZ</x:v>
      </x:c>
      <x:c r="D84" s="30" t="n">
        <x:v>2019</x:v>
      </x:c>
      <x:c r="E84" s="24" t="str">
        <x:v>Chaetodontidae</x:v>
      </x:c>
      <x:c r="F84" s="24" t="str">
        <x:v>Butterflyfishes</x:v>
      </x:c>
      <x:c r="G84" s="24" t="str">
        <x:v>Small reef assoc. fish (&lt;30 cm)</x:v>
      </x:c>
      <x:c r="H84" s="24" t="str">
        <x:v>Perch-likes</x:v>
      </x:c>
      <x:c r="I84" s="31" t="n">
        <x:v>0.0732899025</x:v>
      </x:c>
      <x:c r="J84" s="31" t="n">
        <x:v>0.0732899025</x:v>
      </x:c>
      <x:c r="K84" s="31" t="n">
        <x:v>0</x:v>
      </x:c>
      <x:c r="L84" s="31" t="n">
        <x:v>0</x:v>
      </x:c>
      <x:c r="M84" s="31" t="n">
        <x:v>0.0732899025</x:v>
      </x:c>
      <x:c r="N84" s="24" t="str">
        <x:v>chaetodontidae</x:v>
      </x:c>
      <x:c r="O84" s="32" t="n">
        <x:v>3.24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Chaetodontidae</x:v>
      </x:c>
      <x:c r="T84" s="32" t="n">
        <x:f>IF(O84="","",(1/'Metadata'!$B$5)^(O84-1))</x:f>
        <x:v>173.78008287493762</x:v>
      </x:c>
      <x:c r="U84" s="31" t="n">
        <x:f>IF(T84="","",I84*T84)</x:f>
        <x:v>12.736325330346098</x:v>
      </x:c>
    </x:row>
    <x:row r="85" ht="18" customHeight="1">
      <x:c r="A85" s="24" t="str">
        <x:v>EEZ_016</x:v>
      </x:c>
      <x:c r="B85" s="24" t="str">
        <x:v>American Samoa</x:v>
      </x:c>
      <x:c r="C85" s="24" t="str">
        <x:v>EEZ</x:v>
      </x:c>
      <x:c r="D85" s="30" t="n">
        <x:v>2019</x:v>
      </x:c>
      <x:c r="E85" s="24" t="str">
        <x:v>Carcharhinidae</x:v>
      </x:c>
      <x:c r="F85" s="24" t="str">
        <x:v>Requiem sharks</x:v>
      </x:c>
      <x:c r="G85" s="24" t="str">
        <x:v>Large sharks (&gt;=90 cm)</x:v>
      </x:c>
      <x:c r="H85" s="24" t="str">
        <x:v>Sharks &amp; rays</x:v>
      </x:c>
      <x:c r="I85" s="31" t="n">
        <x:v>0.07200411479999999</x:v>
      </x:c>
      <x:c r="J85" s="31" t="n">
        <x:v>0.07200411479999999</x:v>
      </x:c>
      <x:c r="K85" s="31" t="n">
        <x:v>0</x:v>
      </x:c>
      <x:c r="L85" s="31" t="n">
        <x:v>0</x:v>
      </x:c>
      <x:c r="M85" s="31" t="n">
        <x:v>0.07200411479999999</x:v>
      </x:c>
      <x:c r="N85" s="24" t="str">
        <x:v>carcharhinidae</x:v>
      </x:c>
      <x:c r="O85" s="32" t="n">
        <x:v>4.24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Carcharhinidae</x:v>
      </x:c>
      <x:c r="T85" s="32" t="n">
        <x:f>IF(O85="","",(1/'Metadata'!$B$5)^(O85-1))</x:f>
        <x:v>1737.8008287493763</x:v>
      </x:c>
      <x:c r="U85" s="31" t="n">
        <x:f>IF(T85="","",I85*T85)</x:f>
        <x:v>125.12881037280522</x:v>
      </x:c>
    </x:row>
    <x:row r="86" ht="18" customHeight="1">
      <x:c r="A86" s="24" t="str">
        <x:v>EEZ_016</x:v>
      </x:c>
      <x:c r="B86" s="24" t="str">
        <x:v>American Samoa</x:v>
      </x:c>
      <x:c r="C86" s="24" t="str">
        <x:v>EEZ</x:v>
      </x:c>
      <x:c r="D86" s="30" t="n">
        <x:v>2019</x:v>
      </x:c>
      <x:c r="E86" s="24" t="str">
        <x:v>Miscellaneous aquatic invertebrates</x:v>
      </x:c>
      <x:c r="F86" s="24" t="str">
        <x:v>Aquatic invertebrates</x:v>
      </x:c>
      <x:c r="G86" s="24" t="str">
        <x:v>Other demersal invertebrates</x:v>
      </x:c>
      <x:c r="H86" s="24" t="str">
        <x:v>Other fishes &amp; inverts</x:v>
      </x:c>
      <x:c r="I86" s="31" t="n">
        <x:v>0.058824790099999996</x:v>
      </x:c>
      <x:c r="J86" s="31" t="n">
        <x:v>0.058824790099999996</x:v>
      </x:c>
      <x:c r="K86" s="31" t="n">
        <x:v>0</x:v>
      </x:c>
      <x:c r="L86" s="31" t="n">
        <x:v>0</x:v>
      </x:c>
      <x:c r="M86" s="31" t="n">
        <x:v>0.058824790099999996</x:v>
      </x:c>
      <x:c r="N86" s="24" t="str">
        <x:v>miscellaneous aquatic invertebrates</x:v>
      </x:c>
      <x:c r="O86" s="32" t="n">
        <x:v>2.43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Miscellaneous aquatic invertebrates</x:v>
      </x:c>
      <x:c r="T86" s="32" t="n">
        <x:f>IF(O86="","",(1/'Metadata'!$B$5)^(O86-1))</x:f>
        <x:v>26.915348039269166</x:v>
      </x:c>
      <x:c r="U86" s="31" t="n">
        <x:f>IF(T86="","",I86*T86)</x:f>
        <x:v>1.583289698878455</x:v>
      </x:c>
    </x:row>
    <x:row r="87" ht="18" customHeight="1">
      <x:c r="A87" s="24" t="str">
        <x:v>EEZ_016</x:v>
      </x:c>
      <x:c r="B87" s="24" t="str">
        <x:v>American Samoa</x:v>
      </x:c>
      <x:c r="C87" s="24" t="str">
        <x:v>EEZ</x:v>
      </x:c>
      <x:c r="D87" s="30" t="n">
        <x:v>2019</x:v>
      </x:c>
      <x:c r="E87" s="24" t="str">
        <x:v>Upeneus taeniopterus</x:v>
      </x:c>
      <x:c r="F87" s="24" t="str">
        <x:v>Finstripe goatfish</x:v>
      </x:c>
      <x:c r="G87" s="24" t="str">
        <x:v>Small reef assoc. fish (&lt;30 cm)</x:v>
      </x:c>
      <x:c r="H87" s="24" t="str">
        <x:v>Perch-likes</x:v>
      </x:c>
      <x:c r="I87" s="31" t="n">
        <x:v>0.0568961085</x:v>
      </x:c>
      <x:c r="J87" s="31" t="n">
        <x:v>0.0568961085</x:v>
      </x:c>
      <x:c r="K87" s="31" t="n">
        <x:v>0</x:v>
      </x:c>
      <x:c r="L87" s="31" t="n">
        <x:v>0</x:v>
      </x:c>
      <x:c r="M87" s="31" t="n">
        <x:v>0.0568961085</x:v>
      </x:c>
      <x:c r="N87" s="24" t="str">
        <x:v>upeneus taeniopterus</x:v>
      </x:c>
      <x:c r="O87" s="32" t="n">
        <x:v>3.54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Upeneus taeniopterus</x:v>
      </x:c>
      <x:c r="T87" s="32" t="n">
        <x:f>IF(O87="","",(1/'Metadata'!$B$5)^(O87-1))</x:f>
        <x:v>346.73685045253166</x:v>
      </x:c>
      <x:c r="U87" s="31" t="n">
        <x:f>IF(T87="","",I87*T87)</x:f>
        <x:v>19.727977464295517</x:v>
      </x:c>
    </x:row>
    <x:row r="88" ht="18" customHeight="1">
      <x:c r="A88" s="24" t="str">
        <x:v>EEZ_016</x:v>
      </x:c>
      <x:c r="B88" s="24" t="str">
        <x:v>American Samoa</x:v>
      </x:c>
      <x:c r="C88" s="24" t="str">
        <x:v>EEZ</x:v>
      </x:c>
      <x:c r="D88" s="30" t="n">
        <x:v>2019</x:v>
      </x:c>
      <x:c r="E88" s="24" t="str">
        <x:v>Carcharhinus melanopterus</x:v>
      </x:c>
      <x:c r="F88" s="24" t="str">
        <x:v>Blacktip reef shark</x:v>
      </x:c>
      <x:c r="G88" s="24" t="str">
        <x:v>Large sharks (&gt;=90 cm)</x:v>
      </x:c>
      <x:c r="H88" s="24" t="str">
        <x:v>Sharks &amp; rays</x:v>
      </x:c>
      <x:c r="I88" s="31" t="n">
        <x:v>0.0498123085</x:v>
      </x:c>
      <x:c r="J88" s="31" t="n">
        <x:v>0.0498123085</x:v>
      </x:c>
      <x:c r="K88" s="31" t="n">
        <x:v>0</x:v>
      </x:c>
      <x:c r="L88" s="31" t="n">
        <x:v>0.0498123085</x:v>
      </x:c>
      <x:c r="M88" s="31" t="n">
        <x:v>0</x:v>
      </x:c>
      <x:c r="N88" s="24" t="str">
        <x:v>carcharhinus melanopterus</x:v>
      </x:c>
      <x:c r="O88" s="32" t="n">
        <x:v>3.94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Carcharhinus melanopterus</x:v>
      </x:c>
      <x:c r="T88" s="32" t="n">
        <x:f>IF(O88="","",(1/'Metadata'!$B$5)^(O88-1))</x:f>
        <x:v>870.9635899560806</x:v>
      </x:c>
      <x:c r="U88" s="31" t="n">
        <x:f>IF(T88="","",I88*T88)</x:f>
        <x:v>43.384707035159785</x:v>
      </x:c>
    </x:row>
    <x:row r="89" ht="18" customHeight="1">
      <x:c r="A89" s="24" t="str">
        <x:v>EEZ_016</x:v>
      </x:c>
      <x:c r="B89" s="24" t="str">
        <x:v>American Samoa</x:v>
      </x:c>
      <x:c r="C89" s="24" t="str">
        <x:v>EEZ</x:v>
      </x:c>
      <x:c r="D89" s="30" t="n">
        <x:v>2019</x:v>
      </x:c>
      <x:c r="E89" s="24" t="str">
        <x:v>Echinoidea</x:v>
      </x:c>
      <x:c r="F89" s="24" t="str">
        <x:v>Sea urchins, sea hedgehogs</x:v>
      </x:c>
      <x:c r="G89" s="24" t="str">
        <x:v>Other demersal invertebrates</x:v>
      </x:c>
      <x:c r="H89" s="24" t="str">
        <x:v>Other fishes &amp; inverts</x:v>
      </x:c>
      <x:c r="I89" s="31" t="n">
        <x:v>0.0472527003</x:v>
      </x:c>
      <x:c r="J89" s="31" t="n">
        <x:v>0.0472527003</x:v>
      </x:c>
      <x:c r="K89" s="31" t="n">
        <x:v>0</x:v>
      </x:c>
      <x:c r="L89" s="31" t="n">
        <x:v>0</x:v>
      </x:c>
      <x:c r="M89" s="31" t="n">
        <x:v>0.0472527003</x:v>
      </x:c>
      <x:c r="N89" s="24" t="str">
        <x:v>echinoidea</x:v>
      </x:c>
      <x:c r="O89" s="32" t="n">
        <x:v>2.51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Echinoidea</x:v>
      </x:c>
      <x:c r="T89" s="32" t="n">
        <x:f>IF(O89="","",(1/'Metadata'!$B$5)^(O89-1))</x:f>
        <x:v>32.35936569296281</x:v>
      </x:c>
      <x:c r="U89" s="31" t="n">
        <x:f>IF(T89="","",I89*T89)</x:f>
        <x:v>1.5290674089876735</x:v>
      </x:c>
    </x:row>
    <x:row r="90" ht="18" customHeight="1">
      <x:c r="A90" s="24" t="str">
        <x:v>EEZ_016</x:v>
      </x:c>
      <x:c r="B90" s="24" t="str">
        <x:v>American Samoa</x:v>
      </x:c>
      <x:c r="C90" s="24" t="str">
        <x:v>EEZ</x:v>
      </x:c>
      <x:c r="D90" s="30" t="n">
        <x:v>2019</x:v>
      </x:c>
      <x:c r="E90" s="24" t="str">
        <x:v>Cheilinus</x:v>
      </x:c>
      <x:c r="F90" s="24" t="str">
        <x:v>Wrasses</x:v>
      </x:c>
      <x:c r="G90" s="24" t="str">
        <x:v>Medium reef assoc. fish (30 - 89 cm)</x:v>
      </x:c>
      <x:c r="H90" s="24" t="str">
        <x:v>Perch-likes</x:v>
      </x:c>
      <x:c r="I90" s="31" t="n">
        <x:v>0.0459669125</x:v>
      </x:c>
      <x:c r="J90" s="31" t="n">
        <x:v>0.0459669125</x:v>
      </x:c>
      <x:c r="K90" s="31" t="n">
        <x:v>0</x:v>
      </x:c>
      <x:c r="L90" s="31" t="n">
        <x:v>0</x:v>
      </x:c>
      <x:c r="M90" s="31" t="n">
        <x:v>0.0459669125</x:v>
      </x:c>
      <x:c r="N90" s="24" t="str">
        <x:v>cheilinus</x:v>
      </x:c>
      <x:c r="O90" s="32" t="n">
        <x:v>3.44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Cheilinus</x:v>
      </x:c>
      <x:c r="T90" s="32" t="n">
        <x:f>IF(O90="","",(1/'Metadata'!$B$5)^(O90-1))</x:f>
        <x:v>275.4228703338166</x:v>
      </x:c>
      <x:c r="U90" s="31" t="n">
        <x:f>IF(T90="","",I90*T90)</x:f>
        <x:v>12.660338981133393</x:v>
      </x:c>
    </x:row>
    <x:row r="91" ht="18" customHeight="1">
      <x:c r="A91" s="24" t="str">
        <x:v>EEZ_016</x:v>
      </x:c>
      <x:c r="B91" s="24" t="str">
        <x:v>American Samoa</x:v>
      </x:c>
      <x:c r="C91" s="24" t="str">
        <x:v>EEZ</x:v>
      </x:c>
      <x:c r="D91" s="30" t="n">
        <x:v>2019</x:v>
      </x:c>
      <x:c r="E91" s="24" t="str">
        <x:v>Congridae</x:v>
      </x:c>
      <x:c r="F91" s="24" t="str">
        <x:v>Conger, garden eels</x:v>
      </x:c>
      <x:c r="G91" s="24" t="str">
        <x:v>Large demersals (&gt;=90 cm)</x:v>
      </x:c>
      <x:c r="H91" s="24" t="str">
        <x:v>Other fishes &amp; inverts</x:v>
      </x:c>
      <x:c r="I91" s="31" t="n">
        <x:v>0.0401808676</x:v>
      </x:c>
      <x:c r="J91" s="31" t="n">
        <x:v>0.0401808676</x:v>
      </x:c>
      <x:c r="K91" s="31" t="n">
        <x:v>0</x:v>
      </x:c>
      <x:c r="L91" s="31" t="n">
        <x:v>0</x:v>
      </x:c>
      <x:c r="M91" s="31" t="n">
        <x:v>0.0401808676</x:v>
      </x:c>
      <x:c r="N91" s="24" t="str">
        <x:v>congridae</x:v>
      </x:c>
      <x:c r="O91" s="32" t="n">
        <x:v>4.18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Congridae</x:v>
      </x:c>
      <x:c r="T91" s="32" t="n">
        <x:f>IF(O91="","",(1/'Metadata'!$B$5)^(O91-1))</x:f>
        <x:v>1513.5612484362073</x:v>
      </x:c>
      <x:c r="U91" s="31" t="n">
        <x:f>IF(T91="","",I91*T91)</x:f>
        <x:v>60.816204127905955</x:v>
      </x:c>
    </x:row>
    <x:row r="92" ht="18" customHeight="1">
      <x:c r="A92" s="24" t="str">
        <x:v>EEZ_016</x:v>
      </x:c>
      <x:c r="B92" s="24" t="str">
        <x:v>American Samoa</x:v>
      </x:c>
      <x:c r="C92" s="24" t="str">
        <x:v>EEZ</x:v>
      </x:c>
      <x:c r="D92" s="30" t="n">
        <x:v>2019</x:v>
      </x:c>
      <x:c r="E92" s="24" t="str">
        <x:v>Leiognathidae</x:v>
      </x:c>
      <x:c r="F92" s="24" t="str">
        <x:v>Slipmouths, ponyfishes</x:v>
      </x:c>
      <x:c r="G92" s="24" t="str">
        <x:v>Small benthopelagics (&lt;30 cm)</x:v>
      </x:c>
      <x:c r="H92" s="24" t="str">
        <x:v>Perch-likes</x:v>
      </x:c>
      <x:c r="I92" s="31" t="n">
        <x:v>0.0372878451</x:v>
      </x:c>
      <x:c r="J92" s="31" t="n">
        <x:v>0.0372878451</x:v>
      </x:c>
      <x:c r="K92" s="31" t="n">
        <x:v>0</x:v>
      </x:c>
      <x:c r="L92" s="31" t="n">
        <x:v>0</x:v>
      </x:c>
      <x:c r="M92" s="31" t="n">
        <x:v>0.0372878451</x:v>
      </x:c>
      <x:c r="N92" s="24" t="str">
        <x:v>leiognathidae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Leiognathidae</x:v>
      </x:c>
      <x:c r="T92" s="32" t="n">
        <x:f>IF(O92="","",(1/'Metadata'!$B$5)^(O92-1))</x:f>
        <x:v>173.78008287493762</x:v>
      </x:c>
      <x:c r="U92" s="31" t="n">
        <x:f>IF(T92="","",I92*T92)</x:f>
        <x:v>6.479884811705837</x:v>
      </x:c>
    </x:row>
    <x:row r="93" ht="18" customHeight="1">
      <x:c r="A93" s="24" t="str">
        <x:v>EEZ_016</x:v>
      </x:c>
      <x:c r="B93" s="24" t="str">
        <x:v>American Samoa</x:v>
      </x:c>
      <x:c r="C93" s="24" t="str">
        <x:v>EEZ</x:v>
      </x:c>
      <x:c r="D93" s="30" t="n">
        <x:v>2019</x:v>
      </x:c>
      <x:c r="E93" s="24" t="str">
        <x:v>Lethrinus rubrioperculatus</x:v>
      </x:c>
      <x:c r="F93" s="24" t="str">
        <x:v>Spotcheek emperor</x:v>
      </x:c>
      <x:c r="G93" s="24" t="str">
        <x:v>Medium reef assoc. fish (30 - 89 cm)</x:v>
      </x:c>
      <x:c r="H93" s="24" t="str">
        <x:v>Perch-likes</x:v>
      </x:c>
      <x:c r="I93" s="31" t="n">
        <x:v>0.0319156401</x:v>
      </x:c>
      <x:c r="J93" s="31" t="n">
        <x:v>0.0319156401</x:v>
      </x:c>
      <x:c r="K93" s="31" t="n">
        <x:v>0</x:v>
      </x:c>
      <x:c r="L93" s="31" t="n">
        <x:v>0.0319156401</x:v>
      </x:c>
      <x:c r="M93" s="31" t="n">
        <x:v>0</x:v>
      </x:c>
      <x:c r="N93" s="24" t="str">
        <x:v>lethrinus rubrioperculatus</x:v>
      </x:c>
      <x:c r="O93" s="32" t="n">
        <x:v>3.75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Lethrinus rubrioperculatus</x:v>
      </x:c>
      <x:c r="T93" s="32" t="n">
        <x:f>IF(O93="","",(1/'Metadata'!$B$5)^(O93-1))</x:f>
        <x:v>562.341325190349</x:v>
      </x:c>
      <x:c r="U93" s="31" t="n">
        <x:f>IF(T93="","",I93*T93)</x:f>
        <x:v>17.947483348132245</x:v>
      </x:c>
    </x:row>
    <x:row r="94" ht="18" customHeight="1">
      <x:c r="A94" s="24" t="str">
        <x:v>EEZ_016</x:v>
      </x:c>
      <x:c r="B94" s="24" t="str">
        <x:v>American Samoa</x:v>
      </x:c>
      <x:c r="C94" s="24" t="str">
        <x:v>EEZ</x:v>
      </x:c>
      <x:c r="D94" s="30" t="n">
        <x:v>2019</x:v>
      </x:c>
      <x:c r="E94" s="24" t="str">
        <x:v>Pristipomoides zonatus</x:v>
      </x:c>
      <x:c r="F94" s="24" t="str">
        <x:v>Oblique-banded snapper</x:v>
      </x:c>
      <x:c r="G94" s="24" t="str">
        <x:v>Medium demersals (30 - 89 cm)</x:v>
      </x:c>
      <x:c r="H94" s="24" t="str">
        <x:v>Perch-likes</x:v>
      </x:c>
      <x:c r="I94" s="31" t="n">
        <x:v>0.0314200715</x:v>
      </x:c>
      <x:c r="J94" s="31" t="n">
        <x:v>0.0314200715</x:v>
      </x:c>
      <x:c r="K94" s="31" t="n">
        <x:v>0</x:v>
      </x:c>
      <x:c r="L94" s="31" t="n">
        <x:v>0.0314200715</x:v>
      </x:c>
      <x:c r="M94" s="31" t="n">
        <x:v>0</x:v>
      </x:c>
      <x:c r="N94" s="24" t="str">
        <x:v>pristipomoides zonatus</x:v>
      </x:c>
      <x:c r="O94" s="32" t="n">
        <x:v>4.04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Pristipomoides zonatus</x:v>
      </x:c>
      <x:c r="T94" s="32" t="n">
        <x:f>IF(O94="","",(1/'Metadata'!$B$5)^(O94-1))</x:f>
        <x:v>1096.4781961431852</x:v>
      </x:c>
      <x:c r="U94" s="31" t="n">
        <x:f>IF(T94="","",I94*T94)</x:f>
        <x:v>34.451423321009905</x:v>
      </x:c>
    </x:row>
    <x:row r="95" ht="18" customHeight="1">
      <x:c r="A95" s="24" t="str">
        <x:v>EEZ_016</x:v>
      </x:c>
      <x:c r="B95" s="24" t="str">
        <x:v>American Samoa</x:v>
      </x:c>
      <x:c r="C95" s="24" t="str">
        <x:v>EEZ</x:v>
      </x:c>
      <x:c r="D95" s="30" t="n">
        <x:v>2019</x:v>
      </x:c>
      <x:c r="E95" s="24" t="str">
        <x:v>Kyphosidae</x:v>
      </x:c>
      <x:c r="F95" s="24" t="str">
        <x:v>Sea chubs, knifefishes, niblers</x:v>
      </x:c>
      <x:c r="G95" s="24" t="str">
        <x:v>Medium reef assoc. fish (30 - 89 cm)</x:v>
      </x:c>
      <x:c r="H95" s="24" t="str">
        <x:v>Perch-likes</x:v>
      </x:c>
      <x:c r="I95" s="31" t="n">
        <x:v>0.0266932929</x:v>
      </x:c>
      <x:c r="J95" s="31" t="n">
        <x:v>0.0266932929</x:v>
      </x:c>
      <x:c r="K95" s="31" t="n">
        <x:v>0</x:v>
      </x:c>
      <x:c r="L95" s="31" t="n">
        <x:v>0.0160855439</x:v>
      </x:c>
      <x:c r="M95" s="31" t="n">
        <x:v>0.010607749000000001</x:v>
      </x:c>
      <x:c r="N95" s="24" t="str">
        <x:v>kyphosidae</x:v>
      </x:c>
      <x:c r="O95" s="32" t="n">
        <x:v>2.19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Kyphosidae</x:v>
      </x:c>
      <x:c r="T95" s="32" t="n">
        <x:f>IF(O95="","",(1/'Metadata'!$B$5)^(O95-1))</x:f>
        <x:v>15.488166189124811</x:v>
      </x:c>
      <x:c r="U95" s="31" t="n">
        <x:f>IF(T95="","",I95*T95)</x:f>
        <x:v>0.4134301565701854</x:v>
      </x:c>
    </x:row>
    <x:row r="96" ht="18" customHeight="1">
      <x:c r="A96" s="24" t="str">
        <x:v>EEZ_016</x:v>
      </x:c>
      <x:c r="B96" s="24" t="str">
        <x:v>American Samoa</x:v>
      </x:c>
      <x:c r="C96" s="24" t="str">
        <x:v>EEZ</x:v>
      </x:c>
      <x:c r="D96" s="30" t="n">
        <x:v>2019</x:v>
      </x:c>
      <x:c r="E96" s="24" t="str">
        <x:v>Epinephelus fasciatus</x:v>
      </x:c>
      <x:c r="F96" s="24" t="str">
        <x:v>Blacktip grouper</x:v>
      </x:c>
      <x:c r="G96" s="24" t="str">
        <x:v>Medium reef assoc. fish (30 - 89 cm)</x:v>
      </x:c>
      <x:c r="H96" s="24" t="str">
        <x:v>Perch-likes</x:v>
      </x:c>
      <x:c r="I96" s="31" t="n">
        <x:v>0.0250338781</x:v>
      </x:c>
      <x:c r="J96" s="31" t="n">
        <x:v>0.0250338781</x:v>
      </x:c>
      <x:c r="K96" s="31" t="n">
        <x:v>0</x:v>
      </x:c>
      <x:c r="L96" s="31" t="n">
        <x:v>0.0250338781</x:v>
      </x:c>
      <x:c r="M96" s="31" t="n">
        <x:v>0</x:v>
      </x:c>
      <x:c r="N96" s="24" t="str">
        <x:v>epinephelus fasciatus</x:v>
      </x:c>
      <x:c r="O96" s="32" t="n">
        <x:v>3.72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Epinephelus fasciatus</x:v>
      </x:c>
      <x:c r="T96" s="32" t="n">
        <x:f>IF(O96="","",(1/'Metadata'!$B$5)^(O96-1))</x:f>
        <x:v>524.8074602497728</x:v>
      </x:c>
      <x:c r="U96" s="31" t="n">
        <x:f>IF(T96="","",I96*T96)</x:f>
        <x:v>13.137965985863408</x:v>
      </x:c>
    </x:row>
    <x:row r="97" ht="18" customHeight="1">
      <x:c r="A97" s="24" t="str">
        <x:v>EEZ_016</x:v>
      </x:c>
      <x:c r="B97" s="24" t="str">
        <x:v>American Samoa</x:v>
      </x:c>
      <x:c r="C97" s="24" t="str">
        <x:v>EEZ</x:v>
      </x:c>
      <x:c r="D97" s="30" t="n">
        <x:v>2019</x:v>
      </x:c>
      <x:c r="E97" s="24" t="str">
        <x:v>Paracaesio stonei</x:v>
      </x:c>
      <x:c r="F97" s="24" t="str">
        <x:v>Cocoa snapper</x:v>
      </x:c>
      <x:c r="G97" s="24" t="str">
        <x:v>Medium bathypelagics (30 - 89 cm)</x:v>
      </x:c>
      <x:c r="H97" s="24" t="str">
        <x:v>Perch-likes</x:v>
      </x:c>
      <x:c r="I97" s="31" t="n">
        <x:v>0.017370446</x:v>
      </x:c>
      <x:c r="J97" s="31" t="n">
        <x:v>0.017370446</x:v>
      </x:c>
      <x:c r="K97" s="31" t="n">
        <x:v>0</x:v>
      </x:c>
      <x:c r="L97" s="31" t="n">
        <x:v>0.017370446</x:v>
      </x:c>
      <x:c r="M97" s="31" t="n">
        <x:v>0</x:v>
      </x:c>
      <x:c r="N97" s="24" t="str">
        <x:v>paracaesio stonei</x:v>
      </x:c>
      <x:c r="O97" s="32" t="n">
        <x:v>4.01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Paracaesio stonei</x:v>
      </x:c>
      <x:c r="T97" s="32" t="n">
        <x:f>IF(O97="","",(1/'Metadata'!$B$5)^(O97-1))</x:f>
        <x:v>1023.2929922807537</x:v>
      </x:c>
      <x:c r="U97" s="31" t="n">
        <x:f>IF(T97="","",I97*T97)</x:f>
        <x:v>17.77505566459125</x:v>
      </x:c>
    </x:row>
    <x:row r="98" ht="18" customHeight="1">
      <x:c r="A98" s="24" t="str">
        <x:v>EEZ_016</x:v>
      </x:c>
      <x:c r="B98" s="24" t="str">
        <x:v>American Samoa</x:v>
      </x:c>
      <x:c r="C98" s="24" t="str">
        <x:v>EEZ</x:v>
      </x:c>
      <x:c r="D98" s="30" t="n">
        <x:v>2019</x:v>
      </x:c>
      <x:c r="E98" s="24" t="str">
        <x:v>Pristipomoides filamentosus</x:v>
      </x:c>
      <x:c r="F98" s="24" t="str">
        <x:v>Crimson jobfish</x:v>
      </x:c>
      <x:c r="G98" s="24" t="str">
        <x:v>Medium demersals (30 - 89 cm)</x:v>
      </x:c>
      <x:c r="H98" s="24" t="str">
        <x:v>Perch-likes</x:v>
      </x:c>
      <x:c r="I98" s="31" t="n">
        <x:v>0.0168595506</x:v>
      </x:c>
      <x:c r="J98" s="31" t="n">
        <x:v>0.0168595506</x:v>
      </x:c>
      <x:c r="K98" s="31" t="n">
        <x:v>0</x:v>
      </x:c>
      <x:c r="L98" s="31" t="n">
        <x:v>0.0168595506</x:v>
      </x:c>
      <x:c r="M98" s="31" t="n">
        <x:v>0</x:v>
      </x:c>
      <x:c r="N98" s="24" t="str">
        <x:v>pristipomoides filamentosus</x:v>
      </x:c>
      <x:c r="O98" s="32" t="n">
        <x:v>4.19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Pristipomoides filamentosus</x:v>
      </x:c>
      <x:c r="T98" s="32" t="n">
        <x:f>IF(O98="","",(1/'Metadata'!$B$5)^(O98-1))</x:f>
        <x:v>1548.8166189124827</x:v>
      </x:c>
      <x:c r="U98" s="31" t="n">
        <x:f>IF(T98="","",I98*T98)</x:f>
        <x:v>26.112352156675918</x:v>
      </x:c>
    </x:row>
    <x:row r="99" ht="18" customHeight="1">
      <x:c r="A99" s="24" t="str">
        <x:v>EEZ_016</x:v>
      </x:c>
      <x:c r="B99" s="24" t="str">
        <x:v>American Samoa</x:v>
      </x:c>
      <x:c r="C99" s="24" t="str">
        <x:v>EEZ</x:v>
      </x:c>
      <x:c r="D99" s="30" t="n">
        <x:v>2019</x:v>
      </x:c>
      <x:c r="E99" s="24" t="str">
        <x:v>Mola mola</x:v>
      </x:c>
      <x:c r="F99" s="24" t="str">
        <x:v>Ocean sunfish</x:v>
      </x:c>
      <x:c r="G99" s="24" t="str">
        <x:v>Large pelagics (&gt;=90 cm)</x:v>
      </x:c>
      <x:c r="H99" s="24" t="str">
        <x:v>Other fishes &amp; inverts</x:v>
      </x:c>
      <x:c r="I99" s="31" t="n">
        <x:v>0.0166041028</x:v>
      </x:c>
      <x:c r="J99" s="31" t="n">
        <x:v>0.0166041028</x:v>
      </x:c>
      <x:c r="K99" s="31" t="n">
        <x:v>0</x:v>
      </x:c>
      <x:c r="L99" s="31" t="n">
        <x:v>0.0166041028</x:v>
      </x:c>
      <x:c r="M99" s="31" t="n">
        <x:v>0</x:v>
      </x:c>
      <x:c r="N99" s="24" t="str">
        <x:v>mola mola</x:v>
      </x:c>
      <x:c r="O99" s="32" t="n">
        <x:v>3.68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Mola mola</x:v>
      </x:c>
      <x:c r="T99" s="32" t="n">
        <x:f>IF(O99="","",(1/'Metadata'!$B$5)^(O99-1))</x:f>
        <x:v>478.6300923226385</x:v>
      </x:c>
      <x:c r="U99" s="31" t="n">
        <x:f>IF(T99="","",I99*T99)</x:f>
        <x:v>7.947223256098581</x:v>
      </x:c>
    </x:row>
    <x:row r="100" ht="18" customHeight="1">
      <x:c r="A100" s="24" t="str">
        <x:v>EEZ_016</x:v>
      </x:c>
      <x:c r="B100" s="24" t="str">
        <x:v>American Samoa</x:v>
      </x:c>
      <x:c r="C100" s="24" t="str">
        <x:v>EEZ</x:v>
      </x:c>
      <x:c r="D100" s="30" t="n">
        <x:v>2019</x:v>
      </x:c>
      <x:c r="E100" s="24" t="str">
        <x:v>Clupeidae</x:v>
      </x:c>
      <x:c r="F100" s="24" t="str">
        <x:v>Herrings, sardines, menhadens</x:v>
      </x:c>
      <x:c r="G100" s="24" t="str">
        <x:v>Small pelagics (&lt;30 cm)</x:v>
      </x:c>
      <x:c r="H100" s="24" t="str">
        <x:v>Herring-likes</x:v>
      </x:c>
      <x:c r="I100" s="31" t="n">
        <x:v>0.0157509001</x:v>
      </x:c>
      <x:c r="J100" s="31" t="n">
        <x:v>0.0157509001</x:v>
      </x:c>
      <x:c r="K100" s="31" t="n">
        <x:v>0</x:v>
      </x:c>
      <x:c r="L100" s="31" t="n">
        <x:v>0</x:v>
      </x:c>
      <x:c r="M100" s="31" t="n">
        <x:v>0.0157509001</x:v>
      </x:c>
      <x:c r="N100" s="24" t="str">
        <x:v>clupeidae</x:v>
      </x:c>
      <x:c r="O100" s="32" t="n">
        <x:v>3.16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Clupeidae</x:v>
      </x:c>
      <x:c r="T100" s="32" t="n">
        <x:f>IF(O100="","",(1/'Metadata'!$B$5)^(O100-1))</x:f>
        <x:v>144.5439770745928</x:v>
      </x:c>
      <x:c r="U100" s="31" t="n">
        <x:f>IF(T100="","",I100*T100)</x:f>
        <x:v>2.2766977429586013</x:v>
      </x:c>
    </x:row>
    <x:row r="101" ht="18" customHeight="1">
      <x:c r="A101" s="24" t="str">
        <x:v>EEZ_016</x:v>
      </x:c>
      <x:c r="B101" s="24" t="str">
        <x:v>American Samoa</x:v>
      </x:c>
      <x:c r="C101" s="24" t="str">
        <x:v>EEZ</x:v>
      </x:c>
      <x:c r="D101" s="30" t="n">
        <x:v>2019</x:v>
      </x:c>
      <x:c r="E101" s="24" t="str">
        <x:v>Lutjanus</x:v>
      </x:c>
      <x:c r="F101" s="24" t="str">
        <x:v>Snappers</x:v>
      </x:c>
      <x:c r="G101" s="24" t="str">
        <x:v>Medium reef assoc. fish (30 - 89 cm)</x:v>
      </x:c>
      <x:c r="H101" s="24" t="str">
        <x:v>Perch-likes</x:v>
      </x:c>
      <x:c r="I101" s="31" t="n">
        <x:v>0.0127723868</x:v>
      </x:c>
      <x:c r="J101" s="31" t="n">
        <x:v>0.0127723868</x:v>
      </x:c>
      <x:c r="K101" s="31" t="n">
        <x:v>0</x:v>
      </x:c>
      <x:c r="L101" s="31" t="n">
        <x:v>0.0127723868</x:v>
      </x:c>
      <x:c r="M101" s="31" t="n">
        <x:v>0</x:v>
      </x:c>
      <x:c r="N101" s="24" t="str">
        <x:v>lutjanus</x:v>
      </x:c>
      <x:c r="O101" s="32" t="n">
        <x:v>4.02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Lutjanus</x:v>
      </x:c>
      <x:c r="T101" s="32" t="n">
        <x:f>IF(O101="","",(1/'Metadata'!$B$5)^(O101-1))</x:f>
        <x:v>1047.1285480508984</x:v>
      </x:c>
      <x:c r="U101" s="31" t="n">
        <x:f>IF(T101="","",I101*T101)</x:f>
        <x:v>13.374330845028462</x:v>
      </x:c>
    </x:row>
    <x:row r="102" ht="18" customHeight="1">
      <x:c r="A102" s="24" t="str">
        <x:v>EEZ_016</x:v>
      </x:c>
      <x:c r="B102" s="24" t="str">
        <x:v>American Samoa</x:v>
      </x:c>
      <x:c r="C102" s="24" t="str">
        <x:v>EEZ</x:v>
      </x:c>
      <x:c r="D102" s="30" t="n">
        <x:v>2019</x:v>
      </x:c>
      <x:c r="E102" s="24" t="str">
        <x:v>Plotosus lineatus</x:v>
      </x:c>
      <x:c r="F102" s="24" t="str">
        <x:v>Striped eel catfish</x:v>
      </x:c>
      <x:c r="G102" s="24" t="str">
        <x:v>Medium reef assoc. fish (30 - 89 cm)</x:v>
      </x:c>
      <x:c r="H102" s="24" t="str">
        <x:v>Other fishes &amp; inverts</x:v>
      </x:c>
      <x:c r="I102" s="31" t="n">
        <x:v>0.0115720899</x:v>
      </x:c>
      <x:c r="J102" s="31" t="n">
        <x:v>0.0115720899</x:v>
      </x:c>
      <x:c r="K102" s="31" t="n">
        <x:v>0</x:v>
      </x:c>
      <x:c r="L102" s="31" t="n">
        <x:v>0</x:v>
      </x:c>
      <x:c r="M102" s="31" t="n">
        <x:v>0.0115720899</x:v>
      </x:c>
      <x:c r="N102" s="24" t="str">
        <x:v>plotosus lineatus</x:v>
      </x:c>
      <x:c r="O102" s="32" t="n">
        <x:v>3.57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Plotosus lineatus</x:v>
      </x:c>
      <x:c r="T102" s="32" t="n">
        <x:f>IF(O102="","",(1/'Metadata'!$B$5)^(O102-1))</x:f>
        <x:v>371.5352290971724</x:v>
      </x:c>
      <x:c r="U102" s="31" t="n">
        <x:f>IF(T102="","",I102*T102)</x:f>
        <x:v>4.299439072129576</x:v>
      </x:c>
    </x:row>
    <x:row r="103" ht="18" customHeight="1">
      <x:c r="A103" s="24" t="str">
        <x:v>EEZ_016</x:v>
      </x:c>
      <x:c r="B103" s="24" t="str">
        <x:v>American Samoa</x:v>
      </x:c>
      <x:c r="C103" s="24" t="str">
        <x:v>EEZ</x:v>
      </x:c>
      <x:c r="D103" s="30" t="n">
        <x:v>2019</x:v>
      </x:c>
      <x:c r="E103" s="24" t="str">
        <x:v>Decapterus macarellus</x:v>
      </x:c>
      <x:c r="F103" s="24" t="str">
        <x:v>Mackerel scad</x:v>
      </x:c>
      <x:c r="G103" s="24" t="str">
        <x:v>Medium pelagics (30 - 89 cm)</x:v>
      </x:c>
      <x:c r="H103" s="24" t="str">
        <x:v>Perch-likes</x:v>
      </x:c>
      <x:c r="I103" s="31" t="n">
        <x:v>0.0112506429</x:v>
      </x:c>
      <x:c r="J103" s="31" t="n">
        <x:v>0.0112506429</x:v>
      </x:c>
      <x:c r="K103" s="31" t="n">
        <x:v>0</x:v>
      </x:c>
      <x:c r="L103" s="31" t="n">
        <x:v>0</x:v>
      </x:c>
      <x:c r="M103" s="31" t="n">
        <x:v>0.0112506429</x:v>
      </x:c>
      <x:c r="N103" s="24" t="str">
        <x:v>decapterus macarellus</x:v>
      </x:c>
      <x:c r="O103" s="32" t="n">
        <x:v>3.96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Decapterus macarellus</x:v>
      </x:c>
      <x:c r="T103" s="32" t="n">
        <x:f>IF(O103="","",(1/'Metadata'!$B$5)^(O103-1))</x:f>
        <x:v>912.0108393559096</x:v>
      </x:c>
      <x:c r="U103" s="31" t="n">
        <x:f>IF(T103="","",I103*T103)</x:f>
        <x:v>10.260708274522605</x:v>
      </x:c>
    </x:row>
    <x:row r="104" ht="18" customHeight="1">
      <x:c r="A104" s="24" t="str">
        <x:v>EEZ_016</x:v>
      </x:c>
      <x:c r="B104" s="24" t="str">
        <x:v>American Samoa</x:v>
      </x:c>
      <x:c r="C104" s="24" t="str">
        <x:v>EEZ</x:v>
      </x:c>
      <x:c r="D104" s="30" t="n">
        <x:v>2019</x:v>
      </x:c>
      <x:c r="E104" s="24" t="str">
        <x:v>Pristipomoides argyrogrammicus</x:v>
      </x:c>
      <x:c r="F104" s="24" t="str">
        <x:v>Ornate jobfish</x:v>
      </x:c>
      <x:c r="G104" s="24" t="str">
        <x:v>Medium demersals (30 - 89 cm)</x:v>
      </x:c>
      <x:c r="H104" s="24" t="str">
        <x:v>Perch-likes</x:v>
      </x:c>
      <x:c r="I104" s="31" t="n">
        <x:v>0.008685223</x:v>
      </x:c>
      <x:c r="J104" s="31" t="n">
        <x:v>0.008685223</x:v>
      </x:c>
      <x:c r="K104" s="31" t="n">
        <x:v>0</x:v>
      </x:c>
      <x:c r="L104" s="31" t="n">
        <x:v>0.008685223</x:v>
      </x:c>
      <x:c r="M104" s="31" t="n">
        <x:v>0</x:v>
      </x:c>
      <x:c r="N104" s="24" t="str">
        <x:v>pristipomoides argyrogrammicus</x:v>
      </x:c>
      <x:c r="O104" s="32" t="n">
        <x:v>4.18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Pristipomoides argyrogrammicus</x:v>
      </x:c>
      <x:c r="T104" s="32" t="n">
        <x:f>IF(O104="","",(1/'Metadata'!$B$5)^(O104-1))</x:f>
        <x:v>1513.5612484362073</x:v>
      </x:c>
      <x:c r="U104" s="31" t="n">
        <x:f>IF(T104="","",I104*T104)</x:f>
        <x:v>13.145616966826863</x:v>
      </x:c>
    </x:row>
    <x:row r="105" ht="18" customHeight="1">
      <x:c r="A105" s="24" t="str">
        <x:v>EEZ_016</x:v>
      </x:c>
      <x:c r="B105" s="24" t="str">
        <x:v>American Samoa</x:v>
      </x:c>
      <x:c r="C105" s="24" t="str">
        <x:v>EEZ</x:v>
      </x:c>
      <x:c r="D105" s="30" t="n">
        <x:v>2019</x:v>
      </x:c>
      <x:c r="E105" s="24" t="str">
        <x:v>Siganus</x:v>
      </x:c>
      <x:c r="F105" s="24" t="str">
        <x:v>Spinefoots</x:v>
      </x:c>
      <x:c r="G105" s="24" t="str">
        <x:v>Medium reef assoc. fish (30 - 89 cm)</x:v>
      </x:c>
      <x:c r="H105" s="24" t="str">
        <x:v>Perch-likes</x:v>
      </x:c>
      <x:c r="I105" s="31" t="n">
        <x:v>0.0075970157</x:v>
      </x:c>
      <x:c r="J105" s="31" t="n">
        <x:v>0.0075970157</x:v>
      </x:c>
      <x:c r="K105" s="31" t="n">
        <x:v>0</x:v>
      </x:c>
      <x:c r="L105" s="31" t="n">
        <x:v>0.0075970157</x:v>
      </x:c>
      <x:c r="M105" s="31" t="n">
        <x:v>0</x:v>
      </x:c>
      <x:c r="N105" s="24" t="str">
        <x:v>siganus</x:v>
      </x:c>
      <x:c r="O105" s="32" t="n">
        <x:v>2.11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Siganus</x:v>
      </x:c>
      <x:c r="T105" s="32" t="n">
        <x:f>IF(O105="","",(1/'Metadata'!$B$5)^(O105-1))</x:f>
        <x:v>12.882495516931336</x:v>
      </x:c>
      <x:c r="U105" s="31" t="n">
        <x:f>IF(T105="","",I105*T105)</x:f>
        <x:v>0.09786852069730698</x:v>
      </x:c>
    </x:row>
    <x:row r="106" ht="18" customHeight="1">
      <x:c r="A106" s="24" t="str">
        <x:v>EEZ_016</x:v>
      </x:c>
      <x:c r="B106" s="24" t="str">
        <x:v>American Samoa</x:v>
      </x:c>
      <x:c r="C106" s="24" t="str">
        <x:v>EEZ</x:v>
      </x:c>
      <x:c r="D106" s="30" t="n">
        <x:v>2019</x:v>
      </x:c>
      <x:c r="E106" s="24" t="str">
        <x:v>Plectorhinchus vittatus</x:v>
      </x:c>
      <x:c r="F106" s="24" t="str">
        <x:v>Indian Ocean oriental sweetlips</x:v>
      </x:c>
      <x:c r="G106" s="24" t="str">
        <x:v>Medium reef assoc. fish (30 - 89 cm)</x:v>
      </x:c>
      <x:c r="H106" s="24" t="str">
        <x:v>Perch-likes</x:v>
      </x:c>
      <x:c r="I106" s="31" t="n">
        <x:v>0.0070718327</x:v>
      </x:c>
      <x:c r="J106" s="31" t="n">
        <x:v>0.0070718327</x:v>
      </x:c>
      <x:c r="K106" s="31" t="n">
        <x:v>0</x:v>
      </x:c>
      <x:c r="L106" s="31" t="n">
        <x:v>0</x:v>
      </x:c>
      <x:c r="M106" s="31" t="n">
        <x:v>0.0070718327</x:v>
      </x:c>
      <x:c r="N106" s="24" t="str">
        <x:v>plectorhinchus vittatus</x:v>
      </x:c>
      <x:c r="O106" s="32" t="n">
        <x:v>3.82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Plectorhinchus vittatus</x:v>
      </x:c>
      <x:c r="T106" s="32" t="n">
        <x:f>IF(O106="","",(1/'Metadata'!$B$5)^(O106-1))</x:f>
        <x:v>660.6934480075957</x:v>
      </x:c>
      <x:c r="U106" s="31" t="n">
        <x:f>IF(T106="","",I106*T106)</x:f>
        <x:v>4.672313530295866</x:v>
      </x:c>
    </x:row>
    <x:row r="107" ht="18" customHeight="1">
      <x:c r="A107" s="24" t="str">
        <x:v>EEZ_016</x:v>
      </x:c>
      <x:c r="B107" s="24" t="str">
        <x:v>American Samoa</x:v>
      </x:c>
      <x:c r="C107" s="24" t="str">
        <x:v>EEZ</x:v>
      </x:c>
      <x:c r="D107" s="30" t="n">
        <x:v>2019</x:v>
      </x:c>
      <x:c r="E107" s="24" t="str">
        <x:v>Sargocentron spiniferum</x:v>
      </x:c>
      <x:c r="F107" s="24" t="str">
        <x:v>Sabre squirrelfish</x:v>
      </x:c>
      <x:c r="G107" s="24" t="str">
        <x:v>Medium reef assoc. fish (30 - 89 cm)</x:v>
      </x:c>
      <x:c r="H107" s="24" t="str">
        <x:v>Other fishes &amp; inverts</x:v>
      </x:c>
      <x:c r="I107" s="31" t="n">
        <x:v>0.0061307457</x:v>
      </x:c>
      <x:c r="J107" s="31" t="n">
        <x:v>0.0061307457</x:v>
      </x:c>
      <x:c r="K107" s="31" t="n">
        <x:v>0</x:v>
      </x:c>
      <x:c r="L107" s="31" t="n">
        <x:v>0.0061307457</x:v>
      </x:c>
      <x:c r="M107" s="31" t="n">
        <x:v>0</x:v>
      </x:c>
      <x:c r="N107" s="24" t="str">
        <x:v>sargocentron spiniferum</x:v>
      </x:c>
      <x:c r="O107" s="32" t="n">
        <x:v>3.6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Sargocentron spiniferum</x:v>
      </x:c>
      <x:c r="T107" s="32" t="n">
        <x:f>IF(O107="","",(1/'Metadata'!$B$5)^(O107-1))</x:f>
        <x:v>398.1071705534973</x:v>
      </x:c>
      <x:c r="U107" s="31" t="n">
        <x:f>IF(T107="","",I107*T107)</x:f>
        <x:v>2.44069382401002</x:v>
      </x:c>
    </x:row>
    <x:row r="108" ht="18" customHeight="1">
      <x:c r="A108" s="24" t="str">
        <x:v>EEZ_016</x:v>
      </x:c>
      <x:c r="B108" s="24" t="str">
        <x:v>American Samoa</x:v>
      </x:c>
      <x:c r="C108" s="24" t="str">
        <x:v>EEZ</x:v>
      </x:c>
      <x:c r="D108" s="30" t="n">
        <x:v>2019</x:v>
      </x:c>
      <x:c r="E108" s="24" t="str">
        <x:v>Pristipomoides auricilla</x:v>
      </x:c>
      <x:c r="F108" s="24" t="str">
        <x:v>Goldflag jobfish</x:v>
      </x:c>
      <x:c r="G108" s="24" t="str">
        <x:v>Medium demersals (30 - 89 cm)</x:v>
      </x:c>
      <x:c r="H108" s="24" t="str">
        <x:v>Perch-likes</x:v>
      </x:c>
      <x:c r="I108" s="31" t="n">
        <x:v>0.0022990296</x:v>
      </x:c>
      <x:c r="J108" s="31" t="n">
        <x:v>0.0022990296</x:v>
      </x:c>
      <x:c r="K108" s="31" t="n">
        <x:v>0</x:v>
      </x:c>
      <x:c r="L108" s="31" t="n">
        <x:v>0.0022990296</x:v>
      </x:c>
      <x:c r="M108" s="31" t="n">
        <x:v>0</x:v>
      </x:c>
      <x:c r="N108" s="24" t="str">
        <x:v>pristipomoides auricilla</x:v>
      </x:c>
      <x:c r="O108" s="32" t="n">
        <x:v>3.86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Pristipomoides auricilla</x:v>
      </x:c>
      <x:c r="T108" s="32" t="n">
        <x:f>IF(O108="","",(1/'Metadata'!$B$5)^(O108-1))</x:f>
        <x:v>724.4359600749899</x:v>
      </x:c>
      <x:c r="U108" s="31" t="n">
        <x:f>IF(T108="","",I108*T108)</x:f>
        <x:v>1.66549971551682</x:v>
      </x:c>
    </x:row>
    <x:row r="109" ht="18" customHeight="1">
      <x:c r="A109" s="24" t="str">
        <x:v>EEZ_016</x:v>
      </x:c>
      <x:c r="B109" s="24" t="str">
        <x:v>American Samoa</x:v>
      </x:c>
      <x:c r="C109" s="24" t="str">
        <x:v>EEZ</x:v>
      </x:c>
      <x:c r="D109" s="30" t="n">
        <x:v>2019</x:v>
      </x:c>
      <x:c r="E109" s="24" t="str">
        <x:v>Pristipomoides flavipinnis</x:v>
      </x:c>
      <x:c r="F109" s="24" t="str">
        <x:v>Golden eye jobfish</x:v>
      </x:c>
      <x:c r="G109" s="24" t="str">
        <x:v>Medium demersals (30 - 89 cm)</x:v>
      </x:c>
      <x:c r="H109" s="24" t="str">
        <x:v>Perch-likes</x:v>
      </x:c>
      <x:c r="I109" s="31" t="n">
        <x:v>0.0015326864</x:v>
      </x:c>
      <x:c r="J109" s="31" t="n">
        <x:v>0.0015326864</x:v>
      </x:c>
      <x:c r="K109" s="31" t="n">
        <x:v>0</x:v>
      </x:c>
      <x:c r="L109" s="31" t="n">
        <x:v>0.0015326864</x:v>
      </x:c>
      <x:c r="M109" s="31" t="n">
        <x:v>0</x:v>
      </x:c>
      <x:c r="N109" s="24" t="str">
        <x:v>pristipomoides flavipinnis</x:v>
      </x:c>
      <x:c r="O109" s="32" t="n">
        <x:v>3.6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Pristipomoides flavipinnis</x:v>
      </x:c>
      <x:c r="T109" s="32" t="n">
        <x:f>IF(O109="","",(1/'Metadata'!$B$5)^(O109-1))</x:f>
        <x:v>398.1071705534973</x:v>
      </x:c>
      <x:c r="U109" s="31" t="n">
        <x:f>IF(T109="","",I109*T109)</x:f>
        <x:v>0.6101734460498258</x:v>
      </x:c>
    </x:row>
    <x:row r="110" ht="18" customHeight="1">
      <x:c r="A110" s="24" t="str">
        <x:v>EEZ_016</x:v>
      </x:c>
      <x:c r="B110" s="24" t="str">
        <x:v>American Samoa</x:v>
      </x:c>
      <x:c r="C110" s="24" t="str">
        <x:v>EEZ</x:v>
      </x:c>
      <x:c r="D110" s="30" t="n">
        <x:v>2019</x:v>
      </x:c>
      <x:c r="E110" s="24" t="str">
        <x:v>Lutjanus malabaricus</x:v>
      </x:c>
      <x:c r="F110" s="24" t="str">
        <x:v>Malabar blood snapper</x:v>
      </x:c>
      <x:c r="G110" s="24" t="str">
        <x:v>Medium reef assoc. fish (30 - 89 cm)</x:v>
      </x:c>
      <x:c r="H110" s="24" t="str">
        <x:v>Perch-likes</x:v>
      </x:c>
      <x:c r="I110" s="31" t="n">
        <x:v>0.0010217909</x:v>
      </x:c>
      <x:c r="J110" s="31" t="n">
        <x:v>0.0010217909</x:v>
      </x:c>
      <x:c r="K110" s="31" t="n">
        <x:v>0</x:v>
      </x:c>
      <x:c r="L110" s="31" t="n">
        <x:v>0.0010217909</x:v>
      </x:c>
      <x:c r="M110" s="31" t="n">
        <x:v>0</x:v>
      </x:c>
      <x:c r="N110" s="24" t="str">
        <x:v>lutjanus malabaricus</x:v>
      </x:c>
      <x:c r="O110" s="32" t="n">
        <x:v>4.48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malabaricus</x:v>
      </x:c>
      <x:c r="T110" s="32" t="n">
        <x:f>IF(O110="","",(1/'Metadata'!$B$5)^(O110-1))</x:f>
        <x:v>3019.951720402019</x:v>
      </x:c>
      <x:c r="U110" s="31" t="n">
        <x:f>IF(T110="","",I110*T110)</x:f>
        <x:v>3.0857591863461273</x:v>
      </x:c>
    </x:row>
  </x:sheetData>
  <x:conditionalFormatting sqref="R2:R1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821c05d72c04d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0.7596910347999999</x:v>
      </x:c>
      <x:c r="E2" s="31" t="n">
        <x:v>0.7596910347999999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IF(C2=0,"",SUMIF('Species'!$H$2:$H$110,A2,'Species'!$U$2:$U$110))</x:f>
        <x:v>30.243844835908643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30.243844835908643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0.12472141310000001</x:v>
      </x:c>
      <x:c r="E3" s="31" t="n">
        <x:v>0.12472141310000001</x:v>
      </x:c>
      <x:c r="F3" s="32" t="n">
        <x:v>0</x:v>
      </x:c>
      <x:c r="G3" s="34" t="n">
        <x:v>1</x:v>
      </x:c>
      <x:c r="H3" s="32" t="n">
        <x:f>IF(E3=0,"",I3/E3)</x:f>
        <x:v>2398.83291901949</x:v>
      </x:c>
      <x:c r="I3" s="31" t="n">
        <x:f>IF(C3=0,"",SUMIF('Species'!$H$2:$H$110,A3,'Species'!$U$2:$U$110))</x:f>
        <x:v>299.18583145090867</x:v>
      </x:c>
      <x:c r="J3" s="32" t="n">
        <x:v>4.38</x:v>
      </x:c>
      <x:c r="K3" s="32" t="n">
        <x:f>IF(J3="","",(1/'Metadata'!$B$5)^(J3-1))</x:f>
        <x:v>2398.83291901949</x:v>
      </x:c>
      <x:c r="L3" s="31" t="n">
        <x:f>IF(E3=0,"",E3*K3)</x:f>
        <x:v>299.18583145090867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0.0157509001</x:v>
      </x:c>
      <x:c r="E4" s="31" t="n">
        <x:v>0.0157509001</x:v>
      </x:c>
      <x:c r="F4" s="32" t="n">
        <x:v>0</x:v>
      </x:c>
      <x:c r="G4" s="34" t="n">
        <x:v>1</x:v>
      </x:c>
      <x:c r="H4" s="32" t="n">
        <x:f>IF(E4=0,"",I4/E4)</x:f>
        <x:v>144.5439770745928</x:v>
      </x:c>
      <x:c r="I4" s="31" t="n">
        <x:f>IF(C4=0,"",SUMIF('Species'!$H$2:$H$110,A4,'Species'!$U$2:$U$110))</x:f>
        <x:v>2.2766977429586013</x:v>
      </x:c>
      <x:c r="J4" s="32" t="n">
        <x:v>3.16</x:v>
      </x:c>
      <x:c r="K4" s="32" t="n">
        <x:f>IF(J4="","",(1/'Metadata'!$B$5)^(J4-1))</x:f>
        <x:v>144.5439770745928</x:v>
      </x:c>
      <x:c r="L4" s="31" t="n">
        <x:f>IF(E4=0,"",E4*K4)</x:f>
        <x:v>2.2766977429586013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1.8386765019000002</x:v>
      </x:c>
      <x:c r="E5" s="31" t="n">
        <x:v>1.8386765019000002</x:v>
      </x:c>
      <x:c r="F5" s="32" t="n">
        <x:v>0</x:v>
      </x:c>
      <x:c r="G5" s="34" t="n">
        <x:v>1</x:v>
      </x:c>
      <x:c r="H5" s="32" t="n">
        <x:f>IF(E5=0,"",I5/E5)</x:f>
        <x:v>16.982436524617444</x:v>
      </x:c>
      <x:c r="I5" s="31" t="n">
        <x:f>IF(C5=0,"",SUMIF('Species'!$H$2:$H$110,A5,'Species'!$U$2:$U$110))</x:f>
        <x:v>31.2252069828224</x:v>
      </x:c>
      <x:c r="J5" s="32" t="n">
        <x:v>2.23</x:v>
      </x:c>
      <x:c r="K5" s="32" t="n">
        <x:f>IF(J5="","",(1/'Metadata'!$B$5)^(J5-1))</x:f>
        <x:v>16.982436524617444</x:v>
      </x:c>
      <x:c r="L5" s="31" t="n">
        <x:f>IF(E5=0,"",E5*K5)</x:f>
        <x:v>31.2252069828224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18</x:v>
      </x:c>
      <x:c r="C6" s="33" t="n">
        <x:v>18</x:v>
      </x:c>
      <x:c r="D6" s="31" t="n">
        <x:v>526.2374961508</x:v>
      </x:c>
      <x:c r="E6" s="31" t="n">
        <x:v>526.2374961508</x:v>
      </x:c>
      <x:c r="F6" s="32" t="n">
        <x:v>0</x:v>
      </x:c>
      <x:c r="G6" s="34" t="n">
        <x:v>1</x:v>
      </x:c>
      <x:c r="H6" s="32" t="n">
        <x:f>IF(E6=0,"",I6/E6)</x:f>
        <x:v>213.34564198819098</x:v>
      </x:c>
      <x:c r="I6" s="31" t="n">
        <x:f>IF(C6=0,"",SUMIF('Species'!$H$2:$H$110,A6,'Species'!$U$2:$U$110))</x:f>
        <x:v>112270.4764545506</x:v>
      </x:c>
      <x:c r="J6" s="32" t="n">
        <x:v>3.295949467149732</x:v>
      </x:c>
      <x:c r="K6" s="32" t="n">
        <x:f>IF(J6="","",(1/'Metadata'!$B$5)^(J6-1))</x:f>
        <x:v>197.67396208436145</x:v>
      </x:c>
      <x:c r="L6" s="31" t="n">
        <x:f>IF(E6=0,"",E6*K6)</x:f>
        <x:v>104023.45086148255</x:v>
      </x:c>
      <x:c r="M6" s="31" t="n">
        <x:f>IF(E6=0,"",I6-L6)</x:f>
        <x:v>8247.025593068058</x:v>
      </x:c>
      <x:c r="N6" s="32" t="n">
        <x:f>IF(L6=0,"",I6/L6)</x:f>
        <x:v>1.0792804461375713</x:v>
      </x:c>
      <x:c r="O6" s="34" t="n">
        <x:f>IF(L6=0,"",M6/L6)</x:f>
        <x:v>0.07928044613757126</x:v>
      </x:c>
    </x:row>
    <x:row r="7" ht="18" customHeight="1">
      <x:c r="A7" s="24" t="str">
        <x:v>Perch-likes</x:v>
      </x:c>
      <x:c r="B7" s="33" t="n">
        <x:v>67</x:v>
      </x:c>
      <x:c r="C7" s="33" t="n">
        <x:v>67</x:v>
      </x:c>
      <x:c r="D7" s="31" t="n">
        <x:v>226.48200646260005</x:v>
      </x:c>
      <x:c r="E7" s="31" t="n">
        <x:v>226.48200646260005</x:v>
      </x:c>
      <x:c r="F7" s="32" t="n">
        <x:v>0</x:v>
      </x:c>
      <x:c r="G7" s="34" t="n">
        <x:v>1</x:v>
      </x:c>
      <x:c r="H7" s="32" t="n">
        <x:f>IF(E7=0,"",I7/E7)</x:f>
        <x:v>1407.0403158375439</x:v>
      </x:c>
      <x:c r="I7" s="31" t="n">
        <x:f>IF(C7=0,"",SUMIF('Species'!$H$2:$H$110,A7,'Species'!$U$2:$U$110))</x:f>
        <x:v>318669.31390465744</x:v>
      </x:c>
      <x:c r="J7" s="32" t="n">
        <x:v>3.962347349284468</x:v>
      </x:c>
      <x:c r="K7" s="32" t="n">
        <x:f>IF(J7="","",(1/'Metadata'!$B$5)^(J7-1))</x:f>
        <x:v>916.9535775699269</x:v>
      </x:c>
      <x:c r="L7" s="31" t="n">
        <x:f>IF(E7=0,"",E7*K7)</x:f>
        <x:v>207673.48608109643</x:v>
      </x:c>
      <x:c r="M7" s="31" t="n">
        <x:f>IF(E7=0,"",I7-L7)</x:f>
        <x:v>110995.827823561</x:v>
      </x:c>
      <x:c r="N7" s="32" t="n">
        <x:f>IF(L7=0,"",I7/L7)</x:f>
        <x:v>1.534472791486811</x:v>
      </x:c>
      <x:c r="O7" s="34" t="n">
        <x:f>IF(L7=0,"",M7/L7)</x:f>
        <x:v>0.534472791486811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0.505636038</x:v>
      </x:c>
      <x:c r="E8" s="31" t="n">
        <x:v>0.505636038</x:v>
      </x:c>
      <x:c r="F8" s="32" t="n">
        <x:v>0</x:v>
      </x:c>
      <x:c r="G8" s="34" t="n">
        <x:v>1</x:v>
      </x:c>
      <x:c r="H8" s="32" t="n">
        <x:f>IF(E8=0,"",I8/E8)</x:f>
        <x:v>831.7637711026708</x:v>
      </x:c>
      <x:c r="I8" s="31" t="n">
        <x:f>IF(C8=0,"",SUMIF('Species'!$H$2:$H$110,A8,'Species'!$U$2:$U$110))</x:f>
        <x:v>420.56973777229337</x:v>
      </x:c>
      <x:c r="J8" s="32" t="n">
        <x:v>3.92</x:v>
      </x:c>
      <x:c r="K8" s="32" t="n">
        <x:f>IF(J8="","",(1/'Metadata'!$B$5)^(J8-1))</x:f>
        <x:v>831.7637711026708</x:v>
      </x:c>
      <x:c r="L8" s="31" t="n">
        <x:f>IF(E8=0,"",E8*K8)</x:f>
        <x:v>420.56973777229337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Sharks &amp; rays</x:v>
      </x:c>
      <x:c r="B9" s="33" t="n">
        <x:v>10</x:v>
      </x:c>
      <x:c r="C9" s="33" t="n">
        <x:v>10</x:v>
      </x:c>
      <x:c r="D9" s="31" t="n">
        <x:v>1883.5732064850001</x:v>
      </x:c>
      <x:c r="E9" s="31" t="n">
        <x:v>1883.5732064850001</x:v>
      </x:c>
      <x:c r="F9" s="32" t="n">
        <x:v>0</x:v>
      </x:c>
      <x:c r="G9" s="34" t="n">
        <x:v>1</x:v>
      </x:c>
      <x:c r="H9" s="32" t="n">
        <x:f>IF(E9=0,"",I9/E9)</x:f>
        <x:v>2320.1882795484526</x:v>
      </x:c>
      <x:c r="I9" s="31" t="n">
        <x:f>IF(C9=0,"",SUMIF('Species'!$H$2:$H$110,A9,'Species'!$U$2:$U$110))</x:f>
        <x:v>4370244.477357995</x:v>
      </x:c>
      <x:c r="J9" s="32" t="n">
        <x:v>4.36090699615099</x:v>
      </x:c>
      <x:c r="K9" s="32" t="n">
        <x:f>IF(J9="","",(1/'Metadata'!$B$5)^(J9-1))</x:f>
        <x:v>2295.6569821878725</x:v>
      </x:c>
      <x:c r="L9" s="31" t="n">
        <x:f>IF(E9=0,"",E9*K9)</x:f>
        <x:v>4324037.982929289</x:v>
      </x:c>
      <x:c r="M9" s="31" t="n">
        <x:f>IF(E9=0,"",I9-L9)</x:f>
        <x:v>46206.494428705424</x:v>
      </x:c>
      <x:c r="N9" s="32" t="n">
        <x:f>IF(L9=0,"",I9/L9)</x:f>
        <x:v>1.0106859594229103</x:v>
      </x:c>
      <x:c r="O9" s="34" t="n">
        <x:f>IF(L9=0,"",M9/L9)</x:f>
        <x:v>0.010685959422910332</x:v>
      </x:c>
    </x:row>
    <x:row r="10" ht="18" customHeight="1">
      <x:c r="A10" s="24" t="str">
        <x:v>Tuna &amp; billfishes</x:v>
      </x:c>
      <x:c r="B10" s="33" t="n">
        <x:v>9</x:v>
      </x:c>
      <x:c r="C10" s="33" t="n">
        <x:v>9</x:v>
      </x:c>
      <x:c r="D10" s="31" t="n">
        <x:v>2959.1351610353004</x:v>
      </x:c>
      <x:c r="E10" s="31" t="n">
        <x:v>2959.1351610353004</x:v>
      </x:c>
      <x:c r="F10" s="32" t="n">
        <x:v>0</x:v>
      </x:c>
      <x:c r="G10" s="34" t="n">
        <x:v>1</x:v>
      </x:c>
      <x:c r="H10" s="32" t="n">
        <x:f>IF(E10=0,"",I10/E10)</x:f>
        <x:v>2300.4698441379082</x:v>
      </x:c>
      <x:c r="I10" s="31" t="n">
        <x:f>IF(C10=0,"",SUMIF('Species'!$H$2:$H$110,A10,'Species'!$U$2:$U$110))</x:f>
        <x:v>6807401.202689881</x:v>
      </x:c>
      <x:c r="J10" s="32" t="n">
        <x:v>4.353997688003611</x:v>
      </x:c>
      <x:c r="K10" s="32" t="n">
        <x:f>IF(J10="","",(1/'Metadata'!$B$5)^(J10-1))</x:f>
        <x:v>2259.4237419920805</x:v>
      </x:c>
      <x:c r="L10" s="31" t="n">
        <x:f>IF(E10=0,"",E10*K10)</x:f>
        <x:v>6685940.2386067165</x:v>
      </x:c>
      <x:c r="M10" s="31" t="n">
        <x:f>IF(E10=0,"",I10-L10)</x:f>
        <x:v>121460.96408316493</x:v>
      </x:c>
      <x:c r="N10" s="32" t="n">
        <x:f>IF(L10=0,"",I10/L10)</x:f>
        <x:v>1.0181666242515617</x:v>
      </x:c>
      <x:c r="O10" s="34" t="n">
        <x:f>IF(L10=0,"",M10/L10)</x:f>
        <x:v>0.01816662425156169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0393870dc446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18.365598012</x:v>
      </x:c>
      <x:c r="E2" s="31" t="n">
        <x:v>18.365598012</x:v>
      </x:c>
      <x:c r="F2" s="32" t="n">
        <x:v>0</x:v>
      </x:c>
      <x:c r="G2" s="34" t="n">
        <x:v>1</x:v>
      </x:c>
      <x:c r="H2" s="32" t="n">
        <x:f>IF(E2=0,"",I2/E2)</x:f>
        <x:v>389.04514499428046</x:v>
      </x:c>
      <x:c r="I2" s="31" t="n">
        <x:f>IF(C2=0,"",SUMIF('Species'!$G$2:$G$110,A2,'Species'!$U$2:$U$110))</x:f>
        <x:v>7145.046741485209</x:v>
      </x:c>
      <x:c r="J2" s="32" t="n">
        <x:v>3.5899999999999994</x:v>
      </x:c>
      <x:c r="K2" s="32" t="n">
        <x:f>IF(J2="","",(1/'Metadata'!$B$5)^(J2-1))</x:f>
        <x:v>389.04514499428007</x:v>
      </x:c>
      <x:c r="L2" s="31" t="n">
        <x:f>IF(E2=0,"",E2*K2)</x:f>
        <x:v>7145.046741485202</x:v>
      </x:c>
      <x:c r="M2" s="31" t="n">
        <x:f>IF(E2=0,"",I2-L2)</x:f>
        <x:v>7.275957614183426e-12</x:v>
      </x:c>
      <x:c r="N2" s="32" t="n">
        <x:f>IF(L2=0,"",I2/L2)</x:f>
        <x:v>1.000000000000001</x:v>
      </x:c>
      <x:c r="O2" s="34" t="n">
        <x:f>IF(L2=0,"",M2/L2)</x:f>
        <x:v>1.0183219057110063e-15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2.001328654</x:v>
      </x:c>
      <x:c r="E3" s="31" t="n">
        <x:v>2.001328654</x:v>
      </x:c>
      <x:c r="F3" s="32" t="n">
        <x:v>0</x:v>
      </x:c>
      <x:c r="G3" s="34" t="n">
        <x:v>1</x:v>
      </x:c>
      <x:c r="H3" s="32" t="n">
        <x:f>IF(E3=0,"",I3/E3)</x:f>
        <x:v>31.622776601683793</x:v>
      </x:c>
      <x:c r="I3" s="31" t="n">
        <x:f>IF(C3=0,"",SUMIF('Species'!$G$2:$G$110,A3,'Species'!$U$2:$U$110))</x:f>
        <x:v>63.28756893199051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63.28756893199051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1</x:v>
      </x:c>
      <x:c r="C4" s="33" t="n">
        <x:v>1</x:v>
      </x:c>
      <x:c r="D4" s="31" t="n">
        <x:v>0.3586179672</x:v>
      </x:c>
      <x:c r="E4" s="31" t="n">
        <x:v>0.3586179672</x:v>
      </x:c>
      <x:c r="F4" s="32" t="n">
        <x:v>0</x:v>
      </x:c>
      <x:c r="G4" s="34" t="n">
        <x:v>1</x:v>
      </x:c>
      <x:c r="H4" s="32" t="n">
        <x:f>IF(E4=0,"",I4/E4)</x:f>
        <x:v>2630.2679918953813</x:v>
      </x:c>
      <x:c r="I4" s="31" t="n">
        <x:f>IF(C4=0,"",SUMIF('Species'!$G$2:$G$110,A4,'Species'!$U$2:$U$110))</x:f>
        <x:v>943.2613604447478</x:v>
      </x:c>
      <x:c r="J4" s="32" t="n">
        <x:v>4.42</x:v>
      </x:c>
      <x:c r="K4" s="32" t="n">
        <x:f>IF(J4="","",(1/'Metadata'!$B$5)^(J4-1))</x:f>
        <x:v>2630.2679918953813</x:v>
      </x:c>
      <x:c r="L4" s="31" t="n">
        <x:f>IF(E4=0,"",E4*K4)</x:f>
        <x:v>943.2613604447478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</x:v>
      </x:c>
      <x:c r="C5" s="33" t="n">
        <x:v>1</x:v>
      </x:c>
      <x:c r="D5" s="31" t="n">
        <x:v>0.1507626991</x:v>
      </x:c>
      <x:c r="E5" s="31" t="n">
        <x:v>0.1507626991</x:v>
      </x:c>
      <x:c r="F5" s="32" t="n">
        <x:v>0</x:v>
      </x:c>
      <x:c r="G5" s="34" t="n">
        <x:v>1</x:v>
      </x:c>
      <x:c r="H5" s="32" t="n">
        <x:f>IF(E5=0,"",I5/E5)</x:f>
        <x:v>3162.2776601683795</x:v>
      </x:c>
      <x:c r="I5" s="31" t="n">
        <x:f>IF(C5=0,"",SUMIF('Species'!$G$2:$G$110,A5,'Species'!$U$2:$U$110))</x:f>
        <x:v>476.7535153506175</x:v>
      </x:c>
      <x:c r="J5" s="32" t="n">
        <x:v>4.5</x:v>
      </x:c>
      <x:c r="K5" s="32" t="n">
        <x:f>IF(J5="","",(1/'Metadata'!$B$5)^(J5-1))</x:f>
        <x:v>3162.2776601683795</x:v>
      </x:c>
      <x:c r="L5" s="31" t="n">
        <x:f>IF(E5=0,"",E5*K5)</x:f>
        <x:v>476.7535153506175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demersals (&gt;=90 cm)</x:v>
      </x:c>
      <x:c r="B6" s="33" t="n">
        <x:v>2</x:v>
      </x:c>
      <x:c r="C6" s="33" t="n">
        <x:v>2</x:v>
      </x:c>
      <x:c r="D6" s="31" t="n">
        <x:v>0.4315829972</x:v>
      </x:c>
      <x:c r="E6" s="31" t="n">
        <x:v>0.4315829972</x:v>
      </x:c>
      <x:c r="F6" s="32" t="n">
        <x:v>0</x:v>
      </x:c>
      <x:c r="G6" s="34" t="n">
        <x:v>1</x:v>
      </x:c>
      <x:c r="H6" s="32" t="n">
        <x:f>IF(E6=0,"",I6/E6)</x:f>
        <x:v>2943.4996877742587</x:v>
      </x:c>
      <x:c r="I6" s="31" t="n">
        <x:f>IF(C6=0,"",SUMIF('Species'!$G$2:$G$110,A6,'Species'!$U$2:$U$110))</x:f>
        <x:v>1270.3644175068787</x:v>
      </x:c>
      <x:c r="J6" s="32" t="n">
        <x:v>4.46113864763716</x:v>
      </x:c>
      <x:c r="K6" s="32" t="n">
        <x:f>IF(J6="","",(1/'Metadata'!$B$5)^(J6-1))</x:f>
        <x:v>2891.602873409659</x:v>
      </x:c>
      <x:c r="L6" s="31" t="n">
        <x:f>IF(E6=0,"",E6*K6)</x:f>
        <x:v>1247.9666348182727</x:v>
      </x:c>
      <x:c r="M6" s="31" t="n">
        <x:f>IF(E6=0,"",I6-L6)</x:f>
        <x:v>22.397782688605957</x:v>
      </x:c>
      <x:c r="N6" s="32" t="n">
        <x:f>IF(L6=0,"",I6/L6)</x:f>
        <x:v>1.0179474210797852</x:v>
      </x:c>
      <x:c r="O6" s="34" t="n">
        <x:f>IF(L6=0,"",M6/L6)</x:f>
        <x:v>0.017947421079785114</x:v>
      </x:c>
    </x:row>
    <x:row r="7" ht="18" customHeight="1">
      <x:c r="A7" s="24" t="str">
        <x:v>Large pelagics (&gt;=90 cm)</x:v>
      </x:c>
      <x:c r="B7" s="33" t="n">
        <x:v>14</x:v>
      </x:c>
      <x:c r="C7" s="33" t="n">
        <x:v>14</x:v>
      </x:c>
      <x:c r="D7" s="31" t="n">
        <x:v>3004.6011824764</x:v>
      </x:c>
      <x:c r="E7" s="31" t="n">
        <x:v>3004.6011824764</x:v>
      </x:c>
      <x:c r="F7" s="32" t="n">
        <x:v>0</x:v>
      </x:c>
      <x:c r="G7" s="34" t="n">
        <x:v>1</x:v>
      </x:c>
      <x:c r="H7" s="32" t="n">
        <x:f>IF(E7=0,"",I7/E7)</x:f>
        <x:v>2299.5657896444627</x:v>
      </x:c>
      <x:c r="I7" s="31" t="n">
        <x:f>IF(C7=0,"",SUMIF('Species'!$G$2:$G$110,A7,'Species'!$U$2:$U$110))</x:f>
        <x:v>6909278.090748029</x:v>
      </x:c>
      <x:c r="J7" s="32" t="n">
        <x:v>4.353902667570686</x:v>
      </x:c>
      <x:c r="K7" s="32" t="n">
        <x:f>IF(J7="","",(1/'Metadata'!$B$5)^(J7-1))</x:f>
        <x:v>2258.9294507995064</x:v>
      </x:c>
      <x:c r="L7" s="31" t="n">
        <x:f>IF(E7=0,"",E7*K7)</x:f>
        <x:v>6787182.099002962</x:v>
      </x:c>
      <x:c r="M7" s="31" t="n">
        <x:f>IF(E7=0,"",I7-L7)</x:f>
        <x:v>122095.99174506683</x:v>
      </x:c>
      <x:c r="N7" s="32" t="n">
        <x:f>IF(L7=0,"",I7/L7)</x:f>
        <x:v>1.0179892022880899</x:v>
      </x:c>
      <x:c r="O7" s="34" t="n">
        <x:f>IF(L7=0,"",M7/L7)</x:f>
        <x:v>0.01798920228808989</x:v>
      </x:c>
    </x:row>
    <x:row r="8" ht="18" customHeight="1">
      <x:c r="A8" s="24" t="str">
        <x:v>Large reef assoc. fish (&gt;=90 cm)</x:v>
      </x:c>
      <x:c r="B8" s="33" t="n">
        <x:v>5</x:v>
      </x:c>
      <x:c r="C8" s="33" t="n">
        <x:v>5</x:v>
      </x:c>
      <x:c r="D8" s="31" t="n">
        <x:v>3.148102401</x:v>
      </x:c>
      <x:c r="E8" s="31" t="n">
        <x:v>3.148102401</x:v>
      </x:c>
      <x:c r="F8" s="32" t="n">
        <x:v>0</x:v>
      </x:c>
      <x:c r="G8" s="34" t="n">
        <x:v>1</x:v>
      </x:c>
      <x:c r="H8" s="32" t="n">
        <x:f>IF(E8=0,"",I8/E8)</x:f>
        <x:v>1700.6935073827417</x:v>
      </x:c>
      <x:c r="I8" s="31" t="n">
        <x:f>IF(C8=0,"",SUMIF('Species'!$G$2:$G$110,A8,'Species'!$U$2:$U$110))</x:f>
        <x:v>5353.95731395672</x:v>
      </x:c>
      <x:c r="J8" s="32" t="n">
        <x:v>4.203895157783021</x:v>
      </x:c>
      <x:c r="K8" s="32" t="n">
        <x:f>IF(J8="","",(1/'Metadata'!$B$5)^(J8-1))</x:f>
        <x:v>1599.171928914337</x:v>
      </x:c>
      <x:c r="L8" s="31" t="n">
        <x:f>IF(E8=0,"",E8*K8)</x:f>
        <x:v>5034.3569890270255</x:v>
      </x:c>
      <x:c r="M8" s="31" t="n">
        <x:f>IF(E8=0,"",I8-L8)</x:f>
        <x:v>319.6003249296946</x:v>
      </x:c>
      <x:c r="N8" s="32" t="n">
        <x:f>IF(L8=0,"",I8/L8)</x:f>
        <x:v>1.0634838422516124</x:v>
      </x:c>
      <x:c r="O8" s="34" t="n">
        <x:f>IF(L8=0,"",M8/L8)</x:f>
        <x:v>0.06348384225161251</x:v>
      </x:c>
    </x:row>
    <x:row r="9" ht="18" customHeight="1">
      <x:c r="A9" s="24" t="str">
        <x:v>Large sharks (&gt;=90 cm)</x:v>
      </x:c>
      <x:c r="B9" s="33" t="n">
        <x:v>10</x:v>
      </x:c>
      <x:c r="C9" s="33" t="n">
        <x:v>10</x:v>
      </x:c>
      <x:c r="D9" s="31" t="n">
        <x:v>1883.5732064850001</x:v>
      </x:c>
      <x:c r="E9" s="31" t="n">
        <x:v>1883.5732064850001</x:v>
      </x:c>
      <x:c r="F9" s="32" t="n">
        <x:v>0</x:v>
      </x:c>
      <x:c r="G9" s="34" t="n">
        <x:v>1</x:v>
      </x:c>
      <x:c r="H9" s="32" t="n">
        <x:f>IF(E9=0,"",I9/E9)</x:f>
        <x:v>2320.1882795484526</x:v>
      </x:c>
      <x:c r="I9" s="31" t="n">
        <x:f>IF(C9=0,"",SUMIF('Species'!$G$2:$G$110,A9,'Species'!$U$2:$U$110))</x:f>
        <x:v>4370244.477357995</x:v>
      </x:c>
      <x:c r="J9" s="32" t="n">
        <x:v>4.36090699615099</x:v>
      </x:c>
      <x:c r="K9" s="32" t="n">
        <x:f>IF(J9="","",(1/'Metadata'!$B$5)^(J9-1))</x:f>
        <x:v>2295.6569821878725</x:v>
      </x:c>
      <x:c r="L9" s="31" t="n">
        <x:f>IF(E9=0,"",E9*K9)</x:f>
        <x:v>4324037.982929289</x:v>
      </x:c>
      <x:c r="M9" s="31" t="n">
        <x:f>IF(E9=0,"",I9-L9)</x:f>
        <x:v>46206.494428705424</x:v>
      </x:c>
      <x:c r="N9" s="32" t="n">
        <x:f>IF(L9=0,"",I9/L9)</x:f>
        <x:v>1.0106859594229103</x:v>
      </x:c>
      <x:c r="O9" s="34" t="n">
        <x:f>IF(L9=0,"",M9/L9)</x:f>
        <x:v>0.010685959422910332</x:v>
      </x:c>
    </x:row>
    <x:row r="10" ht="18" customHeight="1">
      <x:c r="A10" s="24" t="str">
        <x:v>Lobsters, crabs</x:v>
      </x:c>
      <x:c r="B10" s="33" t="n">
        <x:v>1</x:v>
      </x:c>
      <x:c r="C10" s="33" t="n">
        <x:v>1</x:v>
      </x:c>
      <x:c r="D10" s="31" t="n">
        <x:v>0.7596910347999999</x:v>
      </x:c>
      <x:c r="E10" s="31" t="n">
        <x:v>0.7596910347999999</x:v>
      </x:c>
      <x:c r="F10" s="32" t="n">
        <x:v>0</x:v>
      </x:c>
      <x:c r="G10" s="34" t="n">
        <x:v>1</x:v>
      </x:c>
      <x:c r="H10" s="32" t="n">
        <x:f>IF(E10=0,"",I10/E10)</x:f>
        <x:v>39.810717055349734</x:v>
      </x:c>
      <x:c r="I10" s="31" t="n">
        <x:f>IF(C10=0,"",SUMIF('Species'!$G$2:$G$110,A10,'Species'!$U$2:$U$110))</x:f>
        <x:v>30.243844835908643</x:v>
      </x:c>
      <x:c r="J10" s="32" t="n">
        <x:v>2.6</x:v>
      </x:c>
      <x:c r="K10" s="32" t="n">
        <x:f>IF(J10="","",(1/'Metadata'!$B$5)^(J10-1))</x:f>
        <x:v>39.810717055349734</x:v>
      </x:c>
      <x:c r="L10" s="31" t="n">
        <x:f>IF(E10=0,"",E10*K10)</x:f>
        <x:v>30.243844835908643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bathypelagics (30 - 89 cm)</x:v>
      </x:c>
      <x:c r="B11" s="33" t="n">
        <x:v>1</x:v>
      </x:c>
      <x:c r="C11" s="33" t="n">
        <x:v>1</x:v>
      </x:c>
      <x:c r="D11" s="31" t="n">
        <x:v>0.017370446</x:v>
      </x:c>
      <x:c r="E11" s="31" t="n">
        <x:v>0.017370446</x:v>
      </x:c>
      <x:c r="F11" s="32" t="n">
        <x:v>0</x:v>
      </x:c>
      <x:c r="G11" s="34" t="n">
        <x:v>1</x:v>
      </x:c>
      <x:c r="H11" s="32" t="n">
        <x:f>IF(E11=0,"",I11/E11)</x:f>
        <x:v>1023.2929922807537</x:v>
      </x:c>
      <x:c r="I11" s="31" t="n">
        <x:f>IF(C11=0,"",SUMIF('Species'!$G$2:$G$110,A11,'Species'!$U$2:$U$110))</x:f>
        <x:v>17.77505566459125</x:v>
      </x:c>
      <x:c r="J11" s="32" t="n">
        <x:v>4.01</x:v>
      </x:c>
      <x:c r="K11" s="32" t="n">
        <x:f>IF(J11="","",(1/'Metadata'!$B$5)^(J11-1))</x:f>
        <x:v>1023.2929922807537</x:v>
      </x:c>
      <x:c r="L11" s="31" t="n">
        <x:f>IF(E11=0,"",E11*K11)</x:f>
        <x:v>17.77505566459125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demersals (30 - 89 cm)</x:v>
      </x:c>
      <x:c r="B12" s="33" t="n">
        <x:v>8</x:v>
      </x:c>
      <x:c r="C12" s="33" t="n">
        <x:v>8</x:v>
      </x:c>
      <x:c r="D12" s="31" t="n">
        <x:v>299.61485139890004</x:v>
      </x:c>
      <x:c r="E12" s="31" t="n">
        <x:v>299.61485139890004</x:v>
      </x:c>
      <x:c r="F12" s="32" t="n">
        <x:v>0</x:v>
      </x:c>
      <x:c r="G12" s="34" t="n">
        <x:v>1</x:v>
      </x:c>
      <x:c r="H12" s="32" t="n">
        <x:f>IF(E12=0,"",I12/E12)</x:f>
        <x:v>191.39503975150117</x:v>
      </x:c>
      <x:c r="I12" s="31" t="n">
        <x:f>IF(C12=0,"",SUMIF('Species'!$G$2:$G$110,A12,'Species'!$U$2:$U$110))</x:f>
        <x:v>57344.79639363259</x:v>
      </x:c>
      <x:c r="J12" s="32" t="n">
        <x:v>3.2807770824567806</x:v>
      </x:c>
      <x:c r="K12" s="32" t="n">
        <x:f>IF(J12="","",(1/'Metadata'!$B$5)^(J12-1))</x:f>
        <x:v>190.8873208002696</x:v>
      </x:c>
      <x:c r="L12" s="31" t="n">
        <x:f>IF(E12=0,"",E12*K12)</x:f>
        <x:v>57192.676255506936</x:v>
      </x:c>
      <x:c r="M12" s="31" t="n">
        <x:f>IF(E12=0,"",I12-L12)</x:f>
        <x:v>152.1201381256542</x:v>
      </x:c>
      <x:c r="N12" s="32" t="n">
        <x:f>IF(L12=0,"",I12/L12)</x:f>
        <x:v>1.0026597835262343</x:v>
      </x:c>
      <x:c r="O12" s="34" t="n">
        <x:f>IF(L12=0,"",M12/L12)</x:f>
        <x:v>0.0026597835262343913</x:v>
      </x:c>
    </x:row>
    <x:row r="13" ht="18" customHeight="1">
      <x:c r="A13" s="24" t="str">
        <x:v>Medium pelagics (30 - 89 cm)</x:v>
      </x:c>
      <x:c r="B13" s="33" t="n">
        <x:v>5</x:v>
      </x:c>
      <x:c r="C13" s="33" t="n">
        <x:v>5</x:v>
      </x:c>
      <x:c r="D13" s="31" t="n">
        <x:v>308.1527606084</x:v>
      </x:c>
      <x:c r="E13" s="31" t="n">
        <x:v>308.1527606084</x:v>
      </x:c>
      <x:c r="F13" s="32" t="n">
        <x:v>0</x:v>
      </x:c>
      <x:c r="G13" s="34" t="n">
        <x:v>1</x:v>
      </x:c>
      <x:c r="H13" s="32" t="n">
        <x:f>IF(E13=0,"",I13/E13)</x:f>
        <x:v>705.53980342689</x:v>
      </x:c>
      <x:c r="I13" s="31" t="n">
        <x:f>IF(C13=0,"",SUMIF('Species'!$G$2:$G$110,A13,'Species'!$U$2:$U$110))</x:f>
        <x:v>217414.03814510402</x:v>
      </x:c>
      <x:c r="J13" s="32" t="n">
        <x:v>3.65599290432269</x:v>
      </x:c>
      <x:c r="K13" s="32" t="n">
        <x:f>IF(J13="","",(1/'Metadata'!$B$5)^(J13-1))</x:f>
        <x:v>452.89018034188814</x:v>
      </x:c>
      <x:c r="L13" s="31" t="n">
        <x:f>IF(E13=0,"",E13*K13)</x:f>
        <x:v>139559.35932478897</x:v>
      </x:c>
      <x:c r="M13" s="31" t="n">
        <x:f>IF(E13=0,"",I13-L13)</x:f>
        <x:v>77854.67882031505</x:v>
      </x:c>
      <x:c r="N13" s="32" t="n">
        <x:f>IF(L13=0,"",I13/L13)</x:f>
        <x:v>1.5578606780440147</x:v>
      </x:c>
      <x:c r="O13" s="34" t="n">
        <x:f>IF(L13=0,"",M13/L13)</x:f>
        <x:v>0.5578606780440146</x:v>
      </x:c>
    </x:row>
    <x:row r="14" ht="18" customHeight="1">
      <x:c r="A14" s="24" t="str">
        <x:v>Medium reef assoc. fish (30 - 89 cm)</x:v>
      </x:c>
      <x:c r="B14" s="33" t="n">
        <x:v>37</x:v>
      </x:c>
      <x:c r="C14" s="33" t="n">
        <x:v>37</x:v>
      </x:c>
      <x:c r="D14" s="31" t="n">
        <x:v>43.71289523719999</x:v>
      </x:c>
      <x:c r="E14" s="31" t="n">
        <x:v>43.71289523719999</x:v>
      </x:c>
      <x:c r="F14" s="32" t="n">
        <x:v>0</x:v>
      </x:c>
      <x:c r="G14" s="34" t="n">
        <x:v>1</x:v>
      </x:c>
      <x:c r="H14" s="32" t="n">
        <x:f>IF(E14=0,"",I14/E14)</x:f>
        <x:v>819.9727528580761</x:v>
      </x:c>
      <x:c r="I14" s="31" t="n">
        <x:f>IF(C14=0,"",SUMIF('Species'!$G$2:$G$110,A14,'Species'!$U$2:$U$110))</x:f>
        <x:v>35843.383043043556</x:v>
      </x:c>
      <x:c r="J14" s="32" t="n">
        <x:v>3.5840893553784765</x:v>
      </x:c>
      <x:c r="K14" s="32" t="n">
        <x:f>IF(J14="","",(1/'Metadata'!$B$5)^(J14-1))</x:f>
        <x:v>383.78620075188155</x:v>
      </x:c>
      <x:c r="L14" s="31" t="n">
        <x:f>IF(E14=0,"",E14*K14)</x:f>
        <x:v>16776.40598695</x:v>
      </x:c>
      <x:c r="M14" s="31" t="n">
        <x:f>IF(E14=0,"",I14-L14)</x:f>
        <x:v>19066.977056093554</x:v>
      </x:c>
      <x:c r="N14" s="32" t="n">
        <x:f>IF(L14=0,"",I14/L14)</x:f>
        <x:v>2.1365352669055184</x:v>
      </x:c>
      <x:c r="O14" s="34" t="n">
        <x:f>IF(L14=0,"",M14/L14)</x:f>
        <x:v>1.1365352669055182</x:v>
      </x:c>
    </x:row>
    <x:row r="15" ht="18" customHeight="1">
      <x:c r="A15" s="24" t="str">
        <x:v>Other demersal invertebrates</x:v>
      </x:c>
      <x:c r="B15" s="33" t="n">
        <x:v>4</x:v>
      </x:c>
      <x:c r="C15" s="33" t="n">
        <x:v>4</x:v>
      </x:c>
      <x:c r="D15" s="31" t="n">
        <x:v>14.444218288899998</x:v>
      </x:c>
      <x:c r="E15" s="31" t="n">
        <x:v>14.444218288899998</x:v>
      </x:c>
      <x:c r="F15" s="32" t="n">
        <x:v>0</x:v>
      </x:c>
      <x:c r="G15" s="34" t="n">
        <x:v>1</x:v>
      </x:c>
      <x:c r="H15" s="32" t="n">
        <x:f>IF(E15=0,"",I15/E15)</x:f>
        <x:v>19.64347665610819</x:v>
      </x:c>
      <x:c r="I15" s="31" t="n">
        <x:f>IF(C15=0,"",SUMIF('Species'!$G$2:$G$110,A15,'Species'!$U$2:$U$110))</x:f>
        <x:v>283.73466477373813</x:v>
      </x:c>
      <x:c r="J15" s="32" t="n">
        <x:v>2.2923057750074016</x:v>
      </x:c>
      <x:c r="K15" s="32" t="n">
        <x:f>IF(J15="","",(1/'Metadata'!$B$5)^(J15-1))</x:f>
        <x:v>19.60224328732567</x:v>
      </x:c>
      <x:c r="L15" s="31" t="n">
        <x:f>IF(E15=0,"",E15*K15)</x:f>
        <x:v>283.1390809942567</x:v>
      </x:c>
      <x:c r="M15" s="31" t="n">
        <x:f>IF(E15=0,"",I15-L15)</x:f>
        <x:v>0.5955837794814443</x:v>
      </x:c>
      <x:c r="N15" s="32" t="n">
        <x:f>IF(L15=0,"",I15/L15)</x:f>
        <x:v>1.002103502552138</x:v>
      </x:c>
      <x:c r="O15" s="34" t="n">
        <x:f>IF(L15=0,"",M15/L15)</x:f>
        <x:v>0.0021035025521380615</x:v>
      </x:c>
    </x:row>
    <x:row r="16" ht="18" customHeight="1">
      <x:c r="A16" s="24" t="str">
        <x:v>Small benthopelagics (&lt;30 cm)</x:v>
      </x:c>
      <x:c r="B16" s="33" t="n">
        <x:v>2</x:v>
      </x:c>
      <x:c r="C16" s="33" t="n">
        <x:v>2</x:v>
      </x:c>
      <x:c r="D16" s="31" t="n">
        <x:v>0.1459369111</x:v>
      </x:c>
      <x:c r="E16" s="31" t="n">
        <x:v>0.1459369111</x:v>
      </x:c>
      <x:c r="F16" s="32" t="n">
        <x:v>0</x:v>
      </x:c>
      <x:c r="G16" s="34" t="n">
        <x:v>1</x:v>
      </x:c>
      <x:c r="H16" s="32" t="n">
        <x:f>IF(E16=0,"",I16/E16)</x:f>
        <x:v>183.03311637386935</x:v>
      </x:c>
      <x:c r="I16" s="31" t="n">
        <x:f>IF(C16=0,"",SUMIF('Species'!$G$2:$G$110,A16,'Species'!$U$2:$U$110))</x:f>
        <x:v>26.711287632609327</x:v>
      </x:c>
      <x:c r="J16" s="32" t="n">
        <x:v>3.2623348017676386</x:v>
      </x:c>
      <x:c r="K16" s="32" t="n">
        <x:f>IF(J16="","",(1/'Metadata'!$B$5)^(J16-1))</x:f>
        <x:v>182.95100594356887</x:v>
      </x:c>
      <x:c r="L16" s="31" t="n">
        <x:f>IF(E16=0,"",E16*K16)</x:f>
        <x:v>26.699304690042183</x:v>
      </x:c>
      <x:c r="M16" s="31" t="n">
        <x:f>IF(E16=0,"",I16-L16)</x:f>
        <x:v>0.01198294256714405</x:v>
      </x:c>
      <x:c r="N16" s="32" t="n">
        <x:f>IF(L16=0,"",I16/L16)</x:f>
        <x:v>1.0004488110348286</x:v>
      </x:c>
      <x:c r="O16" s="34" t="n">
        <x:f>IF(L16=0,"",M16/L16)</x:f>
        <x:v>0.00044881103482867957</x:v>
      </x:c>
    </x:row>
    <x:row r="17" ht="18" customHeight="1">
      <x:c r="A17" s="24" t="str">
        <x:v>Small pelagics (&lt;30 cm)</x:v>
      </x:c>
      <x:c r="B17" s="33" t="n">
        <x:v>1</x:v>
      </x:c>
      <x:c r="C17" s="33" t="n">
        <x:v>1</x:v>
      </x:c>
      <x:c r="D17" s="31" t="n">
        <x:v>0.0157509001</x:v>
      </x:c>
      <x:c r="E17" s="31" t="n">
        <x:v>0.0157509001</x:v>
      </x:c>
      <x:c r="F17" s="32" t="n">
        <x:v>0</x:v>
      </x:c>
      <x:c r="G17" s="34" t="n">
        <x:v>1</x:v>
      </x:c>
      <x:c r="H17" s="32" t="n">
        <x:f>IF(E17=0,"",I17/E17)</x:f>
        <x:v>144.5439770745928</x:v>
      </x:c>
      <x:c r="I17" s="31" t="n">
        <x:f>IF(C17=0,"",SUMIF('Species'!$G$2:$G$110,A17,'Species'!$U$2:$U$110))</x:f>
        <x:v>2.2766977429586013</x:v>
      </x:c>
      <x:c r="J17" s="32" t="n">
        <x:v>3.16</x:v>
      </x:c>
      <x:c r="K17" s="32" t="n">
        <x:f>IF(J17="","",(1/'Metadata'!$B$5)^(J17-1))</x:f>
        <x:v>144.5439770745928</x:v>
      </x:c>
      <x:c r="L17" s="31" t="n">
        <x:f>IF(E17=0,"",E17*K17)</x:f>
        <x:v>2.2766977429586013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reef assoc. fish (&lt;30 cm)</x:v>
      </x:c>
      <x:c r="B18" s="33" t="n">
        <x:v>14</x:v>
      </x:c>
      <x:c r="C18" s="33" t="n">
        <x:v>14</x:v>
      </x:c>
      <x:c r="D18" s="31" t="n">
        <x:v>19.053768091200002</x:v>
      </x:c>
      <x:c r="E18" s="31" t="n">
        <x:v>19.053768091200002</x:v>
      </x:c>
      <x:c r="F18" s="32" t="n">
        <x:v>0</x:v>
      </x:c>
      <x:c r="G18" s="34" t="n">
        <x:v>1</x:v>
      </x:c>
      <x:c r="H18" s="32" t="n">
        <x:f>IF(E18=0,"",I18/E18)</x:f>
        <x:v>174.85190972947964</x:v>
      </x:c>
      <x:c r="I18" s="31" t="n">
        <x:f>IF(C18=0,"",SUMIF('Species'!$G$2:$G$110,A18,'Species'!$U$2:$U$110))</x:f>
        <x:v>3331.5877382889425</x:v>
      </x:c>
      <x:c r="J18" s="32" t="n">
        <x:v>2.729192066949733</x:v>
      </x:c>
      <x:c r="K18" s="32" t="n">
        <x:f>IF(J18="","",(1/'Metadata'!$B$5)^(J18-1))</x:f>
        <x:v>53.60336662552674</x:v>
      </x:c>
      <x:c r="L18" s="31" t="n">
        <x:f>IF(E18=0,"",E18*K18)</x:f>
        <x:v>1021.3461165903565</x:v>
      </x:c>
      <x:c r="M18" s="31" t="n">
        <x:f>IF(E18=0,"",I18-L18)</x:f>
        <x:v>2310.241621698586</x:v>
      </x:c>
      <x:c r="N18" s="32" t="n">
        <x:f>IF(L18=0,"",I18/L18)</x:f>
        <x:v>3.2619576108156707</x:v>
      </x:c>
      <x:c r="O18" s="34" t="n">
        <x:f>IF(L18=0,"",M18/L18)</x:f>
        <x:v>2.2619576108156707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0.12472141310000001</x:v>
      </x:c>
      <x:c r="E19" s="31" t="n">
        <x:v>0.12472141310000001</x:v>
      </x:c>
      <x:c r="F19" s="32" t="n">
        <x:v>0</x:v>
      </x:c>
      <x:c r="G19" s="34" t="n">
        <x:v>1</x:v>
      </x:c>
      <x:c r="H19" s="32" t="n">
        <x:f>IF(E19=0,"",I19/E19)</x:f>
        <x:v>2398.83291901949</x:v>
      </x:c>
      <x:c r="I19" s="31" t="n">
        <x:f>IF(C19=0,"",SUMIF('Species'!$G$2:$G$110,A19,'Species'!$U$2:$U$110))</x:f>
        <x:v>299.18583145090867</x:v>
      </x:c>
      <x:c r="J19" s="32" t="n">
        <x:v>4.38</x:v>
      </x:c>
      <x:c r="K19" s="32" t="n">
        <x:f>IF(J19="","",(1/'Metadata'!$B$5)^(J19-1))</x:f>
        <x:v>2398.83291901949</x:v>
      </x:c>
      <x:c r="L19" s="31" t="n">
        <x:f>IF(E19=0,"",E19*K19)</x:f>
        <x:v>299.18583145090867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9c7349e1b374b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EEZ_016</x:v>
      </x:c>
      <x:c r="B2" s="24" t="str">
        <x:v>raw_filtered_tonnes</x:v>
      </x:c>
      <x:c r="C2" s="24" t="n">
        <x:v>5598.6723460216</x:v>
      </x:c>
      <x:c r="D2" s="24" t="str">
        <x:v>tonnes</x:v>
      </x:c>
    </x:row>
    <x:row r="3" ht="18" customHeight="1">
      <x:c r="A3" s="24" t="str">
        <x:v>EEZ_016</x:v>
      </x:c>
      <x:c r="B3" s="24" t="str">
        <x:v>species_catch_tonnes</x:v>
      </x:c>
      <x:c r="C3" s="24" t="n">
        <x:v>5598.672346021601</x:v>
      </x:c>
      <x:c r="D3" s="24" t="str">
        <x:v>tonnes</x:v>
      </x:c>
    </x:row>
    <x:row r="4" ht="18" customHeight="1">
      <x:c r="A4" s="24" t="str">
        <x:v>EEZ_016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EEZ_016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EEZ_016</x:v>
      </x:c>
      <x:c r="B6" s="24" t="str">
        <x:v>matched_catch_tonnes</x:v>
      </x:c>
      <x:c r="C6" s="24" t="n">
        <x:v>5598.672346021601</x:v>
      </x:c>
      <x:c r="D6" s="24" t="str">
        <x:v>tonnes</x:v>
      </x:c>
    </x:row>
    <x:row r="7" ht="18" customHeight="1">
      <x:c r="A7" s="24" t="str">
        <x:v>EEZ_016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EEZ_016</x:v>
      </x:c>
      <x:c r="B8" s="24" t="str">
        <x:v>taxa_count</x:v>
      </x:c>
      <x:c r="C8" s="24" t="n">
        <x:v>109</x:v>
      </x:c>
      <x:c r="D8" s="24" t="str">
        <x:v>count</x:v>
      </x:c>
    </x:row>
    <x:row r="9" ht="18" customHeight="1">
      <x:c r="A9" s="24" t="str">
        <x:v>EEZ_016</x:v>
      </x:c>
      <x:c r="B9" s="24" t="str">
        <x:v>matched_taxa_count</x:v>
      </x:c>
      <x:c r="C9" s="24" t="n">
        <x:v>109</x:v>
      </x:c>
      <x:c r="D9" s="24" t="str">
        <x:v>count</x:v>
      </x:c>
    </x:row>
    <x:row r="10" ht="18" customHeight="1">
      <x:c r="A10" s="24" t="str">
        <x:v>EEZ_016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EEZ_016</x:v>
      </x:c>
      <x:c r="B11" s="24" t="str">
        <x:v>species_ppr</x:v>
      </x:c>
      <x:c r="C11" s="24" t="n">
        <x:v>11609368.971725864</x:v>
      </x:c>
      <x:c r="D11" s="24" t="str">
        <x:v>tonnes_primary_production_equivalent</x:v>
      </x:c>
    </x:row>
    <x:row r="12" ht="18" customHeight="1">
      <x:c r="A12" s="24" t="str">
        <x:v>EEZ_016</x:v>
      </x:c>
      <x:c r="B12" s="24" t="str">
        <x:v>commercial_ppr</x:v>
      </x:c>
      <x:c r="C12" s="24" t="n">
        <x:v>11609368.97172587</x:v>
      </x:c>
      <x:c r="D12" s="24" t="str">
        <x:v>tonnes_primary_production_equivalent</x:v>
      </x:c>
    </x:row>
    <x:row r="13" ht="18" customHeight="1">
      <x:c r="A13" s="24" t="str">
        <x:v>EEZ_016</x:v>
      </x:c>
      <x:c r="B13" s="24" t="str">
        <x:v>functional_ppr</x:v>
      </x:c>
      <x:c r="C13" s="24" t="n">
        <x:v>11609368.97172587</x:v>
      </x:c>
      <x:c r="D13" s="24" t="str">
        <x:v>tonnes_primary_production_equivalent</x:v>
      </x:c>
    </x:row>
    <x:row r="14" ht="18" customHeight="1">
      <x:c r="A14" s="24" t="str">
        <x:v>EEZ_016</x:v>
      </x:c>
      <x:c r="B14" s="24" t="str">
        <x:v>commercial_ppr_difference</x:v>
      </x:c>
      <x:c r="C14" s="24" t="n">
        <x:v>5.587935447692871e-9</x:v>
      </x:c>
      <x:c r="D14" s="24" t="str">
        <x:v>tonnes_primary_production_equivalent</x:v>
      </x:c>
    </x:row>
    <x:row r="15" ht="18" customHeight="1">
      <x:c r="A15" s="24" t="str">
        <x:v>EEZ_016</x:v>
      </x:c>
      <x:c r="B15" s="24" t="str">
        <x:v>functional_ppr_difference</x:v>
      </x:c>
      <x:c r="C15" s="24" t="n">
        <x:v>5.587935447692871e-9</x:v>
      </x:c>
      <x:c r="D15" s="24" t="str">
        <x:v>tonnes_primary_production_equivalent</x:v>
      </x:c>
    </x:row>
    <x:row r="16" ht="18" customHeight="1">
      <x:c r="A16" s="24" t="str">
        <x:v>EEZ_016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57ee28cc6cf4f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EEZ_016 - American Samoa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