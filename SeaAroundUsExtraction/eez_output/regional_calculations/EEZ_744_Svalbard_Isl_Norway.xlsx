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3d3d6d37349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04a3efb199cb4672"/>
    <x:sheet xmlns:r="http://schemas.openxmlformats.org/officeDocument/2006/relationships" name="Commercial" sheetId="2" r:id="R0c4d814fab424a07"/>
    <x:sheet xmlns:r="http://schemas.openxmlformats.org/officeDocument/2006/relationships" name="Functional" sheetId="3" r:id="R6a1bed26340742b6"/>
    <x:sheet xmlns:r="http://schemas.openxmlformats.org/officeDocument/2006/relationships" name="Missing TL" sheetId="4" r:id="Rffcd57d6ccaf41e2"/>
    <x:sheet xmlns:r="http://schemas.openxmlformats.org/officeDocument/2006/relationships" name="Validation" sheetId="5" r:id="R5c0d23b2d58840cd"/>
    <x:sheet xmlns:r="http://schemas.openxmlformats.org/officeDocument/2006/relationships" name="Metadata" sheetId="6" r:id="R2cee186f2b32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0ecbea4a645e0" /><Relationship Type="http://schemas.openxmlformats.org/officeDocument/2006/relationships/theme" Target="/xl/theme/theme1.xml" Id="R37849abcc4094bbf" /><Relationship Type="http://schemas.microsoft.com/office/2022/11/relationships/FeaturePropertyBag" Target="/xl/featurePropertyBag/featurePropertyBag.xml" Id="Rdd5b66bc576d445b" /><Relationship Type="http://schemas.openxmlformats.org/officeDocument/2006/relationships/sharedStrings" Target="/xl/sharedStrings.xml" Id="Rccc6d562fa06404e" /><Relationship Type="http://schemas.openxmlformats.org/officeDocument/2006/relationships/worksheet" Target="/xl/worksheets/sheet1.xml" Id="R04a3efb199cb4672" /><Relationship Type="http://schemas.openxmlformats.org/officeDocument/2006/relationships/worksheet" Target="/xl/worksheets/sheet2.xml" Id="R0c4d814fab424a07" /><Relationship Type="http://schemas.openxmlformats.org/officeDocument/2006/relationships/worksheet" Target="/xl/worksheets/sheet3.xml" Id="R6a1bed26340742b6" /><Relationship Type="http://schemas.openxmlformats.org/officeDocument/2006/relationships/worksheet" Target="/xl/worksheets/sheet4.xml" Id="Rffcd57d6ccaf41e2" /><Relationship Type="http://schemas.openxmlformats.org/officeDocument/2006/relationships/worksheet" Target="/xl/worksheets/sheet5.xml" Id="R5c0d23b2d58840cd" /><Relationship Type="http://schemas.openxmlformats.org/officeDocument/2006/relationships/worksheet" Target="/xl/worksheets/sheet6.xml" Id="R2cee186f2b3248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44SpeciesTable" displayName="EEZ744SpeciesTable" ref="A1:U63" headerRowCount="1" totalsRowCount="0" totalsRowShown="0">
  <x:autoFilter ref="A1:U6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44CommercialTable" displayName="EEZ74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44FunctionalTable" displayName="EEZ744FunctionalTable" ref="A1:O17" headerRowCount="1" totalsRowCount="0" totalsRowShown="0">
  <x:autoFilter ref="A1:O1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44ValidationTable" displayName="EEZ74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890272e4774b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91f32324d04b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aade2e04a34c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97f87680db4a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EEZ_744</x:v>
      </x:c>
      <x:c r="B2" s="24" t="str">
        <x:v>Svalbard Isl. (Norway)</x:v>
      </x:c>
      <x:c r="C2" s="24" t="str">
        <x:v>EEZ</x:v>
      </x:c>
      <x:c r="D2" s="30" t="n">
        <x:v>2019</x:v>
      </x:c>
      <x:c r="E2" s="24" t="str">
        <x:v>Gadus morhua</x:v>
      </x:c>
      <x:c r="F2" s="24" t="str">
        <x:v>Atlantic cod</x:v>
      </x:c>
      <x:c r="G2" s="24" t="str">
        <x:v>Large benthopelagics (&gt;=90 cm)</x:v>
      </x:c>
      <x:c r="H2" s="24" t="str">
        <x:v>Cod-likes</x:v>
      </x:c>
      <x:c r="I2" s="31" t="n">
        <x:v>128153.81535681999</x:v>
      </x:c>
      <x:c r="J2" s="31" t="n">
        <x:v>127432.9082362447</x:v>
      </x:c>
      <x:c r="K2" s="31" t="n">
        <x:v>720.9071205753</x:v>
      </x:c>
      <x:c r="L2" s="31" t="n">
        <x:v>125927.7151973107</x:v>
      </x:c>
      <x:c r="M2" s="31" t="n">
        <x:v>2226.1001595093</x:v>
      </x:c>
      <x:c r="N2" s="24" t="str">
        <x:v>gadus morhua</x:v>
      </x:c>
      <x:c r="O2" s="32" t="n">
        <x:v>4.09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Gadus morhua</x:v>
      </x:c>
      <x:c r="T2" s="32" t="n">
        <x:f>IF(O2="","",(1/'Metadata'!$B$5)^(O2-1))</x:f>
        <x:v>1230.268770812381</x:v>
      </x:c>
      <x:c r="U2" s="31" t="n">
        <x:f>IF(T2="","",I2*T2)</x:f>
        <x:v>157663636.89395177</x:v>
      </x:c>
    </x:row>
    <x:row r="3" ht="18" customHeight="1">
      <x:c r="A3" s="24" t="str">
        <x:v>EEZ_744</x:v>
      </x:c>
      <x:c r="B3" s="24" t="str">
        <x:v>Svalbard Isl. (Norway)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43995.5431523032</x:v>
      </x:c>
      <x:c r="J3" s="31" t="n">
        <x:v>43233.834435522804</x:v>
      </x:c>
      <x:c r="K3" s="31" t="n">
        <x:v>761.7087167804</x:v>
      </x:c>
      <x:c r="L3" s="31" t="n">
        <x:v>43229.557510559105</x:v>
      </x:c>
      <x:c r="M3" s="31" t="n">
        <x:v>765.9856417441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8383177.924217065</x:v>
      </x:c>
    </x:row>
    <x:row r="4" ht="18" customHeight="1">
      <x:c r="A4" s="24" t="str">
        <x:v>EEZ_744</x:v>
      </x:c>
      <x:c r="B4" s="24" t="str">
        <x:v>Svalbard Isl. (Norway)</x:v>
      </x:c>
      <x:c r="C4" s="24" t="str">
        <x:v>EEZ</x:v>
      </x:c>
      <x:c r="D4" s="30" t="n">
        <x:v>2019</x:v>
      </x:c>
      <x:c r="E4" s="24" t="str">
        <x:v>Melanogrammus aeglefinus</x:v>
      </x:c>
      <x:c r="F4" s="24" t="str">
        <x:v>Haddock</x:v>
      </x:c>
      <x:c r="G4" s="24" t="str">
        <x:v>Medium demersals (30 - 89 cm)</x:v>
      </x:c>
      <x:c r="H4" s="24" t="str">
        <x:v>Cod-likes</x:v>
      </x:c>
      <x:c r="I4" s="31" t="n">
        <x:v>20338.2666519501</x:v>
      </x:c>
      <x:c r="J4" s="31" t="n">
        <x:v>20338.2664407977</x:v>
      </x:c>
      <x:c r="K4" s="31" t="n">
        <x:v>0.0002111524</x:v>
      </x:c>
      <x:c r="L4" s="31" t="n">
        <x:v>20338.2664407977</x:v>
      </x:c>
      <x:c r="M4" s="31" t="n">
        <x:v>0.0002111524</x:v>
      </x:c>
      <x:c r="N4" s="24" t="str">
        <x:v>melanogrammus aeglefinus</x:v>
      </x:c>
      <x:c r="O4" s="32" t="n">
        <x:v>4.03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Melanogrammus aeglefinus</x:v>
      </x:c>
      <x:c r="T4" s="32" t="n">
        <x:f>IF(O4="","",(1/'Metadata'!$B$5)^(O4-1))</x:f>
        <x:v>1071.519305237607</x:v>
      </x:c>
      <x:c r="U4" s="31" t="n">
        <x:f>IF(T4="","",I4*T4)</x:f>
        <x:v>21792845.352634765</x:v>
      </x:c>
    </x:row>
    <x:row r="5" ht="18" customHeight="1">
      <x:c r="A5" s="24" t="str">
        <x:v>EEZ_744</x:v>
      </x:c>
      <x:c r="B5" s="24" t="str">
        <x:v>Svalbard Isl. (Norway)</x:v>
      </x:c>
      <x:c r="C5" s="24" t="str">
        <x:v>EEZ</x:v>
      </x:c>
      <x:c r="D5" s="30" t="n">
        <x:v>2019</x:v>
      </x:c>
      <x:c r="E5" s="24" t="str">
        <x:v>Reinhardtius hippoglossoides</x:v>
      </x:c>
      <x:c r="F5" s="24" t="str">
        <x:v>Greenland halibut</x:v>
      </x:c>
      <x:c r="G5" s="24" t="str">
        <x:v>Small to medium flatfishes (&lt;90 cm)</x:v>
      </x:c>
      <x:c r="H5" s="24" t="str">
        <x:v>Flatfishes</x:v>
      </x:c>
      <x:c r="I5" s="31" t="n">
        <x:v>8919.9892275382</x:v>
      </x:c>
      <x:c r="J5" s="31" t="n">
        <x:v>8919.8920354812</x:v>
      </x:c>
      <x:c r="K5" s="31" t="n">
        <x:v>0.09719205700000001</x:v>
      </x:c>
      <x:c r="L5" s="31" t="n">
        <x:v>8919.8920354812</x:v>
      </x:c>
      <x:c r="M5" s="31" t="n">
        <x:v>0.09719205700000001</x:v>
      </x:c>
      <x:c r="N5" s="24" t="str">
        <x:v>reinhardtius hippoglossoides</x:v>
      </x:c>
      <x:c r="O5" s="32" t="n">
        <x:v>4.38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Reinhardtius hippoglossoides</x:v>
      </x:c>
      <x:c r="T5" s="32" t="n">
        <x:f>IF(O5="","",(1/'Metadata'!$B$5)^(O5-1))</x:f>
        <x:v>2398.83291901949</x:v>
      </x:c>
      <x:c r="U5" s="31" t="n">
        <x:f>IF(T5="","",I5*T5)</x:f>
        <x:v>21397563.796317868</x:v>
      </x:c>
    </x:row>
    <x:row r="6" ht="18" customHeight="1">
      <x:c r="A6" s="24" t="str">
        <x:v>EEZ_744</x:v>
      </x:c>
      <x:c r="B6" s="24" t="str">
        <x:v>Svalbard Isl. (Norway)</x:v>
      </x:c>
      <x:c r="C6" s="24" t="str">
        <x:v>EEZ</x:v>
      </x:c>
      <x:c r="D6" s="30" t="n">
        <x:v>2019</x:v>
      </x:c>
      <x:c r="E6" s="24" t="str">
        <x:v>Clupea harengus</x:v>
      </x:c>
      <x:c r="F6" s="24" t="str">
        <x:v>Atlantic herring</x:v>
      </x:c>
      <x:c r="G6" s="24" t="str">
        <x:v>Medium pelagics (30 - 89 cm)</x:v>
      </x:c>
      <x:c r="H6" s="24" t="str">
        <x:v>Herring-likes</x:v>
      </x:c>
      <x:c r="I6" s="31" t="n">
        <x:v>5060.165295037599</x:v>
      </x:c>
      <x:c r="J6" s="31" t="n">
        <x:v>5017.4960860071</x:v>
      </x:c>
      <x:c r="K6" s="31" t="n">
        <x:v>42.6692090305</x:v>
      </x:c>
      <x:c r="L6" s="31" t="n">
        <x:v>5017.4960860071</x:v>
      </x:c>
      <x:c r="M6" s="31" t="n">
        <x:v>42.6692090305</x:v>
      </x:c>
      <x:c r="N6" s="24" t="str">
        <x:v>clupea harengus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Clupea harengus</x:v>
      </x:c>
      <x:c r="T6" s="32" t="n">
        <x:f>IF(O6="","",(1/'Metadata'!$B$5)^(O6-1))</x:f>
        <x:v>239.88329190194898</x:v>
      </x:c>
      <x:c r="U6" s="31" t="n">
        <x:f>IF(T6="","",I6*T6)</x:f>
        <x:v>1213849.1085416162</x:v>
      </x:c>
    </x:row>
    <x:row r="7" ht="18" customHeight="1">
      <x:c r="A7" s="24" t="str">
        <x:v>EEZ_744</x:v>
      </x:c>
      <x:c r="B7" s="24" t="str">
        <x:v>Svalbard Isl. (Norway)</x:v>
      </x:c>
      <x:c r="C7" s="24" t="str">
        <x:v>EEZ</x:v>
      </x:c>
      <x:c r="D7" s="30" t="n">
        <x:v>2019</x:v>
      </x:c>
      <x:c r="E7" s="24" t="str">
        <x:v>Anarhichas denticulatus</x:v>
      </x:c>
      <x:c r="F7" s="24" t="str">
        <x:v>Northern wolffish</x:v>
      </x:c>
      <x:c r="G7" s="24" t="str">
        <x:v>Large benthopelagics (&gt;=90 cm)</x:v>
      </x:c>
      <x:c r="H7" s="24" t="str">
        <x:v>Perch-likes</x:v>
      </x:c>
      <x:c r="I7" s="31" t="n">
        <x:v>4159.8336108963</x:v>
      </x:c>
      <x:c r="J7" s="31" t="n">
        <x:v>4159.8336108963</x:v>
      </x:c>
      <x:c r="K7" s="31" t="n">
        <x:v>0</x:v>
      </x:c>
      <x:c r="L7" s="31" t="n">
        <x:v>4156.151582574</x:v>
      </x:c>
      <x:c r="M7" s="31" t="n">
        <x:v>3.6820283223</x:v>
      </x:c>
      <x:c r="N7" s="24" t="str">
        <x:v>anarhichas denticulatus</x:v>
      </x:c>
      <x:c r="O7" s="32" t="n">
        <x:v>3.75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Anarhichas denticulatus</x:v>
      </x:c>
      <x:c r="T7" s="32" t="n">
        <x:f>IF(O7="","",(1/'Metadata'!$B$5)^(O7-1))</x:f>
        <x:v>562.341325190349</x:v>
      </x:c>
      <x:c r="U7" s="31" t="n">
        <x:f>IF(T7="","",I7*T7)</x:f>
        <x:v>2339246.3453227803</x:v>
      </x:c>
    </x:row>
    <x:row r="8" ht="18" customHeight="1">
      <x:c r="A8" s="24" t="str">
        <x:v>EEZ_744</x:v>
      </x:c>
      <x:c r="B8" s="24" t="str">
        <x:v>Svalbard Isl. (Norway)</x:v>
      </x:c>
      <x:c r="C8" s="24" t="str">
        <x:v>EEZ</x:v>
      </x:c>
      <x:c r="D8" s="30" t="n">
        <x:v>2019</x:v>
      </x:c>
      <x:c r="E8" s="24" t="str">
        <x:v>Sebastes mentella</x:v>
      </x:c>
      <x:c r="F8" s="24" t="str">
        <x:v>Beaked redfish</x:v>
      </x:c>
      <x:c r="G8" s="24" t="str">
        <x:v>Medium bathypelagics (30 - 89 cm)</x:v>
      </x:c>
      <x:c r="H8" s="24" t="str">
        <x:v>Scorpionfishes</x:v>
      </x:c>
      <x:c r="I8" s="31" t="n">
        <x:v>3322.1341338069997</x:v>
      </x:c>
      <x:c r="J8" s="31" t="n">
        <x:v>3321.7121547448</x:v>
      </x:c>
      <x:c r="K8" s="31" t="n">
        <x:v>0.42197906220000003</x:v>
      </x:c>
      <x:c r="L8" s="31" t="n">
        <x:v>3321.3748024475003</x:v>
      </x:c>
      <x:c r="M8" s="31" t="n">
        <x:v>0.7593313595000001</x:v>
      </x:c>
      <x:c r="N8" s="24" t="str">
        <x:v>sebastes mentella</x:v>
      </x:c>
      <x:c r="O8" s="32" t="n">
        <x:v>3.65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Sebastes mentella</x:v>
      </x:c>
      <x:c r="T8" s="32" t="n">
        <x:f>IF(O8="","",(1/'Metadata'!$B$5)^(O8-1))</x:f>
        <x:v>446.683592150963</x:v>
      </x:c>
      <x:c r="U8" s="31" t="n">
        <x:f>IF(T8="","",I8*T8)</x:f>
        <x:v>1483942.8084962387</x:v>
      </x:c>
    </x:row>
    <x:row r="9" ht="18" customHeight="1">
      <x:c r="A9" s="24" t="str">
        <x:v>EEZ_744</x:v>
      </x:c>
      <x:c r="B9" s="24" t="str">
        <x:v>Svalbard Isl. (Norway)</x:v>
      </x:c>
      <x:c r="C9" s="24" t="str">
        <x:v>EEZ</x:v>
      </x:c>
      <x:c r="D9" s="30" t="n">
        <x:v>2019</x:v>
      </x:c>
      <x:c r="E9" s="24" t="str">
        <x:v>Chionoecetes opilio</x:v>
      </x:c>
      <x:c r="F9" s="24" t="str">
        <x:v>Snow crab</x:v>
      </x:c>
      <x:c r="G9" s="24" t="str">
        <x:v>Lobsters, crabs</x:v>
      </x:c>
      <x:c r="H9" s="24" t="str">
        <x:v>Crustaceans</x:v>
      </x:c>
      <x:c r="I9" s="31" t="n">
        <x:v>1418.7615967508</x:v>
      </x:c>
      <x:c r="J9" s="31" t="n">
        <x:v>1316.1976627222</x:v>
      </x:c>
      <x:c r="K9" s="31" t="n">
        <x:v>102.5639340286</x:v>
      </x:c>
      <x:c r="L9" s="31" t="n">
        <x:v>1288.0993829953</x:v>
      </x:c>
      <x:c r="M9" s="31" t="n">
        <x:v>130.6622137555</x:v>
      </x:c>
      <x:c r="N9" s="24" t="str">
        <x:v>chionoecetes opilio</x:v>
      </x:c>
      <x:c r="O9" s="32" t="n">
        <x:v>3.54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Chionoecetes opilio</x:v>
      </x:c>
      <x:c r="T9" s="32" t="n">
        <x:f>IF(O9="","",(1/'Metadata'!$B$5)^(O9-1))</x:f>
        <x:v>346.73685045253166</x:v>
      </x:c>
      <x:c r="U9" s="31" t="n">
        <x:f>IF(T9="","",I9*T9)</x:f>
        <x:v>491936.9276003772</x:v>
      </x:c>
    </x:row>
    <x:row r="10" ht="18" customHeight="1">
      <x:c r="A10" s="24" t="str">
        <x:v>EEZ_744</x:v>
      </x:c>
      <x:c r="B10" s="24" t="str">
        <x:v>Svalbard Isl. (Norway)</x:v>
      </x:c>
      <x:c r="C10" s="24" t="str">
        <x:v>EEZ</x:v>
      </x:c>
      <x:c r="D10" s="30" t="n">
        <x:v>2019</x:v>
      </x:c>
      <x:c r="E10" s="24" t="str">
        <x:v>Anarhichas lupus</x:v>
      </x:c>
      <x:c r="F10" s="24" t="str">
        <x:v>Atlantic wolffish</x:v>
      </x:c>
      <x:c r="G10" s="24" t="str">
        <x:v>Large demersals (&gt;=90 cm)</x:v>
      </x:c>
      <x:c r="H10" s="24" t="str">
        <x:v>Perch-likes</x:v>
      </x:c>
      <x:c r="I10" s="31" t="n">
        <x:v>1197.7356703152</x:v>
      </x:c>
      <x:c r="J10" s="31" t="n">
        <x:v>1197.7356703152</x:v>
      </x:c>
      <x:c r="K10" s="31" t="n">
        <x:v>0</x:v>
      </x:c>
      <x:c r="L10" s="31" t="n">
        <x:v>1197.7356703152</x:v>
      </x:c>
      <x:c r="M10" s="31" t="n">
        <x:v>0</x:v>
      </x:c>
      <x:c r="N10" s="24" t="str">
        <x:v>anarhichas lupus</x:v>
      </x:c>
      <x:c r="O10" s="32" t="n">
        <x:v>3.55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Anarhichas lupus</x:v>
      </x:c>
      <x:c r="T10" s="32" t="n">
        <x:f>IF(O10="","",(1/'Metadata'!$B$5)^(O10-1))</x:f>
        <x:v>354.8133892335753</x:v>
      </x:c>
      <x:c r="U10" s="31" t="n">
        <x:f>IF(T10="","",I10*T10)</x:f>
        <x:v>424972.6525904843</x:v>
      </x:c>
    </x:row>
    <x:row r="11" ht="18" customHeight="1">
      <x:c r="A11" s="24" t="str">
        <x:v>EEZ_744</x:v>
      </x:c>
      <x:c r="B11" s="24" t="str">
        <x:v>Svalbard Isl. (Norway)</x:v>
      </x:c>
      <x:c r="C11" s="24" t="str">
        <x:v>EEZ</x:v>
      </x:c>
      <x:c r="D11" s="30" t="n">
        <x:v>2019</x:v>
      </x:c>
      <x:c r="E11" s="24" t="str">
        <x:v>Sebastes norvegicus</x:v>
      </x:c>
      <x:c r="F11" s="24" t="str">
        <x:v>Golden redfish</x:v>
      </x:c>
      <x:c r="G11" s="24" t="str">
        <x:v>Medium benthopelagics (30 - 89 cm)</x:v>
      </x:c>
      <x:c r="H11" s="24" t="str">
        <x:v>Scorpionfishes</x:v>
      </x:c>
      <x:c r="I11" s="31" t="n">
        <x:v>692.9008408784999</x:v>
      </x:c>
      <x:c r="J11" s="31" t="n">
        <x:v>691.4963236067999</x:v>
      </x:c>
      <x:c r="K11" s="31" t="n">
        <x:v>1.4045172717</x:v>
      </x:c>
      <x:c r="L11" s="31" t="n">
        <x:v>691.4927273607</x:v>
      </x:c>
      <x:c r="M11" s="31" t="n">
        <x:v>1.4081135178</x:v>
      </x:c>
      <x:c r="N11" s="24" t="str">
        <x:v>sebastes norvegicus</x:v>
      </x:c>
      <x:c r="O11" s="32" t="n">
        <x:v>4.04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Sebastes norvegicus</x:v>
      </x:c>
      <x:c r="T11" s="32" t="n">
        <x:f>IF(O11="","",(1/'Metadata'!$B$5)^(O11-1))</x:f>
        <x:v>1096.4781961431852</x:v>
      </x:c>
      <x:c r="U11" s="31" t="n">
        <x:f>IF(T11="","",I11*T11)</x:f>
        <x:v>759750.6641125538</x:v>
      </x:c>
    </x:row>
    <x:row r="12" ht="18" customHeight="1">
      <x:c r="A12" s="24" t="str">
        <x:v>EEZ_744</x:v>
      </x:c>
      <x:c r="B12" s="24" t="str">
        <x:v>Svalbard Isl. (Norway)</x:v>
      </x:c>
      <x:c r="C12" s="24" t="str">
        <x:v>EEZ</x:v>
      </x:c>
      <x:c r="D12" s="30" t="n">
        <x:v>2019</x:v>
      </x:c>
      <x:c r="E12" s="24" t="str">
        <x:v>Hippoglossoides platessoides</x:v>
      </x:c>
      <x:c r="F12" s="24" t="str">
        <x:v>American plaice</x:v>
      </x:c>
      <x:c r="G12" s="24" t="str">
        <x:v>Small to medium flatfishes (&lt;90 cm)</x:v>
      </x:c>
      <x:c r="H12" s="24" t="str">
        <x:v>Flatfishes</x:v>
      </x:c>
      <x:c r="I12" s="31" t="n">
        <x:v>472.6873029061</x:v>
      </x:c>
      <x:c r="J12" s="31" t="n">
        <x:v>472.6873029061</x:v>
      </x:c>
      <x:c r="K12" s="31" t="n">
        <x:v>0</x:v>
      </x:c>
      <x:c r="L12" s="31" t="n">
        <x:v>472.6873029061</x:v>
      </x:c>
      <x:c r="M12" s="31" t="n">
        <x:v>0</x:v>
      </x:c>
      <x:c r="N12" s="24" t="str">
        <x:v>hippoglossoides platessoides</x:v>
      </x:c>
      <x:c r="O12" s="32" t="n">
        <x:v>4.08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Hippoglossoides platessoides</x:v>
      </x:c>
      <x:c r="T12" s="32" t="n">
        <x:f>IF(O12="","",(1/'Metadata'!$B$5)^(O12-1))</x:f>
        <x:v>1202.2644346174131</x:v>
      </x:c>
      <x:c r="U12" s="31" t="n">
        <x:f>IF(T12="","",I12*T12)</x:f>
        <x:v>568295.1329792322</x:v>
      </x:c>
    </x:row>
    <x:row r="13" ht="18" customHeight="1">
      <x:c r="A13" s="24" t="str">
        <x:v>EEZ_744</x:v>
      </x:c>
      <x:c r="B13" s="24" t="str">
        <x:v>Svalbard Isl. (Norway)</x:v>
      </x:c>
      <x:c r="C13" s="24" t="str">
        <x:v>EEZ</x:v>
      </x:c>
      <x:c r="D13" s="30" t="n">
        <x:v>2019</x:v>
      </x:c>
      <x:c r="E13" s="24" t="str">
        <x:v>Micromesistius poutassou</x:v>
      </x:c>
      <x:c r="F13" s="24" t="str">
        <x:v>Blue whiting</x:v>
      </x:c>
      <x:c r="G13" s="24" t="str">
        <x:v>Medium benthopelagics (30 - 89 cm)</x:v>
      </x:c>
      <x:c r="H13" s="24" t="str">
        <x:v>Cod-likes</x:v>
      </x:c>
      <x:c r="I13" s="31" t="n">
        <x:v>421.5724571301</x:v>
      </x:c>
      <x:c r="J13" s="31" t="n">
        <x:v>421.5699639913</x:v>
      </x:c>
      <x:c r="K13" s="31" t="n">
        <x:v>0.0024931388</x:v>
      </x:c>
      <x:c r="L13" s="31" t="n">
        <x:v>421.5699639913</x:v>
      </x:c>
      <x:c r="M13" s="31" t="n">
        <x:v>0.0024931388</x:v>
      </x:c>
      <x:c r="N13" s="24" t="str">
        <x:v>micromesistius poutassou</x:v>
      </x:c>
      <x:c r="O13" s="32" t="n">
        <x:v>4.13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Micromesistius poutassou</x:v>
      </x:c>
      <x:c r="T13" s="32" t="n">
        <x:f>IF(O13="","",(1/'Metadata'!$B$5)^(O13-1))</x:f>
        <x:v>1348.9628825916532</x:v>
      </x:c>
      <x:c r="U13" s="31" t="n">
        <x:f>IF(T13="","",I13*T13)</x:f>
        <x:v>568685.5969914659</x:v>
      </x:c>
    </x:row>
    <x:row r="14" ht="18" customHeight="1">
      <x:c r="A14" s="24" t="str">
        <x:v>EEZ_744</x:v>
      </x:c>
      <x:c r="B14" s="24" t="str">
        <x:v>Svalbard Isl. (Norway)</x:v>
      </x:c>
      <x:c r="C14" s="24" t="str">
        <x:v>EEZ</x:v>
      </x:c>
      <x:c r="D14" s="30" t="n">
        <x:v>2019</x:v>
      </x:c>
      <x:c r="E14" s="24" t="str">
        <x:v>Pandalus borealis</x:v>
      </x:c>
      <x:c r="F14" s="24" t="str">
        <x:v>Northern prawn</x:v>
      </x:c>
      <x:c r="G14" s="24" t="str">
        <x:v>Shrimps</x:v>
      </x:c>
      <x:c r="H14" s="24" t="str">
        <x:v>Crustaceans</x:v>
      </x:c>
      <x:c r="I14" s="31" t="n">
        <x:v>225.3099185271</x:v>
      </x:c>
      <x:c r="J14" s="31" t="n">
        <x:v>223.9520243572</x:v>
      </x:c>
      <x:c r="K14" s="31" t="n">
        <x:v>1.3578941699</x:v>
      </x:c>
      <x:c r="L14" s="31" t="n">
        <x:v>223.9520243572</x:v>
      </x:c>
      <x:c r="M14" s="31" t="n">
        <x:v>1.3578941699</x:v>
      </x:c>
      <x:c r="N14" s="24" t="str">
        <x:v>pandalus borealis</x:v>
      </x:c>
      <x:c r="O14" s="32" t="n">
        <x:v>3.07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Pandalus borealis</x:v>
      </x:c>
      <x:c r="T14" s="32" t="n">
        <x:f>IF(O14="","",(1/'Metadata'!$B$5)^(O14-1))</x:f>
        <x:v>117.48975549395291</x:v>
      </x:c>
      <x:c r="U14" s="31" t="n">
        <x:f>IF(T14="","",I14*T14)</x:f>
        <x:v>26471.607238111428</x:v>
      </x:c>
    </x:row>
    <x:row r="15" ht="18" customHeight="1">
      <x:c r="A15" s="24" t="str">
        <x:v>EEZ_744</x:v>
      </x:c>
      <x:c r="B15" s="24" t="str">
        <x:v>Svalbard Isl. (Norway)</x:v>
      </x:c>
      <x:c r="C15" s="24" t="str">
        <x:v>EEZ</x:v>
      </x:c>
      <x:c r="D15" s="30" t="n">
        <x:v>2019</x:v>
      </x:c>
      <x:c r="E15" s="24" t="str">
        <x:v>Marine finfishes not identified</x:v>
      </x:c>
      <x:c r="F15" s="24" t="str">
        <x:v>Finfishes</x:v>
      </x:c>
      <x:c r="G15" s="24" t="str">
        <x:v>Medium demersals (30 - 89 cm)</x:v>
      </x:c>
      <x:c r="H15" s="24" t="str">
        <x:v>Other fishes &amp; inverts</x:v>
      </x:c>
      <x:c r="I15" s="31" t="n">
        <x:v>157.21902612099998</x:v>
      </x:c>
      <x:c r="J15" s="31" t="n">
        <x:v>115.6544337804</x:v>
      </x:c>
      <x:c r="K15" s="31" t="n">
        <x:v>41.5645923406</x:v>
      </x:c>
      <x:c r="L15" s="31" t="n">
        <x:v>115.6544337804</x:v>
      </x:c>
      <x:c r="M15" s="31" t="n">
        <x:v>41.5645923406</x:v>
      </x:c>
      <x:c r="N15" s="24" t="str">
        <x:v>marine finfishes not identified</x:v>
      </x:c>
      <x:c r="O15" s="32" t="n">
        <x:v>3.23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Marine finfishes not identified</x:v>
      </x:c>
      <x:c r="T15" s="32" t="n">
        <x:f>IF(O15="","",(1/'Metadata'!$B$5)^(O15-1))</x:f>
        <x:v>169.82436524617444</x:v>
      </x:c>
      <x:c r="U15" s="31" t="n">
        <x:f>IF(T15="","",I15*T15)</x:f>
        <x:v>26699.62131562054</x:v>
      </x:c>
    </x:row>
    <x:row r="16" ht="18" customHeight="1">
      <x:c r="A16" s="24" t="str">
        <x:v>EEZ_744</x:v>
      </x:c>
      <x:c r="B16" s="24" t="str">
        <x:v>Svalbard Isl. (Norway)</x:v>
      </x:c>
      <x:c r="C16" s="24" t="str">
        <x:v>EEZ</x:v>
      </x:c>
      <x:c r="D16" s="30" t="n">
        <x:v>2019</x:v>
      </x:c>
      <x:c r="E16" s="24" t="str">
        <x:v>Pollachius virens</x:v>
      </x:c>
      <x:c r="F16" s="24" t="str">
        <x:v>Saithe</x:v>
      </x:c>
      <x:c r="G16" s="24" t="str">
        <x:v>Large demersals (&gt;=90 cm)</x:v>
      </x:c>
      <x:c r="H16" s="24" t="str">
        <x:v>Cod-likes</x:v>
      </x:c>
      <x:c r="I16" s="31" t="n">
        <x:v>155.9118408939</x:v>
      </x:c>
      <x:c r="J16" s="31" t="n">
        <x:v>155.9118408939</x:v>
      </x:c>
      <x:c r="K16" s="31" t="n">
        <x:v>0</x:v>
      </x:c>
      <x:c r="L16" s="31" t="n">
        <x:v>155.9118408939</x:v>
      </x:c>
      <x:c r="M16" s="31" t="n">
        <x:v>0</x:v>
      </x:c>
      <x:c r="N16" s="24" t="str">
        <x:v>pollachius virens</x:v>
      </x:c>
      <x:c r="O16" s="32" t="n">
        <x:v>4.31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Pollachius virens</x:v>
      </x:c>
      <x:c r="T16" s="32" t="n">
        <x:f>IF(O16="","",(1/'Metadata'!$B$5)^(O16-1))</x:f>
        <x:v>2041.7379446695275</x:v>
      </x:c>
      <x:c r="U16" s="31" t="n">
        <x:f>IF(T16="","",I16*T16)</x:f>
        <x:v>318331.1215763538</x:v>
      </x:c>
    </x:row>
    <x:row r="17" ht="18" customHeight="1">
      <x:c r="A17" s="24" t="str">
        <x:v>EEZ_744</x:v>
      </x:c>
      <x:c r="B17" s="24" t="str">
        <x:v>Svalbard Isl. (Norway)</x:v>
      </x:c>
      <x:c r="C17" s="24" t="str">
        <x:v>EEZ</x:v>
      </x:c>
      <x:c r="D17" s="30" t="n">
        <x:v>2019</x:v>
      </x:c>
      <x:c r="E17" s="24" t="str">
        <x:v>Gadidae</x:v>
      </x:c>
      <x:c r="F17" s="24" t="str">
        <x:v>Cods, haddocks</x:v>
      </x:c>
      <x:c r="G17" s="24" t="str">
        <x:v>Medium demersals (30 - 89 cm)</x:v>
      </x:c>
      <x:c r="H17" s="24" t="str">
        <x:v>Cod-likes</x:v>
      </x:c>
      <x:c r="I17" s="31" t="n">
        <x:v>155.3430293248</x:v>
      </x:c>
      <x:c r="J17" s="31" t="n">
        <x:v>17.39568164</x:v>
      </x:c>
      <x:c r="K17" s="31" t="n">
        <x:v>137.9473476848</x:v>
      </x:c>
      <x:c r="L17" s="31" t="n">
        <x:v>17.39568164</x:v>
      </x:c>
      <x:c r="M17" s="31" t="n">
        <x:v>137.9473476848</x:v>
      </x:c>
      <x:c r="N17" s="24" t="str">
        <x:v>gadidae</x:v>
      </x:c>
      <x:c r="O17" s="32" t="n">
        <x:v>3.84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Gadidae</x:v>
      </x:c>
      <x:c r="T17" s="32" t="n">
        <x:f>IF(O17="","",(1/'Metadata'!$B$5)^(O17-1))</x:f>
        <x:v>691.8309709189363</x:v>
      </x:c>
      <x:c r="U17" s="31" t="n">
        <x:f>IF(T17="","",I17*T17)</x:f>
        <x:v>107471.11880326517</x:v>
      </x:c>
    </x:row>
    <x:row r="18" ht="18" customHeight="1">
      <x:c r="A18" s="24" t="str">
        <x:v>EEZ_744</x:v>
      </x:c>
      <x:c r="B18" s="24" t="str">
        <x:v>Svalbard Isl. (Norway)</x:v>
      </x:c>
      <x:c r="C18" s="24" t="str">
        <x:v>EEZ</x:v>
      </x:c>
      <x:c r="D18" s="30" t="n">
        <x:v>2019</x:v>
      </x:c>
      <x:c r="E18" s="24" t="str">
        <x:v>Gadiformes</x:v>
      </x:c>
      <x:c r="F18" s="24" t="str">
        <x:v>Cods</x:v>
      </x:c>
      <x:c r="G18" s="24" t="str">
        <x:v>Medium benthopelagics (30 - 89 cm)</x:v>
      </x:c>
      <x:c r="H18" s="24" t="str">
        <x:v>Cod-likes</x:v>
      </x:c>
      <x:c r="I18" s="31" t="n">
        <x:v>152.5196051584</x:v>
      </x:c>
      <x:c r="J18" s="31" t="n">
        <x:v>7.1575764112</x:v>
      </x:c>
      <x:c r="K18" s="31" t="n">
        <x:v>145.3620287472</x:v>
      </x:c>
      <x:c r="L18" s="31" t="n">
        <x:v>7.1575764112</x:v>
      </x:c>
      <x:c r="M18" s="31" t="n">
        <x:v>145.3620287472</x:v>
      </x:c>
      <x:c r="N18" s="24" t="str">
        <x:v>gadiformes</x:v>
      </x:c>
      <x:c r="O18" s="32" t="n">
        <x:v>3.91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Gadiformes</x:v>
      </x:c>
      <x:c r="T18" s="32" t="n">
        <x:f>IF(O18="","",(1/'Metadata'!$B$5)^(O18-1))</x:f>
        <x:v>812.8305161640995</x:v>
      </x:c>
      <x:c r="U18" s="31" t="n">
        <x:f>IF(T18="","",I18*T18)</x:f>
        <x:v>123972.58938604694</x:v>
      </x:c>
    </x:row>
    <x:row r="19" ht="18" customHeight="1">
      <x:c r="A19" s="24" t="str">
        <x:v>EEZ_744</x:v>
      </x:c>
      <x:c r="B19" s="24" t="str">
        <x:v>Svalbard Isl. (Norway)</x:v>
      </x:c>
      <x:c r="C19" s="24" t="str">
        <x:v>EEZ</x:v>
      </x:c>
      <x:c r="D19" s="30" t="n">
        <x:v>2019</x:v>
      </x:c>
      <x:c r="E19" s="24" t="str">
        <x:v>Perciformes</x:v>
      </x:c>
      <x:c r="F19" s="24" t="str">
        <x:v>Perch-likes</x:v>
      </x:c>
      <x:c r="G19" s="24" t="str">
        <x:v>Medium demersals (30 - 89 cm)</x:v>
      </x:c>
      <x:c r="H19" s="24" t="str">
        <x:v>Perch-likes</x:v>
      </x:c>
      <x:c r="I19" s="31" t="n">
        <x:v>133.9981507599</x:v>
      </x:c>
      <x:c r="J19" s="31" t="n">
        <x:v>133.9981507599</x:v>
      </x:c>
      <x:c r="K19" s="31" t="n">
        <x:v>0</x:v>
      </x:c>
      <x:c r="L19" s="31" t="n">
        <x:v>133.9981507599</x:v>
      </x:c>
      <x:c r="M19" s="31" t="n">
        <x:v>0</x:v>
      </x:c>
      <x:c r="N19" s="24" t="str">
        <x:v>perciformes</x:v>
      </x:c>
      <x:c r="O19" s="32" t="n">
        <x:v>3.53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Perciformes</x:v>
      </x:c>
      <x:c r="T19" s="32" t="n">
        <x:f>IF(O19="","",(1/'Metadata'!$B$5)^(O19-1))</x:f>
        <x:v>338.84415613920237</x:v>
      </x:c>
      <x:c r="U19" s="31" t="n">
        <x:f>IF(T19="","",I19*T19)</x:f>
        <x:v>45404.490318451935</x:v>
      </x:c>
    </x:row>
    <x:row r="20" ht="18" customHeight="1">
      <x:c r="A20" s="24" t="str">
        <x:v>EEZ_744</x:v>
      </x:c>
      <x:c r="B20" s="24" t="str">
        <x:v>Svalbard Isl. (Norway)</x:v>
      </x:c>
      <x:c r="C20" s="24" t="str">
        <x:v>EEZ</x:v>
      </x:c>
      <x:c r="D20" s="30" t="n">
        <x:v>2019</x:v>
      </x:c>
      <x:c r="E20" s="24" t="str">
        <x:v>Anarhichas</x:v>
      </x:c>
      <x:c r="F20" s="24" t="str">
        <x:v>Wolffishes</x:v>
      </x:c>
      <x:c r="G20" s="24" t="str">
        <x:v>Large demersals (&gt;=90 cm)</x:v>
      </x:c>
      <x:c r="H20" s="24" t="str">
        <x:v>Perch-likes</x:v>
      </x:c>
      <x:c r="I20" s="31" t="n">
        <x:v>95.57083895029999</x:v>
      </x:c>
      <x:c r="J20" s="31" t="n">
        <x:v>0.510753611</x:v>
      </x:c>
      <x:c r="K20" s="31" t="n">
        <x:v>95.0600853393</x:v>
      </x:c>
      <x:c r="L20" s="31" t="n">
        <x:v>0.510753611</x:v>
      </x:c>
      <x:c r="M20" s="31" t="n">
        <x:v>95.0600853393</x:v>
      </x:c>
      <x:c r="N20" s="24" t="str">
        <x:v>anarhichas</x:v>
      </x:c>
      <x:c r="O20" s="32" t="n">
        <x:v>3.35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Anarhichas</x:v>
      </x:c>
      <x:c r="T20" s="32" t="n">
        <x:f>IF(O20="","",(1/'Metadata'!$B$5)^(O20-1))</x:f>
        <x:v>223.872113856834</x:v>
      </x:c>
      <x:c r="U20" s="31" t="n">
        <x:f>IF(T20="","",I20*T20)</x:f>
        <x:v>21395.645738874704</x:v>
      </x:c>
    </x:row>
    <x:row r="21" ht="18" customHeight="1">
      <x:c r="A21" s="24" t="str">
        <x:v>EEZ_744</x:v>
      </x:c>
      <x:c r="B21" s="24" t="str">
        <x:v>Svalbard Isl. (Norway)</x:v>
      </x:c>
      <x:c r="C21" s="24" t="str">
        <x:v>EEZ</x:v>
      </x:c>
      <x:c r="D21" s="30" t="n">
        <x:v>2019</x:v>
      </x:c>
      <x:c r="E21" s="24" t="str">
        <x:v>Pleuronectidae</x:v>
      </x:c>
      <x:c r="F21" s="24" t="str">
        <x:v>Righteye flounders</x:v>
      </x:c>
      <x:c r="G21" s="24" t="str">
        <x:v>Small to medium flatfishes (&lt;90 cm)</x:v>
      </x:c>
      <x:c r="H21" s="24" t="str">
        <x:v>Flatfishes</x:v>
      </x:c>
      <x:c r="I21" s="31" t="n">
        <x:v>95.2339298631</x:v>
      </x:c>
      <x:c r="J21" s="31" t="n">
        <x:v>0.0180294151</x:v>
      </x:c>
      <x:c r="K21" s="31" t="n">
        <x:v>95.215900448</x:v>
      </x:c>
      <x:c r="L21" s="31" t="n">
        <x:v>0.0180294151</x:v>
      </x:c>
      <x:c r="M21" s="31" t="n">
        <x:v>95.215900448</x:v>
      </x:c>
      <x:c r="N21" s="24" t="str">
        <x:v>pleuronectidae</x:v>
      </x:c>
      <x:c r="O21" s="32" t="n">
        <x:v>3.49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Pleuronectidae</x:v>
      </x:c>
      <x:c r="T21" s="32" t="n">
        <x:f>IF(O21="","",(1/'Metadata'!$B$5)^(O21-1))</x:f>
        <x:v>309.0295432513592</x:v>
      </x:c>
      <x:c r="U21" s="31" t="n">
        <x:f>IF(T21="","",I21*T21)</x:f>
        <x:v>29430.09784762577</x:v>
      </x:c>
    </x:row>
    <x:row r="22" ht="18" customHeight="1">
      <x:c r="A22" s="24" t="str">
        <x:v>EEZ_744</x:v>
      </x:c>
      <x:c r="B22" s="24" t="str">
        <x:v>Svalbard Isl. (Norway)</x:v>
      </x:c>
      <x:c r="C22" s="24" t="str">
        <x:v>EEZ</x:v>
      </x:c>
      <x:c r="D22" s="30" t="n">
        <x:v>2019</x:v>
      </x:c>
      <x:c r="E22" s="24" t="str">
        <x:v>Miscellaneous marine crustaceans</x:v>
      </x:c>
      <x:c r="F22" s="24" t="str">
        <x:v>Marine crabs, shrimps, lobsters nei</x:v>
      </x:c>
      <x:c r="G22" s="24" t="str">
        <x:v>Shrimps</x:v>
      </x:c>
      <x:c r="H22" s="24" t="str">
        <x:v>Crustaceans</x:v>
      </x:c>
      <x:c r="I22" s="31" t="n">
        <x:v>80.1595114746</x:v>
      </x:c>
      <x:c r="J22" s="31" t="n">
        <x:v>0.3386500746</x:v>
      </x:c>
      <x:c r="K22" s="31" t="n">
        <x:v>79.8208614</x:v>
      </x:c>
      <x:c r="L22" s="31" t="n">
        <x:v>0.3386500746</x:v>
      </x:c>
      <x:c r="M22" s="31" t="n">
        <x:v>79.8208614</x:v>
      </x:c>
      <x:c r="N22" s="24" t="str">
        <x:v>miscellaneous marine crustaceans</x:v>
      </x:c>
      <x:c r="O22" s="32" t="n">
        <x:v>2.7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Miscellaneous marine crustaceans</x:v>
      </x:c>
      <x:c r="T22" s="32" t="n">
        <x:f>IF(O22="","",(1/'Metadata'!$B$5)^(O22-1))</x:f>
        <x:v>50.11872336272725</x:v>
      </x:c>
      <x:c r="U22" s="31" t="n">
        <x:f>IF(T22="","",I22*T22)</x:f>
        <x:v>4017.492380486838</x:v>
      </x:c>
    </x:row>
    <x:row r="23" ht="18" customHeight="1">
      <x:c r="A23" s="24" t="str">
        <x:v>EEZ_744</x:v>
      </x:c>
      <x:c r="B23" s="24" t="str">
        <x:v>Svalbard Isl. (Norway)</x:v>
      </x:c>
      <x:c r="C23" s="24" t="str">
        <x:v>EEZ</x:v>
      </x:c>
      <x:c r="D23" s="30" t="n">
        <x:v>2019</x:v>
      </x:c>
      <x:c r="E23" s="24" t="str">
        <x:v>Merlucciidae</x:v>
      </x:c>
      <x:c r="F23" s="24" t="str">
        <x:v>Merluccid hakes</x:v>
      </x:c>
      <x:c r="G23" s="24" t="str">
        <x:v>Large bathydemersals (&gt;=90 cm)</x:v>
      </x:c>
      <x:c r="H23" s="24" t="str">
        <x:v>Cod-likes</x:v>
      </x:c>
      <x:c r="I23" s="31" t="n">
        <x:v>79.2038338829</x:v>
      </x:c>
      <x:c r="J23" s="31" t="n">
        <x:v>0</x:v>
      </x:c>
      <x:c r="K23" s="31" t="n">
        <x:v>79.2038338829</x:v>
      </x:c>
      <x:c r="L23" s="31" t="n">
        <x:v>0</x:v>
      </x:c>
      <x:c r="M23" s="31" t="n">
        <x:v>79.2038338829</x:v>
      </x:c>
      <x:c r="N23" s="24" t="str">
        <x:v>merlucciidae</x:v>
      </x:c>
      <x:c r="O23" s="32" t="n">
        <x:v>4.35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Merlucciidae</x:v>
      </x:c>
      <x:c r="T23" s="32" t="n">
        <x:f>IF(O23="","",(1/'Metadata'!$B$5)^(O23-1))</x:f>
        <x:v>2238.7211385683377</x:v>
      </x:c>
      <x:c r="U23" s="31" t="n">
        <x:f>IF(T23="","",I23*T23)</x:f>
        <x:v>177315.29716930338</x:v>
      </x:c>
    </x:row>
    <x:row r="24" ht="18" customHeight="1">
      <x:c r="A24" s="24" t="str">
        <x:v>EEZ_744</x:v>
      </x:c>
      <x:c r="B24" s="24" t="str">
        <x:v>Svalbard Isl. (Norway)</x:v>
      </x:c>
      <x:c r="C24" s="24" t="str">
        <x:v>EEZ</x:v>
      </x:c>
      <x:c r="D24" s="30" t="n">
        <x:v>2019</x:v>
      </x:c>
      <x:c r="E24" s="24" t="str">
        <x:v>Brachyura</x:v>
      </x:c>
      <x:c r="F24" s="24" t="str">
        <x:v>Marine crabs</x:v>
      </x:c>
      <x:c r="G24" s="24" t="str">
        <x:v>Lobsters, crabs</x:v>
      </x:c>
      <x:c r="H24" s="24" t="str">
        <x:v>Crustaceans</x:v>
      </x:c>
      <x:c r="I24" s="31" t="n">
        <x:v>55.246846010700004</x:v>
      </x:c>
      <x:c r="J24" s="31" t="n">
        <x:v>55.246846010700004</x:v>
      </x:c>
      <x:c r="K24" s="31" t="n">
        <x:v>0</x:v>
      </x:c>
      <x:c r="L24" s="31" t="n">
        <x:v>55.246846010700004</x:v>
      </x:c>
      <x:c r="M24" s="31" t="n">
        <x:v>0</x:v>
      </x:c>
      <x:c r="N24" s="24" t="str">
        <x:v>brachyura</x:v>
      </x:c>
      <x:c r="O24" s="32" t="n">
        <x:v>2.6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Brachyura</x:v>
      </x:c>
      <x:c r="T24" s="32" t="n">
        <x:f>IF(O24="","",(1/'Metadata'!$B$5)^(O24-1))</x:f>
        <x:v>39.810717055349734</x:v>
      </x:c>
      <x:c r="U24" s="31" t="n">
        <x:f>IF(T24="","",I24*T24)</x:f>
        <x:v>2199.416554732455</x:v>
      </x:c>
    </x:row>
    <x:row r="25" ht="18" customHeight="1">
      <x:c r="A25" s="24" t="str">
        <x:v>EEZ_744</x:v>
      </x:c>
      <x:c r="B25" s="24" t="str">
        <x:v>Svalbard Isl. (Norway)</x:v>
      </x:c>
      <x:c r="C25" s="24" t="str">
        <x:v>EEZ</x:v>
      </x:c>
      <x:c r="D25" s="30" t="n">
        <x:v>2019</x:v>
      </x:c>
      <x:c r="E25" s="24" t="str">
        <x:v>Echinoidea</x:v>
      </x:c>
      <x:c r="F25" s="24" t="str">
        <x:v>Sea urchins, sea hedgehogs</x:v>
      </x:c>
      <x:c r="G25" s="24" t="str">
        <x:v>Other demersal invertebrates</x:v>
      </x:c>
      <x:c r="H25" s="24" t="str">
        <x:v>Other fishes &amp; inverts</x:v>
      </x:c>
      <x:c r="I25" s="31" t="n">
        <x:v>53.3621829645</x:v>
      </x:c>
      <x:c r="J25" s="31" t="n">
        <x:v>53.3621829645</x:v>
      </x:c>
      <x:c r="K25" s="31" t="n">
        <x:v>0</x:v>
      </x:c>
      <x:c r="L25" s="31" t="n">
        <x:v>53.3610646205</x:v>
      </x:c>
      <x:c r="M25" s="31" t="n">
        <x:v>0.001118344</x:v>
      </x:c>
      <x:c r="N25" s="24" t="str">
        <x:v>echinoidea</x:v>
      </x:c>
      <x:c r="O25" s="32" t="n">
        <x:v>2.51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Echinoidea</x:v>
      </x:c>
      <x:c r="T25" s="32" t="n">
        <x:f>IF(O25="","",(1/'Metadata'!$B$5)^(O25-1))</x:f>
        <x:v>32.35936569296281</x:v>
      </x:c>
      <x:c r="U25" s="31" t="n">
        <x:f>IF(T25="","",I25*T25)</x:f>
        <x:v>1726.7663927230458</x:v>
      </x:c>
    </x:row>
    <x:row r="26" ht="18" customHeight="1">
      <x:c r="A26" s="24" t="str">
        <x:v>EEZ_744</x:v>
      </x:c>
      <x:c r="B26" s="24" t="str">
        <x:v>Svalbard Isl. (Norway)</x:v>
      </x:c>
      <x:c r="C26" s="24" t="str">
        <x:v>EEZ</x:v>
      </x:c>
      <x:c r="D26" s="30" t="n">
        <x:v>2019</x:v>
      </x:c>
      <x:c r="E26" s="24" t="str">
        <x:v>Molva molva</x:v>
      </x:c>
      <x:c r="F26" s="24" t="str">
        <x:v>Ling</x:v>
      </x:c>
      <x:c r="G26" s="24" t="str">
        <x:v>Large demersals (&gt;=90 cm)</x:v>
      </x:c>
      <x:c r="H26" s="24" t="str">
        <x:v>Cod-likes</x:v>
      </x:c>
      <x:c r="I26" s="31" t="n">
        <x:v>50.8448115331</x:v>
      </x:c>
      <x:c r="J26" s="31" t="n">
        <x:v>50.8448115331</x:v>
      </x:c>
      <x:c r="K26" s="31" t="n">
        <x:v>0</x:v>
      </x:c>
      <x:c r="L26" s="31" t="n">
        <x:v>50.8448115331</x:v>
      </x:c>
      <x:c r="M26" s="31" t="n">
        <x:v>0</x:v>
      </x:c>
      <x:c r="N26" s="24" t="str">
        <x:v>molva molva</x:v>
      </x:c>
      <x:c r="O26" s="32" t="n">
        <x:v>4.4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Molva molva</x:v>
      </x:c>
      <x:c r="T26" s="32" t="n">
        <x:f>IF(O26="","",(1/'Metadata'!$B$5)^(O26-1))</x:f>
        <x:v>2511.886431509582</x:v>
      </x:c>
      <x:c r="U26" s="31" t="n">
        <x:f>IF(T26="","",I26*T26)</x:f>
        <x:v>127716.3922026558</x:v>
      </x:c>
    </x:row>
    <x:row r="27" ht="18" customHeight="1">
      <x:c r="A27" s="24" t="str">
        <x:v>EEZ_744</x:v>
      </x:c>
      <x:c r="B27" s="24" t="str">
        <x:v>Svalbard Isl. (Norway)</x:v>
      </x:c>
      <x:c r="C27" s="24" t="str">
        <x:v>EEZ</x:v>
      </x:c>
      <x:c r="D27" s="30" t="n">
        <x:v>2019</x:v>
      </x:c>
      <x:c r="E27" s="24" t="str">
        <x:v>Brosme brosme</x:v>
      </x:c>
      <x:c r="F27" s="24" t="str">
        <x:v>Tusk</x:v>
      </x:c>
      <x:c r="G27" s="24" t="str">
        <x:v>Large demersals (&gt;=90 cm)</x:v>
      </x:c>
      <x:c r="H27" s="24" t="str">
        <x:v>Cod-likes</x:v>
      </x:c>
      <x:c r="I27" s="31" t="n">
        <x:v>50.245646389399994</x:v>
      </x:c>
      <x:c r="J27" s="31" t="n">
        <x:v>50.245646389399994</x:v>
      </x:c>
      <x:c r="K27" s="31" t="n">
        <x:v>0</x:v>
      </x:c>
      <x:c r="L27" s="31" t="n">
        <x:v>50.2437842999</x:v>
      </x:c>
      <x:c r="M27" s="31" t="n">
        <x:v>0.0018620895</x:v>
      </x:c>
      <x:c r="N27" s="24" t="str">
        <x:v>brosme brosme</x:v>
      </x:c>
      <x:c r="O27" s="32" t="n">
        <x:v>3.9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Brosme brosme</x:v>
      </x:c>
      <x:c r="T27" s="32" t="n">
        <x:f>IF(O27="","",(1/'Metadata'!$B$5)^(O27-1))</x:f>
        <x:v>794.3282347242813</x:v>
      </x:c>
      <x:c r="U27" s="31" t="n">
        <x:f>IF(T27="","",I27*T27)</x:f>
        <x:v>39911.53559907256</x:v>
      </x:c>
    </x:row>
    <x:row r="28" ht="18" customHeight="1">
      <x:c r="A28" s="24" t="str">
        <x:v>EEZ_744</x:v>
      </x:c>
      <x:c r="B28" s="24" t="str">
        <x:v>Svalbard Isl. (Norway)</x:v>
      </x:c>
      <x:c r="C28" s="24" t="str">
        <x:v>EEZ</x:v>
      </x:c>
      <x:c r="D28" s="30" t="n">
        <x:v>2019</x:v>
      </x:c>
      <x:c r="E28" s="24" t="str">
        <x:v>Sebastes</x:v>
      </x:c>
      <x:c r="F28" s="24" t="str">
        <x:v>Redfishes</x:v>
      </x:c>
      <x:c r="G28" s="24" t="str">
        <x:v>Large reef assoc. fish (&gt;=90 cm)</x:v>
      </x:c>
      <x:c r="H28" s="24" t="str">
        <x:v>Scorpionfishes</x:v>
      </x:c>
      <x:c r="I28" s="31" t="n">
        <x:v>44.1857756457</x:v>
      </x:c>
      <x:c r="J28" s="31" t="n">
        <x:v>42.4181988164</x:v>
      </x:c>
      <x:c r="K28" s="31" t="n">
        <x:v>1.7675768293</x:v>
      </x:c>
      <x:c r="L28" s="31" t="n">
        <x:v>42.417739565299996</x:v>
      </x:c>
      <x:c r="M28" s="31" t="n">
        <x:v>1.7680360804</x:v>
      </x:c>
      <x:c r="N28" s="24" t="str">
        <x:v>sebastes</x:v>
      </x:c>
      <x:c r="O28" s="32" t="n">
        <x:v>3.79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Sebastes</x:v>
      </x:c>
      <x:c r="T28" s="32" t="n">
        <x:f>IF(O28="","",(1/'Metadata'!$B$5)^(O28-1))</x:f>
        <x:v>616.5950018614822</x:v>
      </x:c>
      <x:c r="U28" s="31" t="n">
        <x:f>IF(T28="","",I28*T28)</x:f>
        <x:v>27244.72841651142</x:v>
      </x:c>
    </x:row>
    <x:row r="29" ht="18" customHeight="1">
      <x:c r="A29" s="24" t="str">
        <x:v>EEZ_744</x:v>
      </x:c>
      <x:c r="B29" s="24" t="str">
        <x:v>Svalbard Isl. (Norway)</x:v>
      </x:c>
      <x:c r="C29" s="24" t="str">
        <x:v>EEZ</x:v>
      </x:c>
      <x:c r="D29" s="30" t="n">
        <x:v>2019</x:v>
      </x:c>
      <x:c r="E29" s="24" t="str">
        <x:v>Macrouridae</x:v>
      </x:c>
      <x:c r="F29" s="24" t="str">
        <x:v>Grenadiers, rattails</x:v>
      </x:c>
      <x:c r="G29" s="24" t="str">
        <x:v>Medium benthopelagics (30 - 89 cm)</x:v>
      </x:c>
      <x:c r="H29" s="24" t="str">
        <x:v>Cod-likes</x:v>
      </x:c>
      <x:c r="I29" s="31" t="n">
        <x:v>31.7415455127</x:v>
      </x:c>
      <x:c r="J29" s="31" t="n">
        <x:v>0</x:v>
      </x:c>
      <x:c r="K29" s="31" t="n">
        <x:v>31.7415455127</x:v>
      </x:c>
      <x:c r="L29" s="31" t="n">
        <x:v>0</x:v>
      </x:c>
      <x:c r="M29" s="31" t="n">
        <x:v>31.7415455127</x:v>
      </x:c>
      <x:c r="N29" s="24" t="str">
        <x:v>macrouridae</x:v>
      </x:c>
      <x:c r="O29" s="32" t="n">
        <x:v>3.88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Macrouridae</x:v>
      </x:c>
      <x:c r="T29" s="32" t="n">
        <x:f>IF(O29="","",(1/'Metadata'!$B$5)^(O29-1))</x:f>
        <x:v>758.5775750291835</x:v>
      </x:c>
      <x:c r="U29" s="31" t="n">
        <x:f>IF(T29="","",I29*T29)</x:f>
        <x:v>24078.42462270243</x:v>
      </x:c>
    </x:row>
    <x:row r="30" ht="18" customHeight="1">
      <x:c r="A30" s="24" t="str">
        <x:v>EEZ_744</x:v>
      </x:c>
      <x:c r="B30" s="24" t="str">
        <x:v>Svalbard Isl. (Norway)</x:v>
      </x:c>
      <x:c r="C30" s="24" t="str">
        <x:v>EEZ</x:v>
      </x:c>
      <x:c r="D30" s="30" t="n">
        <x:v>2019</x:v>
      </x:c>
      <x:c r="E30" s="24" t="str">
        <x:v>Bivalvia</x:v>
      </x:c>
      <x:c r="F30" s="24" t="str">
        <x:v>Clams</x:v>
      </x:c>
      <x:c r="G30" s="24" t="str">
        <x:v>Other demersal invertebrates</x:v>
      </x:c>
      <x:c r="H30" s="24" t="str">
        <x:v>Molluscs</x:v>
      </x:c>
      <x:c r="I30" s="31" t="n">
        <x:v>25.83429571</x:v>
      </x:c>
      <x:c r="J30" s="31" t="n">
        <x:v>0.0461872916</x:v>
      </x:c>
      <x:c r="K30" s="31" t="n">
        <x:v>25.7881084184</x:v>
      </x:c>
      <x:c r="L30" s="31" t="n">
        <x:v>0.0461872916</x:v>
      </x:c>
      <x:c r="M30" s="31" t="n">
        <x:v>25.7881084184</x:v>
      </x:c>
      <x:c r="N30" s="24" t="str">
        <x:v>bivalvia</x:v>
      </x:c>
      <x:c r="O30" s="32" t="n">
        <x:v>2.23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Bivalvia</x:v>
      </x:c>
      <x:c r="T30" s="32" t="n">
        <x:f>IF(O30="","",(1/'Metadata'!$B$5)^(O30-1))</x:f>
        <x:v>16.982436524617444</x:v>
      </x:c>
      <x:c r="U30" s="31" t="n">
        <x:f>IF(T30="","",I30*T30)</x:f>
        <x:v>438.7292870532717</x:v>
      </x:c>
    </x:row>
    <x:row r="31" ht="18" customHeight="1">
      <x:c r="A31" s="24" t="str">
        <x:v>EEZ_744</x:v>
      </x:c>
      <x:c r="B31" s="24" t="str">
        <x:v>Svalbard Isl. (Norway)</x:v>
      </x:c>
      <x:c r="C31" s="24" t="str">
        <x:v>EEZ</x:v>
      </x:c>
      <x:c r="D31" s="30" t="n">
        <x:v>2019</x:v>
      </x:c>
      <x:c r="E31" s="24" t="str">
        <x:v>Macrourus berglax</x:v>
      </x:c>
      <x:c r="F31" s="24" t="str">
        <x:v>Roughhead grenadier</x:v>
      </x:c>
      <x:c r="G31" s="24" t="str">
        <x:v>Large benthopelagics (&gt;=90 cm)</x:v>
      </x:c>
      <x:c r="H31" s="24" t="str">
        <x:v>Cod-likes</x:v>
      </x:c>
      <x:c r="I31" s="31" t="n">
        <x:v>20.1764866047</x:v>
      </x:c>
      <x:c r="J31" s="31" t="n">
        <x:v>20.1764866047</x:v>
      </x:c>
      <x:c r="K31" s="31" t="n">
        <x:v>0</x:v>
      </x:c>
      <x:c r="L31" s="31" t="n">
        <x:v>20.1764866047</x:v>
      </x:c>
      <x:c r="M31" s="31" t="n">
        <x:v>0</x:v>
      </x:c>
      <x:c r="N31" s="24" t="str">
        <x:v>macrourus berglax</x:v>
      </x:c>
      <x:c r="O31" s="32" t="n">
        <x:v>4.48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Macrourus berglax</x:v>
      </x:c>
      <x:c r="T31" s="32" t="n">
        <x:f>IF(O31="","",(1/'Metadata'!$B$5)^(O31-1))</x:f>
        <x:v>3019.951720402019</x:v>
      </x:c>
      <x:c r="U31" s="31" t="n">
        <x:f>IF(T31="","",I31*T31)</x:f>
        <x:v>60932.015433532055</x:v>
      </x:c>
    </x:row>
    <x:row r="32" ht="18" customHeight="1">
      <x:c r="A32" s="24" t="str">
        <x:v>EEZ_744</x:v>
      </x:c>
      <x:c r="B32" s="24" t="str">
        <x:v>Svalbard Isl. (Norway)</x:v>
      </x:c>
      <x:c r="C32" s="24" t="str">
        <x:v>EEZ</x:v>
      </x:c>
      <x:c r="D32" s="30" t="n">
        <x:v>2019</x:v>
      </x:c>
      <x:c r="E32" s="24" t="str">
        <x:v>Gastropoda</x:v>
      </x:c>
      <x:c r="F32" s="24" t="str">
        <x:v>Sea snails</x:v>
      </x:c>
      <x:c r="G32" s="24" t="str">
        <x:v>Other demersal invertebrates</x:v>
      </x:c>
      <x:c r="H32" s="24" t="str">
        <x:v>Molluscs</x:v>
      </x:c>
      <x:c r="I32" s="31" t="n">
        <x:v>19.7189633084</x:v>
      </x:c>
      <x:c r="J32" s="31" t="n">
        <x:v>0.3694467321</x:v>
      </x:c>
      <x:c r="K32" s="31" t="n">
        <x:v>19.3495165763</x:v>
      </x:c>
      <x:c r="L32" s="31" t="n">
        <x:v>0.3694467321</x:v>
      </x:c>
      <x:c r="M32" s="31" t="n">
        <x:v>19.3495165763</x:v>
      </x:c>
      <x:c r="N32" s="24" t="str">
        <x:v>gastropoda</x:v>
      </x:c>
      <x:c r="O32" s="32" t="n">
        <x:v>3.06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Gastropoda</x:v>
      </x:c>
      <x:c r="T32" s="32" t="n">
        <x:f>IF(O32="","",(1/'Metadata'!$B$5)^(O32-1))</x:f>
        <x:v>114.81536214968828</x:v>
      </x:c>
      <x:c r="U32" s="31" t="n">
        <x:f>IF(T32="","",I32*T32)</x:f>
        <x:v>2264.039913470361</x:v>
      </x:c>
    </x:row>
    <x:row r="33" ht="18" customHeight="1">
      <x:c r="A33" s="24" t="str">
        <x:v>EEZ_744</x:v>
      </x:c>
      <x:c r="B33" s="24" t="str">
        <x:v>Svalbard Isl. (Norway)</x:v>
      </x:c>
      <x:c r="C33" s="24" t="str">
        <x:v>EEZ</x:v>
      </x:c>
      <x:c r="D33" s="30" t="n">
        <x:v>2019</x:v>
      </x:c>
      <x:c r="E33" s="24" t="str">
        <x:v>Sebastidae</x:v>
      </x:c>
      <x:c r="F33" s="24" t="str">
        <x:v>Rockfishes, rockcods, thornyheads</x:v>
      </x:c>
      <x:c r="G33" s="24" t="str">
        <x:v>Medium demersals (30 - 89 cm)</x:v>
      </x:c>
      <x:c r="H33" s="24" t="str">
        <x:v>Scorpionfishes</x:v>
      </x:c>
      <x:c r="I33" s="31" t="n">
        <x:v>17.1705626094</x:v>
      </x:c>
      <x:c r="J33" s="31" t="n">
        <x:v>0</x:v>
      </x:c>
      <x:c r="K33" s="31" t="n">
        <x:v>17.1705626094</x:v>
      </x:c>
      <x:c r="L33" s="31" t="n">
        <x:v>0</x:v>
      </x:c>
      <x:c r="M33" s="31" t="n">
        <x:v>17.1705626094</x:v>
      </x:c>
      <x:c r="N33" s="24" t="str">
        <x:v>sebastidae</x:v>
      </x:c>
      <x:c r="O33" s="32" t="n">
        <x:v>3.74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Sebastidae</x:v>
      </x:c>
      <x:c r="T33" s="32" t="n">
        <x:f>IF(O33="","",(1/'Metadata'!$B$5)^(O33-1))</x:f>
        <x:v>549.5408738576248</x:v>
      </x:c>
      <x:c r="U33" s="31" t="n">
        <x:f>IF(T33="","",I33*T33)</x:f>
        <x:v>9435.925980996735</x:v>
      </x:c>
    </x:row>
    <x:row r="34" ht="18" customHeight="1">
      <x:c r="A34" s="24" t="str">
        <x:v>EEZ_744</x:v>
      </x:c>
      <x:c r="B34" s="24" t="str">
        <x:v>Svalbard Isl. (Norway)</x:v>
      </x:c>
      <x:c r="C34" s="24" t="str">
        <x:v>EEZ</x:v>
      </x:c>
      <x:c r="D34" s="30" t="n">
        <x:v>2019</x:v>
      </x:c>
      <x:c r="E34" s="24" t="str">
        <x:v>Molva dypterygia</x:v>
      </x:c>
      <x:c r="F34" s="24" t="str">
        <x:v>Blue ling</x:v>
      </x:c>
      <x:c r="G34" s="24" t="str">
        <x:v>Large demersals (&gt;=90 cm)</x:v>
      </x:c>
      <x:c r="H34" s="24" t="str">
        <x:v>Cod-likes</x:v>
      </x:c>
      <x:c r="I34" s="31" t="n">
        <x:v>11.9638653608</x:v>
      </x:c>
      <x:c r="J34" s="31" t="n">
        <x:v>11.9638653608</x:v>
      </x:c>
      <x:c r="K34" s="31" t="n">
        <x:v>0</x:v>
      </x:c>
      <x:c r="L34" s="31" t="n">
        <x:v>11.9638653608</x:v>
      </x:c>
      <x:c r="M34" s="31" t="n">
        <x:v>0</x:v>
      </x:c>
      <x:c r="N34" s="24" t="str">
        <x:v>molva dypterygia</x:v>
      </x:c>
      <x:c r="O34" s="32" t="n">
        <x:v>4.49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Molva dypterygia</x:v>
      </x:c>
      <x:c r="T34" s="32" t="n">
        <x:f>IF(O34="","",(1/'Metadata'!$B$5)^(O34-1))</x:f>
        <x:v>3090.295432513592</x:v>
      </x:c>
      <x:c r="U34" s="31" t="n">
        <x:f>IF(T34="","",I34*T34)</x:f>
        <x:v>36971.87847968782</x:v>
      </x:c>
    </x:row>
    <x:row r="35" ht="18" customHeight="1">
      <x:c r="A35" s="24" t="str">
        <x:v>EEZ_744</x:v>
      </x:c>
      <x:c r="B35" s="24" t="str">
        <x:v>Svalbard Isl. (Norway)</x:v>
      </x:c>
      <x:c r="C35" s="24" t="str">
        <x:v>EEZ</x:v>
      </x:c>
      <x:c r="D35" s="30" t="n">
        <x:v>2019</x:v>
      </x:c>
      <x:c r="E35" s="24" t="str">
        <x:v>Triglidae</x:v>
      </x:c>
      <x:c r="F35" s="24" t="str">
        <x:v>Searobins, gurnards</x:v>
      </x:c>
      <x:c r="G35" s="24" t="str">
        <x:v>Medium demersals (30 - 89 cm)</x:v>
      </x:c>
      <x:c r="H35" s="24" t="str">
        <x:v>Scorpionfishes</x:v>
      </x:c>
      <x:c r="I35" s="31" t="n">
        <x:v>7.7580677818999995</x:v>
      </x:c>
      <x:c r="J35" s="31" t="n">
        <x:v>3.3680855999</x:v>
      </x:c>
      <x:c r="K35" s="31" t="n">
        <x:v>4.389982182</x:v>
      </x:c>
      <x:c r="L35" s="31" t="n">
        <x:v>3.3680855999</x:v>
      </x:c>
      <x:c r="M35" s="31" t="n">
        <x:v>4.389982182</x:v>
      </x:c>
      <x:c r="N35" s="24" t="str">
        <x:v>triglidae</x:v>
      </x:c>
      <x:c r="O35" s="32" t="n">
        <x:v>3.74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Triglidae</x:v>
      </x:c>
      <x:c r="T35" s="32" t="n">
        <x:f>IF(O35="","",(1/'Metadata'!$B$5)^(O35-1))</x:f>
        <x:v>549.5408738576248</x:v>
      </x:c>
      <x:c r="U35" s="31" t="n">
        <x:f>IF(T35="","",I35*T35)</x:f>
        <x:v>4263.375348312011</x:v>
      </x:c>
    </x:row>
    <x:row r="36" ht="18" customHeight="1">
      <x:c r="A36" s="24" t="str">
        <x:v>EEZ_744</x:v>
      </x:c>
      <x:c r="B36" s="24" t="str">
        <x:v>Svalbard Isl. (Norway)</x:v>
      </x:c>
      <x:c r="C36" s="24" t="str">
        <x:v>EEZ</x:v>
      </x:c>
      <x:c r="D36" s="30" t="n">
        <x:v>2019</x:v>
      </x:c>
      <x:c r="E36" s="24" t="str">
        <x:v>Boreogadus saida</x:v>
      </x:c>
      <x:c r="F36" s="24" t="str">
        <x:v>Polar cod</x:v>
      </x:c>
      <x:c r="G36" s="24" t="str">
        <x:v>Medium demersals (30 - 89 cm)</x:v>
      </x:c>
      <x:c r="H36" s="24" t="str">
        <x:v>Cod-likes</x:v>
      </x:c>
      <x:c r="I36" s="31" t="n">
        <x:v>7.1848633988</x:v>
      </x:c>
      <x:c r="J36" s="31" t="n">
        <x:v>0.3535485741</x:v>
      </x:c>
      <x:c r="K36" s="31" t="n">
        <x:v>6.831314824700001</x:v>
      </x:c>
      <x:c r="L36" s="31" t="n">
        <x:v>0.35300012740000003</x:v>
      </x:c>
      <x:c r="M36" s="31" t="n">
        <x:v>6.8318632714000005</x:v>
      </x:c>
      <x:c r="N36" s="24" t="str">
        <x:v>boreogadus saida</x:v>
      </x:c>
      <x:c r="O36" s="32" t="n">
        <x:v>3.12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Boreogadus saida</x:v>
      </x:c>
      <x:c r="T36" s="32" t="n">
        <x:f>IF(O36="","",(1/'Metadata'!$B$5)^(O36-1))</x:f>
        <x:v>131.82567385564073</x:v>
      </x:c>
      <x:c r="U36" s="31" t="n">
        <x:f>IF(T36="","",I36*T36)</x:f>
        <x:v>947.1494591075392</x:v>
      </x:c>
    </x:row>
    <x:row r="37" ht="18" customHeight="1">
      <x:c r="A37" s="24" t="str">
        <x:v>EEZ_744</x:v>
      </x:c>
      <x:c r="B37" s="24" t="str">
        <x:v>Svalbard Isl. (Norway)</x:v>
      </x:c>
      <x:c r="C37" s="24" t="str">
        <x:v>EEZ</x:v>
      </x:c>
      <x:c r="D37" s="30" t="n">
        <x:v>2019</x:v>
      </x:c>
      <x:c r="E37" s="24" t="str">
        <x:v>Berycidae</x:v>
      </x:c>
      <x:c r="F37" s="24" t="str">
        <x:v>Alfonsinos, redfishes</x:v>
      </x:c>
      <x:c r="G37" s="24" t="str">
        <x:v>Medium benthopelagics (30 - 89 cm)</x:v>
      </x:c>
      <x:c r="H37" s="24" t="str">
        <x:v>Other fishes &amp; inverts</x:v>
      </x:c>
      <x:c r="I37" s="31" t="n">
        <x:v>4.1599901374999995</x:v>
      </x:c>
      <x:c r="J37" s="31" t="n">
        <x:v>4.1599901374999995</x:v>
      </x:c>
      <x:c r="K37" s="31" t="n">
        <x:v>0</x:v>
      </x:c>
      <x:c r="L37" s="31" t="n">
        <x:v>4.1599901374999995</x:v>
      </x:c>
      <x:c r="M37" s="31" t="n">
        <x:v>0</x:v>
      </x:c>
      <x:c r="N37" s="24" t="str">
        <x:v>berycidae</x:v>
      </x:c>
      <x:c r="O37" s="32" t="n">
        <x:v>3.99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Berycidae</x:v>
      </x:c>
      <x:c r="T37" s="32" t="n">
        <x:f>IF(O37="","",(1/'Metadata'!$B$5)^(O37-1))</x:f>
        <x:v>977.2372209558112</x:v>
      </x:c>
      <x:c r="U37" s="31" t="n">
        <x:f>IF(T37="","",I37*T37)</x:f>
        <x:v>4065.297201174082</x:v>
      </x:c>
    </x:row>
    <x:row r="38" ht="18" customHeight="1">
      <x:c r="A38" s="24" t="str">
        <x:v>EEZ_744</x:v>
      </x:c>
      <x:c r="B38" s="24" t="str">
        <x:v>Svalbard Isl. (Norway)</x:v>
      </x:c>
      <x:c r="C38" s="24" t="str">
        <x:v>EEZ</x:v>
      </x:c>
      <x:c r="D38" s="30" t="n">
        <x:v>2019</x:v>
      </x:c>
      <x:c r="E38" s="24" t="str">
        <x:v>Rajiformes</x:v>
      </x:c>
      <x:c r="F38" s="24" t="str">
        <x:v>Skates and rays</x:v>
      </x:c>
      <x:c r="G38" s="24" t="str">
        <x:v>Large rays (&gt;=90 cm)</x:v>
      </x:c>
      <x:c r="H38" s="24" t="str">
        <x:v>Sharks &amp; rays</x:v>
      </x:c>
      <x:c r="I38" s="31" t="n">
        <x:v>1.3375576822000002</x:v>
      </x:c>
      <x:c r="J38" s="31" t="n">
        <x:v>1.3375576822000002</x:v>
      </x:c>
      <x:c r="K38" s="31" t="n">
        <x:v>0</x:v>
      </x:c>
      <x:c r="L38" s="31" t="n">
        <x:v>1.3375576822000002</x:v>
      </x:c>
      <x:c r="M38" s="31" t="n">
        <x:v>0</x:v>
      </x:c>
      <x:c r="N38" s="24" t="str">
        <x:v>rajiformes</x:v>
      </x:c>
      <x:c r="O38" s="32" t="n">
        <x:v>3.61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Rajiformes</x:v>
      </x:c>
      <x:c r="T38" s="32" t="n">
        <x:f>IF(O38="","",(1/'Metadata'!$B$5)^(O38-1))</x:f>
        <x:v>407.3802778041126</x:v>
      </x:c>
      <x:c r="U38" s="31" t="n">
        <x:f>IF(T38="","",I38*T38)</x:f>
        <x:v>544.894620153661</x:v>
      </x:c>
    </x:row>
    <x:row r="39" ht="18" customHeight="1">
      <x:c r="A39" s="24" t="str">
        <x:v>EEZ_744</x:v>
      </x:c>
      <x:c r="B39" s="24" t="str">
        <x:v>Svalbard Isl. (Norway)</x:v>
      </x:c>
      <x:c r="C39" s="24" t="str">
        <x:v>EEZ</x:v>
      </x:c>
      <x:c r="D39" s="30" t="n">
        <x:v>2019</x:v>
      </x:c>
      <x:c r="E39" s="24" t="str">
        <x:v>Mallotus villosus</x:v>
      </x:c>
      <x:c r="F39" s="24" t="str">
        <x:v>Capelin</x:v>
      </x:c>
      <x:c r="G39" s="24" t="str">
        <x:v>Small pelagics (&lt;30 cm)</x:v>
      </x:c>
      <x:c r="H39" s="24" t="str">
        <x:v>Salmon, smelts, etc</x:v>
      </x:c>
      <x:c r="I39" s="31" t="n">
        <x:v>1.2006817912</x:v>
      </x:c>
      <x:c r="J39" s="31" t="n">
        <x:v>1.0741222958</x:v>
      </x:c>
      <x:c r="K39" s="31" t="n">
        <x:v>0.1265594954</x:v>
      </x:c>
      <x:c r="L39" s="31" t="n">
        <x:v>1.0021419070000002</x:v>
      </x:c>
      <x:c r="M39" s="31" t="n">
        <x:v>0.1985398842</x:v>
      </x:c>
      <x:c r="N39" s="24" t="str">
        <x:v>mallotus villosus</x:v>
      </x:c>
      <x:c r="O39" s="32" t="n">
        <x:v>3.15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Mallotus villosus</x:v>
      </x:c>
      <x:c r="T39" s="32" t="n">
        <x:f>IF(O39="","",(1/'Metadata'!$B$5)^(O39-1))</x:f>
        <x:v>141.2537544622754</x:v>
      </x:c>
      <x:c r="U39" s="31" t="n">
        <x:f>IF(T39="","",I39*T39)</x:f>
        <x:v>169.60081092148982</x:v>
      </x:c>
    </x:row>
    <x:row r="40" ht="18" customHeight="1">
      <x:c r="A40" s="24" t="str">
        <x:v>EEZ_744</x:v>
      </x:c>
      <x:c r="B40" s="24" t="str">
        <x:v>Svalbard Isl. (Norway)</x:v>
      </x:c>
      <x:c r="C40" s="24" t="str">
        <x:v>EEZ</x:v>
      </x:c>
      <x:c r="D40" s="30" t="n">
        <x:v>2019</x:v>
      </x:c>
      <x:c r="E40" s="24" t="str">
        <x:v>Beryx decadactylus</x:v>
      </x:c>
      <x:c r="F40" s="24" t="str">
        <x:v>Alfonsino</x:v>
      </x:c>
      <x:c r="G40" s="24" t="str">
        <x:v>Medium bathydemersals (30 - 89 cm)</x:v>
      </x:c>
      <x:c r="H40" s="24" t="str">
        <x:v>Other fishes &amp; inverts</x:v>
      </x:c>
      <x:c r="I40" s="31" t="n">
        <x:v>0.7499348916999999</x:v>
      </x:c>
      <x:c r="J40" s="31" t="n">
        <x:v>0.7499348916999999</x:v>
      </x:c>
      <x:c r="K40" s="31" t="n">
        <x:v>0</x:v>
      </x:c>
      <x:c r="L40" s="31" t="n">
        <x:v>0.7499348916999999</x:v>
      </x:c>
      <x:c r="M40" s="31" t="n">
        <x:v>0</x:v>
      </x:c>
      <x:c r="N40" s="24" t="str">
        <x:v>beryx decadactylus</x:v>
      </x:c>
      <x:c r="O40" s="32" t="n">
        <x:v>4.13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Beryx decadactylus</x:v>
      </x:c>
      <x:c r="T40" s="32" t="n">
        <x:f>IF(O40="","",(1/'Metadata'!$B$5)^(O40-1))</x:f>
        <x:v>1348.9628825916532</x:v>
      </x:c>
      <x:c r="U40" s="31" t="n">
        <x:f>IF(T40="","",I40*T40)</x:f>
        <x:v>1011.6343332636911</x:v>
      </x:c>
    </x:row>
    <x:row r="41" ht="18" customHeight="1">
      <x:c r="A41" s="24" t="str">
        <x:v>EEZ_744</x:v>
      </x:c>
      <x:c r="B41" s="24" t="str">
        <x:v>Svalbard Isl. (Norway)</x:v>
      </x:c>
      <x:c r="C41" s="24" t="str">
        <x:v>EEZ</x:v>
      </x:c>
      <x:c r="D41" s="30" t="n">
        <x:v>2019</x:v>
      </x:c>
      <x:c r="E41" s="24" t="str">
        <x:v>Lophiidae</x:v>
      </x:c>
      <x:c r="F41" s="24" t="str">
        <x:v>Goosefishes</x:v>
      </x:c>
      <x:c r="G41" s="24" t="str">
        <x:v>Medium bathydemersals (30 - 89 cm)</x:v>
      </x:c>
      <x:c r="H41" s="24" t="str">
        <x:v>Other fishes &amp; inverts</x:v>
      </x:c>
      <x:c r="I41" s="31" t="n">
        <x:v>0.7323636257</x:v>
      </x:c>
      <x:c r="J41" s="31" t="n">
        <x:v>0.7323636257</x:v>
      </x:c>
      <x:c r="K41" s="31" t="n">
        <x:v>0</x:v>
      </x:c>
      <x:c r="L41" s="31" t="n">
        <x:v>0.7323636257</x:v>
      </x:c>
      <x:c r="M41" s="31" t="n">
        <x:v>0</x:v>
      </x:c>
      <x:c r="N41" s="24" t="str">
        <x:v>lophiidae</x:v>
      </x:c>
      <x:c r="O41" s="32" t="n">
        <x:v>4.46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Lophiidae</x:v>
      </x:c>
      <x:c r="T41" s="32" t="n">
        <x:f>IF(O41="","",(1/'Metadata'!$B$5)^(O41-1))</x:f>
        <x:v>2884.031503126606</x:v>
      </x:c>
      <x:c r="U41" s="31" t="n">
        <x:f>IF(T41="","",I41*T41)</x:f>
        <x:v>2112.159768262822</x:v>
      </x:c>
    </x:row>
    <x:row r="42" ht="18" customHeight="1">
      <x:c r="A42" s="24" t="str">
        <x:v>EEZ_744</x:v>
      </x:c>
      <x:c r="B42" s="24" t="str">
        <x:v>Svalbard Isl. (Norway)</x:v>
      </x:c>
      <x:c r="C42" s="24" t="str">
        <x:v>EEZ</x:v>
      </x:c>
      <x:c r="D42" s="30" t="n">
        <x:v>2019</x:v>
      </x:c>
      <x:c r="E42" s="24" t="str">
        <x:v>Beryx</x:v>
      </x:c>
      <x:c r="F42" s="24" t="str">
        <x:v>Alfonsinos</x:v>
      </x:c>
      <x:c r="G42" s="24" t="str">
        <x:v>Medium benthopelagics (30 - 89 cm)</x:v>
      </x:c>
      <x:c r="H42" s="24" t="str">
        <x:v>Other fishes &amp; inverts</x:v>
      </x:c>
      <x:c r="I42" s="31" t="n">
        <x:v>0.7037260143</x:v>
      </x:c>
      <x:c r="J42" s="31" t="n">
        <x:v>0.7037260143</x:v>
      </x:c>
      <x:c r="K42" s="31" t="n">
        <x:v>0</x:v>
      </x:c>
      <x:c r="L42" s="31" t="n">
        <x:v>0.7037260143</x:v>
      </x:c>
      <x:c r="M42" s="31" t="n">
        <x:v>0</x:v>
      </x:c>
      <x:c r="N42" s="24" t="str">
        <x:v>beryx</x:v>
      </x:c>
      <x:c r="O42" s="32" t="n">
        <x:v>3.97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Beryx</x:v>
      </x:c>
      <x:c r="T42" s="32" t="n">
        <x:f>IF(O42="","",(1/'Metadata'!$B$5)^(O42-1))</x:f>
        <x:v>933.2543007969915</x:v>
      </x:c>
      <x:c r="U42" s="31" t="n">
        <x:f>IF(T42="","",I42*T42)</x:f>
        <x:v>656.7553294282002</x:v>
      </x:c>
    </x:row>
    <x:row r="43" ht="18" customHeight="1">
      <x:c r="A43" s="24" t="str">
        <x:v>EEZ_744</x:v>
      </x:c>
      <x:c r="B43" s="24" t="str">
        <x:v>Svalbard Isl. (Norway)</x:v>
      </x:c>
      <x:c r="C43" s="24" t="str">
        <x:v>EEZ</x:v>
      </x:c>
      <x:c r="D43" s="30" t="n">
        <x:v>2019</x:v>
      </x:c>
      <x:c r="E43" s="24" t="str">
        <x:v>Anarhichadidae</x:v>
      </x:c>
      <x:c r="F43" s="24" t="str">
        <x:v>Wolffishes, wolfeels</x:v>
      </x:c>
      <x:c r="G43" s="24" t="str">
        <x:v>Large demersals (&gt;=90 cm)</x:v>
      </x:c>
      <x:c r="H43" s="24" t="str">
        <x:v>Perch-likes</x:v>
      </x:c>
      <x:c r="I43" s="31" t="n">
        <x:v>0.5729434496</x:v>
      </x:c>
      <x:c r="J43" s="31" t="n">
        <x:v>0.5729434496</x:v>
      </x:c>
      <x:c r="K43" s="31" t="n">
        <x:v>0</x:v>
      </x:c>
      <x:c r="L43" s="31" t="n">
        <x:v>0.5729434496</x:v>
      </x:c>
      <x:c r="M43" s="31" t="n">
        <x:v>0</x:v>
      </x:c>
      <x:c r="N43" s="24" t="str">
        <x:v>anarhichadidae</x:v>
      </x:c>
      <x:c r="O43" s="32" t="n">
        <x:v>3.47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Anarhichadidae</x:v>
      </x:c>
      <x:c r="T43" s="32" t="n">
        <x:f>IF(O43="","",(1/'Metadata'!$B$5)^(O43-1))</x:f>
        <x:v>295.1209226666387</x:v>
      </x:c>
      <x:c r="U43" s="31" t="n">
        <x:f>IF(T43="","",I43*T43)</x:f>
        <x:v>169.08759948175882</x:v>
      </x:c>
    </x:row>
    <x:row r="44" ht="18" customHeight="1">
      <x:c r="A44" s="24" t="str">
        <x:v>EEZ_744</x:v>
      </x:c>
      <x:c r="B44" s="24" t="str">
        <x:v>Svalbard Isl. (Norway)</x:v>
      </x:c>
      <x:c r="C44" s="24" t="str">
        <x:v>EEZ</x:v>
      </x:c>
      <x:c r="D44" s="30" t="n">
        <x:v>2019</x:v>
      </x:c>
      <x:c r="E44" s="24" t="str">
        <x:v>Mollusca</x:v>
      </x:c>
      <x:c r="F44" s="24" t="str">
        <x:v>Clams, seasnails, squids, octopuses</x:v>
      </x:c>
      <x:c r="G44" s="24" t="str">
        <x:v>Other demersal invertebrates</x:v>
      </x:c>
      <x:c r="H44" s="24" t="str">
        <x:v>Molluscs</x:v>
      </x:c>
      <x:c r="I44" s="31" t="n">
        <x:v>0.5104542438999999</x:v>
      </x:c>
      <x:c r="J44" s="31" t="n">
        <x:v>0.5104542438999999</x:v>
      </x:c>
      <x:c r="K44" s="31" t="n">
        <x:v>0</x:v>
      </x:c>
      <x:c r="L44" s="31" t="n">
        <x:v>0.5104542438999999</x:v>
      </x:c>
      <x:c r="M44" s="31" t="n">
        <x:v>0</x:v>
      </x:c>
      <x:c r="N44" s="24" t="str">
        <x:v>mollusca</x:v>
      </x:c>
      <x:c r="O44" s="32" t="n">
        <x:v>2.1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Mollusca</x:v>
      </x:c>
      <x:c r="T44" s="32" t="n">
        <x:f>IF(O44="","",(1/'Metadata'!$B$5)^(O44-1))</x:f>
        <x:v>12.589254117941675</x:v>
      </x:c>
      <x:c r="U44" s="31" t="n">
        <x:f>IF(T44="","",I44*T44)</x:f>
        <x:v>6.426238192038878</x:v>
      </x:c>
    </x:row>
    <x:row r="45" ht="18" customHeight="1">
      <x:c r="A45" s="24" t="str">
        <x:v>EEZ_744</x:v>
      </x:c>
      <x:c r="B45" s="24" t="str">
        <x:v>Svalbard Isl. (Norway)</x:v>
      </x:c>
      <x:c r="C45" s="24" t="str">
        <x:v>EEZ</x:v>
      </x:c>
      <x:c r="D45" s="30" t="n">
        <x:v>2019</x:v>
      </x:c>
      <x:c r="E45" s="24" t="str">
        <x:v>Lycodes</x:v>
      </x:c>
      <x:c r="F45" s="24" t="str">
        <x:v>Eelpouts</x:v>
      </x:c>
      <x:c r="G45" s="24" t="str">
        <x:v>Medium bathydemersals (30 - 89 cm)</x:v>
      </x:c>
      <x:c r="H45" s="24" t="str">
        <x:v>Perch-likes</x:v>
      </x:c>
      <x:c r="I45" s="31" t="n">
        <x:v>0.4855584844</x:v>
      </x:c>
      <x:c r="J45" s="31" t="n">
        <x:v>0</x:v>
      </x:c>
      <x:c r="K45" s="31" t="n">
        <x:v>0.4855584844</x:v>
      </x:c>
      <x:c r="L45" s="31" t="n">
        <x:v>0</x:v>
      </x:c>
      <x:c r="M45" s="31" t="n">
        <x:v>0.4855584844</x:v>
      </x:c>
      <x:c r="N45" s="24" t="str">
        <x:v>lycodes</x:v>
      </x:c>
      <x:c r="O45" s="32" t="n">
        <x:v>3.3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Lycodes</x:v>
      </x:c>
      <x:c r="T45" s="32" t="n">
        <x:f>IF(O45="","",(1/'Metadata'!$B$5)^(O45-1))</x:f>
        <x:v>199.52623149688787</x:v>
      </x:c>
      <x:c r="U45" s="31" t="n">
        <x:f>IF(T45="","",I45*T45)</x:f>
        <x:v>96.88165456367241</x:v>
      </x:c>
    </x:row>
    <x:row r="46" ht="18" customHeight="1">
      <x:c r="A46" s="24" t="str">
        <x:v>EEZ_744</x:v>
      </x:c>
      <x:c r="B46" s="24" t="str">
        <x:v>Svalbard Isl. (Norway)</x:v>
      </x:c>
      <x:c r="C46" s="24" t="str">
        <x:v>EEZ</x:v>
      </x:c>
      <x:c r="D46" s="30" t="n">
        <x:v>2019</x:v>
      </x:c>
      <x:c r="E46" s="24" t="str">
        <x:v>Cyclopterus lumpus</x:v>
      </x:c>
      <x:c r="F46" s="24" t="str">
        <x:v>Lumpfish</x:v>
      </x:c>
      <x:c r="G46" s="24" t="str">
        <x:v>Medium benthopelagics (30 - 89 cm)</x:v>
      </x:c>
      <x:c r="H46" s="24" t="str">
        <x:v>Scorpionfishes</x:v>
      </x:c>
      <x:c r="I46" s="31" t="n">
        <x:v>0.22792460239999998</x:v>
      </x:c>
      <x:c r="J46" s="31" t="n">
        <x:v>0</x:v>
      </x:c>
      <x:c r="K46" s="31" t="n">
        <x:v>0.22792460239999998</x:v>
      </x:c>
      <x:c r="L46" s="31" t="n">
        <x:v>0</x:v>
      </x:c>
      <x:c r="M46" s="31" t="n">
        <x:v>0.22792460239999998</x:v>
      </x:c>
      <x:c r="N46" s="24" t="str">
        <x:v>cyclopterus lumpus</x:v>
      </x:c>
      <x:c r="O46" s="32" t="n">
        <x:v>3.89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Cyclopterus lumpus</x:v>
      </x:c>
      <x:c r="T46" s="32" t="n">
        <x:f>IF(O46="","",(1/'Metadata'!$B$5)^(O46-1))</x:f>
        <x:v>776.247116628692</x:v>
      </x:c>
      <x:c r="U46" s="31" t="n">
        <x:f>IF(T46="","",I46*T46)</x:f>
        <x:v>176.92581542174102</x:v>
      </x:c>
    </x:row>
    <x:row r="47" ht="18" customHeight="1">
      <x:c r="A47" s="24" t="str">
        <x:v>EEZ_744</x:v>
      </x:c>
      <x:c r="B47" s="24" t="str">
        <x:v>Svalbard Isl. (Norway)</x:v>
      </x:c>
      <x:c r="C47" s="24" t="str">
        <x:v>EEZ</x:v>
      </x:c>
      <x:c r="D47" s="30" t="n">
        <x:v>2019</x:v>
      </x:c>
      <x:c r="E47" s="24" t="str">
        <x:v>Anguilla anguilla</x:v>
      </x:c>
      <x:c r="F47" s="24" t="str">
        <x:v>European eel</x:v>
      </x:c>
      <x:c r="G47" s="24" t="str">
        <x:v>Large demersals (&gt;=90 cm)</x:v>
      </x:c>
      <x:c r="H47" s="24" t="str">
        <x:v>Other fishes &amp; inverts</x:v>
      </x:c>
      <x:c r="I47" s="31" t="n">
        <x:v>0.21964109129999998</x:v>
      </x:c>
      <x:c r="J47" s="31" t="n">
        <x:v>0.21964109129999998</x:v>
      </x:c>
      <x:c r="K47" s="31" t="n">
        <x:v>0</x:v>
      </x:c>
      <x:c r="L47" s="31" t="n">
        <x:v>0.21964109129999998</x:v>
      </x:c>
      <x:c r="M47" s="31" t="n">
        <x:v>0</x:v>
      </x:c>
      <x:c r="N47" s="24" t="str">
        <x:v>anguilla anguilla</x:v>
      </x:c>
      <x:c r="O47" s="32" t="n">
        <x:v>3.55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Anguilla anguilla</x:v>
      </x:c>
      <x:c r="T47" s="32" t="n">
        <x:f>IF(O47="","",(1/'Metadata'!$B$5)^(O47-1))</x:f>
        <x:v>354.8133892335753</x:v>
      </x:c>
      <x:c r="U47" s="31" t="n">
        <x:f>IF(T47="","",I47*T47)</x:f>
        <x:v>77.93160001911414</x:v>
      </x:c>
    </x:row>
    <x:row r="48" ht="18" customHeight="1">
      <x:c r="A48" s="24" t="str">
        <x:v>EEZ_744</x:v>
      </x:c>
      <x:c r="B48" s="24" t="str">
        <x:v>Svalbard Isl. (Norway)</x:v>
      </x:c>
      <x:c r="C48" s="24" t="str">
        <x:v>EEZ</x:v>
      </x:c>
      <x:c r="D48" s="30" t="n">
        <x:v>2019</x:v>
      </x:c>
      <x:c r="E48" s="24" t="str">
        <x:v>Rajidae</x:v>
      </x:c>
      <x:c r="F48" s="24" t="str">
        <x:v>Stingrays</x:v>
      </x:c>
      <x:c r="G48" s="24" t="str">
        <x:v>Large rays (&gt;=90 cm)</x:v>
      </x:c>
      <x:c r="H48" s="24" t="str">
        <x:v>Sharks &amp; rays</x:v>
      </x:c>
      <x:c r="I48" s="31" t="n">
        <x:v>0.2040175125</x:v>
      </x:c>
      <x:c r="J48" s="31" t="n">
        <x:v>0.2040175125</x:v>
      </x:c>
      <x:c r="K48" s="31" t="n">
        <x:v>0</x:v>
      </x:c>
      <x:c r="L48" s="31" t="n">
        <x:v>0.2040175125</x:v>
      </x:c>
      <x:c r="M48" s="31" t="n">
        <x:v>0</x:v>
      </x:c>
      <x:c r="N48" s="24" t="str">
        <x:v>rajidae</x:v>
      </x:c>
      <x:c r="O48" s="32" t="n">
        <x:v>3.82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Rajidae</x:v>
      </x:c>
      <x:c r="T48" s="32" t="n">
        <x:f>IF(O48="","",(1/'Metadata'!$B$5)^(O48-1))</x:f>
        <x:v>660.6934480075957</x:v>
      </x:c>
      <x:c r="U48" s="31" t="n">
        <x:f>IF(T48="","",I48*T48)</x:f>
        <x:v>134.79303378755776</x:v>
      </x:c>
    </x:row>
    <x:row r="49" ht="18" customHeight="1">
      <x:c r="A49" s="24" t="str">
        <x:v>EEZ_744</x:v>
      </x:c>
      <x:c r="B49" s="24" t="str">
        <x:v>Svalbard Isl. (Norway)</x:v>
      </x:c>
      <x:c r="C49" s="24" t="str">
        <x:v>EEZ</x:v>
      </x:c>
      <x:c r="D49" s="30" t="n">
        <x:v>2019</x:v>
      </x:c>
      <x:c r="E49" s="24" t="str">
        <x:v>Donax</x:v>
      </x:c>
      <x:c r="F49" s="24" t="str">
        <x:v>Bean clams</x:v>
      </x:c>
      <x:c r="G49" s="24" t="str">
        <x:v>Other demersal invertebrates</x:v>
      </x:c>
      <x:c r="H49" s="24" t="str">
        <x:v>Molluscs</x:v>
      </x:c>
      <x:c r="I49" s="31" t="n">
        <x:v>0.18759465620000002</x:v>
      </x:c>
      <x:c r="J49" s="31" t="n">
        <x:v>0.18759465620000002</x:v>
      </x:c>
      <x:c r="K49" s="31" t="n">
        <x:v>0</x:v>
      </x:c>
      <x:c r="L49" s="31" t="n">
        <x:v>0.18759465620000002</x:v>
      </x:c>
      <x:c r="M49" s="31" t="n">
        <x:v>0</x:v>
      </x:c>
      <x:c r="N49" s="24" t="str">
        <x:v>donax</x:v>
      </x:c>
      <x:c r="O49" s="32" t="n">
        <x:v>2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Donax</x:v>
      </x:c>
      <x:c r="T49" s="32" t="n">
        <x:f>IF(O49="","",(1/'Metadata'!$B$5)^(O49-1))</x:f>
        <x:v>10</x:v>
      </x:c>
      <x:c r="U49" s="31" t="n">
        <x:f>IF(T49="","",I49*T49)</x:f>
        <x:v>1.8759465620000002</x:v>
      </x:c>
    </x:row>
    <x:row r="50" ht="18" customHeight="1">
      <x:c r="A50" s="24" t="str">
        <x:v>EEZ_744</x:v>
      </x:c>
      <x:c r="B50" s="24" t="str">
        <x:v>Svalbard Isl. (Norway)</x:v>
      </x:c>
      <x:c r="C50" s="24" t="str">
        <x:v>EEZ</x:v>
      </x:c>
      <x:c r="D50" s="30" t="n">
        <x:v>2019</x:v>
      </x:c>
      <x:c r="E50" s="24" t="str">
        <x:v>Anomura</x:v>
      </x:c>
      <x:c r="F50" s="24" t="str">
        <x:v>Craylets, squat lobsters, hermits</x:v>
      </x:c>
      <x:c r="G50" s="24" t="str">
        <x:v>Lobsters, crabs</x:v>
      </x:c>
      <x:c r="H50" s="24" t="str">
        <x:v>Crustaceans</x:v>
      </x:c>
      <x:c r="I50" s="31" t="n">
        <x:v>0.17092311540000002</x:v>
      </x:c>
      <x:c r="J50" s="31" t="n">
        <x:v>0.17092311540000002</x:v>
      </x:c>
      <x:c r="K50" s="31" t="n">
        <x:v>0</x:v>
      </x:c>
      <x:c r="L50" s="31" t="n">
        <x:v>0.17092311540000002</x:v>
      </x:c>
      <x:c r="M50" s="31" t="n">
        <x:v>0</x:v>
      </x:c>
      <x:c r="N50" s="24" t="str">
        <x:v>anomura</x:v>
      </x:c>
      <x:c r="O50" s="32" t="n">
        <x:v>3.1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Anomura</x:v>
      </x:c>
      <x:c r="T50" s="32" t="n">
        <x:f>IF(O50="","",(1/'Metadata'!$B$5)^(O50-1))</x:f>
        <x:v>125.89254117941675</x:v>
      </x:c>
      <x:c r="U50" s="31" t="n">
        <x:f>IF(T50="","",I50*T50)</x:f>
        <x:v>21.517945344008705</x:v>
      </x:c>
    </x:row>
    <x:row r="51" ht="18" customHeight="1">
      <x:c r="A51" s="24" t="str">
        <x:v>EEZ_744</x:v>
      </x:c>
      <x:c r="B51" s="24" t="str">
        <x:v>Svalbard Isl. (Norway)</x:v>
      </x:c>
      <x:c r="C51" s="24" t="str">
        <x:v>EEZ</x:v>
      </x:c>
      <x:c r="D51" s="30" t="n">
        <x:v>2019</x:v>
      </x:c>
      <x:c r="E51" s="24" t="str">
        <x:v>Gaidropsarus</x:v>
      </x:c>
      <x:c r="F51" s="24" t="str">
        <x:v>Rocklings</x:v>
      </x:c>
      <x:c r="G51" s="24" t="str">
        <x:v>Medium benthopelagics (30 - 89 cm)</x:v>
      </x:c>
      <x:c r="H51" s="24" t="str">
        <x:v>Cod-likes</x:v>
      </x:c>
      <x:c r="I51" s="31" t="n">
        <x:v>0.1692207544</x:v>
      </x:c>
      <x:c r="J51" s="31" t="n">
        <x:v>0.1692207544</x:v>
      </x:c>
      <x:c r="K51" s="31" t="n">
        <x:v>0</x:v>
      </x:c>
      <x:c r="L51" s="31" t="n">
        <x:v>0.1692207544</x:v>
      </x:c>
      <x:c r="M51" s="31" t="n">
        <x:v>0</x:v>
      </x:c>
      <x:c r="N51" s="24" t="str">
        <x:v>gaidropsarus</x:v>
      </x:c>
      <x:c r="O51" s="32" t="n">
        <x:v>3.4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Gaidropsarus</x:v>
      </x:c>
      <x:c r="T51" s="32" t="n">
        <x:f>IF(O51="","",(1/'Metadata'!$B$5)^(O51-1))</x:f>
        <x:v>251.18864315095797</x:v>
      </x:c>
      <x:c r="U51" s="31" t="n">
        <x:f>IF(T51="","",I51*T51)</x:f>
        <x:v>42.5063316907175</x:v>
      </x:c>
    </x:row>
    <x:row r="52" ht="18" customHeight="1">
      <x:c r="A52" s="24" t="str">
        <x:v>EEZ_744</x:v>
      </x:c>
      <x:c r="B52" s="24" t="str">
        <x:v>Svalbard Isl. (Norway)</x:v>
      </x:c>
      <x:c r="C52" s="24" t="str">
        <x:v>EEZ</x:v>
      </x:c>
      <x:c r="D52" s="30" t="n">
        <x:v>2019</x:v>
      </x:c>
      <x:c r="E52" s="24" t="str">
        <x:v>Trisopterus esmarkii</x:v>
      </x:c>
      <x:c r="F52" s="24" t="str">
        <x:v>Norway pout</x:v>
      </x:c>
      <x:c r="G52" s="24" t="str">
        <x:v>Medium benthopelagics (30 - 89 cm)</x:v>
      </x:c>
      <x:c r="H52" s="24" t="str">
        <x:v>Cod-likes</x:v>
      </x:c>
      <x:c r="I52" s="31" t="n">
        <x:v>0.07946447120000001</x:v>
      </x:c>
      <x:c r="J52" s="31" t="n">
        <x:v>0.07946447120000001</x:v>
      </x:c>
      <x:c r="K52" s="31" t="n">
        <x:v>0</x:v>
      </x:c>
      <x:c r="L52" s="31" t="n">
        <x:v>0.07946447120000001</x:v>
      </x:c>
      <x:c r="M52" s="31" t="n">
        <x:v>0</x:v>
      </x:c>
      <x:c r="N52" s="24" t="str">
        <x:v>trisopterus esmarkii</x:v>
      </x:c>
      <x:c r="O52" s="32" t="n">
        <x:v>3.24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Trisopterus esmarkii</x:v>
      </x:c>
      <x:c r="T52" s="32" t="n">
        <x:f>IF(O52="","",(1/'Metadata'!$B$5)^(O52-1))</x:f>
        <x:v>173.78008287493762</x:v>
      </x:c>
      <x:c r="U52" s="31" t="n">
        <x:f>IF(T52="","",I52*T52)</x:f>
        <x:v>13.809342390749096</x:v>
      </x:c>
    </x:row>
    <x:row r="53" ht="18" customHeight="1">
      <x:c r="A53" s="24" t="str">
        <x:v>EEZ_744</x:v>
      </x:c>
      <x:c r="B53" s="24" t="str">
        <x:v>Svalbard Isl. (Norway)</x:v>
      </x:c>
      <x:c r="C53" s="24" t="str">
        <x:v>EEZ</x:v>
      </x:c>
      <x:c r="D53" s="30" t="n">
        <x:v>2019</x:v>
      </x:c>
      <x:c r="E53" s="24" t="str">
        <x:v>Osteichthyes</x:v>
      </x:c>
      <x:c r="F53" s="24" t="str">
        <x:v>Bony fishes</x:v>
      </x:c>
      <x:c r="G53" s="24" t="str">
        <x:v>Medium demersals (30 - 89 cm)</x:v>
      </x:c>
      <x:c r="H53" s="24" t="str">
        <x:v>Other fishes &amp; inverts</x:v>
      </x:c>
      <x:c r="I53" s="31" t="n">
        <x:v>0.07906058740000001</x:v>
      </x:c>
      <x:c r="J53" s="31" t="n">
        <x:v>0.07906058740000001</x:v>
      </x:c>
      <x:c r="K53" s="31" t="n">
        <x:v>0</x:v>
      </x:c>
      <x:c r="L53" s="31" t="n">
        <x:v>0.07906058740000001</x:v>
      </x:c>
      <x:c r="M53" s="31" t="n">
        <x:v>0</x:v>
      </x:c>
      <x:c r="N53" s="24" t="str">
        <x:v>osteichthyes</x:v>
      </x:c>
      <x:c r="O53" s="32" t="n">
        <x:v>3.79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Osteichthyes</x:v>
      </x:c>
      <x:c r="T53" s="32" t="n">
        <x:f>IF(O53="","",(1/'Metadata'!$B$5)^(O53-1))</x:f>
        <x:v>616.5950018614822</x:v>
      </x:c>
      <x:c r="U53" s="31" t="n">
        <x:f>IF(T53="","",I53*T53)</x:f>
        <x:v>48.74836303507288</x:v>
      </x:c>
    </x:row>
    <x:row r="54" ht="18" customHeight="1">
      <x:c r="A54" s="24" t="str">
        <x:v>EEZ_744</x:v>
      </x:c>
      <x:c r="B54" s="24" t="str">
        <x:v>Svalbard Isl. (Norway)</x:v>
      </x:c>
      <x:c r="C54" s="24" t="str">
        <x:v>EEZ</x:v>
      </x:c>
      <x:c r="D54" s="30" t="n">
        <x:v>2019</x:v>
      </x:c>
      <x:c r="E54" s="24" t="str">
        <x:v>Solen</x:v>
      </x:c>
      <x:c r="F54" s="24" t="str">
        <x:v>Razor clams</x:v>
      </x:c>
      <x:c r="G54" s="24" t="str">
        <x:v>Other demersal invertebrates</x:v>
      </x:c>
      <x:c r="H54" s="24" t="str">
        <x:v>Molluscs</x:v>
      </x:c>
      <x:c r="I54" s="31" t="n">
        <x:v>0.0698662189</x:v>
      </x:c>
      <x:c r="J54" s="31" t="n">
        <x:v>0.0698662189</x:v>
      </x:c>
      <x:c r="K54" s="31" t="n">
        <x:v>0</x:v>
      </x:c>
      <x:c r="L54" s="31" t="n">
        <x:v>0.0698662189</x:v>
      </x:c>
      <x:c r="M54" s="31" t="n">
        <x:v>0</x:v>
      </x:c>
      <x:c r="N54" s="24" t="str">
        <x:v>solen</x:v>
      </x:c>
      <x:c r="O54" s="32" t="n">
        <x:v>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Solen</x:v>
      </x:c>
      <x:c r="T54" s="32" t="n">
        <x:f>IF(O54="","",(1/'Metadata'!$B$5)^(O54-1))</x:f>
        <x:v>10</x:v>
      </x:c>
      <x:c r="U54" s="31" t="n">
        <x:f>IF(T54="","",I54*T54)</x:f>
        <x:v>0.698662189</x:v>
      </x:c>
    </x:row>
    <x:row r="55" ht="18" customHeight="1">
      <x:c r="A55" s="24" t="str">
        <x:v>EEZ_744</x:v>
      </x:c>
      <x:c r="B55" s="24" t="str">
        <x:v>Svalbard Isl. (Norway)</x:v>
      </x:c>
      <x:c r="C55" s="24" t="str">
        <x:v>EEZ</x:v>
      </x:c>
      <x:c r="D55" s="30" t="n">
        <x:v>2019</x:v>
      </x:c>
      <x:c r="E55" s="24" t="str">
        <x:v>Pleuronectes platessa</x:v>
      </x:c>
      <x:c r="F55" s="24" t="str">
        <x:v>European plaice</x:v>
      </x:c>
      <x:c r="G55" s="24" t="str">
        <x:v>Large flatfishes (&gt;=90 cm)</x:v>
      </x:c>
      <x:c r="H55" s="24" t="str">
        <x:v>Flatfishes</x:v>
      </x:c>
      <x:c r="I55" s="31" t="n">
        <x:v>0.0592103833</x:v>
      </x:c>
      <x:c r="J55" s="31" t="n">
        <x:v>0.0592103833</x:v>
      </x:c>
      <x:c r="K55" s="31" t="n">
        <x:v>0</x:v>
      </x:c>
      <x:c r="L55" s="31" t="n">
        <x:v>0.0592103833</x:v>
      </x:c>
      <x:c r="M55" s="31" t="n">
        <x:v>0</x:v>
      </x:c>
      <x:c r="N55" s="24" t="str">
        <x:v>pleuronectes platessa</x:v>
      </x:c>
      <x:c r="O55" s="32" t="n">
        <x:v>3.26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Pleuronectes platessa</x:v>
      </x:c>
      <x:c r="T55" s="32" t="n">
        <x:f>IF(O55="","",(1/'Metadata'!$B$5)^(O55-1))</x:f>
        <x:v>181.97008586099827</x:v>
      </x:c>
      <x:c r="U55" s="31" t="n">
        <x:f>IF(T55="","",I55*T55)</x:f>
        <x:v>10.774518532963619</x:v>
      </x:c>
    </x:row>
    <x:row r="56" ht="18" customHeight="1">
      <x:c r="A56" s="24" t="str">
        <x:v>EEZ_744</x:v>
      </x:c>
      <x:c r="B56" s="24" t="str">
        <x:v>Svalbard Isl. (Norway)</x:v>
      </x:c>
      <x:c r="C56" s="24" t="str">
        <x:v>EEZ</x:v>
      </x:c>
      <x:c r="D56" s="30" t="n">
        <x:v>2019</x:v>
      </x:c>
      <x:c r="E56" s="24" t="str">
        <x:v>Murex</x:v>
      </x:c>
      <x:c r="F56" s="24" t="str">
        <x:v>Murex shells</x:v>
      </x:c>
      <x:c r="G56" s="24" t="str">
        <x:v>Other demersal invertebrates</x:v>
      </x:c>
      <x:c r="H56" s="24" t="str">
        <x:v>Molluscs</x:v>
      </x:c>
      <x:c r="I56" s="31" t="n">
        <x:v>0.055023148699999996</x:v>
      </x:c>
      <x:c r="J56" s="31" t="n">
        <x:v>0.055023148699999996</x:v>
      </x:c>
      <x:c r="K56" s="31" t="n">
        <x:v>0</x:v>
      </x:c>
      <x:c r="L56" s="31" t="n">
        <x:v>0.055023148699999996</x:v>
      </x:c>
      <x:c r="M56" s="31" t="n">
        <x:v>0</x:v>
      </x:c>
      <x:c r="N56" s="24" t="str">
        <x:v>murex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Murex</x:v>
      </x:c>
      <x:c r="T56" s="32" t="n">
        <x:f>IF(O56="","",(1/'Metadata'!$B$5)^(O56-1))</x:f>
        <x:v>10</x:v>
      </x:c>
      <x:c r="U56" s="31" t="n">
        <x:f>IF(T56="","",I56*T56)</x:f>
        <x:v>0.550231487</x:v>
      </x:c>
    </x:row>
    <x:row r="57" ht="18" customHeight="1">
      <x:c r="A57" s="24" t="str">
        <x:v>EEZ_744</x:v>
      </x:c>
      <x:c r="B57" s="24" t="str">
        <x:v>Svalbard Isl. (Norway)</x:v>
      </x:c>
      <x:c r="C57" s="24" t="str">
        <x:v>EEZ</x:v>
      </x:c>
      <x:c r="D57" s="30" t="n">
        <x:v>2019</x:v>
      </x:c>
      <x:c r="E57" s="24" t="str">
        <x:v>Miscellaneous aquatic invertebrates</x:v>
      </x:c>
      <x:c r="F57" s="24" t="str">
        <x:v>Aquatic invertebrates</x:v>
      </x:c>
      <x:c r="G57" s="24" t="str">
        <x:v>Other demersal invertebrates</x:v>
      </x:c>
      <x:c r="H57" s="24" t="str">
        <x:v>Other fishes &amp; inverts</x:v>
      </x:c>
      <x:c r="I57" s="31" t="n">
        <x:v>0.054947969</x:v>
      </x:c>
      <x:c r="J57" s="31" t="n">
        <x:v>0.054947969</x:v>
      </x:c>
      <x:c r="K57" s="31" t="n">
        <x:v>0</x:v>
      </x:c>
      <x:c r="L57" s="31" t="n">
        <x:v>0.054947969</x:v>
      </x:c>
      <x:c r="M57" s="31" t="n">
        <x:v>0</x:v>
      </x:c>
      <x:c r="N57" s="24" t="str">
        <x:v>miscellaneous aquatic invertebrates</x:v>
      </x:c>
      <x:c r="O57" s="32" t="n">
        <x:v>2.43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Miscellaneous aquatic invertebrates</x:v>
      </x:c>
      <x:c r="T57" s="32" t="n">
        <x:f>IF(O57="","",(1/'Metadata'!$B$5)^(O57-1))</x:f>
        <x:v>26.915348039269166</x:v>
      </x:c>
      <x:c r="U57" s="31" t="n">
        <x:f>IF(T57="","",I57*T57)</x:f>
        <x:v>1.4789437096859728</x:v>
      </x:c>
    </x:row>
    <x:row r="58" ht="18" customHeight="1">
      <x:c r="A58" s="24" t="str">
        <x:v>EEZ_744</x:v>
      </x:c>
      <x:c r="B58" s="24" t="str">
        <x:v>Svalbard Isl. (Norway)</x:v>
      </x:c>
      <x:c r="C58" s="24" t="str">
        <x:v>EEZ</x:v>
      </x:c>
      <x:c r="D58" s="30" t="n">
        <x:v>2019</x:v>
      </x:c>
      <x:c r="E58" s="24" t="str">
        <x:v>Modiolus</x:v>
      </x:c>
      <x:c r="F58" s="24" t="str">
        <x:v>Horse mussels</x:v>
      </x:c>
      <x:c r="G58" s="24" t="str">
        <x:v>Other demersal invertebrates</x:v>
      </x:c>
      <x:c r="H58" s="24" t="str">
        <x:v>Molluscs</x:v>
      </x:c>
      <x:c r="I58" s="31" t="n">
        <x:v>0.0225972037</x:v>
      </x:c>
      <x:c r="J58" s="31" t="n">
        <x:v>0.0225972037</x:v>
      </x:c>
      <x:c r="K58" s="31" t="n">
        <x:v>0</x:v>
      </x:c>
      <x:c r="L58" s="31" t="n">
        <x:v>0.0225972037</x:v>
      </x:c>
      <x:c r="M58" s="31" t="n">
        <x:v>0</x:v>
      </x:c>
      <x:c r="N58" s="24" t="str">
        <x:v>modiolus</x:v>
      </x:c>
      <x:c r="O58" s="32" t="n">
        <x:v>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Modiolus</x:v>
      </x:c>
      <x:c r="T58" s="32" t="n">
        <x:f>IF(O58="","",(1/'Metadata'!$B$5)^(O58-1))</x:f>
        <x:v>10</x:v>
      </x:c>
      <x:c r="U58" s="31" t="n">
        <x:f>IF(T58="","",I58*T58)</x:f>
        <x:v>0.225972037</x:v>
      </x:c>
    </x:row>
    <x:row r="59" ht="18" customHeight="1">
      <x:c r="A59" s="24" t="str">
        <x:v>EEZ_744</x:v>
      </x:c>
      <x:c r="B59" s="24" t="str">
        <x:v>Svalbard Isl. (Norway)</x:v>
      </x:c>
      <x:c r="C59" s="24" t="str">
        <x:v>EEZ</x:v>
      </x:c>
      <x:c r="D59" s="30" t="n">
        <x:v>2019</x:v>
      </x:c>
      <x:c r="E59" s="24" t="str">
        <x:v>Molva</x:v>
      </x:c>
      <x:c r="F59" s="24" t="str">
        <x:v>Lings</x:v>
      </x:c>
      <x:c r="G59" s="24" t="str">
        <x:v>Large demersals (&gt;=90 cm)</x:v>
      </x:c>
      <x:c r="H59" s="24" t="str">
        <x:v>Cod-likes</x:v>
      </x:c>
      <x:c r="I59" s="31" t="n">
        <x:v>0.020067179100000002</x:v>
      </x:c>
      <x:c r="J59" s="31" t="n">
        <x:v>0.020067179100000002</x:v>
      </x:c>
      <x:c r="K59" s="31" t="n">
        <x:v>0</x:v>
      </x:c>
      <x:c r="L59" s="31" t="n">
        <x:v>0.020067179100000002</x:v>
      </x:c>
      <x:c r="M59" s="31" t="n">
        <x:v>0</x:v>
      </x:c>
      <x:c r="N59" s="24" t="str">
        <x:v>molva</x:v>
      </x:c>
      <x:c r="O59" s="32" t="n">
        <x:v>4.19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Molva</x:v>
      </x:c>
      <x:c r="T59" s="32" t="n">
        <x:f>IF(O59="","",(1/'Metadata'!$B$5)^(O59-1))</x:f>
        <x:v>1548.8166189124827</x:v>
      </x:c>
      <x:c r="U59" s="31" t="n">
        <x:f>IF(T59="","",I59*T59)</x:f>
        <x:v>31.08038048477324</x:v>
      </x:c>
    </x:row>
    <x:row r="60" ht="18" customHeight="1">
      <x:c r="A60" s="24" t="str">
        <x:v>EEZ_744</x:v>
      </x:c>
      <x:c r="B60" s="24" t="str">
        <x:v>Svalbard Isl. (Norway)</x:v>
      </x:c>
      <x:c r="C60" s="24" t="str">
        <x:v>EEZ</x:v>
      </x:c>
      <x:c r="D60" s="30" t="n">
        <x:v>2019</x:v>
      </x:c>
      <x:c r="E60" s="24" t="str">
        <x:v>Solen vagina</x:v>
      </x:c>
      <x:c r="F60" s="24" t="str">
        <x:v>European razor clam</x:v>
      </x:c>
      <x:c r="G60" s="24" t="str">
        <x:v>Other demersal invertebrates</x:v>
      </x:c>
      <x:c r="H60" s="24" t="str">
        <x:v>Molluscs</x:v>
      </x:c>
      <x:c r="I60" s="31" t="n">
        <x:v>0.0192547075</x:v>
      </x:c>
      <x:c r="J60" s="31" t="n">
        <x:v>0.0192547075</x:v>
      </x:c>
      <x:c r="K60" s="31" t="n">
        <x:v>0</x:v>
      </x:c>
      <x:c r="L60" s="31" t="n">
        <x:v>0.0192547075</x:v>
      </x:c>
      <x:c r="M60" s="31" t="n">
        <x:v>0</x:v>
      </x:c>
      <x:c r="N60" s="24" t="str">
        <x:v>solen vagina</x:v>
      </x:c>
      <x:c r="O60" s="32" t="n">
        <x:v>2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Solen vagina</x:v>
      </x:c>
      <x:c r="T60" s="32" t="n">
        <x:f>IF(O60="","",(1/'Metadata'!$B$5)^(O60-1))</x:f>
        <x:v>10</x:v>
      </x:c>
      <x:c r="U60" s="31" t="n">
        <x:f>IF(T60="","",I60*T60)</x:f>
        <x:v>0.19254707499999998</x:v>
      </x:c>
    </x:row>
    <x:row r="61" ht="18" customHeight="1">
      <x:c r="A61" s="24" t="str">
        <x:v>EEZ_744</x:v>
      </x:c>
      <x:c r="B61" s="24" t="str">
        <x:v>Svalbard Isl. (Norway)</x:v>
      </x:c>
      <x:c r="C61" s="24" t="str">
        <x:v>EEZ</x:v>
      </x:c>
      <x:c r="D61" s="30" t="n">
        <x:v>2019</x:v>
      </x:c>
      <x:c r="E61" s="24" t="str">
        <x:v>Argentina silus</x:v>
      </x:c>
      <x:c r="F61" s="24" t="str">
        <x:v>Greater argentine</x:v>
      </x:c>
      <x:c r="G61" s="24" t="str">
        <x:v>Medium bathydemersals (30 - 89 cm)</x:v>
      </x:c>
      <x:c r="H61" s="24" t="str">
        <x:v>Salmon, smelts, etc</x:v>
      </x:c>
      <x:c r="I61" s="31" t="n">
        <x:v>0.016816959399999998</x:v>
      </x:c>
      <x:c r="J61" s="31" t="n">
        <x:v>0.016816959399999998</x:v>
      </x:c>
      <x:c r="K61" s="31" t="n">
        <x:v>0</x:v>
      </x:c>
      <x:c r="L61" s="31" t="n">
        <x:v>0.016816959399999998</x:v>
      </x:c>
      <x:c r="M61" s="31" t="n">
        <x:v>0</x:v>
      </x:c>
      <x:c r="N61" s="24" t="str">
        <x:v>argentina silus</x:v>
      </x:c>
      <x:c r="O61" s="32" t="n">
        <x:v>3.32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Argentina silus</x:v>
      </x:c>
      <x:c r="T61" s="32" t="n">
        <x:f>IF(O61="","",(1/'Metadata'!$B$5)^(O61-1))</x:f>
        <x:v>208.92961308540387</x:v>
      </x:c>
      <x:c r="U61" s="31" t="n">
        <x:f>IF(T61="","",I61*T61)</x:f>
        <x:v>3.5135608207149454</x:v>
      </x:c>
    </x:row>
    <x:row r="62" ht="18" customHeight="1">
      <x:c r="A62" s="24" t="str">
        <x:v>EEZ_744</x:v>
      </x:c>
      <x:c r="B62" s="24" t="str">
        <x:v>Svalbard Isl. (Norway)</x:v>
      </x:c>
      <x:c r="C62" s="24" t="str">
        <x:v>EEZ</x:v>
      </x:c>
      <x:c r="D62" s="30" t="n">
        <x:v>2019</x:v>
      </x:c>
      <x:c r="E62" s="24" t="str">
        <x:v>Dendrobranchiata</x:v>
      </x:c>
      <x:c r="F62" s="24" t="str">
        <x:v>Shrimps and prawns</x:v>
      </x:c>
      <x:c r="G62" s="24" t="str">
        <x:v>Shrimps</x:v>
      </x:c>
      <x:c r="H62" s="24" t="str">
        <x:v>Crustaceans</x:v>
      </x:c>
      <x:c r="I62" s="31" t="n">
        <x:v>0.0167031694</x:v>
      </x:c>
      <x:c r="J62" s="31" t="n">
        <x:v>0.0167031694</x:v>
      </x:c>
      <x:c r="K62" s="31" t="n">
        <x:v>0</x:v>
      </x:c>
      <x:c r="L62" s="31" t="n">
        <x:v>0.0167031694</x:v>
      </x:c>
      <x:c r="M62" s="31" t="n">
        <x:v>0</x:v>
      </x:c>
      <x:c r="N62" s="24" t="str">
        <x:v>dendrobranchiata</x:v>
      </x:c>
      <x:c r="O62" s="32" t="n">
        <x:v>3.24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Dendrobranchiata</x:v>
      </x:c>
      <x:c r="T62" s="32" t="n">
        <x:f>IF(O62="","",(1/'Metadata'!$B$5)^(O62-1))</x:f>
        <x:v>173.78008287493762</x:v>
      </x:c>
      <x:c r="U62" s="31" t="n">
        <x:f>IF(T62="","",I62*T62)</x:f>
        <x:v>2.9026781626061218</x:v>
      </x:c>
    </x:row>
    <x:row r="63" ht="18" customHeight="1">
      <x:c r="A63" s="24" t="str">
        <x:v>EEZ_744</x:v>
      </x:c>
      <x:c r="B63" s="24" t="str">
        <x:v>Svalbard Isl. (Norway)</x:v>
      </x:c>
      <x:c r="C63" s="24" t="str">
        <x:v>EEZ</x:v>
      </x:c>
      <x:c r="D63" s="30" t="n">
        <x:v>2019</x:v>
      </x:c>
      <x:c r="E63" s="24" t="str">
        <x:v>Pleuronectiformes</x:v>
      </x:c>
      <x:c r="F63" s="24" t="str">
        <x:v>Flatfishes</x:v>
      </x:c>
      <x:c r="G63" s="24" t="str">
        <x:v>Small to medium flatfishes (&lt;90 cm)</x:v>
      </x:c>
      <x:c r="H63" s="24" t="str">
        <x:v>Flatfishes</x:v>
      </x:c>
      <x:c r="I63" s="31" t="n">
        <x:v>0.015389600399999998</x:v>
      </x:c>
      <x:c r="J63" s="31" t="n">
        <x:v>0.015389600399999998</x:v>
      </x:c>
      <x:c r="K63" s="31" t="n">
        <x:v>0</x:v>
      </x:c>
      <x:c r="L63" s="31" t="n">
        <x:v>0.015389600399999998</x:v>
      </x:c>
      <x:c r="M63" s="31" t="n">
        <x:v>0</x:v>
      </x:c>
      <x:c r="N63" s="24" t="str">
        <x:v>pleuronectiformes</x:v>
      </x:c>
      <x:c r="O63" s="32" t="n">
        <x:v>3.57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Pleuronectiformes</x:v>
      </x:c>
      <x:c r="T63" s="32" t="n">
        <x:f>IF(O63="","",(1/'Metadata'!$B$5)^(O63-1))</x:f>
        <x:v>371.5352290971724</x:v>
      </x:c>
      <x:c r="U63" s="31" t="n">
        <x:f>IF(T63="","",I63*T63)</x:f>
        <x:v>5.717778710327936</x:v>
      </x:c>
    </x:row>
  </x:sheetData>
  <x:conditionalFormatting sqref="R2:R6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c890272e4774b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Cod-likes</x:v>
      </x:c>
      <x:c r="B2" s="33" t="n">
        <x:v>16</x:v>
      </x:c>
      <x:c r="C2" s="33" t="n">
        <x:v>16</x:v>
      </x:c>
      <x:c r="D2" s="31" t="n">
        <x:v>149629.0587463644</x:v>
      </x:c>
      <x:c r="E2" s="31" t="n">
        <x:v>149629.0587463644</x:v>
      </x:c>
      <x:c r="F2" s="32" t="n">
        <x:v>0</x:v>
      </x:c>
      <x:c r="G2" s="34" t="n">
        <x:v>1</x:v>
      </x:c>
      <x:c r="H2" s="32" t="n">
        <x:f>IF(E2=0,"",I2/E2)</x:f>
        <x:v>1209.9448080419281</x:v>
      </x:c>
      <x:c r="I2" s="31" t="n">
        <x:f>IF(C2=0,"",SUMIF('Species'!$H$2:$H$63,A2,'Species'!$U$2:$U$63))</x:f>
        <x:v>181042902.76236427</x:v>
      </x:c>
      <x:c r="J2" s="32" t="n">
        <x:v>4.081914828956371</x:v>
      </x:c>
      <x:c r="K2" s="32" t="n">
        <x:f>IF(J2="","",(1/'Metadata'!$B$5)^(J2-1))</x:f>
        <x:v>1207.5769896422073</x:v>
      </x:c>
      <x:c r="L2" s="31" t="n">
        <x:f>IF(E2=0,"",E2*K2)</x:f>
        <x:v>180688608.32393172</x:v>
      </x:c>
      <x:c r="M2" s="31" t="n">
        <x:f>IF(E2=0,"",I2-L2)</x:f>
        <x:v>354294.43843254447</x:v>
      </x:c>
      <x:c r="N2" s="32" t="n">
        <x:f>IF(L2=0,"",I2/L2)</x:f>
        <x:v>1.0019608011911707</x:v>
      </x:c>
      <x:c r="O2" s="34" t="n">
        <x:f>IF(L2=0,"",M2/L2)</x:f>
        <x:v>0.001960801191170717</x:v>
      </x:c>
    </x:row>
    <x:row r="3" ht="18" customHeight="1">
      <x:c r="A3" s="24" t="str">
        <x:v>Crustaceans</x:v>
      </x:c>
      <x:c r="B3" s="33" t="n">
        <x:v>6</x:v>
      </x:c>
      <x:c r="C3" s="33" t="n">
        <x:v>6</x:v>
      </x:c>
      <x:c r="D3" s="31" t="n">
        <x:v>1779.6654990480001</x:v>
      </x:c>
      <x:c r="E3" s="31" t="n">
        <x:v>1779.6654990480001</x:v>
      </x:c>
      <x:c r="F3" s="32" t="n">
        <x:v>0</x:v>
      </x:c>
      <x:c r="G3" s="34" t="n">
        <x:v>1</x:v>
      </x:c>
      <x:c r="H3" s="32" t="n">
        <x:f>IF(E3=0,"",I3/E3)</x:f>
        <x:v>294.80251467360944</x:v>
      </x:c>
      <x:c r="I3" s="31" t="n">
        <x:f>IF(C3=0,"",SUMIF('Species'!$H$2:$H$63,A3,'Species'!$U$2:$U$63))</x:f>
        <x:v>524649.8643972145</x:v>
      </x:c>
      <x:c r="J3" s="32" t="n">
        <x:v>3.4134358204738224</x:v>
      </x:c>
      <x:c r="K3" s="32" t="n">
        <x:f>IF(J3="","",(1/'Metadata'!$B$5)^(J3-1))</x:f>
        <x:v>259.08115259926404</x:v>
      </x:c>
      <x:c r="L3" s="31" t="n">
        <x:f>IF(E3=0,"",E3*K3)</x:f>
        <x:v>461077.7887345003</x:v>
      </x:c>
      <x:c r="M3" s="31" t="n">
        <x:f>IF(E3=0,"",I3-L3)</x:f>
        <x:v>63572.0756627142</x:v>
      </x:c>
      <x:c r="N3" s="32" t="n">
        <x:f>IF(L3=0,"",I3/L3)</x:f>
        <x:v>1.137877115783863</x:v>
      </x:c>
      <x:c r="O3" s="34" t="n">
        <x:f>IF(L3=0,"",M3/L3)</x:f>
        <x:v>0.13787711578386294</x:v>
      </x:c>
    </x:row>
    <x:row r="4" ht="18" customHeight="1">
      <x:c r="A4" s="24" t="str">
        <x:v>Flatfishes</x:v>
      </x:c>
      <x:c r="B4" s="33" t="n">
        <x:v>5</x:v>
      </x:c>
      <x:c r="C4" s="33" t="n">
        <x:v>5</x:v>
      </x:c>
      <x:c r="D4" s="31" t="n">
        <x:v>9487.985060291101</x:v>
      </x:c>
      <x:c r="E4" s="31" t="n">
        <x:v>9487.985060291101</x:v>
      </x:c>
      <x:c r="F4" s="32" t="n">
        <x:v>0</x:v>
      </x:c>
      <x:c r="G4" s="34" t="n">
        <x:v>1</x:v>
      </x:c>
      <x:c r="H4" s="32" t="n">
        <x:f>IF(E4=0,"",I4/E4)</x:f>
        <x:v>2318.227250535651</x:v>
      </x:c>
      <x:c r="I4" s="31" t="n">
        <x:f>IF(C4=0,"",SUMIF('Species'!$H$2:$H$63,A4,'Species'!$U$2:$U$63))</x:f>
        <x:v>21995305.51944197</x:v>
      </x:c>
      <x:c r="J4" s="32" t="n">
        <x:v>4.356112613140154</x:v>
      </x:c>
      <x:c r="K4" s="32" t="n">
        <x:f>IF(J4="","",(1/'Metadata'!$B$5)^(J4-1))</x:f>
        <x:v>2270.453507192784</x:v>
      </x:c>
      <x:c r="L4" s="31" t="n">
        <x:f>IF(E4=0,"",E4*K4)</x:f>
        <x:v>21542028.95633067</x:v>
      </x:c>
      <x:c r="M4" s="31" t="n">
        <x:f>IF(E4=0,"",I4-L4)</x:f>
        <x:v>453276.5631113015</x:v>
      </x:c>
      <x:c r="N4" s="32" t="n">
        <x:f>IF(L4=0,"",I4/L4)</x:f>
        <x:v>1.0210414981815394</x:v>
      </x:c>
      <x:c r="O4" s="34" t="n">
        <x:f>IF(L4=0,"",M4/L4)</x:f>
        <x:v>0.02104149818153943</x:v>
      </x:c>
    </x:row>
    <x:row r="5" ht="18" customHeight="1">
      <x:c r="A5" s="24" t="str">
        <x:v>Herring-likes</x:v>
      </x:c>
      <x:c r="B5" s="33" t="n">
        <x:v>1</x:v>
      </x:c>
      <x:c r="C5" s="33" t="n">
        <x:v>1</x:v>
      </x:c>
      <x:c r="D5" s="31" t="n">
        <x:v>5060.165295037599</x:v>
      </x:c>
      <x:c r="E5" s="31" t="n">
        <x:v>5060.165295037599</x:v>
      </x:c>
      <x:c r="F5" s="32" t="n">
        <x:v>0</x:v>
      </x:c>
      <x:c r="G5" s="34" t="n">
        <x:v>1</x:v>
      </x:c>
      <x:c r="H5" s="32" t="n">
        <x:f>IF(E5=0,"",I5/E5)</x:f>
        <x:v>239.88329190194898</x:v>
      </x:c>
      <x:c r="I5" s="31" t="n">
        <x:f>IF(C5=0,"",SUMIF('Species'!$H$2:$H$63,A5,'Species'!$U$2:$U$63))</x:f>
        <x:v>1213849.1085416162</x:v>
      </x:c>
      <x:c r="J5" s="32" t="n">
        <x:v>3.3800000000000003</x:v>
      </x:c>
      <x:c r="K5" s="32" t="n">
        <x:f>IF(J5="","",(1/'Metadata'!$B$5)^(J5-1))</x:f>
        <x:v>239.88329190194924</x:v>
      </x:c>
      <x:c r="L5" s="31" t="n">
        <x:f>IF(E5=0,"",E5*K5)</x:f>
        <x:v>1213849.1085416174</x:v>
      </x:c>
      <x:c r="M5" s="31" t="n">
        <x:f>IF(E5=0,"",I5-L5)</x:f>
        <x:v>-1.1641532182693481e-9</x:v>
      </x:c>
      <x:c r="N5" s="32" t="n">
        <x:f>IF(L5=0,"",I5/L5)</x:f>
        <x:v>0.999999999999999</x:v>
      </x:c>
      <x:c r="O5" s="34" t="n">
        <x:f>IF(L5=0,"",M5/L5)</x:f>
        <x:v>-9.590592521569863e-16</x:v>
      </x:c>
    </x:row>
    <x:row r="6" ht="18" customHeight="1">
      <x:c r="A6" s="24" t="str">
        <x:v>Molluscs</x:v>
      </x:c>
      <x:c r="B6" s="33" t="n">
        <x:v>8</x:v>
      </x:c>
      <x:c r="C6" s="33" t="n">
        <x:v>8</x:v>
      </x:c>
      <x:c r="D6" s="31" t="n">
        <x:v>46.41804919729999</x:v>
      </x:c>
      <x:c r="E6" s="31" t="n">
        <x:v>46.41804919729999</x:v>
      </x:c>
      <x:c r="F6" s="32" t="n">
        <x:v>0</x:v>
      </x:c>
      <x:c r="G6" s="34" t="n">
        <x:v>1</x:v>
      </x:c>
      <x:c r="H6" s="32" t="n">
        <x:f>IF(E6=0,"",I6/E6)</x:f>
        <x:v>58.44146501149093</x:v>
      </x:c>
      <x:c r="I6" s="31" t="n">
        <x:f>IF(C6=0,"",SUMIF('Species'!$H$2:$H$63,A6,'Species'!$U$2:$U$63))</x:f>
        <x:v>2712.738798065672</x:v>
      </x:c>
      <x:c r="J6" s="32" t="n">
        <x:v>2.5794089801205695</x:v>
      </x:c>
      <x:c r="K6" s="32" t="n">
        <x:f>IF(J6="","",(1/'Metadata'!$B$5)^(J6-1))</x:f>
        <x:v>37.967235851311735</x:v>
      </x:c>
      <x:c r="L6" s="31" t="n">
        <x:f>IF(E6=0,"",E6*K6)</x:f>
        <x:v>1762.3650216316803</x:v>
      </x:c>
      <x:c r="M6" s="31" t="n">
        <x:f>IF(E6=0,"",I6-L6)</x:f>
        <x:v>950.3737764339919</x:v>
      </x:c>
      <x:c r="N6" s="32" t="n">
        <x:f>IF(L6=0,"",I6/L6)</x:f>
        <x:v>1.53926046237237</x:v>
      </x:c>
      <x:c r="O6" s="34" t="n">
        <x:f>IF(L6=0,"",M6/L6)</x:f>
        <x:v>0.5392604623723701</x:v>
      </x:c>
    </x:row>
    <x:row r="7" ht="18" customHeight="1">
      <x:c r="A7" s="24" t="str">
        <x:v>Other fishes &amp; inverts</x:v>
      </x:c>
      <x:c r="B7" s="33" t="n">
        <x:v>10</x:v>
      </x:c>
      <x:c r="C7" s="33" t="n">
        <x:v>10</x:v>
      </x:c>
      <x:c r="D7" s="31" t="n">
        <x:v>44212.8240257056</x:v>
      </x:c>
      <x:c r="E7" s="31" t="n">
        <x:v>44212.8240257056</x:v>
      </x:c>
      <x:c r="F7" s="32" t="n">
        <x:v>0</x:v>
      </x:c>
      <x:c r="G7" s="34" t="n">
        <x:v>1</x:v>
      </x:c>
      <x:c r="H7" s="32" t="n">
        <x:f>IF(E7=0,"",I7/E7)</x:f>
        <x:v>190.43294571206548</x:v>
      </x:c>
      <x:c r="I7" s="31" t="n">
        <x:f>IF(C7=0,"",SUMIF('Species'!$H$2:$H$63,A7,'Species'!$U$2:$U$63))</x:f>
        <x:v>8419578.3174643</x:v>
      </x:c>
      <x:c r="J7" s="32" t="n">
        <x:v>3.279005806182865</x:v>
      </x:c>
      <x:c r="K7" s="32" t="n">
        <x:f>IF(J7="","",(1/'Metadata'!$B$5)^(J7-1))</x:f>
        <x:v>190.11036960461826</x:v>
      </x:c>
      <x:c r="L7" s="31" t="n">
        <x:f>IF(E7=0,"",E7*K7)</x:f>
        <x:v>8405316.316790838</x:v>
      </x:c>
      <x:c r="M7" s="31" t="n">
        <x:f>IF(E7=0,"",I7-L7)</x:f>
        <x:v>14262.000673461705</x:v>
      </x:c>
      <x:c r="N7" s="32" t="n">
        <x:f>IF(L7=0,"",I7/L7)</x:f>
        <x:v>1.001696783337585</x:v>
      </x:c>
      <x:c r="O7" s="34" t="n">
        <x:f>IF(L7=0,"",M7/L7)</x:f>
        <x:v>0.001696783337584963</x:v>
      </x:c>
    </x:row>
    <x:row r="8" ht="18" customHeight="1">
      <x:c r="A8" s="24" t="str">
        <x:v>Perch-likes</x:v>
      </x:c>
      <x:c r="B8" s="33" t="n">
        <x:v>6</x:v>
      </x:c>
      <x:c r="C8" s="33" t="n">
        <x:v>6</x:v>
      </x:c>
      <x:c r="D8" s="31" t="n">
        <x:v>5588.196772855699</x:v>
      </x:c>
      <x:c r="E8" s="31" t="n">
        <x:v>5588.196772855699</x:v>
      </x:c>
      <x:c r="F8" s="32" t="n">
        <x:v>0</x:v>
      </x:c>
      <x:c r="G8" s="34" t="n">
        <x:v>1</x:v>
      </x:c>
      <x:c r="H8" s="32" t="n">
        <x:f>IF(E8=0,"",I8/E8)</x:f>
        <x:v>506.65451098240123</x:v>
      </x:c>
      <x:c r="I8" s="31" t="n">
        <x:f>IF(C8=0,"",SUMIF('Species'!$H$2:$H$63,A8,'Species'!$U$2:$U$63))</x:f>
        <x:v>2831285.103224637</x:v>
      </x:c>
      <x:c r="J8" s="32" t="n">
        <x:v>3.694949327878268</x:v>
      </x:c>
      <x:c r="K8" s="32" t="n">
        <x:f>IF(J8="","",(1/'Metadata'!$B$5)^(J8-1))</x:f>
        <x:v>495.39238659850315</x:v>
      </x:c>
      <x:c r="L8" s="31" t="n">
        <x:f>IF(E8=0,"",E8*K8)</x:f>
        <x:v>2768350.136087038</x:v>
      </x:c>
      <x:c r="M8" s="31" t="n">
        <x:f>IF(E8=0,"",I8-L8)</x:f>
        <x:v>62934.9671375989</x:v>
      </x:c>
      <x:c r="N8" s="32" t="n">
        <x:f>IF(L8=0,"",I8/L8)</x:f>
        <x:v>1.0227337453876246</x:v>
      </x:c>
      <x:c r="O8" s="34" t="n">
        <x:f>IF(L8=0,"",M8/L8)</x:f>
        <x:v>0.022733745387624696</x:v>
      </x:c>
    </x:row>
    <x:row r="9" ht="18" customHeight="1">
      <x:c r="A9" s="24" t="str">
        <x:v>Salmon, smelts, etc</x:v>
      </x:c>
      <x:c r="B9" s="33" t="n">
        <x:v>2</x:v>
      </x:c>
      <x:c r="C9" s="33" t="n">
        <x:v>2</x:v>
      </x:c>
      <x:c r="D9" s="31" t="n">
        <x:v>1.2174987506000001</x:v>
      </x:c>
      <x:c r="E9" s="31" t="n">
        <x:v>1.2174987506000001</x:v>
      </x:c>
      <x:c r="F9" s="32" t="n">
        <x:v>0</x:v>
      </x:c>
      <x:c r="G9" s="34" t="n">
        <x:v>1</x:v>
      </x:c>
      <x:c r="H9" s="32" t="n">
        <x:f>IF(E9=0,"",I9/E9)</x:f>
        <x:v>142.1885415955389</x:v>
      </x:c>
      <x:c r="I9" s="31" t="n">
        <x:f>IF(C9=0,"",SUMIF('Species'!$H$2:$H$63,A9,'Species'!$U$2:$U$63))</x:f>
        <x:v>173.11437174220478</x:v>
      </x:c>
      <x:c r="J9" s="32" t="n">
        <x:v>3.1523481610117385</x:v>
      </x:c>
      <x:c r="K9" s="32" t="n">
        <x:f>IF(J9="","",(1/'Metadata'!$B$5)^(J9-1))</x:f>
        <x:v>142.01955941556372</x:v>
      </x:c>
      <x:c r="L9" s="31" t="n">
        <x:f>IF(E9=0,"",E9*K9)</x:f>
        <x:v>172.9086361492113</x:v>
      </x:c>
      <x:c r="M9" s="31" t="n">
        <x:f>IF(E9=0,"",I9-L9)</x:f>
        <x:v>0.2057355929934772</x:v>
      </x:c>
      <x:c r="N9" s="32" t="n">
        <x:f>IF(L9=0,"",I9/L9)</x:f>
        <x:v>1.0011898514589863</x:v>
      </x:c>
      <x:c r="O9" s="34" t="n">
        <x:f>IF(L9=0,"",M9/L9)</x:f>
        <x:v>0.0011898514589863396</x:v>
      </x:c>
    </x:row>
    <x:row r="10" ht="18" customHeight="1">
      <x:c r="A10" s="24" t="str">
        <x:v>Scorpionfishes</x:v>
      </x:c>
      <x:c r="B10" s="33" t="n">
        <x:v>6</x:v>
      </x:c>
      <x:c r="C10" s="33" t="n">
        <x:v>6</x:v>
      </x:c>
      <x:c r="D10" s="31" t="n">
        <x:v>4084.377305324899</x:v>
      </x:c>
      <x:c r="E10" s="31" t="n">
        <x:v>4084.377305324899</x:v>
      </x:c>
      <x:c r="F10" s="32" t="n">
        <x:v>0</x:v>
      </x:c>
      <x:c r="G10" s="34" t="n">
        <x:v>1</x:v>
      </x:c>
      <x:c r="H10" s="32" t="n">
        <x:f>IF(E10=0,"",I10/E10)</x:f>
        <x:v>559.4033698089713</x:v>
      </x:c>
      <x:c r="I10" s="31" t="n">
        <x:f>IF(C10=0,"",SUMIF('Species'!$H$2:$H$63,A10,'Species'!$U$2:$U$63))</x:f>
        <x:v>2284814.428170034</x:v>
      </x:c>
      <x:c r="J10" s="32" t="n">
        <x:v>3.718239438802443</x:v>
      </x:c>
      <x:c r="K10" s="32" t="n">
        <x:f>IF(J10="","",(1/'Metadata'!$B$5)^(J10-1))</x:f>
        <x:v>522.684280167765</x:v>
      </x:c>
      <x:c r="L10" s="31" t="n">
        <x:f>IF(E10=0,"",E10*K10)</x:f>
        <x:v>2134839.8117673006</x:v>
      </x:c>
      <x:c r="M10" s="31" t="n">
        <x:f>IF(E10=0,"",I10-L10)</x:f>
        <x:v>149974.6164027336</x:v>
      </x:c>
      <x:c r="N10" s="32" t="n">
        <x:f>IF(L10=0,"",I10/L10)</x:f>
        <x:v>1.070250992873596</x:v>
      </x:c>
      <x:c r="O10" s="34" t="n">
        <x:f>IF(L10=0,"",M10/L10)</x:f>
        <x:v>0.07025099287359597</x:v>
      </x:c>
    </x:row>
    <x:row r="11" ht="18" customHeight="1">
      <x:c r="A11" s="24" t="str">
        <x:v>Sharks &amp; rays</x:v>
      </x:c>
      <x:c r="B11" s="33" t="n">
        <x:v>2</x:v>
      </x:c>
      <x:c r="C11" s="33" t="n">
        <x:v>2</x:v>
      </x:c>
      <x:c r="D11" s="31" t="n">
        <x:v>1.5415751947</x:v>
      </x:c>
      <x:c r="E11" s="31" t="n">
        <x:v>1.5415751947</x:v>
      </x:c>
      <x:c r="F11" s="32" t="n">
        <x:v>0</x:v>
      </x:c>
      <x:c r="G11" s="34" t="n">
        <x:v>1</x:v>
      </x:c>
      <x:c r="H11" s="32" t="n">
        <x:f>IF(E11=0,"",I11/E11)</x:f>
        <x:v>440.90463850093937</x:v>
      </x:c>
      <x:c r="I11" s="31" t="n">
        <x:f>IF(C11=0,"",SUMIF('Species'!$H$2:$H$63,A11,'Species'!$U$2:$U$63))</x:f>
        <x:v>679.6876539412187</x:v>
      </x:c>
      <x:c r="J11" s="32" t="n">
        <x:v>3.637792142590448</x:v>
      </x:c>
      <x:c r="K11" s="32" t="n">
        <x:f>IF(J11="","",(1/'Metadata'!$B$5)^(J11-1))</x:f>
        <x:v>434.3023132637712</x:v>
      </x:c>
      <x:c r="L11" s="31" t="n">
        <x:f>IF(E11=0,"",E11*K11)</x:f>
        <x:v>669.5096731282586</x:v>
      </x:c>
      <x:c r="M11" s="31" t="n">
        <x:f>IF(E11=0,"",I11-L11)</x:f>
        <x:v>10.177980812960186</x:v>
      </x:c>
      <x:c r="N11" s="32" t="n">
        <x:f>IF(L11=0,"",I11/L11)</x:f>
        <x:v>1.0152021415395</x:v>
      </x:c>
      <x:c r="O11" s="34" t="n">
        <x:f>IF(L11=0,"",M11/L11)</x:f>
        <x:v>0.01520214153950003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a91f32324d0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bathydemersals (&gt;=90 cm)</x:v>
      </x:c>
      <x:c r="B2" s="33" t="n">
        <x:v>1</x:v>
      </x:c>
      <x:c r="C2" s="33" t="n">
        <x:v>1</x:v>
      </x:c>
      <x:c r="D2" s="31" t="n">
        <x:v>79.2038338829</x:v>
      </x:c>
      <x:c r="E2" s="31" t="n">
        <x:v>79.2038338829</x:v>
      </x:c>
      <x:c r="F2" s="32" t="n">
        <x:v>0</x:v>
      </x:c>
      <x:c r="G2" s="34" t="n">
        <x:v>1</x:v>
      </x:c>
      <x:c r="H2" s="32" t="n">
        <x:f>IF(E2=0,"",I2/E2)</x:f>
        <x:v>2238.7211385683377</x:v>
      </x:c>
      <x:c r="I2" s="31" t="n">
        <x:f>IF(C2=0,"",SUMIF('Species'!$G$2:$G$63,A2,'Species'!$U$2:$U$63))</x:f>
        <x:v>177315.29716930338</x:v>
      </x:c>
      <x:c r="J2" s="32" t="n">
        <x:v>4.35</x:v>
      </x:c>
      <x:c r="K2" s="32" t="n">
        <x:f>IF(J2="","",(1/'Metadata'!$B$5)^(J2-1))</x:f>
        <x:v>2238.7211385683377</x:v>
      </x:c>
      <x:c r="L2" s="31" t="n">
        <x:f>IF(E2=0,"",E2*K2)</x:f>
        <x:v>177315.29716930338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3</x:v>
      </x:c>
      <x:c r="C3" s="33" t="n">
        <x:v>3</x:v>
      </x:c>
      <x:c r="D3" s="31" t="n">
        <x:v>132333.825454321</x:v>
      </x:c>
      <x:c r="E3" s="31" t="n">
        <x:v>132333.825454321</x:v>
      </x:c>
      <x:c r="F3" s="32" t="n">
        <x:v>0</x:v>
      </x:c>
      <x:c r="G3" s="34" t="n">
        <x:v>1</x:v>
      </x:c>
      <x:c r="H3" s="32" t="n">
        <x:f>IF(E3=0,"",I3/E3)</x:f>
        <x:v>1209.5457431626876</x:v>
      </x:c>
      <x:c r="I3" s="31" t="n">
        <x:f>IF(C3=0,"",SUMIF('Species'!$G$2:$G$63,A3,'Species'!$U$2:$U$63))</x:f>
        <x:v>160063815.25470808</x:v>
      </x:c>
      <x:c r="J3" s="32" t="n">
        <x:v>4.079371768003379</x:v>
      </x:c>
      <x:c r="K3" s="32" t="n">
        <x:f>IF(J3="","",(1/'Metadata'!$B$5)^(J3-1))</x:f>
        <x:v>1200.5265471060738</x:v>
      </x:c>
      <x:c r="L3" s="31" t="n">
        <x:f>IF(E3=0,"",E3*K3)</x:f>
        <x:v>158870270.53801385</x:v>
      </x:c>
      <x:c r="M3" s="31" t="n">
        <x:f>IF(E3=0,"",I3-L3)</x:f>
        <x:v>1193544.7166942358</x:v>
      </x:c>
      <x:c r="N3" s="32" t="n">
        <x:f>IF(L3=0,"",I3/L3)</x:f>
        <x:v>1.007512700221711</x:v>
      </x:c>
      <x:c r="O3" s="34" t="n">
        <x:f>IF(L3=0,"",M3/L3)</x:f>
        <x:v>0.00751270022171108</x:v>
      </x:c>
    </x:row>
    <x:row r="4" ht="18" customHeight="1">
      <x:c r="A4" s="24" t="str">
        <x:v>Large demersals (&gt;=90 cm)</x:v>
      </x:c>
      <x:c r="B4" s="33" t="n">
        <x:v>9</x:v>
      </x:c>
      <x:c r="C4" s="33" t="n">
        <x:v>9</x:v>
      </x:c>
      <x:c r="D4" s="31" t="n">
        <x:v>1563.0853251627</x:v>
      </x:c>
      <x:c r="E4" s="31" t="n">
        <x:v>1563.0853251627</x:v>
      </x:c>
      <x:c r="F4" s="32" t="n">
        <x:v>0</x:v>
      </x:c>
      <x:c r="G4" s="34" t="n">
        <x:v>1</x:v>
      </x:c>
      <x:c r="H4" s="32" t="n">
        <x:f>IF(E4=0,"",I4/E4)</x:f>
        <x:v>620.2971201627731</x:v>
      </x:c>
      <x:c r="I4" s="31" t="n">
        <x:f>IF(C4=0,"",SUMIF('Species'!$G$2:$G$63,A4,'Species'!$U$2:$U$63))</x:f>
        <x:v>969577.3257671146</x:v>
      </x:c>
      <x:c r="J4" s="32" t="n">
        <x:v>3.659652323854231</x:v>
      </x:c>
      <x:c r="K4" s="32" t="n">
        <x:f>IF(J4="","",(1/'Metadata'!$B$5)^(J4-1))</x:f>
        <x:v>456.72241230902546</x:v>
      </x:c>
      <x:c r="L4" s="31" t="n">
        <x:f>IF(E4=0,"",E4*K4)</x:f>
        <x:v>713896.1003531457</x:v>
      </x:c>
      <x:c r="M4" s="31" t="n">
        <x:f>IF(E4=0,"",I4-L4)</x:f>
        <x:v>255681.2254139689</x:v>
      </x:c>
      <x:c r="N4" s="32" t="n">
        <x:f>IF(L4=0,"",I4/L4)</x:f>
        <x:v>1.3581490713949693</x:v>
      </x:c>
      <x:c r="O4" s="34" t="n">
        <x:f>IF(L4=0,"",M4/L4)</x:f>
        <x:v>0.3581490713949692</x:v>
      </x:c>
    </x:row>
    <x:row r="5" ht="18" customHeight="1">
      <x:c r="A5" s="24" t="str">
        <x:v>Large flatfishes (&gt;=90 cm)</x:v>
      </x:c>
      <x:c r="B5" s="33" t="n">
        <x:v>1</x:v>
      </x:c>
      <x:c r="C5" s="33" t="n">
        <x:v>1</x:v>
      </x:c>
      <x:c r="D5" s="31" t="n">
        <x:v>0.0592103833</x:v>
      </x:c>
      <x:c r="E5" s="31" t="n">
        <x:v>0.0592103833</x:v>
      </x:c>
      <x:c r="F5" s="32" t="n">
        <x:v>0</x:v>
      </x:c>
      <x:c r="G5" s="34" t="n">
        <x:v>1</x:v>
      </x:c>
      <x:c r="H5" s="32" t="n">
        <x:f>IF(E5=0,"",I5/E5)</x:f>
        <x:v>181.97008586099827</x:v>
      </x:c>
      <x:c r="I5" s="31" t="n">
        <x:f>IF(C5=0,"",SUMIF('Species'!$G$2:$G$63,A5,'Species'!$U$2:$U$63))</x:f>
        <x:v>10.774518532963619</x:v>
      </x:c>
      <x:c r="J5" s="32" t="n">
        <x:v>3.26</x:v>
      </x:c>
      <x:c r="K5" s="32" t="n">
        <x:f>IF(J5="","",(1/'Metadata'!$B$5)^(J5-1))</x:f>
        <x:v>181.97008586099827</x:v>
      </x:c>
      <x:c r="L5" s="31" t="n">
        <x:f>IF(E5=0,"",E5*K5)</x:f>
        <x:v>10.774518532963619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rays (&gt;=90 cm)</x:v>
      </x:c>
      <x:c r="B6" s="33" t="n">
        <x:v>2</x:v>
      </x:c>
      <x:c r="C6" s="33" t="n">
        <x:v>2</x:v>
      </x:c>
      <x:c r="D6" s="31" t="n">
        <x:v>1.5415751947</x:v>
      </x:c>
      <x:c r="E6" s="31" t="n">
        <x:v>1.5415751947</x:v>
      </x:c>
      <x:c r="F6" s="32" t="n">
        <x:v>0</x:v>
      </x:c>
      <x:c r="G6" s="34" t="n">
        <x:v>1</x:v>
      </x:c>
      <x:c r="H6" s="32" t="n">
        <x:f>IF(E6=0,"",I6/E6)</x:f>
        <x:v>440.90463850093937</x:v>
      </x:c>
      <x:c r="I6" s="31" t="n">
        <x:f>IF(C6=0,"",SUMIF('Species'!$G$2:$G$63,A6,'Species'!$U$2:$U$63))</x:f>
        <x:v>679.6876539412187</x:v>
      </x:c>
      <x:c r="J6" s="32" t="n">
        <x:v>3.637792142590448</x:v>
      </x:c>
      <x:c r="K6" s="32" t="n">
        <x:f>IF(J6="","",(1/'Metadata'!$B$5)^(J6-1))</x:f>
        <x:v>434.3023132637712</x:v>
      </x:c>
      <x:c r="L6" s="31" t="n">
        <x:f>IF(E6=0,"",E6*K6)</x:f>
        <x:v>669.5096731282586</x:v>
      </x:c>
      <x:c r="M6" s="31" t="n">
        <x:f>IF(E6=0,"",I6-L6)</x:f>
        <x:v>10.177980812960186</x:v>
      </x:c>
      <x:c r="N6" s="32" t="n">
        <x:f>IF(L6=0,"",I6/L6)</x:f>
        <x:v>1.0152021415395</x:v>
      </x:c>
      <x:c r="O6" s="34" t="n">
        <x:f>IF(L6=0,"",M6/L6)</x:f>
        <x:v>0.01520214153950003</x:v>
      </x:c>
    </x:row>
    <x:row r="7" ht="18" customHeight="1">
      <x:c r="A7" s="24" t="str">
        <x:v>Large reef assoc. fish (&gt;=90 cm)</x:v>
      </x:c>
      <x:c r="B7" s="33" t="n">
        <x:v>1</x:v>
      </x:c>
      <x:c r="C7" s="33" t="n">
        <x:v>1</x:v>
      </x:c>
      <x:c r="D7" s="31" t="n">
        <x:v>44.1857756457</x:v>
      </x:c>
      <x:c r="E7" s="31" t="n">
        <x:v>44.1857756457</x:v>
      </x:c>
      <x:c r="F7" s="32" t="n">
        <x:v>0</x:v>
      </x:c>
      <x:c r="G7" s="34" t="n">
        <x:v>1</x:v>
      </x:c>
      <x:c r="H7" s="32" t="n">
        <x:f>IF(E7=0,"",I7/E7)</x:f>
        <x:v>616.5950018614822</x:v>
      </x:c>
      <x:c r="I7" s="31" t="n">
        <x:f>IF(C7=0,"",SUMIF('Species'!$G$2:$G$63,A7,'Species'!$U$2:$U$63))</x:f>
        <x:v>27244.72841651142</x:v>
      </x:c>
      <x:c r="J7" s="32" t="n">
        <x:v>3.7900000000000005</x:v>
      </x:c>
      <x:c r="K7" s="32" t="n">
        <x:f>IF(J7="","",(1/'Metadata'!$B$5)^(J7-1))</x:f>
        <x:v>616.5950018614828</x:v>
      </x:c>
      <x:c r="L7" s="31" t="n">
        <x:f>IF(E7=0,"",E7*K7)</x:f>
        <x:v>27244.728416511454</x:v>
      </x:c>
      <x:c r="M7" s="31" t="n">
        <x:f>IF(E7=0,"",I7-L7)</x:f>
        <x:v>-3.2741809263825417e-11</x:v>
      </x:c>
      <x:c r="N7" s="32" t="n">
        <x:f>IF(L7=0,"",I7/L7)</x:f>
        <x:v>0.9999999999999988</x:v>
      </x:c>
      <x:c r="O7" s="34" t="n">
        <x:f>IF(L7=0,"",M7/L7)</x:f>
        <x:v>-1.2017667698233506e-15</x:v>
      </x:c>
    </x:row>
    <x:row r="8" ht="18" customHeight="1">
      <x:c r="A8" s="24" t="str">
        <x:v>Lobsters, crabs</x:v>
      </x:c>
      <x:c r="B8" s="33" t="n">
        <x:v>3</x:v>
      </x:c>
      <x:c r="C8" s="33" t="n">
        <x:v>3</x:v>
      </x:c>
      <x:c r="D8" s="31" t="n">
        <x:v>1474.1793658769</x:v>
      </x:c>
      <x:c r="E8" s="31" t="n">
        <x:v>1474.1793658769</x:v>
      </x:c>
      <x:c r="F8" s="32" t="n">
        <x:v>0</x:v>
      </x:c>
      <x:c r="G8" s="34" t="n">
        <x:v>1</x:v>
      </x:c>
      <x:c r="H8" s="32" t="n">
        <x:f>IF(E8=0,"",I8/E8)</x:f>
        <x:v>335.20877685498544</x:v>
      </x:c>
      <x:c r="I8" s="31" t="n">
        <x:f>IF(C8=0,"",SUMIF('Species'!$G$2:$G$63,A8,'Species'!$U$2:$U$63))</x:f>
        <x:v>494157.8621004537</x:v>
      </x:c>
      <x:c r="J8" s="32" t="n">
        <x:v>3.5047212255003326</x:v>
      </x:c>
      <x:c r="K8" s="32" t="n">
        <x:f>IF(J8="","",(1/'Metadata'!$B$5)^(J8-1))</x:f>
        <x:v>319.6842391392015</x:v>
      </x:c>
      <x:c r="L8" s="31" t="n">
        <x:f>IF(E8=0,"",E8*K8)</x:f>
        <x:v>471271.9089350673</x:v>
      </x:c>
      <x:c r="M8" s="31" t="n">
        <x:f>IF(E8=0,"",I8-L8)</x:f>
        <x:v>22885.953165386396</x:v>
      </x:c>
      <x:c r="N8" s="32" t="n">
        <x:f>IF(L8=0,"",I8/L8)</x:f>
        <x:v>1.0485620991437867</x:v>
      </x:c>
      <x:c r="O8" s="34" t="n">
        <x:f>IF(L8=0,"",M8/L8)</x:f>
        <x:v>0.048562099143786785</x:v>
      </x:c>
    </x:row>
    <x:row r="9" ht="18" customHeight="1">
      <x:c r="A9" s="24" t="str">
        <x:v>Medium bathydemersals (30 - 89 cm)</x:v>
      </x:c>
      <x:c r="B9" s="33" t="n">
        <x:v>4</x:v>
      </x:c>
      <x:c r="C9" s="33" t="n">
        <x:v>4</x:v>
      </x:c>
      <x:c r="D9" s="31" t="n">
        <x:v>1.9846739612</x:v>
      </x:c>
      <x:c r="E9" s="31" t="n">
        <x:v>1.9846739612</x:v>
      </x:c>
      <x:c r="F9" s="32" t="n">
        <x:v>0</x:v>
      </x:c>
      <x:c r="G9" s="34" t="n">
        <x:v>1</x:v>
      </x:c>
      <x:c r="H9" s="32" t="n">
        <x:f>IF(E9=0,"",I9/E9)</x:f>
        <x:v>1624.5435673280303</x:v>
      </x:c>
      <x:c r="I9" s="31" t="n">
        <x:f>IF(C9=0,"",SUMIF('Species'!$G$2:$G$63,A9,'Species'!$U$2:$U$63))</x:f>
        <x:v>3224.1893169109007</x:v>
      </x:c>
      <x:c r="J9" s="32" t="n">
        <x:v>4.041846839276706</x:v>
      </x:c>
      <x:c r="K9" s="32" t="n">
        <x:f>IF(J9="","",(1/'Metadata'!$B$5)^(J9-1))</x:f>
        <x:v>1101.1509030146135</x:v>
      </x:c>
      <x:c r="L9" s="31" t="n">
        <x:f>IF(E9=0,"",E9*K9)</x:f>
        <x:v>2185.42552456497</x:v>
      </x:c>
      <x:c r="M9" s="31" t="n">
        <x:f>IF(E9=0,"",I9-L9)</x:f>
        <x:v>1038.7637923459306</x:v>
      </x:c>
      <x:c r="N9" s="32" t="n">
        <x:f>IF(L9=0,"",I9/L9)</x:f>
        <x:v>1.4753142034216455</x:v>
      </x:c>
      <x:c r="O9" s="34" t="n">
        <x:f>IF(L9=0,"",M9/L9)</x:f>
        <x:v>0.47531420342164554</x:v>
      </x:c>
    </x:row>
    <x:row r="10" ht="18" customHeight="1">
      <x:c r="A10" s="24" t="str">
        <x:v>Medium bathypelagics (30 - 89 cm)</x:v>
      </x:c>
      <x:c r="B10" s="33" t="n">
        <x:v>1</x:v>
      </x:c>
      <x:c r="C10" s="33" t="n">
        <x:v>1</x:v>
      </x:c>
      <x:c r="D10" s="31" t="n">
        <x:v>3322.1341338069997</x:v>
      </x:c>
      <x:c r="E10" s="31" t="n">
        <x:v>3322.1341338069997</x:v>
      </x:c>
      <x:c r="F10" s="32" t="n">
        <x:v>0</x:v>
      </x:c>
      <x:c r="G10" s="34" t="n">
        <x:v>1</x:v>
      </x:c>
      <x:c r="H10" s="32" t="n">
        <x:f>IF(E10=0,"",I10/E10)</x:f>
        <x:v>446.683592150963</x:v>
      </x:c>
      <x:c r="I10" s="31" t="n">
        <x:f>IF(C10=0,"",SUMIF('Species'!$G$2:$G$63,A10,'Species'!$U$2:$U$63))</x:f>
        <x:v>1483942.8084962387</x:v>
      </x:c>
      <x:c r="J10" s="32" t="n">
        <x:v>3.65</x:v>
      </x:c>
      <x:c r="K10" s="32" t="n">
        <x:f>IF(J10="","",(1/'Metadata'!$B$5)^(J10-1))</x:f>
        <x:v>446.683592150963</x:v>
      </x:c>
      <x:c r="L10" s="31" t="n">
        <x:f>IF(E10=0,"",E10*K10)</x:f>
        <x:v>1483942.8084962387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Medium benthopelagics (30 - 89 cm)</x:v>
      </x:c>
      <x:c r="B11" s="33" t="n">
        <x:v>9</x:v>
      </x:c>
      <x:c r="C11" s="33" t="n">
        <x:v>9</x:v>
      </x:c>
      <x:c r="D11" s="31" t="n">
        <x:v>1304.0747746595002</x:v>
      </x:c>
      <x:c r="E11" s="31" t="n">
        <x:v>1304.0747746595002</x:v>
      </x:c>
      <x:c r="F11" s="32" t="n">
        <x:v>0</x:v>
      </x:c>
      <x:c r="G11" s="34" t="n">
        <x:v>1</x:v>
      </x:c>
      <x:c r="H11" s="32" t="n">
        <x:f>IF(E11=0,"",I11/E11)</x:f>
        <x:v>1136.010448112292</x:v>
      </x:c>
      <x:c r="I11" s="31" t="n">
        <x:f>IF(C11=0,"",SUMIF('Species'!$G$2:$G$63,A11,'Species'!$U$2:$U$63))</x:f>
        <x:v>1481442.569132875</x:v>
      </x:c>
      <x:c r="J11" s="32" t="n">
        <x:v>4.0496405540198825</x:v>
      </x:c>
      <x:c r="K11" s="32" t="n">
        <x:f>IF(J11="","",(1/'Metadata'!$B$5)^(J11-1))</x:f>
        <x:v>1121.0901943604956</x:v>
      </x:c>
      <x:c r="L11" s="31" t="n">
        <x:f>IF(E11=0,"",E11*K11)</x:f>
        <x:v>1461985.4425836387</x:v>
      </x:c>
      <x:c r="M11" s="31" t="n">
        <x:f>IF(E11=0,"",I11-L11)</x:f>
        <x:v>19457.126549236244</x:v>
      </x:c>
      <x:c r="N11" s="32" t="n">
        <x:f>IF(L11=0,"",I11/L11)</x:f>
        <x:v>1.0133087006084351</x:v>
      </x:c>
      <x:c r="O11" s="34" t="n">
        <x:f>IF(L11=0,"",M11/L11)</x:f>
        <x:v>0.013308700608435177</x:v>
      </x:c>
    </x:row>
    <x:row r="12" ht="18" customHeight="1">
      <x:c r="A12" s="24" t="str">
        <x:v>Medium demersals (30 - 89 cm)</x:v>
      </x:c>
      <x:c r="B12" s="33" t="n">
        <x:v>9</x:v>
      </x:c>
      <x:c r="C12" s="33" t="n">
        <x:v>9</x:v>
      </x:c>
      <x:c r="D12" s="31" t="n">
        <x:v>64812.5625648365</x:v>
      </x:c>
      <x:c r="E12" s="31" t="n">
        <x:v>64812.5625648365</x:v>
      </x:c>
      <x:c r="F12" s="32" t="n">
        <x:v>0</x:v>
      </x:c>
      <x:c r="G12" s="34" t="n">
        <x:v>1</x:v>
      </x:c>
      <x:c r="H12" s="32" t="n">
        <x:f>IF(E12=0,"",I12/E12)</x:f>
        <x:v>468.58652866964036</x:v>
      </x:c>
      <x:c r="I12" s="31" t="n">
        <x:f>IF(C12=0,"",SUMIF('Species'!$G$2:$G$63,A12,'Species'!$U$2:$U$63))</x:f>
        <x:v>30370293.70644062</x:v>
      </x:c>
      <x:c r="J12" s="32" t="n">
        <x:v>3.517248582311828</x:v>
      </x:c>
      <x:c r="K12" s="32" t="n">
        <x:f>IF(J12="","",(1/'Metadata'!$B$5)^(J12-1))</x:f>
        <x:v>329.03991348534043</x:v>
      </x:c>
      <x:c r="L12" s="31" t="n">
        <x:f>IF(E12=0,"",E12*K12)</x:f>
        <x:v>21325919.979097016</x:v>
      </x:c>
      <x:c r="M12" s="31" t="n">
        <x:f>IF(E12=0,"",I12-L12)</x:f>
        <x:v>9044373.727343604</x:v>
      </x:c>
      <x:c r="N12" s="32" t="n">
        <x:f>IF(L12=0,"",I12/L12)</x:f>
        <x:v>1.4241023944668558</x:v>
      </x:c>
      <x:c r="O12" s="34" t="n">
        <x:f>IF(L12=0,"",M12/L12)</x:f>
        <x:v>0.4241023944668558</x:v>
      </x:c>
    </x:row>
    <x:row r="13" ht="18" customHeight="1">
      <x:c r="A13" s="24" t="str">
        <x:v>Medium pelagics (30 - 89 cm)</x:v>
      </x:c>
      <x:c r="B13" s="33" t="n">
        <x:v>1</x:v>
      </x:c>
      <x:c r="C13" s="33" t="n">
        <x:v>1</x:v>
      </x:c>
      <x:c r="D13" s="31" t="n">
        <x:v>5060.165295037599</x:v>
      </x:c>
      <x:c r="E13" s="31" t="n">
        <x:v>5060.165295037599</x:v>
      </x:c>
      <x:c r="F13" s="32" t="n">
        <x:v>0</x:v>
      </x:c>
      <x:c r="G13" s="34" t="n">
        <x:v>1</x:v>
      </x:c>
      <x:c r="H13" s="32" t="n">
        <x:f>IF(E13=0,"",I13/E13)</x:f>
        <x:v>239.88329190194898</x:v>
      </x:c>
      <x:c r="I13" s="31" t="n">
        <x:f>IF(C13=0,"",SUMIF('Species'!$G$2:$G$63,A13,'Species'!$U$2:$U$63))</x:f>
        <x:v>1213849.1085416162</x:v>
      </x:c>
      <x:c r="J13" s="32" t="n">
        <x:v>3.3800000000000003</x:v>
      </x:c>
      <x:c r="K13" s="32" t="n">
        <x:f>IF(J13="","",(1/'Metadata'!$B$5)^(J13-1))</x:f>
        <x:v>239.88329190194924</x:v>
      </x:c>
      <x:c r="L13" s="31" t="n">
        <x:f>IF(E13=0,"",E13*K13)</x:f>
        <x:v>1213849.1085416174</x:v>
      </x:c>
      <x:c r="M13" s="31" t="n">
        <x:f>IF(E13=0,"",I13-L13)</x:f>
        <x:v>-1.1641532182693481e-9</x:v>
      </x:c>
      <x:c r="N13" s="32" t="n">
        <x:f>IF(L13=0,"",I13/L13)</x:f>
        <x:v>0.999999999999999</x:v>
      </x:c>
      <x:c r="O13" s="34" t="n">
        <x:f>IF(L13=0,"",M13/L13)</x:f>
        <x:v>-9.590592521569863e-16</x:v>
      </x:c>
    </x:row>
    <x:row r="14" ht="18" customHeight="1">
      <x:c r="A14" s="24" t="str">
        <x:v>Other demersal invertebrates</x:v>
      </x:c>
      <x:c r="B14" s="33" t="n">
        <x:v>10</x:v>
      </x:c>
      <x:c r="C14" s="33" t="n">
        <x:v>10</x:v>
      </x:c>
      <x:c r="D14" s="31" t="n">
        <x:v>99.8351801308</x:v>
      </x:c>
      <x:c r="E14" s="31" t="n">
        <x:v>99.8351801308</x:v>
      </x:c>
      <x:c r="F14" s="32" t="n">
        <x:v>0</x:v>
      </x:c>
      <x:c r="G14" s="34" t="n">
        <x:v>1</x:v>
      </x:c>
      <x:c r="H14" s="32" t="n">
        <x:f>IF(E14=0,"",I14/E14)</x:f>
        <x:v>44.48315842852196</x:v>
      </x:c>
      <x:c r="I14" s="31" t="n">
        <x:f>IF(C14=0,"",SUMIF('Species'!$G$2:$G$63,A14,'Species'!$U$2:$U$63))</x:f>
        <x:v>4440.984134498404</x:v>
      </x:c>
      <x:c r="J14" s="32" t="n">
        <x:v>2.5422274534110687</x:v>
      </x:c>
      <x:c r="K14" s="32" t="n">
        <x:f>IF(J14="","",(1/'Metadata'!$B$5)^(J14-1))</x:f>
        <x:v>34.85197978101731</x:v>
      </x:c>
      <x:c r="L14" s="31" t="n">
        <x:f>IF(E14=0,"",E14*K14)</x:f>
        <x:v>3479.4536793528628</x:v>
      </x:c>
      <x:c r="M14" s="31" t="n">
        <x:f>IF(E14=0,"",I14-L14)</x:f>
        <x:v>961.5304551455415</x:v>
      </x:c>
      <x:c r="N14" s="32" t="n">
        <x:f>IF(L14=0,"",I14/L14)</x:f>
        <x:v>1.2763452380042533</x:v>
      </x:c>
      <x:c r="O14" s="34" t="n">
        <x:f>IF(L14=0,"",M14/L14)</x:f>
        <x:v>0.27634523800425326</x:v>
      </x:c>
    </x:row>
    <x:row r="15" ht="18" customHeight="1">
      <x:c r="A15" s="24" t="str">
        <x:v>Shrimps</x:v>
      </x:c>
      <x:c r="B15" s="33" t="n">
        <x:v>3</x:v>
      </x:c>
      <x:c r="C15" s="33" t="n">
        <x:v>3</x:v>
      </x:c>
      <x:c r="D15" s="31" t="n">
        <x:v>305.4861331711</x:v>
      </x:c>
      <x:c r="E15" s="31" t="n">
        <x:v>305.4861331711</x:v>
      </x:c>
      <x:c r="F15" s="32" t="n">
        <x:v>0</x:v>
      </x:c>
      <x:c r="G15" s="34" t="n">
        <x:v>1</x:v>
      </x:c>
      <x:c r="H15" s="32" t="n">
        <x:f>IF(E15=0,"",I15/E15)</x:f>
        <x:v>99.81468546620602</x:v>
      </x:c>
      <x:c r="I15" s="31" t="n">
        <x:f>IF(C15=0,"",SUMIF('Species'!$G$2:$G$63,A15,'Species'!$U$2:$U$63))</x:f>
        <x:v>30492.00229676087</x:v>
      </x:c>
      <x:c r="J15" s="32" t="n">
        <x:v>2.9729213555490785</x:v>
      </x:c>
      <x:c r="K15" s="32" t="n">
        <x:f>IF(J15="","",(1/'Metadata'!$B$5)^(J15-1))</x:f>
        <x:v>93.95531556679363</x:v>
      </x:c>
      <x:c r="L15" s="31" t="n">
        <x:f>IF(E15=0,"",E15*K15)</x:f>
        <x:v>28702.046043370243</x:v>
      </x:c>
      <x:c r="M15" s="31" t="n">
        <x:f>IF(E15=0,"",I15-L15)</x:f>
        <x:v>1789.9562533906283</x:v>
      </x:c>
      <x:c r="N15" s="32" t="n">
        <x:f>IF(L15=0,"",I15/L15)</x:f>
        <x:v>1.0623633677782383</x:v>
      </x:c>
      <x:c r="O15" s="34" t="n">
        <x:f>IF(L15=0,"",M15/L15)</x:f>
        <x:v>0.06236336777823831</x:v>
      </x:c>
    </x:row>
    <x:row r="16" ht="18" customHeight="1">
      <x:c r="A16" s="24" t="str">
        <x:v>Small pelagics (&lt;30 cm)</x:v>
      </x:c>
      <x:c r="B16" s="33" t="n">
        <x:v>1</x:v>
      </x:c>
      <x:c r="C16" s="33" t="n">
        <x:v>1</x:v>
      </x:c>
      <x:c r="D16" s="31" t="n">
        <x:v>1.2006817912</x:v>
      </x:c>
      <x:c r="E16" s="31" t="n">
        <x:v>1.2006817912</x:v>
      </x:c>
      <x:c r="F16" s="32" t="n">
        <x:v>0</x:v>
      </x:c>
      <x:c r="G16" s="34" t="n">
        <x:v>1</x:v>
      </x:c>
      <x:c r="H16" s="32" t="n">
        <x:f>IF(E16=0,"",I16/E16)</x:f>
        <x:v>141.2537544622754</x:v>
      </x:c>
      <x:c r="I16" s="31" t="n">
        <x:f>IF(C16=0,"",SUMIF('Species'!$G$2:$G$63,A16,'Species'!$U$2:$U$63))</x:f>
        <x:v>169.60081092148982</x:v>
      </x:c>
      <x:c r="J16" s="32" t="n">
        <x:v>3.15</x:v>
      </x:c>
      <x:c r="K16" s="32" t="n">
        <x:f>IF(J16="","",(1/'Metadata'!$B$5)^(J16-1))</x:f>
        <x:v>141.2537544622754</x:v>
      </x:c>
      <x:c r="L16" s="31" t="n">
        <x:f>IF(E16=0,"",E16*K16)</x:f>
        <x:v>169.60081092148982</x:v>
      </x:c>
      <x:c r="M16" s="31" t="n">
        <x:f>IF(E16=0,"",I16-L16)</x:f>
        <x:v>0</x:v>
      </x:c>
      <x:c r="N16" s="32" t="n">
        <x:f>IF(L16=0,"",I16/L16)</x:f>
        <x:v>1</x:v>
      </x:c>
      <x:c r="O16" s="34" t="n">
        <x:f>IF(L16=0,"",M16/L16)</x:f>
        <x:v>0</x:v>
      </x:c>
    </x:row>
    <x:row r="17" ht="18" customHeight="1">
      <x:c r="A17" s="24" t="str">
        <x:v>Small to medium flatfishes (&lt;90 cm)</x:v>
      </x:c>
      <x:c r="B17" s="33" t="n">
        <x:v>4</x:v>
      </x:c>
      <x:c r="C17" s="33" t="n">
        <x:v>4</x:v>
      </x:c>
      <x:c r="D17" s="31" t="n">
        <x:v>9487.9258499078</x:v>
      </x:c>
      <x:c r="E17" s="31" t="n">
        <x:v>9487.9258499078</x:v>
      </x:c>
      <x:c r="F17" s="32" t="n">
        <x:v>0</x:v>
      </x:c>
      <x:c r="G17" s="34" t="n">
        <x:v>1</x:v>
      </x:c>
      <x:c r="H17" s="32" t="n">
        <x:f>IF(E17=0,"",I17/E17)</x:f>
        <x:v>2318.240582069597</x:v>
      </x:c>
      <x:c r="I17" s="31" t="n">
        <x:f>IF(C17=0,"",SUMIF('Species'!$G$2:$G$63,A17,'Species'!$U$2:$U$63))</x:f>
        <x:v>21995294.744923435</x:v>
      </x:c>
      <x:c r="J17" s="32" t="n">
        <x:v>4.356119453544368</x:v>
      </x:c>
      <x:c r="K17" s="32" t="n">
        <x:f>IF(J17="","",(1/'Metadata'!$B$5)^(J17-1))</x:f>
        <x:v>2270.489268508424</x:v>
      </x:c>
      <x:c r="L17" s="31" t="n">
        <x:f>IF(E17=0,"",E17*K17)</x:f>
        <x:v>21542233.82261933</x:v>
      </x:c>
      <x:c r="M17" s="31" t="n">
        <x:f>IF(E17=0,"",I17-L17)</x:f>
        <x:v>453060.922304105</x:v>
      </x:c>
      <x:c r="N17" s="32" t="n">
        <x:f>IF(L17=0,"",I17/L17)</x:f>
        <x:v>1.0210312879358125</x:v>
      </x:c>
      <x:c r="O17" s="34" t="n">
        <x:f>IF(L17=0,"",M17/L17)</x:f>
        <x:v>0.021031287935812458</x:v>
      </x:c>
    </x:row>
  </x:sheetData>
  <x:conditionalFormatting sqref="G2:G17">
    <x:cfRule type="cellIs" dxfId="2" priority="1" operator="lessThan">
      <x:formula>0.9</x:formula>
    </x:cfRule>
  </x:conditionalFormatting>
  <x:conditionalFormatting sqref="O2:O1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faade2e04a34c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EEZ_744</x:v>
      </x:c>
      <x:c r="B2" s="24" t="str">
        <x:v>raw_filtered_tonnes</x:v>
      </x:c>
      <x:c r="C2" s="24" t="n">
        <x:v>219891.4498277699</x:v>
      </x:c>
      <x:c r="D2" s="24" t="str">
        <x:v>tonnes</x:v>
      </x:c>
    </x:row>
    <x:row r="3" ht="18" customHeight="1">
      <x:c r="A3" s="24" t="str">
        <x:v>EEZ_744</x:v>
      </x:c>
      <x:c r="B3" s="24" t="str">
        <x:v>species_catch_tonnes</x:v>
      </x:c>
      <x:c r="C3" s="24" t="n">
        <x:v>219891.4498277699</x:v>
      </x:c>
      <x:c r="D3" s="24" t="str">
        <x:v>tonnes</x:v>
      </x:c>
    </x:row>
    <x:row r="4" ht="18" customHeight="1">
      <x:c r="A4" s="24" t="str">
        <x:v>EEZ_744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EEZ_744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EEZ_744</x:v>
      </x:c>
      <x:c r="B6" s="24" t="str">
        <x:v>matched_catch_tonnes</x:v>
      </x:c>
      <x:c r="C6" s="24" t="n">
        <x:v>219891.4498277699</x:v>
      </x:c>
      <x:c r="D6" s="24" t="str">
        <x:v>tonnes</x:v>
      </x:c>
    </x:row>
    <x:row r="7" ht="18" customHeight="1">
      <x:c r="A7" s="24" t="str">
        <x:v>EEZ_744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EEZ_744</x:v>
      </x:c>
      <x:c r="B8" s="24" t="str">
        <x:v>taxa_count</x:v>
      </x:c>
      <x:c r="C8" s="24" t="n">
        <x:v>62</x:v>
      </x:c>
      <x:c r="D8" s="24" t="str">
        <x:v>count</x:v>
      </x:c>
    </x:row>
    <x:row r="9" ht="18" customHeight="1">
      <x:c r="A9" s="24" t="str">
        <x:v>EEZ_744</x:v>
      </x:c>
      <x:c r="B9" s="24" t="str">
        <x:v>matched_taxa_count</x:v>
      </x:c>
      <x:c r="C9" s="24" t="n">
        <x:v>62</x:v>
      </x:c>
      <x:c r="D9" s="24" t="str">
        <x:v>count</x:v>
      </x:c>
    </x:row>
    <x:row r="10" ht="18" customHeight="1">
      <x:c r="A10" s="24" t="str">
        <x:v>EEZ_744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EEZ_744</x:v>
      </x:c>
      <x:c r="B11" s="24" t="str">
        <x:v>species_ppr</x:v>
      </x:c>
      <x:c r="C11" s="24" t="n">
        <x:v>218315950.64442787</x:v>
      </x:c>
      <x:c r="D11" s="24" t="str">
        <x:v>tonnes_primary_production_equivalent</x:v>
      </x:c>
    </x:row>
    <x:row r="12" ht="18" customHeight="1">
      <x:c r="A12" s="24" t="str">
        <x:v>EEZ_744</x:v>
      </x:c>
      <x:c r="B12" s="24" t="str">
        <x:v>commercial_ppr</x:v>
      </x:c>
      <x:c r="C12" s="24" t="n">
        <x:v>218315950.64442784</x:v>
      </x:c>
      <x:c r="D12" s="24" t="str">
        <x:v>tonnes_primary_production_equivalent</x:v>
      </x:c>
    </x:row>
    <x:row r="13" ht="18" customHeight="1">
      <x:c r="A13" s="24" t="str">
        <x:v>EEZ_744</x:v>
      </x:c>
      <x:c r="B13" s="24" t="str">
        <x:v>functional_ppr</x:v>
      </x:c>
      <x:c r="C13" s="24" t="n">
        <x:v>218315950.6444278</x:v>
      </x:c>
      <x:c r="D13" s="24" t="str">
        <x:v>tonnes_primary_production_equivalent</x:v>
      </x:c>
    </x:row>
    <x:row r="14" ht="18" customHeight="1">
      <x:c r="A14" s="24" t="str">
        <x:v>EEZ_744</x:v>
      </x:c>
      <x:c r="B14" s="24" t="str">
        <x:v>commercial_ppr_difference</x:v>
      </x:c>
      <x:c r="C14" s="24" t="n">
        <x:v>-2.9802322387695312e-8</x:v>
      </x:c>
      <x:c r="D14" s="24" t="str">
        <x:v>tonnes_primary_production_equivalent</x:v>
      </x:c>
    </x:row>
    <x:row r="15" ht="18" customHeight="1">
      <x:c r="A15" s="24" t="str">
        <x:v>EEZ_744</x:v>
      </x:c>
      <x:c r="B15" s="24" t="str">
        <x:v>functional_ppr_difference</x:v>
      </x:c>
      <x:c r="C15" s="24" t="n">
        <x:v>-5.960464477539063e-8</x:v>
      </x:c>
      <x:c r="D15" s="24" t="str">
        <x:v>tonnes_primary_production_equivalent</x:v>
      </x:c>
    </x:row>
    <x:row r="16" ht="18" customHeight="1">
      <x:c r="A16" s="24" t="str">
        <x:v>EEZ_744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EEZ_744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EEZ_744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EEZ_744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097f87680db4a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EEZ_744 - Svalbard Isl. (Norway)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EEZ_744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raw_data/SAU_downloads/EEZ_744-catch.zip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