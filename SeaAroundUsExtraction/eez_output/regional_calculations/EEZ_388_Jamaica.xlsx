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e94ce3e53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46944cca8ac4071"/>
    <x:sheet xmlns:r="http://schemas.openxmlformats.org/officeDocument/2006/relationships" name="Commercial" sheetId="2" r:id="R72308cea4bcf41ae"/>
    <x:sheet xmlns:r="http://schemas.openxmlformats.org/officeDocument/2006/relationships" name="Functional" sheetId="3" r:id="Rafe2b7161fd84926"/>
    <x:sheet xmlns:r="http://schemas.openxmlformats.org/officeDocument/2006/relationships" name="Missing TL" sheetId="4" r:id="Re3a96c9c0cc1456f"/>
    <x:sheet xmlns:r="http://schemas.openxmlformats.org/officeDocument/2006/relationships" name="Validation" sheetId="5" r:id="R394ff11215fb49e7"/>
    <x:sheet xmlns:r="http://schemas.openxmlformats.org/officeDocument/2006/relationships" name="Metadata" sheetId="6" r:id="R11a9a6614321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61d7359d145df" /><Relationship Type="http://schemas.openxmlformats.org/officeDocument/2006/relationships/theme" Target="/xl/theme/theme1.xml" Id="Ra97304fe54524e64" /><Relationship Type="http://schemas.microsoft.com/office/2022/11/relationships/FeaturePropertyBag" Target="/xl/featurePropertyBag/featurePropertyBag.xml" Id="Rcb2eab5e7a7b41c1" /><Relationship Type="http://schemas.openxmlformats.org/officeDocument/2006/relationships/sharedStrings" Target="/xl/sharedStrings.xml" Id="Rc8aa7279b8664ec2" /><Relationship Type="http://schemas.openxmlformats.org/officeDocument/2006/relationships/worksheet" Target="/xl/worksheets/sheet1.xml" Id="R846944cca8ac4071" /><Relationship Type="http://schemas.openxmlformats.org/officeDocument/2006/relationships/worksheet" Target="/xl/worksheets/sheet2.xml" Id="R72308cea4bcf41ae" /><Relationship Type="http://schemas.openxmlformats.org/officeDocument/2006/relationships/worksheet" Target="/xl/worksheets/sheet3.xml" Id="Rafe2b7161fd84926" /><Relationship Type="http://schemas.openxmlformats.org/officeDocument/2006/relationships/worksheet" Target="/xl/worksheets/sheet4.xml" Id="Re3a96c9c0cc1456f" /><Relationship Type="http://schemas.openxmlformats.org/officeDocument/2006/relationships/worksheet" Target="/xl/worksheets/sheet5.xml" Id="R394ff11215fb49e7" /><Relationship Type="http://schemas.openxmlformats.org/officeDocument/2006/relationships/worksheet" Target="/xl/worksheets/sheet6.xml" Id="R11a9a661432146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88SpeciesTable" displayName="EEZ388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88CommercialTable" displayName="EEZ38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88FunctionalTable" displayName="EEZ388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88ValidationTable" displayName="EEZ3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06b9b985d54e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6ec66a194b41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ce1e76d59649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9413a59fc746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EEZ_388</x:v>
      </x:c>
      <x:c r="B2" s="24" t="str">
        <x:v>Jamaica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5718.144030851</x:v>
      </x:c>
      <x:c r="J2" s="31" t="n">
        <x:v>5612.693931394</x:v>
      </x:c>
      <x:c r="K2" s="31" t="n">
        <x:v>105.45009945700001</x:v>
      </x:c>
      <x:c r="L2" s="31" t="n">
        <x:v>2603.324145574</x:v>
      </x:c>
      <x:c r="M2" s="31" t="n">
        <x:v>3114.819885277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1089569.8830442599</x:v>
      </x:c>
    </x:row>
    <x:row r="3" ht="18" customHeight="1">
      <x:c r="A3" s="24" t="str">
        <x:v>EEZ_388</x:v>
      </x:c>
      <x:c r="B3" s="24" t="str">
        <x:v>Jamaica</x:v>
      </x:c>
      <x:c r="C3" s="24" t="str">
        <x:v>EEZ</x:v>
      </x:c>
      <x:c r="D3" s="30" t="n">
        <x:v>2019</x:v>
      </x:c>
      <x:c r="E3" s="24" t="str">
        <x:v>Marine finfishes not identified</x:v>
      </x:c>
      <x:c r="F3" s="24" t="str">
        <x:v>Finfishes</x:v>
      </x:c>
      <x:c r="G3" s="24" t="str">
        <x:v>Medium demersals (30 - 89 cm)</x:v>
      </x:c>
      <x:c r="H3" s="24" t="str">
        <x:v>Other fishes &amp; inverts</x:v>
      </x:c>
      <x:c r="I3" s="31" t="n">
        <x:v>4147.3530810679995</x:v>
      </x:c>
      <x:c r="J3" s="31" t="n">
        <x:v>4097.79205402</x:v>
      </x:c>
      <x:c r="K3" s="31" t="n">
        <x:v>49.561027048</x:v>
      </x:c>
      <x:c r="L3" s="31" t="n">
        <x:v>1733.17258212</x:v>
      </x:c>
      <x:c r="M3" s="31" t="n">
        <x:v>2414.1804989479997</x:v>
      </x:c>
      <x:c r="N3" s="24" t="str">
        <x:v>marine finfishes not identified</x:v>
      </x:c>
      <x:c r="O3" s="32" t="n">
        <x:v>3.23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finfishes not identified</x:v>
      </x:c>
      <x:c r="T3" s="32" t="n">
        <x:f>IF(O3="","",(1/'Metadata'!$B$5)^(O3-1))</x:f>
        <x:v>169.82436524617444</x:v>
      </x:c>
      <x:c r="U3" s="31" t="n">
        <x:f>IF(T3="","",I3*T3)</x:f>
        <x:v>704321.6044441388</x:v>
      </x:c>
    </x:row>
    <x:row r="4" ht="18" customHeight="1">
      <x:c r="A4" s="24" t="str">
        <x:v>EEZ_388</x:v>
      </x:c>
      <x:c r="B4" s="24" t="str">
        <x:v>Jamaica</x:v>
      </x:c>
      <x:c r="C4" s="24" t="str">
        <x:v>EEZ</x:v>
      </x:c>
      <x:c r="D4" s="30" t="n">
        <x:v>2019</x:v>
      </x:c>
      <x:c r="E4" s="24" t="str">
        <x:v>Sphyraenidae</x:v>
      </x:c>
      <x:c r="F4" s="24" t="str">
        <x:v>Barracudas</x:v>
      </x:c>
      <x:c r="G4" s="24" t="str">
        <x:v>Medium reef assoc. fish (30 - 89 cm)</x:v>
      </x:c>
      <x:c r="H4" s="24" t="str">
        <x:v>Perch-likes</x:v>
      </x:c>
      <x:c r="I4" s="31" t="n">
        <x:v>3166.300779633</x:v>
      </x:c>
      <x:c r="J4" s="31" t="n">
        <x:v>3166.300779633</x:v>
      </x:c>
      <x:c r="K4" s="31" t="n">
        <x:v>0</x:v>
      </x:c>
      <x:c r="L4" s="31" t="n">
        <x:v>17.843456733</x:v>
      </x:c>
      <x:c r="M4" s="31" t="n">
        <x:v>3148.4573229000002</x:v>
      </x:c>
      <x:c r="N4" s="24" t="str">
        <x:v>sphyraenidae</x:v>
      </x:c>
      <x:c r="O4" s="32" t="n">
        <x:v>4.4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Sphyraenidae</x:v>
      </x:c>
      <x:c r="T4" s="32" t="n">
        <x:f>IF(O4="","",(1/'Metadata'!$B$5)^(O4-1))</x:f>
        <x:v>2511.886431509582</x:v>
      </x:c>
      <x:c r="U4" s="31" t="n">
        <x:f>IF(T4="","",I4*T4)</x:f>
        <x:v>7953387.966438344</x:v>
      </x:c>
    </x:row>
    <x:row r="5" ht="18" customHeight="1">
      <x:c r="A5" s="24" t="str">
        <x:v>EEZ_388</x:v>
      </x:c>
      <x:c r="B5" s="24" t="str">
        <x:v>Jamaica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1406.1687670000001</x:v>
      </x:c>
      <x:c r="J5" s="31" t="n">
        <x:v>1406.1687670000001</x:v>
      </x:c>
      <x:c r="K5" s="31" t="n">
        <x:v>0</x:v>
      </x:c>
      <x:c r="L5" s="31" t="n">
        <x:v>352.623268</x:v>
      </x:c>
      <x:c r="M5" s="31" t="n">
        <x:v>1053.545499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1342880.7471799043</x:v>
      </x:c>
    </x:row>
    <x:row r="6" ht="18" customHeight="1">
      <x:c r="A6" s="24" t="str">
        <x:v>EEZ_388</x:v>
      </x:c>
      <x:c r="B6" s="24" t="str">
        <x:v>Jamaica</x:v>
      </x:c>
      <x:c r="C6" s="24" t="str">
        <x:v>EEZ</x:v>
      </x:c>
      <x:c r="D6" s="30" t="n">
        <x:v>2019</x:v>
      </x:c>
      <x:c r="E6" s="24" t="str">
        <x:v>Sparisoma viride</x:v>
      </x:c>
      <x:c r="F6" s="24" t="str">
        <x:v>Stoplight parrotfish</x:v>
      </x:c>
      <x:c r="G6" s="24" t="str">
        <x:v>Medium reef assoc. fish (30 - 89 cm)</x:v>
      </x:c>
      <x:c r="H6" s="24" t="str">
        <x:v>Perch-likes</x:v>
      </x:c>
      <x:c r="I6" s="31" t="n">
        <x:v>1166.644203645</x:v>
      </x:c>
      <x:c r="J6" s="31" t="n">
        <x:v>1166.644203645</x:v>
      </x:c>
      <x:c r="K6" s="31" t="n">
        <x:v>0</x:v>
      </x:c>
      <x:c r="L6" s="31" t="n">
        <x:v>1166.644203645</x:v>
      </x:c>
      <x:c r="M6" s="31" t="n">
        <x:v>0</x:v>
      </x:c>
      <x:c r="N6" s="24" t="str">
        <x:v>sparisoma viride</x:v>
      </x:c>
      <x:c r="O6" s="32" t="n">
        <x:v>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Sparisoma viride</x:v>
      </x:c>
      <x:c r="T6" s="32" t="n">
        <x:f>IF(O6="","",(1/'Metadata'!$B$5)^(O6-1))</x:f>
        <x:v>10</x:v>
      </x:c>
      <x:c r="U6" s="31" t="n">
        <x:f>IF(T6="","",I6*T6)</x:f>
        <x:v>11666.44203645</x:v>
      </x:c>
    </x:row>
    <x:row r="7" ht="18" customHeight="1">
      <x:c r="A7" s="24" t="str">
        <x:v>EEZ_388</x:v>
      </x:c>
      <x:c r="B7" s="24" t="str">
        <x:v>Jamaica</x:v>
      </x:c>
      <x:c r="C7" s="24" t="str">
        <x:v>EEZ</x:v>
      </x:c>
      <x:c r="D7" s="30" t="n">
        <x:v>2019</x:v>
      </x:c>
      <x:c r="E7" s="24" t="str">
        <x:v>Holocentridae</x:v>
      </x:c>
      <x:c r="F7" s="24" t="str">
        <x:v>Squirrel-, soldierfishes</x:v>
      </x:c>
      <x:c r="G7" s="24" t="str">
        <x:v>Small reef assoc. fish (&lt;30 cm)</x:v>
      </x:c>
      <x:c r="H7" s="24" t="str">
        <x:v>Other fishes &amp; inverts</x:v>
      </x:c>
      <x:c r="I7" s="31" t="n">
        <x:v>1063.62521568</x:v>
      </x:c>
      <x:c r="J7" s="31" t="n">
        <x:v>1063.62521568</x:v>
      </x:c>
      <x:c r="K7" s="31" t="n">
        <x:v>0</x:v>
      </x:c>
      <x:c r="L7" s="31" t="n">
        <x:v>751.77574808</x:v>
      </x:c>
      <x:c r="M7" s="31" t="n">
        <x:v>311.8494676</x:v>
      </x:c>
      <x:c r="N7" s="24" t="str">
        <x:v>holocentridae</x:v>
      </x:c>
      <x:c r="O7" s="32" t="n">
        <x:v>3.49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Holocentridae</x:v>
      </x:c>
      <x:c r="T7" s="32" t="n">
        <x:f>IF(O7="","",(1/'Metadata'!$B$5)^(O7-1))</x:f>
        <x:v>309.0295432513592</x:v>
      </x:c>
      <x:c r="U7" s="31" t="n">
        <x:f>IF(T7="","",I7*T7)</x:f>
        <x:v>328691.61459221883</x:v>
      </x:c>
    </x:row>
    <x:row r="8" ht="18" customHeight="1">
      <x:c r="A8" s="24" t="str">
        <x:v>EEZ_388</x:v>
      </x:c>
      <x:c r="B8" s="24" t="str">
        <x:v>Jamaica</x:v>
      </x:c>
      <x:c r="C8" s="24" t="str">
        <x:v>EEZ</x:v>
      </x:c>
      <x:c r="D8" s="30" t="n">
        <x:v>2019</x:v>
      </x:c>
      <x:c r="E8" s="24" t="str">
        <x:v>Mullidae</x:v>
      </x:c>
      <x:c r="F8" s="24" t="str">
        <x:v>Goatfishes</x:v>
      </x:c>
      <x:c r="G8" s="24" t="str">
        <x:v>Medium reef assoc. fish (30 - 89 cm)</x:v>
      </x:c>
      <x:c r="H8" s="24" t="str">
        <x:v>Perch-likes</x:v>
      </x:c>
      <x:c r="I8" s="31" t="n">
        <x:v>982.90119951</x:v>
      </x:c>
      <x:c r="J8" s="31" t="n">
        <x:v>982.90119951</x:v>
      </x:c>
      <x:c r="K8" s="31" t="n">
        <x:v>0</x:v>
      </x:c>
      <x:c r="L8" s="31" t="n">
        <x:v>982.90119951</x:v>
      </x:c>
      <x:c r="M8" s="31" t="n">
        <x:v>0</x:v>
      </x:c>
      <x:c r="N8" s="24" t="str">
        <x:v>mullidae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Mullidae</x:v>
      </x:c>
      <x:c r="T8" s="32" t="n">
        <x:f>IF(O8="","",(1/'Metadata'!$B$5)^(O8-1))</x:f>
        <x:v>288.40315031266056</x:v>
      </x:c>
      <x:c r="U8" s="31" t="n">
        <x:f>IF(T8="","",I8*T8)</x:f>
        <x:v>283471.8023847769</x:v>
      </x:c>
    </x:row>
    <x:row r="9" ht="18" customHeight="1">
      <x:c r="A9" s="24" t="str">
        <x:v>EEZ_388</x:v>
      </x:c>
      <x:c r="B9" s="24" t="str">
        <x:v>Jamaica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923.4118354640001</x:v>
      </x:c>
      <x:c r="J9" s="31" t="n">
        <x:v>923.4118354640001</x:v>
      </x:c>
      <x:c r="K9" s="31" t="n">
        <x:v>0</x:v>
      </x:c>
      <x:c r="L9" s="31" t="n">
        <x:v>346.068902164</x:v>
      </x:c>
      <x:c r="M9" s="31" t="n">
        <x:v>577.3429333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966930.8945224335</x:v>
      </x:c>
    </x:row>
    <x:row r="10" ht="18" customHeight="1">
      <x:c r="A10" s="24" t="str">
        <x:v>EEZ_388</x:v>
      </x:c>
      <x:c r="B10" s="24" t="str">
        <x:v>Jamaica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846.9314795299999</x:v>
      </x:c>
      <x:c r="J10" s="31" t="n">
        <x:v>846.9314795299999</x:v>
      </x:c>
      <x:c r="K10" s="31" t="n">
        <x:v>0</x:v>
      </x:c>
      <x:c r="L10" s="31" t="n">
        <x:v>130.52054042999998</x:v>
      </x:c>
      <x:c r="M10" s="31" t="n">
        <x:v>716.4109391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950272.7495619251</x:v>
      </x:c>
    </x:row>
    <x:row r="11" ht="18" customHeight="1">
      <x:c r="A11" s="24" t="str">
        <x:v>EEZ_388</x:v>
      </x:c>
      <x:c r="B11" s="24" t="str">
        <x:v>Jamaica</x:v>
      </x:c>
      <x:c r="C11" s="24" t="str">
        <x:v>EEZ</x:v>
      </x:c>
      <x:c r="D11" s="30" t="n">
        <x:v>2019</x:v>
      </x:c>
      <x:c r="E11" s="24" t="str">
        <x:v>Opisthonema oglinum</x:v>
      </x:c>
      <x:c r="F11" s="24" t="str">
        <x:v>Atlantic thread herring</x:v>
      </x:c>
      <x:c r="G11" s="24" t="str">
        <x:v>Small pelagics (&lt;30 cm)</x:v>
      </x:c>
      <x:c r="H11" s="24" t="str">
        <x:v>Herring-likes</x:v>
      </x:c>
      <x:c r="I11" s="31" t="n">
        <x:v>706.12380589</x:v>
      </x:c>
      <x:c r="J11" s="31" t="n">
        <x:v>706.12380589</x:v>
      </x:c>
      <x:c r="K11" s="31" t="n">
        <x:v>0</x:v>
      </x:c>
      <x:c r="L11" s="31" t="n">
        <x:v>706.12380589</x:v>
      </x:c>
      <x:c r="M11" s="31" t="n">
        <x:v>0</x:v>
      </x:c>
      <x:c r="N11" s="24" t="str">
        <x:v>opisthonema oglinum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Opisthonema oglinum</x:v>
      </x:c>
      <x:c r="T11" s="32" t="n">
        <x:f>IF(O11="","",(1/'Metadata'!$B$5)^(O11-1))</x:f>
        <x:v>3162.2776601683795</x:v>
      </x:c>
      <x:c r="U11" s="31" t="n">
        <x:f>IF(T11="","",I11*T11)</x:f>
        <x:v>2232959.53667902</x:v>
      </x:c>
    </x:row>
    <x:row r="12" ht="18" customHeight="1">
      <x:c r="A12" s="24" t="str">
        <x:v>EEZ_388</x:v>
      </x:c>
      <x:c r="B12" s="24" t="str">
        <x:v>Jamaica</x:v>
      </x:c>
      <x:c r="C12" s="24" t="str">
        <x:v>EEZ</x:v>
      </x:c>
      <x:c r="D12" s="30" t="n">
        <x:v>2019</x:v>
      </x:c>
      <x:c r="E12" s="24" t="str">
        <x:v>Acanthurus</x:v>
      </x:c>
      <x:c r="F12" s="24" t="str">
        <x:v>Surgeonfishes</x:v>
      </x:c>
      <x:c r="G12" s="24" t="str">
        <x:v>Small reef assoc. fish (&lt;30 cm)</x:v>
      </x:c>
      <x:c r="H12" s="24" t="str">
        <x:v>Perch-likes</x:v>
      </x:c>
      <x:c r="I12" s="31" t="n">
        <x:v>668.2451094</x:v>
      </x:c>
      <x:c r="J12" s="31" t="n">
        <x:v>668.2451094</x:v>
      </x:c>
      <x:c r="K12" s="31" t="n">
        <x:v>0</x:v>
      </x:c>
      <x:c r="L12" s="31" t="n">
        <x:v>668.2451094</x:v>
      </x:c>
      <x:c r="M12" s="31" t="n">
        <x:v>0</x:v>
      </x:c>
      <x:c r="N12" s="24" t="str">
        <x:v>acanthurus</x:v>
      </x:c>
      <x:c r="O12" s="32" t="n">
        <x:v>2.03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Acanthurus</x:v>
      </x:c>
      <x:c r="T12" s="32" t="n">
        <x:f>IF(O12="","",(1/'Metadata'!$B$5)^(O12-1))</x:f>
        <x:v>10.71519305237606</x:v>
      </x:c>
      <x:c r="U12" s="31" t="n">
        <x:f>IF(T12="","",I12*T12)</x:f>
        <x:v>7160.375353527161</x:v>
      </x:c>
    </x:row>
    <x:row r="13" ht="18" customHeight="1">
      <x:c r="A13" s="24" t="str">
        <x:v>EEZ_388</x:v>
      </x:c>
      <x:c r="B13" s="24" t="str">
        <x:v>Jamaica</x:v>
      </x:c>
      <x:c r="C13" s="24" t="str">
        <x:v>EEZ</x:v>
      </x:c>
      <x:c r="D13" s="30" t="n">
        <x:v>2019</x:v>
      </x:c>
      <x:c r="E13" s="24" t="str">
        <x:v>Haemulidae</x:v>
      </x:c>
      <x:c r="F13" s="24" t="str">
        <x:v>Grunts, sweetlips, bonnetmouths</x:v>
      </x:c>
      <x:c r="G13" s="24" t="str">
        <x:v>Medium demersals (30 - 89 cm)</x:v>
      </x:c>
      <x:c r="H13" s="24" t="str">
        <x:v>Perch-likes</x:v>
      </x:c>
      <x:c r="I13" s="31" t="n">
        <x:v>626.0650792819999</x:v>
      </x:c>
      <x:c r="J13" s="31" t="n">
        <x:v>626.0650792819999</x:v>
      </x:c>
      <x:c r="K13" s="31" t="n">
        <x:v>0</x:v>
      </x:c>
      <x:c r="L13" s="31" t="n">
        <x:v>242.574517782</x:v>
      </x:c>
      <x:c r="M13" s="31" t="n">
        <x:v>383.4905615</x:v>
      </x:c>
      <x:c r="N13" s="24" t="str">
        <x:v>haemulidae</x:v>
      </x:c>
      <x:c r="O13" s="32" t="n">
        <x:v>3.36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Haemulidae</x:v>
      </x:c>
      <x:c r="T13" s="32" t="n">
        <x:f>IF(O13="","",(1/'Metadata'!$B$5)^(O13-1))</x:f>
        <x:v>229.08676527677724</x:v>
      </x:c>
      <x:c r="U13" s="31" t="n">
        <x:f>IF(T13="","",I13*T13)</x:f>
        <x:v>143423.22386546247</x:v>
      </x:c>
    </x:row>
    <x:row r="14" ht="18" customHeight="1">
      <x:c r="A14" s="24" t="str">
        <x:v>EEZ_388</x:v>
      </x:c>
      <x:c r="B14" s="24" t="str">
        <x:v>Jamaica</x:v>
      </x:c>
      <x:c r="C14" s="24" t="str">
        <x:v>EEZ</x:v>
      </x:c>
      <x:c r="D14" s="30" t="n">
        <x:v>2019</x:v>
      </x:c>
      <x:c r="E14" s="24" t="str">
        <x:v>Carcharhinidae</x:v>
      </x:c>
      <x:c r="F14" s="24" t="str">
        <x:v>Requiem sharks</x:v>
      </x:c>
      <x:c r="G14" s="24" t="str">
        <x:v>Large sharks (&gt;=90 cm)</x:v>
      </x:c>
      <x:c r="H14" s="24" t="str">
        <x:v>Sharks &amp; rays</x:v>
      </x:c>
      <x:c r="I14" s="31" t="n">
        <x:v>584.5070427</x:v>
      </x:c>
      <x:c r="J14" s="31" t="n">
        <x:v>584.5070427</x:v>
      </x:c>
      <x:c r="K14" s="31" t="n">
        <x:v>0</x:v>
      </x:c>
      <x:c r="L14" s="31" t="n">
        <x:v>0</x:v>
      </x:c>
      <x:c r="M14" s="31" t="n">
        <x:v>584.5070427</x:v>
      </x:c>
      <x:c r="N14" s="24" t="str">
        <x:v>carcharhinidae</x:v>
      </x:c>
      <x:c r="O14" s="32" t="n">
        <x:v>4.24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Carcharhinidae</x:v>
      </x:c>
      <x:c r="T14" s="32" t="n">
        <x:f>IF(O14="","",(1/'Metadata'!$B$5)^(O14-1))</x:f>
        <x:v>1737.8008287493763</x:v>
      </x:c>
      <x:c r="U14" s="31" t="n">
        <x:f>IF(T14="","",I14*T14)</x:f>
        <x:v>1015756.8232139072</x:v>
      </x:c>
    </x:row>
    <x:row r="15" ht="18" customHeight="1">
      <x:c r="A15" s="24" t="str">
        <x:v>EEZ_388</x:v>
      </x:c>
      <x:c r="B15" s="24" t="str">
        <x:v>Jamaica</x:v>
      </x:c>
      <x:c r="C15" s="24" t="str">
        <x:v>EEZ</x:v>
      </x:c>
      <x:c r="D15" s="30" t="n">
        <x:v>2019</x:v>
      </x:c>
      <x:c r="E15" s="24" t="str">
        <x:v>Pseudupeneus maculatus</x:v>
      </x:c>
      <x:c r="F15" s="24" t="str">
        <x:v>Spotted goatfish</x:v>
      </x:c>
      <x:c r="G15" s="24" t="str">
        <x:v>Medium reef assoc. fish (30 - 89 cm)</x:v>
      </x:c>
      <x:c r="H15" s="24" t="str">
        <x:v>Perch-likes</x:v>
      </x:c>
      <x:c r="I15" s="31" t="n">
        <x:v>580.986134181</x:v>
      </x:c>
      <x:c r="J15" s="31" t="n">
        <x:v>580.986134181</x:v>
      </x:c>
      <x:c r="K15" s="31" t="n">
        <x:v>0</x:v>
      </x:c>
      <x:c r="L15" s="31" t="n">
        <x:v>580.986134181</x:v>
      </x:c>
      <x:c r="M15" s="31" t="n">
        <x:v>0</x:v>
      </x:c>
      <x:c r="N15" s="24" t="str">
        <x:v>pseudupeneus maculatus</x:v>
      </x:c>
      <x:c r="O15" s="32" t="n">
        <x:v>3.65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Pseudupeneus maculatus</x:v>
      </x:c>
      <x:c r="T15" s="32" t="n">
        <x:f>IF(O15="","",(1/'Metadata'!$B$5)^(O15-1))</x:f>
        <x:v>446.683592150963</x:v>
      </x:c>
      <x:c r="U15" s="31" t="n">
        <x:f>IF(T15="","",I15*T15)</x:f>
        <x:v>259516.9734058705</x:v>
      </x:c>
    </x:row>
    <x:row r="16" ht="18" customHeight="1">
      <x:c r="A16" s="24" t="str">
        <x:v>EEZ_388</x:v>
      </x:c>
      <x:c r="B16" s="24" t="str">
        <x:v>Jamaica</x:v>
      </x:c>
      <x:c r="C16" s="24" t="str">
        <x:v>EEZ</x:v>
      </x:c>
      <x:c r="D16" s="30" t="n">
        <x:v>2019</x:v>
      </x:c>
      <x:c r="E16" s="24" t="str">
        <x:v>Epinephelus guttatus</x:v>
      </x:c>
      <x:c r="F16" s="24" t="str">
        <x:v>Red hind</x:v>
      </x:c>
      <x:c r="G16" s="24" t="str">
        <x:v>Medium reef assoc. fish (30 - 89 cm)</x:v>
      </x:c>
      <x:c r="H16" s="24" t="str">
        <x:v>Perch-likes</x:v>
      </x:c>
      <x:c r="I16" s="31" t="n">
        <x:v>256.05198086</x:v>
      </x:c>
      <x:c r="J16" s="31" t="n">
        <x:v>256.05198086</x:v>
      </x:c>
      <x:c r="K16" s="31" t="n">
        <x:v>0</x:v>
      </x:c>
      <x:c r="L16" s="31" t="n">
        <x:v>256.05198086</x:v>
      </x:c>
      <x:c r="M16" s="31" t="n">
        <x:v>0</x:v>
      </x:c>
      <x:c r="N16" s="24" t="str">
        <x:v>epinephelus guttatus</x:v>
      </x:c>
      <x:c r="O16" s="32" t="n">
        <x:v>3.84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guttatus</x:v>
      </x:c>
      <x:c r="T16" s="32" t="n">
        <x:f>IF(O16="","",(1/'Metadata'!$B$5)^(O16-1))</x:f>
        <x:v>691.8309709189363</x:v>
      </x:c>
      <x:c r="U16" s="31" t="n">
        <x:f>IF(T16="","",I16*T16)</x:f>
        <x:v>177144.6905240907</x:v>
      </x:c>
    </x:row>
    <x:row r="17" ht="18" customHeight="1">
      <x:c r="A17" s="24" t="str">
        <x:v>EEZ_388</x:v>
      </x:c>
      <x:c r="B17" s="24" t="str">
        <x:v>Jamaica</x:v>
      </x:c>
      <x:c r="C17" s="24" t="str">
        <x:v>EEZ</x:v>
      </x:c>
      <x:c r="D17" s="30" t="n">
        <x:v>2019</x:v>
      </x:c>
      <x:c r="E17" s="24" t="str">
        <x:v>Haemulon plumierii</x:v>
      </x:c>
      <x:c r="F17" s="24" t="str">
        <x:v>White grunt</x:v>
      </x:c>
      <x:c r="G17" s="24" t="str">
        <x:v>Medium reef assoc. fish (30 - 89 cm)</x:v>
      </x:c>
      <x:c r="H17" s="24" t="str">
        <x:v>Perch-likes</x:v>
      </x:c>
      <x:c r="I17" s="31" t="n">
        <x:v>246.446859006</x:v>
      </x:c>
      <x:c r="J17" s="31" t="n">
        <x:v>246.446859006</x:v>
      </x:c>
      <x:c r="K17" s="31" t="n">
        <x:v>0</x:v>
      </x:c>
      <x:c r="L17" s="31" t="n">
        <x:v>246.446859006</x:v>
      </x:c>
      <x:c r="M17" s="31" t="n">
        <x:v>0</x:v>
      </x:c>
      <x:c r="N17" s="24" t="str">
        <x:v>haemulon plumierii</x:v>
      </x:c>
      <x:c r="O17" s="32" t="n">
        <x:v>3.82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Haemulon plumierii</x:v>
      </x:c>
      <x:c r="T17" s="32" t="n">
        <x:f>IF(O17="","",(1/'Metadata'!$B$5)^(O17-1))</x:f>
        <x:v>660.6934480075957</x:v>
      </x:c>
      <x:c r="U17" s="31" t="n">
        <x:f>IF(T17="","",I17*T17)</x:f>
        <x:v>162825.82502731594</x:v>
      </x:c>
    </x:row>
    <x:row r="18" ht="18" customHeight="1">
      <x:c r="A18" s="24" t="str">
        <x:v>EEZ_388</x:v>
      </x:c>
      <x:c r="B18" s="24" t="str">
        <x:v>Jamaica</x:v>
      </x:c>
      <x:c r="C18" s="24" t="str">
        <x:v>EEZ</x:v>
      </x:c>
      <x:c r="D18" s="30" t="n">
        <x:v>2019</x:v>
      </x:c>
      <x:c r="E18" s="24" t="str">
        <x:v>Ocyurus chrysurus</x:v>
      </x:c>
      <x:c r="F18" s="24" t="str">
        <x:v>Yellowtail snapper</x:v>
      </x:c>
      <x:c r="G18" s="24" t="str">
        <x:v>Medium reef assoc. fish (30 - 89 cm)</x:v>
      </x:c>
      <x:c r="H18" s="24" t="str">
        <x:v>Perch-likes</x:v>
      </x:c>
      <x:c r="I18" s="31" t="n">
        <x:v>231.070534978</x:v>
      </x:c>
      <x:c r="J18" s="31" t="n">
        <x:v>231.070534978</x:v>
      </x:c>
      <x:c r="K18" s="31" t="n">
        <x:v>0</x:v>
      </x:c>
      <x:c r="L18" s="31" t="n">
        <x:v>231.070534978</x:v>
      </x:c>
      <x:c r="M18" s="31" t="n">
        <x:v>0</x:v>
      </x:c>
      <x:c r="N18" s="24" t="str">
        <x:v>ocyurus chrysurus</x:v>
      </x:c>
      <x:c r="O18" s="32" t="n">
        <x:v>4.03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Ocyurus chrysurus</x:v>
      </x:c>
      <x:c r="T18" s="32" t="n">
        <x:f>IF(O18="","",(1/'Metadata'!$B$5)^(O18-1))</x:f>
        <x:v>1071.519305237607</x:v>
      </x:c>
      <x:c r="U18" s="31" t="n">
        <x:f>IF(T18="","",I18*T18)</x:f>
        <x:v>247596.53910050876</x:v>
      </x:c>
    </x:row>
    <x:row r="19" ht="18" customHeight="1">
      <x:c r="A19" s="24" t="str">
        <x:v>EEZ_388</x:v>
      </x:c>
      <x:c r="B19" s="24" t="str">
        <x:v>Jamaica</x:v>
      </x:c>
      <x:c r="C19" s="24" t="str">
        <x:v>EEZ</x:v>
      </x:c>
      <x:c r="D19" s="30" t="n">
        <x:v>2019</x:v>
      </x:c>
      <x:c r="E19" s="24" t="str">
        <x:v>Panulirus argus</x:v>
      </x:c>
      <x:c r="F19" s="24" t="str">
        <x:v>Caribbean spiny lobster</x:v>
      </x:c>
      <x:c r="G19" s="24" t="str">
        <x:v>Lobsters, crabs</x:v>
      </x:c>
      <x:c r="H19" s="24" t="str">
        <x:v>Crustaceans</x:v>
      </x:c>
      <x:c r="I19" s="31" t="n">
        <x:v>229</x:v>
      </x:c>
      <x:c r="J19" s="31" t="n">
        <x:v>229</x:v>
      </x:c>
      <x:c r="K19" s="31" t="n">
        <x:v>0</x:v>
      </x:c>
      <x:c r="L19" s="31" t="n">
        <x:v>229</x:v>
      </x:c>
      <x:c r="M19" s="31" t="n">
        <x:v>0</x:v>
      </x:c>
      <x:c r="N19" s="24" t="str">
        <x:v>panulirus argus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argus</x:v>
      </x:c>
      <x:c r="T19" s="32" t="n">
        <x:f>IF(O19="","",(1/'Metadata'!$B$5)^(O19-1))</x:f>
        <x:v>158.48931924611142</x:v>
      </x:c>
      <x:c r="U19" s="31" t="n">
        <x:f>IF(T19="","",I19*T19)</x:f>
        <x:v>36294.054107359516</x:v>
      </x:c>
    </x:row>
    <x:row r="20" ht="18" customHeight="1">
      <x:c r="A20" s="24" t="str">
        <x:v>EEZ_388</x:v>
      </x:c>
      <x:c r="B20" s="24" t="str">
        <x:v>Jamaica</x:v>
      </x:c>
      <x:c r="C20" s="24" t="str">
        <x:v>EEZ</x:v>
      </x:c>
      <x:c r="D20" s="30" t="n">
        <x:v>2019</x:v>
      </x:c>
      <x:c r="E20" s="24" t="str">
        <x:v>Haemulon</x:v>
      </x:c>
      <x:c r="F20" s="24" t="str">
        <x:v>Grunts</x:v>
      </x:c>
      <x:c r="G20" s="24" t="str">
        <x:v>Small reef assoc. fish (&lt;30 cm)</x:v>
      </x:c>
      <x:c r="H20" s="24" t="str">
        <x:v>Perch-likes</x:v>
      </x:c>
      <x:c r="I20" s="31" t="n">
        <x:v>142.446837732</x:v>
      </x:c>
      <x:c r="J20" s="31" t="n">
        <x:v>142.446837732</x:v>
      </x:c>
      <x:c r="K20" s="31" t="n">
        <x:v>0</x:v>
      </x:c>
      <x:c r="L20" s="31" t="n">
        <x:v>142.446837732</x:v>
      </x:c>
      <x:c r="M20" s="31" t="n">
        <x:v>0</x:v>
      </x:c>
      <x:c r="N20" s="24" t="str">
        <x:v>haemulon</x:v>
      </x:c>
      <x:c r="O20" s="32" t="n">
        <x:v>3.25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Haemulon</x:v>
      </x:c>
      <x:c r="T20" s="32" t="n">
        <x:f>IF(O20="","",(1/'Metadata'!$B$5)^(O20-1))</x:f>
        <x:v>177.82794100389228</x:v>
      </x:c>
      <x:c r="U20" s="31" t="n">
        <x:f>IF(T20="","",I20*T20)</x:f>
        <x:v>25331.027856397115</x:v>
      </x:c>
    </x:row>
    <x:row r="21" ht="18" customHeight="1">
      <x:c r="A21" s="24" t="str">
        <x:v>EEZ_388</x:v>
      </x:c>
      <x:c r="B21" s="24" t="str">
        <x:v>Jamaica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141.56151765</x:v>
      </x:c>
      <x:c r="J21" s="31" t="n">
        <x:v>141.56151765</x:v>
      </x:c>
      <x:c r="K21" s="31" t="n">
        <x:v>0</x:v>
      </x:c>
      <x:c r="L21" s="31" t="n">
        <x:v>53.06369576</x:v>
      </x:c>
      <x:c r="M21" s="31" t="n">
        <x:v>88.49782189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257599.6152138372</x:v>
      </x:c>
    </x:row>
    <x:row r="22" ht="18" customHeight="1">
      <x:c r="A22" s="24" t="str">
        <x:v>EEZ_388</x:v>
      </x:c>
      <x:c r="B22" s="24" t="str">
        <x:v>Jamaica</x:v>
      </x:c>
      <x:c r="C22" s="24" t="str">
        <x:v>EEZ</x:v>
      </x:c>
      <x:c r="D22" s="30" t="n">
        <x:v>2019</x:v>
      </x:c>
      <x:c r="E22" s="24" t="str">
        <x:v>Calamus</x:v>
      </x:c>
      <x:c r="F22" s="24" t="str">
        <x:v>Porgies</x:v>
      </x:c>
      <x:c r="G22" s="24" t="str">
        <x:v>Medium reef assoc. fish (30 - 89 cm)</x:v>
      </x:c>
      <x:c r="H22" s="24" t="str">
        <x:v>Perch-likes</x:v>
      </x:c>
      <x:c r="I22" s="31" t="n">
        <x:v>110.108760719</x:v>
      </x:c>
      <x:c r="J22" s="31" t="n">
        <x:v>110.108760719</x:v>
      </x:c>
      <x:c r="K22" s="31" t="n">
        <x:v>0</x:v>
      </x:c>
      <x:c r="L22" s="31" t="n">
        <x:v>110.108760719</x:v>
      </x:c>
      <x:c r="M22" s="31" t="n">
        <x:v>0</x:v>
      </x:c>
      <x:c r="N22" s="24" t="str">
        <x:v>calamus</x:v>
      </x:c>
      <x:c r="O22" s="32" t="n">
        <x:v>3.51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Calamus</x:v>
      </x:c>
      <x:c r="T22" s="32" t="n">
        <x:f>IF(O22="","",(1/'Metadata'!$B$5)^(O22-1))</x:f>
        <x:v>323.5936569296281</x:v>
      </x:c>
      <x:c r="U22" s="31" t="n">
        <x:f>IF(T22="","",I22*T22)</x:f>
        <x:v>35630.4965410506</x:v>
      </x:c>
    </x:row>
    <x:row r="23" ht="18" customHeight="1">
      <x:c r="A23" s="24" t="str">
        <x:v>EEZ_388</x:v>
      </x:c>
      <x:c r="B23" s="24" t="str">
        <x:v>Jamaica</x:v>
      </x:c>
      <x:c r="C23" s="24" t="str">
        <x:v>EEZ</x:v>
      </x:c>
      <x:c r="D23" s="30" t="n">
        <x:v>2019</x:v>
      </x:c>
      <x:c r="E23" s="24" t="str">
        <x:v>Caranx latus</x:v>
      </x:c>
      <x:c r="F23" s="24" t="str">
        <x:v>Horse-eye jack</x:v>
      </x:c>
      <x:c r="G23" s="24" t="str">
        <x:v>Large reef assoc. fish (&gt;=90 cm)</x:v>
      </x:c>
      <x:c r="H23" s="24" t="str">
        <x:v>Perch-likes</x:v>
      </x:c>
      <x:c r="I23" s="31" t="n">
        <x:v>97.123217913</x:v>
      </x:c>
      <x:c r="J23" s="31" t="n">
        <x:v>97.123217913</x:v>
      </x:c>
      <x:c r="K23" s="31" t="n">
        <x:v>0</x:v>
      </x:c>
      <x:c r="L23" s="31" t="n">
        <x:v>97.123217913</x:v>
      </x:c>
      <x:c r="M23" s="31" t="n">
        <x:v>0</x:v>
      </x:c>
      <x:c r="N23" s="24" t="str">
        <x:v>caranx latus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latus</x:v>
      </x:c>
      <x:c r="T23" s="32" t="n">
        <x:f>IF(O23="","",(1/'Metadata'!$B$5)^(O23-1))</x:f>
        <x:v>1445.439770745928</x:v>
      </x:c>
      <x:c r="U23" s="31" t="n">
        <x:f>IF(T23="","",I23*T23)</x:f>
        <x:v>140385.76183427352</x:v>
      </x:c>
    </x:row>
    <x:row r="24" ht="18" customHeight="1">
      <x:c r="A24" s="24" t="str">
        <x:v>EEZ_388</x:v>
      </x:c>
      <x:c r="B24" s="24" t="str">
        <x:v>Jamaica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89.805021348</x:v>
      </x:c>
      <x:c r="J24" s="31" t="n">
        <x:v>89.805021348</x:v>
      </x:c>
      <x:c r="K24" s="31" t="n">
        <x:v>0</x:v>
      </x:c>
      <x:c r="L24" s="31" t="n">
        <x:v>89.805021348</x:v>
      </x:c>
      <x:c r="M24" s="31" t="n">
        <x:v>0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121143.64046880303</x:v>
      </x:c>
    </x:row>
    <x:row r="25" ht="18" customHeight="1">
      <x:c r="A25" s="24" t="str">
        <x:v>EEZ_388</x:v>
      </x:c>
      <x:c r="B25" s="24" t="str">
        <x:v>Jamaica</x:v>
      </x:c>
      <x:c r="C25" s="24" t="str">
        <x:v>EEZ</x:v>
      </x:c>
      <x:c r="D25" s="30" t="n">
        <x:v>2019</x:v>
      </x:c>
      <x:c r="E25" s="24" t="str">
        <x:v>Muraenidae</x:v>
      </x:c>
      <x:c r="F25" s="24" t="str">
        <x:v>Moray eels</x:v>
      </x:c>
      <x:c r="G25" s="24" t="str">
        <x:v>Large reef assoc. fish (&gt;=90 cm)</x:v>
      </x:c>
      <x:c r="H25" s="24" t="str">
        <x:v>Other fishes &amp; inverts</x:v>
      </x:c>
      <x:c r="I25" s="31" t="n">
        <x:v>75.85527591</x:v>
      </x:c>
      <x:c r="J25" s="31" t="n">
        <x:v>75.85527591</x:v>
      </x:c>
      <x:c r="K25" s="31" t="n">
        <x:v>0</x:v>
      </x:c>
      <x:c r="L25" s="31" t="n">
        <x:v>0</x:v>
      </x:c>
      <x:c r="M25" s="31" t="n">
        <x:v>75.85527591</x:v>
      </x:c>
      <x:c r="N25" s="24" t="str">
        <x:v>muraenidae</x:v>
      </x:c>
      <x:c r="O25" s="32" t="n">
        <x:v>4.07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Muraenidae</x:v>
      </x:c>
      <x:c r="T25" s="32" t="n">
        <x:f>IF(O25="","",(1/'Metadata'!$B$5)^(O25-1))</x:f>
        <x:v>1174.8975549395302</x:v>
      </x:c>
      <x:c r="U25" s="31" t="n">
        <x:f>IF(T25="","",I25*T25)</x:f>
        <x:v>89122.17819592245</x:v>
      </x:c>
    </x:row>
    <x:row r="26" ht="18" customHeight="1">
      <x:c r="A26" s="24" t="str">
        <x:v>EEZ_388</x:v>
      </x:c>
      <x:c r="B26" s="24" t="str">
        <x:v>Jamaica</x:v>
      </x:c>
      <x:c r="C26" s="24" t="str">
        <x:v>EEZ</x:v>
      </x:c>
      <x:c r="D26" s="30" t="n">
        <x:v>2019</x:v>
      </x:c>
      <x:c r="E26" s="24" t="str">
        <x:v>Cephalopholis fulva</x:v>
      </x:c>
      <x:c r="F26" s="24" t="str">
        <x:v>Coney</x:v>
      </x:c>
      <x:c r="G26" s="24" t="str">
        <x:v>Medium reef assoc. fish (30 - 89 cm)</x:v>
      </x:c>
      <x:c r="H26" s="24" t="str">
        <x:v>Perch-likes</x:v>
      </x:c>
      <x:c r="I26" s="31" t="n">
        <x:v>74.570091982</x:v>
      </x:c>
      <x:c r="J26" s="31" t="n">
        <x:v>74.570091982</x:v>
      </x:c>
      <x:c r="K26" s="31" t="n">
        <x:v>0</x:v>
      </x:c>
      <x:c r="L26" s="31" t="n">
        <x:v>74.570091982</x:v>
      </x:c>
      <x:c r="M26" s="31" t="n">
        <x:v>0</x:v>
      </x:c>
      <x:c r="N26" s="24" t="str">
        <x:v>cephalopholis fulva</x:v>
      </x:c>
      <x:c r="O26" s="32" t="n">
        <x:v>4.05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Cephalopholis fulva</x:v>
      </x:c>
      <x:c r="T26" s="32" t="n">
        <x:f>IF(O26="","",(1/'Metadata'!$B$5)^(O26-1))</x:f>
        <x:v>1122.018454301963</x:v>
      </x:c>
      <x:c r="U26" s="31" t="n">
        <x:f>IF(T26="","",I26*T26)</x:f>
        <x:v>83669.01934279883</x:v>
      </x:c>
    </x:row>
    <x:row r="27" ht="18" customHeight="1">
      <x:c r="A27" s="24" t="str">
        <x:v>EEZ_388</x:v>
      </x:c>
      <x:c r="B27" s="24" t="str">
        <x:v>Jamaica</x:v>
      </x:c>
      <x:c r="C27" s="24" t="str">
        <x:v>EEZ</x:v>
      </x:c>
      <x:c r="D27" s="30" t="n">
        <x:v>2019</x:v>
      </x:c>
      <x:c r="E27" s="24" t="str">
        <x:v>Balistidae</x:v>
      </x:c>
      <x:c r="F27" s="24" t="str">
        <x:v>Triggerfishes</x:v>
      </x:c>
      <x:c r="G27" s="24" t="str">
        <x:v>Medium reef assoc. fish (30 - 89 cm)</x:v>
      </x:c>
      <x:c r="H27" s="24" t="str">
        <x:v>Other fishes &amp; inverts</x:v>
      </x:c>
      <x:c r="I27" s="31" t="n">
        <x:v>60.53983432</x:v>
      </x:c>
      <x:c r="J27" s="31" t="n">
        <x:v>60.53983432</x:v>
      </x:c>
      <x:c r="K27" s="31" t="n">
        <x:v>0</x:v>
      </x:c>
      <x:c r="L27" s="31" t="n">
        <x:v>60.53983432</x:v>
      </x:c>
      <x:c r="M27" s="31" t="n">
        <x:v>0</x:v>
      </x:c>
      <x:c r="N27" s="24" t="str">
        <x:v>balistidae</x:v>
      </x:c>
      <x:c r="O27" s="32" t="n">
        <x:v>3.25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Balistidae</x:v>
      </x:c>
      <x:c r="T27" s="32" t="n">
        <x:f>IF(O27="","",(1/'Metadata'!$B$5)^(O27-1))</x:f>
        <x:v>177.82794100389228</x:v>
      </x:c>
      <x:c r="U27" s="31" t="n">
        <x:f>IF(T27="","",I27*T27)</x:f>
        <x:v>10765.674085842373</x:v>
      </x:c>
    </x:row>
    <x:row r="28" ht="18" customHeight="1">
      <x:c r="A28" s="24" t="str">
        <x:v>EEZ_388</x:v>
      </x:c>
      <x:c r="B28" s="24" t="str">
        <x:v>Jamaica</x:v>
      </x:c>
      <x:c r="C28" s="24" t="str">
        <x:v>EEZ</x:v>
      </x:c>
      <x:c r="D28" s="30" t="n">
        <x:v>2019</x:v>
      </x:c>
      <x:c r="E28" s="24" t="str">
        <x:v>Sparidae</x:v>
      </x:c>
      <x:c r="F28" s="24" t="str">
        <x:v>Porgies, seabreams</x:v>
      </x:c>
      <x:c r="G28" s="24" t="str">
        <x:v>Medium benthopelagics (30 - 89 cm)</x:v>
      </x:c>
      <x:c r="H28" s="24" t="str">
        <x:v>Perch-likes</x:v>
      </x:c>
      <x:c r="I28" s="31" t="n">
        <x:v>55.687092451</x:v>
      </x:c>
      <x:c r="J28" s="31" t="n">
        <x:v>55.687092451</x:v>
      </x:c>
      <x:c r="K28" s="31" t="n">
        <x:v>0</x:v>
      </x:c>
      <x:c r="L28" s="31" t="n">
        <x:v>55.687092451</x:v>
      </x:c>
      <x:c r="M28" s="31" t="n">
        <x:v>0</x:v>
      </x:c>
      <x:c r="N28" s="24" t="str">
        <x:v>sparidae</x:v>
      </x:c>
      <x:c r="O28" s="32" t="n">
        <x:v>3.31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Sparidae</x:v>
      </x:c>
      <x:c r="T28" s="32" t="n">
        <x:f>IF(O28="","",(1/'Metadata'!$B$5)^(O28-1))</x:f>
        <x:v>204.17379446695296</x:v>
      </x:c>
      <x:c r="U28" s="31" t="n">
        <x:f>IF(T28="","",I28*T28)</x:f>
        <x:v>11369.844968552681</x:v>
      </x:c>
    </x:row>
    <x:row r="29" ht="18" customHeight="1">
      <x:c r="A29" s="24" t="str">
        <x:v>EEZ_388</x:v>
      </x:c>
      <x:c r="B29" s="24" t="str">
        <x:v>Jamaica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52.839332358</x:v>
      </x:c>
      <x:c r="J29" s="31" t="n">
        <x:v>52.839332358</x:v>
      </x:c>
      <x:c r="K29" s="31" t="n">
        <x:v>0</x:v>
      </x:c>
      <x:c r="L29" s="31" t="n">
        <x:v>52.839332358</x:v>
      </x:c>
      <x:c r="M29" s="31" t="n">
        <x:v>0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1790.429898380536</x:v>
      </x:c>
    </x:row>
    <x:row r="30" ht="18" customHeight="1">
      <x:c r="A30" s="24" t="str">
        <x:v>EEZ_388</x:v>
      </x:c>
      <x:c r="B30" s="24" t="str">
        <x:v>Jamaica</x:v>
      </x:c>
      <x:c r="C30" s="24" t="str">
        <x:v>EEZ</x:v>
      </x:c>
      <x:c r="D30" s="30" t="n">
        <x:v>2019</x:v>
      </x:c>
      <x:c r="E30" s="24" t="str">
        <x:v>Clupeidae</x:v>
      </x:c>
      <x:c r="F30" s="24" t="str">
        <x:v>Herrings, sardines, menhadens</x:v>
      </x:c>
      <x:c r="G30" s="24" t="str">
        <x:v>Small pelagics (&lt;30 cm)</x:v>
      </x:c>
      <x:c r="H30" s="24" t="str">
        <x:v>Herring-likes</x:v>
      </x:c>
      <x:c r="I30" s="31" t="n">
        <x:v>37.164410831000005</x:v>
      </x:c>
      <x:c r="J30" s="31" t="n">
        <x:v>37.164410831000005</x:v>
      </x:c>
      <x:c r="K30" s="31" t="n">
        <x:v>0</x:v>
      </x:c>
      <x:c r="L30" s="31" t="n">
        <x:v>37.164410831000005</x:v>
      </x:c>
      <x:c r="M30" s="31" t="n">
        <x:v>0</x:v>
      </x:c>
      <x:c r="N30" s="24" t="str">
        <x:v>clupeidae</x:v>
      </x:c>
      <x:c r="O30" s="32" t="n">
        <x:v>3.16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Clupeidae</x:v>
      </x:c>
      <x:c r="T30" s="32" t="n">
        <x:f>IF(O30="","",(1/'Metadata'!$B$5)^(O30-1))</x:f>
        <x:v>144.5439770745928</x:v>
      </x:c>
      <x:c r="U30" s="31" t="n">
        <x:f>IF(T30="","",I30*T30)</x:f>
        <x:v>5371.891747146813</x:v>
      </x:c>
    </x:row>
    <x:row r="31" ht="18" customHeight="1">
      <x:c r="A31" s="24" t="str">
        <x:v>EEZ_388</x:v>
      </x:c>
      <x:c r="B31" s="24" t="str">
        <x:v>Jamaica</x:v>
      </x:c>
      <x:c r="C31" s="24" t="str">
        <x:v>EEZ</x:v>
      </x:c>
      <x:c r="D31" s="30" t="n">
        <x:v>2019</x:v>
      </x:c>
      <x:c r="E31" s="24" t="str">
        <x:v>Sphyraena barracuda</x:v>
      </x:c>
      <x:c r="F31" s="24" t="str">
        <x:v>Great barracuda</x:v>
      </x:c>
      <x:c r="G31" s="24" t="str">
        <x:v>Large pelagics (&gt;=90 cm)</x:v>
      </x:c>
      <x:c r="H31" s="24" t="str">
        <x:v>Perch-likes</x:v>
      </x:c>
      <x:c r="I31" s="31" t="n">
        <x:v>35.68691346</x:v>
      </x:c>
      <x:c r="J31" s="31" t="n">
        <x:v>35.68691346</x:v>
      </x:c>
      <x:c r="K31" s="31" t="n">
        <x:v>0</x:v>
      </x:c>
      <x:c r="L31" s="31" t="n">
        <x:v>35.68691346</x:v>
      </x:c>
      <x:c r="M31" s="31" t="n">
        <x:v>0</x:v>
      </x:c>
      <x:c r="N31" s="24" t="str">
        <x:v>sphyraena barracuda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Sphyraena barracuda</x:v>
      </x:c>
      <x:c r="T31" s="32" t="n">
        <x:f>IF(O31="","",(1/'Metadata'!$B$5)^(O31-1))</x:f>
        <x:v>3090.295432513592</x:v>
      </x:c>
      <x:c r="U31" s="31" t="n">
        <x:f>IF(T31="","",I31*T31)</x:f>
        <x:v>110283.10566594583</x:v>
      </x:c>
    </x:row>
    <x:row r="32" ht="18" customHeight="1">
      <x:c r="A32" s="24" t="str">
        <x:v>EEZ_388</x:v>
      </x:c>
      <x:c r="B32" s="24" t="str">
        <x:v>Jamaica</x:v>
      </x:c>
      <x:c r="C32" s="24" t="str">
        <x:v>EEZ</x:v>
      </x:c>
      <x:c r="D32" s="30" t="n">
        <x:v>2019</x:v>
      </x:c>
      <x:c r="E32" s="24" t="str">
        <x:v>Epinephelus striatus</x:v>
      </x:c>
      <x:c r="F32" s="24" t="str">
        <x:v>Nassau grouper</x:v>
      </x:c>
      <x:c r="G32" s="24" t="str">
        <x:v>Large reef assoc. fish (&gt;=90 cm)</x:v>
      </x:c>
      <x:c r="H32" s="24" t="str">
        <x:v>Perch-likes</x:v>
      </x:c>
      <x:c r="I32" s="31" t="n">
        <x:v>28.907349424</x:v>
      </x:c>
      <x:c r="J32" s="31" t="n">
        <x:v>28.907349424</x:v>
      </x:c>
      <x:c r="K32" s="31" t="n">
        <x:v>0</x:v>
      </x:c>
      <x:c r="L32" s="31" t="n">
        <x:v>28.907349424</x:v>
      </x:c>
      <x:c r="M32" s="31" t="n">
        <x:v>0</x:v>
      </x:c>
      <x:c r="N32" s="24" t="str">
        <x:v>epinephelus striatus</x:v>
      </x:c>
      <x:c r="O32" s="32" t="n">
        <x:v>4.06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striatus</x:v>
      </x:c>
      <x:c r="T32" s="32" t="n">
        <x:f>IF(O32="","",(1/'Metadata'!$B$5)^(O32-1))</x:f>
        <x:v>1148.1536214968817</x:v>
      </x:c>
      <x:c r="U32" s="31" t="n">
        <x:f>IF(T32="","",I32*T32)</x:f>
        <x:v>33190.0779290414</x:v>
      </x:c>
    </x:row>
    <x:row r="33" ht="18" customHeight="1">
      <x:c r="A33" s="24" t="str">
        <x:v>EEZ_388</x:v>
      </x:c>
      <x:c r="B33" s="24" t="str">
        <x:v>Jamaica</x:v>
      </x:c>
      <x:c r="C33" s="24" t="str">
        <x:v>EEZ</x:v>
      </x:c>
      <x:c r="D33" s="30" t="n">
        <x:v>2019</x:v>
      </x:c>
      <x:c r="E33" s="24" t="str">
        <x:v>Coryphaena hippurus</x:v>
      </x:c>
      <x:c r="F33" s="24" t="str">
        <x:v>Common dolphinfish</x:v>
      </x:c>
      <x:c r="G33" s="24" t="str">
        <x:v>Large pelagics (&gt;=90 cm)</x:v>
      </x:c>
      <x:c r="H33" s="24" t="str">
        <x:v>Perch-likes</x:v>
      </x:c>
      <x:c r="I33" s="31" t="n">
        <x:v>28.349491536000002</x:v>
      </x:c>
      <x:c r="J33" s="31" t="n">
        <x:v>28.349491536000002</x:v>
      </x:c>
      <x:c r="K33" s="31" t="n">
        <x:v>0</x:v>
      </x:c>
      <x:c r="L33" s="31" t="n">
        <x:v>28.349491536000002</x:v>
      </x:c>
      <x:c r="M33" s="31" t="n">
        <x:v>0</x:v>
      </x:c>
      <x:c r="N33" s="24" t="str">
        <x:v>coryphaena hippurus</x:v>
      </x:c>
      <x:c r="O33" s="32" t="n">
        <x:v>4.37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Coryphaena hippurus</x:v>
      </x:c>
      <x:c r="T33" s="32" t="n">
        <x:f>IF(O33="","",(1/'Metadata'!$B$5)^(O33-1))</x:f>
        <x:v>2344.228815319923</x:v>
      </x:c>
      <x:c r="U33" s="31" t="n">
        <x:f>IF(T33="","",I33*T33)</x:f>
        <x:v>66457.69495835947</x:v>
      </x:c>
    </x:row>
    <x:row r="34" ht="18" customHeight="1">
      <x:c r="A34" s="24" t="str">
        <x:v>EEZ_388</x:v>
      </x:c>
      <x:c r="B34" s="24" t="str">
        <x:v>Jamaica</x:v>
      </x:c>
      <x:c r="C34" s="24" t="str">
        <x:v>EEZ</x:v>
      </x:c>
      <x:c r="D34" s="30" t="n">
        <x:v>2019</x:v>
      </x:c>
      <x:c r="E34" s="24" t="str">
        <x:v>Mycteroperca bonaci</x:v>
      </x:c>
      <x:c r="F34" s="24" t="str">
        <x:v>Black grouper</x:v>
      </x:c>
      <x:c r="G34" s="24" t="str">
        <x:v>Large reef assoc. fish (&gt;=90 cm)</x:v>
      </x:c>
      <x:c r="H34" s="24" t="str">
        <x:v>Perch-likes</x:v>
      </x:c>
      <x:c r="I34" s="31" t="n">
        <x:v>27.195411784</x:v>
      </x:c>
      <x:c r="J34" s="31" t="n">
        <x:v>27.195411784</x:v>
      </x:c>
      <x:c r="K34" s="31" t="n">
        <x:v>0</x:v>
      </x:c>
      <x:c r="L34" s="31" t="n">
        <x:v>27.195411784</x:v>
      </x:c>
      <x:c r="M34" s="31" t="n">
        <x:v>0</x:v>
      </x:c>
      <x:c r="N34" s="24" t="str">
        <x:v>mycteroperca bonaci</x:v>
      </x:c>
      <x:c r="O34" s="32" t="n">
        <x:v>4.3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Mycteroperca bonaci</x:v>
      </x:c>
      <x:c r="T34" s="32" t="n">
        <x:f>IF(O34="","",(1/'Metadata'!$B$5)^(O34-1))</x:f>
        <x:v>1995.2623149688789</x:v>
      </x:c>
      <x:c r="U34" s="31" t="n">
        <x:f>IF(T34="","",I34*T34)</x:f>
        <x:v>54261.98027267577</x:v>
      </x:c>
    </x:row>
    <x:row r="35" ht="18" customHeight="1">
      <x:c r="A35" s="24" t="str">
        <x:v>EEZ_388</x:v>
      </x:c>
      <x:c r="B35" s="24" t="str">
        <x:v>Jamaica</x:v>
      </x:c>
      <x:c r="C35" s="24" t="str">
        <x:v>EEZ</x:v>
      </x:c>
      <x:c r="D35" s="30" t="n">
        <x:v>2019</x:v>
      </x:c>
      <x:c r="E35" s="24" t="str">
        <x:v>Acanthocybium solandri</x:v>
      </x:c>
      <x:c r="F35" s="24" t="str">
        <x:v>Wahoo</x:v>
      </x:c>
      <x:c r="G35" s="24" t="str">
        <x:v>Large pelagics (&gt;=90 cm)</x:v>
      </x:c>
      <x:c r="H35" s="24" t="str">
        <x:v>Perch-likes</x:v>
      </x:c>
      <x:c r="I35" s="31" t="n">
        <x:v>20.690277814</x:v>
      </x:c>
      <x:c r="J35" s="31" t="n">
        <x:v>20.690277814</x:v>
      </x:c>
      <x:c r="K35" s="31" t="n">
        <x:v>0</x:v>
      </x:c>
      <x:c r="L35" s="31" t="n">
        <x:v>19.297114614</x:v>
      </x:c>
      <x:c r="M35" s="31" t="n">
        <x:v>1.3931632</x:v>
      </x:c>
      <x:c r="N35" s="24" t="str">
        <x:v>acanthocybium solandri</x:v>
      </x:c>
      <x:c r="O35" s="32" t="n">
        <x:v>4.26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Acanthocybium solandri</x:v>
      </x:c>
      <x:c r="T35" s="32" t="n">
        <x:f>IF(O35="","",(1/'Metadata'!$B$5)^(O35-1))</x:f>
        <x:v>1819.7008586099826</x:v>
      </x:c>
      <x:c r="U35" s="31" t="n">
        <x:f>IF(T35="","",I35*T35)</x:f>
        <x:v>37650.116303014875</x:v>
      </x:c>
    </x:row>
    <x:row r="36" ht="18" customHeight="1">
      <x:c r="A36" s="24" t="str">
        <x:v>EEZ_388</x:v>
      </x:c>
      <x:c r="B36" s="24" t="str">
        <x:v>Jamaica</x:v>
      </x:c>
      <x:c r="C36" s="24" t="str">
        <x:v>EEZ</x:v>
      </x:c>
      <x:c r="D36" s="30" t="n">
        <x:v>2019</x:v>
      </x:c>
      <x:c r="E36" s="24" t="str">
        <x:v>Lutjanus griseus</x:v>
      </x:c>
      <x:c r="F36" s="24" t="str">
        <x:v>Grey snapper</x:v>
      </x:c>
      <x:c r="G36" s="24" t="str">
        <x:v>Medium reef assoc. fish (30 - 89 cm)</x:v>
      </x:c>
      <x:c r="H36" s="24" t="str">
        <x:v>Perch-likes</x:v>
      </x:c>
      <x:c r="I36" s="31" t="n">
        <x:v>19.913237375</x:v>
      </x:c>
      <x:c r="J36" s="31" t="n">
        <x:v>19.913237375</x:v>
      </x:c>
      <x:c r="K36" s="31" t="n">
        <x:v>0</x:v>
      </x:c>
      <x:c r="L36" s="31" t="n">
        <x:v>19.913237375</x:v>
      </x:c>
      <x:c r="M36" s="31" t="n">
        <x:v>0</x:v>
      </x:c>
      <x:c r="N36" s="24" t="str">
        <x:v>lutjanus griseus</x:v>
      </x:c>
      <x:c r="O36" s="32" t="n">
        <x:v>4.23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griseus</x:v>
      </x:c>
      <x:c r="T36" s="32" t="n">
        <x:f>IF(O36="","",(1/'Metadata'!$B$5)^(O36-1))</x:f>
        <x:v>1698.243652461746</x:v>
      </x:c>
      <x:c r="U36" s="31" t="n">
        <x:f>IF(T36="","",I36*T36)</x:f>
        <x:v>33817.52897205776</x:v>
      </x:c>
    </x:row>
    <x:row r="37" ht="18" customHeight="1">
      <x:c r="A37" s="24" t="str">
        <x:v>EEZ_388</x:v>
      </x:c>
      <x:c r="B37" s="24" t="str">
        <x:v>Jamaica</x:v>
      </x:c>
      <x:c r="C37" s="24" t="str">
        <x:v>EEZ</x:v>
      </x:c>
      <x:c r="D37" s="30" t="n">
        <x:v>2019</x:v>
      </x:c>
      <x:c r="E37" s="24" t="str">
        <x:v>Scomberomorus cavalla</x:v>
      </x:c>
      <x:c r="F37" s="24" t="str">
        <x:v>King mackerel</x:v>
      </x:c>
      <x:c r="G37" s="24" t="str">
        <x:v>Large pelagics (&gt;=90 cm)</x:v>
      </x:c>
      <x:c r="H37" s="24" t="str">
        <x:v>Perch-likes</x:v>
      </x:c>
      <x:c r="I37" s="31" t="n">
        <x:v>19.297114614</x:v>
      </x:c>
      <x:c r="J37" s="31" t="n">
        <x:v>19.297114614</x:v>
      </x:c>
      <x:c r="K37" s="31" t="n">
        <x:v>0</x:v>
      </x:c>
      <x:c r="L37" s="31" t="n">
        <x:v>19.297114614</x:v>
      </x:c>
      <x:c r="M37" s="31" t="n">
        <x:v>0</x:v>
      </x:c>
      <x:c r="N37" s="24" t="str">
        <x:v>scomberomorus cavalla</x:v>
      </x:c>
      <x:c r="O37" s="32" t="n">
        <x:v>4.42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cavalla</x:v>
      </x:c>
      <x:c r="T37" s="32" t="n">
        <x:f>IF(O37="","",(1/'Metadata'!$B$5)^(O37-1))</x:f>
        <x:v>2630.2679918953813</x:v>
      </x:c>
      <x:c r="U37" s="31" t="n">
        <x:f>IF(T37="","",I37*T37)</x:f>
        <x:v>50756.5829051408</x:v>
      </x:c>
    </x:row>
    <x:row r="38" ht="18" customHeight="1">
      <x:c r="A38" s="24" t="str">
        <x:v>EEZ_388</x:v>
      </x:c>
      <x:c r="B38" s="24" t="str">
        <x:v>Jamaica</x:v>
      </x:c>
      <x:c r="C38" s="24" t="str">
        <x:v>EEZ</x:v>
      </x:c>
      <x:c r="D38" s="30" t="n">
        <x:v>2019</x:v>
      </x:c>
      <x:c r="E38" s="24" t="str">
        <x:v>Lutjanus vivanus</x:v>
      </x:c>
      <x:c r="F38" s="24" t="str">
        <x:v>Silk snapper</x:v>
      </x:c>
      <x:c r="G38" s="24" t="str">
        <x:v>Medium demersals (30 - 89 cm)</x:v>
      </x:c>
      <x:c r="H38" s="24" t="str">
        <x:v>Perch-likes</x:v>
      </x:c>
      <x:c r="I38" s="31" t="n">
        <x:v>15.138551810000001</x:v>
      </x:c>
      <x:c r="J38" s="31" t="n">
        <x:v>15.138551810000001</x:v>
      </x:c>
      <x:c r="K38" s="31" t="n">
        <x:v>0</x:v>
      </x:c>
      <x:c r="L38" s="31" t="n">
        <x:v>15.138551810000001</x:v>
      </x:c>
      <x:c r="M38" s="31" t="n">
        <x:v>0</x:v>
      </x:c>
      <x:c r="N38" s="24" t="str">
        <x:v>lutjanus vivanus</x:v>
      </x:c>
      <x:c r="O38" s="32" t="n">
        <x:v>3.09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Lutjanus vivanus</x:v>
      </x:c>
      <x:c r="T38" s="32" t="n">
        <x:f>IF(O38="","",(1/'Metadata'!$B$5)^(O38-1))</x:f>
        <x:v>123.02687708123811</x:v>
      </x:c>
      <x:c r="U38" s="31" t="n">
        <x:f>IF(T38="","",I38*T38)</x:f>
        <x:v>1862.4487527168249</x:v>
      </x:c>
    </x:row>
    <x:row r="39" ht="18" customHeight="1">
      <x:c r="A39" s="24" t="str">
        <x:v>EEZ_388</x:v>
      </x:c>
      <x:c r="B39" s="24" t="str">
        <x:v>Jamaica</x:v>
      </x:c>
      <x:c r="C39" s="24" t="str">
        <x:v>EEZ</x:v>
      </x:c>
      <x:c r="D39" s="30" t="n">
        <x:v>2019</x:v>
      </x:c>
      <x:c r="E39" s="24" t="str">
        <x:v>Thunnus atlanticus</x:v>
      </x:c>
      <x:c r="F39" s="24" t="str">
        <x:v>Blackfin tuna</x:v>
      </x:c>
      <x:c r="G39" s="24" t="str">
        <x:v>Large pelagics (&gt;=90 cm)</x:v>
      </x:c>
      <x:c r="H39" s="24" t="str">
        <x:v>Tuna &amp; billfishes</x:v>
      </x:c>
      <x:c r="I39" s="31" t="n">
        <x:v>13.849718712</x:v>
      </x:c>
      <x:c r="J39" s="31" t="n">
        <x:v>13.849718712</x:v>
      </x:c>
      <x:c r="K39" s="31" t="n">
        <x:v>0</x:v>
      </x:c>
      <x:c r="L39" s="31" t="n">
        <x:v>13.849718712</x:v>
      </x:c>
      <x:c r="M39" s="31" t="n">
        <x:v>0</x:v>
      </x:c>
      <x:c r="N39" s="24" t="str">
        <x:v>thunnus atlanticus</x:v>
      </x:c>
      <x:c r="O39" s="32" t="n">
        <x:v>4.35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atlanticus</x:v>
      </x:c>
      <x:c r="T39" s="32" t="n">
        <x:f>IF(O39="","",(1/'Metadata'!$B$5)^(O39-1))</x:f>
        <x:v>2238.7211385683377</x:v>
      </x:c>
      <x:c r="U39" s="31" t="n">
        <x:f>IF(T39="","",I39*T39)</x:f>
        <x:v>31005.65804377985</x:v>
      </x:c>
    </x:row>
    <x:row r="40" ht="18" customHeight="1">
      <x:c r="A40" s="24" t="str">
        <x:v>EEZ_388</x:v>
      </x:c>
      <x:c r="B40" s="24" t="str">
        <x:v>Jamaica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13.849718712</x:v>
      </x:c>
      <x:c r="J40" s="31" t="n">
        <x:v>13.849718712</x:v>
      </x:c>
      <x:c r="K40" s="31" t="n">
        <x:v>0</x:v>
      </x:c>
      <x:c r="L40" s="31" t="n">
        <x:v>13.849718712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35599.25856985983</x:v>
      </x:c>
    </x:row>
    <x:row r="41" ht="18" customHeight="1">
      <x:c r="A41" s="24" t="str">
        <x:v>EEZ_388</x:v>
      </x:c>
      <x:c r="B41" s="24" t="str">
        <x:v>Jamaica</x:v>
      </x:c>
      <x:c r="C41" s="24" t="str">
        <x:v>EEZ</x:v>
      </x:c>
      <x:c r="D41" s="30" t="n">
        <x:v>2019</x:v>
      </x:c>
      <x:c r="E41" s="24" t="str">
        <x:v>Katsuwonus pelamis</x:v>
      </x:c>
      <x:c r="F41" s="24" t="str">
        <x:v>Skipjack tuna</x:v>
      </x:c>
      <x:c r="G41" s="24" t="str">
        <x:v>Large pelagics (&gt;=90 cm)</x:v>
      </x:c>
      <x:c r="H41" s="24" t="str">
        <x:v>Tuna &amp; billfishes</x:v>
      </x:c>
      <x:c r="I41" s="31" t="n">
        <x:v>13.849718712</x:v>
      </x:c>
      <x:c r="J41" s="31" t="n">
        <x:v>13.849718712</x:v>
      </x:c>
      <x:c r="K41" s="31" t="n">
        <x:v>0</x:v>
      </x:c>
      <x:c r="L41" s="31" t="n">
        <x:v>13.849718712</x:v>
      </x:c>
      <x:c r="M41" s="31" t="n">
        <x:v>0</x:v>
      </x:c>
      <x:c r="N41" s="24" t="str">
        <x:v>katsuwonus pelamis</x:v>
      </x:c>
      <x:c r="O41" s="32" t="n">
        <x:v>4.43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Katsuwonus pelamis</x:v>
      </x:c>
      <x:c r="T41" s="32" t="n">
        <x:f>IF(O41="","",(1/'Metadata'!$B$5)^(O41-1))</x:f>
        <x:v>2691.534803926914</x:v>
      </x:c>
      <x:c r="U41" s="31" t="n">
        <x:f>IF(T41="","",I41*T41)</x:f>
        <x:v>37276.99993794583</x:v>
      </x:c>
    </x:row>
    <x:row r="42" ht="18" customHeight="1">
      <x:c r="A42" s="24" t="str">
        <x:v>EEZ_388</x:v>
      </x:c>
      <x:c r="B42" s="24" t="str">
        <x:v>Jamaica</x:v>
      </x:c>
      <x:c r="C42" s="24" t="str">
        <x:v>EEZ</x:v>
      </x:c>
      <x:c r="D42" s="30" t="n">
        <x:v>2019</x:v>
      </x:c>
      <x:c r="E42" s="24" t="str">
        <x:v>Euthynnus alletteratus</x:v>
      </x:c>
      <x:c r="F42" s="24" t="str">
        <x:v>Little tunny </x:v>
      </x:c>
      <x:c r="G42" s="24" t="str">
        <x:v>Large pelagics (&gt;=90 cm)</x:v>
      </x:c>
      <x:c r="H42" s="24" t="str">
        <x:v>Tuna &amp; billfishes</x:v>
      </x:c>
      <x:c r="I42" s="31" t="n">
        <x:v>13.849718712</x:v>
      </x:c>
      <x:c r="J42" s="31" t="n">
        <x:v>13.849718712</x:v>
      </x:c>
      <x:c r="K42" s="31" t="n">
        <x:v>0</x:v>
      </x:c>
      <x:c r="L42" s="31" t="n">
        <x:v>13.849718712</x:v>
      </x:c>
      <x:c r="M42" s="31" t="n">
        <x:v>0</x:v>
      </x:c>
      <x:c r="N42" s="24" t="str">
        <x:v>euthynnus alletteratus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Euthynnus alletteratus</x:v>
      </x:c>
      <x:c r="T42" s="32" t="n">
        <x:f>IF(O42="","",(1/'Metadata'!$B$5)^(O42-1))</x:f>
        <x:v>3090.295432513592</x:v>
      </x:c>
      <x:c r="U42" s="31" t="n">
        <x:f>IF(T42="","",I42*T42)</x:f>
        <x:v>42799.72247729163</x:v>
      </x:c>
    </x:row>
    <x:row r="43" ht="18" customHeight="1">
      <x:c r="A43" s="24" t="str">
        <x:v>EEZ_388</x:v>
      </x:c>
      <x:c r="B43" s="24" t="str">
        <x:v>Jamaica</x:v>
      </x:c>
      <x:c r="C43" s="24" t="str">
        <x:v>EEZ</x:v>
      </x:c>
      <x:c r="D43" s="30" t="n">
        <x:v>2019</x:v>
      </x:c>
      <x:c r="E43" s="24" t="str">
        <x:v>Scomberomorus regalis</x:v>
      </x:c>
      <x:c r="F43" s="24" t="str">
        <x:v>Cero</x:v>
      </x:c>
      <x:c r="G43" s="24" t="str">
        <x:v>Large reef assoc. fish (&gt;=90 cm)</x:v>
      </x:c>
      <x:c r="H43" s="24" t="str">
        <x:v>Perch-likes</x:v>
      </x:c>
      <x:c r="I43" s="31" t="n">
        <x:v>12.134287452</x:v>
      </x:c>
      <x:c r="J43" s="31" t="n">
        <x:v>12.134287452</x:v>
      </x:c>
      <x:c r="K43" s="31" t="n">
        <x:v>0</x:v>
      </x:c>
      <x:c r="L43" s="31" t="n">
        <x:v>12.134287452</x:v>
      </x:c>
      <x:c r="M43" s="31" t="n">
        <x:v>0</x:v>
      </x:c>
      <x:c r="N43" s="24" t="str">
        <x:v>scomberomorus regalis</x:v>
      </x:c>
      <x:c r="O43" s="32" t="n">
        <x:v>4.51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Scomberomorus regalis</x:v>
      </x:c>
      <x:c r="T43" s="32" t="n">
        <x:f>IF(O43="","",(1/'Metadata'!$B$5)^(O43-1))</x:f>
        <x:v>3235.936569296281</x:v>
      </x:c>
      <x:c r="U43" s="31" t="n">
        <x:f>IF(T43="","",I43*T43)</x:f>
        <x:v>39265.784508279794</x:v>
      </x:c>
    </x:row>
    <x:row r="44" ht="18" customHeight="1">
      <x:c r="A44" s="24" t="str">
        <x:v>EEZ_388</x:v>
      </x:c>
      <x:c r="B44" s="24" t="str">
        <x:v>Jamaica</x:v>
      </x:c>
      <x:c r="C44" s="24" t="str">
        <x:v>EEZ</x:v>
      </x:c>
      <x:c r="D44" s="30" t="n">
        <x:v>2019</x:v>
      </x:c>
      <x:c r="E44" s="24" t="str">
        <x:v>Lutjanus analis</x:v>
      </x:c>
      <x:c r="F44" s="24" t="str">
        <x:v>Mutton snapper</x:v>
      </x:c>
      <x:c r="G44" s="24" t="str">
        <x:v>Medium reef assoc. fish (30 - 89 cm)</x:v>
      </x:c>
      <x:c r="H44" s="24" t="str">
        <x:v>Perch-likes</x:v>
      </x:c>
      <x:c r="I44" s="31" t="n">
        <x:v>11.153965126000001</x:v>
      </x:c>
      <x:c r="J44" s="31" t="n">
        <x:v>11.153965126000001</x:v>
      </x:c>
      <x:c r="K44" s="31" t="n">
        <x:v>0</x:v>
      </x:c>
      <x:c r="L44" s="31" t="n">
        <x:v>11.153965126000001</x:v>
      </x:c>
      <x:c r="M44" s="31" t="n">
        <x:v>0</x:v>
      </x:c>
      <x:c r="N44" s="24" t="str">
        <x:v>lutjanus analis</x:v>
      </x:c>
      <x:c r="O44" s="32" t="n">
        <x:v>3.91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analis</x:v>
      </x:c>
      <x:c r="T44" s="32" t="n">
        <x:f>IF(O44="","",(1/'Metadata'!$B$5)^(O44-1))</x:f>
        <x:v>812.8305161640995</x:v>
      </x:c>
      <x:c r="U44" s="31" t="n">
        <x:f>IF(T44="","",I44*T44)</x:f>
        <x:v>9066.283230642946</x:v>
      </x:c>
    </x:row>
    <x:row r="45" ht="18" customHeight="1">
      <x:c r="A45" s="24" t="str">
        <x:v>EEZ_388</x:v>
      </x:c>
      <x:c r="B45" s="24" t="str">
        <x:v>Jamaica</x:v>
      </x:c>
      <x:c r="C45" s="24" t="str">
        <x:v>EEZ</x:v>
      </x:c>
      <x:c r="D45" s="30" t="n">
        <x:v>2019</x:v>
      </x:c>
      <x:c r="E45" s="24" t="str">
        <x:v>Lutjanus synagris</x:v>
      </x:c>
      <x:c r="F45" s="24" t="str">
        <x:v>Lane snapper</x:v>
      </x:c>
      <x:c r="G45" s="24" t="str">
        <x:v>Medium reef assoc. fish (30 - 89 cm)</x:v>
      </x:c>
      <x:c r="H45" s="24" t="str">
        <x:v>Perch-likes</x:v>
      </x:c>
      <x:c r="I45" s="31" t="n">
        <x:v>10.107583966</x:v>
      </x:c>
      <x:c r="J45" s="31" t="n">
        <x:v>10.107583966</x:v>
      </x:c>
      <x:c r="K45" s="31" t="n">
        <x:v>0</x:v>
      </x:c>
      <x:c r="L45" s="31" t="n">
        <x:v>10.107583966</x:v>
      </x:c>
      <x:c r="M45" s="31" t="n">
        <x:v>0</x:v>
      </x:c>
      <x:c r="N45" s="24" t="str">
        <x:v>lutjanus synagris</x:v>
      </x:c>
      <x:c r="O45" s="32" t="n">
        <x:v>3.82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synagris</x:v>
      </x:c>
      <x:c r="T45" s="32" t="n">
        <x:f>IF(O45="","",(1/'Metadata'!$B$5)^(O45-1))</x:f>
        <x:v>660.6934480075957</x:v>
      </x:c>
      <x:c r="U45" s="31" t="n">
        <x:f>IF(T45="","",I45*T45)</x:f>
        <x:v>6678.014501522829</x:v>
      </x:c>
    </x:row>
    <x:row r="46" ht="18" customHeight="1">
      <x:c r="A46" s="24" t="str">
        <x:v>EEZ_388</x:v>
      </x:c>
      <x:c r="B46" s="24" t="str">
        <x:v>Jamaica</x:v>
      </x:c>
      <x:c r="C46" s="24" t="str">
        <x:v>EEZ</x:v>
      </x:c>
      <x:c r="D46" s="30" t="n">
        <x:v>2019</x:v>
      </x:c>
      <x:c r="E46" s="24" t="str">
        <x:v>Seriola dumerili</x:v>
      </x:c>
      <x:c r="F46" s="24" t="str">
        <x:v>Greater amberjack</x:v>
      </x:c>
      <x:c r="G46" s="24" t="str">
        <x:v>Large reef assoc. fish (&gt;=90 cm)</x:v>
      </x:c>
      <x:c r="H46" s="24" t="str">
        <x:v>Perch-likes</x:v>
      </x:c>
      <x:c r="I46" s="31" t="n">
        <x:v>7.064612975999999</x:v>
      </x:c>
      <x:c r="J46" s="31" t="n">
        <x:v>7.064612975999999</x:v>
      </x:c>
      <x:c r="K46" s="31" t="n">
        <x:v>0</x:v>
      </x:c>
      <x:c r="L46" s="31" t="n">
        <x:v>7.064612975999999</x:v>
      </x:c>
      <x:c r="M46" s="31" t="n">
        <x:v>0</x:v>
      </x:c>
      <x:c r="N46" s="24" t="str">
        <x:v>seriola dumerili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Seriola dumerili</x:v>
      </x:c>
      <x:c r="T46" s="32" t="n">
        <x:f>IF(O46="","",(1/'Metadata'!$B$5)^(O46-1))</x:f>
        <x:v>3162.2776601683795</x:v>
      </x:c>
      <x:c r="U46" s="31" t="n">
        <x:f>IF(T46="","",I46*T46)</x:f>
        <x:v>22340.26779174045</x:v>
      </x:c>
    </x:row>
    <x:row r="47" ht="18" customHeight="1">
      <x:c r="A47" s="24" t="str">
        <x:v>EEZ_388</x:v>
      </x:c>
      <x:c r="B47" s="24" t="str">
        <x:v>Jamaica</x:v>
      </x:c>
      <x:c r="C47" s="24" t="str">
        <x:v>EEZ</x:v>
      </x:c>
      <x:c r="D47" s="30" t="n">
        <x:v>2019</x:v>
      </x:c>
      <x:c r="E47" s="24" t="str">
        <x:v>Mycteroperca</x:v>
      </x:c>
      <x:c r="F47" s="24" t="str">
        <x:v>Scamps, gags</x:v>
      </x:c>
      <x:c r="G47" s="24" t="str">
        <x:v>Medium reef assoc. fish (30 - 89 cm)</x:v>
      </x:c>
      <x:c r="H47" s="24" t="str">
        <x:v>Perch-likes</x:v>
      </x:c>
      <x:c r="I47" s="31" t="n">
        <x:v>6.553111274</x:v>
      </x:c>
      <x:c r="J47" s="31" t="n">
        <x:v>6.553111274</x:v>
      </x:c>
      <x:c r="K47" s="31" t="n">
        <x:v>0</x:v>
      </x:c>
      <x:c r="L47" s="31" t="n">
        <x:v>6.553111274</x:v>
      </x:c>
      <x:c r="M47" s="31" t="n">
        <x:v>0</x:v>
      </x:c>
      <x:c r="N47" s="24" t="str">
        <x:v>mycteroperca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Mycteroperca</x:v>
      </x:c>
      <x:c r="T47" s="32" t="n">
        <x:f>IF(O47="","",(1/'Metadata'!$B$5)^(O47-1))</x:f>
        <x:v>2238.7211385683377</x:v>
      </x:c>
      <x:c r="U47" s="31" t="n">
        <x:f>IF(T47="","",I47*T47)</x:f>
        <x:v>14670.588732494289</x:v>
      </x:c>
    </x:row>
    <x:row r="48" ht="18" customHeight="1">
      <x:c r="A48" s="24" t="str">
        <x:v>EEZ_388</x:v>
      </x:c>
      <x:c r="B48" s="24" t="str">
        <x:v>Jamaica</x:v>
      </x:c>
      <x:c r="C48" s="24" t="str">
        <x:v>EEZ</x:v>
      </x:c>
      <x:c r="D48" s="30" t="n">
        <x:v>2019</x:v>
      </x:c>
      <x:c r="E48" s="24" t="str">
        <x:v>Caranx lugubris</x:v>
      </x:c>
      <x:c r="F48" s="24" t="str">
        <x:v>Black jack</x:v>
      </x:c>
      <x:c r="G48" s="24" t="str">
        <x:v>Large benthopelagics (&gt;=90 cm)</x:v>
      </x:c>
      <x:c r="H48" s="24" t="str">
        <x:v>Perch-likes</x:v>
      </x:c>
      <x:c r="I48" s="31" t="n">
        <x:v>4.298861325000001</x:v>
      </x:c>
      <x:c r="J48" s="31" t="n">
        <x:v>4.298861325000001</x:v>
      </x:c>
      <x:c r="K48" s="31" t="n">
        <x:v>0</x:v>
      </x:c>
      <x:c r="L48" s="31" t="n">
        <x:v>4.298861325000001</x:v>
      </x:c>
      <x:c r="M48" s="31" t="n">
        <x:v>0</x:v>
      </x:c>
      <x:c r="N48" s="24" t="str">
        <x:v>caranx lugubris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Caranx lugubris</x:v>
      </x:c>
      <x:c r="T48" s="32" t="n">
        <x:f>IF(O48="","",(1/'Metadata'!$B$5)^(O48-1))</x:f>
        <x:v>3162.2776601683795</x:v>
      </x:c>
      <x:c r="U48" s="31" t="n">
        <x:f>IF(T48="","",I48*T48)</x:f>
        <x:v>13594.193132209342</x:v>
      </x:c>
    </x:row>
    <x:row r="49" ht="18" customHeight="1">
      <x:c r="A49" s="24" t="str">
        <x:v>EEZ_388</x:v>
      </x:c>
      <x:c r="B49" s="24" t="str">
        <x:v>Jamaica</x:v>
      </x:c>
      <x:c r="C49" s="24" t="str">
        <x:v>EEZ</x:v>
      </x:c>
      <x:c r="D49" s="30" t="n">
        <x:v>2019</x:v>
      </x:c>
      <x:c r="E49" s="24" t="str">
        <x:v>Alectis ciliaris</x:v>
      </x:c>
      <x:c r="F49" s="24" t="str">
        <x:v>African pompano</x:v>
      </x:c>
      <x:c r="G49" s="24" t="str">
        <x:v>Large pelagics (&gt;=90 cm)</x:v>
      </x:c>
      <x:c r="H49" s="24" t="str">
        <x:v>Perch-likes</x:v>
      </x:c>
      <x:c r="I49" s="31" t="n">
        <x:v>3.969764004</x:v>
      </x:c>
      <x:c r="J49" s="31" t="n">
        <x:v>3.969764004</x:v>
      </x:c>
      <x:c r="K49" s="31" t="n">
        <x:v>0</x:v>
      </x:c>
      <x:c r="L49" s="31" t="n">
        <x:v>3.969764004</x:v>
      </x:c>
      <x:c r="M49" s="31" t="n">
        <x:v>0</x:v>
      </x:c>
      <x:c r="N49" s="24" t="str">
        <x:v>alectis ciliaris</x:v>
      </x:c>
      <x:c r="O49" s="32" t="n">
        <x:v>3.95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Alectis ciliaris</x:v>
      </x:c>
      <x:c r="T49" s="32" t="n">
        <x:f>IF(O49="","",(1/'Metadata'!$B$5)^(O49-1))</x:f>
        <x:v>891.2509381337459</x:v>
      </x:c>
      <x:c r="U49" s="31" t="n">
        <x:f>IF(T49="","",I49*T49)</x:f>
        <x:v>3538.055892734575</x:v>
      </x:c>
    </x:row>
    <x:row r="50" ht="18" customHeight="1">
      <x:c r="A50" s="24" t="str">
        <x:v>EEZ_388</x:v>
      </x:c>
      <x:c r="B50" s="24" t="str">
        <x:v>Jamaica</x:v>
      </x:c>
      <x:c r="C50" s="24" t="str">
        <x:v>EEZ</x:v>
      </x:c>
      <x:c r="D50" s="30" t="n">
        <x:v>2019</x:v>
      </x:c>
      <x:c r="E50" s="24" t="str">
        <x:v>Makaira nigricans</x:v>
      </x:c>
      <x:c r="F50" s="24" t="str">
        <x:v>Blue marlin</x:v>
      </x:c>
      <x:c r="G50" s="24" t="str">
        <x:v>Large pelagics (&gt;=90 cm)</x:v>
      </x:c>
      <x:c r="H50" s="24" t="str">
        <x:v>Tuna &amp; billfishes</x:v>
      </x:c>
      <x:c r="I50" s="31" t="n">
        <x:v>2.9312446</x:v>
      </x:c>
      <x:c r="J50" s="31" t="n">
        <x:v>2.9312446</x:v>
      </x:c>
      <x:c r="K50" s="31" t="n">
        <x:v>0</x:v>
      </x:c>
      <x:c r="L50" s="31" t="n">
        <x:v>0</x:v>
      </x:c>
      <x:c r="M50" s="31" t="n">
        <x:v>2.9312446</x:v>
      </x:c>
      <x:c r="N50" s="24" t="str">
        <x:v>makaira nigricans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Makaira nigricans</x:v>
      </x:c>
      <x:c r="T50" s="32" t="n">
        <x:f>IF(O50="","",(1/'Metadata'!$B$5)^(O50-1))</x:f>
        <x:v>3090.295432513592</x:v>
      </x:c>
      <x:c r="U50" s="31" t="n">
        <x:f>IF(T50="","",I50*T50)</x:f>
        <x:v>9058.41179896013</x:v>
      </x:c>
    </x:row>
    <x:row r="51" ht="18" customHeight="1">
      <x:c r="A51" s="24" t="str">
        <x:v>EEZ_388</x:v>
      </x:c>
      <x:c r="B51" s="24" t="str">
        <x:v>Jamaica</x:v>
      </x:c>
      <x:c r="C51" s="24" t="str">
        <x:v>EEZ</x:v>
      </x:c>
      <x:c r="D51" s="30" t="n">
        <x:v>2019</x:v>
      </x:c>
      <x:c r="E51" s="24" t="str">
        <x:v>Caranx hippos</x:v>
      </x:c>
      <x:c r="F51" s="24" t="str">
        <x:v>Crevalle jack</x:v>
      </x:c>
      <x:c r="G51" s="24" t="str">
        <x:v>Large reef assoc. fish (&gt;=90 cm)</x:v>
      </x:c>
      <x:c r="H51" s="24" t="str">
        <x:v>Perch-likes</x:v>
      </x:c>
      <x:c r="I51" s="31" t="n">
        <x:v>2.1805662</x:v>
      </x:c>
      <x:c r="J51" s="31" t="n">
        <x:v>2.1805662</x:v>
      </x:c>
      <x:c r="K51" s="31" t="n">
        <x:v>0</x:v>
      </x:c>
      <x:c r="L51" s="31" t="n">
        <x:v>2.1805662</x:v>
      </x:c>
      <x:c r="M51" s="31" t="n">
        <x:v>0</x:v>
      </x:c>
      <x:c r="N51" s="24" t="str">
        <x:v>caranx hippos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Caranx hippos</x:v>
      </x:c>
      <x:c r="T51" s="32" t="n">
        <x:f>IF(O51="","",(1/'Metadata'!$B$5)^(O51-1))</x:f>
        <x:v>363.0780547701014</x:v>
      </x:c>
      <x:c r="U51" s="31" t="n">
        <x:f>IF(T51="","",I51*T51)</x:f>
        <x:v>791.7157341934319</x:v>
      </x:c>
    </x:row>
    <x:row r="52" ht="18" customHeight="1">
      <x:c r="A52" s="24" t="str">
        <x:v>EEZ_388</x:v>
      </x:c>
      <x:c r="B52" s="24" t="str">
        <x:v>Jamaica</x:v>
      </x:c>
      <x:c r="C52" s="24" t="str">
        <x:v>EEZ</x:v>
      </x:c>
      <x:c r="D52" s="30" t="n">
        <x:v>2019</x:v>
      </x:c>
      <x:c r="E52" s="24" t="str">
        <x:v>Archosargus rhomboidalis</x:v>
      </x:c>
      <x:c r="F52" s="24" t="str">
        <x:v>Western Atlantic seabream</x:v>
      </x:c>
      <x:c r="G52" s="24" t="str">
        <x:v>Medium reef assoc. fish (30 - 89 cm)</x:v>
      </x:c>
      <x:c r="H52" s="24" t="str">
        <x:v>Perch-likes</x:v>
      </x:c>
      <x:c r="I52" s="31" t="n">
        <x:v>1.265424174</x:v>
      </x:c>
      <x:c r="J52" s="31" t="n">
        <x:v>1.265424174</x:v>
      </x:c>
      <x:c r="K52" s="31" t="n">
        <x:v>0</x:v>
      </x:c>
      <x:c r="L52" s="31" t="n">
        <x:v>1.265424174</x:v>
      </x:c>
      <x:c r="M52" s="31" t="n">
        <x:v>0</x:v>
      </x:c>
      <x:c r="N52" s="24" t="str">
        <x:v>archosargus rhomboidalis</x:v>
      </x:c>
      <x:c r="O52" s="32" t="n">
        <x:v>2.89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Archosargus rhomboidalis</x:v>
      </x:c>
      <x:c r="T52" s="32" t="n">
        <x:f>IF(O52="","",(1/'Metadata'!$B$5)^(O52-1))</x:f>
        <x:v>77.6247116628692</x:v>
      </x:c>
      <x:c r="U52" s="31" t="n">
        <x:f>IF(T52="","",I52*T52)</x:f>
        <x:v>98.22818663797443</x:v>
      </x:c>
    </x:row>
    <x:row r="53" ht="18" customHeight="1">
      <x:c r="A53" s="24" t="str">
        <x:v>EEZ_388</x:v>
      </x:c>
      <x:c r="B53" s="24" t="str">
        <x:v>Jamaica</x:v>
      </x:c>
      <x:c r="C53" s="24" t="str">
        <x:v>EEZ</x:v>
      </x:c>
      <x:c r="D53" s="30" t="n">
        <x:v>2019</x:v>
      </x:c>
      <x:c r="E53" s="24" t="str">
        <x:v>Mycteroperca venenosa</x:v>
      </x:c>
      <x:c r="F53" s="24" t="str">
        <x:v>Yellowfin grouper</x:v>
      </x:c>
      <x:c r="G53" s="24" t="str">
        <x:v>Medium reef assoc. fish (30 - 89 cm)</x:v>
      </x:c>
      <x:c r="H53" s="24" t="str">
        <x:v>Perch-likes</x:v>
      </x:c>
      <x:c r="I53" s="31" t="n">
        <x:v>0.95989061</x:v>
      </x:c>
      <x:c r="J53" s="31" t="n">
        <x:v>0.95989061</x:v>
      </x:c>
      <x:c r="K53" s="31" t="n">
        <x:v>0</x:v>
      </x:c>
      <x:c r="L53" s="31" t="n">
        <x:v>0.95989061</x:v>
      </x:c>
      <x:c r="M53" s="31" t="n">
        <x:v>0</x:v>
      </x:c>
      <x:c r="N53" s="24" t="str">
        <x:v>mycteroperca venenosa</x:v>
      </x:c>
      <x:c r="O53" s="32" t="n">
        <x:v>4.48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Mycteroperca venenosa</x:v>
      </x:c>
      <x:c r="T53" s="32" t="n">
        <x:f>IF(O53="","",(1/'Metadata'!$B$5)^(O53-1))</x:f>
        <x:v>3019.951720402019</x:v>
      </x:c>
      <x:c r="U53" s="31" t="n">
        <x:f>IF(T53="","",I53*T53)</x:f>
        <x:v>2898.823299067243</x:v>
      </x:c>
    </x:row>
    <x:row r="54" ht="18" customHeight="1">
      <x:c r="A54" s="24" t="str">
        <x:v>EEZ_388</x:v>
      </x:c>
      <x:c r="B54" s="24" t="str">
        <x:v>Jamaica</x:v>
      </x:c>
      <x:c r="C54" s="24" t="str">
        <x:v>EEZ</x:v>
      </x:c>
      <x:c r="D54" s="30" t="n">
        <x:v>2019</x:v>
      </x:c>
      <x:c r="E54" s="24" t="str">
        <x:v>Coryphaena</x:v>
      </x:c>
      <x:c r="F54" s="24" t="str">
        <x:v>Dolphinfishes</x:v>
      </x:c>
      <x:c r="G54" s="24" t="str">
        <x:v>Large pelagics (&gt;=90 cm)</x:v>
      </x:c>
      <x:c r="H54" s="24" t="str">
        <x:v>Perch-likes</x:v>
      </x:c>
      <x:c r="I54" s="31" t="n">
        <x:v>0.8378464</x:v>
      </x:c>
      <x:c r="J54" s="31" t="n">
        <x:v>0.8378464</x:v>
      </x:c>
      <x:c r="K54" s="31" t="n">
        <x:v>0</x:v>
      </x:c>
      <x:c r="L54" s="31" t="n">
        <x:v>0</x:v>
      </x:c>
      <x:c r="M54" s="31" t="n">
        <x:v>0.8378464</x:v>
      </x:c>
      <x:c r="N54" s="24" t="str">
        <x:v>coryphaena</x:v>
      </x:c>
      <x:c r="O54" s="32" t="n">
        <x:v>4.49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Coryphaena</x:v>
      </x:c>
      <x:c r="T54" s="32" t="n">
        <x:f>IF(O54="","",(1/'Metadata'!$B$5)^(O54-1))</x:f>
        <x:v>3090.295432513592</x:v>
      </x:c>
      <x:c r="U54" s="31" t="n">
        <x:f>IF(T54="","",I54*T54)</x:f>
        <x:v>2589.192903067956</x:v>
      </x:c>
    </x:row>
    <x:row r="55" ht="18" customHeight="1">
      <x:c r="A55" s="24" t="str">
        <x:v>EEZ_388</x:v>
      </x:c>
      <x:c r="B55" s="24" t="str">
        <x:v>Jamaica</x:v>
      </x:c>
      <x:c r="C55" s="24" t="str">
        <x:v>EEZ</x:v>
      </x:c>
      <x:c r="D55" s="30" t="n">
        <x:v>2019</x:v>
      </x:c>
      <x:c r="E55" s="24" t="str">
        <x:v>Seriola rivoliana</x:v>
      </x:c>
      <x:c r="F55" s="24" t="str">
        <x:v>Longfin yellowtail</x:v>
      </x:c>
      <x:c r="G55" s="24" t="str">
        <x:v>Large benthopelagics (&gt;=90 cm)</x:v>
      </x:c>
      <x:c r="H55" s="24" t="str">
        <x:v>Perch-likes</x:v>
      </x:c>
      <x:c r="I55" s="31" t="n">
        <x:v>0.770360674</x:v>
      </x:c>
      <x:c r="J55" s="31" t="n">
        <x:v>0.770360674</x:v>
      </x:c>
      <x:c r="K55" s="31" t="n">
        <x:v>0</x:v>
      </x:c>
      <x:c r="L55" s="31" t="n">
        <x:v>0.770360674</x:v>
      </x:c>
      <x:c r="M55" s="31" t="n">
        <x:v>0</x:v>
      </x:c>
      <x:c r="N55" s="24" t="str">
        <x:v>seriola rivoliana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Seriola rivoliana</x:v>
      </x:c>
      <x:c r="T55" s="32" t="n">
        <x:f>IF(O55="","",(1/'Metadata'!$B$5)^(O55-1))</x:f>
        <x:v>2818.382931264455</x:v>
      </x:c>
      <x:c r="U55" s="31" t="n">
        <x:f>IF(T55="","",I55*T55)</x:f>
        <x:v>2171.171374518981</x:v>
      </x:c>
    </x:row>
    <x:row r="56" ht="18" customHeight="1">
      <x:c r="A56" s="24" t="str">
        <x:v>EEZ_388</x:v>
      </x:c>
      <x:c r="B56" s="24" t="str">
        <x:v>Jamaica</x:v>
      </x:c>
      <x:c r="C56" s="24" t="str">
        <x:v>EEZ</x:v>
      </x:c>
      <x:c r="D56" s="30" t="n">
        <x:v>2019</x:v>
      </x:c>
      <x:c r="E56" s="24" t="str">
        <x:v>Elagatis bipinnulata</x:v>
      </x:c>
      <x:c r="F56" s="24" t="str">
        <x:v>Rainbow runner</x:v>
      </x:c>
      <x:c r="G56" s="24" t="str">
        <x:v>Large pelagics (&gt;=90 cm)</x:v>
      </x:c>
      <x:c r="H56" s="24" t="str">
        <x:v>Perch-likes</x:v>
      </x:c>
      <x:c r="I56" s="31" t="n">
        <x:v>0.429998617</x:v>
      </x:c>
      <x:c r="J56" s="31" t="n">
        <x:v>0.429998617</x:v>
      </x:c>
      <x:c r="K56" s="31" t="n">
        <x:v>0</x:v>
      </x:c>
      <x:c r="L56" s="31" t="n">
        <x:v>0.429998617</x:v>
      </x:c>
      <x:c r="M56" s="31" t="n">
        <x:v>0</x:v>
      </x:c>
      <x:c r="N56" s="24" t="str">
        <x:v>elagatis bipinnulata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Elagatis bipinnulata</x:v>
      </x:c>
      <x:c r="T56" s="32" t="n">
        <x:f>IF(O56="","",(1/'Metadata'!$B$5)^(O56-1))</x:f>
        <x:v>1862.0871366628655</x:v>
      </x:c>
      <x:c r="U56" s="31" t="n">
        <x:f>IF(T56="","",I56*T56)</x:f>
        <x:v>800.6948934985222</x:v>
      </x:c>
    </x:row>
    <x:row r="57" ht="18" customHeight="1">
      <x:c r="A57" s="24" t="str">
        <x:v>EEZ_388</x:v>
      </x:c>
      <x:c r="B57" s="24" t="str">
        <x:v>Jamaica</x:v>
      </x:c>
      <x:c r="C57" s="24" t="str">
        <x:v>EEZ</x:v>
      </x:c>
      <x:c r="D57" s="30" t="n">
        <x:v>2019</x:v>
      </x:c>
      <x:c r="E57" s="24" t="str">
        <x:v>Rhomboplites aurorubens</x:v>
      </x:c>
      <x:c r="F57" s="24" t="str">
        <x:v>Vermilion snapper</x:v>
      </x:c>
      <x:c r="G57" s="24" t="str">
        <x:v>Medium demersals (30 - 89 cm)</x:v>
      </x:c>
      <x:c r="H57" s="24" t="str">
        <x:v>Perch-likes</x:v>
      </x:c>
      <x:c r="I57" s="31" t="n">
        <x:v>0.174663351</x:v>
      </x:c>
      <x:c r="J57" s="31" t="n">
        <x:v>0.174663351</x:v>
      </x:c>
      <x:c r="K57" s="31" t="n">
        <x:v>0</x:v>
      </x:c>
      <x:c r="L57" s="31" t="n">
        <x:v>0.174663351</x:v>
      </x:c>
      <x:c r="M57" s="31" t="n">
        <x:v>0</x:v>
      </x:c>
      <x:c r="N57" s="24" t="str">
        <x:v>rhomboplites aurorubens</x:v>
      </x:c>
      <x:c r="O57" s="32" t="n">
        <x:v>4.36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Rhomboplites aurorubens</x:v>
      </x:c>
      <x:c r="T57" s="32" t="n">
        <x:f>IF(O57="","",(1/'Metadata'!$B$5)^(O57-1))</x:f>
        <x:v>2290.867652767775</x:v>
      </x:c>
      <x:c r="U57" s="31" t="n">
        <x:f>IF(T57="","",I57*T57)</x:f>
        <x:v>400.13062092992396</x:v>
      </x:c>
    </x:row>
    <x:row r="58" ht="18" customHeight="1">
      <x:c r="A58" s="24" t="str">
        <x:v>EEZ_388</x:v>
      </x:c>
      <x:c r="B58" s="24" t="str">
        <x:v>Jamaica</x:v>
      </x:c>
      <x:c r="C58" s="24" t="str">
        <x:v>EEZ</x:v>
      </x:c>
      <x:c r="D58" s="30" t="n">
        <x:v>2019</x:v>
      </x:c>
      <x:c r="E58" s="24" t="str">
        <x:v>Pristipomoides macrophthalmus</x:v>
      </x:c>
      <x:c r="F58" s="24" t="str">
        <x:v>Cardinal snapper</x:v>
      </x:c>
      <x:c r="G58" s="24" t="str">
        <x:v>Medium benthopelagics (30 - 89 cm)</x:v>
      </x:c>
      <x:c r="H58" s="24" t="str">
        <x:v>Perch-likes</x:v>
      </x:c>
      <x:c r="I58" s="31" t="n">
        <x:v>0.021832919</x:v>
      </x:c>
      <x:c r="J58" s="31" t="n">
        <x:v>0.021832919</x:v>
      </x:c>
      <x:c r="K58" s="31" t="n">
        <x:v>0</x:v>
      </x:c>
      <x:c r="L58" s="31" t="n">
        <x:v>0.021832919</x:v>
      </x:c>
      <x:c r="M58" s="31" t="n">
        <x:v>0</x:v>
      </x:c>
      <x:c r="N58" s="24" t="str">
        <x:v>pristipomoides macrophthalmus</x:v>
      </x:c>
      <x:c r="O58" s="32" t="n">
        <x:v>3.87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Pristipomoides macrophthalmus</x:v>
      </x:c>
      <x:c r="T58" s="32" t="n">
        <x:f>IF(O58="","",(1/'Metadata'!$B$5)^(O58-1))</x:f>
        <x:v>741.3102413009177</x:v>
      </x:c>
      <x:c r="U58" s="31" t="n">
        <x:f>IF(T58="","",I58*T58)</x:f>
        <x:v>16.18496645219339</x:v>
      </x:c>
    </x:row>
    <x:row r="59" ht="18" customHeight="1">
      <x:c r="A59" s="24" t="str">
        <x:v>EEZ_388</x:v>
      </x:c>
      <x:c r="B59" s="24" t="str">
        <x:v>Jamaica</x:v>
      </x:c>
      <x:c r="C59" s="24" t="str">
        <x:v>EEZ</x:v>
      </x:c>
      <x:c r="D59" s="30" t="n">
        <x:v>2019</x:v>
      </x:c>
      <x:c r="E59" s="24" t="str">
        <x:v>Selar crumenophthalmus</x:v>
      </x:c>
      <x:c r="F59" s="24" t="str">
        <x:v>Bigeye scad</x:v>
      </x:c>
      <x:c r="G59" s="24" t="str">
        <x:v>Medium pelagics (30 - 89 cm)</x:v>
      </x:c>
      <x:c r="H59" s="24" t="str">
        <x:v>Perch-likes</x:v>
      </x:c>
      <x:c r="I59" s="31" t="n">
        <x:v>0.009734287</x:v>
      </x:c>
      <x:c r="J59" s="31" t="n">
        <x:v>0.009734287</x:v>
      </x:c>
      <x:c r="K59" s="31" t="n">
        <x:v>0</x:v>
      </x:c>
      <x:c r="L59" s="31" t="n">
        <x:v>0.009734287</x:v>
      </x:c>
      <x:c r="M59" s="31" t="n">
        <x:v>0</x:v>
      </x:c>
      <x:c r="N59" s="24" t="str">
        <x:v>selar crumenophthalmus</x:v>
      </x:c>
      <x:c r="O59" s="32" t="n">
        <x:v>3.81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Selar crumenophthalmus</x:v>
      </x:c>
      <x:c r="T59" s="32" t="n">
        <x:f>IF(O59="","",(1/'Metadata'!$B$5)^(O59-1))</x:f>
        <x:v>645.6542290346556</x:v>
      </x:c>
      <x:c r="U59" s="31" t="n">
        <x:f>IF(T59="","",I59*T59)</x:f>
        <x:v>6.28498356818707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406b9b985d54e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229</x:v>
      </x:c>
      <x:c r="E2" s="31" t="n">
        <x:v>229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IF(C2=0,"",SUMIF('Species'!$H$2:$H$59,A2,'Species'!$U$2:$U$59))</x:f>
        <x:v>36294.054107359516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36294.054107359516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Herring-likes</x:v>
      </x:c>
      <x:c r="B3" s="33" t="n">
        <x:v>2</x:v>
      </x:c>
      <x:c r="C3" s="33" t="n">
        <x:v>2</x:v>
      </x:c>
      <x:c r="D3" s="31" t="n">
        <x:v>743.288216721</x:v>
      </x:c>
      <x:c r="E3" s="31" t="n">
        <x:v>743.288216721</x:v>
      </x:c>
      <x:c r="F3" s="32" t="n">
        <x:v>0</x:v>
      </x:c>
      <x:c r="G3" s="34" t="n">
        <x:v>1</x:v>
      </x:c>
      <x:c r="H3" s="32" t="n">
        <x:f>IF(E3=0,"",I3/E3)</x:f>
        <x:v>3011.390976034193</x:v>
      </x:c>
      <x:c r="I3" s="31" t="n">
        <x:f>IF(C3=0,"",SUMIF('Species'!$H$2:$H$59,A3,'Species'!$U$2:$U$59))</x:f>
        <x:v>2238331.428426167</x:v>
      </x:c>
      <x:c r="J3" s="32" t="n">
        <x:v>4.433000000009104</x:v>
      </x:c>
      <x:c r="K3" s="32" t="n">
        <x:f>IF(J3="","",(1/'Metadata'!$B$5)^(J3-1))</x:f>
        <x:v>2710.1916319476536</x:v>
      </x:c>
      <x:c r="L3" s="31" t="n">
        <x:f>IF(E3=0,"",E3*K3)</x:f>
        <x:v>2014453.5050825484</x:v>
      </x:c>
      <x:c r="M3" s="31" t="n">
        <x:f>IF(E3=0,"",I3-L3)</x:f>
        <x:v>223877.92334361863</x:v>
      </x:c>
      <x:c r="N3" s="32" t="n">
        <x:f>IF(L3=0,"",I3/L3)</x:f>
        <x:v>1.111135810669626</x:v>
      </x:c>
      <x:c r="O3" s="34" t="n">
        <x:f>IF(L3=0,"",M3/L3)</x:f>
        <x:v>0.11113581066962604</x:v>
      </x:c>
    </x:row>
    <x:row r="4" ht="18" customHeight="1">
      <x:c r="A4" s="24" t="str">
        <x:v>Other fishes &amp; inverts</x:v>
      </x:c>
      <x:c r="B4" s="33" t="n">
        <x:v>5</x:v>
      </x:c>
      <x:c r="C4" s="33" t="n">
        <x:v>5</x:v>
      </x:c>
      <x:c r="D4" s="31" t="n">
        <x:v>11065.517437829</x:v>
      </x:c>
      <x:c r="E4" s="31" t="n">
        <x:v>11065.517437829</x:v>
      </x:c>
      <x:c r="F4" s="32" t="n">
        <x:v>0</x:v>
      </x:c>
      <x:c r="G4" s="34" t="n">
        <x:v>1</x:v>
      </x:c>
      <x:c r="H4" s="32" t="n">
        <x:f>IF(E4=0,"",I4/E4)</x:f>
        <x:v>200.8465457534375</x:v>
      </x:c>
      <x:c r="I4" s="31" t="n">
        <x:f>IF(C4=0,"",SUMIF('Species'!$H$2:$H$59,A4,'Species'!$U$2:$U$59))</x:f>
        <x:v>2222470.9543623826</x:v>
      </x:c>
      <x:c r="J4" s="32" t="n">
        <x:v>3.286696759965816</x:v>
      </x:c>
      <x:c r="K4" s="32" t="n">
        <x:f>IF(J4="","",(1/'Metadata'!$B$5)^(J4-1))</x:f>
        <x:v>193.5070356379874</x:v>
      </x:c>
      <x:c r="L4" s="31" t="n">
        <x:f>IF(E4=0,"",E4*K4)</x:f>
        <x:v>2141255.4771947474</x:v>
      </x:c>
      <x:c r="M4" s="31" t="n">
        <x:f>IF(E4=0,"",I4-L4)</x:f>
        <x:v>81215.47716763522</x:v>
      </x:c>
      <x:c r="N4" s="32" t="n">
        <x:f>IF(L4=0,"",I4/L4)</x:f>
        <x:v>1.0379289057436694</x:v>
      </x:c>
      <x:c r="O4" s="34" t="n">
        <x:f>IF(L4=0,"",M4/L4)</x:f>
        <x:v>0.03792890574366931</x:v>
      </x:c>
    </x:row>
    <x:row r="5" ht="18" customHeight="1">
      <x:c r="A5" s="24" t="str">
        <x:v>Perch-likes</x:v>
      </x:c>
      <x:c r="B5" s="33" t="n">
        <x:v>44</x:v>
      </x:c>
      <x:c r="C5" s="33" t="n">
        <x:v>44</x:v>
      </x:c>
      <x:c r="D5" s="31" t="n">
        <x:v>12122.476685813997</x:v>
      </x:c>
      <x:c r="E5" s="31" t="n">
        <x:v>12122.476685813997</x:v>
      </x:c>
      <x:c r="F5" s="32" t="n">
        <x:v>0</x:v>
      </x:c>
      <x:c r="G5" s="34" t="n">
        <x:v>1</x:v>
      </x:c>
      <x:c r="H5" s="32" t="n">
        <x:f>IF(E5=0,"",I5/E5)</x:f>
        <x:v>1129.3404450970022</x:v>
      </x:c>
      <x:c r="I5" s="31" t="n">
        <x:f>IF(C5=0,"",SUMIF('Species'!$H$2:$H$59,A5,'Species'!$U$2:$U$59))</x:f>
        <x:v>13690403.216035211</x:v>
      </x:c>
      <x:c r="J5" s="32" t="n">
        <x:v>3.6930891512477544</x:v>
      </x:c>
      <x:c r="K5" s="32" t="n">
        <x:f>IF(J5="","",(1/'Metadata'!$B$5)^(J5-1))</x:f>
        <x:v>493.2750522435185</x:v>
      </x:c>
      <x:c r="L5" s="31" t="n">
        <x:f>IF(E5=0,"",E5*K5)</x:f>
        <x:v>5979715.320515734</x:v>
      </x:c>
      <x:c r="M5" s="31" t="n">
        <x:f>IF(E5=0,"",I5-L5)</x:f>
        <x:v>7710687.895519477</x:v>
      </x:c>
      <x:c r="N5" s="32" t="n">
        <x:f>IF(L5=0,"",I5/L5)</x:f>
        <x:v>2.2894740773135087</x:v>
      </x:c>
      <x:c r="O5" s="34" t="n">
        <x:f>IF(L5=0,"",M5/L5)</x:f>
        <x:v>1.2894740773135085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584.5070427</x:v>
      </x:c>
      <x:c r="E6" s="31" t="n">
        <x:v>584.5070427</x:v>
      </x:c>
      <x:c r="F6" s="32" t="n">
        <x:v>0</x:v>
      </x:c>
      <x:c r="G6" s="34" t="n">
        <x:v>1</x:v>
      </x:c>
      <x:c r="H6" s="32" t="n">
        <x:f>IF(E6=0,"",I6/E6)</x:f>
        <x:v>1737.8008287493763</x:v>
      </x:c>
      <x:c r="I6" s="31" t="n">
        <x:f>IF(C6=0,"",SUMIF('Species'!$H$2:$H$59,A6,'Species'!$U$2:$U$59))</x:f>
        <x:v>1015756.8232139072</x:v>
      </x:c>
      <x:c r="J6" s="32" t="n">
        <x:v>4.24</x:v>
      </x:c>
      <x:c r="K6" s="32" t="n">
        <x:f>IF(J6="","",(1/'Metadata'!$B$5)^(J6-1))</x:f>
        <x:v>1737.8008287493763</x:v>
      </x:c>
      <x:c r="L6" s="31" t="n">
        <x:f>IF(E6=0,"",E6*K6)</x:f>
        <x:v>1015756.8232139072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5</x:v>
      </x:c>
      <x:c r="C7" s="33" t="n">
        <x:v>5</x:v>
      </x:c>
      <x:c r="D7" s="31" t="n">
        <x:v>58.330119448</x:v>
      </x:c>
      <x:c r="E7" s="31" t="n">
        <x:v>58.330119448</x:v>
      </x:c>
      <x:c r="F7" s="32" t="n">
        <x:v>0</x:v>
      </x:c>
      <x:c r="G7" s="34" t="n">
        <x:v>1</x:v>
      </x:c>
      <x:c r="H7" s="32" t="n">
        <x:f>IF(E7=0,"",I7/E7)</x:f>
        <x:v>2669.9765455936713</x:v>
      </x:c>
      <x:c r="I7" s="31" t="n">
        <x:f>IF(C7=0,"",SUMIF('Species'!$H$2:$H$59,A7,'Species'!$U$2:$U$59))</x:f>
        <x:v>155740.05082783726</x:v>
      </x:c>
      <x:c r="J7" s="32" t="n">
        <x:v>4.423517687327607</x:v>
      </x:c>
      <x:c r="K7" s="32" t="n">
        <x:f>IF(J7="","",(1/'Metadata'!$B$5)^(J7-1))</x:f>
        <x:v>2651.659083807689</x:v>
      </x:c>
      <x:c r="L7" s="31" t="n">
        <x:f>IF(E7=0,"",E7*K7)</x:f>
        <x:v>154671.59109387675</x:v>
      </x:c>
      <x:c r="M7" s="31" t="n">
        <x:f>IF(E7=0,"",I7-L7)</x:f>
        <x:v>1068.4597339605098</x:v>
      </x:c>
      <x:c r="N7" s="32" t="n">
        <x:f>IF(L7=0,"",I7/L7)</x:f>
        <x:v>1.0069079248904347</x:v>
      </x:c>
      <x:c r="O7" s="34" t="n">
        <x:f>IF(L7=0,"",M7/L7)</x:f>
        <x:v>0.006907924890434574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56ec66a194b41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5.069221999000001</x:v>
      </x:c>
      <x:c r="E2" s="31" t="n">
        <x:v>5.069221999000001</x:v>
      </x:c>
      <x:c r="F2" s="32" t="n">
        <x:v>0</x:v>
      </x:c>
      <x:c r="G2" s="34" t="n">
        <x:v>1</x:v>
      </x:c>
      <x:c r="H2" s="32" t="n">
        <x:f>IF(E2=0,"",I2/E2)</x:f>
        <x:v>3110.016588312435</x:v>
      </x:c>
      <x:c r="I2" s="31" t="n">
        <x:f>IF(C2=0,"",SUMIF('Species'!$G$2:$G$59,A2,'Species'!$U$2:$U$59))</x:f>
        <x:v>15765.364506728323</x:v>
      </x:c>
      <x:c r="J2" s="32" t="n">
        <x:v>4.49240158870383</x:v>
      </x:c>
      <x:c r="K2" s="32" t="n">
        <x:f>IF(J2="","",(1/'Metadata'!$B$5)^(J2-1))</x:f>
        <x:v>3107.431677743649</x:v>
      </x:c>
      <x:c r="L2" s="31" t="n">
        <x:f>IF(E2=0,"",E2*K2)</x:f>
        <x:v>15752.261021207585</x:v>
      </x:c>
      <x:c r="M2" s="31" t="n">
        <x:f>IF(E2=0,"",I2-L2)</x:f>
        <x:v>13.103485520738104</x:v>
      </x:c>
      <x:c r="N2" s="32" t="n">
        <x:f>IF(L2=0,"",I2/L2)</x:f>
        <x:v>1.00083184791714</x:v>
      </x:c>
      <x:c r="O2" s="34" t="n">
        <x:f>IF(L2=0,"",M2/L2)</x:f>
        <x:v>0.0008318479171400613</x:v>
      </x:c>
    </x:row>
    <x:row r="3" ht="18" customHeight="1">
      <x:c r="A3" s="24" t="str">
        <x:v>Large pelagics (&gt;=90 cm)</x:v>
      </x:c>
      <x:c r="B3" s="33" t="n">
        <x:v>12</x:v>
      </x:c>
      <x:c r="C3" s="33" t="n">
        <x:v>12</x:v>
      </x:c>
      <x:c r="D3" s="31" t="n">
        <x:v>167.591525893</x:v>
      </x:c>
      <x:c r="E3" s="31" t="n">
        <x:v>167.591525893</x:v>
      </x:c>
      <x:c r="F3" s="32" t="n">
        <x:v>0</x:v>
      </x:c>
      <x:c r="G3" s="34" t="n">
        <x:v>1</x:v>
      </x:c>
      <x:c r="H3" s="32" t="n">
        <x:f>IF(E3=0,"",I3/E3)</x:f>
        <x:v>2552.7274846983682</x:v>
      </x:c>
      <x:c r="I3" s="31" t="n">
        <x:f>IF(C3=0,"",SUMIF('Species'!$G$2:$G$59,A3,'Species'!$U$2:$U$59))</x:f>
        <x:v>427815.49434959935</x:v>
      </x:c>
      <x:c r="J3" s="32" t="n">
        <x:v>4.396751285194708</x:v>
      </x:c>
      <x:c r="K3" s="32" t="n">
        <x:f>IF(J3="","",(1/'Metadata'!$B$5)^(J3-1))</x:f>
        <x:v>2493.166513963441</x:v>
      </x:c>
      <x:c r="L3" s="31" t="n">
        <x:f>IF(E3=0,"",E3*K3)</x:f>
        <x:v>417833.5803804646</x:v>
      </x:c>
      <x:c r="M3" s="31" t="n">
        <x:f>IF(E3=0,"",I3-L3)</x:f>
        <x:v>9981.913969134737</x:v>
      </x:c>
      <x:c r="N3" s="32" t="n">
        <x:f>IF(L3=0,"",I3/L3)</x:f>
        <x:v>1.0238896882343578</x:v>
      </x:c>
      <x:c r="O3" s="34" t="n">
        <x:f>IF(L3=0,"",M3/L3)</x:f>
        <x:v>0.0238896882343577</x:v>
      </x:c>
    </x:row>
    <x:row r="4" ht="18" customHeight="1">
      <x:c r="A4" s="24" t="str">
        <x:v>Large reef assoc. fish (&gt;=90 cm)</x:v>
      </x:c>
      <x:c r="B4" s="33" t="n">
        <x:v>7</x:v>
      </x:c>
      <x:c r="C4" s="33" t="n">
        <x:v>7</x:v>
      </x:c>
      <x:c r="D4" s="31" t="n">
        <x:v>250.460721659</x:v>
      </x:c>
      <x:c r="E4" s="31" t="n">
        <x:v>250.460721659</x:v>
      </x:c>
      <x:c r="F4" s="32" t="n">
        <x:v>0</x:v>
      </x:c>
      <x:c r="G4" s="34" t="n">
        <x:v>1</x:v>
      </x:c>
      <x:c r="H4" s="32" t="n">
        <x:f>IF(E4=0,"",I4/E4)</x:f>
        <x:v>1514.639755700373</x:v>
      </x:c>
      <x:c r="I4" s="31" t="n">
        <x:f>IF(C4=0,"",SUMIF('Species'!$G$2:$G$59,A4,'Species'!$U$2:$U$59))</x:f>
        <x:v>379357.7662661269</x:v>
      </x:c>
      <x:c r="J4" s="32" t="n">
        <x:v>4.157725300714914</x:v>
      </x:c>
      <x:c r="K4" s="32" t="n">
        <x:f>IF(J4="","",(1/'Metadata'!$B$5)^(J4-1))</x:f>
        <x:v>1437.8887993240169</x:v>
      </x:c>
      <x:c r="L4" s="31" t="n">
        <x:f>IF(E4=0,"",E4*K4)</x:f>
        <x:v>360134.6663440863</x:v>
      </x:c>
      <x:c r="M4" s="31" t="n">
        <x:f>IF(E4=0,"",I4-L4)</x:f>
        <x:v>19223.099922040594</x:v>
      </x:c>
      <x:c r="N4" s="32" t="n">
        <x:f>IF(L4=0,"",I4/L4)</x:f>
        <x:v>1.0533775326801618</x:v>
      </x:c>
      <x:c r="O4" s="34" t="n">
        <x:f>IF(L4=0,"",M4/L4)</x:f>
        <x:v>0.053377532680161696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584.5070427</x:v>
      </x:c>
      <x:c r="E5" s="31" t="n">
        <x:v>584.5070427</x:v>
      </x:c>
      <x:c r="F5" s="32" t="n">
        <x:v>0</x:v>
      </x:c>
      <x:c r="G5" s="34" t="n">
        <x:v>1</x:v>
      </x:c>
      <x:c r="H5" s="32" t="n">
        <x:f>IF(E5=0,"",I5/E5)</x:f>
        <x:v>1737.8008287493763</x:v>
      </x:c>
      <x:c r="I5" s="31" t="n">
        <x:f>IF(C5=0,"",SUMIF('Species'!$G$2:$G$59,A5,'Species'!$U$2:$U$59))</x:f>
        <x:v>1015756.8232139072</x:v>
      </x:c>
      <x:c r="J5" s="32" t="n">
        <x:v>4.24</x:v>
      </x:c>
      <x:c r="K5" s="32" t="n">
        <x:f>IF(J5="","",(1/'Metadata'!$B$5)^(J5-1))</x:f>
        <x:v>1737.8008287493763</x:v>
      </x:c>
      <x:c r="L5" s="31" t="n">
        <x:f>IF(E5=0,"",E5*K5)</x:f>
        <x:v>1015756.8232139072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229</x:v>
      </x:c>
      <x:c r="E6" s="31" t="n">
        <x:v>229</x:v>
      </x:c>
      <x:c r="F6" s="32" t="n">
        <x:v>0</x:v>
      </x:c>
      <x:c r="G6" s="34" t="n">
        <x:v>1</x:v>
      </x:c>
      <x:c r="H6" s="32" t="n">
        <x:f>IF(E6=0,"",I6/E6)</x:f>
        <x:v>158.48931924611142</x:v>
      </x:c>
      <x:c r="I6" s="31" t="n">
        <x:f>IF(C6=0,"",SUMIF('Species'!$G$2:$G$59,A6,'Species'!$U$2:$U$59))</x:f>
        <x:v>36294.054107359516</x:v>
      </x:c>
      <x:c r="J6" s="32" t="n">
        <x:v>3.2</x:v>
      </x:c>
      <x:c r="K6" s="32" t="n">
        <x:f>IF(J6="","",(1/'Metadata'!$B$5)^(J6-1))</x:f>
        <x:v>158.48931924611142</x:v>
      </x:c>
      <x:c r="L6" s="31" t="n">
        <x:f>IF(E6=0,"",E6*K6)</x:f>
        <x:v>36294.054107359516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2</x:v>
      </x:c>
      <x:c r="C7" s="33" t="n">
        <x:v>2</x:v>
      </x:c>
      <x:c r="D7" s="31" t="n">
        <x:v>55.708925369999996</x:v>
      </x:c>
      <x:c r="E7" s="31" t="n">
        <x:v>55.708925369999996</x:v>
      </x:c>
      <x:c r="F7" s="32" t="n">
        <x:v>0</x:v>
      </x:c>
      <x:c r="G7" s="34" t="n">
        <x:v>1</x:v>
      </x:c>
      <x:c r="H7" s="32" t="n">
        <x:f>IF(E7=0,"",I7/E7)</x:f>
        <x:v>204.38430394021574</x:v>
      </x:c>
      <x:c r="I7" s="31" t="n">
        <x:f>IF(C7=0,"",SUMIF('Species'!$G$2:$G$59,A7,'Species'!$U$2:$U$59))</x:f>
        <x:v>11386.029935004875</x:v>
      </x:c>
      <x:c r="J7" s="32" t="n">
        <x:v>3.3102194699423624</x:v>
      </x:c>
      <x:c r="K7" s="32" t="n">
        <x:f>IF(J7="","",(1/'Metadata'!$B$5)^(J7-1))</x:f>
        <x:v>204.2769994050958</x:v>
      </x:c>
      <x:c r="L7" s="31" t="n">
        <x:f>IF(E7=0,"",E7*K7)</x:f>
        <x:v>11380.052114666016</x:v>
      </x:c>
      <x:c r="M7" s="31" t="n">
        <x:f>IF(E7=0,"",I7-L7)</x:f>
        <x:v>5.977820338859601</x:v>
      </x:c>
      <x:c r="N7" s="32" t="n">
        <x:f>IF(L7=0,"",I7/L7)</x:f>
        <x:v>1.0005252893641108</x:v>
      </x:c>
      <x:c r="O7" s="34" t="n">
        <x:f>IF(L7=0,"",M7/L7)</x:f>
        <x:v>0.0005252893641107055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10506.875406361998</x:v>
      </x:c>
      <x:c r="E8" s="31" t="n">
        <x:v>10506.875406361998</x:v>
      </x:c>
      <x:c r="F8" s="32" t="n">
        <x:v>0</x:v>
      </x:c>
      <x:c r="G8" s="34" t="n">
        <x:v>1</x:v>
      </x:c>
      <x:c r="H8" s="32" t="n">
        <x:f>IF(E8=0,"",I8/E8)</x:f>
        <x:v>184.6007700398806</x:v>
      </x:c>
      <x:c r="I8" s="31" t="n">
        <x:f>IF(C8=0,"",SUMIF('Species'!$G$2:$G$59,A8,'Species'!$U$2:$U$59))</x:f>
        <x:v>1939577.290727508</x:v>
      </x:c>
      <x:c r="J8" s="32" t="n">
        <x:v>3.2647747184630362</x:v>
      </x:c>
      <x:c r="K8" s="32" t="n">
        <x:f>IF(J8="","",(1/'Metadata'!$B$5)^(J8-1))</x:f>
        <x:v>183.98173855919327</x:v>
      </x:c>
      <x:c r="L8" s="31" t="n">
        <x:f>IF(E8=0,"",E8*K8)</x:f>
        <x:v>1933073.2040873107</x:v>
      </x:c>
      <x:c r="M8" s="31" t="n">
        <x:f>IF(E8=0,"",I8-L8)</x:f>
        <x:v>6504.086640197318</x:v>
      </x:c>
      <x:c r="N8" s="32" t="n">
        <x:f>IF(L8=0,"",I8/L8)</x:f>
        <x:v>1.003364635455318</x:v>
      </x:c>
      <x:c r="O8" s="34" t="n">
        <x:f>IF(L8=0,"",M8/L8)</x:f>
        <x:v>0.003364635455317992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988.502731467</x:v>
      </x:c>
      <x:c r="E9" s="31" t="n">
        <x:v>988.502731467</x:v>
      </x:c>
      <x:c r="F9" s="32" t="n">
        <x:v>0</x:v>
      </x:c>
      <x:c r="G9" s="34" t="n">
        <x:v>1</x:v>
      </x:c>
      <x:c r="H9" s="32" t="n">
        <x:f>IF(E9=0,"",I9/E9)</x:f>
        <x:v>1221.9274781029312</x:v>
      </x:c>
      <x:c r="I9" s="31" t="n">
        <x:f>IF(C9=0,"",SUMIF('Species'!$G$2:$G$59,A9,'Species'!$U$2:$U$59))</x:f>
        <x:v>1207878.6497593303</x:v>
      </x:c>
      <x:c r="J9" s="32" t="n">
        <x:v>4.080071320524835</x:v>
      </x:c>
      <x:c r="K9" s="32" t="n">
        <x:f>IF(J9="","",(1/'Metadata'!$B$5)^(J9-1))</x:f>
        <x:v>1202.4618885918678</x:v>
      </x:c>
      <x:c r="L9" s="31" t="n">
        <x:f>IF(E9=0,"",E9*K9)</x:f>
        <x:v>1188636.8613580288</x:v>
      </x:c>
      <x:c r="M9" s="31" t="n">
        <x:f>IF(E9=0,"",I9-L9)</x:f>
        <x:v>19241.788401301485</x:v>
      </x:c>
      <x:c r="N9" s="32" t="n">
        <x:f>IF(L9=0,"",I9/L9)</x:f>
        <x:v>1.0161881134826305</x:v>
      </x:c>
      <x:c r="O9" s="34" t="n">
        <x:f>IF(L9=0,"",M9/L9)</x:f>
        <x:v>0.01618811348263048</x:v>
      </x:c>
    </x:row>
    <x:row r="10" ht="18" customHeight="1">
      <x:c r="A10" s="24" t="str">
        <x:v>Medium reef assoc. fish (30 - 89 cm)</x:v>
      </x:c>
      <x:c r="B10" s="33" t="n">
        <x:v>20</x:v>
      </x:c>
      <x:c r="C10" s="33" t="n">
        <x:v>20</x:v>
      </x:c>
      <x:c r="D10" s="31" t="n">
        <x:v>9397.798547528999</x:v>
      </x:c>
      <x:c r="E10" s="31" t="n">
        <x:v>9397.798547528999</x:v>
      </x:c>
      <x:c r="F10" s="32" t="n">
        <x:v>0</x:v>
      </x:c>
      <x:c r="G10" s="34" t="n">
        <x:v>1</x:v>
      </x:c>
      <x:c r="H10" s="32" t="n">
        <x:f>IF(E10=0,"",I10/E10)</x:f>
        <x:v>1247.7018472546495</x:v>
      </x:c>
      <x:c r="I10" s="31" t="n">
        <x:f>IF(C10=0,"",SUMIF('Species'!$G$2:$G$59,A10,'Species'!$U$2:$U$59))</x:f>
        <x:v>11725650.607878994</x:v>
      </x:c>
      <x:c r="J10" s="32" t="n">
        <x:v>3.782134725980948</x:v>
      </x:c>
      <x:c r="K10" s="32" t="n">
        <x:f>IF(J10="","",(1/'Metadata'!$B$5)^(J10-1))</x:f>
        <x:v>605.5286915413799</x:v>
      </x:c>
      <x:c r="L10" s="31" t="n">
        <x:f>IF(E10=0,"",E10*K10)</x:f>
        <x:v>5690636.657854715</x:v>
      </x:c>
      <x:c r="M10" s="31" t="n">
        <x:f>IF(E10=0,"",I10-L10)</x:f>
        <x:v>6035013.950024279</x:v>
      </x:c>
      <x:c r="N10" s="32" t="n">
        <x:f>IF(L10=0,"",I10/L10)</x:f>
        <x:v>2.0605164787131898</x:v>
      </x:c>
      <x:c r="O10" s="34" t="n">
        <x:f>IF(L10=0,"",M10/L10)</x:f>
        <x:v>1.06051647871319</x:v>
      </x:c>
    </x:row>
    <x:row r="11" ht="18" customHeight="1">
      <x:c r="A11" s="24" t="str">
        <x:v>Small pelagics (&lt;30 cm)</x:v>
      </x:c>
      <x:c r="B11" s="33" t="n">
        <x:v>2</x:v>
      </x:c>
      <x:c r="C11" s="33" t="n">
        <x:v>2</x:v>
      </x:c>
      <x:c r="D11" s="31" t="n">
        <x:v>743.288216721</x:v>
      </x:c>
      <x:c r="E11" s="31" t="n">
        <x:v>743.288216721</x:v>
      </x:c>
      <x:c r="F11" s="32" t="n">
        <x:v>0</x:v>
      </x:c>
      <x:c r="G11" s="34" t="n">
        <x:v>1</x:v>
      </x:c>
      <x:c r="H11" s="32" t="n">
        <x:f>IF(E11=0,"",I11/E11)</x:f>
        <x:v>3011.390976034193</x:v>
      </x:c>
      <x:c r="I11" s="31" t="n">
        <x:f>IF(C11=0,"",SUMIF('Species'!$G$2:$G$59,A11,'Species'!$U$2:$U$59))</x:f>
        <x:v>2238331.428426167</x:v>
      </x:c>
      <x:c r="J11" s="32" t="n">
        <x:v>4.433000000009104</x:v>
      </x:c>
      <x:c r="K11" s="32" t="n">
        <x:f>IF(J11="","",(1/'Metadata'!$B$5)^(J11-1))</x:f>
        <x:v>2710.1916319476536</x:v>
      </x:c>
      <x:c r="L11" s="31" t="n">
        <x:f>IF(E11=0,"",E11*K11)</x:f>
        <x:v>2014453.5050825484</x:v>
      </x:c>
      <x:c r="M11" s="31" t="n">
        <x:f>IF(E11=0,"",I11-L11)</x:f>
        <x:v>223877.92334361863</x:v>
      </x:c>
      <x:c r="N11" s="32" t="n">
        <x:f>IF(L11=0,"",I11/L11)</x:f>
        <x:v>1.111135810669626</x:v>
      </x:c>
      <x:c r="O11" s="34" t="n">
        <x:f>IF(L11=0,"",M11/L11)</x:f>
        <x:v>0.11113581066962604</x:v>
      </x:c>
    </x:row>
    <x:row r="12" ht="18" customHeight="1">
      <x:c r="A12" s="24" t="str">
        <x:v>Small reef assoc. fish (&lt;30 cm)</x:v>
      </x:c>
      <x:c r="B12" s="33" t="n">
        <x:v>3</x:v>
      </x:c>
      <x:c r="C12" s="33" t="n">
        <x:v>3</x:v>
      </x:c>
      <x:c r="D12" s="31" t="n">
        <x:v>1874.317162812</x:v>
      </x:c>
      <x:c r="E12" s="31" t="n">
        <x:v>1874.317162812</x:v>
      </x:c>
      <x:c r="F12" s="32" t="n">
        <x:v>0</x:v>
      </x:c>
      <x:c r="G12" s="34" t="n">
        <x:v>1</x:v>
      </x:c>
      <x:c r="H12" s="32" t="n">
        <x:f>IF(E12=0,"",I12/E12)</x:f>
        <x:v>192.701120689877</x:v>
      </x:c>
      <x:c r="I12" s="31" t="n">
        <x:f>IF(C12=0,"",SUMIF('Species'!$G$2:$G$59,A12,'Species'!$U$2:$U$59))</x:f>
        <x:v>361183.01780214306</x:v>
      </x:c>
      <x:c r="J12" s="32" t="n">
        <x:v>2.951230403895646</x:v>
      </x:c>
      <x:c r="K12" s="32" t="n">
        <x:f>IF(J12="","",(1/'Metadata'!$B$5)^(J12-1))</x:f>
        <x:v>89.37795299813025</x:v>
      </x:c>
      <x:c r="L12" s="31" t="n">
        <x:f>IF(E12=0,"",E12*K12)</x:f>
        <x:v>167522.6312813998</x:v>
      </x:c>
      <x:c r="M12" s="31" t="n">
        <x:f>IF(E12=0,"",I12-L12)</x:f>
        <x:v>193660.38652074325</x:v>
      </x:c>
      <x:c r="N12" s="32" t="n">
        <x:f>IF(L12=0,"",I12/L12)</x:f>
        <x:v>2.1560252190370504</x:v>
      </x:c>
      <x:c r="O12" s="34" t="n">
        <x:f>IF(L12=0,"",M12/L12)</x:f>
        <x:v>1.1560252190370504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8ce1e76d59649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EEZ_388</x:v>
      </x:c>
      <x:c r="B2" s="24" t="str">
        <x:v>raw_filtered_tonnes</x:v>
      </x:c>
      <x:c r="C2" s="24" t="n">
        <x:v>24803.119502512003</x:v>
      </x:c>
      <x:c r="D2" s="24" t="str">
        <x:v>tonnes</x:v>
      </x:c>
    </x:row>
    <x:row r="3" ht="18" customHeight="1">
      <x:c r="A3" s="24" t="str">
        <x:v>EEZ_388</x:v>
      </x:c>
      <x:c r="B3" s="24" t="str">
        <x:v>species_catch_tonnes</x:v>
      </x:c>
      <x:c r="C3" s="24" t="n">
        <x:v>24803.119502512</x:v>
      </x:c>
      <x:c r="D3" s="24" t="str">
        <x:v>tonnes</x:v>
      </x:c>
    </x:row>
    <x:row r="4" ht="18" customHeight="1">
      <x:c r="A4" s="24" t="str">
        <x:v>EEZ_388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EEZ_388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EEZ_388</x:v>
      </x:c>
      <x:c r="B6" s="24" t="str">
        <x:v>matched_catch_tonnes</x:v>
      </x:c>
      <x:c r="C6" s="24" t="n">
        <x:v>24803.119502512</x:v>
      </x:c>
      <x:c r="D6" s="24" t="str">
        <x:v>tonnes</x:v>
      </x:c>
    </x:row>
    <x:row r="7" ht="18" customHeight="1">
      <x:c r="A7" s="24" t="str">
        <x:v>EEZ_388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EEZ_388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EEZ_388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EEZ_388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EEZ_388</x:v>
      </x:c>
      <x:c r="B11" s="24" t="str">
        <x:v>species_ppr</x:v>
      </x:c>
      <x:c r="C11" s="24" t="n">
        <x:v>19358996.526972868</x:v>
      </x:c>
      <x:c r="D11" s="24" t="str">
        <x:v>tonnes_primary_production_equivalent</x:v>
      </x:c>
    </x:row>
    <x:row r="12" ht="18" customHeight="1">
      <x:c r="A12" s="24" t="str">
        <x:v>EEZ_388</x:v>
      </x:c>
      <x:c r="B12" s="24" t="str">
        <x:v>commercial_ppr</x:v>
      </x:c>
      <x:c r="C12" s="24" t="n">
        <x:v>19358996.52697287</x:v>
      </x:c>
      <x:c r="D12" s="24" t="str">
        <x:v>tonnes_primary_production_equivalent</x:v>
      </x:c>
    </x:row>
    <x:row r="13" ht="18" customHeight="1">
      <x:c r="A13" s="24" t="str">
        <x:v>EEZ_388</x:v>
      </x:c>
      <x:c r="B13" s="24" t="str">
        <x:v>functional_ppr</x:v>
      </x:c>
      <x:c r="C13" s="24" t="n">
        <x:v>19358996.52697286</x:v>
      </x:c>
      <x:c r="D13" s="24" t="str">
        <x:v>tonnes_primary_production_equivalent</x:v>
      </x:c>
    </x:row>
    <x:row r="14" ht="18" customHeight="1">
      <x:c r="A14" s="24" t="str">
        <x:v>EEZ_388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EEZ_388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EEZ_388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EEZ_388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EEZ_388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EEZ_388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29413a59fc746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EEZ_388 - Jamaica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EEZ_388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