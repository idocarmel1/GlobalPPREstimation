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4459ef60d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0b199d5990d4001"/>
    <x:sheet xmlns:r="http://schemas.openxmlformats.org/officeDocument/2006/relationships" name="Commercial" sheetId="2" r:id="R82e9c1bedcdd41b6"/>
    <x:sheet xmlns:r="http://schemas.openxmlformats.org/officeDocument/2006/relationships" name="Functional" sheetId="3" r:id="R770dbd650a57446c"/>
    <x:sheet xmlns:r="http://schemas.openxmlformats.org/officeDocument/2006/relationships" name="Missing TL" sheetId="4" r:id="R3603b6c26ab64da0"/>
    <x:sheet xmlns:r="http://schemas.openxmlformats.org/officeDocument/2006/relationships" name="Validation" sheetId="5" r:id="Rb302eacb02d14c77"/>
    <x:sheet xmlns:r="http://schemas.openxmlformats.org/officeDocument/2006/relationships" name="Metadata" sheetId="6" r:id="R8109d4048703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9cf89d63f4647" /><Relationship Type="http://schemas.openxmlformats.org/officeDocument/2006/relationships/theme" Target="/xl/theme/theme1.xml" Id="R185b65aa7e064a47" /><Relationship Type="http://schemas.microsoft.com/office/2022/11/relationships/FeaturePropertyBag" Target="/xl/featurePropertyBag/featurePropertyBag.xml" Id="R1bc1879618b94819" /><Relationship Type="http://schemas.openxmlformats.org/officeDocument/2006/relationships/sharedStrings" Target="/xl/sharedStrings.xml" Id="R4aed0762b25144e2" /><Relationship Type="http://schemas.openxmlformats.org/officeDocument/2006/relationships/worksheet" Target="/xl/worksheets/sheet1.xml" Id="R10b199d5990d4001" /><Relationship Type="http://schemas.openxmlformats.org/officeDocument/2006/relationships/worksheet" Target="/xl/worksheets/sheet2.xml" Id="R82e9c1bedcdd41b6" /><Relationship Type="http://schemas.openxmlformats.org/officeDocument/2006/relationships/worksheet" Target="/xl/worksheets/sheet3.xml" Id="R770dbd650a57446c" /><Relationship Type="http://schemas.openxmlformats.org/officeDocument/2006/relationships/worksheet" Target="/xl/worksheets/sheet4.xml" Id="R3603b6c26ab64da0" /><Relationship Type="http://schemas.openxmlformats.org/officeDocument/2006/relationships/worksheet" Target="/xl/worksheets/sheet5.xml" Id="Rb302eacb02d14c77" /><Relationship Type="http://schemas.openxmlformats.org/officeDocument/2006/relationships/worksheet" Target="/xl/worksheets/sheet6.xml" Id="R8109d40487034f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0SpeciesTable" displayName="EEZ910SpeciesTable" ref="A1:U31" headerRowCount="1" totalsRowCount="0" totalsRowShown="0">
  <x:autoFilter ref="A1:U3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0CommercialTable" displayName="EEZ910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0FunctionalTable" displayName="EEZ910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0ValidationTable" displayName="EEZ91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7004799edf4f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76053882bb4a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67eb70077447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55d0ebb9894d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EEZ_910</x:v>
      </x:c>
      <x:c r="B2" s="24" t="str">
        <x:v>South Orkney Islands (UK)</x:v>
      </x:c>
      <x:c r="C2" s="24" t="str">
        <x:v>EEZ</x:v>
      </x:c>
      <x:c r="D2" s="30" t="n">
        <x:v>2019</x:v>
      </x:c>
      <x:c r="E2" s="24" t="str">
        <x:v>Euphausia superba</x:v>
      </x:c>
      <x:c r="F2" s="24" t="str">
        <x:v>Antarctic krill</x:v>
      </x:c>
      <x:c r="G2" s="24" t="str">
        <x:v>Krill</x:v>
      </x:c>
      <x:c r="H2" s="24" t="str">
        <x:v>Crustaceans</x:v>
      </x:c>
      <x:c r="I2" s="31" t="n">
        <x:v>267059.9528973811</x:v>
      </x:c>
      <x:c r="J2" s="31" t="n">
        <x:v>267059.9528973811</x:v>
      </x:c>
      <x:c r="K2" s="31" t="n">
        <x:v>0</x:v>
      </x:c>
      <x:c r="L2" s="31" t="n">
        <x:v>267059.9528973811</x:v>
      </x:c>
      <x:c r="M2" s="31" t="n">
        <x:v>0</x:v>
      </x:c>
      <x:c r="N2" s="24" t="str">
        <x:v>euphausia superba</x:v>
      </x:c>
      <x:c r="O2" s="32" t="n">
        <x:v>2.25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Euphausia superba</x:v>
      </x:c>
      <x:c r="T2" s="32" t="n">
        <x:f>IF(O2="","",(1/'Metadata'!$B$5)^(O2-1))</x:f>
        <x:v>17.78279410038923</x:v>
      </x:c>
      <x:c r="U2" s="31" t="n">
        <x:f>IF(T2="","",I2*T2)</x:f>
        <x:v>4749072.154833774</x:v>
      </x:c>
    </x:row>
    <x:row r="3" ht="18" customHeight="1">
      <x:c r="A3" s="24" t="str">
        <x:v>EEZ_910</x:v>
      </x:c>
      <x:c r="B3" s="24" t="str">
        <x:v>South Orkney Islands (UK)</x:v>
      </x:c>
      <x:c r="C3" s="24" t="str">
        <x:v>EEZ</x:v>
      </x:c>
      <x:c r="D3" s="30" t="n">
        <x:v>2019</x:v>
      </x:c>
      <x:c r="E3" s="24" t="str">
        <x:v>Dissostichus mawsoni</x:v>
      </x:c>
      <x:c r="F3" s="24" t="str">
        <x:v>Antarctic toothfish</x:v>
      </x:c>
      <x:c r="G3" s="24" t="str">
        <x:v>Large benthopelagics (&gt;=90 cm)</x:v>
      </x:c>
      <x:c r="H3" s="24" t="str">
        <x:v>Perch-likes</x:v>
      </x:c>
      <x:c r="I3" s="31" t="n">
        <x:v>35.113099999999996</x:v>
      </x:c>
      <x:c r="J3" s="31" t="n">
        <x:v>35.113099999999996</x:v>
      </x:c>
      <x:c r="K3" s="31" t="n">
        <x:v>0</x:v>
      </x:c>
      <x:c r="L3" s="31" t="n">
        <x:v>35.113099999999996</x:v>
      </x:c>
      <x:c r="M3" s="31" t="n">
        <x:v>0</x:v>
      </x:c>
      <x:c r="N3" s="24" t="str">
        <x:v>dissostichus mawsoni</x:v>
      </x:c>
      <x:c r="O3" s="32" t="n">
        <x:v>4.21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Dissostichus mawsoni</x:v>
      </x:c>
      <x:c r="T3" s="32" t="n">
        <x:f>IF(O3="","",(1/'Metadata'!$B$5)^(O3-1))</x:f>
        <x:v>1621.8100973589299</x:v>
      </x:c>
      <x:c r="U3" s="31" t="n">
        <x:f>IF(T3="","",I3*T3)</x:f>
        <x:v>56946.78012957383</x:v>
      </x:c>
    </x:row>
    <x:row r="4" ht="18" customHeight="1">
      <x:c r="A4" s="24" t="str">
        <x:v>EEZ_910</x:v>
      </x:c>
      <x:c r="B4" s="24" t="str">
        <x:v>South Orkney Islands (UK)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22.3378083393</x:v>
      </x:c>
      <x:c r="J4" s="31" t="n">
        <x:v>22.3378083393</x:v>
      </x:c>
      <x:c r="K4" s="31" t="n">
        <x:v>0</x:v>
      </x:c>
      <x:c r="L4" s="31" t="n">
        <x:v>22.3378083393</x:v>
      </x:c>
      <x:c r="M4" s="31" t="n">
        <x:v>0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25063.433185354883</x:v>
      </x:c>
    </x:row>
    <x:row r="5" ht="18" customHeight="1">
      <x:c r="A5" s="24" t="str">
        <x:v>EEZ_910</x:v>
      </x:c>
      <x:c r="B5" s="24" t="str">
        <x:v>South Orkney Islands (UK)</x:v>
      </x:c>
      <x:c r="C5" s="24" t="str">
        <x:v>EEZ</x:v>
      </x:c>
      <x:c r="D5" s="30" t="n">
        <x:v>2019</x:v>
      </x:c>
      <x:c r="E5" s="24" t="str">
        <x:v>Rajiformes</x:v>
      </x:c>
      <x:c r="F5" s="24" t="str">
        <x:v>Skates and rays</x:v>
      </x:c>
      <x:c r="G5" s="24" t="str">
        <x:v>Large rays (&gt;=90 cm)</x:v>
      </x:c>
      <x:c r="H5" s="24" t="str">
        <x:v>Sharks &amp; rays</x:v>
      </x:c>
      <x:c r="I5" s="31" t="n">
        <x:v>12.5221209088</x:v>
      </x:c>
      <x:c r="J5" s="31" t="n">
        <x:v>12.5221209088</x:v>
      </x:c>
      <x:c r="K5" s="31" t="n">
        <x:v>0</x:v>
      </x:c>
      <x:c r="L5" s="31" t="n">
        <x:v>12.5221209088</x:v>
      </x:c>
      <x:c r="M5" s="31" t="n">
        <x:v>0</x:v>
      </x:c>
      <x:c r="N5" s="24" t="str">
        <x:v>rajiformes</x:v>
      </x:c>
      <x:c r="O5" s="32" t="n">
        <x:v>3.61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Rajiformes</x:v>
      </x:c>
      <x:c r="T5" s="32" t="n">
        <x:f>IF(O5="","",(1/'Metadata'!$B$5)^(O5-1))</x:f>
        <x:v>407.3802778041126</x:v>
      </x:c>
      <x:c r="U5" s="31" t="n">
        <x:f>IF(T5="","",I5*T5)</x:f>
        <x:v>5101.265094523631</x:v>
      </x:c>
    </x:row>
    <x:row r="6" ht="18" customHeight="1">
      <x:c r="A6" s="24" t="str">
        <x:v>EEZ_910</x:v>
      </x:c>
      <x:c r="B6" s="24" t="str">
        <x:v>South Orkney Islands (UK)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7.8141390874</x:v>
      </x:c>
      <x:c r="J6" s="31" t="n">
        <x:v>4.751409643600001</x:v>
      </x:c>
      <x:c r="K6" s="31" t="n">
        <x:v>3.0627294438</x:v>
      </x:c>
      <x:c r="L6" s="31" t="n">
        <x:v>4.751409643600001</x:v>
      </x:c>
      <x:c r="M6" s="31" t="n">
        <x:v>3.0627294438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1488.9535075741871</x:v>
      </x:c>
    </x:row>
    <x:row r="7" ht="18" customHeight="1">
      <x:c r="A7" s="24" t="str">
        <x:v>EEZ_910</x:v>
      </x:c>
      <x:c r="B7" s="24" t="str">
        <x:v>South Orkney Islands (UK)</x:v>
      </x:c>
      <x:c r="C7" s="24" t="str">
        <x:v>EEZ</x:v>
      </x:c>
      <x:c r="D7" s="30" t="n">
        <x:v>2019</x:v>
      </x:c>
      <x:c r="E7" s="24" t="str">
        <x:v>Macrourus</x:v>
      </x:c>
      <x:c r="F7" s="24" t="str">
        <x:v>Rattails</x:v>
      </x:c>
      <x:c r="G7" s="24" t="str">
        <x:v>Medium benthopelagics (30 - 89 cm)</x:v>
      </x:c>
      <x:c r="H7" s="24" t="str">
        <x:v>Cod-likes</x:v>
      </x:c>
      <x:c r="I7" s="31" t="n">
        <x:v>5.43089</x:v>
      </x:c>
      <x:c r="J7" s="31" t="n">
        <x:v>5.43089</x:v>
      </x:c>
      <x:c r="K7" s="31" t="n">
        <x:v>0</x:v>
      </x:c>
      <x:c r="L7" s="31" t="n">
        <x:v>5.43089</x:v>
      </x:c>
      <x:c r="M7" s="31" t="n">
        <x:v>0</x:v>
      </x:c>
      <x:c r="N7" s="24" t="str">
        <x:v>macrourus</x:v>
      </x:c>
      <x:c r="O7" s="32" t="n">
        <x:v>3.58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Macrourus</x:v>
      </x:c>
      <x:c r="T7" s="32" t="n">
        <x:f>IF(O7="","",(1/'Metadata'!$B$5)^(O7-1))</x:f>
        <x:v>380.1893963205613</x:v>
      </x:c>
      <x:c r="U7" s="31" t="n">
        <x:f>IF(T7="","",I7*T7)</x:f>
        <x:v>2064.766790583373</x:v>
      </x:c>
    </x:row>
    <x:row r="8" ht="18" customHeight="1">
      <x:c r="A8" s="24" t="str">
        <x:v>EEZ_910</x:v>
      </x:c>
      <x:c r="B8" s="24" t="str">
        <x:v>South Orkney Islands (UK)</x:v>
      </x:c>
      <x:c r="C8" s="24" t="str">
        <x:v>EEZ</x:v>
      </x:c>
      <x:c r="D8" s="30" t="n">
        <x:v>2019</x:v>
      </x:c>
      <x:c r="E8" s="24" t="str">
        <x:v>Champsocephalus gunnari</x:v>
      </x:c>
      <x:c r="F8" s="24" t="str">
        <x:v>Mackerel icefish</x:v>
      </x:c>
      <x:c r="G8" s="24" t="str">
        <x:v>Medium pelagics (30 - 89 cm)</x:v>
      </x:c>
      <x:c r="H8" s="24" t="str">
        <x:v>Perch-likes</x:v>
      </x:c>
      <x:c r="I8" s="31" t="n">
        <x:v>4.4219889999</x:v>
      </x:c>
      <x:c r="J8" s="31" t="n">
        <x:v>4.4219889999</x:v>
      </x:c>
      <x:c r="K8" s="31" t="n">
        <x:v>0</x:v>
      </x:c>
      <x:c r="L8" s="31" t="n">
        <x:v>4.4219889999</x:v>
      </x:c>
      <x:c r="M8" s="31" t="n">
        <x:v>0</x:v>
      </x:c>
      <x:c r="N8" s="24" t="str">
        <x:v>champsocephalus gunnari</x:v>
      </x:c>
      <x:c r="O8" s="32" t="n">
        <x:v>3.23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Champsocephalus gunnari</x:v>
      </x:c>
      <x:c r="T8" s="32" t="n">
        <x:f>IF(O8="","",(1/'Metadata'!$B$5)^(O8-1))</x:f>
        <x:v>169.82436524617444</x:v>
      </x:c>
      <x:c r="U8" s="31" t="n">
        <x:f>IF(T8="","",I8*T8)</x:f>
        <x:v>750.9614750335832</x:v>
      </x:c>
    </x:row>
    <x:row r="9" ht="18" customHeight="1">
      <x:c r="A9" s="24" t="str">
        <x:v>EEZ_910</x:v>
      </x:c>
      <x:c r="B9" s="24" t="str">
        <x:v>South Orkney Islands (UK)</x:v>
      </x:c>
      <x:c r="C9" s="24" t="str">
        <x:v>EEZ</x:v>
      </x:c>
      <x:c r="D9" s="30" t="n">
        <x:v>2019</x:v>
      </x:c>
      <x:c r="E9" s="24" t="str">
        <x:v>Dissostichus eleginoides</x:v>
      </x:c>
      <x:c r="F9" s="24" t="str">
        <x:v>Patagonian toothfish</x:v>
      </x:c>
      <x:c r="G9" s="24" t="str">
        <x:v>Large bathydemersals (&gt;=90 cm)</x:v>
      </x:c>
      <x:c r="H9" s="24" t="str">
        <x:v>Perch-likes</x:v>
      </x:c>
      <x:c r="I9" s="31" t="n">
        <x:v>0.97586</x:v>
      </x:c>
      <x:c r="J9" s="31" t="n">
        <x:v>0.97586</x:v>
      </x:c>
      <x:c r="K9" s="31" t="n">
        <x:v>0</x:v>
      </x:c>
      <x:c r="L9" s="31" t="n">
        <x:v>0.97586</x:v>
      </x:c>
      <x:c r="M9" s="31" t="n">
        <x:v>0</x:v>
      </x:c>
      <x:c r="N9" s="24" t="str">
        <x:v>dissostichus eleginoides</x:v>
      </x:c>
      <x:c r="O9" s="32" t="n">
        <x:v>3.96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Dissostichus eleginoides</x:v>
      </x:c>
      <x:c r="T9" s="32" t="n">
        <x:f>IF(O9="","",(1/'Metadata'!$B$5)^(O9-1))</x:f>
        <x:v>912.0108393559096</x:v>
      </x:c>
      <x:c r="U9" s="31" t="n">
        <x:f>IF(T9="","",I9*T9)</x:f>
        <x:v>889.994897693858</x:v>
      </x:c>
    </x:row>
    <x:row r="10" ht="18" customHeight="1">
      <x:c r="A10" s="24" t="str">
        <x:v>EEZ_910</x:v>
      </x:c>
      <x:c r="B10" s="24" t="str">
        <x:v>South Orkney Islands (UK)</x:v>
      </x:c>
      <x:c r="C10" s="24" t="str">
        <x:v>EEZ</x:v>
      </x:c>
      <x:c r="D10" s="30" t="n">
        <x:v>2019</x:v>
      </x:c>
      <x:c r="E10" s="24" t="str">
        <x:v>Pseudochaenichthys georgianus</x:v>
      </x:c>
      <x:c r="F10" s="24" t="str">
        <x:v>South Georgia icefish</x:v>
      </x:c>
      <x:c r="G10" s="24" t="str">
        <x:v>Medium demersals (30 - 89 cm)</x:v>
      </x:c>
      <x:c r="H10" s="24" t="str">
        <x:v>Perch-likes</x:v>
      </x:c>
      <x:c r="I10" s="31" t="n">
        <x:v>0.30431400000000003</x:v>
      </x:c>
      <x:c r="J10" s="31" t="n">
        <x:v>0.30431400000000003</x:v>
      </x:c>
      <x:c r="K10" s="31" t="n">
        <x:v>0</x:v>
      </x:c>
      <x:c r="L10" s="31" t="n">
        <x:v>0.30431400000000003</x:v>
      </x:c>
      <x:c r="M10" s="31" t="n">
        <x:v>0</x:v>
      </x:c>
      <x:c r="N10" s="24" t="str">
        <x:v>pseudochaenichthys georgianus</x:v>
      </x:c>
      <x:c r="O10" s="32" t="n">
        <x:v>3.41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Pseudochaenichthys georgianus</x:v>
      </x:c>
      <x:c r="T10" s="32" t="n">
        <x:f>IF(O10="","",(1/'Metadata'!$B$5)^(O10-1))</x:f>
        <x:v>257.03957827688646</x:v>
      </x:c>
      <x:c r="U10" s="31" t="n">
        <x:f>IF(T10="","",I10*T10)</x:f>
        <x:v>78.22074222375244</x:v>
      </x:c>
    </x:row>
    <x:row r="11" ht="18" customHeight="1">
      <x:c r="A11" s="24" t="str">
        <x:v>EEZ_910</x:v>
      </x:c>
      <x:c r="B11" s="24" t="str">
        <x:v>South Orkney Islands (UK)</x:v>
      </x:c>
      <x:c r="C11" s="24" t="str">
        <x:v>EEZ</x:v>
      </x:c>
      <x:c r="D11" s="30" t="n">
        <x:v>2019</x:v>
      </x:c>
      <x:c r="E11" s="24" t="str">
        <x:v>Channichthyidae</x:v>
      </x:c>
      <x:c r="F11" s="24" t="str">
        <x:v>Crocodile icefishes</x:v>
      </x:c>
      <x:c r="G11" s="24" t="str">
        <x:v>Medium demersals (30 - 89 cm)</x:v>
      </x:c>
      <x:c r="H11" s="24" t="str">
        <x:v>Perch-likes</x:v>
      </x:c>
      <x:c r="I11" s="31" t="n">
        <x:v>0.135595</x:v>
      </x:c>
      <x:c r="J11" s="31" t="n">
        <x:v>0.135595</x:v>
      </x:c>
      <x:c r="K11" s="31" t="n">
        <x:v>0</x:v>
      </x:c>
      <x:c r="L11" s="31" t="n">
        <x:v>0.135595</x:v>
      </x:c>
      <x:c r="M11" s="31" t="n">
        <x:v>0</x:v>
      </x:c>
      <x:c r="N11" s="24" t="str">
        <x:v>channichthyidae</x:v>
      </x:c>
      <x:c r="O11" s="32" t="n">
        <x:v>3.34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Channichthyidae</x:v>
      </x:c>
      <x:c r="T11" s="32" t="n">
        <x:f>IF(O11="","",(1/'Metadata'!$B$5)^(O11-1))</x:f>
        <x:v>218.77616239495518</x:v>
      </x:c>
      <x:c r="U11" s="31" t="n">
        <x:f>IF(T11="","",I11*T11)</x:f>
        <x:v>29.664953739943947</x:v>
      </x:c>
    </x:row>
    <x:row r="12" ht="18" customHeight="1">
      <x:c r="A12" s="24" t="str">
        <x:v>EEZ_910</x:v>
      </x:c>
      <x:c r="B12" s="24" t="str">
        <x:v>South Orkney Islands (UK)</x:v>
      </x:c>
      <x:c r="C12" s="24" t="str">
        <x:v>EEZ</x:v>
      </x:c>
      <x:c r="D12" s="30" t="n">
        <x:v>2019</x:v>
      </x:c>
      <x:c r="E12" s="24" t="str">
        <x:v>Neopagetopsis ionah</x:v>
      </x:c>
      <x:c r="F12" s="24" t="str">
        <x:v>Jonah's icefish</x:v>
      </x:c>
      <x:c r="G12" s="24" t="str">
        <x:v>Medium benthopelagics (30 - 89 cm)</x:v>
      </x:c>
      <x:c r="H12" s="24" t="str">
        <x:v>Perch-likes</x:v>
      </x:c>
      <x:c r="I12" s="31" t="n">
        <x:v>0.11148500000000001</x:v>
      </x:c>
      <x:c r="J12" s="31" t="n">
        <x:v>0.11148500000000001</x:v>
      </x:c>
      <x:c r="K12" s="31" t="n">
        <x:v>0</x:v>
      </x:c>
      <x:c r="L12" s="31" t="n">
        <x:v>0.11148500000000001</x:v>
      </x:c>
      <x:c r="M12" s="31" t="n">
        <x:v>0</x:v>
      </x:c>
      <x:c r="N12" s="24" t="str">
        <x:v>neopagetopsis ionah</x:v>
      </x:c>
      <x:c r="O12" s="32" t="n">
        <x:v>3.42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Neopagetopsis ionah</x:v>
      </x:c>
      <x:c r="T12" s="32" t="n">
        <x:f>IF(O12="","",(1/'Metadata'!$B$5)^(O12-1))</x:f>
        <x:v>263.02679918953817</x:v>
      </x:c>
      <x:c r="U12" s="31" t="n">
        <x:f>IF(T12="","",I12*T12)</x:f>
        <x:v>29.323542707645668</x:v>
      </x:c>
    </x:row>
    <x:row r="13" ht="18" customHeight="1">
      <x:c r="A13" s="24" t="str">
        <x:v>EEZ_910</x:v>
      </x:c>
      <x:c r="B13" s="24" t="str">
        <x:v>South Orkney Islands (UK)</x:v>
      </x:c>
      <x:c r="C13" s="24" t="str">
        <x:v>EEZ</x:v>
      </x:c>
      <x:c r="D13" s="30" t="n">
        <x:v>2019</x:v>
      </x:c>
      <x:c r="E13" s="24" t="str">
        <x:v>Chionodraco rastrospinosus</x:v>
      </x:c>
      <x:c r="F13" s="24" t="str">
        <x:v>Ocellated icefish</x:v>
      </x:c>
      <x:c r="G13" s="24" t="str">
        <x:v>Medium benthopelagics (30 - 89 cm)</x:v>
      </x:c>
      <x:c r="H13" s="24" t="str">
        <x:v>Perch-likes</x:v>
      </x:c>
      <x:c r="I13" s="31" t="n">
        <x:v>0.10478100000000001</x:v>
      </x:c>
      <x:c r="J13" s="31" t="n">
        <x:v>0.10478100000000001</x:v>
      </x:c>
      <x:c r="K13" s="31" t="n">
        <x:v>0</x:v>
      </x:c>
      <x:c r="L13" s="31" t="n">
        <x:v>0.10478100000000001</x:v>
      </x:c>
      <x:c r="M13" s="31" t="n">
        <x:v>0</x:v>
      </x:c>
      <x:c r="N13" s="24" t="str">
        <x:v>chionodraco rastrospinosus</x:v>
      </x:c>
      <x:c r="O13" s="32" t="n">
        <x:v>3.85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Chionodraco rastrospinosus</x:v>
      </x:c>
      <x:c r="T13" s="32" t="n">
        <x:f>IF(O13="","",(1/'Metadata'!$B$5)^(O13-1))</x:f>
        <x:v>707.945784384138</x:v>
      </x:c>
      <x:c r="U13" s="31" t="n">
        <x:f>IF(T13="","",I13*T13)</x:f>
        <x:v>74.17926723355438</x:v>
      </x:c>
    </x:row>
    <x:row r="14" ht="18" customHeight="1">
      <x:c r="A14" s="24" t="str">
        <x:v>EEZ_910</x:v>
      </x:c>
      <x:c r="B14" s="24" t="str">
        <x:v>South Orkney Islands (UK)</x:v>
      </x:c>
      <x:c r="C14" s="24" t="str">
        <x:v>EEZ</x:v>
      </x:c>
      <x:c r="D14" s="30" t="n">
        <x:v>2019</x:v>
      </x:c>
      <x:c r="E14" s="24" t="str">
        <x:v>Chaenocephalus aceratus</x:v>
      </x:c>
      <x:c r="F14" s="24" t="str">
        <x:v>Blackfin icefish</x:v>
      </x:c>
      <x:c r="G14" s="24" t="str">
        <x:v>Medium demersals (30 - 89 cm)</x:v>
      </x:c>
      <x:c r="H14" s="24" t="str">
        <x:v>Perch-likes</x:v>
      </x:c>
      <x:c r="I14" s="31" t="n">
        <x:v>0.08635600010000001</x:v>
      </x:c>
      <x:c r="J14" s="31" t="n">
        <x:v>0.08635600010000001</x:v>
      </x:c>
      <x:c r="K14" s="31" t="n">
        <x:v>0</x:v>
      </x:c>
      <x:c r="L14" s="31" t="n">
        <x:v>0.08635600010000001</x:v>
      </x:c>
      <x:c r="M14" s="31" t="n">
        <x:v>0</x:v>
      </x:c>
      <x:c r="N14" s="24" t="str">
        <x:v>chaenocephalus aceratus</x:v>
      </x:c>
      <x:c r="O14" s="32" t="n">
        <x:v>3.4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Chaenocephalus aceratus</x:v>
      </x:c>
      <x:c r="T14" s="32" t="n">
        <x:f>IF(O14="","",(1/'Metadata'!$B$5)^(O14-1))</x:f>
        <x:v>251.18864315095797</x:v>
      </x:c>
      <x:c r="U14" s="31" t="n">
        <x:f>IF(T14="","",I14*T14)</x:f>
        <x:v>21.691646493062994</x:v>
      </x:c>
    </x:row>
    <x:row r="15" ht="18" customHeight="1">
      <x:c r="A15" s="24" t="str">
        <x:v>EEZ_910</x:v>
      </x:c>
      <x:c r="B15" s="24" t="str">
        <x:v>South Orkney Islands (UK)</x:v>
      </x:c>
      <x:c r="C15" s="24" t="str">
        <x:v>EEZ</x:v>
      </x:c>
      <x:c r="D15" s="30" t="n">
        <x:v>2019</x:v>
      </x:c>
      <x:c r="E15" s="24" t="str">
        <x:v>Gobionotothen gibberifrons</x:v>
      </x:c>
      <x:c r="F15" s="24" t="str">
        <x:v>Humped rockcod</x:v>
      </x:c>
      <x:c r="G15" s="24" t="str">
        <x:v>Medium demersals (30 - 89 cm)</x:v>
      </x:c>
      <x:c r="H15" s="24" t="str">
        <x:v>Perch-likes</x:v>
      </x:c>
      <x:c r="I15" s="31" t="n">
        <x:v>0.080848</x:v>
      </x:c>
      <x:c r="J15" s="31" t="n">
        <x:v>0.080848</x:v>
      </x:c>
      <x:c r="K15" s="31" t="n">
        <x:v>0</x:v>
      </x:c>
      <x:c r="L15" s="31" t="n">
        <x:v>0.080848</x:v>
      </x:c>
      <x:c r="M15" s="31" t="n">
        <x:v>0</x:v>
      </x:c>
      <x:c r="N15" s="24" t="str">
        <x:v>gobionotothen gibberifrons</x:v>
      </x:c>
      <x:c r="O15" s="32" t="n">
        <x:v>3.26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Gobionotothen gibberifrons</x:v>
      </x:c>
      <x:c r="T15" s="32" t="n">
        <x:f>IF(O15="","",(1/'Metadata'!$B$5)^(O15-1))</x:f>
        <x:v>181.97008586099827</x:v>
      </x:c>
      <x:c r="U15" s="31" t="n">
        <x:f>IF(T15="","",I15*T15)</x:f>
        <x:v>14.711917501689989</x:v>
      </x:c>
    </x:row>
    <x:row r="16" ht="18" customHeight="1">
      <x:c r="A16" s="24" t="str">
        <x:v>EEZ_910</x:v>
      </x:c>
      <x:c r="B16" s="24" t="str">
        <x:v>South Orkney Islands (UK)</x:v>
      </x:c>
      <x:c r="C16" s="24" t="str">
        <x:v>EEZ</x:v>
      </x:c>
      <x:c r="D16" s="30" t="n">
        <x:v>2019</x:v>
      </x:c>
      <x:c r="E16" s="24" t="str">
        <x:v>Teuthida</x:v>
      </x:c>
      <x:c r="F16" s="24" t="str">
        <x:v>Squids</x:v>
      </x:c>
      <x:c r="G16" s="24" t="str">
        <x:v>Cephalopods</x:v>
      </x:c>
      <x:c r="H16" s="24" t="str">
        <x:v>Other fishes &amp; inverts</x:v>
      </x:c>
      <x:c r="I16" s="31" t="n">
        <x:v>0.07189143790000001</x:v>
      </x:c>
      <x:c r="J16" s="31" t="n">
        <x:v>0.07189143790000001</x:v>
      </x:c>
      <x:c r="K16" s="31" t="n">
        <x:v>0</x:v>
      </x:c>
      <x:c r="L16" s="31" t="n">
        <x:v>0.07189143790000001</x:v>
      </x:c>
      <x:c r="M16" s="31" t="n">
        <x:v>0</x:v>
      </x:c>
      <x:c r="N16" s="24" t="str">
        <x:v>teuthida</x:v>
      </x:c>
      <x:c r="O16" s="32" t="n">
        <x:v>4.13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Teuthida</x:v>
      </x:c>
      <x:c r="T16" s="32" t="n">
        <x:f>IF(O16="","",(1/'Metadata'!$B$5)^(O16-1))</x:f>
        <x:v>1348.9628825916532</x:v>
      </x:c>
      <x:c r="U16" s="31" t="n">
        <x:f>IF(T16="","",I16*T16)</x:f>
        <x:v>96.97888130324283</x:v>
      </x:c>
    </x:row>
    <x:row r="17" ht="18" customHeight="1">
      <x:c r="A17" s="24" t="str">
        <x:v>EEZ_910</x:v>
      </x:c>
      <x:c r="B17" s="24" t="str">
        <x:v>South Orkney Islands (UK)</x:v>
      </x:c>
      <x:c r="C17" s="24" t="str">
        <x:v>EEZ</x:v>
      </x:c>
      <x:c r="D17" s="30" t="n">
        <x:v>2019</x:v>
      </x:c>
      <x:c r="E17" s="24" t="str">
        <x:v>Actinopterygii</x:v>
      </x:c>
      <x:c r="F17" s="24" t="str">
        <x:v>Ray-finned fishes</x:v>
      </x:c>
      <x:c r="G17" s="24" t="str">
        <x:v>Medium demersals (30 - 89 cm)</x:v>
      </x:c>
      <x:c r="H17" s="24" t="str">
        <x:v>Other fishes &amp; inverts</x:v>
      </x:c>
      <x:c r="I17" s="31" t="n">
        <x:v>0.0643640001</x:v>
      </x:c>
      <x:c r="J17" s="31" t="n">
        <x:v>0.0643640001</x:v>
      </x:c>
      <x:c r="K17" s="31" t="n">
        <x:v>0</x:v>
      </x:c>
      <x:c r="L17" s="31" t="n">
        <x:v>0.0643640001</x:v>
      </x:c>
      <x:c r="M17" s="31" t="n">
        <x:v>0</x:v>
      </x:c>
      <x:c r="N17" s="24" t="str">
        <x:v>actinopterygii</x:v>
      </x:c>
      <x:c r="O17" s="32" t="n">
        <x:v>3.79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Actinopterygii</x:v>
      </x:c>
      <x:c r="T17" s="32" t="n">
        <x:f>IF(O17="","",(1/'Metadata'!$B$5)^(O17-1))</x:f>
        <x:v>616.5950018614822</x:v>
      </x:c>
      <x:c r="U17" s="31" t="n">
        <x:f>IF(T17="","",I17*T17)</x:f>
        <x:v>39.68652076147194</x:v>
      </x:c>
    </x:row>
    <x:row r="18" ht="18" customHeight="1">
      <x:c r="A18" s="24" t="str">
        <x:v>EEZ_910</x:v>
      </x:c>
      <x:c r="B18" s="24" t="str">
        <x:v>South Orkney Islands (UK)</x:v>
      </x:c>
      <x:c r="C18" s="24" t="str">
        <x:v>EEZ</x:v>
      </x:c>
      <x:c r="D18" s="30" t="n">
        <x:v>2019</x:v>
      </x:c>
      <x:c r="E18" s="24" t="str">
        <x:v>Muraenolepis</x:v>
      </x:c>
      <x:c r="F18" s="24" t="str">
        <x:v>Moray cods</x:v>
      </x:c>
      <x:c r="G18" s="24" t="str">
        <x:v>Medium benthopelagics (30 - 89 cm)</x:v>
      </x:c>
      <x:c r="H18" s="24" t="str">
        <x:v>Cod-likes</x:v>
      </x:c>
      <x:c r="I18" s="31" t="n">
        <x:v>0.04403</x:v>
      </x:c>
      <x:c r="J18" s="31" t="n">
        <x:v>0.04403</x:v>
      </x:c>
      <x:c r="K18" s="31" t="n">
        <x:v>0</x:v>
      </x:c>
      <x:c r="L18" s="31" t="n">
        <x:v>0.04403</x:v>
      </x:c>
      <x:c r="M18" s="31" t="n">
        <x:v>0</x:v>
      </x:c>
      <x:c r="N18" s="24" t="str">
        <x:v>muraenolepis</x:v>
      </x:c>
      <x:c r="O18" s="32" t="n">
        <x:v>3.4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Muraenolepis</x:v>
      </x:c>
      <x:c r="T18" s="32" t="n">
        <x:f>IF(O18="","",(1/'Metadata'!$B$5)^(O18-1))</x:f>
        <x:v>251.18864315095797</x:v>
      </x:c>
      <x:c r="U18" s="31" t="n">
        <x:f>IF(T18="","",I18*T18)</x:f>
        <x:v>11.059835957936679</x:v>
      </x:c>
    </x:row>
    <x:row r="19" ht="18" customHeight="1">
      <x:c r="A19" s="24" t="str">
        <x:v>EEZ_910</x:v>
      </x:c>
      <x:c r="B19" s="24" t="str">
        <x:v>South Orkney Islands (UK)</x:v>
      </x:c>
      <x:c r="C19" s="24" t="str">
        <x:v>EEZ</x:v>
      </x:c>
      <x:c r="D19" s="30" t="n">
        <x:v>2019</x:v>
      </x:c>
      <x:c r="E19" s="24" t="str">
        <x:v>Notothenia coriiceps</x:v>
      </x:c>
      <x:c r="F19" s="24" t="str">
        <x:v>Black rockcod</x:v>
      </x:c>
      <x:c r="G19" s="24" t="str">
        <x:v>Medium demersals (30 - 89 cm)</x:v>
      </x:c>
      <x:c r="H19" s="24" t="str">
        <x:v>Perch-likes</x:v>
      </x:c>
      <x:c r="I19" s="31" t="n">
        <x:v>0.03902</x:v>
      </x:c>
      <x:c r="J19" s="31" t="n">
        <x:v>0.03902</x:v>
      </x:c>
      <x:c r="K19" s="31" t="n">
        <x:v>0</x:v>
      </x:c>
      <x:c r="L19" s="31" t="n">
        <x:v>0.03902</x:v>
      </x:c>
      <x:c r="M19" s="31" t="n">
        <x:v>0</x:v>
      </x:c>
      <x:c r="N19" s="24" t="str">
        <x:v>notothenia coriiceps</x:v>
      </x:c>
      <x:c r="O19" s="32" t="n">
        <x:v>2.75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Notothenia coriiceps</x:v>
      </x:c>
      <x:c r="T19" s="32" t="n">
        <x:f>IF(O19="","",(1/'Metadata'!$B$5)^(O19-1))</x:f>
        <x:v>56.23413251903491</x:v>
      </x:c>
      <x:c r="U19" s="31" t="n">
        <x:f>IF(T19="","",I19*T19)</x:f>
        <x:v>2.194255850892742</x:v>
      </x:c>
    </x:row>
    <x:row r="20" ht="18" customHeight="1">
      <x:c r="A20" s="24" t="str">
        <x:v>EEZ_910</x:v>
      </x:c>
      <x:c r="B20" s="24" t="str">
        <x:v>South Orkney Islands (UK)</x:v>
      </x:c>
      <x:c r="C20" s="24" t="str">
        <x:v>EEZ</x:v>
      </x:c>
      <x:c r="D20" s="30" t="n">
        <x:v>2019</x:v>
      </x:c>
      <x:c r="E20" s="24" t="str">
        <x:v>Chondrichthyes</x:v>
      </x:c>
      <x:c r="F20" s="24" t="str">
        <x:v>Sharks, rays, chimaeras</x:v>
      </x:c>
      <x:c r="G20" s="24" t="str">
        <x:v>Large sharks (&gt;=90 cm)</x:v>
      </x:c>
      <x:c r="H20" s="24" t="str">
        <x:v>Sharks &amp; rays</x:v>
      </x:c>
      <x:c r="I20" s="31" t="n">
        <x:v>0.0383152651</x:v>
      </x:c>
      <x:c r="J20" s="31" t="n">
        <x:v>0.0383152651</x:v>
      </x:c>
      <x:c r="K20" s="31" t="n">
        <x:v>0</x:v>
      </x:c>
      <x:c r="L20" s="31" t="n">
        <x:v>0.0383152651</x:v>
      </x:c>
      <x:c r="M20" s="31" t="n">
        <x:v>0</x:v>
      </x:c>
      <x:c r="N20" s="24" t="str">
        <x:v>chondrichthyes</x:v>
      </x:c>
      <x:c r="O20" s="32" t="n">
        <x:v>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Chondrichthyes</x:v>
      </x:c>
      <x:c r="T20" s="32" t="n">
        <x:f>IF(O20="","",(1/'Metadata'!$B$5)^(O20-1))</x:f>
        <x:v>1000</x:v>
      </x:c>
      <x:c r="U20" s="31" t="n">
        <x:f>IF(T20="","",I20*T20)</x:f>
        <x:v>38.315265100000005</x:v>
      </x:c>
    </x:row>
    <x:row r="21" ht="18" customHeight="1">
      <x:c r="A21" s="24" t="str">
        <x:v>EEZ_910</x:v>
      </x:c>
      <x:c r="B21" s="24" t="str">
        <x:v>South Orkney Islands (UK)</x:v>
      </x:c>
      <x:c r="C21" s="24" t="str">
        <x:v>EEZ</x:v>
      </x:c>
      <x:c r="D21" s="30" t="n">
        <x:v>2019</x:v>
      </x:c>
      <x:c r="E21" s="24" t="str">
        <x:v>Cephalopoda</x:v>
      </x:c>
      <x:c r="F21" s="24" t="str">
        <x:v>Squids, cuttlefishes, octopuses</x:v>
      </x:c>
      <x:c r="G21" s="24" t="str">
        <x:v>Cephalopods</x:v>
      </x:c>
      <x:c r="H21" s="24" t="str">
        <x:v>Other fishes &amp; inverts</x:v>
      </x:c>
      <x:c r="I21" s="31" t="n">
        <x:v>0.035326999899999996</x:v>
      </x:c>
      <x:c r="J21" s="31" t="n">
        <x:v>0.035326999899999996</x:v>
      </x:c>
      <x:c r="K21" s="31" t="n">
        <x:v>0</x:v>
      </x:c>
      <x:c r="L21" s="31" t="n">
        <x:v>0.035326999899999996</x:v>
      </x:c>
      <x:c r="M21" s="31" t="n">
        <x:v>0</x:v>
      </x:c>
      <x:c r="N21" s="24" t="str">
        <x:v>cephalopoda</x:v>
      </x:c>
      <x:c r="O21" s="32" t="n">
        <x:v>3.81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Cephalopoda</x:v>
      </x:c>
      <x:c r="T21" s="32" t="n">
        <x:f>IF(O21="","",(1/'Metadata'!$B$5)^(O21-1))</x:f>
        <x:v>645.6542290346556</x:v>
      </x:c>
      <x:c r="U21" s="31" t="n">
        <x:f>IF(T21="","",I21*T21)</x:f>
        <x:v>22.809026884541854</x:v>
      </x:c>
    </x:row>
    <x:row r="22" ht="18" customHeight="1">
      <x:c r="A22" s="24" t="str">
        <x:v>EEZ_910</x:v>
      </x:c>
      <x:c r="B22" s="24" t="str">
        <x:v>South Orkney Islands (UK)</x:v>
      </x:c>
      <x:c r="C22" s="24" t="str">
        <x:v>EEZ</x:v>
      </x:c>
      <x:c r="D22" s="30" t="n">
        <x:v>2019</x:v>
      </x:c>
      <x:c r="E22" s="24" t="str">
        <x:v>Electrona carlsbergi</x:v>
      </x:c>
      <x:c r="F22" s="24" t="str">
        <x:v>Electron subantarctic</x:v>
      </x:c>
      <x:c r="G22" s="24" t="str">
        <x:v>Small bathypelagics (&lt;30 cm)</x:v>
      </x:c>
      <x:c r="H22" s="24" t="str">
        <x:v>Other fishes &amp; inverts</x:v>
      </x:c>
      <x:c r="I22" s="31" t="n">
        <x:v>0.011875</x:v>
      </x:c>
      <x:c r="J22" s="31" t="n">
        <x:v>0.011875</x:v>
      </x:c>
      <x:c r="K22" s="31" t="n">
        <x:v>0</x:v>
      </x:c>
      <x:c r="L22" s="31" t="n">
        <x:v>0.011875</x:v>
      </x:c>
      <x:c r="M22" s="31" t="n">
        <x:v>0</x:v>
      </x:c>
      <x:c r="N22" s="24" t="str">
        <x:v>electrona carlsbergi</x:v>
      </x:c>
      <x:c r="O22" s="32" t="n">
        <x:v>3.24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Electrona carlsbergi</x:v>
      </x:c>
      <x:c r="T22" s="32" t="n">
        <x:f>IF(O22="","",(1/'Metadata'!$B$5)^(O22-1))</x:f>
        <x:v>173.78008287493762</x:v>
      </x:c>
      <x:c r="U22" s="31" t="n">
        <x:f>IF(T22="","",I22*T22)</x:f>
        <x:v>2.0636384841398843</x:v>
      </x:c>
    </x:row>
    <x:row r="23" ht="18" customHeight="1">
      <x:c r="A23" s="24" t="str">
        <x:v>EEZ_910</x:v>
      </x:c>
      <x:c r="B23" s="24" t="str">
        <x:v>South Orkney Islands (UK)</x:v>
      </x:c>
      <x:c r="C23" s="24" t="str">
        <x:v>EEZ</x:v>
      </x:c>
      <x:c r="D23" s="30" t="n">
        <x:v>2019</x:v>
      </x:c>
      <x:c r="E23" s="24" t="str">
        <x:v>Myctophidae</x:v>
      </x:c>
      <x:c r="F23" s="24" t="str">
        <x:v>Lanternfishes</x:v>
      </x:c>
      <x:c r="G23" s="24" t="str">
        <x:v>Small pelagics (&lt;30 cm)</x:v>
      </x:c>
      <x:c r="H23" s="24" t="str">
        <x:v>Other fishes &amp; inverts</x:v>
      </x:c>
      <x:c r="I23" s="31" t="n">
        <x:v>0.004655</x:v>
      </x:c>
      <x:c r="J23" s="31" t="n">
        <x:v>0.004655</x:v>
      </x:c>
      <x:c r="K23" s="31" t="n">
        <x:v>0</x:v>
      </x:c>
      <x:c r="L23" s="31" t="n">
        <x:v>0.004655</x:v>
      </x:c>
      <x:c r="M23" s="31" t="n">
        <x:v>0</x:v>
      </x:c>
      <x:c r="N23" s="24" t="str">
        <x:v>myctophidae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Myctophidae</x:v>
      </x:c>
      <x:c r="T23" s="32" t="n">
        <x:f>IF(O23="","",(1/'Metadata'!$B$5)^(O23-1))</x:f>
        <x:v>199.52623149688787</x:v>
      </x:c>
      <x:c r="U23" s="31" t="n">
        <x:f>IF(T23="","",I23*T23)</x:f>
        <x:v>0.9287946076180131</x:v>
      </x:c>
    </x:row>
    <x:row r="24" ht="18" customHeight="1">
      <x:c r="A24" s="24" t="str">
        <x:v>EEZ_910</x:v>
      </x:c>
      <x:c r="B24" s="24" t="str">
        <x:v>South Orkney Islands (UK)</x:v>
      </x:c>
      <x:c r="C24" s="24" t="str">
        <x:v>EEZ</x:v>
      </x:c>
      <x:c r="D24" s="30" t="n">
        <x:v>2019</x:v>
      </x:c>
      <x:c r="E24" s="24" t="str">
        <x:v>Pagetodes antarcticus</x:v>
      </x:c>
      <x:c r="F24" s="24" t="str">
        <x:v>Long-fingered icefish</x:v>
      </x:c>
      <x:c r="G24" s="24" t="str">
        <x:v>Medium bathydemersals (30 - 89 cm)</x:v>
      </x:c>
      <x:c r="H24" s="24" t="str">
        <x:v>Perch-likes</x:v>
      </x:c>
      <x:c r="I24" s="31" t="n">
        <x:v>0.0028899998999999997</x:v>
      </x:c>
      <x:c r="J24" s="31" t="n">
        <x:v>0.0028899998999999997</x:v>
      </x:c>
      <x:c r="K24" s="31" t="n">
        <x:v>0</x:v>
      </x:c>
      <x:c r="L24" s="31" t="n">
        <x:v>0.0028899998999999997</x:v>
      </x:c>
      <x:c r="M24" s="31" t="n">
        <x:v>0</x:v>
      </x:c>
      <x:c r="N24" s="24" t="str">
        <x:v>pagetodes antarcticus</x:v>
      </x:c>
      <x:c r="O24" s="32" t="n">
        <x:v>3.57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Pagetodes antarcticus</x:v>
      </x:c>
      <x:c r="T24" s="32" t="n">
        <x:f>IF(O24="","",(1/'Metadata'!$B$5)^(O24-1))</x:f>
        <x:v>371.5352290971724</x:v>
      </x:c>
      <x:c r="U24" s="31" t="n">
        <x:f>IF(T24="","",I24*T24)</x:f>
        <x:v>1.0737367749373052</x:v>
      </x:c>
    </x:row>
    <x:row r="25" ht="18" customHeight="1">
      <x:c r="A25" s="24" t="str">
        <x:v>EEZ_910</x:v>
      </x:c>
      <x:c r="B25" s="24" t="str">
        <x:v>South Orkney Islands (UK)</x:v>
      </x:c>
      <x:c r="C25" s="24" t="str">
        <x:v>EEZ</x:v>
      </x:c>
      <x:c r="D25" s="30" t="n">
        <x:v>2019</x:v>
      </x:c>
      <x:c r="E25" s="24" t="str">
        <x:v>Chionobathyscus dewitti</x:v>
      </x:c>
      <x:c r="F25" s="24" t="str">
        <x:v>Chionobathyscus dewitti</x:v>
      </x:c>
      <x:c r="G25" s="24" t="str">
        <x:v>Medium bathydemersals (30 - 89 cm)</x:v>
      </x:c>
      <x:c r="H25" s="24" t="str">
        <x:v>Perch-likes</x:v>
      </x:c>
      <x:c r="I25" s="31" t="n">
        <x:v>0.0017170000000000002</x:v>
      </x:c>
      <x:c r="J25" s="31" t="n">
        <x:v>0.0017170000000000002</x:v>
      </x:c>
      <x:c r="K25" s="31" t="n">
        <x:v>0</x:v>
      </x:c>
      <x:c r="L25" s="31" t="n">
        <x:v>0.0017170000000000002</x:v>
      </x:c>
      <x:c r="M25" s="31" t="n">
        <x:v>0</x:v>
      </x:c>
      <x:c r="N25" s="24" t="str">
        <x:v>chionobathyscus dewitti</x:v>
      </x:c>
      <x:c r="O25" s="32" t="n">
        <x:v>3.76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Chionobathyscus dewitti</x:v>
      </x:c>
      <x:c r="T25" s="32" t="n">
        <x:f>IF(O25="","",(1/'Metadata'!$B$5)^(O25-1))</x:f>
        <x:v>575.4399373371566</x:v>
      </x:c>
      <x:c r="U25" s="31" t="n">
        <x:f>IF(T25="","",I25*T25)</x:f>
        <x:v>0.988030372407898</x:v>
      </x:c>
    </x:row>
    <x:row r="26" ht="18" customHeight="1">
      <x:c r="A26" s="24" t="str">
        <x:v>EEZ_910</x:v>
      </x:c>
      <x:c r="B26" s="24" t="str">
        <x:v>South Orkney Islands (UK)</x:v>
      </x:c>
      <x:c r="C26" s="24" t="str">
        <x:v>EEZ</x:v>
      </x:c>
      <x:c r="D26" s="30" t="n">
        <x:v>2019</x:v>
      </x:c>
      <x:c r="E26" s="24" t="str">
        <x:v>Nototheniidae</x:v>
      </x:c>
      <x:c r="F26" s="24" t="str">
        <x:v>Cod icefishes</x:v>
      </x:c>
      <x:c r="G26" s="24" t="str">
        <x:v>Large bathydemersals (&gt;=90 cm)</x:v>
      </x:c>
      <x:c r="H26" s="24" t="str">
        <x:v>Perch-likes</x:v>
      </x:c>
      <x:c r="I26" s="31" t="n">
        <x:v>0.00171</x:v>
      </x:c>
      <x:c r="J26" s="31" t="n">
        <x:v>0.00171</x:v>
      </x:c>
      <x:c r="K26" s="31" t="n">
        <x:v>0</x:v>
      </x:c>
      <x:c r="L26" s="31" t="n">
        <x:v>0.00171</x:v>
      </x:c>
      <x:c r="M26" s="31" t="n">
        <x:v>0</x:v>
      </x:c>
      <x:c r="N26" s="24" t="str">
        <x:v>nototheniidae</x:v>
      </x:c>
      <x:c r="O26" s="32" t="n">
        <x:v>3.43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Nototheniidae</x:v>
      </x:c>
      <x:c r="T26" s="32" t="n">
        <x:f>IF(O26="","",(1/'Metadata'!$B$5)^(O26-1))</x:f>
        <x:v>269.1534803926917</x:v>
      </x:c>
      <x:c r="U26" s="31" t="n">
        <x:f>IF(T26="","",I26*T26)</x:f>
        <x:v>0.46025245147150273</x:v>
      </x:c>
    </x:row>
    <x:row r="27" ht="18" customHeight="1">
      <x:c r="A27" s="24" t="str">
        <x:v>EEZ_910</x:v>
      </x:c>
      <x:c r="B27" s="24" t="str">
        <x:v>South Orkney Islands (UK)</x:v>
      </x:c>
      <x:c r="C27" s="24" t="str">
        <x:v>EEZ</x:v>
      </x:c>
      <x:c r="D27" s="30" t="n">
        <x:v>2019</x:v>
      </x:c>
      <x:c r="E27" s="24" t="str">
        <x:v>Trematomus eulepidotus</x:v>
      </x:c>
      <x:c r="F27" s="24" t="str">
        <x:v>Blunt scalyhead</x:v>
      </x:c>
      <x:c r="G27" s="24" t="str">
        <x:v>Small demersals (&lt;30 cm)</x:v>
      </x:c>
      <x:c r="H27" s="24" t="str">
        <x:v>Perch-likes</x:v>
      </x:c>
      <x:c r="I27" s="31" t="n">
        <x:v>0.00047</x:v>
      </x:c>
      <x:c r="J27" s="31" t="n">
        <x:v>0.00047</x:v>
      </x:c>
      <x:c r="K27" s="31" t="n">
        <x:v>0</x:v>
      </x:c>
      <x:c r="L27" s="31" t="n">
        <x:v>0.00047</x:v>
      </x:c>
      <x:c r="M27" s="31" t="n">
        <x:v>0</x:v>
      </x:c>
      <x:c r="N27" s="24" t="str">
        <x:v>trematomus eulepidotus</x:v>
      </x:c>
      <x:c r="O27" s="32" t="n">
        <x:v>3.35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Trematomus eulepidotus</x:v>
      </x:c>
      <x:c r="T27" s="32" t="n">
        <x:f>IF(O27="","",(1/'Metadata'!$B$5)^(O27-1))</x:f>
        <x:v>223.872113856834</x:v>
      </x:c>
      <x:c r="U27" s="31" t="n">
        <x:f>IF(T27="","",I27*T27)</x:f>
        <x:v>0.10521989351271198</x:v>
      </x:c>
    </x:row>
    <x:row r="28" ht="18" customHeight="1">
      <x:c r="A28" s="24" t="str">
        <x:v>EEZ_910</x:v>
      </x:c>
      <x:c r="B28" s="24" t="str">
        <x:v>South Orkney Islands (UK)</x:v>
      </x:c>
      <x:c r="C28" s="24" t="str">
        <x:v>EEZ</x:v>
      </x:c>
      <x:c r="D28" s="30" t="n">
        <x:v>2019</x:v>
      </x:c>
      <x:c r="E28" s="24" t="str">
        <x:v>Nototheniops larseni</x:v>
      </x:c>
      <x:c r="F28" s="24" t="str">
        <x:v>Painted notie</x:v>
      </x:c>
      <x:c r="G28" s="24" t="str">
        <x:v>Small benthopelagics (&lt;30 cm)</x:v>
      </x:c>
      <x:c r="H28" s="24" t="str">
        <x:v>Perch-likes</x:v>
      </x:c>
      <x:c r="I28" s="31" t="n">
        <x:v>0.00024500000000000005</x:v>
      </x:c>
      <x:c r="J28" s="31" t="n">
        <x:v>0.00024500000000000005</x:v>
      </x:c>
      <x:c r="K28" s="31" t="n">
        <x:v>0</x:v>
      </x:c>
      <x:c r="L28" s="31" t="n">
        <x:v>0.00024500000000000005</x:v>
      </x:c>
      <x:c r="M28" s="31" t="n">
        <x:v>0</x:v>
      </x:c>
      <x:c r="N28" s="24" t="str">
        <x:v>nototheniops larseni</x:v>
      </x:c>
      <x:c r="O28" s="32" t="n">
        <x:v>3.33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Nototheniops larseni</x:v>
      </x:c>
      <x:c r="T28" s="32" t="n">
        <x:f>IF(O28="","",(1/'Metadata'!$B$5)^(O28-1))</x:f>
        <x:v>213.79620895022325</x:v>
      </x:c>
      <x:c r="U28" s="31" t="n">
        <x:f>IF(T28="","",I28*T28)</x:f>
        <x:v>0.0523800711928047</x:v>
      </x:c>
    </x:row>
    <x:row r="29" ht="18" customHeight="1">
      <x:c r="A29" s="24" t="str">
        <x:v>EEZ_910</x:v>
      </x:c>
      <x:c r="B29" s="24" t="str">
        <x:v>South Orkney Islands (UK)</x:v>
      </x:c>
      <x:c r="C29" s="24" t="str">
        <x:v>EEZ</x:v>
      </x:c>
      <x:c r="D29" s="30" t="n">
        <x:v>2019</x:v>
      </x:c>
      <x:c r="E29" s="24" t="str">
        <x:v>Trematomus</x:v>
      </x:c>
      <x:c r="F29" s="24" t="str">
        <x:v>Rockcods</x:v>
      </x:c>
      <x:c r="G29" s="24" t="str">
        <x:v>Large reef assoc. fish (&gt;=90 cm)</x:v>
      </x:c>
      <x:c r="H29" s="24" t="str">
        <x:v>Perch-likes</x:v>
      </x:c>
      <x:c r="I29" s="31" t="n">
        <x:v>0.00022</x:v>
      </x:c>
      <x:c r="J29" s="31" t="n">
        <x:v>0.00022</x:v>
      </x:c>
      <x:c r="K29" s="31" t="n">
        <x:v>0</x:v>
      </x:c>
      <x:c r="L29" s="31" t="n">
        <x:v>0.00022</x:v>
      </x:c>
      <x:c r="M29" s="31" t="n">
        <x:v>0</x:v>
      </x:c>
      <x:c r="N29" s="24" t="str">
        <x:v>trematomus</x:v>
      </x:c>
      <x:c r="O29" s="32" t="n">
        <x:v>3.29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Trematomus</x:v>
      </x:c>
      <x:c r="T29" s="32" t="n">
        <x:f>IF(O29="","",(1/'Metadata'!$B$5)^(O29-1))</x:f>
        <x:v>194.98445997580455</x:v>
      </x:c>
      <x:c r="U29" s="31" t="n">
        <x:f>IF(T29="","",I29*T29)</x:f>
        <x:v>0.04289658119467701</x:v>
      </x:c>
    </x:row>
    <x:row r="30" ht="18" customHeight="1">
      <x:c r="A30" s="24" t="str">
        <x:v>EEZ_910</x:v>
      </x:c>
      <x:c r="B30" s="24" t="str">
        <x:v>South Orkney Islands (UK)</x:v>
      </x:c>
      <x:c r="C30" s="24" t="str">
        <x:v>EEZ</x:v>
      </x:c>
      <x:c r="D30" s="30" t="n">
        <x:v>2019</x:v>
      </x:c>
      <x:c r="E30" s="24" t="str">
        <x:v>Notothenia rossii</x:v>
      </x:c>
      <x:c r="F30" s="24" t="str">
        <x:v>Marbled rockcod</x:v>
      </x:c>
      <x:c r="G30" s="24" t="str">
        <x:v>Medium demersals (30 - 89 cm)</x:v>
      </x:c>
      <x:c r="H30" s="24" t="str">
        <x:v>Perch-likes</x:v>
      </x:c>
      <x:c r="I30" s="31" t="n">
        <x:v>0.000019999999999999998</x:v>
      </x:c>
      <x:c r="J30" s="31" t="n">
        <x:v>0.000019999999999999998</x:v>
      </x:c>
      <x:c r="K30" s="31" t="n">
        <x:v>0</x:v>
      </x:c>
      <x:c r="L30" s="31" t="n">
        <x:v>0.000019999999999999998</x:v>
      </x:c>
      <x:c r="M30" s="31" t="n">
        <x:v>0</x:v>
      </x:c>
      <x:c r="N30" s="24" t="str">
        <x:v>notothenia rossii</x:v>
      </x:c>
      <x:c r="O30" s="32" t="n">
        <x:v>3.55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Notothenia rossii</x:v>
      </x:c>
      <x:c r="T30" s="32" t="n">
        <x:f>IF(O30="","",(1/'Metadata'!$B$5)^(O30-1))</x:f>
        <x:v>354.8133892335753</x:v>
      </x:c>
      <x:c r="U30" s="31" t="n">
        <x:f>IF(T30="","",I30*T30)</x:f>
        <x:v>0.007096267784671506</x:v>
      </x:c>
    </x:row>
    <x:row r="31" ht="18" customHeight="1">
      <x:c r="A31" s="24" t="str">
        <x:v>EEZ_910</x:v>
      </x:c>
      <x:c r="B31" s="24" t="str">
        <x:v>South Orkney Islands (UK)</x:v>
      </x:c>
      <x:c r="C31" s="24" t="str">
        <x:v>EEZ</x:v>
      </x:c>
      <x:c r="D31" s="30" t="n">
        <x:v>2019</x:v>
      </x:c>
      <x:c r="E31" s="24" t="str">
        <x:v>Malacostraca</x:v>
      </x:c>
      <x:c r="F31" s="24" t="str">
        <x:v>Lobsters, crabs, shrimps, krill</x:v>
      </x:c>
      <x:c r="G31" s="24" t="str">
        <x:v>Shrimps</x:v>
      </x:c>
      <x:c r="H31" s="24" t="str">
        <x:v>Crustaceans</x:v>
      </x:c>
      <x:c r="I31" s="31" t="n">
        <x:v>0.0000010000000000000002</x:v>
      </x:c>
      <x:c r="J31" s="31" t="n">
        <x:v>0.0000010000000000000002</x:v>
      </x:c>
      <x:c r="K31" s="31" t="n">
        <x:v>0</x:v>
      </x:c>
      <x:c r="L31" s="31" t="n">
        <x:v>0.0000010000000000000002</x:v>
      </x:c>
      <x:c r="M31" s="31" t="n">
        <x:v>0</x:v>
      </x:c>
      <x:c r="N31" s="24" t="str">
        <x:v>malacostraca</x:v>
      </x:c>
      <x:c r="O31" s="32" t="n">
        <x:v>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Malacostraca</x:v>
      </x:c>
      <x:c r="T31" s="32" t="n">
        <x:f>IF(O31="","",(1/'Metadata'!$B$5)^(O31-1))</x:f>
        <x:v>100</x:v>
      </x:c>
      <x:c r="U31" s="31" t="n">
        <x:f>IF(T31="","",I31*T31)</x:f>
        <x:v>0.00010000000000000002</x:v>
      </x:c>
    </x:row>
  </x:sheetData>
  <x:conditionalFormatting sqref="R2:R3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67004799edf4f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5.47492</x:v>
      </x:c>
      <x:c r="E2" s="31" t="n">
        <x:v>5.47492</x:v>
      </x:c>
      <x:c r="F2" s="32" t="n">
        <x:v>0</x:v>
      </x:c>
      <x:c r="G2" s="34" t="n">
        <x:v>1</x:v>
      </x:c>
      <x:c r="H2" s="32" t="n">
        <x:f>IF(E2=0,"",I2/E2)</x:f>
        <x:v>379.1519559265359</x:v>
      </x:c>
      <x:c r="I2" s="31" t="n">
        <x:f>IF(C2=0,"",SUMIF('Species'!$H$2:$H$31,A2,'Species'!$U$2:$U$31))</x:f>
        <x:v>2075.82662654131</x:v>
      </x:c>
      <x:c r="J2" s="32" t="n">
        <x:v>3.57855241720427</x:v>
      </x:c>
      <x:c r="K2" s="32" t="n">
        <x:f>IF(J2="","",(1/'Metadata'!$B$5)^(J2-1))</x:f>
        <x:v>378.92426528051965</x:v>
      </x:c>
      <x:c r="L2" s="31" t="n">
        <x:f>IF(E2=0,"",E2*K2)</x:f>
        <x:v>2074.5800384696227</x:v>
      </x:c>
      <x:c r="M2" s="31" t="n">
        <x:f>IF(E2=0,"",I2-L2)</x:f>
        <x:v>1.2465880716872562</x:v>
      </x:c>
      <x:c r="N2" s="32" t="n">
        <x:f>IF(L2=0,"",I2/L2)</x:f>
        <x:v>1.000600886949923</x:v>
      </x:c>
      <x:c r="O2" s="34" t="n">
        <x:f>IF(L2=0,"",M2/L2)</x:f>
        <x:v>0.0006008869499230504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267059.9528983811</x:v>
      </x:c>
      <x:c r="E3" s="31" t="n">
        <x:v>267059.9528983811</x:v>
      </x:c>
      <x:c r="F3" s="32" t="n">
        <x:v>0</x:v>
      </x:c>
      <x:c r="G3" s="34" t="n">
        <x:v>1</x:v>
      </x:c>
      <x:c r="H3" s="32" t="n">
        <x:f>IF(E3=0,"",I3/E3)</x:f>
        <x:v>17.78279410069709</x:v>
      </x:c>
      <x:c r="I3" s="31" t="n">
        <x:f>IF(C3=0,"",SUMIF('Species'!$H$2:$H$31,A3,'Species'!$U$2:$U$31))</x:f>
        <x:v>4749072.154933774</x:v>
      </x:c>
      <x:c r="J3" s="32" t="n">
        <x:v>2.2500000000028084</x:v>
      </x:c>
      <x:c r="K3" s="32" t="n">
        <x:f>IF(J3="","",(1/'Metadata'!$B$5)^(J3-1))</x:f>
        <x:v>17.782794100504223</x:v>
      </x:c>
      <x:c r="L3" s="31" t="n">
        <x:f>IF(E3=0,"",E3*K3)</x:f>
        <x:v>4749072.154882267</x:v>
      </x:c>
      <x:c r="M3" s="31" t="n">
        <x:f>IF(E3=0,"",I3-L3)</x:f>
        <x:v>0.00005150679498910904</x:v>
      </x:c>
      <x:c r="N3" s="32" t="n">
        <x:f>IF(L3=0,"",I3/L3)</x:f>
        <x:v>1.0000000000108455</x:v>
      </x:c>
      <x:c r="O3" s="34" t="n">
        <x:f>IF(L3=0,"",M3/L3)</x:f>
        <x:v>1.084565433190095e-11</x:v>
      </x:c>
    </x:row>
    <x:row r="4" ht="18" customHeight="1">
      <x:c r="A4" s="24" t="str">
        <x:v>Other fishes &amp; inverts</x:v>
      </x:c>
      <x:c r="B4" s="33" t="n">
        <x:v>6</x:v>
      </x:c>
      <x:c r="C4" s="33" t="n">
        <x:v>6</x:v>
      </x:c>
      <x:c r="D4" s="31" t="n">
        <x:v>8.0022515253</x:v>
      </x:c>
      <x:c r="E4" s="31" t="n">
        <x:v>8.0022515253</x:v>
      </x:c>
      <x:c r="F4" s="32" t="n">
        <x:v>0</x:v>
      </x:c>
      <x:c r="G4" s="34" t="n">
        <x:v>1</x:v>
      </x:c>
      <x:c r="H4" s="32" t="n">
        <x:f>IF(E4=0,"",I4/E4)</x:f>
        <x:v>206.3694654428262</x:v>
      </x:c>
      <x:c r="I4" s="31" t="n">
        <x:f>IF(C4=0,"",SUMIF('Species'!$H$2:$H$31,A4,'Species'!$U$2:$U$31))</x:f>
        <x:v>1651.4203696152017</x:v>
      </x:c>
      <x:c r="J4" s="32" t="n">
        <x:v>3.2940303978021728</x:v>
      </x:c>
      <x:c r="K4" s="32" t="n">
        <x:f>IF(J4="","",(1/'Metadata'!$B$5)^(J4-1))</x:f>
        <x:v>196.80240338278517</x:v>
      </x:c>
      <x:c r="L4" s="31" t="n">
        <x:f>IF(E4=0,"",E4*K4)</x:f>
        <x:v>1574.8623326525985</x:v>
      </x:c>
      <x:c r="M4" s="31" t="n">
        <x:f>IF(E4=0,"",I4-L4)</x:f>
        <x:v>76.55803696260318</x:v>
      </x:c>
      <x:c r="N4" s="32" t="n">
        <x:f>IF(L4=0,"",I4/L4)</x:f>
        <x:v>1.048612526552498</x:v>
      </x:c>
      <x:c r="O4" s="34" t="n">
        <x:f>IF(L4=0,"",M4/L4)</x:f>
        <x:v>0.04861252655249787</x:v>
      </x:c>
    </x:row>
    <x:row r="5" ht="18" customHeight="1">
      <x:c r="A5" s="24" t="str">
        <x:v>Perch-likes</x:v>
      </x:c>
      <x:c r="B5" s="33" t="n">
        <x:v>17</x:v>
      </x:c>
      <x:c r="C5" s="33" t="n">
        <x:v>17</x:v>
      </x:c>
      <x:c r="D5" s="31" t="n">
        <x:v>41.3806199999</x:v>
      </x:c>
      <x:c r="E5" s="31" t="n">
        <x:v>41.3806199999</x:v>
      </x:c>
      <x:c r="F5" s="32" t="n">
        <x:v>0</x:v>
      </x:c>
      <x:c r="G5" s="34" t="n">
        <x:v>1</x:v>
      </x:c>
      <x:c r="H5" s="32" t="n">
        <x:f>IF(E5=0,"",I5/E5)</x:f>
        <x:v>1421.9325964813124</x:v>
      </x:c>
      <x:c r="I5" s="31" t="n">
        <x:f>IF(C5=0,"",SUMIF('Species'!$H$2:$H$31,A5,'Species'!$U$2:$U$31))</x:f>
        <x:v>58840.45244046433</x:v>
      </x:c>
      <x:c r="J5" s="32" t="n">
        <x:v>4.082567351819964</x:v>
      </x:c>
      <x:c r="K5" s="32" t="n">
        <x:f>IF(J5="","",(1/'Metadata'!$B$5)^(J5-1))</x:f>
        <x:v>1209.3927250112338</x:v>
      </x:c>
      <x:c r="L5" s="31" t="n">
        <x:f>IF(E5=0,"",E5*K5)</x:f>
        <x:v>50045.42078433342</x:v>
      </x:c>
      <x:c r="M5" s="31" t="n">
        <x:f>IF(E5=0,"",I5-L5)</x:f>
        <x:v>8795.031656130908</x:v>
      </x:c>
      <x:c r="N5" s="32" t="n">
        <x:f>IF(L5=0,"",I5/L5)</x:f>
        <x:v>1.175740987253007</x:v>
      </x:c>
      <x:c r="O5" s="34" t="n">
        <x:f>IF(L5=0,"",M5/L5)</x:f>
        <x:v>0.17574098725300694</x:v>
      </x:c>
    </x:row>
    <x:row r="6" ht="18" customHeight="1">
      <x:c r="A6" s="24" t="str">
        <x:v>Sharks &amp; rays</x:v>
      </x:c>
      <x:c r="B6" s="33" t="n">
        <x:v>3</x:v>
      </x:c>
      <x:c r="C6" s="33" t="n">
        <x:v>3</x:v>
      </x:c>
      <x:c r="D6" s="31" t="n">
        <x:v>34.898244513200005</x:v>
      </x:c>
      <x:c r="E6" s="31" t="n">
        <x:v>34.898244513200005</x:v>
      </x:c>
      <x:c r="F6" s="32" t="n">
        <x:v>0</x:v>
      </x:c>
      <x:c r="G6" s="34" t="n">
        <x:v>1</x:v>
      </x:c>
      <x:c r="H6" s="32" t="n">
        <x:f>IF(E6=0,"",I6/E6)</x:f>
        <x:v>865.4593939117609</x:v>
      </x:c>
      <x:c r="I6" s="31" t="n">
        <x:f>IF(C6=0,"",SUMIF('Species'!$H$2:$H$31,A6,'Species'!$U$2:$U$31))</x:f>
        <x:v>30203.013544978512</x:v>
      </x:c>
      <x:c r="J6" s="32" t="n">
        <x:v>3.892065151413497</x:v>
      </x:c>
      <x:c r="K6" s="32" t="n">
        <x:f>IF(J6="","",(1/'Metadata'!$B$5)^(J6-1))</x:f>
        <x:v>779.9471068178169</x:v>
      </x:c>
      <x:c r="L6" s="31" t="n">
        <x:f>IF(E6=0,"",E6*K6)</x:f>
        <x:v>27218.7848410911</x:v>
      </x:c>
      <x:c r="M6" s="31" t="n">
        <x:f>IF(E6=0,"",I6-L6)</x:f>
        <x:v>2984.228703887413</x:v>
      </x:c>
      <x:c r="N6" s="32" t="n">
        <x:f>IF(L6=0,"",I6/L6)</x:f>
        <x:v>1.109638572085784</x:v>
      </x:c>
      <x:c r="O6" s="34" t="n">
        <x:f>IF(L6=0,"",M6/L6)</x:f>
        <x:v>0.10963857208578406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e76053882bb4a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0.10721843780000001</x:v>
      </x:c>
      <x:c r="E2" s="31" t="n">
        <x:v>0.10721843780000001</x:v>
      </x:c>
      <x:c r="F2" s="32" t="n">
        <x:v>0</x:v>
      </x:c>
      <x:c r="G2" s="34" t="n">
        <x:v>1</x:v>
      </x:c>
      <x:c r="H2" s="32" t="n">
        <x:f>IF(E2=0,"",I2/E2)</x:f>
        <x:v>1117.23235896452</x:v>
      </x:c>
      <x:c r="I2" s="31" t="n">
        <x:f>IF(C2=0,"",SUMIF('Species'!$G$2:$G$31,A2,'Species'!$U$2:$U$31))</x:f>
        <x:v>119.78790818778468</x:v>
      </x:c>
      <x:c r="J2" s="32" t="n">
        <x:v>4.024564403287734</x:v>
      </x:c>
      <x:c r="K2" s="32" t="n">
        <x:f>IF(J2="","",(1/'Metadata'!$B$5)^(J2-1))</x:f>
        <x:v>1058.1918279135211</x:v>
      </x:c>
      <x:c r="L2" s="31" t="n">
        <x:f>IF(E2=0,"",E2*K2)</x:f>
        <x:v>113.45767468161418</x:v>
      </x:c>
      <x:c r="M2" s="31" t="n">
        <x:f>IF(E2=0,"",I2-L2)</x:f>
        <x:v>6.330233506170501</x:v>
      </x:c>
      <x:c r="N2" s="32" t="n">
        <x:f>IF(L2=0,"",I2/L2)</x:f>
        <x:v>1.0557937885113056</x:v>
      </x:c>
      <x:c r="O2" s="34" t="n">
        <x:f>IF(L2=0,"",M2/L2)</x:f>
        <x:v>0.05579378851130567</x:v>
      </x:c>
    </x:row>
    <x:row r="3" ht="18" customHeight="1">
      <x:c r="A3" s="24" t="str">
        <x:v>Krill</x:v>
      </x:c>
      <x:c r="B3" s="33" t="n">
        <x:v>1</x:v>
      </x:c>
      <x:c r="C3" s="33" t="n">
        <x:v>1</x:v>
      </x:c>
      <x:c r="D3" s="31" t="n">
        <x:v>267059.9528973811</x:v>
      </x:c>
      <x:c r="E3" s="31" t="n">
        <x:v>267059.9528973811</x:v>
      </x:c>
      <x:c r="F3" s="32" t="n">
        <x:v>0</x:v>
      </x:c>
      <x:c r="G3" s="34" t="n">
        <x:v>1</x:v>
      </x:c>
      <x:c r="H3" s="32" t="n">
        <x:f>IF(E3=0,"",I3/E3)</x:f>
        <x:v>17.78279410038923</x:v>
      </x:c>
      <x:c r="I3" s="31" t="n">
        <x:f>IF(C3=0,"",SUMIF('Species'!$G$2:$G$31,A3,'Species'!$U$2:$U$31))</x:f>
        <x:v>4749072.154833774</x:v>
      </x:c>
      <x:c r="J3" s="32" t="n">
        <x:v>2.25</x:v>
      </x:c>
      <x:c r="K3" s="32" t="n">
        <x:f>IF(J3="","",(1/'Metadata'!$B$5)^(J3-1))</x:f>
        <x:v>17.78279410038923</x:v>
      </x:c>
      <x:c r="L3" s="31" t="n">
        <x:f>IF(E3=0,"",E3*K3)</x:f>
        <x:v>4749072.154833774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bathydemersals (&gt;=90 cm)</x:v>
      </x:c>
      <x:c r="B4" s="33" t="n">
        <x:v>2</x:v>
      </x:c>
      <x:c r="C4" s="33" t="n">
        <x:v>2</x:v>
      </x:c>
      <x:c r="D4" s="31" t="n">
        <x:v>0.9775699999999999</x:v>
      </x:c>
      <x:c r="E4" s="31" t="n">
        <x:v>0.9775699999999999</x:v>
      </x:c>
      <x:c r="F4" s="32" t="n">
        <x:v>0</x:v>
      </x:c>
      <x:c r="G4" s="34" t="n">
        <x:v>1</x:v>
      </x:c>
      <x:c r="H4" s="32" t="n">
        <x:f>IF(E4=0,"",I4/E4)</x:f>
        <x:v>910.8863305393267</x:v>
      </x:c>
      <x:c r="I4" s="31" t="n">
        <x:f>IF(C4=0,"",SUMIF('Species'!$G$2:$G$31,A4,'Species'!$U$2:$U$31))</x:f>
        <x:v>890.4551501453295</x:v>
      </x:c>
      <x:c r="J4" s="32" t="n">
        <x:v>3.9590729052650957</x:v>
      </x:c>
      <x:c r="K4" s="32" t="n">
        <x:f>IF(J4="","",(1/'Metadata'!$B$5)^(J4-1))</x:f>
        <x:v>910.0660331196303</x:v>
      </x:c>
      <x:c r="L4" s="31" t="n">
        <x:f>IF(E4=0,"",E4*K4)</x:f>
        <x:v>889.6532519967569</x:v>
      </x:c>
      <x:c r="M4" s="31" t="n">
        <x:f>IF(E4=0,"",I4-L4)</x:f>
        <x:v>0.8018981485726044</x:v>
      </x:c>
      <x:c r="N4" s="32" t="n">
        <x:f>IF(L4=0,"",I4/L4)</x:f>
        <x:v>1.0009013603297383</x:v>
      </x:c>
      <x:c r="O4" s="34" t="n">
        <x:f>IF(L4=0,"",M4/L4)</x:f>
        <x:v>0.0009013603297383637</x:v>
      </x:c>
    </x:row>
    <x:row r="5" ht="18" customHeight="1">
      <x:c r="A5" s="24" t="str">
        <x:v>Large benthopelagics (&gt;=90 cm)</x:v>
      </x:c>
      <x:c r="B5" s="33" t="n">
        <x:v>1</x:v>
      </x:c>
      <x:c r="C5" s="33" t="n">
        <x:v>1</x:v>
      </x:c>
      <x:c r="D5" s="31" t="n">
        <x:v>35.113099999999996</x:v>
      </x:c>
      <x:c r="E5" s="31" t="n">
        <x:v>35.113099999999996</x:v>
      </x:c>
      <x:c r="F5" s="32" t="n">
        <x:v>0</x:v>
      </x:c>
      <x:c r="G5" s="34" t="n">
        <x:v>1</x:v>
      </x:c>
      <x:c r="H5" s="32" t="n">
        <x:f>IF(E5=0,"",I5/E5)</x:f>
        <x:v>1621.8100973589299</x:v>
      </x:c>
      <x:c r="I5" s="31" t="n">
        <x:f>IF(C5=0,"",SUMIF('Species'!$G$2:$G$31,A5,'Species'!$U$2:$U$31))</x:f>
        <x:v>56946.78012957383</x:v>
      </x:c>
      <x:c r="J5" s="32" t="n">
        <x:v>4.21</x:v>
      </x:c>
      <x:c r="K5" s="32" t="n">
        <x:f>IF(J5="","",(1/'Metadata'!$B$5)^(J5-1))</x:f>
        <x:v>1621.8100973589299</x:v>
      </x:c>
      <x:c r="L5" s="31" t="n">
        <x:f>IF(E5=0,"",E5*K5)</x:f>
        <x:v>56946.78012957383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12.5221209088</x:v>
      </x:c>
      <x:c r="E6" s="31" t="n">
        <x:v>12.5221209088</x:v>
      </x:c>
      <x:c r="F6" s="32" t="n">
        <x:v>0</x:v>
      </x:c>
      <x:c r="G6" s="34" t="n">
        <x:v>1</x:v>
      </x:c>
      <x:c r="H6" s="32" t="n">
        <x:f>IF(E6=0,"",I6/E6)</x:f>
        <x:v>407.3802778041126</x:v>
      </x:c>
      <x:c r="I6" s="31" t="n">
        <x:f>IF(C6=0,"",SUMIF('Species'!$G$2:$G$31,A6,'Species'!$U$2:$U$31))</x:f>
        <x:v>5101.265094523631</x:v>
      </x:c>
      <x:c r="J6" s="32" t="n">
        <x:v>3.6100000000000003</x:v>
      </x:c>
      <x:c r="K6" s="32" t="n">
        <x:f>IF(J6="","",(1/'Metadata'!$B$5)^(J6-1))</x:f>
        <x:v>407.380277804113</x:v>
      </x:c>
      <x:c r="L6" s="31" t="n">
        <x:f>IF(E6=0,"",E6*K6)</x:f>
        <x:v>5101.2650945236355</x:v>
      </x:c>
      <x:c r="M6" s="31" t="n">
        <x:f>IF(E6=0,"",I6-L6)</x:f>
        <x:v>-4.547473508864641e-12</x:v>
      </x:c>
      <x:c r="N6" s="32" t="n">
        <x:f>IF(L6=0,"",I6/L6)</x:f>
        <x:v>0.9999999999999991</x:v>
      </x:c>
      <x:c r="O6" s="34" t="n">
        <x:f>IF(L6=0,"",M6/L6)</x:f>
        <x:v>-8.91440343640736e-16</x:v>
      </x:c>
    </x:row>
    <x:row r="7" ht="18" customHeight="1">
      <x:c r="A7" s="24" t="str">
        <x:v>Large reef assoc. fish (&gt;=90 cm)</x:v>
      </x:c>
      <x:c r="B7" s="33" t="n">
        <x:v>1</x:v>
      </x:c>
      <x:c r="C7" s="33" t="n">
        <x:v>1</x:v>
      </x:c>
      <x:c r="D7" s="31" t="n">
        <x:v>0.00022</x:v>
      </x:c>
      <x:c r="E7" s="31" t="n">
        <x:v>0.00022</x:v>
      </x:c>
      <x:c r="F7" s="32" t="n">
        <x:v>0</x:v>
      </x:c>
      <x:c r="G7" s="34" t="n">
        <x:v>1</x:v>
      </x:c>
      <x:c r="H7" s="32" t="n">
        <x:f>IF(E7=0,"",I7/E7)</x:f>
        <x:v>194.98445997580458</x:v>
      </x:c>
      <x:c r="I7" s="31" t="n">
        <x:f>IF(C7=0,"",SUMIF('Species'!$G$2:$G$31,A7,'Species'!$U$2:$U$31))</x:f>
        <x:v>0.04289658119467701</x:v>
      </x:c>
      <x:c r="J7" s="32" t="n">
        <x:v>3.29</x:v>
      </x:c>
      <x:c r="K7" s="32" t="n">
        <x:f>IF(J7="","",(1/'Metadata'!$B$5)^(J7-1))</x:f>
        <x:v>194.98445997580455</x:v>
      </x:c>
      <x:c r="L7" s="31" t="n">
        <x:f>IF(E7=0,"",E7*K7)</x:f>
        <x:v>0.04289658119467701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sharks (&gt;=90 cm)</x:v>
      </x:c>
      <x:c r="B8" s="33" t="n">
        <x:v>2</x:v>
      </x:c>
      <x:c r="C8" s="33" t="n">
        <x:v>2</x:v>
      </x:c>
      <x:c r="D8" s="31" t="n">
        <x:v>22.3761236044</x:v>
      </x:c>
      <x:c r="E8" s="31" t="n">
        <x:v>22.3761236044</x:v>
      </x:c>
      <x:c r="F8" s="32" t="n">
        <x:v>0</x:v>
      </x:c>
      <x:c r="G8" s="34" t="n">
        <x:v>1</x:v>
      </x:c>
      <x:c r="H8" s="32" t="n">
        <x:f>IF(E8=0,"",I8/E8)</x:f>
        <x:v>1121.8095186745804</x:v>
      </x:c>
      <x:c r="I8" s="31" t="n">
        <x:f>IF(C8=0,"",SUMIF('Species'!$G$2:$G$31,A8,'Species'!$U$2:$U$31))</x:f>
        <x:v>25101.74845045488</x:v>
      </x:c>
      <x:c r="J8" s="32" t="n">
        <x:v>4.049914383595261</x:v>
      </x:c>
      <x:c r="K8" s="32" t="n">
        <x:f>IF(J8="","",(1/'Metadata'!$B$5)^(J8-1))</x:f>
        <x:v>1121.7972824431668</x:v>
      </x:c>
      <x:c r="L8" s="31" t="n">
        <x:f>IF(E8=0,"",E8*K8)</x:f>
        <x:v>25101.47465102832</x:v>
      </x:c>
      <x:c r="M8" s="31" t="n">
        <x:f>IF(E8=0,"",I8-L8)</x:f>
        <x:v>0.27379942656261846</x:v>
      </x:c>
      <x:c r="N8" s="32" t="n">
        <x:f>IF(L8=0,"",I8/L8)</x:f>
        <x:v>1.000010907702849</x:v>
      </x:c>
      <x:c r="O8" s="34" t="n">
        <x:f>IF(L8=0,"",M8/L8)</x:f>
        <x:v>0.000010907702848900229</x:v>
      </x:c>
    </x:row>
    <x:row r="9" ht="18" customHeight="1">
      <x:c r="A9" s="24" t="str">
        <x:v>Medium bathydemersals (30 - 89 cm)</x:v>
      </x:c>
      <x:c r="B9" s="33" t="n">
        <x:v>2</x:v>
      </x:c>
      <x:c r="C9" s="33" t="n">
        <x:v>2</x:v>
      </x:c>
      <x:c r="D9" s="31" t="n">
        <x:v>0.0046069999</x:v>
      </x:c>
      <x:c r="E9" s="31" t="n">
        <x:v>0.0046069999</x:v>
      </x:c>
      <x:c r="F9" s="32" t="n">
        <x:v>0</x:v>
      </x:c>
      <x:c r="G9" s="34" t="n">
        <x:v>1</x:v>
      </x:c>
      <x:c r="H9" s="32" t="n">
        <x:f>IF(E9=0,"",I9/E9)</x:f>
        <x:v>447.5292364007221</x:v>
      </x:c>
      <x:c r="I9" s="31" t="n">
        <x:f>IF(C9=0,"",SUMIF('Species'!$G$2:$G$31,A9,'Species'!$U$2:$U$31))</x:f>
        <x:v>2.0617671473452033</x:v>
      </x:c>
      <x:c r="J9" s="32" t="n">
        <x:v>3.640811809655129</x:v>
      </x:c>
      <x:c r="K9" s="32" t="n">
        <x:f>IF(J9="","",(1/'Metadata'!$B$5)^(J9-1))</x:f>
        <x:v>437.33255727666494</x:v>
      </x:c>
      <x:c r="L9" s="31" t="n">
        <x:f>IF(E9=0,"",E9*K9)</x:f>
        <x:v>2.01479104764034</x:v>
      </x:c>
      <x:c r="M9" s="31" t="n">
        <x:f>IF(E9=0,"",I9-L9)</x:f>
        <x:v>0.04697609970486338</x:v>
      </x:c>
      <x:c r="N9" s="32" t="n">
        <x:f>IF(L9=0,"",I9/L9)</x:f>
        <x:v>1.023315618639402</x:v>
      </x:c>
      <x:c r="O9" s="34" t="n">
        <x:f>IF(L9=0,"",M9/L9)</x:f>
        <x:v>0.023315618639401996</x:v>
      </x:c>
    </x:row>
    <x:row r="10" ht="18" customHeight="1">
      <x:c r="A10" s="24" t="str">
        <x:v>Medium benthopelagics (30 - 89 cm)</x:v>
      </x:c>
      <x:c r="B10" s="33" t="n">
        <x:v>4</x:v>
      </x:c>
      <x:c r="C10" s="33" t="n">
        <x:v>4</x:v>
      </x:c>
      <x:c r="D10" s="31" t="n">
        <x:v>5.691186</x:v>
      </x:c>
      <x:c r="E10" s="31" t="n">
        <x:v>5.691186</x:v>
      </x:c>
      <x:c r="F10" s="32" t="n">
        <x:v>0</x:v>
      </x:c>
      <x:c r="G10" s="34" t="n">
        <x:v>1</x:v>
      </x:c>
      <x:c r="H10" s="32" t="n">
        <x:f>IF(E10=0,"",I10/E10)</x:f>
        <x:v>382.93062930688086</x:v>
      </x:c>
      <x:c r="I10" s="31" t="n">
        <x:f>IF(C10=0,"",SUMIF('Species'!$G$2:$G$31,A10,'Species'!$U$2:$U$31))</x:f>
        <x:v>2179.32943648251</x:v>
      </x:c>
      <x:c r="J10" s="32" t="n">
        <x:v>3.5804441727963208</x:v>
      </x:c>
      <x:c r="K10" s="32" t="n">
        <x:f>IF(J10="","",(1/'Metadata'!$B$5)^(J10-1))</x:f>
        <x:v>380.57843228395444</x:v>
      </x:c>
      <x:c r="L10" s="31" t="n">
        <x:f>IF(E10=0,"",E10*K10)</x:f>
        <x:v>2165.9426457163895</x:v>
      </x:c>
      <x:c r="M10" s="31" t="n">
        <x:f>IF(E10=0,"",I10-L10)</x:f>
        <x:v>13.386790766120612</x:v>
      </x:c>
      <x:c r="N10" s="32" t="n">
        <x:f>IF(L10=0,"",I10/L10)</x:f>
        <x:v>1.006180584140857</x:v>
      </x:c>
      <x:c r="O10" s="34" t="n">
        <x:f>IF(L10=0,"",M10/L10)</x:f>
        <x:v>0.00618058414085702</x:v>
      </x:c>
    </x:row>
    <x:row r="11" ht="18" customHeight="1">
      <x:c r="A11" s="24" t="str">
        <x:v>Medium demersals (30 - 89 cm)</x:v>
      </x:c>
      <x:c r="B11" s="33" t="n">
        <x:v>8</x:v>
      </x:c>
      <x:c r="C11" s="33" t="n">
        <x:v>8</x:v>
      </x:c>
      <x:c r="D11" s="31" t="n">
        <x:v>8.524656087600002</x:v>
      </x:c>
      <x:c r="E11" s="31" t="n">
        <x:v>8.524656087600002</x:v>
      </x:c>
      <x:c r="F11" s="32" t="n">
        <x:v>0</x:v>
      </x:c>
      <x:c r="G11" s="34" t="n">
        <x:v>1</x:v>
      </x:c>
      <x:c r="H11" s="32" t="n">
        <x:f>IF(E11=0,"",I11/E11)</x:f>
        <x:v>196.50419010444742</x:v>
      </x:c>
      <x:c r="I11" s="31" t="n">
        <x:f>IF(C11=0,"",SUMIF('Species'!$G$2:$G$31,A11,'Species'!$U$2:$U$31))</x:f>
        <x:v>1675.1306404127859</x:v>
      </x:c>
      <x:c r="J11" s="32" t="n">
        <x:v>3.2880463914741114</x:v>
      </x:c>
      <x:c r="K11" s="32" t="n">
        <x:f>IF(J11="","",(1/'Metadata'!$B$5)^(J11-1))</x:f>
        <x:v>194.10932147106723</x:v>
      </x:c>
      <x:c r="L11" s="31" t="n">
        <x:f>IF(E11=0,"",E11*K11)</x:f>
        <x:v>1654.7152089382391</x:v>
      </x:c>
      <x:c r="M11" s="31" t="n">
        <x:f>IF(E11=0,"",I11-L11)</x:f>
        <x:v>20.415431474546722</x:v>
      </x:c>
      <x:c r="N11" s="32" t="n">
        <x:f>IF(L11=0,"",I11/L11)</x:f>
        <x:v>1.0123377312085302</x:v>
      </x:c>
      <x:c r="O11" s="34" t="n">
        <x:f>IF(L11=0,"",M11/L11)</x:f>
        <x:v>0.012337731208530102</x:v>
      </x:c>
    </x:row>
    <x:row r="12" ht="18" customHeight="1">
      <x:c r="A12" s="24" t="str">
        <x:v>Medium pelagics (30 - 89 cm)</x:v>
      </x:c>
      <x:c r="B12" s="33" t="n">
        <x:v>1</x:v>
      </x:c>
      <x:c r="C12" s="33" t="n">
        <x:v>1</x:v>
      </x:c>
      <x:c r="D12" s="31" t="n">
        <x:v>4.4219889999</x:v>
      </x:c>
      <x:c r="E12" s="31" t="n">
        <x:v>4.4219889999</x:v>
      </x:c>
      <x:c r="F12" s="32" t="n">
        <x:v>0</x:v>
      </x:c>
      <x:c r="G12" s="34" t="n">
        <x:v>1</x:v>
      </x:c>
      <x:c r="H12" s="32" t="n">
        <x:f>IF(E12=0,"",I12/E12)</x:f>
        <x:v>169.82436524617444</x:v>
      </x:c>
      <x:c r="I12" s="31" t="n">
        <x:f>IF(C12=0,"",SUMIF('Species'!$G$2:$G$31,A12,'Species'!$U$2:$U$31))</x:f>
        <x:v>750.9614750335832</x:v>
      </x:c>
      <x:c r="J12" s="32" t="n">
        <x:v>3.23</x:v>
      </x:c>
      <x:c r="K12" s="32" t="n">
        <x:f>IF(J12="","",(1/'Metadata'!$B$5)^(J12-1))</x:f>
        <x:v>169.82436524617444</x:v>
      </x:c>
      <x:c r="L12" s="31" t="n">
        <x:f>IF(E12=0,"",E12*K12)</x:f>
        <x:v>750.9614750335832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Shrimps</x:v>
      </x:c>
      <x:c r="B13" s="33" t="n">
        <x:v>1</x:v>
      </x:c>
      <x:c r="C13" s="33" t="n">
        <x:v>1</x:v>
      </x:c>
      <x:c r="D13" s="31" t="n">
        <x:v>0.0000010000000000000002</x:v>
      </x:c>
      <x:c r="E13" s="31" t="n">
        <x:v>0.0000010000000000000002</x:v>
      </x:c>
      <x:c r="F13" s="32" t="n">
        <x:v>0</x:v>
      </x:c>
      <x:c r="G13" s="34" t="n">
        <x:v>1</x:v>
      </x:c>
      <x:c r="H13" s="32" t="n">
        <x:f>IF(E13=0,"",I13/E13)</x:f>
        <x:v>100</x:v>
      </x:c>
      <x:c r="I13" s="31" t="n">
        <x:f>IF(C13=0,"",SUMIF('Species'!$G$2:$G$31,A13,'Species'!$U$2:$U$31))</x:f>
        <x:v>0.00010000000000000002</x:v>
      </x:c>
      <x:c r="J13" s="32" t="n">
        <x:v>3</x:v>
      </x:c>
      <x:c r="K13" s="32" t="n">
        <x:f>IF(J13="","",(1/'Metadata'!$B$5)^(J13-1))</x:f>
        <x:v>100</x:v>
      </x:c>
      <x:c r="L13" s="31" t="n">
        <x:f>IF(E13=0,"",E13*K13)</x:f>
        <x:v>0.00010000000000000002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bathypelagics (&lt;30 cm)</x:v>
      </x:c>
      <x:c r="B14" s="33" t="n">
        <x:v>1</x:v>
      </x:c>
      <x:c r="C14" s="33" t="n">
        <x:v>1</x:v>
      </x:c>
      <x:c r="D14" s="31" t="n">
        <x:v>0.011875</x:v>
      </x:c>
      <x:c r="E14" s="31" t="n">
        <x:v>0.011875</x:v>
      </x:c>
      <x:c r="F14" s="32" t="n">
        <x:v>0</x:v>
      </x:c>
      <x:c r="G14" s="34" t="n">
        <x:v>1</x:v>
      </x:c>
      <x:c r="H14" s="32" t="n">
        <x:f>IF(E14=0,"",I14/E14)</x:f>
        <x:v>173.78008287493762</x:v>
      </x:c>
      <x:c r="I14" s="31" t="n">
        <x:f>IF(C14=0,"",SUMIF('Species'!$G$2:$G$31,A14,'Species'!$U$2:$U$31))</x:f>
        <x:v>2.0636384841398843</x:v>
      </x:c>
      <x:c r="J14" s="32" t="n">
        <x:v>3.24</x:v>
      </x:c>
      <x:c r="K14" s="32" t="n">
        <x:f>IF(J14="","",(1/'Metadata'!$B$5)^(J14-1))</x:f>
        <x:v>173.78008287493762</x:v>
      </x:c>
      <x:c r="L14" s="31" t="n">
        <x:f>IF(E14=0,"",E14*K14)</x:f>
        <x:v>2.0636384841398843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0.00024500000000000005</x:v>
      </x:c>
      <x:c r="E15" s="31" t="n">
        <x:v>0.00024500000000000005</x:v>
      </x:c>
      <x:c r="F15" s="32" t="n">
        <x:v>0</x:v>
      </x:c>
      <x:c r="G15" s="34" t="n">
        <x:v>1</x:v>
      </x:c>
      <x:c r="H15" s="32" t="n">
        <x:f>IF(E15=0,"",I15/E15)</x:f>
        <x:v>213.79620895022325</x:v>
      </x:c>
      <x:c r="I15" s="31" t="n">
        <x:f>IF(C15=0,"",SUMIF('Species'!$G$2:$G$31,A15,'Species'!$U$2:$U$31))</x:f>
        <x:v>0.0523800711928047</x:v>
      </x:c>
      <x:c r="J15" s="32" t="n">
        <x:v>3.33</x:v>
      </x:c>
      <x:c r="K15" s="32" t="n">
        <x:f>IF(J15="","",(1/'Metadata'!$B$5)^(J15-1))</x:f>
        <x:v>213.79620895022325</x:v>
      </x:c>
      <x:c r="L15" s="31" t="n">
        <x:f>IF(E15=0,"",E15*K15)</x:f>
        <x:v>0.0523800711928047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1</x:v>
      </x:c>
      <x:c r="C16" s="33" t="n">
        <x:v>1</x:v>
      </x:c>
      <x:c r="D16" s="31" t="n">
        <x:v>0.00047</x:v>
      </x:c>
      <x:c r="E16" s="31" t="n">
        <x:v>0.00047</x:v>
      </x:c>
      <x:c r="F16" s="32" t="n">
        <x:v>0</x:v>
      </x:c>
      <x:c r="G16" s="34" t="n">
        <x:v>1</x:v>
      </x:c>
      <x:c r="H16" s="32" t="n">
        <x:f>IF(E16=0,"",I16/E16)</x:f>
        <x:v>223.872113856834</x:v>
      </x:c>
      <x:c r="I16" s="31" t="n">
        <x:f>IF(C16=0,"",SUMIF('Species'!$G$2:$G$31,A16,'Species'!$U$2:$U$31))</x:f>
        <x:v>0.10521989351271198</x:v>
      </x:c>
      <x:c r="J16" s="32" t="n">
        <x:v>3.35</x:v>
      </x:c>
      <x:c r="K16" s="32" t="n">
        <x:f>IF(J16="","",(1/'Metadata'!$B$5)^(J16-1))</x:f>
        <x:v>223.872113856834</x:v>
      </x:c>
      <x:c r="L16" s="31" t="n">
        <x:f>IF(E16=0,"",E16*K16)</x:f>
        <x:v>0.10521989351271198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pelagics (&lt;30 cm)</x:v>
      </x:c>
      <x:c r="B17" s="33" t="n">
        <x:v>1</x:v>
      </x:c>
      <x:c r="C17" s="33" t="n">
        <x:v>1</x:v>
      </x:c>
      <x:c r="D17" s="31" t="n">
        <x:v>0.004655</x:v>
      </x:c>
      <x:c r="E17" s="31" t="n">
        <x:v>0.004655</x:v>
      </x:c>
      <x:c r="F17" s="32" t="n">
        <x:v>0</x:v>
      </x:c>
      <x:c r="G17" s="34" t="n">
        <x:v>1</x:v>
      </x:c>
      <x:c r="H17" s="32" t="n">
        <x:f>IF(E17=0,"",I17/E17)</x:f>
        <x:v>199.52623149688787</x:v>
      </x:c>
      <x:c r="I17" s="31" t="n">
        <x:f>IF(C17=0,"",SUMIF('Species'!$G$2:$G$31,A17,'Species'!$U$2:$U$31))</x:f>
        <x:v>0.9287946076180131</x:v>
      </x:c>
      <x:c r="J17" s="32" t="n">
        <x:v>3.3</x:v>
      </x:c>
      <x:c r="K17" s="32" t="n">
        <x:f>IF(J17="","",(1/'Metadata'!$B$5)^(J17-1))</x:f>
        <x:v>199.52623149688787</x:v>
      </x:c>
      <x:c r="L17" s="31" t="n">
        <x:f>IF(E17=0,"",E17*K17)</x:f>
        <x:v>0.9287946076180131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c67eb70077447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EEZ_910</x:v>
      </x:c>
      <x:c r="B2" s="24" t="str">
        <x:v>raw_filtered_tonnes</x:v>
      </x:c>
      <x:c r="C2" s="24" t="n">
        <x:v>267149.7089344195</x:v>
      </x:c>
      <x:c r="D2" s="24" t="str">
        <x:v>tonnes</x:v>
      </x:c>
    </x:row>
    <x:row r="3" ht="18" customHeight="1">
      <x:c r="A3" s="24" t="str">
        <x:v>EEZ_910</x:v>
      </x:c>
      <x:c r="B3" s="24" t="str">
        <x:v>species_catch_tonnes</x:v>
      </x:c>
      <x:c r="C3" s="24" t="n">
        <x:v>267149.7089344195</x:v>
      </x:c>
      <x:c r="D3" s="24" t="str">
        <x:v>tonnes</x:v>
      </x:c>
    </x:row>
    <x:row r="4" ht="18" customHeight="1">
      <x:c r="A4" s="24" t="str">
        <x:v>EEZ_910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EEZ_910</x:v>
      </x:c>
      <x:c r="B6" s="24" t="str">
        <x:v>matched_catch_tonnes</x:v>
      </x:c>
      <x:c r="C6" s="24" t="n">
        <x:v>267149.7089344195</x:v>
      </x:c>
      <x:c r="D6" s="24" t="str">
        <x:v>tonnes</x:v>
      </x:c>
    </x:row>
    <x:row r="7" ht="18" customHeight="1">
      <x:c r="A7" s="24" t="str">
        <x:v>EEZ_910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EEZ_910</x:v>
      </x:c>
      <x:c r="B8" s="24" t="str">
        <x:v>taxa_count</x:v>
      </x:c>
      <x:c r="C8" s="24" t="n">
        <x:v>30</x:v>
      </x:c>
      <x:c r="D8" s="24" t="str">
        <x:v>count</x:v>
      </x:c>
    </x:row>
    <x:row r="9" ht="18" customHeight="1">
      <x:c r="A9" s="24" t="str">
        <x:v>EEZ_910</x:v>
      </x:c>
      <x:c r="B9" s="24" t="str">
        <x:v>matched_taxa_count</x:v>
      </x:c>
      <x:c r="C9" s="24" t="n">
        <x:v>30</x:v>
      </x:c>
      <x:c r="D9" s="24" t="str">
        <x:v>count</x:v>
      </x:c>
    </x:row>
    <x:row r="10" ht="18" customHeight="1">
      <x:c r="A10" s="24" t="str">
        <x:v>EEZ_910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EEZ_910</x:v>
      </x:c>
      <x:c r="B11" s="24" t="str">
        <x:v>species_ppr</x:v>
      </x:c>
      <x:c r="C11" s="24" t="n">
        <x:v>4841842.867915373</x:v>
      </x:c>
      <x:c r="D11" s="24" t="str">
        <x:v>tonnes_primary_production_equivalent</x:v>
      </x:c>
    </x:row>
    <x:row r="12" ht="18" customHeight="1">
      <x:c r="A12" s="24" t="str">
        <x:v>EEZ_910</x:v>
      </x:c>
      <x:c r="B12" s="24" t="str">
        <x:v>commercial_ppr</x:v>
      </x:c>
      <x:c r="C12" s="24" t="n">
        <x:v>4841842.867915372</x:v>
      </x:c>
      <x:c r="D12" s="24" t="str">
        <x:v>tonnes_primary_production_equivalent</x:v>
      </x:c>
    </x:row>
    <x:row r="13" ht="18" customHeight="1">
      <x:c r="A13" s="24" t="str">
        <x:v>EEZ_910</x:v>
      </x:c>
      <x:c r="B13" s="24" t="str">
        <x:v>functional_ppr</x:v>
      </x:c>
      <x:c r="C13" s="24" t="n">
        <x:v>4841842.867915372</x:v>
      </x:c>
      <x:c r="D13" s="24" t="str">
        <x:v>tonnes_primary_production_equivalent</x:v>
      </x:c>
    </x:row>
    <x:row r="14" ht="18" customHeight="1">
      <x:c r="A14" s="24" t="str">
        <x:v>EEZ_910</x:v>
      </x:c>
      <x:c r="B14" s="24" t="str">
        <x:v>commercial_ppr_difference</x:v>
      </x:c>
      <x:c r="C14" s="24" t="n">
        <x:v>-9.313225746154785e-10</x:v>
      </x:c>
      <x:c r="D14" s="24" t="str">
        <x:v>tonnes_primary_production_equivalent</x:v>
      </x:c>
    </x:row>
    <x:row r="15" ht="18" customHeight="1">
      <x:c r="A15" s="24" t="str">
        <x:v>EEZ_910</x:v>
      </x:c>
      <x:c r="B15" s="24" t="str">
        <x:v>functional_ppr_difference</x:v>
      </x:c>
      <x:c r="C15" s="24" t="n">
        <x:v>-9.313225746154785e-10</x:v>
      </x:c>
      <x:c r="D15" s="24" t="str">
        <x:v>tonnes_primary_production_equivalent</x:v>
      </x:c>
    </x:row>
    <x:row r="16" ht="18" customHeight="1">
      <x:c r="A16" s="24" t="str">
        <x:v>EEZ_910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055d0ebb9894d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EEZ_910 - South Orkney Islands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