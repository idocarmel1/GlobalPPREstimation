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e9a3ec246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29993dc99394089"/>
    <x:sheet xmlns:r="http://schemas.openxmlformats.org/officeDocument/2006/relationships" name="Commercial" sheetId="2" r:id="Rf8395883f0364486"/>
    <x:sheet xmlns:r="http://schemas.openxmlformats.org/officeDocument/2006/relationships" name="Functional" sheetId="3" r:id="Ra7167a569ede4c69"/>
    <x:sheet xmlns:r="http://schemas.openxmlformats.org/officeDocument/2006/relationships" name="Missing TL" sheetId="4" r:id="R17b34e00e874479f"/>
    <x:sheet xmlns:r="http://schemas.openxmlformats.org/officeDocument/2006/relationships" name="Validation" sheetId="5" r:id="Rb4abafde965a4637"/>
    <x:sheet xmlns:r="http://schemas.openxmlformats.org/officeDocument/2006/relationships" name="Metadata" sheetId="6" r:id="R6312eb52c63d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38dc078e341af" /><Relationship Type="http://schemas.openxmlformats.org/officeDocument/2006/relationships/theme" Target="/xl/theme/theme1.xml" Id="Rce80098dea324a1e" /><Relationship Type="http://schemas.microsoft.com/office/2022/11/relationships/FeaturePropertyBag" Target="/xl/featurePropertyBag/featurePropertyBag.xml" Id="Rd0b3c6f1ea1b4677" /><Relationship Type="http://schemas.openxmlformats.org/officeDocument/2006/relationships/sharedStrings" Target="/xl/sharedStrings.xml" Id="R105f0abaf3c447aa" /><Relationship Type="http://schemas.openxmlformats.org/officeDocument/2006/relationships/worksheet" Target="/xl/worksheets/sheet1.xml" Id="Rb29993dc99394089" /><Relationship Type="http://schemas.openxmlformats.org/officeDocument/2006/relationships/worksheet" Target="/xl/worksheets/sheet2.xml" Id="Rf8395883f0364486" /><Relationship Type="http://schemas.openxmlformats.org/officeDocument/2006/relationships/worksheet" Target="/xl/worksheets/sheet3.xml" Id="Ra7167a569ede4c69" /><Relationship Type="http://schemas.openxmlformats.org/officeDocument/2006/relationships/worksheet" Target="/xl/worksheets/sheet4.xml" Id="R17b34e00e874479f" /><Relationship Type="http://schemas.openxmlformats.org/officeDocument/2006/relationships/worksheet" Target="/xl/worksheets/sheet5.xml" Id="Rb4abafde965a4637" /><Relationship Type="http://schemas.openxmlformats.org/officeDocument/2006/relationships/worksheet" Target="/xl/worksheets/sheet6.xml" Id="R6312eb52c63d40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1SpeciesTable" displayName="EEZ921SpeciesTable" ref="A1:U89" headerRowCount="1" totalsRowCount="0" totalsRowShown="0">
  <x:autoFilter ref="A1:U8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1CommercialTable" displayName="EEZ921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1FunctionalTable" displayName="EEZ921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1ValidationTable" displayName="EEZ92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04637aee6043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e6c5638a324f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94f9daae6846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80b4fe33a946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EEZ_921</x:v>
      </x:c>
      <x:c r="B2" s="24" t="str">
        <x:v>Honduras (Caribbean)</x:v>
      </x:c>
      <x:c r="C2" s="24" t="str">
        <x:v>EEZ</x:v>
      </x:c>
      <x:c r="D2" s="30" t="n">
        <x:v>2019</x:v>
      </x:c>
      <x:c r="E2" s="24" t="str">
        <x:v>Panulirus argus</x:v>
      </x:c>
      <x:c r="F2" s="24" t="str">
        <x:v>Caribbean spiny lobster</x:v>
      </x:c>
      <x:c r="G2" s="24" t="str">
        <x:v>Lobsters, crabs</x:v>
      </x:c>
      <x:c r="H2" s="24" t="str">
        <x:v>Crustaceans</x:v>
      </x:c>
      <x:c r="I2" s="31" t="n">
        <x:v>10803.4022881355</x:v>
      </x:c>
      <x:c r="J2" s="31" t="n">
        <x:v>10803.4022881355</x:v>
      </x:c>
      <x:c r="K2" s="31" t="n">
        <x:v>0</x:v>
      </x:c>
      <x:c r="L2" s="31" t="n">
        <x:v>6100</x:v>
      </x:c>
      <x:c r="M2" s="31" t="n">
        <x:v>4703.4022881354995</x:v>
      </x:c>
      <x:c r="N2" s="24" t="str">
        <x:v>panulirus argus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argus</x:v>
      </x:c>
      <x:c r="T2" s="32" t="n">
        <x:f>IF(O2="","",(1/'Metadata'!$B$5)^(O2-1))</x:f>
        <x:v>158.48931924611142</x:v>
      </x:c>
      <x:c r="U2" s="31" t="n">
        <x:f>IF(T2="","",I2*T2)</x:f>
        <x:v>1712223.8741884779</x:v>
      </x:c>
    </x:row>
    <x:row r="3" ht="18" customHeight="1">
      <x:c r="A3" s="24" t="str">
        <x:v>EEZ_921</x:v>
      </x:c>
      <x:c r="B3" s="24" t="str">
        <x:v>Honduras (Caribbean)</x:v>
      </x:c>
      <x:c r="C3" s="24" t="str">
        <x:v>EEZ</x:v>
      </x:c>
      <x:c r="D3" s="30" t="n">
        <x:v>2019</x:v>
      </x:c>
      <x:c r="E3" s="24" t="str">
        <x:v>Stomolophus</x:v>
      </x:c>
      <x:c r="F3" s="24" t="str">
        <x:v>Cannonball jellies</x:v>
      </x:c>
      <x:c r="G3" s="24" t="str">
        <x:v>Jellyfish</x:v>
      </x:c>
      <x:c r="H3" s="24" t="str">
        <x:v>Other fishes &amp; inverts</x:v>
      </x:c>
      <x:c r="I3" s="31" t="n">
        <x:v>2997.66</x:v>
      </x:c>
      <x:c r="J3" s="31" t="n">
        <x:v>2997.66</x:v>
      </x:c>
      <x:c r="K3" s="31" t="n">
        <x:v>0</x:v>
      </x:c>
      <x:c r="L3" s="31" t="n">
        <x:v>282</x:v>
      </x:c>
      <x:c r="M3" s="31" t="n">
        <x:v>2715.66</x:v>
      </x:c>
      <x:c r="N3" s="24" t="str">
        <x:v>stomolophus</x:v>
      </x:c>
      <x:c r="O3" s="32" t="n">
        <x:v>3.46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Stomolophus</x:v>
      </x:c>
      <x:c r="T3" s="32" t="n">
        <x:f>IF(O3="","",(1/'Metadata'!$B$5)^(O3-1))</x:f>
        <x:v>288.40315031266056</x:v>
      </x:c>
      <x:c r="U3" s="31" t="n">
        <x:f>IF(T3="","",I3*T3)</x:f>
        <x:v>864534.58756625</x:v>
      </x:c>
    </x:row>
    <x:row r="4" ht="18" customHeight="1">
      <x:c r="A4" s="24" t="str">
        <x:v>EEZ_921</x:v>
      </x:c>
      <x:c r="B4" s="24" t="str">
        <x:v>Honduras (Caribbean)</x:v>
      </x:c>
      <x:c r="C4" s="24" t="str">
        <x:v>EEZ</x:v>
      </x:c>
      <x:c r="D4" s="30" t="n">
        <x:v>2019</x:v>
      </x:c>
      <x:c r="E4" s="24" t="str">
        <x:v>Decapoda</x:v>
      </x:c>
      <x:c r="F4" s="24" t="str">
        <x:v>Crabs, lobsters, shrimps</x:v>
      </x:c>
      <x:c r="G4" s="24" t="str">
        <x:v>Lobsters, crabs</x:v>
      </x:c>
      <x:c r="H4" s="24" t="str">
        <x:v>Crustaceans</x:v>
      </x:c>
      <x:c r="I4" s="31" t="n">
        <x:v>1433.2187659636</x:v>
      </x:c>
      <x:c r="J4" s="31" t="n">
        <x:v>0</x:v>
      </x:c>
      <x:c r="K4" s="31" t="n">
        <x:v>1433.2187659636</x:v>
      </x:c>
      <x:c r="L4" s="31" t="n">
        <x:v>0</x:v>
      </x:c>
      <x:c r="M4" s="31" t="n">
        <x:v>1433.2187659636</x:v>
      </x:c>
      <x:c r="N4" s="24" t="str">
        <x:v>decapoda</x:v>
      </x:c>
      <x:c r="O4" s="32" t="n">
        <x:v>3.43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Decapoda</x:v>
      </x:c>
      <x:c r="T4" s="32" t="n">
        <x:f>IF(O4="","",(1/'Metadata'!$B$5)^(O4-1))</x:f>
        <x:v>269.1534803926917</x:v>
      </x:c>
      <x:c r="U4" s="31" t="n">
        <x:f>IF(T4="","",I4*T4)</x:f>
        <x:v>385755.81902322156</x:v>
      </x:c>
    </x:row>
    <x:row r="5" ht="18" customHeight="1">
      <x:c r="A5" s="24" t="str">
        <x:v>EEZ_921</x:v>
      </x:c>
      <x:c r="B5" s="24" t="str">
        <x:v>Honduras (Caribbean)</x:v>
      </x:c>
      <x:c r="C5" s="24" t="str">
        <x:v>EEZ</x:v>
      </x:c>
      <x:c r="D5" s="30" t="n">
        <x:v>2019</x:v>
      </x:c>
      <x:c r="E5" s="24" t="str">
        <x:v>Callinectes sapidus</x:v>
      </x:c>
      <x:c r="F5" s="24" t="str">
        <x:v>Blue crab</x:v>
      </x:c>
      <x:c r="G5" s="24" t="str">
        <x:v>Lobsters, crabs</x:v>
      </x:c>
      <x:c r="H5" s="24" t="str">
        <x:v>Crustaceans</x:v>
      </x:c>
      <x:c r="I5" s="31" t="n">
        <x:v>716.6093829818</x:v>
      </x:c>
      <x:c r="J5" s="31" t="n">
        <x:v>0</x:v>
      </x:c>
      <x:c r="K5" s="31" t="n">
        <x:v>716.6093829818</x:v>
      </x:c>
      <x:c r="L5" s="31" t="n">
        <x:v>0</x:v>
      </x:c>
      <x:c r="M5" s="31" t="n">
        <x:v>716.6093829818</x:v>
      </x:c>
      <x:c r="N5" s="24" t="str">
        <x:v>callinectes sapidus</x:v>
      </x:c>
      <x:c r="O5" s="32" t="n">
        <x:v>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Callinectes sapidus</x:v>
      </x:c>
      <x:c r="T5" s="32" t="n">
        <x:f>IF(O5="","",(1/'Metadata'!$B$5)^(O5-1))</x:f>
        <x:v>1000</x:v>
      </x:c>
      <x:c r="U5" s="31" t="n">
        <x:f>IF(T5="","",I5*T5)</x:f>
        <x:v>716609.3829818</x:v>
      </x:c>
    </x:row>
    <x:row r="6" ht="18" customHeight="1">
      <x:c r="A6" s="24" t="str">
        <x:v>EEZ_921</x:v>
      </x:c>
      <x:c r="B6" s="24" t="str">
        <x:v>Honduras (Caribbean)</x:v>
      </x:c>
      <x:c r="C6" s="24" t="str">
        <x:v>EEZ</x:v>
      </x:c>
      <x:c r="D6" s="30" t="n">
        <x:v>2019</x:v>
      </x:c>
      <x:c r="E6" s="24" t="str">
        <x:v>Caranx</x:v>
      </x:c>
      <x:c r="F6" s="24" t="str">
        <x:v>Jacks</x:v>
      </x:c>
      <x:c r="G6" s="24" t="str">
        <x:v>Medium reef assoc. fish (30 - 89 cm)</x:v>
      </x:c>
      <x:c r="H6" s="24" t="str">
        <x:v>Perch-likes</x:v>
      </x:c>
      <x:c r="I6" s="31" t="n">
        <x:v>716.6093829818</x:v>
      </x:c>
      <x:c r="J6" s="31" t="n">
        <x:v>0</x:v>
      </x:c>
      <x:c r="K6" s="31" t="n">
        <x:v>716.6093829818</x:v>
      </x:c>
      <x:c r="L6" s="31" t="n">
        <x:v>0</x:v>
      </x:c>
      <x:c r="M6" s="31" t="n">
        <x:v>716.6093829818</x:v>
      </x:c>
      <x:c r="N6" s="24" t="str">
        <x:v>caranx</x:v>
      </x:c>
      <x:c r="O6" s="32" t="n">
        <x:v>4.12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Caranx</x:v>
      </x:c>
      <x:c r="T6" s="32" t="n">
        <x:f>IF(O6="","",(1/'Metadata'!$B$5)^(O6-1))</x:f>
        <x:v>1318.2567385564075</x:v>
      </x:c>
      <x:c r="U6" s="31" t="n">
        <x:f>IF(T6="","",I6*T6)</x:f>
        <x:v>944675.1480285072</x:v>
      </x:c>
    </x:row>
    <x:row r="7" ht="18" customHeight="1">
      <x:c r="A7" s="24" t="str">
        <x:v>EEZ_921</x:v>
      </x:c>
      <x:c r="B7" s="24" t="str">
        <x:v>Honduras (Caribbean)</x:v>
      </x:c>
      <x:c r="C7" s="24" t="str">
        <x:v>EEZ</x:v>
      </x:c>
      <x:c r="D7" s="30" t="n">
        <x:v>2019</x:v>
      </x:c>
      <x:c r="E7" s="24" t="str">
        <x:v>Aliger gigas</x:v>
      </x:c>
      <x:c r="F7" s="24" t="str">
        <x:v>Pink conch</x:v>
      </x:c>
      <x:c r="G7" s="24" t="str">
        <x:v>Other demersal invertebrates</x:v>
      </x:c>
      <x:c r="H7" s="24" t="str">
        <x:v>Molluscs</x:v>
      </x:c>
      <x:c r="I7" s="31" t="n">
        <x:v>552.8427949252</x:v>
      </x:c>
      <x:c r="J7" s="31" t="n">
        <x:v>552.8427949252</x:v>
      </x:c>
      <x:c r="K7" s="31" t="n">
        <x:v>0</x:v>
      </x:c>
      <x:c r="L7" s="31" t="n">
        <x:v>450</x:v>
      </x:c>
      <x:c r="M7" s="31" t="n">
        <x:v>102.8427949252</x:v>
      </x:c>
      <x:c r="N7" s="24" t="str">
        <x:v>aliger gigas</x:v>
      </x:c>
      <x:c r="O7" s="32" t="n">
        <x:v>2.19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Aliger gigas</x:v>
      </x:c>
      <x:c r="T7" s="32" t="n">
        <x:f>IF(O7="","",(1/'Metadata'!$B$5)^(O7-1))</x:f>
        <x:v>15.488166189124811</x:v>
      </x:c>
      <x:c r="U7" s="31" t="n">
        <x:f>IF(T7="","",I7*T7)</x:f>
        <x:v>8562.521084261745</x:v>
      </x:c>
    </x:row>
    <x:row r="8" ht="18" customHeight="1">
      <x:c r="A8" s="24" t="str">
        <x:v>EEZ_921</x:v>
      </x:c>
      <x:c r="B8" s="24" t="str">
        <x:v>Honduras (Caribbean)</x:v>
      </x:c>
      <x:c r="C8" s="24" t="str">
        <x:v>EEZ</x:v>
      </x:c>
      <x:c r="D8" s="30" t="n">
        <x:v>2019</x:v>
      </x:c>
      <x:c r="E8" s="24" t="str">
        <x:v>Penaeidae</x:v>
      </x:c>
      <x:c r="F8" s="24" t="str">
        <x:v>Commercial shrimps and prawns</x:v>
      </x:c>
      <x:c r="G8" s="24" t="str">
        <x:v>Shrimps</x:v>
      </x:c>
      <x:c r="H8" s="24" t="str">
        <x:v>Crustaceans</x:v>
      </x:c>
      <x:c r="I8" s="31" t="n">
        <x:v>391.6</x:v>
      </x:c>
      <x:c r="J8" s="31" t="n">
        <x:v>391.6</x:v>
      </x:c>
      <x:c r="K8" s="31" t="n">
        <x:v>0</x:v>
      </x:c>
      <x:c r="L8" s="31" t="n">
        <x:v>391.6</x:v>
      </x:c>
      <x:c r="M8" s="31" t="n">
        <x:v>0</x:v>
      </x:c>
      <x:c r="N8" s="24" t="str">
        <x:v>penaeidae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Penaeidae</x:v>
      </x:c>
      <x:c r="T8" s="32" t="n">
        <x:f>IF(O8="","",(1/'Metadata'!$B$5)^(O8-1))</x:f>
        <x:v>204.17379446695296</x:v>
      </x:c>
      <x:c r="U8" s="31" t="n">
        <x:f>IF(T8="","",I8*T8)</x:f>
        <x:v>79954.45791325878</x:v>
      </x:c>
    </x:row>
    <x:row r="9" ht="18" customHeight="1">
      <x:c r="A9" s="24" t="str">
        <x:v>EEZ_921</x:v>
      </x:c>
      <x:c r="B9" s="24" t="str">
        <x:v>Honduras (Caribbean)</x:v>
      </x:c>
      <x:c r="C9" s="24" t="str">
        <x:v>EEZ</x:v>
      </x:c>
      <x:c r="D9" s="30" t="n">
        <x:v>2019</x:v>
      </x:c>
      <x:c r="E9" s="24" t="str">
        <x:v>Micropogonias furnieri</x:v>
      </x:c>
      <x:c r="F9" s="24" t="str">
        <x:v>Whitemouth croaker</x:v>
      </x:c>
      <x:c r="G9" s="24" t="str">
        <x:v>Medium demersals (30 - 89 cm)</x:v>
      </x:c>
      <x:c r="H9" s="24" t="str">
        <x:v>Perch-likes</x:v>
      </x:c>
      <x:c r="I9" s="31" t="n">
        <x:v>358.3046914909</x:v>
      </x:c>
      <x:c r="J9" s="31" t="n">
        <x:v>0</x:v>
      </x:c>
      <x:c r="K9" s="31" t="n">
        <x:v>358.3046914909</x:v>
      </x:c>
      <x:c r="L9" s="31" t="n">
        <x:v>0</x:v>
      </x:c>
      <x:c r="M9" s="31" t="n">
        <x:v>358.3046914909</x:v>
      </x:c>
      <x:c r="N9" s="24" t="str">
        <x:v>micropogonias furnieri</x:v>
      </x:c>
      <x:c r="O9" s="32" t="n">
        <x:v>3.09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Micropogonias furnieri</x:v>
      </x:c>
      <x:c r="T9" s="32" t="n">
        <x:f>IF(O9="","",(1/'Metadata'!$B$5)^(O9-1))</x:f>
        <x:v>123.02687708123811</x:v>
      </x:c>
      <x:c r="U9" s="31" t="n">
        <x:f>IF(T9="","",I9*T9)</x:f>
        <x:v>44081.10723768189</x:v>
      </x:c>
    </x:row>
    <x:row r="10" ht="18" customHeight="1">
      <x:c r="A10" s="24" t="str">
        <x:v>EEZ_921</x:v>
      </x:c>
      <x:c r="B10" s="24" t="str">
        <x:v>Honduras (Caribbean)</x:v>
      </x:c>
      <x:c r="C10" s="24" t="str">
        <x:v>EEZ</x:v>
      </x:c>
      <x:c r="D10" s="30" t="n">
        <x:v>2019</x:v>
      </x:c>
      <x:c r="E10" s="24" t="str">
        <x:v>Xiphopenaeus kroyeri</x:v>
      </x:c>
      <x:c r="F10" s="24" t="str">
        <x:v>Atlantic seabob</x:v>
      </x:c>
      <x:c r="G10" s="24" t="str">
        <x:v>Shrimps</x:v>
      </x:c>
      <x:c r="H10" s="24" t="str">
        <x:v>Crustaceans</x:v>
      </x:c>
      <x:c r="I10" s="31" t="n">
        <x:v>358.3046914909</x:v>
      </x:c>
      <x:c r="J10" s="31" t="n">
        <x:v>0</x:v>
      </x:c>
      <x:c r="K10" s="31" t="n">
        <x:v>358.3046914909</x:v>
      </x:c>
      <x:c r="L10" s="31" t="n">
        <x:v>0</x:v>
      </x:c>
      <x:c r="M10" s="31" t="n">
        <x:v>358.3046914909</x:v>
      </x:c>
      <x:c r="N10" s="24" t="str">
        <x:v>xiphopenaeus kroyeri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Xiphopenaeus kroyeri</x:v>
      </x:c>
      <x:c r="T10" s="32" t="n">
        <x:f>IF(O10="","",(1/'Metadata'!$B$5)^(O10-1))</x:f>
        <x:v>50.11872336272725</x:v>
      </x:c>
      <x:c r="U10" s="31" t="n">
        <x:f>IF(T10="","",I10*T10)</x:f>
        <x:v>17957.77371239975</x:v>
      </x:c>
    </x:row>
    <x:row r="11" ht="18" customHeight="1">
      <x:c r="A11" s="24" t="str">
        <x:v>EEZ_921</x:v>
      </x:c>
      <x:c r="B11" s="24" t="str">
        <x:v>Honduras (Caribbean)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342.9675028831</x:v>
      </x:c>
      <x:c r="J11" s="31" t="n">
        <x:v>342.9675028831</x:v>
      </x:c>
      <x:c r="K11" s="31" t="n">
        <x:v>0</x:v>
      </x:c>
      <x:c r="L11" s="31" t="n">
        <x:v>216.09692949360002</x:v>
      </x:c>
      <x:c r="M11" s="31" t="n">
        <x:v>126.8705733895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65351.11042816935</x:v>
      </x:c>
    </x:row>
    <x:row r="12" ht="18" customHeight="1">
      <x:c r="A12" s="24" t="str">
        <x:v>EEZ_921</x:v>
      </x:c>
      <x:c r="B12" s="24" t="str">
        <x:v>Honduras (Caribbean)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328.2432017808</x:v>
      </x:c>
      <x:c r="J12" s="31" t="n">
        <x:v>328.2432017808</x:v>
      </x:c>
      <x:c r="K12" s="31" t="n">
        <x:v>0</x:v>
      </x:c>
      <x:c r="L12" s="31" t="n">
        <x:v>275.87786918940003</x:v>
      </x:c>
      <x:c r="M12" s="31" t="n">
        <x:v>52.3653325914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343712.8272883072</x:v>
      </x:c>
    </x:row>
    <x:row r="13" ht="18" customHeight="1">
      <x:c r="A13" s="24" t="str">
        <x:v>EEZ_921</x:v>
      </x:c>
      <x:c r="B13" s="24" t="str">
        <x:v>Honduras (Caribbean)</x:v>
      </x:c>
      <x:c r="C13" s="24" t="str">
        <x:v>EEZ</x:v>
      </x:c>
      <x:c r="D13" s="30" t="n">
        <x:v>2019</x:v>
      </x:c>
      <x:c r="E13" s="24" t="str">
        <x:v>Penaeus schmitti</x:v>
      </x:c>
      <x:c r="F13" s="24" t="str">
        <x:v>Southern white shrimp</x:v>
      </x:c>
      <x:c r="G13" s="24" t="str">
        <x:v>Shrimps</x:v>
      </x:c>
      <x:c r="H13" s="24" t="str">
        <x:v>Crustaceans</x:v>
      </x:c>
      <x:c r="I13" s="31" t="n">
        <x:v>195.8</x:v>
      </x:c>
      <x:c r="J13" s="31" t="n">
        <x:v>195.8</x:v>
      </x:c>
      <x:c r="K13" s="31" t="n">
        <x:v>0</x:v>
      </x:c>
      <x:c r="L13" s="31" t="n">
        <x:v>195.8</x:v>
      </x:c>
      <x:c r="M13" s="31" t="n">
        <x:v>0</x:v>
      </x:c>
      <x:c r="N13" s="24" t="str">
        <x:v>penaeus schmitti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 schmitti</x:v>
      </x:c>
      <x:c r="T13" s="32" t="n">
        <x:f>IF(O13="","",(1/'Metadata'!$B$5)^(O13-1))</x:f>
        <x:v>50.11872336272725</x:v>
      </x:c>
      <x:c r="U13" s="31" t="n">
        <x:f>IF(T13="","",I13*T13)</x:f>
        <x:v>9813.246034421996</x:v>
      </x:c>
    </x:row>
    <x:row r="14" ht="18" customHeight="1">
      <x:c r="A14" s="24" t="str">
        <x:v>EEZ_921</x:v>
      </x:c>
      <x:c r="B14" s="24" t="str">
        <x:v>Honduras (Caribbean)</x:v>
      </x:c>
      <x:c r="C14" s="24" t="str">
        <x:v>EEZ</x:v>
      </x:c>
      <x:c r="D14" s="30" t="n">
        <x:v>2019</x:v>
      </x:c>
      <x:c r="E14" s="24" t="str">
        <x:v>Penaeus aztecus</x:v>
      </x:c>
      <x:c r="F14" s="24" t="str">
        <x:v>Northern brown shrimp</x:v>
      </x:c>
      <x:c r="G14" s="24" t="str">
        <x:v>Shrimps</x:v>
      </x:c>
      <x:c r="H14" s="24" t="str">
        <x:v>Crustaceans</x:v>
      </x:c>
      <x:c r="I14" s="31" t="n">
        <x:v>195.8</x:v>
      </x:c>
      <x:c r="J14" s="31" t="n">
        <x:v>195.8</x:v>
      </x:c>
      <x:c r="K14" s="31" t="n">
        <x:v>0</x:v>
      </x:c>
      <x:c r="L14" s="31" t="n">
        <x:v>195.8</x:v>
      </x:c>
      <x:c r="M14" s="31" t="n">
        <x:v>0</x:v>
      </x:c>
      <x:c r="N14" s="24" t="str">
        <x:v>penaeus aztecus</x:v>
      </x:c>
      <x:c r="O14" s="32" t="n">
        <x:v>2.8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aztecus</x:v>
      </x:c>
      <x:c r="T14" s="32" t="n">
        <x:f>IF(O14="","",(1/'Metadata'!$B$5)^(O14-1))</x:f>
        <x:v>63.0957344480193</x:v>
      </x:c>
      <x:c r="U14" s="31" t="n">
        <x:f>IF(T14="","",I14*T14)</x:f>
        <x:v>12354.14480492218</x:v>
      </x:c>
    </x:row>
    <x:row r="15" ht="18" customHeight="1">
      <x:c r="A15" s="24" t="str">
        <x:v>EEZ_921</x:v>
      </x:c>
      <x:c r="B15" s="24" t="str">
        <x:v>Honduras (Caribbean)</x:v>
      </x:c>
      <x:c r="C15" s="24" t="str">
        <x:v>EEZ</x:v>
      </x:c>
      <x:c r="D15" s="30" t="n">
        <x:v>2019</x:v>
      </x:c>
      <x:c r="E15" s="24" t="str">
        <x:v>Holothuroidea</x:v>
      </x:c>
      <x:c r="F15" s="24" t="str">
        <x:v>Sea cucumbers</x:v>
      </x:c>
      <x:c r="G15" s="24" t="str">
        <x:v>Other demersal invertebrates</x:v>
      </x:c>
      <x:c r="H15" s="24" t="str">
        <x:v>Other fishes &amp; inverts</x:v>
      </x:c>
      <x:c r="I15" s="31" t="n">
        <x:v>193.5</x:v>
      </x:c>
      <x:c r="J15" s="31" t="n">
        <x:v>193.5</x:v>
      </x:c>
      <x:c r="K15" s="31" t="n">
        <x:v>0</x:v>
      </x:c>
      <x:c r="L15" s="31" t="n">
        <x:v>151</x:v>
      </x:c>
      <x:c r="M15" s="31" t="n">
        <x:v>42.5</x:v>
      </x:c>
      <x:c r="N15" s="24" t="str">
        <x:v>holothuroidea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Holothuroidea</x:v>
      </x:c>
      <x:c r="T15" s="32" t="n">
        <x:f>IF(O15="","",(1/'Metadata'!$B$5)^(O15-1))</x:f>
        <x:v>10</x:v>
      </x:c>
      <x:c r="U15" s="31" t="n">
        <x:f>IF(T15="","",I15*T15)</x:f>
        <x:v>1935</x:v>
      </x:c>
    </x:row>
    <x:row r="16" ht="18" customHeight="1">
      <x:c r="A16" s="24" t="str">
        <x:v>EEZ_921</x:v>
      </x:c>
      <x:c r="B16" s="24" t="str">
        <x:v>Honduras (Caribbean)</x:v>
      </x:c>
      <x:c r="C16" s="24" t="str">
        <x:v>EEZ</x:v>
      </x:c>
      <x:c r="D16" s="30" t="n">
        <x:v>2019</x:v>
      </x:c>
      <x:c r="E16" s="24" t="str">
        <x:v>Serranidae</x:v>
      </x:c>
      <x:c r="F16" s="24" t="str">
        <x:v>Basses, groupers, hinds</x:v>
      </x:c>
      <x:c r="G16" s="24" t="str">
        <x:v>Medium reef assoc. fish (30 - 89 cm)</x:v>
      </x:c>
      <x:c r="H16" s="24" t="str">
        <x:v>Perch-likes</x:v>
      </x:c>
      <x:c r="I16" s="31" t="n">
        <x:v>124.3105328785</x:v>
      </x:c>
      <x:c r="J16" s="31" t="n">
        <x:v>124.3105328785</x:v>
      </x:c>
      <x:c r="K16" s="31" t="n">
        <x:v>0</x:v>
      </x:c>
      <x:c r="L16" s="31" t="n">
        <x:v>102.9080103924</x:v>
      </x:c>
      <x:c r="M16" s="31" t="n">
        <x:v>21.4025224861</x:v>
      </x:c>
      <x:c r="N16" s="24" t="str">
        <x:v>serranidae</x:v>
      </x:c>
      <x:c r="O16" s="32" t="n">
        <x:v>3.98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Serranidae</x:v>
      </x:c>
      <x:c r="T16" s="32" t="n">
        <x:f>IF(O16="","",(1/'Metadata'!$B$5)^(O16-1))</x:f>
        <x:v>954.992586021436</x:v>
      </x:c>
      <x:c r="U16" s="31" t="n">
        <x:f>IF(T16="","",I16*T16)</x:f>
        <x:v>118715.63726334146</x:v>
      </x:c>
    </x:row>
    <x:row r="17" ht="18" customHeight="1">
      <x:c r="A17" s="24" t="str">
        <x:v>EEZ_921</x:v>
      </x:c>
      <x:c r="B17" s="24" t="str">
        <x:v>Honduras (Caribbean)</x:v>
      </x:c>
      <x:c r="C17" s="24" t="str">
        <x:v>EEZ</x:v>
      </x:c>
      <x:c r="D17" s="30" t="n">
        <x:v>2019</x:v>
      </x:c>
      <x:c r="E17" s="24" t="str">
        <x:v>Donax</x:v>
      </x:c>
      <x:c r="F17" s="24" t="str">
        <x:v>Bean clams</x:v>
      </x:c>
      <x:c r="G17" s="24" t="str">
        <x:v>Other demersal invertebrates</x:v>
      </x:c>
      <x:c r="H17" s="24" t="str">
        <x:v>Molluscs</x:v>
      </x:c>
      <x:c r="I17" s="31" t="n">
        <x:v>78.5181878682</x:v>
      </x:c>
      <x:c r="J17" s="31" t="n">
        <x:v>78.5181878682</x:v>
      </x:c>
      <x:c r="K17" s="31" t="n">
        <x:v>0</x:v>
      </x:c>
      <x:c r="L17" s="31" t="n">
        <x:v>0</x:v>
      </x:c>
      <x:c r="M17" s="31" t="n">
        <x:v>78.5181878682</x:v>
      </x:c>
      <x:c r="N17" s="24" t="str">
        <x:v>donax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Donax</x:v>
      </x:c>
      <x:c r="T17" s="32" t="n">
        <x:f>IF(O17="","",(1/'Metadata'!$B$5)^(O17-1))</x:f>
        <x:v>10</x:v>
      </x:c>
      <x:c r="U17" s="31" t="n">
        <x:f>IF(T17="","",I17*T17)</x:f>
        <x:v>785.181878682</x:v>
      </x:c>
    </x:row>
    <x:row r="18" ht="18" customHeight="1">
      <x:c r="A18" s="24" t="str">
        <x:v>EEZ_921</x:v>
      </x:c>
      <x:c r="B18" s="24" t="str">
        <x:v>Honduras (Caribbean)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49.24262178319999</x:v>
      </x:c>
      <x:c r="J18" s="31" t="n">
        <x:v>49.24262178319999</x:v>
      </x:c>
      <x:c r="K18" s="31" t="n">
        <x:v>0</x:v>
      </x:c>
      <x:c r="L18" s="31" t="n">
        <x:v>2.26118751</x:v>
      </x:c>
      <x:c r="M18" s="31" t="n">
        <x:v>46.981434273199994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115435.97292607794</x:v>
      </x:c>
    </x:row>
    <x:row r="19" ht="18" customHeight="1">
      <x:c r="A19" s="24" t="str">
        <x:v>EEZ_921</x:v>
      </x:c>
      <x:c r="B19" s="24" t="str">
        <x:v>Honduras (Caribbean)</x:v>
      </x:c>
      <x:c r="C19" s="24" t="str">
        <x:v>EEZ</x:v>
      </x:c>
      <x:c r="D19" s="30" t="n">
        <x:v>2019</x:v>
      </x:c>
      <x:c r="E19" s="24" t="str">
        <x:v>Sphyraena barracuda</x:v>
      </x:c>
      <x:c r="F19" s="24" t="str">
        <x:v>Great barracuda</x:v>
      </x:c>
      <x:c r="G19" s="24" t="str">
        <x:v>Large pelagics (&gt;=90 cm)</x:v>
      </x:c>
      <x:c r="H19" s="24" t="str">
        <x:v>Perch-likes</x:v>
      </x:c>
      <x:c r="I19" s="31" t="n">
        <x:v>47.5795142876</x:v>
      </x:c>
      <x:c r="J19" s="31" t="n">
        <x:v>47.5795142876</x:v>
      </x:c>
      <x:c r="K19" s="31" t="n">
        <x:v>0</x:v>
      </x:c>
      <x:c r="L19" s="31" t="n">
        <x:v>4.0364398073</x:v>
      </x:c>
      <x:c r="M19" s="31" t="n">
        <x:v>43.5430744803</x:v>
      </x:c>
      <x:c r="N19" s="24" t="str">
        <x:v>sphyraena barracuda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Sphyraena barracuda</x:v>
      </x:c>
      <x:c r="T19" s="32" t="n">
        <x:f>IF(O19="","",(1/'Metadata'!$B$5)^(O19-1))</x:f>
        <x:v>3090.295432513592</x:v>
      </x:c>
      <x:c r="U19" s="31" t="n">
        <x:f>IF(T19="","",I19*T19)</x:f>
        <x:v>147034.75568418548</x:v>
      </x:c>
    </x:row>
    <x:row r="20" ht="18" customHeight="1">
      <x:c r="A20" s="24" t="str">
        <x:v>EEZ_921</x:v>
      </x:c>
      <x:c r="B20" s="24" t="str">
        <x:v>Honduras (Caribbean)</x:v>
      </x:c>
      <x:c r="C20" s="24" t="str">
        <x:v>EEZ</x:v>
      </x:c>
      <x:c r="D20" s="30" t="n">
        <x:v>2019</x:v>
      </x:c>
      <x:c r="E20" s="24" t="str">
        <x:v>Lutjanus</x:v>
      </x:c>
      <x:c r="F20" s="24" t="str">
        <x:v>Snappers</x:v>
      </x:c>
      <x:c r="G20" s="24" t="str">
        <x:v>Medium reef assoc. fish (30 - 89 cm)</x:v>
      </x:c>
      <x:c r="H20" s="24" t="str">
        <x:v>Perch-likes</x:v>
      </x:c>
      <x:c r="I20" s="31" t="n">
        <x:v>40.4934218808</x:v>
      </x:c>
      <x:c r="J20" s="31" t="n">
        <x:v>40.4934218808</x:v>
      </x:c>
      <x:c r="K20" s="31" t="n">
        <x:v>0</x:v>
      </x:c>
      <x:c r="L20" s="31" t="n">
        <x:v>11.5693201641</x:v>
      </x:c>
      <x:c r="M20" s="31" t="n">
        <x:v>28.9241017167</x:v>
      </x:c>
      <x:c r="N20" s="24" t="str">
        <x:v>lutjanus</x:v>
      </x:c>
      <x:c r="O20" s="32" t="n">
        <x:v>4.02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Lutjanus</x:v>
      </x:c>
      <x:c r="T20" s="32" t="n">
        <x:f>IF(O20="","",(1/'Metadata'!$B$5)^(O20-1))</x:f>
        <x:v>1047.1285480508984</x:v>
      </x:c>
      <x:c r="U20" s="31" t="n">
        <x:f>IF(T20="","",I20*T20)</x:f>
        <x:v>42401.818059654586</x:v>
      </x:c>
    </x:row>
    <x:row r="21" ht="18" customHeight="1">
      <x:c r="A21" s="24" t="str">
        <x:v>EEZ_921</x:v>
      </x:c>
      <x:c r="B21" s="24" t="str">
        <x:v>Honduras (Caribbean)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37.9251543495</x:v>
      </x:c>
      <x:c r="J21" s="31" t="n">
        <x:v>37.9251543495</x:v>
      </x:c>
      <x:c r="K21" s="31" t="n">
        <x:v>0</x:v>
      </x:c>
      <x:c r="L21" s="31" t="n">
        <x:v>2.8751380408</x:v>
      </x:c>
      <x:c r="M21" s="31" t="n">
        <x:v>35.050016308699995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69012.43593270126</x:v>
      </x:c>
    </x:row>
    <x:row r="22" ht="18" customHeight="1">
      <x:c r="A22" s="24" t="str">
        <x:v>EEZ_921</x:v>
      </x:c>
      <x:c r="B22" s="24" t="str">
        <x:v>Honduras (Caribbean)</x:v>
      </x:c>
      <x:c r="C22" s="24" t="str">
        <x:v>EEZ</x:v>
      </x:c>
      <x:c r="D22" s="30" t="n">
        <x:v>2019</x:v>
      </x:c>
      <x:c r="E22" s="24" t="str">
        <x:v>Thunnus atlanticus</x:v>
      </x:c>
      <x:c r="F22" s="24" t="str">
        <x:v>Blackfin tuna</x:v>
      </x:c>
      <x:c r="G22" s="24" t="str">
        <x:v>Large pelagics (&gt;=90 cm)</x:v>
      </x:c>
      <x:c r="H22" s="24" t="str">
        <x:v>Tuna &amp; billfishes</x:v>
      </x:c>
      <x:c r="I22" s="31" t="n">
        <x:v>32.666715403</x:v>
      </x:c>
      <x:c r="J22" s="31" t="n">
        <x:v>32.666715403</x:v>
      </x:c>
      <x:c r="K22" s="31" t="n">
        <x:v>0</x:v>
      </x:c>
      <x:c r="L22" s="31" t="n">
        <x:v>0.6986875099</x:v>
      </x:c>
      <x:c r="M22" s="31" t="n">
        <x:v>31.9680278931</x:v>
      </x:c>
      <x:c r="N22" s="24" t="str">
        <x:v>thunnus atlanticus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atlanticus</x:v>
      </x:c>
      <x:c r="T22" s="32" t="n">
        <x:f>IF(O22="","",(1/'Metadata'!$B$5)^(O22-1))</x:f>
        <x:v>2238.7211385683377</x:v>
      </x:c>
      <x:c r="U22" s="31" t="n">
        <x:f>IF(T22="","",I22*T22)</x:f>
        <x:v>73131.66630029201</x:v>
      </x:c>
    </x:row>
    <x:row r="23" ht="18" customHeight="1">
      <x:c r="A23" s="24" t="str">
        <x:v>EEZ_921</x:v>
      </x:c>
      <x:c r="B23" s="24" t="str">
        <x:v>Honduras (Caribbean)</x:v>
      </x:c>
      <x:c r="C23" s="24" t="str">
        <x:v>EEZ</x:v>
      </x:c>
      <x:c r="D23" s="30" t="n">
        <x:v>2019</x:v>
      </x:c>
      <x:c r="E23" s="24" t="str">
        <x:v>Lutjanus griseus</x:v>
      </x:c>
      <x:c r="F23" s="24" t="str">
        <x:v>Grey snapper</x:v>
      </x:c>
      <x:c r="G23" s="24" t="str">
        <x:v>Medium reef assoc. fish (30 - 89 cm)</x:v>
      </x:c>
      <x:c r="H23" s="24" t="str">
        <x:v>Perch-likes</x:v>
      </x:c>
      <x:c r="I23" s="31" t="n">
        <x:v>28.0886930976</x:v>
      </x:c>
      <x:c r="J23" s="31" t="n">
        <x:v>28.0886930976</x:v>
      </x:c>
      <x:c r="K23" s="31" t="n">
        <x:v>0</x:v>
      </x:c>
      <x:c r="L23" s="31" t="n">
        <x:v>3.4934410496</x:v>
      </x:c>
      <x:c r="M23" s="31" t="n">
        <x:v>24.595252048</x:v>
      </x:c>
      <x:c r="N23" s="24" t="str">
        <x:v>lutjanus griseus</x:v>
      </x:c>
      <x:c r="O23" s="32" t="n">
        <x:v>4.23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Lutjanus griseus</x:v>
      </x:c>
      <x:c r="T23" s="32" t="n">
        <x:f>IF(O23="","",(1/'Metadata'!$B$5)^(O23-1))</x:f>
        <x:v>1698.243652461746</x:v>
      </x:c>
      <x:c r="U23" s="31" t="n">
        <x:f>IF(T23="","",I23*T23)</x:f>
        <x:v>47701.44475894526</x:v>
      </x:c>
    </x:row>
    <x:row r="24" ht="18" customHeight="1">
      <x:c r="A24" s="24" t="str">
        <x:v>EEZ_921</x:v>
      </x:c>
      <x:c r="B24" s="24" t="str">
        <x:v>Honduras (Caribbean)</x:v>
      </x:c>
      <x:c r="C24" s="24" t="str">
        <x:v>EEZ</x:v>
      </x:c>
      <x:c r="D24" s="30" t="n">
        <x:v>2019</x:v>
      </x:c>
      <x:c r="E24" s="24" t="str">
        <x:v>Heteropriacanthus cruentatus</x:v>
      </x:c>
      <x:c r="F24" s="24" t="str">
        <x:v>Glasseye</x:v>
      </x:c>
      <x:c r="G24" s="24" t="str">
        <x:v>Medium reef assoc. fish (30 - 89 cm)</x:v>
      </x:c>
      <x:c r="H24" s="24" t="str">
        <x:v>Perch-likes</x:v>
      </x:c>
      <x:c r="I24" s="31" t="n">
        <x:v>28.0050074838</x:v>
      </x:c>
      <x:c r="J24" s="31" t="n">
        <x:v>28.0050074838</x:v>
      </x:c>
      <x:c r="K24" s="31" t="n">
        <x:v>0</x:v>
      </x:c>
      <x:c r="L24" s="31" t="n">
        <x:v>3.4934410495000003</x:v>
      </x:c>
      <x:c r="M24" s="31" t="n">
        <x:v>24.511566434299997</x:v>
      </x:c>
      <x:c r="N24" s="24" t="str">
        <x:v>heteropriacanthus cruentatus</x:v>
      </x:c>
      <x:c r="O24" s="32" t="n">
        <x:v>3.61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Heteropriacanthus cruentatus</x:v>
      </x:c>
      <x:c r="T24" s="32" t="n">
        <x:f>IF(O24="","",(1/'Metadata'!$B$5)^(O24-1))</x:f>
        <x:v>407.3802778041126</x:v>
      </x:c>
      <x:c r="U24" s="31" t="n">
        <x:f>IF(T24="","",I24*T24)</x:f>
        <x:v>11408.687728656696</x:v>
      </x:c>
    </x:row>
    <x:row r="25" ht="18" customHeight="1">
      <x:c r="A25" s="24" t="str">
        <x:v>EEZ_921</x:v>
      </x:c>
      <x:c r="B25" s="24" t="str">
        <x:v>Honduras (Caribbean)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26.6243670719</x:v>
      </x:c>
      <x:c r="J25" s="31" t="n">
        <x:v>26.6243670719</x:v>
      </x:c>
      <x:c r="K25" s="31" t="n">
        <x:v>0</x:v>
      </x:c>
      <x:c r="L25" s="31" t="n">
        <x:v>2.0960642797</x:v>
      </x:c>
      <x:c r="M25" s="31" t="n">
        <x:v>24.528302792199998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71660.41060654455</x:v>
      </x:c>
    </x:row>
    <x:row r="26" ht="18" customHeight="1">
      <x:c r="A26" s="24" t="str">
        <x:v>EEZ_921</x:v>
      </x:c>
      <x:c r="B26" s="24" t="str">
        <x:v>Honduras (Caribbean)</x:v>
      </x:c>
      <x:c r="C26" s="24" t="str">
        <x:v>EEZ</x:v>
      </x:c>
      <x:c r="D26" s="30" t="n">
        <x:v>2019</x:v>
      </x:c>
      <x:c r="E26" s="24" t="str">
        <x:v>Canthidermis sufflamen</x:v>
      </x:c>
      <x:c r="F26" s="24" t="str">
        <x:v>Ocean triggerfish</x:v>
      </x:c>
      <x:c r="G26" s="24" t="str">
        <x:v>Medium reef assoc. fish (30 - 89 cm)</x:v>
      </x:c>
      <x:c r="H26" s="24" t="str">
        <x:v>Other fishes &amp; inverts</x:v>
      </x:c>
      <x:c r="I26" s="31" t="n">
        <x:v>26.356462108699997</x:v>
      </x:c>
      <x:c r="J26" s="31" t="n">
        <x:v>26.356462108699997</x:v>
      </x:c>
      <x:c r="K26" s="31" t="n">
        <x:v>0</x:v>
      </x:c>
      <x:c r="L26" s="31" t="n">
        <x:v>1.130593755</x:v>
      </x:c>
      <x:c r="M26" s="31" t="n">
        <x:v>25.225868353699997</x:v>
      </x:c>
      <x:c r="N26" s="24" t="str">
        <x:v>canthidermis sufflamen</x:v>
      </x:c>
      <x:c r="O26" s="32" t="n">
        <x:v>3.45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Canthidermis sufflamen</x:v>
      </x:c>
      <x:c r="T26" s="32" t="n">
        <x:f>IF(O26="","",(1/'Metadata'!$B$5)^(O26-1))</x:f>
        <x:v>281.8382931264455</x:v>
      </x:c>
      <x:c r="U26" s="31" t="n">
        <x:f>IF(T26="","",I26*T26)</x:f>
        <x:v>7428.260293567843</x:v>
      </x:c>
    </x:row>
    <x:row r="27" ht="18" customHeight="1">
      <x:c r="A27" s="24" t="str">
        <x:v>EEZ_921</x:v>
      </x:c>
      <x:c r="B27" s="24" t="str">
        <x:v>Honduras (Caribbean)</x:v>
      </x:c>
      <x:c r="C27" s="24" t="str">
        <x:v>EEZ</x:v>
      </x:c>
      <x:c r="D27" s="30" t="n">
        <x:v>2019</x:v>
      </x:c>
      <x:c r="E27" s="24" t="str">
        <x:v>Lutjanus synagris</x:v>
      </x:c>
      <x:c r="F27" s="24" t="str">
        <x:v>Lane snapper</x:v>
      </x:c>
      <x:c r="G27" s="24" t="str">
        <x:v>Medium reef assoc. fish (30 - 89 cm)</x:v>
      </x:c>
      <x:c r="H27" s="24" t="str">
        <x:v>Perch-likes</x:v>
      </x:c>
      <x:c r="I27" s="31" t="n">
        <x:v>26.3419725728</x:v>
      </x:c>
      <x:c r="J27" s="31" t="n">
        <x:v>26.3419725728</x:v>
      </x:c>
      <x:c r="K27" s="31" t="n">
        <x:v>0</x:v>
      </x:c>
      <x:c r="L27" s="31" t="n">
        <x:v>1.7467205248</x:v>
      </x:c>
      <x:c r="M27" s="31" t="n">
        <x:v>24.595252048</x:v>
      </x:c>
      <x:c r="N27" s="24" t="str">
        <x:v>lutjanus synagris</x:v>
      </x:c>
      <x:c r="O27" s="32" t="n">
        <x:v>3.82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synagris</x:v>
      </x:c>
      <x:c r="T27" s="32" t="n">
        <x:f>IF(O27="","",(1/'Metadata'!$B$5)^(O27-1))</x:f>
        <x:v>660.6934480075957</x:v>
      </x:c>
      <x:c r="U27" s="31" t="n">
        <x:f>IF(T27="","",I27*T27)</x:f>
        <x:v>17403.96868644475</x:v>
      </x:c>
    </x:row>
    <x:row r="28" ht="18" customHeight="1">
      <x:c r="A28" s="24" t="str">
        <x:v>EEZ_921</x:v>
      </x:c>
      <x:c r="B28" s="24" t="str">
        <x:v>Honduras (Caribbean)</x:v>
      </x:c>
      <x:c r="C28" s="24" t="str">
        <x:v>EEZ</x:v>
      </x:c>
      <x:c r="D28" s="30" t="n">
        <x:v>2019</x:v>
      </x:c>
      <x:c r="E28" s="24" t="str">
        <x:v>Mycteroperca bonaci</x:v>
      </x:c>
      <x:c r="F28" s="24" t="str">
        <x:v>Black grouper</x:v>
      </x:c>
      <x:c r="G28" s="24" t="str">
        <x:v>Large reef assoc. fish (&gt;=90 cm)</x:v>
      </x:c>
      <x:c r="H28" s="24" t="str">
        <x:v>Perch-likes</x:v>
      </x:c>
      <x:c r="I28" s="31" t="n">
        <x:v>26.2971633384</x:v>
      </x:c>
      <x:c r="J28" s="31" t="n">
        <x:v>26.2971633384</x:v>
      </x:c>
      <x:c r="K28" s="31" t="n">
        <x:v>0</x:v>
      </x:c>
      <x:c r="L28" s="31" t="n">
        <x:v>19.2954217451</x:v>
      </x:c>
      <x:c r="M28" s="31" t="n">
        <x:v>7.0017415933</x:v>
      </x:c>
      <x:c r="N28" s="24" t="str">
        <x:v>mycteroperca bonaci</x:v>
      </x:c>
      <x:c r="O28" s="32" t="n">
        <x:v>4.3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Mycteroperca bonaci</x:v>
      </x:c>
      <x:c r="T28" s="32" t="n">
        <x:f>IF(O28="","",(1/'Metadata'!$B$5)^(O28-1))</x:f>
        <x:v>1995.2623149688789</x:v>
      </x:c>
      <x:c r="U28" s="31" t="n">
        <x:f>IF(T28="","",I28*T28)</x:f>
        <x:v>52469.738999690715</x:v>
      </x:c>
    </x:row>
    <x:row r="29" ht="18" customHeight="1">
      <x:c r="A29" s="24" t="str">
        <x:v>EEZ_921</x:v>
      </x:c>
      <x:c r="B29" s="24" t="str">
        <x:v>Honduras (Caribbean)</x:v>
      </x:c>
      <x:c r="C29" s="24" t="str">
        <x:v>EEZ</x:v>
      </x:c>
      <x:c r="D29" s="30" t="n">
        <x:v>2019</x:v>
      </x:c>
      <x:c r="E29" s="24" t="str">
        <x:v>Lutjanus jocu</x:v>
      </x:c>
      <x:c r="F29" s="24" t="str">
        <x:v>Dog snapper</x:v>
      </x:c>
      <x:c r="G29" s="24" t="str">
        <x:v>Large reef assoc. fish (&gt;=90 cm)</x:v>
      </x:c>
      <x:c r="H29" s="24" t="str">
        <x:v>Perch-likes</x:v>
      </x:c>
      <x:c r="I29" s="31" t="n">
        <x:v>26.2582869592</x:v>
      </x:c>
      <x:c r="J29" s="31" t="n">
        <x:v>26.2582869592</x:v>
      </x:c>
      <x:c r="K29" s="31" t="n">
        <x:v>0</x:v>
      </x:c>
      <x:c r="L29" s="31" t="n">
        <x:v>1.7467205248</x:v>
      </x:c>
      <x:c r="M29" s="31" t="n">
        <x:v>24.5115664344</x:v>
      </x:c>
      <x:c r="N29" s="24" t="str">
        <x:v>lutjanus jocu</x:v>
      </x:c>
      <x:c r="O29" s="32" t="n">
        <x:v>4.41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jocu</x:v>
      </x:c>
      <x:c r="T29" s="32" t="n">
        <x:f>IF(O29="","",(1/'Metadata'!$B$5)^(O29-1))</x:f>
        <x:v>2570.3957827688646</x:v>
      </x:c>
      <x:c r="U29" s="31" t="n">
        <x:f>IF(T29="","",I29*T29)</x:f>
        <x:v>67494.19006266235</x:v>
      </x:c>
    </x:row>
    <x:row r="30" ht="18" customHeight="1">
      <x:c r="A30" s="24" t="str">
        <x:v>EEZ_921</x:v>
      </x:c>
      <x:c r="B30" s="24" t="str">
        <x:v>Honduras (Caribbean)</x:v>
      </x:c>
      <x:c r="C30" s="24" t="str">
        <x:v>EEZ</x:v>
      </x:c>
      <x:c r="D30" s="30" t="n">
        <x:v>2019</x:v>
      </x:c>
      <x:c r="E30" s="24" t="str">
        <x:v>Lutjanus apodus</x:v>
      </x:c>
      <x:c r="F30" s="24" t="str">
        <x:v>Schoolmaster snapper</x:v>
      </x:c>
      <x:c r="G30" s="24" t="str">
        <x:v>Medium reef assoc. fish (30 - 89 cm)</x:v>
      </x:c>
      <x:c r="H30" s="24" t="str">
        <x:v>Perch-likes</x:v>
      </x:c>
      <x:c r="I30" s="31" t="n">
        <x:v>26.2582869592</x:v>
      </x:c>
      <x:c r="J30" s="31" t="n">
        <x:v>26.2582869592</x:v>
      </x:c>
      <x:c r="K30" s="31" t="n">
        <x:v>0</x:v>
      </x:c>
      <x:c r="L30" s="31" t="n">
        <x:v>1.7467205248</x:v>
      </x:c>
      <x:c r="M30" s="31" t="n">
        <x:v>24.5115664344</x:v>
      </x:c>
      <x:c r="N30" s="24" t="str">
        <x:v>lutjanus apodus</x:v>
      </x:c>
      <x:c r="O30" s="32" t="n">
        <x:v>4.25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Lutjanus apodus</x:v>
      </x:c>
      <x:c r="T30" s="32" t="n">
        <x:f>IF(O30="","",(1/'Metadata'!$B$5)^(O30-1))</x:f>
        <x:v>1778.2794100389228</x:v>
      </x:c>
      <x:c r="U30" s="31" t="n">
        <x:f>IF(T30="","",I30*T30)</x:f>
        <x:v>46694.57104243892</x:v>
      </x:c>
    </x:row>
    <x:row r="31" ht="18" customHeight="1">
      <x:c r="A31" s="24" t="str">
        <x:v>EEZ_921</x:v>
      </x:c>
      <x:c r="B31" s="24" t="str">
        <x:v>Honduras (Caribbean)</x:v>
      </x:c>
      <x:c r="C31" s="24" t="str">
        <x:v>EEZ</x:v>
      </x:c>
      <x:c r="D31" s="30" t="n">
        <x:v>2019</x:v>
      </x:c>
      <x:c r="E31" s="24" t="str">
        <x:v>Haemulon aurolineatum</x:v>
      </x:c>
      <x:c r="F31" s="24" t="str">
        <x:v>Tomtate grunt</x:v>
      </x:c>
      <x:c r="G31" s="24" t="str">
        <x:v>Small reef assoc. fish (&lt;30 cm)</x:v>
      </x:c>
      <x:c r="H31" s="24" t="str">
        <x:v>Perch-likes</x:v>
      </x:c>
      <x:c r="I31" s="31" t="n">
        <x:v>26.241549125</x:v>
      </x:c>
      <x:c r="J31" s="31" t="n">
        <x:v>26.241549125</x:v>
      </x:c>
      <x:c r="K31" s="31" t="n">
        <x:v>0</x:v>
      </x:c>
      <x:c r="L31" s="31" t="n">
        <x:v>1.7467205248</x:v>
      </x:c>
      <x:c r="M31" s="31" t="n">
        <x:v>24.494828600199998</x:v>
      </x:c>
      <x:c r="N31" s="24" t="str">
        <x:v>haemulon aurolineatum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Haemulon aurolineatum</x:v>
      </x:c>
      <x:c r="T31" s="32" t="n">
        <x:f>IF(O31="","",(1/'Metadata'!$B$5)^(O31-1))</x:f>
        <x:v>2238.7211385683377</x:v>
      </x:c>
      <x:c r="U31" s="31" t="n">
        <x:f>IF(T31="","",I31*T31)</x:f>
        <x:v>58747.51073491696</x:v>
      </x:c>
    </x:row>
    <x:row r="32" ht="18" customHeight="1">
      <x:c r="A32" s="24" t="str">
        <x:v>EEZ_921</x:v>
      </x:c>
      <x:c r="B32" s="24" t="str">
        <x:v>Honduras (Caribbean)</x:v>
      </x:c>
      <x:c r="C32" s="24" t="str">
        <x:v>EEZ</x:v>
      </x:c>
      <x:c r="D32" s="30" t="n">
        <x:v>2019</x:v>
      </x:c>
      <x:c r="E32" s="24" t="str">
        <x:v>Calamus calamus</x:v>
      </x:c>
      <x:c r="F32" s="24" t="str">
        <x:v>Saucereye porgy</x:v>
      </x:c>
      <x:c r="G32" s="24" t="str">
        <x:v>Medium reef assoc. fish (30 - 89 cm)</x:v>
      </x:c>
      <x:c r="H32" s="24" t="str">
        <x:v>Perch-likes</x:v>
      </x:c>
      <x:c r="I32" s="31" t="n">
        <x:v>25.89220537</x:v>
      </x:c>
      <x:c r="J32" s="31" t="n">
        <x:v>25.89220537</x:v>
      </x:c>
      <x:c r="K32" s="31" t="n">
        <x:v>0</x:v>
      </x:c>
      <x:c r="L32" s="31" t="n">
        <x:v>1.3973767698</x:v>
      </x:c>
      <x:c r="M32" s="31" t="n">
        <x:v>24.494828600199998</x:v>
      </x:c>
      <x:c r="N32" s="24" t="str">
        <x:v>calamus calamus</x:v>
      </x:c>
      <x:c r="O32" s="32" t="n">
        <x:v>3.5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Calamus calamus</x:v>
      </x:c>
      <x:c r="T32" s="32" t="n">
        <x:f>IF(O32="","",(1/'Metadata'!$B$5)^(O32-1))</x:f>
        <x:v>316.22776601683796</x:v>
      </x:c>
      <x:c r="U32" s="31" t="n">
        <x:f>IF(T32="","",I32*T32)</x:f>
        <x:v>8187.834261404275</x:v>
      </x:c>
    </x:row>
    <x:row r="33" ht="18" customHeight="1">
      <x:c r="A33" s="24" t="str">
        <x:v>EEZ_921</x:v>
      </x:c>
      <x:c r="B33" s="24" t="str">
        <x:v>Honduras (Caribbean)</x:v>
      </x:c>
      <x:c r="C33" s="24" t="str">
        <x:v>EEZ</x:v>
      </x:c>
      <x:c r="D33" s="30" t="n">
        <x:v>2019</x:v>
      </x:c>
      <x:c r="E33" s="24" t="str">
        <x:v>Haemulon flavolineatum</x:v>
      </x:c>
      <x:c r="F33" s="24" t="str">
        <x:v>French grunt</x:v>
      </x:c>
      <x:c r="G33" s="24" t="str">
        <x:v>Small reef assoc. fish (&lt;30 cm)</x:v>
      </x:c>
      <x:c r="H33" s="24" t="str">
        <x:v>Perch-likes</x:v>
      </x:c>
      <x:c r="I33" s="31" t="n">
        <x:v>25.875469012099998</x:v>
      </x:c>
      <x:c r="J33" s="31" t="n">
        <x:v>25.875469012099998</x:v>
      </x:c>
      <x:c r="K33" s="31" t="n">
        <x:v>0</x:v>
      </x:c>
      <x:c r="L33" s="31" t="n">
        <x:v>1.3973767698</x:v>
      </x:c>
      <x:c r="M33" s="31" t="n">
        <x:v>24.478092242299997</x:v>
      </x:c>
      <x:c r="N33" s="24" t="str">
        <x:v>haemulon flavolineatum</x:v>
      </x:c>
      <x:c r="O33" s="32" t="n">
        <x:v>3.46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Haemulon flavolineatum</x:v>
      </x:c>
      <x:c r="T33" s="32" t="n">
        <x:f>IF(O33="","",(1/'Metadata'!$B$5)^(O33-1))</x:f>
        <x:v>288.40315031266056</x:v>
      </x:c>
      <x:c r="U33" s="31" t="n">
        <x:f>IF(T33="","",I33*T33)</x:f>
        <x:v>7462.566778907266</x:v>
      </x:c>
    </x:row>
    <x:row r="34" ht="18" customHeight="1">
      <x:c r="A34" s="24" t="str">
        <x:v>EEZ_921</x:v>
      </x:c>
      <x:c r="B34" s="24" t="str">
        <x:v>Honduras (Caribbean)</x:v>
      </x:c>
      <x:c r="C34" s="24" t="str">
        <x:v>EEZ</x:v>
      </x:c>
      <x:c r="D34" s="30" t="n">
        <x:v>2019</x:v>
      </x:c>
      <x:c r="E34" s="24" t="str">
        <x:v>Calamus bajonado</x:v>
      </x:c>
      <x:c r="F34" s="24" t="str">
        <x:v>Jolthead porgy</x:v>
      </x:c>
      <x:c r="G34" s="24" t="str">
        <x:v>Medium reef assoc. fish (30 - 89 cm)</x:v>
      </x:c>
      <x:c r="H34" s="24" t="str">
        <x:v>Perch-likes</x:v>
      </x:c>
      <x:c r="I34" s="31" t="n">
        <x:v>25.526125257199997</x:v>
      </x:c>
      <x:c r="J34" s="31" t="n">
        <x:v>25.526125257199997</x:v>
      </x:c>
      <x:c r="K34" s="31" t="n">
        <x:v>0</x:v>
      </x:c>
      <x:c r="L34" s="31" t="n">
        <x:v>1.0480330149</x:v>
      </x:c>
      <x:c r="M34" s="31" t="n">
        <x:v>24.478092242299997</x:v>
      </x:c>
      <x:c r="N34" s="24" t="str">
        <x:v>calamus bajonado</x:v>
      </x:c>
      <x:c r="O34" s="32" t="n">
        <x:v>3.5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Calamus bajonado</x:v>
      </x:c>
      <x:c r="T34" s="32" t="n">
        <x:f>IF(O34="","",(1/'Metadata'!$B$5)^(O34-1))</x:f>
        <x:v>316.22776601683796</x:v>
      </x:c>
      <x:c r="U34" s="31" t="n">
        <x:f>IF(T34="","",I34*T34)</x:f>
        <x:v>8072.069565150338</x:v>
      </x:c>
    </x:row>
    <x:row r="35" ht="18" customHeight="1">
      <x:c r="A35" s="24" t="str">
        <x:v>EEZ_921</x:v>
      </x:c>
      <x:c r="B35" s="24" t="str">
        <x:v>Honduras (Caribbean)</x:v>
      </x:c>
      <x:c r="C35" s="24" t="str">
        <x:v>EEZ</x:v>
      </x:c>
      <x:c r="D35" s="30" t="n">
        <x:v>2019</x:v>
      </x:c>
      <x:c r="E35" s="24" t="str">
        <x:v>Balistes capriscus</x:v>
      </x:c>
      <x:c r="F35" s="24" t="str">
        <x:v>Grey triggerfish</x:v>
      </x:c>
      <x:c r="G35" s="24" t="str">
        <x:v>Medium benthopelagics (30 - 89 cm)</x:v>
      </x:c>
      <x:c r="H35" s="24" t="str">
        <x:v>Other fishes &amp; inverts</x:v>
      </x:c>
      <x:c r="I35" s="31" t="n">
        <x:v>25.526125257199997</x:v>
      </x:c>
      <x:c r="J35" s="31" t="n">
        <x:v>25.526125257199997</x:v>
      </x:c>
      <x:c r="K35" s="31" t="n">
        <x:v>0</x:v>
      </x:c>
      <x:c r="L35" s="31" t="n">
        <x:v>1.0480330149</x:v>
      </x:c>
      <x:c r="M35" s="31" t="n">
        <x:v>24.478092242299997</x:v>
      </x:c>
      <x:c r="N35" s="24" t="str">
        <x:v>balistes capriscus</x:v>
      </x:c>
      <x:c r="O35" s="32" t="n">
        <x:v>4.06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Balistes capriscus</x:v>
      </x:c>
      <x:c r="T35" s="32" t="n">
        <x:f>IF(O35="","",(1/'Metadata'!$B$5)^(O35-1))</x:f>
        <x:v>1148.1536214968817</x:v>
      </x:c>
      <x:c r="U35" s="31" t="n">
        <x:f>IF(T35="","",I35*T35)</x:f>
        <x:v>29307.913156837196</x:v>
      </x:c>
    </x:row>
    <x:row r="36" ht="18" customHeight="1">
      <x:c r="A36" s="24" t="str">
        <x:v>EEZ_921</x:v>
      </x:c>
      <x:c r="B36" s="24" t="str">
        <x:v>Honduras (Caribbean)</x:v>
      </x:c>
      <x:c r="C36" s="24" t="str">
        <x:v>EEZ</x:v>
      </x:c>
      <x:c r="D36" s="30" t="n">
        <x:v>2019</x:v>
      </x:c>
      <x:c r="E36" s="24" t="str">
        <x:v>Calamus</x:v>
      </x:c>
      <x:c r="F36" s="24" t="str">
        <x:v>Porgies</x:v>
      </x:c>
      <x:c r="G36" s="24" t="str">
        <x:v>Medium reef assoc. fish (30 - 89 cm)</x:v>
      </x:c>
      <x:c r="H36" s="24" t="str">
        <x:v>Perch-likes</x:v>
      </x:c>
      <x:c r="I36" s="31" t="n">
        <x:v>25.526125257199997</x:v>
      </x:c>
      <x:c r="J36" s="31" t="n">
        <x:v>25.526125257199997</x:v>
      </x:c>
      <x:c r="K36" s="31" t="n">
        <x:v>0</x:v>
      </x:c>
      <x:c r="L36" s="31" t="n">
        <x:v>1.0480330149</x:v>
      </x:c>
      <x:c r="M36" s="31" t="n">
        <x:v>24.478092242299997</x:v>
      </x:c>
      <x:c r="N36" s="24" t="str">
        <x:v>calamus</x:v>
      </x:c>
      <x:c r="O36" s="32" t="n">
        <x:v>3.51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Calamus</x:v>
      </x:c>
      <x:c r="T36" s="32" t="n">
        <x:f>IF(O36="","",(1/'Metadata'!$B$5)^(O36-1))</x:f>
        <x:v>323.5936569296281</x:v>
      </x:c>
      <x:c r="U36" s="31" t="n">
        <x:f>IF(T36="","",I36*T36)</x:f>
        <x:v>8260.092219221091</x:v>
      </x:c>
    </x:row>
    <x:row r="37" ht="18" customHeight="1">
      <x:c r="A37" s="24" t="str">
        <x:v>EEZ_921</x:v>
      </x:c>
      <x:c r="B37" s="24" t="str">
        <x:v>Honduras (Caribbean)</x:v>
      </x:c>
      <x:c r="C37" s="24" t="str">
        <x:v>EEZ</x:v>
      </x:c>
      <x:c r="D37" s="30" t="n">
        <x:v>2019</x:v>
      </x:c>
      <x:c r="E37" s="24" t="str">
        <x:v>Haemulon plumierii</x:v>
      </x:c>
      <x:c r="F37" s="24" t="str">
        <x:v>White grunt</x:v>
      </x:c>
      <x:c r="G37" s="24" t="str">
        <x:v>Medium reef assoc. fish (30 - 89 cm)</x:v>
      </x:c>
      <x:c r="H37" s="24" t="str">
        <x:v>Perch-likes</x:v>
      </x:c>
      <x:c r="I37" s="31" t="n">
        <x:v>25.526125257199997</x:v>
      </x:c>
      <x:c r="J37" s="31" t="n">
        <x:v>25.526125257199997</x:v>
      </x:c>
      <x:c r="K37" s="31" t="n">
        <x:v>0</x:v>
      </x:c>
      <x:c r="L37" s="31" t="n">
        <x:v>1.0480330149</x:v>
      </x:c>
      <x:c r="M37" s="31" t="n">
        <x:v>24.478092242299997</x:v>
      </x:c>
      <x:c r="N37" s="24" t="str">
        <x:v>haemulon plumierii</x:v>
      </x:c>
      <x:c r="O37" s="32" t="n">
        <x:v>3.82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Haemulon plumierii</x:v>
      </x:c>
      <x:c r="T37" s="32" t="n">
        <x:f>IF(O37="","",(1/'Metadata'!$B$5)^(O37-1))</x:f>
        <x:v>660.6934480075957</x:v>
      </x:c>
      <x:c r="U37" s="31" t="n">
        <x:f>IF(T37="","",I37*T37)</x:f>
        <x:v>16864.943710453244</x:v>
      </x:c>
    </x:row>
    <x:row r="38" ht="18" customHeight="1">
      <x:c r="A38" s="24" t="str">
        <x:v>EEZ_921</x:v>
      </x:c>
      <x:c r="B38" s="24" t="str">
        <x:v>Honduras (Caribbean)</x:v>
      </x:c>
      <x:c r="C38" s="24" t="str">
        <x:v>EEZ</x:v>
      </x:c>
      <x:c r="D38" s="30" t="n">
        <x:v>2019</x:v>
      </x:c>
      <x:c r="E38" s="24" t="str">
        <x:v>Ginglymostoma cirratum</x:v>
      </x:c>
      <x:c r="F38" s="24" t="str">
        <x:v>Nurse shark</x:v>
      </x:c>
      <x:c r="G38" s="24" t="str">
        <x:v>Large sharks (&gt;=90 cm)</x:v>
      </x:c>
      <x:c r="H38" s="24" t="str">
        <x:v>Sharks &amp; rays</x:v>
      </x:c>
      <x:c r="I38" s="31" t="n">
        <x:v>25.160042372099998</x:v>
      </x:c>
      <x:c r="J38" s="31" t="n">
        <x:v>25.160042372099998</x:v>
      </x:c>
      <x:c r="K38" s="31" t="n">
        <x:v>0</x:v>
      </x:c>
      <x:c r="L38" s="31" t="n">
        <x:v>0.6986875099</x:v>
      </x:c>
      <x:c r="M38" s="31" t="n">
        <x:v>24.4613548622</x:v>
      </x:c>
      <x:c r="N38" s="24" t="str">
        <x:v>ginglymostoma cirratum</x:v>
      </x:c>
      <x:c r="O38" s="32" t="n">
        <x:v>4.15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Ginglymostoma cirratum</x:v>
      </x:c>
      <x:c r="T38" s="32" t="n">
        <x:f>IF(O38="","",(1/'Metadata'!$B$5)^(O38-1))</x:f>
        <x:v>1412.5375446227554</x:v>
      </x:c>
      <x:c r="U38" s="31" t="n">
        <x:f>IF(T38="","",I38*T38)</x:f>
        <x:v>35539.504474890615</x:v>
      </x:c>
    </x:row>
    <x:row r="39" ht="18" customHeight="1">
      <x:c r="A39" s="24" t="str">
        <x:v>EEZ_921</x:v>
      </x:c>
      <x:c r="B39" s="24" t="str">
        <x:v>Honduras (Caribbean)</x:v>
      </x:c>
      <x:c r="C39" s="24" t="str">
        <x:v>EEZ</x:v>
      </x:c>
      <x:c r="D39" s="30" t="n">
        <x:v>2019</x:v>
      </x:c>
      <x:c r="E39" s="24" t="str">
        <x:v>Thunnus albacares</x:v>
      </x:c>
      <x:c r="F39" s="24" t="str">
        <x:v>Yellowfin tuna</x:v>
      </x:c>
      <x:c r="G39" s="24" t="str">
        <x:v>Large pelagics (&gt;=90 cm)</x:v>
      </x:c>
      <x:c r="H39" s="24" t="str">
        <x:v>Tuna &amp; billfishes</x:v>
      </x:c>
      <x:c r="I39" s="31" t="n">
        <x:v>25.160042372</x:v>
      </x:c>
      <x:c r="J39" s="31" t="n">
        <x:v>25.160042372</x:v>
      </x:c>
      <x:c r="K39" s="31" t="n">
        <x:v>0</x:v>
      </x:c>
      <x:c r="L39" s="31" t="n">
        <x:v>0.6986875099</x:v>
      </x:c>
      <x:c r="M39" s="31" t="n">
        <x:v>24.4613548621</x:v>
      </x:c>
      <x:c r="N39" s="24" t="str">
        <x:v>thunnus albacares</x:v>
      </x:c>
      <x:c r="O39" s="32" t="n">
        <x:v>4.41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albacares</x:v>
      </x:c>
      <x:c r="T39" s="32" t="n">
        <x:f>IF(O39="","",(1/'Metadata'!$B$5)^(O39-1))</x:f>
        <x:v>2570.3957827688646</x:v>
      </x:c>
      <x:c r="U39" s="31" t="n">
        <x:f>IF(T39="","",I39*T39)</x:f>
        <x:v>64671.26680727474</x:v>
      </x:c>
    </x:row>
    <x:row r="40" ht="18" customHeight="1">
      <x:c r="A40" s="24" t="str">
        <x:v>EEZ_921</x:v>
      </x:c>
      <x:c r="B40" s="24" t="str">
        <x:v>Honduras (Caribbean)</x:v>
      </x:c>
      <x:c r="C40" s="24" t="str">
        <x:v>EEZ</x:v>
      </x:c>
      <x:c r="D40" s="30" t="n">
        <x:v>2019</x:v>
      </x:c>
      <x:c r="E40" s="24" t="str">
        <x:v>Caranx ruber</x:v>
      </x:c>
      <x:c r="F40" s="24" t="str">
        <x:v>Bar jack</x:v>
      </x:c>
      <x:c r="G40" s="24" t="str">
        <x:v>Medium reef assoc. fish (30 - 89 cm)</x:v>
      </x:c>
      <x:c r="H40" s="24" t="str">
        <x:v>Perch-likes</x:v>
      </x:c>
      <x:c r="I40" s="31" t="n">
        <x:v>24.793962108699997</x:v>
      </x:c>
      <x:c r="J40" s="31" t="n">
        <x:v>24.793962108699997</x:v>
      </x:c>
      <x:c r="K40" s="31" t="n">
        <x:v>0</x:v>
      </x:c>
      <x:c r="L40" s="31" t="n">
        <x:v>0.349343755</x:v>
      </x:c>
      <x:c r="M40" s="31" t="n">
        <x:v>24.444618353699997</x:v>
      </x:c>
      <x:c r="N40" s="24" t="str">
        <x:v>caranx ruber</x:v>
      </x:c>
      <x:c r="O40" s="32" t="n">
        <x:v>4.28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Caranx ruber</x:v>
      </x:c>
      <x:c r="T40" s="32" t="n">
        <x:f>IF(O40="","",(1/'Metadata'!$B$5)^(O40-1))</x:f>
        <x:v>1905.4607179632483</x:v>
      </x:c>
      <x:c r="U40" s="31" t="n">
        <x:f>IF(T40="","",I40*T40)</x:f>
        <x:v>47243.92084079707</x:v>
      </x:c>
    </x:row>
    <x:row r="41" ht="18" customHeight="1">
      <x:c r="A41" s="24" t="str">
        <x:v>EEZ_921</x:v>
      </x:c>
      <x:c r="B41" s="24" t="str">
        <x:v>Honduras (Caribbean)</x:v>
      </x:c>
      <x:c r="C41" s="24" t="str">
        <x:v>EEZ</x:v>
      </x:c>
      <x:c r="D41" s="30" t="n">
        <x:v>2019</x:v>
      </x:c>
      <x:c r="E41" s="24" t="str">
        <x:v>Caranx latus</x:v>
      </x:c>
      <x:c r="F41" s="24" t="str">
        <x:v>Horse-eye jack</x:v>
      </x:c>
      <x:c r="G41" s="24" t="str">
        <x:v>Large reef assoc. fish (&gt;=90 cm)</x:v>
      </x:c>
      <x:c r="H41" s="24" t="str">
        <x:v>Perch-likes</x:v>
      </x:c>
      <x:c r="I41" s="31" t="n">
        <x:v>24.793962108699997</x:v>
      </x:c>
      <x:c r="J41" s="31" t="n">
        <x:v>24.793962108699997</x:v>
      </x:c>
      <x:c r="K41" s="31" t="n">
        <x:v>0</x:v>
      </x:c>
      <x:c r="L41" s="31" t="n">
        <x:v>0.349343755</x:v>
      </x:c>
      <x:c r="M41" s="31" t="n">
        <x:v>24.444618353699997</x:v>
      </x:c>
      <x:c r="N41" s="24" t="str">
        <x:v>caranx latus</x:v>
      </x:c>
      <x:c r="O41" s="32" t="n">
        <x:v>4.16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Caranx latus</x:v>
      </x:c>
      <x:c r="T41" s="32" t="n">
        <x:f>IF(O41="","",(1/'Metadata'!$B$5)^(O41-1))</x:f>
        <x:v>1445.439770745928</x:v>
      </x:c>
      <x:c r="U41" s="31" t="n">
        <x:f>IF(T41="","",I41*T41)</x:f>
        <x:v>35838.17890628255</x:v>
      </x:c>
    </x:row>
    <x:row r="42" ht="18" customHeight="1">
      <x:c r="A42" s="24" t="str">
        <x:v>EEZ_921</x:v>
      </x:c>
      <x:c r="B42" s="24" t="str">
        <x:v>Honduras (Caribbean)</x:v>
      </x:c>
      <x:c r="C42" s="24" t="str">
        <x:v>EEZ</x:v>
      </x:c>
      <x:c r="D42" s="30" t="n">
        <x:v>2019</x:v>
      </x:c>
      <x:c r="E42" s="24" t="str">
        <x:v>Lachnolaimus maximus</x:v>
      </x:c>
      <x:c r="F42" s="24" t="str">
        <x:v>Hogfish</x:v>
      </x:c>
      <x:c r="G42" s="24" t="str">
        <x:v>Medium reef assoc. fish (30 - 89 cm)</x:v>
      </x:c>
      <x:c r="H42" s="24" t="str">
        <x:v>Perch-likes</x:v>
      </x:c>
      <x:c r="I42" s="31" t="n">
        <x:v>24.793962108699997</x:v>
      </x:c>
      <x:c r="J42" s="31" t="n">
        <x:v>24.793962108699997</x:v>
      </x:c>
      <x:c r="K42" s="31" t="n">
        <x:v>0</x:v>
      </x:c>
      <x:c r="L42" s="31" t="n">
        <x:v>0.349343755</x:v>
      </x:c>
      <x:c r="M42" s="31" t="n">
        <x:v>24.444618353699997</x:v>
      </x:c>
      <x:c r="N42" s="24" t="str">
        <x:v>lachnolaimus maximus</x:v>
      </x:c>
      <x:c r="O42" s="32" t="n">
        <x:v>4.17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Lachnolaimus maximus</x:v>
      </x:c>
      <x:c r="T42" s="32" t="n">
        <x:f>IF(O42="","",(1/'Metadata'!$B$5)^(O42-1))</x:f>
        <x:v>1479.1083881682073</x:v>
      </x:c>
      <x:c r="U42" s="31" t="n">
        <x:f>IF(T42="","",I42*T42)</x:f>
        <x:v>36672.95733090286</x:v>
      </x:c>
    </x:row>
    <x:row r="43" ht="18" customHeight="1">
      <x:c r="A43" s="24" t="str">
        <x:v>EEZ_921</x:v>
      </x:c>
      <x:c r="B43" s="24" t="str">
        <x:v>Honduras (Caribbean)</x:v>
      </x:c>
      <x:c r="C43" s="24" t="str">
        <x:v>EEZ</x:v>
      </x:c>
      <x:c r="D43" s="30" t="n">
        <x:v>2019</x:v>
      </x:c>
      <x:c r="E43" s="24" t="str">
        <x:v>Balistes vetula</x:v>
      </x:c>
      <x:c r="F43" s="24" t="str">
        <x:v>Queen triggerfish</x:v>
      </x:c>
      <x:c r="G43" s="24" t="str">
        <x:v>Medium reef assoc. fish (30 - 89 cm)</x:v>
      </x:c>
      <x:c r="H43" s="24" t="str">
        <x:v>Other fishes &amp; inverts</x:v>
      </x:c>
      <x:c r="I43" s="31" t="n">
        <x:v>24.793962108699997</x:v>
      </x:c>
      <x:c r="J43" s="31" t="n">
        <x:v>24.793962108699997</x:v>
      </x:c>
      <x:c r="K43" s="31" t="n">
        <x:v>0</x:v>
      </x:c>
      <x:c r="L43" s="31" t="n">
        <x:v>0.349343755</x:v>
      </x:c>
      <x:c r="M43" s="31" t="n">
        <x:v>24.444618353699997</x:v>
      </x:c>
      <x:c r="N43" s="24" t="str">
        <x:v>balistes vetula</x:v>
      </x:c>
      <x:c r="O43" s="32" t="n">
        <x:v>3.82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Balistes vetula</x:v>
      </x:c>
      <x:c r="T43" s="32" t="n">
        <x:f>IF(O43="","",(1/'Metadata'!$B$5)^(O43-1))</x:f>
        <x:v>660.6934480075957</x:v>
      </x:c>
      <x:c r="U43" s="31" t="n">
        <x:f>IF(T43="","",I43*T43)</x:f>
        <x:v>16381.20831536668</x:v>
      </x:c>
    </x:row>
    <x:row r="44" ht="18" customHeight="1">
      <x:c r="A44" s="24" t="str">
        <x:v>EEZ_921</x:v>
      </x:c>
      <x:c r="B44" s="24" t="str">
        <x:v>Honduras (Caribbean)</x:v>
      </x:c>
      <x:c r="C44" s="24" t="str">
        <x:v>EEZ</x:v>
      </x:c>
      <x:c r="D44" s="30" t="n">
        <x:v>2019</x:v>
      </x:c>
      <x:c r="E44" s="24" t="str">
        <x:v>Seriola dumerili</x:v>
      </x:c>
      <x:c r="F44" s="24" t="str">
        <x:v>Greater amberjack</x:v>
      </x:c>
      <x:c r="G44" s="24" t="str">
        <x:v>Large reef assoc. fish (&gt;=90 cm)</x:v>
      </x:c>
      <x:c r="H44" s="24" t="str">
        <x:v>Perch-likes</x:v>
      </x:c>
      <x:c r="I44" s="31" t="n">
        <x:v>24.793962108699997</x:v>
      </x:c>
      <x:c r="J44" s="31" t="n">
        <x:v>24.793962108699997</x:v>
      </x:c>
      <x:c r="K44" s="31" t="n">
        <x:v>0</x:v>
      </x:c>
      <x:c r="L44" s="31" t="n">
        <x:v>0.349343755</x:v>
      </x:c>
      <x:c r="M44" s="31" t="n">
        <x:v>24.444618353699997</x:v>
      </x:c>
      <x:c r="N44" s="24" t="str">
        <x:v>seriola dumerili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Seriola dumerili</x:v>
      </x:c>
      <x:c r="T44" s="32" t="n">
        <x:f>IF(O44="","",(1/'Metadata'!$B$5)^(O44-1))</x:f>
        <x:v>3162.2776601683795</x:v>
      </x:c>
      <x:c r="U44" s="31" t="n">
        <x:f>IF(T44="","",I44*T44)</x:f>
        <x:v>78405.39248340328</x:v>
      </x:c>
    </x:row>
    <x:row r="45" ht="18" customHeight="1">
      <x:c r="A45" s="24" t="str">
        <x:v>EEZ_921</x:v>
      </x:c>
      <x:c r="B45" s="24" t="str">
        <x:v>Honduras (Caribbean)</x:v>
      </x:c>
      <x:c r="C45" s="24" t="str">
        <x:v>EEZ</x:v>
      </x:c>
      <x:c r="D45" s="30" t="n">
        <x:v>2019</x:v>
      </x:c>
      <x:c r="E45" s="24" t="str">
        <x:v>Scomberomorus cavalla</x:v>
      </x:c>
      <x:c r="F45" s="24" t="str">
        <x:v>King mackerel</x:v>
      </x:c>
      <x:c r="G45" s="24" t="str">
        <x:v>Large pelagics (&gt;=90 cm)</x:v>
      </x:c>
      <x:c r="H45" s="24" t="str">
        <x:v>Perch-likes</x:v>
      </x:c>
      <x:c r="I45" s="31" t="n">
        <x:v>24.793962108699997</x:v>
      </x:c>
      <x:c r="J45" s="31" t="n">
        <x:v>24.793962108699997</x:v>
      </x:c>
      <x:c r="K45" s="31" t="n">
        <x:v>0</x:v>
      </x:c>
      <x:c r="L45" s="31" t="n">
        <x:v>0.349343755</x:v>
      </x:c>
      <x:c r="M45" s="31" t="n">
        <x:v>24.444618353699997</x:v>
      </x:c>
      <x:c r="N45" s="24" t="str">
        <x:v>scomberomorus cavalla</x:v>
      </x:c>
      <x:c r="O45" s="32" t="n">
        <x:v>4.42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Scomberomorus cavalla</x:v>
      </x:c>
      <x:c r="T45" s="32" t="n">
        <x:f>IF(O45="","",(1/'Metadata'!$B$5)^(O45-1))</x:f>
        <x:v>2630.2679918953813</x:v>
      </x:c>
      <x:c r="U45" s="31" t="n">
        <x:f>IF(T45="","",I45*T45)</x:f>
        <x:v>65214.76492678052</x:v>
      </x:c>
    </x:row>
    <x:row r="46" ht="18" customHeight="1">
      <x:c r="A46" s="24" t="str">
        <x:v>EEZ_921</x:v>
      </x:c>
      <x:c r="B46" s="24" t="str">
        <x:v>Honduras (Caribbean)</x:v>
      </x:c>
      <x:c r="C46" s="24" t="str">
        <x:v>EEZ</x:v>
      </x:c>
      <x:c r="D46" s="30" t="n">
        <x:v>2019</x:v>
      </x:c>
      <x:c r="E46" s="24" t="str">
        <x:v>Sparisoma chrysopterum</x:v>
      </x:c>
      <x:c r="F46" s="24" t="str">
        <x:v>Redtail parrotfish</x:v>
      </x:c>
      <x:c r="G46" s="24" t="str">
        <x:v>Medium reef assoc. fish (30 - 89 cm)</x:v>
      </x:c>
      <x:c r="H46" s="24" t="str">
        <x:v>Perch-likes</x:v>
      </x:c>
      <x:c r="I46" s="31" t="n">
        <x:v>24.7939621086</x:v>
      </x:c>
      <x:c r="J46" s="31" t="n">
        <x:v>24.7939621086</x:v>
      </x:c>
      <x:c r="K46" s="31" t="n">
        <x:v>0</x:v>
      </x:c>
      <x:c r="L46" s="31" t="n">
        <x:v>0.34934375489999997</x:v>
      </x:c>
      <x:c r="M46" s="31" t="n">
        <x:v>24.444618353699997</x:v>
      </x:c>
      <x:c r="N46" s="24" t="str">
        <x:v>sparisoma chrysopterum</x:v>
      </x:c>
      <x:c r="O46" s="32" t="n">
        <x:v>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Sparisoma chrysopterum</x:v>
      </x:c>
      <x:c r="T46" s="32" t="n">
        <x:f>IF(O46="","",(1/'Metadata'!$B$5)^(O46-1))</x:f>
        <x:v>10</x:v>
      </x:c>
      <x:c r="U46" s="31" t="n">
        <x:f>IF(T46="","",I46*T46)</x:f>
        <x:v>247.939621086</x:v>
      </x:c>
    </x:row>
    <x:row r="47" ht="18" customHeight="1">
      <x:c r="A47" s="24" t="str">
        <x:v>EEZ_921</x:v>
      </x:c>
      <x:c r="B47" s="24" t="str">
        <x:v>Honduras (Caribbean)</x:v>
      </x:c>
      <x:c r="C47" s="24" t="str">
        <x:v>EEZ</x:v>
      </x:c>
      <x:c r="D47" s="30" t="n">
        <x:v>2019</x:v>
      </x:c>
      <x:c r="E47" s="24" t="str">
        <x:v>Sparisoma viride</x:v>
      </x:c>
      <x:c r="F47" s="24" t="str">
        <x:v>Stoplight parrotfish</x:v>
      </x:c>
      <x:c r="G47" s="24" t="str">
        <x:v>Medium reef assoc. fish (30 - 89 cm)</x:v>
      </x:c>
      <x:c r="H47" s="24" t="str">
        <x:v>Perch-likes</x:v>
      </x:c>
      <x:c r="I47" s="31" t="n">
        <x:v>24.7939621086</x:v>
      </x:c>
      <x:c r="J47" s="31" t="n">
        <x:v>24.7939621086</x:v>
      </x:c>
      <x:c r="K47" s="31" t="n">
        <x:v>0</x:v>
      </x:c>
      <x:c r="L47" s="31" t="n">
        <x:v>0.34934375489999997</x:v>
      </x:c>
      <x:c r="M47" s="31" t="n">
        <x:v>24.444618353699997</x:v>
      </x:c>
      <x:c r="N47" s="24" t="str">
        <x:v>sparisoma viride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Sparisoma viride</x:v>
      </x:c>
      <x:c r="T47" s="32" t="n">
        <x:f>IF(O47="","",(1/'Metadata'!$B$5)^(O47-1))</x:f>
        <x:v>10</x:v>
      </x:c>
      <x:c r="U47" s="31" t="n">
        <x:f>IF(T47="","",I47*T47)</x:f>
        <x:v>247.939621086</x:v>
      </x:c>
    </x:row>
    <x:row r="48" ht="18" customHeight="1">
      <x:c r="A48" s="24" t="str">
        <x:v>EEZ_921</x:v>
      </x:c>
      <x:c r="B48" s="24" t="str">
        <x:v>Honduras (Caribbean)</x:v>
      </x:c>
      <x:c r="C48" s="24" t="str">
        <x:v>EEZ</x:v>
      </x:c>
      <x:c r="D48" s="30" t="n">
        <x:v>2019</x:v>
      </x:c>
      <x:c r="E48" s="24" t="str">
        <x:v>Holocentrus rufus</x:v>
      </x:c>
      <x:c r="F48" s="24" t="str">
        <x:v>Longspine squirrelfish</x:v>
      </x:c>
      <x:c r="G48" s="24" t="str">
        <x:v>Medium reef assoc. fish (30 - 89 cm)</x:v>
      </x:c>
      <x:c r="H48" s="24" t="str">
        <x:v>Other fishes &amp; inverts</x:v>
      </x:c>
      <x:c r="I48" s="31" t="n">
        <x:v>24.7939621086</x:v>
      </x:c>
      <x:c r="J48" s="31" t="n">
        <x:v>24.7939621086</x:v>
      </x:c>
      <x:c r="K48" s="31" t="n">
        <x:v>0</x:v>
      </x:c>
      <x:c r="L48" s="31" t="n">
        <x:v>0.34934375489999997</x:v>
      </x:c>
      <x:c r="M48" s="31" t="n">
        <x:v>24.444618353699997</x:v>
      </x:c>
      <x:c r="N48" s="24" t="str">
        <x:v>holocentrus rufus</x:v>
      </x:c>
      <x:c r="O48" s="32" t="n">
        <x:v>3.51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Holocentrus rufus</x:v>
      </x:c>
      <x:c r="T48" s="32" t="n">
        <x:f>IF(O48="","",(1/'Metadata'!$B$5)^(O48-1))</x:f>
        <x:v>323.5936569296281</x:v>
      </x:c>
      <x:c r="U48" s="31" t="n">
        <x:f>IF(T48="","",I48*T48)</x:f>
        <x:v>8023.168868496507</x:v>
      </x:c>
    </x:row>
    <x:row r="49" ht="18" customHeight="1">
      <x:c r="A49" s="24" t="str">
        <x:v>EEZ_921</x:v>
      </x:c>
      <x:c r="B49" s="24" t="str">
        <x:v>Honduras (Caribbean)</x:v>
      </x:c>
      <x:c r="C49" s="24" t="str">
        <x:v>EEZ</x:v>
      </x:c>
      <x:c r="D49" s="30" t="n">
        <x:v>2019</x:v>
      </x:c>
      <x:c r="E49" s="24" t="str">
        <x:v>Scarus coelestinus</x:v>
      </x:c>
      <x:c r="F49" s="24" t="str">
        <x:v>Midnight parrotfish</x:v>
      </x:c>
      <x:c r="G49" s="24" t="str">
        <x:v>Medium reef assoc. fish (30 - 89 cm)</x:v>
      </x:c>
      <x:c r="H49" s="24" t="str">
        <x:v>Perch-likes</x:v>
      </x:c>
      <x:c r="I49" s="31" t="n">
        <x:v>24.7939621086</x:v>
      </x:c>
      <x:c r="J49" s="31" t="n">
        <x:v>24.7939621086</x:v>
      </x:c>
      <x:c r="K49" s="31" t="n">
        <x:v>0</x:v>
      </x:c>
      <x:c r="L49" s="31" t="n">
        <x:v>0.34934375489999997</x:v>
      </x:c>
      <x:c r="M49" s="31" t="n">
        <x:v>24.444618353699997</x:v>
      </x:c>
      <x:c r="N49" s="24" t="str">
        <x:v>scarus coelestinus</x:v>
      </x:c>
      <x:c r="O49" s="32" t="n">
        <x:v>2.03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Scarus coelestinus</x:v>
      </x:c>
      <x:c r="T49" s="32" t="n">
        <x:f>IF(O49="","",(1/'Metadata'!$B$5)^(O49-1))</x:f>
        <x:v>10.71519305237606</x:v>
      </x:c>
      <x:c r="U49" s="31" t="n">
        <x:f>IF(T49="","",I49*T49)</x:f>
        <x:v>265.672090526946</x:v>
      </x:c>
    </x:row>
    <x:row r="50" ht="18" customHeight="1">
      <x:c r="A50" s="24" t="str">
        <x:v>EEZ_921</x:v>
      </x:c>
      <x:c r="B50" s="24" t="str">
        <x:v>Honduras (Caribbean)</x:v>
      </x:c>
      <x:c r="C50" s="24" t="str">
        <x:v>EEZ</x:v>
      </x:c>
      <x:c r="D50" s="30" t="n">
        <x:v>2019</x:v>
      </x:c>
      <x:c r="E50" s="24" t="str">
        <x:v>Cephalopholis cruentata</x:v>
      </x:c>
      <x:c r="F50" s="24" t="str">
        <x:v>Graysby</x:v>
      </x:c>
      <x:c r="G50" s="24" t="str">
        <x:v>Medium reef assoc. fish (30 - 89 cm)</x:v>
      </x:c>
      <x:c r="H50" s="24" t="str">
        <x:v>Perch-likes</x:v>
      </x:c>
      <x:c r="I50" s="31" t="n">
        <x:v>24.7939621086</x:v>
      </x:c>
      <x:c r="J50" s="31" t="n">
        <x:v>24.7939621086</x:v>
      </x:c>
      <x:c r="K50" s="31" t="n">
        <x:v>0</x:v>
      </x:c>
      <x:c r="L50" s="31" t="n">
        <x:v>0.3493437549</x:v>
      </x:c>
      <x:c r="M50" s="31" t="n">
        <x:v>24.444618353699997</x:v>
      </x:c>
      <x:c r="N50" s="24" t="str">
        <x:v>cephalopholis cruentata</x:v>
      </x:c>
      <x:c r="O50" s="32" t="n">
        <x:v>4.25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Cephalopholis cruentata</x:v>
      </x:c>
      <x:c r="T50" s="32" t="n">
        <x:f>IF(O50="","",(1/'Metadata'!$B$5)^(O50-1))</x:f>
        <x:v>1778.2794100389228</x:v>
      </x:c>
      <x:c r="U50" s="31" t="n">
        <x:f>IF(T50="","",I50*T50)</x:f>
        <x:v>44090.592311008615</x:v>
      </x:c>
    </x:row>
    <x:row r="51" ht="18" customHeight="1">
      <x:c r="A51" s="24" t="str">
        <x:v>EEZ_921</x:v>
      </x:c>
      <x:c r="B51" s="24" t="str">
        <x:v>Honduras (Caribbean)</x:v>
      </x:c>
      <x:c r="C51" s="24" t="str">
        <x:v>EEZ</x:v>
      </x:c>
      <x:c r="D51" s="30" t="n">
        <x:v>2019</x:v>
      </x:c>
      <x:c r="E51" s="24" t="str">
        <x:v>Sparisoma aurofrenatum</x:v>
      </x:c>
      <x:c r="F51" s="24" t="str">
        <x:v>Redband parrotfish</x:v>
      </x:c>
      <x:c r="G51" s="24" t="str">
        <x:v>Small reef assoc. fish (&lt;30 cm)</x:v>
      </x:c>
      <x:c r="H51" s="24" t="str">
        <x:v>Perch-likes</x:v>
      </x:c>
      <x:c r="I51" s="31" t="n">
        <x:v>24.7939621086</x:v>
      </x:c>
      <x:c r="J51" s="31" t="n">
        <x:v>24.7939621086</x:v>
      </x:c>
      <x:c r="K51" s="31" t="n">
        <x:v>0</x:v>
      </x:c>
      <x:c r="L51" s="31" t="n">
        <x:v>0.34934375489999997</x:v>
      </x:c>
      <x:c r="M51" s="31" t="n">
        <x:v>24.444618353699997</x:v>
      </x:c>
      <x:c r="N51" s="24" t="str">
        <x:v>sparisoma aurofrenatum</x:v>
      </x:c>
      <x:c r="O51" s="32" t="n">
        <x:v>2.02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Sparisoma aurofrenatum</x:v>
      </x:c>
      <x:c r="T51" s="32" t="n">
        <x:f>IF(O51="","",(1/'Metadata'!$B$5)^(O51-1))</x:f>
        <x:v>10.471285480508996</x:v>
      </x:c>
      <x:c r="U51" s="31" t="n">
        <x:f>IF(T51="","",I51*T51)</x:f>
        <x:v>259.6246554320734</x:v>
      </x:c>
    </x:row>
    <x:row r="52" ht="18" customHeight="1">
      <x:c r="A52" s="24" t="str">
        <x:v>EEZ_921</x:v>
      </x:c>
      <x:c r="B52" s="24" t="str">
        <x:v>Honduras (Caribbean)</x:v>
      </x:c>
      <x:c r="C52" s="24" t="str">
        <x:v>EEZ</x:v>
      </x:c>
      <x:c r="D52" s="30" t="n">
        <x:v>2019</x:v>
      </x:c>
      <x:c r="E52" s="24" t="str">
        <x:v>Scarus guacamaia</x:v>
      </x:c>
      <x:c r="F52" s="24" t="str">
        <x:v>Rainbow parrotfish</x:v>
      </x:c>
      <x:c r="G52" s="24" t="str">
        <x:v>Large reef assoc. fish (&gt;=90 cm)</x:v>
      </x:c>
      <x:c r="H52" s="24" t="str">
        <x:v>Perch-likes</x:v>
      </x:c>
      <x:c r="I52" s="31" t="n">
        <x:v>24.7939621086</x:v>
      </x:c>
      <x:c r="J52" s="31" t="n">
        <x:v>24.7939621086</x:v>
      </x:c>
      <x:c r="K52" s="31" t="n">
        <x:v>0</x:v>
      </x:c>
      <x:c r="L52" s="31" t="n">
        <x:v>0.34934375489999997</x:v>
      </x:c>
      <x:c r="M52" s="31" t="n">
        <x:v>24.444618353699997</x:v>
      </x:c>
      <x:c r="N52" s="24" t="str">
        <x:v>scarus guacamaia</x:v>
      </x:c>
      <x:c r="O52" s="32" t="n">
        <x:v>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Scarus guacamaia</x:v>
      </x:c>
      <x:c r="T52" s="32" t="n">
        <x:f>IF(O52="","",(1/'Metadata'!$B$5)^(O52-1))</x:f>
        <x:v>10</x:v>
      </x:c>
      <x:c r="U52" s="31" t="n">
        <x:f>IF(T52="","",I52*T52)</x:f>
        <x:v>247.939621086</x:v>
      </x:c>
    </x:row>
    <x:row r="53" ht="18" customHeight="1">
      <x:c r="A53" s="24" t="str">
        <x:v>EEZ_921</x:v>
      </x:c>
      <x:c r="B53" s="24" t="str">
        <x:v>Honduras (Caribbean)</x:v>
      </x:c>
      <x:c r="C53" s="24" t="str">
        <x:v>EEZ</x:v>
      </x:c>
      <x:c r="D53" s="30" t="n">
        <x:v>2019</x:v>
      </x:c>
      <x:c r="E53" s="24" t="str">
        <x:v>Scarus coeruleus</x:v>
      </x:c>
      <x:c r="F53" s="24" t="str">
        <x:v>Blue parrotfish</x:v>
      </x:c>
      <x:c r="G53" s="24" t="str">
        <x:v>Large reef assoc. fish (&gt;=90 cm)</x:v>
      </x:c>
      <x:c r="H53" s="24" t="str">
        <x:v>Perch-likes</x:v>
      </x:c>
      <x:c r="I53" s="31" t="n">
        <x:v>24.7939621086</x:v>
      </x:c>
      <x:c r="J53" s="31" t="n">
        <x:v>24.7939621086</x:v>
      </x:c>
      <x:c r="K53" s="31" t="n">
        <x:v>0</x:v>
      </x:c>
      <x:c r="L53" s="31" t="n">
        <x:v>0.34934375489999997</x:v>
      </x:c>
      <x:c r="M53" s="31" t="n">
        <x:v>24.444618353699997</x:v>
      </x:c>
      <x:c r="N53" s="24" t="str">
        <x:v>scarus coeruleus</x:v>
      </x:c>
      <x:c r="O53" s="32" t="n">
        <x:v>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Scarus coeruleus</x:v>
      </x:c>
      <x:c r="T53" s="32" t="n">
        <x:f>IF(O53="","",(1/'Metadata'!$B$5)^(O53-1))</x:f>
        <x:v>10</x:v>
      </x:c>
      <x:c r="U53" s="31" t="n">
        <x:f>IF(T53="","",I53*T53)</x:f>
        <x:v>247.939621086</x:v>
      </x:c>
    </x:row>
    <x:row r="54" ht="18" customHeight="1">
      <x:c r="A54" s="24" t="str">
        <x:v>EEZ_921</x:v>
      </x:c>
      <x:c r="B54" s="24" t="str">
        <x:v>Honduras (Caribbean)</x:v>
      </x:c>
      <x:c r="C54" s="24" t="str">
        <x:v>EEZ</x:v>
      </x:c>
      <x:c r="D54" s="30" t="n">
        <x:v>2019</x:v>
      </x:c>
      <x:c r="E54" s="24" t="str">
        <x:v>Sparisoma rubripinne</x:v>
      </x:c>
      <x:c r="F54" s="24" t="str">
        <x:v>Redfin parrotfish</x:v>
      </x:c>
      <x:c r="G54" s="24" t="str">
        <x:v>Medium reef assoc. fish (30 - 89 cm)</x:v>
      </x:c>
      <x:c r="H54" s="24" t="str">
        <x:v>Perch-likes</x:v>
      </x:c>
      <x:c r="I54" s="31" t="n">
        <x:v>24.7939621086</x:v>
      </x:c>
      <x:c r="J54" s="31" t="n">
        <x:v>24.7939621086</x:v>
      </x:c>
      <x:c r="K54" s="31" t="n">
        <x:v>0</x:v>
      </x:c>
      <x:c r="L54" s="31" t="n">
        <x:v>0.34934375489999997</x:v>
      </x:c>
      <x:c r="M54" s="31" t="n">
        <x:v>24.444618353699997</x:v>
      </x:c>
      <x:c r="N54" s="24" t="str">
        <x:v>sparisoma rubripinne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Sparisoma rubripinne</x:v>
      </x:c>
      <x:c r="T54" s="32" t="n">
        <x:f>IF(O54="","",(1/'Metadata'!$B$5)^(O54-1))</x:f>
        <x:v>10</x:v>
      </x:c>
      <x:c r="U54" s="31" t="n">
        <x:f>IF(T54="","",I54*T54)</x:f>
        <x:v>247.939621086</x:v>
      </x:c>
    </x:row>
    <x:row r="55" ht="18" customHeight="1">
      <x:c r="A55" s="24" t="str">
        <x:v>EEZ_921</x:v>
      </x:c>
      <x:c r="B55" s="24" t="str">
        <x:v>Honduras (Caribbean)</x:v>
      </x:c>
      <x:c r="C55" s="24" t="str">
        <x:v>EEZ</x:v>
      </x:c>
      <x:c r="D55" s="30" t="n">
        <x:v>2019</x:v>
      </x:c>
      <x:c r="E55" s="24" t="str">
        <x:v>Mycteroperca microlepis</x:v>
      </x:c>
      <x:c r="F55" s="24" t="str">
        <x:v>Gag</x:v>
      </x:c>
      <x:c r="G55" s="24" t="str">
        <x:v>Large demersals (&gt;=90 cm)</x:v>
      </x:c>
      <x:c r="H55" s="24" t="str">
        <x:v>Perch-likes</x:v>
      </x:c>
      <x:c r="I55" s="31" t="n">
        <x:v>24.7939621086</x:v>
      </x:c>
      <x:c r="J55" s="31" t="n">
        <x:v>24.7939621086</x:v>
      </x:c>
      <x:c r="K55" s="31" t="n">
        <x:v>0</x:v>
      </x:c>
      <x:c r="L55" s="31" t="n">
        <x:v>0.3493437549</x:v>
      </x:c>
      <x:c r="M55" s="31" t="n">
        <x:v>24.444618353699997</x:v>
      </x:c>
      <x:c r="N55" s="24" t="str">
        <x:v>mycteroperca microlepis</x:v>
      </x:c>
      <x:c r="O55" s="32" t="n">
        <x:v>3.65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Mycteroperca microlepis</x:v>
      </x:c>
      <x:c r="T55" s="32" t="n">
        <x:f>IF(O55="","",(1/'Metadata'!$B$5)^(O55-1))</x:f>
        <x:v>446.683592150963</x:v>
      </x:c>
      <x:c r="U55" s="31" t="n">
        <x:f>IF(T55="","",I55*T55)</x:f>
        <x:v>11075.056058324313</x:v>
      </x:c>
    </x:row>
    <x:row r="56" ht="18" customHeight="1">
      <x:c r="A56" s="24" t="str">
        <x:v>EEZ_921</x:v>
      </x:c>
      <x:c r="B56" s="24" t="str">
        <x:v>Honduras (Caribbean)</x:v>
      </x:c>
      <x:c r="C56" s="24" t="str">
        <x:v>EEZ</x:v>
      </x:c>
      <x:c r="D56" s="30" t="n">
        <x:v>2019</x:v>
      </x:c>
      <x:c r="E56" s="24" t="str">
        <x:v>Ocyurus chrysurus</x:v>
      </x:c>
      <x:c r="F56" s="24" t="str">
        <x:v>Yellowtail snapper</x:v>
      </x:c>
      <x:c r="G56" s="24" t="str">
        <x:v>Medium reef assoc. fish (30 - 89 cm)</x:v>
      </x:c>
      <x:c r="H56" s="24" t="str">
        <x:v>Perch-likes</x:v>
      </x:c>
      <x:c r="I56" s="31" t="n">
        <x:v>22.9683051049</x:v>
      </x:c>
      <x:c r="J56" s="31" t="n">
        <x:v>22.9683051049</x:v>
      </x:c>
      <x:c r="K56" s="31" t="n">
        <x:v>0</x:v>
      </x:c>
      <x:c r="L56" s="31" t="n">
        <x:v>16.06499356</x:v>
      </x:c>
      <x:c r="M56" s="31" t="n">
        <x:v>6.9033115449</x:v>
      </x:c>
      <x:c r="N56" s="24" t="str">
        <x:v>ocyurus chrysurus</x:v>
      </x:c>
      <x:c r="O56" s="32" t="n">
        <x:v>4.03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Ocyurus chrysurus</x:v>
      </x:c>
      <x:c r="T56" s="32" t="n">
        <x:f>IF(O56="","",(1/'Metadata'!$B$5)^(O56-1))</x:f>
        <x:v>1071.519305237607</x:v>
      </x:c>
      <x:c r="U56" s="31" t="n">
        <x:f>IF(T56="","",I56*T56)</x:f>
        <x:v>24610.982328487833</x:v>
      </x:c>
    </x:row>
    <x:row r="57" ht="18" customHeight="1">
      <x:c r="A57" s="24" t="str">
        <x:v>EEZ_921</x:v>
      </x:c>
      <x:c r="B57" s="24" t="str">
        <x:v>Honduras (Caribbean)</x:v>
      </x:c>
      <x:c r="C57" s="24" t="str">
        <x:v>EEZ</x:v>
      </x:c>
      <x:c r="D57" s="30" t="n">
        <x:v>2019</x:v>
      </x:c>
      <x:c r="E57" s="24" t="str">
        <x:v>Lutjanus campechanus</x:v>
      </x:c>
      <x:c r="F57" s="24" t="str">
        <x:v>Northern red snapper</x:v>
      </x:c>
      <x:c r="G57" s="24" t="str">
        <x:v>Medium reef assoc. fish (30 - 89 cm)</x:v>
      </x:c>
      <x:c r="H57" s="24" t="str">
        <x:v>Perch-likes</x:v>
      </x:c>
      <x:c r="I57" s="31" t="n">
        <x:v>19.7681488293</x:v>
      </x:c>
      <x:c r="J57" s="31" t="n">
        <x:v>19.7681488293</x:v>
      </x:c>
      <x:c r="K57" s="31" t="n">
        <x:v>0</x:v>
      </x:c>
      <x:c r="L57" s="31" t="n">
        <x:v>15.7598390557</x:v>
      </x:c>
      <x:c r="M57" s="31" t="n">
        <x:v>4.0083097736</x:v>
      </x:c>
      <x:c r="N57" s="24" t="str">
        <x:v>lutjanus campechanus</x:v>
      </x:c>
      <x:c r="O57" s="32" t="n">
        <x:v>4.01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Lutjanus campechanus</x:v>
      </x:c>
      <x:c r="T57" s="32" t="n">
        <x:f>IF(O57="","",(1/'Metadata'!$B$5)^(O57-1))</x:f>
        <x:v>1023.2929922807537</x:v>
      </x:c>
      <x:c r="U57" s="31" t="n">
        <x:f>IF(T57="","",I57*T57)</x:f>
        <x:v>20228.608167385675</x:v>
      </x:c>
    </x:row>
    <x:row r="58" ht="18" customHeight="1">
      <x:c r="A58" s="24" t="str">
        <x:v>EEZ_921</x:v>
      </x:c>
      <x:c r="B58" s="24" t="str">
        <x:v>Honduras (Caribbean)</x:v>
      </x:c>
      <x:c r="C58" s="24" t="str">
        <x:v>EEZ</x:v>
      </x:c>
      <x:c r="D58" s="30" t="n">
        <x:v>2019</x:v>
      </x:c>
      <x:c r="E58" s="24" t="str">
        <x:v>Lutjanus vivanus</x:v>
      </x:c>
      <x:c r="F58" s="24" t="str">
        <x:v>Silk snapper</x:v>
      </x:c>
      <x:c r="G58" s="24" t="str">
        <x:v>Medium demersals (30 - 89 cm)</x:v>
      </x:c>
      <x:c r="H58" s="24" t="str">
        <x:v>Perch-likes</x:v>
      </x:c>
      <x:c r="I58" s="31" t="n">
        <x:v>19.7681488293</x:v>
      </x:c>
      <x:c r="J58" s="31" t="n">
        <x:v>19.7681488293</x:v>
      </x:c>
      <x:c r="K58" s="31" t="n">
        <x:v>0</x:v>
      </x:c>
      <x:c r="L58" s="31" t="n">
        <x:v>15.7598390557</x:v>
      </x:c>
      <x:c r="M58" s="31" t="n">
        <x:v>4.0083097736</x:v>
      </x:c>
      <x:c r="N58" s="24" t="str">
        <x:v>lutjanus vivanus</x:v>
      </x:c>
      <x:c r="O58" s="32" t="n">
        <x:v>3.09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Lutjanus vivanus</x:v>
      </x:c>
      <x:c r="T58" s="32" t="n">
        <x:f>IF(O58="","",(1/'Metadata'!$B$5)^(O58-1))</x:f>
        <x:v>123.02687708123811</x:v>
      </x:c>
      <x:c r="U58" s="31" t="n">
        <x:f>IF(T58="","",I58*T58)</x:f>
        <x:v>2432.0136161459122</x:v>
      </x:c>
    </x:row>
    <x:row r="59" ht="18" customHeight="1">
      <x:c r="A59" s="24" t="str">
        <x:v>EEZ_921</x:v>
      </x:c>
      <x:c r="B59" s="24" t="str">
        <x:v>Honduras (Caribbean)</x:v>
      </x:c>
      <x:c r="C59" s="24" t="str">
        <x:v>EEZ</x:v>
      </x:c>
      <x:c r="D59" s="30" t="n">
        <x:v>2019</x:v>
      </x:c>
      <x:c r="E59" s="24" t="str">
        <x:v>Lutjanus purpureus</x:v>
      </x:c>
      <x:c r="F59" s="24" t="str">
        <x:v>Southern red snapper</x:v>
      </x:c>
      <x:c r="G59" s="24" t="str">
        <x:v>Medium demersals (30 - 89 cm)</x:v>
      </x:c>
      <x:c r="H59" s="24" t="str">
        <x:v>Perch-likes</x:v>
      </x:c>
      <x:c r="I59" s="31" t="n">
        <x:v>19.7681488293</x:v>
      </x:c>
      <x:c r="J59" s="31" t="n">
        <x:v>19.7681488293</x:v>
      </x:c>
      <x:c r="K59" s="31" t="n">
        <x:v>0</x:v>
      </x:c>
      <x:c r="L59" s="31" t="n">
        <x:v>15.7598390557</x:v>
      </x:c>
      <x:c r="M59" s="31" t="n">
        <x:v>4.0083097736</x:v>
      </x:c>
      <x:c r="N59" s="24" t="str">
        <x:v>lutjanus purpureus</x:v>
      </x:c>
      <x:c r="O59" s="32" t="n">
        <x:v>3.58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Lutjanus purpureus</x:v>
      </x:c>
      <x:c r="T59" s="32" t="n">
        <x:f>IF(O59="","",(1/'Metadata'!$B$5)^(O59-1))</x:f>
        <x:v>380.1893963205613</x:v>
      </x:c>
      <x:c r="U59" s="31" t="n">
        <x:f>IF(T59="","",I59*T59)</x:f>
        <x:v>7515.640569786577</x:v>
      </x:c>
    </x:row>
    <x:row r="60" ht="18" customHeight="1">
      <x:c r="A60" s="24" t="str">
        <x:v>EEZ_921</x:v>
      </x:c>
      <x:c r="B60" s="24" t="str">
        <x:v>Honduras (Caribbean)</x:v>
      </x:c>
      <x:c r="C60" s="24" t="str">
        <x:v>EEZ</x:v>
      </x:c>
      <x:c r="D60" s="30" t="n">
        <x:v>2019</x:v>
      </x:c>
      <x:c r="E60" s="24" t="str">
        <x:v>Etelis oculatus</x:v>
      </x:c>
      <x:c r="F60" s="24" t="str">
        <x:v>Queen snapper</x:v>
      </x:c>
      <x:c r="G60" s="24" t="str">
        <x:v>Medium bathydemersals (30 - 89 cm)</x:v>
      </x:c>
      <x:c r="H60" s="24" t="str">
        <x:v>Perch-likes</x:v>
      </x:c>
      <x:c r="I60" s="31" t="n">
        <x:v>19.6904545207</x:v>
      </x:c>
      <x:c r="J60" s="31" t="n">
        <x:v>19.6904545207</x:v>
      </x:c>
      <x:c r="K60" s="31" t="n">
        <x:v>0</x:v>
      </x:c>
      <x:c r="L60" s="31" t="n">
        <x:v>15.7598390557</x:v>
      </x:c>
      <x:c r="M60" s="31" t="n">
        <x:v>3.930615465</x:v>
      </x:c>
      <x:c r="N60" s="24" t="str">
        <x:v>etelis oculatus</x:v>
      </x:c>
      <x:c r="O60" s="32" t="n">
        <x:v>4.18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Etelis oculatus</x:v>
      </x:c>
      <x:c r="T60" s="32" t="n">
        <x:f>IF(O60="","",(1/'Metadata'!$B$5)^(O60-1))</x:f>
        <x:v>1513.5612484362073</x:v>
      </x:c>
      <x:c r="U60" s="31" t="n">
        <x:f>IF(T60="","",I60*T60)</x:f>
        <x:v>29802.708926627056</x:v>
      </x:c>
    </x:row>
    <x:row r="61" ht="18" customHeight="1">
      <x:c r="A61" s="24" t="str">
        <x:v>EEZ_921</x:v>
      </x:c>
      <x:c r="B61" s="24" t="str">
        <x:v>Honduras (Caribbean)</x:v>
      </x:c>
      <x:c r="C61" s="24" t="str">
        <x:v>EEZ</x:v>
      </x:c>
      <x:c r="D61" s="30" t="n">
        <x:v>2019</x:v>
      </x:c>
      <x:c r="E61" s="24" t="str">
        <x:v>Lutjanus buccanella</x:v>
      </x:c>
      <x:c r="F61" s="24" t="str">
        <x:v>Blackfin snapper</x:v>
      </x:c>
      <x:c r="G61" s="24" t="str">
        <x:v>Medium reef assoc. fish (30 - 89 cm)</x:v>
      </x:c>
      <x:c r="H61" s="24" t="str">
        <x:v>Perch-likes</x:v>
      </x:c>
      <x:c r="I61" s="31" t="n">
        <x:v>19.6511483661</x:v>
      </x:c>
      <x:c r="J61" s="31" t="n">
        <x:v>19.6511483661</x:v>
      </x:c>
      <x:c r="K61" s="31" t="n">
        <x:v>0</x:v>
      </x:c>
      <x:c r="L61" s="31" t="n">
        <x:v>15.7598390557</x:v>
      </x:c>
      <x:c r="M61" s="31" t="n">
        <x:v>3.8913093104</x:v>
      </x:c>
      <x:c r="N61" s="24" t="str">
        <x:v>lutjanus buccanella</x:v>
      </x:c>
      <x:c r="O61" s="32" t="n">
        <x:v>3.9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Lutjanus buccanella</x:v>
      </x:c>
      <x:c r="T61" s="32" t="n">
        <x:f>IF(O61="","",(1/'Metadata'!$B$5)^(O61-1))</x:f>
        <x:v>794.3282347242813</x:v>
      </x:c>
      <x:c r="U61" s="31" t="n">
        <x:f>IF(T61="","",I61*T61)</x:f>
        <x:v>15609.461991949156</x:v>
      </x:c>
    </x:row>
    <x:row r="62" ht="18" customHeight="1">
      <x:c r="A62" s="24" t="str">
        <x:v>EEZ_921</x:v>
      </x:c>
      <x:c r="B62" s="24" t="str">
        <x:v>Honduras (Caribbean)</x:v>
      </x:c>
      <x:c r="C62" s="24" t="str">
        <x:v>EEZ</x:v>
      </x:c>
      <x:c r="D62" s="30" t="n">
        <x:v>2019</x:v>
      </x:c>
      <x:c r="E62" s="24" t="str">
        <x:v>Lutjanus analis</x:v>
      </x:c>
      <x:c r="F62" s="24" t="str">
        <x:v>Mutton snapper</x:v>
      </x:c>
      <x:c r="G62" s="24" t="str">
        <x:v>Medium reef assoc. fish (30 - 89 cm)</x:v>
      </x:c>
      <x:c r="H62" s="24" t="str">
        <x:v>Perch-likes</x:v>
      </x:c>
      <x:c r="I62" s="31" t="n">
        <x:v>19.2034756135</x:v>
      </x:c>
      <x:c r="J62" s="31" t="n">
        <x:v>19.2034756135</x:v>
      </x:c>
      <x:c r="K62" s="31" t="n">
        <x:v>0</x:v>
      </x:c>
      <x:c r="L62" s="31" t="n">
        <x:v>15.7598390557</x:v>
      </x:c>
      <x:c r="M62" s="31" t="n">
        <x:v>3.4436365578</x:v>
      </x:c>
      <x:c r="N62" s="24" t="str">
        <x:v>lutjanus analis</x:v>
      </x:c>
      <x:c r="O62" s="32" t="n">
        <x:v>3.91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Lutjanus analis</x:v>
      </x:c>
      <x:c r="T62" s="32" t="n">
        <x:f>IF(O62="","",(1/'Metadata'!$B$5)^(O62-1))</x:f>
        <x:v>812.8305161640995</x:v>
      </x:c>
      <x:c r="U62" s="31" t="n">
        <x:f>IF(T62="","",I62*T62)</x:f>
        <x:v>15609.170995065904</x:v>
      </x:c>
    </x:row>
    <x:row r="63" ht="18" customHeight="1">
      <x:c r="A63" s="24" t="str">
        <x:v>EEZ_921</x:v>
      </x:c>
      <x:c r="B63" s="24" t="str">
        <x:v>Honduras (Caribbean)</x:v>
      </x:c>
      <x:c r="C63" s="24" t="str">
        <x:v>EEZ</x:v>
      </x:c>
      <x:c r="D63" s="30" t="n">
        <x:v>2019</x:v>
      </x:c>
      <x:c r="E63" s="24" t="str">
        <x:v>Rhomboplites aurorubens</x:v>
      </x:c>
      <x:c r="F63" s="24" t="str">
        <x:v>Vermilion snapper</x:v>
      </x:c>
      <x:c r="G63" s="24" t="str">
        <x:v>Medium demersals (30 - 89 cm)</x:v>
      </x:c>
      <x:c r="H63" s="24" t="str">
        <x:v>Perch-likes</x:v>
      </x:c>
      <x:c r="I63" s="31" t="n">
        <x:v>17.0946474524</x:v>
      </x:c>
      <x:c r="J63" s="31" t="n">
        <x:v>17.0946474524</x:v>
      </x:c>
      <x:c r="K63" s="31" t="n">
        <x:v>0</x:v>
      </x:c>
      <x:c r="L63" s="31" t="n">
        <x:v>15.7598390557</x:v>
      </x:c>
      <x:c r="M63" s="31" t="n">
        <x:v>1.3348083967</x:v>
      </x:c>
      <x:c r="N63" s="24" t="str">
        <x:v>rhomboplites aurorubens</x:v>
      </x:c>
      <x:c r="O63" s="32" t="n">
        <x:v>4.36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Rhomboplites aurorubens</x:v>
      </x:c>
      <x:c r="T63" s="32" t="n">
        <x:f>IF(O63="","",(1/'Metadata'!$B$5)^(O63-1))</x:f>
        <x:v>2290.867652767775</x:v>
      </x:c>
      <x:c r="U63" s="31" t="n">
        <x:f>IF(T63="","",I63*T63)</x:f>
        <x:v>39161.57488417221</x:v>
      </x:c>
    </x:row>
    <x:row r="64" ht="18" customHeight="1">
      <x:c r="A64" s="24" t="str">
        <x:v>EEZ_921</x:v>
      </x:c>
      <x:c r="B64" s="24" t="str">
        <x:v>Honduras (Caribbean)</x:v>
      </x:c>
      <x:c r="C64" s="24" t="str">
        <x:v>EEZ</x:v>
      </x:c>
      <x:c r="D64" s="30" t="n">
        <x:v>2019</x:v>
      </x:c>
      <x:c r="E64" s="24" t="str">
        <x:v>Epinephelus itajara</x:v>
      </x:c>
      <x:c r="F64" s="24" t="str">
        <x:v>Atlantic goliath grouper</x:v>
      </x:c>
      <x:c r="G64" s="24" t="str">
        <x:v>Large reef assoc. fish (&gt;=90 cm)</x:v>
      </x:c>
      <x:c r="H64" s="24" t="str">
        <x:v>Perch-likes</x:v>
      </x:c>
      <x:c r="I64" s="31" t="n">
        <x:v>17.0723050099</x:v>
      </x:c>
      <x:c r="J64" s="31" t="n">
        <x:v>17.0723050099</x:v>
      </x:c>
      <x:c r="K64" s="31" t="n">
        <x:v>0</x:v>
      </x:c>
      <x:c r="L64" s="31" t="n">
        <x:v>10.566754121299999</x:v>
      </x:c>
      <x:c r="M64" s="31" t="n">
        <x:v>6.5055508886</x:v>
      </x:c>
      <x:c r="N64" s="24" t="str">
        <x:v>epinephelus itajara</x:v>
      </x:c>
      <x:c r="O64" s="32" t="n">
        <x:v>4.09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Epinephelus itajara</x:v>
      </x:c>
      <x:c r="T64" s="32" t="n">
        <x:f>IF(O64="","",(1/'Metadata'!$B$5)^(O64-1))</x:f>
        <x:v>1230.268770812381</x:v>
      </x:c>
      <x:c r="U64" s="31" t="n">
        <x:f>IF(T64="","",I64*T64)</x:f>
        <x:v>21003.523699463727</x:v>
      </x:c>
    </x:row>
    <x:row r="65" ht="18" customHeight="1">
      <x:c r="A65" s="24" t="str">
        <x:v>EEZ_921</x:v>
      </x:c>
      <x:c r="B65" s="24" t="str">
        <x:v>Honduras (Caribbean)</x:v>
      </x:c>
      <x:c r="C65" s="24" t="str">
        <x:v>EEZ</x:v>
      </x:c>
      <x:c r="D65" s="30" t="n">
        <x:v>2019</x:v>
      </x:c>
      <x:c r="E65" s="24" t="str">
        <x:v>Caranx hippos</x:v>
      </x:c>
      <x:c r="F65" s="24" t="str">
        <x:v>Crevalle jack</x:v>
      </x:c>
      <x:c r="G65" s="24" t="str">
        <x:v>Large reef assoc. fish (&gt;=90 cm)</x:v>
      </x:c>
      <x:c r="H65" s="24" t="str">
        <x:v>Perch-likes</x:v>
      </x:c>
      <x:c r="I65" s="31" t="n">
        <x:v>17.071801941500002</x:v>
      </x:c>
      <x:c r="J65" s="31" t="n">
        <x:v>17.071801941500002</x:v>
      </x:c>
      <x:c r="K65" s="31" t="n">
        <x:v>0</x:v>
      </x:c>
      <x:c r="L65" s="31" t="n">
        <x:v>12.5615194282</x:v>
      </x:c>
      <x:c r="M65" s="31" t="n">
        <x:v>4.5102825133</x:v>
      </x:c>
      <x:c r="N65" s="24" t="str">
        <x:v>caranx hippos</x:v>
      </x:c>
      <x:c r="O65" s="32" t="n">
        <x:v>3.56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Caranx hippos</x:v>
      </x:c>
      <x:c r="T65" s="32" t="n">
        <x:f>IF(O65="","",(1/'Metadata'!$B$5)^(O65-1))</x:f>
        <x:v>363.0780547701014</x:v>
      </x:c>
      <x:c r="U65" s="31" t="n">
        <x:f>IF(T65="","",I65*T65)</x:f>
        <x:v>6198.396640340261</x:v>
      </x:c>
    </x:row>
    <x:row r="66" ht="18" customHeight="1">
      <x:c r="A66" s="24" t="str">
        <x:v>EEZ_921</x:v>
      </x:c>
      <x:c r="B66" s="24" t="str">
        <x:v>Honduras (Caribbean)</x:v>
      </x:c>
      <x:c r="C66" s="24" t="str">
        <x:v>EEZ</x:v>
      </x:c>
      <x:c r="D66" s="30" t="n">
        <x:v>2019</x:v>
      </x:c>
      <x:c r="E66" s="24" t="str">
        <x:v>Caranx crysos</x:v>
      </x:c>
      <x:c r="F66" s="24" t="str">
        <x:v>Blue runner</x:v>
      </x:c>
      <x:c r="G66" s="24" t="str">
        <x:v>Medium reef assoc. fish (30 - 89 cm)</x:v>
      </x:c>
      <x:c r="H66" s="24" t="str">
        <x:v>Perch-likes</x:v>
      </x:c>
      <x:c r="I66" s="31" t="n">
        <x:v>16.9736043189</x:v>
      </x:c>
      <x:c r="J66" s="31" t="n">
        <x:v>16.9736043189</x:v>
      </x:c>
      <x:c r="K66" s="31" t="n">
        <x:v>0</x:v>
      </x:c>
      <x:c r="L66" s="31" t="n">
        <x:v>12.4678104269</x:v>
      </x:c>
      <x:c r="M66" s="31" t="n">
        <x:v>4.505793892</x:v>
      </x:c>
      <x:c r="N66" s="24" t="str">
        <x:v>caranx crysos</x:v>
      </x:c>
      <x:c r="O66" s="32" t="n">
        <x:v>4.13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Caranx crysos</x:v>
      </x:c>
      <x:c r="T66" s="32" t="n">
        <x:f>IF(O66="","",(1/'Metadata'!$B$5)^(O66-1))</x:f>
        <x:v>1348.9628825916532</x:v>
      </x:c>
      <x:c r="U66" s="31" t="n">
        <x:f>IF(T66="","",I66*T66)</x:f>
        <x:v>22896.76220999348</x:v>
      </x:c>
    </x:row>
    <x:row r="67" ht="18" customHeight="1">
      <x:c r="A67" s="24" t="str">
        <x:v>EEZ_921</x:v>
      </x:c>
      <x:c r="B67" s="24" t="str">
        <x:v>Honduras (Caribbean)</x:v>
      </x:c>
      <x:c r="C67" s="24" t="str">
        <x:v>EEZ</x:v>
      </x:c>
      <x:c r="D67" s="30" t="n">
        <x:v>2019</x:v>
      </x:c>
      <x:c r="E67" s="24" t="str">
        <x:v>Hyporthodus mystacinus</x:v>
      </x:c>
      <x:c r="F67" s="24" t="str">
        <x:v>Misty grouper</x:v>
      </x:c>
      <x:c r="G67" s="24" t="str">
        <x:v>Large bathydemersals (&gt;=90 cm)</x:v>
      </x:c>
      <x:c r="H67" s="24" t="str">
        <x:v>Perch-likes</x:v>
      </x:c>
      <x:c r="I67" s="31" t="n">
        <x:v>13.1269696804</x:v>
      </x:c>
      <x:c r="J67" s="31" t="n">
        <x:v>13.1269696804</x:v>
      </x:c>
      <x:c r="K67" s="31" t="n">
        <x:v>0</x:v>
      </x:c>
      <x:c r="L67" s="31" t="n">
        <x:v>10.5065593704</x:v>
      </x:c>
      <x:c r="M67" s="31" t="n">
        <x:v>2.62041031</x:v>
      </x:c>
      <x:c r="N67" s="24" t="str">
        <x:v>hyporthodus mystacinus</x:v>
      </x:c>
      <x:c r="O67" s="32" t="n">
        <x:v>4.58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Hyporthodus mystacinus</x:v>
      </x:c>
      <x:c r="T67" s="32" t="n">
        <x:f>IF(O67="","",(1/'Metadata'!$B$5)^(O67-1))</x:f>
        <x:v>3801.8939632056126</x:v>
      </x:c>
      <x:c r="U67" s="31" t="n">
        <x:f>IF(T67="","",I67*T67)</x:f>
        <x:v>49907.34678309587</x:v>
      </x:c>
    </x:row>
    <x:row r="68" ht="18" customHeight="1">
      <x:c r="A68" s="24" t="str">
        <x:v>EEZ_921</x:v>
      </x:c>
      <x:c r="B68" s="24" t="str">
        <x:v>Honduras (Caribbean)</x:v>
      </x:c>
      <x:c r="C68" s="24" t="str">
        <x:v>EEZ</x:v>
      </x:c>
      <x:c r="D68" s="30" t="n">
        <x:v>2019</x:v>
      </x:c>
      <x:c r="E68" s="24" t="str">
        <x:v>Epinephelus striatus</x:v>
      </x:c>
      <x:c r="F68" s="24" t="str">
        <x:v>Nassau grouper</x:v>
      </x:c>
      <x:c r="G68" s="24" t="str">
        <x:v>Large reef assoc. fish (&gt;=90 cm)</x:v>
      </x:c>
      <x:c r="H68" s="24" t="str">
        <x:v>Perch-likes</x:v>
      </x:c>
      <x:c r="I68" s="31" t="n">
        <x:v>13.1269696804</x:v>
      </x:c>
      <x:c r="J68" s="31" t="n">
        <x:v>13.1269696804</x:v>
      </x:c>
      <x:c r="K68" s="31" t="n">
        <x:v>0</x:v>
      </x:c>
      <x:c r="L68" s="31" t="n">
        <x:v>10.5065593704</x:v>
      </x:c>
      <x:c r="M68" s="31" t="n">
        <x:v>2.62041031</x:v>
      </x:c>
      <x:c r="N68" s="24" t="str">
        <x:v>epinephelus striatus</x:v>
      </x:c>
      <x:c r="O68" s="32" t="n">
        <x:v>4.06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Epinephelus striatus</x:v>
      </x:c>
      <x:c r="T68" s="32" t="n">
        <x:f>IF(O68="","",(1/'Metadata'!$B$5)^(O68-1))</x:f>
        <x:v>1148.1536214968817</x:v>
      </x:c>
      <x:c r="U68" s="31" t="n">
        <x:f>IF(T68="","",I68*T68)</x:f>
        <x:v>15071.777777831023</x:v>
      </x:c>
    </x:row>
    <x:row r="69" ht="18" customHeight="1">
      <x:c r="A69" s="24" t="str">
        <x:v>EEZ_921</x:v>
      </x:c>
      <x:c r="B69" s="24" t="str">
        <x:v>Honduras (Caribbean)</x:v>
      </x:c>
      <x:c r="C69" s="24" t="str">
        <x:v>EEZ</x:v>
      </x:c>
      <x:c r="D69" s="30" t="n">
        <x:v>2019</x:v>
      </x:c>
      <x:c r="E69" s="24" t="str">
        <x:v>Hyporthodus flavolimbatus</x:v>
      </x:c>
      <x:c r="F69" s="24" t="str">
        <x:v>Yellowedge grouper</x:v>
      </x:c>
      <x:c r="G69" s="24" t="str">
        <x:v>Large demersals (&gt;=90 cm)</x:v>
      </x:c>
      <x:c r="H69" s="24" t="str">
        <x:v>Perch-likes</x:v>
      </x:c>
      <x:c r="I69" s="31" t="n">
        <x:v>13.1269696804</x:v>
      </x:c>
      <x:c r="J69" s="31" t="n">
        <x:v>13.1269696804</x:v>
      </x:c>
      <x:c r="K69" s="31" t="n">
        <x:v>0</x:v>
      </x:c>
      <x:c r="L69" s="31" t="n">
        <x:v>10.5065593704</x:v>
      </x:c>
      <x:c r="M69" s="31" t="n">
        <x:v>2.62041031</x:v>
      </x:c>
      <x:c r="N69" s="24" t="str">
        <x:v>hyporthodus flavolimbatus</x:v>
      </x:c>
      <x:c r="O69" s="32" t="n">
        <x:v>3.82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Hyporthodus flavolimbatus</x:v>
      </x:c>
      <x:c r="T69" s="32" t="n">
        <x:f>IF(O69="","",(1/'Metadata'!$B$5)^(O69-1))</x:f>
        <x:v>660.6934480075957</x:v>
      </x:c>
      <x:c r="U69" s="31" t="n">
        <x:f>IF(T69="","",I69*T69)</x:f>
        <x:v>8672.902860034643</x:v>
      </x:c>
    </x:row>
    <x:row r="70" ht="18" customHeight="1">
      <x:c r="A70" s="24" t="str">
        <x:v>EEZ_921</x:v>
      </x:c>
      <x:c r="B70" s="24" t="str">
        <x:v>Honduras (Caribbean)</x:v>
      </x:c>
      <x:c r="C70" s="24" t="str">
        <x:v>EEZ</x:v>
      </x:c>
      <x:c r="D70" s="30" t="n">
        <x:v>2019</x:v>
      </x:c>
      <x:c r="E70" s="24" t="str">
        <x:v>Epinephelus adscensionis</x:v>
      </x:c>
      <x:c r="F70" s="24" t="str">
        <x:v>Rock hind</x:v>
      </x:c>
      <x:c r="G70" s="24" t="str">
        <x:v>Medium reef assoc. fish (30 - 89 cm)</x:v>
      </x:c>
      <x:c r="H70" s="24" t="str">
        <x:v>Perch-likes</x:v>
      </x:c>
      <x:c r="I70" s="31" t="n">
        <x:v>13.100765577299999</x:v>
      </x:c>
      <x:c r="J70" s="31" t="n">
        <x:v>13.100765577299999</x:v>
      </x:c>
      <x:c r="K70" s="31" t="n">
        <x:v>0</x:v>
      </x:c>
      <x:c r="L70" s="31" t="n">
        <x:v>10.5065593704</x:v>
      </x:c>
      <x:c r="M70" s="31" t="n">
        <x:v>2.5942062069</x:v>
      </x:c>
      <x:c r="N70" s="24" t="str">
        <x:v>epinephelus adscensionis</x:v>
      </x:c>
      <x:c r="O70" s="32" t="n">
        <x:v>3.53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Epinephelus adscensionis</x:v>
      </x:c>
      <x:c r="T70" s="32" t="n">
        <x:f>IF(O70="","",(1/'Metadata'!$B$5)^(O70-1))</x:f>
        <x:v>338.84415613920237</x:v>
      </x:c>
      <x:c r="U70" s="31" t="n">
        <x:f>IF(T70="","",I70*T70)</x:f>
        <x:v>4439.117856817728</x:v>
      </x:c>
    </x:row>
    <x:row r="71" ht="18" customHeight="1">
      <x:c r="A71" s="24" t="str">
        <x:v>EEZ_921</x:v>
      </x:c>
      <x:c r="B71" s="24" t="str">
        <x:v>Honduras (Caribbean)</x:v>
      </x:c>
      <x:c r="C71" s="24" t="str">
        <x:v>EEZ</x:v>
      </x:c>
      <x:c r="D71" s="30" t="n">
        <x:v>2019</x:v>
      </x:c>
      <x:c r="E71" s="24" t="str">
        <x:v>Cephalopholis fulva</x:v>
      </x:c>
      <x:c r="F71" s="24" t="str">
        <x:v>Coney</x:v>
      </x:c>
      <x:c r="G71" s="24" t="str">
        <x:v>Medium reef assoc. fish (30 - 89 cm)</x:v>
      </x:c>
      <x:c r="H71" s="24" t="str">
        <x:v>Perch-likes</x:v>
      </x:c>
      <x:c r="I71" s="31" t="n">
        <x:v>13.100765577299999</x:v>
      </x:c>
      <x:c r="J71" s="31" t="n">
        <x:v>13.100765577299999</x:v>
      </x:c>
      <x:c r="K71" s="31" t="n">
        <x:v>0</x:v>
      </x:c>
      <x:c r="L71" s="31" t="n">
        <x:v>10.5065593704</x:v>
      </x:c>
      <x:c r="M71" s="31" t="n">
        <x:v>2.5942062069</x:v>
      </x:c>
      <x:c r="N71" s="24" t="str">
        <x:v>cephalopholis fulva</x:v>
      </x:c>
      <x:c r="O71" s="32" t="n">
        <x:v>4.05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Cephalopholis fulva</x:v>
      </x:c>
      <x:c r="T71" s="32" t="n">
        <x:f>IF(O71="","",(1/'Metadata'!$B$5)^(O71-1))</x:f>
        <x:v>1122.018454301963</x:v>
      </x:c>
      <x:c r="U71" s="31" t="n">
        <x:f>IF(T71="","",I71*T71)</x:f>
        <x:v>14699.300743214508</x:v>
      </x:c>
    </x:row>
    <x:row r="72" ht="18" customHeight="1">
      <x:c r="A72" s="24" t="str">
        <x:v>EEZ_921</x:v>
      </x:c>
      <x:c r="B72" s="24" t="str">
        <x:v>Honduras (Caribbean)</x:v>
      </x:c>
      <x:c r="C72" s="24" t="str">
        <x:v>EEZ</x:v>
      </x:c>
      <x:c r="D72" s="30" t="n">
        <x:v>2019</x:v>
      </x:c>
      <x:c r="E72" s="24" t="str">
        <x:v>Epinephelus guttatus</x:v>
      </x:c>
      <x:c r="F72" s="24" t="str">
        <x:v>Red hind</x:v>
      </x:c>
      <x:c r="G72" s="24" t="str">
        <x:v>Medium reef assoc. fish (30 - 89 cm)</x:v>
      </x:c>
      <x:c r="H72" s="24" t="str">
        <x:v>Perch-likes</x:v>
      </x:c>
      <x:c r="I72" s="31" t="n">
        <x:v>13.100765577299999</x:v>
      </x:c>
      <x:c r="J72" s="31" t="n">
        <x:v>13.100765577299999</x:v>
      </x:c>
      <x:c r="K72" s="31" t="n">
        <x:v>0</x:v>
      </x:c>
      <x:c r="L72" s="31" t="n">
        <x:v>10.5065593704</x:v>
      </x:c>
      <x:c r="M72" s="31" t="n">
        <x:v>2.5942062069</x:v>
      </x:c>
      <x:c r="N72" s="24" t="str">
        <x:v>epinephelus guttatus</x:v>
      </x:c>
      <x:c r="O72" s="32" t="n">
        <x:v>3.84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Epinephelus guttatus</x:v>
      </x:c>
      <x:c r="T72" s="32" t="n">
        <x:f>IF(O72="","",(1/'Metadata'!$B$5)^(O72-1))</x:f>
        <x:v>691.8309709189363</x:v>
      </x:c>
      <x:c r="U72" s="31" t="n">
        <x:f>IF(T72="","",I72*T72)</x:f>
        <x:v>9063.515369124836</x:v>
      </x:c>
    </x:row>
    <x:row r="73" ht="18" customHeight="1">
      <x:c r="A73" s="24" t="str">
        <x:v>EEZ_921</x:v>
      </x:c>
      <x:c r="B73" s="24" t="str">
        <x:v>Honduras (Caribbean)</x:v>
      </x:c>
      <x:c r="C73" s="24" t="str">
        <x:v>EEZ</x:v>
      </x:c>
      <x:c r="D73" s="30" t="n">
        <x:v>2019</x:v>
      </x:c>
      <x:c r="E73" s="24" t="str">
        <x:v>Epinephelus morio</x:v>
      </x:c>
      <x:c r="F73" s="24" t="str">
        <x:v>Red grouper</x:v>
      </x:c>
      <x:c r="G73" s="24" t="str">
        <x:v>Large reef assoc. fish (&gt;=90 cm)</x:v>
      </x:c>
      <x:c r="H73" s="24" t="str">
        <x:v>Perch-likes</x:v>
      </x:c>
      <x:c r="I73" s="31" t="n">
        <x:v>13.100765577299999</x:v>
      </x:c>
      <x:c r="J73" s="31" t="n">
        <x:v>13.100765577299999</x:v>
      </x:c>
      <x:c r="K73" s="31" t="n">
        <x:v>0</x:v>
      </x:c>
      <x:c r="L73" s="31" t="n">
        <x:v>10.5065593704</x:v>
      </x:c>
      <x:c r="M73" s="31" t="n">
        <x:v>2.5942062069</x:v>
      </x:c>
      <x:c r="N73" s="24" t="str">
        <x:v>epinephelus morio</x:v>
      </x:c>
      <x:c r="O73" s="32" t="n">
        <x:v>3.5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Epinephelus morio</x:v>
      </x:c>
      <x:c r="T73" s="32" t="n">
        <x:f>IF(O73="","",(1/'Metadata'!$B$5)^(O73-1))</x:f>
        <x:v>316.22776601683796</x:v>
      </x:c>
      <x:c r="U73" s="31" t="n">
        <x:f>IF(T73="","",I73*T73)</x:f>
        <x:v>4142.825831619869</x:v>
      </x:c>
    </x:row>
    <x:row r="74" ht="18" customHeight="1">
      <x:c r="A74" s="24" t="str">
        <x:v>EEZ_921</x:v>
      </x:c>
      <x:c r="B74" s="24" t="str">
        <x:v>Honduras (Caribbean)</x:v>
      </x:c>
      <x:c r="C74" s="24" t="str">
        <x:v>EEZ</x:v>
      </x:c>
      <x:c r="D74" s="30" t="n">
        <x:v>2019</x:v>
      </x:c>
      <x:c r="E74" s="24" t="str">
        <x:v>Mycteroperca tigris</x:v>
      </x:c>
      <x:c r="F74" s="24" t="str">
        <x:v>Tiger grouper</x:v>
      </x:c>
      <x:c r="G74" s="24" t="str">
        <x:v>Medium reef assoc. fish (30 - 89 cm)</x:v>
      </x:c>
      <x:c r="H74" s="24" t="str">
        <x:v>Perch-likes</x:v>
      </x:c>
      <x:c r="I74" s="31" t="n">
        <x:v>11.841969775899999</x:v>
      </x:c>
      <x:c r="J74" s="31" t="n">
        <x:v>11.841969775899999</x:v>
      </x:c>
      <x:c r="K74" s="31" t="n">
        <x:v>0</x:v>
      </x:c>
      <x:c r="L74" s="31" t="n">
        <x:v>10.5065593704</x:v>
      </x:c>
      <x:c r="M74" s="31" t="n">
        <x:v>1.3354104055</x:v>
      </x:c>
      <x:c r="N74" s="24" t="str">
        <x:v>mycteroperca tigris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Mycteroperca tigris</x:v>
      </x:c>
      <x:c r="T74" s="32" t="n">
        <x:f>IF(O74="","",(1/'Metadata'!$B$5)^(O74-1))</x:f>
        <x:v>3162.2776601683795</x:v>
      </x:c>
      <x:c r="U74" s="31" t="n">
        <x:f>IF(T74="","",I74*T74)</x:f>
        <x:v>37447.59647471772</x:v>
      </x:c>
    </x:row>
    <x:row r="75" ht="18" customHeight="1">
      <x:c r="A75" s="24" t="str">
        <x:v>EEZ_921</x:v>
      </x:c>
      <x:c r="B75" s="24" t="str">
        <x:v>Honduras (Caribbean)</x:v>
      </x:c>
      <x:c r="C75" s="24" t="str">
        <x:v>EEZ</x:v>
      </x:c>
      <x:c r="D75" s="30" t="n">
        <x:v>2019</x:v>
      </x:c>
      <x:c r="E75" s="24" t="str">
        <x:v>Mycteroperca venenosa</x:v>
      </x:c>
      <x:c r="F75" s="24" t="str">
        <x:v>Yellowfin grouper</x:v>
      </x:c>
      <x:c r="G75" s="24" t="str">
        <x:v>Medium reef assoc. fish (30 - 89 cm)</x:v>
      </x:c>
      <x:c r="H75" s="24" t="str">
        <x:v>Perch-likes</x:v>
      </x:c>
      <x:c r="I75" s="31" t="n">
        <x:v>11.841969775899999</x:v>
      </x:c>
      <x:c r="J75" s="31" t="n">
        <x:v>11.841969775899999</x:v>
      </x:c>
      <x:c r="K75" s="31" t="n">
        <x:v>0</x:v>
      </x:c>
      <x:c r="L75" s="31" t="n">
        <x:v>10.5065593704</x:v>
      </x:c>
      <x:c r="M75" s="31" t="n">
        <x:v>1.3354104055</x:v>
      </x:c>
      <x:c r="N75" s="24" t="str">
        <x:v>mycteroperca venenosa</x:v>
      </x:c>
      <x:c r="O75" s="32" t="n">
        <x:v>4.48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Mycteroperca venenosa</x:v>
      </x:c>
      <x:c r="T75" s="32" t="n">
        <x:f>IF(O75="","",(1/'Metadata'!$B$5)^(O75-1))</x:f>
        <x:v>3019.951720402019</x:v>
      </x:c>
      <x:c r="U75" s="31" t="n">
        <x:f>IF(T75="","",I75*T75)</x:f>
        <x:v>35762.17699767791</x:v>
      </x:c>
    </x:row>
    <x:row r="76" ht="18" customHeight="1">
      <x:c r="A76" s="24" t="str">
        <x:v>EEZ_921</x:v>
      </x:c>
      <x:c r="B76" s="24" t="str">
        <x:v>Honduras (Caribbean)</x:v>
      </x:c>
      <x:c r="C76" s="24" t="str">
        <x:v>EEZ</x:v>
      </x:c>
      <x:c r="D76" s="30" t="n">
        <x:v>2019</x:v>
      </x:c>
      <x:c r="E76" s="24" t="str">
        <x:v>Mycteroperca interstitialis</x:v>
      </x:c>
      <x:c r="F76" s="24" t="str">
        <x:v>Yellowmouth grouper</x:v>
      </x:c>
      <x:c r="G76" s="24" t="str">
        <x:v>Medium reef assoc. fish (30 - 89 cm)</x:v>
      </x:c>
      <x:c r="H76" s="24" t="str">
        <x:v>Perch-likes</x:v>
      </x:c>
      <x:c r="I76" s="31" t="n">
        <x:v>11.841969775899999</x:v>
      </x:c>
      <x:c r="J76" s="31" t="n">
        <x:v>11.841969775899999</x:v>
      </x:c>
      <x:c r="K76" s="31" t="n">
        <x:v>0</x:v>
      </x:c>
      <x:c r="L76" s="31" t="n">
        <x:v>10.5065593704</x:v>
      </x:c>
      <x:c r="M76" s="31" t="n">
        <x:v>1.3354104055</x:v>
      </x:c>
      <x:c r="N76" s="24" t="str">
        <x:v>mycteroperca interstitialis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Mycteroperca interstitialis</x:v>
      </x:c>
      <x:c r="T76" s="32" t="n">
        <x:f>IF(O76="","",(1/'Metadata'!$B$5)^(O76-1))</x:f>
        <x:v>3162.2776601683795</x:v>
      </x:c>
      <x:c r="U76" s="31" t="n">
        <x:f>IF(T76="","",I76*T76)</x:f>
        <x:v>37447.59647471772</x:v>
      </x:c>
    </x:row>
    <x:row r="77" ht="18" customHeight="1">
      <x:c r="A77" s="24" t="str">
        <x:v>EEZ_921</x:v>
      </x:c>
      <x:c r="B77" s="24" t="str">
        <x:v>Honduras (Caribbean)</x:v>
      </x:c>
      <x:c r="C77" s="24" t="str">
        <x:v>EEZ</x:v>
      </x:c>
      <x:c r="D77" s="30" t="n">
        <x:v>2019</x:v>
      </x:c>
      <x:c r="E77" s="24" t="str">
        <x:v>Centropomus undecimalis</x:v>
      </x:c>
      <x:c r="F77" s="24" t="str">
        <x:v>Common snook</x:v>
      </x:c>
      <x:c r="G77" s="24" t="str">
        <x:v>Large benthopelagics (&gt;=90 cm)</x:v>
      </x:c>
      <x:c r="H77" s="24" t="str">
        <x:v>Perch-likes</x:v>
      </x:c>
      <x:c r="I77" s="31" t="n">
        <x:v>10.3480357258</x:v>
      </x:c>
      <x:c r="J77" s="31" t="n">
        <x:v>10.3480357258</x:v>
      </x:c>
      <x:c r="K77" s="31" t="n">
        <x:v>0</x:v>
      </x:c>
      <x:c r="L77" s="31" t="n">
        <x:v>6.1451600872</x:v>
      </x:c>
      <x:c r="M77" s="31" t="n">
        <x:v>4.2028756386</x:v>
      </x:c>
      <x:c r="N77" s="24" t="str">
        <x:v>centropomus undecimalis</x:v>
      </x:c>
      <x:c r="O77" s="32" t="n">
        <x:v>4.17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Centropomus undecimalis</x:v>
      </x:c>
      <x:c r="T77" s="32" t="n">
        <x:f>IF(O77="","",(1/'Metadata'!$B$5)^(O77-1))</x:f>
        <x:v>1479.1083881682073</x:v>
      </x:c>
      <x:c r="U77" s="31" t="n">
        <x:f>IF(T77="","",I77*T77)</x:f>
        <x:v>15305.866443095065</x:v>
      </x:c>
    </x:row>
    <x:row r="78" ht="18" customHeight="1">
      <x:c r="A78" s="24" t="str">
        <x:v>EEZ_921</x:v>
      </x:c>
      <x:c r="B78" s="24" t="str">
        <x:v>Honduras (Caribbean)</x:v>
      </x:c>
      <x:c r="C78" s="24" t="str">
        <x:v>EEZ</x:v>
      </x:c>
      <x:c r="D78" s="30" t="n">
        <x:v>2019</x:v>
      </x:c>
      <x:c r="E78" s="24" t="str">
        <x:v>Euthynnus alletteratus</x:v>
      </x:c>
      <x:c r="F78" s="24" t="str">
        <x:v>Little tunny </x:v>
      </x:c>
      <x:c r="G78" s="24" t="str">
        <x:v>Large pelagics (&gt;=90 cm)</x:v>
      </x:c>
      <x:c r="H78" s="24" t="str">
        <x:v>Tuna &amp; billfishes</x:v>
      </x:c>
      <x:c r="I78" s="31" t="n">
        <x:v>8.2457381234</x:v>
      </x:c>
      <x:c r="J78" s="31" t="n">
        <x:v>8.2457381234</x:v>
      </x:c>
      <x:c r="K78" s="31" t="n">
        <x:v>0</x:v>
      </x:c>
      <x:c r="L78" s="31" t="n">
        <x:v>4.1389793087</x:v>
      </x:c>
      <x:c r="M78" s="31" t="n">
        <x:v>4.1067588147</x:v>
      </x:c>
      <x:c r="N78" s="24" t="str">
        <x:v>euthynnus alletteratus</x:v>
      </x:c>
      <x:c r="O78" s="32" t="n">
        <x:v>4.49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Euthynnus alletteratus</x:v>
      </x:c>
      <x:c r="T78" s="32" t="n">
        <x:f>IF(O78="","",(1/'Metadata'!$B$5)^(O78-1))</x:f>
        <x:v>3090.295432513592</x:v>
      </x:c>
      <x:c r="U78" s="31" t="n">
        <x:f>IF(T78="","",I78*T78)</x:f>
        <x:v>25481.76686044622</x:v>
      </x:c>
    </x:row>
    <x:row r="79" ht="18" customHeight="1">
      <x:c r="A79" s="24" t="str">
        <x:v>EEZ_921</x:v>
      </x:c>
      <x:c r="B79" s="24" t="str">
        <x:v>Honduras (Caribbean)</x:v>
      </x:c>
      <x:c r="C79" s="24" t="str">
        <x:v>EEZ</x:v>
      </x:c>
      <x:c r="D79" s="30" t="n">
        <x:v>2019</x:v>
      </x:c>
      <x:c r="E79" s="24" t="str">
        <x:v>Megalops atlanticus</x:v>
      </x:c>
      <x:c r="F79" s="24" t="str">
        <x:v>Tarpon</x:v>
      </x:c>
      <x:c r="G79" s="24" t="str">
        <x:v>Large pelagics (&gt;=90 cm)</x:v>
      </x:c>
      <x:c r="H79" s="24" t="str">
        <x:v>Other fishes &amp; inverts</x:v>
      </x:c>
      <x:c r="I79" s="31" t="n">
        <x:v>8.0457141105</x:v>
      </x:c>
      <x:c r="J79" s="31" t="n">
        <x:v>8.0457141105</x:v>
      </x:c>
      <x:c r="K79" s="31" t="n">
        <x:v>0</x:v>
      </x:c>
      <x:c r="L79" s="31" t="n">
        <x:v>3.948099806</x:v>
      </x:c>
      <x:c r="M79" s="31" t="n">
        <x:v>4.0976143044999995</x:v>
      </x:c>
      <x:c r="N79" s="24" t="str">
        <x:v>megalops atlanticus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Megalops atlanticus</x:v>
      </x:c>
      <x:c r="T79" s="32" t="n">
        <x:f>IF(O79="","",(1/'Metadata'!$B$5)^(O79-1))</x:f>
        <x:v>3162.2776601683795</x:v>
      </x:c>
      <x:c r="U79" s="31" t="n">
        <x:f>IF(T79="","",I79*T79)</x:f>
        <x:v>25442.781991735657</x:v>
      </x:c>
    </x:row>
    <x:row r="80" ht="18" customHeight="1">
      <x:c r="A80" s="24" t="str">
        <x:v>EEZ_921</x:v>
      </x:c>
      <x:c r="B80" s="24" t="str">
        <x:v>Honduras (Caribbean)</x:v>
      </x:c>
      <x:c r="C80" s="24" t="str">
        <x:v>EEZ</x:v>
      </x:c>
      <x:c r="D80" s="30" t="n">
        <x:v>2019</x:v>
      </x:c>
      <x:c r="E80" s="24" t="str">
        <x:v>Istiophorus albicans</x:v>
      </x:c>
      <x:c r="F80" s="24" t="str">
        <x:v>Atlantic sailfish</x:v>
      </x:c>
      <x:c r="G80" s="24" t="str">
        <x:v>Large pelagics (&gt;=90 cm)</x:v>
      </x:c>
      <x:c r="H80" s="24" t="str">
        <x:v>Tuna &amp; billfishes</x:v>
      </x:c>
      <x:c r="I80" s="31" t="n">
        <x:v>6.8353300808</x:v>
      </x:c>
      <x:c r="J80" s="31" t="n">
        <x:v>6.8353300808</x:v>
      </x:c>
      <x:c r="K80" s="31" t="n">
        <x:v>0</x:v>
      </x:c>
      <x:c r="L80" s="31" t="n">
        <x:v>2.7930542896</x:v>
      </x:c>
      <x:c r="M80" s="31" t="n">
        <x:v>4.0422757912</x:v>
      </x:c>
      <x:c r="N80" s="24" t="str">
        <x:v>istiophorus albicans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Istiophorus albicans</x:v>
      </x:c>
      <x:c r="T80" s="32" t="n">
        <x:f>IF(O80="","",(1/'Metadata'!$B$5)^(O80-1))</x:f>
        <x:v>3162.2776601683795</x:v>
      </x:c>
      <x:c r="U80" s="31" t="n">
        <x:f>IF(T80="","",I80*T80)</x:f>
        <x:v>21615.211614390766</x:v>
      </x:c>
    </x:row>
    <x:row r="81" ht="18" customHeight="1">
      <x:c r="A81" s="24" t="str">
        <x:v>EEZ_921</x:v>
      </x:c>
      <x:c r="B81" s="24" t="str">
        <x:v>Honduras (Caribbean)</x:v>
      </x:c>
      <x:c r="C81" s="24" t="str">
        <x:v>EEZ</x:v>
      </x:c>
      <x:c r="D81" s="30" t="n">
        <x:v>2019</x:v>
      </x:c>
      <x:c r="E81" s="24" t="str">
        <x:v>Haemulidae</x:v>
      </x:c>
      <x:c r="F81" s="24" t="str">
        <x:v>Grunts, sweetlips, bonnetmouths</x:v>
      </x:c>
      <x:c r="G81" s="24" t="str">
        <x:v>Medium demersals (30 - 89 cm)</x:v>
      </x:c>
      <x:c r="H81" s="24" t="str">
        <x:v>Perch-likes</x:v>
      </x:c>
      <x:c r="I81" s="31" t="n">
        <x:v>6.4803108731</x:v>
      </x:c>
      <x:c r="J81" s="31" t="n">
        <x:v>6.4803108731</x:v>
      </x:c>
      <x:c r="K81" s="31" t="n">
        <x:v>0</x:v>
      </x:c>
      <x:c r="L81" s="31" t="n">
        <x:v>2.4542665349000004</x:v>
      </x:c>
      <x:c r="M81" s="31" t="n">
        <x:v>4.0260443382</x:v>
      </x:c>
      <x:c r="N81" s="24" t="str">
        <x:v>haemulidae</x:v>
      </x:c>
      <x:c r="O81" s="32" t="n">
        <x:v>3.36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Haemulidae</x:v>
      </x:c>
      <x:c r="T81" s="32" t="n">
        <x:f>IF(O81="","",(1/'Metadata'!$B$5)^(O81-1))</x:f>
        <x:v>229.08676527677724</x:v>
      </x:c>
      <x:c r="U81" s="31" t="n">
        <x:f>IF(T81="","",I81*T81)</x:f>
        <x:v>1484.553455906407</x:v>
      </x:c>
    </x:row>
    <x:row r="82" ht="18" customHeight="1">
      <x:c r="A82" s="24" t="str">
        <x:v>EEZ_921</x:v>
      </x:c>
      <x:c r="B82" s="24" t="str">
        <x:v>Honduras (Caribbean)</x:v>
      </x:c>
      <x:c r="C82" s="24" t="str">
        <x:v>EEZ</x:v>
      </x:c>
      <x:c r="D82" s="30" t="n">
        <x:v>2019</x:v>
      </x:c>
      <x:c r="E82" s="24" t="str">
        <x:v>Haemulopsis corvinaeformis</x:v>
      </x:c>
      <x:c r="F82" s="24" t="str">
        <x:v>Roughneck grunt</x:v>
      </x:c>
      <x:c r="G82" s="24" t="str">
        <x:v>Small demersals (&lt;30 cm)</x:v>
      </x:c>
      <x:c r="H82" s="24" t="str">
        <x:v>Perch-likes</x:v>
      </x:c>
      <x:c r="I82" s="31" t="n">
        <x:v>5.1946689083</x:v>
      </x:c>
      <x:c r="J82" s="31" t="n">
        <x:v>5.1946689083</x:v>
      </x:c>
      <x:c r="K82" s="31" t="n">
        <x:v>0</x:v>
      </x:c>
      <x:c r="L82" s="31" t="n">
        <x:v>1.2274027675</x:v>
      </x:c>
      <x:c r="M82" s="31" t="n">
        <x:v>3.9672661407999996</x:v>
      </x:c>
      <x:c r="N82" s="24" t="str">
        <x:v>haemulopsis corvinaeformis</x:v>
      </x:c>
      <x:c r="O82" s="32" t="n">
        <x:v>3.59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Haemulopsis corvinaeformis</x:v>
      </x:c>
      <x:c r="T82" s="32" t="n">
        <x:f>IF(O82="","",(1/'Metadata'!$B$5)^(O82-1))</x:f>
        <x:v>389.04514499428046</x:v>
      </x:c>
      <x:c r="U82" s="31" t="n">
        <x:f>IF(T82="","",I82*T82)</x:f>
        <x:v>2020.960718626854</x:v>
      </x:c>
    </x:row>
    <x:row r="83" ht="18" customHeight="1">
      <x:c r="A83" s="24" t="str">
        <x:v>EEZ_921</x:v>
      </x:c>
      <x:c r="B83" s="24" t="str">
        <x:v>Honduras (Caribbean)</x:v>
      </x:c>
      <x:c r="C83" s="24" t="str">
        <x:v>EEZ</x:v>
      </x:c>
      <x:c r="D83" s="30" t="n">
        <x:v>2019</x:v>
      </x:c>
      <x:c r="E83" s="24" t="str">
        <x:v>Diapterus rhombeus</x:v>
      </x:c>
      <x:c r="F83" s="24" t="str">
        <x:v>Caitipa mojarra</x:v>
      </x:c>
      <x:c r="G83" s="24" t="str">
        <x:v>Medium demersals (30 - 89 cm)</x:v>
      </x:c>
      <x:c r="H83" s="24" t="str">
        <x:v>Perch-likes</x:v>
      </x:c>
      <x:c r="I83" s="31" t="n">
        <x:v>4.9265823579</x:v>
      </x:c>
      <x:c r="J83" s="31" t="n">
        <x:v>4.9265823579</x:v>
      </x:c>
      <x:c r="K83" s="31" t="n">
        <x:v>0</x:v>
      </x:c>
      <x:c r="L83" s="31" t="n">
        <x:v>0.9715737638</x:v>
      </x:c>
      <x:c r="M83" s="31" t="n">
        <x:v>3.9550085940999997</x:v>
      </x:c>
      <x:c r="N83" s="24" t="str">
        <x:v>diapterus rhombeus</x:v>
      </x:c>
      <x:c r="O83" s="32" t="n">
        <x:v>3.01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Diapterus rhombeus</x:v>
      </x:c>
      <x:c r="T83" s="32" t="n">
        <x:f>IF(O83="","",(1/'Metadata'!$B$5)^(O83-1))</x:f>
        <x:v>102.32929922807536</x:v>
      </x:c>
      <x:c r="U83" s="31" t="n">
        <x:f>IF(T83="","",I83*T83)</x:f>
        <x:v>504.13372027330615</x:v>
      </x:c>
    </x:row>
    <x:row r="84" ht="18" customHeight="1">
      <x:c r="A84" s="24" t="str">
        <x:v>EEZ_921</x:v>
      </x:c>
      <x:c r="B84" s="24" t="str">
        <x:v>Honduras (Caribbean)</x:v>
      </x:c>
      <x:c r="C84" s="24" t="str">
        <x:v>EEZ</x:v>
      </x:c>
      <x:c r="D84" s="30" t="n">
        <x:v>2019</x:v>
      </x:c>
      <x:c r="E84" s="24" t="str">
        <x:v>Rachycentron canadum</x:v>
      </x:c>
      <x:c r="F84" s="24" t="str">
        <x:v>Cobia</x:v>
      </x:c>
      <x:c r="G84" s="24" t="str">
        <x:v>Large pelagics (&gt;=90 cm)</x:v>
      </x:c>
      <x:c r="H84" s="24" t="str">
        <x:v>Perch-likes</x:v>
      </x:c>
      <x:c r="I84" s="31" t="n">
        <x:v>4.5617052807</x:v>
      </x:c>
      <x:c r="J84" s="31" t="n">
        <x:v>4.5617052807</x:v>
      </x:c>
      <x:c r="K84" s="31" t="n">
        <x:v>0</x:v>
      </x:c>
      <x:c r="L84" s="31" t="n">
        <x:v>0.6233780088</x:v>
      </x:c>
      <x:c r="M84" s="31" t="n">
        <x:v>3.9383272719</x:v>
      </x:c>
      <x:c r="N84" s="24" t="str">
        <x:v>rachycentron canadum</x:v>
      </x:c>
      <x:c r="O84" s="32" t="n">
        <x:v>3.96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Rachycentron canadum</x:v>
      </x:c>
      <x:c r="T84" s="32" t="n">
        <x:f>IF(O84="","",(1/'Metadata'!$B$5)^(O84-1))</x:f>
        <x:v>912.0108393559096</x:v>
      </x:c>
      <x:c r="U84" s="31" t="n">
        <x:f>IF(T84="","",I84*T84)</x:f>
        <x:v>4160.324661945492</x:v>
      </x:c>
    </x:row>
    <x:row r="85" ht="18" customHeight="1">
      <x:c r="A85" s="24" t="str">
        <x:v>EEZ_921</x:v>
      </x:c>
      <x:c r="B85" s="24" t="str">
        <x:v>Honduras (Caribbean)</x:v>
      </x:c>
      <x:c r="C85" s="24" t="str">
        <x:v>EEZ</x:v>
      </x:c>
      <x:c r="D85" s="30" t="n">
        <x:v>2019</x:v>
      </x:c>
      <x:c r="E85" s="24" t="str">
        <x:v>Albula vulpes</x:v>
      </x:c>
      <x:c r="F85" s="24" t="str">
        <x:v>Bonefish</x:v>
      </x:c>
      <x:c r="G85" s="24" t="str">
        <x:v>Medium reef assoc. fish (30 - 89 cm)</x:v>
      </x:c>
      <x:c r="H85" s="24" t="str">
        <x:v>Other fishes &amp; inverts</x:v>
      </x:c>
      <x:c r="I85" s="31" t="n">
        <x:v>4.3681388514999995</x:v>
      </x:c>
      <x:c r="J85" s="31" t="n">
        <x:v>4.3681388514999995</x:v>
      </x:c>
      <x:c r="K85" s="31" t="n">
        <x:v>0</x:v>
      </x:c>
      <x:c r="L85" s="31" t="n">
        <x:v>0.4386620062</x:v>
      </x:c>
      <x:c r="M85" s="31" t="n">
        <x:v>3.9294768453</x:v>
      </x:c>
      <x:c r="N85" s="24" t="str">
        <x:v>albula vulpes</x:v>
      </x:c>
      <x:c r="O85" s="32" t="n">
        <x:v>3.73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Albula vulpes</x:v>
      </x:c>
      <x:c r="T85" s="32" t="n">
        <x:f>IF(O85="","",(1/'Metadata'!$B$5)^(O85-1))</x:f>
        <x:v>537.0317963702527</x:v>
      </x:c>
      <x:c r="U85" s="31" t="n">
        <x:f>IF(T85="","",I85*T85)</x:f>
        <x:v>2345.829454215737</x:v>
      </x:c>
    </x:row>
    <x:row r="86" ht="18" customHeight="1">
      <x:c r="A86" s="24" t="str">
        <x:v>EEZ_921</x:v>
      </x:c>
      <x:c r="B86" s="24" t="str">
        <x:v>Honduras (Caribbean)</x:v>
      </x:c>
      <x:c r="C86" s="24" t="str">
        <x:v>EEZ</x:v>
      </x:c>
      <x:c r="D86" s="30" t="n">
        <x:v>2019</x:v>
      </x:c>
      <x:c r="E86" s="24" t="str">
        <x:v>Acanthurus bahianus</x:v>
      </x:c>
      <x:c r="F86" s="24" t="str">
        <x:v>Ocean surgeon</x:v>
      </x:c>
      <x:c r="G86" s="24" t="str">
        <x:v>Medium reef assoc. fish (30 - 89 cm)</x:v>
      </x:c>
      <x:c r="H86" s="24" t="str">
        <x:v>Perch-likes</x:v>
      </x:c>
      <x:c r="I86" s="31" t="n">
        <x:v>4.2814362451</x:v>
      </x:c>
      <x:c r="J86" s="31" t="n">
        <x:v>4.2814362451</x:v>
      </x:c>
      <x:c r="K86" s="31" t="n">
        <x:v>0</x:v>
      </x:c>
      <x:c r="L86" s="31" t="n">
        <x:v>0.3559237551</x:v>
      </x:c>
      <x:c r="M86" s="31" t="n">
        <x:v>3.92551249</x:v>
      </x:c>
      <x:c r="N86" s="24" t="str">
        <x:v>acanthurus bahianus</x:v>
      </x:c>
      <x:c r="O86" s="32" t="n">
        <x:v>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Acanthurus bahianus</x:v>
      </x:c>
      <x:c r="T86" s="32" t="n">
        <x:f>IF(O86="","",(1/'Metadata'!$B$5)^(O86-1))</x:f>
        <x:v>10</x:v>
      </x:c>
      <x:c r="U86" s="31" t="n">
        <x:f>IF(T86="","",I86*T86)</x:f>
        <x:v>42.814362451</x:v>
      </x:c>
    </x:row>
    <x:row r="87" ht="18" customHeight="1">
      <x:c r="A87" s="24" t="str">
        <x:v>EEZ_921</x:v>
      </x:c>
      <x:c r="B87" s="24" t="str">
        <x:v>Honduras (Caribbean)</x:v>
      </x:c>
      <x:c r="C87" s="24" t="str">
        <x:v>EEZ</x:v>
      </x:c>
      <x:c r="D87" s="30" t="n">
        <x:v>2019</x:v>
      </x:c>
      <x:c r="E87" s="24" t="str">
        <x:v>Haemulon sciurus</x:v>
      </x:c>
      <x:c r="F87" s="24" t="str">
        <x:v>Bluestriped grunt</x:v>
      </x:c>
      <x:c r="G87" s="24" t="str">
        <x:v>Medium reef assoc. fish (30 - 89 cm)</x:v>
      </x:c>
      <x:c r="H87" s="24" t="str">
        <x:v>Perch-likes</x:v>
      </x:c>
      <x:c r="I87" s="31" t="n">
        <x:v>4.1538543683</x:v>
      </x:c>
      <x:c r="J87" s="31" t="n">
        <x:v>4.1538543683</x:v>
      </x:c>
      <x:c r="K87" s="31" t="n">
        <x:v>0</x:v>
      </x:c>
      <x:c r="L87" s="31" t="n">
        <x:v>0.2341745033</x:v>
      </x:c>
      <x:c r="M87" s="31" t="n">
        <x:v>3.919679865</x:v>
      </x:c>
      <x:c r="N87" s="24" t="str">
        <x:v>haemulon sciurus</x:v>
      </x:c>
      <x:c r="O87" s="32" t="n">
        <x:v>3.48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Haemulon sciurus</x:v>
      </x:c>
      <x:c r="T87" s="32" t="n">
        <x:f>IF(O87="","",(1/'Metadata'!$B$5)^(O87-1))</x:f>
        <x:v>301.9951720402016</x:v>
      </x:c>
      <x:c r="U87" s="31" t="n">
        <x:f>IF(T87="","",I87*T87)</x:f>
        <x:v>1254.4439645847017</x:v>
      </x:c>
    </x:row>
    <x:row r="88" ht="18" customHeight="1">
      <x:c r="A88" s="24" t="str">
        <x:v>EEZ_921</x:v>
      </x:c>
      <x:c r="B88" s="24" t="str">
        <x:v>Honduras (Caribbean)</x:v>
      </x:c>
      <x:c r="C88" s="24" t="str">
        <x:v>EEZ</x:v>
      </x:c>
      <x:c r="D88" s="30" t="n">
        <x:v>2019</x:v>
      </x:c>
      <x:c r="E88" s="24" t="str">
        <x:v>Elagatis bipinnulata</x:v>
      </x:c>
      <x:c r="F88" s="24" t="str">
        <x:v>Rainbow runner</x:v>
      </x:c>
      <x:c r="G88" s="24" t="str">
        <x:v>Large pelagics (&gt;=90 cm)</x:v>
      </x:c>
      <x:c r="H88" s="24" t="str">
        <x:v>Perch-likes</x:v>
      </x:c>
      <x:c r="I88" s="31" t="n">
        <x:v>0.78125</x:v>
      </x:c>
      <x:c r="J88" s="31" t="n">
        <x:v>0.78125</x:v>
      </x:c>
      <x:c r="K88" s="31" t="n">
        <x:v>0</x:v>
      </x:c>
      <x:c r="L88" s="31" t="n">
        <x:v>0.78125</x:v>
      </x:c>
      <x:c r="M88" s="31" t="n">
        <x:v>0</x:v>
      </x:c>
      <x:c r="N88" s="24" t="str">
        <x:v>elagatis bipinnulata</x:v>
      </x:c>
      <x:c r="O88" s="32" t="n">
        <x:v>4.27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Elagatis bipinnulata</x:v>
      </x:c>
      <x:c r="T88" s="32" t="n">
        <x:f>IF(O88="","",(1/'Metadata'!$B$5)^(O88-1))</x:f>
        <x:v>1862.0871366628655</x:v>
      </x:c>
      <x:c r="U88" s="31" t="n">
        <x:f>IF(T88="","",I88*T88)</x:f>
        <x:v>1454.7555755178637</x:v>
      </x:c>
    </x:row>
    <x:row r="89" ht="18" customHeight="1">
      <x:c r="A89" s="24" t="str">
        <x:v>EEZ_921</x:v>
      </x:c>
      <x:c r="B89" s="24" t="str">
        <x:v>Honduras (Caribbean)</x:v>
      </x:c>
      <x:c r="C89" s="24" t="str">
        <x:v>EEZ</x:v>
      </x:c>
      <x:c r="D89" s="30" t="n">
        <x:v>2019</x:v>
      </x:c>
      <x:c r="E89" s="24" t="str">
        <x:v>Neoniphon coruscum</x:v>
      </x:c>
      <x:c r="F89" s="24" t="str">
        <x:v>Reef squirrelfish</x:v>
      </x:c>
      <x:c r="G89" s="24" t="str">
        <x:v>Small reef assoc. fish (&lt;30 cm)</x:v>
      </x:c>
      <x:c r="H89" s="24" t="str">
        <x:v>Other fishes &amp; inverts</x:v>
      </x:c>
      <x:c r="I89" s="31" t="n">
        <x:v>0.36608143849999997</x:v>
      </x:c>
      <x:c r="J89" s="31" t="n">
        <x:v>0.36608143849999997</x:v>
      </x:c>
      <x:c r="K89" s="31" t="n">
        <x:v>0</x:v>
      </x:c>
      <x:c r="L89" s="31" t="n">
        <x:v>0.34934375489999997</x:v>
      </x:c>
      <x:c r="M89" s="31" t="n">
        <x:v>0.016737683599999997</x:v>
      </x:c>
      <x:c r="N89" s="24" t="str">
        <x:v>neoniphon coruscum</x:v>
      </x:c>
      <x:c r="O89" s="32" t="n">
        <x:v>3.57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Neoniphon coruscum</x:v>
      </x:c>
      <x:c r="T89" s="32" t="n">
        <x:f>IF(O89="","",(1/'Metadata'!$B$5)^(O89-1))</x:f>
        <x:v>371.5352290971724</x:v>
      </x:c>
      <x:c r="U89" s="31" t="n">
        <x:f>IF(T89="","",I89*T89)</x:f>
        <x:v>136.01215112131993</x:v>
      </x:c>
    </x:row>
  </x:sheetData>
  <x:conditionalFormatting sqref="R2:R8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304637aee6043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7</x:v>
      </x:c>
      <x:c r="C2" s="33" t="n">
        <x:v>7</x:v>
      </x:c>
      <x:c r="D2" s="31" t="n">
        <x:v>14094.735128571798</x:v>
      </x:c>
      <x:c r="E2" s="31" t="n">
        <x:v>14094.735128571798</x:v>
      </x:c>
      <x:c r="F2" s="32" t="n">
        <x:v>0</x:v>
      </x:c>
      <x:c r="G2" s="34" t="n">
        <x:v>1</x:v>
      </x:c>
      <x:c r="H2" s="32" t="n">
        <x:f>IF(E2=0,"",I2/E2)</x:f>
        <x:v>208.2102765244279</x:v>
      </x:c>
      <x:c r="I2" s="31" t="n">
        <x:f>IF(C2=0,"",SUMIF('Species'!$H$2:$H$89,A2,'Species'!$U$2:$U$89))</x:f>
        <x:v>2934668.698658502</x:v>
      </x:c>
      <x:c r="J2" s="32" t="n">
        <x:v>3.2419044041213905</x:v>
      </x:c>
      <x:c r="K2" s="32" t="n">
        <x:f>IF(J2="","",(1/'Metadata'!$B$5)^(J2-1))</x:f>
        <x:v>174.54379089505383</x:v>
      </x:c>
      <x:c r="L2" s="31" t="n">
        <x:f>IF(E2=0,"",E2*K2)</x:f>
        <x:v>2460148.5010026055</x:v>
      </x:c>
      <x:c r="M2" s="31" t="n">
        <x:f>IF(E2=0,"",I2-L2)</x:f>
        <x:v>474520.19765589666</x:v>
      </x:c>
      <x:c r="N2" s="32" t="n">
        <x:f>IF(L2=0,"",I2/L2)</x:f>
        <x:v>1.192882745680804</x:v>
      </x:c>
      <x:c r="O2" s="34" t="n">
        <x:f>IF(L2=0,"",M2/L2)</x:f>
        <x:v>0.19288274568080396</x:v>
      </x:c>
    </x:row>
    <x:row r="3" ht="18" customHeight="1">
      <x:c r="A3" s="24" t="str">
        <x:v>Molluscs</x:v>
      </x:c>
      <x:c r="B3" s="33" t="n">
        <x:v>2</x:v>
      </x:c>
      <x:c r="C3" s="33" t="n">
        <x:v>2</x:v>
      </x:c>
      <x:c r="D3" s="31" t="n">
        <x:v>631.3609827934</x:v>
      </x:c>
      <x:c r="E3" s="31" t="n">
        <x:v>631.3609827934</x:v>
      </x:c>
      <x:c r="F3" s="32" t="n">
        <x:v>0</x:v>
      </x:c>
      <x:c r="G3" s="34" t="n">
        <x:v>1</x:v>
      </x:c>
      <x:c r="H3" s="32" t="n">
        <x:f>IF(E3=0,"",I3/E3)</x:f>
        <x:v>14.805639274042043</x:v>
      </x:c>
      <x:c r="I3" s="31" t="n">
        <x:f>IF(C3=0,"",SUMIF('Species'!$H$2:$H$89,A3,'Species'!$U$2:$U$89))</x:f>
        <x:v>9347.702962943746</x:v>
      </x:c>
      <x:c r="J3" s="32" t="n">
        <x:v>2.1663709571837133</x:v>
      </x:c>
      <x:c r="K3" s="32" t="n">
        <x:f>IF(J3="","",(1/'Metadata'!$B$5)^(J3-1))</x:f>
        <x:v>14.668001887820639</x:v>
      </x:c>
      <x:c r="L3" s="31" t="n">
        <x:f>IF(E3=0,"",E3*K3)</x:f>
        <x:v>9260.804087509885</x:v>
      </x:c>
      <x:c r="M3" s="31" t="n">
        <x:f>IF(E3=0,"",I3-L3)</x:f>
        <x:v>86.89887543386067</x:v>
      </x:c>
      <x:c r="N3" s="32" t="n">
        <x:f>IF(L3=0,"",I3/L3)</x:f>
        <x:v>1.0093835129879338</x:v>
      </x:c>
      <x:c r="O3" s="34" t="n">
        <x:f>IF(L3=0,"",M3/L3)</x:f>
        <x:v>0.009383512987933934</x:v>
      </x:c>
    </x:row>
    <x:row r="4" ht="18" customHeight="1">
      <x:c r="A4" s="24" t="str">
        <x:v>Other fishes &amp; inverts</x:v>
      </x:c>
      <x:c r="B4" s="33" t="n">
        <x:v>10</x:v>
      </x:c>
      <x:c r="C4" s="33" t="n">
        <x:v>10</x:v>
      </x:c>
      <x:c r="D4" s="31" t="n">
        <x:v>3648.377948866799</x:v>
      </x:c>
      <x:c r="E4" s="31" t="n">
        <x:v>3648.377948866799</x:v>
      </x:c>
      <x:c r="F4" s="32" t="n">
        <x:v>0</x:v>
      </x:c>
      <x:c r="G4" s="34" t="n">
        <x:v>1</x:v>
      </x:c>
      <x:c r="H4" s="32" t="n">
        <x:f>IF(E4=0,"",I4/E4)</x:f>
        <x:v>279.8191104468361</x:v>
      </x:c>
      <x:c r="I4" s="31" t="n">
        <x:f>IF(C4=0,"",SUMIF('Species'!$H$2:$H$89,A4,'Species'!$U$2:$U$89))</x:f>
        <x:v>1020885.8722257602</x:v>
      </x:c>
      <x:c r="J4" s="32" t="n">
        <x:v>3.375184415996645</x:v>
      </x:c>
      <x:c r="K4" s="32" t="n">
        <x:f>IF(J4="","",(1/'Metadata'!$B$5)^(J4-1))</x:f>
        <x:v>237.23808842626377</x:v>
      </x:c>
      <x:c r="L4" s="31" t="n">
        <x:f>IF(E4=0,"",E4*K4)</x:f>
        <x:v>865534.2104456925</x:v>
      </x:c>
      <x:c r="M4" s="31" t="n">
        <x:f>IF(E4=0,"",I4-L4)</x:f>
        <x:v>155351.66178006772</x:v>
      </x:c>
      <x:c r="N4" s="32" t="n">
        <x:f>IF(L4=0,"",I4/L4)</x:f>
        <x:v>1.17948644883727</x:v>
      </x:c>
      <x:c r="O4" s="34" t="n">
        <x:f>IF(L4=0,"",M4/L4)</x:f>
        <x:v>0.17948644883727005</x:v>
      </x:c>
    </x:row>
    <x:row r="5" ht="18" customHeight="1">
      <x:c r="A5" s="24" t="str">
        <x:v>Perch-likes</x:v>
      </x:c>
      <x:c r="B5" s="33" t="n">
        <x:v>63</x:v>
      </x:c>
      <x:c r="C5" s="33" t="n">
        <x:v>63</x:v>
      </x:c>
      <x:c r="D5" s="31" t="n">
        <x:v>2742.7289138968</x:v>
      </x:c>
      <x:c r="E5" s="31" t="n">
        <x:v>2742.7289138968</x:v>
      </x:c>
      <x:c r="F5" s="32" t="n">
        <x:v>0</x:v>
      </x:c>
      <x:c r="G5" s="34" t="n">
        <x:v>1</x:v>
      </x:c>
      <x:c r="H5" s="32" t="n">
        <x:f>IF(E5=0,"",I5/E5)</x:f>
        <x:v>1073.4177985515946</x:v>
      </x:c>
      <x:c r="I5" s="31" t="n">
        <x:f>IF(C5=0,"",SUMIF('Species'!$H$2:$H$89,A5,'Species'!$U$2:$U$89))</x:f>
        <x:v>2944094.032778909</x:v>
      </x:c>
      <x:c r="J5" s="32" t="n">
        <x:v>3.795959529184588</x:v>
      </x:c>
      <x:c r="K5" s="32" t="n">
        <x:f>IF(J5="","",(1/'Metadata'!$B$5)^(J5-1))</x:f>
        <x:v>625.1144372120975</x:v>
      </x:c>
      <x:c r="L5" s="31" t="n">
        <x:f>IF(E5=0,"",E5*K5)</x:f>
        <x:v>1714519.4414359455</x:v>
      </x:c>
      <x:c r="M5" s="31" t="n">
        <x:f>IF(E5=0,"",I5-L5)</x:f>
        <x:v>1229574.5913429635</x:v>
      </x:c>
      <x:c r="N5" s="32" t="n">
        <x:f>IF(L5=0,"",I5/L5)</x:f>
        <x:v>1.717154067563777</x:v>
      </x:c>
      <x:c r="O5" s="34" t="n">
        <x:f>IF(L5=0,"",M5/L5)</x:f>
        <x:v>0.7171540675637772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25.160042372099998</x:v>
      </x:c>
      <x:c r="E6" s="31" t="n">
        <x:v>25.160042372099998</x:v>
      </x:c>
      <x:c r="F6" s="32" t="n">
        <x:v>0</x:v>
      </x:c>
      <x:c r="G6" s="34" t="n">
        <x:v>1</x:v>
      </x:c>
      <x:c r="H6" s="32" t="n">
        <x:f>IF(E6=0,"",I6/E6)</x:f>
        <x:v>1412.5375446227554</x:v>
      </x:c>
      <x:c r="I6" s="31" t="n">
        <x:f>IF(C6=0,"",SUMIF('Species'!$H$2:$H$89,A6,'Species'!$U$2:$U$89))</x:f>
        <x:v>35539.504474890615</x:v>
      </x:c>
      <x:c r="J6" s="32" t="n">
        <x:v>4.15</x:v>
      </x:c>
      <x:c r="K6" s="32" t="n">
        <x:f>IF(J6="","",(1/'Metadata'!$B$5)^(J6-1))</x:f>
        <x:v>1412.5375446227554</x:v>
      </x:c>
      <x:c r="L6" s="31" t="n">
        <x:f>IF(E6=0,"",E6*K6)</x:f>
        <x:v>35539.504474890615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5</x:v>
      </x:c>
      <x:c r="C7" s="33" t="n">
        <x:v>5</x:v>
      </x:c>
      <x:c r="D7" s="31" t="n">
        <x:v>99.53219305110001</x:v>
      </x:c>
      <x:c r="E7" s="31" t="n">
        <x:v>99.53219305110001</x:v>
      </x:c>
      <x:c r="F7" s="32" t="n">
        <x:v>0</x:v>
      </x:c>
      <x:c r="G7" s="34" t="n">
        <x:v>1</x:v>
      </x:c>
      <x:c r="H7" s="32" t="n">
        <x:f>IF(E7=0,"",I7/E7)</x:f>
        <x:v>2577.6617024526904</x:v>
      </x:c>
      <x:c r="I7" s="31" t="n">
        <x:f>IF(C7=0,"",SUMIF('Species'!$H$2:$H$89,A7,'Species'!$U$2:$U$89))</x:f>
        <x:v>256560.3221889483</x:v>
      </x:c>
      <x:c r="J7" s="32" t="n">
        <x:v>4.408466055846678</x:v>
      </x:c>
      <x:c r="K7" s="32" t="n">
        <x:f>IF(J7="","",(1/'Metadata'!$B$5)^(J7-1))</x:f>
        <x:v>2561.3330642612696</x:v>
      </x:c>
      <x:c r="L7" s="31" t="n">
        <x:f>IF(E7=0,"",E7*K7)</x:f>
        <x:v>254935.09702021824</x:v>
      </x:c>
      <x:c r="M7" s="31" t="n">
        <x:f>IF(E7=0,"",I7-L7)</x:f>
        <x:v>1625.225168730074</x:v>
      </x:c>
      <x:c r="N7" s="32" t="n">
        <x:f>IF(L7=0,"",I7/L7)</x:f>
        <x:v>1.0063750546226327</x:v>
      </x:c>
      <x:c r="O7" s="34" t="n">
        <x:f>IF(L7=0,"",M7/L7)</x:f>
        <x:v>0.006375054622632763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1e6c5638a324f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1</x:v>
      </x:c>
      <x:c r="C2" s="33" t="n">
        <x:v>1</x:v>
      </x:c>
      <x:c r="D2" s="31" t="n">
        <x:v>2997.66</x:v>
      </x:c>
      <x:c r="E2" s="31" t="n">
        <x:v>2997.66</x:v>
      </x:c>
      <x:c r="F2" s="32" t="n">
        <x:v>0</x:v>
      </x:c>
      <x:c r="G2" s="34" t="n">
        <x:v>1</x:v>
      </x:c>
      <x:c r="H2" s="32" t="n">
        <x:f>IF(E2=0,"",I2/E2)</x:f>
        <x:v>288.40315031266056</x:v>
      </x:c>
      <x:c r="I2" s="31" t="n">
        <x:f>IF(C2=0,"",SUMIF('Species'!$G$2:$G$89,A2,'Species'!$U$2:$U$89))</x:f>
        <x:v>864534.58756625</x:v>
      </x:c>
      <x:c r="J2" s="32" t="n">
        <x:v>3.46</x:v>
      </x:c>
      <x:c r="K2" s="32" t="n">
        <x:f>IF(J2="","",(1/'Metadata'!$B$5)^(J2-1))</x:f>
        <x:v>288.40315031266056</x:v>
      </x:c>
      <x:c r="L2" s="31" t="n">
        <x:f>IF(E2=0,"",E2*K2)</x:f>
        <x:v>864534.58756625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13.1269696804</x:v>
      </x:c>
      <x:c r="E3" s="31" t="n">
        <x:v>13.1269696804</x:v>
      </x:c>
      <x:c r="F3" s="32" t="n">
        <x:v>0</x:v>
      </x:c>
      <x:c r="G3" s="34" t="n">
        <x:v>1</x:v>
      </x:c>
      <x:c r="H3" s="32" t="n">
        <x:f>IF(E3=0,"",I3/E3)</x:f>
        <x:v>3801.8939632056126</x:v>
      </x:c>
      <x:c r="I3" s="31" t="n">
        <x:f>IF(C3=0,"",SUMIF('Species'!$G$2:$G$89,A3,'Species'!$U$2:$U$89))</x:f>
        <x:v>49907.34678309587</x:v>
      </x:c>
      <x:c r="J3" s="32" t="n">
        <x:v>4.58</x:v>
      </x:c>
      <x:c r="K3" s="32" t="n">
        <x:f>IF(J3="","",(1/'Metadata'!$B$5)^(J3-1))</x:f>
        <x:v>3801.8939632056126</x:v>
      </x:c>
      <x:c r="L3" s="31" t="n">
        <x:f>IF(E3=0,"",E3*K3)</x:f>
        <x:v>49907.34678309587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1</x:v>
      </x:c>
      <x:c r="C4" s="33" t="n">
        <x:v>1</x:v>
      </x:c>
      <x:c r="D4" s="31" t="n">
        <x:v>10.3480357258</x:v>
      </x:c>
      <x:c r="E4" s="31" t="n">
        <x:v>10.3480357258</x:v>
      </x:c>
      <x:c r="F4" s="32" t="n">
        <x:v>0</x:v>
      </x:c>
      <x:c r="G4" s="34" t="n">
        <x:v>1</x:v>
      </x:c>
      <x:c r="H4" s="32" t="n">
        <x:f>IF(E4=0,"",I4/E4)</x:f>
        <x:v>1479.1083881682073</x:v>
      </x:c>
      <x:c r="I4" s="31" t="n">
        <x:f>IF(C4=0,"",SUMIF('Species'!$G$2:$G$89,A4,'Species'!$U$2:$U$89))</x:f>
        <x:v>15305.866443095065</x:v>
      </x:c>
      <x:c r="J4" s="32" t="n">
        <x:v>4.17</x:v>
      </x:c>
      <x:c r="K4" s="32" t="n">
        <x:f>IF(J4="","",(1/'Metadata'!$B$5)^(J4-1))</x:f>
        <x:v>1479.1083881682073</x:v>
      </x:c>
      <x:c r="L4" s="31" t="n">
        <x:f>IF(E4=0,"",E4*K4)</x:f>
        <x:v>15305.866443095065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demersals (&gt;=90 cm)</x:v>
      </x:c>
      <x:c r="B5" s="33" t="n">
        <x:v>2</x:v>
      </x:c>
      <x:c r="C5" s="33" t="n">
        <x:v>2</x:v>
      </x:c>
      <x:c r="D5" s="31" t="n">
        <x:v>37.920931789</x:v>
      </x:c>
      <x:c r="E5" s="31" t="n">
        <x:v>37.920931789</x:v>
      </x:c>
      <x:c r="F5" s="32" t="n">
        <x:v>0</x:v>
      </x:c>
      <x:c r="G5" s="34" t="n">
        <x:v>1</x:v>
      </x:c>
      <x:c r="H5" s="32" t="n">
        <x:f>IF(E5=0,"",I5/E5)</x:f>
        <x:v>520.7667108034352</x:v>
      </x:c>
      <x:c r="I5" s="31" t="n">
        <x:f>IF(C5=0,"",SUMIF('Species'!$G$2:$G$89,A5,'Species'!$U$2:$U$89))</x:f>
        <x:v>19747.958918358956</x:v>
      </x:c>
      <x:c r="J5" s="32" t="n">
        <x:v>3.7088483652797612</x:v>
      </x:c>
      <x:c r="K5" s="32" t="n">
        <x:f>IF(J5="","",(1/'Metadata'!$B$5)^(J5-1))</x:f>
        <x:v>511.5032120678307</x:v>
      </x:c>
      <x:c r="L5" s="31" t="n">
        <x:f>IF(E5=0,"",E5*K5)</x:f>
        <x:v>19396.67841467861</x:v>
      </x:c>
      <x:c r="M5" s="31" t="n">
        <x:f>IF(E5=0,"",I5-L5)</x:f>
        <x:v>351.28050368034746</x:v>
      </x:c>
      <x:c r="N5" s="32" t="n">
        <x:f>IF(L5=0,"",I5/L5)</x:f>
        <x:v>1.0181103432335359</x:v>
      </x:c>
      <x:c r="O5" s="34" t="n">
        <x:f>IF(L5=0,"",M5/L5)</x:f>
        <x:v>0.018110343233535945</x:v>
      </x:c>
    </x:row>
    <x:row r="6" ht="18" customHeight="1">
      <x:c r="A6" s="24" t="str">
        <x:v>Large pelagics (&gt;=90 cm)</x:v>
      </x:c>
      <x:c r="B6" s="33" t="n">
        <x:v>12</x:v>
      </x:c>
      <x:c r="C6" s="33" t="n">
        <x:v>12</x:v>
      </x:c>
      <x:c r="D6" s="31" t="n">
        <x:v>272.4621149713</x:v>
      </x:c>
      <x:c r="E6" s="31" t="n">
        <x:v>272.4621149713</x:v>
      </x:c>
      <x:c r="F6" s="32" t="n">
        <x:v>0</x:v>
      </x:c>
      <x:c r="G6" s="34" t="n">
        <x:v>1</x:v>
      </x:c>
      <x:c r="H6" s="32" t="n">
        <x:f>IF(E6=0,"",I6/E6)</x:f>
        <x:v>2511.6009760108313</x:v>
      </x:c>
      <x:c r="I6" s="31" t="n">
        <x:f>IF(C6=0,"",SUMIF('Species'!$G$2:$G$89,A6,'Species'!$U$2:$U$89))</x:f>
        <x:v>684316.1138878925</x:v>
      </x:c>
      <x:c r="J6" s="32" t="n">
        <x:v>4.3909335613790805</x:v>
      </x:c>
      <x:c r="K6" s="32" t="n">
        <x:f>IF(J6="","",(1/'Metadata'!$B$5)^(J6-1))</x:f>
        <x:v>2459.9912444777306</x:v>
      </x:c>
      <x:c r="L6" s="31" t="n">
        <x:f>IF(E6=0,"",E6*K6)</x:f>
        <x:v>670254.4172812828</x:v>
      </x:c>
      <x:c r="M6" s="31" t="n">
        <x:f>IF(E6=0,"",I6-L6)</x:f>
        <x:v>14061.696606609621</x:v>
      </x:c>
      <x:c r="N6" s="32" t="n">
        <x:f>IF(L6=0,"",I6/L6)</x:f>
        <x:v>1.0209796403336622</x:v>
      </x:c>
      <x:c r="O6" s="34" t="n">
        <x:f>IF(L6=0,"",M6/L6)</x:f>
        <x:v>0.020979640333662147</x:v>
      </x:c>
    </x:row>
    <x:row r="7" ht="18" customHeight="1">
      <x:c r="A7" s="24" t="str">
        <x:v>Large reef assoc. fish (&gt;=90 cm)</x:v>
      </x:c>
      <x:c r="B7" s="33" t="n">
        <x:v>10</x:v>
      </x:c>
      <x:c r="C7" s="33" t="n">
        <x:v>10</x:v>
      </x:c>
      <x:c r="D7" s="31" t="n">
        <x:v>212.1031409413</x:v>
      </x:c>
      <x:c r="E7" s="31" t="n">
        <x:v>212.1031409413</x:v>
      </x:c>
      <x:c r="F7" s="32" t="n">
        <x:v>0</x:v>
      </x:c>
      <x:c r="G7" s="34" t="n">
        <x:v>1</x:v>
      </x:c>
      <x:c r="H7" s="32" t="n">
        <x:f>IF(E7=0,"",I7/E7)</x:f>
        <x:v>1325.3924595169776</x:v>
      </x:c>
      <x:c r="I7" s="31" t="n">
        <x:f>IF(C7=0,"",SUMIF('Species'!$G$2:$G$89,A7,'Species'!$U$2:$U$89))</x:f>
        <x:v>281119.9036434658</x:v>
      </x:c>
      <x:c r="J7" s="32" t="n">
        <x:v>3.6421805143372907</x:v>
      </x:c>
      <x:c r="K7" s="32" t="n">
        <x:f>IF(J7="","",(1/'Metadata'!$B$5)^(J7-1))</x:f>
        <x:v>438.71301078034384</x:v>
      </x:c>
      <x:c r="L7" s="31" t="n">
        <x:f>IF(E7=0,"",E7*K7)</x:f>
        <x:v>93052.40755832534</x:v>
      </x:c>
      <x:c r="M7" s="31" t="n">
        <x:f>IF(E7=0,"",I7-L7)</x:f>
        <x:v>188067.49608514045</x:v>
      </x:c>
      <x:c r="N7" s="32" t="n">
        <x:f>IF(L7=0,"",I7/L7)</x:f>
        <x:v>3.0210922105079283</x:v>
      </x:c>
      <x:c r="O7" s="34" t="n">
        <x:f>IF(L7=0,"",M7/L7)</x:f>
        <x:v>2.0210922105079288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25.160042372099998</x:v>
      </x:c>
      <x:c r="E8" s="31" t="n">
        <x:v>25.160042372099998</x:v>
      </x:c>
      <x:c r="F8" s="32" t="n">
        <x:v>0</x:v>
      </x:c>
      <x:c r="G8" s="34" t="n">
        <x:v>1</x:v>
      </x:c>
      <x:c r="H8" s="32" t="n">
        <x:f>IF(E8=0,"",I8/E8)</x:f>
        <x:v>1412.5375446227554</x:v>
      </x:c>
      <x:c r="I8" s="31" t="n">
        <x:f>IF(C8=0,"",SUMIF('Species'!$G$2:$G$89,A8,'Species'!$U$2:$U$89))</x:f>
        <x:v>35539.504474890615</x:v>
      </x:c>
      <x:c r="J8" s="32" t="n">
        <x:v>4.15</x:v>
      </x:c>
      <x:c r="K8" s="32" t="n">
        <x:f>IF(J8="","",(1/'Metadata'!$B$5)^(J8-1))</x:f>
        <x:v>1412.5375446227554</x:v>
      </x:c>
      <x:c r="L8" s="31" t="n">
        <x:f>IF(E8=0,"",E8*K8)</x:f>
        <x:v>35539.504474890615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3</x:v>
      </x:c>
      <x:c r="C9" s="33" t="n">
        <x:v>3</x:v>
      </x:c>
      <x:c r="D9" s="31" t="n">
        <x:v>12953.2304370809</x:v>
      </x:c>
      <x:c r="E9" s="31" t="n">
        <x:v>12953.2304370809</x:v>
      </x:c>
      <x:c r="F9" s="32" t="n">
        <x:v>0</x:v>
      </x:c>
      <x:c r="G9" s="34" t="n">
        <x:v>1</x:v>
      </x:c>
      <x:c r="H9" s="32" t="n">
        <x:f>IF(E9=0,"",I9/E9)</x:f>
        <x:v>217.28858216991517</x:v>
      </x:c>
      <x:c r="I9" s="31" t="n">
        <x:f>IF(C9=0,"",SUMIF('Species'!$G$2:$G$89,A9,'Species'!$U$2:$U$89))</x:f>
        <x:v>2814589.0761934994</x:v>
      </x:c>
      <x:c r="J9" s="32" t="n">
        <x:v>3.269706767508149</x:v>
      </x:c>
      <x:c r="K9" s="32" t="n">
        <x:f>IF(J9="","",(1/'Metadata'!$B$5)^(J9-1))</x:f>
        <x:v>186.0830293254826</x:v>
      </x:c>
      <x:c r="L9" s="31" t="n">
        <x:f>IF(E9=0,"",E9*K9)</x:f>
        <x:v>2410376.359283059</x:v>
      </x:c>
      <x:c r="M9" s="31" t="n">
        <x:f>IF(E9=0,"",I9-L9)</x:f>
        <x:v>404212.7169104405</x:v>
      </x:c>
      <x:c r="N9" s="32" t="n">
        <x:f>IF(L9=0,"",I9/L9)</x:f>
        <x:v>1.1676969305451823</x:v>
      </x:c>
      <x:c r="O9" s="34" t="n">
        <x:f>IF(L9=0,"",M9/L9)</x:f>
        <x:v>0.16769693054518228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19.6904545207</x:v>
      </x:c>
      <x:c r="E10" s="31" t="n">
        <x:v>19.6904545207</x:v>
      </x:c>
      <x:c r="F10" s="32" t="n">
        <x:v>0</x:v>
      </x:c>
      <x:c r="G10" s="34" t="n">
        <x:v>1</x:v>
      </x:c>
      <x:c r="H10" s="32" t="n">
        <x:f>IF(E10=0,"",I10/E10)</x:f>
        <x:v>1513.5612484362073</x:v>
      </x:c>
      <x:c r="I10" s="31" t="n">
        <x:f>IF(C10=0,"",SUMIF('Species'!$G$2:$G$89,A10,'Species'!$U$2:$U$89))</x:f>
        <x:v>29802.708926627056</x:v>
      </x:c>
      <x:c r="J10" s="32" t="n">
        <x:v>4.18</x:v>
      </x:c>
      <x:c r="K10" s="32" t="n">
        <x:f>IF(J10="","",(1/'Metadata'!$B$5)^(J10-1))</x:f>
        <x:v>1513.5612484362073</x:v>
      </x:c>
      <x:c r="L10" s="31" t="n">
        <x:f>IF(E10=0,"",E10*K10)</x:f>
        <x:v>29802.708926627056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1</x:v>
      </x:c>
      <x:c r="C11" s="33" t="n">
        <x:v>1</x:v>
      </x:c>
      <x:c r="D11" s="31" t="n">
        <x:v>25.526125257199997</x:v>
      </x:c>
      <x:c r="E11" s="31" t="n">
        <x:v>25.526125257199997</x:v>
      </x:c>
      <x:c r="F11" s="32" t="n">
        <x:v>0</x:v>
      </x:c>
      <x:c r="G11" s="34" t="n">
        <x:v>1</x:v>
      </x:c>
      <x:c r="H11" s="32" t="n">
        <x:f>IF(E11=0,"",I11/E11)</x:f>
        <x:v>1148.1536214968817</x:v>
      </x:c>
      <x:c r="I11" s="31" t="n">
        <x:f>IF(C11=0,"",SUMIF('Species'!$G$2:$G$89,A11,'Species'!$U$2:$U$89))</x:f>
        <x:v>29307.913156837196</x:v>
      </x:c>
      <x:c r="J11" s="32" t="n">
        <x:v>4.06</x:v>
      </x:c>
      <x:c r="K11" s="32" t="n">
        <x:f>IF(J11="","",(1/'Metadata'!$B$5)^(J11-1))</x:f>
        <x:v>1148.1536214968817</x:v>
      </x:c>
      <x:c r="L11" s="31" t="n">
        <x:f>IF(E11=0,"",E11*K11)</x:f>
        <x:v>29307.913156837196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demersals (30 - 89 cm)</x:v>
      </x:c>
      <x:c r="B12" s="33" t="n">
        <x:v>7</x:v>
      </x:c>
      <x:c r="C12" s="33" t="n">
        <x:v>7</x:v>
      </x:c>
      <x:c r="D12" s="31" t="n">
        <x:v>769.310032716</x:v>
      </x:c>
      <x:c r="E12" s="31" t="n">
        <x:v>769.310032716</x:v>
      </x:c>
      <x:c r="F12" s="32" t="n">
        <x:v>0</x:v>
      </x:c>
      <x:c r="G12" s="34" t="n">
        <x:v>1</x:v>
      </x:c>
      <x:c r="H12" s="32" t="n">
        <x:f>IF(E12=0,"",I12/E12)</x:f>
        <x:v>208.66767244071187</x:v>
      </x:c>
      <x:c r="I12" s="31" t="n">
        <x:f>IF(C12=0,"",SUMIF('Species'!$G$2:$G$89,A12,'Species'!$U$2:$U$89))</x:f>
        <x:v>160530.1339121356</x:v>
      </x:c>
      <x:c r="J12" s="32" t="n">
        <x:v>3.2172776564996983</x:v>
      </x:c>
      <x:c r="K12" s="32" t="n">
        <x:f>IF(J12="","",(1/'Metadata'!$B$5)^(J12-1))</x:f>
        <x:v>164.92164443315056</x:v>
      </x:c>
      <x:c r="L12" s="31" t="n">
        <x:f>IF(E12=0,"",E12*K12)</x:f>
        <x:v>126875.87567444358</x:v>
      </x:c>
      <x:c r="M12" s="31" t="n">
        <x:f>IF(E12=0,"",I12-L12)</x:f>
        <x:v>33654.25823769203</x:v>
      </x:c>
      <x:c r="N12" s="32" t="n">
        <x:f>IF(L12=0,"",I12/L12)</x:f>
        <x:v>1.2652534065975394</x:v>
      </x:c>
      <x:c r="O12" s="34" t="n">
        <x:f>IF(L12=0,"",M12/L12)</x:f>
        <x:v>0.2652534065975393</x:v>
      </x:c>
    </x:row>
    <x:row r="13" ht="18" customHeight="1">
      <x:c r="A13" s="24" t="str">
        <x:v>Medium reef assoc. fish (30 - 89 cm)</x:v>
      </x:c>
      <x:c r="B13" s="33" t="n">
        <x:v>36</x:v>
      </x:c>
      <x:c r="C13" s="33" t="n">
        <x:v>36</x:v>
      </x:c>
      <x:c r="D13" s="31" t="n">
        <x:v>1856.5195196204993</x:v>
      </x:c>
      <x:c r="E13" s="31" t="n">
        <x:v>1856.5195196204993</x:v>
      </x:c>
      <x:c r="F13" s="32" t="n">
        <x:v>0</x:v>
      </x:c>
      <x:c r="G13" s="34" t="n">
        <x:v>1</x:v>
      </x:c>
      <x:c r="H13" s="32" t="n">
        <x:f>IF(E13=0,"",I13/E13)</x:f>
        <x:v>1086.1216365390212</x:v>
      </x:c>
      <x:c r="I13" s="31" t="n">
        <x:f>IF(C13=0,"",SUMIF('Species'!$G$2:$G$89,A13,'Species'!$U$2:$U$89))</x:f>
        <x:v>2016406.0189168542</x:v>
      </x:c>
      <x:c r="J13" s="32" t="n">
        <x:v>3.9092369343439386</x:v>
      </x:c>
      <x:c r="K13" s="32" t="n">
        <x:f>IF(J13="","",(1/'Metadata'!$B$5)^(J13-1))</x:f>
        <x:v>811.40360768367</x:v>
      </x:c>
      <x:c r="L13" s="31" t="n">
        <x:f>IF(E13=0,"",E13*K13)</x:f>
        <x:v>1506386.635955227</x:v>
      </x:c>
      <x:c r="M13" s="31" t="n">
        <x:f>IF(E13=0,"",I13-L13)</x:f>
        <x:v>510019.3829616271</x:v>
      </x:c>
      <x:c r="N13" s="32" t="n">
        <x:f>IF(L13=0,"",I13/L13)</x:f>
        <x:v>1.3385713672627044</x:v>
      </x:c>
      <x:c r="O13" s="34" t="n">
        <x:f>IF(L13=0,"",M13/L13)</x:f>
        <x:v>0.3385713672627045</x:v>
      </x:c>
    </x:row>
    <x:row r="14" ht="18" customHeight="1">
      <x:c r="A14" s="24" t="str">
        <x:v>Other demersal invertebrates</x:v>
      </x:c>
      <x:c r="B14" s="33" t="n">
        <x:v>3</x:v>
      </x:c>
      <x:c r="C14" s="33" t="n">
        <x:v>3</x:v>
      </x:c>
      <x:c r="D14" s="31" t="n">
        <x:v>824.8609827934</x:v>
      </x:c>
      <x:c r="E14" s="31" t="n">
        <x:v>824.8609827934</x:v>
      </x:c>
      <x:c r="F14" s="32" t="n">
        <x:v>0</x:v>
      </x:c>
      <x:c r="G14" s="34" t="n">
        <x:v>1</x:v>
      </x:c>
      <x:c r="H14" s="32" t="n">
        <x:f>IF(E14=0,"",I14/E14)</x:f>
        <x:v>13.67830846445756</x:v>
      </x:c>
      <x:c r="I14" s="31" t="n">
        <x:f>IF(C14=0,"",SUMIF('Species'!$G$2:$G$89,A14,'Species'!$U$2:$U$89))</x:f>
        <x:v>11282.702962943746</x:v>
      </x:c>
      <x:c r="J14" s="32" t="n">
        <x:v>2.1273428289456344</x:v>
      </x:c>
      <x:c r="K14" s="32" t="n">
        <x:f>IF(J14="","",(1/'Metadata'!$B$5)^(J14-1))</x:f>
        <x:v>13.40734636097266</x:v>
      </x:c>
      <x:c r="L14" s="31" t="n">
        <x:f>IF(E14=0,"",E14*K14)</x:f>
        <x:v>11059.196895963423</x:v>
      </x:c>
      <x:c r="M14" s="31" t="n">
        <x:f>IF(E14=0,"",I14-L14)</x:f>
        <x:v>223.50606698032243</x:v>
      </x:c>
      <x:c r="N14" s="32" t="n">
        <x:f>IF(L14=0,"",I14/L14)</x:f>
        <x:v>1.020209972666451</x:v>
      </x:c>
      <x:c r="O14" s="34" t="n">
        <x:f>IF(L14=0,"",M14/L14)</x:f>
        <x:v>0.02020997266645117</x:v>
      </x:c>
    </x:row>
    <x:row r="15" ht="18" customHeight="1">
      <x:c r="A15" s="24" t="str">
        <x:v>Shrimps</x:v>
      </x:c>
      <x:c r="B15" s="33" t="n">
        <x:v>4</x:v>
      </x:c>
      <x:c r="C15" s="33" t="n">
        <x:v>4</x:v>
      </x:c>
      <x:c r="D15" s="31" t="n">
        <x:v>1141.5046914908999</x:v>
      </x:c>
      <x:c r="E15" s="31" t="n">
        <x:v>1141.5046914908999</x:v>
      </x:c>
      <x:c r="F15" s="32" t="n">
        <x:v>0</x:v>
      </x:c>
      <x:c r="G15" s="34" t="n">
        <x:v>1</x:v>
      </x:c>
      <x:c r="H15" s="32" t="n">
        <x:f>IF(E15=0,"",I15/E15)</x:f>
        <x:v>105.19415588924892</x:v>
      </x:c>
      <x:c r="I15" s="31" t="n">
        <x:f>IF(C15=0,"",SUMIF('Species'!$G$2:$G$89,A15,'Species'!$U$2:$U$89))</x:f>
        <x:v>120079.62246500271</x:v>
      </x:c>
      <x:c r="J15" s="32" t="n">
        <x:v>2.926416940663148</x:v>
      </x:c>
      <x:c r="K15" s="32" t="n">
        <x:f>IF(J15="","",(1/'Metadata'!$B$5)^(J15-1))</x:f>
        <x:v>84.41447827749066</x:v>
      </x:c>
      <x:c r="L15" s="31" t="n">
        <x:f>IF(E15=0,"",E15*K15)</x:f>
        <x:v>96359.52298351224</x:v>
      </x:c>
      <x:c r="M15" s="31" t="n">
        <x:f>IF(E15=0,"",I15-L15)</x:f>
        <x:v>23720.09948149047</x:v>
      </x:c>
      <x:c r="N15" s="32" t="n">
        <x:f>IF(L15=0,"",I15/L15)</x:f>
        <x:v>1.2461624834480463</x:v>
      </x:c>
      <x:c r="O15" s="34" t="n">
        <x:f>IF(L15=0,"",M15/L15)</x:f>
        <x:v>0.2461624834480463</x:v>
      </x:c>
    </x:row>
    <x:row r="16" ht="18" customHeight="1">
      <x:c r="A16" s="24" t="str">
        <x:v>Small demersals (&lt;30 cm)</x:v>
      </x:c>
      <x:c r="B16" s="33" t="n">
        <x:v>1</x:v>
      </x:c>
      <x:c r="C16" s="33" t="n">
        <x:v>1</x:v>
      </x:c>
      <x:c r="D16" s="31" t="n">
        <x:v>5.1946689083</x:v>
      </x:c>
      <x:c r="E16" s="31" t="n">
        <x:v>5.1946689083</x:v>
      </x:c>
      <x:c r="F16" s="32" t="n">
        <x:v>0</x:v>
      </x:c>
      <x:c r="G16" s="34" t="n">
        <x:v>1</x:v>
      </x:c>
      <x:c r="H16" s="32" t="n">
        <x:f>IF(E16=0,"",I16/E16)</x:f>
        <x:v>389.04514499428046</x:v>
      </x:c>
      <x:c r="I16" s="31" t="n">
        <x:f>IF(C16=0,"",SUMIF('Species'!$G$2:$G$89,A16,'Species'!$U$2:$U$89))</x:f>
        <x:v>2020.960718626854</x:v>
      </x:c>
      <x:c r="J16" s="32" t="n">
        <x:v>3.59</x:v>
      </x:c>
      <x:c r="K16" s="32" t="n">
        <x:f>IF(J16="","",(1/'Metadata'!$B$5)^(J16-1))</x:f>
        <x:v>389.04514499428046</x:v>
      </x:c>
      <x:c r="L16" s="31" t="n">
        <x:f>IF(E16=0,"",E16*K16)</x:f>
        <x:v>2020.960718626854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reef assoc. fish (&lt;30 cm)</x:v>
      </x:c>
      <x:c r="B17" s="33" t="n">
        <x:v>4</x:v>
      </x:c>
      <x:c r="C17" s="33" t="n">
        <x:v>4</x:v>
      </x:c>
      <x:c r="D17" s="31" t="n">
        <x:v>77.27706168419999</x:v>
      </x:c>
      <x:c r="E17" s="31" t="n">
        <x:v>77.27706168419999</x:v>
      </x:c>
      <x:c r="F17" s="32" t="n">
        <x:v>0</x:v>
      </x:c>
      <x:c r="G17" s="34" t="n">
        <x:v>1</x:v>
      </x:c>
      <x:c r="H17" s="32" t="n">
        <x:f>IF(E17=0,"",I17/E17)</x:f>
        <x:v>861.9079564977271</x:v>
      </x:c>
      <x:c r="I17" s="31" t="n">
        <x:f>IF(C17=0,"",SUMIF('Species'!$G$2:$G$89,A17,'Species'!$U$2:$U$89))</x:f>
        <x:v>66605.71432037762</x:v>
      </x:c>
      <x:c r="J17" s="32" t="n">
        <x:v>3.300728186493464</x:v>
      </x:c>
      <x:c r="K17" s="32" t="n">
        <x:f>IF(J17="","",(1/'Metadata'!$B$5)^(J17-1))</x:f>
        <x:v>199.861060023763</x:v>
      </x:c>
      <x:c r="L17" s="31" t="n">
        <x:f>IF(E17=0,"",E17*K17)</x:f>
        <x:v>15444.675463725931</x:v>
      </x:c>
      <x:c r="M17" s="31" t="n">
        <x:f>IF(E17=0,"",I17-L17)</x:f>
        <x:v>51161.03885665169</x:v>
      </x:c>
      <x:c r="N17" s="32" t="n">
        <x:f>IF(L17=0,"",I17/L17)</x:f>
        <x:v>4.312535700527398</x:v>
      </x:c>
      <x:c r="O17" s="34" t="n">
        <x:f>IF(L17=0,"",M17/L17)</x:f>
        <x:v>3.312535700527398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e94f9daae6846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EEZ_921</x:v>
      </x:c>
      <x:c r="B2" s="24" t="str">
        <x:v>raw_filtered_tonnes</x:v>
      </x:c>
      <x:c r="C2" s="24" t="n">
        <x:v>21241.895209552</x:v>
      </x:c>
      <x:c r="D2" s="24" t="str">
        <x:v>tonnes</x:v>
      </x:c>
    </x:row>
    <x:row r="3" ht="18" customHeight="1">
      <x:c r="A3" s="24" t="str">
        <x:v>EEZ_921</x:v>
      </x:c>
      <x:c r="B3" s="24" t="str">
        <x:v>species_catch_tonnes</x:v>
      </x:c>
      <x:c r="C3" s="24" t="n">
        <x:v>21241.895209552</x:v>
      </x:c>
      <x:c r="D3" s="24" t="str">
        <x:v>tonnes</x:v>
      </x:c>
    </x:row>
    <x:row r="4" ht="18" customHeight="1">
      <x:c r="A4" s="24" t="str">
        <x:v>EEZ_921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EEZ_921</x:v>
      </x:c>
      <x:c r="B6" s="24" t="str">
        <x:v>matched_catch_tonnes</x:v>
      </x:c>
      <x:c r="C6" s="24" t="n">
        <x:v>21241.895209552</x:v>
      </x:c>
      <x:c r="D6" s="24" t="str">
        <x:v>tonnes</x:v>
      </x:c>
    </x:row>
    <x:row r="7" ht="18" customHeight="1">
      <x:c r="A7" s="24" t="str">
        <x:v>EEZ_921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EEZ_921</x:v>
      </x:c>
      <x:c r="B8" s="24" t="str">
        <x:v>taxa_count</x:v>
      </x:c>
      <x:c r="C8" s="24" t="n">
        <x:v>88</x:v>
      </x:c>
      <x:c r="D8" s="24" t="str">
        <x:v>count</x:v>
      </x:c>
    </x:row>
    <x:row r="9" ht="18" customHeight="1">
      <x:c r="A9" s="24" t="str">
        <x:v>EEZ_921</x:v>
      </x:c>
      <x:c r="B9" s="24" t="str">
        <x:v>matched_taxa_count</x:v>
      </x:c>
      <x:c r="C9" s="24" t="n">
        <x:v>88</x:v>
      </x:c>
      <x:c r="D9" s="24" t="str">
        <x:v>count</x:v>
      </x:c>
    </x:row>
    <x:row r="10" ht="18" customHeight="1">
      <x:c r="A10" s="24" t="str">
        <x:v>EEZ_921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EEZ_921</x:v>
      </x:c>
      <x:c r="B11" s="24" t="str">
        <x:v>species_ppr</x:v>
      </x:c>
      <x:c r="C11" s="24" t="n">
        <x:v>7201096.133289953</x:v>
      </x:c>
      <x:c r="D11" s="24" t="str">
        <x:v>tonnes_primary_production_equivalent</x:v>
      </x:c>
    </x:row>
    <x:row r="12" ht="18" customHeight="1">
      <x:c r="A12" s="24" t="str">
        <x:v>EEZ_921</x:v>
      </x:c>
      <x:c r="B12" s="24" t="str">
        <x:v>commercial_ppr</x:v>
      </x:c>
      <x:c r="C12" s="24" t="n">
        <x:v>7201096.133289952</x:v>
      </x:c>
      <x:c r="D12" s="24" t="str">
        <x:v>tonnes_primary_production_equivalent</x:v>
      </x:c>
    </x:row>
    <x:row r="13" ht="18" customHeight="1">
      <x:c r="A13" s="24" t="str">
        <x:v>EEZ_921</x:v>
      </x:c>
      <x:c r="B13" s="24" t="str">
        <x:v>functional_ppr</x:v>
      </x:c>
      <x:c r="C13" s="24" t="n">
        <x:v>7201096.133289953</x:v>
      </x:c>
      <x:c r="D13" s="24" t="str">
        <x:v>tonnes_primary_production_equivalent</x:v>
      </x:c>
    </x:row>
    <x:row r="14" ht="18" customHeight="1">
      <x:c r="A14" s="24" t="str">
        <x:v>EEZ_921</x:v>
      </x:c>
      <x:c r="B14" s="24" t="str">
        <x:v>commercial_ppr_difference</x:v>
      </x:c>
      <x:c r="C14" s="24" t="n">
        <x:v>-9.313225746154785e-10</x:v>
      </x:c>
      <x:c r="D14" s="24" t="str">
        <x:v>tonnes_primary_production_equivalent</x:v>
      </x:c>
    </x:row>
    <x:row r="15" ht="18" customHeight="1">
      <x:c r="A15" s="24" t="str">
        <x:v>EEZ_921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EEZ_921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b80b4fe33a946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EEZ_921 - Honduras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