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c3f937231d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34db1262ab44d74"/>
    <x:sheet xmlns:r="http://schemas.openxmlformats.org/officeDocument/2006/relationships" name="Commercial" sheetId="2" r:id="R2770133c5a05494b"/>
    <x:sheet xmlns:r="http://schemas.openxmlformats.org/officeDocument/2006/relationships" name="Functional" sheetId="3" r:id="R98acc4e856d94082"/>
    <x:sheet xmlns:r="http://schemas.openxmlformats.org/officeDocument/2006/relationships" name="Missing TL" sheetId="4" r:id="Rd256df298d754f76"/>
    <x:sheet xmlns:r="http://schemas.openxmlformats.org/officeDocument/2006/relationships" name="Validation" sheetId="5" r:id="R3947fd72092c41c5"/>
    <x:sheet xmlns:r="http://schemas.openxmlformats.org/officeDocument/2006/relationships" name="Metadata" sheetId="6" r:id="R25ea0bb525c740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727d6ecb491a" /><Relationship Type="http://schemas.openxmlformats.org/officeDocument/2006/relationships/theme" Target="/xl/theme/theme1.xml" Id="Rb1622272858d4de9" /><Relationship Type="http://schemas.microsoft.com/office/2022/11/relationships/FeaturePropertyBag" Target="/xl/featurePropertyBag/featurePropertyBag.xml" Id="R4f00b63575954051" /><Relationship Type="http://schemas.openxmlformats.org/officeDocument/2006/relationships/sharedStrings" Target="/xl/sharedStrings.xml" Id="Ra586fcb5831a4f7a" /><Relationship Type="http://schemas.openxmlformats.org/officeDocument/2006/relationships/worksheet" Target="/xl/worksheets/sheet1.xml" Id="R534db1262ab44d74" /><Relationship Type="http://schemas.openxmlformats.org/officeDocument/2006/relationships/worksheet" Target="/xl/worksheets/sheet2.xml" Id="R2770133c5a05494b" /><Relationship Type="http://schemas.openxmlformats.org/officeDocument/2006/relationships/worksheet" Target="/xl/worksheets/sheet3.xml" Id="R98acc4e856d94082" /><Relationship Type="http://schemas.openxmlformats.org/officeDocument/2006/relationships/worksheet" Target="/xl/worksheets/sheet4.xml" Id="Rd256df298d754f76" /><Relationship Type="http://schemas.openxmlformats.org/officeDocument/2006/relationships/worksheet" Target="/xl/worksheets/sheet5.xml" Id="R3947fd72092c41c5" /><Relationship Type="http://schemas.openxmlformats.org/officeDocument/2006/relationships/worksheet" Target="/xl/worksheets/sheet6.xml" Id="R25ea0bb525c740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26SpeciesTable" displayName="EEZ226SpeciesTable" ref="A1:U67" headerRowCount="1" totalsRowCount="0" totalsRowShown="0">
  <x:autoFilter ref="A1:U6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26CommercialTable" displayName="EEZ226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26FunctionalTable" displayName="EEZ226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26ValidationTable" displayName="EEZ22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f69c657bb54a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1b1329bf9242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62a96f854442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d3b3115c0e4b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EEZ_226</x:v>
      </x:c>
      <x:c r="B2" s="24" t="str">
        <x:v>Equatorial Guinea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9638.9063408018</x:v>
      </x:c>
      <x:c r="J2" s="31" t="n">
        <x:v>8767.6473457746</x:v>
      </x:c>
      <x:c r="K2" s="31" t="n">
        <x:v>871.2589950272001</x:v>
      </x:c>
      <x:c r="L2" s="31" t="n">
        <x:v>159.7898149272</x:v>
      </x:c>
      <x:c r="M2" s="31" t="n">
        <x:v>9479.1165258746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1836655.7396524684</x:v>
      </x:c>
    </x:row>
    <x:row r="3" ht="18" customHeight="1">
      <x:c r="A3" s="24" t="str">
        <x:v>EEZ_226</x:v>
      </x:c>
      <x:c r="B3" s="24" t="str">
        <x:v>Equatorial Guinea</x:v>
      </x:c>
      <x:c r="C3" s="24" t="str">
        <x:v>EEZ</x:v>
      </x:c>
      <x:c r="D3" s="30" t="n">
        <x:v>2019</x:v>
      </x:c>
      <x:c r="E3" s="24" t="str">
        <x:v>Clupeiformes</x:v>
      </x:c>
      <x:c r="F3" s="24" t="str">
        <x:v>Herrings, shads, anchovies</x:v>
      </x:c>
      <x:c r="G3" s="24" t="str">
        <x:v>Small pelagics (&lt;30 cm)</x:v>
      </x:c>
      <x:c r="H3" s="24" t="str">
        <x:v>Other fishes &amp; inverts</x:v>
      </x:c>
      <x:c r="I3" s="31" t="n">
        <x:v>4000.0000000001</x:v>
      </x:c>
      <x:c r="J3" s="31" t="n">
        <x:v>4000.0000000001</x:v>
      </x:c>
      <x:c r="K3" s="31" t="n">
        <x:v>0</x:v>
      </x:c>
      <x:c r="L3" s="31" t="n">
        <x:v>4000.0000000001</x:v>
      </x:c>
      <x:c r="M3" s="31" t="n">
        <x:v>0</x:v>
      </x:c>
      <x:c r="N3" s="24" t="str">
        <x:v>clupeiformes</x:v>
      </x:c>
      <x:c r="O3" s="32" t="n">
        <x:v>3.24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Clupeiformes</x:v>
      </x:c>
      <x:c r="T3" s="32" t="n">
        <x:f>IF(O3="","",(1/'Metadata'!$B$5)^(O3-1))</x:f>
        <x:v>173.78008287493762</x:v>
      </x:c>
      <x:c r="U3" s="31" t="n">
        <x:f>IF(T3="","",I3*T3)</x:f>
        <x:v>695120.3314997678</x:v>
      </x:c>
    </x:row>
    <x:row r="4" ht="18" customHeight="1">
      <x:c r="A4" s="24" t="str">
        <x:v>EEZ_226</x:v>
      </x:c>
      <x:c r="B4" s="24" t="str">
        <x:v>Equatorial Guinea</x:v>
      </x:c>
      <x:c r="C4" s="24" t="str">
        <x:v>EEZ</x:v>
      </x:c>
      <x:c r="D4" s="30" t="n">
        <x:v>2019</x:v>
      </x:c>
      <x:c r="E4" s="24" t="str">
        <x:v>Brachydeuterus auritus</x:v>
      </x:c>
      <x:c r="F4" s="24" t="str">
        <x:v>Bigeye grunt</x:v>
      </x:c>
      <x:c r="G4" s="24" t="str">
        <x:v>Small demersals (&lt;30 cm)</x:v>
      </x:c>
      <x:c r="H4" s="24" t="str">
        <x:v>Perch-likes</x:v>
      </x:c>
      <x:c r="I4" s="31" t="n">
        <x:v>1970.6591331707</x:v>
      </x:c>
      <x:c r="J4" s="31" t="n">
        <x:v>1166.4501158541</x:v>
      </x:c>
      <x:c r="K4" s="31" t="n">
        <x:v>804.2090173166</x:v>
      </x:c>
      <x:c r="L4" s="31" t="n">
        <x:v>0</x:v>
      </x:c>
      <x:c r="M4" s="31" t="n">
        <x:v>1970.6591331707</x:v>
      </x:c>
      <x:c r="N4" s="24" t="str">
        <x:v>brachydeuterus auritus</x:v>
      </x:c>
      <x:c r="O4" s="32" t="n">
        <x:v>3.03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Brachydeuterus auritus</x:v>
      </x:c>
      <x:c r="T4" s="32" t="n">
        <x:f>IF(O4="","",(1/'Metadata'!$B$5)^(O4-1))</x:f>
        <x:v>107.1519305237606</x:v>
      </x:c>
      <x:c r="U4" s="31" t="n">
        <x:f>IF(T4="","",I4*T4)</x:f>
        <x:v>211159.93052352112</x:v>
      </x:c>
    </x:row>
    <x:row r="5" ht="18" customHeight="1">
      <x:c r="A5" s="24" t="str">
        <x:v>EEZ_226</x:v>
      </x:c>
      <x:c r="B5" s="24" t="str">
        <x:v>Equatorial Guinea</x:v>
      </x:c>
      <x:c r="C5" s="24" t="str">
        <x:v>EEZ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1064.7503023034</x:v>
      </x:c>
      <x:c r="J5" s="31" t="n">
        <x:v>1064.7503023034</x:v>
      </x:c>
      <x:c r="K5" s="31" t="n">
        <x:v>0</x:v>
      </x:c>
      <x:c r="L5" s="31" t="n">
        <x:v>1064.7503023034</x:v>
      </x:c>
      <x:c r="M5" s="31" t="n">
        <x:v>0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2865812.4961413043</x:v>
      </x:c>
    </x:row>
    <x:row r="6" ht="18" customHeight="1">
      <x:c r="A6" s="24" t="str">
        <x:v>EEZ_226</x:v>
      </x:c>
      <x:c r="B6" s="24" t="str">
        <x:v>Equatorial Guinea</x:v>
      </x:c>
      <x:c r="C6" s="24" t="str">
        <x:v>EEZ</x:v>
      </x:c>
      <x:c r="D6" s="30" t="n">
        <x:v>2019</x:v>
      </x:c>
      <x:c r="E6" s="24" t="str">
        <x:v>Thunnus albacares</x:v>
      </x:c>
      <x:c r="F6" s="24" t="str">
        <x:v>Yellowfin tuna</x:v>
      </x:c>
      <x:c r="G6" s="24" t="str">
        <x:v>Large pelagics (&gt;=90 cm)</x:v>
      </x:c>
      <x:c r="H6" s="24" t="str">
        <x:v>Tuna &amp; billfishes</x:v>
      </x:c>
      <x:c r="I6" s="31" t="n">
        <x:v>913.7368328452</x:v>
      </x:c>
      <x:c r="J6" s="31" t="n">
        <x:v>913.7368328452</x:v>
      </x:c>
      <x:c r="K6" s="31" t="n">
        <x:v>0</x:v>
      </x:c>
      <x:c r="L6" s="31" t="n">
        <x:v>913.7368328452</x:v>
      </x:c>
      <x:c r="M6" s="31" t="n">
        <x:v>0</x:v>
      </x:c>
      <x:c r="N6" s="24" t="str">
        <x:v>thunnus albacares</x:v>
      </x:c>
      <x:c r="O6" s="32" t="n">
        <x:v>4.41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albacares</x:v>
      </x:c>
      <x:c r="T6" s="32" t="n">
        <x:f>IF(O6="","",(1/'Metadata'!$B$5)^(O6-1))</x:f>
        <x:v>2570.3957827688646</x:v>
      </x:c>
      <x:c r="U6" s="31" t="n">
        <x:f>IF(T6="","",I6*T6)</x:f>
        <x:v>2348665.301705881</x:v>
      </x:c>
    </x:row>
    <x:row r="7" ht="18" customHeight="1">
      <x:c r="A7" s="24" t="str">
        <x:v>EEZ_226</x:v>
      </x:c>
      <x:c r="B7" s="24" t="str">
        <x:v>Equatorial Guinea</x:v>
      </x:c>
      <x:c r="C7" s="24" t="str">
        <x:v>EEZ</x:v>
      </x:c>
      <x:c r="D7" s="30" t="n">
        <x:v>2019</x:v>
      </x:c>
      <x:c r="E7" s="24" t="str">
        <x:v>Lutjanus</x:v>
      </x:c>
      <x:c r="F7" s="24" t="str">
        <x:v>Snappers</x:v>
      </x:c>
      <x:c r="G7" s="24" t="str">
        <x:v>Medium reef assoc. fish (30 - 89 cm)</x:v>
      </x:c>
      <x:c r="H7" s="24" t="str">
        <x:v>Perch-likes</x:v>
      </x:c>
      <x:c r="I7" s="31" t="n">
        <x:v>686.7763249159</x:v>
      </x:c>
      <x:c r="J7" s="31" t="n">
        <x:v>686.7763249159</x:v>
      </x:c>
      <x:c r="K7" s="31" t="n">
        <x:v>0</x:v>
      </x:c>
      <x:c r="L7" s="31" t="n">
        <x:v>67.7578879321</x:v>
      </x:c>
      <x:c r="M7" s="31" t="n">
        <x:v>619.0184369838</x:v>
      </x:c>
      <x:c r="N7" s="24" t="str">
        <x:v>lutjanus</x:v>
      </x:c>
      <x:c r="O7" s="32" t="n">
        <x:v>4.02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Lutjanus</x:v>
      </x:c>
      <x:c r="T7" s="32" t="n">
        <x:f>IF(O7="","",(1/'Metadata'!$B$5)^(O7-1))</x:f>
        <x:v>1047.1285480508984</x:v>
      </x:c>
      <x:c r="U7" s="31" t="n">
        <x:f>IF(T7="","",I7*T7)</x:f>
        <x:v>719143.0959449183</x:v>
      </x:c>
    </x:row>
    <x:row r="8" ht="18" customHeight="1">
      <x:c r="A8" s="24" t="str">
        <x:v>EEZ_226</x:v>
      </x:c>
      <x:c r="B8" s="24" t="str">
        <x:v>Equatorial Guinea</x:v>
      </x:c>
      <x:c r="C8" s="24" t="str">
        <x:v>EEZ</x:v>
      </x:c>
      <x:c r="D8" s="30" t="n">
        <x:v>2019</x:v>
      </x:c>
      <x:c r="E8" s="24" t="str">
        <x:v>Sphyraena</x:v>
      </x:c>
      <x:c r="F8" s="24" t="str">
        <x:v>Barracudas, sennets</x:v>
      </x:c>
      <x:c r="G8" s="24" t="str">
        <x:v>Large pelagics (&gt;=90 cm)</x:v>
      </x:c>
      <x:c r="H8" s="24" t="str">
        <x:v>Perch-likes</x:v>
      </x:c>
      <x:c r="I8" s="31" t="n">
        <x:v>385.737500419</x:v>
      </x:c>
      <x:c r="J8" s="31" t="n">
        <x:v>379.9622112461</x:v>
      </x:c>
      <x:c r="K8" s="31" t="n">
        <x:v>5.7752891729</x:v>
      </x:c>
      <x:c r="L8" s="31" t="n">
        <x:v>155.6219565335</x:v>
      </x:c>
      <x:c r="M8" s="31" t="n">
        <x:v>230.11554388550002</x:v>
      </x:c>
      <x:c r="N8" s="24" t="str">
        <x:v>sphyraena</x:v>
      </x:c>
      <x:c r="O8" s="32" t="n">
        <x:v>4.4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Sphyraena</x:v>
      </x:c>
      <x:c r="T8" s="32" t="n">
        <x:f>IF(O8="","",(1/'Metadata'!$B$5)^(O8-1))</x:f>
        <x:v>2511.886431509582</x:v>
      </x:c>
      <x:c r="U8" s="31" t="n">
        <x:f>IF(T8="","",I8*T8)</x:f>
        <x:v>968928.7934269079</x:v>
      </x:c>
    </x:row>
    <x:row r="9" ht="18" customHeight="1">
      <x:c r="A9" s="24" t="str">
        <x:v>EEZ_226</x:v>
      </x:c>
      <x:c r="B9" s="24" t="str">
        <x:v>Equatorial Guinea</x:v>
      </x:c>
      <x:c r="C9" s="24" t="str">
        <x:v>EEZ</x:v>
      </x:c>
      <x:c r="D9" s="30" t="n">
        <x:v>2019</x:v>
      </x:c>
      <x:c r="E9" s="24" t="str">
        <x:v>Carlarius heudelotii</x:v>
      </x:c>
      <x:c r="F9" s="24" t="str">
        <x:v>Smoothmouth sea catfish</x:v>
      </x:c>
      <x:c r="G9" s="24" t="str">
        <x:v>Medium demersals (30 - 89 cm)</x:v>
      </x:c>
      <x:c r="H9" s="24" t="str">
        <x:v>Other fishes &amp; inverts</x:v>
      </x:c>
      <x:c r="I9" s="31" t="n">
        <x:v>376.1332686764</x:v>
      </x:c>
      <x:c r="J9" s="31" t="n">
        <x:v>216.5965334389</x:v>
      </x:c>
      <x:c r="K9" s="31" t="n">
        <x:v>159.5367352375</x:v>
      </x:c>
      <x:c r="L9" s="31" t="n">
        <x:v>0</x:v>
      </x:c>
      <x:c r="M9" s="31" t="n">
        <x:v>376.1332686764</x:v>
      </x:c>
      <x:c r="N9" s="24" t="str">
        <x:v>carlarius heudelotii</x:v>
      </x:c>
      <x:c r="O9" s="32" t="n">
        <x:v>3.77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Carlarius heudelotii</x:v>
      </x:c>
      <x:c r="T9" s="32" t="n">
        <x:f>IF(O9="","",(1/'Metadata'!$B$5)^(O9-1))</x:f>
        <x:v>588.843655355589</x:v>
      </x:c>
      <x:c r="U9" s="31" t="n">
        <x:f>IF(T9="","",I9*T9)</x:f>
        <x:v>221483.68882825726</x:v>
      </x:c>
    </x:row>
    <x:row r="10" ht="18" customHeight="1">
      <x:c r="A10" s="24" t="str">
        <x:v>EEZ_226</x:v>
      </x:c>
      <x:c r="B10" s="24" t="str">
        <x:v>Equatorial Guinea</x:v>
      </x:c>
      <x:c r="C10" s="24" t="str">
        <x:v>EEZ</x:v>
      </x:c>
      <x:c r="D10" s="30" t="n">
        <x:v>2019</x:v>
      </x:c>
      <x:c r="E10" s="24" t="str">
        <x:v>Trachinotus</x:v>
      </x:c>
      <x:c r="F10" s="24" t="str">
        <x:v>Pompanos</x:v>
      </x:c>
      <x:c r="G10" s="24" t="str">
        <x:v>Medium pelagics (30 - 89 cm)</x:v>
      </x:c>
      <x:c r="H10" s="24" t="str">
        <x:v>Perch-likes</x:v>
      </x:c>
      <x:c r="I10" s="31" t="n">
        <x:v>343.294686261</x:v>
      </x:c>
      <x:c r="J10" s="31" t="n">
        <x:v>343.294686261</x:v>
      </x:c>
      <x:c r="K10" s="31" t="n">
        <x:v>0</x:v>
      </x:c>
      <x:c r="L10" s="31" t="n">
        <x:v>0</x:v>
      </x:c>
      <x:c r="M10" s="31" t="n">
        <x:v>343.294686261</x:v>
      </x:c>
      <x:c r="N10" s="24" t="str">
        <x:v>trachinotus</x:v>
      </x:c>
      <x:c r="O10" s="32" t="n">
        <x:v>3.69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Trachinotus</x:v>
      </x:c>
      <x:c r="T10" s="32" t="n">
        <x:f>IF(O10="","",(1/'Metadata'!$B$5)^(O10-1))</x:f>
        <x:v>489.77881936844614</x:v>
      </x:c>
      <x:c r="U10" s="31" t="n">
        <x:f>IF(T10="","",I10*T10)</x:f>
        <x:v>168138.4661323737</x:v>
      </x:c>
    </x:row>
    <x:row r="11" ht="18" customHeight="1">
      <x:c r="A11" s="24" t="str">
        <x:v>EEZ_226</x:v>
      </x:c>
      <x:c r="B11" s="24" t="str">
        <x:v>Equatorial Guinea</x:v>
      </x:c>
      <x:c r="C11" s="24" t="str">
        <x:v>EEZ</x:v>
      </x:c>
      <x:c r="D11" s="30" t="n">
        <x:v>2019</x:v>
      </x:c>
      <x:c r="E11" s="24" t="str">
        <x:v>Perciformes</x:v>
      </x:c>
      <x:c r="F11" s="24" t="str">
        <x:v>Perch-likes</x:v>
      </x:c>
      <x:c r="G11" s="24" t="str">
        <x:v>Medium demersals (30 - 89 cm)</x:v>
      </x:c>
      <x:c r="H11" s="24" t="str">
        <x:v>Perch-likes</x:v>
      </x:c>
      <x:c r="I11" s="31" t="n">
        <x:v>343.294686261</x:v>
      </x:c>
      <x:c r="J11" s="31" t="n">
        <x:v>343.294686261</x:v>
      </x:c>
      <x:c r="K11" s="31" t="n">
        <x:v>0</x:v>
      </x:c>
      <x:c r="L11" s="31" t="n">
        <x:v>0</x:v>
      </x:c>
      <x:c r="M11" s="31" t="n">
        <x:v>343.294686261</x:v>
      </x:c>
      <x:c r="N11" s="24" t="str">
        <x:v>perciformes</x:v>
      </x:c>
      <x:c r="O11" s="32" t="n">
        <x:v>3.53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Perciformes</x:v>
      </x:c>
      <x:c r="T11" s="32" t="n">
        <x:f>IF(O11="","",(1/'Metadata'!$B$5)^(O11-1))</x:f>
        <x:v>338.84415613920237</x:v>
      </x:c>
      <x:c r="U11" s="31" t="n">
        <x:f>IF(T11="","",I11*T11)</x:f>
        <x:v>116323.39827318076</x:v>
      </x:c>
    </x:row>
    <x:row r="12" ht="18" customHeight="1">
      <x:c r="A12" s="24" t="str">
        <x:v>EEZ_226</x:v>
      </x:c>
      <x:c r="B12" s="24" t="str">
        <x:v>Equatorial Guinea</x:v>
      </x:c>
      <x:c r="C12" s="24" t="str">
        <x:v>EEZ</x:v>
      </x:c>
      <x:c r="D12" s="30" t="n">
        <x:v>2019</x:v>
      </x:c>
      <x:c r="E12" s="24" t="str">
        <x:v>Serranidae</x:v>
      </x:c>
      <x:c r="F12" s="24" t="str">
        <x:v>Basses, groupers, hinds</x:v>
      </x:c>
      <x:c r="G12" s="24" t="str">
        <x:v>Medium reef assoc. fish (30 - 89 cm)</x:v>
      </x:c>
      <x:c r="H12" s="24" t="str">
        <x:v>Perch-likes</x:v>
      </x:c>
      <x:c r="I12" s="31" t="n">
        <x:v>329.1577428113</x:v>
      </x:c>
      <x:c r="J12" s="31" t="n">
        <x:v>329.1577428113</x:v>
      </x:c>
      <x:c r="K12" s="31" t="n">
        <x:v>0</x:v>
      </x:c>
      <x:c r="L12" s="31" t="n">
        <x:v>79.0508692541</x:v>
      </x:c>
      <x:c r="M12" s="31" t="n">
        <x:v>250.1068735572</x:v>
      </x:c>
      <x:c r="N12" s="24" t="str">
        <x:v>serranidae</x:v>
      </x:c>
      <x:c r="O12" s="32" t="n">
        <x:v>3.98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Serranidae</x:v>
      </x:c>
      <x:c r="T12" s="32" t="n">
        <x:f>IF(O12="","",(1/'Metadata'!$B$5)^(O12-1))</x:f>
        <x:v>954.992586021436</x:v>
      </x:c>
      <x:c r="U12" s="31" t="n">
        <x:f>IF(T12="","",I12*T12)</x:f>
        <x:v>314343.2040163421</x:v>
      </x:c>
    </x:row>
    <x:row r="13" ht="18" customHeight="1">
      <x:c r="A13" s="24" t="str">
        <x:v>EEZ_226</x:v>
      </x:c>
      <x:c r="B13" s="24" t="str">
        <x:v>Equatorial Guinea</x:v>
      </x:c>
      <x:c r="C13" s="24" t="str">
        <x:v>EEZ</x:v>
      </x:c>
      <x:c r="D13" s="30" t="n">
        <x:v>2019</x:v>
      </x:c>
      <x:c r="E13" s="24" t="str">
        <x:v>Pseudotolithus elongatus</x:v>
      </x:c>
      <x:c r="F13" s="24" t="str">
        <x:v>Bobo croaker</x:v>
      </x:c>
      <x:c r="G13" s="24" t="str">
        <x:v>Medium demersals (30 - 89 cm)</x:v>
      </x:c>
      <x:c r="H13" s="24" t="str">
        <x:v>Perch-likes</x:v>
      </x:c>
      <x:c r="I13" s="31" t="n">
        <x:v>314.3754759765</x:v>
      </x:c>
      <x:c r="J13" s="31" t="n">
        <x:v>186.0815522087</x:v>
      </x:c>
      <x:c r="K13" s="31" t="n">
        <x:v>128.2939237678</x:v>
      </x:c>
      <x:c r="L13" s="31" t="n">
        <x:v>0</x:v>
      </x:c>
      <x:c r="M13" s="31" t="n">
        <x:v>314.3754759765</x:v>
      </x:c>
      <x:c r="N13" s="24" t="str">
        <x:v>pseudotolithus elongatus</x:v>
      </x:c>
      <x:c r="O13" s="32" t="n">
        <x:v>4.06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Pseudotolithus elongatus</x:v>
      </x:c>
      <x:c r="T13" s="32" t="n">
        <x:f>IF(O13="","",(1/'Metadata'!$B$5)^(O13-1))</x:f>
        <x:v>1148.1536214968817</x:v>
      </x:c>
      <x:c r="U13" s="31" t="n">
        <x:f>IF(T13="","",I13*T13)</x:f>
        <x:v>360951.3412522244</x:v>
      </x:c>
    </x:row>
    <x:row r="14" ht="18" customHeight="1">
      <x:c r="A14" s="24" t="str">
        <x:v>EEZ_226</x:v>
      </x:c>
      <x:c r="B14" s="24" t="str">
        <x:v>Equatorial Guinea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285.1300904455</x:v>
      </x:c>
      <x:c r="J14" s="31" t="n">
        <x:v>285.1300904455</x:v>
      </x:c>
      <x:c r="K14" s="31" t="n">
        <x:v>0</x:v>
      </x:c>
      <x:c r="L14" s="31" t="n">
        <x:v>285.1300904455</x:v>
      </x:c>
      <x:c r="M14" s="31" t="n">
        <x:v>0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881136.216175916</x:v>
      </x:c>
    </x:row>
    <x:row r="15" ht="18" customHeight="1">
      <x:c r="A15" s="24" t="str">
        <x:v>EEZ_226</x:v>
      </x:c>
      <x:c r="B15" s="24" t="str">
        <x:v>Equatorial Guinea</x:v>
      </x:c>
      <x:c r="C15" s="24" t="str">
        <x:v>EEZ</x:v>
      </x:c>
      <x:c r="D15" s="30" t="n">
        <x:v>2019</x:v>
      </x:c>
      <x:c r="E15" s="24" t="str">
        <x:v>Sciaenidae</x:v>
      </x:c>
      <x:c r="F15" s="24" t="str">
        <x:v>Drums, croakers</x:v>
      </x:c>
      <x:c r="G15" s="24" t="str">
        <x:v>Medium demersals (30 - 89 cm)</x:v>
      </x:c>
      <x:c r="H15" s="24" t="str">
        <x:v>Perch-likes</x:v>
      </x:c>
      <x:c r="I15" s="31" t="n">
        <x:v>180</x:v>
      </x:c>
      <x:c r="J15" s="31" t="n">
        <x:v>180</x:v>
      </x:c>
      <x:c r="K15" s="31" t="n">
        <x:v>0</x:v>
      </x:c>
      <x:c r="L15" s="31" t="n">
        <x:v>180</x:v>
      </x:c>
      <x:c r="M15" s="31" t="n">
        <x:v>0</x:v>
      </x:c>
      <x:c r="N15" s="24" t="str">
        <x:v>sciaenidae</x:v>
      </x:c>
      <x:c r="O15" s="32" t="n">
        <x:v>3.76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Sciaenidae</x:v>
      </x:c>
      <x:c r="T15" s="32" t="n">
        <x:f>IF(O15="","",(1/'Metadata'!$B$5)^(O15-1))</x:f>
        <x:v>575.4399373371566</x:v>
      </x:c>
      <x:c r="U15" s="31" t="n">
        <x:f>IF(T15="","",I15*T15)</x:f>
        <x:v>103579.1887206882</x:v>
      </x:c>
    </x:row>
    <x:row r="16" ht="18" customHeight="1">
      <x:c r="A16" s="24" t="str">
        <x:v>EEZ_226</x:v>
      </x:c>
      <x:c r="B16" s="24" t="str">
        <x:v>Equatorial Guinea</x:v>
      </x:c>
      <x:c r="C16" s="24" t="str">
        <x:v>EEZ</x:v>
      </x:c>
      <x:c r="D16" s="30" t="n">
        <x:v>2019</x:v>
      </x:c>
      <x:c r="E16" s="24" t="str">
        <x:v>Polydactylus quadrifilis</x:v>
      </x:c>
      <x:c r="F16" s="24" t="str">
        <x:v>Giant African threadfin</x:v>
      </x:c>
      <x:c r="G16" s="24" t="str">
        <x:v>Large demersals (&gt;=90 cm)</x:v>
      </x:c>
      <x:c r="H16" s="24" t="str">
        <x:v>Perch-likes</x:v>
      </x:c>
      <x:c r="I16" s="31" t="n">
        <x:v>179.4265176394</x:v>
      </x:c>
      <x:c r="J16" s="31" t="n">
        <x:v>106.204101341</x:v>
      </x:c>
      <x:c r="K16" s="31" t="n">
        <x:v>73.2224162984</x:v>
      </x:c>
      <x:c r="L16" s="31" t="n">
        <x:v>0</x:v>
      </x:c>
      <x:c r="M16" s="31" t="n">
        <x:v>179.4265176394</x:v>
      </x:c>
      <x:c r="N16" s="24" t="str">
        <x:v>polydactylus quadrifilis</x:v>
      </x:c>
      <x:c r="O16" s="32" t="n">
        <x:v>4.01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Polydactylus quadrifilis</x:v>
      </x:c>
      <x:c r="T16" s="32" t="n">
        <x:f>IF(O16="","",(1/'Metadata'!$B$5)^(O16-1))</x:f>
        <x:v>1023.2929922807537</x:v>
      </x:c>
      <x:c r="U16" s="31" t="n">
        <x:f>IF(T16="","",I16*T16)</x:f>
        <x:v>183605.89812973706</x:v>
      </x:c>
    </x:row>
    <x:row r="17" ht="18" customHeight="1">
      <x:c r="A17" s="24" t="str">
        <x:v>EEZ_226</x:v>
      </x:c>
      <x:c r="B17" s="24" t="str">
        <x:v>Equatorial Guinea</x:v>
      </x:c>
      <x:c r="C17" s="24" t="str">
        <x:v>EEZ</x:v>
      </x:c>
      <x:c r="D17" s="30" t="n">
        <x:v>2019</x:v>
      </x:c>
      <x:c r="E17" s="24" t="str">
        <x:v>Pentanemus quinquarius</x:v>
      </x:c>
      <x:c r="F17" s="24" t="str">
        <x:v>Royal threadfin</x:v>
      </x:c>
      <x:c r="G17" s="24" t="str">
        <x:v>Small demersals (&lt;30 cm)</x:v>
      </x:c>
      <x:c r="H17" s="24" t="str">
        <x:v>Perch-likes</x:v>
      </x:c>
      <x:c r="I17" s="31" t="n">
        <x:v>159.5232839619</x:v>
      </x:c>
      <x:c r="J17" s="31" t="n">
        <x:v>159.5232839619</x:v>
      </x:c>
      <x:c r="K17" s="31" t="n">
        <x:v>0</x:v>
      </x:c>
      <x:c r="L17" s="31" t="n">
        <x:v>49.2040896299</x:v>
      </x:c>
      <x:c r="M17" s="31" t="n">
        <x:v>110.319194332</x:v>
      </x:c>
      <x:c r="N17" s="24" t="str">
        <x:v>pentanemus quinquarius</x:v>
      </x:c>
      <x:c r="O17" s="32" t="n">
        <x:v>3.56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Pentanemus quinquarius</x:v>
      </x:c>
      <x:c r="T17" s="32" t="n">
        <x:f>IF(O17="","",(1/'Metadata'!$B$5)^(O17-1))</x:f>
        <x:v>363.0780547701014</x:v>
      </x:c>
      <x:c r="U17" s="31" t="n">
        <x:f>IF(T17="","",I17*T17)</x:f>
        <x:v>57919.40363142517</x:v>
      </x:c>
    </x:row>
    <x:row r="18" ht="18" customHeight="1">
      <x:c r="A18" s="24" t="str">
        <x:v>EEZ_226</x:v>
      </x:c>
      <x:c r="B18" s="24" t="str">
        <x:v>Equatorial Guinea</x:v>
      </x:c>
      <x:c r="C18" s="24" t="str">
        <x:v>EEZ</x:v>
      </x:c>
      <x:c r="D18" s="30" t="n">
        <x:v>2019</x:v>
      </x:c>
      <x:c r="E18" s="24" t="str">
        <x:v>Drepane africana</x:v>
      </x:c>
      <x:c r="F18" s="24" t="str">
        <x:v>African sicklefish</x:v>
      </x:c>
      <x:c r="G18" s="24" t="str">
        <x:v>Medium benthopelagics (30 - 89 cm)</x:v>
      </x:c>
      <x:c r="H18" s="24" t="str">
        <x:v>Perch-likes</x:v>
      </x:c>
      <x:c r="I18" s="31" t="n">
        <x:v>153.7090069731</x:v>
      </x:c>
      <x:c r="J18" s="31" t="n">
        <x:v>111.8416317035</x:v>
      </x:c>
      <x:c r="K18" s="31" t="n">
        <x:v>41.867375269600004</x:v>
      </x:c>
      <x:c r="L18" s="31" t="n">
        <x:v>55</x:v>
      </x:c>
      <x:c r="M18" s="31" t="n">
        <x:v>98.7090069731</x:v>
      </x:c>
      <x:c r="N18" s="24" t="str">
        <x:v>drepane africana</x:v>
      </x:c>
      <x:c r="O18" s="32" t="n">
        <x:v>3.1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Drepane africana</x:v>
      </x:c>
      <x:c r="T18" s="32" t="n">
        <x:f>IF(O18="","",(1/'Metadata'!$B$5)^(O18-1))</x:f>
        <x:v>125.89254117941675</x:v>
      </x:c>
      <x:c r="U18" s="31" t="n">
        <x:f>IF(T18="","",I18*T18)</x:f>
        <x:v>19350.81749000825</x:v>
      </x:c>
    </x:row>
    <x:row r="19" ht="18" customHeight="1">
      <x:c r="A19" s="24" t="str">
        <x:v>EEZ_226</x:v>
      </x:c>
      <x:c r="B19" s="24" t="str">
        <x:v>Equatorial Guinea</x:v>
      </x:c>
      <x:c r="C19" s="24" t="str">
        <x:v>EEZ</x:v>
      </x:c>
      <x:c r="D19" s="30" t="n">
        <x:v>2019</x:v>
      </x:c>
      <x:c r="E19" s="24" t="str">
        <x:v>Pleuronectiformes</x:v>
      </x:c>
      <x:c r="F19" s="24" t="str">
        <x:v>Flatfishes</x:v>
      </x:c>
      <x:c r="G19" s="24" t="str">
        <x:v>Small to medium flatfishes (&lt;90 cm)</x:v>
      </x:c>
      <x:c r="H19" s="24" t="str">
        <x:v>Flatfishes</x:v>
      </x:c>
      <x:c r="I19" s="31" t="n">
        <x:v>150</x:v>
      </x:c>
      <x:c r="J19" s="31" t="n">
        <x:v>150</x:v>
      </x:c>
      <x:c r="K19" s="31" t="n">
        <x:v>0</x:v>
      </x:c>
      <x:c r="L19" s="31" t="n">
        <x:v>150</x:v>
      </x:c>
      <x:c r="M19" s="31" t="n">
        <x:v>0</x:v>
      </x:c>
      <x:c r="N19" s="24" t="str">
        <x:v>pleuronectiformes</x:v>
      </x:c>
      <x:c r="O19" s="32" t="n">
        <x:v>3.57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Pleuronectiformes</x:v>
      </x:c>
      <x:c r="T19" s="32" t="n">
        <x:f>IF(O19="","",(1/'Metadata'!$B$5)^(O19-1))</x:f>
        <x:v>371.5352290971724</x:v>
      </x:c>
      <x:c r="U19" s="31" t="n">
        <x:f>IF(T19="","",I19*T19)</x:f>
        <x:v>55730.28436457586</x:v>
      </x:c>
    </x:row>
    <x:row r="20" ht="18" customHeight="1">
      <x:c r="A20" s="24" t="str">
        <x:v>EEZ_226</x:v>
      </x:c>
      <x:c r="B20" s="24" t="str">
        <x:v>Equatorial Guinea</x:v>
      </x:c>
      <x:c r="C20" s="24" t="str">
        <x:v>EEZ</x:v>
      </x:c>
      <x:c r="D20" s="30" t="n">
        <x:v>2019</x:v>
      </x:c>
      <x:c r="E20" s="24" t="str">
        <x:v>Rajiformes</x:v>
      </x:c>
      <x:c r="F20" s="24" t="str">
        <x:v>Skates and rays</x:v>
      </x:c>
      <x:c r="G20" s="24" t="str">
        <x:v>Large rays (&gt;=90 cm)</x:v>
      </x:c>
      <x:c r="H20" s="24" t="str">
        <x:v>Sharks &amp; rays</x:v>
      </x:c>
      <x:c r="I20" s="31" t="n">
        <x:v>144.6776178246</x:v>
      </x:c>
      <x:c r="J20" s="31" t="n">
        <x:v>99.9191267352</x:v>
      </x:c>
      <x:c r="K20" s="31" t="n">
        <x:v>44.7584910894</x:v>
      </x:c>
      <x:c r="L20" s="31" t="n">
        <x:v>35</x:v>
      </x:c>
      <x:c r="M20" s="31" t="n">
        <x:v>109.67761782459999</x:v>
      </x:c>
      <x:c r="N20" s="24" t="str">
        <x:v>rajiformes</x:v>
      </x:c>
      <x:c r="O20" s="32" t="n">
        <x:v>3.61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Rajiformes</x:v>
      </x:c>
      <x:c r="T20" s="32" t="n">
        <x:f>IF(O20="","",(1/'Metadata'!$B$5)^(O20-1))</x:f>
        <x:v>407.3802778041126</x:v>
      </x:c>
      <x:c r="U20" s="31" t="n">
        <x:f>IF(T20="","",I20*T20)</x:f>
        <x:v>58938.80814142278</x:v>
      </x:c>
    </x:row>
    <x:row r="21" ht="18" customHeight="1">
      <x:c r="A21" s="24" t="str">
        <x:v>EEZ_226</x:v>
      </x:c>
      <x:c r="B21" s="24" t="str">
        <x:v>Equatorial Guinea</x:v>
      </x:c>
      <x:c r="C21" s="24" t="str">
        <x:v>EEZ</x:v>
      </x:c>
      <x:c r="D21" s="30" t="n">
        <x:v>2019</x:v>
      </x:c>
      <x:c r="E21" s="24" t="str">
        <x:v>Umbrina canariensis</x:v>
      </x:c>
      <x:c r="F21" s="24" t="str">
        <x:v>Canary drum</x:v>
      </x:c>
      <x:c r="G21" s="24" t="str">
        <x:v>Medium demersals (30 - 89 cm)</x:v>
      </x:c>
      <x:c r="H21" s="24" t="str">
        <x:v>Perch-likes</x:v>
      </x:c>
      <x:c r="I21" s="31" t="n">
        <x:v>140.0032264397</x:v>
      </x:c>
      <x:c r="J21" s="31" t="n">
        <x:v>82.8691156943</x:v>
      </x:c>
      <x:c r="K21" s="31" t="n">
        <x:v>57.1341107454</x:v>
      </x:c>
      <x:c r="L21" s="31" t="n">
        <x:v>0</x:v>
      </x:c>
      <x:c r="M21" s="31" t="n">
        <x:v>140.0032264397</x:v>
      </x:c>
      <x:c r="N21" s="24" t="str">
        <x:v>umbrina canariensis</x:v>
      </x:c>
      <x:c r="O21" s="32" t="n">
        <x:v>3.37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Umbrina canariensis</x:v>
      </x:c>
      <x:c r="T21" s="32" t="n">
        <x:f>IF(O21="","",(1/'Metadata'!$B$5)^(O21-1))</x:f>
        <x:v>234.42288153199226</x:v>
      </x:c>
      <x:c r="U21" s="31" t="n">
        <x:f>IF(T21="","",I21*T21)</x:f>
        <x:v>32819.95976577048</x:v>
      </x:c>
    </x:row>
    <x:row r="22" ht="18" customHeight="1">
      <x:c r="A22" s="24" t="str">
        <x:v>EEZ_226</x:v>
      </x:c>
      <x:c r="B22" s="24" t="str">
        <x:v>Equatorial Guinea</x:v>
      </x:c>
      <x:c r="C22" s="24" t="str">
        <x:v>EEZ</x:v>
      </x:c>
      <x:c r="D22" s="30" t="n">
        <x:v>2019</x:v>
      </x:c>
      <x:c r="E22" s="24" t="str">
        <x:v>Dasyatidae</x:v>
      </x:c>
      <x:c r="F22" s="24" t="str">
        <x:v>Whiptail stingrays</x:v>
      </x:c>
      <x:c r="G22" s="24" t="str">
        <x:v>Large rays (&gt;=90 cm)</x:v>
      </x:c>
      <x:c r="H22" s="24" t="str">
        <x:v>Sharks &amp; rays</x:v>
      </x:c>
      <x:c r="I22" s="31" t="n">
        <x:v>135.1568098774</x:v>
      </x:c>
      <x:c r="J22" s="31" t="n">
        <x:v>135.1568098774</x:v>
      </x:c>
      <x:c r="K22" s="31" t="n">
        <x:v>0</x:v>
      </x:c>
      <x:c r="L22" s="31" t="n">
        <x:v>35.3020432384</x:v>
      </x:c>
      <x:c r="M22" s="31" t="n">
        <x:v>99.85476663899999</x:v>
      </x:c>
      <x:c r="N22" s="24" t="str">
        <x:v>dasyatidae</x:v>
      </x:c>
      <x:c r="O22" s="32" t="n">
        <x:v>3.38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Dasyatidae</x:v>
      </x:c>
      <x:c r="T22" s="32" t="n">
        <x:f>IF(O22="","",(1/'Metadata'!$B$5)^(O22-1))</x:f>
        <x:v>239.88329190194898</x:v>
      </x:c>
      <x:c r="U22" s="31" t="n">
        <x:f>IF(T22="","",I22*T22)</x:f>
        <x:v>32421.860476356567</x:v>
      </x:c>
    </x:row>
    <x:row r="23" ht="18" customHeight="1">
      <x:c r="A23" s="24" t="str">
        <x:v>EEZ_226</x:v>
      </x:c>
      <x:c r="B23" s="24" t="str">
        <x:v>Equatorial Guinea</x:v>
      </x:c>
      <x:c r="C23" s="24" t="str">
        <x:v>EEZ</x:v>
      </x:c>
      <x:c r="D23" s="30" t="n">
        <x:v>2019</x:v>
      </x:c>
      <x:c r="E23" s="24" t="str">
        <x:v>Pseudotolithus typus</x:v>
      </x:c>
      <x:c r="F23" s="24" t="str">
        <x:v>Longneck croaker</x:v>
      </x:c>
      <x:c r="G23" s="24" t="str">
        <x:v>Large demersals (&gt;=90 cm)</x:v>
      </x:c>
      <x:c r="H23" s="24" t="str">
        <x:v>Perch-likes</x:v>
      </x:c>
      <x:c r="I23" s="31" t="n">
        <x:v>132.4778777797</x:v>
      </x:c>
      <x:c r="J23" s="31" t="n">
        <x:v>76.2874530758</x:v>
      </x:c>
      <x:c r="K23" s="31" t="n">
        <x:v>56.1904247039</x:v>
      </x:c>
      <x:c r="L23" s="31" t="n">
        <x:v>0</x:v>
      </x:c>
      <x:c r="M23" s="31" t="n">
        <x:v>132.4778777797</x:v>
      </x:c>
      <x:c r="N23" s="24" t="str">
        <x:v>pseudotolithus typus</x:v>
      </x:c>
      <x:c r="O23" s="32" t="n">
        <x:v>3.7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Pseudotolithus typus</x:v>
      </x:c>
      <x:c r="T23" s="32" t="n">
        <x:f>IF(O23="","",(1/'Metadata'!$B$5)^(O23-1))</x:f>
        <x:v>501.18723362727246</x:v>
      </x:c>
      <x:c r="U23" s="31" t="n">
        <x:f>IF(T23="","",I23*T23)</x:f>
        <x:v>66396.22108121976</x:v>
      </x:c>
    </x:row>
    <x:row r="24" ht="18" customHeight="1">
      <x:c r="A24" s="24" t="str">
        <x:v>EEZ_226</x:v>
      </x:c>
      <x:c r="B24" s="24" t="str">
        <x:v>Equatorial Guinea</x:v>
      </x:c>
      <x:c r="C24" s="24" t="str">
        <x:v>EEZ</x:v>
      </x:c>
      <x:c r="D24" s="30" t="n">
        <x:v>2019</x:v>
      </x:c>
      <x:c r="E24" s="24" t="str">
        <x:v>Coryphaena hippurus</x:v>
      </x:c>
      <x:c r="F24" s="24" t="str">
        <x:v>Common dolphinfish</x:v>
      </x:c>
      <x:c r="G24" s="24" t="str">
        <x:v>Large pelagics (&gt;=90 cm)</x:v>
      </x:c>
      <x:c r="H24" s="24" t="str">
        <x:v>Perch-likes</x:v>
      </x:c>
      <x:c r="I24" s="31" t="n">
        <x:v>82.2899132292</x:v>
      </x:c>
      <x:c r="J24" s="31" t="n">
        <x:v>82.2899132292</x:v>
      </x:c>
      <x:c r="K24" s="31" t="n">
        <x:v>0</x:v>
      </x:c>
      <x:c r="L24" s="31" t="n">
        <x:v>21.7137405094</x:v>
      </x:c>
      <x:c r="M24" s="31" t="n">
        <x:v>60.5761727198</x:v>
      </x:c>
      <x:c r="N24" s="24" t="str">
        <x:v>coryphaena hippurus</x:v>
      </x:c>
      <x:c r="O24" s="32" t="n">
        <x:v>4.37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Coryphaena hippurus</x:v>
      </x:c>
      <x:c r="T24" s="32" t="n">
        <x:f>IF(O24="","",(1/'Metadata'!$B$5)^(O24-1))</x:f>
        <x:v>2344.228815319923</x:v>
      </x:c>
      <x:c r="U24" s="31" t="n">
        <x:f>IF(T24="","",I24*T24)</x:f>
        <x:v>192906.38580206677</x:v>
      </x:c>
    </x:row>
    <x:row r="25" ht="18" customHeight="1">
      <x:c r="A25" s="24" t="str">
        <x:v>EEZ_226</x:v>
      </x:c>
      <x:c r="B25" s="24" t="str">
        <x:v>Equatorial Guinea</x:v>
      </x:c>
      <x:c r="C25" s="24" t="str">
        <x:v>EEZ</x:v>
      </x:c>
      <x:c r="D25" s="30" t="n">
        <x:v>2019</x:v>
      </x:c>
      <x:c r="E25" s="24" t="str">
        <x:v>Auxis thazard</x:v>
      </x:c>
      <x:c r="F25" s="24" t="str">
        <x:v>Frigate tuna</x:v>
      </x:c>
      <x:c r="G25" s="24" t="str">
        <x:v>Medium pelagics (30 - 89 cm)</x:v>
      </x:c>
      <x:c r="H25" s="24" t="str">
        <x:v>Tuna &amp; billfishes</x:v>
      </x:c>
      <x:c r="I25" s="31" t="n">
        <x:v>73.5387536071</x:v>
      </x:c>
      <x:c r="J25" s="31" t="n">
        <x:v>73.5387536071</x:v>
      </x:c>
      <x:c r="K25" s="31" t="n">
        <x:v>0</x:v>
      </x:c>
      <x:c r="L25" s="31" t="n">
        <x:v>73.5387536071</x:v>
      </x:c>
      <x:c r="M25" s="31" t="n">
        <x:v>0</x:v>
      </x:c>
      <x:c r="N25" s="24" t="str">
        <x:v>auxis thazard</x:v>
      </x:c>
      <x:c r="O25" s="32" t="n">
        <x:v>4.37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Auxis thazard</x:v>
      </x:c>
      <x:c r="T25" s="32" t="n">
        <x:f>IF(O25="","",(1/'Metadata'!$B$5)^(O25-1))</x:f>
        <x:v>2344.228815319923</x:v>
      </x:c>
      <x:c r="U25" s="31" t="n">
        <x:f>IF(T25="","",I25*T25)</x:f>
        <x:v>172391.66524847577</x:v>
      </x:c>
    </x:row>
    <x:row r="26" ht="18" customHeight="1">
      <x:c r="A26" s="24" t="str">
        <x:v>EEZ_226</x:v>
      </x:c>
      <x:c r="B26" s="24" t="str">
        <x:v>Equatorial Guinea</x:v>
      </x:c>
      <x:c r="C26" s="24" t="str">
        <x:v>EEZ</x:v>
      </x:c>
      <x:c r="D26" s="30" t="n">
        <x:v>2019</x:v>
      </x:c>
      <x:c r="E26" s="24" t="str">
        <x:v>Merluccius polli</x:v>
      </x:c>
      <x:c r="F26" s="24" t="str">
        <x:v>Benguela hake</x:v>
      </x:c>
      <x:c r="G26" s="24" t="str">
        <x:v>Medium bathydemersals (30 - 89 cm)</x:v>
      </x:c>
      <x:c r="H26" s="24" t="str">
        <x:v>Cod-likes</x:v>
      </x:c>
      <x:c r="I26" s="31" t="n">
        <x:v>70</x:v>
      </x:c>
      <x:c r="J26" s="31" t="n">
        <x:v>70</x:v>
      </x:c>
      <x:c r="K26" s="31" t="n">
        <x:v>0</x:v>
      </x:c>
      <x:c r="L26" s="31" t="n">
        <x:v>70</x:v>
      </x:c>
      <x:c r="M26" s="31" t="n">
        <x:v>0</x:v>
      </x:c>
      <x:c r="N26" s="24" t="str">
        <x:v>merluccius polli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Merluccius polli</x:v>
      </x:c>
      <x:c r="T26" s="32" t="n">
        <x:f>IF(O26="","",(1/'Metadata'!$B$5)^(O26-1))</x:f>
        <x:v>3162.2776601683795</x:v>
      </x:c>
      <x:c r="U26" s="31" t="n">
        <x:f>IF(T26="","",I26*T26)</x:f>
        <x:v>221359.43621178655</x:v>
      </x:c>
    </x:row>
    <x:row r="27" ht="18" customHeight="1">
      <x:c r="A27" s="24" t="str">
        <x:v>EEZ_226</x:v>
      </x:c>
      <x:c r="B27" s="24" t="str">
        <x:v>Equatorial Guinea</x:v>
      </x:c>
      <x:c r="C27" s="24" t="str">
        <x:v>EEZ</x:v>
      </x:c>
      <x:c r="D27" s="30" t="n">
        <x:v>2019</x:v>
      </x:c>
      <x:c r="E27" s="24" t="str">
        <x:v>Diplodus</x:v>
      </x:c>
      <x:c r="F27" s="24" t="str">
        <x:v>Two-toothed seabreams</x:v>
      </x:c>
      <x:c r="G27" s="24" t="str">
        <x:v>Medium benthopelagics (30 - 89 cm)</x:v>
      </x:c>
      <x:c r="H27" s="24" t="str">
        <x:v>Perch-likes</x:v>
      </x:c>
      <x:c r="I27" s="31" t="n">
        <x:v>70</x:v>
      </x:c>
      <x:c r="J27" s="31" t="n">
        <x:v>70</x:v>
      </x:c>
      <x:c r="K27" s="31" t="n">
        <x:v>0</x:v>
      </x:c>
      <x:c r="L27" s="31" t="n">
        <x:v>70</x:v>
      </x:c>
      <x:c r="M27" s="31" t="n">
        <x:v>0</x:v>
      </x:c>
      <x:c r="N27" s="24" t="str">
        <x:v>diplodus</x:v>
      </x:c>
      <x:c r="O27" s="32" t="n">
        <x:v>2.97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Diplodus</x:v>
      </x:c>
      <x:c r="T27" s="32" t="n">
        <x:f>IF(O27="","",(1/'Metadata'!$B$5)^(O27-1))</x:f>
        <x:v>93.32543007969915</x:v>
      </x:c>
      <x:c r="U27" s="31" t="n">
        <x:f>IF(T27="","",I27*T27)</x:f>
        <x:v>6532.7801055789405</x:v>
      </x:c>
    </x:row>
    <x:row r="28" ht="18" customHeight="1">
      <x:c r="A28" s="24" t="str">
        <x:v>EEZ_226</x:v>
      </x:c>
      <x:c r="B28" s="24" t="str">
        <x:v>Equatorial Guinea</x:v>
      </x:c>
      <x:c r="C28" s="24" t="str">
        <x:v>EEZ</x:v>
      </x:c>
      <x:c r="D28" s="30" t="n">
        <x:v>2019</x:v>
      </x:c>
      <x:c r="E28" s="24" t="str">
        <x:v>Carangidae</x:v>
      </x:c>
      <x:c r="F28" s="24" t="str">
        <x:v>Jacks, pompanos</x:v>
      </x:c>
      <x:c r="G28" s="24" t="str">
        <x:v>Medium pelagics (30 - 89 cm)</x:v>
      </x:c>
      <x:c r="H28" s="24" t="str">
        <x:v>Perch-likes</x:v>
      </x:c>
      <x:c r="I28" s="31" t="n">
        <x:v>69.8695483459</x:v>
      </x:c>
      <x:c r="J28" s="31" t="n">
        <x:v>69.8695483459</x:v>
      </x:c>
      <x:c r="K28" s="31" t="n">
        <x:v>0</x:v>
      </x:c>
      <x:c r="L28" s="31" t="n">
        <x:v>18.2707583991</x:v>
      </x:c>
      <x:c r="M28" s="31" t="n">
        <x:v>51.598789946800004</x:v>
      </x:c>
      <x:c r="N28" s="24" t="str">
        <x:v>carangidae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Carangidae</x:v>
      </x:c>
      <x:c r="T28" s="32" t="n">
        <x:f>IF(O28="","",(1/'Metadata'!$B$5)^(O28-1))</x:f>
        <x:v>1122.018454301963</x:v>
      </x:c>
      <x:c r="U28" s="31" t="n">
        <x:f>IF(T28="","",I28*T28)</x:f>
        <x:v>78394.92263784299</x:v>
      </x:c>
    </x:row>
    <x:row r="29" ht="18" customHeight="1">
      <x:c r="A29" s="24" t="str">
        <x:v>EEZ_226</x:v>
      </x:c>
      <x:c r="B29" s="24" t="str">
        <x:v>Equatorial Guinea</x:v>
      </x:c>
      <x:c r="C29" s="24" t="str">
        <x:v>EEZ</x:v>
      </x:c>
      <x:c r="D29" s="30" t="n">
        <x:v>2019</x:v>
      </x:c>
      <x:c r="E29" s="24" t="str">
        <x:v>Galeoides decadactylus</x:v>
      </x:c>
      <x:c r="F29" s="24" t="str">
        <x:v>Lesser African threadfin</x:v>
      </x:c>
      <x:c r="G29" s="24" t="str">
        <x:v>Medium demersals (30 - 89 cm)</x:v>
      </x:c>
      <x:c r="H29" s="24" t="str">
        <x:v>Perch-likes</x:v>
      </x:c>
      <x:c r="I29" s="31" t="n">
        <x:v>60</x:v>
      </x:c>
      <x:c r="J29" s="31" t="n">
        <x:v>60</x:v>
      </x:c>
      <x:c r="K29" s="31" t="n">
        <x:v>0</x:v>
      </x:c>
      <x:c r="L29" s="31" t="n">
        <x:v>60</x:v>
      </x:c>
      <x:c r="M29" s="31" t="n">
        <x:v>0</x:v>
      </x:c>
      <x:c r="N29" s="24" t="str">
        <x:v>galeoides decadactylus</x:v>
      </x:c>
      <x:c r="O29" s="32" t="n">
        <x:v>3.57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Galeoides decadactylus</x:v>
      </x:c>
      <x:c r="T29" s="32" t="n">
        <x:f>IF(O29="","",(1/'Metadata'!$B$5)^(O29-1))</x:f>
        <x:v>371.5352290971724</x:v>
      </x:c>
      <x:c r="U29" s="31" t="n">
        <x:f>IF(T29="","",I29*T29)</x:f>
        <x:v>22292.113745830346</x:v>
      </x:c>
    </x:row>
    <x:row r="30" ht="18" customHeight="1">
      <x:c r="A30" s="24" t="str">
        <x:v>EEZ_226</x:v>
      </x:c>
      <x:c r="B30" s="24" t="str">
        <x:v>Equatorial Guinea</x:v>
      </x:c>
      <x:c r="C30" s="24" t="str">
        <x:v>EEZ</x:v>
      </x:c>
      <x:c r="D30" s="30" t="n">
        <x:v>2019</x:v>
      </x:c>
      <x:c r="E30" s="24" t="str">
        <x:v>Pagrus africanus</x:v>
      </x:c>
      <x:c r="F30" s="24" t="str">
        <x:v>Southern common seabream</x:v>
      </x:c>
      <x:c r="G30" s="24" t="str">
        <x:v>Medium benthopelagics (30 - 89 cm)</x:v>
      </x:c>
      <x:c r="H30" s="24" t="str">
        <x:v>Perch-likes</x:v>
      </x:c>
      <x:c r="I30" s="31" t="n">
        <x:v>57.641682652</x:v>
      </x:c>
      <x:c r="J30" s="31" t="n">
        <x:v>57.641682652</x:v>
      </x:c>
      <x:c r="K30" s="31" t="n">
        <x:v>0</x:v>
      </x:c>
      <x:c r="L30" s="31" t="n">
        <x:v>12.1881566708</x:v>
      </x:c>
      <x:c r="M30" s="31" t="n">
        <x:v>45.4535259812</x:v>
      </x:c>
      <x:c r="N30" s="24" t="str">
        <x:v>pagrus africanus</x:v>
      </x:c>
      <x:c r="O30" s="32" t="n">
        <x:v>4.09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Pagrus africanus</x:v>
      </x:c>
      <x:c r="T30" s="32" t="n">
        <x:f>IF(O30="","",(1/'Metadata'!$B$5)^(O30-1))</x:f>
        <x:v>1230.268770812381</x:v>
      </x:c>
      <x:c r="U30" s="31" t="n">
        <x:f>IF(T30="","",I30*T30)</x:f>
        <x:v>70914.76206383339</x:v>
      </x:c>
    </x:row>
    <x:row r="31" ht="18" customHeight="1">
      <x:c r="A31" s="24" t="str">
        <x:v>EEZ_226</x:v>
      </x:c>
      <x:c r="B31" s="24" t="str">
        <x:v>Equatorial Guinea</x:v>
      </x:c>
      <x:c r="C31" s="24" t="str">
        <x:v>EEZ</x:v>
      </x:c>
      <x:c r="D31" s="30" t="n">
        <x:v>2019</x:v>
      </x:c>
      <x:c r="E31" s="24" t="str">
        <x:v>Prionace glauca</x:v>
      </x:c>
      <x:c r="F31" s="24" t="str">
        <x:v>Blue shark</x:v>
      </x:c>
      <x:c r="G31" s="24" t="str">
        <x:v>Large sharks (&gt;=90 cm)</x:v>
      </x:c>
      <x:c r="H31" s="24" t="str">
        <x:v>Sharks &amp; rays</x:v>
      </x:c>
      <x:c r="I31" s="31" t="n">
        <x:v>56.3602997756</x:v>
      </x:c>
      <x:c r="J31" s="31" t="n">
        <x:v>56.3602997756</x:v>
      </x:c>
      <x:c r="K31" s="31" t="n">
        <x:v>0</x:v>
      </x:c>
      <x:c r="L31" s="31" t="n">
        <x:v>56.3602997756</x:v>
      </x:c>
      <x:c r="M31" s="31" t="n">
        <x:v>0</x:v>
      </x:c>
      <x:c r="N31" s="24" t="str">
        <x:v>prionace glauca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Prionace glauca</x:v>
      </x:c>
      <x:c r="T31" s="32" t="n">
        <x:f>IF(O31="","",(1/'Metadata'!$B$5)^(O31-1))</x:f>
        <x:v>2238.7211385683377</x:v>
      </x:c>
      <x:c r="U31" s="31" t="n">
        <x:f>IF(T31="","",I31*T31)</x:f>
        <x:v>126174.99448368406</x:v>
      </x:c>
    </x:row>
    <x:row r="32" ht="18" customHeight="1">
      <x:c r="A32" s="24" t="str">
        <x:v>EEZ_226</x:v>
      </x:c>
      <x:c r="B32" s="24" t="str">
        <x:v>Equatorial Guinea</x:v>
      </x:c>
      <x:c r="C32" s="24" t="str">
        <x:v>EEZ</x:v>
      </x:c>
      <x:c r="D32" s="30" t="n">
        <x:v>2019</x:v>
      </x:c>
      <x:c r="E32" s="24" t="str">
        <x:v>Pseudotolithus</x:v>
      </x:c>
      <x:c r="F32" s="24" t="str">
        <x:v>African croakers</x:v>
      </x:c>
      <x:c r="G32" s="24" t="str">
        <x:v>Large demersals (&gt;=90 cm)</x:v>
      </x:c>
      <x:c r="H32" s="24" t="str">
        <x:v>Perch-likes</x:v>
      </x:c>
      <x:c r="I32" s="31" t="n">
        <x:v>49.0863368202</x:v>
      </x:c>
      <x:c r="J32" s="31" t="n">
        <x:v>49.0863368202</x:v>
      </x:c>
      <x:c r="K32" s="31" t="n">
        <x:v>0</x:v>
      </x:c>
      <x:c r="L32" s="31" t="n">
        <x:v>13.0833320194</x:v>
      </x:c>
      <x:c r="M32" s="31" t="n">
        <x:v>36.0030048008</x:v>
      </x:c>
      <x:c r="N32" s="24" t="str">
        <x:v>pseudotolithus</x:v>
      </x:c>
      <x:c r="O32" s="32" t="n">
        <x:v>3.79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Pseudotolithus</x:v>
      </x:c>
      <x:c r="T32" s="32" t="n">
        <x:f>IF(O32="","",(1/'Metadata'!$B$5)^(O32-1))</x:f>
        <x:v>616.5950018614822</x:v>
      </x:c>
      <x:c r="U32" s="31" t="n">
        <x:f>IF(T32="","",I32*T32)</x:f>
        <x:v>30266.389943024562</x:v>
      </x:c>
    </x:row>
    <x:row r="33" ht="18" customHeight="1">
      <x:c r="A33" s="24" t="str">
        <x:v>EEZ_226</x:v>
      </x:c>
      <x:c r="B33" s="24" t="str">
        <x:v>Equatorial Guinea</x:v>
      </x:c>
      <x:c r="C33" s="24" t="str">
        <x:v>EEZ</x:v>
      </x:c>
      <x:c r="D33" s="30" t="n">
        <x:v>2019</x:v>
      </x:c>
      <x:c r="E33" s="24" t="str">
        <x:v>Pomadasys jubelini</x:v>
      </x:c>
      <x:c r="F33" s="24" t="str">
        <x:v>Sompat grunt</x:v>
      </x:c>
      <x:c r="G33" s="24" t="str">
        <x:v>Medium demersals (30 - 89 cm)</x:v>
      </x:c>
      <x:c r="H33" s="24" t="str">
        <x:v>Perch-likes</x:v>
      </x:c>
      <x:c r="I33" s="31" t="n">
        <x:v>46.190215565299994</x:v>
      </x:c>
      <x:c r="J33" s="31" t="n">
        <x:v>46.190215565299994</x:v>
      </x:c>
      <x:c r="K33" s="31" t="n">
        <x:v>0</x:v>
      </x:c>
      <x:c r="L33" s="31" t="n">
        <x:v>12.1881566707</x:v>
      </x:c>
      <x:c r="M33" s="31" t="n">
        <x:v>34.0020588946</x:v>
      </x:c>
      <x:c r="N33" s="24" t="str">
        <x:v>pomadasys jubelini</x:v>
      </x:c>
      <x:c r="O33" s="32" t="n">
        <x:v>3.33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Pomadasys jubelini</x:v>
      </x:c>
      <x:c r="T33" s="32" t="n">
        <x:f>IF(O33="","",(1/'Metadata'!$B$5)^(O33-1))</x:f>
        <x:v>213.79620895022325</x:v>
      </x:c>
      <x:c r="U33" s="31" t="n">
        <x:f>IF(T33="","",I33*T33)</x:f>
        <x:v>9875.292978454732</x:v>
      </x:c>
    </x:row>
    <x:row r="34" ht="18" customHeight="1">
      <x:c r="A34" s="24" t="str">
        <x:v>EEZ_226</x:v>
      </x:c>
      <x:c r="B34" s="24" t="str">
        <x:v>Equatorial Guinea</x:v>
      </x:c>
      <x:c r="C34" s="24" t="str">
        <x:v>EEZ</x:v>
      </x:c>
      <x:c r="D34" s="30" t="n">
        <x:v>2019</x:v>
      </x:c>
      <x:c r="E34" s="24" t="str">
        <x:v>Sparidae</x:v>
      </x:c>
      <x:c r="F34" s="24" t="str">
        <x:v>Porgies, seabreams</x:v>
      </x:c>
      <x:c r="G34" s="24" t="str">
        <x:v>Medium benthopelagics (30 - 89 cm)</x:v>
      </x:c>
      <x:c r="H34" s="24" t="str">
        <x:v>Perch-likes</x:v>
      </x:c>
      <x:c r="I34" s="31" t="n">
        <x:v>44.4775593023</x:v>
      </x:c>
      <x:c r="J34" s="31" t="n">
        <x:v>26.3266504733</x:v>
      </x:c>
      <x:c r="K34" s="31" t="n">
        <x:v>18.150908829000002</x:v>
      </x:c>
      <x:c r="L34" s="31" t="n">
        <x:v>0</x:v>
      </x:c>
      <x:c r="M34" s="31" t="n">
        <x:v>44.4775593023</x:v>
      </x:c>
      <x:c r="N34" s="24" t="str">
        <x:v>sparidae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Sparidae</x:v>
      </x:c>
      <x:c r="T34" s="32" t="n">
        <x:f>IF(O34="","",(1/'Metadata'!$B$5)^(O34-1))</x:f>
        <x:v>204.17379446695296</x:v>
      </x:c>
      <x:c r="U34" s="31" t="n">
        <x:f>IF(T34="","",I34*T34)</x:f>
        <x:v>9081.152051379511</x:v>
      </x:c>
    </x:row>
    <x:row r="35" ht="18" customHeight="1">
      <x:c r="A35" s="24" t="str">
        <x:v>EEZ_226</x:v>
      </x:c>
      <x:c r="B35" s="24" t="str">
        <x:v>Equatorial Guinea</x:v>
      </x:c>
      <x:c r="C35" s="24" t="str">
        <x:v>EEZ</x:v>
      </x:c>
      <x:c r="D35" s="30" t="n">
        <x:v>2019</x:v>
      </x:c>
      <x:c r="E35" s="24" t="str">
        <x:v>Caranx senegallus</x:v>
      </x:c>
      <x:c r="F35" s="24" t="str">
        <x:v>Senegal jack</x:v>
      </x:c>
      <x:c r="G35" s="24" t="str">
        <x:v>Medium benthopelagics (30 - 89 cm)</x:v>
      </x:c>
      <x:c r="H35" s="24" t="str">
        <x:v>Perch-likes</x:v>
      </x:c>
      <x:c r="I35" s="31" t="n">
        <x:v>43.8415605366</x:v>
      </x:c>
      <x:c r="J35" s="31" t="n">
        <x:v>43.8415605366</x:v>
      </x:c>
      <x:c r="K35" s="31" t="n">
        <x:v>0</x:v>
      </x:c>
      <x:c r="L35" s="31" t="n">
        <x:v>11.5684198908</x:v>
      </x:c>
      <x:c r="M35" s="31" t="n">
        <x:v>32.2731406458</x:v>
      </x:c>
      <x:c r="N35" s="24" t="str">
        <x:v>caranx senegallus</x:v>
      </x:c>
      <x:c r="O35" s="32" t="n">
        <x:v>3.86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Caranx senegallus</x:v>
      </x:c>
      <x:c r="T35" s="32" t="n">
        <x:f>IF(O35="","",(1/'Metadata'!$B$5)^(O35-1))</x:f>
        <x:v>724.4359600749899</x:v>
      </x:c>
      <x:c r="U35" s="31" t="n">
        <x:f>IF(T35="","",I35*T35)</x:f>
        <x:v>31760.40299851761</x:v>
      </x:c>
    </x:row>
    <x:row r="36" ht="18" customHeight="1">
      <x:c r="A36" s="24" t="str">
        <x:v>EEZ_226</x:v>
      </x:c>
      <x:c r="B36" s="24" t="str">
        <x:v>Equatorial Guinea</x:v>
      </x:c>
      <x:c r="C36" s="24" t="str">
        <x:v>EEZ</x:v>
      </x:c>
      <x:c r="D36" s="30" t="n">
        <x:v>2019</x:v>
      </x:c>
      <x:c r="E36" s="24" t="str">
        <x:v>Chondrichthyes</x:v>
      </x:c>
      <x:c r="F36" s="24" t="str">
        <x:v>Sharks, rays, chimaeras</x:v>
      </x:c>
      <x:c r="G36" s="24" t="str">
        <x:v>Large sharks (&gt;=90 cm)</x:v>
      </x:c>
      <x:c r="H36" s="24" t="str">
        <x:v>Sharks &amp; rays</x:v>
      </x:c>
      <x:c r="I36" s="31" t="n">
        <x:v>40.7767673229</x:v>
      </x:c>
      <x:c r="J36" s="31" t="n">
        <x:v>30.2574906153</x:v>
      </x:c>
      <x:c r="K36" s="31" t="n">
        <x:v>10.5192767076</x:v>
      </x:c>
      <x:c r="L36" s="31" t="n">
        <x:v>15.0000000001</x:v>
      </x:c>
      <x:c r="M36" s="31" t="n">
        <x:v>25.776767322799998</x:v>
      </x:c>
      <x:c r="N36" s="24" t="str">
        <x:v>chondrichthyes</x:v>
      </x:c>
      <x:c r="O36" s="32" t="n">
        <x:v>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Chondrichthyes</x:v>
      </x:c>
      <x:c r="T36" s="32" t="n">
        <x:f>IF(O36="","",(1/'Metadata'!$B$5)^(O36-1))</x:f>
        <x:v>1000</x:v>
      </x:c>
      <x:c r="U36" s="31" t="n">
        <x:f>IF(T36="","",I36*T36)</x:f>
        <x:v>40776.7673229</x:v>
      </x:c>
    </x:row>
    <x:row r="37" ht="18" customHeight="1">
      <x:c r="A37" s="24" t="str">
        <x:v>EEZ_226</x:v>
      </x:c>
      <x:c r="B37" s="24" t="str">
        <x:v>Equatorial Guinea</x:v>
      </x:c>
      <x:c r="C37" s="24" t="str">
        <x:v>EEZ</x:v>
      </x:c>
      <x:c r="D37" s="30" t="n">
        <x:v>2019</x:v>
      </x:c>
      <x:c r="E37" s="24" t="str">
        <x:v>Teuthida</x:v>
      </x:c>
      <x:c r="F37" s="24" t="str">
        <x:v>Squids</x:v>
      </x:c>
      <x:c r="G37" s="24" t="str">
        <x:v>Cephalopods</x:v>
      </x:c>
      <x:c r="H37" s="24" t="str">
        <x:v>Other fishes &amp; inverts</x:v>
      </x:c>
      <x:c r="I37" s="31" t="n">
        <x:v>26.3472366239</x:v>
      </x:c>
      <x:c r="J37" s="31" t="n">
        <x:v>26.3472366239</x:v>
      </x:c>
      <x:c r="K37" s="31" t="n">
        <x:v>0</x:v>
      </x:c>
      <x:c r="L37" s="31" t="n">
        <x:v>26.3472366239</x:v>
      </x:c>
      <x:c r="M37" s="31" t="n">
        <x:v>0</x:v>
      </x:c>
      <x:c r="N37" s="24" t="str">
        <x:v>teuthida</x:v>
      </x:c>
      <x:c r="O37" s="32" t="n">
        <x:v>4.13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Teuthida</x:v>
      </x:c>
      <x:c r="T37" s="32" t="n">
        <x:f>IF(O37="","",(1/'Metadata'!$B$5)^(O37-1))</x:f>
        <x:v>1348.9628825916532</x:v>
      </x:c>
      <x:c r="U37" s="31" t="n">
        <x:f>IF(T37="","",I37*T37)</x:f>
        <x:v>35541.44426450052</x:v>
      </x:c>
    </x:row>
    <x:row r="38" ht="18" customHeight="1">
      <x:c r="A38" s="24" t="str">
        <x:v>EEZ_226</x:v>
      </x:c>
      <x:c r="B38" s="24" t="str">
        <x:v>Equatorial Guinea</x:v>
      </x:c>
      <x:c r="C38" s="24" t="str">
        <x:v>EEZ</x:v>
      </x:c>
      <x:c r="D38" s="30" t="n">
        <x:v>2019</x:v>
      </x:c>
      <x:c r="E38" s="24" t="str">
        <x:v>Thunnus thynnus</x:v>
      </x:c>
      <x:c r="F38" s="24" t="str">
        <x:v>Atlantic bluefin tuna</x:v>
      </x:c>
      <x:c r="G38" s="24" t="str">
        <x:v>Large pelagics (&gt;=90 cm)</x:v>
      </x:c>
      <x:c r="H38" s="24" t="str">
        <x:v>Tuna &amp; billfishes</x:v>
      </x:c>
      <x:c r="I38" s="31" t="n">
        <x:v>26.0468457506</x:v>
      </x:c>
      <x:c r="J38" s="31" t="n">
        <x:v>26.0468457506</x:v>
      </x:c>
      <x:c r="K38" s="31" t="n">
        <x:v>0</x:v>
      </x:c>
      <x:c r="L38" s="31" t="n">
        <x:v>26.0468457506</x:v>
      </x:c>
      <x:c r="M38" s="31" t="n">
        <x:v>0</x:v>
      </x:c>
      <x:c r="N38" s="24" t="str">
        <x:v>thunnus thynnus</x:v>
      </x:c>
      <x:c r="O38" s="32" t="n">
        <x:v>4.45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thynnus</x:v>
      </x:c>
      <x:c r="T38" s="32" t="n">
        <x:f>IF(O38="","",(1/'Metadata'!$B$5)^(O38-1))</x:f>
        <x:v>2818.382931264455</x:v>
      </x:c>
      <x:c r="U38" s="31" t="n">
        <x:f>IF(T38="","",I38*T38)</x:f>
        <x:v>73409.98547676913</x:v>
      </x:c>
    </x:row>
    <x:row r="39" ht="18" customHeight="1">
      <x:c r="A39" s="24" t="str">
        <x:v>EEZ_226</x:v>
      </x:c>
      <x:c r="B39" s="24" t="str">
        <x:v>Equatorial Guinea</x:v>
      </x:c>
      <x:c r="C39" s="24" t="str">
        <x:v>EEZ</x:v>
      </x:c>
      <x:c r="D39" s="30" t="n">
        <x:v>2019</x:v>
      </x:c>
      <x:c r="E39" s="24" t="str">
        <x:v>Ilisha africana</x:v>
      </x:c>
      <x:c r="F39" s="24" t="str">
        <x:v>West African ilisha</x:v>
      </x:c>
      <x:c r="G39" s="24" t="str">
        <x:v>Medium pelagics (30 - 89 cm)</x:v>
      </x:c>
      <x:c r="H39" s="24" t="str">
        <x:v>Herring-likes</x:v>
      </x:c>
      <x:c r="I39" s="31" t="n">
        <x:v>25.2051436713</x:v>
      </x:c>
      <x:c r="J39" s="31" t="n">
        <x:v>25.2051436713</x:v>
      </x:c>
      <x:c r="K39" s="31" t="n">
        <x:v>0</x:v>
      </x:c>
      <x:c r="L39" s="31" t="n">
        <x:v>25.0757671631</x:v>
      </x:c>
      <x:c r="M39" s="31" t="n">
        <x:v>0.1293765082</x:v>
      </x:c>
      <x:c r="N39" s="24" t="str">
        <x:v>ilisha africana</x:v>
      </x:c>
      <x:c r="O39" s="32" t="n">
        <x:v>3.59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Ilisha africana</x:v>
      </x:c>
      <x:c r="T39" s="32" t="n">
        <x:f>IF(O39="","",(1/'Metadata'!$B$5)^(O39-1))</x:f>
        <x:v>389.04514499428046</x:v>
      </x:c>
      <x:c r="U39" s="31" t="n">
        <x:f>IF(T39="","",I39*T39)</x:f>
        <x:v>9805.93877420258</x:v>
      </x:c>
    </x:row>
    <x:row r="40" ht="18" customHeight="1">
      <x:c r="A40" s="24" t="str">
        <x:v>EEZ_226</x:v>
      </x:c>
      <x:c r="B40" s="24" t="str">
        <x:v>Equatorial Guinea</x:v>
      </x:c>
      <x:c r="C40" s="24" t="str">
        <x:v>EEZ</x:v>
      </x:c>
      <x:c r="D40" s="30" t="n">
        <x:v>2019</x:v>
      </x:c>
      <x:c r="E40" s="24" t="str">
        <x:v>Trichiurus lepturus</x:v>
      </x:c>
      <x:c r="F40" s="24" t="str">
        <x:v>Largehead hairtail</x:v>
      </x:c>
      <x:c r="G40" s="24" t="str">
        <x:v>Large benthopelagics (&gt;=90 cm)</x:v>
      </x:c>
      <x:c r="H40" s="24" t="str">
        <x:v>Perch-likes</x:v>
      </x:c>
      <x:c r="I40" s="31" t="n">
        <x:v>25</x:v>
      </x:c>
      <x:c r="J40" s="31" t="n">
        <x:v>25</x:v>
      </x:c>
      <x:c r="K40" s="31" t="n">
        <x:v>0</x:v>
      </x:c>
      <x:c r="L40" s="31" t="n">
        <x:v>25</x:v>
      </x:c>
      <x:c r="M40" s="31" t="n">
        <x:v>0</x:v>
      </x:c>
      <x:c r="N40" s="24" t="str">
        <x:v>trichiurus lepturus</x:v>
      </x:c>
      <x:c r="O40" s="32" t="n">
        <x:v>4.42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Trichiurus lepturus</x:v>
      </x:c>
      <x:c r="T40" s="32" t="n">
        <x:f>IF(O40="","",(1/'Metadata'!$B$5)^(O40-1))</x:f>
        <x:v>2630.2679918953813</x:v>
      </x:c>
      <x:c r="U40" s="31" t="n">
        <x:f>IF(T40="","",I40*T40)</x:f>
        <x:v>65756.69979738453</x:v>
      </x:c>
    </x:row>
    <x:row r="41" ht="18" customHeight="1">
      <x:c r="A41" s="24" t="str">
        <x:v>EEZ_226</x:v>
      </x:c>
      <x:c r="B41" s="24" t="str">
        <x:v>Equatorial Guinea</x:v>
      </x:c>
      <x:c r="C41" s="24" t="str">
        <x:v>EEZ</x:v>
      </x:c>
      <x:c r="D41" s="30" t="n">
        <x:v>2019</x:v>
      </x:c>
      <x:c r="E41" s="24" t="str">
        <x:v>Panulirus</x:v>
      </x:c>
      <x:c r="F41" s="24" t="str">
        <x:v>Spiny lobsters</x:v>
      </x:c>
      <x:c r="G41" s="24" t="str">
        <x:v>Lobsters, crabs</x:v>
      </x:c>
      <x:c r="H41" s="24" t="str">
        <x:v>Crustaceans</x:v>
      </x:c>
      <x:c r="I41" s="31" t="n">
        <x:v>20</x:v>
      </x:c>
      <x:c r="J41" s="31" t="n">
        <x:v>20</x:v>
      </x:c>
      <x:c r="K41" s="31" t="n">
        <x:v>0</x:v>
      </x:c>
      <x:c r="L41" s="31" t="n">
        <x:v>20</x:v>
      </x:c>
      <x:c r="M41" s="31" t="n">
        <x:v>0</x:v>
      </x:c>
      <x:c r="N41" s="24" t="str">
        <x:v>panulirus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Panulirus</x:v>
      </x:c>
      <x:c r="T41" s="32" t="n">
        <x:f>IF(O41="","",(1/'Metadata'!$B$5)^(O41-1))</x:f>
        <x:v>39.810717055349734</x:v>
      </x:c>
      <x:c r="U41" s="31" t="n">
        <x:f>IF(T41="","",I41*T41)</x:f>
        <x:v>796.2143411069947</x:v>
      </x:c>
    </x:row>
    <x:row r="42" ht="18" customHeight="1">
      <x:c r="A42" s="24" t="str">
        <x:v>EEZ_226</x:v>
      </x:c>
      <x:c r="B42" s="24" t="str">
        <x:v>Equatorial Guinea</x:v>
      </x:c>
      <x:c r="C42" s="24" t="str">
        <x:v>EEZ</x:v>
      </x:c>
      <x:c r="D42" s="30" t="n">
        <x:v>2019</x:v>
      </x:c>
      <x:c r="E42" s="24" t="str">
        <x:v>Rhinobatidae</x:v>
      </x:c>
      <x:c r="F42" s="24" t="str">
        <x:v>Guitarfishes, fanrays</x:v>
      </x:c>
      <x:c r="G42" s="24" t="str">
        <x:v>Large rays (&gt;=90 cm)</x:v>
      </x:c>
      <x:c r="H42" s="24" t="str">
        <x:v>Sharks &amp; rays</x:v>
      </x:c>
      <x:c r="I42" s="31" t="n">
        <x:v>18.9632146764</x:v>
      </x:c>
      <x:c r="J42" s="31" t="n">
        <x:v>18.9632146764</x:v>
      </x:c>
      <x:c r="K42" s="31" t="n">
        <x:v>0</x:v>
      </x:c>
      <x:c r="L42" s="31" t="n">
        <x:v>5.0038006671</x:v>
      </x:c>
      <x:c r="M42" s="31" t="n">
        <x:v>13.959414009299998</x:v>
      </x:c>
      <x:c r="N42" s="24" t="str">
        <x:v>rhinobatidae</x:v>
      </x:c>
      <x:c r="O42" s="32" t="n">
        <x:v>3.7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Rhinobatidae</x:v>
      </x:c>
      <x:c r="T42" s="32" t="n">
        <x:f>IF(O42="","",(1/'Metadata'!$B$5)^(O42-1))</x:f>
        <x:v>501.18723362727246</x:v>
      </x:c>
      <x:c r="U42" s="31" t="n">
        <x:f>IF(T42="","",I42*T42)</x:f>
        <x:v>9504.12110434501</x:v>
      </x:c>
    </x:row>
    <x:row r="43" ht="18" customHeight="1">
      <x:c r="A43" s="24" t="str">
        <x:v>EEZ_226</x:v>
      </x:c>
      <x:c r="B43" s="24" t="str">
        <x:v>Equatorial Guinea</x:v>
      </x:c>
      <x:c r="C43" s="24" t="str">
        <x:v>EEZ</x:v>
      </x:c>
      <x:c r="D43" s="30" t="n">
        <x:v>2019</x:v>
      </x:c>
      <x:c r="E43" s="24" t="str">
        <x:v>Thunnus alalunga</x:v>
      </x:c>
      <x:c r="F43" s="24" t="str">
        <x:v>Albacore</x:v>
      </x:c>
      <x:c r="G43" s="24" t="str">
        <x:v>Large pelagics (&gt;=90 cm)</x:v>
      </x:c>
      <x:c r="H43" s="24" t="str">
        <x:v>Tuna &amp; billfishes</x:v>
      </x:c>
      <x:c r="I43" s="31" t="n">
        <x:v>16.4304111831</x:v>
      </x:c>
      <x:c r="J43" s="31" t="n">
        <x:v>16.4304111831</x:v>
      </x:c>
      <x:c r="K43" s="31" t="n">
        <x:v>0</x:v>
      </x:c>
      <x:c r="L43" s="31" t="n">
        <x:v>16.4304111831</x:v>
      </x:c>
      <x:c r="M43" s="31" t="n">
        <x:v>0</x:v>
      </x:c>
      <x:c r="N43" s="24" t="str">
        <x:v>thunnus alalunga</x:v>
      </x:c>
      <x:c r="O43" s="32" t="n">
        <x:v>4.3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Thunnus alalunga</x:v>
      </x:c>
      <x:c r="T43" s="32" t="n">
        <x:f>IF(O43="","",(1/'Metadata'!$B$5)^(O43-1))</x:f>
        <x:v>1995.2623149688789</x:v>
      </x:c>
      <x:c r="U43" s="31" t="n">
        <x:f>IF(T43="","",I43*T43)</x:f>
        <x:v>32782.98025308266</x:v>
      </x:c>
    </x:row>
    <x:row r="44" ht="18" customHeight="1">
      <x:c r="A44" s="24" t="str">
        <x:v>EEZ_226</x:v>
      </x:c>
      <x:c r="B44" s="24" t="str">
        <x:v>Equatorial Guinea</x:v>
      </x:c>
      <x:c r="C44" s="24" t="str">
        <x:v>EEZ</x:v>
      </x:c>
      <x:c r="D44" s="30" t="n">
        <x:v>2019</x:v>
      </x:c>
      <x:c r="E44" s="24" t="str">
        <x:v>Penaeidae</x:v>
      </x:c>
      <x:c r="F44" s="24" t="str">
        <x:v>Commercial shrimps and prawns</x:v>
      </x:c>
      <x:c r="G44" s="24" t="str">
        <x:v>Shrimps</x:v>
      </x:c>
      <x:c r="H44" s="24" t="str">
        <x:v>Crustaceans</x:v>
      </x:c>
      <x:c r="I44" s="31" t="n">
        <x:v>16.173657927900003</x:v>
      </x:c>
      <x:c r="J44" s="31" t="n">
        <x:v>9.5733274448</x:v>
      </x:c>
      <x:c r="K44" s="31" t="n">
        <x:v>6.6003304831000005</x:v>
      </x:c>
      <x:c r="L44" s="31" t="n">
        <x:v>0</x:v>
      </x:c>
      <x:c r="M44" s="31" t="n">
        <x:v>16.173657927900003</x:v>
      </x:c>
      <x:c r="N44" s="24" t="str">
        <x:v>penaeidae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Penaeidae</x:v>
      </x:c>
      <x:c r="T44" s="32" t="n">
        <x:f>IF(O44="","",(1/'Metadata'!$B$5)^(O44-1))</x:f>
        <x:v>204.17379446695296</x:v>
      </x:c>
      <x:c r="U44" s="31" t="n">
        <x:f>IF(T44="","",I44*T44)</x:f>
        <x:v>3302.2371095498593</x:v>
      </x:c>
    </x:row>
    <x:row r="45" ht="18" customHeight="1">
      <x:c r="A45" s="24" t="str">
        <x:v>EEZ_226</x:v>
      </x:c>
      <x:c r="B45" s="24" t="str">
        <x:v>Equatorial Guinea</x:v>
      </x:c>
      <x:c r="C45" s="24" t="str">
        <x:v>EEZ</x:v>
      </x:c>
      <x:c r="D45" s="30" t="n">
        <x:v>2019</x:v>
      </x:c>
      <x:c r="E45" s="24" t="str">
        <x:v>Acanthocybium solandri</x:v>
      </x:c>
      <x:c r="F45" s="24" t="str">
        <x:v>Wahoo</x:v>
      </x:c>
      <x:c r="G45" s="24" t="str">
        <x:v>Large pelagics (&gt;=90 cm)</x:v>
      </x:c>
      <x:c r="H45" s="24" t="str">
        <x:v>Perch-likes</x:v>
      </x:c>
      <x:c r="I45" s="31" t="n">
        <x:v>15.7894237395</x:v>
      </x:c>
      <x:c r="J45" s="31" t="n">
        <x:v>15.7894237395</x:v>
      </x:c>
      <x:c r="K45" s="31" t="n">
        <x:v>0</x:v>
      </x:c>
      <x:c r="L45" s="31" t="n">
        <x:v>15.7894237395</x:v>
      </x:c>
      <x:c r="M45" s="31" t="n">
        <x:v>0</x:v>
      </x:c>
      <x:c r="N45" s="24" t="str">
        <x:v>acanthocybium solandri</x:v>
      </x:c>
      <x:c r="O45" s="32" t="n">
        <x:v>4.26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Acanthocybium solandri</x:v>
      </x:c>
      <x:c r="T45" s="32" t="n">
        <x:f>IF(O45="","",(1/'Metadata'!$B$5)^(O45-1))</x:f>
        <x:v>1819.7008586099826</x:v>
      </x:c>
      <x:c r="U45" s="31" t="n">
        <x:f>IF(T45="","",I45*T45)</x:f>
        <x:v>28732.027935724993</x:v>
      </x:c>
    </x:row>
    <x:row r="46" ht="18" customHeight="1">
      <x:c r="A46" s="24" t="str">
        <x:v>EEZ_226</x:v>
      </x:c>
      <x:c r="B46" s="24" t="str">
        <x:v>Equatorial Guinea</x:v>
      </x:c>
      <x:c r="C46" s="24" t="str">
        <x:v>EEZ</x:v>
      </x:c>
      <x:c r="D46" s="30" t="n">
        <x:v>2019</x:v>
      </x:c>
      <x:c r="E46" s="24" t="str">
        <x:v>Marine pelagic fishes not identified</x:v>
      </x:c>
      <x:c r="F46" s="24" t="str">
        <x:v>Pelagic fishes</x:v>
      </x:c>
      <x:c r="G46" s="24" t="str">
        <x:v>Medium pelagics (30 - 89 cm)</x:v>
      </x:c>
      <x:c r="H46" s="24" t="str">
        <x:v>Other fishes &amp; inverts</x:v>
      </x:c>
      <x:c r="I46" s="31" t="n">
        <x:v>15.680996757199999</x:v>
      </x:c>
      <x:c r="J46" s="31" t="n">
        <x:v>15.680996757199999</x:v>
      </x:c>
      <x:c r="K46" s="31" t="n">
        <x:v>0</x:v>
      </x:c>
      <x:c r="L46" s="31" t="n">
        <x:v>15.680996757199999</x:v>
      </x:c>
      <x:c r="M46" s="31" t="n">
        <x:v>0</x:v>
      </x:c>
      <x:c r="N46" s="24" t="str">
        <x:v>marine pelagic fishes not identified</x:v>
      </x:c>
      <x:c r="O46" s="32" t="n">
        <x:v>3.35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Marine pelagic fishes not identified</x:v>
      </x:c>
      <x:c r="T46" s="32" t="n">
        <x:f>IF(O46="","",(1/'Metadata'!$B$5)^(O46-1))</x:f>
        <x:v>223.872113856834</x:v>
      </x:c>
      <x:c r="U46" s="31" t="n">
        <x:f>IF(T46="","",I46*T46)</x:f>
        <x:v>3510.537891416523</x:v>
      </x:c>
    </x:row>
    <x:row r="47" ht="18" customHeight="1">
      <x:c r="A47" s="24" t="str">
        <x:v>EEZ_226</x:v>
      </x:c>
      <x:c r="B47" s="24" t="str">
        <x:v>Equatorial Guinea</x:v>
      </x:c>
      <x:c r="C47" s="24" t="str">
        <x:v>EEZ</x:v>
      </x:c>
      <x:c r="D47" s="30" t="n">
        <x:v>2019</x:v>
      </x:c>
      <x:c r="E47" s="24" t="str">
        <x:v>Tetraodontidae</x:v>
      </x:c>
      <x:c r="F47" s="24" t="str">
        <x:v>Puffers, tobies</x:v>
      </x:c>
      <x:c r="G47" s="24" t="str">
        <x:v>Large reef assoc. fish (&gt;=90 cm)</x:v>
      </x:c>
      <x:c r="H47" s="24" t="str">
        <x:v>Other fishes &amp; inverts</x:v>
      </x:c>
      <x:c r="I47" s="31" t="n">
        <x:v>15.214031619</x:v>
      </x:c>
      <x:c r="J47" s="31" t="n">
        <x:v>15.214031619</x:v>
      </x:c>
      <x:c r="K47" s="31" t="n">
        <x:v>0</x:v>
      </x:c>
      <x:c r="L47" s="31" t="n">
        <x:v>3.8102335354</x:v>
      </x:c>
      <x:c r="M47" s="31" t="n">
        <x:v>11.4037980836</x:v>
      </x:c>
      <x:c r="N47" s="24" t="str">
        <x:v>tetraodontidae</x:v>
      </x:c>
      <x:c r="O47" s="32" t="n">
        <x:v>3.5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Tetraodontidae</x:v>
      </x:c>
      <x:c r="T47" s="32" t="n">
        <x:f>IF(O47="","",(1/'Metadata'!$B$5)^(O47-1))</x:f>
        <x:v>316.22776601683796</x:v>
      </x:c>
      <x:c r="U47" s="31" t="n">
        <x:f>IF(T47="","",I47*T47)</x:f>
        <x:v>4811.099230985907</x:v>
      </x:c>
    </x:row>
    <x:row r="48" ht="18" customHeight="1">
      <x:c r="A48" s="24" t="str">
        <x:v>EEZ_226</x:v>
      </x:c>
      <x:c r="B48" s="24" t="str">
        <x:v>Equatorial Guinea</x:v>
      </x:c>
      <x:c r="C48" s="24" t="str">
        <x:v>EEZ</x:v>
      </x:c>
      <x:c r="D48" s="30" t="n">
        <x:v>2019</x:v>
      </x:c>
      <x:c r="E48" s="24" t="str">
        <x:v>Cynoglossus</x:v>
      </x:c>
      <x:c r="F48" s="24" t="str">
        <x:v>Tonguesoles</x:v>
      </x:c>
      <x:c r="G48" s="24" t="str">
        <x:v>Small to medium flatfishes (&lt;90 cm)</x:v>
      </x:c>
      <x:c r="H48" s="24" t="str">
        <x:v>Flatfishes</x:v>
      </x:c>
      <x:c r="I48" s="31" t="n">
        <x:v>14.787827958600001</x:v>
      </x:c>
      <x:c r="J48" s="31" t="n">
        <x:v>14.787827958600001</x:v>
      </x:c>
      <x:c r="K48" s="31" t="n">
        <x:v>0</x:v>
      </x:c>
      <x:c r="L48" s="31" t="n">
        <x:v>3.9020463918</x:v>
      </x:c>
      <x:c r="M48" s="31" t="n">
        <x:v>10.8857815668</x:v>
      </x:c>
      <x:c r="N48" s="24" t="str">
        <x:v>cynoglossus</x:v>
      </x:c>
      <x:c r="O48" s="32" t="n">
        <x:v>3.36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Cynoglossus</x:v>
      </x:c>
      <x:c r="T48" s="32" t="n">
        <x:f>IF(O48="","",(1/'Metadata'!$B$5)^(O48-1))</x:f>
        <x:v>229.08676527677724</x:v>
      </x:c>
      <x:c r="U48" s="31" t="n">
        <x:f>IF(T48="","",I48*T48)</x:f>
        <x:v>3387.6956725051623</x:v>
      </x:c>
    </x:row>
    <x:row r="49" ht="18" customHeight="1">
      <x:c r="A49" s="24" t="str">
        <x:v>EEZ_226</x:v>
      </x:c>
      <x:c r="B49" s="24" t="str">
        <x:v>Equatorial Guinea</x:v>
      </x:c>
      <x:c r="C49" s="24" t="str">
        <x:v>EEZ</x:v>
      </x:c>
      <x:c r="D49" s="30" t="n">
        <x:v>2019</x:v>
      </x:c>
      <x:c r="E49" s="24" t="str">
        <x:v>Scombridae</x:v>
      </x:c>
      <x:c r="F49" s="24" t="str">
        <x:v>Mackerels, tunas, bonitos</x:v>
      </x:c>
      <x:c r="G49" s="24" t="str">
        <x:v>Medium pelagics (30 - 89 cm)</x:v>
      </x:c>
      <x:c r="H49" s="24" t="str">
        <x:v>Perch-likes</x:v>
      </x:c>
      <x:c r="I49" s="31" t="n">
        <x:v>13.0454516225</x:v>
      </x:c>
      <x:c r="J49" s="31" t="n">
        <x:v>13.0454516225</x:v>
      </x:c>
      <x:c r="K49" s="31" t="n">
        <x:v>0</x:v>
      </x:c>
      <x:c r="L49" s="31" t="n">
        <x:v>4.8490984427</x:v>
      </x:c>
      <x:c r="M49" s="31" t="n">
        <x:v>8.196353179799999</x:v>
      </x:c>
      <x:c r="N49" s="24" t="str">
        <x:v>scombridae</x:v>
      </x:c>
      <x:c r="O49" s="32" t="n">
        <x:v>4.26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Scombridae</x:v>
      </x:c>
      <x:c r="T49" s="32" t="n">
        <x:f>IF(O49="","",(1/'Metadata'!$B$5)^(O49-1))</x:f>
        <x:v>1819.7008586099826</x:v>
      </x:c>
      <x:c r="U49" s="31" t="n">
        <x:f>IF(T49="","",I49*T49)</x:f>
        <x:v>23738.81951841824</x:v>
      </x:c>
    </x:row>
    <x:row r="50" ht="18" customHeight="1">
      <x:c r="A50" s="24" t="str">
        <x:v>EEZ_226</x:v>
      </x:c>
      <x:c r="B50" s="24" t="str">
        <x:v>Equatorial Guinea</x:v>
      </x:c>
      <x:c r="C50" s="24" t="str">
        <x:v>EEZ</x:v>
      </x:c>
      <x:c r="D50" s="30" t="n">
        <x:v>2019</x:v>
      </x:c>
      <x:c r="E50" s="24" t="str">
        <x:v>Xiphias gladius</x:v>
      </x:c>
      <x:c r="F50" s="24" t="str">
        <x:v>Swordfish</x:v>
      </x:c>
      <x:c r="G50" s="24" t="str">
        <x:v>Large pelagics (&gt;=90 cm)</x:v>
      </x:c>
      <x:c r="H50" s="24" t="str">
        <x:v>Tuna &amp; billfishes</x:v>
      </x:c>
      <x:c r="I50" s="31" t="n">
        <x:v>9.6336157064</x:v>
      </x:c>
      <x:c r="J50" s="31" t="n">
        <x:v>9.6336157064</x:v>
      </x:c>
      <x:c r="K50" s="31" t="n">
        <x:v>0</x:v>
      </x:c>
      <x:c r="L50" s="31" t="n">
        <x:v>9.6336157064</x:v>
      </x:c>
      <x:c r="M50" s="31" t="n">
        <x:v>0</x:v>
      </x:c>
      <x:c r="N50" s="24" t="str">
        <x:v>xiphias gladius</x:v>
      </x:c>
      <x:c r="O50" s="32" t="n">
        <x:v>4.53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Xiphias gladius</x:v>
      </x:c>
      <x:c r="T50" s="32" t="n">
        <x:f>IF(O50="","",(1/'Metadata'!$B$5)^(O50-1))</x:f>
        <x:v>3388.4415613920273</x:v>
      </x:c>
      <x:c r="U50" s="31" t="n">
        <x:f>IF(T50="","",I50*T50)</x:f>
        <x:v>32642.943846044775</x:v>
      </x:c>
    </x:row>
    <x:row r="51" ht="18" customHeight="1">
      <x:c r="A51" s="24" t="str">
        <x:v>EEZ_226</x:v>
      </x:c>
      <x:c r="B51" s="24" t="str">
        <x:v>Equatorial Guinea</x:v>
      </x:c>
      <x:c r="C51" s="24" t="str">
        <x:v>EEZ</x:v>
      </x:c>
      <x:c r="D51" s="30" t="n">
        <x:v>2019</x:v>
      </x:c>
      <x:c r="E51" s="24" t="str">
        <x:v>Sarda sarda</x:v>
      </x:c>
      <x:c r="F51" s="24" t="str">
        <x:v>Atlantic bonito</x:v>
      </x:c>
      <x:c r="G51" s="24" t="str">
        <x:v>Medium pelagics (30 - 89 cm)</x:v>
      </x:c>
      <x:c r="H51" s="24" t="str">
        <x:v>Tuna &amp; billfishes</x:v>
      </x:c>
      <x:c r="I51" s="31" t="n">
        <x:v>7.3990977778</x:v>
      </x:c>
      <x:c r="J51" s="31" t="n">
        <x:v>7.3990977778</x:v>
      </x:c>
      <x:c r="K51" s="31" t="n">
        <x:v>0</x:v>
      </x:c>
      <x:c r="L51" s="31" t="n">
        <x:v>7.3990977778</x:v>
      </x:c>
      <x:c r="M51" s="31" t="n">
        <x:v>0</x:v>
      </x:c>
      <x:c r="N51" s="24" t="str">
        <x:v>sarda sarda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Sarda sarda</x:v>
      </x:c>
      <x:c r="T51" s="32" t="n">
        <x:f>IF(O51="","",(1/'Metadata'!$B$5)^(O51-1))</x:f>
        <x:v>3162.2776601683795</x:v>
      </x:c>
      <x:c r="U51" s="31" t="n">
        <x:f>IF(T51="","",I51*T51)</x:f>
        <x:v>23398.00160813844</x:v>
      </x:c>
    </x:row>
    <x:row r="52" ht="18" customHeight="1">
      <x:c r="A52" s="24" t="str">
        <x:v>EEZ_226</x:v>
      </x:c>
      <x:c r="B52" s="24" t="str">
        <x:v>Equatorial Guinea</x:v>
      </x:c>
      <x:c r="C52" s="24" t="str">
        <x:v>EEZ</x:v>
      </x:c>
      <x:c r="D52" s="30" t="n">
        <x:v>2019</x:v>
      </x:c>
      <x:c r="E52" s="24" t="str">
        <x:v>Ethmalosa fimbriata</x:v>
      </x:c>
      <x:c r="F52" s="24" t="str">
        <x:v>Bonga shad</x:v>
      </x:c>
      <x:c r="G52" s="24" t="str">
        <x:v>Medium pelagics (30 - 89 cm)</x:v>
      </x:c>
      <x:c r="H52" s="24" t="str">
        <x:v>Herring-likes</x:v>
      </x:c>
      <x:c r="I52" s="31" t="n">
        <x:v>6.9606797609</x:v>
      </x:c>
      <x:c r="J52" s="31" t="n">
        <x:v>6.9606797609</x:v>
      </x:c>
      <x:c r="K52" s="31" t="n">
        <x:v>0</x:v>
      </x:c>
      <x:c r="L52" s="31" t="n">
        <x:v>2.4245492217</x:v>
      </x:c>
      <x:c r="M52" s="31" t="n">
        <x:v>4.5361305392</x:v>
      </x:c>
      <x:c r="N52" s="24" t="str">
        <x:v>ethmalosa fimbriata</x:v>
      </x:c>
      <x:c r="O52" s="32" t="n">
        <x:v>2.5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Ethmalosa fimbriata</x:v>
      </x:c>
      <x:c r="T52" s="32" t="n">
        <x:f>IF(O52="","",(1/'Metadata'!$B$5)^(O52-1))</x:f>
        <x:v>31.622776601683793</x:v>
      </x:c>
      <x:c r="U52" s="31" t="n">
        <x:f>IF(T52="","",I52*T52)</x:f>
        <x:v>220.11602107480246</x:v>
      </x:c>
    </x:row>
    <x:row r="53" ht="18" customHeight="1">
      <x:c r="A53" s="24" t="str">
        <x:v>EEZ_226</x:v>
      </x:c>
      <x:c r="B53" s="24" t="str">
        <x:v>Equatorial Guinea</x:v>
      </x:c>
      <x:c r="C53" s="24" t="str">
        <x:v>EEZ</x:v>
      </x:c>
      <x:c r="D53" s="30" t="n">
        <x:v>2019</x:v>
      </x:c>
      <x:c r="E53" s="24" t="str">
        <x:v>Euthynnus alletteratus</x:v>
      </x:c>
      <x:c r="F53" s="24" t="str">
        <x:v>Little tunny </x:v>
      </x:c>
      <x:c r="G53" s="24" t="str">
        <x:v>Large pelagics (&gt;=90 cm)</x:v>
      </x:c>
      <x:c r="H53" s="24" t="str">
        <x:v>Tuna &amp; billfishes</x:v>
      </x:c>
      <x:c r="I53" s="31" t="n">
        <x:v>6.9005995563</x:v>
      </x:c>
      <x:c r="J53" s="31" t="n">
        <x:v>6.9005995563</x:v>
      </x:c>
      <x:c r="K53" s="31" t="n">
        <x:v>0</x:v>
      </x:c>
      <x:c r="L53" s="31" t="n">
        <x:v>6.9005995563</x:v>
      </x:c>
      <x:c r="M53" s="31" t="n">
        <x:v>0</x:v>
      </x:c>
      <x:c r="N53" s="24" t="str">
        <x:v>euthynnus alletteratus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Euthynnus alletteratus</x:v>
      </x:c>
      <x:c r="T53" s="32" t="n">
        <x:f>IF(O53="","",(1/'Metadata'!$B$5)^(O53-1))</x:f>
        <x:v>3090.295432513592</x:v>
      </x:c>
      <x:c r="U53" s="31" t="n">
        <x:f>IF(T53="","",I53*T53)</x:f>
        <x:v>21324.89129043921</x:v>
      </x:c>
    </x:row>
    <x:row r="54" ht="18" customHeight="1">
      <x:c r="A54" s="24" t="str">
        <x:v>EEZ_226</x:v>
      </x:c>
      <x:c r="B54" s="24" t="str">
        <x:v>Equatorial Guinea</x:v>
      </x:c>
      <x:c r="C54" s="24" t="str">
        <x:v>EEZ</x:v>
      </x:c>
      <x:c r="D54" s="30" t="n">
        <x:v>2019</x:v>
      </x:c>
      <x:c r="E54" s="24" t="str">
        <x:v>Scomber colias</x:v>
      </x:c>
      <x:c r="F54" s="24" t="str">
        <x:v>Atlantic chub mackerel</x:v>
      </x:c>
      <x:c r="G54" s="24" t="str">
        <x:v>Medium pelagics (30 - 89 cm)</x:v>
      </x:c>
      <x:c r="H54" s="24" t="str">
        <x:v>Perch-likes</x:v>
      </x:c>
      <x:c r="I54" s="31" t="n">
        <x:v>5</x:v>
      </x:c>
      <x:c r="J54" s="31" t="n">
        <x:v>5</x:v>
      </x:c>
      <x:c r="K54" s="31" t="n">
        <x:v>0</x:v>
      </x:c>
      <x:c r="L54" s="31" t="n">
        <x:v>5</x:v>
      </x:c>
      <x:c r="M54" s="31" t="n">
        <x:v>0</x:v>
      </x:c>
      <x:c r="N54" s="24" t="str">
        <x:v>scomber colias</x:v>
      </x:c>
      <x:c r="O54" s="32" t="n">
        <x:v>3.91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Scomber colias</x:v>
      </x:c>
      <x:c r="T54" s="32" t="n">
        <x:f>IF(O54="","",(1/'Metadata'!$B$5)^(O54-1))</x:f>
        <x:v>812.8305161640995</x:v>
      </x:c>
      <x:c r="U54" s="31" t="n">
        <x:f>IF(T54="","",I54*T54)</x:f>
        <x:v>4064.152580820498</x:v>
      </x:c>
    </x:row>
    <x:row r="55" ht="18" customHeight="1">
      <x:c r="A55" s="24" t="str">
        <x:v>EEZ_226</x:v>
      </x:c>
      <x:c r="B55" s="24" t="str">
        <x:v>Equatorial Guinea</x:v>
      </x:c>
      <x:c r="C55" s="24" t="str">
        <x:v>EEZ</x:v>
      </x:c>
      <x:c r="D55" s="30" t="n">
        <x:v>2019</x:v>
      </x:c>
      <x:c r="E55" s="24" t="str">
        <x:v>Octopoda</x:v>
      </x:c>
      <x:c r="F55" s="24" t="str">
        <x:v>Octopuses, argonauts</x:v>
      </x:c>
      <x:c r="G55" s="24" t="str">
        <x:v>Cephalopods</x:v>
      </x:c>
      <x:c r="H55" s="24" t="str">
        <x:v>Other fishes &amp; inverts</x:v>
      </x:c>
      <x:c r="I55" s="31" t="n">
        <x:v>5</x:v>
      </x:c>
      <x:c r="J55" s="31" t="n">
        <x:v>5</x:v>
      </x:c>
      <x:c r="K55" s="31" t="n">
        <x:v>0</x:v>
      </x:c>
      <x:c r="L55" s="31" t="n">
        <x:v>5</x:v>
      </x:c>
      <x:c r="M55" s="31" t="n">
        <x:v>0</x:v>
      </x:c>
      <x:c r="N55" s="24" t="str">
        <x:v>octopoda</x:v>
      </x:c>
      <x:c r="O55" s="32" t="n">
        <x:v>3.58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Octopoda</x:v>
      </x:c>
      <x:c r="T55" s="32" t="n">
        <x:f>IF(O55="","",(1/'Metadata'!$B$5)^(O55-1))</x:f>
        <x:v>380.1893963205613</x:v>
      </x:c>
      <x:c r="U55" s="31" t="n">
        <x:f>IF(T55="","",I55*T55)</x:f>
        <x:v>1900.9469816028063</x:v>
      </x:c>
    </x:row>
    <x:row r="56" ht="18" customHeight="1">
      <x:c r="A56" s="24" t="str">
        <x:v>EEZ_226</x:v>
      </x:c>
      <x:c r="B56" s="24" t="str">
        <x:v>Equatorial Guinea</x:v>
      </x:c>
      <x:c r="C56" s="24" t="str">
        <x:v>EEZ</x:v>
      </x:c>
      <x:c r="D56" s="30" t="n">
        <x:v>2019</x:v>
      </x:c>
      <x:c r="E56" s="24" t="str">
        <x:v>Makaira nigricans</x:v>
      </x:c>
      <x:c r="F56" s="24" t="str">
        <x:v>Blue marlin</x:v>
      </x:c>
      <x:c r="G56" s="24" t="str">
        <x:v>Large pelagics (&gt;=90 cm)</x:v>
      </x:c>
      <x:c r="H56" s="24" t="str">
        <x:v>Tuna &amp; billfishes</x:v>
      </x:c>
      <x:c r="I56" s="31" t="n">
        <x:v>3.1810951185</x:v>
      </x:c>
      <x:c r="J56" s="31" t="n">
        <x:v>3.1810951185</x:v>
      </x:c>
      <x:c r="K56" s="31" t="n">
        <x:v>0</x:v>
      </x:c>
      <x:c r="L56" s="31" t="n">
        <x:v>3.1810951185</x:v>
      </x:c>
      <x:c r="M56" s="31" t="n">
        <x:v>0</x:v>
      </x:c>
      <x:c r="N56" s="24" t="str">
        <x:v>makaira nigricans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Makaira nigricans</x:v>
      </x:c>
      <x:c r="T56" s="32" t="n">
        <x:f>IF(O56="","",(1/'Metadata'!$B$5)^(O56-1))</x:f>
        <x:v>3090.295432513592</x:v>
      </x:c>
      <x:c r="U56" s="31" t="n">
        <x:f>IF(T56="","",I56*T56)</x:f>
        <x:v>9830.523715091835</x:v>
      </x:c>
    </x:row>
    <x:row r="57" ht="18" customHeight="1">
      <x:c r="A57" s="24" t="str">
        <x:v>EEZ_226</x:v>
      </x:c>
      <x:c r="B57" s="24" t="str">
        <x:v>Equatorial Guinea</x:v>
      </x:c>
      <x:c r="C57" s="24" t="str">
        <x:v>EEZ</x:v>
      </x:c>
      <x:c r="D57" s="30" t="n">
        <x:v>2019</x:v>
      </x:c>
      <x:c r="E57" s="24" t="str">
        <x:v>Sepiidae</x:v>
      </x:c>
      <x:c r="F57" s="24" t="str">
        <x:v>Cuttlefishes</x:v>
      </x:c>
      <x:c r="G57" s="24" t="str">
        <x:v>Cephalopods</x:v>
      </x:c>
      <x:c r="H57" s="24" t="str">
        <x:v>Other fishes &amp; inverts</x:v>
      </x:c>
      <x:c r="I57" s="31" t="n">
        <x:v>2.5271340513</x:v>
      </x:c>
      <x:c r="J57" s="31" t="n">
        <x:v>1.4958324133</x:v>
      </x:c>
      <x:c r="K57" s="31" t="n">
        <x:v>1.031301638</x:v>
      </x:c>
      <x:c r="L57" s="31" t="n">
        <x:v>0</x:v>
      </x:c>
      <x:c r="M57" s="31" t="n">
        <x:v>2.5271340513</x:v>
      </x:c>
      <x:c r="N57" s="24" t="str">
        <x:v>sepiidae</x:v>
      </x:c>
      <x:c r="O57" s="32" t="n">
        <x:v>3.6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Sepiidae</x:v>
      </x:c>
      <x:c r="T57" s="32" t="n">
        <x:f>IF(O57="","",(1/'Metadata'!$B$5)^(O57-1))</x:f>
        <x:v>398.1071705534973</x:v>
      </x:c>
      <x:c r="U57" s="31" t="n">
        <x:f>IF(T57="","",I57*T57)</x:f>
        <x:v>1006.0701867724398</x:v>
      </x:c>
    </x:row>
    <x:row r="58" ht="18" customHeight="1">
      <x:c r="A58" s="24" t="str">
        <x:v>EEZ_226</x:v>
      </x:c>
      <x:c r="B58" s="24" t="str">
        <x:v>Equatorial Guinea</x:v>
      </x:c>
      <x:c r="C58" s="24" t="str">
        <x:v>EEZ</x:v>
      </x:c>
      <x:c r="D58" s="30" t="n">
        <x:v>2019</x:v>
      </x:c>
      <x:c r="E58" s="24" t="str">
        <x:v>Istiophorus albicans</x:v>
      </x:c>
      <x:c r="F58" s="24" t="str">
        <x:v>Atlantic sailfish</x:v>
      </x:c>
      <x:c r="G58" s="24" t="str">
        <x:v>Large pelagics (&gt;=90 cm)</x:v>
      </x:c>
      <x:c r="H58" s="24" t="str">
        <x:v>Tuna &amp; billfishes</x:v>
      </x:c>
      <x:c r="I58" s="31" t="n">
        <x:v>2.4778010429</x:v>
      </x:c>
      <x:c r="J58" s="31" t="n">
        <x:v>2.4778010429</x:v>
      </x:c>
      <x:c r="K58" s="31" t="n">
        <x:v>0</x:v>
      </x:c>
      <x:c r="L58" s="31" t="n">
        <x:v>2.4778010429</x:v>
      </x:c>
      <x:c r="M58" s="31" t="n">
        <x:v>0</x:v>
      </x:c>
      <x:c r="N58" s="24" t="str">
        <x:v>istiophorus albicans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Istiophorus albicans</x:v>
      </x:c>
      <x:c r="T58" s="32" t="n">
        <x:f>IF(O58="","",(1/'Metadata'!$B$5)^(O58-1))</x:f>
        <x:v>3162.2776601683795</x:v>
      </x:c>
      <x:c r="U58" s="31" t="n">
        <x:f>IF(T58="","",I58*T58)</x:f>
        <x:v>7835.494884304582</x:v>
      </x:c>
    </x:row>
    <x:row r="59" ht="18" customHeight="1">
      <x:c r="A59" s="24" t="str">
        <x:v>EEZ_226</x:v>
      </x:c>
      <x:c r="B59" s="24" t="str">
        <x:v>Equatorial Guinea</x:v>
      </x:c>
      <x:c r="C59" s="24" t="str">
        <x:v>EEZ</x:v>
      </x:c>
      <x:c r="D59" s="30" t="n">
        <x:v>2019</x:v>
      </x:c>
      <x:c r="E59" s="24" t="str">
        <x:v>Panulirus regius</x:v>
      </x:c>
      <x:c r="F59" s="24" t="str">
        <x:v>Royal spiny lobster</x:v>
      </x:c>
      <x:c r="G59" s="24" t="str">
        <x:v>Lobsters, crabs</x:v>
      </x:c>
      <x:c r="H59" s="24" t="str">
        <x:v>Crustaceans</x:v>
      </x:c>
      <x:c r="I59" s="31" t="n">
        <x:v>1.5657700192</x:v>
      </x:c>
      <x:c r="J59" s="31" t="n">
        <x:v>1.5657700192</x:v>
      </x:c>
      <x:c r="K59" s="31" t="n">
        <x:v>0</x:v>
      </x:c>
      <x:c r="L59" s="31" t="n">
        <x:v>0.4131578533</x:v>
      </x:c>
      <x:c r="M59" s="31" t="n">
        <x:v>1.1526121659</x:v>
      </x:c>
      <x:c r="N59" s="24" t="str">
        <x:v>panulirus regius</x:v>
      </x:c>
      <x:c r="O59" s="32" t="n">
        <x:v>2.6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Panulirus regius</x:v>
      </x:c>
      <x:c r="T59" s="32" t="n">
        <x:f>IF(O59="","",(1/'Metadata'!$B$5)^(O59-1))</x:f>
        <x:v>39.810717055349734</x:v>
      </x:c>
      <x:c r="U59" s="31" t="n">
        <x:f>IF(T59="","",I59*T59)</x:f>
        <x:v>62.334427208120715</x:v>
      </x:c>
    </x:row>
    <x:row r="60" ht="18" customHeight="1">
      <x:c r="A60" s="24" t="str">
        <x:v>EEZ_226</x:v>
      </x:c>
      <x:c r="B60" s="24" t="str">
        <x:v>Equatorial Guinea</x:v>
      </x:c>
      <x:c r="C60" s="24" t="str">
        <x:v>EEZ</x:v>
      </x:c>
      <x:c r="D60" s="30" t="n">
        <x:v>2019</x:v>
      </x:c>
      <x:c r="E60" s="24" t="str">
        <x:v>Epinephelus</x:v>
      </x:c>
      <x:c r="F60" s="24" t="str">
        <x:v>Seabasses, hinds</x:v>
      </x:c>
      <x:c r="G60" s="24" t="str">
        <x:v>Medium reef assoc. fish (30 - 89 cm)</x:v>
      </x:c>
      <x:c r="H60" s="24" t="str">
        <x:v>Perch-likes</x:v>
      </x:c>
      <x:c r="I60" s="31" t="n">
        <x:v>1.2554372191</x:v>
      </x:c>
      <x:c r="J60" s="31" t="n">
        <x:v>1.2554372191</x:v>
      </x:c>
      <x:c r="K60" s="31" t="n">
        <x:v>0</x:v>
      </x:c>
      <x:c r="L60" s="31" t="n">
        <x:v>0</x:v>
      </x:c>
      <x:c r="M60" s="31" t="n">
        <x:v>1.2554372191</x:v>
      </x:c>
      <x:c r="N60" s="24" t="str">
        <x:v>epinephelus</x:v>
      </x:c>
      <x:c r="O60" s="32" t="n">
        <x:v>3.84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Epinephelus</x:v>
      </x:c>
      <x:c r="T60" s="32" t="n">
        <x:f>IF(O60="","",(1/'Metadata'!$B$5)^(O60-1))</x:f>
        <x:v>691.8309709189363</x:v>
      </x:c>
      <x:c r="U60" s="31" t="n">
        <x:f>IF(T60="","",I60*T60)</x:f>
        <x:v>868.5503502177223</x:v>
      </x:c>
    </x:row>
    <x:row r="61" ht="18" customHeight="1">
      <x:c r="A61" s="24" t="str">
        <x:v>EEZ_226</x:v>
      </x:c>
      <x:c r="B61" s="24" t="str">
        <x:v>Equatorial Guinea</x:v>
      </x:c>
      <x:c r="C61" s="24" t="str">
        <x:v>EEZ</x:v>
      </x:c>
      <x:c r="D61" s="30" t="n">
        <x:v>2019</x:v>
      </x:c>
      <x:c r="E61" s="24" t="str">
        <x:v>Trachurus</x:v>
      </x:c>
      <x:c r="F61" s="24" t="str">
        <x:v>Jacks, horse mackerels</x:v>
      </x:c>
      <x:c r="G61" s="24" t="str">
        <x:v>Medium pelagics (30 - 89 cm)</x:v>
      </x:c>
      <x:c r="H61" s="24" t="str">
        <x:v>Perch-likes</x:v>
      </x:c>
      <x:c r="I61" s="31" t="n">
        <x:v>1</x:v>
      </x:c>
      <x:c r="J61" s="31" t="n">
        <x:v>1</x:v>
      </x:c>
      <x:c r="K61" s="31" t="n">
        <x:v>0</x:v>
      </x:c>
      <x:c r="L61" s="31" t="n">
        <x:v>1</x:v>
      </x:c>
      <x:c r="M61" s="31" t="n">
        <x:v>0</x:v>
      </x:c>
      <x:c r="N61" s="24" t="str">
        <x:v>trachurus</x:v>
      </x:c>
      <x:c r="O61" s="32" t="n">
        <x:v>3.69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Trachurus</x:v>
      </x:c>
      <x:c r="T61" s="32" t="n">
        <x:f>IF(O61="","",(1/'Metadata'!$B$5)^(O61-1))</x:f>
        <x:v>489.77881936844614</x:v>
      </x:c>
      <x:c r="U61" s="31" t="n">
        <x:f>IF(T61="","",I61*T61)</x:f>
        <x:v>489.77881936844614</x:v>
      </x:c>
    </x:row>
    <x:row r="62" ht="18" customHeight="1">
      <x:c r="A62" s="24" t="str">
        <x:v>EEZ_226</x:v>
      </x:c>
      <x:c r="B62" s="24" t="str">
        <x:v>Equatorial Guinea</x:v>
      </x:c>
      <x:c r="C62" s="24" t="str">
        <x:v>EEZ</x:v>
      </x:c>
      <x:c r="D62" s="30" t="n">
        <x:v>2019</x:v>
      </x:c>
      <x:c r="E62" s="24" t="str">
        <x:v>Isurus oxyrinchus</x:v>
      </x:c>
      <x:c r="F62" s="24" t="str">
        <x:v>Shortfin mako</x:v>
      </x:c>
      <x:c r="G62" s="24" t="str">
        <x:v>Large sharks (&gt;=90 cm)</x:v>
      </x:c>
      <x:c r="H62" s="24" t="str">
        <x:v>Sharks &amp; rays</x:v>
      </x:c>
      <x:c r="I62" s="31" t="n">
        <x:v>0.5078343709</x:v>
      </x:c>
      <x:c r="J62" s="31" t="n">
        <x:v>0.5078343709</x:v>
      </x:c>
      <x:c r="K62" s="31" t="n">
        <x:v>0</x:v>
      </x:c>
      <x:c r="L62" s="31" t="n">
        <x:v>0.5078343709</x:v>
      </x:c>
      <x:c r="M62" s="31" t="n">
        <x:v>0</x:v>
      </x:c>
      <x:c r="N62" s="24" t="str">
        <x:v>isurus oxyrinchus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Isurus oxyrinchus</x:v>
      </x:c>
      <x:c r="T62" s="32" t="n">
        <x:f>IF(O62="","",(1/'Metadata'!$B$5)^(O62-1))</x:f>
        <x:v>3162.2776601683795</x:v>
      </x:c>
      <x:c r="U62" s="31" t="n">
        <x:f>IF(T62="","",I62*T62)</x:f>
        <x:v>1605.9132861627331</x:v>
      </x:c>
    </x:row>
    <x:row r="63" ht="18" customHeight="1">
      <x:c r="A63" s="24" t="str">
        <x:v>EEZ_226</x:v>
      </x:c>
      <x:c r="B63" s="24" t="str">
        <x:v>Equatorial Guinea</x:v>
      </x:c>
      <x:c r="C63" s="24" t="str">
        <x:v>EEZ</x:v>
      </x:c>
      <x:c r="D63" s="30" t="n">
        <x:v>2019</x:v>
      </x:c>
      <x:c r="E63" s="24" t="str">
        <x:v>Palinuridae</x:v>
      </x:c>
      <x:c r="F63" s="24" t="str">
        <x:v>Spiny lobsters</x:v>
      </x:c>
      <x:c r="G63" s="24" t="str">
        <x:v>Lobsters, crabs</x:v>
      </x:c>
      <x:c r="H63" s="24" t="str">
        <x:v>Crustaceans</x:v>
      </x:c>
      <x:c r="I63" s="31" t="n">
        <x:v>0.5054268102</x:v>
      </x:c>
      <x:c r="J63" s="31" t="n">
        <x:v>0.2991664827</x:v>
      </x:c>
      <x:c r="K63" s="31" t="n">
        <x:v>0.2062603275</x:v>
      </x:c>
      <x:c r="L63" s="31" t="n">
        <x:v>0</x:v>
      </x:c>
      <x:c r="M63" s="31" t="n">
        <x:v>0.5054268102</x:v>
      </x:c>
      <x:c r="N63" s="24" t="str">
        <x:v>palinuridae</x:v>
      </x:c>
      <x:c r="O63" s="32" t="n">
        <x:v>3.14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Palinuridae</x:v>
      </x:c>
      <x:c r="T63" s="32" t="n">
        <x:f>IF(O63="","",(1/'Metadata'!$B$5)^(O63-1))</x:f>
        <x:v>138.03842646028852</x:v>
      </x:c>
      <x:c r="U63" s="31" t="n">
        <x:f>IF(T63="","",I63*T63)</x:f>
        <x:v>69.7683215708509</x:v>
      </x:c>
    </x:row>
    <x:row r="64" ht="18" customHeight="1">
      <x:c r="A64" s="24" t="str">
        <x:v>EEZ_226</x:v>
      </x:c>
      <x:c r="B64" s="24" t="str">
        <x:v>Equatorial Guinea</x:v>
      </x:c>
      <x:c r="C64" s="24" t="str">
        <x:v>EEZ</x:v>
      </x:c>
      <x:c r="D64" s="30" t="n">
        <x:v>2019</x:v>
      </x:c>
      <x:c r="E64" s="24" t="str">
        <x:v>Sphyraena barracuda</x:v>
      </x:c>
      <x:c r="F64" s="24" t="str">
        <x:v>Great barracuda</x:v>
      </x:c>
      <x:c r="G64" s="24" t="str">
        <x:v>Large pelagics (&gt;=90 cm)</x:v>
      </x:c>
      <x:c r="H64" s="24" t="str">
        <x:v>Perch-likes</x:v>
      </x:c>
      <x:c r="I64" s="31" t="n">
        <x:v>0.4815783462</x:v>
      </x:c>
      <x:c r="J64" s="31" t="n">
        <x:v>0.4815783462</x:v>
      </x:c>
      <x:c r="K64" s="31" t="n">
        <x:v>0</x:v>
      </x:c>
      <x:c r="L64" s="31" t="n">
        <x:v>0.4815783462</x:v>
      </x:c>
      <x:c r="M64" s="31" t="n">
        <x:v>0</x:v>
      </x:c>
      <x:c r="N64" s="24" t="str">
        <x:v>sphyraena barracuda</x:v>
      </x:c>
      <x:c r="O64" s="32" t="n">
        <x:v>4.49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Sphyraena barracuda</x:v>
      </x:c>
      <x:c r="T64" s="32" t="n">
        <x:f>IF(O64="","",(1/'Metadata'!$B$5)^(O64-1))</x:f>
        <x:v>3090.295432513592</x:v>
      </x:c>
      <x:c r="U64" s="31" t="n">
        <x:f>IF(T64="","",I64*T64)</x:f>
        <x:v>1488.2193636593095</x:v>
      </x:c>
    </x:row>
    <x:row r="65" ht="18" customHeight="1">
      <x:c r="A65" s="24" t="str">
        <x:v>EEZ_226</x:v>
      </x:c>
      <x:c r="B65" s="24" t="str">
        <x:v>Equatorial Guinea</x:v>
      </x:c>
      <x:c r="C65" s="24" t="str">
        <x:v>EEZ</x:v>
      </x:c>
      <x:c r="D65" s="30" t="n">
        <x:v>2019</x:v>
      </x:c>
      <x:c r="E65" s="24" t="str">
        <x:v>Kajikia albida</x:v>
      </x:c>
      <x:c r="F65" s="24" t="str">
        <x:v>Atlantic white marlin</x:v>
      </x:c>
      <x:c r="G65" s="24" t="str">
        <x:v>Large pelagics (&gt;=90 cm)</x:v>
      </x:c>
      <x:c r="H65" s="24" t="str">
        <x:v>Tuna &amp; billfishes</x:v>
      </x:c>
      <x:c r="I65" s="31" t="n">
        <x:v>0.0951063491</x:v>
      </x:c>
      <x:c r="J65" s="31" t="n">
        <x:v>0.0951063491</x:v>
      </x:c>
      <x:c r="K65" s="31" t="n">
        <x:v>0</x:v>
      </x:c>
      <x:c r="L65" s="31" t="n">
        <x:v>0.0951063491</x:v>
      </x:c>
      <x:c r="M65" s="31" t="n">
        <x:v>0</x:v>
      </x:c>
      <x:c r="N65" s="24" t="str">
        <x:v>kajikia albida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Kajikia albida</x:v>
      </x:c>
      <x:c r="T65" s="32" t="n">
        <x:f>IF(O65="","",(1/'Metadata'!$B$5)^(O65-1))</x:f>
        <x:v>3090.295432513592</x:v>
      </x:c>
      <x:c r="U65" s="31" t="n">
        <x:f>IF(T65="","",I65*T65)</x:f>
        <x:v>293.9067162267732</x:v>
      </x:c>
    </x:row>
    <x:row r="66" ht="18" customHeight="1">
      <x:c r="A66" s="24" t="str">
        <x:v>EEZ_226</x:v>
      </x:c>
      <x:c r="B66" s="24" t="str">
        <x:v>Equatorial Guinea</x:v>
      </x:c>
      <x:c r="C66" s="24" t="str">
        <x:v>EEZ</x:v>
      </x:c>
      <x:c r="D66" s="30" t="n">
        <x:v>2019</x:v>
      </x:c>
      <x:c r="E66" s="24" t="str">
        <x:v>Tetrapturus pfluegeri</x:v>
      </x:c>
      <x:c r="F66" s="24" t="str">
        <x:v>Longbill spearfish</x:v>
      </x:c>
      <x:c r="G66" s="24" t="str">
        <x:v>Large pelagics (&gt;=90 cm)</x:v>
      </x:c>
      <x:c r="H66" s="24" t="str">
        <x:v>Tuna &amp; billfishes</x:v>
      </x:c>
      <x:c r="I66" s="31" t="n">
        <x:v>0.0177387967</x:v>
      </x:c>
      <x:c r="J66" s="31" t="n">
        <x:v>0.0177387967</x:v>
      </x:c>
      <x:c r="K66" s="31" t="n">
        <x:v>0</x:v>
      </x:c>
      <x:c r="L66" s="31" t="n">
        <x:v>0.0177387967</x:v>
      </x:c>
      <x:c r="M66" s="31" t="n">
        <x:v>0</x:v>
      </x:c>
      <x:c r="N66" s="24" t="str">
        <x:v>tetrapturus pfluegeri</x:v>
      </x:c>
      <x:c r="O66" s="32" t="n">
        <x:v>4.4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Tetrapturus pfluegeri</x:v>
      </x:c>
      <x:c r="T66" s="32" t="n">
        <x:f>IF(O66="","",(1/'Metadata'!$B$5)^(O66-1))</x:f>
        <x:v>2511.886431509582</x:v>
      </x:c>
      <x:c r="U66" s="31" t="n">
        <x:f>IF(T66="","",I66*T66)</x:f>
        <x:v>44.557842742036954</x:v>
      </x:c>
    </x:row>
    <x:row r="67" ht="18" customHeight="1">
      <x:c r="A67" s="24" t="str">
        <x:v>EEZ_226</x:v>
      </x:c>
      <x:c r="B67" s="24" t="str">
        <x:v>Equatorial Guinea</x:v>
      </x:c>
      <x:c r="C67" s="24" t="str">
        <x:v>EEZ</x:v>
      </x:c>
      <x:c r="D67" s="30" t="n">
        <x:v>2019</x:v>
      </x:c>
      <x:c r="E67" s="24" t="str">
        <x:v>Scomberomorus tritor</x:v>
      </x:c>
      <x:c r="F67" s="24" t="str">
        <x:v>West African Spanish mackerel</x:v>
      </x:c>
      <x:c r="G67" s="24" t="str">
        <x:v>Medium pelagics (30 - 89 cm)</x:v>
      </x:c>
      <x:c r="H67" s="24" t="str">
        <x:v>Perch-likes</x:v>
      </x:c>
      <x:c r="I67" s="31" t="n">
        <x:v>0.0000085613</x:v>
      </x:c>
      <x:c r="J67" s="31" t="n">
        <x:v>0.0000085613</x:v>
      </x:c>
      <x:c r="K67" s="31" t="n">
        <x:v>0</x:v>
      </x:c>
      <x:c r="L67" s="31" t="n">
        <x:v>0.0000085613</x:v>
      </x:c>
      <x:c r="M67" s="31" t="n">
        <x:v>0</x:v>
      </x:c>
      <x:c r="N67" s="24" t="str">
        <x:v>scomberomorus tritor</x:v>
      </x:c>
      <x:c r="O67" s="32" t="n">
        <x:v>4.26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Scomberomorus tritor</x:v>
      </x:c>
      <x:c r="T67" s="32" t="n">
        <x:f>IF(O67="","",(1/'Metadata'!$B$5)^(O67-1))</x:f>
        <x:v>1819.7008586099826</x:v>
      </x:c>
      <x:c r="U67" s="31" t="n">
        <x:f>IF(T67="","",I67*T67)</x:f>
        <x:v>0.015579004960817645</x:v>
      </x:c>
    </x:row>
  </x:sheetData>
  <x:conditionalFormatting sqref="R2:R6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ff69c657bb54a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70</x:v>
      </x:c>
      <x:c r="C2" s="32" t="n">
        <x:v>4.5</x:v>
      </x:c>
      <x:c r="D2" s="32" t="n">
        <x:f>IF(C2="","",(1/'Metadata'!$B$5)^(C2-1))</x:f>
        <x:v>3162.2776601683795</x:v>
      </x:c>
      <x:c r="E2" s="31" t="n">
        <x:f>IF(B2=0,"",B2*D2)</x:f>
        <x:v>221359.43621178655</x:v>
      </x:c>
    </x:row>
    <x:row r="3" ht="18" customHeight="1">
      <x:c r="A3" s="24" t="str">
        <x:v>Crustaceans</x:v>
      </x:c>
      <x:c r="B3" s="31" t="n">
        <x:v>38.244854757300004</x:v>
      </x:c>
      <x:c r="C3" s="32" t="n">
        <x:v>2.9073937051381535</x:v>
      </x:c>
      <x:c r="D3" s="32" t="n">
        <x:f>IF(C3="","",(1/'Metadata'!$B$5)^(C3-1))</x:f>
        <x:v>80.79671525546404</x:v>
      </x:c>
      <x:c r="E3" s="31" t="n">
        <x:f>IF(B3=0,"",B3*D3)</x:f>
        <x:v>3090.0586398121477</x:v>
      </x:c>
    </x:row>
    <x:row r="4" ht="18" customHeight="1">
      <x:c r="A4" s="24" t="str">
        <x:v>Flatfishes</x:v>
      </x:c>
      <x:c r="B4" s="31" t="n">
        <x:v>164.7878279586</x:v>
      </x:c>
      <x:c r="C4" s="32" t="n">
        <x:v>3.551154895299147</x:v>
      </x:c>
      <x:c r="D4" s="32" t="n">
        <x:f>IF(C4="","",(1/'Metadata'!$B$5)^(C4-1))</x:f>
        <x:v>355.75818051715027</x:v>
      </x:c>
      <x:c r="E4" s="31" t="n">
        <x:f>IF(B4=0,"",B4*D4)</x:f>
        <x:v>58624.61784592472</x:v>
      </x:c>
    </x:row>
    <x:row r="5" ht="18" customHeight="1">
      <x:c r="A5" s="24" t="str">
        <x:v>Herring-likes</x:v>
      </x:c>
      <x:c r="B5" s="31" t="n">
        <x:v>32.1658234322</x:v>
      </x:c>
      <x:c r="C5" s="32" t="n">
        <x:v>3.3541241501131354</x:v>
      </x:c>
      <x:c r="D5" s="32" t="n">
        <x:f>IF(C5="","",(1/'Metadata'!$B$5)^(C5-1))</x:f>
        <x:v>226.0081758867061</x:v>
      </x:c>
      <x:c r="E5" s="31" t="n">
        <x:f>IF(B5=0,"",B5*D5)</x:f>
        <x:v>7269.73907980539</x:v>
      </x:c>
    </x:row>
    <x:row r="6" ht="18" customHeight="1">
      <x:c r="A6" s="24" t="str">
        <x:v>Other fishes &amp; inverts</x:v>
      </x:c>
      <x:c r="B6" s="31" t="n">
        <x:v>14079.809008529699</x:v>
      </x:c>
      <x:c r="C6" s="32" t="n">
        <x:v>3.283796492720531</x:v>
      </x:c>
      <x:c r="D6" s="32" t="n">
        <x:f>IF(C6="","",(1/'Metadata'!$B$5)^(C6-1))</x:f>
        <x:v>192.2190793020899</x:v>
      </x:c>
      <x:c r="E6" s="31" t="n">
        <x:f>IF(B6=0,"",B6*D6)</x:f>
        <x:v>2706407.92436885</x:v>
      </x:c>
    </x:row>
    <x:row r="7" ht="18" customHeight="1">
      <x:c r="A7" s="24" t="str">
        <x:v>Perch-likes</x:v>
      </x:c>
      <x:c r="B7" s="31" t="n">
        <x:v>5903.4041785493</x:v>
      </x:c>
      <x:c r="C7" s="32" t="n">
        <x:v>3.577115006838783</x:v>
      </x:c>
      <x:c r="D7" s="32" t="n">
        <x:f>IF(C7="","",(1/'Metadata'!$B$5)^(C7-1))</x:f>
        <x:v>377.6721902022821</x:v>
      </x:c>
      <x:c r="E7" s="31" t="n">
        <x:f>IF(B7=0,"",B7*D7)</x:f>
        <x:v>2229551.585762018</x:v>
      </x:c>
    </x:row>
    <x:row r="8" ht="18" customHeight="1">
      <x:c r="A8" s="24" t="str">
        <x:v>Sharks &amp; rays</x:v>
      </x:c>
      <x:c r="B8" s="31" t="n">
        <x:v>396.4425438478</x:v>
      </x:c>
      <x:c r="C8" s="32" t="n">
        <x:v>3.682348836355115</x:v>
      </x:c>
      <x:c r="D8" s="32" t="n">
        <x:f>IF(C8="","",(1/'Metadata'!$B$5)^(C8-1))</x:f>
        <x:v>481.2257259768299</x:v>
      </x:c>
      <x:c r="E8" s="31" t="n">
        <x:f>IF(B8=0,"",B8*D8)</x:f>
        <x:v>190778.35097125877</x:v>
      </x:c>
    </x:row>
    <x:row r="9" ht="18" customHeight="1">
      <x:c r="A9" s="24" t="str">
        <x:v>Tuna &amp; billfishes</x:v>
      </x:c>
      <x:c r="B9" s="31" t="n">
        <x:v>2409.3382904826003</x:v>
      </x:c>
      <x:c r="C9" s="32" t="n">
        <x:v>4.42795402222293</x:v>
      </x:c>
      <x:c r="D9" s="32" t="n">
        <x:f>IF(C9="","",(1/'Metadata'!$B$5)^(C9-1))</x:f>
        <x:v>2678.884702325946</x:v>
      </x:c>
      <x:c r="E9" s="31" t="n">
        <x:f>IF(B9=0,"",B9*D9)</x:f>
        <x:v>6454339.489101985</x:v>
      </x:c>
    </x:row>
  </x:sheetData>
  <x:pageMargins left="0.7" right="0.7" top="0.75" bottom="0.75" header="0.3" footer="0.3"/>
  <x:tableParts count="1">
    <x:tablePart xmlns:r="http://schemas.openxmlformats.org/officeDocument/2006/relationships" r:id="R901b1329bf9242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33.8743706752</x:v>
      </x:c>
      <x:c r="C2" s="32" t="n">
        <x:v>4.009278021534348</x:v>
      </x:c>
      <x:c r="D2" s="32" t="n">
        <x:f>IF(C2="","",(1/'Metadata'!$B$5)^(C2-1))</x:f>
        <x:v>1021.5932659836401</x:v>
      </x:c>
      <x:c r="E2" s="31" t="n">
        <x:f>IF(B2=0,"",B2*D2)</x:f>
        <x:v>34605.82897121801</x:v>
      </x:c>
    </x:row>
    <x:row r="3" ht="18" customHeight="1">
      <x:c r="A3" s="24" t="str">
        <x:v>Large benthopelagics (&gt;=90 cm)</x:v>
      </x:c>
      <x:c r="B3" s="31" t="n">
        <x:v>25</x:v>
      </x:c>
      <x:c r="C3" s="32" t="n">
        <x:v>4.42</x:v>
      </x:c>
      <x:c r="D3" s="32" t="n">
        <x:f>IF(C3="","",(1/'Metadata'!$B$5)^(C3-1))</x:f>
        <x:v>2630.2679918953813</x:v>
      </x:c>
      <x:c r="E3" s="31" t="n">
        <x:f>IF(B3=0,"",B3*D3)</x:f>
        <x:v>65756.69979738453</x:v>
      </x:c>
    </x:row>
    <x:row r="4" ht="18" customHeight="1">
      <x:c r="A4" s="24" t="str">
        <x:v>Large demersals (&gt;=90 cm)</x:v>
      </x:c>
      <x:c r="B4" s="31" t="n">
        <x:v>360.99073223930003</x:v>
      </x:c>
      <x:c r="C4" s="32" t="n">
        <x:v>3.866320033784777</x:v>
      </x:c>
      <x:c r="D4" s="32" t="n">
        <x:f>IF(C4="","",(1/'Metadata'!$B$5)^(C4-1))</x:f>
        <x:v>735.0553345955153</x:v>
      </x:c>
      <x:c r="E4" s="31" t="n">
        <x:f>IF(B4=0,"",B4*D4)</x:f>
        <x:v>265348.16347203875</x:v>
      </x:c>
    </x:row>
    <x:row r="5" ht="18" customHeight="1">
      <x:c r="A5" s="24" t="str">
        <x:v>Large pelagics (&gt;=90 cm)</x:v>
      </x:c>
      <x:c r="B5" s="31" t="n">
        <x:v>2812.6988548316003</x:v>
      </x:c>
      <x:c r="C5" s="32" t="n">
        <x:v>4.42281832417489</x:v>
      </x:c>
      <x:c r="D5" s="32" t="n">
        <x:f>IF(C5="","",(1/'Metadata'!$B$5)^(C5-1))</x:f>
        <x:v>2647.3924390159914</x:v>
      </x:c>
      <x:c r="E5" s="31" t="n">
        <x:f>IF(B5=0,"",B5*D5)</x:f>
        <x:v>7446317.681510116</x:v>
      </x:c>
    </x:row>
    <x:row r="6" ht="18" customHeight="1">
      <x:c r="A6" s="24" t="str">
        <x:v>Large rays (&gt;=90 cm)</x:v>
      </x:c>
      <x:c r="B6" s="31" t="n">
        <x:v>298.7976423784</x:v>
      </x:c>
      <x:c r="C6" s="32" t="n">
        <x:v>3.511674669461683</x:v>
      </x:c>
      <x:c r="D6" s="32" t="n">
        <x:f>IF(C6="","",(1/'Metadata'!$B$5)^(C6-1))</x:f>
        <x:v>324.84386527434384</x:v>
      </x:c>
      <x:c r="E6" s="31" t="n">
        <x:f>IF(B6=0,"",B6*D6)</x:f>
        <x:v>97062.58108506053</x:v>
      </x:c>
    </x:row>
    <x:row r="7" ht="18" customHeight="1">
      <x:c r="A7" s="24" t="str">
        <x:v>Large reef assoc. fish (&gt;=90 cm)</x:v>
      </x:c>
      <x:c r="B7" s="31" t="n">
        <x:v>15.214031619</x:v>
      </x:c>
      <x:c r="C7" s="32" t="n">
        <x:v>3.5</x:v>
      </x:c>
      <x:c r="D7" s="32" t="n">
        <x:f>IF(C7="","",(1/'Metadata'!$B$5)^(C7-1))</x:f>
        <x:v>316.22776601683796</x:v>
      </x:c>
      <x:c r="E7" s="31" t="n">
        <x:f>IF(B7=0,"",B7*D7)</x:f>
        <x:v>4811.099230985907</x:v>
      </x:c>
    </x:row>
    <x:row r="8" ht="18" customHeight="1">
      <x:c r="A8" s="24" t="str">
        <x:v>Large sharks (&gt;=90 cm)</x:v>
      </x:c>
      <x:c r="B8" s="31" t="n">
        <x:v>97.6449014694</x:v>
      </x:c>
      <x:c r="C8" s="32" t="n">
        <x:v>4.204619204958401</x:v>
      </x:c>
      <x:c r="D8" s="32" t="n">
        <x:f>IF(C8="","",(1/'Metadata'!$B$5)^(C8-1))</x:f>
        <x:v>1601.8402604195587</x:v>
      </x:c>
      <x:c r="E8" s="31" t="n">
        <x:f>IF(B8=0,"",B8*D8)</x:f>
        <x:v>156411.53439838585</x:v>
      </x:c>
    </x:row>
    <x:row r="9" ht="18" customHeight="1">
      <x:c r="A9" s="24" t="str">
        <x:v>Lobsters, crabs</x:v>
      </x:c>
      <x:c r="B9" s="31" t="n">
        <x:v>22.071196829399998</x:v>
      </x:c>
      <x:c r="C9" s="32" t="n">
        <x:v>2.612365911990076</x:v>
      </x:c>
      <x:c r="D9" s="32" t="n">
        <x:f>IF(C9="","",(1/'Metadata'!$B$5)^(C9-1))</x:f>
        <x:v>40.960562493978195</x:v>
      </x:c>
      <x:c r="E9" s="31" t="n">
        <x:f>IF(B9=0,"",B9*D9)</x:f>
        <x:v>904.048637047532</x:v>
      </x:c>
    </x:row>
    <x:row r="10" ht="18" customHeight="1">
      <x:c r="A10" s="24" t="str">
        <x:v>Medium bathydemersals (30 - 89 cm)</x:v>
      </x:c>
      <x:c r="B10" s="31" t="n">
        <x:v>70</x:v>
      </x:c>
      <x:c r="C10" s="32" t="n">
        <x:v>4.5</x:v>
      </x:c>
      <x:c r="D10" s="32" t="n">
        <x:f>IF(C10="","",(1/'Metadata'!$B$5)^(C10-1))</x:f>
        <x:v>3162.2776601683795</x:v>
      </x:c>
      <x:c r="E10" s="31" t="n">
        <x:f>IF(B10=0,"",B10*D10)</x:f>
        <x:v>221359.43621178655</x:v>
      </x:c>
    </x:row>
    <x:row r="11" ht="18" customHeight="1">
      <x:c r="A11" s="24" t="str">
        <x:v>Medium benthopelagics (30 - 89 cm)</x:v>
      </x:c>
      <x:c r="B11" s="31" t="n">
        <x:v>369.669809464</x:v>
      </x:c>
      <x:c r="C11" s="32" t="n">
        <x:v>3.3451515838368846</x:v>
      </x:c>
      <x:c r="D11" s="32" t="n">
        <x:f>IF(C11="","",(1/'Metadata'!$B$5)^(C11-1))</x:f>
        <x:v>221.38672912374335</x:v>
      </x:c>
      <x:c r="E11" s="31" t="n">
        <x:f>IF(B11=0,"",B11*D11)</x:f>
        <x:v>81839.9899730324</x:v>
      </x:c>
    </x:row>
    <x:row r="12" ht="18" customHeight="1">
      <x:c r="A12" s="24" t="str">
        <x:v>Medium demersals (30 - 89 cm)</x:v>
      </x:c>
      <x:c r="B12" s="31" t="n">
        <x:v>11098.9032137207</x:v>
      </x:c>
      <x:c r="C12" s="32" t="n">
        <x:v>3.337127414612677</x:v>
      </x:c>
      <x:c r="D12" s="32" t="n">
        <x:f>IF(C12="","",(1/'Metadata'!$B$5)^(C12-1))</x:f>
        <x:v>217.33387059423777</x:v>
      </x:c>
      <x:c r="E12" s="31" t="n">
        <x:f>IF(B12=0,"",B12*D12)</x:f>
        <x:v>2412167.594788744</x:v>
      </x:c>
    </x:row>
    <x:row r="13" ht="18" customHeight="1">
      <x:c r="A13" s="24" t="str">
        <x:v>Medium pelagics (30 - 89 cm)</x:v>
      </x:c>
      <x:c r="B13" s="31" t="n">
        <x:v>560.9943663649999</x:v>
      </x:c>
      <x:c r="C13" s="32" t="n">
        <x:v>3.821112384708391</x:v>
      </x:c>
      <x:c r="D13" s="32" t="n">
        <x:f>IF(C13="","",(1/'Metadata'!$B$5)^(C13-1))</x:f>
        <x:v>662.3878911865512</x:v>
      </x:c>
      <x:c r="E13" s="31" t="n">
        <x:f>IF(B13=0,"",B13*D13)</x:f>
        <x:v>371595.8753040478</x:v>
      </x:c>
    </x:row>
    <x:row r="14" ht="18" customHeight="1">
      <x:c r="A14" s="24" t="str">
        <x:v>Medium reef assoc. fish (30 - 89 cm)</x:v>
      </x:c>
      <x:c r="B14" s="31" t="n">
        <x:v>1017.1895049463001</x:v>
      </x:c>
      <x:c r="C14" s="32" t="n">
        <x:v>4.006834028126748</x:v>
      </x:c>
      <x:c r="D14" s="32" t="n">
        <x:f>IF(C14="","",(1/'Metadata'!$B$5)^(C14-1))</x:f>
        <x:v>1015.8603930400612</x:v>
      </x:c>
      <x:c r="E14" s="31" t="n">
        <x:f>IF(B14=0,"",B14*D14)</x:f>
        <x:v>1033322.5302909737</x:v>
      </x:c>
    </x:row>
    <x:row r="15" ht="18" customHeight="1">
      <x:c r="A15" s="24" t="str">
        <x:v>Shrimps</x:v>
      </x:c>
      <x:c r="B15" s="31" t="n">
        <x:v>16.173657927900003</x:v>
      </x:c>
      <x:c r="C15" s="32" t="n">
        <x:v>3.31</x:v>
      </x:c>
      <x:c r="D15" s="32" t="n">
        <x:f>IF(C15="","",(1/'Metadata'!$B$5)^(C15-1))</x:f>
        <x:v>204.17379446695296</x:v>
      </x:c>
      <x:c r="E15" s="31" t="n">
        <x:f>IF(B15=0,"",B15*D15)</x:f>
        <x:v>3302.2371095498593</x:v>
      </x:c>
    </x:row>
    <x:row r="16" ht="18" customHeight="1">
      <x:c r="A16" s="24" t="str">
        <x:v>Small demersals (&lt;30 cm)</x:v>
      </x:c>
      <x:c r="B16" s="31" t="n">
        <x:v>2130.1824171325998</x:v>
      </x:c>
      <x:c r="C16" s="32" t="n">
        <x:v>3.0696901879481358</x:v>
      </x:c>
      <x:c r="D16" s="32" t="n">
        <x:f>IF(C16="","",(1/'Metadata'!$B$5)^(C16-1))</x:f>
        <x:v>117.40597187797636</x:v>
      </x:c>
      <x:c r="E16" s="31" t="n">
        <x:f>IF(B16=0,"",B16*D16)</x:f>
        <x:v>250096.1369608297</x:v>
      </x:c>
    </x:row>
    <x:row r="17" ht="18" customHeight="1">
      <x:c r="A17" s="24" t="str">
        <x:v>Small pelagics (&lt;30 cm)</x:v>
      </x:c>
      <x:c r="B17" s="31" t="n">
        <x:v>4000.0000000001</x:v>
      </x:c>
      <x:c r="C17" s="32" t="n">
        <x:v>3.24</x:v>
      </x:c>
      <x:c r="D17" s="32" t="n">
        <x:f>IF(C17="","",(1/'Metadata'!$B$5)^(C17-1))</x:f>
        <x:v>173.78008287493762</x:v>
      </x:c>
      <x:c r="E17" s="31" t="n">
        <x:f>IF(B17=0,"",B17*D17)</x:f>
        <x:v>695120.3314997678</x:v>
      </x:c>
    </x:row>
    <x:row r="18" ht="18" customHeight="1">
      <x:c r="A18" s="24" t="str">
        <x:v>Small to medium flatfishes (&lt;90 cm)</x:v>
      </x:c>
      <x:c r="B18" s="31" t="n">
        <x:v>164.7878279586</x:v>
      </x:c>
      <x:c r="C18" s="32" t="n">
        <x:v>3.551154895299147</x:v>
      </x:c>
      <x:c r="D18" s="32" t="n">
        <x:f>IF(C18="","",(1/'Metadata'!$B$5)^(C18-1))</x:f>
        <x:v>355.75818051715027</x:v>
      </x:c>
      <x:c r="E18" s="31" t="n">
        <x:f>IF(B18=0,"",B18*D18)</x:f>
        <x:v>58624.61784592472</x:v>
      </x:c>
    </x:row>
  </x:sheetData>
  <x:pageMargins left="0.7" right="0.7" top="0.75" bottom="0.75" header="0.3" footer="0.3"/>
  <x:tableParts count="1">
    <x:tablePart xmlns:r="http://schemas.openxmlformats.org/officeDocument/2006/relationships" r:id="R3362a96f854442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EEZ_226</x:v>
      </x:c>
      <x:c r="B2" s="24" t="str">
        <x:v>raw_filtered_tonnes</x:v>
      </x:c>
      <x:c r="C2" s="24" t="n">
        <x:v>23094.192527557498</x:v>
      </x:c>
      <x:c r="D2" s="24" t="str">
        <x:v>tonnes</x:v>
      </x:c>
    </x:row>
    <x:row r="3" ht="18" customHeight="1">
      <x:c r="A3" s="24" t="str">
        <x:v>EEZ_226</x:v>
      </x:c>
      <x:c r="B3" s="24" t="str">
        <x:v>species_catch_tonnes</x:v>
      </x:c>
      <x:c r="C3" s="24" t="n">
        <x:v>23094.1925275575</x:v>
      </x:c>
      <x:c r="D3" s="24" t="str">
        <x:v>tonnes</x:v>
      </x:c>
    </x:row>
    <x:row r="4" ht="18" customHeight="1">
      <x:c r="A4" s="24" t="str">
        <x:v>EEZ_226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EEZ_226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EEZ_226</x:v>
      </x:c>
      <x:c r="B6" s="24" t="str">
        <x:v>matched_catch_tonnes</x:v>
      </x:c>
      <x:c r="C6" s="24" t="n">
        <x:v>23094.1925275575</x:v>
      </x:c>
      <x:c r="D6" s="24" t="str">
        <x:v>tonnes</x:v>
      </x:c>
    </x:row>
    <x:row r="7" ht="18" customHeight="1">
      <x:c r="A7" s="24" t="str">
        <x:v>EEZ_226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EEZ_226</x:v>
      </x:c>
      <x:c r="B8" s="24" t="str">
        <x:v>taxa_count</x:v>
      </x:c>
      <x:c r="C8" s="24" t="n">
        <x:v>66</x:v>
      </x:c>
      <x:c r="D8" s="24" t="str">
        <x:v>count</x:v>
      </x:c>
    </x:row>
    <x:row r="9" ht="18" customHeight="1">
      <x:c r="A9" s="24" t="str">
        <x:v>EEZ_226</x:v>
      </x:c>
      <x:c r="B9" s="24" t="str">
        <x:v>matched_taxa_count</x:v>
      </x:c>
      <x:c r="C9" s="24" t="n">
        <x:v>66</x:v>
      </x:c>
      <x:c r="D9" s="24" t="str">
        <x:v>count</x:v>
      </x:c>
    </x:row>
    <x:row r="10" ht="18" customHeight="1">
      <x:c r="A10" s="24" t="str">
        <x:v>EEZ_226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EEZ_226</x:v>
      </x:c>
      <x:c r="B11" s="24" t="str">
        <x:v>species_ppr</x:v>
      </x:c>
      <x:c r="C11" s="24" t="n">
        <x:v>13733577.498158086</x:v>
      </x:c>
      <x:c r="D11" s="24" t="str">
        <x:v>tonnes_primary_production_equivalent</x:v>
      </x:c>
    </x:row>
    <x:row r="12" ht="18" customHeight="1">
      <x:c r="A12" s="24" t="str">
        <x:v>EEZ_226</x:v>
      </x:c>
      <x:c r="B12" s="24" t="str">
        <x:v>commercial_ppr</x:v>
      </x:c>
      <x:c r="C12" s="24" t="n">
        <x:v>11871421.201981438</x:v>
      </x:c>
      <x:c r="D12" s="24" t="str">
        <x:v>tonnes_primary_production_equivalent</x:v>
      </x:c>
    </x:row>
    <x:row r="13" ht="18" customHeight="1">
      <x:c r="A13" s="24" t="str">
        <x:v>EEZ_226</x:v>
      </x:c>
      <x:c r="B13" s="24" t="str">
        <x:v>functional_ppr</x:v>
      </x:c>
      <x:c r="C13" s="24" t="n">
        <x:v>13198646.387086893</x:v>
      </x:c>
      <x:c r="D13" s="24" t="str">
        <x:v>tonnes_primary_production_equivalent</x:v>
      </x:c>
    </x:row>
    <x:row r="14" ht="18" customHeight="1">
      <x:c r="A14" s="24" t="str">
        <x:v>EEZ_226</x:v>
      </x:c>
      <x:c r="B14" s="24" t="str">
        <x:v>commercial_ppr_difference</x:v>
      </x:c>
      <x:c r="C14" s="24" t="n">
        <x:v>-1862156.2961766478</x:v>
      </x:c>
      <x:c r="D14" s="24" t="str">
        <x:v>tonnes_primary_production_equivalent</x:v>
      </x:c>
    </x:row>
    <x:row r="15" ht="18" customHeight="1">
      <x:c r="A15" s="24" t="str">
        <x:v>EEZ_226</x:v>
      </x:c>
      <x:c r="B15" s="24" t="str">
        <x:v>functional_ppr_difference</x:v>
      </x:c>
      <x:c r="C15" s="24" t="n">
        <x:v>-534931.1110711936</x:v>
      </x:c>
      <x:c r="D15" s="24" t="str">
        <x:v>tonnes_primary_production_equivalent</x:v>
      </x:c>
    </x:row>
    <x:row r="16" ht="18" customHeight="1">
      <x:c r="A16" s="24" t="str">
        <x:v>EEZ_226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EEZ_226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7d3b3115c0e4b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EEZ_226 - Equatorial Guinea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EEZ_226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