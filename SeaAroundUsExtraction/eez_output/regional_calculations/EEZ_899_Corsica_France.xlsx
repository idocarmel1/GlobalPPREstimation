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0e1a59323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1a1a7ae92da4abf"/>
    <x:sheet xmlns:r="http://schemas.openxmlformats.org/officeDocument/2006/relationships" name="Commercial" sheetId="2" r:id="Rd11e1bc739fb4823"/>
    <x:sheet xmlns:r="http://schemas.openxmlformats.org/officeDocument/2006/relationships" name="Functional" sheetId="3" r:id="R6f7d3b5ce81b43c0"/>
    <x:sheet xmlns:r="http://schemas.openxmlformats.org/officeDocument/2006/relationships" name="Missing TL" sheetId="4" r:id="R2877f24387e84200"/>
    <x:sheet xmlns:r="http://schemas.openxmlformats.org/officeDocument/2006/relationships" name="Validation" sheetId="5" r:id="R3ef32b4c81b44eee"/>
    <x:sheet xmlns:r="http://schemas.openxmlformats.org/officeDocument/2006/relationships" name="Metadata" sheetId="6" r:id="R5e7c039a2341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10667c52e4628" /><Relationship Type="http://schemas.openxmlformats.org/officeDocument/2006/relationships/theme" Target="/xl/theme/theme1.xml" Id="R88780ab479c04f1f" /><Relationship Type="http://schemas.microsoft.com/office/2022/11/relationships/FeaturePropertyBag" Target="/xl/featurePropertyBag/featurePropertyBag.xml" Id="R174db882bc3449e2" /><Relationship Type="http://schemas.openxmlformats.org/officeDocument/2006/relationships/sharedStrings" Target="/xl/sharedStrings.xml" Id="Re995216c8f184620" /><Relationship Type="http://schemas.openxmlformats.org/officeDocument/2006/relationships/worksheet" Target="/xl/worksheets/sheet1.xml" Id="R81a1a7ae92da4abf" /><Relationship Type="http://schemas.openxmlformats.org/officeDocument/2006/relationships/worksheet" Target="/xl/worksheets/sheet2.xml" Id="Rd11e1bc739fb4823" /><Relationship Type="http://schemas.openxmlformats.org/officeDocument/2006/relationships/worksheet" Target="/xl/worksheets/sheet3.xml" Id="R6f7d3b5ce81b43c0" /><Relationship Type="http://schemas.openxmlformats.org/officeDocument/2006/relationships/worksheet" Target="/xl/worksheets/sheet4.xml" Id="R2877f24387e84200" /><Relationship Type="http://schemas.openxmlformats.org/officeDocument/2006/relationships/worksheet" Target="/xl/worksheets/sheet5.xml" Id="R3ef32b4c81b44eee" /><Relationship Type="http://schemas.openxmlformats.org/officeDocument/2006/relationships/worksheet" Target="/xl/worksheets/sheet6.xml" Id="R5e7c039a23414c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99SpeciesTable" displayName="EEZ899SpeciesTable" ref="A1:U115" headerRowCount="1" totalsRowCount="0" totalsRowShown="0">
  <x:autoFilter ref="A1:U11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99CommercialTable" displayName="EEZ899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99FunctionalTable" displayName="EEZ899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99ValidationTable" displayName="EEZ89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ef92e589004a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29da58a2554e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5fa483f5114b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9054c737e6483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EEZ_899</x:v>
      </x:c>
      <x:c r="B2" s="24" t="str">
        <x:v>Corsica (France)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283.4213792481</x:v>
      </x:c>
      <x:c r="J2" s="31" t="n">
        <x:v>276.9482465505</x:v>
      </x:c>
      <x:c r="K2" s="31" t="n">
        <x:v>6.4731326976000005</x:v>
      </x:c>
      <x:c r="L2" s="31" t="n">
        <x:v>52.2340830626</x:v>
      </x:c>
      <x:c r="M2" s="31" t="n">
        <x:v>231.1872961855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54004.830478821816</x:v>
      </x:c>
    </x:row>
    <x:row r="3" ht="18" customHeight="1">
      <x:c r="A3" s="24" t="str">
        <x:v>EEZ_899</x:v>
      </x:c>
      <x:c r="B3" s="24" t="str">
        <x:v>Corsica (France)</x:v>
      </x:c>
      <x:c r="C3" s="24" t="str">
        <x:v>EEZ</x:v>
      </x:c>
      <x:c r="D3" s="30" t="n">
        <x:v>2019</x:v>
      </x:c>
      <x:c r="E3" s="24" t="str">
        <x:v>Sparidae</x:v>
      </x:c>
      <x:c r="F3" s="24" t="str">
        <x:v>Porgies, seabreams</x:v>
      </x:c>
      <x:c r="G3" s="24" t="str">
        <x:v>Medium benthopelagics (30 - 89 cm)</x:v>
      </x:c>
      <x:c r="H3" s="24" t="str">
        <x:v>Perch-likes</x:v>
      </x:c>
      <x:c r="I3" s="31" t="n">
        <x:v>205.5857046602</x:v>
      </x:c>
      <x:c r="J3" s="31" t="n">
        <x:v>205.5857046602</x:v>
      </x:c>
      <x:c r="K3" s="31" t="n">
        <x:v>0</x:v>
      </x:c>
      <x:c r="L3" s="31" t="n">
        <x:v>0</x:v>
      </x:c>
      <x:c r="M3" s="31" t="n">
        <x:v>205.5857046602</x:v>
      </x:c>
      <x:c r="N3" s="24" t="str">
        <x:v>sparidae</x:v>
      </x:c>
      <x:c r="O3" s="32" t="n">
        <x:v>3.31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Sparidae</x:v>
      </x:c>
      <x:c r="T3" s="32" t="n">
        <x:f>IF(O3="","",(1/'Metadata'!$B$5)^(O3-1))</x:f>
        <x:v>204.17379446695296</x:v>
      </x:c>
      <x:c r="U3" s="31" t="n">
        <x:f>IF(T3="","",I3*T3)</x:f>
        <x:v>41975.21340863537</x:v>
      </x:c>
    </x:row>
    <x:row r="4" ht="18" customHeight="1">
      <x:c r="A4" s="24" t="str">
        <x:v>EEZ_899</x:v>
      </x:c>
      <x:c r="B4" s="24" t="str">
        <x:v>Corsica (France)</x:v>
      </x:c>
      <x:c r="C4" s="24" t="str">
        <x:v>EEZ</x:v>
      </x:c>
      <x:c r="D4" s="30" t="n">
        <x:v>2019</x:v>
      </x:c>
      <x:c r="E4" s="24" t="str">
        <x:v>Dentex dentex</x:v>
      </x:c>
      <x:c r="F4" s="24" t="str">
        <x:v>Common dentex</x:v>
      </x:c>
      <x:c r="G4" s="24" t="str">
        <x:v>Large benthopelagics (&gt;=90 cm)</x:v>
      </x:c>
      <x:c r="H4" s="24" t="str">
        <x:v>Perch-likes</x:v>
      </x:c>
      <x:c r="I4" s="31" t="n">
        <x:v>123.8403723542</x:v>
      </x:c>
      <x:c r="J4" s="31" t="n">
        <x:v>123.372302908</x:v>
      </x:c>
      <x:c r="K4" s="31" t="n">
        <x:v>0.4680694462</x:v>
      </x:c>
      <x:c r="L4" s="31" t="n">
        <x:v>8.399999999999999</x:v>
      </x:c>
      <x:c r="M4" s="31" t="n">
        <x:v>115.44037235420001</x:v>
      </x:c>
      <x:c r="N4" s="24" t="str">
        <x:v>dentex dentex</x:v>
      </x:c>
      <x:c r="O4" s="32" t="n">
        <x:v>4.53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Dentex dentex</x:v>
      </x:c>
      <x:c r="T4" s="32" t="n">
        <x:f>IF(O4="","",(1/'Metadata'!$B$5)^(O4-1))</x:f>
        <x:v>3388.4415613920273</x:v>
      </x:c>
      <x:c r="U4" s="31" t="n">
        <x:f>IF(T4="","",I4*T4)</x:f>
        <x:v>419625.8646632355</x:v>
      </x:c>
    </x:row>
    <x:row r="5" ht="18" customHeight="1">
      <x:c r="A5" s="24" t="str">
        <x:v>EEZ_899</x:v>
      </x:c>
      <x:c r="B5" s="24" t="str">
        <x:v>Corsica (France)</x:v>
      </x:c>
      <x:c r="C5" s="24" t="str">
        <x:v>EEZ</x:v>
      </x:c>
      <x:c r="D5" s="30" t="n">
        <x:v>2019</x:v>
      </x:c>
      <x:c r="E5" s="24" t="str">
        <x:v>Labridae</x:v>
      </x:c>
      <x:c r="F5" s="24" t="str">
        <x:v>Wrasses, gropers, tuskfishes</x:v>
      </x:c>
      <x:c r="G5" s="24" t="str">
        <x:v>Medium reef assoc. fish (30 - 89 cm)</x:v>
      </x:c>
      <x:c r="H5" s="24" t="str">
        <x:v>Perch-likes</x:v>
      </x:c>
      <x:c r="I5" s="31" t="n">
        <x:v>73.7946754109</x:v>
      </x:c>
      <x:c r="J5" s="31" t="n">
        <x:v>73.2746177268</x:v>
      </x:c>
      <x:c r="K5" s="31" t="n">
        <x:v>0.5200576841</x:v>
      </x:c>
      <x:c r="L5" s="31" t="n">
        <x:v>4.5</x:v>
      </x:c>
      <x:c r="M5" s="31" t="n">
        <x:v>69.2946754109</x:v>
      </x:c>
      <x:c r="N5" s="24" t="str">
        <x:v>labridae</x:v>
      </x:c>
      <x:c r="O5" s="32" t="n">
        <x:v>3.46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Labridae</x:v>
      </x:c>
      <x:c r="T5" s="32" t="n">
        <x:f>IF(O5="","",(1/'Metadata'!$B$5)^(O5-1))</x:f>
        <x:v>288.40315031266056</x:v>
      </x:c>
      <x:c r="U5" s="31" t="n">
        <x:f>IF(T5="","",I5*T5)</x:f>
        <x:v>21282.61686480379</x:v>
      </x:c>
    </x:row>
    <x:row r="6" ht="18" customHeight="1">
      <x:c r="A6" s="24" t="str">
        <x:v>EEZ_899</x:v>
      </x:c>
      <x:c r="B6" s="24" t="str">
        <x:v>Corsica (France)</x:v>
      </x:c>
      <x:c r="C6" s="24" t="str">
        <x:v>EEZ</x:v>
      </x:c>
      <x:c r="D6" s="30" t="n">
        <x:v>2019</x:v>
      </x:c>
      <x:c r="E6" s="24" t="str">
        <x:v>Pagellus</x:v>
      </x:c>
      <x:c r="F6" s="24" t="str">
        <x:v>Pandoras</x:v>
      </x:c>
      <x:c r="G6" s="24" t="str">
        <x:v>Medium benthopelagics (30 - 89 cm)</x:v>
      </x:c>
      <x:c r="H6" s="24" t="str">
        <x:v>Perch-likes</x:v>
      </x:c>
      <x:c r="I6" s="31" t="n">
        <x:v>68.5285682201</x:v>
      </x:c>
      <x:c r="J6" s="31" t="n">
        <x:v>68.5285682201</x:v>
      </x:c>
      <x:c r="K6" s="31" t="n">
        <x:v>0</x:v>
      </x:c>
      <x:c r="L6" s="31" t="n">
        <x:v>0</x:v>
      </x:c>
      <x:c r="M6" s="31" t="n">
        <x:v>68.5285682201</x:v>
      </x:c>
      <x:c r="N6" s="24" t="str">
        <x:v>pagellus</x:v>
      </x:c>
      <x:c r="O6" s="32" t="n">
        <x:v>3.44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Pagellus</x:v>
      </x:c>
      <x:c r="T6" s="32" t="n">
        <x:f>IF(O6="","",(1/'Metadata'!$B$5)^(O6-1))</x:f>
        <x:v>275.4228703338166</x:v>
      </x:c>
      <x:c r="U6" s="31" t="n">
        <x:f>IF(T6="","",I6*T6)</x:f>
        <x:v>18874.334959046708</x:v>
      </x:c>
    </x:row>
    <x:row r="7" ht="18" customHeight="1">
      <x:c r="A7" s="24" t="str">
        <x:v>EEZ_899</x:v>
      </x:c>
      <x:c r="B7" s="24" t="str">
        <x:v>Corsica (France)</x:v>
      </x:c>
      <x:c r="C7" s="24" t="str">
        <x:v>EEZ</x:v>
      </x:c>
      <x:c r="D7" s="30" t="n">
        <x:v>2019</x:v>
      </x:c>
      <x:c r="E7" s="24" t="str">
        <x:v>Serranidae</x:v>
      </x:c>
      <x:c r="F7" s="24" t="str">
        <x:v>Basses, groupers, hinds</x:v>
      </x:c>
      <x:c r="G7" s="24" t="str">
        <x:v>Medium reef assoc. fish (30 - 89 cm)</x:v>
      </x:c>
      <x:c r="H7" s="24" t="str">
        <x:v>Perch-likes</x:v>
      </x:c>
      <x:c r="I7" s="31" t="n">
        <x:v>68.5285682201</x:v>
      </x:c>
      <x:c r="J7" s="31" t="n">
        <x:v>68.5285682201</x:v>
      </x:c>
      <x:c r="K7" s="31" t="n">
        <x:v>0</x:v>
      </x:c>
      <x:c r="L7" s="31" t="n">
        <x:v>0</x:v>
      </x:c>
      <x:c r="M7" s="31" t="n">
        <x:v>68.5285682201</x:v>
      </x:c>
      <x:c r="N7" s="24" t="str">
        <x:v>serranidae</x:v>
      </x:c>
      <x:c r="O7" s="32" t="n">
        <x:v>3.98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Serranidae</x:v>
      </x:c>
      <x:c r="T7" s="32" t="n">
        <x:f>IF(O7="","",(1/'Metadata'!$B$5)^(O7-1))</x:f>
        <x:v>954.992586021436</x:v>
      </x:c>
      <x:c r="U7" s="31" t="n">
        <x:f>IF(T7="","",I7*T7)</x:f>
        <x:v>65444.27458085969</x:v>
      </x:c>
    </x:row>
    <x:row r="8" ht="18" customHeight="1">
      <x:c r="A8" s="24" t="str">
        <x:v>EEZ_899</x:v>
      </x:c>
      <x:c r="B8" s="24" t="str">
        <x:v>Corsica (France)</x:v>
      </x:c>
      <x:c r="C8" s="24" t="str">
        <x:v>EEZ</x:v>
      </x:c>
      <x:c r="D8" s="30" t="n">
        <x:v>2019</x:v>
      </x:c>
      <x:c r="E8" s="24" t="str">
        <x:v>Paracentrotus lividus</x:v>
      </x:c>
      <x:c r="F8" s="24" t="str">
        <x:v>Stony sea urchin</x:v>
      </x:c>
      <x:c r="G8" s="24" t="str">
        <x:v>Other demersal invertebrates</x:v>
      </x:c>
      <x:c r="H8" s="24" t="str">
        <x:v>Other fishes &amp; inverts</x:v>
      </x:c>
      <x:c r="I8" s="31" t="n">
        <x:v>53.3381818791</x:v>
      </x:c>
      <x:c r="J8" s="31" t="n">
        <x:v>52.1561883281</x:v>
      </x:c>
      <x:c r="K8" s="31" t="n">
        <x:v>1.181993551</x:v>
      </x:c>
      <x:c r="L8" s="31" t="n">
        <x:v>21.400000000000002</x:v>
      </x:c>
      <x:c r="M8" s="31" t="n">
        <x:v>31.9381818791</x:v>
      </x:c>
      <x:c r="N8" s="24" t="str">
        <x:v>paracentrotus lividus</x:v>
      </x:c>
      <x:c r="O8" s="32" t="n">
        <x:v>2.3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Paracentrotus lividus</x:v>
      </x:c>
      <x:c r="T8" s="32" t="n">
        <x:f>IF(O8="","",(1/'Metadata'!$B$5)^(O8-1))</x:f>
        <x:v>19.952623149688787</x:v>
      </x:c>
      <x:c r="U8" s="31" t="n">
        <x:f>IF(T8="","",I8*T8)</x:f>
        <x:v>1064.2366425232415</x:v>
      </x:c>
    </x:row>
    <x:row r="9" ht="18" customHeight="1">
      <x:c r="A9" s="24" t="str">
        <x:v>EEZ_899</x:v>
      </x:c>
      <x:c r="B9" s="24" t="str">
        <x:v>Corsica (France)</x:v>
      </x:c>
      <x:c r="C9" s="24" t="str">
        <x:v>EEZ</x:v>
      </x:c>
      <x:c r="D9" s="30" t="n">
        <x:v>2019</x:v>
      </x:c>
      <x:c r="E9" s="24" t="str">
        <x:v>Nephrops norvegicus</x:v>
      </x:c>
      <x:c r="F9" s="24" t="str">
        <x:v>Norway lobster</x:v>
      </x:c>
      <x:c r="G9" s="24" t="str">
        <x:v>Lobsters, crabs</x:v>
      </x:c>
      <x:c r="H9" s="24" t="str">
        <x:v>Crustaceans</x:v>
      </x:c>
      <x:c r="I9" s="31" t="n">
        <x:v>44.745716405399996</x:v>
      </x:c>
      <x:c r="J9" s="31" t="n">
        <x:v>43.9372328165</x:v>
      </x:c>
      <x:c r="K9" s="31" t="n">
        <x:v>0.8084835889</x:v>
      </x:c>
      <x:c r="L9" s="31" t="n">
        <x:v>22.9</x:v>
      </x:c>
      <x:c r="M9" s="31" t="n">
        <x:v>21.845716405399997</x:v>
      </x:c>
      <x:c r="N9" s="24" t="str">
        <x:v>nephrops norvegicus</x:v>
      </x:c>
      <x:c r="O9" s="32" t="n">
        <x:v>2.87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Nephrops norvegicus</x:v>
      </x:c>
      <x:c r="T9" s="32" t="n">
        <x:f>IF(O9="","",(1/'Metadata'!$B$5)^(O9-1))</x:f>
        <x:v>74.13102413009177</x:v>
      </x:c>
      <x:c r="U9" s="31" t="n">
        <x:f>IF(T9="","",I9*T9)</x:f>
        <x:v>3317.0457825669505</x:v>
      </x:c>
    </x:row>
    <x:row r="10" ht="18" customHeight="1">
      <x:c r="A10" s="24" t="str">
        <x:v>EEZ_899</x:v>
      </x:c>
      <x:c r="B10" s="24" t="str">
        <x:v>Corsica (France)</x:v>
      </x:c>
      <x:c r="C10" s="24" t="str">
        <x:v>EEZ</x:v>
      </x:c>
      <x:c r="D10" s="30" t="n">
        <x:v>2019</x:v>
      </x:c>
      <x:c r="E10" s="24" t="str">
        <x:v>Palinurus elephas</x:v>
      </x:c>
      <x:c r="F10" s="24" t="str">
        <x:v>Common spiny lobster</x:v>
      </x:c>
      <x:c r="G10" s="24" t="str">
        <x:v>Lobsters, crabs</x:v>
      </x:c>
      <x:c r="H10" s="24" t="str">
        <x:v>Crustaceans</x:v>
      </x:c>
      <x:c r="I10" s="31" t="n">
        <x:v>40.4869517058</x:v>
      </x:c>
      <x:c r="J10" s="31" t="n">
        <x:v>40.4869517058</x:v>
      </x:c>
      <x:c r="K10" s="31" t="n">
        <x:v>0</x:v>
      </x:c>
      <x:c r="L10" s="31" t="n">
        <x:v>13.15</x:v>
      </x:c>
      <x:c r="M10" s="31" t="n">
        <x:v>27.3369517058</x:v>
      </x:c>
      <x:c r="N10" s="24" t="str">
        <x:v>palinurus elephas</x:v>
      </x:c>
      <x:c r="O10" s="32" t="n">
        <x:v>3.34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Palinurus elephas</x:v>
      </x:c>
      <x:c r="T10" s="32" t="n">
        <x:f>IF(O10="","",(1/'Metadata'!$B$5)^(O10-1))</x:f>
        <x:v>218.77616239495518</x:v>
      </x:c>
      <x:c r="U10" s="31" t="n">
        <x:f>IF(T10="","",I10*T10)</x:f>
        <x:v>8857.579921264809</x:v>
      </x:c>
    </x:row>
    <x:row r="11" ht="18" customHeight="1">
      <x:c r="A11" s="24" t="str">
        <x:v>EEZ_899</x:v>
      </x:c>
      <x:c r="B11" s="24" t="str">
        <x:v>Corsica (France)</x:v>
      </x:c>
      <x:c r="C11" s="24" t="str">
        <x:v>EEZ</x:v>
      </x:c>
      <x:c r="D11" s="30" t="n">
        <x:v>2019</x:v>
      </x:c>
      <x:c r="E11" s="24" t="str">
        <x:v>Scorpaenidae</x:v>
      </x:c>
      <x:c r="F11" s="24" t="str">
        <x:v>Scorpionfishes, rockfishes</x:v>
      </x:c>
      <x:c r="G11" s="24" t="str">
        <x:v>Large reef assoc. fish (&gt;=90 cm)</x:v>
      </x:c>
      <x:c r="H11" s="24" t="str">
        <x:v>Scorpionfishes</x:v>
      </x:c>
      <x:c r="I11" s="31" t="n">
        <x:v>35.8404364028</x:v>
      </x:c>
      <x:c r="J11" s="31" t="n">
        <x:v>35.0839605301</x:v>
      </x:c>
      <x:c r="K11" s="31" t="n">
        <x:v>0.7564758727</x:v>
      </x:c>
      <x:c r="L11" s="31" t="n">
        <x:v>15.399999999999999</x:v>
      </x:c>
      <x:c r="M11" s="31" t="n">
        <x:v>20.4404364028</x:v>
      </x:c>
      <x:c r="N11" s="24" t="str">
        <x:v>scorpaenidae</x:v>
      </x:c>
      <x:c r="O11" s="32" t="n">
        <x:v>3.92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Scorpaenidae</x:v>
      </x:c>
      <x:c r="T11" s="32" t="n">
        <x:f>IF(O11="","",(1/'Metadata'!$B$5)^(O11-1))</x:f>
        <x:v>831.7637711026708</x:v>
      </x:c>
      <x:c r="U11" s="31" t="n">
        <x:f>IF(T11="","",I11*T11)</x:f>
        <x:v>29810.776540358373</x:v>
      </x:c>
    </x:row>
    <x:row r="12" ht="18" customHeight="1">
      <x:c r="A12" s="24" t="str">
        <x:v>EEZ_899</x:v>
      </x:c>
      <x:c r="B12" s="24" t="str">
        <x:v>Corsica (France)</x:v>
      </x:c>
      <x:c r="C12" s="24" t="str">
        <x:v>EEZ</x:v>
      </x:c>
      <x:c r="D12" s="30" t="n">
        <x:v>2019</x:v>
      </x:c>
      <x:c r="E12" s="24" t="str">
        <x:v>Boops boops</x:v>
      </x:c>
      <x:c r="F12" s="24" t="str">
        <x:v>Bogue</x:v>
      </x:c>
      <x:c r="G12" s="24" t="str">
        <x:v>Medium demersals (30 - 89 cm)</x:v>
      </x:c>
      <x:c r="H12" s="24" t="str">
        <x:v>Perch-likes</x:v>
      </x:c>
      <x:c r="I12" s="31" t="n">
        <x:v>31.592465473700003</x:v>
      </x:c>
      <x:c r="J12" s="31" t="n">
        <x:v>31.2189555116</x:v>
      </x:c>
      <x:c r="K12" s="31" t="n">
        <x:v>0.3735099621</x:v>
      </x:c>
      <x:c r="L12" s="31" t="n">
        <x:v>21.5</x:v>
      </x:c>
      <x:c r="M12" s="31" t="n">
        <x:v>10.0924654737</x:v>
      </x:c>
      <x:c r="N12" s="24" t="str">
        <x:v>boops boops</x:v>
      </x:c>
      <x:c r="O12" s="32" t="n">
        <x:v>2.79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Boops boops</x:v>
      </x:c>
      <x:c r="T12" s="32" t="n">
        <x:f>IF(O12="","",(1/'Metadata'!$B$5)^(O12-1))</x:f>
        <x:v>61.65950018614822</x:v>
      </x:c>
      <x:c r="U12" s="31" t="n">
        <x:f>IF(T12="","",I12*T12)</x:f>
        <x:v>1947.9756307564867</x:v>
      </x:c>
    </x:row>
    <x:row r="13" ht="18" customHeight="1">
      <x:c r="A13" s="24" t="str">
        <x:v>EEZ_899</x:v>
      </x:c>
      <x:c r="B13" s="24" t="str">
        <x:v>Corsica (France)</x:v>
      </x:c>
      <x:c r="C13" s="24" t="str">
        <x:v>EEZ</x:v>
      </x:c>
      <x:c r="D13" s="30" t="n">
        <x:v>2019</x:v>
      </x:c>
      <x:c r="E13" s="24" t="str">
        <x:v>Mullus surmuletus</x:v>
      </x:c>
      <x:c r="F13" s="24" t="str">
        <x:v>Surmullet</x:v>
      </x:c>
      <x:c r="G13" s="24" t="str">
        <x:v>Medium demersals (30 - 89 cm)</x:v>
      </x:c>
      <x:c r="H13" s="24" t="str">
        <x:v>Perch-likes</x:v>
      </x:c>
      <x:c r="I13" s="31" t="n">
        <x:v>29.9949844754</x:v>
      </x:c>
      <x:c r="J13" s="31" t="n">
        <x:v>22.4327228643</x:v>
      </x:c>
      <x:c r="K13" s="31" t="n">
        <x:v>7.562261611099999</x:v>
      </x:c>
      <x:c r="L13" s="31" t="n">
        <x:v>8.9</x:v>
      </x:c>
      <x:c r="M13" s="31" t="n">
        <x:v>21.0949844754</x:v>
      </x:c>
      <x:c r="N13" s="24" t="str">
        <x:v>mullus surmuletus</x:v>
      </x:c>
      <x:c r="O13" s="32" t="n">
        <x:v>3.45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Mullus surmuletus</x:v>
      </x:c>
      <x:c r="T13" s="32" t="n">
        <x:f>IF(O13="","",(1/'Metadata'!$B$5)^(O13-1))</x:f>
        <x:v>281.8382931264455</x:v>
      </x:c>
      <x:c r="U13" s="31" t="n">
        <x:f>IF(T13="","",I13*T13)</x:f>
        <x:v>8453.735226900966</x:v>
      </x:c>
    </x:row>
    <x:row r="14" ht="18" customHeight="1">
      <x:c r="A14" s="24" t="str">
        <x:v>EEZ_899</x:v>
      </x:c>
      <x:c r="B14" s="24" t="str">
        <x:v>Corsica (France)</x:v>
      </x:c>
      <x:c r="C14" s="24" t="str">
        <x:v>EEZ</x:v>
      </x:c>
      <x:c r="D14" s="30" t="n">
        <x:v>2019</x:v>
      </x:c>
      <x:c r="E14" s="24" t="str">
        <x:v>Spicara</x:v>
      </x:c>
      <x:c r="F14" s="24" t="str">
        <x:v>Picarels</x:v>
      </x:c>
      <x:c r="G14" s="24" t="str">
        <x:v>Small demersals (&lt;30 cm)</x:v>
      </x:c>
      <x:c r="H14" s="24" t="str">
        <x:v>Perch-likes</x:v>
      </x:c>
      <x:c r="I14" s="31" t="n">
        <x:v>27.6563970907</x:v>
      </x:c>
      <x:c r="J14" s="31" t="n">
        <x:v>9</x:v>
      </x:c>
      <x:c r="K14" s="31" t="n">
        <x:v>18.6563970907</x:v>
      </x:c>
      <x:c r="L14" s="31" t="n">
        <x:v>9</x:v>
      </x:c>
      <x:c r="M14" s="31" t="n">
        <x:v>18.6563970907</x:v>
      </x:c>
      <x:c r="N14" s="24" t="str">
        <x:v>spicara</x:v>
      </x:c>
      <x:c r="O14" s="32" t="n">
        <x:v>3.58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Spicara</x:v>
      </x:c>
      <x:c r="T14" s="32" t="n">
        <x:f>IF(O14="","",(1/'Metadata'!$B$5)^(O14-1))</x:f>
        <x:v>380.1893963205613</x:v>
      </x:c>
      <x:c r="U14" s="31" t="n">
        <x:f>IF(T14="","",I14*T14)</x:f>
        <x:v>10514.668914314962</x:v>
      </x:c>
    </x:row>
    <x:row r="15" ht="18" customHeight="1">
      <x:c r="A15" s="24" t="str">
        <x:v>EEZ_899</x:v>
      </x:c>
      <x:c r="B15" s="24" t="str">
        <x:v>Corsica (France)</x:v>
      </x:c>
      <x:c r="C15" s="24" t="str">
        <x:v>EEZ</x:v>
      </x:c>
      <x:c r="D15" s="30" t="n">
        <x:v>2019</x:v>
      </x:c>
      <x:c r="E15" s="24" t="str">
        <x:v>Merluccius merluccius</x:v>
      </x:c>
      <x:c r="F15" s="24" t="str">
        <x:v>European hake</x:v>
      </x:c>
      <x:c r="G15" s="24" t="str">
        <x:v>Large demersals (&gt;=90 cm)</x:v>
      </x:c>
      <x:c r="H15" s="24" t="str">
        <x:v>Cod-likes</x:v>
      </x:c>
      <x:c r="I15" s="31" t="n">
        <x:v>26.4484218337</x:v>
      </x:c>
      <x:c r="J15" s="31" t="n">
        <x:v>26.1505594588</x:v>
      </x:c>
      <x:c r="K15" s="31" t="n">
        <x:v>0.2978623749</x:v>
      </x:c>
      <x:c r="L15" s="31" t="n">
        <x:v>18.400000000000002</x:v>
      </x:c>
      <x:c r="M15" s="31" t="n">
        <x:v>8.0484218337</x:v>
      </x:c>
      <x:c r="N15" s="24" t="str">
        <x:v>merluccius merluccius</x:v>
      </x:c>
      <x:c r="O15" s="32" t="n">
        <x:v>4.42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Merluccius merluccius</x:v>
      </x:c>
      <x:c r="T15" s="32" t="n">
        <x:f>IF(O15="","",(1/'Metadata'!$B$5)^(O15-1))</x:f>
        <x:v>2630.2679918953813</x:v>
      </x:c>
      <x:c r="U15" s="31" t="n">
        <x:f>IF(T15="","",I15*T15)</x:f>
        <x:v>69566.43738532806</x:v>
      </x:c>
    </x:row>
    <x:row r="16" ht="18" customHeight="1">
      <x:c r="A16" s="24" t="str">
        <x:v>EEZ_899</x:v>
      </x:c>
      <x:c r="B16" s="24" t="str">
        <x:v>Corsica (France)</x:v>
      </x:c>
      <x:c r="C16" s="24" t="str">
        <x:v>EEZ</x:v>
      </x:c>
      <x:c r="D16" s="30" t="n">
        <x:v>2019</x:v>
      </x:c>
      <x:c r="E16" s="24" t="str">
        <x:v>Micromesistius poutassou</x:v>
      </x:c>
      <x:c r="F16" s="24" t="str">
        <x:v>Blue whiting</x:v>
      </x:c>
      <x:c r="G16" s="24" t="str">
        <x:v>Medium benthopelagics (30 - 89 cm)</x:v>
      </x:c>
      <x:c r="H16" s="24" t="str">
        <x:v>Cod-likes</x:v>
      </x:c>
      <x:c r="I16" s="31" t="n">
        <x:v>23.214772</x:v>
      </x:c>
      <x:c r="J16" s="31" t="n">
        <x:v>21.9735842119</x:v>
      </x:c>
      <x:c r="K16" s="31" t="n">
        <x:v>1.2411877881</x:v>
      </x:c>
      <x:c r="L16" s="31" t="n">
        <x:v>14.1</x:v>
      </x:c>
      <x:c r="M16" s="31" t="n">
        <x:v>9.114772</x:v>
      </x:c>
      <x:c r="N16" s="24" t="str">
        <x:v>micromesistius poutassou</x:v>
      </x:c>
      <x:c r="O16" s="32" t="n">
        <x:v>4.13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Micromesistius poutassou</x:v>
      </x:c>
      <x:c r="T16" s="32" t="n">
        <x:f>IF(O16="","",(1/'Metadata'!$B$5)^(O16-1))</x:f>
        <x:v>1348.9628825916532</x:v>
      </x:c>
      <x:c r="U16" s="31" t="n">
        <x:f>IF(T16="","",I16*T16)</x:f>
        <x:v>31315.865755827996</x:v>
      </x:c>
    </x:row>
    <x:row r="17" ht="18" customHeight="1">
      <x:c r="A17" s="24" t="str">
        <x:v>EEZ_899</x:v>
      </x:c>
      <x:c r="B17" s="24" t="str">
        <x:v>Corsica (France)</x:v>
      </x:c>
      <x:c r="C17" s="24" t="str">
        <x:v>EEZ</x:v>
      </x:c>
      <x:c r="D17" s="30" t="n">
        <x:v>2019</x:v>
      </x:c>
      <x:c r="E17" s="24" t="str">
        <x:v>Marine groundfishes not identified</x:v>
      </x:c>
      <x:c r="F17" s="24" t="str">
        <x:v>Groundfishes</x:v>
      </x:c>
      <x:c r="G17" s="24" t="str">
        <x:v>Medium demersals (30 - 89 cm)</x:v>
      </x:c>
      <x:c r="H17" s="24" t="str">
        <x:v>Other fishes &amp; inverts</x:v>
      </x:c>
      <x:c r="I17" s="31" t="n">
        <x:v>21.220850299</x:v>
      </x:c>
      <x:c r="J17" s="31" t="n">
        <x:v>0</x:v>
      </x:c>
      <x:c r="K17" s="31" t="n">
        <x:v>21.220850299</x:v>
      </x:c>
      <x:c r="L17" s="31" t="n">
        <x:v>0</x:v>
      </x:c>
      <x:c r="M17" s="31" t="n">
        <x:v>21.220850299</x:v>
      </x:c>
      <x:c r="N17" s="24" t="str">
        <x:v>marine groundfishes not identified</x:v>
      </x:c>
      <x:c r="O17" s="32" t="n">
        <x:v>3.22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Marine groundfishes not identified</x:v>
      </x:c>
      <x:c r="T17" s="32" t="n">
        <x:f>IF(O17="","",(1/'Metadata'!$B$5)^(O17-1))</x:f>
        <x:v>165.95869074375614</x:v>
      </x:c>
      <x:c r="U17" s="31" t="n">
        <x:f>IF(T17="","",I17*T17)</x:f>
        <x:v>3521.7845320912857</x:v>
      </x:c>
    </x:row>
    <x:row r="18" ht="18" customHeight="1">
      <x:c r="A18" s="24" t="str">
        <x:v>EEZ_899</x:v>
      </x:c>
      <x:c r="B18" s="24" t="str">
        <x:v>Corsica (France)</x:v>
      </x:c>
      <x:c r="C18" s="24" t="str">
        <x:v>EEZ</x:v>
      </x:c>
      <x:c r="D18" s="30" t="n">
        <x:v>2019</x:v>
      </x:c>
      <x:c r="E18" s="24" t="str">
        <x:v>Trachurus</x:v>
      </x:c>
      <x:c r="F18" s="24" t="str">
        <x:v>Jacks, horse mackerels</x:v>
      </x:c>
      <x:c r="G18" s="24" t="str">
        <x:v>Medium pelagics (30 - 89 cm)</x:v>
      </x:c>
      <x:c r="H18" s="24" t="str">
        <x:v>Perch-likes</x:v>
      </x:c>
      <x:c r="I18" s="31" t="n">
        <x:v>19.5</x:v>
      </x:c>
      <x:c r="J18" s="31" t="n">
        <x:v>19.5</x:v>
      </x:c>
      <x:c r="K18" s="31" t="n">
        <x:v>0</x:v>
      </x:c>
      <x:c r="L18" s="31" t="n">
        <x:v>19.5</x:v>
      </x:c>
      <x:c r="M18" s="31" t="n">
        <x:v>0</x:v>
      </x:c>
      <x:c r="N18" s="24" t="str">
        <x:v>trachurus</x:v>
      </x:c>
      <x:c r="O18" s="32" t="n">
        <x:v>3.69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Trachurus</x:v>
      </x:c>
      <x:c r="T18" s="32" t="n">
        <x:f>IF(O18="","",(1/'Metadata'!$B$5)^(O18-1))</x:f>
        <x:v>489.77881936844614</x:v>
      </x:c>
      <x:c r="U18" s="31" t="n">
        <x:f>IF(T18="","",I18*T18)</x:f>
        <x:v>9550.6869776847</x:v>
      </x:c>
    </x:row>
    <x:row r="19" ht="18" customHeight="1">
      <x:c r="A19" s="24" t="str">
        <x:v>EEZ_899</x:v>
      </x:c>
      <x:c r="B19" s="24" t="str">
        <x:v>Corsica (France)</x:v>
      </x:c>
      <x:c r="C19" s="24" t="str">
        <x:v>EEZ</x:v>
      </x:c>
      <x:c r="D19" s="30" t="n">
        <x:v>2019</x:v>
      </x:c>
      <x:c r="E19" s="24" t="str">
        <x:v>Maja squinado</x:v>
      </x:c>
      <x:c r="F19" s="24" t="str">
        <x:v>Spinous spider crab</x:v>
      </x:c>
      <x:c r="G19" s="24" t="str">
        <x:v>Lobsters, crabs</x:v>
      </x:c>
      <x:c r="H19" s="24" t="str">
        <x:v>Crustaceans</x:v>
      </x:c>
      <x:c r="I19" s="31" t="n">
        <x:v>16.7541527408</x:v>
      </x:c>
      <x:c r="J19" s="31" t="n">
        <x:v>16.4893861854</x:v>
      </x:c>
      <x:c r="K19" s="31" t="n">
        <x:v>0.2647665554</x:v>
      </x:c>
      <x:c r="L19" s="31" t="n">
        <x:v>9.6</x:v>
      </x:c>
      <x:c r="M19" s="31" t="n">
        <x:v>7.154152740800001</x:v>
      </x:c>
      <x:c r="N19" s="24" t="str">
        <x:v>maja squinado</x:v>
      </x:c>
      <x:c r="O19" s="32" t="n">
        <x:v>2.94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Maja squinado</x:v>
      </x:c>
      <x:c r="T19" s="32" t="n">
        <x:f>IF(O19="","",(1/'Metadata'!$B$5)^(O19-1))</x:f>
        <x:v>87.09635899560806</x:v>
      </x:c>
      <x:c r="U19" s="31" t="n">
        <x:f>IF(T19="","",I19*T19)</x:f>
        <x:v>1459.2257017799673</x:v>
      </x:c>
    </x:row>
    <x:row r="20" ht="18" customHeight="1">
      <x:c r="A20" s="24" t="str">
        <x:v>EEZ_899</x:v>
      </x:c>
      <x:c r="B20" s="24" t="str">
        <x:v>Corsica (France)</x:v>
      </x:c>
      <x:c r="C20" s="24" t="str">
        <x:v>EEZ</x:v>
      </x:c>
      <x:c r="D20" s="30" t="n">
        <x:v>2019</x:v>
      </x:c>
      <x:c r="E20" s="24" t="str">
        <x:v>Lophius</x:v>
      </x:c>
      <x:c r="F20" s="24" t="str">
        <x:v>Frogfishes</x:v>
      </x:c>
      <x:c r="G20" s="24" t="str">
        <x:v>Medium bathydemersals (30 - 89 cm)</x:v>
      </x:c>
      <x:c r="H20" s="24" t="str">
        <x:v>Other fishes &amp; inverts</x:v>
      </x:c>
      <x:c r="I20" s="31" t="n">
        <x:v>15.1206691062</x:v>
      </x:c>
      <x:c r="J20" s="31" t="n">
        <x:v>14.8275347055</x:v>
      </x:c>
      <x:c r="K20" s="31" t="n">
        <x:v>0.2931344007</x:v>
      </x:c>
      <x:c r="L20" s="31" t="n">
        <x:v>7.2</x:v>
      </x:c>
      <x:c r="M20" s="31" t="n">
        <x:v>7.920669106199999</x:v>
      </x:c>
      <x:c r="N20" s="24" t="str">
        <x:v>lophius</x:v>
      </x:c>
      <x:c r="O20" s="32" t="n">
        <x:v>4.46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Lophius</x:v>
      </x:c>
      <x:c r="T20" s="32" t="n">
        <x:f>IF(O20="","",(1/'Metadata'!$B$5)^(O20-1))</x:f>
        <x:v>2884.031503126606</x:v>
      </x:c>
      <x:c r="U20" s="31" t="n">
        <x:f>IF(T20="","",I20*T20)</x:f>
        <x:v>43608.48605063402</x:v>
      </x:c>
    </x:row>
    <x:row r="21" ht="18" customHeight="1">
      <x:c r="A21" s="24" t="str">
        <x:v>EEZ_899</x:v>
      </x:c>
      <x:c r="B21" s="24" t="str">
        <x:v>Corsica (France)</x:v>
      </x:c>
      <x:c r="C21" s="24" t="str">
        <x:v>EEZ</x:v>
      </x:c>
      <x:c r="D21" s="30" t="n">
        <x:v>2019</x:v>
      </x:c>
      <x:c r="E21" s="24" t="str">
        <x:v>Zeus faber</x:v>
      </x:c>
      <x:c r="F21" s="24" t="str">
        <x:v>John dory</x:v>
      </x:c>
      <x:c r="G21" s="24" t="str">
        <x:v>Medium benthopelagics (30 - 89 cm)</x:v>
      </x:c>
      <x:c r="H21" s="24" t="str">
        <x:v>Other fishes &amp; inverts</x:v>
      </x:c>
      <x:c r="I21" s="31" t="n">
        <x:v>15.0048937696</x:v>
      </x:c>
      <x:c r="J21" s="31" t="n">
        <x:v>14.0196337186</x:v>
      </x:c>
      <x:c r="K21" s="31" t="n">
        <x:v>0.985260051</x:v>
      </x:c>
      <x:c r="L21" s="31" t="n">
        <x:v>5.9</x:v>
      </x:c>
      <x:c r="M21" s="31" t="n">
        <x:v>9.1048937696</x:v>
      </x:c>
      <x:c r="N21" s="24" t="str">
        <x:v>zeus faber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Zeus faber</x:v>
      </x:c>
      <x:c r="T21" s="32" t="n">
        <x:f>IF(O21="","",(1/'Metadata'!$B$5)^(O21-1))</x:f>
        <x:v>3162.2776601683795</x:v>
      </x:c>
      <x:c r="U21" s="31" t="n">
        <x:f>IF(T21="","",I21*T21)</x:f>
        <x:v>47449.64036080579</x:v>
      </x:c>
    </x:row>
    <x:row r="22" ht="18" customHeight="1">
      <x:c r="A22" s="24" t="str">
        <x:v>EEZ_899</x:v>
      </x:c>
      <x:c r="B22" s="24" t="str">
        <x:v>Corsica (France)</x:v>
      </x:c>
      <x:c r="C22" s="24" t="str">
        <x:v>EEZ</x:v>
      </x:c>
      <x:c r="D22" s="30" t="n">
        <x:v>2019</x:v>
      </x:c>
      <x:c r="E22" s="24" t="str">
        <x:v>Scomber scombrus</x:v>
      </x:c>
      <x:c r="F22" s="24" t="str">
        <x:v>Atlantic mackerel</x:v>
      </x:c>
      <x:c r="G22" s="24" t="str">
        <x:v>Medium pelagics (30 - 89 cm)</x:v>
      </x:c>
      <x:c r="H22" s="24" t="str">
        <x:v>Perch-likes</x:v>
      </x:c>
      <x:c r="I22" s="31" t="n">
        <x:v>14.660334553</x:v>
      </x:c>
      <x:c r="J22" s="31" t="n">
        <x:v>14.5137673527</x:v>
      </x:c>
      <x:c r="K22" s="31" t="n">
        <x:v>0.1465672003</x:v>
      </x:c>
      <x:c r="L22" s="31" t="n">
        <x:v>10.700000000000001</x:v>
      </x:c>
      <x:c r="M22" s="31" t="n">
        <x:v>3.9603345529999996</x:v>
      </x:c>
      <x:c r="N22" s="24" t="str">
        <x:v>scomber scombrus</x:v>
      </x:c>
      <x:c r="O22" s="32" t="n">
        <x:v>3.63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Scomber scombrus</x:v>
      </x:c>
      <x:c r="T22" s="32" t="n">
        <x:f>IF(O22="","",(1/'Metadata'!$B$5)^(O22-1))</x:f>
        <x:v>426.57951880159254</x:v>
      </x:c>
      <x:c r="U22" s="31" t="n">
        <x:f>IF(T22="","",I22*T22)</x:f>
        <x:v>6253.7984590891</x:v>
      </x:c>
    </x:row>
    <x:row r="23" ht="18" customHeight="1">
      <x:c r="A23" s="24" t="str">
        <x:v>EEZ_899</x:v>
      </x:c>
      <x:c r="B23" s="24" t="str">
        <x:v>Corsica (France)</x:v>
      </x:c>
      <x:c r="C23" s="24" t="str">
        <x:v>EEZ</x:v>
      </x:c>
      <x:c r="D23" s="30" t="n">
        <x:v>2019</x:v>
      </x:c>
      <x:c r="E23" s="24" t="str">
        <x:v>Illex coindetii</x:v>
      </x:c>
      <x:c r="F23" s="24" t="str">
        <x:v>Broadtail shortfin squid</x:v>
      </x:c>
      <x:c r="G23" s="24" t="str">
        <x:v>Cephalopods</x:v>
      </x:c>
      <x:c r="H23" s="24" t="str">
        <x:v>Other fishes &amp; inverts</x:v>
      </x:c>
      <x:c r="I23" s="31" t="n">
        <x:v>14.426850918199998</x:v>
      </x:c>
      <x:c r="J23" s="31" t="n">
        <x:v>14.251915872599998</x:v>
      </x:c>
      <x:c r="K23" s="31" t="n">
        <x:v>0.1749350456</x:v>
      </x:c>
      <x:c r="L23" s="31" t="n">
        <x:v>9.7</x:v>
      </x:c>
      <x:c r="M23" s="31" t="n">
        <x:v>4.726850918199999</x:v>
      </x:c>
      <x:c r="N23" s="24" t="str">
        <x:v>illex coindetii</x:v>
      </x:c>
      <x:c r="O23" s="32" t="n">
        <x:v>4.11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Illex coindetii</x:v>
      </x:c>
      <x:c r="T23" s="32" t="n">
        <x:f>IF(O23="","",(1/'Metadata'!$B$5)^(O23-1))</x:f>
        <x:v>1288.249551693135</x:v>
      </x:c>
      <x:c r="U23" s="31" t="n">
        <x:f>IF(T23="","",I23*T23)</x:f>
        <x:v>18585.38422771484</x:v>
      </x:c>
    </x:row>
    <x:row r="24" ht="18" customHeight="1">
      <x:c r="A24" s="24" t="str">
        <x:v>EEZ_899</x:v>
      </x:c>
      <x:c r="B24" s="24" t="str">
        <x:v>Corsica (France)</x:v>
      </x:c>
      <x:c r="C24" s="24" t="str">
        <x:v>EEZ</x:v>
      </x:c>
      <x:c r="D24" s="30" t="n">
        <x:v>2019</x:v>
      </x:c>
      <x:c r="E24" s="24" t="str">
        <x:v>Argentina</x:v>
      </x:c>
      <x:c r="F24" s="24" t="str">
        <x:v>Argentines</x:v>
      </x:c>
      <x:c r="G24" s="24" t="str">
        <x:v>Medium bathydemersals (30 - 89 cm)</x:v>
      </x:c>
      <x:c r="H24" s="24" t="str">
        <x:v>Salmon, smelts, etc</x:v>
      </x:c>
      <x:c r="I24" s="31" t="n">
        <x:v>13.5378618281</x:v>
      </x:c>
      <x:c r="J24" s="31" t="n">
        <x:v>13.3440148857</x:v>
      </x:c>
      <x:c r="K24" s="31" t="n">
        <x:v>0.1938469424</x:v>
      </x:c>
      <x:c r="L24" s="31" t="n">
        <x:v>8.3</x:v>
      </x:c>
      <x:c r="M24" s="31" t="n">
        <x:v>5.2378618281</x:v>
      </x:c>
      <x:c r="N24" s="24" t="str">
        <x:v>argentina</x:v>
      </x:c>
      <x:c r="O24" s="32" t="n">
        <x:v>3.35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Argentina</x:v>
      </x:c>
      <x:c r="T24" s="32" t="n">
        <x:f>IF(O24="","",(1/'Metadata'!$B$5)^(O24-1))</x:f>
        <x:v>223.872113856834</x:v>
      </x:c>
      <x:c r="U24" s="31" t="n">
        <x:f>IF(T24="","",I24*T24)</x:f>
        <x:v>3030.7497445584904</x:v>
      </x:c>
    </x:row>
    <x:row r="25" ht="18" customHeight="1">
      <x:c r="A25" s="24" t="str">
        <x:v>EEZ_899</x:v>
      </x:c>
      <x:c r="B25" s="24" t="str">
        <x:v>Corsica (France)</x:v>
      </x:c>
      <x:c r="C25" s="24" t="str">
        <x:v>EEZ</x:v>
      </x:c>
      <x:c r="D25" s="30" t="n">
        <x:v>2019</x:v>
      </x:c>
      <x:c r="E25" s="24" t="str">
        <x:v>Trachurus trachurus</x:v>
      </x:c>
      <x:c r="F25" s="24" t="str">
        <x:v>Atlantic horse mackerel</x:v>
      </x:c>
      <x:c r="G25" s="24" t="str">
        <x:v>Medium pelagics (30 - 89 cm)</x:v>
      </x:c>
      <x:c r="H25" s="24" t="str">
        <x:v>Perch-likes</x:v>
      </x:c>
      <x:c r="I25" s="31" t="n">
        <x:v>12.7752727518</x:v>
      </x:c>
      <x:c r="J25" s="31" t="n">
        <x:v>12.3024753314</x:v>
      </x:c>
      <x:c r="K25" s="31" t="n">
        <x:v>0.4727974204</x:v>
      </x:c>
      <x:c r="L25" s="31" t="n">
        <x:v>0</x:v>
      </x:c>
      <x:c r="M25" s="31" t="n">
        <x:v>12.7752727518</x:v>
      </x:c>
      <x:c r="N25" s="24" t="str">
        <x:v>trachurus trachurus</x:v>
      </x:c>
      <x:c r="O25" s="32" t="n">
        <x:v>3.71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Trachurus trachurus</x:v>
      </x:c>
      <x:c r="T25" s="32" t="n">
        <x:f>IF(O25="","",(1/'Metadata'!$B$5)^(O25-1))</x:f>
        <x:v>512.8613839913648</x:v>
      </x:c>
      <x:c r="U25" s="31" t="n">
        <x:f>IF(T25="","",I25*T25)</x:f>
        <x:v>6551.94406435532</x:v>
      </x:c>
    </x:row>
    <x:row r="26" ht="18" customHeight="1">
      <x:c r="A26" s="24" t="str">
        <x:v>EEZ_899</x:v>
      </x:c>
      <x:c r="B26" s="24" t="str">
        <x:v>Corsica (France)</x:v>
      </x:c>
      <x:c r="C26" s="24" t="str">
        <x:v>EEZ</x:v>
      </x:c>
      <x:c r="D26" s="30" t="n">
        <x:v>2019</x:v>
      </x:c>
      <x:c r="E26" s="24" t="str">
        <x:v>Sepia officinalis</x:v>
      </x:c>
      <x:c r="F26" s="24" t="str">
        <x:v>Common cuttlefish</x:v>
      </x:c>
      <x:c r="G26" s="24" t="str">
        <x:v>Cephalopods</x:v>
      </x:c>
      <x:c r="H26" s="24" t="str">
        <x:v>Other fishes &amp; inverts</x:v>
      </x:c>
      <x:c r="I26" s="31" t="n">
        <x:v>12.6211200108</x:v>
      </x:c>
      <x:c r="J26" s="31" t="n">
        <x:v>12.413089145799999</x:v>
      </x:c>
      <x:c r="K26" s="31" t="n">
        <x:v>0.208030865</x:v>
      </x:c>
      <x:c r="L26" s="31" t="n">
        <x:v>7</x:v>
      </x:c>
      <x:c r="M26" s="31" t="n">
        <x:v>5.6211200107999995</x:v>
      </x:c>
      <x:c r="N26" s="24" t="str">
        <x:v>sepia officinalis</x:v>
      </x:c>
      <x:c r="O26" s="32" t="n">
        <x:v>4.27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Sepia officinalis</x:v>
      </x:c>
      <x:c r="T26" s="32" t="n">
        <x:f>IF(O26="","",(1/'Metadata'!$B$5)^(O26-1))</x:f>
        <x:v>1862.0871366628655</x:v>
      </x:c>
      <x:c r="U26" s="31" t="n">
        <x:f>IF(T26="","",I26*T26)</x:f>
        <x:v>23501.625222388968</x:v>
      </x:c>
    </x:row>
    <x:row r="27" ht="18" customHeight="1">
      <x:c r="A27" s="24" t="str">
        <x:v>EEZ_899</x:v>
      </x:c>
      <x:c r="B27" s="24" t="str">
        <x:v>Corsica (France)</x:v>
      </x:c>
      <x:c r="C27" s="24" t="str">
        <x:v>EEZ</x:v>
      </x:c>
      <x:c r="D27" s="30" t="n">
        <x:v>2019</x:v>
      </x:c>
      <x:c r="E27" s="24" t="str">
        <x:v>Rajiformes</x:v>
      </x:c>
      <x:c r="F27" s="24" t="str">
        <x:v>Skates and rays</x:v>
      </x:c>
      <x:c r="G27" s="24" t="str">
        <x:v>Large rays (&gt;=90 cm)</x:v>
      </x:c>
      <x:c r="H27" s="24" t="str">
        <x:v>Sharks &amp; rays</x:v>
      </x:c>
      <x:c r="I27" s="31" t="n">
        <x:v>12.2426909263</x:v>
      </x:c>
      <x:c r="J27" s="31" t="n">
        <x:v>11.911732732</x:v>
      </x:c>
      <x:c r="K27" s="31" t="n">
        <x:v>0.3309581943</x:v>
      </x:c>
      <x:c r="L27" s="31" t="n">
        <x:v>3.3</x:v>
      </x:c>
      <x:c r="M27" s="31" t="n">
        <x:v>8.9426909263</x:v>
      </x:c>
      <x:c r="N27" s="24" t="str">
        <x:v>rajiformes</x:v>
      </x:c>
      <x:c r="O27" s="32" t="n">
        <x:v>3.61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Rajiformes</x:v>
      </x:c>
      <x:c r="T27" s="32" t="n">
        <x:f>IF(O27="","",(1/'Metadata'!$B$5)^(O27-1))</x:f>
        <x:v>407.3802778041126</x:v>
      </x:c>
      <x:c r="U27" s="31" t="n">
        <x:f>IF(T27="","",I27*T27)</x:f>
        <x:v>4987.430830625983</x:v>
      </x:c>
    </x:row>
    <x:row r="28" ht="18" customHeight="1">
      <x:c r="A28" s="24" t="str">
        <x:v>EEZ_899</x:v>
      </x:c>
      <x:c r="B28" s="24" t="str">
        <x:v>Corsica (France)</x:v>
      </x:c>
      <x:c r="C28" s="24" t="str">
        <x:v>EEZ</x:v>
      </x:c>
      <x:c r="D28" s="30" t="n">
        <x:v>2019</x:v>
      </x:c>
      <x:c r="E28" s="24" t="str">
        <x:v>Raja clavata</x:v>
      </x:c>
      <x:c r="F28" s="24" t="str">
        <x:v>Thornback ray</x:v>
      </x:c>
      <x:c r="G28" s="24" t="str">
        <x:v>Large rays (&gt;=90 cm)</x:v>
      </x:c>
      <x:c r="H28" s="24" t="str">
        <x:v>Sharks &amp; rays</x:v>
      </x:c>
      <x:c r="I28" s="31" t="n">
        <x:v>11.910109100800002</x:v>
      </x:c>
      <x:c r="J28" s="31" t="n">
        <x:v>11.7209901326</x:v>
      </x:c>
      <x:c r="K28" s="31" t="n">
        <x:v>0.1891189682</x:v>
      </x:c>
      <x:c r="L28" s="31" t="n">
        <x:v>6.800000000000001</x:v>
      </x:c>
      <x:c r="M28" s="31" t="n">
        <x:v>5.1101091008</x:v>
      </x:c>
      <x:c r="N28" s="24" t="str">
        <x:v>raja clavata</x:v>
      </x:c>
      <x:c r="O28" s="32" t="n">
        <x:v>3.84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Raja clavata</x:v>
      </x:c>
      <x:c r="T28" s="32" t="n">
        <x:f>IF(O28="","",(1/'Metadata'!$B$5)^(O28-1))</x:f>
        <x:v>691.8309709189363</x:v>
      </x:c>
      <x:c r="U28" s="31" t="n">
        <x:f>IF(T28="","",I28*T28)</x:f>
        <x:v>8239.782342956923</x:v>
      </x:c>
    </x:row>
    <x:row r="29" ht="18" customHeight="1">
      <x:c r="A29" s="24" t="str">
        <x:v>EEZ_899</x:v>
      </x:c>
      <x:c r="B29" s="24" t="str">
        <x:v>Corsica (France)</x:v>
      </x:c>
      <x:c r="C29" s="24" t="str">
        <x:v>EEZ</x:v>
      </x:c>
      <x:c r="D29" s="30" t="n">
        <x:v>2019</x:v>
      </x:c>
      <x:c r="E29" s="24" t="str">
        <x:v>Palinuridae</x:v>
      </x:c>
      <x:c r="F29" s="24" t="str">
        <x:v>Spiny lobsters</x:v>
      </x:c>
      <x:c r="G29" s="24" t="str">
        <x:v>Lobsters, crabs</x:v>
      </x:c>
      <x:c r="H29" s="24" t="str">
        <x:v>Crustaceans</x:v>
      </x:c>
      <x:c r="I29" s="31" t="n">
        <x:v>11.1144872939</x:v>
      </x:c>
      <x:c r="J29" s="31" t="n">
        <x:v>10.7031535381</x:v>
      </x:c>
      <x:c r="K29" s="31" t="n">
        <x:v>0.4113337558</x:v>
      </x:c>
      <x:c r="L29" s="31" t="n">
        <x:v>0</x:v>
      </x:c>
      <x:c r="M29" s="31" t="n">
        <x:v>11.1144872939</x:v>
      </x:c>
      <x:c r="N29" s="24" t="str">
        <x:v>palinuridae</x:v>
      </x:c>
      <x:c r="O29" s="32" t="n">
        <x:v>3.14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Palinuridae</x:v>
      </x:c>
      <x:c r="T29" s="32" t="n">
        <x:f>IF(O29="","",(1/'Metadata'!$B$5)^(O29-1))</x:f>
        <x:v>138.03842646028852</x:v>
      </x:c>
      <x:c r="U29" s="31" t="n">
        <x:f>IF(T29="","",I29*T29)</x:f>
        <x:v>1534.2263369628263</x:v>
      </x:c>
    </x:row>
    <x:row r="30" ht="18" customHeight="1">
      <x:c r="A30" s="24" t="str">
        <x:v>EEZ_899</x:v>
      </x:c>
      <x:c r="B30" s="24" t="str">
        <x:v>Corsica (France)</x:v>
      </x:c>
      <x:c r="C30" s="24" t="str">
        <x:v>EEZ</x:v>
      </x:c>
      <x:c r="D30" s="30" t="n">
        <x:v>2019</x:v>
      </x:c>
      <x:c r="E30" s="24" t="str">
        <x:v>Pagellus erythrinus</x:v>
      </x:c>
      <x:c r="F30" s="24" t="str">
        <x:v>Common pandora</x:v>
      </x:c>
      <x:c r="G30" s="24" t="str">
        <x:v>Medium benthopelagics (30 - 89 cm)</x:v>
      </x:c>
      <x:c r="H30" s="24" t="str">
        <x:v>Perch-likes</x:v>
      </x:c>
      <x:c r="I30" s="31" t="n">
        <x:v>10.9259735521</x:v>
      </x:c>
      <x:c r="J30" s="31" t="n">
        <x:v>5.3835198197</x:v>
      </x:c>
      <x:c r="K30" s="31" t="n">
        <x:v>5.5424537324</x:v>
      </x:c>
      <x:c r="L30" s="31" t="n">
        <x:v>2.8</x:v>
      </x:c>
      <x:c r="M30" s="31" t="n">
        <x:v>8.1259735521</x:v>
      </x:c>
      <x:c r="N30" s="24" t="str">
        <x:v>pagellus erythrinus</x:v>
      </x:c>
      <x:c r="O30" s="32" t="n">
        <x:v>3.48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Pagellus erythrinus</x:v>
      </x:c>
      <x:c r="T30" s="32" t="n">
        <x:f>IF(O30="","",(1/'Metadata'!$B$5)^(O30-1))</x:f>
        <x:v>301.9951720402016</x:v>
      </x:c>
      <x:c r="U30" s="31" t="n">
        <x:f>IF(T30="","",I30*T30)</x:f>
        <x:v>3299.5912625731326</x:v>
      </x:c>
    </x:row>
    <x:row r="31" ht="18" customHeight="1">
      <x:c r="A31" s="24" t="str">
        <x:v>EEZ_899</x:v>
      </x:c>
      <x:c r="B31" s="24" t="str">
        <x:v>Corsica (France)</x:v>
      </x:c>
      <x:c r="C31" s="24" t="str">
        <x:v>EEZ</x:v>
      </x:c>
      <x:c r="D31" s="30" t="n">
        <x:v>2019</x:v>
      </x:c>
      <x:c r="E31" s="24" t="str">
        <x:v>Thunnus thynnus</x:v>
      </x:c>
      <x:c r="F31" s="24" t="str">
        <x:v>Atlantic bluefin tuna</x:v>
      </x:c>
      <x:c r="G31" s="24" t="str">
        <x:v>Large pelagics (&gt;=90 cm)</x:v>
      </x:c>
      <x:c r="H31" s="24" t="str">
        <x:v>Tuna &amp; billfishes</x:v>
      </x:c>
      <x:c r="I31" s="31" t="n">
        <x:v>9.8726772164</x:v>
      </x:c>
      <x:c r="J31" s="31" t="n">
        <x:v>9.8726772164</x:v>
      </x:c>
      <x:c r="K31" s="31" t="n">
        <x:v>0</x:v>
      </x:c>
      <x:c r="L31" s="31" t="n">
        <x:v>9.8726772164</x:v>
      </x:c>
      <x:c r="M31" s="31" t="n">
        <x:v>0</x:v>
      </x:c>
      <x:c r="N31" s="24" t="str">
        <x:v>thunnus thynnus</x:v>
      </x:c>
      <x:c r="O31" s="32" t="n">
        <x:v>4.45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Thunnus thynnus</x:v>
      </x:c>
      <x:c r="T31" s="32" t="n">
        <x:f>IF(O31="","",(1/'Metadata'!$B$5)^(O31-1))</x:f>
        <x:v>2818.382931264455</x:v>
      </x:c>
      <x:c r="U31" s="31" t="n">
        <x:f>IF(T31="","",I31*T31)</x:f>
        <x:v>27824.98495258523</x:v>
      </x:c>
    </x:row>
    <x:row r="32" ht="18" customHeight="1">
      <x:c r="A32" s="24" t="str">
        <x:v>EEZ_899</x:v>
      </x:c>
      <x:c r="B32" s="24" t="str">
        <x:v>Corsica (France)</x:v>
      </x:c>
      <x:c r="C32" s="24" t="str">
        <x:v>EEZ</x:v>
      </x:c>
      <x:c r="D32" s="30" t="n">
        <x:v>2019</x:v>
      </x:c>
      <x:c r="E32" s="24" t="str">
        <x:v>Anguilla anguilla</x:v>
      </x:c>
      <x:c r="F32" s="24" t="str">
        <x:v>European eel</x:v>
      </x:c>
      <x:c r="G32" s="24" t="str">
        <x:v>Large demersals (&gt;=90 cm)</x:v>
      </x:c>
      <x:c r="H32" s="24" t="str">
        <x:v>Other fishes &amp; inverts</x:v>
      </x:c>
      <x:c r="I32" s="31" t="n">
        <x:v>9.7321309209</x:v>
      </x:c>
      <x:c r="J32" s="31" t="n">
        <x:v>9.5051881591</x:v>
      </x:c>
      <x:c r="K32" s="31" t="n">
        <x:v>0.2269427618</x:v>
      </x:c>
      <x:c r="L32" s="31" t="n">
        <x:v>3.6</x:v>
      </x:c>
      <x:c r="M32" s="31" t="n">
        <x:v>6.1321309209</x:v>
      </x:c>
      <x:c r="N32" s="24" t="str">
        <x:v>anguilla anguilla</x:v>
      </x:c>
      <x:c r="O32" s="32" t="n">
        <x:v>3.55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Anguilla anguilla</x:v>
      </x:c>
      <x:c r="T32" s="32" t="n">
        <x:f>IF(O32="","",(1/'Metadata'!$B$5)^(O32-1))</x:f>
        <x:v>354.8133892335753</x:v>
      </x:c>
      <x:c r="U32" s="31" t="n">
        <x:f>IF(T32="","",I32*T32)</x:f>
        <x:v>3453.0903565094054</x:v>
      </x:c>
    </x:row>
    <x:row r="33" ht="18" customHeight="1">
      <x:c r="A33" s="24" t="str">
        <x:v>EEZ_899</x:v>
      </x:c>
      <x:c r="B33" s="24" t="str">
        <x:v>Corsica (France)</x:v>
      </x:c>
      <x:c r="C33" s="24" t="str">
        <x:v>EEZ</x:v>
      </x:c>
      <x:c r="D33" s="30" t="n">
        <x:v>2019</x:v>
      </x:c>
      <x:c r="E33" s="24" t="str">
        <x:v>Mugil cephalus</x:v>
      </x:c>
      <x:c r="F33" s="24" t="str">
        <x:v>Flathead grey mullet</x:v>
      </x:c>
      <x:c r="G33" s="24" t="str">
        <x:v>Large benthopelagics (&gt;=90 cm)</x:v>
      </x:c>
      <x:c r="H33" s="24" t="str">
        <x:v>Perch-likes</x:v>
      </x:c>
      <x:c r="I33" s="31" t="n">
        <x:v>9.200000000000001</x:v>
      </x:c>
      <x:c r="J33" s="31" t="n">
        <x:v>9.200000000000001</x:v>
      </x:c>
      <x:c r="K33" s="31" t="n">
        <x:v>0</x:v>
      </x:c>
      <x:c r="L33" s="31" t="n">
        <x:v>9.200000000000001</x:v>
      </x:c>
      <x:c r="M33" s="31" t="n">
        <x:v>0</x:v>
      </x:c>
      <x:c r="N33" s="24" t="str">
        <x:v>mugil cephalus</x:v>
      </x:c>
      <x:c r="O33" s="32" t="n">
        <x:v>2.14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Mugil cephalus</x:v>
      </x:c>
      <x:c r="T33" s="32" t="n">
        <x:f>IF(O33="","",(1/'Metadata'!$B$5)^(O33-1))</x:f>
        <x:v>13.803842646028853</x:v>
      </x:c>
      <x:c r="U33" s="31" t="n">
        <x:f>IF(T33="","",I33*T33)</x:f>
        <x:v>126.99535234346546</x:v>
      </x:c>
    </x:row>
    <x:row r="34" ht="18" customHeight="1">
      <x:c r="A34" s="24" t="str">
        <x:v>EEZ_899</x:v>
      </x:c>
      <x:c r="B34" s="24" t="str">
        <x:v>Corsica (France)</x:v>
      </x:c>
      <x:c r="C34" s="24" t="str">
        <x:v>EEZ</x:v>
      </x:c>
      <x:c r="D34" s="30" t="n">
        <x:v>2019</x:v>
      </x:c>
      <x:c r="E34" s="24" t="str">
        <x:v>Thunnus alalunga</x:v>
      </x:c>
      <x:c r="F34" s="24" t="str">
        <x:v>Albacore</x:v>
      </x:c>
      <x:c r="G34" s="24" t="str">
        <x:v>Large pelagics (&gt;=90 cm)</x:v>
      </x:c>
      <x:c r="H34" s="24" t="str">
        <x:v>Tuna &amp; billfishes</x:v>
      </x:c>
      <x:c r="I34" s="31" t="n">
        <x:v>9.106698613099999</x:v>
      </x:c>
      <x:c r="J34" s="31" t="n">
        <x:v>9.106698613099999</x:v>
      </x:c>
      <x:c r="K34" s="31" t="n">
        <x:v>0</x:v>
      </x:c>
      <x:c r="L34" s="31" t="n">
        <x:v>9.106698613099999</x:v>
      </x:c>
      <x:c r="M34" s="31" t="n">
        <x:v>0</x:v>
      </x:c>
      <x:c r="N34" s="24" t="str">
        <x:v>thunnus alalunga</x:v>
      </x:c>
      <x:c r="O34" s="32" t="n">
        <x:v>4.3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Thunnus alalunga</x:v>
      </x:c>
      <x:c r="T34" s="32" t="n">
        <x:f>IF(O34="","",(1/'Metadata'!$B$5)^(O34-1))</x:f>
        <x:v>1995.2623149688789</x:v>
      </x:c>
      <x:c r="U34" s="31" t="n">
        <x:f>IF(T34="","",I34*T34)</x:f>
        <x:v>18170.252556497784</x:v>
      </x:c>
    </x:row>
    <x:row r="35" ht="18" customHeight="1">
      <x:c r="A35" s="24" t="str">
        <x:v>EEZ_899</x:v>
      </x:c>
      <x:c r="B35" s="24" t="str">
        <x:v>Corsica (France)</x:v>
      </x:c>
      <x:c r="C35" s="24" t="str">
        <x:v>EEZ</x:v>
      </x:c>
      <x:c r="D35" s="30" t="n">
        <x:v>2019</x:v>
      </x:c>
      <x:c r="E35" s="24" t="str">
        <x:v>Seriola dumerili</x:v>
      </x:c>
      <x:c r="F35" s="24" t="str">
        <x:v>Greater amberjack</x:v>
      </x:c>
      <x:c r="G35" s="24" t="str">
        <x:v>Large reef assoc. fish (&gt;=90 cm)</x:v>
      </x:c>
      <x:c r="H35" s="24" t="str">
        <x:v>Perch-likes</x:v>
      </x:c>
      <x:c r="I35" s="31" t="n">
        <x:v>8.9158400081</x:v>
      </x:c>
      <x:c r="J35" s="31" t="n">
        <x:v>8.759816859399999</x:v>
      </x:c>
      <x:c r="K35" s="31" t="n">
        <x:v>0.1560231487</x:v>
      </x:c>
      <x:c r="L35" s="31" t="n">
        <x:v>4.699999999999999</x:v>
      </x:c>
      <x:c r="M35" s="31" t="n">
        <x:v>4.2158400081</x:v>
      </x:c>
      <x:c r="N35" s="24" t="str">
        <x:v>seriola dumerili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Seriola dumerili</x:v>
      </x:c>
      <x:c r="T35" s="32" t="n">
        <x:f>IF(O35="","",(1/'Metadata'!$B$5)^(O35-1))</x:f>
        <x:v>3162.2776601683795</x:v>
      </x:c>
      <x:c r="U35" s="31" t="n">
        <x:f>IF(T35="","",I35*T35)</x:f>
        <x:v>28194.361679250094</x:v>
      </x:c>
    </x:row>
    <x:row r="36" ht="18" customHeight="1">
      <x:c r="A36" s="24" t="str">
        <x:v>EEZ_899</x:v>
      </x:c>
      <x:c r="B36" s="24" t="str">
        <x:v>Corsica (France)</x:v>
      </x:c>
      <x:c r="C36" s="24" t="str">
        <x:v>EEZ</x:v>
      </x:c>
      <x:c r="D36" s="30" t="n">
        <x:v>2019</x:v>
      </x:c>
      <x:c r="E36" s="24" t="str">
        <x:v>Diplodus sargus</x:v>
      </x:c>
      <x:c r="F36" s="24" t="str">
        <x:v>White seabream</x:v>
      </x:c>
      <x:c r="G36" s="24" t="str">
        <x:v>Medium demersals (30 - 89 cm)</x:v>
      </x:c>
      <x:c r="H36" s="24" t="str">
        <x:v>Perch-likes</x:v>
      </x:c>
      <x:c r="I36" s="31" t="n">
        <x:v>8.843331974</x:v>
      </x:c>
      <x:c r="J36" s="31" t="n">
        <x:v>7.7288911195</x:v>
      </x:c>
      <x:c r="K36" s="31" t="n">
        <x:v>1.1144408545</x:v>
      </x:c>
      <x:c r="L36" s="31" t="n">
        <x:v>3.3</x:v>
      </x:c>
      <x:c r="M36" s="31" t="n">
        <x:v>5.543331974</x:v>
      </x:c>
      <x:c r="N36" s="24" t="str">
        <x:v>diplodus sargus</x:v>
      </x:c>
      <x:c r="O36" s="32" t="n">
        <x:v>3.38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Diplodus sargus</x:v>
      </x:c>
      <x:c r="T36" s="32" t="n">
        <x:f>IF(O36="","",(1/'Metadata'!$B$5)^(O36-1))</x:f>
        <x:v>239.88329190194898</x:v>
      </x:c>
      <x:c r="U36" s="31" t="n">
        <x:f>IF(T36="","",I36*T36)</x:f>
        <x:v>2121.367585304881</x:v>
      </x:c>
    </x:row>
    <x:row r="37" ht="18" customHeight="1">
      <x:c r="A37" s="24" t="str">
        <x:v>EEZ_899</x:v>
      </x:c>
      <x:c r="B37" s="24" t="str">
        <x:v>Corsica (France)</x:v>
      </x:c>
      <x:c r="C37" s="24" t="str">
        <x:v>EEZ</x:v>
      </x:c>
      <x:c r="D37" s="30" t="n">
        <x:v>2019</x:v>
      </x:c>
      <x:c r="E37" s="24" t="str">
        <x:v>Chelidonichthys cuculus</x:v>
      </x:c>
      <x:c r="F37" s="24" t="str">
        <x:v>Red gurnard</x:v>
      </x:c>
      <x:c r="G37" s="24" t="str">
        <x:v>Medium demersals (30 - 89 cm)</x:v>
      </x:c>
      <x:c r="H37" s="24" t="str">
        <x:v>Scorpionfishes</x:v>
      </x:c>
      <x:c r="I37" s="31" t="n">
        <x:v>8.682807278</x:v>
      </x:c>
      <x:c r="J37" s="31" t="n">
        <x:v>8.583519819700001</x:v>
      </x:c>
      <x:c r="K37" s="31" t="n">
        <x:v>0.0992874583</x:v>
      </x:c>
      <x:c r="L37" s="31" t="n">
        <x:v>6</x:v>
      </x:c>
      <x:c r="M37" s="31" t="n">
        <x:v>2.6828072780000003</x:v>
      </x:c>
      <x:c r="N37" s="24" t="str">
        <x:v>chelidonichthys cuculus</x:v>
      </x:c>
      <x:c r="O37" s="32" t="n">
        <x:v>3.81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Chelidonichthys cuculus</x:v>
      </x:c>
      <x:c r="T37" s="32" t="n">
        <x:f>IF(O37="","",(1/'Metadata'!$B$5)^(O37-1))</x:f>
        <x:v>645.6542290346556</x:v>
      </x:c>
      <x:c r="U37" s="31" t="n">
        <x:f>IF(T37="","",I37*T37)</x:f>
        <x:v>5606.091238933587</x:v>
      </x:c>
    </x:row>
    <x:row r="38" ht="18" customHeight="1">
      <x:c r="A38" s="24" t="str">
        <x:v>EEZ_899</x:v>
      </x:c>
      <x:c r="B38" s="24" t="str">
        <x:v>Corsica (France)</x:v>
      </x:c>
      <x:c r="C38" s="24" t="str">
        <x:v>EEZ</x:v>
      </x:c>
      <x:c r="D38" s="30" t="n">
        <x:v>2019</x:v>
      </x:c>
      <x:c r="E38" s="24" t="str">
        <x:v>Spondyliosoma cantharus</x:v>
      </x:c>
      <x:c r="F38" s="24" t="str">
        <x:v>Black seabream</x:v>
      </x:c>
      <x:c r="G38" s="24" t="str">
        <x:v>Medium benthopelagics (30 - 89 cm)</x:v>
      </x:c>
      <x:c r="H38" s="24" t="str">
        <x:v>Perch-likes</x:v>
      </x:c>
      <x:c r="I38" s="31" t="n">
        <x:v>7.9459576706999995</x:v>
      </x:c>
      <x:c r="J38" s="31" t="n">
        <x:v>6.2907425994</x:v>
      </x:c>
      <x:c r="K38" s="31" t="n">
        <x:v>1.6552150712999998</x:v>
      </x:c>
      <x:c r="L38" s="31" t="n">
        <x:v>2.6</x:v>
      </x:c>
      <x:c r="M38" s="31" t="n">
        <x:v>5.3459576707</x:v>
      </x:c>
      <x:c r="N38" s="24" t="str">
        <x:v>spondyliosoma cantharus</x:v>
      </x:c>
      <x:c r="O38" s="32" t="n">
        <x:v>3.34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Spondyliosoma cantharus</x:v>
      </x:c>
      <x:c r="T38" s="32" t="n">
        <x:f>IF(O38="","",(1/'Metadata'!$B$5)^(O38-1))</x:f>
        <x:v>218.77616239495518</x:v>
      </x:c>
      <x:c r="U38" s="31" t="n">
        <x:f>IF(T38="","",I38*T38)</x:f>
        <x:v>1738.3861257485028</x:v>
      </x:c>
    </x:row>
    <x:row r="39" ht="18" customHeight="1">
      <x:c r="A39" s="24" t="str">
        <x:v>EEZ_899</x:v>
      </x:c>
      <x:c r="B39" s="24" t="str">
        <x:v>Corsica (France)</x:v>
      </x:c>
      <x:c r="C39" s="24" t="str">
        <x:v>EEZ</x:v>
      </x:c>
      <x:c r="D39" s="30" t="n">
        <x:v>2019</x:v>
      </x:c>
      <x:c r="E39" s="24" t="str">
        <x:v>Pagellus bogaraveo</x:v>
      </x:c>
      <x:c r="F39" s="24" t="str">
        <x:v>Blackspot seabream</x:v>
      </x:c>
      <x:c r="G39" s="24" t="str">
        <x:v>Medium benthopelagics (30 - 89 cm)</x:v>
      </x:c>
      <x:c r="H39" s="24" t="str">
        <x:v>Perch-likes</x:v>
      </x:c>
      <x:c r="I39" s="31" t="n">
        <x:v>7.8273018228</x:v>
      </x:c>
      <x:c r="J39" s="31" t="n">
        <x:v>7.7374703129</x:v>
      </x:c>
      <x:c r="K39" s="31" t="n">
        <x:v>0.0898315099</x:v>
      </x:c>
      <x:c r="L39" s="31" t="n">
        <x:v>5.4</x:v>
      </x:c>
      <x:c r="M39" s="31" t="n">
        <x:v>2.4273018228</x:v>
      </x:c>
      <x:c r="N39" s="24" t="str">
        <x:v>pagellus bogaraveo</x:v>
      </x:c>
      <x:c r="O39" s="32" t="n">
        <x:v>4.21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Pagellus bogaraveo</x:v>
      </x:c>
      <x:c r="T39" s="32" t="n">
        <x:f>IF(O39="","",(1/'Metadata'!$B$5)^(O39-1))</x:f>
        <x:v>1621.8100973589299</x:v>
      </x:c>
      <x:c r="U39" s="31" t="n">
        <x:f>IF(T39="","",I39*T39)</x:f>
        <x:v>12694.397131292997</x:v>
      </x:c>
    </x:row>
    <x:row r="40" ht="18" customHeight="1">
      <x:c r="A40" s="24" t="str">
        <x:v>EEZ_899</x:v>
      </x:c>
      <x:c r="B40" s="24" t="str">
        <x:v>Corsica (France)</x:v>
      </x:c>
      <x:c r="C40" s="24" t="str">
        <x:v>EEZ</x:v>
      </x:c>
      <x:c r="D40" s="30" t="n">
        <x:v>2019</x:v>
      </x:c>
      <x:c r="E40" s="24" t="str">
        <x:v>Pleuronectiformes</x:v>
      </x:c>
      <x:c r="F40" s="24" t="str">
        <x:v>Flatfishes</x:v>
      </x:c>
      <x:c r="G40" s="24" t="str">
        <x:v>Small to medium flatfishes (&lt;90 cm)</x:v>
      </x:c>
      <x:c r="H40" s="24" t="str">
        <x:v>Flatfishes</x:v>
      </x:c>
      <x:c r="I40" s="31" t="n">
        <x:v>7.7162909128</x:v>
      </x:c>
      <x:c r="J40" s="31" t="n">
        <x:v>7.6453712997</x:v>
      </x:c>
      <x:c r="K40" s="31" t="n">
        <x:v>0.0709196131</x:v>
      </x:c>
      <x:c r="L40" s="31" t="n">
        <x:v>5.8</x:v>
      </x:c>
      <x:c r="M40" s="31" t="n">
        <x:v>1.9162909128</x:v>
      </x:c>
      <x:c r="N40" s="24" t="str">
        <x:v>pleuronectiformes</x:v>
      </x:c>
      <x:c r="O40" s="32" t="n">
        <x:v>3.57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Pleuronectiformes</x:v>
      </x:c>
      <x:c r="T40" s="32" t="n">
        <x:f>IF(O40="","",(1/'Metadata'!$B$5)^(O40-1))</x:f>
        <x:v>371.5352290971724</x:v>
      </x:c>
      <x:c r="U40" s="31" t="n">
        <x:f>IF(T40="","",I40*T40)</x:f>
        <x:v>2866.8739120675777</x:v>
      </x:c>
    </x:row>
    <x:row r="41" ht="18" customHeight="1">
      <x:c r="A41" s="24" t="str">
        <x:v>EEZ_899</x:v>
      </x:c>
      <x:c r="B41" s="24" t="str">
        <x:v>Corsica (France)</x:v>
      </x:c>
      <x:c r="C41" s="24" t="str">
        <x:v>EEZ</x:v>
      </x:c>
      <x:c r="D41" s="30" t="n">
        <x:v>2019</x:v>
      </x:c>
      <x:c r="E41" s="24" t="str">
        <x:v>Mollusca</x:v>
      </x:c>
      <x:c r="F41" s="24" t="str">
        <x:v>Clams, seasnails, squids, octopuses</x:v>
      </x:c>
      <x:c r="G41" s="24" t="str">
        <x:v>Other demersal invertebrates</x:v>
      </x:c>
      <x:c r="H41" s="24" t="str">
        <x:v>Molluscs</x:v>
      </x:c>
      <x:c r="I41" s="31" t="n">
        <x:v>7.0522463229</x:v>
      </x:c>
      <x:c r="J41" s="31" t="n">
        <x:v>0</x:v>
      </x:c>
      <x:c r="K41" s="31" t="n">
        <x:v>7.0522463229</x:v>
      </x:c>
      <x:c r="L41" s="31" t="n">
        <x:v>0</x:v>
      </x:c>
      <x:c r="M41" s="31" t="n">
        <x:v>7.0522463229</x:v>
      </x:c>
      <x:c r="N41" s="24" t="str">
        <x:v>mollusca</x:v>
      </x:c>
      <x:c r="O41" s="32" t="n">
        <x:v>2.1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Mollusca</x:v>
      </x:c>
      <x:c r="T41" s="32" t="n">
        <x:f>IF(O41="","",(1/'Metadata'!$B$5)^(O41-1))</x:f>
        <x:v>12.589254117941675</x:v>
      </x:c>
      <x:c r="U41" s="31" t="n">
        <x:f>IF(T41="","",I41*T41)</x:f>
        <x:v>88.78252106130786</x:v>
      </x:c>
    </x:row>
    <x:row r="42" ht="18" customHeight="1">
      <x:c r="A42" s="24" t="str">
        <x:v>EEZ_899</x:v>
      </x:c>
      <x:c r="B42" s="24" t="str">
        <x:v>Corsica (France)</x:v>
      </x:c>
      <x:c r="C42" s="24" t="str">
        <x:v>EEZ</x:v>
      </x:c>
      <x:c r="D42" s="30" t="n">
        <x:v>2019</x:v>
      </x:c>
      <x:c r="E42" s="24" t="str">
        <x:v>Phycis phycis</x:v>
      </x:c>
      <x:c r="F42" s="24" t="str">
        <x:v>Forkbeard</x:v>
      </x:c>
      <x:c r="G42" s="24" t="str">
        <x:v>Medium benthopelagics (30 - 89 cm)</x:v>
      </x:c>
      <x:c r="H42" s="24" t="str">
        <x:v>Cod-likes</x:v>
      </x:c>
      <x:c r="I42" s="31" t="n">
        <x:v>6.7703539605</x:v>
      </x:c>
      <x:c r="J42" s="31" t="n">
        <x:v>4.2</x:v>
      </x:c>
      <x:c r="K42" s="31" t="n">
        <x:v>2.5703539605</x:v>
      </x:c>
      <x:c r="L42" s="31" t="n">
        <x:v>4.2</x:v>
      </x:c>
      <x:c r="M42" s="31" t="n">
        <x:v>2.5703539605</x:v>
      </x:c>
      <x:c r="N42" s="24" t="str">
        <x:v>phycis phycis</x:v>
      </x:c>
      <x:c r="O42" s="32" t="n">
        <x:v>4.25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Phycis phycis</x:v>
      </x:c>
      <x:c r="T42" s="32" t="n">
        <x:f>IF(O42="","",(1/'Metadata'!$B$5)^(O42-1))</x:f>
        <x:v>1778.2794100389228</x:v>
      </x:c>
      <x:c r="U42" s="31" t="n">
        <x:f>IF(T42="","",I42*T42)</x:f>
        <x:v>12039.581046632624</x:v>
      </x:c>
    </x:row>
    <x:row r="43" ht="18" customHeight="1">
      <x:c r="A43" s="24" t="str">
        <x:v>EEZ_899</x:v>
      </x:c>
      <x:c r="B43" s="24" t="str">
        <x:v>Corsica (France)</x:v>
      </x:c>
      <x:c r="C43" s="24" t="str">
        <x:v>EEZ</x:v>
      </x:c>
      <x:c r="D43" s="30" t="n">
        <x:v>2019</x:v>
      </x:c>
      <x:c r="E43" s="24" t="str">
        <x:v>Pagellus acarne</x:v>
      </x:c>
      <x:c r="F43" s="24" t="str">
        <x:v>Axillary seabream</x:v>
      </x:c>
      <x:c r="G43" s="24" t="str">
        <x:v>Medium benthopelagics (30 - 89 cm)</x:v>
      </x:c>
      <x:c r="H43" s="24" t="str">
        <x:v>Perch-likes</x:v>
      </x:c>
      <x:c r="I43" s="31" t="n">
        <x:v>6.5766254656</x:v>
      </x:c>
      <x:c r="J43" s="31" t="n">
        <x:v>6.3591386522</x:v>
      </x:c>
      <x:c r="K43" s="31" t="n">
        <x:v>0.2174868134</x:v>
      </x:c>
      <x:c r="L43" s="31" t="n">
        <x:v>0.7</x:v>
      </x:c>
      <x:c r="M43" s="31" t="n">
        <x:v>5.8766254656</x:v>
      </x:c>
      <x:c r="N43" s="24" t="str">
        <x:v>pagellus acarne</x:v>
      </x:c>
      <x:c r="O43" s="32" t="n">
        <x:v>3.81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Pagellus acarne</x:v>
      </x:c>
      <x:c r="T43" s="32" t="n">
        <x:f>IF(O43="","",(1/'Metadata'!$B$5)^(O43-1))</x:f>
        <x:v>645.6542290346556</x:v>
      </x:c>
      <x:c r="U43" s="31" t="n">
        <x:f>IF(T43="","",I43*T43)</x:f>
        <x:v>4246.226044641651</x:v>
      </x:c>
    </x:row>
    <x:row r="44" ht="18" customHeight="1">
      <x:c r="A44" s="24" t="str">
        <x:v>EEZ_899</x:v>
      </x:c>
      <x:c r="B44" s="24" t="str">
        <x:v>Corsica (France)</x:v>
      </x:c>
      <x:c r="C44" s="24" t="str">
        <x:v>EEZ</x:v>
      </x:c>
      <x:c r="D44" s="30" t="n">
        <x:v>2019</x:v>
      </x:c>
      <x:c r="E44" s="24" t="str">
        <x:v>Scyliorhinus</x:v>
      </x:c>
      <x:c r="F44" s="24" t="str">
        <x:v>Catsharks</x:v>
      </x:c>
      <x:c r="G44" s="24" t="str">
        <x:v>Small to medium sharks (&lt;90 cm)</x:v>
      </x:c>
      <x:c r="H44" s="24" t="str">
        <x:v>Sharks &amp; rays</x:v>
      </x:c>
      <x:c r="I44" s="31" t="n">
        <x:v>6.4650372762999995</x:v>
      </x:c>
      <x:c r="J44" s="31" t="n">
        <x:v>0.4690742598</x:v>
      </x:c>
      <x:c r="K44" s="31" t="n">
        <x:v>5.995963016499999</x:v>
      </x:c>
      <x:c r="L44" s="31" t="n">
        <x:v>0.1</x:v>
      </x:c>
      <x:c r="M44" s="31" t="n">
        <x:v>6.3650372763</x:v>
      </x:c>
      <x:c r="N44" s="24" t="str">
        <x:v>scyliorhinus</x:v>
      </x:c>
      <x:c r="O44" s="32" t="n">
        <x:v>3.86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Scyliorhinus</x:v>
      </x:c>
      <x:c r="T44" s="32" t="n">
        <x:f>IF(O44="","",(1/'Metadata'!$B$5)^(O44-1))</x:f>
        <x:v>724.4359600749899</x:v>
      </x:c>
      <x:c r="U44" s="31" t="n">
        <x:f>IF(T44="","",I44*T44)</x:f>
        <x:v>4683.505486176988</x:v>
      </x:c>
    </x:row>
    <x:row r="45" ht="18" customHeight="1">
      <x:c r="A45" s="24" t="str">
        <x:v>EEZ_899</x:v>
      </x:c>
      <x:c r="B45" s="24" t="str">
        <x:v>Corsica (France)</x:v>
      </x:c>
      <x:c r="C45" s="24" t="str">
        <x:v>EEZ</x:v>
      </x:c>
      <x:c r="D45" s="30" t="n">
        <x:v>2019</x:v>
      </x:c>
      <x:c r="E45" s="24" t="str">
        <x:v>Pagrus pagrus</x:v>
      </x:c>
      <x:c r="F45" s="24" t="str">
        <x:v>Red porgy</x:v>
      </x:c>
      <x:c r="G45" s="24" t="str">
        <x:v>Medium benthopelagics (30 - 89 cm)</x:v>
      </x:c>
      <x:c r="H45" s="24" t="str">
        <x:v>Perch-likes</x:v>
      </x:c>
      <x:c r="I45" s="31" t="n">
        <x:v>5.9493236428000005</x:v>
      </x:c>
      <x:c r="J45" s="31" t="n">
        <x:v>5.8216683393</x:v>
      </x:c>
      <x:c r="K45" s="31" t="n">
        <x:v>0.1276553035</x:v>
      </x:c>
      <x:c r="L45" s="31" t="n">
        <x:v>2.5</x:v>
      </x:c>
      <x:c r="M45" s="31" t="n">
        <x:v>3.4493236428</x:v>
      </x:c>
      <x:c r="N45" s="24" t="str">
        <x:v>pagrus pagrus</x:v>
      </x:c>
      <x:c r="O45" s="32" t="n">
        <x:v>3.86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Pagrus pagrus</x:v>
      </x:c>
      <x:c r="T45" s="32" t="n">
        <x:f>IF(O45="","",(1/'Metadata'!$B$5)^(O45-1))</x:f>
        <x:v>724.4359600749899</x:v>
      </x:c>
      <x:c r="U45" s="31" t="n">
        <x:f>IF(T45="","",I45*T45)</x:f>
        <x:v>4309.903984968655</x:v>
      </x:c>
    </x:row>
    <x:row r="46" ht="18" customHeight="1">
      <x:c r="A46" s="24" t="str">
        <x:v>EEZ_899</x:v>
      </x:c>
      <x:c r="B46" s="24" t="str">
        <x:v>Corsica (France)</x:v>
      </x:c>
      <x:c r="C46" s="24" t="str">
        <x:v>EEZ</x:v>
      </x:c>
      <x:c r="D46" s="30" t="n">
        <x:v>2019</x:v>
      </x:c>
      <x:c r="E46" s="24" t="str">
        <x:v>Mugilidae</x:v>
      </x:c>
      <x:c r="F46" s="24" t="str">
        <x:v>Mullets, grey mullets</x:v>
      </x:c>
      <x:c r="G46" s="24" t="str">
        <x:v>Medium reef assoc. fish (30 - 89 cm)</x:v>
      </x:c>
      <x:c r="H46" s="24" t="str">
        <x:v>Perch-likes</x:v>
      </x:c>
      <x:c r="I46" s="31" t="n">
        <x:v>5.3823563729999995</x:v>
      </x:c>
      <x:c r="J46" s="31" t="n">
        <x:v>5.197965379</x:v>
      </x:c>
      <x:c r="K46" s="31" t="n">
        <x:v>0.184390994</x:v>
      </x:c>
      <x:c r="L46" s="31" t="n">
        <x:v>0.39999999999999997</x:v>
      </x:c>
      <x:c r="M46" s="31" t="n">
        <x:v>4.982356373</x:v>
      </x:c>
      <x:c r="N46" s="24" t="str">
        <x:v>mugilidae</x:v>
      </x:c>
      <x:c r="O46" s="32" t="n">
        <x:v>2.53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Mugilidae</x:v>
      </x:c>
      <x:c r="T46" s="32" t="n">
        <x:f>IF(O46="","",(1/'Metadata'!$B$5)^(O46-1))</x:f>
        <x:v>33.88441561392024</x:v>
      </x:c>
      <x:c r="U46" s="31" t="n">
        <x:f>IF(T46="","",I46*T46)</x:f>
        <x:v>182.3780003249643</x:v>
      </x:c>
    </x:row>
    <x:row r="47" ht="18" customHeight="1">
      <x:c r="A47" s="24" t="str">
        <x:v>EEZ_899</x:v>
      </x:c>
      <x:c r="B47" s="24" t="str">
        <x:v>Corsica (France)</x:v>
      </x:c>
      <x:c r="C47" s="24" t="str">
        <x:v>EEZ</x:v>
      </x:c>
      <x:c r="D47" s="30" t="n">
        <x:v>2019</x:v>
      </x:c>
      <x:c r="E47" s="24" t="str">
        <x:v>Parapenaeus longirostris</x:v>
      </x:c>
      <x:c r="F47" s="24" t="str">
        <x:v>Deepwater rose shrimp</x:v>
      </x:c>
      <x:c r="G47" s="24" t="str">
        <x:v>Shrimps</x:v>
      </x:c>
      <x:c r="H47" s="24" t="str">
        <x:v>Crustaceans</x:v>
      </x:c>
      <x:c r="I47" s="31" t="n">
        <x:v>5.2607854578</x:v>
      </x:c>
      <x:c r="J47" s="31" t="n">
        <x:v>5.1993217931</x:v>
      </x:c>
      <x:c r="K47" s="31" t="n">
        <x:v>0.0614636647</x:v>
      </x:c>
      <x:c r="L47" s="31" t="n">
        <x:v>3.6</x:v>
      </x:c>
      <x:c r="M47" s="31" t="n">
        <x:v>1.6607854578</x:v>
      </x:c>
      <x:c r="N47" s="24" t="str">
        <x:v>parapenaeus longirostris</x:v>
      </x:c>
      <x:c r="O47" s="32" t="n">
        <x:v>3.3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Parapenaeus longirostris</x:v>
      </x:c>
      <x:c r="T47" s="32" t="n">
        <x:f>IF(O47="","",(1/'Metadata'!$B$5)^(O47-1))</x:f>
        <x:v>199.52623149688787</x:v>
      </x:c>
      <x:c r="U47" s="31" t="n">
        <x:f>IF(T47="","",I47*T47)</x:f>
        <x:v>1049.664697108464</x:v>
      </x:c>
    </x:row>
    <x:row r="48" ht="18" customHeight="1">
      <x:c r="A48" s="24" t="str">
        <x:v>EEZ_899</x:v>
      </x:c>
      <x:c r="B48" s="24" t="str">
        <x:v>Corsica (France)</x:v>
      </x:c>
      <x:c r="C48" s="24" t="str">
        <x:v>EEZ</x:v>
      </x:c>
      <x:c r="D48" s="30" t="n">
        <x:v>2019</x:v>
      </x:c>
      <x:c r="E48" s="24" t="str">
        <x:v>Engraulis encrasicolus</x:v>
      </x:c>
      <x:c r="F48" s="24" t="str">
        <x:v>European anchovy</x:v>
      </x:c>
      <x:c r="G48" s="24" t="str">
        <x:v>Small pelagics (&lt;30 cm)</x:v>
      </x:c>
      <x:c r="H48" s="24" t="str">
        <x:v>Anchovies</x:v>
      </x:c>
      <x:c r="I48" s="31" t="n">
        <x:v>5.0383127329</x:v>
      </x:c>
      <x:c r="J48" s="31" t="n">
        <x:v>4.929569326199999</x:v>
      </x:c>
      <x:c r="K48" s="31" t="n">
        <x:v>0.1087434067</x:v>
      </x:c>
      <x:c r="L48" s="31" t="n">
        <x:v>2.0999999999999996</x:v>
      </x:c>
      <x:c r="M48" s="31" t="n">
        <x:v>2.9383127329</x:v>
      </x:c>
      <x:c r="N48" s="24" t="str">
        <x:v>engraulis encrasicolus</x:v>
      </x:c>
      <x:c r="O48" s="32" t="n">
        <x:v>3.11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Engraulis encrasicolus</x:v>
      </x:c>
      <x:c r="T48" s="32" t="n">
        <x:f>IF(O48="","",(1/'Metadata'!$B$5)^(O48-1))</x:f>
        <x:v>128.82495516931337</x:v>
      </x:c>
      <x:c r="U48" s="31" t="n">
        <x:f>IF(T48="","",I48*T48)</x:f>
        <x:v>649.0604119448232</x:v>
      </x:c>
    </x:row>
    <x:row r="49" ht="18" customHeight="1">
      <x:c r="A49" s="24" t="str">
        <x:v>EEZ_899</x:v>
      </x:c>
      <x:c r="B49" s="24" t="str">
        <x:v>Corsica (France)</x:v>
      </x:c>
      <x:c r="C49" s="24" t="str">
        <x:v>EEZ</x:v>
      </x:c>
      <x:c r="D49" s="30" t="n">
        <x:v>2019</x:v>
      </x:c>
      <x:c r="E49" s="24" t="str">
        <x:v>Sarpa salpa</x:v>
      </x:c>
      <x:c r="F49" s="24" t="str">
        <x:v>Salema</x:v>
      </x:c>
      <x:c r="G49" s="24" t="str">
        <x:v>Medium benthopelagics (30 - 89 cm)</x:v>
      </x:c>
      <x:c r="H49" s="24" t="str">
        <x:v>Perch-likes</x:v>
      </x:c>
      <x:c r="I49" s="31" t="n">
        <x:v>4.9550545503</x:v>
      </x:c>
      <x:c r="J49" s="31" t="n">
        <x:v>4.8604950662</x:v>
      </x:c>
      <x:c r="K49" s="31" t="n">
        <x:v>0.0945594841</x:v>
      </x:c>
      <x:c r="L49" s="31" t="n">
        <x:v>2.4</x:v>
      </x:c>
      <x:c r="M49" s="31" t="n">
        <x:v>2.5550545503</x:v>
      </x:c>
      <x:c r="N49" s="24" t="str">
        <x:v>sarpa salpa</x:v>
      </x:c>
      <x:c r="O49" s="32" t="n">
        <x:v>2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Sarpa salpa</x:v>
      </x:c>
      <x:c r="T49" s="32" t="n">
        <x:f>IF(O49="","",(1/'Metadata'!$B$5)^(O49-1))</x:f>
        <x:v>10</x:v>
      </x:c>
      <x:c r="U49" s="31" t="n">
        <x:f>IF(T49="","",I49*T49)</x:f>
        <x:v>49.550545502999995</x:v>
      </x:c>
    </x:row>
    <x:row r="50" ht="18" customHeight="1">
      <x:c r="A50" s="24" t="str">
        <x:v>EEZ_899</x:v>
      </x:c>
      <x:c r="B50" s="24" t="str">
        <x:v>Corsica (France)</x:v>
      </x:c>
      <x:c r="C50" s="24" t="str">
        <x:v>EEZ</x:v>
      </x:c>
      <x:c r="D50" s="30" t="n">
        <x:v>2019</x:v>
      </x:c>
      <x:c r="E50" s="24" t="str">
        <x:v>Epinephelus</x:v>
      </x:c>
      <x:c r="F50" s="24" t="str">
        <x:v>Seabasses, hinds</x:v>
      </x:c>
      <x:c r="G50" s="24" t="str">
        <x:v>Medium reef assoc. fish (30 - 89 cm)</x:v>
      </x:c>
      <x:c r="H50" s="24" t="str">
        <x:v>Perch-likes</x:v>
      </x:c>
      <x:c r="I50" s="31" t="n">
        <x:v>4.8717963678</x:v>
      </x:c>
      <x:c r="J50" s="31" t="n">
        <x:v>4.7914208063</x:v>
      </x:c>
      <x:c r="K50" s="31" t="n">
        <x:v>0.0803755615</x:v>
      </x:c>
      <x:c r="L50" s="31" t="n">
        <x:v>2.6999999999999997</x:v>
      </x:c>
      <x:c r="M50" s="31" t="n">
        <x:v>2.1717963678</x:v>
      </x:c>
      <x:c r="N50" s="24" t="str">
        <x:v>epinephelus</x:v>
      </x:c>
      <x:c r="O50" s="32" t="n">
        <x:v>3.84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Epinephelus</x:v>
      </x:c>
      <x:c r="T50" s="32" t="n">
        <x:f>IF(O50="","",(1/'Metadata'!$B$5)^(O50-1))</x:f>
        <x:v>691.8309709189363</x:v>
      </x:c>
      <x:c r="U50" s="31" t="n">
        <x:f>IF(T50="","",I50*T50)</x:f>
        <x:v>3370.459611254421</x:v>
      </x:c>
    </x:row>
    <x:row r="51" ht="18" customHeight="1">
      <x:c r="A51" s="24" t="str">
        <x:v>EEZ_899</x:v>
      </x:c>
      <x:c r="B51" s="24" t="str">
        <x:v>Corsica (France)</x:v>
      </x:c>
      <x:c r="C51" s="24" t="str">
        <x:v>EEZ</x:v>
      </x:c>
      <x:c r="D51" s="30" t="n">
        <x:v>2019</x:v>
      </x:c>
      <x:c r="E51" s="24" t="str">
        <x:v>Phycis blennoides</x:v>
      </x:c>
      <x:c r="F51" s="24" t="str">
        <x:v>Greater forkbeard</x:v>
      </x:c>
      <x:c r="G51" s="24" t="str">
        <x:v>Large benthopelagics (&gt;=90 cm)</x:v>
      </x:c>
      <x:c r="H51" s="24" t="str">
        <x:v>Cod-likes</x:v>
      </x:c>
      <x:c r="I51" s="31" t="n">
        <x:v>4.8325818255</x:v>
      </x:c>
      <x:c r="J51" s="31" t="n">
        <x:v>4.6907425994</x:v>
      </x:c>
      <x:c r="K51" s="31" t="n">
        <x:v>0.1418392261</x:v>
      </x:c>
      <x:c r="L51" s="31" t="n">
        <x:v>1</x:v>
      </x:c>
      <x:c r="M51" s="31" t="n">
        <x:v>3.8325818255</x:v>
      </x:c>
      <x:c r="N51" s="24" t="str">
        <x:v>phycis blennoides</x:v>
      </x:c>
      <x:c r="O51" s="32" t="n">
        <x:v>3.87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Phycis blennoides</x:v>
      </x:c>
      <x:c r="T51" s="32" t="n">
        <x:f>IF(O51="","",(1/'Metadata'!$B$5)^(O51-1))</x:f>
        <x:v>741.3102413009177</x:v>
      </x:c>
      <x:c r="U51" s="31" t="n">
        <x:f>IF(T51="","",I51*T51)</x:f>
        <x:v>3582.4423991678345</x:v>
      </x:c>
    </x:row>
    <x:row r="52" ht="18" customHeight="1">
      <x:c r="A52" s="24" t="str">
        <x:v>EEZ_899</x:v>
      </x:c>
      <x:c r="B52" s="24" t="str">
        <x:v>Corsica (France)</x:v>
      </x:c>
      <x:c r="C52" s="24" t="str">
        <x:v>EEZ</x:v>
      </x:c>
      <x:c r="D52" s="30" t="n">
        <x:v>2019</x:v>
      </x:c>
      <x:c r="E52" s="24" t="str">
        <x:v>Loligo</x:v>
      </x:c>
      <x:c r="F52" s="24" t="str">
        <x:v>Common squids</x:v>
      </x:c>
      <x:c r="G52" s="24" t="str">
        <x:v>Cephalopods</x:v>
      </x:c>
      <x:c r="H52" s="24" t="str">
        <x:v>Other fishes &amp; inverts</x:v>
      </x:c>
      <x:c r="I52" s="31" t="n">
        <x:v>4.6105600053</x:v>
      </x:c>
      <x:c r="J52" s="31" t="n">
        <x:v>4.5065445728</x:v>
      </x:c>
      <x:c r="K52" s="31" t="n">
        <x:v>0.1040154325</x:v>
      </x:c>
      <x:c r="L52" s="31" t="n">
        <x:v>1.8</x:v>
      </x:c>
      <x:c r="M52" s="31" t="n">
        <x:v>2.8105600053</x:v>
      </x:c>
      <x:c r="N52" s="24" t="str">
        <x:v>loligo</x:v>
      </x:c>
      <x:c r="O52" s="32" t="n">
        <x:v>3.99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Loligo</x:v>
      </x:c>
      <x:c r="T52" s="32" t="n">
        <x:f>IF(O52="","",(1/'Metadata'!$B$5)^(O52-1))</x:f>
        <x:v>977.2372209558112</x:v>
      </x:c>
      <x:c r="U52" s="31" t="n">
        <x:f>IF(T52="","",I52*T52)</x:f>
        <x:v>4505.610846629382</x:v>
      </x:c>
    </x:row>
    <x:row r="53" ht="18" customHeight="1">
      <x:c r="A53" s="24" t="str">
        <x:v>EEZ_899</x:v>
      </x:c>
      <x:c r="B53" s="24" t="str">
        <x:v>Corsica (France)</x:v>
      </x:c>
      <x:c r="C53" s="24" t="str">
        <x:v>EEZ</x:v>
      </x:c>
      <x:c r="D53" s="30" t="n">
        <x:v>2019</x:v>
      </x:c>
      <x:c r="E53" s="24" t="str">
        <x:v>Sparus aurata</x:v>
      </x:c>
      <x:c r="F53" s="24" t="str">
        <x:v>Gilthead seabream</x:v>
      </x:c>
      <x:c r="G53" s="24" t="str">
        <x:v>Medium demersals (30 - 89 cm)</x:v>
      </x:c>
      <x:c r="H53" s="24" t="str">
        <x:v>Perch-likes</x:v>
      </x:c>
      <x:c r="I53" s="31" t="n">
        <x:v>4.5832581826</x:v>
      </x:c>
      <x:c r="J53" s="31" t="n">
        <x:v>4.56907426</x:v>
      </x:c>
      <x:c r="K53" s="31" t="n">
        <x:v>0.0141839226</x:v>
      </x:c>
      <x:c r="L53" s="31" t="n">
        <x:v>4.199999999999999</x:v>
      </x:c>
      <x:c r="M53" s="31" t="n">
        <x:v>0.3832581826</x:v>
      </x:c>
      <x:c r="N53" s="24" t="str">
        <x:v>sparus aurata</x:v>
      </x:c>
      <x:c r="O53" s="32" t="n">
        <x:v>3.7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Sparus aurata</x:v>
      </x:c>
      <x:c r="T53" s="32" t="n">
        <x:f>IF(O53="","",(1/'Metadata'!$B$5)^(O53-1))</x:f>
        <x:v>501.18723362727246</x:v>
      </x:c>
      <x:c r="U53" s="31" t="n">
        <x:f>IF(T53="","",I53*T53)</x:f>
        <x:v>2297.0704895368544</x:v>
      </x:c>
    </x:row>
    <x:row r="54" ht="18" customHeight="1">
      <x:c r="A54" s="24" t="str">
        <x:v>EEZ_899</x:v>
      </x:c>
      <x:c r="B54" s="24" t="str">
        <x:v>Corsica (France)</x:v>
      </x:c>
      <x:c r="C54" s="24" t="str">
        <x:v>EEZ</x:v>
      </x:c>
      <x:c r="D54" s="30" t="n">
        <x:v>2019</x:v>
      </x:c>
      <x:c r="E54" s="24" t="str">
        <x:v>Scyliorhinus canicula</x:v>
      </x:c>
      <x:c r="F54" s="24" t="str">
        <x:v>Small-spotted catshark</x:v>
      </x:c>
      <x:c r="G54" s="24" t="str">
        <x:v>Small to medium sharks (&lt;90 cm)</x:v>
      </x:c>
      <x:c r="H54" s="24" t="str">
        <x:v>Sharks &amp; rays</x:v>
      </x:c>
      <x:c r="I54" s="31" t="n">
        <x:v>4.3607854577000005</x:v>
      </x:c>
      <x:c r="J54" s="31" t="n">
        <x:v>4.299321793</x:v>
      </x:c>
      <x:c r="K54" s="31" t="n">
        <x:v>0.0614636647</x:v>
      </x:c>
      <x:c r="L54" s="31" t="n">
        <x:v>2.7</x:v>
      </x:c>
      <x:c r="M54" s="31" t="n">
        <x:v>1.6607854577</x:v>
      </x:c>
      <x:c r="N54" s="24" t="str">
        <x:v>scyliorhinus canicula</x:v>
      </x:c>
      <x:c r="O54" s="32" t="n">
        <x:v>3.82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Scyliorhinus canicula</x:v>
      </x:c>
      <x:c r="T54" s="32" t="n">
        <x:f>IF(O54="","",(1/'Metadata'!$B$5)^(O54-1))</x:f>
        <x:v>660.6934480075957</x:v>
      </x:c>
      <x:c r="U54" s="31" t="n">
        <x:f>IF(T54="","",I54*T54)</x:f>
        <x:v>2881.142380069195</x:v>
      </x:c>
    </x:row>
    <x:row r="55" ht="18" customHeight="1">
      <x:c r="A55" s="24" t="str">
        <x:v>EEZ_899</x:v>
      </x:c>
      <x:c r="B55" s="24" t="str">
        <x:v>Corsica (France)</x:v>
      </x:c>
      <x:c r="C55" s="24" t="str">
        <x:v>EEZ</x:v>
      </x:c>
      <x:c r="D55" s="30" t="n">
        <x:v>2019</x:v>
      </x:c>
      <x:c r="E55" s="24" t="str">
        <x:v>Raja</x:v>
      </x:c>
      <x:c r="F55" s="24" t="str">
        <x:v>Stingrays, skates</x:v>
      </x:c>
      <x:c r="G55" s="24" t="str">
        <x:v>Small to medium rays (&lt;90 cm)</x:v>
      </x:c>
      <x:c r="H55" s="24" t="str">
        <x:v>Sharks &amp; rays</x:v>
      </x:c>
      <x:c r="I55" s="31" t="n">
        <x:v>4.3305708932</x:v>
      </x:c>
      <x:c r="J55" s="31" t="n">
        <x:v>0</x:v>
      </x:c>
      <x:c r="K55" s="31" t="n">
        <x:v>4.3305708932</x:v>
      </x:c>
      <x:c r="L55" s="31" t="n">
        <x:v>0</x:v>
      </x:c>
      <x:c r="M55" s="31" t="n">
        <x:v>4.3305708932</x:v>
      </x:c>
      <x:c r="N55" s="24" t="str">
        <x:v>raja</x:v>
      </x:c>
      <x:c r="O55" s="32" t="n">
        <x:v>3.8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Raja</x:v>
      </x:c>
      <x:c r="T55" s="32" t="n">
        <x:f>IF(O55="","",(1/'Metadata'!$B$5)^(O55-1))</x:f>
        <x:v>630.957344480193</x:v>
      </x:c>
      <x:c r="U55" s="31" t="n">
        <x:f>IF(T55="","",I55*T55)</x:f>
        <x:v>2732.4055108566895</x:v>
      </x:c>
    </x:row>
    <x:row r="56" ht="18" customHeight="1">
      <x:c r="A56" s="24" t="str">
        <x:v>EEZ_899</x:v>
      </x:c>
      <x:c r="B56" s="24" t="str">
        <x:v>Corsica (France)</x:v>
      </x:c>
      <x:c r="C56" s="24" t="str">
        <x:v>EEZ</x:v>
      </x:c>
      <x:c r="D56" s="30" t="n">
        <x:v>2019</x:v>
      </x:c>
      <x:c r="E56" s="24" t="str">
        <x:v>Trachurus mediterraneus</x:v>
      </x:c>
      <x:c r="F56" s="24" t="str">
        <x:v>Mediterranean horse mackerel</x:v>
      </x:c>
      <x:c r="G56" s="24" t="str">
        <x:v>Medium pelagics (30 - 89 cm)</x:v>
      </x:c>
      <x:c r="H56" s="24" t="str">
        <x:v>Perch-likes</x:v>
      </x:c>
      <x:c r="I56" s="31" t="n">
        <x:v>3.9603345529999996</x:v>
      </x:c>
      <x:c r="J56" s="31" t="n">
        <x:v>3.8137673527</x:v>
      </x:c>
      <x:c r="K56" s="31" t="n">
        <x:v>0.1465672003</x:v>
      </x:c>
      <x:c r="L56" s="31" t="n">
        <x:v>0</x:v>
      </x:c>
      <x:c r="M56" s="31" t="n">
        <x:v>3.9603345529999996</x:v>
      </x:c>
      <x:c r="N56" s="24" t="str">
        <x:v>trachurus mediterraneus</x:v>
      </x:c>
      <x:c r="O56" s="32" t="n">
        <x:v>3.77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Trachurus mediterraneus</x:v>
      </x:c>
      <x:c r="T56" s="32" t="n">
        <x:f>IF(O56="","",(1/'Metadata'!$B$5)^(O56-1))</x:f>
        <x:v>588.843655355589</x:v>
      </x:c>
      <x:c r="U56" s="31" t="n">
        <x:f>IF(T56="","",I56*T56)</x:f>
        <x:v>2332.0178746195625</x:v>
      </x:c>
    </x:row>
    <x:row r="57" ht="18" customHeight="1">
      <x:c r="A57" s="24" t="str">
        <x:v>EEZ_899</x:v>
      </x:c>
      <x:c r="B57" s="24" t="str">
        <x:v>Corsica (France)</x:v>
      </x:c>
      <x:c r="C57" s="24" t="str">
        <x:v>EEZ</x:v>
      </x:c>
      <x:c r="D57" s="30" t="n">
        <x:v>2019</x:v>
      </x:c>
      <x:c r="E57" s="24" t="str">
        <x:v>Miscellaneous marine crustaceans</x:v>
      </x:c>
      <x:c r="F57" s="24" t="str">
        <x:v>Marine crabs, shrimps, lobsters nei</x:v>
      </x:c>
      <x:c r="G57" s="24" t="str">
        <x:v>Shrimps</x:v>
      </x:c>
      <x:c r="H57" s="24" t="str">
        <x:v>Crustaceans</x:v>
      </x:c>
      <x:c r="I57" s="31" t="n">
        <x:v>3.9022893828000003</x:v>
      </x:c>
      <x:c r="J57" s="31" t="n">
        <x:v>0.36907426</x:v>
      </x:c>
      <x:c r="K57" s="31" t="n">
        <x:v>3.5332151228</x:v>
      </x:c>
      <x:c r="L57" s="31" t="n">
        <x:v>0</x:v>
      </x:c>
      <x:c r="M57" s="31" t="n">
        <x:v>3.9022893828000003</x:v>
      </x:c>
      <x:c r="N57" s="24" t="str">
        <x:v>miscellaneous marine crustaceans</x:v>
      </x:c>
      <x:c r="O57" s="32" t="n">
        <x:v>2.7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Miscellaneous marine crustaceans</x:v>
      </x:c>
      <x:c r="T57" s="32" t="n">
        <x:f>IF(O57="","",(1/'Metadata'!$B$5)^(O57-1))</x:f>
        <x:v>50.11872336272725</x:v>
      </x:c>
      <x:c r="U57" s="31" t="n">
        <x:f>IF(T57="","",I57*T57)</x:f>
        <x:v>195.5777620578609</x:v>
      </x:c>
    </x:row>
    <x:row r="58" ht="18" customHeight="1">
      <x:c r="A58" s="24" t="str">
        <x:v>EEZ_899</x:v>
      </x:c>
      <x:c r="B58" s="24" t="str">
        <x:v>Corsica (France)</x:v>
      </x:c>
      <x:c r="C58" s="24" t="str">
        <x:v>EEZ</x:v>
      </x:c>
      <x:c r="D58" s="30" t="n">
        <x:v>2019</x:v>
      </x:c>
      <x:c r="E58" s="24" t="str">
        <x:v>Palaemon serratus</x:v>
      </x:c>
      <x:c r="F58" s="24" t="str">
        <x:v>Common prawn</x:v>
      </x:c>
      <x:c r="G58" s="24" t="str">
        <x:v>Shrimps</x:v>
      </x:c>
      <x:c r="H58" s="24" t="str">
        <x:v>Crustaceans</x:v>
      </x:c>
      <x:c r="I58" s="31" t="n">
        <x:v>3.2440436403999997</x:v>
      </x:c>
      <x:c r="J58" s="31" t="n">
        <x:v>3.1683960531</x:v>
      </x:c>
      <x:c r="K58" s="31" t="n">
        <x:v>0.0756475873</x:v>
      </x:c>
      <x:c r="L58" s="31" t="n">
        <x:v>1.2</x:v>
      </x:c>
      <x:c r="M58" s="31" t="n">
        <x:v>2.0440436404</x:v>
      </x:c>
      <x:c r="N58" s="24" t="str">
        <x:v>palaemon serratus</x:v>
      </x:c>
      <x:c r="O58" s="32" t="n">
        <x:v>2.69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Palaemon serratus</x:v>
      </x:c>
      <x:c r="T58" s="32" t="n">
        <x:f>IF(O58="","",(1/'Metadata'!$B$5)^(O58-1))</x:f>
        <x:v>48.97788193684461</x:v>
      </x:c>
      <x:c r="U58" s="31" t="n">
        <x:f>IF(T58="","",I58*T58)</x:f>
        <x:v>158.88638641748278</x:v>
      </x:c>
    </x:row>
    <x:row r="59" ht="18" customHeight="1">
      <x:c r="A59" s="24" t="str">
        <x:v>EEZ_899</x:v>
      </x:c>
      <x:c r="B59" s="24" t="str">
        <x:v>Corsica (France)</x:v>
      </x:c>
      <x:c r="C59" s="24" t="str">
        <x:v>EEZ</x:v>
      </x:c>
      <x:c r="D59" s="30" t="n">
        <x:v>2019</x:v>
      </x:c>
      <x:c r="E59" s="24" t="str">
        <x:v>Solea solea</x:v>
      </x:c>
      <x:c r="F59" s="24" t="str">
        <x:v>Common sole</x:v>
      </x:c>
      <x:c r="G59" s="24" t="str">
        <x:v>Small to medium flatfishes (&lt;90 cm)</x:v>
      </x:c>
      <x:c r="H59" s="24" t="str">
        <x:v>Flatfishes</x:v>
      </x:c>
      <x:c r="I59" s="31" t="n">
        <x:v>3.0607854576999998</x:v>
      </x:c>
      <x:c r="J59" s="31" t="n">
        <x:v>2.999321793</x:v>
      </x:c>
      <x:c r="K59" s="31" t="n">
        <x:v>0.0614636647</x:v>
      </x:c>
      <x:c r="L59" s="31" t="n">
        <x:v>1.4</x:v>
      </x:c>
      <x:c r="M59" s="31" t="n">
        <x:v>1.6607854577</x:v>
      </x:c>
      <x:c r="N59" s="24" t="str">
        <x:v>solea solea</x:v>
      </x:c>
      <x:c r="O59" s="32" t="n">
        <x:v>3.21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Solea solea</x:v>
      </x:c>
      <x:c r="T59" s="32" t="n">
        <x:f>IF(O59="","",(1/'Metadata'!$B$5)^(O59-1))</x:f>
        <x:v>162.18100973589299</x:v>
      </x:c>
      <x:c r="U59" s="31" t="n">
        <x:f>IF(T59="","",I59*T59)</x:f>
        <x:v>496.4012761147233</x:v>
      </x:c>
    </x:row>
    <x:row r="60" ht="18" customHeight="1">
      <x:c r="A60" s="24" t="str">
        <x:v>EEZ_899</x:v>
      </x:c>
      <x:c r="B60" s="24" t="str">
        <x:v>Corsica (France)</x:v>
      </x:c>
      <x:c r="C60" s="24" t="str">
        <x:v>EEZ</x:v>
      </x:c>
      <x:c r="D60" s="30" t="n">
        <x:v>2019</x:v>
      </x:c>
      <x:c r="E60" s="24" t="str">
        <x:v>Homarus gammarus</x:v>
      </x:c>
      <x:c r="F60" s="24" t="str">
        <x:v>European lobster</x:v>
      </x:c>
      <x:c r="G60" s="24" t="str">
        <x:v>Lobsters, crabs</x:v>
      </x:c>
      <x:c r="H60" s="24" t="str">
        <x:v>Crustaceans</x:v>
      </x:c>
      <x:c r="I60" s="31" t="n">
        <x:v>2.9052800028</x:v>
      </x:c>
      <x:c r="J60" s="31" t="n">
        <x:v>2.8532722865999998</x:v>
      </x:c>
      <x:c r="K60" s="31" t="n">
        <x:v>0.0520077162</x:v>
      </x:c>
      <x:c r="L60" s="31" t="n">
        <x:v>1.5</x:v>
      </x:c>
      <x:c r="M60" s="31" t="n">
        <x:v>1.4052800027999999</x:v>
      </x:c>
      <x:c r="N60" s="24" t="str">
        <x:v>homarus gammarus</x:v>
      </x:c>
      <x:c r="O60" s="32" t="n">
        <x:v>3.7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Homarus gammarus</x:v>
      </x:c>
      <x:c r="T60" s="32" t="n">
        <x:f>IF(O60="","",(1/'Metadata'!$B$5)^(O60-1))</x:f>
        <x:v>501.18723362727246</x:v>
      </x:c>
      <x:c r="U60" s="31" t="n">
        <x:f>IF(T60="","",I60*T60)</x:f>
        <x:v>1456.0892475159665</x:v>
      </x:c>
    </x:row>
    <x:row r="61" ht="18" customHeight="1">
      <x:c r="A61" s="24" t="str">
        <x:v>EEZ_899</x:v>
      </x:c>
      <x:c r="B61" s="24" t="str">
        <x:v>Corsica (France)</x:v>
      </x:c>
      <x:c r="C61" s="24" t="str">
        <x:v>EEZ</x:v>
      </x:c>
      <x:c r="D61" s="30" t="n">
        <x:v>2019</x:v>
      </x:c>
      <x:c r="E61" s="24" t="str">
        <x:v>Dasyatis pastinaca</x:v>
      </x:c>
      <x:c r="F61" s="24" t="str">
        <x:v>Common stingray</x:v>
      </x:c>
      <x:c r="G61" s="24" t="str">
        <x:v>Large rays (&gt;=90 cm)</x:v>
      </x:c>
      <x:c r="H61" s="24" t="str">
        <x:v>Sharks &amp; rays</x:v>
      </x:c>
      <x:c r="I61" s="31" t="n">
        <x:v>2.7343135488</x:v>
      </x:c>
      <x:c r="J61" s="31" t="n">
        <x:v>0</x:v>
      </x:c>
      <x:c r="K61" s="31" t="n">
        <x:v>2.7343135488</x:v>
      </x:c>
      <x:c r="L61" s="31" t="n">
        <x:v>0</x:v>
      </x:c>
      <x:c r="M61" s="31" t="n">
        <x:v>2.7343135488</x:v>
      </x:c>
      <x:c r="N61" s="24" t="str">
        <x:v>dasyatis pastinaca</x:v>
      </x:c>
      <x:c r="O61" s="32" t="n">
        <x:v>4.05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Dasyatis pastinaca</x:v>
      </x:c>
      <x:c r="T61" s="32" t="n">
        <x:f>IF(O61="","",(1/'Metadata'!$B$5)^(O61-1))</x:f>
        <x:v>1122.018454301963</x:v>
      </x:c>
      <x:c r="U61" s="31" t="n">
        <x:f>IF(T61="","",I61*T61)</x:f>
        <x:v>3067.9502616014906</x:v>
      </x:c>
    </x:row>
    <x:row r="62" ht="18" customHeight="1">
      <x:c r="A62" s="24" t="str">
        <x:v>EEZ_899</x:v>
      </x:c>
      <x:c r="B62" s="24" t="str">
        <x:v>Corsica (France)</x:v>
      </x:c>
      <x:c r="C62" s="24" t="str">
        <x:v>EEZ</x:v>
      </x:c>
      <x:c r="D62" s="30" t="n">
        <x:v>2019</x:v>
      </x:c>
      <x:c r="E62" s="24" t="str">
        <x:v>Prionace glauca</x:v>
      </x:c>
      <x:c r="F62" s="24" t="str">
        <x:v>Blue shark</x:v>
      </x:c>
      <x:c r="G62" s="24" t="str">
        <x:v>Large sharks (&gt;=90 cm)</x:v>
      </x:c>
      <x:c r="H62" s="24" t="str">
        <x:v>Sharks &amp; rays</x:v>
      </x:c>
      <x:c r="I62" s="31" t="n">
        <x:v>2.6886235699</x:v>
      </x:c>
      <x:c r="J62" s="31" t="n">
        <x:v>2.6649836989</x:v>
      </x:c>
      <x:c r="K62" s="31" t="n">
        <x:v>0.023639871</x:v>
      </x:c>
      <x:c r="L62" s="31" t="n">
        <x:v>2.0498599324</x:v>
      </x:c>
      <x:c r="M62" s="31" t="n">
        <x:v>0.6387636375</x:v>
      </x:c>
      <x:c r="N62" s="24" t="str">
        <x:v>prionace glauca</x:v>
      </x:c>
      <x:c r="O62" s="32" t="n">
        <x:v>4.35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Prionace glauca</x:v>
      </x:c>
      <x:c r="T62" s="32" t="n">
        <x:f>IF(O62="","",(1/'Metadata'!$B$5)^(O62-1))</x:f>
        <x:v>2238.7211385683377</x:v>
      </x:c>
      <x:c r="U62" s="31" t="n">
        <x:f>IF(T62="","",I62*T62)</x:f>
        <x:v>6019.078419588196</x:v>
      </x:c>
    </x:row>
    <x:row r="63" ht="18" customHeight="1">
      <x:c r="A63" s="24" t="str">
        <x:v>EEZ_899</x:v>
      </x:c>
      <x:c r="B63" s="24" t="str">
        <x:v>Corsica (France)</x:v>
      </x:c>
      <x:c r="C63" s="24" t="str">
        <x:v>EEZ</x:v>
      </x:c>
      <x:c r="D63" s="30" t="n">
        <x:v>2019</x:v>
      </x:c>
      <x:c r="E63" s="24" t="str">
        <x:v>Capros aper</x:v>
      </x:c>
      <x:c r="F63" s="24" t="str">
        <x:v>Boarfish</x:v>
      </x:c>
      <x:c r="G63" s="24" t="str">
        <x:v>Small demersals (&lt;30 cm)</x:v>
      </x:c>
      <x:c r="H63" s="24" t="str">
        <x:v>Perch-likes</x:v>
      </x:c>
      <x:c r="I63" s="31" t="n">
        <x:v>2.6285645385</x:v>
      </x:c>
      <x:c r="J63" s="31" t="n">
        <x:v>0</x:v>
      </x:c>
      <x:c r="K63" s="31" t="n">
        <x:v>2.6285645385</x:v>
      </x:c>
      <x:c r="L63" s="31" t="n">
        <x:v>0</x:v>
      </x:c>
      <x:c r="M63" s="31" t="n">
        <x:v>2.6285645385</x:v>
      </x:c>
      <x:c r="N63" s="24" t="str">
        <x:v>capros aper</x:v>
      </x:c>
      <x:c r="O63" s="32" t="n">
        <x:v>3.14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Capros aper</x:v>
      </x:c>
      <x:c r="T63" s="32" t="n">
        <x:f>IF(O63="","",(1/'Metadata'!$B$5)^(O63-1))</x:f>
        <x:v>138.03842646028852</x:v>
      </x:c>
      <x:c r="U63" s="31" t="n">
        <x:f>IF(T63="","",I63*T63)</x:f>
        <x:v>362.84291274385447</x:v>
      </x:c>
    </x:row>
    <x:row r="64" ht="18" customHeight="1">
      <x:c r="A64" s="24" t="str">
        <x:v>EEZ_899</x:v>
      </x:c>
      <x:c r="B64" s="24" t="str">
        <x:v>Corsica (France)</x:v>
      </x:c>
      <x:c r="C64" s="24" t="str">
        <x:v>EEZ</x:v>
      </x:c>
      <x:c r="D64" s="30" t="n">
        <x:v>2019</x:v>
      </x:c>
      <x:c r="E64" s="24" t="str">
        <x:v>Dicentrarchus labrax</x:v>
      </x:c>
      <x:c r="F64" s="24" t="str">
        <x:v>European seabass</x:v>
      </x:c>
      <x:c r="G64" s="24" t="str">
        <x:v>Large demersals (&gt;=90 cm)</x:v>
      </x:c>
      <x:c r="H64" s="24" t="str">
        <x:v>Perch-likes</x:v>
      </x:c>
      <x:c r="I64" s="31" t="n">
        <x:v>2.3220218201000002</x:v>
      </x:c>
      <x:c r="J64" s="31" t="n">
        <x:v>2.2841980265</x:v>
      </x:c>
      <x:c r="K64" s="31" t="n">
        <x:v>0.0378237936</x:v>
      </x:c>
      <x:c r="L64" s="31" t="n">
        <x:v>1.3</x:v>
      </x:c>
      <x:c r="M64" s="31" t="n">
        <x:v>1.0220218201</x:v>
      </x:c>
      <x:c r="N64" s="24" t="str">
        <x:v>dicentrarchus labrax</x:v>
      </x:c>
      <x:c r="O64" s="32" t="n">
        <x:v>3.79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Dicentrarchus labrax</x:v>
      </x:c>
      <x:c r="T64" s="32" t="n">
        <x:f>IF(O64="","",(1/'Metadata'!$B$5)^(O64-1))</x:f>
        <x:v>616.5950018614822</x:v>
      </x:c>
      <x:c r="U64" s="31" t="n">
        <x:f>IF(T64="","",I64*T64)</x:f>
        <x:v>1431.7470484869618</x:v>
      </x:c>
    </x:row>
    <x:row r="65" ht="18" customHeight="1">
      <x:c r="A65" s="24" t="str">
        <x:v>EEZ_899</x:v>
      </x:c>
      <x:c r="B65" s="24" t="str">
        <x:v>Corsica (France)</x:v>
      </x:c>
      <x:c r="C65" s="24" t="str">
        <x:v>EEZ</x:v>
      </x:c>
      <x:c r="D65" s="30" t="n">
        <x:v>2019</x:v>
      </x:c>
      <x:c r="E65" s="24" t="str">
        <x:v>Centrolophidae</x:v>
      </x:c>
      <x:c r="F65" s="24" t="str">
        <x:v>Medusafishes</x:v>
      </x:c>
      <x:c r="G65" s="24" t="str">
        <x:v>Medium benthopelagics (30 - 89 cm)</x:v>
      </x:c>
      <x:c r="H65" s="24" t="str">
        <x:v>Perch-likes</x:v>
      </x:c>
      <x:c r="I65" s="31" t="n">
        <x:v>2.1</x:v>
      </x:c>
      <x:c r="J65" s="31" t="n">
        <x:v>2.1</x:v>
      </x:c>
      <x:c r="K65" s="31" t="n">
        <x:v>0</x:v>
      </x:c>
      <x:c r="L65" s="31" t="n">
        <x:v>2.1</x:v>
      </x:c>
      <x:c r="M65" s="31" t="n">
        <x:v>0</x:v>
      </x:c>
      <x:c r="N65" s="24" t="str">
        <x:v>centrolophidae</x:v>
      </x:c>
      <x:c r="O65" s="32" t="n">
        <x:v>3.65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Centrolophidae</x:v>
      </x:c>
      <x:c r="T65" s="32" t="n">
        <x:f>IF(O65="","",(1/'Metadata'!$B$5)^(O65-1))</x:f>
        <x:v>446.683592150963</x:v>
      </x:c>
      <x:c r="U65" s="31" t="n">
        <x:f>IF(T65="","",I65*T65)</x:f>
        <x:v>938.0355435170223</x:v>
      </x:c>
    </x:row>
    <x:row r="66" ht="18" customHeight="1">
      <x:c r="A66" s="24" t="str">
        <x:v>EEZ_899</x:v>
      </x:c>
      <x:c r="B66" s="24" t="str">
        <x:v>Corsica (France)</x:v>
      </x:c>
      <x:c r="C66" s="24" t="str">
        <x:v>EEZ</x:v>
      </x:c>
      <x:c r="D66" s="30" t="n">
        <x:v>2019</x:v>
      </x:c>
      <x:c r="E66" s="24" t="str">
        <x:v>Polyprion americanus</x:v>
      </x:c>
      <x:c r="F66" s="24" t="str">
        <x:v>Wreckfish</x:v>
      </x:c>
      <x:c r="G66" s="24" t="str">
        <x:v>Large bathydemersals (&gt;=90 cm)</x:v>
      </x:c>
      <x:c r="H66" s="24" t="str">
        <x:v>Perch-likes</x:v>
      </x:c>
      <x:c r="I66" s="31" t="n">
        <x:v>2.0220218201</x:v>
      </x:c>
      <x:c r="J66" s="31" t="n">
        <x:v>1.9841980265</x:v>
      </x:c>
      <x:c r="K66" s="31" t="n">
        <x:v>0.0378237936</x:v>
      </x:c>
      <x:c r="L66" s="31" t="n">
        <x:v>1</x:v>
      </x:c>
      <x:c r="M66" s="31" t="n">
        <x:v>1.0220218201</x:v>
      </x:c>
      <x:c r="N66" s="24" t="str">
        <x:v>polyprion americanus</x:v>
      </x:c>
      <x:c r="O66" s="32" t="n">
        <x:v>4.14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Polyprion americanus</x:v>
      </x:c>
      <x:c r="T66" s="32" t="n">
        <x:f>IF(O66="","",(1/'Metadata'!$B$5)^(O66-1))</x:f>
        <x:v>1380.3842646028838</x:v>
      </x:c>
      <x:c r="U66" s="31" t="n">
        <x:f>IF(T66="","",I66*T66)</x:f>
        <x:v>2791.167103149723</x:v>
      </x:c>
    </x:row>
    <x:row r="67" ht="18" customHeight="1">
      <x:c r="A67" s="24" t="str">
        <x:v>EEZ_899</x:v>
      </x:c>
      <x:c r="B67" s="24" t="str">
        <x:v>Corsica (France)</x:v>
      </x:c>
      <x:c r="C67" s="24" t="str">
        <x:v>EEZ</x:v>
      </x:c>
      <x:c r="D67" s="30" t="n">
        <x:v>2019</x:v>
      </x:c>
      <x:c r="E67" s="24" t="str">
        <x:v>Triglidae</x:v>
      </x:c>
      <x:c r="F67" s="24" t="str">
        <x:v>Searobins, gurnards</x:v>
      </x:c>
      <x:c r="G67" s="24" t="str">
        <x:v>Medium demersals (30 - 89 cm)</x:v>
      </x:c>
      <x:c r="H67" s="24" t="str">
        <x:v>Scorpionfishes</x:v>
      </x:c>
      <x:c r="I67" s="31" t="n">
        <x:v>1.9162909128</x:v>
      </x:c>
      <x:c r="J67" s="31" t="n">
        <x:v>1.8453712997</x:v>
      </x:c>
      <x:c r="K67" s="31" t="n">
        <x:v>0.0709196131</x:v>
      </x:c>
      <x:c r="L67" s="31" t="n">
        <x:v>0</x:v>
      </x:c>
      <x:c r="M67" s="31" t="n">
        <x:v>1.9162909128</x:v>
      </x:c>
      <x:c r="N67" s="24" t="str">
        <x:v>triglidae</x:v>
      </x:c>
      <x:c r="O67" s="32" t="n">
        <x:v>3.74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Triglidae</x:v>
      </x:c>
      <x:c r="T67" s="32" t="n">
        <x:f>IF(O67="","",(1/'Metadata'!$B$5)^(O67-1))</x:f>
        <x:v>549.5408738576248</x:v>
      </x:c>
      <x:c r="U67" s="31" t="n">
        <x:f>IF(T67="","",I67*T67)</x:f>
        <x:v>1053.0801827855375</x:v>
      </x:c>
    </x:row>
    <x:row r="68" ht="18" customHeight="1">
      <x:c r="A68" s="24" t="str">
        <x:v>EEZ_899</x:v>
      </x:c>
      <x:c r="B68" s="24" t="str">
        <x:v>Corsica (France)</x:v>
      </x:c>
      <x:c r="C68" s="24" t="str">
        <x:v>EEZ</x:v>
      </x:c>
      <x:c r="D68" s="30" t="n">
        <x:v>2019</x:v>
      </x:c>
      <x:c r="E68" s="24" t="str">
        <x:v>Atherinidae</x:v>
      </x:c>
      <x:c r="F68" s="24" t="str">
        <x:v>Silversides</x:v>
      </x:c>
      <x:c r="G68" s="24" t="str">
        <x:v>Small pelagics (&lt;30 cm)</x:v>
      </x:c>
      <x:c r="H68" s="24" t="str">
        <x:v>Other fishes &amp; inverts</x:v>
      </x:c>
      <x:c r="I68" s="31" t="n">
        <x:v>1.8885381852</x:v>
      </x:c>
      <x:c r="J68" s="31" t="n">
        <x:v>1.8223465463000001</x:v>
      </x:c>
      <x:c r="K68" s="31" t="n">
        <x:v>0.0661916389</x:v>
      </x:c>
      <x:c r="L68" s="31" t="n">
        <x:v>0.09999999999999999</x:v>
      </x:c>
      <x:c r="M68" s="31" t="n">
        <x:v>1.7885381852000002</x:v>
      </x:c>
      <x:c r="N68" s="24" t="str">
        <x:v>atherinidae</x:v>
      </x:c>
      <x:c r="O68" s="32" t="n">
        <x:v>3.2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Atherinidae</x:v>
      </x:c>
      <x:c r="T68" s="32" t="n">
        <x:f>IF(O68="","",(1/'Metadata'!$B$5)^(O68-1))</x:f>
        <x:v>158.48931924611142</x:v>
      </x:c>
      <x:c r="U68" s="31" t="n">
        <x:f>IF(T68="","",I68*T68)</x:f>
        <x:v>299.3131313426347</x:v>
      </x:c>
    </x:row>
    <x:row r="69" ht="18" customHeight="1">
      <x:c r="A69" s="24" t="str">
        <x:v>EEZ_899</x:v>
      </x:c>
      <x:c r="B69" s="24" t="str">
        <x:v>Corsica (France)</x:v>
      </x:c>
      <x:c r="C69" s="24" t="str">
        <x:v>EEZ</x:v>
      </x:c>
      <x:c r="D69" s="30" t="n">
        <x:v>2019</x:v>
      </x:c>
      <x:c r="E69" s="24" t="str">
        <x:v>Mullus</x:v>
      </x:c>
      <x:c r="F69" s="24" t="str">
        <x:v>Atlantic goatfishes</x:v>
      </x:c>
      <x:c r="G69" s="24" t="str">
        <x:v>Medium demersals (30 - 89 cm)</x:v>
      </x:c>
      <x:c r="H69" s="24" t="str">
        <x:v>Perch-likes</x:v>
      </x:c>
      <x:c r="I69" s="31" t="n">
        <x:v>1.8555054549999999</x:v>
      </x:c>
      <x:c r="J69" s="31" t="n">
        <x:v>1.8460495066</x:v>
      </x:c>
      <x:c r="K69" s="31" t="n">
        <x:v>0.0094559484</x:v>
      </x:c>
      <x:c r="L69" s="31" t="n">
        <x:v>1.5999999999999999</x:v>
      </x:c>
      <x:c r="M69" s="31" t="n">
        <x:v>0.255505455</x:v>
      </x:c>
      <x:c r="N69" s="24" t="str">
        <x:v>mullus</x:v>
      </x:c>
      <x:c r="O69" s="32" t="n">
        <x:v>3.29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Mullus</x:v>
      </x:c>
      <x:c r="T69" s="32" t="n">
        <x:f>IF(O69="","",(1/'Metadata'!$B$5)^(O69-1))</x:f>
        <x:v>194.98445997580455</x:v>
      </x:c>
      <x:c r="U69" s="31" t="n">
        <x:f>IF(T69="","",I69*T69)</x:f>
        <x:v>361.79472912533447</x:v>
      </x:c>
    </x:row>
    <x:row r="70" ht="18" customHeight="1">
      <x:c r="A70" s="24" t="str">
        <x:v>EEZ_899</x:v>
      </x:c>
      <x:c r="B70" s="24" t="str">
        <x:v>Corsica (France)</x:v>
      </x:c>
      <x:c r="C70" s="24" t="str">
        <x:v>EEZ</x:v>
      </x:c>
      <x:c r="D70" s="30" t="n">
        <x:v>2019</x:v>
      </x:c>
      <x:c r="E70" s="24" t="str">
        <x:v>Elasmobranchii</x:v>
      </x:c>
      <x:c r="F70" s="24" t="str">
        <x:v>Sharks, rays, skates</x:v>
      </x:c>
      <x:c r="G70" s="24" t="str">
        <x:v>Large sharks (&gt;=90 cm)</x:v>
      </x:c>
      <x:c r="H70" s="24" t="str">
        <x:v>Sharks &amp; rays</x:v>
      </x:c>
      <x:c r="I70" s="31" t="n">
        <x:v>1.6835783871999999</x:v>
      </x:c>
      <x:c r="J70" s="31" t="n">
        <x:v>1</x:v>
      </x:c>
      <x:c r="K70" s="31" t="n">
        <x:v>0.6835783872</x:v>
      </x:c>
      <x:c r="L70" s="31" t="n">
        <x:v>1</x:v>
      </x:c>
      <x:c r="M70" s="31" t="n">
        <x:v>0.6835783872</x:v>
      </x:c>
      <x:c r="N70" s="24" t="str">
        <x:v>elasmobranchii</x:v>
      </x:c>
      <x:c r="O70" s="32" t="n">
        <x:v>4.05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Elasmobranchii</x:v>
      </x:c>
      <x:c r="T70" s="32" t="n">
        <x:f>IF(O70="","",(1/'Metadata'!$B$5)^(O70-1))</x:f>
        <x:v>1122.018454301963</x:v>
      </x:c>
      <x:c r="U70" s="31" t="n">
        <x:f>IF(T70="","",I70*T70)</x:f>
        <x:v>1889.0060197023356</x:v>
      </x:c>
    </x:row>
    <x:row r="71" ht="18" customHeight="1">
      <x:c r="A71" s="24" t="str">
        <x:v>EEZ_899</x:v>
      </x:c>
      <x:c r="B71" s="24" t="str">
        <x:v>Corsica (France)</x:v>
      </x:c>
      <x:c r="C71" s="24" t="str">
        <x:v>EEZ</x:v>
      </x:c>
      <x:c r="D71" s="30" t="n">
        <x:v>2019</x:v>
      </x:c>
      <x:c r="E71" s="24" t="str">
        <x:v>Spicara maena</x:v>
      </x:c>
      <x:c r="F71" s="24" t="str">
        <x:v>Blotched picarel</x:v>
      </x:c>
      <x:c r="G71" s="24" t="str">
        <x:v>Small demersals (&lt;30 cm)</x:v>
      </x:c>
      <x:c r="H71" s="24" t="str">
        <x:v>Perch-likes</x:v>
      </x:c>
      <x:c r="I71" s="31" t="n">
        <x:v>1.6759878629</x:v>
      </x:c>
      <x:c r="J71" s="31" t="n">
        <x:v>0</x:v>
      </x:c>
      <x:c r="K71" s="31" t="n">
        <x:v>1.6759878629</x:v>
      </x:c>
      <x:c r="L71" s="31" t="n">
        <x:v>0</x:v>
      </x:c>
      <x:c r="M71" s="31" t="n">
        <x:v>1.6759878629</x:v>
      </x:c>
      <x:c r="N71" s="24" t="str">
        <x:v>spicara maena</x:v>
      </x:c>
      <x:c r="O71" s="32" t="n">
        <x:v>4.15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Spicara maena</x:v>
      </x:c>
      <x:c r="T71" s="32" t="n">
        <x:f>IF(O71="","",(1/'Metadata'!$B$5)^(O71-1))</x:f>
        <x:v>1412.5375446227554</x:v>
      </x:c>
      <x:c r="U71" s="31" t="n">
        <x:f>IF(T71="","",I71*T71)</x:f>
        <x:v>2367.395780678305</x:v>
      </x:c>
    </x:row>
    <x:row r="72" ht="18" customHeight="1">
      <x:c r="A72" s="24" t="str">
        <x:v>EEZ_899</x:v>
      </x:c>
      <x:c r="B72" s="24" t="str">
        <x:v>Corsica (France)</x:v>
      </x:c>
      <x:c r="C72" s="24" t="str">
        <x:v>EEZ</x:v>
      </x:c>
      <x:c r="D72" s="30" t="n">
        <x:v>2019</x:v>
      </x:c>
      <x:c r="E72" s="24" t="str">
        <x:v>Palinurus mauritanicus</x:v>
      </x:c>
      <x:c r="F72" s="24" t="str">
        <x:v>Pink spiny lobster</x:v>
      </x:c>
      <x:c r="G72" s="24" t="str">
        <x:v>Lobsters, crabs</x:v>
      </x:c>
      <x:c r="H72" s="24" t="str">
        <x:v>Crustaceans</x:v>
      </x:c>
      <x:c r="I72" s="31" t="n">
        <x:v>1.3665163651999999</x:v>
      </x:c>
      <x:c r="J72" s="31" t="n">
        <x:v>1.3381485199999998</x:v>
      </x:c>
      <x:c r="K72" s="31" t="n">
        <x:v>0.0283678452</x:v>
      </x:c>
      <x:c r="L72" s="31" t="n">
        <x:v>0.6</x:v>
      </x:c>
      <x:c r="M72" s="31" t="n">
        <x:v>0.7665163652</x:v>
      </x:c>
      <x:c r="N72" s="24" t="str">
        <x:v>palinurus mauritanicus</x:v>
      </x:c>
      <x:c r="O72" s="32" t="n">
        <x:v>3.54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Palinurus mauritanicus</x:v>
      </x:c>
      <x:c r="T72" s="32" t="n">
        <x:f>IF(O72="","",(1/'Metadata'!$B$5)^(O72-1))</x:f>
        <x:v>346.73685045253166</x:v>
      </x:c>
      <x:c r="U72" s="31" t="n">
        <x:f>IF(T72="","",I72*T72)</x:f>
        <x:v>473.82158056128947</x:v>
      </x:c>
    </x:row>
    <x:row r="73" ht="18" customHeight="1">
      <x:c r="A73" s="24" t="str">
        <x:v>EEZ_899</x:v>
      </x:c>
      <x:c r="B73" s="24" t="str">
        <x:v>Corsica (France)</x:v>
      </x:c>
      <x:c r="C73" s="24" t="str">
        <x:v>EEZ</x:v>
      </x:c>
      <x:c r="D73" s="30" t="n">
        <x:v>2019</x:v>
      </x:c>
      <x:c r="E73" s="24" t="str">
        <x:v>Diplodus vulgaris</x:v>
      </x:c>
      <x:c r="F73" s="24" t="str">
        <x:v>Common two-banded seabream</x:v>
      </x:c>
      <x:c r="G73" s="24" t="str">
        <x:v>Medium benthopelagics (30 - 89 cm)</x:v>
      </x:c>
      <x:c r="H73" s="24" t="str">
        <x:v>Perch-likes</x:v>
      </x:c>
      <x:c r="I73" s="31" t="n">
        <x:v>1.3255397918999998</x:v>
      </x:c>
      <x:c r="J73" s="31" t="n">
        <x:v>0.30000000000000004</x:v>
      </x:c>
      <x:c r="K73" s="31" t="n">
        <x:v>1.0255397919</x:v>
      </x:c>
      <x:c r="L73" s="31" t="n">
        <x:v>0.30000000000000004</x:v>
      </x:c>
      <x:c r="M73" s="31" t="n">
        <x:v>1.0255397919</x:v>
      </x:c>
      <x:c r="N73" s="24" t="str">
        <x:v>diplodus vulgaris</x:v>
      </x:c>
      <x:c r="O73" s="32" t="n">
        <x:v>3.52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Diplodus vulgaris</x:v>
      </x:c>
      <x:c r="T73" s="32" t="n">
        <x:f>IF(O73="","",(1/'Metadata'!$B$5)^(O73-1))</x:f>
        <x:v>331.1311214825911</x:v>
      </x:c>
      <x:c r="U73" s="31" t="n">
        <x:f>IF(T73="","",I73*T73)</x:f>
        <x:v>438.92747786164733</x:v>
      </x:c>
    </x:row>
    <x:row r="74" ht="18" customHeight="1">
      <x:c r="A74" s="24" t="str">
        <x:v>EEZ_899</x:v>
      </x:c>
      <x:c r="B74" s="24" t="str">
        <x:v>Corsica (France)</x:v>
      </x:c>
      <x:c r="C74" s="24" t="str">
        <x:v>EEZ</x:v>
      </x:c>
      <x:c r="D74" s="30" t="n">
        <x:v>2019</x:v>
      </x:c>
      <x:c r="E74" s="24" t="str">
        <x:v>Oblada melanurus</x:v>
      </x:c>
      <x:c r="F74" s="24" t="str">
        <x:v>Saddled seabream</x:v>
      </x:c>
      <x:c r="G74" s="24" t="str">
        <x:v>Small benthopelagics (&lt;30 cm)</x:v>
      </x:c>
      <x:c r="H74" s="24" t="str">
        <x:v>Perch-likes</x:v>
      </x:c>
      <x:c r="I74" s="31" t="n">
        <x:v>1.1532925193999999</x:v>
      </x:c>
      <x:c r="J74" s="31" t="n">
        <x:v>0.12302475330000001</x:v>
      </x:c>
      <x:c r="K74" s="31" t="n">
        <x:v>1.0302677661</x:v>
      </x:c>
      <x:c r="L74" s="31" t="n">
        <x:v>0</x:v>
      </x:c>
      <x:c r="M74" s="31" t="n">
        <x:v>1.1532925193999999</x:v>
      </x:c>
      <x:c r="N74" s="24" t="str">
        <x:v>oblada melanurus</x:v>
      </x:c>
      <x:c r="O74" s="32" t="n">
        <x:v>3.38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Oblada melanurus</x:v>
      </x:c>
      <x:c r="T74" s="32" t="n">
        <x:f>IF(O74="","",(1/'Metadata'!$B$5)^(O74-1))</x:f>
        <x:v>239.88329190194898</x:v>
      </x:c>
      <x:c r="U74" s="31" t="n">
        <x:f>IF(T74="","",I74*T74)</x:f>
        <x:v>276.65560607956434</x:v>
      </x:c>
    </x:row>
    <x:row r="75" ht="18" customHeight="1">
      <x:c r="A75" s="24" t="str">
        <x:v>EEZ_899</x:v>
      </x:c>
      <x:c r="B75" s="24" t="str">
        <x:v>Corsica (France)</x:v>
      </x:c>
      <x:c r="C75" s="24" t="str">
        <x:v>EEZ</x:v>
      </x:c>
      <x:c r="D75" s="30" t="n">
        <x:v>2019</x:v>
      </x:c>
      <x:c r="E75" s="24" t="str">
        <x:v>Trachinus draco</x:v>
      </x:c>
      <x:c r="F75" s="24" t="str">
        <x:v>Greater weever</x:v>
      </x:c>
      <x:c r="G75" s="24" t="str">
        <x:v>Medium demersals (30 - 89 cm)</x:v>
      </x:c>
      <x:c r="H75" s="24" t="str">
        <x:v>Perch-likes</x:v>
      </x:c>
      <x:c r="I75" s="31" t="n">
        <x:v>0.9277527274999999</x:v>
      </x:c>
      <x:c r="J75" s="31" t="n">
        <x:v>0.9230247533</x:v>
      </x:c>
      <x:c r="K75" s="31" t="n">
        <x:v>0.0047279742</x:v>
      </x:c>
      <x:c r="L75" s="31" t="n">
        <x:v>0.7999999999999999</x:v>
      </x:c>
      <x:c r="M75" s="31" t="n">
        <x:v>0.1277527275</x:v>
      </x:c>
      <x:c r="N75" s="24" t="str">
        <x:v>trachinus draco</x:v>
      </x:c>
      <x:c r="O75" s="32" t="n">
        <x:v>4.18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Trachinus draco</x:v>
      </x:c>
      <x:c r="T75" s="32" t="n">
        <x:f>IF(O75="","",(1/'Metadata'!$B$5)^(O75-1))</x:f>
        <x:v>1513.5612484362073</x:v>
      </x:c>
      <x:c r="U75" s="31" t="n">
        <x:f>IF(T75="","",I75*T75)</x:f>
        <x:v>1404.2105764749963</x:v>
      </x:c>
    </x:row>
    <x:row r="76" ht="18" customHeight="1">
      <x:c r="A76" s="24" t="str">
        <x:v>EEZ_899</x:v>
      </x:c>
      <x:c r="B76" s="24" t="str">
        <x:v>Corsica (France)</x:v>
      </x:c>
      <x:c r="C76" s="24" t="str">
        <x:v>EEZ</x:v>
      </x:c>
      <x:c r="D76" s="30" t="n">
        <x:v>2019</x:v>
      </x:c>
      <x:c r="E76" s="24" t="str">
        <x:v>Xiphias gladius</x:v>
      </x:c>
      <x:c r="F76" s="24" t="str">
        <x:v>Swordfish</x:v>
      </x:c>
      <x:c r="G76" s="24" t="str">
        <x:v>Large pelagics (&gt;=90 cm)</x:v>
      </x:c>
      <x:c r="H76" s="24" t="str">
        <x:v>Tuna &amp; billfishes</x:v>
      </x:c>
      <x:c r="I76" s="31" t="n">
        <x:v>0.8857090407999999</x:v>
      </x:c>
      <x:c r="J76" s="31" t="n">
        <x:v>0.8857090407999999</x:v>
      </x:c>
      <x:c r="K76" s="31" t="n">
        <x:v>0</x:v>
      </x:c>
      <x:c r="L76" s="31" t="n">
        <x:v>0.8857090407999999</x:v>
      </x:c>
      <x:c r="M76" s="31" t="n">
        <x:v>0</x:v>
      </x:c>
      <x:c r="N76" s="24" t="str">
        <x:v>xiphias gladius</x:v>
      </x:c>
      <x:c r="O76" s="32" t="n">
        <x:v>4.53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Xiphias gladius</x:v>
      </x:c>
      <x:c r="T76" s="32" t="n">
        <x:f>IF(O76="","",(1/'Metadata'!$B$5)^(O76-1))</x:f>
        <x:v>3388.4415613920273</x:v>
      </x:c>
      <x:c r="U76" s="31" t="n">
        <x:f>IF(T76="","",I76*T76)</x:f>
        <x:v>3001.1733251473865</x:v>
      </x:c>
    </x:row>
    <x:row r="77" ht="18" customHeight="1">
      <x:c r="A77" s="24" t="str">
        <x:v>EEZ_899</x:v>
      </x:c>
      <x:c r="B77" s="24" t="str">
        <x:v>Corsica (France)</x:v>
      </x:c>
      <x:c r="C77" s="24" t="str">
        <x:v>EEZ</x:v>
      </x:c>
      <x:c r="D77" s="30" t="n">
        <x:v>2019</x:v>
      </x:c>
      <x:c r="E77" s="24" t="str">
        <x:v>Lithognathus mormyrus</x:v>
      </x:c>
      <x:c r="F77" s="24" t="str">
        <x:v>Sand steenbras</x:v>
      </x:c>
      <x:c r="G77" s="24" t="str">
        <x:v>Medium benthopelagics (30 - 89 cm)</x:v>
      </x:c>
      <x:c r="H77" s="24" t="str">
        <x:v>Perch-likes</x:v>
      </x:c>
      <x:c r="I77" s="31" t="n">
        <x:v>0.8387636375</x:v>
      </x:c>
      <x:c r="J77" s="31" t="n">
        <x:v>0.8151237665</x:v>
      </x:c>
      <x:c r="K77" s="31" t="n">
        <x:v>0.023639871</x:v>
      </x:c>
      <x:c r="L77" s="31" t="n">
        <x:v>0.19999999999999998</x:v>
      </x:c>
      <x:c r="M77" s="31" t="n">
        <x:v>0.6387636375</x:v>
      </x:c>
      <x:c r="N77" s="24" t="str">
        <x:v>lithognathus mormyrus</x:v>
      </x:c>
      <x:c r="O77" s="32" t="n">
        <x:v>3.42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Lithognathus mormyrus</x:v>
      </x:c>
      <x:c r="T77" s="32" t="n">
        <x:f>IF(O77="","",(1/'Metadata'!$B$5)^(O77-1))</x:f>
        <x:v>263.02679918953817</x:v>
      </x:c>
      <x:c r="U77" s="31" t="n">
        <x:f>IF(T77="","",I77*T77)</x:f>
        <x:v>220.6173148481991</x:v>
      </x:c>
    </x:row>
    <x:row r="78" ht="18" customHeight="1">
      <x:c r="A78" s="24" t="str">
        <x:v>EEZ_899</x:v>
      </x:c>
      <x:c r="B78" s="24" t="str">
        <x:v>Corsica (France)</x:v>
      </x:c>
      <x:c r="C78" s="24" t="str">
        <x:v>EEZ</x:v>
      </x:c>
      <x:c r="D78" s="30" t="n">
        <x:v>2019</x:v>
      </x:c>
      <x:c r="E78" s="24" t="str">
        <x:v>Coryphaena hippurus</x:v>
      </x:c>
      <x:c r="F78" s="24" t="str">
        <x:v>Common dolphinfish</x:v>
      </x:c>
      <x:c r="G78" s="24" t="str">
        <x:v>Large pelagics (&gt;=90 cm)</x:v>
      </x:c>
      <x:c r="H78" s="24" t="str">
        <x:v>Perch-likes</x:v>
      </x:c>
      <x:c r="I78" s="31" t="n">
        <x:v>0.8251785077</x:v>
      </x:c>
      <x:c r="J78" s="31" t="n">
        <x:v>0.8251785077</x:v>
      </x:c>
      <x:c r="K78" s="31" t="n">
        <x:v>0</x:v>
      </x:c>
      <x:c r="L78" s="31" t="n">
        <x:v>0.8251785077</x:v>
      </x:c>
      <x:c r="M78" s="31" t="n">
        <x:v>0</x:v>
      </x:c>
      <x:c r="N78" s="24" t="str">
        <x:v>coryphaena hippurus</x:v>
      </x:c>
      <x:c r="O78" s="32" t="n">
        <x:v>4.37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Coryphaena hippurus</x:v>
      </x:c>
      <x:c r="T78" s="32" t="n">
        <x:f>IF(O78="","",(1/'Metadata'!$B$5)^(O78-1))</x:f>
        <x:v>2344.228815319923</x:v>
      </x:c>
      <x:c r="U78" s="31" t="n">
        <x:f>IF(T78="","",I78*T78)</x:f>
        <x:v>1934.407235533033</x:v>
      </x:c>
    </x:row>
    <x:row r="79" ht="18" customHeight="1">
      <x:c r="A79" s="24" t="str">
        <x:v>EEZ_899</x:v>
      </x:c>
      <x:c r="B79" s="24" t="str">
        <x:v>Corsica (France)</x:v>
      </x:c>
      <x:c r="C79" s="24" t="str">
        <x:v>EEZ</x:v>
      </x:c>
      <x:c r="D79" s="30" t="n">
        <x:v>2019</x:v>
      </x:c>
      <x:c r="E79" s="24" t="str">
        <x:v>Muraena helena</x:v>
      </x:c>
      <x:c r="F79" s="24" t="str">
        <x:v>Mediterranean moray</x:v>
      </x:c>
      <x:c r="G79" s="24" t="str">
        <x:v>Large reef assoc. fish (&gt;=90 cm)</x:v>
      </x:c>
      <x:c r="H79" s="24" t="str">
        <x:v>Other fishes &amp; inverts</x:v>
      </x:c>
      <x:c r="I79" s="31" t="n">
        <x:v>0.81101091</x:v>
      </x:c>
      <x:c r="J79" s="31" t="n">
        <x:v>0.7920990132000001</x:v>
      </x:c>
      <x:c r="K79" s="31" t="n">
        <x:v>0.0189118968</x:v>
      </x:c>
      <x:c r="L79" s="31" t="n">
        <x:v>0.30000000000000004</x:v>
      </x:c>
      <x:c r="M79" s="31" t="n">
        <x:v>0.51101091</x:v>
      </x:c>
      <x:c r="N79" s="24" t="str">
        <x:v>muraena helena</x:v>
      </x:c>
      <x:c r="O79" s="32" t="n">
        <x:v>4.18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Muraena helena</x:v>
      </x:c>
      <x:c r="T79" s="32" t="n">
        <x:f>IF(O79="","",(1/'Metadata'!$B$5)^(O79-1))</x:f>
        <x:v>1513.5612484362073</x:v>
      </x:c>
      <x:c r="U79" s="31" t="n">
        <x:f>IF(T79="","",I79*T79)</x:f>
        <x:v>1227.5146854349846</x:v>
      </x:c>
    </x:row>
    <x:row r="80" ht="18" customHeight="1">
      <x:c r="A80" s="24" t="str">
        <x:v>EEZ_899</x:v>
      </x:c>
      <x:c r="B80" s="24" t="str">
        <x:v>Corsica (France)</x:v>
      </x:c>
      <x:c r="C80" s="24" t="str">
        <x:v>EEZ</x:v>
      </x:c>
      <x:c r="D80" s="30" t="n">
        <x:v>2019</x:v>
      </x:c>
      <x:c r="E80" s="24" t="str">
        <x:v>Serranus scriba</x:v>
      </x:c>
      <x:c r="F80" s="24" t="str">
        <x:v>Painted comber</x:v>
      </x:c>
      <x:c r="G80" s="24" t="str">
        <x:v>Medium demersals (30 - 89 cm)</x:v>
      </x:c>
      <x:c r="H80" s="24" t="str">
        <x:v>Perch-likes</x:v>
      </x:c>
      <x:c r="I80" s="31" t="n">
        <x:v>0.8087237683</x:v>
      </x:c>
      <x:c r="J80" s="31" t="n">
        <x:v>0</x:v>
      </x:c>
      <x:c r="K80" s="31" t="n">
        <x:v>0.8087237683</x:v>
      </x:c>
      <x:c r="L80" s="31" t="n">
        <x:v>0</x:v>
      </x:c>
      <x:c r="M80" s="31" t="n">
        <x:v>0.8087237683</x:v>
      </x:c>
      <x:c r="N80" s="24" t="str">
        <x:v>serranus scriba</x:v>
      </x:c>
      <x:c r="O80" s="32" t="n">
        <x:v>3.82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Serranus scriba</x:v>
      </x:c>
      <x:c r="T80" s="32" t="n">
        <x:f>IF(O80="","",(1/'Metadata'!$B$5)^(O80-1))</x:f>
        <x:v>660.6934480075957</x:v>
      </x:c>
      <x:c r="U80" s="31" t="n">
        <x:f>IF(T80="","",I80*T80)</x:f>
        <x:v>534.318494963823</x:v>
      </x:c>
    </x:row>
    <x:row r="81" ht="18" customHeight="1">
      <x:c r="A81" s="24" t="str">
        <x:v>EEZ_899</x:v>
      </x:c>
      <x:c r="B81" s="24" t="str">
        <x:v>Corsica (France)</x:v>
      </x:c>
      <x:c r="C81" s="24" t="str">
        <x:v>EEZ</x:v>
      </x:c>
      <x:c r="D81" s="30" t="n">
        <x:v>2019</x:v>
      </x:c>
      <x:c r="E81" s="24" t="str">
        <x:v>Octopus vulgaris</x:v>
      </x:c>
      <x:c r="F81" s="24" t="str">
        <x:v>Common octopus</x:v>
      </x:c>
      <x:c r="G81" s="24" t="str">
        <x:v>Cephalopods</x:v>
      </x:c>
      <x:c r="H81" s="24" t="str">
        <x:v>Other fishes &amp; inverts</x:v>
      </x:c>
      <x:c r="I81" s="31" t="n">
        <x:v>0.6832581825999999</x:v>
      </x:c>
      <x:c r="J81" s="31" t="n">
        <x:v>0.6690742599999999</x:v>
      </x:c>
      <x:c r="K81" s="31" t="n">
        <x:v>0.0141839226</x:v>
      </x:c>
      <x:c r="L81" s="31" t="n">
        <x:v>0.3</x:v>
      </x:c>
      <x:c r="M81" s="31" t="n">
        <x:v>0.3832581826</x:v>
      </x:c>
      <x:c r="N81" s="24" t="str">
        <x:v>octopus vulgaris</x:v>
      </x:c>
      <x:c r="O81" s="32" t="n">
        <x:v>3.6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Octopus vulgaris</x:v>
      </x:c>
      <x:c r="T81" s="32" t="n">
        <x:f>IF(O81="","",(1/'Metadata'!$B$5)^(O81-1))</x:f>
        <x:v>398.1071705534973</x:v>
      </x:c>
      <x:c r="U81" s="31" t="n">
        <x:f>IF(T81="","",I81*T81)</x:f>
        <x:v>272.0099818324108</x:v>
      </x:c>
    </x:row>
    <x:row r="82" ht="18" customHeight="1">
      <x:c r="A82" s="24" t="str">
        <x:v>EEZ_899</x:v>
      </x:c>
      <x:c r="B82" s="24" t="str">
        <x:v>Corsica (France)</x:v>
      </x:c>
      <x:c r="C82" s="24" t="str">
        <x:v>EEZ</x:v>
      </x:c>
      <x:c r="D82" s="30" t="n">
        <x:v>2019</x:v>
      </x:c>
      <x:c r="E82" s="24" t="str">
        <x:v>Conger conger</x:v>
      </x:c>
      <x:c r="F82" s="24" t="str">
        <x:v>European conger</x:v>
      </x:c>
      <x:c r="G82" s="24" t="str">
        <x:v>Large demersals (&gt;=90 cm)</x:v>
      </x:c>
      <x:c r="H82" s="24" t="str">
        <x:v>Other fishes &amp; inverts</x:v>
      </x:c>
      <x:c r="I82" s="31" t="n">
        <x:v>0.6832581825999999</x:v>
      </x:c>
      <x:c r="J82" s="31" t="n">
        <x:v>0.6690742599999999</x:v>
      </x:c>
      <x:c r="K82" s="31" t="n">
        <x:v>0.0141839226</x:v>
      </x:c>
      <x:c r="L82" s="31" t="n">
        <x:v>0.3</x:v>
      </x:c>
      <x:c r="M82" s="31" t="n">
        <x:v>0.3832581826</x:v>
      </x:c>
      <x:c r="N82" s="24" t="str">
        <x:v>conger conger</x:v>
      </x:c>
      <x:c r="O82" s="32" t="n">
        <x:v>4.31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Conger conger</x:v>
      </x:c>
      <x:c r="T82" s="32" t="n">
        <x:f>IF(O82="","",(1/'Metadata'!$B$5)^(O82-1))</x:f>
        <x:v>2041.7379446695275</x:v>
      </x:c>
      <x:c r="U82" s="31" t="n">
        <x:f>IF(T82="","",I82*T82)</x:f>
        <x:v>1395.0341574203605</x:v>
      </x:c>
    </x:row>
    <x:row r="83" ht="18" customHeight="1">
      <x:c r="A83" s="24" t="str">
        <x:v>EEZ_899</x:v>
      </x:c>
      <x:c r="B83" s="24" t="str">
        <x:v>Corsica (France)</x:v>
      </x:c>
      <x:c r="C83" s="24" t="str">
        <x:v>EEZ</x:v>
      </x:c>
      <x:c r="D83" s="30" t="n">
        <x:v>2019</x:v>
      </x:c>
      <x:c r="E83" s="24" t="str">
        <x:v>Squalus acanthias</x:v>
      </x:c>
      <x:c r="F83" s="24" t="str">
        <x:v>Picked dogfish</x:v>
      </x:c>
      <x:c r="G83" s="24" t="str">
        <x:v>Large sharks (&gt;=90 cm)</x:v>
      </x:c>
      <x:c r="H83" s="24" t="str">
        <x:v>Sharks &amp; rays</x:v>
      </x:c>
      <x:c r="I83" s="31" t="n">
        <x:v>0.5832581826</x:v>
      </x:c>
      <x:c r="J83" s="31" t="n">
        <x:v>0.5690742599999999</x:v>
      </x:c>
      <x:c r="K83" s="31" t="n">
        <x:v>0.0141839226</x:v>
      </x:c>
      <x:c r="L83" s="31" t="n">
        <x:v>0.19999999999999998</x:v>
      </x:c>
      <x:c r="M83" s="31" t="n">
        <x:v>0.3832581826</x:v>
      </x:c>
      <x:c r="N83" s="24" t="str">
        <x:v>squalus acanthias</x:v>
      </x:c>
      <x:c r="O83" s="32" t="n">
        <x:v>4.37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Squalus acanthias</x:v>
      </x:c>
      <x:c r="T83" s="32" t="n">
        <x:f>IF(O83="","",(1/'Metadata'!$B$5)^(O83-1))</x:f>
        <x:v>2344.228815319923</x:v>
      </x:c>
      <x:c r="U83" s="31" t="n">
        <x:f>IF(T83="","",I83*T83)</x:f>
        <x:v>1367.2906384220491</x:v>
      </x:c>
    </x:row>
    <x:row r="84" ht="18" customHeight="1">
      <x:c r="A84" s="24" t="str">
        <x:v>EEZ_899</x:v>
      </x:c>
      <x:c r="B84" s="24" t="str">
        <x:v>Corsica (France)</x:v>
      </x:c>
      <x:c r="C84" s="24" t="str">
        <x:v>EEZ</x:v>
      </x:c>
      <x:c r="D84" s="30" t="n">
        <x:v>2019</x:v>
      </x:c>
      <x:c r="E84" s="24" t="str">
        <x:v>Mustelus</x:v>
      </x:c>
      <x:c r="F84" s="24" t="str">
        <x:v>Smoothhounds</x:v>
      </x:c>
      <x:c r="G84" s="24" t="str">
        <x:v>Large sharks (&gt;=90 cm)</x:v>
      </x:c>
      <x:c r="H84" s="24" t="str">
        <x:v>Sharks &amp; rays</x:v>
      </x:c>
      <x:c r="I84" s="31" t="n">
        <x:v>0.555505455</x:v>
      </x:c>
      <x:c r="J84" s="31" t="n">
        <x:v>0.5460495066</x:v>
      </x:c>
      <x:c r="K84" s="31" t="n">
        <x:v>0.0094559484</x:v>
      </x:c>
      <x:c r="L84" s="31" t="n">
        <x:v>0.3</x:v>
      </x:c>
      <x:c r="M84" s="31" t="n">
        <x:v>0.255505455</x:v>
      </x:c>
      <x:c r="N84" s="24" t="str">
        <x:v>mustelus</x:v>
      </x:c>
      <x:c r="O84" s="32" t="n">
        <x:v>3.73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Mustelus</x:v>
      </x:c>
      <x:c r="T84" s="32" t="n">
        <x:f>IF(O84="","",(1/'Metadata'!$B$5)^(O84-1))</x:f>
        <x:v>537.0317963702527</x:v>
      </x:c>
      <x:c r="U84" s="31" t="n">
        <x:f>IF(T84="","",I84*T84)</x:f>
        <x:v>298.32409239212456</x:v>
      </x:c>
    </x:row>
    <x:row r="85" ht="18" customHeight="1">
      <x:c r="A85" s="24" t="str">
        <x:v>EEZ_899</x:v>
      </x:c>
      <x:c r="B85" s="24" t="str">
        <x:v>Corsica (France)</x:v>
      </x:c>
      <x:c r="C85" s="24" t="str">
        <x:v>EEZ</x:v>
      </x:c>
      <x:c r="D85" s="30" t="n">
        <x:v>2019</x:v>
      </x:c>
      <x:c r="E85" s="24" t="str">
        <x:v>Sciaena umbra</x:v>
      </x:c>
      <x:c r="F85" s="24" t="str">
        <x:v>Brown meagre</x:v>
      </x:c>
      <x:c r="G85" s="24" t="str">
        <x:v>Medium demersals (30 - 89 cm)</x:v>
      </x:c>
      <x:c r="H85" s="24" t="str">
        <x:v>Perch-likes</x:v>
      </x:c>
      <x:c r="I85" s="31" t="n">
        <x:v>0.5106017357</x:v>
      </x:c>
      <x:c r="J85" s="31" t="n">
        <x:v>0</x:v>
      </x:c>
      <x:c r="K85" s="31" t="n">
        <x:v>0.5106017357</x:v>
      </x:c>
      <x:c r="L85" s="31" t="n">
        <x:v>0</x:v>
      </x:c>
      <x:c r="M85" s="31" t="n">
        <x:v>0.5106017357</x:v>
      </x:c>
      <x:c r="N85" s="24" t="str">
        <x:v>sciaena umbra</x:v>
      </x:c>
      <x:c r="O85" s="32" t="n">
        <x:v>3.75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Sciaena umbra</x:v>
      </x:c>
      <x:c r="T85" s="32" t="n">
        <x:f>IF(O85="","",(1/'Metadata'!$B$5)^(O85-1))</x:f>
        <x:v>562.341325190349</x:v>
      </x:c>
      <x:c r="U85" s="31" t="n">
        <x:f>IF(T85="","",I85*T85)</x:f>
        <x:v>287.13245669803035</x:v>
      </x:c>
    </x:row>
    <x:row r="86" ht="18" customHeight="1">
      <x:c r="A86" s="24" t="str">
        <x:v>EEZ_899</x:v>
      </x:c>
      <x:c r="B86" s="24" t="str">
        <x:v>Corsica (France)</x:v>
      </x:c>
      <x:c r="C86" s="24" t="str">
        <x:v>EEZ</x:v>
      </x:c>
      <x:c r="D86" s="30" t="n">
        <x:v>2019</x:v>
      </x:c>
      <x:c r="E86" s="24" t="str">
        <x:v>Serranus cabrilla</x:v>
      </x:c>
      <x:c r="F86" s="24" t="str">
        <x:v>Comber</x:v>
      </x:c>
      <x:c r="G86" s="24" t="str">
        <x:v>Medium bathydemersals (30 - 89 cm)</x:v>
      </x:c>
      <x:c r="H86" s="24" t="str">
        <x:v>Perch-likes</x:v>
      </x:c>
      <x:c r="I86" s="31" t="n">
        <x:v>0.4834997328</x:v>
      </x:c>
      <x:c r="J86" s="31" t="n">
        <x:v>0</x:v>
      </x:c>
      <x:c r="K86" s="31" t="n">
        <x:v>0.4834997328</x:v>
      </x:c>
      <x:c r="L86" s="31" t="n">
        <x:v>0</x:v>
      </x:c>
      <x:c r="M86" s="31" t="n">
        <x:v>0.4834997328</x:v>
      </x:c>
      <x:c r="N86" s="24" t="str">
        <x:v>serranus cabrilla</x:v>
      </x:c>
      <x:c r="O86" s="32" t="n">
        <x:v>3.35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Serranus cabrilla</x:v>
      </x:c>
      <x:c r="T86" s="32" t="n">
        <x:f>IF(O86="","",(1/'Metadata'!$B$5)^(O86-1))</x:f>
        <x:v>223.872113856834</x:v>
      </x:c>
      <x:c r="U86" s="31" t="n">
        <x:f>IF(T86="","",I86*T86)</x:f>
        <x:v>108.24210723115043</x:v>
      </x:c>
    </x:row>
    <x:row r="87" ht="18" customHeight="1">
      <x:c r="A87" s="24" t="str">
        <x:v>EEZ_899</x:v>
      </x:c>
      <x:c r="B87" s="24" t="str">
        <x:v>Corsica (France)</x:v>
      </x:c>
      <x:c r="C87" s="24" t="str">
        <x:v>EEZ</x:v>
      </x:c>
      <x:c r="D87" s="30" t="n">
        <x:v>2019</x:v>
      </x:c>
      <x:c r="E87" s="24" t="str">
        <x:v>Chelon labrosus</x:v>
      </x:c>
      <x:c r="F87" s="24" t="str">
        <x:v>Thicklip grey mullet</x:v>
      </x:c>
      <x:c r="G87" s="24" t="str">
        <x:v>Medium demersals (30 - 89 cm)</x:v>
      </x:c>
      <x:c r="H87" s="24" t="str">
        <x:v>Perch-likes</x:v>
      </x:c>
      <x:c r="I87" s="31" t="n">
        <x:v>0.39999999999999997</x:v>
      </x:c>
      <x:c r="J87" s="31" t="n">
        <x:v>0.39999999999999997</x:v>
      </x:c>
      <x:c r="K87" s="31" t="n">
        <x:v>0</x:v>
      </x:c>
      <x:c r="L87" s="31" t="n">
        <x:v>0.39999999999999997</x:v>
      </x:c>
      <x:c r="M87" s="31" t="n">
        <x:v>0</x:v>
      </x:c>
      <x:c r="N87" s="24" t="str">
        <x:v>chelon labrosus</x:v>
      </x:c>
      <x:c r="O87" s="32" t="n">
        <x:v>2.59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Chelon labrosus</x:v>
      </x:c>
      <x:c r="T87" s="32" t="n">
        <x:f>IF(O87="","",(1/'Metadata'!$B$5)^(O87-1))</x:f>
        <x:v>38.904514499428046</x:v>
      </x:c>
      <x:c r="U87" s="31" t="n">
        <x:f>IF(T87="","",I87*T87)</x:f>
        <x:v>15.561805799771218</x:v>
      </x:c>
    </x:row>
    <x:row r="88" ht="18" customHeight="1">
      <x:c r="A88" s="24" t="str">
        <x:v>EEZ_899</x:v>
      </x:c>
      <x:c r="B88" s="24" t="str">
        <x:v>Corsica (France)</x:v>
      </x:c>
      <x:c r="C88" s="24" t="str">
        <x:v>EEZ</x:v>
      </x:c>
      <x:c r="D88" s="30" t="n">
        <x:v>2019</x:v>
      </x:c>
      <x:c r="E88" s="24" t="str">
        <x:v>Alopias vulpinus</x:v>
      </x:c>
      <x:c r="F88" s="24" t="str">
        <x:v>Thresher</x:v>
      </x:c>
      <x:c r="G88" s="24" t="str">
        <x:v>Large sharks (&gt;=90 cm)</x:v>
      </x:c>
      <x:c r="H88" s="24" t="str">
        <x:v>Sharks &amp; rays</x:v>
      </x:c>
      <x:c r="I88" s="31" t="n">
        <x:v>0.3847647739</x:v>
      </x:c>
      <x:c r="J88" s="31" t="n">
        <x:v>0.3705808513</x:v>
      </x:c>
      <x:c r="K88" s="31" t="n">
        <x:v>0.0141839226</x:v>
      </x:c>
      <x:c r="L88" s="31" t="n">
        <x:v>0.0015065913</x:v>
      </x:c>
      <x:c r="M88" s="31" t="n">
        <x:v>0.3832581826</x:v>
      </x:c>
      <x:c r="N88" s="24" t="str">
        <x:v>alopias vulpinus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Alopias vulpinus</x:v>
      </x:c>
      <x:c r="T88" s="32" t="n">
        <x:f>IF(O88="","",(1/'Metadata'!$B$5)^(O88-1))</x:f>
        <x:v>3162.2776601683795</x:v>
      </x:c>
      <x:c r="U88" s="31" t="n">
        <x:f>IF(T88="","",I88*T88)</x:f>
        <x:v>1216.7330489237077</x:v>
      </x:c>
    </x:row>
    <x:row r="89" ht="18" customHeight="1">
      <x:c r="A89" s="24" t="str">
        <x:v>EEZ_899</x:v>
      </x:c>
      <x:c r="B89" s="24" t="str">
        <x:v>Corsica (France)</x:v>
      </x:c>
      <x:c r="C89" s="24" t="str">
        <x:v>EEZ</x:v>
      </x:c>
      <x:c r="D89" s="30" t="n">
        <x:v>2019</x:v>
      </x:c>
      <x:c r="E89" s="24" t="str">
        <x:v>Tetrapturus belone</x:v>
      </x:c>
      <x:c r="F89" s="24" t="str">
        <x:v>Mediterranean spearfish</x:v>
      </x:c>
      <x:c r="G89" s="24" t="str">
        <x:v>Large pelagics (&gt;=90 cm)</x:v>
      </x:c>
      <x:c r="H89" s="24" t="str">
        <x:v>Tuna &amp; billfishes</x:v>
      </x:c>
      <x:c r="I89" s="31" t="n">
        <x:v>0.31487784459999996</x:v>
      </x:c>
      <x:c r="J89" s="31" t="n">
        <x:v>0.31487784459999996</x:v>
      </x:c>
      <x:c r="K89" s="31" t="n">
        <x:v>0</x:v>
      </x:c>
      <x:c r="L89" s="31" t="n">
        <x:v>0.31487784459999996</x:v>
      </x:c>
      <x:c r="M89" s="31" t="n">
        <x:v>0</x:v>
      </x:c>
      <x:c r="N89" s="24" t="str">
        <x:v>tetrapturus belone</x:v>
      </x:c>
      <x:c r="O89" s="32" t="n">
        <x:v>4.5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Tetrapturus belone</x:v>
      </x:c>
      <x:c r="T89" s="32" t="n">
        <x:f>IF(O89="","",(1/'Metadata'!$B$5)^(O89-1))</x:f>
        <x:v>3162.2776601683795</x:v>
      </x:c>
      <x:c r="U89" s="31" t="n">
        <x:f>IF(T89="","",I89*T89)</x:f>
        <x:v>995.7311736605504</x:v>
      </x:c>
    </x:row>
    <x:row r="90" ht="18" customHeight="1">
      <x:c r="A90" s="24" t="str">
        <x:v>EEZ_899</x:v>
      </x:c>
      <x:c r="B90" s="24" t="str">
        <x:v>Corsica (France)</x:v>
      </x:c>
      <x:c r="C90" s="24" t="str">
        <x:v>EEZ</x:v>
      </x:c>
      <x:c r="D90" s="30" t="n">
        <x:v>2019</x:v>
      </x:c>
      <x:c r="E90" s="24" t="str">
        <x:v>Argyrosomus regius</x:v>
      </x:c>
      <x:c r="F90" s="24" t="str">
        <x:v>Meagre</x:v>
      </x:c>
      <x:c r="G90" s="24" t="str">
        <x:v>Large benthopelagics (&gt;=90 cm)</x:v>
      </x:c>
      <x:c r="H90" s="24" t="str">
        <x:v>Perch-likes</x:v>
      </x:c>
      <x:c r="I90" s="31" t="n">
        <x:v>0.3</x:v>
      </x:c>
      <x:c r="J90" s="31" t="n">
        <x:v>0.3</x:v>
      </x:c>
      <x:c r="K90" s="31" t="n">
        <x:v>0</x:v>
      </x:c>
      <x:c r="L90" s="31" t="n">
        <x:v>0.3</x:v>
      </x:c>
      <x:c r="M90" s="31" t="n">
        <x:v>0</x:v>
      </x:c>
      <x:c r="N90" s="24" t="str">
        <x:v>argyrosomus regius</x:v>
      </x:c>
      <x:c r="O90" s="32" t="n">
        <x:v>4.29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Argyrosomus regius</x:v>
      </x:c>
      <x:c r="T90" s="32" t="n">
        <x:f>IF(O90="","",(1/'Metadata'!$B$5)^(O90-1))</x:f>
        <x:v>1949.8445997580454</x:v>
      </x:c>
      <x:c r="U90" s="31" t="n">
        <x:f>IF(T90="","",I90*T90)</x:f>
        <x:v>584.9533799274136</x:v>
      </x:c>
    </x:row>
    <x:row r="91" ht="18" customHeight="1">
      <x:c r="A91" s="24" t="str">
        <x:v>EEZ_899</x:v>
      </x:c>
      <x:c r="B91" s="24" t="str">
        <x:v>Corsica (France)</x:v>
      </x:c>
      <x:c r="C91" s="24" t="str">
        <x:v>EEZ</x:v>
      </x:c>
      <x:c r="D91" s="30" t="n">
        <x:v>2019</x:v>
      </x:c>
      <x:c r="E91" s="24" t="str">
        <x:v>Sphyraena</x:v>
      </x:c>
      <x:c r="F91" s="24" t="str">
        <x:v>Barracudas, sennets</x:v>
      </x:c>
      <x:c r="G91" s="24" t="str">
        <x:v>Large pelagics (&gt;=90 cm)</x:v>
      </x:c>
      <x:c r="H91" s="24" t="str">
        <x:v>Perch-likes</x:v>
      </x:c>
      <x:c r="I91" s="31" t="n">
        <x:v>0.3</x:v>
      </x:c>
      <x:c r="J91" s="31" t="n">
        <x:v>0.3</x:v>
      </x:c>
      <x:c r="K91" s="31" t="n">
        <x:v>0</x:v>
      </x:c>
      <x:c r="L91" s="31" t="n">
        <x:v>0.3</x:v>
      </x:c>
      <x:c r="M91" s="31" t="n">
        <x:v>0</x:v>
      </x:c>
      <x:c r="N91" s="24" t="str">
        <x:v>sphyraena</x:v>
      </x:c>
      <x:c r="O91" s="32" t="n">
        <x:v>4.4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Sphyraena</x:v>
      </x:c>
      <x:c r="T91" s="32" t="n">
        <x:f>IF(O91="","",(1/'Metadata'!$B$5)^(O91-1))</x:f>
        <x:v>2511.886431509582</x:v>
      </x:c>
      <x:c r="U91" s="31" t="n">
        <x:f>IF(T91="","",I91*T91)</x:f>
        <x:v>753.5659294528746</x:v>
      </x:c>
    </x:row>
    <x:row r="92" ht="18" customHeight="1">
      <x:c r="A92" s="24" t="str">
        <x:v>EEZ_899</x:v>
      </x:c>
      <x:c r="B92" s="24" t="str">
        <x:v>Corsica (France)</x:v>
      </x:c>
      <x:c r="C92" s="24" t="str">
        <x:v>EEZ</x:v>
      </x:c>
      <x:c r="D92" s="30" t="n">
        <x:v>2019</x:v>
      </x:c>
      <x:c r="E92" s="24" t="str">
        <x:v>Gadiformes</x:v>
      </x:c>
      <x:c r="F92" s="24" t="str">
        <x:v>Cods</x:v>
      </x:c>
      <x:c r="G92" s="24" t="str">
        <x:v>Medium benthopelagics (30 - 89 cm)</x:v>
      </x:c>
      <x:c r="H92" s="24" t="str">
        <x:v>Cod-likes</x:v>
      </x:c>
      <x:c r="I92" s="31" t="n">
        <x:v>0.255505455</x:v>
      </x:c>
      <x:c r="J92" s="31" t="n">
        <x:v>0.24604950660000002</x:v>
      </x:c>
      <x:c r="K92" s="31" t="n">
        <x:v>0.0094559484</x:v>
      </x:c>
      <x:c r="L92" s="31" t="n">
        <x:v>0</x:v>
      </x:c>
      <x:c r="M92" s="31" t="n">
        <x:v>0.255505455</x:v>
      </x:c>
      <x:c r="N92" s="24" t="str">
        <x:v>gadiformes</x:v>
      </x:c>
      <x:c r="O92" s="32" t="n">
        <x:v>3.91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Gadiformes</x:v>
      </x:c>
      <x:c r="T92" s="32" t="n">
        <x:f>IF(O92="","",(1/'Metadata'!$B$5)^(O92-1))</x:f>
        <x:v>812.8305161640995</x:v>
      </x:c>
      <x:c r="U92" s="31" t="n">
        <x:f>IF(T92="","",I92*T92)</x:f>
        <x:v>207.6826308703931</x:v>
      </x:c>
    </x:row>
    <x:row r="93" ht="18" customHeight="1">
      <x:c r="A93" s="24" t="str">
        <x:v>EEZ_899</x:v>
      </x:c>
      <x:c r="B93" s="24" t="str">
        <x:v>Corsica (France)</x:v>
      </x:c>
      <x:c r="C93" s="24" t="str">
        <x:v>EEZ</x:v>
      </x:c>
      <x:c r="D93" s="30" t="n">
        <x:v>2019</x:v>
      </x:c>
      <x:c r="E93" s="24" t="str">
        <x:v>Squalus blainville</x:v>
      </x:c>
      <x:c r="F93" s="24" t="str">
        <x:v>Longnose spurdog</x:v>
      </x:c>
      <x:c r="G93" s="24" t="str">
        <x:v>Small to medium sharks (&lt;90 cm)</x:v>
      </x:c>
      <x:c r="H93" s="24" t="str">
        <x:v>Sharks &amp; rays</x:v>
      </x:c>
      <x:c r="I93" s="31" t="n">
        <x:v>0.2278594624</x:v>
      </x:c>
      <x:c r="J93" s="31" t="n">
        <x:v>0</x:v>
      </x:c>
      <x:c r="K93" s="31" t="n">
        <x:v>0.2278594624</x:v>
      </x:c>
      <x:c r="L93" s="31" t="n">
        <x:v>0</x:v>
      </x:c>
      <x:c r="M93" s="31" t="n">
        <x:v>0.2278594624</x:v>
      </x:c>
      <x:c r="N93" s="24" t="str">
        <x:v>squalus blainville</x:v>
      </x:c>
      <x:c r="O93" s="32" t="n">
        <x:v>3.97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Squalus blainville</x:v>
      </x:c>
      <x:c r="T93" s="32" t="n">
        <x:f>IF(O93="","",(1/'Metadata'!$B$5)^(O93-1))</x:f>
        <x:v>933.2543007969915</x:v>
      </x:c>
      <x:c r="U93" s="31" t="n">
        <x:f>IF(T93="","",I93*T93)</x:f>
        <x:v>212.65082326209037</x:v>
      </x:c>
    </x:row>
    <x:row r="94" ht="18" customHeight="1">
      <x:c r="A94" s="24" t="str">
        <x:v>EEZ_899</x:v>
      </x:c>
      <x:c r="B94" s="24" t="str">
        <x:v>Corsica (France)</x:v>
      </x:c>
      <x:c r="C94" s="24" t="str">
        <x:v>EEZ</x:v>
      </x:c>
      <x:c r="D94" s="30" t="n">
        <x:v>2019</x:v>
      </x:c>
      <x:c r="E94" s="24" t="str">
        <x:v>Trisopterus minutus</x:v>
      </x:c>
      <x:c r="F94" s="24" t="str">
        <x:v>Poor cod</x:v>
      </x:c>
      <x:c r="G94" s="24" t="str">
        <x:v>Medium benthopelagics (30 - 89 cm)</x:v>
      </x:c>
      <x:c r="H94" s="24" t="str">
        <x:v>Cod-likes</x:v>
      </x:c>
      <x:c r="I94" s="31" t="n">
        <x:v>0.2277527275</x:v>
      </x:c>
      <x:c r="J94" s="31" t="n">
        <x:v>0.2230247533</x:v>
      </x:c>
      <x:c r="K94" s="31" t="n">
        <x:v>0.0047279742</x:v>
      </x:c>
      <x:c r="L94" s="31" t="n">
        <x:v>0.09999999999999999</x:v>
      </x:c>
      <x:c r="M94" s="31" t="n">
        <x:v>0.1277527275</x:v>
      </x:c>
      <x:c r="N94" s="24" t="str">
        <x:v>trisopterus minutus</x:v>
      </x:c>
      <x:c r="O94" s="32" t="n">
        <x:v>3.73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Trisopterus minutus</x:v>
      </x:c>
      <x:c r="T94" s="32" t="n">
        <x:f>IF(O94="","",(1/'Metadata'!$B$5)^(O94-1))</x:f>
        <x:v>537.0317963702527</x:v>
      </x:c>
      <x:c r="U94" s="31" t="n">
        <x:f>IF(T94="","",I94*T94)</x:f>
        <x:v>122.31045637754964</x:v>
      </x:c>
    </x:row>
    <x:row r="95" ht="18" customHeight="1">
      <x:c r="A95" s="24" t="str">
        <x:v>EEZ_899</x:v>
      </x:c>
      <x:c r="B95" s="24" t="str">
        <x:v>Corsica (France)</x:v>
      </x:c>
      <x:c r="C95" s="24" t="str">
        <x:v>EEZ</x:v>
      </x:c>
      <x:c r="D95" s="30" t="n">
        <x:v>2019</x:v>
      </x:c>
      <x:c r="E95" s="24" t="str">
        <x:v>Squalidae</x:v>
      </x:c>
      <x:c r="F95" s="24" t="str">
        <x:v>Dogfish sharks</x:v>
      </x:c>
      <x:c r="G95" s="24" t="str">
        <x:v>Large sharks (&gt;=90 cm)</x:v>
      </x:c>
      <x:c r="H95" s="24" t="str">
        <x:v>Sharks &amp; rays</x:v>
      </x:c>
      <x:c r="I95" s="31" t="n">
        <x:v>0.19999999999999998</x:v>
      </x:c>
      <x:c r="J95" s="31" t="n">
        <x:v>0.19999999999999998</x:v>
      </x:c>
      <x:c r="K95" s="31" t="n">
        <x:v>0</x:v>
      </x:c>
      <x:c r="L95" s="31" t="n">
        <x:v>0.19999999999999998</x:v>
      </x:c>
      <x:c r="M95" s="31" t="n">
        <x:v>0</x:v>
      </x:c>
      <x:c r="N95" s="24" t="str">
        <x:v>squalidae</x:v>
      </x:c>
      <x:c r="O95" s="32" t="n">
        <x:v>4.23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Squalidae</x:v>
      </x:c>
      <x:c r="T95" s="32" t="n">
        <x:f>IF(O95="","",(1/'Metadata'!$B$5)^(O95-1))</x:f>
        <x:v>1698.243652461746</x:v>
      </x:c>
      <x:c r="U95" s="31" t="n">
        <x:f>IF(T95="","",I95*T95)</x:f>
        <x:v>339.64873049234916</x:v>
      </x:c>
    </x:row>
    <x:row r="96" ht="18" customHeight="1">
      <x:c r="A96" s="24" t="str">
        <x:v>EEZ_899</x:v>
      </x:c>
      <x:c r="B96" s="24" t="str">
        <x:v>Corsica (France)</x:v>
      </x:c>
      <x:c r="C96" s="24" t="str">
        <x:v>EEZ</x:v>
      </x:c>
      <x:c r="D96" s="30" t="n">
        <x:v>2019</x:v>
      </x:c>
      <x:c r="E96" s="24" t="str">
        <x:v>Scophthalmus maximus</x:v>
      </x:c>
      <x:c r="F96" s="24" t="str">
        <x:v>Turbot</x:v>
      </x:c>
      <x:c r="G96" s="24" t="str">
        <x:v>Large flatfishes (&gt;=90 cm)</x:v>
      </x:c>
      <x:c r="H96" s="24" t="str">
        <x:v>Flatfishes</x:v>
      </x:c>
      <x:c r="I96" s="31" t="n">
        <x:v>0.19999999999999998</x:v>
      </x:c>
      <x:c r="J96" s="31" t="n">
        <x:v>0.19999999999999998</x:v>
      </x:c>
      <x:c r="K96" s="31" t="n">
        <x:v>0</x:v>
      </x:c>
      <x:c r="L96" s="31" t="n">
        <x:v>0.19999999999999998</x:v>
      </x:c>
      <x:c r="M96" s="31" t="n">
        <x:v>0</x:v>
      </x:c>
      <x:c r="N96" s="24" t="str">
        <x:v>scophthalmus maximus</x:v>
      </x:c>
      <x:c r="O96" s="32" t="n">
        <x:v>4.36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Scophthalmus maximus</x:v>
      </x:c>
      <x:c r="T96" s="32" t="n">
        <x:f>IF(O96="","",(1/'Metadata'!$B$5)^(O96-1))</x:f>
        <x:v>2290.867652767775</x:v>
      </x:c>
      <x:c r="U96" s="31" t="n">
        <x:f>IF(T96="","",I96*T96)</x:f>
        <x:v>458.17353055355494</x:v>
      </x:c>
    </x:row>
    <x:row r="97" ht="18" customHeight="1">
      <x:c r="A97" s="24" t="str">
        <x:v>EEZ_899</x:v>
      </x:c>
      <x:c r="B97" s="24" t="str">
        <x:v>Corsica (France)</x:v>
      </x:c>
      <x:c r="C97" s="24" t="str">
        <x:v>EEZ</x:v>
      </x:c>
      <x:c r="D97" s="30" t="n">
        <x:v>2019</x:v>
      </x:c>
      <x:c r="E97" s="24" t="str">
        <x:v>Lepidopus caudatus</x:v>
      </x:c>
      <x:c r="F97" s="24" t="str">
        <x:v>Silver scabbardfish</x:v>
      </x:c>
      <x:c r="G97" s="24" t="str">
        <x:v>Large bathydemersals (&gt;=90 cm)</x:v>
      </x:c>
      <x:c r="H97" s="24" t="str">
        <x:v>Perch-likes</x:v>
      </x:c>
      <x:c r="I97" s="31" t="n">
        <x:v>0.1277527276</x:v>
      </x:c>
      <x:c r="J97" s="31" t="n">
        <x:v>0.1230247534</x:v>
      </x:c>
      <x:c r="K97" s="31" t="n">
        <x:v>0.0047279742</x:v>
      </x:c>
      <x:c r="L97" s="31" t="n">
        <x:v>0</x:v>
      </x:c>
      <x:c r="M97" s="31" t="n">
        <x:v>0.1277527276</x:v>
      </x:c>
      <x:c r="N97" s="24" t="str">
        <x:v>lepidopus caudatus</x:v>
      </x:c>
      <x:c r="O97" s="32" t="n">
        <x:v>3.82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Lepidopus caudatus</x:v>
      </x:c>
      <x:c r="T97" s="32" t="n">
        <x:f>IF(O97="","",(1/'Metadata'!$B$5)^(O97-1))</x:f>
        <x:v>660.6934480075957</x:v>
      </x:c>
      <x:c r="U97" s="31" t="n">
        <x:f>IF(T97="","",I97*T97)</x:f>
        <x:v>84.40539009041915</x:v>
      </x:c>
    </x:row>
    <x:row r="98" ht="18" customHeight="1">
      <x:c r="A98" s="24" t="str">
        <x:v>EEZ_899</x:v>
      </x:c>
      <x:c r="B98" s="24" t="str">
        <x:v>Corsica (France)</x:v>
      </x:c>
      <x:c r="C98" s="24" t="str">
        <x:v>EEZ</x:v>
      </x:c>
      <x:c r="D98" s="30" t="n">
        <x:v>2019</x:v>
      </x:c>
      <x:c r="E98" s="24" t="str">
        <x:v>Chelon auratus</x:v>
      </x:c>
      <x:c r="F98" s="24" t="str">
        <x:v>Golden grey mullet</x:v>
      </x:c>
      <x:c r="G98" s="24" t="str">
        <x:v>Medium pelagics (30 - 89 cm)</x:v>
      </x:c>
      <x:c r="H98" s="24" t="str">
        <x:v>Other fishes &amp; inverts</x:v>
      </x:c>
      <x:c r="I98" s="31" t="n">
        <x:v>0.1277527275</x:v>
      </x:c>
      <x:c r="J98" s="31" t="n">
        <x:v>0.12302475330000001</x:v>
      </x:c>
      <x:c r="K98" s="31" t="n">
        <x:v>0.0047279742</x:v>
      </x:c>
      <x:c r="L98" s="31" t="n">
        <x:v>0</x:v>
      </x:c>
      <x:c r="M98" s="31" t="n">
        <x:v>0.1277527275</x:v>
      </x:c>
      <x:c r="N98" s="24" t="str">
        <x:v>chelon auratus</x:v>
      </x:c>
      <x:c r="O98" s="32" t="n">
        <x:v>2.8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Chelon auratus</x:v>
      </x:c>
      <x:c r="T98" s="32" t="n">
        <x:f>IF(O98="","",(1/'Metadata'!$B$5)^(O98-1))</x:f>
        <x:v>63.0957344480193</x:v>
      </x:c>
      <x:c r="U98" s="31" t="n">
        <x:f>IF(T98="","",I98*T98)</x:f>
        <x:v>8.060652169350172</x:v>
      </x:c>
    </x:row>
    <x:row r="99" ht="18" customHeight="1">
      <x:c r="A99" s="24" t="str">
        <x:v>EEZ_899</x:v>
      </x:c>
      <x:c r="B99" s="24" t="str">
        <x:v>Corsica (France)</x:v>
      </x:c>
      <x:c r="C99" s="24" t="str">
        <x:v>EEZ</x:v>
      </x:c>
      <x:c r="D99" s="30" t="n">
        <x:v>2019</x:v>
      </x:c>
      <x:c r="E99" s="24" t="str">
        <x:v>Crangon crangon</x:v>
      </x:c>
      <x:c r="F99" s="24" t="str">
        <x:v>Common shrimp</x:v>
      </x:c>
      <x:c r="G99" s="24" t="str">
        <x:v>Shrimps</x:v>
      </x:c>
      <x:c r="H99" s="24" t="str">
        <x:v>Crustaceans</x:v>
      </x:c>
      <x:c r="I99" s="31" t="n">
        <x:v>0.1277527275</x:v>
      </x:c>
      <x:c r="J99" s="31" t="n">
        <x:v>0.12302475330000001</x:v>
      </x:c>
      <x:c r="K99" s="31" t="n">
        <x:v>0.0047279742</x:v>
      </x:c>
      <x:c r="L99" s="31" t="n">
        <x:v>0</x:v>
      </x:c>
      <x:c r="M99" s="31" t="n">
        <x:v>0.1277527275</x:v>
      </x:c>
      <x:c r="N99" s="24" t="str">
        <x:v>crangon crangon</x:v>
      </x:c>
      <x:c r="O99" s="32" t="n">
        <x:v>3.19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Crangon crangon</x:v>
      </x:c>
      <x:c r="T99" s="32" t="n">
        <x:f>IF(O99="","",(1/'Metadata'!$B$5)^(O99-1))</x:f>
        <x:v>154.88166189124811</x:v>
      </x:c>
      <x:c r="U99" s="31" t="n">
        <x:f>IF(T99="","",I99*T99)</x:f>
        <x:v>19.786554746339753</x:v>
      </x:c>
    </x:row>
    <x:row r="100" ht="18" customHeight="1">
      <x:c r="A100" s="24" t="str">
        <x:v>EEZ_899</x:v>
      </x:c>
      <x:c r="B100" s="24" t="str">
        <x:v>Corsica (France)</x:v>
      </x:c>
      <x:c r="C100" s="24" t="str">
        <x:v>EEZ</x:v>
      </x:c>
      <x:c r="D100" s="30" t="n">
        <x:v>2019</x:v>
      </x:c>
      <x:c r="E100" s="24" t="str">
        <x:v>Pagrus</x:v>
      </x:c>
      <x:c r="F100" s="24" t="str">
        <x:v>Subtropical seabreams</x:v>
      </x:c>
      <x:c r="G100" s="24" t="str">
        <x:v>Medium benthopelagics (30 - 89 cm)</x:v>
      </x:c>
      <x:c r="H100" s="24" t="str">
        <x:v>Perch-likes</x:v>
      </x:c>
      <x:c r="I100" s="31" t="n">
        <x:v>0.1277527275</x:v>
      </x:c>
      <x:c r="J100" s="31" t="n">
        <x:v>0.12302475330000001</x:v>
      </x:c>
      <x:c r="K100" s="31" t="n">
        <x:v>0.0047279742</x:v>
      </x:c>
      <x:c r="L100" s="31" t="n">
        <x:v>0</x:v>
      </x:c>
      <x:c r="M100" s="31" t="n">
        <x:v>0.1277527275</x:v>
      </x:c>
      <x:c r="N100" s="24" t="str">
        <x:v>pagrus</x:v>
      </x:c>
      <x:c r="O100" s="32" t="n">
        <x:v>3.55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Pagrus</x:v>
      </x:c>
      <x:c r="T100" s="32" t="n">
        <x:f>IF(O100="","",(1/'Metadata'!$B$5)^(O100-1))</x:f>
        <x:v>354.8133892335753</x:v>
      </x:c>
      <x:c r="U100" s="31" t="n">
        <x:f>IF(T100="","",I100*T100)</x:f>
        <x:v>45.32837822810838</x:v>
      </x:c>
    </x:row>
    <x:row r="101" ht="18" customHeight="1">
      <x:c r="A101" s="24" t="str">
        <x:v>EEZ_899</x:v>
      </x:c>
      <x:c r="B101" s="24" t="str">
        <x:v>Corsica (France)</x:v>
      </x:c>
      <x:c r="C101" s="24" t="str">
        <x:v>EEZ</x:v>
      </x:c>
      <x:c r="D101" s="30" t="n">
        <x:v>2019</x:v>
      </x:c>
      <x:c r="E101" s="24" t="str">
        <x:v>Murex</x:v>
      </x:c>
      <x:c r="F101" s="24" t="str">
        <x:v>Murex shells</x:v>
      </x:c>
      <x:c r="G101" s="24" t="str">
        <x:v>Other demersal invertebrates</x:v>
      </x:c>
      <x:c r="H101" s="24" t="str">
        <x:v>Molluscs</x:v>
      </x:c>
      <x:c r="I101" s="31" t="n">
        <x:v>0.1277527275</x:v>
      </x:c>
      <x:c r="J101" s="31" t="n">
        <x:v>0.12302475330000001</x:v>
      </x:c>
      <x:c r="K101" s="31" t="n">
        <x:v>0.0047279742</x:v>
      </x:c>
      <x:c r="L101" s="31" t="n">
        <x:v>0</x:v>
      </x:c>
      <x:c r="M101" s="31" t="n">
        <x:v>0.1277527275</x:v>
      </x:c>
      <x:c r="N101" s="24" t="str">
        <x:v>murex</x:v>
      </x:c>
      <x:c r="O101" s="32" t="n">
        <x:v>2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Murex</x:v>
      </x:c>
      <x:c r="T101" s="32" t="n">
        <x:f>IF(O101="","",(1/'Metadata'!$B$5)^(O101-1))</x:f>
        <x:v>10</x:v>
      </x:c>
      <x:c r="U101" s="31" t="n">
        <x:f>IF(T101="","",I101*T101)</x:f>
        <x:v>1.277527275</x:v>
      </x:c>
    </x:row>
    <x:row r="102" ht="18" customHeight="1">
      <x:c r="A102" s="24" t="str">
        <x:v>EEZ_899</x:v>
      </x:c>
      <x:c r="B102" s="24" t="str">
        <x:v>Corsica (France)</x:v>
      </x:c>
      <x:c r="C102" s="24" t="str">
        <x:v>EEZ</x:v>
      </x:c>
      <x:c r="D102" s="30" t="n">
        <x:v>2019</x:v>
      </x:c>
      <x:c r="E102" s="24" t="str">
        <x:v>Diplodus</x:v>
      </x:c>
      <x:c r="F102" s="24" t="str">
        <x:v>Two-toothed seabreams</x:v>
      </x:c>
      <x:c r="G102" s="24" t="str">
        <x:v>Medium benthopelagics (30 - 89 cm)</x:v>
      </x:c>
      <x:c r="H102" s="24" t="str">
        <x:v>Perch-likes</x:v>
      </x:c>
      <x:c r="I102" s="31" t="n">
        <x:v>0.1277527275</x:v>
      </x:c>
      <x:c r="J102" s="31" t="n">
        <x:v>0.12302475330000001</x:v>
      </x:c>
      <x:c r="K102" s="31" t="n">
        <x:v>0.0047279742</x:v>
      </x:c>
      <x:c r="L102" s="31" t="n">
        <x:v>0</x:v>
      </x:c>
      <x:c r="M102" s="31" t="n">
        <x:v>0.1277527275</x:v>
      </x:c>
      <x:c r="N102" s="24" t="str">
        <x:v>diplodus</x:v>
      </x:c>
      <x:c r="O102" s="32" t="n">
        <x:v>2.97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Diplodus</x:v>
      </x:c>
      <x:c r="T102" s="32" t="n">
        <x:f>IF(O102="","",(1/'Metadata'!$B$5)^(O102-1))</x:f>
        <x:v>93.32543007969915</x:v>
      </x:c>
      <x:c r="U102" s="31" t="n">
        <x:f>IF(T102="","",I102*T102)</x:f>
        <x:v>11.922578237792107</x:v>
      </x:c>
    </x:row>
    <x:row r="103" ht="18" customHeight="1">
      <x:c r="A103" s="24" t="str">
        <x:v>EEZ_899</x:v>
      </x:c>
      <x:c r="B103" s="24" t="str">
        <x:v>Corsica (France)</x:v>
      </x:c>
      <x:c r="C103" s="24" t="str">
        <x:v>EEZ</x:v>
      </x:c>
      <x:c r="D103" s="30" t="n">
        <x:v>2019</x:v>
      </x:c>
      <x:c r="E103" s="24" t="str">
        <x:v>Microcosmus vulgaris</x:v>
      </x:c>
      <x:c r="F103" s="24" t="str">
        <x:v>Grooved sea squirt</x:v>
      </x:c>
      <x:c r="G103" s="24" t="str">
        <x:v>Other demersal invertebrates</x:v>
      </x:c>
      <x:c r="H103" s="24" t="str">
        <x:v>Other fishes &amp; inverts</x:v>
      </x:c>
      <x:c r="I103" s="31" t="n">
        <x:v>0.1277527275</x:v>
      </x:c>
      <x:c r="J103" s="31" t="n">
        <x:v>0.12302475330000001</x:v>
      </x:c>
      <x:c r="K103" s="31" t="n">
        <x:v>0.0047279742</x:v>
      </x:c>
      <x:c r="L103" s="31" t="n">
        <x:v>0</x:v>
      </x:c>
      <x:c r="M103" s="31" t="n">
        <x:v>0.1277527275</x:v>
      </x:c>
      <x:c r="N103" s="24" t="str">
        <x:v>microcosmus vulgaris</x:v>
      </x:c>
      <x:c r="O103" s="32" t="n">
        <x:v>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Microcosmus vulgaris</x:v>
      </x:c>
      <x:c r="T103" s="32" t="n">
        <x:f>IF(O103="","",(1/'Metadata'!$B$5)^(O103-1))</x:f>
        <x:v>100</x:v>
      </x:c>
      <x:c r="U103" s="31" t="n">
        <x:f>IF(T103="","",I103*T103)</x:f>
        <x:v>12.77527275</x:v>
      </x:c>
    </x:row>
    <x:row r="104" ht="18" customHeight="1">
      <x:c r="A104" s="24" t="str">
        <x:v>EEZ_899</x:v>
      </x:c>
      <x:c r="B104" s="24" t="str">
        <x:v>Corsica (France)</x:v>
      </x:c>
      <x:c r="C104" s="24" t="str">
        <x:v>EEZ</x:v>
      </x:c>
      <x:c r="D104" s="30" t="n">
        <x:v>2019</x:v>
      </x:c>
      <x:c r="E104" s="24" t="str">
        <x:v>Myliobatis aquila</x:v>
      </x:c>
      <x:c r="F104" s="24" t="str">
        <x:v>Common eagle ray</x:v>
      </x:c>
      <x:c r="G104" s="24" t="str">
        <x:v>Large rays (&gt;=90 cm)</x:v>
      </x:c>
      <x:c r="H104" s="24" t="str">
        <x:v>Sharks &amp; rays</x:v>
      </x:c>
      <x:c r="I104" s="31" t="n">
        <x:v>0.1139297312</x:v>
      </x:c>
      <x:c r="J104" s="31" t="n">
        <x:v>0</x:v>
      </x:c>
      <x:c r="K104" s="31" t="n">
        <x:v>0.1139297312</x:v>
      </x:c>
      <x:c r="L104" s="31" t="n">
        <x:v>0</x:v>
      </x:c>
      <x:c r="M104" s="31" t="n">
        <x:v>0.1139297312</x:v>
      </x:c>
      <x:c r="N104" s="24" t="str">
        <x:v>myliobatis aquila</x:v>
      </x:c>
      <x:c r="O104" s="32" t="n">
        <x:v>3.61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Myliobatis aquila</x:v>
      </x:c>
      <x:c r="T104" s="32" t="n">
        <x:f>IF(O104="","",(1/'Metadata'!$B$5)^(O104-1))</x:f>
        <x:v>407.3802778041126</x:v>
      </x:c>
      <x:c r="U104" s="31" t="n">
        <x:f>IF(T104="","",I104*T104)</x:f>
        <x:v>46.41272554640388</x:v>
      </x:c>
    </x:row>
    <x:row r="105" ht="18" customHeight="1">
      <x:c r="A105" s="24" t="str">
        <x:v>EEZ_899</x:v>
      </x:c>
      <x:c r="B105" s="24" t="str">
        <x:v>Corsica (France)</x:v>
      </x:c>
      <x:c r="C105" s="24" t="str">
        <x:v>EEZ</x:v>
      </x:c>
      <x:c r="D105" s="30" t="n">
        <x:v>2019</x:v>
      </x:c>
      <x:c r="E105" s="24" t="str">
        <x:v>Diplodus annularis</x:v>
      </x:c>
      <x:c r="F105" s="24" t="str">
        <x:v>Annular seabream</x:v>
      </x:c>
      <x:c r="G105" s="24" t="str">
        <x:v>Small benthopelagics (&lt;30 cm)</x:v>
      </x:c>
      <x:c r="H105" s="24" t="str">
        <x:v>Perch-likes</x:v>
      </x:c>
      <x:c r="I105" s="31" t="n">
        <x:v>0.1</x:v>
      </x:c>
      <x:c r="J105" s="31" t="n">
        <x:v>0.1</x:v>
      </x:c>
      <x:c r="K105" s="31" t="n">
        <x:v>0</x:v>
      </x:c>
      <x:c r="L105" s="31" t="n">
        <x:v>0.1</x:v>
      </x:c>
      <x:c r="M105" s="31" t="n">
        <x:v>0</x:v>
      </x:c>
      <x:c r="N105" s="24" t="str">
        <x:v>diplodus annularis</x:v>
      </x:c>
      <x:c r="O105" s="32" t="n">
        <x:v>3.64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Diplodus annularis</x:v>
      </x:c>
      <x:c r="T105" s="32" t="n">
        <x:f>IF(O105="","",(1/'Metadata'!$B$5)^(O105-1))</x:f>
        <x:v>436.5158322401661</x:v>
      </x:c>
      <x:c r="U105" s="31" t="n">
        <x:f>IF(T105="","",I105*T105)</x:f>
        <x:v>43.65158322401661</x:v>
      </x:c>
    </x:row>
    <x:row r="106" ht="18" customHeight="1">
      <x:c r="A106" s="24" t="str">
        <x:v>EEZ_899</x:v>
      </x:c>
      <x:c r="B106" s="24" t="str">
        <x:v>Corsica (France)</x:v>
      </x:c>
      <x:c r="C106" s="24" t="str">
        <x:v>EEZ</x:v>
      </x:c>
      <x:c r="D106" s="30" t="n">
        <x:v>2019</x:v>
      </x:c>
      <x:c r="E106" s="24" t="str">
        <x:v>Uranoscopus scaber</x:v>
      </x:c>
      <x:c r="F106" s="24" t="str">
        <x:v>Stargazer</x:v>
      </x:c>
      <x:c r="G106" s="24" t="str">
        <x:v>Medium demersals (30 - 89 cm)</x:v>
      </x:c>
      <x:c r="H106" s="24" t="str">
        <x:v>Perch-likes</x:v>
      </x:c>
      <x:c r="I106" s="31" t="n">
        <x:v>0.09999999999999999</x:v>
      </x:c>
      <x:c r="J106" s="31" t="n">
        <x:v>0.09999999999999999</x:v>
      </x:c>
      <x:c r="K106" s="31" t="n">
        <x:v>0</x:v>
      </x:c>
      <x:c r="L106" s="31" t="n">
        <x:v>0.09999999999999999</x:v>
      </x:c>
      <x:c r="M106" s="31" t="n">
        <x:v>0</x:v>
      </x:c>
      <x:c r="N106" s="24" t="str">
        <x:v>uranoscopus scaber</x:v>
      </x:c>
      <x:c r="O106" s="32" t="n">
        <x:v>4.38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Uranoscopus scaber</x:v>
      </x:c>
      <x:c r="T106" s="32" t="n">
        <x:f>IF(O106="","",(1/'Metadata'!$B$5)^(O106-1))</x:f>
        <x:v>2398.83291901949</x:v>
      </x:c>
      <x:c r="U106" s="31" t="n">
        <x:f>IF(T106="","",I106*T106)</x:f>
        <x:v>239.88329190194898</x:v>
      </x:c>
    </x:row>
    <x:row r="107" ht="18" customHeight="1">
      <x:c r="A107" s="24" t="str">
        <x:v>EEZ_899</x:v>
      </x:c>
      <x:c r="B107" s="24" t="str">
        <x:v>Corsica (France)</x:v>
      </x:c>
      <x:c r="C107" s="24" t="str">
        <x:v>EEZ</x:v>
      </x:c>
      <x:c r="D107" s="30" t="n">
        <x:v>2019</x:v>
      </x:c>
      <x:c r="E107" s="24" t="str">
        <x:v>Raja asterias</x:v>
      </x:c>
      <x:c r="F107" s="24" t="str">
        <x:v>Mediterranean starry ray</x:v>
      </x:c>
      <x:c r="G107" s="24" t="str">
        <x:v>Small to medium rays (&lt;90 cm)</x:v>
      </x:c>
      <x:c r="H107" s="24" t="str">
        <x:v>Sharks &amp; rays</x:v>
      </x:c>
      <x:c r="I107" s="31" t="n">
        <x:v>0.09999999999999999</x:v>
      </x:c>
      <x:c r="J107" s="31" t="n">
        <x:v>0.09999999999999999</x:v>
      </x:c>
      <x:c r="K107" s="31" t="n">
        <x:v>0</x:v>
      </x:c>
      <x:c r="L107" s="31" t="n">
        <x:v>0.09999999999999999</x:v>
      </x:c>
      <x:c r="M107" s="31" t="n">
        <x:v>0</x:v>
      </x:c>
      <x:c r="N107" s="24" t="str">
        <x:v>raja asterias</x:v>
      </x:c>
      <x:c r="O107" s="32" t="n">
        <x:v>3.5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Raja asterias</x:v>
      </x:c>
      <x:c r="T107" s="32" t="n">
        <x:f>IF(O107="","",(1/'Metadata'!$B$5)^(O107-1))</x:f>
        <x:v>316.22776601683796</x:v>
      </x:c>
      <x:c r="U107" s="31" t="n">
        <x:f>IF(T107="","",I107*T107)</x:f>
        <x:v>31.622776601683793</x:v>
      </x:c>
    </x:row>
    <x:row r="108" ht="18" customHeight="1">
      <x:c r="A108" s="24" t="str">
        <x:v>EEZ_899</x:v>
      </x:c>
      <x:c r="B108" s="24" t="str">
        <x:v>Corsica (France)</x:v>
      </x:c>
      <x:c r="C108" s="24" t="str">
        <x:v>EEZ</x:v>
      </x:c>
      <x:c r="D108" s="30" t="n">
        <x:v>2019</x:v>
      </x:c>
      <x:c r="E108" s="24" t="str">
        <x:v>Sardinella aurita</x:v>
      </x:c>
      <x:c r="F108" s="24" t="str">
        <x:v>Round sardinella</x:v>
      </x:c>
      <x:c r="G108" s="24" t="str">
        <x:v>Small pelagics (&lt;30 cm)</x:v>
      </x:c>
      <x:c r="H108" s="24" t="str">
        <x:v>Herring-likes</x:v>
      </x:c>
      <x:c r="I108" s="31" t="n">
        <x:v>0.09999999999999999</x:v>
      </x:c>
      <x:c r="J108" s="31" t="n">
        <x:v>0.09999999999999999</x:v>
      </x:c>
      <x:c r="K108" s="31" t="n">
        <x:v>0</x:v>
      </x:c>
      <x:c r="L108" s="31" t="n">
        <x:v>0.09999999999999999</x:v>
      </x:c>
      <x:c r="M108" s="31" t="n">
        <x:v>0</x:v>
      </x:c>
      <x:c r="N108" s="24" t="str">
        <x:v>sardinella aurita</x:v>
      </x:c>
      <x:c r="O108" s="32" t="n">
        <x:v>3.4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Sardinella aurita</x:v>
      </x:c>
      <x:c r="T108" s="32" t="n">
        <x:f>IF(O108="","",(1/'Metadata'!$B$5)^(O108-1))</x:f>
        <x:v>251.18864315095797</x:v>
      </x:c>
      <x:c r="U108" s="31" t="n">
        <x:f>IF(T108="","",I108*T108)</x:f>
        <x:v>25.118864315095795</x:v>
      </x:c>
    </x:row>
    <x:row r="109" ht="18" customHeight="1">
      <x:c r="A109" s="24" t="str">
        <x:v>EEZ_899</x:v>
      </x:c>
      <x:c r="B109" s="24" t="str">
        <x:v>Corsica (France)</x:v>
      </x:c>
      <x:c r="C109" s="24" t="str">
        <x:v>EEZ</x:v>
      </x:c>
      <x:c r="D109" s="30" t="n">
        <x:v>2019</x:v>
      </x:c>
      <x:c r="E109" s="24" t="str">
        <x:v>Brama brama</x:v>
      </x:c>
      <x:c r="F109" s="24" t="str">
        <x:v>Atlantic pomfret</x:v>
      </x:c>
      <x:c r="G109" s="24" t="str">
        <x:v>Medium bathypelagics (30 - 89 cm)</x:v>
      </x:c>
      <x:c r="H109" s="24" t="str">
        <x:v>Perch-likes</x:v>
      </x:c>
      <x:c r="I109" s="31" t="n">
        <x:v>0.026464519199999998</x:v>
      </x:c>
      <x:c r="J109" s="31" t="n">
        <x:v>0.026464519199999998</x:v>
      </x:c>
      <x:c r="K109" s="31" t="n">
        <x:v>0</x:v>
      </x:c>
      <x:c r="L109" s="31" t="n">
        <x:v>0.026464519199999998</x:v>
      </x:c>
      <x:c r="M109" s="31" t="n">
        <x:v>0</x:v>
      </x:c>
      <x:c r="N109" s="24" t="str">
        <x:v>brama brama</x:v>
      </x:c>
      <x:c r="O109" s="32" t="n">
        <x:v>4.08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Brama brama</x:v>
      </x:c>
      <x:c r="T109" s="32" t="n">
        <x:f>IF(O109="","",(1/'Metadata'!$B$5)^(O109-1))</x:f>
        <x:v>1202.2644346174131</x:v>
      </x:c>
      <x:c r="U109" s="31" t="n">
        <x:f>IF(T109="","",I109*T109)</x:f>
        <x:v>31.81735021340967</x:v>
      </x:c>
    </x:row>
    <x:row r="110" ht="18" customHeight="1">
      <x:c r="A110" s="24" t="str">
        <x:v>EEZ_899</x:v>
      </x:c>
      <x:c r="B110" s="24" t="str">
        <x:v>Corsica (France)</x:v>
      </x:c>
      <x:c r="C110" s="24" t="str">
        <x:v>EEZ</x:v>
      </x:c>
      <x:c r="D110" s="30" t="n">
        <x:v>2019</x:v>
      </x:c>
      <x:c r="E110" s="24" t="str">
        <x:v>Scomberesox saurus</x:v>
      </x:c>
      <x:c r="F110" s="24" t="str">
        <x:v>Atlantic saury</x:v>
      </x:c>
      <x:c r="G110" s="24" t="str">
        <x:v>Medium pelagics (30 - 89 cm)</x:v>
      </x:c>
      <x:c r="H110" s="24" t="str">
        <x:v>Other fishes &amp; inverts</x:v>
      </x:c>
      <x:c r="I110" s="31" t="n">
        <x:v>0.0180124277</x:v>
      </x:c>
      <x:c r="J110" s="31" t="n">
        <x:v>0.0180124277</x:v>
      </x:c>
      <x:c r="K110" s="31" t="n">
        <x:v>0</x:v>
      </x:c>
      <x:c r="L110" s="31" t="n">
        <x:v>0.0180124277</x:v>
      </x:c>
      <x:c r="M110" s="31" t="n">
        <x:v>0</x:v>
      </x:c>
      <x:c r="N110" s="24" t="str">
        <x:v>scomberesox saurus</x:v>
      </x:c>
      <x:c r="O110" s="32" t="n">
        <x:v>3.91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Scomberesox saurus</x:v>
      </x:c>
      <x:c r="T110" s="32" t="n">
        <x:f>IF(O110="","",(1/'Metadata'!$B$5)^(O110-1))</x:f>
        <x:v>812.8305161640995</x:v>
      </x:c>
      <x:c r="U110" s="31" t="n">
        <x:f>IF(T110="","",I110*T110)</x:f>
        <x:v>14.641050904759524</x:v>
      </x:c>
    </x:row>
    <x:row r="111" ht="18" customHeight="1">
      <x:c r="A111" s="24" t="str">
        <x:v>EEZ_899</x:v>
      </x:c>
      <x:c r="B111" s="24" t="str">
        <x:v>Corsica (France)</x:v>
      </x:c>
      <x:c r="C111" s="24" t="str">
        <x:v>EEZ</x:v>
      </x:c>
      <x:c r="D111" s="30" t="n">
        <x:v>2019</x:v>
      </x:c>
      <x:c r="E111" s="24" t="str">
        <x:v>Marine pelagic fishes not identified</x:v>
      </x:c>
      <x:c r="F111" s="24" t="str">
        <x:v>Pelagic fishes</x:v>
      </x:c>
      <x:c r="G111" s="24" t="str">
        <x:v>Medium pelagics (30 - 89 cm)</x:v>
      </x:c>
      <x:c r="H111" s="24" t="str">
        <x:v>Other fishes &amp; inverts</x:v>
      </x:c>
      <x:c r="I111" s="31" t="n">
        <x:v>0.0079337772</x:v>
      </x:c>
      <x:c r="J111" s="31" t="n">
        <x:v>0.0079337772</x:v>
      </x:c>
      <x:c r="K111" s="31" t="n">
        <x:v>0</x:v>
      </x:c>
      <x:c r="L111" s="31" t="n">
        <x:v>0.0079337772</x:v>
      </x:c>
      <x:c r="M111" s="31" t="n">
        <x:v>0</x:v>
      </x:c>
      <x:c r="N111" s="24" t="str">
        <x:v>marine pelagic fishes not identified</x:v>
      </x:c>
      <x:c r="O111" s="32" t="n">
        <x:v>3.35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Marine pelagic fishes not identified</x:v>
      </x:c>
      <x:c r="T111" s="32" t="n">
        <x:f>IF(O111="","",(1/'Metadata'!$B$5)^(O111-1))</x:f>
        <x:v>223.872113856834</x:v>
      </x:c>
      <x:c r="U111" s="31" t="n">
        <x:f>IF(T111="","",I111*T111)</x:f>
        <x:v>1.7761514726331538</x:v>
      </x:c>
    </x:row>
    <x:row r="112" ht="18" customHeight="1">
      <x:c r="A112" s="24" t="str">
        <x:v>EEZ_899</x:v>
      </x:c>
      <x:c r="B112" s="24" t="str">
        <x:v>Corsica (France)</x:v>
      </x:c>
      <x:c r="C112" s="24" t="str">
        <x:v>EEZ</x:v>
      </x:c>
      <x:c r="D112" s="30" t="n">
        <x:v>2019</x:v>
      </x:c>
      <x:c r="E112" s="24" t="str">
        <x:v>Auxis rochei</x:v>
      </x:c>
      <x:c r="F112" s="24" t="str">
        <x:v>Bullet tuna</x:v>
      </x:c>
      <x:c r="G112" s="24" t="str">
        <x:v>Medium pelagics (30 - 89 cm)</x:v>
      </x:c>
      <x:c r="H112" s="24" t="str">
        <x:v>Tuna &amp; billfishes</x:v>
      </x:c>
      <x:c r="I112" s="31" t="n">
        <x:v>0.0068801641</x:v>
      </x:c>
      <x:c r="J112" s="31" t="n">
        <x:v>0.0068801641</x:v>
      </x:c>
      <x:c r="K112" s="31" t="n">
        <x:v>0</x:v>
      </x:c>
      <x:c r="L112" s="31" t="n">
        <x:v>0.0068801641</x:v>
      </x:c>
      <x:c r="M112" s="31" t="n">
        <x:v>0</x:v>
      </x:c>
      <x:c r="N112" s="24" t="str">
        <x:v>auxis rochei</x:v>
      </x:c>
      <x:c r="O112" s="32" t="n">
        <x:v>4.13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Auxis rochei</x:v>
      </x:c>
      <x:c r="T112" s="32" t="n">
        <x:f>IF(O112="","",(1/'Metadata'!$B$5)^(O112-1))</x:f>
        <x:v>1348.9628825916532</x:v>
      </x:c>
      <x:c r="U112" s="31" t="n">
        <x:f>IF(T112="","",I112*T112)</x:f>
        <x:v>9.281085997039607</x:v>
      </x:c>
    </x:row>
    <x:row r="113" ht="18" customHeight="1">
      <x:c r="A113" s="24" t="str">
        <x:v>EEZ_899</x:v>
      </x:c>
      <x:c r="B113" s="24" t="str">
        <x:v>Corsica (France)</x:v>
      </x:c>
      <x:c r="C113" s="24" t="str">
        <x:v>EEZ</x:v>
      </x:c>
      <x:c r="D113" s="30" t="n">
        <x:v>2019</x:v>
      </x:c>
      <x:c r="E113" s="24" t="str">
        <x:v>Sarda sarda</x:v>
      </x:c>
      <x:c r="F113" s="24" t="str">
        <x:v>Atlantic bonito</x:v>
      </x:c>
      <x:c r="G113" s="24" t="str">
        <x:v>Medium pelagics (30 - 89 cm)</x:v>
      </x:c>
      <x:c r="H113" s="24" t="str">
        <x:v>Tuna &amp; billfishes</x:v>
      </x:c>
      <x:c r="I113" s="31" t="n">
        <x:v>0.0008000964000000001</x:v>
      </x:c>
      <x:c r="J113" s="31" t="n">
        <x:v>0.0008000964000000001</x:v>
      </x:c>
      <x:c r="K113" s="31" t="n">
        <x:v>0</x:v>
      </x:c>
      <x:c r="L113" s="31" t="n">
        <x:v>0.0008000964000000001</x:v>
      </x:c>
      <x:c r="M113" s="31" t="n">
        <x:v>0</x:v>
      </x:c>
      <x:c r="N113" s="24" t="str">
        <x:v>sarda sarda</x:v>
      </x:c>
      <x:c r="O113" s="32" t="n">
        <x:v>4.5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Sarda sarda</x:v>
      </x:c>
      <x:c r="T113" s="32" t="n">
        <x:f>IF(O113="","",(1/'Metadata'!$B$5)^(O113-1))</x:f>
        <x:v>3162.2776601683795</x:v>
      </x:c>
      <x:c r="U113" s="31" t="n">
        <x:f>IF(T113="","",I113*T113)</x:f>
        <x:v>2.530126971701144</x:v>
      </x:c>
    </x:row>
    <x:row r="114" ht="18" customHeight="1">
      <x:c r="A114" s="24" t="str">
        <x:v>EEZ_899</x:v>
      </x:c>
      <x:c r="B114" s="24" t="str">
        <x:v>Corsica (France)</x:v>
      </x:c>
      <x:c r="C114" s="24" t="str">
        <x:v>EEZ</x:v>
      </x:c>
      <x:c r="D114" s="30" t="n">
        <x:v>2019</x:v>
      </x:c>
      <x:c r="E114" s="24" t="str">
        <x:v>Isurus oxyrinchus</x:v>
      </x:c>
      <x:c r="F114" s="24" t="str">
        <x:v>Shortfin mako</x:v>
      </x:c>
      <x:c r="G114" s="24" t="str">
        <x:v>Large sharks (&gt;=90 cm)</x:v>
      </x:c>
      <x:c r="H114" s="24" t="str">
        <x:v>Sharks &amp; rays</x:v>
      </x:c>
      <x:c r="I114" s="31" t="n">
        <x:v>0.0005956548</x:v>
      </x:c>
      <x:c r="J114" s="31" t="n">
        <x:v>0.0005956548</x:v>
      </x:c>
      <x:c r="K114" s="31" t="n">
        <x:v>0</x:v>
      </x:c>
      <x:c r="L114" s="31" t="n">
        <x:v>0.0005956548</x:v>
      </x:c>
      <x:c r="M114" s="31" t="n">
        <x:v>0</x:v>
      </x:c>
      <x:c r="N114" s="24" t="str">
        <x:v>isurus oxyrinchus</x:v>
      </x:c>
      <x:c r="O114" s="32" t="n">
        <x:v>4.5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Isurus oxyrinchus</x:v>
      </x:c>
      <x:c r="T114" s="32" t="n">
        <x:f>IF(O114="","",(1/'Metadata'!$B$5)^(O114-1))</x:f>
        <x:v>3162.2776601683795</x:v>
      </x:c>
      <x:c r="U114" s="31" t="n">
        <x:f>IF(T114="","",I114*T114)</x:f>
        <x:v>1.883625867212064</x:v>
      </x:c>
    </x:row>
    <x:row r="115" ht="18" customHeight="1">
      <x:c r="A115" s="24" t="str">
        <x:v>EEZ_899</x:v>
      </x:c>
      <x:c r="B115" s="24" t="str">
        <x:v>Corsica (France)</x:v>
      </x:c>
      <x:c r="C115" s="24" t="str">
        <x:v>EEZ</x:v>
      </x:c>
      <x:c r="D115" s="30" t="n">
        <x:v>2019</x:v>
      </x:c>
      <x:c r="E115" s="24" t="str">
        <x:v>Katsuwonus pelamis</x:v>
      </x:c>
      <x:c r="F115" s="24" t="str">
        <x:v>Skipjack tuna</x:v>
      </x:c>
      <x:c r="G115" s="24" t="str">
        <x:v>Large pelagics (&gt;=90 cm)</x:v>
      </x:c>
      <x:c r="H115" s="24" t="str">
        <x:v>Tuna &amp; billfishes</x:v>
      </x:c>
      <x:c r="I115" s="31" t="n">
        <x:v>0.0004184005</x:v>
      </x:c>
      <x:c r="J115" s="31" t="n">
        <x:v>0.0004184005</x:v>
      </x:c>
      <x:c r="K115" s="31" t="n">
        <x:v>0</x:v>
      </x:c>
      <x:c r="L115" s="31" t="n">
        <x:v>0.0004184005</x:v>
      </x:c>
      <x:c r="M115" s="31" t="n">
        <x:v>0</x:v>
      </x:c>
      <x:c r="N115" s="24" t="str">
        <x:v>katsuwonus pelamis</x:v>
      </x:c>
      <x:c r="O115" s="32" t="n">
        <x:v>4.43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Katsuwonus pelamis</x:v>
      </x:c>
      <x:c r="T115" s="32" t="n">
        <x:f>IF(O115="","",(1/'Metadata'!$B$5)^(O115-1))</x:f>
        <x:v>2691.534803926914</x:v>
      </x:c>
      <x:c r="U115" s="31" t="n">
        <x:f>IF(T115="","",I115*T115)</x:f>
        <x:v>1.1261395077304226</x:v>
      </x:c>
    </x:row>
  </x:sheetData>
  <x:conditionalFormatting sqref="R2:R11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9ef92e589004ae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5.0383127329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649.0604119448232</x:v>
      </x:c>
    </x:row>
    <x:row r="3" ht="18" customHeight="1">
      <x:c r="A3" s="24" t="str">
        <x:v>Cod-likes</x:v>
      </x:c>
      <x:c r="B3" s="31" t="n">
        <x:v>61.74938780219999</x:v>
      </x:c>
      <x:c r="C3" s="32" t="n">
        <x:v>4.244635974432298</x:v>
      </x:c>
      <x:c r="D3" s="32" t="n">
        <x:f>IF(C3="","",(1/'Metadata'!$B$5)^(C3-1))</x:f>
        <x:v>1756.4507400243785</x:v>
      </x:c>
      <x:c r="E3" s="31" t="n">
        <x:f>IF(B3=0,"",B3*D3)</x:f>
        <x:v>108459.7579012265</x:v>
      </x:c>
    </x:row>
    <x:row r="4" ht="18" customHeight="1">
      <x:c r="A4" s="24" t="str">
        <x:v>Crustaceans</x:v>
      </x:c>
      <x:c r="B4" s="31" t="n">
        <x:v>129.90797572239998</x:v>
      </x:c>
      <x:c r="C4" s="32" t="n">
        <x:v>3.0823443102384704</x:v>
      </x:c>
      <x:c r="D4" s="32" t="n">
        <x:f>IF(C4="","",(1/'Metadata'!$B$5)^(C4-1))</x:f>
        <x:v>120.87717739690439</x:v>
      </x:c>
      <x:c r="E4" s="31" t="n">
        <x:f>IF(B4=0,"",B4*D4)</x:f>
        <x:v>15702.90942666929</x:v>
      </x:c>
    </x:row>
    <x:row r="5" ht="18" customHeight="1">
      <x:c r="A5" s="24" t="str">
        <x:v>Flatfishes</x:v>
      </x:c>
      <x:c r="B5" s="31" t="n">
        <x:v>10.977076370499999</x:v>
      </x:c>
      <x:c r="C5" s="32" t="n">
        <x:v>3.484013282506751</x:v>
      </x:c>
      <x:c r="D5" s="32" t="n">
        <x:f>IF(C5="","",(1/'Metadata'!$B$5)^(C5-1))</x:f>
        <x:v>304.7988208184856</x:v>
      </x:c>
      <x:c r="E5" s="31" t="n">
        <x:f>IF(B5=0,"",B5*D5)</x:f>
        <x:v>3345.799933762861</x:v>
      </x:c>
    </x:row>
    <x:row r="6" ht="18" customHeight="1">
      <x:c r="A6" s="24" t="str">
        <x:v>Herring-likes</x:v>
      </x:c>
      <x:c r="B6" s="31" t="n">
        <x:v>0.09999999999999999</x:v>
      </x:c>
      <x:c r="C6" s="32" t="n">
        <x:v>3.4</x:v>
      </x:c>
      <x:c r="D6" s="32" t="n">
        <x:f>IF(C6="","",(1/'Metadata'!$B$5)^(C6-1))</x:f>
        <x:v>251.18864315095797</x:v>
      </x:c>
      <x:c r="E6" s="31" t="n">
        <x:f>IF(B6=0,"",B6*D6)</x:f>
        <x:v>25.118864315095795</x:v>
      </x:c>
    </x:row>
    <x:row r="7" ht="18" customHeight="1">
      <x:c r="A7" s="24" t="str">
        <x:v>Molluscs</x:v>
      </x:c>
      <x:c r="B7" s="31" t="n">
        <x:v>7.1799990504</x:v>
      </x:c>
      <x:c r="C7" s="32" t="n">
        <x:v>2.0982207138663496</x:v>
      </x:c>
      <x:c r="D7" s="32" t="n">
        <x:f>IF(C7="","",(1/'Metadata'!$B$5)^(C7-1))</x:f>
        <x:v>12.537781987567563</x:v>
      </x:c>
      <x:c r="E7" s="31" t="n">
        <x:f>IF(B7=0,"",B7*D7)</x:f>
        <x:v>90.02126276485733</x:v>
      </x:c>
    </x:row>
    <x:row r="8" ht="18" customHeight="1">
      <x:c r="A8" s="24" t="str">
        <x:v>Other fishes &amp; inverts</x:v>
      </x:c>
      <x:c r="B8" s="31" t="n">
        <x:v>433.84415327749997</x:v>
      </x:c>
      <x:c r="C8" s="32" t="n">
        <x:v>3.313168811963725</x:v>
      </x:c>
      <x:c r="D8" s="32" t="n">
        <x:f>IF(C8="","",(1/'Metadata'!$B$5)^(C8-1))</x:f>
        <x:v>205.66898840329148</x:v>
      </x:c>
      <x:c r="E8" s="31" t="n">
        <x:f>IF(B8=0,"",B8*D8)</x:f>
        <x:v>89228.28812926596</x:v>
      </x:c>
    </x:row>
    <x:row r="9" ht="18" customHeight="1">
      <x:c r="A9" s="24" t="str">
        <x:v>Perch-likes</x:v>
      </x:c>
      <x:c r="B9" s="31" t="n">
        <x:v>787.4816739920999</x:v>
      </x:c>
      <x:c r="C9" s="32" t="n">
        <x:v>3.6260211832528864</x:v>
      </x:c>
      <x:c r="D9" s="32" t="n">
        <x:f>IF(C9="","",(1/'Metadata'!$B$5)^(C9-1))</x:f>
        <x:v>422.6892309551505</x:v>
      </x:c>
      <x:c r="E9" s="31" t="n">
        <x:f>IF(B9=0,"",B9*D9)</x:f>
        <x:v>332860.02317099523</x:v>
      </x:c>
    </x:row>
    <x:row r="10" ht="18" customHeight="1">
      <x:c r="A10" s="24" t="str">
        <x:v>Salmon, smelts, etc</x:v>
      </x:c>
      <x:c r="B10" s="31" t="n">
        <x:v>13.5378618281</x:v>
      </x:c>
      <x:c r="C10" s="32" t="n">
        <x:v>3.35</x:v>
      </x:c>
      <x:c r="D10" s="32" t="n">
        <x:f>IF(C10="","",(1/'Metadata'!$B$5)^(C10-1))</x:f>
        <x:v>223.872113856834</x:v>
      </x:c>
      <x:c r="E10" s="31" t="n">
        <x:f>IF(B10=0,"",B10*D10)</x:f>
        <x:v>3030.7497445584904</x:v>
      </x:c>
    </x:row>
    <x:row r="11" ht="18" customHeight="1">
      <x:c r="A11" s="24" t="str">
        <x:v>Scorpionfishes</x:v>
      </x:c>
      <x:c r="B11" s="31" t="n">
        <x:v>46.4395345936</x:v>
      </x:c>
      <x:c r="C11" s="32" t="n">
        <x:v>3.8920057236520376</x:v>
      </x:c>
      <x:c r="D11" s="32" t="n">
        <x:f>IF(C11="","",(1/'Metadata'!$B$5)^(C11-1))</x:f>
        <x:v>779.8403881247473</x:v>
      </x:c>
      <x:c r="E11" s="31" t="n">
        <x:f>IF(B11=0,"",B11*D11)</x:f>
        <x:v>36215.424681805656</x:v>
      </x:c>
    </x:row>
    <x:row r="12" ht="18" customHeight="1">
      <x:c r="A12" s="24" t="str">
        <x:v>Sharks &amp; rays</x:v>
      </x:c>
      <x:c r="B12" s="31" t="n">
        <x:v>48.581622420100004</x:v>
      </x:c>
      <x:c r="C12" s="32" t="n">
        <x:v>3.837978157815714</x:v>
      </x:c>
      <x:c r="D12" s="32" t="n">
        <x:f>IF(C12="","",(1/'Metadata'!$B$5)^(C12-1))</x:f>
        <x:v>688.6176624892541</x:v>
      </x:c>
      <x:c r="E12" s="31" t="n">
        <x:f>IF(B12=0,"",B12*D12)</x:f>
        <x:v>33454.1632708648</x:v>
      </x:c>
    </x:row>
    <x:row r="13" ht="18" customHeight="1">
      <x:c r="A13" s="24" t="str">
        <x:v>Tuna &amp; billfishes</x:v>
      </x:c>
      <x:c r="B13" s="31" t="n">
        <x:v>20.1880613759</x:v>
      </x:c>
      <x:c r="C13" s="32" t="n">
        <x:v>4.386518213992408</x:v>
      </x:c>
      <x:c r="D13" s="32" t="n">
        <x:f>IF(C13="","",(1/'Metadata'!$B$5)^(C13-1))</x:f>
        <x:v>2435.107924452896</x:v>
      </x:c>
      <x:c r="E13" s="31" t="n">
        <x:f>IF(B13=0,"",B13*D13)</x:f>
        <x:v>49160.108235795524</x:v>
      </x:c>
    </x:row>
  </x:sheetData>
  <x:pageMargins left="0.7" right="0.7" top="0.75" bottom="0.75" header="0.3" footer="0.3"/>
  <x:tableParts count="1">
    <x:tablePart xmlns:r="http://schemas.openxmlformats.org/officeDocument/2006/relationships" r:id="Rda29da58a2554ee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32.341789116899996</x:v>
      </x:c>
      <x:c r="C2" s="32" t="n">
        <x:v>4.1445574675515395</x:v>
      </x:c>
      <x:c r="D2" s="32" t="n">
        <x:f>IF(C2="","",(1/'Metadata'!$B$5)^(C2-1))</x:f>
        <x:v>1394.9462301918802</x:v>
      </x:c>
      <x:c r="E2" s="31" t="n">
        <x:f>IF(B2=0,"",B2*D2)</x:f>
        <x:v>45115.05680628043</x:v>
      </x:c>
    </x:row>
    <x:row r="3" ht="18" customHeight="1">
      <x:c r="A3" s="24" t="str">
        <x:v>Large bathydemersals (&gt;=90 cm)</x:v>
      </x:c>
      <x:c r="B3" s="31" t="n">
        <x:v>2.1497745477</x:v>
      </x:c>
      <x:c r="C3" s="32" t="n">
        <x:v>4.120983646459235</x:v>
      </x:c>
      <x:c r="D3" s="32" t="n">
        <x:f>IF(C3="","",(1/'Metadata'!$B$5)^(C3-1))</x:f>
        <x:v>1321.245881182347</x:v>
      </x:c>
      <x:c r="E3" s="31" t="n">
        <x:f>IF(B3=0,"",B3*D3)</x:f>
        <x:v>2840.3807666192674</x:v>
      </x:c>
    </x:row>
    <x:row r="4" ht="18" customHeight="1">
      <x:c r="A4" s="24" t="str">
        <x:v>Large benthopelagics (&gt;=90 cm)</x:v>
      </x:c>
      <x:c r="B4" s="31" t="n">
        <x:v>138.1729541797</x:v>
      </x:c>
      <x:c r="C4" s="32" t="n">
        <x:v>4.347261604090828</x:v>
      </x:c>
      <x:c r="D4" s="32" t="n">
        <x:f>IF(C4="","",(1/'Metadata'!$B$5)^(C4-1))</x:f>
        <x:v>2224.6495396638916</x:v>
      </x:c>
      <x:c r="E4" s="31" t="n">
        <x:f>IF(B4=0,"",B4*D4)</x:f>
        <x:v>307386.3989098696</x:v>
      </x:c>
    </x:row>
    <x:row r="5" ht="18" customHeight="1">
      <x:c r="A5" s="24" t="str">
        <x:v>Large demersals (&gt;=90 cm)</x:v>
      </x:c>
      <x:c r="B5" s="31" t="n">
        <x:v>39.1858327573</x:v>
      </x:c>
      <x:c r="C5" s="32" t="n">
        <x:v>4.1646784885267465</x:v>
      </x:c>
      <x:c r="D5" s="32" t="n">
        <x:f>IF(C5="","",(1/'Metadata'!$B$5)^(C5-1))</x:f>
        <x:v>1461.095114268864</x:v>
      </x:c>
      <x:c r="E5" s="31" t="n">
        <x:f>IF(B5=0,"",B5*D5)</x:f>
        <x:v>57254.22879024784</x:v>
      </x:c>
    </x:row>
    <x:row r="6" ht="18" customHeight="1">
      <x:c r="A6" s="24" t="str">
        <x:v>Large flatfishes (&gt;=90 cm)</x:v>
      </x:c>
      <x:c r="B6" s="31" t="n">
        <x:v>0.19999999999999998</x:v>
      </x:c>
      <x:c r="C6" s="32" t="n">
        <x:v>4.36</x:v>
      </x:c>
      <x:c r="D6" s="32" t="n">
        <x:f>IF(C6="","",(1/'Metadata'!$B$5)^(C6-1))</x:f>
        <x:v>2290.867652767775</x:v>
      </x:c>
      <x:c r="E6" s="31" t="n">
        <x:f>IF(B6=0,"",B6*D6)</x:f>
        <x:v>458.17353055355494</x:v>
      </x:c>
    </x:row>
    <x:row r="7" ht="18" customHeight="1">
      <x:c r="A7" s="24" t="str">
        <x:v>Large pelagics (&gt;=90 cm)</x:v>
      </x:c>
      <x:c r="B7" s="31" t="n">
        <x:v>21.3055596231</x:v>
      </x:c>
      <x:c r="C7" s="32" t="n">
        <x:v>4.386146862642274</x:v>
      </x:c>
      <x:c r="D7" s="32" t="n">
        <x:f>IF(C7="","",(1/'Metadata'!$B$5)^(C7-1))</x:f>
        <x:v>2433.026631338302</x:v>
      </x:c>
      <x:c r="E7" s="31" t="n">
        <x:f>IF(B7=0,"",B7*D7)</x:f>
        <x:v>51836.99395856834</x:v>
      </x:c>
    </x:row>
    <x:row r="8" ht="18" customHeight="1">
      <x:c r="A8" s="24" t="str">
        <x:v>Large rays (&gt;=90 cm)</x:v>
      </x:c>
      <x:c r="B8" s="31" t="n">
        <x:v>27.001043307099998</x:v>
      </x:c>
      <x:c r="C8" s="32" t="n">
        <x:v>3.7560100267169805</x:v>
      </x:c>
      <x:c r="D8" s="32" t="n">
        <x:f>IF(C8="","",(1/'Metadata'!$B$5)^(C8-1))</x:f>
        <x:v>570.1774360256788</x:v>
      </x:c>
      <x:c r="E8" s="31" t="n">
        <x:f>IF(B8=0,"",B8*D8)</x:f>
        <x:v>15395.385642860592</x:v>
      </x:c>
    </x:row>
    <x:row r="9" ht="18" customHeight="1">
      <x:c r="A9" s="24" t="str">
        <x:v>Large reef assoc. fish (&gt;=90 cm)</x:v>
      </x:c>
      <x:c r="B9" s="31" t="n">
        <x:v>45.5672873209</x:v>
      </x:c>
      <x:c r="C9" s="32" t="n">
        <x:v>4.038112144868221</x:v>
      </x:c>
      <x:c r="D9" s="32" t="n">
        <x:f>IF(C9="","",(1/'Metadata'!$B$5)^(C9-1))</x:f>
        <x:v>1091.7222079491885</x:v>
      </x:c>
      <x:c r="E9" s="31" t="n">
        <x:f>IF(B9=0,"",B9*D9)</x:f>
        <x:v>49746.81952422801</x:v>
      </x:c>
    </x:row>
    <x:row r="10" ht="18" customHeight="1">
      <x:c r="A10" s="24" t="str">
        <x:v>Large sharks (&gt;=90 cm)</x:v>
      </x:c>
      <x:c r="B10" s="31" t="n">
        <x:v>6.0963260234</x:v>
      </x:c>
      <x:c r="C10" s="32" t="n">
        <x:v>4.218114390992726</x:v>
      </x:c>
      <x:c r="D10" s="32" t="n">
        <x:f>IF(C10="","",(1/'Metadata'!$B$5)^(C10-1))</x:f>
        <x:v>1652.3969740070233</x:v>
      </x:c>
      <x:c r="E10" s="31" t="n">
        <x:f>IF(B10=0,"",B10*D10)</x:f>
        <x:v>10073.550673626429</x:v>
      </x:c>
    </x:row>
    <x:row r="11" ht="18" customHeight="1">
      <x:c r="A11" s="24" t="str">
        <x:v>Lobsters, crabs</x:v>
      </x:c>
      <x:c r="B11" s="31" t="n">
        <x:v>117.37310451389999</x:v>
      </x:c>
      <x:c r="C11" s="32" t="n">
        <x:v>3.096027232046173</x:v>
      </x:c>
      <x:c r="D11" s="32" t="n">
        <x:f>IF(C11="","",(1/'Metadata'!$B$5)^(C11-1))</x:f>
        <x:v>124.74617327602961</x:v>
      </x:c>
      <x:c r="E11" s="31" t="n">
        <x:f>IF(B11=0,"",B11*D11)</x:f>
        <x:v>14641.845633636502</x:v>
      </x:c>
    </x:row>
    <x:row r="12" ht="18" customHeight="1">
      <x:c r="A12" s="24" t="str">
        <x:v>Medium bathydemersals (30 - 89 cm)</x:v>
      </x:c>
      <x:c r="B12" s="31" t="n">
        <x:v>29.1420306671</x:v>
      </x:c>
      <x:c r="C12" s="32" t="n">
        <x:v>3.9259359359548784</x:v>
      </x:c>
      <x:c r="D12" s="32" t="n">
        <x:f>IF(C12="","",(1/'Metadata'!$B$5)^(C12-1))</x:f>
        <x:v>843.2103641706453</x:v>
      </x:c>
      <x:c r="E12" s="31" t="n">
        <x:f>IF(B12=0,"",B12*D12)</x:f>
        <x:v>24572.862291477504</x:v>
      </x:c>
    </x:row>
    <x:row r="13" ht="18" customHeight="1">
      <x:c r="A13" s="24" t="str">
        <x:v>Medium bathypelagics (30 - 89 cm)</x:v>
      </x:c>
      <x:c r="B13" s="31" t="n">
        <x:v>0.026464519199999998</x:v>
      </x:c>
      <x:c r="C13" s="32" t="n">
        <x:v>4.08</x:v>
      </x:c>
      <x:c r="D13" s="32" t="n">
        <x:f>IF(C13="","",(1/'Metadata'!$B$5)^(C13-1))</x:f>
        <x:v>1202.2644346174131</x:v>
      </x:c>
      <x:c r="E13" s="31" t="n">
        <x:f>IF(B13=0,"",B13*D13)</x:f>
        <x:v>31.81735021340967</x:v>
      </x:c>
    </x:row>
    <x:row r="14" ht="18" customHeight="1">
      <x:c r="A14" s="24" t="str">
        <x:v>Medium benthopelagics (30 - 89 cm)</x:v>
      </x:c>
      <x:c r="B14" s="31" t="n">
        <x:v>368.2875963816</x:v>
      </x:c>
      <x:c r="C14" s="32" t="n">
        <x:v>3.4802345679991746</x:v>
      </x:c>
      <x:c r="D14" s="32" t="n">
        <x:f>IF(C14="","",(1/'Metadata'!$B$5)^(C14-1))</x:f>
        <x:v>302.15832754879426</x:v>
      </x:c>
      <x:c r="E14" s="31" t="n">
        <x:f>IF(B14=0,"",B14*D14)</x:f>
        <x:v>111281.16417962963</x:v>
      </x:c>
    </x:row>
    <x:row r="15" ht="18" customHeight="1">
      <x:c r="A15" s="24" t="str">
        <x:v>Medium demersals (30 - 89 cm)</x:v>
      </x:c>
      <x:c r="B15" s="31" t="n">
        <x:v>394.8579515300999</x:v>
      </x:c>
      <x:c r="C15" s="32" t="n">
        <x:v>3.2749412130103663</x:v>
      </x:c>
      <x:c r="D15" s="32" t="n">
        <x:f>IF(C15="","",(1/'Metadata'!$B$5)^(C15-1))</x:f>
        <x:v>188.33941321512782</x:v>
      </x:c>
      <x:c r="E15" s="31" t="n">
        <x:f>IF(B15=0,"",B15*D15)</x:f>
        <x:v>74367.3148945064</x:v>
      </x:c>
    </x:row>
    <x:row r="16" ht="18" customHeight="1">
      <x:c r="A16" s="24" t="str">
        <x:v>Medium pelagics (30 - 89 cm)</x:v>
      </x:c>
      <x:c r="B16" s="31" t="n">
        <x:v>51.0573210507</x:v>
      </x:c>
      <x:c r="C16" s="32" t="n">
        <x:v>3.6818513707205307</x:v>
      </x:c>
      <x:c r="D16" s="32" t="n">
        <x:f>IF(C16="","",(1/'Metadata'!$B$5)^(C16-1))</x:f>
        <x:v>480.6748182031456</x:v>
      </x:c>
      <x:c r="E16" s="31" t="n">
        <x:f>IF(B16=0,"",B16*D16)</x:f>
        <x:v>24541.96851398486</x:v>
      </x:c>
    </x:row>
    <x:row r="17" ht="18" customHeight="1">
      <x:c r="A17" s="24" t="str">
        <x:v>Medium reef assoc. fish (30 - 89 cm)</x:v>
      </x:c>
      <x:c r="B17" s="31" t="n">
        <x:v>152.57739637179998</x:v>
      </x:c>
      <x:c r="C17" s="32" t="n">
        <x:v>3.672879151431957</x:v>
      </x:c>
      <x:c r="D17" s="32" t="n">
        <x:f>IF(C17="","",(1/'Metadata'!$B$5)^(C17-1))</x:f>
        <x:v>470.84628854219926</x:v>
      </x:c>
      <x:c r="E17" s="31" t="n">
        <x:f>IF(B17=0,"",B17*D17)</x:f>
        <x:v>71840.50079709404</x:v>
      </x:c>
    </x:row>
    <x:row r="18" ht="18" customHeight="1">
      <x:c r="A18" s="24" t="str">
        <x:v>Other demersal invertebrates</x:v>
      </x:c>
      <x:c r="B18" s="31" t="n">
        <x:v>60.645933657</x:v>
      </x:c>
      <x:c r="C18" s="32" t="n">
        <x:v>2.27758550175403</x:v>
      </x:c>
      <x:c r="D18" s="32" t="n">
        <x:f>IF(C18="","",(1/'Metadata'!$B$5)^(C18-1))</x:f>
        <x:v>18.9489653551329</x:v>
      </x:c>
      <x:c r="E18" s="31" t="n">
        <x:f>IF(B18=0,"",B18*D18)</x:f>
        <x:v>1149.1776957961813</x:v>
      </x:c>
    </x:row>
    <x:row r="19" ht="18" customHeight="1">
      <x:c r="A19" s="24" t="str">
        <x:v>Shrimps</x:v>
      </x:c>
      <x:c r="B19" s="31" t="n">
        <x:v>12.5348712085</x:v>
      </x:c>
      <x:c r="C19" s="32" t="n">
        <x:v>2.9542211740149456</x:v>
      </x:c>
      <x:c r="D19" s="32" t="n">
        <x:f>IF(C19="","",(1/'Metadata'!$B$5)^(C19-1))</x:f>
        <x:v>89.99557871189081</x:v>
      </x:c>
      <x:c r="E19" s="31" t="n">
        <x:f>IF(B19=0,"",B19*D19)</x:f>
        <x:v>1128.0829884879756</x:v>
      </x:c>
    </x:row>
    <x:row r="20" ht="18" customHeight="1">
      <x:c r="A20" s="24" t="str">
        <x:v>Small benthopelagics (&lt;30 cm)</x:v>
      </x:c>
      <x:c r="B20" s="31" t="n">
        <x:v>1.2532925194</x:v>
      </x:c>
      <x:c r="C20" s="32" t="n">
        <x:v>3.40074535640925</x:v>
      </x:c>
      <x:c r="D20" s="32" t="n">
        <x:f>IF(C20="","",(1/'Metadata'!$B$5)^(C20-1))</x:f>
        <x:v>251.6201149449818</x:v>
      </x:c>
      <x:c r="E20" s="31" t="n">
        <x:f>IF(B20=0,"",B20*D20)</x:f>
        <x:v>315.3536077911138</x:v>
      </x:c>
    </x:row>
    <x:row r="21" ht="18" customHeight="1">
      <x:c r="A21" s="24" t="str">
        <x:v>Small demersals (&lt;30 cm)</x:v>
      </x:c>
      <x:c r="B21" s="31" t="n">
        <x:v>31.960949492100003</x:v>
      </x:c>
      <x:c r="C21" s="32" t="n">
        <x:v>3.5737030871020665</x:v>
      </x:c>
      <x:c r="D21" s="32" t="n">
        <x:f>IF(C21="","",(1/'Metadata'!$B$5)^(C21-1))</x:f>
        <x:v>374.7167331095855</x:v>
      </x:c>
      <x:c r="E21" s="31" t="n">
        <x:f>IF(B21=0,"",B21*D21)</x:f>
        <x:v>11976.302580760179</x:v>
      </x:c>
    </x:row>
    <x:row r="22" ht="18" customHeight="1">
      <x:c r="A22" s="24" t="str">
        <x:v>Small pelagics (&lt;30 cm)</x:v>
      </x:c>
      <x:c r="B22" s="31" t="n">
        <x:v>7.026850918099999</x:v>
      </x:c>
      <x:c r="C22" s="32" t="n">
        <x:v>3.138315448696299</x:v>
      </x:c>
      <x:c r="D22" s="32" t="n">
        <x:f>IF(C22="","",(1/'Metadata'!$B$5)^(C22-1))</x:f>
        <x:v>137.5040369465581</x:v>
      </x:c>
      <x:c r="E22" s="31" t="n">
        <x:f>IF(B22=0,"",B22*D22)</x:f>
        <x:v>966.220368260378</x:v>
      </x:c>
    </x:row>
    <x:row r="23" ht="18" customHeight="1">
      <x:c r="A23" s="24" t="str">
        <x:v>Small to medium flatfishes (&lt;90 cm)</x:v>
      </x:c>
      <x:c r="B23" s="31" t="n">
        <x:v>10.7770763705</x:v>
      </x:c>
      <x:c r="C23" s="32" t="n">
        <x:v>3.467756800927181</x:v>
      </x:c>
      <x:c r="D23" s="32" t="n">
        <x:f>IF(C23="","",(1/'Metadata'!$B$5)^(C23-1))</x:f>
        <x:v>293.60050681547074</x:v>
      </x:c>
      <x:c r="E23" s="31" t="n">
        <x:f>IF(B23=0,"",B23*D23)</x:f>
        <x:v>3164.1550843678338</x:v>
      </x:c>
    </x:row>
    <x:row r="24" ht="18" customHeight="1">
      <x:c r="A24" s="24" t="str">
        <x:v>Small to medium rays (&lt;90 cm)</x:v>
      </x:c>
      <x:c r="B24" s="31" t="n">
        <x:v>4.4305708932</x:v>
      </x:c>
      <x:c r="C24" s="32" t="n">
        <x:v>3.793228863565632</x:v>
      </x:c>
      <x:c r="D24" s="32" t="n">
        <x:f>IF(C24="","",(1/'Metadata'!$B$5)^(C24-1))</x:f>
        <x:v>621.1963046738246</x:v>
      </x:c>
      <x:c r="E24" s="31" t="n">
        <x:f>IF(B24=0,"",B24*D24)</x:f>
        <x:v>2752.254266451246</x:v>
      </x:c>
    </x:row>
    <x:row r="25" ht="18" customHeight="1">
      <x:c r="A25" s="24" t="str">
        <x:v>Small to medium sharks (&lt;90 cm)</x:v>
      </x:c>
      <x:c r="B25" s="31" t="n">
        <x:v>11.053682196399999</x:v>
      </x:c>
      <x:c r="C25" s="32" t="n">
        <x:v>3.846487138422286</x:v>
      </x:c>
      <x:c r="D25" s="32" t="n">
        <x:f>IF(C25="","",(1/'Metadata'!$B$5)^(C25-1))</x:f>
        <x:v>702.2425466010893</x:v>
      </x:c>
      <x:c r="E25" s="31" t="n">
        <x:f>IF(B25=0,"",B25*D25)</x:f>
        <x:v>7762.3659349190575</x:v>
      </x:c>
    </x:row>
  </x:sheetData>
  <x:pageMargins left="0.7" right="0.7" top="0.75" bottom="0.75" header="0.3" footer="0.3"/>
  <x:tableParts count="1">
    <x:tablePart xmlns:r="http://schemas.openxmlformats.org/officeDocument/2006/relationships" r:id="Rb45fa483f5114bb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EEZ_899</x:v>
      </x:c>
      <x:c r="B2" s="24" t="str">
        <x:v>raw_filtered_tonnes</x:v>
      </x:c>
      <x:c r="C2" s="24" t="n">
        <x:v>1565.0256591656998</x:v>
      </x:c>
      <x:c r="D2" s="24" t="str">
        <x:v>tonnes</x:v>
      </x:c>
    </x:row>
    <x:row r="3" ht="18" customHeight="1">
      <x:c r="A3" s="24" t="str">
        <x:v>EEZ_899</x:v>
      </x:c>
      <x:c r="B3" s="24" t="str">
        <x:v>species_catch_tonnes</x:v>
      </x:c>
      <x:c r="C3" s="24" t="n">
        <x:v>1565.0256591657</x:v>
      </x:c>
      <x:c r="D3" s="24" t="str">
        <x:v>tonnes</x:v>
      </x:c>
    </x:row>
    <x:row r="4" ht="18" customHeight="1">
      <x:c r="A4" s="24" t="str">
        <x:v>EEZ_899</x:v>
      </x:c>
      <x:c r="B4" s="24" t="str">
        <x:v>catch_difference_tonnes</x:v>
      </x:c>
      <x:c r="C4" s="24" t="n">
        <x:v>2.2737367544323206e-13</x:v>
      </x:c>
      <x:c r="D4" s="24" t="str">
        <x:v>tonnes</x:v>
      </x:c>
    </x:row>
    <x:row r="5" ht="18" customHeight="1">
      <x:c r="A5" s="24" t="str">
        <x:v>EEZ_899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EEZ_899</x:v>
      </x:c>
      <x:c r="B6" s="24" t="str">
        <x:v>matched_catch_tonnes</x:v>
      </x:c>
      <x:c r="C6" s="24" t="n">
        <x:v>1565.0256591657</x:v>
      </x:c>
      <x:c r="D6" s="24" t="str">
        <x:v>tonnes</x:v>
      </x:c>
    </x:row>
    <x:row r="7" ht="18" customHeight="1">
      <x:c r="A7" s="24" t="str">
        <x:v>EEZ_899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EEZ_899</x:v>
      </x:c>
      <x:c r="B8" s="24" t="str">
        <x:v>taxa_count</x:v>
      </x:c>
      <x:c r="C8" s="24" t="n">
        <x:v>114</x:v>
      </x:c>
      <x:c r="D8" s="24" t="str">
        <x:v>count</x:v>
      </x:c>
    </x:row>
    <x:row r="9" ht="18" customHeight="1">
      <x:c r="A9" s="24" t="str">
        <x:v>EEZ_899</x:v>
      </x:c>
      <x:c r="B9" s="24" t="str">
        <x:v>matched_taxa_count</x:v>
      </x:c>
      <x:c r="C9" s="24" t="n">
        <x:v>114</x:v>
      </x:c>
      <x:c r="D9" s="24" t="str">
        <x:v>count</x:v>
      </x:c>
    </x:row>
    <x:row r="10" ht="18" customHeight="1">
      <x:c r="A10" s="24" t="str">
        <x:v>EEZ_899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EEZ_899</x:v>
      </x:c>
      <x:c r="B11" s="24" t="str">
        <x:v>species_ppr</x:v>
      </x:c>
      <x:c r="C11" s="24" t="n">
        <x:v>1161094.7737815653</x:v>
      </x:c>
      <x:c r="D11" s="24" t="str">
        <x:v>tonnes_primary_production_equivalent</x:v>
      </x:c>
    </x:row>
    <x:row r="12" ht="18" customHeight="1">
      <x:c r="A12" s="24" t="str">
        <x:v>EEZ_899</x:v>
      </x:c>
      <x:c r="B12" s="24" t="str">
        <x:v>commercial_ppr</x:v>
      </x:c>
      <x:c r="C12" s="24" t="n">
        <x:v>672221.425033969</x:v>
      </x:c>
      <x:c r="D12" s="24" t="str">
        <x:v>tonnes_primary_production_equivalent</x:v>
      </x:c>
    </x:row>
    <x:row r="13" ht="18" customHeight="1">
      <x:c r="A13" s="24" t="str">
        <x:v>EEZ_899</x:v>
      </x:c>
      <x:c r="B13" s="24" t="str">
        <x:v>functional_ppr</x:v>
      </x:c>
      <x:c r="C13" s="24" t="n">
        <x:v>890598.3747902303</x:v>
      </x:c>
      <x:c r="D13" s="24" t="str">
        <x:v>tonnes_primary_production_equivalent</x:v>
      </x:c>
    </x:row>
    <x:row r="14" ht="18" customHeight="1">
      <x:c r="A14" s="24" t="str">
        <x:v>EEZ_899</x:v>
      </x:c>
      <x:c r="B14" s="24" t="str">
        <x:v>commercial_ppr_difference</x:v>
      </x:c>
      <x:c r="C14" s="24" t="n">
        <x:v>-488873.34874759626</x:v>
      </x:c>
      <x:c r="D14" s="24" t="str">
        <x:v>tonnes_primary_production_equivalent</x:v>
      </x:c>
    </x:row>
    <x:row r="15" ht="18" customHeight="1">
      <x:c r="A15" s="24" t="str">
        <x:v>EEZ_899</x:v>
      </x:c>
      <x:c r="B15" s="24" t="str">
        <x:v>functional_ppr_difference</x:v>
      </x:c>
      <x:c r="C15" s="24" t="n">
        <x:v>-270496.39899133495</x:v>
      </x:c>
      <x:c r="D15" s="24" t="str">
        <x:v>tonnes_primary_production_equivalent</x:v>
      </x:c>
    </x:row>
    <x:row r="16" ht="18" customHeight="1">
      <x:c r="A16" s="24" t="str">
        <x:v>EEZ_899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EEZ_899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a9054c737e648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EEZ_899 - Corsica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EEZ_899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raw_data/SAU_downloads/EEZ_899-catch.zip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