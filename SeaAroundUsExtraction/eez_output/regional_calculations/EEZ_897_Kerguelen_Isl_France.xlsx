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11dc76a13145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6d7524168b734708"/>
    <x:sheet xmlns:r="http://schemas.openxmlformats.org/officeDocument/2006/relationships" name="Commercial" sheetId="2" r:id="R33cc328ac45b43eb"/>
    <x:sheet xmlns:r="http://schemas.openxmlformats.org/officeDocument/2006/relationships" name="Functional" sheetId="3" r:id="R5b793fc791d745c1"/>
    <x:sheet xmlns:r="http://schemas.openxmlformats.org/officeDocument/2006/relationships" name="Missing TL" sheetId="4" r:id="Raa1a4c13ba864d57"/>
    <x:sheet xmlns:r="http://schemas.openxmlformats.org/officeDocument/2006/relationships" name="Validation" sheetId="5" r:id="Ra652bde8f173409d"/>
    <x:sheet xmlns:r="http://schemas.openxmlformats.org/officeDocument/2006/relationships" name="Metadata" sheetId="6" r:id="Rdbae75883e2644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8bb602a3534795" /><Relationship Type="http://schemas.openxmlformats.org/officeDocument/2006/relationships/theme" Target="/xl/theme/theme1.xml" Id="Re02197c476ea4f5d" /><Relationship Type="http://schemas.microsoft.com/office/2022/11/relationships/FeaturePropertyBag" Target="/xl/featurePropertyBag/featurePropertyBag.xml" Id="R3e4af791ad1c4a7d" /><Relationship Type="http://schemas.openxmlformats.org/officeDocument/2006/relationships/sharedStrings" Target="/xl/sharedStrings.xml" Id="Rd9205b4f9aeb4484" /><Relationship Type="http://schemas.openxmlformats.org/officeDocument/2006/relationships/worksheet" Target="/xl/worksheets/sheet1.xml" Id="R6d7524168b734708" /><Relationship Type="http://schemas.openxmlformats.org/officeDocument/2006/relationships/worksheet" Target="/xl/worksheets/sheet2.xml" Id="R33cc328ac45b43eb" /><Relationship Type="http://schemas.openxmlformats.org/officeDocument/2006/relationships/worksheet" Target="/xl/worksheets/sheet3.xml" Id="R5b793fc791d745c1" /><Relationship Type="http://schemas.openxmlformats.org/officeDocument/2006/relationships/worksheet" Target="/xl/worksheets/sheet4.xml" Id="Raa1a4c13ba864d57" /><Relationship Type="http://schemas.openxmlformats.org/officeDocument/2006/relationships/worksheet" Target="/xl/worksheets/sheet5.xml" Id="Ra652bde8f173409d" /><Relationship Type="http://schemas.openxmlformats.org/officeDocument/2006/relationships/worksheet" Target="/xl/worksheets/sheet6.xml" Id="Rdbae75883e2644f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897SpeciesTable" displayName="EEZ897SpeciesTable" ref="A1:U7" headerRowCount="1" totalsRowCount="0" totalsRowShown="0">
  <x:autoFilter ref="A1:U7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897CommercialTable" displayName="EEZ897CommercialTable" ref="A1:O4" headerRowCount="1" totalsRowCount="0" totalsRowShown="0">
  <x:autoFilter ref="A1:O4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897FunctionalTable" displayName="EEZ897FunctionalTable" ref="A1:O7" headerRowCount="1" totalsRowCount="0" totalsRowShown="0">
  <x:autoFilter ref="A1:O7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897ValidationTable" displayName="EEZ897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a76860e1e194e0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b5e83b5a7124bb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08b6c8b1b9e4ed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9b9d3c46cf8406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EEZ_897</x:v>
      </x:c>
      <x:c r="B2" s="24" t="str">
        <x:v>Kerguelen Isl. (France)</x:v>
      </x:c>
      <x:c r="C2" s="24" t="str">
        <x:v>EEZ</x:v>
      </x:c>
      <x:c r="D2" s="30" t="n">
        <x:v>2019</x:v>
      </x:c>
      <x:c r="E2" s="24" t="str">
        <x:v>Dissostichus eleginoides</x:v>
      </x:c>
      <x:c r="F2" s="24" t="str">
        <x:v>Patagonian toothfish</x:v>
      </x:c>
      <x:c r="G2" s="24" t="str">
        <x:v>Large bathydemersals (&gt;=90 cm)</x:v>
      </x:c>
      <x:c r="H2" s="24" t="str">
        <x:v>Perch-likes</x:v>
      </x:c>
      <x:c r="I2" s="31" t="n">
        <x:v>5062.846656</x:v>
      </x:c>
      <x:c r="J2" s="31" t="n">
        <x:v>5062.846656</x:v>
      </x:c>
      <x:c r="K2" s="31" t="n">
        <x:v>0</x:v>
      </x:c>
      <x:c r="L2" s="31" t="n">
        <x:v>5062.846656</x:v>
      </x:c>
      <x:c r="M2" s="31" t="n">
        <x:v>0</x:v>
      </x:c>
      <x:c r="N2" s="24" t="str">
        <x:v>dissostichus eleginoides</x:v>
      </x:c>
      <x:c r="O2" s="32" t="n">
        <x:v>3.96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Dissostichus eleginoides</x:v>
      </x:c>
      <x:c r="T2" s="32" t="n">
        <x:f>IF(O2="","",(1/'Metadata'!$B$5)^(O2-1))</x:f>
        <x:v>912.0108393559096</x:v>
      </x:c>
      <x:c r="U2" s="31" t="n">
        <x:f>IF(T2="","",I2*T2)</x:f>
        <x:v>4617371.02826882</x:v>
      </x:c>
    </x:row>
    <x:row r="3" ht="18" customHeight="1">
      <x:c r="A3" s="24" t="str">
        <x:v>EEZ_897</x:v>
      </x:c>
      <x:c r="B3" s="24" t="str">
        <x:v>Kerguelen Isl. (France)</x:v>
      </x:c>
      <x:c r="C3" s="24" t="str">
        <x:v>EEZ</x:v>
      </x:c>
      <x:c r="D3" s="30" t="n">
        <x:v>2019</x:v>
      </x:c>
      <x:c r="E3" s="24" t="str">
        <x:v>Macrourus</x:v>
      </x:c>
      <x:c r="F3" s="24" t="str">
        <x:v>Rattails</x:v>
      </x:c>
      <x:c r="G3" s="24" t="str">
        <x:v>Medium benthopelagics (30 - 89 cm)</x:v>
      </x:c>
      <x:c r="H3" s="24" t="str">
        <x:v>Cod-likes</x:v>
      </x:c>
      <x:c r="I3" s="31" t="n">
        <x:v>472.728095</x:v>
      </x:c>
      <x:c r="J3" s="31" t="n">
        <x:v>472.728095</x:v>
      </x:c>
      <x:c r="K3" s="31" t="n">
        <x:v>0</x:v>
      </x:c>
      <x:c r="L3" s="31" t="n">
        <x:v>472.728095</x:v>
      </x:c>
      <x:c r="M3" s="31" t="n">
        <x:v>0</x:v>
      </x:c>
      <x:c r="N3" s="24" t="str">
        <x:v>macrourus</x:v>
      </x:c>
      <x:c r="O3" s="32" t="n">
        <x:v>3.58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Macrourus</x:v>
      </x:c>
      <x:c r="T3" s="32" t="n">
        <x:f>IF(O3="","",(1/'Metadata'!$B$5)^(O3-1))</x:f>
        <x:v>380.1893963205613</x:v>
      </x:c>
      <x:c r="U3" s="31" t="n">
        <x:f>IF(T3="","",I3*T3)</x:f>
        <x:v>179726.20906181895</x:v>
      </x:c>
    </x:row>
    <x:row r="4" ht="18" customHeight="1">
      <x:c r="A4" s="24" t="str">
        <x:v>EEZ_897</x:v>
      </x:c>
      <x:c r="B4" s="24" t="str">
        <x:v>Kerguelen Isl. (France)</x:v>
      </x:c>
      <x:c r="C4" s="24" t="str">
        <x:v>EEZ</x:v>
      </x:c>
      <x:c r="D4" s="30" t="n">
        <x:v>2019</x:v>
      </x:c>
      <x:c r="E4" s="24" t="str">
        <x:v>Antimora rostrata</x:v>
      </x:c>
      <x:c r="F4" s="24" t="str">
        <x:v>Blue antimora</x:v>
      </x:c>
      <x:c r="G4" s="24" t="str">
        <x:v>Medium bathypelagics (30 - 89 cm)</x:v>
      </x:c>
      <x:c r="H4" s="24" t="str">
        <x:v>Cod-likes</x:v>
      </x:c>
      <x:c r="I4" s="31" t="n">
        <x:v>42.5056</x:v>
      </x:c>
      <x:c r="J4" s="31" t="n">
        <x:v>0</x:v>
      </x:c>
      <x:c r="K4" s="31" t="n">
        <x:v>42.5056</x:v>
      </x:c>
      <x:c r="L4" s="31" t="n">
        <x:v>42.5056</x:v>
      </x:c>
      <x:c r="M4" s="31" t="n">
        <x:v>0</x:v>
      </x:c>
      <x:c r="N4" s="24" t="str">
        <x:v>antimora rostrata</x:v>
      </x:c>
      <x:c r="O4" s="32" t="n">
        <x:v>3.58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Antimora rostrata</x:v>
      </x:c>
      <x:c r="T4" s="32" t="n">
        <x:f>IF(O4="","",(1/'Metadata'!$B$5)^(O4-1))</x:f>
        <x:v>380.1893963205613</x:v>
      </x:c>
      <x:c r="U4" s="31" t="n">
        <x:f>IF(T4="","",I4*T4)</x:f>
        <x:v>16160.17840424325</x:v>
      </x:c>
    </x:row>
    <x:row r="5" ht="18" customHeight="1">
      <x:c r="A5" s="24" t="str">
        <x:v>EEZ_897</x:v>
      </x:c>
      <x:c r="B5" s="24" t="str">
        <x:v>Kerguelen Isl. (France)</x:v>
      </x:c>
      <x:c r="C5" s="24" t="str">
        <x:v>EEZ</x:v>
      </x:c>
      <x:c r="D5" s="30" t="n">
        <x:v>2019</x:v>
      </x:c>
      <x:c r="E5" s="24" t="str">
        <x:v>Bathyraja</x:v>
      </x:c>
      <x:c r="F5" s="24" t="str">
        <x:v>Deepwater stingrays/skates</x:v>
      </x:c>
      <x:c r="G5" s="24" t="str">
        <x:v>Small to medium rays (&lt;90 cm)</x:v>
      </x:c>
      <x:c r="H5" s="24" t="str">
        <x:v>Sharks &amp; rays</x:v>
      </x:c>
      <x:c r="I5" s="31" t="n">
        <x:v>15.056204000000001</x:v>
      </x:c>
      <x:c r="J5" s="31" t="n">
        <x:v>15.056204000000001</x:v>
      </x:c>
      <x:c r="K5" s="31" t="n">
        <x:v>0</x:v>
      </x:c>
      <x:c r="L5" s="31" t="n">
        <x:v>15.056204000000001</x:v>
      </x:c>
      <x:c r="M5" s="31" t="n">
        <x:v>0</x:v>
      </x:c>
      <x:c r="N5" s="24" t="str">
        <x:v>bathyraja</x:v>
      </x:c>
      <x:c r="O5" s="32" t="n">
        <x:v>3.64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Bathyraja</x:v>
      </x:c>
      <x:c r="T5" s="32" t="n">
        <x:f>IF(O5="","",(1/'Metadata'!$B$5)^(O5-1))</x:f>
        <x:v>436.5158322401661</x:v>
      </x:c>
      <x:c r="U5" s="31" t="n">
        <x:f>IF(T5="","",I5*T5)</x:f>
        <x:v>6572.271419437719</x:v>
      </x:c>
    </x:row>
    <x:row r="6" ht="18" customHeight="1">
      <x:c r="A6" s="24" t="str">
        <x:v>EEZ_897</x:v>
      </x:c>
      <x:c r="B6" s="24" t="str">
        <x:v>Kerguelen Isl. (France)</x:v>
      </x:c>
      <x:c r="C6" s="24" t="str">
        <x:v>EEZ</x:v>
      </x:c>
      <x:c r="D6" s="30" t="n">
        <x:v>2019</x:v>
      </x:c>
      <x:c r="E6" s="24" t="str">
        <x:v>Etmopterus</x:v>
      </x:c>
      <x:c r="F6" s="24" t="str">
        <x:v>Lanternsharks</x:v>
      </x:c>
      <x:c r="G6" s="24" t="str">
        <x:v>Small to medium sharks (&lt;90 cm)</x:v>
      </x:c>
      <x:c r="H6" s="24" t="str">
        <x:v>Sharks &amp; rays</x:v>
      </x:c>
      <x:c r="I6" s="31" t="n">
        <x:v>2.910348</x:v>
      </x:c>
      <x:c r="J6" s="31" t="n">
        <x:v>2.910348</x:v>
      </x:c>
      <x:c r="K6" s="31" t="n">
        <x:v>0</x:v>
      </x:c>
      <x:c r="L6" s="31" t="n">
        <x:v>2.910348</x:v>
      </x:c>
      <x:c r="M6" s="31" t="n">
        <x:v>0</x:v>
      </x:c>
      <x:c r="N6" s="24" t="str">
        <x:v>etmopterus</x:v>
      </x:c>
      <x:c r="O6" s="32" t="n">
        <x:v>4.02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Etmopterus</x:v>
      </x:c>
      <x:c r="T6" s="32" t="n">
        <x:f>IF(O6="","",(1/'Metadata'!$B$5)^(O6-1))</x:f>
        <x:v>1047.1285480508984</x:v>
      </x:c>
      <x:c r="U6" s="31" t="n">
        <x:f>IF(T6="","",I6*T6)</x:f>
        <x:v>3047.508475562836</x:v>
      </x:c>
    </x:row>
    <x:row r="7" ht="18" customHeight="1">
      <x:c r="A7" s="24" t="str">
        <x:v>EEZ_897</x:v>
      </x:c>
      <x:c r="B7" s="24" t="str">
        <x:v>Kerguelen Isl. (France)</x:v>
      </x:c>
      <x:c r="C7" s="24" t="str">
        <x:v>EEZ</x:v>
      </x:c>
      <x:c r="D7" s="30" t="n">
        <x:v>2019</x:v>
      </x:c>
      <x:c r="E7" s="24" t="str">
        <x:v>Squaliformes</x:v>
      </x:c>
      <x:c r="F7" s="24" t="str">
        <x:v>Bramble, sleeper, dogfish sharks</x:v>
      </x:c>
      <x:c r="G7" s="24" t="str">
        <x:v>Large sharks (&gt;=90 cm)</x:v>
      </x:c>
      <x:c r="H7" s="24" t="str">
        <x:v>Sharks &amp; rays</x:v>
      </x:c>
      <x:c r="I7" s="31" t="n">
        <x:v>0.022000000000000002</x:v>
      </x:c>
      <x:c r="J7" s="31" t="n">
        <x:v>0.022000000000000002</x:v>
      </x:c>
      <x:c r="K7" s="31" t="n">
        <x:v>0</x:v>
      </x:c>
      <x:c r="L7" s="31" t="n">
        <x:v>0.022000000000000002</x:v>
      </x:c>
      <x:c r="M7" s="31" t="n">
        <x:v>0</x:v>
      </x:c>
      <x:c r="N7" s="24" t="str">
        <x:v>squaliformes</x:v>
      </x:c>
      <x:c r="O7" s="32" t="n">
        <x:v>4.19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Squaliformes</x:v>
      </x:c>
      <x:c r="T7" s="32" t="n">
        <x:f>IF(O7="","",(1/'Metadata'!$B$5)^(O7-1))</x:f>
        <x:v>1548.8166189124827</x:v>
      </x:c>
      <x:c r="U7" s="31" t="n">
        <x:f>IF(T7="","",I7*T7)</x:f>
        <x:v>34.073965616074624</x:v>
      </x:c>
    </x:row>
  </x:sheetData>
  <x:conditionalFormatting sqref="R2:R7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8a76860e1e194e0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Cod-likes</x:v>
      </x:c>
      <x:c r="B2" s="33" t="n">
        <x:v>2</x:v>
      </x:c>
      <x:c r="C2" s="33" t="n">
        <x:v>2</x:v>
      </x:c>
      <x:c r="D2" s="31" t="n">
        <x:v>515.233695</x:v>
      </x:c>
      <x:c r="E2" s="31" t="n">
        <x:v>515.233695</x:v>
      </x:c>
      <x:c r="F2" s="32" t="n">
        <x:v>0</x:v>
      </x:c>
      <x:c r="G2" s="34" t="n">
        <x:v>1</x:v>
      </x:c>
      <x:c r="H2" s="32" t="n">
        <x:f>IF(E2=0,"",I2/E2)</x:f>
        <x:v>380.1893963205613</x:v>
      </x:c>
      <x:c r="I2" s="31" t="n">
        <x:f>IF(C2=0,"",SUMIF('Species'!$H$2:$H$7,A2,'Species'!$U$2:$U$7))</x:f>
        <x:v>195886.3874660622</x:v>
      </x:c>
      <x:c r="J2" s="32" t="n">
        <x:v>3.5799999999999996</x:v>
      </x:c>
      <x:c r="K2" s="32" t="n">
        <x:f>IF(J2="","",(1/'Metadata'!$B$5)^(J2-1))</x:f>
        <x:v>380.1893963205609</x:v>
      </x:c>
      <x:c r="L2" s="31" t="n">
        <x:f>IF(E2=0,"",E2*K2)</x:f>
        <x:v>195886.387466062</x:v>
      </x:c>
      <x:c r="M2" s="31" t="n">
        <x:f>IF(E2=0,"",I2-L2)</x:f>
        <x:v>2.0372681319713593e-10</x:v>
      </x:c>
      <x:c r="N2" s="32" t="n">
        <x:f>IF(L2=0,"",I2/L2)</x:f>
        <x:v>1.000000000000001</x:v>
      </x:c>
      <x:c r="O2" s="34" t="n">
        <x:f>IF(L2=0,"",M2/L2)</x:f>
        <x:v>1.040025373036359e-15</x:v>
      </x:c>
    </x:row>
    <x:row r="3" ht="18" customHeight="1">
      <x:c r="A3" s="24" t="str">
        <x:v>Perch-likes</x:v>
      </x:c>
      <x:c r="B3" s="33" t="n">
        <x:v>1</x:v>
      </x:c>
      <x:c r="C3" s="33" t="n">
        <x:v>1</x:v>
      </x:c>
      <x:c r="D3" s="31" t="n">
        <x:v>5062.846656</x:v>
      </x:c>
      <x:c r="E3" s="31" t="n">
        <x:v>5062.846656</x:v>
      </x:c>
      <x:c r="F3" s="32" t="n">
        <x:v>0</x:v>
      </x:c>
      <x:c r="G3" s="34" t="n">
        <x:v>1</x:v>
      </x:c>
      <x:c r="H3" s="32" t="n">
        <x:f>IF(E3=0,"",I3/E3)</x:f>
        <x:v>912.0108393559095</x:v>
      </x:c>
      <x:c r="I3" s="31" t="n">
        <x:f>IF(C3=0,"",SUMIF('Species'!$H$2:$H$7,A3,'Species'!$U$2:$U$7))</x:f>
        <x:v>4617371.02826882</x:v>
      </x:c>
      <x:c r="J3" s="32" t="n">
        <x:v>3.9600000000000004</x:v>
      </x:c>
      <x:c r="K3" s="32" t="n">
        <x:f>IF(J3="","",(1/'Metadata'!$B$5)^(J3-1))</x:f>
        <x:v>912.0108393559105</x:v>
      </x:c>
      <x:c r="L3" s="31" t="n">
        <x:f>IF(E3=0,"",E3*K3)</x:f>
        <x:v>4617371.028268824</x:v>
      </x:c>
      <x:c r="M3" s="31" t="n">
        <x:f>IF(E3=0,"",I3-L3)</x:f>
        <x:v>-4.6566128730773926e-9</x:v>
      </x:c>
      <x:c r="N3" s="32" t="n">
        <x:f>IF(L3=0,"",I3/L3)</x:f>
        <x:v>0.999999999999999</x:v>
      </x:c>
      <x:c r="O3" s="34" t="n">
        <x:f>IF(L3=0,"",M3/L3)</x:f>
        <x:v>-1.0084987419395839e-15</x:v>
      </x:c>
    </x:row>
    <x:row r="4" ht="18" customHeight="1">
      <x:c r="A4" s="24" t="str">
        <x:v>Sharks &amp; rays</x:v>
      </x:c>
      <x:c r="B4" s="33" t="n">
        <x:v>3</x:v>
      </x:c>
      <x:c r="C4" s="33" t="n">
        <x:v>3</x:v>
      </x:c>
      <x:c r="D4" s="31" t="n">
        <x:v>17.988552</x:v>
      </x:c>
      <x:c r="E4" s="31" t="n">
        <x:v>17.988552</x:v>
      </x:c>
      <x:c r="F4" s="32" t="n">
        <x:v>0</x:v>
      </x:c>
      <x:c r="G4" s="34" t="n">
        <x:v>1</x:v>
      </x:c>
      <x:c r="H4" s="32" t="n">
        <x:f>IF(E4=0,"",I4/E4)</x:f>
        <x:v>536.6665343945766</x:v>
      </x:c>
      <x:c r="I4" s="31" t="n">
        <x:f>IF(C4=0,"",SUMIF('Species'!$H$2:$H$7,A4,'Species'!$U$2:$U$7))</x:f>
        <x:v>9653.85386061663</x:v>
      </x:c>
      <x:c r="J4" s="32" t="n">
        <x:v>3.7021524311684457</x:v>
      </x:c>
      <x:c r="K4" s="32" t="n">
        <x:f>IF(J4="","",(1/'Metadata'!$B$5)^(J4-1))</x:f>
        <x:v>503.67736133673986</x:v>
      </x:c>
      <x:c r="L4" s="31" t="n">
        <x:f>IF(E4=0,"",E4*K4)</x:f>
        <x:v>9060.426405628734</x:v>
      </x:c>
      <x:c r="M4" s="31" t="n">
        <x:f>IF(E4=0,"",I4-L4)</x:f>
        <x:v>593.4274549878955</x:v>
      </x:c>
      <x:c r="N4" s="32" t="n">
        <x:f>IF(L4=0,"",I4/L4)</x:f>
        <x:v>1.0654966365180376</x:v>
      </x:c>
      <x:c r="O4" s="34" t="n">
        <x:f>IF(L4=0,"",M4/L4)</x:f>
        <x:v>0.06549663651803765</x:v>
      </x:c>
    </x:row>
  </x:sheetData>
  <x:conditionalFormatting sqref="G2:G4">
    <x:cfRule type="cellIs" dxfId="1" priority="1" operator="lessThan">
      <x:formula>0.9</x:formula>
    </x:cfRule>
  </x:conditionalFormatting>
  <x:conditionalFormatting sqref="O2:O4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9b5e83b5a7124bb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bathydemersals (&gt;=90 cm)</x:v>
      </x:c>
      <x:c r="B2" s="33" t="n">
        <x:v>1</x:v>
      </x:c>
      <x:c r="C2" s="33" t="n">
        <x:v>1</x:v>
      </x:c>
      <x:c r="D2" s="31" t="n">
        <x:v>5062.846656</x:v>
      </x:c>
      <x:c r="E2" s="31" t="n">
        <x:v>5062.846656</x:v>
      </x:c>
      <x:c r="F2" s="32" t="n">
        <x:v>0</x:v>
      </x:c>
      <x:c r="G2" s="34" t="n">
        <x:v>1</x:v>
      </x:c>
      <x:c r="H2" s="32" t="n">
        <x:f>IF(E2=0,"",I2/E2)</x:f>
        <x:v>912.0108393559095</x:v>
      </x:c>
      <x:c r="I2" s="31" t="n">
        <x:f>IF(C2=0,"",SUMIF('Species'!$G$2:$G$7,A2,'Species'!$U$2:$U$7))</x:f>
        <x:v>4617371.02826882</x:v>
      </x:c>
      <x:c r="J2" s="32" t="n">
        <x:v>3.9600000000000004</x:v>
      </x:c>
      <x:c r="K2" s="32" t="n">
        <x:f>IF(J2="","",(1/'Metadata'!$B$5)^(J2-1))</x:f>
        <x:v>912.0108393559105</x:v>
      </x:c>
      <x:c r="L2" s="31" t="n">
        <x:f>IF(E2=0,"",E2*K2)</x:f>
        <x:v>4617371.028268824</x:v>
      </x:c>
      <x:c r="M2" s="31" t="n">
        <x:f>IF(E2=0,"",I2-L2)</x:f>
        <x:v>-4.6566128730773926e-9</x:v>
      </x:c>
      <x:c r="N2" s="32" t="n">
        <x:f>IF(L2=0,"",I2/L2)</x:f>
        <x:v>0.999999999999999</x:v>
      </x:c>
      <x:c r="O2" s="34" t="n">
        <x:f>IF(L2=0,"",M2/L2)</x:f>
        <x:v>-1.0084987419395839e-15</x:v>
      </x:c>
    </x:row>
    <x:row r="3" ht="18" customHeight="1">
      <x:c r="A3" s="24" t="str">
        <x:v>Large sharks (&gt;=90 cm)</x:v>
      </x:c>
      <x:c r="B3" s="33" t="n">
        <x:v>1</x:v>
      </x:c>
      <x:c r="C3" s="33" t="n">
        <x:v>1</x:v>
      </x:c>
      <x:c r="D3" s="31" t="n">
        <x:v>0.022000000000000002</x:v>
      </x:c>
      <x:c r="E3" s="31" t="n">
        <x:v>0.022000000000000002</x:v>
      </x:c>
      <x:c r="F3" s="32" t="n">
        <x:v>0</x:v>
      </x:c>
      <x:c r="G3" s="34" t="n">
        <x:v>1</x:v>
      </x:c>
      <x:c r="H3" s="32" t="n">
        <x:f>IF(E3=0,"",I3/E3)</x:f>
        <x:v>1548.8166189124827</x:v>
      </x:c>
      <x:c r="I3" s="31" t="n">
        <x:f>IF(C3=0,"",SUMIF('Species'!$G$2:$G$7,A3,'Species'!$U$2:$U$7))</x:f>
        <x:v>34.073965616074624</x:v>
      </x:c>
      <x:c r="J3" s="32" t="n">
        <x:v>4.19</x:v>
      </x:c>
      <x:c r="K3" s="32" t="n">
        <x:f>IF(J3="","",(1/'Metadata'!$B$5)^(J3-1))</x:f>
        <x:v>1548.8166189124827</x:v>
      </x:c>
      <x:c r="L3" s="31" t="n">
        <x:f>IF(E3=0,"",E3*K3)</x:f>
        <x:v>34.073965616074624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Medium bathypelagics (30 - 89 cm)</x:v>
      </x:c>
      <x:c r="B4" s="33" t="n">
        <x:v>1</x:v>
      </x:c>
      <x:c r="C4" s="33" t="n">
        <x:v>1</x:v>
      </x:c>
      <x:c r="D4" s="31" t="n">
        <x:v>42.5056</x:v>
      </x:c>
      <x:c r="E4" s="31" t="n">
        <x:v>42.5056</x:v>
      </x:c>
      <x:c r="F4" s="32" t="n">
        <x:v>0</x:v>
      </x:c>
      <x:c r="G4" s="34" t="n">
        <x:v>1</x:v>
      </x:c>
      <x:c r="H4" s="32" t="n">
        <x:f>IF(E4=0,"",I4/E4)</x:f>
        <x:v>380.1893963205613</x:v>
      </x:c>
      <x:c r="I4" s="31" t="n">
        <x:f>IF(C4=0,"",SUMIF('Species'!$G$2:$G$7,A4,'Species'!$U$2:$U$7))</x:f>
        <x:v>16160.17840424325</x:v>
      </x:c>
      <x:c r="J4" s="32" t="n">
        <x:v>3.58</x:v>
      </x:c>
      <x:c r="K4" s="32" t="n">
        <x:f>IF(J4="","",(1/'Metadata'!$B$5)^(J4-1))</x:f>
        <x:v>380.1893963205613</x:v>
      </x:c>
      <x:c r="L4" s="31" t="n">
        <x:f>IF(E4=0,"",E4*K4)</x:f>
        <x:v>16160.17840424325</x:v>
      </x:c>
      <x:c r="M4" s="31" t="n">
        <x:f>IF(E4=0,"",I4-L4)</x:f>
        <x:v>0</x:v>
      </x:c>
      <x:c r="N4" s="32" t="n">
        <x:f>IF(L4=0,"",I4/L4)</x:f>
        <x:v>1</x:v>
      </x:c>
      <x:c r="O4" s="34" t="n">
        <x:f>IF(L4=0,"",M4/L4)</x:f>
        <x:v>0</x:v>
      </x:c>
    </x:row>
    <x:row r="5" ht="18" customHeight="1">
      <x:c r="A5" s="24" t="str">
        <x:v>Medium benthopelagics (30 - 89 cm)</x:v>
      </x:c>
      <x:c r="B5" s="33" t="n">
        <x:v>1</x:v>
      </x:c>
      <x:c r="C5" s="33" t="n">
        <x:v>1</x:v>
      </x:c>
      <x:c r="D5" s="31" t="n">
        <x:v>472.728095</x:v>
      </x:c>
      <x:c r="E5" s="31" t="n">
        <x:v>472.728095</x:v>
      </x:c>
      <x:c r="F5" s="32" t="n">
        <x:v>0</x:v>
      </x:c>
      <x:c r="G5" s="34" t="n">
        <x:v>1</x:v>
      </x:c>
      <x:c r="H5" s="32" t="n">
        <x:f>IF(E5=0,"",I5/E5)</x:f>
        <x:v>380.1893963205613</x:v>
      </x:c>
      <x:c r="I5" s="31" t="n">
        <x:f>IF(C5=0,"",SUMIF('Species'!$G$2:$G$7,A5,'Species'!$U$2:$U$7))</x:f>
        <x:v>179726.20906181895</x:v>
      </x:c>
      <x:c r="J5" s="32" t="n">
        <x:v>3.58</x:v>
      </x:c>
      <x:c r="K5" s="32" t="n">
        <x:f>IF(J5="","",(1/'Metadata'!$B$5)^(J5-1))</x:f>
        <x:v>380.1893963205613</x:v>
      </x:c>
      <x:c r="L5" s="31" t="n">
        <x:f>IF(E5=0,"",E5*K5)</x:f>
        <x:v>179726.20906181895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Small to medium rays (&lt;90 cm)</x:v>
      </x:c>
      <x:c r="B6" s="33" t="n">
        <x:v>1</x:v>
      </x:c>
      <x:c r="C6" s="33" t="n">
        <x:v>1</x:v>
      </x:c>
      <x:c r="D6" s="31" t="n">
        <x:v>15.056204000000001</x:v>
      </x:c>
      <x:c r="E6" s="31" t="n">
        <x:v>15.056204000000001</x:v>
      </x:c>
      <x:c r="F6" s="32" t="n">
        <x:v>0</x:v>
      </x:c>
      <x:c r="G6" s="34" t="n">
        <x:v>1</x:v>
      </x:c>
      <x:c r="H6" s="32" t="n">
        <x:f>IF(E6=0,"",I6/E6)</x:f>
        <x:v>436.5158322401661</x:v>
      </x:c>
      <x:c r="I6" s="31" t="n">
        <x:f>IF(C6=0,"",SUMIF('Species'!$G$2:$G$7,A6,'Species'!$U$2:$U$7))</x:f>
        <x:v>6572.271419437719</x:v>
      </x:c>
      <x:c r="J6" s="32" t="n">
        <x:v>3.64</x:v>
      </x:c>
      <x:c r="K6" s="32" t="n">
        <x:f>IF(J6="","",(1/'Metadata'!$B$5)^(J6-1))</x:f>
        <x:v>436.5158322401661</x:v>
      </x:c>
      <x:c r="L6" s="31" t="n">
        <x:f>IF(E6=0,"",E6*K6)</x:f>
        <x:v>6572.271419437719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Small to medium sharks (&lt;90 cm)</x:v>
      </x:c>
      <x:c r="B7" s="33" t="n">
        <x:v>1</x:v>
      </x:c>
      <x:c r="C7" s="33" t="n">
        <x:v>1</x:v>
      </x:c>
      <x:c r="D7" s="31" t="n">
        <x:v>2.910348</x:v>
      </x:c>
      <x:c r="E7" s="31" t="n">
        <x:v>2.910348</x:v>
      </x:c>
      <x:c r="F7" s="32" t="n">
        <x:v>0</x:v>
      </x:c>
      <x:c r="G7" s="34" t="n">
        <x:v>1</x:v>
      </x:c>
      <x:c r="H7" s="32" t="n">
        <x:f>IF(E7=0,"",I7/E7)</x:f>
        <x:v>1047.1285480508984</x:v>
      </x:c>
      <x:c r="I7" s="31" t="n">
        <x:f>IF(C7=0,"",SUMIF('Species'!$G$2:$G$7,A7,'Species'!$U$2:$U$7))</x:f>
        <x:v>3047.508475562836</x:v>
      </x:c>
      <x:c r="J7" s="32" t="n">
        <x:v>4.02</x:v>
      </x:c>
      <x:c r="K7" s="32" t="n">
        <x:f>IF(J7="","",(1/'Metadata'!$B$5)^(J7-1))</x:f>
        <x:v>1047.1285480508984</x:v>
      </x:c>
      <x:c r="L7" s="31" t="n">
        <x:f>IF(E7=0,"",E7*K7)</x:f>
        <x:v>3047.508475562836</x:v>
      </x:c>
      <x:c r="M7" s="31" t="n">
        <x:f>IF(E7=0,"",I7-L7)</x:f>
        <x:v>0</x:v>
      </x:c>
      <x:c r="N7" s="32" t="n">
        <x:f>IF(L7=0,"",I7/L7)</x:f>
        <x:v>1</x:v>
      </x:c>
      <x:c r="O7" s="34" t="n">
        <x:f>IF(L7=0,"",M7/L7)</x:f>
        <x:v>0</x:v>
      </x:c>
    </x:row>
  </x:sheetData>
  <x:conditionalFormatting sqref="G2:G7">
    <x:cfRule type="cellIs" dxfId="2" priority="1" operator="lessThan">
      <x:formula>0.9</x:formula>
    </x:cfRule>
  </x:conditionalFormatting>
  <x:conditionalFormatting sqref="O2:O7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e08b6c8b1b9e4ed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EEZ_897</x:v>
      </x:c>
      <x:c r="B2" s="24" t="str">
        <x:v>raw_filtered_tonnes</x:v>
      </x:c>
      <x:c r="C2" s="24" t="n">
        <x:v>5596.068903</x:v>
      </x:c>
      <x:c r="D2" s="24" t="str">
        <x:v>tonnes</x:v>
      </x:c>
    </x:row>
    <x:row r="3" ht="18" customHeight="1">
      <x:c r="A3" s="24" t="str">
        <x:v>EEZ_897</x:v>
      </x:c>
      <x:c r="B3" s="24" t="str">
        <x:v>species_catch_tonnes</x:v>
      </x:c>
      <x:c r="C3" s="24" t="n">
        <x:v>5596.068903000001</x:v>
      </x:c>
      <x:c r="D3" s="24" t="str">
        <x:v>tonnes</x:v>
      </x:c>
    </x:row>
    <x:row r="4" ht="18" customHeight="1">
      <x:c r="A4" s="24" t="str">
        <x:v>EEZ_897</x:v>
      </x:c>
      <x:c r="B4" s="24" t="str">
        <x:v>catch_difference_tonnes</x:v>
      </x:c>
      <x:c r="C4" s="24" t="n">
        <x:v>9.094947017729282e-13</x:v>
      </x:c>
      <x:c r="D4" s="24" t="str">
        <x:v>tonnes</x:v>
      </x:c>
    </x:row>
    <x:row r="5" ht="18" customHeight="1">
      <x:c r="A5" s="24" t="str">
        <x:v>EEZ_897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EEZ_897</x:v>
      </x:c>
      <x:c r="B6" s="24" t="str">
        <x:v>matched_catch_tonnes</x:v>
      </x:c>
      <x:c r="C6" s="24" t="n">
        <x:v>5596.068903000001</x:v>
      </x:c>
      <x:c r="D6" s="24" t="str">
        <x:v>tonnes</x:v>
      </x:c>
    </x:row>
    <x:row r="7" ht="18" customHeight="1">
      <x:c r="A7" s="24" t="str">
        <x:v>EEZ_897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EEZ_897</x:v>
      </x:c>
      <x:c r="B8" s="24" t="str">
        <x:v>taxa_count</x:v>
      </x:c>
      <x:c r="C8" s="24" t="n">
        <x:v>6</x:v>
      </x:c>
      <x:c r="D8" s="24" t="str">
        <x:v>count</x:v>
      </x:c>
    </x:row>
    <x:row r="9" ht="18" customHeight="1">
      <x:c r="A9" s="24" t="str">
        <x:v>EEZ_897</x:v>
      </x:c>
      <x:c r="B9" s="24" t="str">
        <x:v>matched_taxa_count</x:v>
      </x:c>
      <x:c r="C9" s="24" t="n">
        <x:v>6</x:v>
      </x:c>
      <x:c r="D9" s="24" t="str">
        <x:v>count</x:v>
      </x:c>
    </x:row>
    <x:row r="10" ht="18" customHeight="1">
      <x:c r="A10" s="24" t="str">
        <x:v>EEZ_897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EEZ_897</x:v>
      </x:c>
      <x:c r="B11" s="24" t="str">
        <x:v>species_ppr</x:v>
      </x:c>
      <x:c r="C11" s="24" t="n">
        <x:v>4822911.269595499</x:v>
      </x:c>
      <x:c r="D11" s="24" t="str">
        <x:v>tonnes_primary_production_equivalent</x:v>
      </x:c>
    </x:row>
    <x:row r="12" ht="18" customHeight="1">
      <x:c r="A12" s="24" t="str">
        <x:v>EEZ_897</x:v>
      </x:c>
      <x:c r="B12" s="24" t="str">
        <x:v>commercial_ppr</x:v>
      </x:c>
      <x:c r="C12" s="24" t="n">
        <x:v>4822911.269595498</x:v>
      </x:c>
      <x:c r="D12" s="24" t="str">
        <x:v>tonnes_primary_production_equivalent</x:v>
      </x:c>
    </x:row>
    <x:row r="13" ht="18" customHeight="1">
      <x:c r="A13" s="24" t="str">
        <x:v>EEZ_897</x:v>
      </x:c>
      <x:c r="B13" s="24" t="str">
        <x:v>functional_ppr</x:v>
      </x:c>
      <x:c r="C13" s="24" t="n">
        <x:v>4822911.269595499</x:v>
      </x:c>
      <x:c r="D13" s="24" t="str">
        <x:v>tonnes_primary_production_equivalent</x:v>
      </x:c>
    </x:row>
    <x:row r="14" ht="18" customHeight="1">
      <x:c r="A14" s="24" t="str">
        <x:v>EEZ_897</x:v>
      </x:c>
      <x:c r="B14" s="24" t="str">
        <x:v>commercial_ppr_difference</x:v>
      </x:c>
      <x:c r="C14" s="24" t="n">
        <x:v>-9.313225746154785e-10</x:v>
      </x:c>
      <x:c r="D14" s="24" t="str">
        <x:v>tonnes_primary_production_equivalent</x:v>
      </x:c>
    </x:row>
    <x:row r="15" ht="18" customHeight="1">
      <x:c r="A15" s="24" t="str">
        <x:v>EEZ_897</x:v>
      </x:c>
      <x:c r="B15" s="24" t="str">
        <x:v>functional_ppr_difference</x:v>
      </x:c>
      <x:c r="C15" s="24" t="n">
        <x:v>0</x:v>
      </x:c>
      <x:c r="D15" s="24" t="str">
        <x:v>tonnes_primary_production_equivalent</x:v>
      </x:c>
    </x:row>
    <x:row r="16" ht="18" customHeight="1">
      <x:c r="A16" s="24" t="str">
        <x:v>EEZ_897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EEZ_897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EEZ_897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EEZ_897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e9b9d3c46cf8406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EEZ_897 - Kerguelen Isl. (France)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EEZ_897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raw_data/SAU_downloads/EEZ_897-catch.zip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