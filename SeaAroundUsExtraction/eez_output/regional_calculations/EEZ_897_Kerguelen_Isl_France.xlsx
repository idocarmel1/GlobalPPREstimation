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4e5c7c599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2bd0dd82a5743fe"/>
    <x:sheet xmlns:r="http://schemas.openxmlformats.org/officeDocument/2006/relationships" name="Commercial" sheetId="2" r:id="R161ba075e1b74f48"/>
    <x:sheet xmlns:r="http://schemas.openxmlformats.org/officeDocument/2006/relationships" name="Functional" sheetId="3" r:id="Rc19e24eaf49b494a"/>
    <x:sheet xmlns:r="http://schemas.openxmlformats.org/officeDocument/2006/relationships" name="Missing TL" sheetId="4" r:id="Rb0c9c3b102c04249"/>
    <x:sheet xmlns:r="http://schemas.openxmlformats.org/officeDocument/2006/relationships" name="Validation" sheetId="5" r:id="R7290008ce9854bd0"/>
    <x:sheet xmlns:r="http://schemas.openxmlformats.org/officeDocument/2006/relationships" name="Metadata" sheetId="6" r:id="R5e0a8de06d9445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3b051af004b44" /><Relationship Type="http://schemas.openxmlformats.org/officeDocument/2006/relationships/theme" Target="/xl/theme/theme1.xml" Id="R99d532228537404d" /><Relationship Type="http://schemas.microsoft.com/office/2022/11/relationships/FeaturePropertyBag" Target="/xl/featurePropertyBag/featurePropertyBag.xml" Id="Rbf9b6a0f32774873" /><Relationship Type="http://schemas.openxmlformats.org/officeDocument/2006/relationships/sharedStrings" Target="/xl/sharedStrings.xml" Id="Raacc93b891a44745" /><Relationship Type="http://schemas.openxmlformats.org/officeDocument/2006/relationships/worksheet" Target="/xl/worksheets/sheet1.xml" Id="R02bd0dd82a5743fe" /><Relationship Type="http://schemas.openxmlformats.org/officeDocument/2006/relationships/worksheet" Target="/xl/worksheets/sheet2.xml" Id="R161ba075e1b74f48" /><Relationship Type="http://schemas.openxmlformats.org/officeDocument/2006/relationships/worksheet" Target="/xl/worksheets/sheet3.xml" Id="Rc19e24eaf49b494a" /><Relationship Type="http://schemas.openxmlformats.org/officeDocument/2006/relationships/worksheet" Target="/xl/worksheets/sheet4.xml" Id="Rb0c9c3b102c04249" /><Relationship Type="http://schemas.openxmlformats.org/officeDocument/2006/relationships/worksheet" Target="/xl/worksheets/sheet5.xml" Id="R7290008ce9854bd0" /><Relationship Type="http://schemas.openxmlformats.org/officeDocument/2006/relationships/worksheet" Target="/xl/worksheets/sheet6.xml" Id="R5e0a8de06d9445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97SpeciesTable" displayName="EEZ897SpeciesTable" ref="A1:U7" headerRowCount="1" totalsRowCount="0" totalsRowShown="0">
  <x:autoFilter ref="A1:U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97CommercialTable" displayName="EEZ897CommercialTable" ref="A1:E4" headerRowCount="1" totalsRowCount="0" totalsRowShown="0">
  <x:autoFilter ref="A1:E4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97FunctionalTable" displayName="EEZ897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97ValidationTable" displayName="EEZ897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e1371d2f8c4a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f55b31509747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98189ef9f246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629a41b8db425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EEZ_897</x:v>
      </x:c>
      <x:c r="B2" s="24" t="str">
        <x:v>Kerguelen Isl. (France)</x:v>
      </x:c>
      <x:c r="C2" s="24" t="str">
        <x:v>EEZ</x:v>
      </x:c>
      <x:c r="D2" s="30" t="n">
        <x:v>2019</x:v>
      </x:c>
      <x:c r="E2" s="24" t="str">
        <x:v>Dissostichus eleginoides</x:v>
      </x:c>
      <x:c r="F2" s="24" t="str">
        <x:v>Patagonian toothfish</x:v>
      </x:c>
      <x:c r="G2" s="24" t="str">
        <x:v>Large bathydemersals (&gt;=90 cm)</x:v>
      </x:c>
      <x:c r="H2" s="24" t="str">
        <x:v>Perch-likes</x:v>
      </x:c>
      <x:c r="I2" s="31" t="n">
        <x:v>5062.846656</x:v>
      </x:c>
      <x:c r="J2" s="31" t="n">
        <x:v>5062.846656</x:v>
      </x:c>
      <x:c r="K2" s="31" t="n">
        <x:v>0</x:v>
      </x:c>
      <x:c r="L2" s="31" t="n">
        <x:v>5062.846656</x:v>
      </x:c>
      <x:c r="M2" s="31" t="n">
        <x:v>0</x:v>
      </x:c>
      <x:c r="N2" s="24" t="str">
        <x:v>dissostichus eleginoides</x:v>
      </x:c>
      <x:c r="O2" s="32" t="n">
        <x:v>3.96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Dissostichus eleginoides</x:v>
      </x:c>
      <x:c r="T2" s="32" t="n">
        <x:f>IF(O2="","",(1/'Metadata'!$B$5)^(O2-1))</x:f>
        <x:v>912.0108393559096</x:v>
      </x:c>
      <x:c r="U2" s="31" t="n">
        <x:f>IF(T2="","",I2*T2)</x:f>
        <x:v>4617371.02826882</x:v>
      </x:c>
    </x:row>
    <x:row r="3" ht="18" customHeight="1">
      <x:c r="A3" s="24" t="str">
        <x:v>EEZ_897</x:v>
      </x:c>
      <x:c r="B3" s="24" t="str">
        <x:v>Kerguelen Isl. (France)</x:v>
      </x:c>
      <x:c r="C3" s="24" t="str">
        <x:v>EEZ</x:v>
      </x:c>
      <x:c r="D3" s="30" t="n">
        <x:v>2019</x:v>
      </x:c>
      <x:c r="E3" s="24" t="str">
        <x:v>Macrourus</x:v>
      </x:c>
      <x:c r="F3" s="24" t="str">
        <x:v>Rattails</x:v>
      </x:c>
      <x:c r="G3" s="24" t="str">
        <x:v>Medium benthopelagics (30 - 89 cm)</x:v>
      </x:c>
      <x:c r="H3" s="24" t="str">
        <x:v>Cod-likes</x:v>
      </x:c>
      <x:c r="I3" s="31" t="n">
        <x:v>472.728095</x:v>
      </x:c>
      <x:c r="J3" s="31" t="n">
        <x:v>472.728095</x:v>
      </x:c>
      <x:c r="K3" s="31" t="n">
        <x:v>0</x:v>
      </x:c>
      <x:c r="L3" s="31" t="n">
        <x:v>472.728095</x:v>
      </x:c>
      <x:c r="M3" s="31" t="n">
        <x:v>0</x:v>
      </x:c>
      <x:c r="N3" s="24" t="str">
        <x:v>macrourus</x:v>
      </x:c>
      <x:c r="O3" s="32" t="n">
        <x:v>3.58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Macrourus</x:v>
      </x:c>
      <x:c r="T3" s="32" t="n">
        <x:f>IF(O3="","",(1/'Metadata'!$B$5)^(O3-1))</x:f>
        <x:v>380.1893963205613</x:v>
      </x:c>
      <x:c r="U3" s="31" t="n">
        <x:f>IF(T3="","",I3*T3)</x:f>
        <x:v>179726.20906181895</x:v>
      </x:c>
    </x:row>
    <x:row r="4" ht="18" customHeight="1">
      <x:c r="A4" s="24" t="str">
        <x:v>EEZ_897</x:v>
      </x:c>
      <x:c r="B4" s="24" t="str">
        <x:v>Kerguelen Isl. (France)</x:v>
      </x:c>
      <x:c r="C4" s="24" t="str">
        <x:v>EEZ</x:v>
      </x:c>
      <x:c r="D4" s="30" t="n">
        <x:v>2019</x:v>
      </x:c>
      <x:c r="E4" s="24" t="str">
        <x:v>Antimora rostrata</x:v>
      </x:c>
      <x:c r="F4" s="24" t="str">
        <x:v>Blue antimora</x:v>
      </x:c>
      <x:c r="G4" s="24" t="str">
        <x:v>Medium bathypelagics (30 - 89 cm)</x:v>
      </x:c>
      <x:c r="H4" s="24" t="str">
        <x:v>Cod-likes</x:v>
      </x:c>
      <x:c r="I4" s="31" t="n">
        <x:v>42.5056</x:v>
      </x:c>
      <x:c r="J4" s="31" t="n">
        <x:v>0</x:v>
      </x:c>
      <x:c r="K4" s="31" t="n">
        <x:v>42.5056</x:v>
      </x:c>
      <x:c r="L4" s="31" t="n">
        <x:v>42.5056</x:v>
      </x:c>
      <x:c r="M4" s="31" t="n">
        <x:v>0</x:v>
      </x:c>
      <x:c r="N4" s="24" t="str">
        <x:v>antimora rostrata</x:v>
      </x:c>
      <x:c r="O4" s="32" t="n">
        <x:v>3.58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Antimora rostrata</x:v>
      </x:c>
      <x:c r="T4" s="32" t="n">
        <x:f>IF(O4="","",(1/'Metadata'!$B$5)^(O4-1))</x:f>
        <x:v>380.1893963205613</x:v>
      </x:c>
      <x:c r="U4" s="31" t="n">
        <x:f>IF(T4="","",I4*T4)</x:f>
        <x:v>16160.17840424325</x:v>
      </x:c>
    </x:row>
    <x:row r="5" ht="18" customHeight="1">
      <x:c r="A5" s="24" t="str">
        <x:v>EEZ_897</x:v>
      </x:c>
      <x:c r="B5" s="24" t="str">
        <x:v>Kerguelen Isl. (France)</x:v>
      </x:c>
      <x:c r="C5" s="24" t="str">
        <x:v>EEZ</x:v>
      </x:c>
      <x:c r="D5" s="30" t="n">
        <x:v>2019</x:v>
      </x:c>
      <x:c r="E5" s="24" t="str">
        <x:v>Bathyraja</x:v>
      </x:c>
      <x:c r="F5" s="24" t="str">
        <x:v>Deepwater stingrays/skates</x:v>
      </x:c>
      <x:c r="G5" s="24" t="str">
        <x:v>Small to medium rays (&lt;90 cm)</x:v>
      </x:c>
      <x:c r="H5" s="24" t="str">
        <x:v>Sharks &amp; rays</x:v>
      </x:c>
      <x:c r="I5" s="31" t="n">
        <x:v>15.056204000000001</x:v>
      </x:c>
      <x:c r="J5" s="31" t="n">
        <x:v>15.056204000000001</x:v>
      </x:c>
      <x:c r="K5" s="31" t="n">
        <x:v>0</x:v>
      </x:c>
      <x:c r="L5" s="31" t="n">
        <x:v>15.056204000000001</x:v>
      </x:c>
      <x:c r="M5" s="31" t="n">
        <x:v>0</x:v>
      </x:c>
      <x:c r="N5" s="24" t="str">
        <x:v>bathyraja</x:v>
      </x:c>
      <x:c r="O5" s="32" t="n">
        <x:v>3.64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Bathyraja</x:v>
      </x:c>
      <x:c r="T5" s="32" t="n">
        <x:f>IF(O5="","",(1/'Metadata'!$B$5)^(O5-1))</x:f>
        <x:v>436.5158322401661</x:v>
      </x:c>
      <x:c r="U5" s="31" t="n">
        <x:f>IF(T5="","",I5*T5)</x:f>
        <x:v>6572.271419437719</x:v>
      </x:c>
    </x:row>
    <x:row r="6" ht="18" customHeight="1">
      <x:c r="A6" s="24" t="str">
        <x:v>EEZ_897</x:v>
      </x:c>
      <x:c r="B6" s="24" t="str">
        <x:v>Kerguelen Isl. (France)</x:v>
      </x:c>
      <x:c r="C6" s="24" t="str">
        <x:v>EEZ</x:v>
      </x:c>
      <x:c r="D6" s="30" t="n">
        <x:v>2019</x:v>
      </x:c>
      <x:c r="E6" s="24" t="str">
        <x:v>Etmopterus</x:v>
      </x:c>
      <x:c r="F6" s="24" t="str">
        <x:v>Lanternsharks</x:v>
      </x:c>
      <x:c r="G6" s="24" t="str">
        <x:v>Small to medium sharks (&lt;90 cm)</x:v>
      </x:c>
      <x:c r="H6" s="24" t="str">
        <x:v>Sharks &amp; rays</x:v>
      </x:c>
      <x:c r="I6" s="31" t="n">
        <x:v>2.910348</x:v>
      </x:c>
      <x:c r="J6" s="31" t="n">
        <x:v>2.910348</x:v>
      </x:c>
      <x:c r="K6" s="31" t="n">
        <x:v>0</x:v>
      </x:c>
      <x:c r="L6" s="31" t="n">
        <x:v>2.910348</x:v>
      </x:c>
      <x:c r="M6" s="31" t="n">
        <x:v>0</x:v>
      </x:c>
      <x:c r="N6" s="24" t="str">
        <x:v>etmopterus</x:v>
      </x:c>
      <x:c r="O6" s="32" t="n">
        <x:v>4.02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Etmopterus</x:v>
      </x:c>
      <x:c r="T6" s="32" t="n">
        <x:f>IF(O6="","",(1/'Metadata'!$B$5)^(O6-1))</x:f>
        <x:v>1047.1285480508984</x:v>
      </x:c>
      <x:c r="U6" s="31" t="n">
        <x:f>IF(T6="","",I6*T6)</x:f>
        <x:v>3047.508475562836</x:v>
      </x:c>
    </x:row>
    <x:row r="7" ht="18" customHeight="1">
      <x:c r="A7" s="24" t="str">
        <x:v>EEZ_897</x:v>
      </x:c>
      <x:c r="B7" s="24" t="str">
        <x:v>Kerguelen Isl. (France)</x:v>
      </x:c>
      <x:c r="C7" s="24" t="str">
        <x:v>EEZ</x:v>
      </x:c>
      <x:c r="D7" s="30" t="n">
        <x:v>2019</x:v>
      </x:c>
      <x:c r="E7" s="24" t="str">
        <x:v>Squaliformes</x:v>
      </x:c>
      <x:c r="F7" s="24" t="str">
        <x:v>Bramble, sleeper, dogfish sharks</x:v>
      </x:c>
      <x:c r="G7" s="24" t="str">
        <x:v>Large sharks (&gt;=90 cm)</x:v>
      </x:c>
      <x:c r="H7" s="24" t="str">
        <x:v>Sharks &amp; rays</x:v>
      </x:c>
      <x:c r="I7" s="31" t="n">
        <x:v>0.022000000000000002</x:v>
      </x:c>
      <x:c r="J7" s="31" t="n">
        <x:v>0.022000000000000002</x:v>
      </x:c>
      <x:c r="K7" s="31" t="n">
        <x:v>0</x:v>
      </x:c>
      <x:c r="L7" s="31" t="n">
        <x:v>0.022000000000000002</x:v>
      </x:c>
      <x:c r="M7" s="31" t="n">
        <x:v>0</x:v>
      </x:c>
      <x:c r="N7" s="24" t="str">
        <x:v>squaliformes</x:v>
      </x:c>
      <x:c r="O7" s="32" t="n">
        <x:v>4.19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Squaliformes</x:v>
      </x:c>
      <x:c r="T7" s="32" t="n">
        <x:f>IF(O7="","",(1/'Metadata'!$B$5)^(O7-1))</x:f>
        <x:v>1548.8166189124827</x:v>
      </x:c>
      <x:c r="U7" s="31" t="n">
        <x:f>IF(T7="","",I7*T7)</x:f>
        <x:v>34.073965616074624</x:v>
      </x:c>
    </x:row>
  </x:sheetData>
  <x:conditionalFormatting sqref="R2:R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be1371d2f8c4ae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515.233695</x:v>
      </x:c>
      <x:c r="C2" s="32" t="n">
        <x:v>3.5799999999999996</x:v>
      </x:c>
      <x:c r="D2" s="32" t="n">
        <x:f>IF(C2="","",(1/'Metadata'!$B$5)^(C2-1))</x:f>
        <x:v>380.1893963205609</x:v>
      </x:c>
      <x:c r="E2" s="31" t="n">
        <x:f>IF(B2=0,"",B2*D2)</x:f>
        <x:v>195886.387466062</x:v>
      </x:c>
    </x:row>
    <x:row r="3" ht="18" customHeight="1">
      <x:c r="A3" s="24" t="str">
        <x:v>Perch-likes</x:v>
      </x:c>
      <x:c r="B3" s="31" t="n">
        <x:v>5062.846656</x:v>
      </x:c>
      <x:c r="C3" s="32" t="n">
        <x:v>3.9600000000000004</x:v>
      </x:c>
      <x:c r="D3" s="32" t="n">
        <x:f>IF(C3="","",(1/'Metadata'!$B$5)^(C3-1))</x:f>
        <x:v>912.0108393559105</x:v>
      </x:c>
      <x:c r="E3" s="31" t="n">
        <x:f>IF(B3=0,"",B3*D3)</x:f>
        <x:v>4617371.028268824</x:v>
      </x:c>
    </x:row>
    <x:row r="4" ht="18" customHeight="1">
      <x:c r="A4" s="24" t="str">
        <x:v>Sharks &amp; rays</x:v>
      </x:c>
      <x:c r="B4" s="31" t="n">
        <x:v>17.988552</x:v>
      </x:c>
      <x:c r="C4" s="32" t="n">
        <x:v>3.7021524311684457</x:v>
      </x:c>
      <x:c r="D4" s="32" t="n">
        <x:f>IF(C4="","",(1/'Metadata'!$B$5)^(C4-1))</x:f>
        <x:v>503.67736133673986</x:v>
      </x:c>
      <x:c r="E4" s="31" t="n">
        <x:f>IF(B4=0,"",B4*D4)</x:f>
        <x:v>9060.426405628734</x:v>
      </x:c>
    </x:row>
  </x:sheetData>
  <x:pageMargins left="0.7" right="0.7" top="0.75" bottom="0.75" header="0.3" footer="0.3"/>
  <x:tableParts count="1">
    <x:tablePart xmlns:r="http://schemas.openxmlformats.org/officeDocument/2006/relationships" r:id="R00f55b31509747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bathydemersals (&gt;=90 cm)</x:v>
      </x:c>
      <x:c r="B2" s="31" t="n">
        <x:v>5062.846656</x:v>
      </x:c>
      <x:c r="C2" s="32" t="n">
        <x:v>3.9600000000000004</x:v>
      </x:c>
      <x:c r="D2" s="32" t="n">
        <x:f>IF(C2="","",(1/'Metadata'!$B$5)^(C2-1))</x:f>
        <x:v>912.0108393559105</x:v>
      </x:c>
      <x:c r="E2" s="31" t="n">
        <x:f>IF(B2=0,"",B2*D2)</x:f>
        <x:v>4617371.028268824</x:v>
      </x:c>
    </x:row>
    <x:row r="3" ht="18" customHeight="1">
      <x:c r="A3" s="24" t="str">
        <x:v>Large sharks (&gt;=90 cm)</x:v>
      </x:c>
      <x:c r="B3" s="31" t="n">
        <x:v>0.022000000000000002</x:v>
      </x:c>
      <x:c r="C3" s="32" t="n">
        <x:v>4.19</x:v>
      </x:c>
      <x:c r="D3" s="32" t="n">
        <x:f>IF(C3="","",(1/'Metadata'!$B$5)^(C3-1))</x:f>
        <x:v>1548.8166189124827</x:v>
      </x:c>
      <x:c r="E3" s="31" t="n">
        <x:f>IF(B3=0,"",B3*D3)</x:f>
        <x:v>34.073965616074624</x:v>
      </x:c>
    </x:row>
    <x:row r="4" ht="18" customHeight="1">
      <x:c r="A4" s="24" t="str">
        <x:v>Medium bathypelagics (30 - 89 cm)</x:v>
      </x:c>
      <x:c r="B4" s="31" t="n">
        <x:v>42.5056</x:v>
      </x:c>
      <x:c r="C4" s="32" t="n">
        <x:v>3.58</x:v>
      </x:c>
      <x:c r="D4" s="32" t="n">
        <x:f>IF(C4="","",(1/'Metadata'!$B$5)^(C4-1))</x:f>
        <x:v>380.1893963205613</x:v>
      </x:c>
      <x:c r="E4" s="31" t="n">
        <x:f>IF(B4=0,"",B4*D4)</x:f>
        <x:v>16160.17840424325</x:v>
      </x:c>
    </x:row>
    <x:row r="5" ht="18" customHeight="1">
      <x:c r="A5" s="24" t="str">
        <x:v>Medium benthopelagics (30 - 89 cm)</x:v>
      </x:c>
      <x:c r="B5" s="31" t="n">
        <x:v>472.728095</x:v>
      </x:c>
      <x:c r="C5" s="32" t="n">
        <x:v>3.58</x:v>
      </x:c>
      <x:c r="D5" s="32" t="n">
        <x:f>IF(C5="","",(1/'Metadata'!$B$5)^(C5-1))</x:f>
        <x:v>380.1893963205613</x:v>
      </x:c>
      <x:c r="E5" s="31" t="n">
        <x:f>IF(B5=0,"",B5*D5)</x:f>
        <x:v>179726.20906181895</x:v>
      </x:c>
    </x:row>
    <x:row r="6" ht="18" customHeight="1">
      <x:c r="A6" s="24" t="str">
        <x:v>Small to medium rays (&lt;90 cm)</x:v>
      </x:c>
      <x:c r="B6" s="31" t="n">
        <x:v>15.056204000000001</x:v>
      </x:c>
      <x:c r="C6" s="32" t="n">
        <x:v>3.64</x:v>
      </x:c>
      <x:c r="D6" s="32" t="n">
        <x:f>IF(C6="","",(1/'Metadata'!$B$5)^(C6-1))</x:f>
        <x:v>436.5158322401661</x:v>
      </x:c>
      <x:c r="E6" s="31" t="n">
        <x:f>IF(B6=0,"",B6*D6)</x:f>
        <x:v>6572.271419437719</x:v>
      </x:c>
    </x:row>
    <x:row r="7" ht="18" customHeight="1">
      <x:c r="A7" s="24" t="str">
        <x:v>Small to medium sharks (&lt;90 cm)</x:v>
      </x:c>
      <x:c r="B7" s="31" t="n">
        <x:v>2.910348</x:v>
      </x:c>
      <x:c r="C7" s="32" t="n">
        <x:v>4.02</x:v>
      </x:c>
      <x:c r="D7" s="32" t="n">
        <x:f>IF(C7="","",(1/'Metadata'!$B$5)^(C7-1))</x:f>
        <x:v>1047.1285480508984</x:v>
      </x:c>
      <x:c r="E7" s="31" t="n">
        <x:f>IF(B7=0,"",B7*D7)</x:f>
        <x:v>3047.508475562836</x:v>
      </x:c>
    </x:row>
  </x:sheetData>
  <x:pageMargins left="0.7" right="0.7" top="0.75" bottom="0.75" header="0.3" footer="0.3"/>
  <x:tableParts count="1">
    <x:tablePart xmlns:r="http://schemas.openxmlformats.org/officeDocument/2006/relationships" r:id="R0098189ef9f246f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EEZ_897</x:v>
      </x:c>
      <x:c r="B2" s="24" t="str">
        <x:v>raw_filtered_tonnes</x:v>
      </x:c>
      <x:c r="C2" s="24" t="n">
        <x:v>5596.068903</x:v>
      </x:c>
      <x:c r="D2" s="24" t="str">
        <x:v>tonnes</x:v>
      </x:c>
    </x:row>
    <x:row r="3" ht="18" customHeight="1">
      <x:c r="A3" s="24" t="str">
        <x:v>EEZ_897</x:v>
      </x:c>
      <x:c r="B3" s="24" t="str">
        <x:v>species_catch_tonnes</x:v>
      </x:c>
      <x:c r="C3" s="24" t="n">
        <x:v>5596.068903000001</x:v>
      </x:c>
      <x:c r="D3" s="24" t="str">
        <x:v>tonnes</x:v>
      </x:c>
    </x:row>
    <x:row r="4" ht="18" customHeight="1">
      <x:c r="A4" s="24" t="str">
        <x:v>EEZ_897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EEZ_897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EEZ_897</x:v>
      </x:c>
      <x:c r="B6" s="24" t="str">
        <x:v>matched_catch_tonnes</x:v>
      </x:c>
      <x:c r="C6" s="24" t="n">
        <x:v>5596.068903000001</x:v>
      </x:c>
      <x:c r="D6" s="24" t="str">
        <x:v>tonnes</x:v>
      </x:c>
    </x:row>
    <x:row r="7" ht="18" customHeight="1">
      <x:c r="A7" s="24" t="str">
        <x:v>EEZ_897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EEZ_897</x:v>
      </x:c>
      <x:c r="B8" s="24" t="str">
        <x:v>taxa_count</x:v>
      </x:c>
      <x:c r="C8" s="24" t="n">
        <x:v>6</x:v>
      </x:c>
      <x:c r="D8" s="24" t="str">
        <x:v>count</x:v>
      </x:c>
    </x:row>
    <x:row r="9" ht="18" customHeight="1">
      <x:c r="A9" s="24" t="str">
        <x:v>EEZ_897</x:v>
      </x:c>
      <x:c r="B9" s="24" t="str">
        <x:v>matched_taxa_count</x:v>
      </x:c>
      <x:c r="C9" s="24" t="n">
        <x:v>6</x:v>
      </x:c>
      <x:c r="D9" s="24" t="str">
        <x:v>count</x:v>
      </x:c>
    </x:row>
    <x:row r="10" ht="18" customHeight="1">
      <x:c r="A10" s="24" t="str">
        <x:v>EEZ_897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EEZ_897</x:v>
      </x:c>
      <x:c r="B11" s="24" t="str">
        <x:v>species_ppr</x:v>
      </x:c>
      <x:c r="C11" s="24" t="n">
        <x:v>4822911.269595499</x:v>
      </x:c>
      <x:c r="D11" s="24" t="str">
        <x:v>tonnes_primary_production_equivalent</x:v>
      </x:c>
    </x:row>
    <x:row r="12" ht="18" customHeight="1">
      <x:c r="A12" s="24" t="str">
        <x:v>EEZ_897</x:v>
      </x:c>
      <x:c r="B12" s="24" t="str">
        <x:v>commercial_ppr</x:v>
      </x:c>
      <x:c r="C12" s="24" t="n">
        <x:v>4822317.842140515</x:v>
      </x:c>
      <x:c r="D12" s="24" t="str">
        <x:v>tonnes_primary_production_equivalent</x:v>
      </x:c>
    </x:row>
    <x:row r="13" ht="18" customHeight="1">
      <x:c r="A13" s="24" t="str">
        <x:v>EEZ_897</x:v>
      </x:c>
      <x:c r="B13" s="24" t="str">
        <x:v>functional_ppr</x:v>
      </x:c>
      <x:c r="C13" s="24" t="n">
        <x:v>4822911.269595504</x:v>
      </x:c>
      <x:c r="D13" s="24" t="str">
        <x:v>tonnes_primary_production_equivalent</x:v>
      </x:c>
    </x:row>
    <x:row r="14" ht="18" customHeight="1">
      <x:c r="A14" s="24" t="str">
        <x:v>EEZ_897</x:v>
      </x:c>
      <x:c r="B14" s="24" t="str">
        <x:v>commercial_ppr_difference</x:v>
      </x:c>
      <x:c r="C14" s="24" t="n">
        <x:v>-593.4274549838156</x:v>
      </x:c>
      <x:c r="D14" s="24" t="str">
        <x:v>tonnes_primary_production_equivalent</x:v>
      </x:c>
    </x:row>
    <x:row r="15" ht="18" customHeight="1">
      <x:c r="A15" s="24" t="str">
        <x:v>EEZ_897</x:v>
      </x:c>
      <x:c r="B15" s="24" t="str">
        <x:v>functional_ppr_difference</x:v>
      </x:c>
      <x:c r="C15" s="24" t="n">
        <x:v>4.6566128730773926e-9</x:v>
      </x:c>
      <x:c r="D15" s="24" t="str">
        <x:v>tonnes_primary_production_equivalent</x:v>
      </x:c>
    </x:row>
    <x:row r="16" ht="18" customHeight="1">
      <x:c r="A16" s="24" t="str">
        <x:v>EEZ_897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EEZ_897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a629a41b8db42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EEZ_897 - Kerguelen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EEZ_897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raw_data/SAU_downloads/EEZ_897-catch.zip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