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b4723cd0b746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99edfa8173b44f5f"/>
    <x:sheet xmlns:r="http://schemas.openxmlformats.org/officeDocument/2006/relationships" name="Commercial" sheetId="2" r:id="R890cab80b96f45eb"/>
    <x:sheet xmlns:r="http://schemas.openxmlformats.org/officeDocument/2006/relationships" name="Functional" sheetId="3" r:id="R694decd5f07d4704"/>
    <x:sheet xmlns:r="http://schemas.openxmlformats.org/officeDocument/2006/relationships" name="Missing TL" sheetId="4" r:id="R293c31d203d546ff"/>
    <x:sheet xmlns:r="http://schemas.openxmlformats.org/officeDocument/2006/relationships" name="Validation" sheetId="5" r:id="R3135d3e72bc54906"/>
    <x:sheet xmlns:r="http://schemas.openxmlformats.org/officeDocument/2006/relationships" name="Metadata" sheetId="6" r:id="Rd5b96d0af9424c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b3e826139f4d37" /><Relationship Type="http://schemas.openxmlformats.org/officeDocument/2006/relationships/theme" Target="/xl/theme/theme1.xml" Id="R67c97cd65dd54acf" /><Relationship Type="http://schemas.microsoft.com/office/2022/11/relationships/FeaturePropertyBag" Target="/xl/featurePropertyBag/featurePropertyBag.xml" Id="R3979c2e783964a97" /><Relationship Type="http://schemas.openxmlformats.org/officeDocument/2006/relationships/sharedStrings" Target="/xl/sharedStrings.xml" Id="R8b9e48168b974f48" /><Relationship Type="http://schemas.openxmlformats.org/officeDocument/2006/relationships/worksheet" Target="/xl/worksheets/sheet1.xml" Id="R99edfa8173b44f5f" /><Relationship Type="http://schemas.openxmlformats.org/officeDocument/2006/relationships/worksheet" Target="/xl/worksheets/sheet2.xml" Id="R890cab80b96f45eb" /><Relationship Type="http://schemas.openxmlformats.org/officeDocument/2006/relationships/worksheet" Target="/xl/worksheets/sheet3.xml" Id="R694decd5f07d4704" /><Relationship Type="http://schemas.openxmlformats.org/officeDocument/2006/relationships/worksheet" Target="/xl/worksheets/sheet4.xml" Id="R293c31d203d546ff" /><Relationship Type="http://schemas.openxmlformats.org/officeDocument/2006/relationships/worksheet" Target="/xl/worksheets/sheet5.xml" Id="R3135d3e72bc54906" /><Relationship Type="http://schemas.openxmlformats.org/officeDocument/2006/relationships/worksheet" Target="/xl/worksheets/sheet6.xml" Id="Rd5b96d0af9424c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51SpeciesTable" displayName="EEZ951SpeciesTable" ref="A1:U13" headerRowCount="1" totalsRowCount="0" totalsRowShown="0">
  <x:autoFilter ref="A1:U1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51CommercialTable" displayName="EEZ951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51FunctionalTable" displayName="EEZ951FunctionalTable" ref="A1:E8" headerRowCount="1" totalsRowCount="0" totalsRowShown="0">
  <x:autoFilter ref="A1:E8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51ValidationTable" displayName="EEZ951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e7cf38770c40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1c0826cd6ae4e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a1b1cbbae1c43c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53f27153d6476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EEZ_951</x:v>
      </x:c>
      <x:c r="B2" s="24" t="str">
        <x:v>Panama (Caribbean)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1268.6492074376</x:v>
      </x:c>
      <x:c r="J2" s="31" t="n">
        <x:v>1266.1907795</x:v>
      </x:c>
      <x:c r="K2" s="31" t="n">
        <x:v>2.4584279376000002</x:v>
      </x:c>
      <x:c r="L2" s="31" t="n">
        <x:v>0</x:v>
      </x:c>
      <x:c r="M2" s="31" t="n">
        <x:v>1268.6492074376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241736.12296475525</x:v>
      </x:c>
    </x:row>
    <x:row r="3" ht="18" customHeight="1">
      <x:c r="A3" s="24" t="str">
        <x:v>EEZ_951</x:v>
      </x:c>
      <x:c r="B3" s="24" t="str">
        <x:v>Panama (Caribbean)</x:v>
      </x:c>
      <x:c r="C3" s="24" t="str">
        <x:v>EEZ</x:v>
      </x:c>
      <x:c r="D3" s="30" t="n">
        <x:v>2019</x:v>
      </x:c>
      <x:c r="E3" s="24" t="str">
        <x:v>Panulirus</x:v>
      </x:c>
      <x:c r="F3" s="24" t="str">
        <x:v>Spiny lobsters</x:v>
      </x:c>
      <x:c r="G3" s="24" t="str">
        <x:v>Lobsters, crabs</x:v>
      </x:c>
      <x:c r="H3" s="24" t="str">
        <x:v>Crustaceans</x:v>
      </x:c>
      <x:c r="I3" s="31" t="n">
        <x:v>141.16382976</x:v>
      </x:c>
      <x:c r="J3" s="31" t="n">
        <x:v>141.16382976</x:v>
      </x:c>
      <x:c r="K3" s="31" t="n">
        <x:v>0</x:v>
      </x:c>
      <x:c r="L3" s="31" t="n">
        <x:v>12</x:v>
      </x:c>
      <x:c r="M3" s="31" t="n">
        <x:v>129.16382976</x:v>
      </x:c>
      <x:c r="N3" s="24" t="str">
        <x:v>panulirus</x:v>
      </x:c>
      <x:c r="O3" s="32" t="n">
        <x:v>2.6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Panulirus</x:v>
      </x:c>
      <x:c r="T3" s="32" t="n">
        <x:f>IF(O3="","",(1/'Metadata'!$B$5)^(O3-1))</x:f>
        <x:v>39.810717055349734</x:v>
      </x:c>
      <x:c r="U3" s="31" t="n">
        <x:f>IF(T3="","",I3*T3)</x:f>
        <x:v>5619.833285024918</x:v>
      </x:c>
    </x:row>
    <x:row r="4" ht="18" customHeight="1">
      <x:c r="A4" s="24" t="str">
        <x:v>EEZ_951</x:v>
      </x:c>
      <x:c r="B4" s="24" t="str">
        <x:v>Panama (Caribbean)</x:v>
      </x:c>
      <x:c r="C4" s="24" t="str">
        <x:v>EEZ</x:v>
      </x:c>
      <x:c r="D4" s="30" t="n">
        <x:v>2019</x:v>
      </x:c>
      <x:c r="E4" s="24" t="str">
        <x:v>Acanthocybium solandri</x:v>
      </x:c>
      <x:c r="F4" s="24" t="str">
        <x:v>Wahoo</x:v>
      </x:c>
      <x:c r="G4" s="24" t="str">
        <x:v>Large pelagics (&gt;=90 cm)</x:v>
      </x:c>
      <x:c r="H4" s="24" t="str">
        <x:v>Perch-likes</x:v>
      </x:c>
      <x:c r="I4" s="31" t="n">
        <x:v>70.11</x:v>
      </x:c>
      <x:c r="J4" s="31" t="n">
        <x:v>70.11</x:v>
      </x:c>
      <x:c r="K4" s="31" t="n">
        <x:v>0</x:v>
      </x:c>
      <x:c r="L4" s="31" t="n">
        <x:v>70.11</x:v>
      </x:c>
      <x:c r="M4" s="31" t="n">
        <x:v>0</x:v>
      </x:c>
      <x:c r="N4" s="24" t="str">
        <x:v>acanthocybium solandri</x:v>
      </x:c>
      <x:c r="O4" s="32" t="n">
        <x:v>4.26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Acanthocybium solandri</x:v>
      </x:c>
      <x:c r="T4" s="32" t="n">
        <x:f>IF(O4="","",(1/'Metadata'!$B$5)^(O4-1))</x:f>
        <x:v>1819.7008586099826</x:v>
      </x:c>
      <x:c r="U4" s="31" t="n">
        <x:f>IF(T4="","",I4*T4)</x:f>
        <x:v>127579.22719714588</x:v>
      </x:c>
    </x:row>
    <x:row r="5" ht="18" customHeight="1">
      <x:c r="A5" s="24" t="str">
        <x:v>EEZ_951</x:v>
      </x:c>
      <x:c r="B5" s="24" t="str">
        <x:v>Panama (Caribbean)</x:v>
      </x:c>
      <x:c r="C5" s="24" t="str">
        <x:v>EEZ</x:v>
      </x:c>
      <x:c r="D5" s="30" t="n">
        <x:v>2019</x:v>
      </x:c>
      <x:c r="E5" s="24" t="str">
        <x:v>Aliger gigas</x:v>
      </x:c>
      <x:c r="F5" s="24" t="str">
        <x:v>Pink conch</x:v>
      </x:c>
      <x:c r="G5" s="24" t="str">
        <x:v>Other demersal invertebrates</x:v>
      </x:c>
      <x:c r="H5" s="24" t="str">
        <x:v>Molluscs</x:v>
      </x:c>
      <x:c r="I5" s="31" t="n">
        <x:v>41.28882976</x:v>
      </x:c>
      <x:c r="J5" s="31" t="n">
        <x:v>41.28882976</x:v>
      </x:c>
      <x:c r="K5" s="31" t="n">
        <x:v>0</x:v>
      </x:c>
      <x:c r="L5" s="31" t="n">
        <x:v>0</x:v>
      </x:c>
      <x:c r="M5" s="31" t="n">
        <x:v>41.28882976</x:v>
      </x:c>
      <x:c r="N5" s="24" t="str">
        <x:v>aliger gigas</x:v>
      </x:c>
      <x:c r="O5" s="32" t="n">
        <x:v>2.19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Aliger gigas</x:v>
      </x:c>
      <x:c r="T5" s="32" t="n">
        <x:f>IF(O5="","",(1/'Metadata'!$B$5)^(O5-1))</x:f>
        <x:v>15.488166189124811</x:v>
      </x:c>
      <x:c r="U5" s="31" t="n">
        <x:f>IF(T5="","",I5*T5)</x:f>
        <x:v>639.4882570773623</x:v>
      </x:c>
    </x:row>
    <x:row r="6" ht="18" customHeight="1">
      <x:c r="A6" s="24" t="str">
        <x:v>EEZ_951</x:v>
      </x:c>
      <x:c r="B6" s="24" t="str">
        <x:v>Panama (Caribbean)</x:v>
      </x:c>
      <x:c r="C6" s="24" t="str">
        <x:v>EEZ</x:v>
      </x:c>
      <x:c r="D6" s="30" t="n">
        <x:v>2019</x:v>
      </x:c>
      <x:c r="E6" s="24" t="str">
        <x:v>Octopus</x:v>
      </x:c>
      <x:c r="F6" s="24" t="str">
        <x:v>Octopuses, pikas</x:v>
      </x:c>
      <x:c r="G6" s="24" t="str">
        <x:v>Cephalopods</x:v>
      </x:c>
      <x:c r="H6" s="24" t="str">
        <x:v>Other fishes &amp; inverts</x:v>
      </x:c>
      <x:c r="I6" s="31" t="n">
        <x:v>27.5258865</x:v>
      </x:c>
      <x:c r="J6" s="31" t="n">
        <x:v>27.5258865</x:v>
      </x:c>
      <x:c r="K6" s="31" t="n">
        <x:v>0</x:v>
      </x:c>
      <x:c r="L6" s="31" t="n">
        <x:v>0</x:v>
      </x:c>
      <x:c r="M6" s="31" t="n">
        <x:v>27.5258865</x:v>
      </x:c>
      <x:c r="N6" s="24" t="str">
        <x:v>octopus</x:v>
      </x:c>
      <x:c r="O6" s="32" t="n">
        <x:v>3.8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Octopus</x:v>
      </x:c>
      <x:c r="T6" s="32" t="n">
        <x:f>IF(O6="","",(1/'Metadata'!$B$5)^(O6-1))</x:f>
        <x:v>630.957344480193</x:v>
      </x:c>
      <x:c r="U6" s="31" t="n">
        <x:f>IF(T6="","",I6*T6)</x:f>
        <x:v>17367.66025050319</x:v>
      </x:c>
    </x:row>
    <x:row r="7" ht="18" customHeight="1">
      <x:c r="A7" s="24" t="str">
        <x:v>EEZ_951</x:v>
      </x:c>
      <x:c r="B7" s="24" t="str">
        <x:v>Panama (Caribbean)</x:v>
      </x:c>
      <x:c r="C7" s="24" t="str">
        <x:v>EEZ</x:v>
      </x:c>
      <x:c r="D7" s="30" t="n">
        <x:v>2019</x:v>
      </x:c>
      <x:c r="E7" s="24" t="str">
        <x:v>Elasmobranchii</x:v>
      </x:c>
      <x:c r="F7" s="24" t="str">
        <x:v>Sharks, rays, skates</x:v>
      </x:c>
      <x:c r="G7" s="24" t="str">
        <x:v>Large sharks (&gt;=90 cm)</x:v>
      </x:c>
      <x:c r="H7" s="24" t="str">
        <x:v>Sharks &amp; rays</x:v>
      </x:c>
      <x:c r="I7" s="31" t="n">
        <x:v>1.2505599766000002</x:v>
      </x:c>
      <x:c r="J7" s="31" t="n">
        <x:v>1.2504543218000002</x:v>
      </x:c>
      <x:c r="K7" s="31" t="n">
        <x:v>0.0001056548</x:v>
      </x:c>
      <x:c r="L7" s="31" t="n">
        <x:v>1.2504543218000002</x:v>
      </x:c>
      <x:c r="M7" s="31" t="n">
        <x:v>0.0001056548</x:v>
      </x:c>
      <x:c r="N7" s="24" t="str">
        <x:v>elasmobranchii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Elasmobranchii</x:v>
      </x:c>
      <x:c r="T7" s="32" t="n">
        <x:f>IF(O7="","",(1/'Metadata'!$B$5)^(O7-1))</x:f>
        <x:v>1122.018454301963</x:v>
      </x:c>
      <x:c r="U7" s="31" t="n">
        <x:f>IF(T7="","",I7*T7)</x:f>
        <x:v>1403.1513719566312</x:v>
      </x:c>
    </x:row>
    <x:row r="8" ht="18" customHeight="1">
      <x:c r="A8" s="24" t="str">
        <x:v>EEZ_951</x:v>
      </x:c>
      <x:c r="B8" s="24" t="str">
        <x:v>Panama (Caribbean)</x:v>
      </x:c>
      <x:c r="C8" s="24" t="str">
        <x:v>EEZ</x:v>
      </x:c>
      <x:c r="D8" s="30" t="n">
        <x:v>2019</x:v>
      </x:c>
      <x:c r="E8" s="24" t="str">
        <x:v>Prionace glauca</x:v>
      </x:c>
      <x:c r="F8" s="24" t="str">
        <x:v>Blue shark</x:v>
      </x:c>
      <x:c r="G8" s="24" t="str">
        <x:v>Large sharks (&gt;=90 cm)</x:v>
      </x:c>
      <x:c r="H8" s="24" t="str">
        <x:v>Sharks &amp; rays</x:v>
      </x:c>
      <x:c r="I8" s="31" t="n">
        <x:v>0.470565516</x:v>
      </x:c>
      <x:c r="J8" s="31" t="n">
        <x:v>0</x:v>
      </x:c>
      <x:c r="K8" s="31" t="n">
        <x:v>0.470565516</x:v>
      </x:c>
      <x:c r="L8" s="31" t="n">
        <x:v>0</x:v>
      </x:c>
      <x:c r="M8" s="31" t="n">
        <x:v>0.470565516</x:v>
      </x:c>
      <x:c r="N8" s="24" t="str">
        <x:v>prionace glauca</x:v>
      </x:c>
      <x:c r="O8" s="32" t="n">
        <x:v>4.35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Prionace glauca</x:v>
      </x:c>
      <x:c r="T8" s="32" t="n">
        <x:f>IF(O8="","",(1/'Metadata'!$B$5)^(O8-1))</x:f>
        <x:v>2238.7211385683377</x:v>
      </x:c>
      <x:c r="U8" s="31" t="n">
        <x:f>IF(T8="","",I8*T8)</x:f>
        <x:v>1053.4649677505174</x:v>
      </x:c>
    </x:row>
    <x:row r="9" ht="18" customHeight="1">
      <x:c r="A9" s="24" t="str">
        <x:v>EEZ_951</x:v>
      </x:c>
      <x:c r="B9" s="24" t="str">
        <x:v>Panama (Caribbean)</x:v>
      </x:c>
      <x:c r="C9" s="24" t="str">
        <x:v>EEZ</x:v>
      </x:c>
      <x:c r="D9" s="30" t="n">
        <x:v>2019</x:v>
      </x:c>
      <x:c r="E9" s="24" t="str">
        <x:v>Thunnus albacares</x:v>
      </x:c>
      <x:c r="F9" s="24" t="str">
        <x:v>Yellowfin tuna</x:v>
      </x:c>
      <x:c r="G9" s="24" t="str">
        <x:v>Large pelagics (&gt;=90 cm)</x:v>
      </x:c>
      <x:c r="H9" s="24" t="str">
        <x:v>Tuna &amp; billfishes</x:v>
      </x:c>
      <x:c r="I9" s="31" t="n">
        <x:v>0.0008810197</x:v>
      </x:c>
      <x:c r="J9" s="31" t="n">
        <x:v>0</x:v>
      </x:c>
      <x:c r="K9" s="31" t="n">
        <x:v>0.0008810197</x:v>
      </x:c>
      <x:c r="L9" s="31" t="n">
        <x:v>0</x:v>
      </x:c>
      <x:c r="M9" s="31" t="n">
        <x:v>0.0008810197</x:v>
      </x:c>
      <x:c r="N9" s="24" t="str">
        <x:v>thunnus albacares</x:v>
      </x:c>
      <x:c r="O9" s="32" t="n">
        <x:v>4.41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Thunnus albacares</x:v>
      </x:c>
      <x:c r="T9" s="32" t="n">
        <x:f>IF(O9="","",(1/'Metadata'!$B$5)^(O9-1))</x:f>
        <x:v>2570.3957827688646</x:v>
      </x:c>
      <x:c r="U9" s="31" t="n">
        <x:f>IF(T9="","",I9*T9)</x:f>
        <x:v>2.2645693214162903</x:v>
      </x:c>
    </x:row>
    <x:row r="10" ht="18" customHeight="1">
      <x:c r="A10" s="24" t="str">
        <x:v>EEZ_951</x:v>
      </x:c>
      <x:c r="B10" s="24" t="str">
        <x:v>Panama (Caribbean)</x:v>
      </x:c>
      <x:c r="C10" s="24" t="str">
        <x:v>EEZ</x:v>
      </x:c>
      <x:c r="D10" s="30" t="n">
        <x:v>2019</x:v>
      </x:c>
      <x:c r="E10" s="24" t="str">
        <x:v>Coryphaena hippurus</x:v>
      </x:c>
      <x:c r="F10" s="24" t="str">
        <x:v>Common dolphinfish</x:v>
      </x:c>
      <x:c r="G10" s="24" t="str">
        <x:v>Large pelagics (&gt;=90 cm)</x:v>
      </x:c>
      <x:c r="H10" s="24" t="str">
        <x:v>Perch-likes</x:v>
      </x:c>
      <x:c r="I10" s="31" t="n">
        <x:v>0.0002779483</x:v>
      </x:c>
      <x:c r="J10" s="31" t="n">
        <x:v>0</x:v>
      </x:c>
      <x:c r="K10" s="31" t="n">
        <x:v>0.0002779483</x:v>
      </x:c>
      <x:c r="L10" s="31" t="n">
        <x:v>0</x:v>
      </x:c>
      <x:c r="M10" s="31" t="n">
        <x:v>0.0002779483</x:v>
      </x:c>
      <x:c r="N10" s="24" t="str">
        <x:v>coryphaena hippurus</x:v>
      </x:c>
      <x:c r="O10" s="32" t="n">
        <x:v>4.37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Coryphaena hippurus</x:v>
      </x:c>
      <x:c r="T10" s="32" t="n">
        <x:f>IF(O10="","",(1/'Metadata'!$B$5)^(O10-1))</x:f>
        <x:v>2344.228815319923</x:v>
      </x:c>
      <x:c r="U10" s="31" t="n">
        <x:f>IF(T10="","",I10*T10)</x:f>
        <x:v>0.6515744140291866</x:v>
      </x:c>
    </x:row>
    <x:row r="11" ht="18" customHeight="1">
      <x:c r="A11" s="24" t="str">
        <x:v>EEZ_951</x:v>
      </x:c>
      <x:c r="B11" s="24" t="str">
        <x:v>Panama (Caribbean)</x:v>
      </x:c>
      <x:c r="C11" s="24" t="str">
        <x:v>EEZ</x:v>
      </x:c>
      <x:c r="D11" s="30" t="n">
        <x:v>2019</x:v>
      </x:c>
      <x:c r="E11" s="24" t="str">
        <x:v>Scombridae</x:v>
      </x:c>
      <x:c r="F11" s="24" t="str">
        <x:v>Mackerels, tunas, bonitos</x:v>
      </x:c>
      <x:c r="G11" s="24" t="str">
        <x:v>Medium pelagics (30 - 89 cm)</x:v>
      </x:c>
      <x:c r="H11" s="24" t="str">
        <x:v>Perch-likes</x:v>
      </x:c>
      <x:c r="I11" s="31" t="n">
        <x:v>0.0002597495</x:v>
      </x:c>
      <x:c r="J11" s="31" t="n">
        <x:v>0</x:v>
      </x:c>
      <x:c r="K11" s="31" t="n">
        <x:v>0.0002597495</x:v>
      </x:c>
      <x:c r="L11" s="31" t="n">
        <x:v>0</x:v>
      </x:c>
      <x:c r="M11" s="31" t="n">
        <x:v>0.0002597495</x:v>
      </x:c>
      <x:c r="N11" s="24" t="str">
        <x:v>scombridae</x:v>
      </x:c>
      <x:c r="O11" s="32" t="n">
        <x:v>4.26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Scombridae</x:v>
      </x:c>
      <x:c r="T11" s="32" t="n">
        <x:f>IF(O11="","",(1/'Metadata'!$B$5)^(O11-1))</x:f>
        <x:v>1819.7008586099826</x:v>
      </x:c>
      <x:c r="U11" s="31" t="n">
        <x:f>IF(T11="","",I11*T11)</x:f>
        <x:v>0.47266638817351364</x:v>
      </x:c>
    </x:row>
    <x:row r="12" ht="18" customHeight="1">
      <x:c r="A12" s="24" t="str">
        <x:v>EEZ_951</x:v>
      </x:c>
      <x:c r="B12" s="24" t="str">
        <x:v>Panama (Caribbean)</x:v>
      </x:c>
      <x:c r="C12" s="24" t="str">
        <x:v>EEZ</x:v>
      </x:c>
      <x:c r="D12" s="30" t="n">
        <x:v>2019</x:v>
      </x:c>
      <x:c r="E12" s="24" t="str">
        <x:v>Katsuwonus pelamis</x:v>
      </x:c>
      <x:c r="F12" s="24" t="str">
        <x:v>Skipjack tuna</x:v>
      </x:c>
      <x:c r="G12" s="24" t="str">
        <x:v>Large pelagics (&gt;=90 cm)</x:v>
      </x:c>
      <x:c r="H12" s="24" t="str">
        <x:v>Tuna &amp; billfishes</x:v>
      </x:c>
      <x:c r="I12" s="31" t="n">
        <x:v>3.271e-7</x:v>
      </x:c>
      <x:c r="J12" s="31" t="n">
        <x:v>0</x:v>
      </x:c>
      <x:c r="K12" s="31" t="n">
        <x:v>3.271e-7</x:v>
      </x:c>
      <x:c r="L12" s="31" t="n">
        <x:v>0</x:v>
      </x:c>
      <x:c r="M12" s="31" t="n">
        <x:v>3.271e-7</x:v>
      </x:c>
      <x:c r="N12" s="24" t="str">
        <x:v>katsuwonus pelamis</x:v>
      </x:c>
      <x:c r="O12" s="32" t="n">
        <x:v>4.43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Katsuwonus pelamis</x:v>
      </x:c>
      <x:c r="T12" s="32" t="n">
        <x:f>IF(O12="","",(1/'Metadata'!$B$5)^(O12-1))</x:f>
        <x:v>2691.534803926914</x:v>
      </x:c>
      <x:c r="U12" s="31" t="n">
        <x:f>IF(T12="","",I12*T12)</x:f>
        <x:v>0.0008804010343644935</x:v>
      </x:c>
    </x:row>
    <x:row r="13" ht="18" customHeight="1">
      <x:c r="A13" s="24" t="str">
        <x:v>EEZ_951</x:v>
      </x:c>
      <x:c r="B13" s="24" t="str">
        <x:v>Panama (Caribbean)</x:v>
      </x:c>
      <x:c r="C13" s="24" t="str">
        <x:v>EEZ</x:v>
      </x:c>
      <x:c r="D13" s="30" t="n">
        <x:v>2019</x:v>
      </x:c>
      <x:c r="E13" s="24" t="str">
        <x:v>Thunnus obesus</x:v>
      </x:c>
      <x:c r="F13" s="24" t="str">
        <x:v>Bigeye tuna</x:v>
      </x:c>
      <x:c r="G13" s="24" t="str">
        <x:v>Large pelagics (&gt;=90 cm)</x:v>
      </x:c>
      <x:c r="H13" s="24" t="str">
        <x:v>Tuna &amp; billfishes</x:v>
      </x:c>
      <x:c r="I13" s="31" t="n">
        <x:v>2.31e-8</x:v>
      </x:c>
      <x:c r="J13" s="31" t="n">
        <x:v>0</x:v>
      </x:c>
      <x:c r="K13" s="31" t="n">
        <x:v>2.31e-8</x:v>
      </x:c>
      <x:c r="L13" s="31" t="n">
        <x:v>0</x:v>
      </x:c>
      <x:c r="M13" s="31" t="n">
        <x:v>2.31e-8</x:v>
      </x:c>
      <x:c r="N13" s="24" t="str">
        <x:v>thunnus obesus</x:v>
      </x:c>
      <x:c r="O13" s="32" t="n">
        <x:v>4.49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Thunnus obesus</x:v>
      </x:c>
      <x:c r="T13" s="32" t="n">
        <x:f>IF(O13="","",(1/'Metadata'!$B$5)^(O13-1))</x:f>
        <x:v>3090.295432513592</x:v>
      </x:c>
      <x:c r="U13" s="31" t="n">
        <x:f>IF(T13="","",I13*T13)</x:f>
        <x:v>0.00007138582449106397</x:v>
      </x:c>
    </x:row>
  </x:sheetData>
  <x:conditionalFormatting sqref="R2:R1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01e7cf38770c403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141.16382976</x:v>
      </x:c>
      <x:c r="C2" s="32" t="n">
        <x:v>2.6</x:v>
      </x:c>
      <x:c r="D2" s="32" t="n">
        <x:f>IF(C2="","",(1/'Metadata'!$B$5)^(C2-1))</x:f>
        <x:v>39.810717055349734</x:v>
      </x:c>
      <x:c r="E2" s="31" t="n">
        <x:f>IF(B2=0,"",B2*D2)</x:f>
        <x:v>5619.833285024918</x:v>
      </x:c>
    </x:row>
    <x:row r="3" ht="18" customHeight="1">
      <x:c r="A3" s="24" t="str">
        <x:v>Molluscs</x:v>
      </x:c>
      <x:c r="B3" s="31" t="n">
        <x:v>41.28882976</x:v>
      </x:c>
      <x:c r="C3" s="32" t="n">
        <x:v>2.19</x:v>
      </x:c>
      <x:c r="D3" s="32" t="n">
        <x:f>IF(C3="","",(1/'Metadata'!$B$5)^(C3-1))</x:f>
        <x:v>15.488166189124811</x:v>
      </x:c>
      <x:c r="E3" s="31" t="n">
        <x:f>IF(B3=0,"",B3*D3)</x:f>
        <x:v>639.4882570773623</x:v>
      </x:c>
    </x:row>
    <x:row r="4" ht="18" customHeight="1">
      <x:c r="A4" s="24" t="str">
        <x:v>Other fishes &amp; inverts</x:v>
      </x:c>
      <x:c r="B4" s="31" t="n">
        <x:v>1296.1750939376</x:v>
      </x:c>
      <x:c r="C4" s="32" t="n">
        <x:v>3.2910428452505722</x:v>
      </x:c>
      <x:c r="D4" s="32" t="n">
        <x:f>IF(C4="","",(1/'Metadata'!$B$5)^(C4-1))</x:f>
        <x:v>195.45322703233595</x:v>
      </x:c>
      <x:c r="E4" s="31" t="n">
        <x:f>IF(B4=0,"",B4*D4)</x:f>
        <x:v>253341.6049090451</x:v>
      </x:c>
    </x:row>
    <x:row r="5" ht="18" customHeight="1">
      <x:c r="A5" s="24" t="str">
        <x:v>Perch-likes</x:v>
      </x:c>
      <x:c r="B5" s="31" t="n">
        <x:v>70.1105376978</x:v>
      </x:c>
      <x:c r="C5" s="32" t="n">
        <x:v>4.26000043608727</x:v>
      </x:c>
      <x:c r="D5" s="32" t="n">
        <x:f>IF(C5="","",(1/'Metadata'!$B$5)^(C5-1))</x:f>
        <x:v>1819.7026858235706</x:v>
      </x:c>
      <x:c r="E5" s="31" t="n">
        <x:f>IF(B5=0,"",B5*D5)</x:f>
        <x:v>127580.33375322135</x:v>
      </x:c>
    </x:row>
    <x:row r="6" ht="18" customHeight="1">
      <x:c r="A6" s="24" t="str">
        <x:v>Sharks &amp; rays</x:v>
      </x:c>
      <x:c r="B6" s="31" t="n">
        <x:v>1.7211254926000001</x:v>
      </x:c>
      <x:c r="C6" s="32" t="n">
        <x:v>4.13202170928672</x:v>
      </x:c>
      <x:c r="D6" s="32" t="n">
        <x:f>IF(C6="","",(1/'Metadata'!$B$5)^(C6-1))</x:f>
        <x:v>1355.2571565478231</x:v>
      </x:c>
      <x:c r="E6" s="31" t="n">
        <x:f>IF(B6=0,"",B6*D6)</x:f>
        <x:v>2332.5676411630475</x:v>
      </x:c>
    </x:row>
    <x:row r="7" ht="18" customHeight="1">
      <x:c r="A7" s="24" t="str">
        <x:v>Tuna &amp; billfishes</x:v>
      </x:c>
      <x:c r="B7" s="31" t="n">
        <x:v>0.0008813699</x:v>
      </x:c>
      <x:c r="C7" s="32" t="n">
        <x:v>4.410009519272215</x:v>
      </x:c>
      <x:c r="D7" s="32" t="n">
        <x:f>IF(C7="","",(1/'Metadata'!$B$5)^(C7-1))</x:f>
        <x:v>2570.452123722612</x:v>
      </x:c>
      <x:c r="E7" s="31" t="n">
        <x:f>IF(B7=0,"",B7*D7)</x:f>
        <x:v>2.2655191312401866</x:v>
      </x:c>
    </x:row>
  </x:sheetData>
  <x:pageMargins left="0.7" right="0.7" top="0.75" bottom="0.75" header="0.3" footer="0.3"/>
  <x:tableParts count="1">
    <x:tablePart xmlns:r="http://schemas.openxmlformats.org/officeDocument/2006/relationships" r:id="R11c0826cd6ae4e4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27.5258865</x:v>
      </x:c>
      <x:c r="C2" s="32" t="n">
        <x:v>3.8</x:v>
      </x:c>
      <x:c r="D2" s="32" t="n">
        <x:f>IF(C2="","",(1/'Metadata'!$B$5)^(C2-1))</x:f>
        <x:v>630.957344480193</x:v>
      </x:c>
      <x:c r="E2" s="31" t="n">
        <x:f>IF(B2=0,"",B2*D2)</x:f>
        <x:v>17367.66025050319</x:v>
      </x:c>
    </x:row>
    <x:row r="3" ht="18" customHeight="1">
      <x:c r="A3" s="24" t="str">
        <x:v>Large pelagics (&gt;=90 cm)</x:v>
      </x:c>
      <x:c r="B3" s="31" t="n">
        <x:v>70.1111593182</x:v>
      </x:c>
      <x:c r="C3" s="32" t="n">
        <x:v>4.260002321858455</x:v>
      </x:c>
      <x:c r="D3" s="32" t="n">
        <x:f>IF(C3="","",(1/'Metadata'!$B$5)^(C3-1))</x:f>
        <x:v>1819.7105872602283</x:v>
      </x:c>
      <x:c r="E3" s="31" t="n">
        <x:f>IF(B3=0,"",B3*D3)</x:f>
        <x:v>127582.01889641714</x:v>
      </x:c>
    </x:row>
    <x:row r="4" ht="18" customHeight="1">
      <x:c r="A4" s="24" t="str">
        <x:v>Large sharks (&gt;=90 cm)</x:v>
      </x:c>
      <x:c r="B4" s="31" t="n">
        <x:v>1.7211254926000001</x:v>
      </x:c>
      <x:c r="C4" s="32" t="n">
        <x:v>4.13202170928672</x:v>
      </x:c>
      <x:c r="D4" s="32" t="n">
        <x:f>IF(C4="","",(1/'Metadata'!$B$5)^(C4-1))</x:f>
        <x:v>1355.2571565478231</x:v>
      </x:c>
      <x:c r="E4" s="31" t="n">
        <x:f>IF(B4=0,"",B4*D4)</x:f>
        <x:v>2332.5676411630475</x:v>
      </x:c>
    </x:row>
    <x:row r="5" ht="18" customHeight="1">
      <x:c r="A5" s="24" t="str">
        <x:v>Lobsters, crabs</x:v>
      </x:c>
      <x:c r="B5" s="31" t="n">
        <x:v>141.16382976</x:v>
      </x:c>
      <x:c r="C5" s="32" t="n">
        <x:v>2.6</x:v>
      </x:c>
      <x:c r="D5" s="32" t="n">
        <x:f>IF(C5="","",(1/'Metadata'!$B$5)^(C5-1))</x:f>
        <x:v>39.810717055349734</x:v>
      </x:c>
      <x:c r="E5" s="31" t="n">
        <x:f>IF(B5=0,"",B5*D5)</x:f>
        <x:v>5619.833285024918</x:v>
      </x:c>
    </x:row>
    <x:row r="6" ht="18" customHeight="1">
      <x:c r="A6" s="24" t="str">
        <x:v>Medium demersals (30 - 89 cm)</x:v>
      </x:c>
      <x:c r="B6" s="31" t="n">
        <x:v>1268.6492074376</x:v>
      </x:c>
      <x:c r="C6" s="32" t="n">
        <x:v>3.2799999999999994</x:v>
      </x:c>
      <x:c r="D6" s="32" t="n">
        <x:f>IF(C6="","",(1/'Metadata'!$B$5)^(C6-1))</x:f>
        <x:v>190.54607179632444</x:v>
      </x:c>
      <x:c r="E6" s="31" t="n">
        <x:f>IF(B6=0,"",B6*D6)</x:f>
        <x:v>241736.12296475502</x:v>
      </x:c>
    </x:row>
    <x:row r="7" ht="18" customHeight="1">
      <x:c r="A7" s="24" t="str">
        <x:v>Medium pelagics (30 - 89 cm)</x:v>
      </x:c>
      <x:c r="B7" s="31" t="n">
        <x:v>0.0002597495</x:v>
      </x:c>
      <x:c r="C7" s="32" t="n">
        <x:v>4.26</x:v>
      </x:c>
      <x:c r="D7" s="32" t="n">
        <x:f>IF(C7="","",(1/'Metadata'!$B$5)^(C7-1))</x:f>
        <x:v>1819.7008586099826</x:v>
      </x:c>
      <x:c r="E7" s="31" t="n">
        <x:f>IF(B7=0,"",B7*D7)</x:f>
        <x:v>0.47266638817351364</x:v>
      </x:c>
    </x:row>
    <x:row r="8" ht="18" customHeight="1">
      <x:c r="A8" s="24" t="str">
        <x:v>Other demersal invertebrates</x:v>
      </x:c>
      <x:c r="B8" s="31" t="n">
        <x:v>41.28882976</x:v>
      </x:c>
      <x:c r="C8" s="32" t="n">
        <x:v>2.19</x:v>
      </x:c>
      <x:c r="D8" s="32" t="n">
        <x:f>IF(C8="","",(1/'Metadata'!$B$5)^(C8-1))</x:f>
        <x:v>15.488166189124811</x:v>
      </x:c>
      <x:c r="E8" s="31" t="n">
        <x:f>IF(B8=0,"",B8*D8)</x:f>
        <x:v>639.4882570773623</x:v>
      </x:c>
    </x:row>
  </x:sheetData>
  <x:pageMargins left="0.7" right="0.7" top="0.75" bottom="0.75" header="0.3" footer="0.3"/>
  <x:tableParts count="1">
    <x:tablePart xmlns:r="http://schemas.openxmlformats.org/officeDocument/2006/relationships" r:id="Rda1b1cbbae1c43c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EEZ_951</x:v>
      </x:c>
      <x:c r="B2" s="24" t="str">
        <x:v>raw_filtered_tonnes</x:v>
      </x:c>
      <x:c r="C2" s="24" t="n">
        <x:v>1550.4602980179</x:v>
      </x:c>
      <x:c r="D2" s="24" t="str">
        <x:v>tonnes</x:v>
      </x:c>
    </x:row>
    <x:row r="3" ht="18" customHeight="1">
      <x:c r="A3" s="24" t="str">
        <x:v>EEZ_951</x:v>
      </x:c>
      <x:c r="B3" s="24" t="str">
        <x:v>species_catch_tonnes</x:v>
      </x:c>
      <x:c r="C3" s="24" t="n">
        <x:v>1550.4602980178997</x:v>
      </x:c>
      <x:c r="D3" s="24" t="str">
        <x:v>tonnes</x:v>
      </x:c>
    </x:row>
    <x:row r="4" ht="18" customHeight="1">
      <x:c r="A4" s="24" t="str">
        <x:v>EEZ_951</x:v>
      </x:c>
      <x:c r="B4" s="24" t="str">
        <x:v>catch_difference_tonnes</x:v>
      </x:c>
      <x:c r="C4" s="24" t="n">
        <x:v>-2.2737367544323206e-13</x:v>
      </x:c>
      <x:c r="D4" s="24" t="str">
        <x:v>tonnes</x:v>
      </x:c>
    </x:row>
    <x:row r="5" ht="18" customHeight="1">
      <x:c r="A5" s="24" t="str">
        <x:v>EEZ_951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EEZ_951</x:v>
      </x:c>
      <x:c r="B6" s="24" t="str">
        <x:v>matched_catch_tonnes</x:v>
      </x:c>
      <x:c r="C6" s="24" t="n">
        <x:v>1550.4602980178997</x:v>
      </x:c>
      <x:c r="D6" s="24" t="str">
        <x:v>tonnes</x:v>
      </x:c>
    </x:row>
    <x:row r="7" ht="18" customHeight="1">
      <x:c r="A7" s="24" t="str">
        <x:v>EEZ_951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EEZ_951</x:v>
      </x:c>
      <x:c r="B8" s="24" t="str">
        <x:v>taxa_count</x:v>
      </x:c>
      <x:c r="C8" s="24" t="n">
        <x:v>12</x:v>
      </x:c>
      <x:c r="D8" s="24" t="str">
        <x:v>count</x:v>
      </x:c>
    </x:row>
    <x:row r="9" ht="18" customHeight="1">
      <x:c r="A9" s="24" t="str">
        <x:v>EEZ_951</x:v>
      </x:c>
      <x:c r="B9" s="24" t="str">
        <x:v>matched_taxa_count</x:v>
      </x:c>
      <x:c r="C9" s="24" t="n">
        <x:v>12</x:v>
      </x:c>
      <x:c r="D9" s="24" t="str">
        <x:v>count</x:v>
      </x:c>
    </x:row>
    <x:row r="10" ht="18" customHeight="1">
      <x:c r="A10" s="24" t="str">
        <x:v>EEZ_951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EEZ_951</x:v>
      </x:c>
      <x:c r="B11" s="24" t="str">
        <x:v>species_ppr</x:v>
      </x:c>
      <x:c r="C11" s="24" t="n">
        <x:v>395402.3380561242</x:v>
      </x:c>
      <x:c r="D11" s="24" t="str">
        <x:v>tonnes_primary_production_equivalent</x:v>
      </x:c>
    </x:row>
    <x:row r="12" ht="18" customHeight="1">
      <x:c r="A12" s="24" t="str">
        <x:v>EEZ_951</x:v>
      </x:c>
      <x:c r="B12" s="24" t="str">
        <x:v>commercial_ppr</x:v>
      </x:c>
      <x:c r="C12" s="24" t="n">
        <x:v>389516.0933646631</x:v>
      </x:c>
      <x:c r="D12" s="24" t="str">
        <x:v>tonnes_primary_production_equivalent</x:v>
      </x:c>
    </x:row>
    <x:row r="13" ht="18" customHeight="1">
      <x:c r="A13" s="24" t="str">
        <x:v>EEZ_951</x:v>
      </x:c>
      <x:c r="B13" s="24" t="str">
        <x:v>functional_ppr</x:v>
      </x:c>
      <x:c r="C13" s="24" t="n">
        <x:v>395278.1639613288</x:v>
      </x:c>
      <x:c r="D13" s="24" t="str">
        <x:v>tonnes_primary_production_equivalent</x:v>
      </x:c>
    </x:row>
    <x:row r="14" ht="18" customHeight="1">
      <x:c r="A14" s="24" t="str">
        <x:v>EEZ_951</x:v>
      </x:c>
      <x:c r="B14" s="24" t="str">
        <x:v>commercial_ppr_difference</x:v>
      </x:c>
      <x:c r="C14" s="24" t="n">
        <x:v>-5886.24469146115</x:v>
      </x:c>
      <x:c r="D14" s="24" t="str">
        <x:v>tonnes_primary_production_equivalent</x:v>
      </x:c>
    </x:row>
    <x:row r="15" ht="18" customHeight="1">
      <x:c r="A15" s="24" t="str">
        <x:v>EEZ_951</x:v>
      </x:c>
      <x:c r="B15" s="24" t="str">
        <x:v>functional_ppr_difference</x:v>
      </x:c>
      <x:c r="C15" s="24" t="n">
        <x:v>-124.17409479542403</x:v>
      </x:c>
      <x:c r="D15" s="24" t="str">
        <x:v>tonnes_primary_production_equivalent</x:v>
      </x:c>
    </x:row>
    <x:row r="16" ht="18" customHeight="1">
      <x:c r="A16" s="24" t="str">
        <x:v>EEZ_951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EEZ_951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7353f27153d6476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EEZ_951 - Panama (Caribbean)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EEZ_951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raw_data/SAU_downloads/EEZ_951-catch.zip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