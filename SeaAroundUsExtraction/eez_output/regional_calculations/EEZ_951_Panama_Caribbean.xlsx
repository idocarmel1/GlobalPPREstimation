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1d71eade2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08bb86b34f41d1"/>
    <x:sheet xmlns:r="http://schemas.openxmlformats.org/officeDocument/2006/relationships" name="Commercial" sheetId="2" r:id="R83a89c8ceb4b4776"/>
    <x:sheet xmlns:r="http://schemas.openxmlformats.org/officeDocument/2006/relationships" name="Functional" sheetId="3" r:id="R1cf99f9e5e424e6e"/>
    <x:sheet xmlns:r="http://schemas.openxmlformats.org/officeDocument/2006/relationships" name="Missing TL" sheetId="4" r:id="Rbc86cdb725934bb2"/>
    <x:sheet xmlns:r="http://schemas.openxmlformats.org/officeDocument/2006/relationships" name="Validation" sheetId="5" r:id="R80b4d964319e4b95"/>
    <x:sheet xmlns:r="http://schemas.openxmlformats.org/officeDocument/2006/relationships" name="Metadata" sheetId="6" r:id="R9a3c24c332d9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fde02ccb24163" /><Relationship Type="http://schemas.openxmlformats.org/officeDocument/2006/relationships/theme" Target="/xl/theme/theme1.xml" Id="Rb0e54b3e128f402d" /><Relationship Type="http://schemas.microsoft.com/office/2022/11/relationships/FeaturePropertyBag" Target="/xl/featurePropertyBag/featurePropertyBag.xml" Id="R2650e2f6d28b4cae" /><Relationship Type="http://schemas.openxmlformats.org/officeDocument/2006/relationships/sharedStrings" Target="/xl/sharedStrings.xml" Id="R6186351dc0494b51" /><Relationship Type="http://schemas.openxmlformats.org/officeDocument/2006/relationships/worksheet" Target="/xl/worksheets/sheet1.xml" Id="Rf308bb86b34f41d1" /><Relationship Type="http://schemas.openxmlformats.org/officeDocument/2006/relationships/worksheet" Target="/xl/worksheets/sheet2.xml" Id="R83a89c8ceb4b4776" /><Relationship Type="http://schemas.openxmlformats.org/officeDocument/2006/relationships/worksheet" Target="/xl/worksheets/sheet3.xml" Id="R1cf99f9e5e424e6e" /><Relationship Type="http://schemas.openxmlformats.org/officeDocument/2006/relationships/worksheet" Target="/xl/worksheets/sheet4.xml" Id="Rbc86cdb725934bb2" /><Relationship Type="http://schemas.openxmlformats.org/officeDocument/2006/relationships/worksheet" Target="/xl/worksheets/sheet5.xml" Id="R80b4d964319e4b95" /><Relationship Type="http://schemas.openxmlformats.org/officeDocument/2006/relationships/worksheet" Target="/xl/worksheets/sheet6.xml" Id="R9a3c24c332d9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1SpeciesTable" displayName="EEZ951SpeciesTable" ref="A1:U13" headerRowCount="1" totalsRowCount="0" totalsRowShown="0">
  <x:autoFilter ref="A1:U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1CommercialTable" displayName="EEZ951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1FunctionalTable" displayName="EEZ951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1ValidationTable" displayName="EEZ9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ed994f1c574f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0f3d4b0ede43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f934774dfa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ecc4044e4e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EEZ_951</x:v>
      </x:c>
      <x:c r="B2" s="24" t="str">
        <x:v>Panama (Caribbean)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1268.6492074376</x:v>
      </x:c>
      <x:c r="J2" s="31" t="n">
        <x:v>1266.1907795</x:v>
      </x:c>
      <x:c r="K2" s="31" t="n">
        <x:v>2.4584279376000002</x:v>
      </x:c>
      <x:c r="L2" s="31" t="n">
        <x:v>0</x:v>
      </x:c>
      <x:c r="M2" s="31" t="n">
        <x:v>1268.6492074376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241736.12296475525</x:v>
      </x:c>
    </x:row>
    <x:row r="3" ht="18" customHeight="1">
      <x:c r="A3" s="24" t="str">
        <x:v>EEZ_951</x:v>
      </x:c>
      <x:c r="B3" s="24" t="str">
        <x:v>Panama (Caribbean)</x:v>
      </x:c>
      <x:c r="C3" s="24" t="str">
        <x:v>EEZ</x:v>
      </x:c>
      <x:c r="D3" s="30" t="n">
        <x:v>2019</x:v>
      </x:c>
      <x:c r="E3" s="24" t="str">
        <x:v>Panulirus</x:v>
      </x:c>
      <x:c r="F3" s="24" t="str">
        <x:v>Spiny lobsters</x:v>
      </x:c>
      <x:c r="G3" s="24" t="str">
        <x:v>Lobsters, crabs</x:v>
      </x:c>
      <x:c r="H3" s="24" t="str">
        <x:v>Crustaceans</x:v>
      </x:c>
      <x:c r="I3" s="31" t="n">
        <x:v>141.16382976</x:v>
      </x:c>
      <x:c r="J3" s="31" t="n">
        <x:v>141.16382976</x:v>
      </x:c>
      <x:c r="K3" s="31" t="n">
        <x:v>0</x:v>
      </x:c>
      <x:c r="L3" s="31" t="n">
        <x:v>12</x:v>
      </x:c>
      <x:c r="M3" s="31" t="n">
        <x:v>129.16382976</x:v>
      </x:c>
      <x:c r="N3" s="24" t="str">
        <x:v>panulirus</x:v>
      </x:c>
      <x:c r="O3" s="32" t="n">
        <x:v>2.6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</x:v>
      </x:c>
      <x:c r="T3" s="32" t="n">
        <x:f>IF(O3="","",(1/'Metadata'!$B$5)^(O3-1))</x:f>
        <x:v>39.810717055349734</x:v>
      </x:c>
      <x:c r="U3" s="31" t="n">
        <x:f>IF(T3="","",I3*T3)</x:f>
        <x:v>5619.833285024918</x:v>
      </x:c>
    </x:row>
    <x:row r="4" ht="18" customHeight="1">
      <x:c r="A4" s="24" t="str">
        <x:v>EEZ_951</x:v>
      </x:c>
      <x:c r="B4" s="24" t="str">
        <x:v>Panama (Caribbean)</x:v>
      </x:c>
      <x:c r="C4" s="24" t="str">
        <x:v>EEZ</x:v>
      </x:c>
      <x:c r="D4" s="30" t="n">
        <x:v>2019</x:v>
      </x:c>
      <x:c r="E4" s="24" t="str">
        <x:v>Acanthocybium solandri</x:v>
      </x:c>
      <x:c r="F4" s="24" t="str">
        <x:v>Wahoo</x:v>
      </x:c>
      <x:c r="G4" s="24" t="str">
        <x:v>Large pelagics (&gt;=90 cm)</x:v>
      </x:c>
      <x:c r="H4" s="24" t="str">
        <x:v>Perch-likes</x:v>
      </x:c>
      <x:c r="I4" s="31" t="n">
        <x:v>70.11</x:v>
      </x:c>
      <x:c r="J4" s="31" t="n">
        <x:v>70.11</x:v>
      </x:c>
      <x:c r="K4" s="31" t="n">
        <x:v>0</x:v>
      </x:c>
      <x:c r="L4" s="31" t="n">
        <x:v>70.11</x:v>
      </x:c>
      <x:c r="M4" s="31" t="n">
        <x:v>0</x:v>
      </x:c>
      <x:c r="N4" s="24" t="str">
        <x:v>acanthocybium solandri</x:v>
      </x:c>
      <x:c r="O4" s="32" t="n">
        <x:v>4.26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Acanthocybium solandri</x:v>
      </x:c>
      <x:c r="T4" s="32" t="n">
        <x:f>IF(O4="","",(1/'Metadata'!$B$5)^(O4-1))</x:f>
        <x:v>1819.7008586099826</x:v>
      </x:c>
      <x:c r="U4" s="31" t="n">
        <x:f>IF(T4="","",I4*T4)</x:f>
        <x:v>127579.22719714588</x:v>
      </x:c>
    </x:row>
    <x:row r="5" ht="18" customHeight="1">
      <x:c r="A5" s="24" t="str">
        <x:v>EEZ_951</x:v>
      </x:c>
      <x:c r="B5" s="24" t="str">
        <x:v>Panama (Caribbean)</x:v>
      </x:c>
      <x:c r="C5" s="24" t="str">
        <x:v>EEZ</x:v>
      </x:c>
      <x:c r="D5" s="30" t="n">
        <x:v>2019</x:v>
      </x:c>
      <x:c r="E5" s="24" t="str">
        <x:v>Aliger gigas</x:v>
      </x:c>
      <x:c r="F5" s="24" t="str">
        <x:v>Pink conch</x:v>
      </x:c>
      <x:c r="G5" s="24" t="str">
        <x:v>Other demersal invertebrates</x:v>
      </x:c>
      <x:c r="H5" s="24" t="str">
        <x:v>Molluscs</x:v>
      </x:c>
      <x:c r="I5" s="31" t="n">
        <x:v>41.28882976</x:v>
      </x:c>
      <x:c r="J5" s="31" t="n">
        <x:v>41.28882976</x:v>
      </x:c>
      <x:c r="K5" s="31" t="n">
        <x:v>0</x:v>
      </x:c>
      <x:c r="L5" s="31" t="n">
        <x:v>0</x:v>
      </x:c>
      <x:c r="M5" s="31" t="n">
        <x:v>41.28882976</x:v>
      </x:c>
      <x:c r="N5" s="24" t="str">
        <x:v>aliger gigas</x:v>
      </x:c>
      <x:c r="O5" s="32" t="n">
        <x:v>2.19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Aliger gigas</x:v>
      </x:c>
      <x:c r="T5" s="32" t="n">
        <x:f>IF(O5="","",(1/'Metadata'!$B$5)^(O5-1))</x:f>
        <x:v>15.488166189124811</x:v>
      </x:c>
      <x:c r="U5" s="31" t="n">
        <x:f>IF(T5="","",I5*T5)</x:f>
        <x:v>639.4882570773623</x:v>
      </x:c>
    </x:row>
    <x:row r="6" ht="18" customHeight="1">
      <x:c r="A6" s="24" t="str">
        <x:v>EEZ_951</x:v>
      </x:c>
      <x:c r="B6" s="24" t="str">
        <x:v>Panama (Caribbean)</x:v>
      </x:c>
      <x:c r="C6" s="24" t="str">
        <x:v>EEZ</x:v>
      </x:c>
      <x:c r="D6" s="30" t="n">
        <x:v>2019</x:v>
      </x:c>
      <x:c r="E6" s="24" t="str">
        <x:v>Octopus</x:v>
      </x:c>
      <x:c r="F6" s="24" t="str">
        <x:v>Octopuses, pikas</x:v>
      </x:c>
      <x:c r="G6" s="24" t="str">
        <x:v>Cephalopods</x:v>
      </x:c>
      <x:c r="H6" s="24" t="str">
        <x:v>Other fishes &amp; inverts</x:v>
      </x:c>
      <x:c r="I6" s="31" t="n">
        <x:v>27.5258865</x:v>
      </x:c>
      <x:c r="J6" s="31" t="n">
        <x:v>27.5258865</x:v>
      </x:c>
      <x:c r="K6" s="31" t="n">
        <x:v>0</x:v>
      </x:c>
      <x:c r="L6" s="31" t="n">
        <x:v>0</x:v>
      </x:c>
      <x:c r="M6" s="31" t="n">
        <x:v>27.5258865</x:v>
      </x:c>
      <x:c r="N6" s="24" t="str">
        <x:v>octopus</x:v>
      </x:c>
      <x:c r="O6" s="32" t="n">
        <x:v>3.8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Octopus</x:v>
      </x:c>
      <x:c r="T6" s="32" t="n">
        <x:f>IF(O6="","",(1/'Metadata'!$B$5)^(O6-1))</x:f>
        <x:v>630.957344480193</x:v>
      </x:c>
      <x:c r="U6" s="31" t="n">
        <x:f>IF(T6="","",I6*T6)</x:f>
        <x:v>17367.66025050319</x:v>
      </x:c>
    </x:row>
    <x:row r="7" ht="18" customHeight="1">
      <x:c r="A7" s="24" t="str">
        <x:v>EEZ_951</x:v>
      </x:c>
      <x:c r="B7" s="24" t="str">
        <x:v>Panama (Caribbean)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1.2505599766000002</x:v>
      </x:c>
      <x:c r="J7" s="31" t="n">
        <x:v>1.2504543218000002</x:v>
      </x:c>
      <x:c r="K7" s="31" t="n">
        <x:v>0.0001056548</x:v>
      </x:c>
      <x:c r="L7" s="31" t="n">
        <x:v>1.2504543218000002</x:v>
      </x:c>
      <x:c r="M7" s="31" t="n">
        <x:v>0.0001056548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1403.1513719566312</x:v>
      </x:c>
    </x:row>
    <x:row r="8" ht="18" customHeight="1">
      <x:c r="A8" s="24" t="str">
        <x:v>EEZ_951</x:v>
      </x:c>
      <x:c r="B8" s="24" t="str">
        <x:v>Panama (Caribbean)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0.470565516</x:v>
      </x:c>
      <x:c r="J8" s="31" t="n">
        <x:v>0</x:v>
      </x:c>
      <x:c r="K8" s="31" t="n">
        <x:v>0.470565516</x:v>
      </x:c>
      <x:c r="L8" s="31" t="n">
        <x:v>0</x:v>
      </x:c>
      <x:c r="M8" s="31" t="n">
        <x:v>0.470565516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1053.4649677505174</x:v>
      </x:c>
    </x:row>
    <x:row r="9" ht="18" customHeight="1">
      <x:c r="A9" s="24" t="str">
        <x:v>EEZ_951</x:v>
      </x:c>
      <x:c r="B9" s="24" t="str">
        <x:v>Panama (Caribbean)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0.0008810197</x:v>
      </x:c>
      <x:c r="J9" s="31" t="n">
        <x:v>0</x:v>
      </x:c>
      <x:c r="K9" s="31" t="n">
        <x:v>0.0008810197</x:v>
      </x:c>
      <x:c r="L9" s="31" t="n">
        <x:v>0</x:v>
      </x:c>
      <x:c r="M9" s="31" t="n">
        <x:v>0.0008810197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2.2645693214162903</x:v>
      </x:c>
    </x:row>
    <x:row r="10" ht="18" customHeight="1">
      <x:c r="A10" s="24" t="str">
        <x:v>EEZ_951</x:v>
      </x:c>
      <x:c r="B10" s="24" t="str">
        <x:v>Panama (Caribbean)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0.0002779483</x:v>
      </x:c>
      <x:c r="J10" s="31" t="n">
        <x:v>0</x:v>
      </x:c>
      <x:c r="K10" s="31" t="n">
        <x:v>0.0002779483</x:v>
      </x:c>
      <x:c r="L10" s="31" t="n">
        <x:v>0</x:v>
      </x:c>
      <x:c r="M10" s="31" t="n">
        <x:v>0.0002779483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0.6515744140291866</x:v>
      </x:c>
    </x:row>
    <x:row r="11" ht="18" customHeight="1">
      <x:c r="A11" s="24" t="str">
        <x:v>EEZ_951</x:v>
      </x:c>
      <x:c r="B11" s="24" t="str">
        <x:v>Panama (Caribbean)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0.0002597495</x:v>
      </x:c>
      <x:c r="J11" s="31" t="n">
        <x:v>0</x:v>
      </x:c>
      <x:c r="K11" s="31" t="n">
        <x:v>0.0002597495</x:v>
      </x:c>
      <x:c r="L11" s="31" t="n">
        <x:v>0</x:v>
      </x:c>
      <x:c r="M11" s="31" t="n">
        <x:v>0.0002597495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0.47266638817351364</x:v>
      </x:c>
    </x:row>
    <x:row r="12" ht="18" customHeight="1">
      <x:c r="A12" s="24" t="str">
        <x:v>EEZ_951</x:v>
      </x:c>
      <x:c r="B12" s="24" t="str">
        <x:v>Panama (Caribbean)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3.271e-7</x:v>
      </x:c>
      <x:c r="J12" s="31" t="n">
        <x:v>0</x:v>
      </x:c>
      <x:c r="K12" s="31" t="n">
        <x:v>3.271e-7</x:v>
      </x:c>
      <x:c r="L12" s="31" t="n">
        <x:v>0</x:v>
      </x:c>
      <x:c r="M12" s="31" t="n">
        <x:v>3.271e-7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0.0008804010343644935</x:v>
      </x:c>
    </x:row>
    <x:row r="13" ht="18" customHeight="1">
      <x:c r="A13" s="24" t="str">
        <x:v>EEZ_951</x:v>
      </x:c>
      <x:c r="B13" s="24" t="str">
        <x:v>Panama (Caribbean)</x:v>
      </x:c>
      <x:c r="C13" s="24" t="str">
        <x:v>EEZ</x:v>
      </x:c>
      <x:c r="D13" s="30" t="n">
        <x:v>2019</x:v>
      </x:c>
      <x:c r="E13" s="24" t="str">
        <x:v>Thunnus obesus</x:v>
      </x:c>
      <x:c r="F13" s="24" t="str">
        <x:v>Bigeye tuna</x:v>
      </x:c>
      <x:c r="G13" s="24" t="str">
        <x:v>Large pelagics (&gt;=90 cm)</x:v>
      </x:c>
      <x:c r="H13" s="24" t="str">
        <x:v>Tuna &amp; billfishes</x:v>
      </x:c>
      <x:c r="I13" s="31" t="n">
        <x:v>2.31e-8</x:v>
      </x:c>
      <x:c r="J13" s="31" t="n">
        <x:v>0</x:v>
      </x:c>
      <x:c r="K13" s="31" t="n">
        <x:v>2.31e-8</x:v>
      </x:c>
      <x:c r="L13" s="31" t="n">
        <x:v>0</x:v>
      </x:c>
      <x:c r="M13" s="31" t="n">
        <x:v>2.31e-8</x:v>
      </x:c>
      <x:c r="N13" s="24" t="str">
        <x:v>thunnus obesus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obesus</x:v>
      </x:c>
      <x:c r="T13" s="32" t="n">
        <x:f>IF(O13="","",(1/'Metadata'!$B$5)^(O13-1))</x:f>
        <x:v>3090.295432513592</x:v>
      </x:c>
      <x:c r="U13" s="31" t="n">
        <x:f>IF(T13="","",I13*T13)</x:f>
        <x:v>0.00007138582449106397</x:v>
      </x:c>
    </x:row>
  </x:sheetData>
  <x:conditionalFormatting sqref="R2:R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9ed994f1c574f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141.16382976</x:v>
      </x:c>
      <x:c r="E2" s="31" t="n">
        <x:v>141.16382976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IF(C2=0,"",SUMIF('Species'!$H$2:$H$13,A2,'Species'!$U$2:$U$13))</x:f>
        <x:v>5619.833285024918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5619.833285024918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41.28882976</x:v>
      </x:c>
      <x:c r="E3" s="31" t="n">
        <x:v>41.28882976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IF(C3=0,"",SUMIF('Species'!$H$2:$H$13,A3,'Species'!$U$2:$U$13))</x:f>
        <x:v>639.4882570773623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639.4882570773623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2</x:v>
      </x:c>
      <x:c r="C4" s="33" t="n">
        <x:v>2</x:v>
      </x:c>
      <x:c r="D4" s="31" t="n">
        <x:v>1296.1750939376</x:v>
      </x:c>
      <x:c r="E4" s="31" t="n">
        <x:v>1296.1750939376</x:v>
      </x:c>
      <x:c r="F4" s="32" t="n">
        <x:v>0</x:v>
      </x:c>
      <x:c r="G4" s="34" t="n">
        <x:v>1</x:v>
      </x:c>
      <x:c r="H4" s="32" t="n">
        <x:f>IF(E4=0,"",I4/E4)</x:f>
        <x:v>199.89875166335523</x:v>
      </x:c>
      <x:c r="I4" s="31" t="n">
        <x:f>IF(C4=0,"",SUMIF('Species'!$H$2:$H$13,A4,'Species'!$U$2:$U$13))</x:f>
        <x:v>259103.78321525845</x:v>
      </x:c>
      <x:c r="J4" s="32" t="n">
        <x:v>3.2910428452505722</x:v>
      </x:c>
      <x:c r="K4" s="32" t="n">
        <x:f>IF(J4="","",(1/'Metadata'!$B$5)^(J4-1))</x:f>
        <x:v>195.45322703233595</x:v>
      </x:c>
      <x:c r="L4" s="31" t="n">
        <x:f>IF(E4=0,"",E4*K4)</x:f>
        <x:v>253341.6049090451</x:v>
      </x:c>
      <x:c r="M4" s="31" t="n">
        <x:f>IF(E4=0,"",I4-L4)</x:f>
        <x:v>5762.178306213347</x:v>
      </x:c>
      <x:c r="N4" s="32" t="n">
        <x:f>IF(L4=0,"",I4/L4)</x:f>
        <x:v>1.0227446980462687</x:v>
      </x:c>
      <x:c r="O4" s="34" t="n">
        <x:f>IF(L4=0,"",M4/L4)</x:f>
        <x:v>0.02274469804626875</x:v>
      </x:c>
    </x:row>
    <x:row r="5" ht="18" customHeight="1">
      <x:c r="A5" s="24" t="str">
        <x:v>Perch-likes</x:v>
      </x:c>
      <x:c r="B5" s="33" t="n">
        <x:v>3</x:v>
      </x:c>
      <x:c r="C5" s="33" t="n">
        <x:v>3</x:v>
      </x:c>
      <x:c r="D5" s="31" t="n">
        <x:v>70.1105376978</x:v>
      </x:c>
      <x:c r="E5" s="31" t="n">
        <x:v>70.1105376978</x:v>
      </x:c>
      <x:c r="F5" s="32" t="n">
        <x:v>0</x:v>
      </x:c>
      <x:c r="G5" s="34" t="n">
        <x:v>1</x:v>
      </x:c>
      <x:c r="H5" s="32" t="n">
        <x:f>IF(E5=0,"",I5/E5)</x:f>
        <x:v>1819.7029380642084</x:v>
      </x:c>
      <x:c r="I5" s="31" t="n">
        <x:f>IF(C5=0,"",SUMIF('Species'!$H$2:$H$13,A5,'Species'!$U$2:$U$13))</x:f>
        <x:v>127580.35143794809</x:v>
      </x:c>
      <x:c r="J5" s="32" t="n">
        <x:v>4.26000043608727</x:v>
      </x:c>
      <x:c r="K5" s="32" t="n">
        <x:f>IF(J5="","",(1/'Metadata'!$B$5)^(J5-1))</x:f>
        <x:v>1819.7026858235706</x:v>
      </x:c>
      <x:c r="L5" s="31" t="n">
        <x:f>IF(E5=0,"",E5*K5)</x:f>
        <x:v>127580.33375322135</x:v>
      </x:c>
      <x:c r="M5" s="31" t="n">
        <x:f>IF(E5=0,"",I5-L5)</x:f>
        <x:v>0.017684726743027568</x:v>
      </x:c>
      <x:c r="N5" s="32" t="n">
        <x:f>IF(L5=0,"",I5/L5)</x:f>
        <x:v>1.0000001386164012</x:v>
      </x:c>
      <x:c r="O5" s="34" t="n">
        <x:f>IF(L5=0,"",M5/L5)</x:f>
        <x:v>1.386164013117816e-7</x:v>
      </x:c>
    </x:row>
    <x:row r="6" ht="18" customHeight="1">
      <x:c r="A6" s="24" t="str">
        <x:v>Sharks &amp; rays</x:v>
      </x:c>
      <x:c r="B6" s="33" t="n">
        <x:v>2</x:v>
      </x:c>
      <x:c r="C6" s="33" t="n">
        <x:v>2</x:v>
      </x:c>
      <x:c r="D6" s="31" t="n">
        <x:v>1.7211254926000001</x:v>
      </x:c>
      <x:c r="E6" s="31" t="n">
        <x:v>1.7211254926000001</x:v>
      </x:c>
      <x:c r="F6" s="32" t="n">
        <x:v>0</x:v>
      </x:c>
      <x:c r="G6" s="34" t="n">
        <x:v>1</x:v>
      </x:c>
      <x:c r="H6" s="32" t="n">
        <x:f>IF(E6=0,"",I6/E6)</x:f>
        <x:v>1427.331330730618</x:v>
      </x:c>
      <x:c r="I6" s="31" t="n">
        <x:f>IF(C6=0,"",SUMIF('Species'!$H$2:$H$13,A6,'Species'!$U$2:$U$13))</x:f>
        <x:v>2456.6163397071487</x:v>
      </x:c>
      <x:c r="J6" s="32" t="n">
        <x:v>4.13202170928672</x:v>
      </x:c>
      <x:c r="K6" s="32" t="n">
        <x:f>IF(J6="","",(1/'Metadata'!$B$5)^(J6-1))</x:f>
        <x:v>1355.2571565478231</x:v>
      </x:c>
      <x:c r="L6" s="31" t="n">
        <x:f>IF(E6=0,"",E6*K6)</x:f>
        <x:v>2332.5676411630475</x:v>
      </x:c>
      <x:c r="M6" s="31" t="n">
        <x:f>IF(E6=0,"",I6-L6)</x:f>
        <x:v>124.04869854410117</x:v>
      </x:c>
      <x:c r="N6" s="32" t="n">
        <x:f>IF(L6=0,"",I6/L6)</x:f>
        <x:v>1.0531811795529535</x:v>
      </x:c>
      <x:c r="O6" s="34" t="n">
        <x:f>IF(L6=0,"",M6/L6)</x:f>
        <x:v>0.05318117955295347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0.0008813699</x:v>
      </x:c>
      <x:c r="E7" s="31" t="n">
        <x:v>0.0008813699</x:v>
      </x:c>
      <x:c r="F7" s="32" t="n">
        <x:v>0</x:v>
      </x:c>
      <x:c r="G7" s="34" t="n">
        <x:v>1</x:v>
      </x:c>
      <x:c r="H7" s="32" t="n">
        <x:f>IF(E7=0,"",I7/E7)</x:f>
        <x:v>2570.4543668613437</x:v>
      </x:c>
      <x:c r="I7" s="31" t="n">
        <x:f>IF(C7=0,"",SUMIF('Species'!$H$2:$H$13,A7,'Species'!$U$2:$U$13))</x:f>
        <x:v>2.265521108275146</x:v>
      </x:c>
      <x:c r="J7" s="32" t="n">
        <x:v>4.410009519272215</x:v>
      </x:c>
      <x:c r="K7" s="32" t="n">
        <x:f>IF(J7="","",(1/'Metadata'!$B$5)^(J7-1))</x:f>
        <x:v>2570.452123722612</x:v>
      </x:c>
      <x:c r="L7" s="31" t="n">
        <x:f>IF(E7=0,"",E7*K7)</x:f>
        <x:v>2.2655191312401866</x:v>
      </x:c>
      <x:c r="M7" s="31" t="n">
        <x:f>IF(E7=0,"",I7-L7)</x:f>
        <x:v>0.000001977034959299573</x:v>
      </x:c>
      <x:c r="N7" s="32" t="n">
        <x:f>IF(L7=0,"",I7/L7)</x:f>
        <x:v>1.000000872663105</x:v>
      </x:c>
      <x:c r="O7" s="34" t="n">
        <x:f>IF(L7=0,"",M7/L7)</x:f>
        <x:v>8.726631049093405e-7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50f3d4b0ede43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27.5258865</x:v>
      </x:c>
      <x:c r="E2" s="31" t="n">
        <x:v>27.5258865</x:v>
      </x:c>
      <x:c r="F2" s="32" t="n">
        <x:v>0</x:v>
      </x:c>
      <x:c r="G2" s="34" t="n">
        <x:v>1</x:v>
      </x:c>
      <x:c r="H2" s="32" t="n">
        <x:f>IF(E2=0,"",I2/E2)</x:f>
        <x:v>630.9573444801929</x:v>
      </x:c>
      <x:c r="I2" s="31" t="n">
        <x:f>IF(C2=0,"",SUMIF('Species'!$G$2:$G$13,A2,'Species'!$U$2:$U$13))</x:f>
        <x:v>17367.66025050319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17367.66025050319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5</x:v>
      </x:c>
      <x:c r="C3" s="33" t="n">
        <x:v>5</x:v>
      </x:c>
      <x:c r="D3" s="31" t="n">
        <x:v>70.1111593182</x:v>
      </x:c>
      <x:c r="E3" s="31" t="n">
        <x:v>70.1111593182</x:v>
      </x:c>
      <x:c r="F3" s="32" t="n">
        <x:v>0</x:v>
      </x:c>
      <x:c r="G3" s="34" t="n">
        <x:v>1</x:v>
      </x:c>
      <x:c r="H3" s="32" t="n">
        <x:f>IF(E3=0,"",I3/E3)</x:f>
        <x:v>1819.7123757950674</x:v>
      </x:c>
      <x:c r="I3" s="31" t="n">
        <x:f>IF(C3=0,"",SUMIF('Species'!$G$2:$G$13,A3,'Species'!$U$2:$U$13))</x:f>
        <x:v>127582.14429266819</x:v>
      </x:c>
      <x:c r="J3" s="32" t="n">
        <x:v>4.260002321858455</x:v>
      </x:c>
      <x:c r="K3" s="32" t="n">
        <x:f>IF(J3="","",(1/'Metadata'!$B$5)^(J3-1))</x:f>
        <x:v>1819.7105872602283</x:v>
      </x:c>
      <x:c r="L3" s="31" t="n">
        <x:f>IF(E3=0,"",E3*K3)</x:f>
        <x:v>127582.01889641714</x:v>
      </x:c>
      <x:c r="M3" s="31" t="n">
        <x:f>IF(E3=0,"",I3-L3)</x:f>
        <x:v>0.12539625105273444</x:v>
      </x:c>
      <x:c r="N3" s="32" t="n">
        <x:f>IF(L3=0,"",I3/L3)</x:f>
        <x:v>1.0000009828677436</x:v>
      </x:c>
      <x:c r="O3" s="34" t="n">
        <x:f>IF(L3=0,"",M3/L3)</x:f>
        <x:v>9.828677437260395e-7</x:v>
      </x:c>
    </x:row>
    <x:row r="4" ht="18" customHeight="1">
      <x:c r="A4" s="24" t="str">
        <x:v>Large sharks (&gt;=90 cm)</x:v>
      </x:c>
      <x:c r="B4" s="33" t="n">
        <x:v>2</x:v>
      </x:c>
      <x:c r="C4" s="33" t="n">
        <x:v>2</x:v>
      </x:c>
      <x:c r="D4" s="31" t="n">
        <x:v>1.7211254926000001</x:v>
      </x:c>
      <x:c r="E4" s="31" t="n">
        <x:v>1.7211254926000001</x:v>
      </x:c>
      <x:c r="F4" s="32" t="n">
        <x:v>0</x:v>
      </x:c>
      <x:c r="G4" s="34" t="n">
        <x:v>1</x:v>
      </x:c>
      <x:c r="H4" s="32" t="n">
        <x:f>IF(E4=0,"",I4/E4)</x:f>
        <x:v>1427.331330730618</x:v>
      </x:c>
      <x:c r="I4" s="31" t="n">
        <x:f>IF(C4=0,"",SUMIF('Species'!$G$2:$G$13,A4,'Species'!$U$2:$U$13))</x:f>
        <x:v>2456.6163397071487</x:v>
      </x:c>
      <x:c r="J4" s="32" t="n">
        <x:v>4.13202170928672</x:v>
      </x:c>
      <x:c r="K4" s="32" t="n">
        <x:f>IF(J4="","",(1/'Metadata'!$B$5)^(J4-1))</x:f>
        <x:v>1355.2571565478231</x:v>
      </x:c>
      <x:c r="L4" s="31" t="n">
        <x:f>IF(E4=0,"",E4*K4)</x:f>
        <x:v>2332.5676411630475</x:v>
      </x:c>
      <x:c r="M4" s="31" t="n">
        <x:f>IF(E4=0,"",I4-L4)</x:f>
        <x:v>124.04869854410117</x:v>
      </x:c>
      <x:c r="N4" s="32" t="n">
        <x:f>IF(L4=0,"",I4/L4)</x:f>
        <x:v>1.0531811795529535</x:v>
      </x:c>
      <x:c r="O4" s="34" t="n">
        <x:f>IF(L4=0,"",M4/L4)</x:f>
        <x:v>0.05318117955295347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141.16382976</x:v>
      </x:c>
      <x:c r="E5" s="31" t="n">
        <x:v>141.16382976</x:v>
      </x:c>
      <x:c r="F5" s="32" t="n">
        <x:v>0</x:v>
      </x:c>
      <x:c r="G5" s="34" t="n">
        <x:v>1</x:v>
      </x:c>
      <x:c r="H5" s="32" t="n">
        <x:f>IF(E5=0,"",I5/E5)</x:f>
        <x:v>39.810717055349734</x:v>
      </x:c>
      <x:c r="I5" s="31" t="n">
        <x:f>IF(C5=0,"",SUMIF('Species'!$G$2:$G$13,A5,'Species'!$U$2:$U$13))</x:f>
        <x:v>5619.833285024918</x:v>
      </x:c>
      <x:c r="J5" s="32" t="n">
        <x:v>2.6</x:v>
      </x:c>
      <x:c r="K5" s="32" t="n">
        <x:f>IF(J5="","",(1/'Metadata'!$B$5)^(J5-1))</x:f>
        <x:v>39.810717055349734</x:v>
      </x:c>
      <x:c r="L5" s="31" t="n">
        <x:f>IF(E5=0,"",E5*K5)</x:f>
        <x:v>5619.833285024918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1268.6492074376</x:v>
      </x:c>
      <x:c r="E6" s="31" t="n">
        <x:v>1268.6492074376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IF(C6=0,"",SUMIF('Species'!$G$2:$G$13,A6,'Species'!$U$2:$U$13))</x:f>
        <x:v>241736.12296475525</x:v>
      </x:c>
      <x:c r="J6" s="32" t="n">
        <x:v>3.2799999999999994</x:v>
      </x:c>
      <x:c r="K6" s="32" t="n">
        <x:f>IF(J6="","",(1/'Metadata'!$B$5)^(J6-1))</x:f>
        <x:v>190.54607179632444</x:v>
      </x:c>
      <x:c r="L6" s="31" t="n">
        <x:f>IF(E6=0,"",E6*K6)</x:f>
        <x:v>241736.12296475502</x:v>
      </x:c>
      <x:c r="M6" s="31" t="n">
        <x:f>IF(E6=0,"",I6-L6)</x:f>
        <x:v>2.3283064365386963e-10</x:v>
      </x:c>
      <x:c r="N6" s="32" t="n">
        <x:f>IF(L6=0,"",I6/L6)</x:f>
        <x:v>1.0000000000000009</x:v>
      </x:c>
      <x:c r="O6" s="34" t="n">
        <x:f>IF(L6=0,"",M6/L6)</x:f>
        <x:v>9.631603287019548e-16</x:v>
      </x:c>
    </x:row>
    <x:row r="7" ht="18" customHeight="1">
      <x:c r="A7" s="24" t="str">
        <x:v>Medium pelagics (30 - 89 cm)</x:v>
      </x:c>
      <x:c r="B7" s="33" t="n">
        <x:v>1</x:v>
      </x:c>
      <x:c r="C7" s="33" t="n">
        <x:v>1</x:v>
      </x:c>
      <x:c r="D7" s="31" t="n">
        <x:v>0.0002597495</x:v>
      </x:c>
      <x:c r="E7" s="31" t="n">
        <x:v>0.0002597495</x:v>
      </x:c>
      <x:c r="F7" s="32" t="n">
        <x:v>0</x:v>
      </x:c>
      <x:c r="G7" s="34" t="n">
        <x:v>1</x:v>
      </x:c>
      <x:c r="H7" s="32" t="n">
        <x:f>IF(E7=0,"",I7/E7)</x:f>
        <x:v>1819.7008586099826</x:v>
      </x:c>
      <x:c r="I7" s="31" t="n">
        <x:f>IF(C7=0,"",SUMIF('Species'!$G$2:$G$13,A7,'Species'!$U$2:$U$13))</x:f>
        <x:v>0.47266638817351364</x:v>
      </x:c>
      <x:c r="J7" s="32" t="n">
        <x:v>4.26</x:v>
      </x:c>
      <x:c r="K7" s="32" t="n">
        <x:f>IF(J7="","",(1/'Metadata'!$B$5)^(J7-1))</x:f>
        <x:v>1819.7008586099826</x:v>
      </x:c>
      <x:c r="L7" s="31" t="n">
        <x:f>IF(E7=0,"",E7*K7)</x:f>
        <x:v>0.47266638817351364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demersal invertebrates</x:v>
      </x:c>
      <x:c r="B8" s="33" t="n">
        <x:v>1</x:v>
      </x:c>
      <x:c r="C8" s="33" t="n">
        <x:v>1</x:v>
      </x:c>
      <x:c r="D8" s="31" t="n">
        <x:v>41.28882976</x:v>
      </x:c>
      <x:c r="E8" s="31" t="n">
        <x:v>41.28882976</x:v>
      </x:c>
      <x:c r="F8" s="32" t="n">
        <x:v>0</x:v>
      </x:c>
      <x:c r="G8" s="34" t="n">
        <x:v>1</x:v>
      </x:c>
      <x:c r="H8" s="32" t="n">
        <x:f>IF(E8=0,"",I8/E8)</x:f>
        <x:v>15.488166189124811</x:v>
      </x:c>
      <x:c r="I8" s="31" t="n">
        <x:f>IF(C8=0,"",SUMIF('Species'!$G$2:$G$13,A8,'Species'!$U$2:$U$13))</x:f>
        <x:v>639.4882570773623</x:v>
      </x:c>
      <x:c r="J8" s="32" t="n">
        <x:v>2.19</x:v>
      </x:c>
      <x:c r="K8" s="32" t="n">
        <x:f>IF(J8="","",(1/'Metadata'!$B$5)^(J8-1))</x:f>
        <x:v>15.488166189124811</x:v>
      </x:c>
      <x:c r="L8" s="31" t="n">
        <x:f>IF(E8=0,"",E8*K8)</x:f>
        <x:v>639.4882570773623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5f934774dfa47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EEZ_951</x:v>
      </x:c>
      <x:c r="B2" s="24" t="str">
        <x:v>raw_filtered_tonnes</x:v>
      </x:c>
      <x:c r="C2" s="24" t="n">
        <x:v>1550.4602980179</x:v>
      </x:c>
      <x:c r="D2" s="24" t="str">
        <x:v>tonnes</x:v>
      </x:c>
    </x:row>
    <x:row r="3" ht="18" customHeight="1">
      <x:c r="A3" s="24" t="str">
        <x:v>EEZ_951</x:v>
      </x:c>
      <x:c r="B3" s="24" t="str">
        <x:v>species_catch_tonnes</x:v>
      </x:c>
      <x:c r="C3" s="24" t="n">
        <x:v>1550.4602980178997</x:v>
      </x:c>
      <x:c r="D3" s="24" t="str">
        <x:v>tonnes</x:v>
      </x:c>
    </x:row>
    <x:row r="4" ht="18" customHeight="1">
      <x:c r="A4" s="24" t="str">
        <x:v>EEZ_951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EEZ_951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EEZ_951</x:v>
      </x:c>
      <x:c r="B6" s="24" t="str">
        <x:v>matched_catch_tonnes</x:v>
      </x:c>
      <x:c r="C6" s="24" t="n">
        <x:v>1550.4602980178997</x:v>
      </x:c>
      <x:c r="D6" s="24" t="str">
        <x:v>tonnes</x:v>
      </x:c>
    </x:row>
    <x:row r="7" ht="18" customHeight="1">
      <x:c r="A7" s="24" t="str">
        <x:v>EEZ_951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EEZ_951</x:v>
      </x:c>
      <x:c r="B8" s="24" t="str">
        <x:v>taxa_count</x:v>
      </x:c>
      <x:c r="C8" s="24" t="n">
        <x:v>12</x:v>
      </x:c>
      <x:c r="D8" s="24" t="str">
        <x:v>count</x:v>
      </x:c>
    </x:row>
    <x:row r="9" ht="18" customHeight="1">
      <x:c r="A9" s="24" t="str">
        <x:v>EEZ_951</x:v>
      </x:c>
      <x:c r="B9" s="24" t="str">
        <x:v>matched_taxa_count</x:v>
      </x:c>
      <x:c r="C9" s="24" t="n">
        <x:v>12</x:v>
      </x:c>
      <x:c r="D9" s="24" t="str">
        <x:v>count</x:v>
      </x:c>
    </x:row>
    <x:row r="10" ht="18" customHeight="1">
      <x:c r="A10" s="24" t="str">
        <x:v>EEZ_951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EEZ_951</x:v>
      </x:c>
      <x:c r="B11" s="24" t="str">
        <x:v>species_ppr</x:v>
      </x:c>
      <x:c r="C11" s="24" t="n">
        <x:v>395402.3380561242</x:v>
      </x:c>
      <x:c r="D11" s="24" t="str">
        <x:v>tonnes_primary_production_equivalent</x:v>
      </x:c>
    </x:row>
    <x:row r="12" ht="18" customHeight="1">
      <x:c r="A12" s="24" t="str">
        <x:v>EEZ_951</x:v>
      </x:c>
      <x:c r="B12" s="24" t="str">
        <x:v>commercial_ppr</x:v>
      </x:c>
      <x:c r="C12" s="24" t="n">
        <x:v>395402.3380561243</x:v>
      </x:c>
      <x:c r="D12" s="24" t="str">
        <x:v>tonnes_primary_production_equivalent</x:v>
      </x:c>
    </x:row>
    <x:row r="13" ht="18" customHeight="1">
      <x:c r="A13" s="24" t="str">
        <x:v>EEZ_951</x:v>
      </x:c>
      <x:c r="B13" s="24" t="str">
        <x:v>functional_ppr</x:v>
      </x:c>
      <x:c r="C13" s="24" t="n">
        <x:v>395402.33805612416</x:v>
      </x:c>
      <x:c r="D13" s="24" t="str">
        <x:v>tonnes_primary_production_equivalent</x:v>
      </x:c>
    </x:row>
    <x:row r="14" ht="18" customHeight="1">
      <x:c r="A14" s="24" t="str">
        <x:v>EEZ_951</x:v>
      </x:c>
      <x:c r="B14" s="24" t="str">
        <x:v>commercial_ppr_difference</x:v>
      </x:c>
      <x:c r="C14" s="24" t="n">
        <x:v>5.820766091346741e-11</x:v>
      </x:c>
      <x:c r="D14" s="24" t="str">
        <x:v>tonnes_primary_production_equivalent</x:v>
      </x:c>
    </x:row>
    <x:row r="15" ht="18" customHeight="1">
      <x:c r="A15" s="24" t="str">
        <x:v>EEZ_951</x:v>
      </x:c>
      <x:c r="B15" s="24" t="str">
        <x:v>functional_ppr_difference</x:v>
      </x:c>
      <x:c r="C15" s="24" t="n">
        <x:v>-5.820766091346741e-11</x:v>
      </x:c>
      <x:c r="D15" s="24" t="str">
        <x:v>tonnes_primary_production_equivalent</x:v>
      </x:c>
    </x:row>
    <x:row r="16" ht="18" customHeight="1">
      <x:c r="A16" s="24" t="str">
        <x:v>EEZ_951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2ecc4044e4e48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EEZ_951 - Panama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