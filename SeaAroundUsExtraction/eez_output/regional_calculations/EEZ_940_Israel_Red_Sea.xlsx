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15ae3e196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1bc76f1a2164d08"/>
    <x:sheet xmlns:r="http://schemas.openxmlformats.org/officeDocument/2006/relationships" name="Commercial" sheetId="2" r:id="R223c2327a17a48c2"/>
    <x:sheet xmlns:r="http://schemas.openxmlformats.org/officeDocument/2006/relationships" name="Functional" sheetId="3" r:id="R2d40a3c066354fd3"/>
    <x:sheet xmlns:r="http://schemas.openxmlformats.org/officeDocument/2006/relationships" name="Missing TL" sheetId="4" r:id="R33568fc7a7d34f2a"/>
    <x:sheet xmlns:r="http://schemas.openxmlformats.org/officeDocument/2006/relationships" name="Validation" sheetId="5" r:id="R1c6b153be3c247f7"/>
    <x:sheet xmlns:r="http://schemas.openxmlformats.org/officeDocument/2006/relationships" name="Metadata" sheetId="6" r:id="R841445c217ac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4a4511adc47af" /><Relationship Type="http://schemas.openxmlformats.org/officeDocument/2006/relationships/theme" Target="/xl/theme/theme1.xml" Id="R69fb15e3f604496f" /><Relationship Type="http://schemas.microsoft.com/office/2022/11/relationships/FeaturePropertyBag" Target="/xl/featurePropertyBag/featurePropertyBag.xml" Id="Red27f5b04d7f4db3" /><Relationship Type="http://schemas.openxmlformats.org/officeDocument/2006/relationships/sharedStrings" Target="/xl/sharedStrings.xml" Id="R6814c6c2eccf492d" /><Relationship Type="http://schemas.openxmlformats.org/officeDocument/2006/relationships/worksheet" Target="/xl/worksheets/sheet1.xml" Id="R71bc76f1a2164d08" /><Relationship Type="http://schemas.openxmlformats.org/officeDocument/2006/relationships/worksheet" Target="/xl/worksheets/sheet2.xml" Id="R223c2327a17a48c2" /><Relationship Type="http://schemas.openxmlformats.org/officeDocument/2006/relationships/worksheet" Target="/xl/worksheets/sheet3.xml" Id="R2d40a3c066354fd3" /><Relationship Type="http://schemas.openxmlformats.org/officeDocument/2006/relationships/worksheet" Target="/xl/worksheets/sheet4.xml" Id="R33568fc7a7d34f2a" /><Relationship Type="http://schemas.openxmlformats.org/officeDocument/2006/relationships/worksheet" Target="/xl/worksheets/sheet5.xml" Id="R1c6b153be3c247f7" /><Relationship Type="http://schemas.openxmlformats.org/officeDocument/2006/relationships/worksheet" Target="/xl/worksheets/sheet6.xml" Id="R841445c217ac4e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0SpeciesTable" displayName="EEZ940SpeciesTable" ref="A1:U11" headerRowCount="1" totalsRowCount="0" totalsRowShown="0">
  <x:autoFilter ref="A1:U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0CommercialTable" displayName="EEZ940CommercialTable" ref="A1:O3" headerRowCount="1" totalsRowCount="0" totalsRowShown="0">
  <x:autoFilter ref="A1:O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0FunctionalTable" displayName="EEZ940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0ValidationTable" displayName="EEZ94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75f71240e14d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c30b99201c4e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5e88c027694e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0270e9f77240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EEZ_940</x:v>
      </x:c>
      <x:c r="B2" s="24" t="str">
        <x:v>Israel (Red Sea)</x:v>
      </x:c>
      <x:c r="C2" s="24" t="str">
        <x:v>EEZ</x:v>
      </x:c>
      <x:c r="D2" s="30" t="n">
        <x:v>2019</x:v>
      </x:c>
      <x:c r="E2" s="24" t="str">
        <x:v>Lethrinidae</x:v>
      </x:c>
      <x:c r="F2" s="24" t="str">
        <x:v>Emperors, scavengers</x:v>
      </x:c>
      <x:c r="G2" s="24" t="str">
        <x:v>Medium reef assoc. fish (30 - 89 cm)</x:v>
      </x:c>
      <x:c r="H2" s="24" t="str">
        <x:v>Perch-likes</x:v>
      </x:c>
      <x:c r="I2" s="31" t="n">
        <x:v>23.49408</x:v>
      </x:c>
      <x:c r="J2" s="31" t="n">
        <x:v>23.49408</x:v>
      </x:c>
      <x:c r="K2" s="31" t="n">
        <x:v>0</x:v>
      </x:c>
      <x:c r="L2" s="31" t="n">
        <x:v>0</x:v>
      </x:c>
      <x:c r="M2" s="31" t="n">
        <x:v>23.49408</x:v>
      </x:c>
      <x:c r="N2" s="24" t="str">
        <x:v>lethrinidae</x:v>
      </x:c>
      <x:c r="O2" s="32" t="n">
        <x:v>3.59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Lethrinidae</x:v>
      </x:c>
      <x:c r="T2" s="32" t="n">
        <x:f>IF(O2="","",(1/'Metadata'!$B$5)^(O2-1))</x:f>
        <x:v>389.04514499428046</x:v>
      </x:c>
      <x:c r="U2" s="31" t="n">
        <x:f>IF(T2="","",I2*T2)</x:f>
        <x:v>9140.257760107224</x:v>
      </x:c>
    </x:row>
    <x:row r="3" ht="18" customHeight="1">
      <x:c r="A3" s="24" t="str">
        <x:v>EEZ_940</x:v>
      </x:c>
      <x:c r="B3" s="24" t="str">
        <x:v>Israel (Red Sea)</x:v>
      </x:c>
      <x:c r="C3" s="24" t="str">
        <x:v>EEZ</x:v>
      </x:c>
      <x:c r="D3" s="30" t="n">
        <x:v>2019</x:v>
      </x:c>
      <x:c r="E3" s="24" t="str">
        <x:v>Sparidae</x:v>
      </x:c>
      <x:c r="F3" s="24" t="str">
        <x:v>Porgies, seabreams</x:v>
      </x:c>
      <x:c r="G3" s="24" t="str">
        <x:v>Medium benthopelagics (30 - 89 cm)</x:v>
      </x:c>
      <x:c r="H3" s="24" t="str">
        <x:v>Perch-likes</x:v>
      </x:c>
      <x:c r="I3" s="31" t="n">
        <x:v>17.62056</x:v>
      </x:c>
      <x:c r="J3" s="31" t="n">
        <x:v>17.62056</x:v>
      </x:c>
      <x:c r="K3" s="31" t="n">
        <x:v>0</x:v>
      </x:c>
      <x:c r="L3" s="31" t="n">
        <x:v>0</x:v>
      </x:c>
      <x:c r="M3" s="31" t="n">
        <x:v>17.62056</x:v>
      </x:c>
      <x:c r="N3" s="24" t="str">
        <x:v>sparidae</x:v>
      </x:c>
      <x:c r="O3" s="32" t="n">
        <x:v>3.31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Sparidae</x:v>
      </x:c>
      <x:c r="T3" s="32" t="n">
        <x:f>IF(O3="","",(1/'Metadata'!$B$5)^(O3-1))</x:f>
        <x:v>204.17379446695296</x:v>
      </x:c>
      <x:c r="U3" s="31" t="n">
        <x:f>IF(T3="","",I3*T3)</x:f>
        <x:v>3597.6565958326128</x:v>
      </x:c>
    </x:row>
    <x:row r="4" ht="18" customHeight="1">
      <x:c r="A4" s="24" t="str">
        <x:v>EEZ_940</x:v>
      </x:c>
      <x:c r="B4" s="24" t="str">
        <x:v>Israel (Red Sea)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16.37352</x:v>
      </x:c>
      <x:c r="J4" s="31" t="n">
        <x:v>16.37352</x:v>
      </x:c>
      <x:c r="K4" s="31" t="n">
        <x:v>0</x:v>
      </x:c>
      <x:c r="L4" s="31" t="n">
        <x:v>10</x:v>
      </x:c>
      <x:c r="M4" s="31" t="n">
        <x:v>6.37352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3119.9099174785574</x:v>
      </x:c>
    </x:row>
    <x:row r="5" ht="18" customHeight="1">
      <x:c r="A5" s="24" t="str">
        <x:v>EEZ_940</x:v>
      </x:c>
      <x:c r="B5" s="24" t="str">
        <x:v>Israel (Red Sea)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15.75</x:v>
      </x:c>
      <x:c r="J5" s="31" t="n">
        <x:v>15.75</x:v>
      </x:c>
      <x:c r="K5" s="31" t="n">
        <x:v>0</x:v>
      </x:c>
      <x:c r="L5" s="31" t="n">
        <x:v>15</x:v>
      </x:c>
      <x:c r="M5" s="31" t="n">
        <x:v>0.75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28660.288523107225</x:v>
      </x:c>
    </x:row>
    <x:row r="6" ht="18" customHeight="1">
      <x:c r="A6" s="24" t="str">
        <x:v>EEZ_940</x:v>
      </x:c>
      <x:c r="B6" s="24" t="str">
        <x:v>Israel (Red Sea)</x:v>
      </x:c>
      <x:c r="C6" s="24" t="str">
        <x:v>EEZ</x:v>
      </x:c>
      <x:c r="D6" s="30" t="n">
        <x:v>2019</x:v>
      </x:c>
      <x:c r="E6" s="24" t="str">
        <x:v>Serranidae</x:v>
      </x:c>
      <x:c r="F6" s="24" t="str">
        <x:v>Basses, groupers, hinds</x:v>
      </x:c>
      <x:c r="G6" s="24" t="str">
        <x:v>Medium reef assoc. fish (30 - 89 cm)</x:v>
      </x:c>
      <x:c r="H6" s="24" t="str">
        <x:v>Perch-likes</x:v>
      </x:c>
      <x:c r="I6" s="31" t="n">
        <x:v>15.422039999999999</x:v>
      </x:c>
      <x:c r="J6" s="31" t="n">
        <x:v>15.422039999999999</x:v>
      </x:c>
      <x:c r="K6" s="31" t="n">
        <x:v>0</x:v>
      </x:c>
      <x:c r="L6" s="31" t="n">
        <x:v>3.5</x:v>
      </x:c>
      <x:c r="M6" s="31" t="n">
        <x:v>11.92204</x:v>
      </x:c>
      <x:c r="N6" s="24" t="str">
        <x:v>serranidae</x:v>
      </x:c>
      <x:c r="O6" s="32" t="n">
        <x:v>3.98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Serranidae</x:v>
      </x:c>
      <x:c r="T6" s="32" t="n">
        <x:f>IF(O6="","",(1/'Metadata'!$B$5)^(O6-1))</x:f>
        <x:v>954.992586021436</x:v>
      </x:c>
      <x:c r="U6" s="31" t="n">
        <x:f>IF(T6="","",I6*T6)</x:f>
        <x:v>14727.933861326026</x:v>
      </x:c>
    </x:row>
    <x:row r="7" ht="18" customHeight="1">
      <x:c r="A7" s="24" t="str">
        <x:v>EEZ_940</x:v>
      </x:c>
      <x:c r="B7" s="24" t="str">
        <x:v>Israel (Red Sea)</x:v>
      </x:c>
      <x:c r="C7" s="24" t="str">
        <x:v>EEZ</x:v>
      </x:c>
      <x:c r="D7" s="30" t="n">
        <x:v>2019</x:v>
      </x:c>
      <x:c r="E7" s="24" t="str">
        <x:v>Carangidae</x:v>
      </x:c>
      <x:c r="F7" s="24" t="str">
        <x:v>Jacks, pompanos</x:v>
      </x:c>
      <x:c r="G7" s="24" t="str">
        <x:v>Medium pelagics (30 - 89 cm)</x:v>
      </x:c>
      <x:c r="H7" s="24" t="str">
        <x:v>Perch-likes</x:v>
      </x:c>
      <x:c r="I7" s="31" t="n">
        <x:v>10.5</x:v>
      </x:c>
      <x:c r="J7" s="31" t="n">
        <x:v>10.5</x:v>
      </x:c>
      <x:c r="K7" s="31" t="n">
        <x:v>0</x:v>
      </x:c>
      <x:c r="L7" s="31" t="n">
        <x:v>10</x:v>
      </x:c>
      <x:c r="M7" s="31" t="n">
        <x:v>0.5</x:v>
      </x:c>
      <x:c r="N7" s="24" t="str">
        <x:v>carangidae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Carangidae</x:v>
      </x:c>
      <x:c r="T7" s="32" t="n">
        <x:f>IF(O7="","",(1/'Metadata'!$B$5)^(O7-1))</x:f>
        <x:v>1122.018454301963</x:v>
      </x:c>
      <x:c r="U7" s="31" t="n">
        <x:f>IF(T7="","",I7*T7)</x:f>
        <x:v>11781.19377017061</x:v>
      </x:c>
    </x:row>
    <x:row r="8" ht="18" customHeight="1">
      <x:c r="A8" s="24" t="str">
        <x:v>EEZ_940</x:v>
      </x:c>
      <x:c r="B8" s="24" t="str">
        <x:v>Israel (Red Sea)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5.25</x:v>
      </x:c>
      <x:c r="J8" s="31" t="n">
        <x:v>5.25</x:v>
      </x:c>
      <x:c r="K8" s="31" t="n">
        <x:v>0</x:v>
      </x:c>
      <x:c r="L8" s="31" t="n">
        <x:v>5</x:v>
      </x:c>
      <x:c r="M8" s="31" t="n">
        <x:v>0.25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5497.424877267216</x:v>
      </x:c>
    </x:row>
    <x:row r="9" ht="18" customHeight="1">
      <x:c r="A9" s="24" t="str">
        <x:v>EEZ_940</x:v>
      </x:c>
      <x:c r="B9" s="24" t="str">
        <x:v>Israel (Red Sea)</x:v>
      </x:c>
      <x:c r="C9" s="24" t="str">
        <x:v>EEZ</x:v>
      </x:c>
      <x:c r="D9" s="30" t="n">
        <x:v>2019</x:v>
      </x:c>
      <x:c r="E9" s="24" t="str">
        <x:v>Cephalopoda</x:v>
      </x:c>
      <x:c r="F9" s="24" t="str">
        <x:v>Squids, cuttlefishes, octopuses</x:v>
      </x:c>
      <x:c r="G9" s="24" t="str">
        <x:v>Cephalopods</x:v>
      </x:c>
      <x:c r="H9" s="24" t="str">
        <x:v>Other fishes &amp; inverts</x:v>
      </x:c>
      <x:c r="I9" s="31" t="n">
        <x:v>2.625</x:v>
      </x:c>
      <x:c r="J9" s="31" t="n">
        <x:v>2.625</x:v>
      </x:c>
      <x:c r="K9" s="31" t="n">
        <x:v>0</x:v>
      </x:c>
      <x:c r="L9" s="31" t="n">
        <x:v>2.5</x:v>
      </x:c>
      <x:c r="M9" s="31" t="n">
        <x:v>0.125</x:v>
      </x:c>
      <x:c r="N9" s="24" t="str">
        <x:v>cephalopoda</x:v>
      </x:c>
      <x:c r="O9" s="32" t="n">
        <x:v>3.81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Cephalopoda</x:v>
      </x:c>
      <x:c r="T9" s="32" t="n">
        <x:f>IF(O9="","",(1/'Metadata'!$B$5)^(O9-1))</x:f>
        <x:v>645.6542290346556</x:v>
      </x:c>
      <x:c r="U9" s="31" t="n">
        <x:f>IF(T9="","",I9*T9)</x:f>
        <x:v>1694.842351215971</x:v>
      </x:c>
    </x:row>
    <x:row r="10" ht="18" customHeight="1">
      <x:c r="A10" s="24" t="str">
        <x:v>EEZ_940</x:v>
      </x:c>
      <x:c r="B10" s="24" t="str">
        <x:v>Israel (Red Sea)</x:v>
      </x:c>
      <x:c r="C10" s="24" t="str">
        <x:v>EEZ</x:v>
      </x:c>
      <x:c r="D10" s="30" t="n">
        <x:v>2019</x:v>
      </x:c>
      <x:c r="E10" s="24" t="str">
        <x:v>Mullidae</x:v>
      </x:c>
      <x:c r="F10" s="24" t="str">
        <x:v>Goatfishes</x:v>
      </x:c>
      <x:c r="G10" s="24" t="str">
        <x:v>Medium reef assoc. fish (30 - 89 cm)</x:v>
      </x:c>
      <x:c r="H10" s="24" t="str">
        <x:v>Perch-likes</x:v>
      </x:c>
      <x:c r="I10" s="31" t="n">
        <x:v>2.625</x:v>
      </x:c>
      <x:c r="J10" s="31" t="n">
        <x:v>2.625</x:v>
      </x:c>
      <x:c r="K10" s="31" t="n">
        <x:v>0</x:v>
      </x:c>
      <x:c r="L10" s="31" t="n">
        <x:v>2.5</x:v>
      </x:c>
      <x:c r="M10" s="31" t="n">
        <x:v>0.125</x:v>
      </x:c>
      <x:c r="N10" s="24" t="str">
        <x:v>mullidae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Mullidae</x:v>
      </x:c>
      <x:c r="T10" s="32" t="n">
        <x:f>IF(O10="","",(1/'Metadata'!$B$5)^(O10-1))</x:f>
        <x:v>288.40315031266056</x:v>
      </x:c>
      <x:c r="U10" s="31" t="n">
        <x:f>IF(T10="","",I10*T10)</x:f>
        <x:v>757.058269570734</x:v>
      </x:c>
    </x:row>
    <x:row r="11" ht="18" customHeight="1">
      <x:c r="A11" s="24" t="str">
        <x:v>EEZ_940</x:v>
      </x:c>
      <x:c r="B11" s="24" t="str">
        <x:v>Israel (Red Sea)</x:v>
      </x:c>
      <x:c r="C11" s="24" t="str">
        <x:v>EEZ</x:v>
      </x:c>
      <x:c r="D11" s="30" t="n">
        <x:v>2019</x:v>
      </x:c>
      <x:c r="E11" s="24" t="str">
        <x:v>Sphyraena</x:v>
      </x:c>
      <x:c r="F11" s="24" t="str">
        <x:v>Barracudas, sennets</x:v>
      </x:c>
      <x:c r="G11" s="24" t="str">
        <x:v>Large pelagics (&gt;=90 cm)</x:v>
      </x:c>
      <x:c r="H11" s="24" t="str">
        <x:v>Perch-likes</x:v>
      </x:c>
      <x:c r="I11" s="31" t="n">
        <x:v>1.575</x:v>
      </x:c>
      <x:c r="J11" s="31" t="n">
        <x:v>1.575</x:v>
      </x:c>
      <x:c r="K11" s="31" t="n">
        <x:v>0</x:v>
      </x:c>
      <x:c r="L11" s="31" t="n">
        <x:v>1.5</x:v>
      </x:c>
      <x:c r="M11" s="31" t="n">
        <x:v>0.075</x:v>
      </x:c>
      <x:c r="N11" s="24" t="str">
        <x:v>sphyraena</x:v>
      </x:c>
      <x:c r="O11" s="32" t="n">
        <x:v>4.4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Sphyraena</x:v>
      </x:c>
      <x:c r="T11" s="32" t="n">
        <x:f>IF(O11="","",(1/'Metadata'!$B$5)^(O11-1))</x:f>
        <x:v>2511.886431509582</x:v>
      </x:c>
      <x:c r="U11" s="31" t="n">
        <x:f>IF(T11="","",I11*T11)</x:f>
        <x:v>3956.221129627592</x:v>
      </x:c>
    </x:row>
  </x:sheetData>
  <x:conditionalFormatting sqref="R2:R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775f71240e14d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18.99852</x:v>
      </x:c>
      <x:c r="E2" s="31" t="n">
        <x:v>18.99852</x:v>
      </x:c>
      <x:c r="F2" s="32" t="n">
        <x:v>0</x:v>
      </x:c>
      <x:c r="G2" s="34" t="n">
        <x:v>1</x:v>
      </x:c>
      <x:c r="H2" s="32" t="n">
        <x:f>IF(E2=0,"",I2/E2)</x:f>
        <x:v>253.42775483008828</x:v>
      </x:c>
      <x:c r="I2" s="31" t="n">
        <x:f>IF(C2=0,"",SUMIF('Species'!$H$2:$H$11,A2,'Species'!$U$2:$U$11))</x:f>
        <x:v>4814.7522686945285</x:v>
      </x:c>
      <x:c r="J2" s="32" t="n">
        <x:v>3.3532293883944644</x:v>
      </x:c>
      <x:c r="K2" s="32" t="n">
        <x:f>IF(J2="","",(1/'Metadata'!$B$5)^(J2-1))</x:f>
        <x:v>225.54301849158588</x:v>
      </x:c>
      <x:c r="L2" s="31" t="n">
        <x:f>IF(E2=0,"",E2*K2)</x:f>
        <x:v>4284.983547672764</x:v>
      </x:c>
      <x:c r="M2" s="31" t="n">
        <x:f>IF(E2=0,"",I2-L2)</x:f>
        <x:v>529.7687210217646</x:v>
      </x:c>
      <x:c r="N2" s="32" t="n">
        <x:f>IF(L2=0,"",I2/L2)</x:f>
        <x:v>1.1236337818168496</x:v>
      </x:c>
      <x:c r="O2" s="34" t="n">
        <x:f>IF(L2=0,"",M2/L2)</x:f>
        <x:v>0.12363378181684959</x:v>
      </x:c>
    </x:row>
    <x:row r="3" ht="18" customHeight="1">
      <x:c r="A3" s="24" t="str">
        <x:v>Perch-likes</x:v>
      </x:c>
      <x:c r="B3" s="33" t="n">
        <x:v>8</x:v>
      </x:c>
      <x:c r="C3" s="33" t="n">
        <x:v>8</x:v>
      </x:c>
      <x:c r="D3" s="31" t="n">
        <x:v>92.23668</x:v>
      </x:c>
      <x:c r="E3" s="31" t="n">
        <x:v>92.23668</x:v>
      </x:c>
      <x:c r="F3" s="32" t="n">
        <x:v>0</x:v>
      </x:c>
      <x:c r="G3" s="34" t="n">
        <x:v>1</x:v>
      </x:c>
      <x:c r="H3" s="32" t="n">
        <x:f>IF(E3=0,"",I3/E3)</x:f>
        <x:v>846.9302536367227</x:v>
      </x:c>
      <x:c r="I3" s="31" t="n">
        <x:f>IF(C3=0,"",SUMIF('Species'!$H$2:$H$11,A3,'Species'!$U$2:$U$11))</x:f>
        <x:v>78118.03478700924</x:v>
      </x:c>
      <x:c r="J3" s="32" t="n">
        <x:v>3.803096772346966</x:v>
      </x:c>
      <x:c r="K3" s="32" t="n">
        <x:f>IF(J3="","",(1/'Metadata'!$B$5)^(J3-1))</x:f>
        <x:v>635.4725162337924</x:v>
      </x:c>
      <x:c r="L3" s="31" t="n">
        <x:f>IF(E3=0,"",E3*K3)</x:f>
        <x:v>58613.87512865112</x:v>
      </x:c>
      <x:c r="M3" s="31" t="n">
        <x:f>IF(E3=0,"",I3-L3)</x:f>
        <x:v>19504.15965835812</x:v>
      </x:c>
      <x:c r="N3" s="32" t="n">
        <x:f>IF(L3=0,"",I3/L3)</x:f>
        <x:v>1.332756699937491</x:v>
      </x:c>
      <x:c r="O3" s="34" t="n">
        <x:f>IF(L3=0,"",M3/L3)</x:f>
        <x:v>0.33275669993749085</x:v>
      </x:c>
    </x:row>
  </x:sheetData>
  <x:conditionalFormatting sqref="G2:G3">
    <x:cfRule type="cellIs" dxfId="1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1c30b99201c4e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2.625</x:v>
      </x:c>
      <x:c r="E2" s="31" t="n">
        <x:v>2.625</x:v>
      </x:c>
      <x:c r="F2" s="32" t="n">
        <x:v>0</x:v>
      </x:c>
      <x:c r="G2" s="34" t="n">
        <x:v>1</x:v>
      </x:c>
      <x:c r="H2" s="32" t="n">
        <x:f>IF(E2=0,"",I2/E2)</x:f>
        <x:v>645.6542290346556</x:v>
      </x:c>
      <x:c r="I2" s="31" t="n">
        <x:f>IF(C2=0,"",SUMIF('Species'!$G$2:$G$11,A2,'Species'!$U$2:$U$11))</x:f>
        <x:v>1694.842351215971</x:v>
      </x:c>
      <x:c r="J2" s="32" t="n">
        <x:v>3.81</x:v>
      </x:c>
      <x:c r="K2" s="32" t="n">
        <x:f>IF(J2="","",(1/'Metadata'!$B$5)^(J2-1))</x:f>
        <x:v>645.6542290346556</x:v>
      </x:c>
      <x:c r="L2" s="31" t="n">
        <x:f>IF(E2=0,"",E2*K2)</x:f>
        <x:v>1694.842351215971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1</x:v>
      </x:c>
      <x:c r="C3" s="33" t="n">
        <x:v>1</x:v>
      </x:c>
      <x:c r="D3" s="31" t="n">
        <x:v>1.575</x:v>
      </x:c>
      <x:c r="E3" s="31" t="n">
        <x:v>1.575</x:v>
      </x:c>
      <x:c r="F3" s="32" t="n">
        <x:v>0</x:v>
      </x:c>
      <x:c r="G3" s="34" t="n">
        <x:v>1</x:v>
      </x:c>
      <x:c r="H3" s="32" t="n">
        <x:f>IF(E3=0,"",I3/E3)</x:f>
        <x:v>2511.886431509582</x:v>
      </x:c>
      <x:c r="I3" s="31" t="n">
        <x:f>IF(C3=0,"",SUMIF('Species'!$G$2:$G$11,A3,'Species'!$U$2:$U$11))</x:f>
        <x:v>3956.221129627592</x:v>
      </x:c>
      <x:c r="J3" s="32" t="n">
        <x:v>4.4</x:v>
      </x:c>
      <x:c r="K3" s="32" t="n">
        <x:f>IF(J3="","",(1/'Metadata'!$B$5)^(J3-1))</x:f>
        <x:v>2511.886431509582</x:v>
      </x:c>
      <x:c r="L3" s="31" t="n">
        <x:f>IF(E3=0,"",E3*K3)</x:f>
        <x:v>3956.221129627592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Medium benthopelagics (30 - 89 cm)</x:v>
      </x:c>
      <x:c r="B4" s="33" t="n">
        <x:v>1</x:v>
      </x:c>
      <x:c r="C4" s="33" t="n">
        <x:v>1</x:v>
      </x:c>
      <x:c r="D4" s="31" t="n">
        <x:v>17.62056</x:v>
      </x:c>
      <x:c r="E4" s="31" t="n">
        <x:v>17.62056</x:v>
      </x:c>
      <x:c r="F4" s="32" t="n">
        <x:v>0</x:v>
      </x:c>
      <x:c r="G4" s="34" t="n">
        <x:v>1</x:v>
      </x:c>
      <x:c r="H4" s="32" t="n">
        <x:f>IF(E4=0,"",I4/E4)</x:f>
        <x:v>204.17379446695296</x:v>
      </x:c>
      <x:c r="I4" s="31" t="n">
        <x:f>IF(C4=0,"",SUMIF('Species'!$G$2:$G$11,A4,'Species'!$U$2:$U$11))</x:f>
        <x:v>3597.6565958326128</x:v>
      </x:c>
      <x:c r="J4" s="32" t="n">
        <x:v>3.31</x:v>
      </x:c>
      <x:c r="K4" s="32" t="n">
        <x:f>IF(J4="","",(1/'Metadata'!$B$5)^(J4-1))</x:f>
        <x:v>204.17379446695296</x:v>
      </x:c>
      <x:c r="L4" s="31" t="n">
        <x:f>IF(E4=0,"",E4*K4)</x:f>
        <x:v>3597.6565958326128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demersals (30 - 89 cm)</x:v>
      </x:c>
      <x:c r="B5" s="33" t="n">
        <x:v>1</x:v>
      </x:c>
      <x:c r="C5" s="33" t="n">
        <x:v>1</x:v>
      </x:c>
      <x:c r="D5" s="31" t="n">
        <x:v>16.37352</x:v>
      </x:c>
      <x:c r="E5" s="31" t="n">
        <x:v>16.37352</x:v>
      </x:c>
      <x:c r="F5" s="32" t="n">
        <x:v>0</x:v>
      </x:c>
      <x:c r="G5" s="34" t="n">
        <x:v>1</x:v>
      </x:c>
      <x:c r="H5" s="32" t="n">
        <x:f>IF(E5=0,"",I5/E5)</x:f>
        <x:v>190.54607179632464</x:v>
      </x:c>
      <x:c r="I5" s="31" t="n">
        <x:f>IF(C5=0,"",SUMIF('Species'!$G$2:$G$11,A5,'Species'!$U$2:$U$11))</x:f>
        <x:v>3119.9099174785574</x:v>
      </x:c>
      <x:c r="J5" s="32" t="n">
        <x:v>3.28</x:v>
      </x:c>
      <x:c r="K5" s="32" t="n">
        <x:f>IF(J5="","",(1/'Metadata'!$B$5)^(J5-1))</x:f>
        <x:v>190.54607179632464</x:v>
      </x:c>
      <x:c r="L5" s="31" t="n">
        <x:f>IF(E5=0,"",E5*K5)</x:f>
        <x:v>3119.9099174785574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pelagics (30 - 89 cm)</x:v>
      </x:c>
      <x:c r="B6" s="33" t="n">
        <x:v>2</x:v>
      </x:c>
      <x:c r="C6" s="33" t="n">
        <x:v>2</x:v>
      </x:c>
      <x:c r="D6" s="31" t="n">
        <x:v>26.25</x:v>
      </x:c>
      <x:c r="E6" s="31" t="n">
        <x:v>26.25</x:v>
      </x:c>
      <x:c r="F6" s="32" t="n">
        <x:v>0</x:v>
      </x:c>
      <x:c r="G6" s="34" t="n">
        <x:v>1</x:v>
      </x:c>
      <x:c r="H6" s="32" t="n">
        <x:f>IF(E6=0,"",I6/E6)</x:f>
        <x:v>1540.6278968867746</x:v>
      </x:c>
      <x:c r="I6" s="31" t="n">
        <x:f>IF(C6=0,"",SUMIF('Species'!$G$2:$G$11,A6,'Species'!$U$2:$U$11))</x:f>
        <x:v>40441.48229327783</x:v>
      </x:c>
      <x:c r="J6" s="32" t="n">
        <x:v>4.176</x:v>
      </x:c>
      <x:c r="K6" s="32" t="n">
        <x:f>IF(J6="","",(1/'Metadata'!$B$5)^(J6-1))</x:f>
        <x:v>1499.684835502374</x:v>
      </x:c>
      <x:c r="L6" s="31" t="n">
        <x:f>IF(E6=0,"",E6*K6)</x:f>
        <x:v>39366.726931937315</x:v>
      </x:c>
      <x:c r="M6" s="31" t="n">
        <x:f>IF(E6=0,"",I6-L6)</x:f>
        <x:v>1074.755361340518</x:v>
      </x:c>
      <x:c r="N6" s="32" t="n">
        <x:f>IF(L6=0,"",I6/L6)</x:f>
        <x:v>1.0273011104834473</x:v>
      </x:c>
      <x:c r="O6" s="34" t="n">
        <x:f>IF(L6=0,"",M6/L6)</x:f>
        <x:v>0.027301110483447223</x:v>
      </x:c>
    </x:row>
    <x:row r="7" ht="18" customHeight="1">
      <x:c r="A7" s="24" t="str">
        <x:v>Medium reef assoc. fish (30 - 89 cm)</x:v>
      </x:c>
      <x:c r="B7" s="33" t="n">
        <x:v>4</x:v>
      </x:c>
      <x:c r="C7" s="33" t="n">
        <x:v>4</x:v>
      </x:c>
      <x:c r="D7" s="31" t="n">
        <x:v>46.79112</x:v>
      </x:c>
      <x:c r="E7" s="31" t="n">
        <x:v>46.79112</x:v>
      </x:c>
      <x:c r="F7" s="32" t="n">
        <x:v>0</x:v>
      </x:c>
      <x:c r="G7" s="34" t="n">
        <x:v>1</x:v>
      </x:c>
      <x:c r="H7" s="32" t="n">
        <x:f>IF(E7=0,"",I7/E7)</x:f>
        <x:v>643.7690478080285</x:v>
      </x:c>
      <x:c r="I7" s="31" t="n">
        <x:f>IF(C7=0,"",SUMIF('Species'!$G$2:$G$11,A7,'Species'!$U$2:$U$11))</x:f>
        <x:v>30122.6747682712</x:v>
      </x:c>
      <x:c r="J7" s="32" t="n">
        <x:v>3.7594946733482764</x:v>
      </x:c>
      <x:c r="K7" s="32" t="n">
        <x:f>IF(J7="","",(1/'Metadata'!$B$5)^(J7-1))</x:f>
        <x:v>574.7707691992293</x:v>
      </x:c>
      <x:c r="L7" s="31" t="n">
        <x:f>IF(E7=0,"",E7*K7)</x:f>
        <x:v>26894.168034093444</x:v>
      </x:c>
      <x:c r="M7" s="31" t="n">
        <x:f>IF(E7=0,"",I7-L7)</x:f>
        <x:v>3228.5067341777576</x:v>
      </x:c>
      <x:c r="N7" s="32" t="n">
        <x:f>IF(L7=0,"",I7/L7)</x:f>
        <x:v>1.120044863633075</x:v>
      </x:c>
      <x:c r="O7" s="34" t="n">
        <x:f>IF(L7=0,"",M7/L7)</x:f>
        <x:v>0.1200448636330752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65e88c027694e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EEZ_940</x:v>
      </x:c>
      <x:c r="B2" s="24" t="str">
        <x:v>raw_filtered_tonnes</x:v>
      </x:c>
      <x:c r="C2" s="24" t="n">
        <x:v>111.2352</x:v>
      </x:c>
      <x:c r="D2" s="24" t="str">
        <x:v>tonnes</x:v>
      </x:c>
    </x:row>
    <x:row r="3" ht="18" customHeight="1">
      <x:c r="A3" s="24" t="str">
        <x:v>EEZ_940</x:v>
      </x:c>
      <x:c r="B3" s="24" t="str">
        <x:v>species_catch_tonnes</x:v>
      </x:c>
      <x:c r="C3" s="24" t="n">
        <x:v>111.23519999999999</x:v>
      </x:c>
      <x:c r="D3" s="24" t="str">
        <x:v>tonnes</x:v>
      </x:c>
    </x:row>
    <x:row r="4" ht="18" customHeight="1">
      <x:c r="A4" s="24" t="str">
        <x:v>EEZ_940</x:v>
      </x:c>
      <x:c r="B4" s="24" t="str">
        <x:v>catch_difference_tonnes</x:v>
      </x:c>
      <x:c r="C4" s="24" t="n">
        <x:v>-1.4210854715202004e-14</x:v>
      </x:c>
      <x:c r="D4" s="24" t="str">
        <x:v>tonnes</x:v>
      </x:c>
    </x:row>
    <x:row r="5" ht="18" customHeight="1">
      <x:c r="A5" s="24" t="str">
        <x:v>EEZ_940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EEZ_940</x:v>
      </x:c>
      <x:c r="B6" s="24" t="str">
        <x:v>matched_catch_tonnes</x:v>
      </x:c>
      <x:c r="C6" s="24" t="n">
        <x:v>111.23519999999999</x:v>
      </x:c>
      <x:c r="D6" s="24" t="str">
        <x:v>tonnes</x:v>
      </x:c>
    </x:row>
    <x:row r="7" ht="18" customHeight="1">
      <x:c r="A7" s="24" t="str">
        <x:v>EEZ_940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EEZ_940</x:v>
      </x:c>
      <x:c r="B8" s="24" t="str">
        <x:v>taxa_count</x:v>
      </x:c>
      <x:c r="C8" s="24" t="n">
        <x:v>10</x:v>
      </x:c>
      <x:c r="D8" s="24" t="str">
        <x:v>count</x:v>
      </x:c>
    </x:row>
    <x:row r="9" ht="18" customHeight="1">
      <x:c r="A9" s="24" t="str">
        <x:v>EEZ_940</x:v>
      </x:c>
      <x:c r="B9" s="24" t="str">
        <x:v>matched_taxa_count</x:v>
      </x:c>
      <x:c r="C9" s="24" t="n">
        <x:v>10</x:v>
      </x:c>
      <x:c r="D9" s="24" t="str">
        <x:v>count</x:v>
      </x:c>
    </x:row>
    <x:row r="10" ht="18" customHeight="1">
      <x:c r="A10" s="24" t="str">
        <x:v>EEZ_940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EEZ_940</x:v>
      </x:c>
      <x:c r="B11" s="24" t="str">
        <x:v>species_ppr</x:v>
      </x:c>
      <x:c r="C11" s="24" t="n">
        <x:v>82932.78705570377</x:v>
      </x:c>
      <x:c r="D11" s="24" t="str">
        <x:v>tonnes_primary_production_equivalent</x:v>
      </x:c>
    </x:row>
    <x:row r="12" ht="18" customHeight="1">
      <x:c r="A12" s="24" t="str">
        <x:v>EEZ_940</x:v>
      </x:c>
      <x:c r="B12" s="24" t="str">
        <x:v>commercial_ppr</x:v>
      </x:c>
      <x:c r="C12" s="24" t="n">
        <x:v>82932.78705570377</x:v>
      </x:c>
      <x:c r="D12" s="24" t="str">
        <x:v>tonnes_primary_production_equivalent</x:v>
      </x:c>
    </x:row>
    <x:row r="13" ht="18" customHeight="1">
      <x:c r="A13" s="24" t="str">
        <x:v>EEZ_940</x:v>
      </x:c>
      <x:c r="B13" s="24" t="str">
        <x:v>functional_ppr</x:v>
      </x:c>
      <x:c r="C13" s="24" t="n">
        <x:v>82932.78705570377</x:v>
      </x:c>
      <x:c r="D13" s="24" t="str">
        <x:v>tonnes_primary_production_equivalent</x:v>
      </x:c>
    </x:row>
    <x:row r="14" ht="18" customHeight="1">
      <x:c r="A14" s="24" t="str">
        <x:v>EEZ_940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EEZ_940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EEZ_940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EEZ_940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EEZ_940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EEZ_940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20270e9f77240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EEZ_940 - Israel (Red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