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a8e5ff43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7c1078d6d684adb"/>
    <x:sheet xmlns:r="http://schemas.openxmlformats.org/officeDocument/2006/relationships" name="Commercial" sheetId="2" r:id="Rd1c1bc8b047b4a11"/>
    <x:sheet xmlns:r="http://schemas.openxmlformats.org/officeDocument/2006/relationships" name="Functional" sheetId="3" r:id="Rf0092e1f6ed14430"/>
    <x:sheet xmlns:r="http://schemas.openxmlformats.org/officeDocument/2006/relationships" name="Missing TL" sheetId="4" r:id="R18a1842417694230"/>
    <x:sheet xmlns:r="http://schemas.openxmlformats.org/officeDocument/2006/relationships" name="Validation" sheetId="5" r:id="R700f201419d04a28"/>
    <x:sheet xmlns:r="http://schemas.openxmlformats.org/officeDocument/2006/relationships" name="Metadata" sheetId="6" r:id="R4d4c3b393b9d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9a21592d342ce" /><Relationship Type="http://schemas.openxmlformats.org/officeDocument/2006/relationships/theme" Target="/xl/theme/theme1.xml" Id="R923d7f18f80e42e1" /><Relationship Type="http://schemas.microsoft.com/office/2022/11/relationships/FeaturePropertyBag" Target="/xl/featurePropertyBag/featurePropertyBag.xml" Id="Rdfb6246db9144c61" /><Relationship Type="http://schemas.openxmlformats.org/officeDocument/2006/relationships/sharedStrings" Target="/xl/sharedStrings.xml" Id="R72be3fceee7f4235" /><Relationship Type="http://schemas.openxmlformats.org/officeDocument/2006/relationships/worksheet" Target="/xl/worksheets/sheet1.xml" Id="R67c1078d6d684adb" /><Relationship Type="http://schemas.openxmlformats.org/officeDocument/2006/relationships/worksheet" Target="/xl/worksheets/sheet2.xml" Id="Rd1c1bc8b047b4a11" /><Relationship Type="http://schemas.openxmlformats.org/officeDocument/2006/relationships/worksheet" Target="/xl/worksheets/sheet3.xml" Id="Rf0092e1f6ed14430" /><Relationship Type="http://schemas.openxmlformats.org/officeDocument/2006/relationships/worksheet" Target="/xl/worksheets/sheet4.xml" Id="R18a1842417694230" /><Relationship Type="http://schemas.openxmlformats.org/officeDocument/2006/relationships/worksheet" Target="/xl/worksheets/sheet5.xml" Id="R700f201419d04a28" /><Relationship Type="http://schemas.openxmlformats.org/officeDocument/2006/relationships/worksheet" Target="/xl/worksheets/sheet6.xml" Id="R4d4c3b393b9d4a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02SpeciesTable" displayName="EEZ702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02CommercialTable" displayName="EEZ702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02FunctionalTable" displayName="EEZ702FunctionalTable" ref="A1:O13" headerRowCount="1" totalsRowCount="0" totalsRowShown="0">
  <x:autoFilter ref="A1:O1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02ValidationTable" displayName="EEZ70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415b0c077941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6d24f3c4f941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7170dab9d24d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5cc24715d047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EEZ_702</x:v>
      </x:c>
      <x:c r="B2" s="24" t="str">
        <x:v>Singapore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2079.2689022457002</x:v>
      </x:c>
      <x:c r="J2" s="31" t="n">
        <x:v>2079.2674005806</x:v>
      </x:c>
      <x:c r="K2" s="31" t="n">
        <x:v>0.0015016651</x:v>
      </x:c>
      <x:c r="L2" s="31" t="n">
        <x:v>292.7142099963</x:v>
      </x:c>
      <x:c r="M2" s="31" t="n">
        <x:v>1786.5546922494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396196.5215311743</x:v>
      </x:c>
    </x:row>
    <x:row r="3" ht="18" customHeight="1">
      <x:c r="A3" s="24" t="str">
        <x:v>EEZ_702</x:v>
      </x:c>
      <x:c r="B3" s="24" t="str">
        <x:v>Singapore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165.2857472906</x:v>
      </x:c>
      <x:c r="J3" s="31" t="n">
        <x:v>165.2857472906</x:v>
      </x:c>
      <x:c r="K3" s="31" t="n">
        <x:v>0</x:v>
      </x:c>
      <x:c r="L3" s="31" t="n">
        <x:v>81.9763476305</x:v>
      </x:c>
      <x:c r="M3" s="31" t="n">
        <x:v>83.3093996601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173075.42457391368</x:v>
      </x:c>
    </x:row>
    <x:row r="4" ht="18" customHeight="1">
      <x:c r="A4" s="24" t="str">
        <x:v>EEZ_702</x:v>
      </x:c>
      <x:c r="B4" s="24" t="str">
        <x:v>Singapore</x:v>
      </x:c>
      <x:c r="C4" s="24" t="str">
        <x:v>EEZ</x:v>
      </x:c>
      <x:c r="D4" s="30" t="n">
        <x:v>2019</x:v>
      </x:c>
      <x:c r="E4" s="24" t="str">
        <x:v>Dendrobranchiata</x:v>
      </x:c>
      <x:c r="F4" s="24" t="str">
        <x:v>Shrimps and prawns</x:v>
      </x:c>
      <x:c r="G4" s="24" t="str">
        <x:v>Shrimps</x:v>
      </x:c>
      <x:c r="H4" s="24" t="str">
        <x:v>Crustaceans</x:v>
      </x:c>
      <x:c r="I4" s="31" t="n">
        <x:v>161.5928502465</x:v>
      </x:c>
      <x:c r="J4" s="31" t="n">
        <x:v>161.5928502465</x:v>
      </x:c>
      <x:c r="K4" s="31" t="n">
        <x:v>0</x:v>
      </x:c>
      <x:c r="L4" s="31" t="n">
        <x:v>152.18983766670002</x:v>
      </x:c>
      <x:c r="M4" s="31" t="n">
        <x:v>9.4030125798</x:v>
      </x:c>
      <x:c r="N4" s="24" t="str">
        <x:v>dendrobranchiata</x:v>
      </x:c>
      <x:c r="O4" s="32" t="n">
        <x:v>3.24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Dendrobranchiata</x:v>
      </x:c>
      <x:c r="T4" s="32" t="n">
        <x:f>IF(O4="","",(1/'Metadata'!$B$5)^(O4-1))</x:f>
        <x:v>173.78008287493762</x:v>
      </x:c>
      <x:c r="U4" s="31" t="n">
        <x:f>IF(T4="","",I4*T4)</x:f>
        <x:v>28081.618907834156</x:v>
      </x:c>
    </x:row>
    <x:row r="5" ht="18" customHeight="1">
      <x:c r="A5" s="24" t="str">
        <x:v>EEZ_702</x:v>
      </x:c>
      <x:c r="B5" s="24" t="str">
        <x:v>Singapore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112.5413929326</x:v>
      </x:c>
      <x:c r="J5" s="31" t="n">
        <x:v>112.5413929326</x:v>
      </x:c>
      <x:c r="K5" s="31" t="n">
        <x:v>0</x:v>
      </x:c>
      <x:c r="L5" s="31" t="n">
        <x:v>27.1342969465</x:v>
      </x:c>
      <x:c r="M5" s="31" t="n">
        <x:v>85.4070959861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204791.66934861566</x:v>
      </x:c>
    </x:row>
    <x:row r="6" ht="18" customHeight="1">
      <x:c r="A6" s="24" t="str">
        <x:v>EEZ_702</x:v>
      </x:c>
      <x:c r="B6" s="24" t="str">
        <x:v>Singapore</x:v>
      </x:c>
      <x:c r="C6" s="24" t="str">
        <x:v>EEZ</x:v>
      </x:c>
      <x:c r="D6" s="30" t="n">
        <x:v>2019</x:v>
      </x:c>
      <x:c r="E6" s="24" t="str">
        <x:v>Sphyraenidae</x:v>
      </x:c>
      <x:c r="F6" s="24" t="str">
        <x:v>Barracudas</x:v>
      </x:c>
      <x:c r="G6" s="24" t="str">
        <x:v>Medium reef assoc. fish (30 - 89 cm)</x:v>
      </x:c>
      <x:c r="H6" s="24" t="str">
        <x:v>Perch-likes</x:v>
      </x:c>
      <x:c r="I6" s="31" t="n">
        <x:v>110.5216869098</x:v>
      </x:c>
      <x:c r="J6" s="31" t="n">
        <x:v>110.5216869098</x:v>
      </x:c>
      <x:c r="K6" s="31" t="n">
        <x:v>0</x:v>
      </x:c>
      <x:c r="L6" s="31" t="n">
        <x:v>48.1773638309</x:v>
      </x:c>
      <x:c r="M6" s="31" t="n">
        <x:v>62.344323078900004</x:v>
      </x:c>
      <x:c r="N6" s="24" t="str">
        <x:v>sphyraenidae</x:v>
      </x:c>
      <x:c r="O6" s="32" t="n">
        <x:v>4.4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Sphyraenidae</x:v>
      </x:c>
      <x:c r="T6" s="32" t="n">
        <x:f>IF(O6="","",(1/'Metadata'!$B$5)^(O6-1))</x:f>
        <x:v>2511.886431509582</x:v>
      </x:c>
      <x:c r="U6" s="31" t="n">
        <x:f>IF(T6="","",I6*T6)</x:f>
        <x:v>277617.9257362768</x:v>
      </x:c>
    </x:row>
    <x:row r="7" ht="18" customHeight="1">
      <x:c r="A7" s="24" t="str">
        <x:v>EEZ_702</x:v>
      </x:c>
      <x:c r="B7" s="24" t="str">
        <x:v>Singapore</x:v>
      </x:c>
      <x:c r="C7" s="24" t="str">
        <x:v>EEZ</x:v>
      </x:c>
      <x:c r="D7" s="30" t="n">
        <x:v>2019</x:v>
      </x:c>
      <x:c r="E7" s="24" t="str">
        <x:v>Chirocentrus</x:v>
      </x:c>
      <x:c r="F7" s="24" t="str">
        <x:v>Wolf herrings</x:v>
      </x:c>
      <x:c r="G7" s="24" t="str">
        <x:v>Large pelagics (&gt;=90 cm)</x:v>
      </x:c>
      <x:c r="H7" s="24" t="str">
        <x:v>Herring-likes</x:v>
      </x:c>
      <x:c r="I7" s="31" t="n">
        <x:v>91.341394881</x:v>
      </x:c>
      <x:c r="J7" s="31" t="n">
        <x:v>91.341394881</x:v>
      </x:c>
      <x:c r="K7" s="31" t="n">
        <x:v>0</x:v>
      </x:c>
      <x:c r="L7" s="31" t="n">
        <x:v>28.3931045368</x:v>
      </x:c>
      <x:c r="M7" s="31" t="n">
        <x:v>62.948290344200004</x:v>
      </x:c>
      <x:c r="N7" s="24" t="str">
        <x:v>chirocentrus</x:v>
      </x:c>
      <x:c r="O7" s="32" t="n">
        <x:v>4.3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Chirocentrus</x:v>
      </x:c>
      <x:c r="T7" s="32" t="n">
        <x:f>IF(O7="","",(1/'Metadata'!$B$5)^(O7-1))</x:f>
        <x:v>1995.2623149688789</x:v>
      </x:c>
      <x:c r="U7" s="31" t="n">
        <x:f>IF(T7="","",I7*T7)</x:f>
        <x:v>182250.04300275055</x:v>
      </x:c>
    </x:row>
    <x:row r="8" ht="18" customHeight="1">
      <x:c r="A8" s="24" t="str">
        <x:v>EEZ_702</x:v>
      </x:c>
      <x:c r="B8" s="24" t="str">
        <x:v>Singapore</x:v>
      </x:c>
      <x:c r="C8" s="24" t="str">
        <x:v>EEZ</x:v>
      </x:c>
      <x:c r="D8" s="30" t="n">
        <x:v>2019</x:v>
      </x:c>
      <x:c r="E8" s="24" t="str">
        <x:v>Ariidae</x:v>
      </x:c>
      <x:c r="F8" s="24" t="str">
        <x:v>Sea catfishes, coblers</x:v>
      </x:c>
      <x:c r="G8" s="24" t="str">
        <x:v>Medium demersals (30 - 89 cm)</x:v>
      </x:c>
      <x:c r="H8" s="24" t="str">
        <x:v>Other fishes &amp; inverts</x:v>
      </x:c>
      <x:c r="I8" s="31" t="n">
        <x:v>75.5940895714</x:v>
      </x:c>
      <x:c r="J8" s="31" t="n">
        <x:v>75.5940895714</x:v>
      </x:c>
      <x:c r="K8" s="31" t="n">
        <x:v>0</x:v>
      </x:c>
      <x:c r="L8" s="31" t="n">
        <x:v>44.3939476846</x:v>
      </x:c>
      <x:c r="M8" s="31" t="n">
        <x:v>31.2001418868</x:v>
      </x:c>
      <x:c r="N8" s="24" t="str">
        <x:v>ariidae</x:v>
      </x:c>
      <x:c r="O8" s="32" t="n">
        <x:v>3.48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Ariidae</x:v>
      </x:c>
      <x:c r="T8" s="32" t="n">
        <x:f>IF(O8="","",(1/'Metadata'!$B$5)^(O8-1))</x:f>
        <x:v>301.9951720402016</x:v>
      </x:c>
      <x:c r="U8" s="31" t="n">
        <x:f>IF(T8="","",I8*T8)</x:f>
        <x:v>22829.050085337356</x:v>
      </x:c>
    </x:row>
    <x:row r="9" ht="18" customHeight="1">
      <x:c r="A9" s="24" t="str">
        <x:v>EEZ_702</x:v>
      </x:c>
      <x:c r="B9" s="24" t="str">
        <x:v>Singapore</x:v>
      </x:c>
      <x:c r="C9" s="24" t="str">
        <x:v>EEZ</x:v>
      </x:c>
      <x:c r="D9" s="30" t="n">
        <x:v>2019</x:v>
      </x:c>
      <x:c r="E9" s="24" t="str">
        <x:v>Sciaenidae</x:v>
      </x:c>
      <x:c r="F9" s="24" t="str">
        <x:v>Drums, croakers</x:v>
      </x:c>
      <x:c r="G9" s="24" t="str">
        <x:v>Medium demersals (30 - 89 cm)</x:v>
      </x:c>
      <x:c r="H9" s="24" t="str">
        <x:v>Perch-likes</x:v>
      </x:c>
      <x:c r="I9" s="31" t="n">
        <x:v>74.6745031247</x:v>
      </x:c>
      <x:c r="J9" s="31" t="n">
        <x:v>74.6745031247</x:v>
      </x:c>
      <x:c r="K9" s="31" t="n">
        <x:v>0</x:v>
      </x:c>
      <x:c r="L9" s="31" t="n">
        <x:v>30.2813159224</x:v>
      </x:c>
      <x:c r="M9" s="31" t="n">
        <x:v>44.3931872023</x:v>
      </x:c>
      <x:c r="N9" s="24" t="str">
        <x:v>sciaenidae</x:v>
      </x:c>
      <x:c r="O9" s="32" t="n">
        <x:v>3.76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Sciaenidae</x:v>
      </x:c>
      <x:c r="T9" s="32" t="n">
        <x:f>IF(O9="","",(1/'Metadata'!$B$5)^(O9-1))</x:f>
        <x:v>575.4399373371566</x:v>
      </x:c>
      <x:c r="U9" s="31" t="n">
        <x:f>IF(T9="","",I9*T9)</x:f>
        <x:v>42970.69139876067</x:v>
      </x:c>
    </x:row>
    <x:row r="10" ht="18" customHeight="1">
      <x:c r="A10" s="24" t="str">
        <x:v>EEZ_702</x:v>
      </x:c>
      <x:c r="B10" s="24" t="str">
        <x:v>Singapore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71.3571449963</x:v>
      </x:c>
      <x:c r="J10" s="31" t="n">
        <x:v>71.3571449963</x:v>
      </x:c>
      <x:c r="K10" s="31" t="n">
        <x:v>0</x:v>
      </x:c>
      <x:c r="L10" s="31" t="n">
        <x:v>24.7985095288</x:v>
      </x:c>
      <x:c r="M10" s="31" t="n">
        <x:v>46.5586354675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56680.995019875554</x:v>
      </x:c>
    </x:row>
    <x:row r="11" ht="18" customHeight="1">
      <x:c r="A11" s="24" t="str">
        <x:v>EEZ_702</x:v>
      </x:c>
      <x:c r="B11" s="24" t="str">
        <x:v>Singapore</x:v>
      </x:c>
      <x:c r="C11" s="24" t="str">
        <x:v>EEZ</x:v>
      </x:c>
      <x:c r="D11" s="30" t="n">
        <x:v>2019</x:v>
      </x:c>
      <x:c r="E11" s="24" t="str">
        <x:v>Cephalopoda</x:v>
      </x:c>
      <x:c r="F11" s="24" t="str">
        <x:v>Squids, cuttlefishes, octopuses</x:v>
      </x:c>
      <x:c r="G11" s="24" t="str">
        <x:v>Cephalopods</x:v>
      </x:c>
      <x:c r="H11" s="24" t="str">
        <x:v>Other fishes &amp; inverts</x:v>
      </x:c>
      <x:c r="I11" s="31" t="n">
        <x:v>66.8294943608</x:v>
      </x:c>
      <x:c r="J11" s="31" t="n">
        <x:v>66.8294943608</x:v>
      </x:c>
      <x:c r="K11" s="31" t="n">
        <x:v>0</x:v>
      </x:c>
      <x:c r="L11" s="31" t="n">
        <x:v>25.6447079645</x:v>
      </x:c>
      <x:c r="M11" s="31" t="n">
        <x:v>41.1847863963</x:v>
      </x:c>
      <x:c r="N11" s="24" t="str">
        <x:v>cephalopoda</x:v>
      </x:c>
      <x:c r="O11" s="32" t="n">
        <x:v>3.81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Cephalopoda</x:v>
      </x:c>
      <x:c r="T11" s="32" t="n">
        <x:f>IF(O11="","",(1/'Metadata'!$B$5)^(O11-1))</x:f>
        <x:v>645.6542290346556</x:v>
      </x:c>
      <x:c r="U11" s="31" t="n">
        <x:f>IF(T11="","",I11*T11)</x:f>
        <x:v>43148.74565829819</x:v>
      </x:c>
    </x:row>
    <x:row r="12" ht="18" customHeight="1">
      <x:c r="A12" s="24" t="str">
        <x:v>EEZ_702</x:v>
      </x:c>
      <x:c r="B12" s="24" t="str">
        <x:v>Singapore</x:v>
      </x:c>
      <x:c r="C12" s="24" t="str">
        <x:v>EEZ</x:v>
      </x:c>
      <x:c r="D12" s="30" t="n">
        <x:v>2019</x:v>
      </x:c>
      <x:c r="E12" s="24" t="str">
        <x:v>Siganidae</x:v>
      </x:c>
      <x:c r="F12" s="24" t="str">
        <x:v>Rabbitfishes</x:v>
      </x:c>
      <x:c r="G12" s="24" t="str">
        <x:v>Medium reef assoc. fish (30 - 89 cm)</x:v>
      </x:c>
      <x:c r="H12" s="24" t="str">
        <x:v>Perch-likes</x:v>
      </x:c>
      <x:c r="I12" s="31" t="n">
        <x:v>59.4504048696</x:v>
      </x:c>
      <x:c r="J12" s="31" t="n">
        <x:v>59.4504048696</x:v>
      </x:c>
      <x:c r="K12" s="31" t="n">
        <x:v>0</x:v>
      </x:c>
      <x:c r="L12" s="31" t="n">
        <x:v>16.8750150858</x:v>
      </x:c>
      <x:c r="M12" s="31" t="n">
        <x:v>42.575389783800006</x:v>
      </x:c>
      <x:c r="N12" s="24" t="str">
        <x:v>siganidae</x:v>
      </x:c>
      <x:c r="O12" s="32" t="n">
        <x:v>2.11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Siganidae</x:v>
      </x:c>
      <x:c r="T12" s="32" t="n">
        <x:f>IF(O12="","",(1/'Metadata'!$B$5)^(O12-1))</x:f>
        <x:v>12.882495516931336</x:v>
      </x:c>
      <x:c r="U12" s="31" t="n">
        <x:f>IF(T12="","",I12*T12)</x:f>
        <x:v>765.8695742123748</x:v>
      </x:c>
    </x:row>
    <x:row r="13" ht="18" customHeight="1">
      <x:c r="A13" s="24" t="str">
        <x:v>EEZ_702</x:v>
      </x:c>
      <x:c r="B13" s="24" t="str">
        <x:v>Singapore</x:v>
      </x:c>
      <x:c r="C13" s="24" t="str">
        <x:v>EEZ</x:v>
      </x:c>
      <x:c r="D13" s="30" t="n">
        <x:v>2019</x:v>
      </x:c>
      <x:c r="E13" s="24" t="str">
        <x:v>Serranidae</x:v>
      </x:c>
      <x:c r="F13" s="24" t="str">
        <x:v>Basses, groupers, hinds</x:v>
      </x:c>
      <x:c r="G13" s="24" t="str">
        <x:v>Medium reef assoc. fish (30 - 89 cm)</x:v>
      </x:c>
      <x:c r="H13" s="24" t="str">
        <x:v>Perch-likes</x:v>
      </x:c>
      <x:c r="I13" s="31" t="n">
        <x:v>56.275191673</x:v>
      </x:c>
      <x:c r="J13" s="31" t="n">
        <x:v>56.275191673</x:v>
      </x:c>
      <x:c r="K13" s="31" t="n">
        <x:v>0</x:v>
      </x:c>
      <x:c r="L13" s="31" t="n">
        <x:v>24.197079235500002</x:v>
      </x:c>
      <x:c r="M13" s="31" t="n">
        <x:v>32.0781124375</x:v>
      </x:c>
      <x:c r="N13" s="24" t="str">
        <x:v>serranidae</x:v>
      </x:c>
      <x:c r="O13" s="32" t="n">
        <x:v>3.98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Serranidae</x:v>
      </x:c>
      <x:c r="T13" s="32" t="n">
        <x:f>IF(O13="","",(1/'Metadata'!$B$5)^(O13-1))</x:f>
        <x:v>954.992586021436</x:v>
      </x:c>
      <x:c r="U13" s="31" t="n">
        <x:f>IF(T13="","",I13*T13)</x:f>
        <x:v>53742.390824650254</x:v>
      </x:c>
    </x:row>
    <x:row r="14" ht="18" customHeight="1">
      <x:c r="A14" s="24" t="str">
        <x:v>EEZ_702</x:v>
      </x:c>
      <x:c r="B14" s="24" t="str">
        <x:v>Singapore</x:v>
      </x:c>
      <x:c r="C14" s="24" t="str">
        <x:v>EEZ</x:v>
      </x:c>
      <x:c r="D14" s="30" t="n">
        <x:v>2019</x:v>
      </x:c>
      <x:c r="E14" s="24" t="str">
        <x:v>Nemipteridae</x:v>
      </x:c>
      <x:c r="F14" s="24" t="str">
        <x:v>Threadfins, whiptail breams</x:v>
      </x:c>
      <x:c r="G14" s="24" t="str">
        <x:v>Small demersals (&lt;30 cm)</x:v>
      </x:c>
      <x:c r="H14" s="24" t="str">
        <x:v>Perch-likes</x:v>
      </x:c>
      <x:c r="I14" s="31" t="n">
        <x:v>55.3585404385</x:v>
      </x:c>
      <x:c r="J14" s="31" t="n">
        <x:v>55.3585404385</x:v>
      </x:c>
      <x:c r="K14" s="31" t="n">
        <x:v>0</x:v>
      </x:c>
      <x:c r="L14" s="31" t="n">
        <x:v>24.2320461133</x:v>
      </x:c>
      <x:c r="M14" s="31" t="n">
        <x:v>31.1264943252</x:v>
      </x:c>
      <x:c r="N14" s="24" t="str">
        <x:v>nemipteridae</x:v>
      </x:c>
      <x:c r="O14" s="32" t="n">
        <x:v>3.51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Nemipteridae</x:v>
      </x:c>
      <x:c r="T14" s="32" t="n">
        <x:f>IF(O14="","",(1/'Metadata'!$B$5)^(O14-1))</x:f>
        <x:v>323.5936569296281</x:v>
      </x:c>
      <x:c r="U14" s="31" t="n">
        <x:f>IF(T14="","",I14*T14)</x:f>
        <x:v>17913.67254278091</x:v>
      </x:c>
    </x:row>
    <x:row r="15" ht="18" customHeight="1">
      <x:c r="A15" s="24" t="str">
        <x:v>EEZ_702</x:v>
      </x:c>
      <x:c r="B15" s="24" t="str">
        <x:v>Singapore</x:v>
      </x:c>
      <x:c r="C15" s="24" t="str">
        <x:v>EEZ</x:v>
      </x:c>
      <x:c r="D15" s="30" t="n">
        <x:v>2019</x:v>
      </x:c>
      <x:c r="E15" s="24" t="str">
        <x:v>Carangidae</x:v>
      </x:c>
      <x:c r="F15" s="24" t="str">
        <x:v>Jacks, pompanos</x:v>
      </x:c>
      <x:c r="G15" s="24" t="str">
        <x:v>Medium pelagics (30 - 89 cm)</x:v>
      </x:c>
      <x:c r="H15" s="24" t="str">
        <x:v>Perch-likes</x:v>
      </x:c>
      <x:c r="I15" s="31" t="n">
        <x:v>53.700059409</x:v>
      </x:c>
      <x:c r="J15" s="31" t="n">
        <x:v>53.700059409</x:v>
      </x:c>
      <x:c r="K15" s="31" t="n">
        <x:v>0</x:v>
      </x:c>
      <x:c r="L15" s="31" t="n">
        <x:v>11.1194670477</x:v>
      </x:c>
      <x:c r="M15" s="31" t="n">
        <x:v>42.5805923613</x:v>
      </x:c>
      <x:c r="N15" s="24" t="str">
        <x:v>carangidae</x:v>
      </x:c>
      <x:c r="O15" s="32" t="n">
        <x:v>4.05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Carangidae</x:v>
      </x:c>
      <x:c r="T15" s="32" t="n">
        <x:f>IF(O15="","",(1/'Metadata'!$B$5)^(O15-1))</x:f>
        <x:v>1122.018454301963</x:v>
      </x:c>
      <x:c r="U15" s="31" t="n">
        <x:f>IF(T15="","",I15*T15)</x:f>
        <x:v>60252.45765400976</x:v>
      </x:c>
    </x:row>
    <x:row r="16" ht="18" customHeight="1">
      <x:c r="A16" s="24" t="str">
        <x:v>EEZ_702</x:v>
      </x:c>
      <x:c r="B16" s="24" t="str">
        <x:v>Singapore</x:v>
      </x:c>
      <x:c r="C16" s="24" t="str">
        <x:v>EEZ</x:v>
      </x:c>
      <x:c r="D16" s="30" t="n">
        <x:v>2019</x:v>
      </x:c>
      <x:c r="E16" s="24" t="str">
        <x:v>Trichiurus lepturus</x:v>
      </x:c>
      <x:c r="F16" s="24" t="str">
        <x:v>Largehead hairtail</x:v>
      </x:c>
      <x:c r="G16" s="24" t="str">
        <x:v>Large benthopelagics (&gt;=90 cm)</x:v>
      </x:c>
      <x:c r="H16" s="24" t="str">
        <x:v>Perch-likes</x:v>
      </x:c>
      <x:c r="I16" s="31" t="n">
        <x:v>53.585580293700005</x:v>
      </x:c>
      <x:c r="J16" s="31" t="n">
        <x:v>53.585580293700005</x:v>
      </x:c>
      <x:c r="K16" s="31" t="n">
        <x:v>0</x:v>
      </x:c>
      <x:c r="L16" s="31" t="n">
        <x:v>16.9939024688</x:v>
      </x:c>
      <x:c r="M16" s="31" t="n">
        <x:v>36.5916778249</x:v>
      </x:c>
      <x:c r="N16" s="24" t="str">
        <x:v>trichiurus lepturus</x:v>
      </x:c>
      <x:c r="O16" s="32" t="n">
        <x:v>4.42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Trichiurus lepturus</x:v>
      </x:c>
      <x:c r="T16" s="32" t="n">
        <x:f>IF(O16="","",(1/'Metadata'!$B$5)^(O16-1))</x:f>
        <x:v>2630.2679918953813</x:v>
      </x:c>
      <x:c r="U16" s="31" t="n">
        <x:f>IF(T16="","",I16*T16)</x:f>
        <x:v>140944.43667365902</x:v>
      </x:c>
    </x:row>
    <x:row r="17" ht="18" customHeight="1">
      <x:c r="A17" s="24" t="str">
        <x:v>EEZ_702</x:v>
      </x:c>
      <x:c r="B17" s="24" t="str">
        <x:v>Singapore</x:v>
      </x:c>
      <x:c r="C17" s="24" t="str">
        <x:v>EEZ</x:v>
      </x:c>
      <x:c r="D17" s="30" t="n">
        <x:v>2019</x:v>
      </x:c>
      <x:c r="E17" s="24" t="str">
        <x:v>Lates calcarifer</x:v>
      </x:c>
      <x:c r="F17" s="24" t="str">
        <x:v>Barramundi</x:v>
      </x:c>
      <x:c r="G17" s="24" t="str">
        <x:v>Large demersals (&gt;=90 cm)</x:v>
      </x:c>
      <x:c r="H17" s="24" t="str">
        <x:v>Perch-likes</x:v>
      </x:c>
      <x:c r="I17" s="31" t="n">
        <x:v>53.459079102800004</x:v>
      </x:c>
      <x:c r="J17" s="31" t="n">
        <x:v>53.459079102800004</x:v>
      </x:c>
      <x:c r="K17" s="31" t="n">
        <x:v>0</x:v>
      </x:c>
      <x:c r="L17" s="31" t="n">
        <x:v>32.13456043</x:v>
      </x:c>
      <x:c r="M17" s="31" t="n">
        <x:v>21.324518672799996</x:v>
      </x:c>
      <x:c r="N17" s="24" t="str">
        <x:v>lates calcarifer</x:v>
      </x:c>
      <x:c r="O17" s="32" t="n">
        <x:v>4.35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Lates calcarifer</x:v>
      </x:c>
      <x:c r="T17" s="32" t="n">
        <x:f>IF(O17="","",(1/'Metadata'!$B$5)^(O17-1))</x:f>
        <x:v>2238.7211385683377</x:v>
      </x:c>
      <x:c r="U17" s="31" t="n">
        <x:f>IF(T17="","",I17*T17)</x:f>
        <x:v>119679.97043583525</x:v>
      </x:c>
    </x:row>
    <x:row r="18" ht="18" customHeight="1">
      <x:c r="A18" s="24" t="str">
        <x:v>EEZ_702</x:v>
      </x:c>
      <x:c r="B18" s="24" t="str">
        <x:v>Singapore</x:v>
      </x:c>
      <x:c r="C18" s="24" t="str">
        <x:v>EEZ</x:v>
      </x:c>
      <x:c r="D18" s="30" t="n">
        <x:v>2019</x:v>
      </x:c>
      <x:c r="E18" s="24" t="str">
        <x:v>Haemulidae</x:v>
      </x:c>
      <x:c r="F18" s="24" t="str">
        <x:v>Grunts, sweetlips, bonnetmouths</x:v>
      </x:c>
      <x:c r="G18" s="24" t="str">
        <x:v>Medium demersals (30 - 89 cm)</x:v>
      </x:c>
      <x:c r="H18" s="24" t="str">
        <x:v>Perch-likes</x:v>
      </x:c>
      <x:c r="I18" s="31" t="n">
        <x:v>47.3358396826</x:v>
      </x:c>
      <x:c r="J18" s="31" t="n">
        <x:v>47.3358396826</x:v>
      </x:c>
      <x:c r="K18" s="31" t="n">
        <x:v>0</x:v>
      </x:c>
      <x:c r="L18" s="31" t="n">
        <x:v>25.316019316000002</x:v>
      </x:c>
      <x:c r="M18" s="31" t="n">
        <x:v>22.0198203666</x:v>
      </x:c>
      <x:c r="N18" s="24" t="str">
        <x:v>haemulidae</x:v>
      </x:c>
      <x:c r="O18" s="32" t="n">
        <x:v>3.36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Haemulidae</x:v>
      </x:c>
      <x:c r="T18" s="32" t="n">
        <x:f>IF(O18="","",(1/'Metadata'!$B$5)^(O18-1))</x:f>
        <x:v>229.08676527677724</x:v>
      </x:c>
      <x:c r="U18" s="31" t="n">
        <x:f>IF(T18="","",I18*T18)</x:f>
        <x:v>10844.014394546944</x:v>
      </x:c>
    </x:row>
    <x:row r="19" ht="18" customHeight="1">
      <x:c r="A19" s="24" t="str">
        <x:v>EEZ_702</x:v>
      </x:c>
      <x:c r="B19" s="24" t="str">
        <x:v>Singapore</x:v>
      </x:c>
      <x:c r="C19" s="24" t="str">
        <x:v>EEZ</x:v>
      </x:c>
      <x:c r="D19" s="30" t="n">
        <x:v>2019</x:v>
      </x:c>
      <x:c r="E19" s="24" t="str">
        <x:v>Polynemidae</x:v>
      </x:c>
      <x:c r="F19" s="24" t="str">
        <x:v>Threadfins</x:v>
      </x:c>
      <x:c r="G19" s="24" t="str">
        <x:v>Small demersals (&lt;30 cm)</x:v>
      </x:c>
      <x:c r="H19" s="24" t="str">
        <x:v>Perch-likes</x:v>
      </x:c>
      <x:c r="I19" s="31" t="n">
        <x:v>34.9623003575</x:v>
      </x:c>
      <x:c r="J19" s="31" t="n">
        <x:v>34.9623003575</x:v>
      </x:c>
      <x:c r="K19" s="31" t="n">
        <x:v>0</x:v>
      </x:c>
      <x:c r="L19" s="31" t="n">
        <x:v>24.4768142558</x:v>
      </x:c>
      <x:c r="M19" s="31" t="n">
        <x:v>10.4854861017</x:v>
      </x:c>
      <x:c r="N19" s="24" t="str">
        <x:v>polynemidae</x:v>
      </x:c>
      <x:c r="O19" s="32" t="n">
        <x:v>3.62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Polynemidae</x:v>
      </x:c>
      <x:c r="T19" s="32" t="n">
        <x:f>IF(O19="","",(1/'Metadata'!$B$5)^(O19-1))</x:f>
        <x:v>416.8693834703355</x:v>
      </x:c>
      <x:c r="U19" s="31" t="n">
        <x:f>IF(T19="","",I19*T19)</x:f>
        <x:v>14574.712594735714</x:v>
      </x:c>
    </x:row>
    <x:row r="20" ht="18" customHeight="1">
      <x:c r="A20" s="24" t="str">
        <x:v>EEZ_702</x:v>
      </x:c>
      <x:c r="B20" s="24" t="str">
        <x:v>Singapore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23.5329875292</x:v>
      </x:c>
      <x:c r="J20" s="31" t="n">
        <x:v>23.5329875292</x:v>
      </x:c>
      <x:c r="K20" s="31" t="n">
        <x:v>0</x:v>
      </x:c>
      <x:c r="L20" s="31" t="n">
        <x:v>8.881586886900001</x:v>
      </x:c>
      <x:c r="M20" s="31" t="n">
        <x:v>14.651400642299999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6786.987739689834</x:v>
      </x:c>
    </x:row>
    <x:row r="21" ht="18" customHeight="1">
      <x:c r="A21" s="24" t="str">
        <x:v>EEZ_702</x:v>
      </x:c>
      <x:c r="B21" s="24" t="str">
        <x:v>Singapore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23.496661931000002</x:v>
      </x:c>
      <x:c r="J21" s="31" t="n">
        <x:v>23.496661931000002</x:v>
      </x:c>
      <x:c r="K21" s="31" t="n">
        <x:v>0</x:v>
      </x:c>
      <x:c r="L21" s="31" t="n">
        <x:v>16.0428034006</x:v>
      </x:c>
      <x:c r="M21" s="31" t="n">
        <x:v>7.453858530400001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796.1706584097817</x:v>
      </x:c>
    </x:row>
    <x:row r="22" ht="18" customHeight="1">
      <x:c r="A22" s="24" t="str">
        <x:v>EEZ_702</x:v>
      </x:c>
      <x:c r="B22" s="24" t="str">
        <x:v>Singapore</x:v>
      </x:c>
      <x:c r="C22" s="24" t="str">
        <x:v>EEZ</x:v>
      </x:c>
      <x:c r="D22" s="30" t="n">
        <x:v>2019</x:v>
      </x:c>
      <x:c r="E22" s="24" t="str">
        <x:v>Leiognathidae</x:v>
      </x:c>
      <x:c r="F22" s="24" t="str">
        <x:v>Slipmouths, ponyfishes</x:v>
      </x:c>
      <x:c r="G22" s="24" t="str">
        <x:v>Small benthopelagics (&lt;30 cm)</x:v>
      </x:c>
      <x:c r="H22" s="24" t="str">
        <x:v>Perch-likes</x:v>
      </x:c>
      <x:c r="I22" s="31" t="n">
        <x:v>21.6666556123</x:v>
      </x:c>
      <x:c r="J22" s="31" t="n">
        <x:v>21.6666556123</x:v>
      </x:c>
      <x:c r="K22" s="31" t="n">
        <x:v>0</x:v>
      </x:c>
      <x:c r="L22" s="31" t="n">
        <x:v>2.6784628172000002</x:v>
      </x:c>
      <x:c r="M22" s="31" t="n">
        <x:v>18.988192795099998</x:v>
      </x:c>
      <x:c r="N22" s="24" t="str">
        <x:v>leiognathidae</x:v>
      </x:c>
      <x:c r="O22" s="32" t="n">
        <x:v>3.24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Leiognathidae</x:v>
      </x:c>
      <x:c r="T22" s="32" t="n">
        <x:f>IF(O22="","",(1/'Metadata'!$B$5)^(O22-1))</x:f>
        <x:v>173.78008287493762</x:v>
      </x:c>
      <x:c r="U22" s="31" t="n">
        <x:f>IF(T22="","",I22*T22)</x:f>
        <x:v>3765.2332079282264</x:v>
      </x:c>
    </x:row>
    <x:row r="23" ht="18" customHeight="1">
      <x:c r="A23" s="24" t="str">
        <x:v>EEZ_702</x:v>
      </x:c>
      <x:c r="B23" s="24" t="str">
        <x:v>Singapore</x:v>
      </x:c>
      <x:c r="C23" s="24" t="str">
        <x:v>EEZ</x:v>
      </x:c>
      <x:c r="D23" s="30" t="n">
        <x:v>2019</x:v>
      </x:c>
      <x:c r="E23" s="24" t="str">
        <x:v>Scylla serrata</x:v>
      </x:c>
      <x:c r="F23" s="24" t="str">
        <x:v>Indo-Pacific swamp crab</x:v>
      </x:c>
      <x:c r="G23" s="24" t="str">
        <x:v>Lobsters, crabs</x:v>
      </x:c>
      <x:c r="H23" s="24" t="str">
        <x:v>Crustaceans</x:v>
      </x:c>
      <x:c r="I23" s="31" t="n">
        <x:v>17.1588961232</x:v>
      </x:c>
      <x:c r="J23" s="31" t="n">
        <x:v>17.1588961232</x:v>
      </x:c>
      <x:c r="K23" s="31" t="n">
        <x:v>0</x:v>
      </x:c>
      <x:c r="L23" s="31" t="n">
        <x:v>15.644180997100001</x:v>
      </x:c>
      <x:c r="M23" s="31" t="n">
        <x:v>1.5147151261</x:v>
      </x:c>
      <x:c r="N23" s="24" t="str">
        <x:v>scylla serrata</x:v>
      </x:c>
      <x:c r="O23" s="32" t="n">
        <x:v>3.17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Scylla serrata</x:v>
      </x:c>
      <x:c r="T23" s="32" t="n">
        <x:f>IF(O23="","",(1/'Metadata'!$B$5)^(O23-1))</x:f>
        <x:v>147.91083881682073</x:v>
      </x:c>
      <x:c r="U23" s="31" t="n">
        <x:f>IF(T23="","",I23*T23)</x:f>
        <x:v>2537.9867187532054</x:v>
      </x:c>
    </x:row>
    <x:row r="24" ht="18" customHeight="1">
      <x:c r="A24" s="24" t="str">
        <x:v>EEZ_702</x:v>
      </x:c>
      <x:c r="B24" s="24" t="str">
        <x:v>Singapore</x:v>
      </x:c>
      <x:c r="C24" s="24" t="str">
        <x:v>EEZ</x:v>
      </x:c>
      <x:c r="D24" s="30" t="n">
        <x:v>2019</x:v>
      </x:c>
      <x:c r="E24" s="24" t="str">
        <x:v>Caesionidae</x:v>
      </x:c>
      <x:c r="F24" s="24" t="str">
        <x:v>Fusiliers</x:v>
      </x:c>
      <x:c r="G24" s="24" t="str">
        <x:v>Medium reef assoc. fish (30 - 89 cm)</x:v>
      </x:c>
      <x:c r="H24" s="24" t="str">
        <x:v>Perch-likes</x:v>
      </x:c>
      <x:c r="I24" s="31" t="n">
        <x:v>14.1550513943</x:v>
      </x:c>
      <x:c r="J24" s="31" t="n">
        <x:v>14.1550513943</x:v>
      </x:c>
      <x:c r="K24" s="31" t="n">
        <x:v>0</x:v>
      </x:c>
      <x:c r="L24" s="31" t="n">
        <x:v>11.2943014352</x:v>
      </x:c>
      <x:c r="M24" s="31" t="n">
        <x:v>2.8607499590999996</x:v>
      </x:c>
      <x:c r="N24" s="24" t="str">
        <x:v>caesionidae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Caesionidae</x:v>
      </x:c>
      <x:c r="T24" s="32" t="n">
        <x:f>IF(O24="","",(1/'Metadata'!$B$5)^(O24-1))</x:f>
        <x:v>245.4708915685031</x:v>
      </x:c>
      <x:c r="U24" s="31" t="n">
        <x:f>IF(T24="","",I24*T24)</x:f>
        <x:v>3474.653085956804</x:v>
      </x:c>
    </x:row>
    <x:row r="25" ht="18" customHeight="1">
      <x:c r="A25" s="24" t="str">
        <x:v>EEZ_702</x:v>
      </x:c>
      <x:c r="B25" s="24" t="str">
        <x:v>Singapore</x:v>
      </x:c>
      <x:c r="C25" s="24" t="str">
        <x:v>EEZ</x:v>
      </x:c>
      <x:c r="D25" s="30" t="n">
        <x:v>2019</x:v>
      </x:c>
      <x:c r="E25" s="24" t="str">
        <x:v>Rastrelliger kanagurta</x:v>
      </x:c>
      <x:c r="F25" s="24" t="str">
        <x:v>Indian mackerel</x:v>
      </x:c>
      <x:c r="G25" s="24" t="str">
        <x:v>Medium pelagics (30 - 89 cm)</x:v>
      </x:c>
      <x:c r="H25" s="24" t="str">
        <x:v>Perch-likes</x:v>
      </x:c>
      <x:c r="I25" s="31" t="n">
        <x:v>7.225793106299999</x:v>
      </x:c>
      <x:c r="J25" s="31" t="n">
        <x:v>7.225793106299999</x:v>
      </x:c>
      <x:c r="K25" s="31" t="n">
        <x:v>0</x:v>
      </x:c>
      <x:c r="L25" s="31" t="n">
        <x:v>4.895362851</x:v>
      </x:c>
      <x:c r="M25" s="31" t="n">
        <x:v>2.3304302553</x:v>
      </x:c>
      <x:c r="N25" s="24" t="str">
        <x:v>rastrelliger kanagurta</x:v>
      </x:c>
      <x:c r="O25" s="32" t="n">
        <x:v>3.19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Rastrelliger kanagurta</x:v>
      </x:c>
      <x:c r="T25" s="32" t="n">
        <x:f>IF(O25="","",(1/'Metadata'!$B$5)^(O25-1))</x:f>
        <x:v>154.88166189124811</x:v>
      </x:c>
      <x:c r="U25" s="31" t="n">
        <x:f>IF(T25="","",I25*T25)</x:f>
        <x:v>1119.142844786068</x:v>
      </x:c>
    </x:row>
    <x:row r="26" ht="18" customHeight="1">
      <x:c r="A26" s="24" t="str">
        <x:v>EEZ_702</x:v>
      </x:c>
      <x:c r="B26" s="24" t="str">
        <x:v>Singapore</x:v>
      </x:c>
      <x:c r="C26" s="24" t="str">
        <x:v>EEZ</x:v>
      </x:c>
      <x:c r="D26" s="30" t="n">
        <x:v>2019</x:v>
      </x:c>
      <x:c r="E26" s="24" t="str">
        <x:v>Scyllaridae</x:v>
      </x:c>
      <x:c r="F26" s="24" t="str">
        <x:v>Slipper lobsters</x:v>
      </x:c>
      <x:c r="G26" s="24" t="str">
        <x:v>Lobsters, crabs</x:v>
      </x:c>
      <x:c r="H26" s="24" t="str">
        <x:v>Crustaceans</x:v>
      </x:c>
      <x:c r="I26" s="31" t="n">
        <x:v>5.0961125635</x:v>
      </x:c>
      <x:c r="J26" s="31" t="n">
        <x:v>5.0961125635</x:v>
      </x:c>
      <x:c r="K26" s="31" t="n">
        <x:v>0</x:v>
      </x:c>
      <x:c r="L26" s="31" t="n">
        <x:v>1.4546221043999998</x:v>
      </x:c>
      <x:c r="M26" s="31" t="n">
        <x:v>3.6414904591</x:v>
      </x:c>
      <x:c r="N26" s="24" t="str">
        <x:v>scyllaridae</x:v>
      </x:c>
      <x:c r="O26" s="32" t="n">
        <x:v>2.87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Scyllaridae</x:v>
      </x:c>
      <x:c r="T26" s="32" t="n">
        <x:f>IF(O26="","",(1/'Metadata'!$B$5)^(O26-1))</x:f>
        <x:v>74.13102413009177</x:v>
      </x:c>
      <x:c r="U26" s="31" t="n">
        <x:f>IF(T26="","",I26*T26)</x:f>
        <x:v>377.78004341448235</x:v>
      </x:c>
    </x:row>
    <x:row r="27" ht="18" customHeight="1">
      <x:c r="A27" s="24" t="str">
        <x:v>EEZ_702</x:v>
      </x:c>
      <x:c r="B27" s="24" t="str">
        <x:v>Singapore</x:v>
      </x:c>
      <x:c r="C27" s="24" t="str">
        <x:v>EEZ</x:v>
      </x:c>
      <x:c r="D27" s="30" t="n">
        <x:v>2019</x:v>
      </x:c>
      <x:c r="E27" s="24" t="str">
        <x:v>Sillago</x:v>
      </x:c>
      <x:c r="F27" s="24" t="str">
        <x:v>Smelt-whitings</x:v>
      </x:c>
      <x:c r="G27" s="24" t="str">
        <x:v>Medium demersals (30 - 89 cm)</x:v>
      </x:c>
      <x:c r="H27" s="24" t="str">
        <x:v>Perch-likes</x:v>
      </x:c>
      <x:c r="I27" s="31" t="n">
        <x:v>2.427660306</x:v>
      </x:c>
      <x:c r="J27" s="31" t="n">
        <x:v>2.427660306</x:v>
      </x:c>
      <x:c r="K27" s="31" t="n">
        <x:v>0</x:v>
      </x:c>
      <x:c r="L27" s="31" t="n">
        <x:v>0</x:v>
      </x:c>
      <x:c r="M27" s="31" t="n">
        <x:v>2.427660306</x:v>
      </x:c>
      <x:c r="N27" s="24" t="str">
        <x:v>sillago</x:v>
      </x:c>
      <x:c r="O27" s="32" t="n">
        <x:v>3.33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Sillago</x:v>
      </x:c>
      <x:c r="T27" s="32" t="n">
        <x:f>IF(O27="","",(1/'Metadata'!$B$5)^(O27-1))</x:f>
        <x:v>213.79620895022325</x:v>
      </x:c>
      <x:c r="U27" s="31" t="n">
        <x:f>IF(T27="","",I27*T27)</x:f>
        <x:v>519.0245700417389</x:v>
      </x:c>
    </x:row>
    <x:row r="28" ht="18" customHeight="1">
      <x:c r="A28" s="24" t="str">
        <x:v>EEZ_702</x:v>
      </x:c>
      <x:c r="B28" s="24" t="str">
        <x:v>Singapore</x:v>
      </x:c>
      <x:c r="C28" s="24" t="str">
        <x:v>EEZ</x:v>
      </x:c>
      <x:c r="D28" s="30" t="n">
        <x:v>2019</x:v>
      </x:c>
      <x:c r="E28" s="24" t="str">
        <x:v>Clupeiformes</x:v>
      </x:c>
      <x:c r="F28" s="24" t="str">
        <x:v>Herrings, shads, anchovies</x:v>
      </x:c>
      <x:c r="G28" s="24" t="str">
        <x:v>Small pelagics (&lt;30 cm)</x:v>
      </x:c>
      <x:c r="H28" s="24" t="str">
        <x:v>Other fishes &amp; inverts</x:v>
      </x:c>
      <x:c r="I28" s="31" t="n">
        <x:v>1.3012341666</x:v>
      </x:c>
      <x:c r="J28" s="31" t="n">
        <x:v>1.3012341666</x:v>
      </x:c>
      <x:c r="K28" s="31" t="n">
        <x:v>0</x:v>
      </x:c>
      <x:c r="L28" s="31" t="n">
        <x:v>0</x:v>
      </x:c>
      <x:c r="M28" s="31" t="n">
        <x:v>1.3012341666</x:v>
      </x:c>
      <x:c r="N28" s="24" t="str">
        <x:v>clupeiformes</x:v>
      </x:c>
      <x:c r="O28" s="32" t="n">
        <x:v>3.24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Clupeiformes</x:v>
      </x:c>
      <x:c r="T28" s="32" t="n">
        <x:f>IF(O28="","",(1/'Metadata'!$B$5)^(O28-1))</x:f>
        <x:v>173.78008287493762</x:v>
      </x:c>
      <x:c r="U28" s="31" t="n">
        <x:f>IF(T28="","",I28*T28)</x:f>
        <x:v>226.1285813114484</x:v>
      </x:c>
    </x:row>
    <x:row r="29" ht="18" customHeight="1">
      <x:c r="A29" s="24" t="str">
        <x:v>EEZ_702</x:v>
      </x:c>
      <x:c r="B29" s="24" t="str">
        <x:v>Singapore</x:v>
      </x:c>
      <x:c r="C29" s="24" t="str">
        <x:v>EEZ</x:v>
      </x:c>
      <x:c r="D29" s="30" t="n">
        <x:v>2019</x:v>
      </x:c>
      <x:c r="E29" s="24" t="str">
        <x:v>Synodontidae</x:v>
      </x:c>
      <x:c r="F29" s="24" t="str">
        <x:v>Lizardfishes, sauries</x:v>
      </x:c>
      <x:c r="G29" s="24" t="str">
        <x:v>Medium demersals (30 - 89 cm)</x:v>
      </x:c>
      <x:c r="H29" s="24" t="str">
        <x:v>Other fishes &amp; inverts</x:v>
      </x:c>
      <x:c r="I29" s="31" t="n">
        <x:v>0.3952422968</x:v>
      </x:c>
      <x:c r="J29" s="31" t="n">
        <x:v>0.3952422968</x:v>
      </x:c>
      <x:c r="K29" s="31" t="n">
        <x:v>0</x:v>
      </x:c>
      <x:c r="L29" s="31" t="n">
        <x:v>0.0699337552</x:v>
      </x:c>
      <x:c r="M29" s="31" t="n">
        <x:v>0.3253085416</x:v>
      </x:c>
      <x:c r="N29" s="24" t="str">
        <x:v>synodontidae</x:v>
      </x:c>
      <x:c r="O29" s="32" t="n">
        <x:v>4.3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Synodontidae</x:v>
      </x:c>
      <x:c r="T29" s="32" t="n">
        <x:f>IF(O29="","",(1/'Metadata'!$B$5)^(O29-1))</x:f>
        <x:v>1995.2623149688789</x:v>
      </x:c>
      <x:c r="U29" s="31" t="n">
        <x:f>IF(T29="","",I29*T29)</x:f>
        <x:v>788.6120600867847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d415b0c077941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183.84785893320003</x:v>
      </x:c>
      <x:c r="E2" s="31" t="n">
        <x:v>183.84785893320003</x:v>
      </x:c>
      <x:c r="F2" s="32" t="n">
        <x:v>0</x:v>
      </x:c>
      <x:c r="G2" s="34" t="n">
        <x:v>1</x:v>
      </x:c>
      <x:c r="H2" s="32" t="n">
        <x:f>IF(E2=0,"",I2/E2)</x:f>
        <x:v>168.60346293869296</x:v>
      </x:c>
      <x:c r="I2" s="31" t="n">
        <x:f>IF(C2=0,"",SUMIF('Species'!$H$2:$H$29,A2,'Species'!$U$2:$U$29))</x:f>
        <x:v>30997.385670001844</x:v>
      </x:c>
      <x:c r="J2" s="32" t="n">
        <x:v>3.223210659101335</x:v>
      </x:c>
      <x:c r="K2" s="32" t="n">
        <x:f>IF(J2="","",(1/'Metadata'!$B$5)^(J2-1))</x:f>
        <x:v>167.19013909923657</x:v>
      </x:c>
      <x:c r="L2" s="31" t="n">
        <x:f>IF(E2=0,"",E2*K2)</x:f>
        <x:v>30737.549108138537</x:v>
      </x:c>
      <x:c r="M2" s="31" t="n">
        <x:f>IF(E2=0,"",I2-L2)</x:f>
        <x:v>259.836561863307</x:v>
      </x:c>
      <x:c r="N2" s="32" t="n">
        <x:f>IF(L2=0,"",I2/L2)</x:f>
        <x:v>1.0084533923296606</x:v>
      </x:c>
      <x:c r="O2" s="34" t="n">
        <x:f>IF(L2=0,"",M2/L2)</x:f>
        <x:v>0.008453392329660686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91.341394881</x:v>
      </x:c>
      <x:c r="E3" s="31" t="n">
        <x:v>91.341394881</x:v>
      </x:c>
      <x:c r="F3" s="32" t="n">
        <x:v>0</x:v>
      </x:c>
      <x:c r="G3" s="34" t="n">
        <x:v>1</x:v>
      </x:c>
      <x:c r="H3" s="32" t="n">
        <x:f>IF(E3=0,"",I3/E3)</x:f>
        <x:v>1995.2623149688789</x:v>
      </x:c>
      <x:c r="I3" s="31" t="n">
        <x:f>IF(C3=0,"",SUMIF('Species'!$H$2:$H$29,A3,'Species'!$U$2:$U$29))</x:f>
        <x:v>182250.04300275055</x:v>
      </x:c>
      <x:c r="J3" s="32" t="n">
        <x:v>4.3</x:v>
      </x:c>
      <x:c r="K3" s="32" t="n">
        <x:f>IF(J3="","",(1/'Metadata'!$B$5)^(J3-1))</x:f>
        <x:v>1995.2623149688789</x:v>
      </x:c>
      <x:c r="L3" s="31" t="n">
        <x:f>IF(E3=0,"",E3*K3)</x:f>
        <x:v>182250.04300275055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6</x:v>
      </x:c>
      <x:c r="C4" s="33" t="n">
        <x:v>6</x:v>
      </x:c>
      <x:c r="D4" s="31" t="n">
        <x:v>2294.7461076376003</x:v>
      </x:c>
      <x:c r="E4" s="31" t="n">
        <x:v>2294.7461076376003</x:v>
      </x:c>
      <x:c r="F4" s="32" t="n">
        <x:v>0</x:v>
      </x:c>
      <x:c r="G4" s="34" t="n">
        <x:v>1</x:v>
      </x:c>
      <x:c r="H4" s="32" t="n">
        <x:f>IF(E4=0,"",I4/E4)</x:f>
        <x:v>226.5479615395363</x:v>
      </x:c>
      <x:c r="I4" s="31" t="n">
        <x:f>IF(C4=0,"",SUMIF('Species'!$H$2:$H$29,A4,'Species'!$U$2:$U$29))</x:f>
        <x:v>519870.0529360837</x:v>
      </x:c>
      <x:c r="J4" s="32" t="n">
        <x:v>3.3214559925748026</x:v>
      </x:c>
      <x:c r="K4" s="32" t="n">
        <x:f>IF(J4="","",(1/'Metadata'!$B$5)^(J4-1))</x:f>
        <x:v>209.6312348435421</x:v>
      </x:c>
      <x:c r="L4" s="31" t="n">
        <x:f>IF(E4=0,"",E4*K4)</x:f>
        <x:v>481050.46019648196</x:v>
      </x:c>
      <x:c r="M4" s="31" t="n">
        <x:f>IF(E4=0,"",I4-L4)</x:f>
        <x:v>38819.592739601736</x:v>
      </x:c>
      <x:c r="N4" s="32" t="n">
        <x:f>IF(L4=0,"",I4/L4)</x:f>
        <x:v>1.0806975482857788</x:v>
      </x:c>
      <x:c r="O4" s="34" t="n">
        <x:f>IF(L4=0,"",M4/L4)</x:f>
        <x:v>0.08069754828577884</x:v>
      </x:c>
    </x:row>
    <x:row r="5" ht="18" customHeight="1">
      <x:c r="A5" s="24" t="str">
        <x:v>Perch-likes</x:v>
      </x:c>
      <x:c r="B5" s="33" t="n">
        <x:v>18</x:v>
      </x:c>
      <x:c r="C5" s="33" t="n">
        <x:v>18</x:v>
      </x:c>
      <x:c r="D5" s="31" t="n">
        <x:v>969.6551359635</x:v>
      </x:c>
      <x:c r="E5" s="31" t="n">
        <x:v>969.6551359635</x:v>
      </x:c>
      <x:c r="F5" s="32" t="n">
        <x:v>0</x:v>
      </x:c>
      <x:c r="G5" s="34" t="n">
        <x:v>1</x:v>
      </x:c>
      <x:c r="H5" s="32" t="n">
        <x:f>IF(E5=0,"",I5/E5)</x:f>
        <x:v>1169.1109610143726</x:v>
      </x:c>
      <x:c r="I5" s="31" t="n">
        <x:f>IF(C5=0,"",SUMIF('Species'!$H$2:$H$29,A5,'Species'!$U$2:$U$29))</x:f>
        <x:v>1133634.4478588097</x:v>
      </x:c>
      <x:c r="J5" s="32" t="n">
        <x:v>3.8336864987946377</x:v>
      </x:c>
      <x:c r="K5" s="32" t="n">
        <x:f>IF(J5="","",(1/'Metadata'!$B$5)^(J5-1))</x:f>
        <x:v>681.8463166829633</x:v>
      </x:c>
      <x:c r="L5" s="31" t="n">
        <x:f>IF(E5=0,"",E5*K5)</x:f>
        <x:v>661155.7829094304</x:v>
      </x:c>
      <x:c r="M5" s="31" t="n">
        <x:f>IF(E5=0,"",I5-L5)</x:f>
        <x:v>472478.6649493793</x:v>
      </x:c>
      <x:c r="N5" s="32" t="n">
        <x:f>IF(L5=0,"",I5/L5)</x:f>
        <x:v>1.7146253230520447</x:v>
      </x:c>
      <x:c r="O5" s="34" t="n">
        <x:f>IF(L5=0,"",M5/L5)</x:f>
        <x:v>0.7146253230520447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6d24f3c4f941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2</x:v>
      </x:c>
      <x:c r="C2" s="33" t="n">
        <x:v>2</x:v>
      </x:c>
      <x:c r="D2" s="31" t="n">
        <x:v>138.18663935709998</x:v>
      </x:c>
      <x:c r="E2" s="31" t="n">
        <x:v>138.18663935709998</x:v>
      </x:c>
      <x:c r="F2" s="32" t="n">
        <x:v>0</x:v>
      </x:c>
      <x:c r="G2" s="34" t="n">
        <x:v>1</x:v>
      </x:c>
      <x:c r="H2" s="32" t="n">
        <x:f>IF(E2=0,"",I2/E2)</x:f>
        <x:v>722.4268651631012</x:v>
      </x:c>
      <x:c r="I2" s="31" t="n">
        <x:f>IF(C2=0,"",SUMIF('Species'!$G$2:$G$29,A2,'Species'!$U$2:$U$29))</x:f>
        <x:v>99829.74067817375</x:v>
      </x:c>
      <x:c r="J2" s="32" t="n">
        <x:v>3.8564744137316422</x:v>
      </x:c>
      <x:c r="K2" s="32" t="n">
        <x:f>IF(J2="","",(1/'Metadata'!$B$5)^(J2-1))</x:f>
        <x:v>718.5788223781447</x:v>
      </x:c>
      <x:c r="L2" s="31" t="n">
        <x:f>IF(E2=0,"",E2*K2)</x:f>
        <x:v>99297.99257761828</x:v>
      </x:c>
      <x:c r="M2" s="31" t="n">
        <x:f>IF(E2=0,"",I2-L2)</x:f>
        <x:v>531.7481005554728</x:v>
      </x:c>
      <x:c r="N2" s="32" t="n">
        <x:f>IF(L2=0,"",I2/L2)</x:f>
        <x:v>1.005355074022668</x:v>
      </x:c>
      <x:c r="O2" s="34" t="n">
        <x:f>IF(L2=0,"",M2/L2)</x:f>
        <x:v>0.0053550740226678915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53.585580293700005</x:v>
      </x:c>
      <x:c r="E3" s="31" t="n">
        <x:v>53.585580293700005</x:v>
      </x:c>
      <x:c r="F3" s="32" t="n">
        <x:v>0</x:v>
      </x:c>
      <x:c r="G3" s="34" t="n">
        <x:v>1</x:v>
      </x:c>
      <x:c r="H3" s="32" t="n">
        <x:f>IF(E3=0,"",I3/E3)</x:f>
        <x:v>2630.267991895381</x:v>
      </x:c>
      <x:c r="I3" s="31" t="n">
        <x:f>IF(C3=0,"",SUMIF('Species'!$G$2:$G$29,A3,'Species'!$U$2:$U$29))</x:f>
        <x:v>140944.43667365902</x:v>
      </x:c>
      <x:c r="J3" s="32" t="n">
        <x:v>4.42</x:v>
      </x:c>
      <x:c r="K3" s="32" t="n">
        <x:f>IF(J3="","",(1/'Metadata'!$B$5)^(J3-1))</x:f>
        <x:v>2630.2679918953813</x:v>
      </x:c>
      <x:c r="L3" s="31" t="n">
        <x:f>IF(E3=0,"",E3*K3)</x:f>
        <x:v>140944.43667365902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demersals (&gt;=90 cm)</x:v>
      </x:c>
      <x:c r="B4" s="33" t="n">
        <x:v>1</x:v>
      </x:c>
      <x:c r="C4" s="33" t="n">
        <x:v>1</x:v>
      </x:c>
      <x:c r="D4" s="31" t="n">
        <x:v>53.459079102800004</x:v>
      </x:c>
      <x:c r="E4" s="31" t="n">
        <x:v>53.459079102800004</x:v>
      </x:c>
      <x:c r="F4" s="32" t="n">
        <x:v>0</x:v>
      </x:c>
      <x:c r="G4" s="34" t="n">
        <x:v>1</x:v>
      </x:c>
      <x:c r="H4" s="32" t="n">
        <x:f>IF(E4=0,"",I4/E4)</x:f>
        <x:v>2238.7211385683377</x:v>
      </x:c>
      <x:c r="I4" s="31" t="n">
        <x:f>IF(C4=0,"",SUMIF('Species'!$G$2:$G$29,A4,'Species'!$U$2:$U$29))</x:f>
        <x:v>119679.97043583525</x:v>
      </x:c>
      <x:c r="J4" s="32" t="n">
        <x:v>4.35</x:v>
      </x:c>
      <x:c r="K4" s="32" t="n">
        <x:f>IF(J4="","",(1/'Metadata'!$B$5)^(J4-1))</x:f>
        <x:v>2238.7211385683377</x:v>
      </x:c>
      <x:c r="L4" s="31" t="n">
        <x:f>IF(E4=0,"",E4*K4)</x:f>
        <x:v>119679.97043583525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pelagics (&gt;=90 cm)</x:v>
      </x:c>
      <x:c r="B5" s="33" t="n">
        <x:v>1</x:v>
      </x:c>
      <x:c r="C5" s="33" t="n">
        <x:v>1</x:v>
      </x:c>
      <x:c r="D5" s="31" t="n">
        <x:v>91.341394881</x:v>
      </x:c>
      <x:c r="E5" s="31" t="n">
        <x:v>91.341394881</x:v>
      </x:c>
      <x:c r="F5" s="32" t="n">
        <x:v>0</x:v>
      </x:c>
      <x:c r="G5" s="34" t="n">
        <x:v>1</x:v>
      </x:c>
      <x:c r="H5" s="32" t="n">
        <x:f>IF(E5=0,"",I5/E5)</x:f>
        <x:v>1995.2623149688789</x:v>
      </x:c>
      <x:c r="I5" s="31" t="n">
        <x:f>IF(C5=0,"",SUMIF('Species'!$G$2:$G$29,A5,'Species'!$U$2:$U$29))</x:f>
        <x:v>182250.04300275055</x:v>
      </x:c>
      <x:c r="J5" s="32" t="n">
        <x:v>4.3</x:v>
      </x:c>
      <x:c r="K5" s="32" t="n">
        <x:f>IF(J5="","",(1/'Metadata'!$B$5)^(J5-1))</x:f>
        <x:v>1995.2623149688789</x:v>
      </x:c>
      <x:c r="L5" s="31" t="n">
        <x:f>IF(E5=0,"",E5*K5)</x:f>
        <x:v>182250.04300275055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Lobsters, crabs</x:v>
      </x:c>
      <x:c r="B6" s="33" t="n">
        <x:v>2</x:v>
      </x:c>
      <x:c r="C6" s="33" t="n">
        <x:v>2</x:v>
      </x:c>
      <x:c r="D6" s="31" t="n">
        <x:v>22.255008686700002</x:v>
      </x:c>
      <x:c r="E6" s="31" t="n">
        <x:v>22.255008686700002</x:v>
      </x:c>
      <x:c r="F6" s="32" t="n">
        <x:v>0</x:v>
      </x:c>
      <x:c r="G6" s="34" t="n">
        <x:v>1</x:v>
      </x:c>
      <x:c r="H6" s="32" t="n">
        <x:f>IF(E6=0,"",I6/E6)</x:f>
        <x:v>131.01620418194682</x:v>
      </x:c>
      <x:c r="I6" s="31" t="n">
        <x:f>IF(C6=0,"",SUMIF('Species'!$G$2:$G$29,A6,'Species'!$U$2:$U$29))</x:f>
        <x:v>2915.766762167688</x:v>
      </x:c>
      <x:c r="J6" s="32" t="n">
        <x:v>3.1013038340909</x:v>
      </x:c>
      <x:c r="K6" s="32" t="n">
        <x:f>IF(J6="","",(1/'Metadata'!$B$5)^(J6-1))</x:f>
        <x:v>126.27106228599075</x:v>
      </x:c>
      <x:c r="L6" s="31" t="n">
        <x:f>IF(E6=0,"",E6*K6)</x:f>
        <x:v>2810.1635880535614</x:v>
      </x:c>
      <x:c r="M6" s="31" t="n">
        <x:f>IF(E6=0,"",I6-L6)</x:f>
        <x:v>105.60317411412643</x:v>
      </x:c>
      <x:c r="N6" s="32" t="n">
        <x:f>IF(L6=0,"",I6/L6)</x:f>
        <x:v>1.0375790130379106</x:v>
      </x:c>
      <x:c r="O6" s="34" t="n">
        <x:f>IF(L6=0,"",M6/L6)</x:f>
        <x:v>0.03757901303791061</x:v>
      </x:c>
    </x:row>
    <x:row r="7" ht="18" customHeight="1">
      <x:c r="A7" s="24" t="str">
        <x:v>Medium demersals (30 - 89 cm)</x:v>
      </x:c>
      <x:c r="B7" s="33" t="n">
        <x:v>6</x:v>
      </x:c>
      <x:c r="C7" s="33" t="n">
        <x:v>6</x:v>
      </x:c>
      <x:c r="D7" s="31" t="n">
        <x:v>2279.6962372272005</x:v>
      </x:c>
      <x:c r="E7" s="31" t="n">
        <x:v>2279.6962372272005</x:v>
      </x:c>
      <x:c r="F7" s="32" t="n">
        <x:v>0</x:v>
      </x:c>
      <x:c r="G7" s="34" t="n">
        <x:v>1</x:v>
      </x:c>
      <x:c r="H7" s="32" t="n">
        <x:f>IF(E7=0,"",I7/E7)</x:f>
        <x:v>207.98732142342567</x:v>
      </x:c>
      <x:c r="I7" s="31" t="n">
        <x:f>IF(C7=0,"",SUMIF('Species'!$G$2:$G$29,A7,'Species'!$U$2:$U$29))</x:f>
        <x:v>474147.9140399478</x:v>
      </x:c>
      <x:c r="J7" s="32" t="n">
        <x:v>3.304246202561622</x:v>
      </x:c>
      <x:c r="K7" s="32" t="n">
        <x:f>IF(J7="","",(1/'Metadata'!$B$5)^(J7-1))</x:f>
        <x:v>201.4866158513125</x:v>
      </x:c>
      <x:c r="L7" s="31" t="n">
        <x:f>IF(E7=0,"",E7*K7)</x:f>
        <x:v>459328.28000787954</x:v>
      </x:c>
      <x:c r="M7" s="31" t="n">
        <x:f>IF(E7=0,"",I7-L7)</x:f>
        <x:v>14819.63403206825</x:v>
      </x:c>
      <x:c r="N7" s="32" t="n">
        <x:f>IF(L7=0,"",I7/L7)</x:f>
        <x:v>1.0322637091533184</x:v>
      </x:c>
      <x:c r="O7" s="34" t="n">
        <x:f>IF(L7=0,"",M7/L7)</x:f>
        <x:v>0.032263709153318464</x:v>
      </x:c>
    </x:row>
    <x:row r="8" ht="18" customHeight="1">
      <x:c r="A8" s="24" t="str">
        <x:v>Medium pelagics (30 - 89 cm)</x:v>
      </x:c>
      <x:c r="B8" s="33" t="n">
        <x:v>3</x:v>
      </x:c>
      <x:c r="C8" s="33" t="n">
        <x:v>3</x:v>
      </x:c>
      <x:c r="D8" s="31" t="n">
        <x:v>173.46724544789998</x:v>
      </x:c>
      <x:c r="E8" s="31" t="n">
        <x:v>173.46724544789998</x:v>
      </x:c>
      <x:c r="F8" s="32" t="n">
        <x:v>0</x:v>
      </x:c>
      <x:c r="G8" s="34" t="n">
        <x:v>1</x:v>
      </x:c>
      <x:c r="H8" s="32" t="n">
        <x:f>IF(E8=0,"",I8/E8)</x:f>
        <x:v>1534.3719164973556</x:v>
      </x:c>
      <x:c r="I8" s="31" t="n">
        <x:f>IF(C8=0,"",SUMIF('Species'!$G$2:$G$29,A8,'Species'!$U$2:$U$29))</x:f>
        <x:v>266163.2698474115</x:v>
      </x:c>
      <x:c r="J8" s="32" t="n">
        <x:v>4.150419594485692</x:v>
      </x:c>
      <x:c r="K8" s="32" t="n">
        <x:f>IF(J8="","",(1/'Metadata'!$B$5)^(J8-1))</x:f>
        <x:v>1413.9029300864088</x:v>
      </x:c>
      <x:c r="L8" s="31" t="n">
        <x:f>IF(E8=0,"",E8*K8)</x:f>
        <x:v>245265.84661280405</x:v>
      </x:c>
      <x:c r="M8" s="31" t="n">
        <x:f>IF(E8=0,"",I8-L8)</x:f>
        <x:v>20897.423234607442</x:v>
      </x:c>
      <x:c r="N8" s="32" t="n">
        <x:f>IF(L8=0,"",I8/L8)</x:f>
        <x:v>1.0852031521029415</x:v>
      </x:c>
      <x:c r="O8" s="34" t="n">
        <x:f>IF(L8=0,"",M8/L8)</x:f>
        <x:v>0.08520315210294142</x:v>
      </x:c>
    </x:row>
    <x:row r="9" ht="18" customHeight="1">
      <x:c r="A9" s="24" t="str">
        <x:v>Medium reef assoc. fish (30 - 89 cm)</x:v>
      </x:c>
      <x:c r="B9" s="33" t="n">
        <x:v>7</x:v>
      </x:c>
      <x:c r="C9" s="33" t="n">
        <x:v>7</x:v>
      </x:c>
      <x:c r="D9" s="31" t="n">
        <x:v>452.7177315975</x:v>
      </x:c>
      <x:c r="E9" s="31" t="n">
        <x:v>452.7177315975</x:v>
      </x:c>
      <x:c r="F9" s="32" t="n">
        <x:v>0</x:v>
      </x:c>
      <x:c r="G9" s="34" t="n">
        <x:v>1</x:v>
      </x:c>
      <x:c r="H9" s="32" t="n">
        <x:f>IF(E9=0,"",I9/E9)</x:f>
        <x:v>1140.356089812057</x:v>
      </x:c>
      <x:c r="I9" s="31" t="n">
        <x:f>IF(C9=0,"",SUMIF('Species'!$G$2:$G$29,A9,'Species'!$U$2:$U$29))</x:f>
        <x:v>516259.42219310947</x:v>
      </x:c>
      <x:c r="J9" s="32" t="n">
        <x:v>3.7308369907400247</x:v>
      </x:c>
      <x:c r="K9" s="32" t="n">
        <x:f>IF(J9="","",(1/'Metadata'!$B$5)^(J9-1))</x:f>
        <x:v>538.0677847986304</x:v>
      </x:c>
      <x:c r="L9" s="31" t="n">
        <x:f>IF(E9=0,"",E9*K9)</x:f>
        <x:v>243592.82697972778</x:v>
      </x:c>
      <x:c r="M9" s="31" t="n">
        <x:f>IF(E9=0,"",I9-L9)</x:f>
        <x:v>272666.5952133817</x:v>
      </x:c>
      <x:c r="N9" s="32" t="n">
        <x:f>IF(L9=0,"",I9/L9)</x:f>
        <x:v>2.119353958793185</x:v>
      </x:c>
      <x:c r="O9" s="34" t="n">
        <x:f>IF(L9=0,"",M9/L9)</x:f>
        <x:v>1.119353958793185</x:v>
      </x:c>
    </x:row>
    <x:row r="10" ht="18" customHeight="1">
      <x:c r="A10" s="24" t="str">
        <x:v>Shrimps</x:v>
      </x:c>
      <x:c r="B10" s="33" t="n">
        <x:v>1</x:v>
      </x:c>
      <x:c r="C10" s="33" t="n">
        <x:v>1</x:v>
      </x:c>
      <x:c r="D10" s="31" t="n">
        <x:v>161.5928502465</x:v>
      </x:c>
      <x:c r="E10" s="31" t="n">
        <x:v>161.5928502465</x:v>
      </x:c>
      <x:c r="F10" s="32" t="n">
        <x:v>0</x:v>
      </x:c>
      <x:c r="G10" s="34" t="n">
        <x:v>1</x:v>
      </x:c>
      <x:c r="H10" s="32" t="n">
        <x:f>IF(E10=0,"",I10/E10)</x:f>
        <x:v>173.78008287493762</x:v>
      </x:c>
      <x:c r="I10" s="31" t="n">
        <x:f>IF(C10=0,"",SUMIF('Species'!$G$2:$G$29,A10,'Species'!$U$2:$U$29))</x:f>
        <x:v>28081.618907834156</x:v>
      </x:c>
      <x:c r="J10" s="32" t="n">
        <x:v>3.24</x:v>
      </x:c>
      <x:c r="K10" s="32" t="n">
        <x:f>IF(J10="","",(1/'Metadata'!$B$5)^(J10-1))</x:f>
        <x:v>173.78008287493762</x:v>
      </x:c>
      <x:c r="L10" s="31" t="n">
        <x:f>IF(E10=0,"",E10*K10)</x:f>
        <x:v>28081.618907834156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benthopelagics (&lt;30 cm)</x:v>
      </x:c>
      <x:c r="B11" s="33" t="n">
        <x:v>1</x:v>
      </x:c>
      <x:c r="C11" s="33" t="n">
        <x:v>1</x:v>
      </x:c>
      <x:c r="D11" s="31" t="n">
        <x:v>21.6666556123</x:v>
      </x:c>
      <x:c r="E11" s="31" t="n">
        <x:v>21.6666556123</x:v>
      </x:c>
      <x:c r="F11" s="32" t="n">
        <x:v>0</x:v>
      </x:c>
      <x:c r="G11" s="34" t="n">
        <x:v>1</x:v>
      </x:c>
      <x:c r="H11" s="32" t="n">
        <x:f>IF(E11=0,"",I11/E11)</x:f>
        <x:v>173.78008287493762</x:v>
      </x:c>
      <x:c r="I11" s="31" t="n">
        <x:f>IF(C11=0,"",SUMIF('Species'!$G$2:$G$29,A11,'Species'!$U$2:$U$29))</x:f>
        <x:v>3765.2332079282264</x:v>
      </x:c>
      <x:c r="J11" s="32" t="n">
        <x:v>3.2399999999999998</x:v>
      </x:c>
      <x:c r="K11" s="32" t="n">
        <x:f>IF(J11="","",(1/'Metadata'!$B$5)^(J11-1))</x:f>
        <x:v>173.78008287493745</x:v>
      </x:c>
      <x:c r="L11" s="31" t="n">
        <x:f>IF(E11=0,"",E11*K11)</x:f>
        <x:v>3765.233207928223</x:v>
      </x:c>
      <x:c r="M11" s="31" t="n">
        <x:f>IF(E11=0,"",I11-L11)</x:f>
        <x:v>3.637978807091713e-12</x:v>
      </x:c>
      <x:c r="N11" s="32" t="n">
        <x:f>IF(L11=0,"",I11/L11)</x:f>
        <x:v>1.0000000000000009</x:v>
      </x:c>
      <x:c r="O11" s="34" t="n">
        <x:f>IF(L11=0,"",M11/L11)</x:f>
        <x:v>9.662027837828059e-16</x:v>
      </x:c>
    </x:row>
    <x:row r="12" ht="18" customHeight="1">
      <x:c r="A12" s="24" t="str">
        <x:v>Small demersals (&lt;30 cm)</x:v>
      </x:c>
      <x:c r="B12" s="33" t="n">
        <x:v>2</x:v>
      </x:c>
      <x:c r="C12" s="33" t="n">
        <x:v>2</x:v>
      </x:c>
      <x:c r="D12" s="31" t="n">
        <x:v>90.320840796</x:v>
      </x:c>
      <x:c r="E12" s="31" t="n">
        <x:v>90.320840796</x:v>
      </x:c>
      <x:c r="F12" s="32" t="n">
        <x:v>0</x:v>
      </x:c>
      <x:c r="G12" s="34" t="n">
        <x:v>1</x:v>
      </x:c>
      <x:c r="H12" s="32" t="n">
        <x:f>IF(E12=0,"",I12/E12)</x:f>
        <x:v>359.6997642094074</x:v>
      </x:c>
      <x:c r="I12" s="31" t="n">
        <x:f>IF(C12=0,"",SUMIF('Species'!$G$2:$G$29,A12,'Species'!$U$2:$U$29))</x:f>
        <x:v>32488.385137516627</x:v>
      </x:c>
      <x:c r="J12" s="32" t="n">
        <x:v>3.552579907421492</x:v>
      </x:c>
      <x:c r="K12" s="32" t="n">
        <x:f>IF(J12="","",(1/'Metadata'!$B$5)^(J12-1))</x:f>
        <x:v>356.92741561574155</x:v>
      </x:c>
      <x:c r="L12" s="31" t="n">
        <x:f>IF(E12=0,"",E12*K12)</x:f>
        <x:v>32237.984281557117</x:v>
      </x:c>
      <x:c r="M12" s="31" t="n">
        <x:f>IF(E12=0,"",I12-L12)</x:f>
        <x:v>250.4008559595095</x:v>
      </x:c>
      <x:c r="N12" s="32" t="n">
        <x:f>IF(L12=0,"",I12/L12)</x:f>
        <x:v>1.0077672615561997</x:v>
      </x:c>
      <x:c r="O12" s="34" t="n">
        <x:f>IF(L12=0,"",M12/L12)</x:f>
        <x:v>0.007767261556199722</x:v>
      </x:c>
    </x:row>
    <x:row r="13" ht="18" customHeight="1">
      <x:c r="A13" s="24" t="str">
        <x:v>Small pelagics (&lt;30 cm)</x:v>
      </x:c>
      <x:c r="B13" s="33" t="n">
        <x:v>1</x:v>
      </x:c>
      <x:c r="C13" s="33" t="n">
        <x:v>1</x:v>
      </x:c>
      <x:c r="D13" s="31" t="n">
        <x:v>1.3012341666</x:v>
      </x:c>
      <x:c r="E13" s="31" t="n">
        <x:v>1.3012341666</x:v>
      </x:c>
      <x:c r="F13" s="32" t="n">
        <x:v>0</x:v>
      </x:c>
      <x:c r="G13" s="34" t="n">
        <x:v>1</x:v>
      </x:c>
      <x:c r="H13" s="32" t="n">
        <x:f>IF(E13=0,"",I13/E13)</x:f>
        <x:v>173.78008287493762</x:v>
      </x:c>
      <x:c r="I13" s="31" t="n">
        <x:f>IF(C13=0,"",SUMIF('Species'!$G$2:$G$29,A13,'Species'!$U$2:$U$29))</x:f>
        <x:v>226.1285813114484</x:v>
      </x:c>
      <x:c r="J13" s="32" t="n">
        <x:v>3.24</x:v>
      </x:c>
      <x:c r="K13" s="32" t="n">
        <x:f>IF(J13="","",(1/'Metadata'!$B$5)^(J13-1))</x:f>
        <x:v>173.78008287493762</x:v>
      </x:c>
      <x:c r="L13" s="31" t="n">
        <x:f>IF(E13=0,"",E13*K13)</x:f>
        <x:v>226.1285813114484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</x:sheetData>
  <x:conditionalFormatting sqref="G2:G13">
    <x:cfRule type="cellIs" dxfId="2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a7170dab9d24d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EEZ_702</x:v>
      </x:c>
      <x:c r="B2" s="24" t="str">
        <x:v>raw_filtered_tonnes</x:v>
      </x:c>
      <x:c r="C2" s="24" t="n">
        <x:v>3539.5904974153</x:v>
      </x:c>
      <x:c r="D2" s="24" t="str">
        <x:v>tonnes</x:v>
      </x:c>
    </x:row>
    <x:row r="3" ht="18" customHeight="1">
      <x:c r="A3" s="24" t="str">
        <x:v>EEZ_702</x:v>
      </x:c>
      <x:c r="B3" s="24" t="str">
        <x:v>species_catch_tonnes</x:v>
      </x:c>
      <x:c r="C3" s="24" t="n">
        <x:v>3539.5904974153</x:v>
      </x:c>
      <x:c r="D3" s="24" t="str">
        <x:v>tonnes</x:v>
      </x:c>
    </x:row>
    <x:row r="4" ht="18" customHeight="1">
      <x:c r="A4" s="24" t="str">
        <x:v>EEZ_702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EEZ_702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EEZ_702</x:v>
      </x:c>
      <x:c r="B6" s="24" t="str">
        <x:v>matched_catch_tonnes</x:v>
      </x:c>
      <x:c r="C6" s="24" t="n">
        <x:v>3539.5904974153</x:v>
      </x:c>
      <x:c r="D6" s="24" t="str">
        <x:v>tonnes</x:v>
      </x:c>
    </x:row>
    <x:row r="7" ht="18" customHeight="1">
      <x:c r="A7" s="24" t="str">
        <x:v>EEZ_702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EEZ_702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EEZ_702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EEZ_702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EEZ_702</x:v>
      </x:c>
      <x:c r="B11" s="24" t="str">
        <x:v>species_ppr</x:v>
      </x:c>
      <x:c r="C11" s="24" t="n">
        <x:v>1866751.9294676457</x:v>
      </x:c>
      <x:c r="D11" s="24" t="str">
        <x:v>tonnes_primary_production_equivalent</x:v>
      </x:c>
    </x:row>
    <x:row r="12" ht="18" customHeight="1">
      <x:c r="A12" s="24" t="str">
        <x:v>EEZ_702</x:v>
      </x:c>
      <x:c r="B12" s="24" t="str">
        <x:v>commercial_ppr</x:v>
      </x:c>
      <x:c r="C12" s="24" t="n">
        <x:v>1866751.9294676455</x:v>
      </x:c>
      <x:c r="D12" s="24" t="str">
        <x:v>tonnes_primary_production_equivalent</x:v>
      </x:c>
    </x:row>
    <x:row r="13" ht="18" customHeight="1">
      <x:c r="A13" s="24" t="str">
        <x:v>EEZ_702</x:v>
      </x:c>
      <x:c r="B13" s="24" t="str">
        <x:v>functional_ppr</x:v>
      </x:c>
      <x:c r="C13" s="24" t="n">
        <x:v>1866751.9294676455</x:v>
      </x:c>
      <x:c r="D13" s="24" t="str">
        <x:v>tonnes_primary_production_equivalent</x:v>
      </x:c>
    </x:row>
    <x:row r="14" ht="18" customHeight="1">
      <x:c r="A14" s="24" t="str">
        <x:v>EEZ_702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EEZ_702</x:v>
      </x:c>
      <x:c r="B15" s="24" t="str">
        <x:v>functional_ppr_difference</x:v>
      </x:c>
      <x:c r="C15" s="24" t="n">
        <x:v>-2.3283064365386963e-10</x:v>
      </x:c>
      <x:c r="D15" s="24" t="str">
        <x:v>tonnes_primary_production_equivalent</x:v>
      </x:c>
    </x:row>
    <x:row r="16" ht="18" customHeight="1">
      <x:c r="A16" s="24" t="str">
        <x:v>EEZ_702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EEZ_702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EEZ_702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EEZ_702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b5cc24715d0474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EEZ_702 - Singapore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EEZ_702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raw_data/SAU_downloads/EEZ_702-catch.zip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