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25f14c7b3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b38f6d4bc394e92"/>
    <x:sheet xmlns:r="http://schemas.openxmlformats.org/officeDocument/2006/relationships" name="Commercial" sheetId="2" r:id="Rad9695ed2d8f499b"/>
    <x:sheet xmlns:r="http://schemas.openxmlformats.org/officeDocument/2006/relationships" name="Functional" sheetId="3" r:id="Rc1ad0239a2e04991"/>
    <x:sheet xmlns:r="http://schemas.openxmlformats.org/officeDocument/2006/relationships" name="Missing TL" sheetId="4" r:id="R34d53ce7b5964b07"/>
    <x:sheet xmlns:r="http://schemas.openxmlformats.org/officeDocument/2006/relationships" name="Validation" sheetId="5" r:id="R2bc5762314864401"/>
    <x:sheet xmlns:r="http://schemas.openxmlformats.org/officeDocument/2006/relationships" name="Metadata" sheetId="6" r:id="R033f3e2e1e44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9125dc3284ad0" /><Relationship Type="http://schemas.openxmlformats.org/officeDocument/2006/relationships/theme" Target="/xl/theme/theme1.xml" Id="R045cc9b002714081" /><Relationship Type="http://schemas.microsoft.com/office/2022/11/relationships/FeaturePropertyBag" Target="/xl/featurePropertyBag/featurePropertyBag.xml" Id="R1e496b87148d4c30" /><Relationship Type="http://schemas.openxmlformats.org/officeDocument/2006/relationships/sharedStrings" Target="/xl/sharedStrings.xml" Id="Rac4ab9f2425b4d27" /><Relationship Type="http://schemas.openxmlformats.org/officeDocument/2006/relationships/worksheet" Target="/xl/worksheets/sheet1.xml" Id="R2b38f6d4bc394e92" /><Relationship Type="http://schemas.openxmlformats.org/officeDocument/2006/relationships/worksheet" Target="/xl/worksheets/sheet2.xml" Id="Rad9695ed2d8f499b" /><Relationship Type="http://schemas.openxmlformats.org/officeDocument/2006/relationships/worksheet" Target="/xl/worksheets/sheet3.xml" Id="Rc1ad0239a2e04991" /><Relationship Type="http://schemas.openxmlformats.org/officeDocument/2006/relationships/worksheet" Target="/xl/worksheets/sheet4.xml" Id="R34d53ce7b5964b07" /><Relationship Type="http://schemas.openxmlformats.org/officeDocument/2006/relationships/worksheet" Target="/xl/worksheets/sheet5.xml" Id="R2bc5762314864401" /><Relationship Type="http://schemas.openxmlformats.org/officeDocument/2006/relationships/worksheet" Target="/xl/worksheets/sheet6.xml" Id="R033f3e2e1e4449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92SpeciesTable" displayName="EEZ092SpeciesTable" ref="A1:U33" headerRowCount="1" totalsRowCount="0" totalsRowShown="0">
  <x:autoFilter ref="A1:U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92CommercialTable" displayName="EEZ092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92FunctionalTable" displayName="EEZ092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92ValidationTable" displayName="EEZ09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99d11be9ed4e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c8e51391f845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17971a8bcd43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dd94d6523545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EEZ_092</x:v>
      </x:c>
      <x:c r="B2" s="24" t="str">
        <x:v>British Virgin Isl. (UK)</x:v>
      </x:c>
      <x:c r="C2" s="24" t="str">
        <x:v>EEZ</x:v>
      </x:c>
      <x:c r="D2" s="30" t="n">
        <x:v>2019</x:v>
      </x:c>
      <x:c r="E2" s="24" t="str">
        <x:v>Ocyurus chrysurus</x:v>
      </x:c>
      <x:c r="F2" s="24" t="str">
        <x:v>Yellowtail snapper</x:v>
      </x:c>
      <x:c r="G2" s="24" t="str">
        <x:v>Medium reef assoc. fish (30 - 89 cm)</x:v>
      </x:c>
      <x:c r="H2" s="24" t="str">
        <x:v>Perch-likes</x:v>
      </x:c>
      <x:c r="I2" s="31" t="n">
        <x:v>1104.10242684</x:v>
      </x:c>
      <x:c r="J2" s="31" t="n">
        <x:v>1104.10242684</x:v>
      </x:c>
      <x:c r="K2" s="31" t="n">
        <x:v>0</x:v>
      </x:c>
      <x:c r="L2" s="31" t="n">
        <x:v>433.88904198</x:v>
      </x:c>
      <x:c r="M2" s="31" t="n">
        <x:v>670.21338486</x:v>
      </x:c>
      <x:c r="N2" s="24" t="str">
        <x:v>ocyurus chrysurus</x:v>
      </x:c>
      <x:c r="O2" s="32" t="n">
        <x:v>4.03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Ocyurus chrysurus</x:v>
      </x:c>
      <x:c r="T2" s="32" t="n">
        <x:f>IF(O2="","",(1/'Metadata'!$B$5)^(O2-1))</x:f>
        <x:v>1071.519305237607</x:v>
      </x:c>
      <x:c r="U2" s="31" t="n">
        <x:f>IF(T2="","",I2*T2)</x:f>
        <x:v>1183067.0653187525</x:v>
      </x:c>
    </x:row>
    <x:row r="3" ht="18" customHeight="1">
      <x:c r="A3" s="24" t="str">
        <x:v>EEZ_092</x:v>
      </x:c>
      <x:c r="B3" s="24" t="str">
        <x:v>British Virgin Isl. (UK)</x:v>
      </x:c>
      <x:c r="C3" s="24" t="str">
        <x:v>EEZ</x:v>
      </x:c>
      <x:c r="D3" s="30" t="n">
        <x:v>2019</x:v>
      </x:c>
      <x:c r="E3" s="24" t="str">
        <x:v>Decapoda</x:v>
      </x:c>
      <x:c r="F3" s="24" t="str">
        <x:v>Crabs, lobsters, shrimps</x:v>
      </x:c>
      <x:c r="G3" s="24" t="str">
        <x:v>Lobsters, crabs</x:v>
      </x:c>
      <x:c r="H3" s="24" t="str">
        <x:v>Crustaceans</x:v>
      </x:c>
      <x:c r="I3" s="31" t="n">
        <x:v>335.10669242</x:v>
      </x:c>
      <x:c r="J3" s="31" t="n">
        <x:v>335.10669242</x:v>
      </x:c>
      <x:c r="K3" s="31" t="n">
        <x:v>0</x:v>
      </x:c>
      <x:c r="L3" s="31" t="n">
        <x:v>0</x:v>
      </x:c>
      <x:c r="M3" s="31" t="n">
        <x:v>335.10669242</x:v>
      </x:c>
      <x:c r="N3" s="24" t="str">
        <x:v>decapoda</x:v>
      </x:c>
      <x:c r="O3" s="32" t="n">
        <x:v>3.43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Decapoda</x:v>
      </x:c>
      <x:c r="T3" s="32" t="n">
        <x:f>IF(O3="","",(1/'Metadata'!$B$5)^(O3-1))</x:f>
        <x:v>269.1534803926917</x:v>
      </x:c>
      <x:c r="U3" s="31" t="n">
        <x:f>IF(T3="","",I3*T3)</x:f>
        <x:v>90195.13256772624</x:v>
      </x:c>
    </x:row>
    <x:row r="4" ht="18" customHeight="1">
      <x:c r="A4" s="24" t="str">
        <x:v>EEZ_092</x:v>
      </x:c>
      <x:c r="B4" s="24" t="str">
        <x:v>British Virgin Isl. (UK)</x:v>
      </x:c>
      <x:c r="C4" s="24" t="str">
        <x:v>EEZ</x:v>
      </x:c>
      <x:c r="D4" s="30" t="n">
        <x:v>2019</x:v>
      </x:c>
      <x:c r="E4" s="24" t="str">
        <x:v>Lutjanidae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332.80074675500003</x:v>
      </x:c>
      <x:c r="J4" s="31" t="n">
        <x:v>332.80074675500003</x:v>
      </x:c>
      <x:c r="K4" s="31" t="n">
        <x:v>0</x:v>
      </x:c>
      <x:c r="L4" s="31" t="n">
        <x:v>126.581243705</x:v>
      </x:c>
      <x:c r="M4" s="31" t="n">
        <x:v>206.21950305000001</x:v>
      </x:c>
      <x:c r="N4" s="24" t="str">
        <x:v>lutjanidae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Lutjanidae</x:v>
      </x:c>
      <x:c r="T4" s="32" t="n">
        <x:f>IF(O4="","",(1/'Metadata'!$B$5)^(O4-1))</x:f>
        <x:v>1047.1285480508984</x:v>
      </x:c>
      <x:c r="U4" s="31" t="n">
        <x:f>IF(T4="","",I4*T4)</x:f>
        <x:v>348485.1627398179</x:v>
      </x:c>
    </x:row>
    <x:row r="5" ht="18" customHeight="1">
      <x:c r="A5" s="24" t="str">
        <x:v>EEZ_092</x:v>
      </x:c>
      <x:c r="B5" s="24" t="str">
        <x:v>British Virgin Isl. (UK)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323.82154353199996</x:v>
      </x:c>
      <x:c r="J5" s="31" t="n">
        <x:v>323.637815141</x:v>
      </x:c>
      <x:c r="K5" s="31" t="n">
        <x:v>0.183728391</x:v>
      </x:c>
      <x:c r="L5" s="31" t="n">
        <x:v>56.934876453</x:v>
      </x:c>
      <x:c r="M5" s="31" t="n">
        <x:v>266.886667079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61702.92308304513</x:v>
      </x:c>
    </x:row>
    <x:row r="6" ht="18" customHeight="1">
      <x:c r="A6" s="24" t="str">
        <x:v>EEZ_092</x:v>
      </x:c>
      <x:c r="B6" s="24" t="str">
        <x:v>British Virgin Isl. (UK)</x:v>
      </x:c>
      <x:c r="C6" s="24" t="str">
        <x:v>EEZ</x:v>
      </x:c>
      <x:c r="D6" s="30" t="n">
        <x:v>2019</x:v>
      </x:c>
      <x:c r="E6" s="24" t="str">
        <x:v>Mullidae</x:v>
      </x:c>
      <x:c r="F6" s="24" t="str">
        <x:v>Goatfishes</x:v>
      </x:c>
      <x:c r="G6" s="24" t="str">
        <x:v>Medium reef assoc. fish (30 - 89 cm)</x:v>
      </x:c>
      <x:c r="H6" s="24" t="str">
        <x:v>Perch-likes</x:v>
      </x:c>
      <x:c r="I6" s="31" t="n">
        <x:v>246.37570006</x:v>
      </x:c>
      <x:c r="J6" s="31" t="n">
        <x:v>246.37570006</x:v>
      </x:c>
      <x:c r="K6" s="31" t="n">
        <x:v>0</x:v>
      </x:c>
      <x:c r="L6" s="31" t="n">
        <x:v>53.044915950000004</x:v>
      </x:c>
      <x:c r="M6" s="31" t="n">
        <x:v>193.33078411000002</x:v>
      </x:c>
      <x:c r="N6" s="24" t="str">
        <x:v>mullidae</x:v>
      </x:c>
      <x:c r="O6" s="32" t="n">
        <x:v>3.46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Mullidae</x:v>
      </x:c>
      <x:c r="T6" s="32" t="n">
        <x:f>IF(O6="","",(1/'Metadata'!$B$5)^(O6-1))</x:f>
        <x:v>288.40315031266056</x:v>
      </x:c>
      <x:c r="U6" s="31" t="n">
        <x:f>IF(T6="","",I6*T6)</x:f>
        <x:v>71055.52805779116</x:v>
      </x:c>
    </x:row>
    <x:row r="7" ht="18" customHeight="1">
      <x:c r="A7" s="24" t="str">
        <x:v>EEZ_092</x:v>
      </x:c>
      <x:c r="B7" s="24" t="str">
        <x:v>British Virgin Isl. (UK)</x:v>
      </x:c>
      <x:c r="C7" s="24" t="str">
        <x:v>EEZ</x:v>
      </x:c>
      <x:c r="D7" s="30" t="n">
        <x:v>2019</x:v>
      </x:c>
      <x:c r="E7" s="24" t="str">
        <x:v>Lutjanus vivanus</x:v>
      </x:c>
      <x:c r="F7" s="24" t="str">
        <x:v>Silk snapper</x:v>
      </x:c>
      <x:c r="G7" s="24" t="str">
        <x:v>Medium demersals (30 - 89 cm)</x:v>
      </x:c>
      <x:c r="H7" s="24" t="str">
        <x:v>Perch-likes</x:v>
      </x:c>
      <x:c r="I7" s="31" t="n">
        <x:v>211.012422771</x:v>
      </x:c>
      <x:c r="J7" s="31" t="n">
        <x:v>211.012422771</x:v>
      </x:c>
      <x:c r="K7" s="31" t="n">
        <x:v>0</x:v>
      </x:c>
      <x:c r="L7" s="31" t="n">
        <x:v>17.681638651</x:v>
      </x:c>
      <x:c r="M7" s="31" t="n">
        <x:v>193.33078412</x:v>
      </x:c>
      <x:c r="N7" s="24" t="str">
        <x:v>lutjanus vivanus</x:v>
      </x:c>
      <x:c r="O7" s="32" t="n">
        <x:v>3.09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Lutjanus vivanus</x:v>
      </x:c>
      <x:c r="T7" s="32" t="n">
        <x:f>IF(O7="","",(1/'Metadata'!$B$5)^(O7-1))</x:f>
        <x:v>123.02687708123811</x:v>
      </x:c>
      <x:c r="U7" s="31" t="n">
        <x:f>IF(T7="","",I7*T7)</x:f>
        <x:v>25960.199398862067</x:v>
      </x:c>
    </x:row>
    <x:row r="8" ht="18" customHeight="1">
      <x:c r="A8" s="24" t="str">
        <x:v>EEZ_092</x:v>
      </x:c>
      <x:c r="B8" s="24" t="str">
        <x:v>British Virgin Isl. (UK)</x:v>
      </x:c>
      <x:c r="C8" s="24" t="str">
        <x:v>EEZ</x:v>
      </x:c>
      <x:c r="D8" s="30" t="n">
        <x:v>2019</x:v>
      </x:c>
      <x:c r="E8" s="24" t="str">
        <x:v>Gerreidae</x:v>
      </x:c>
      <x:c r="F8" s="24" t="str">
        <x:v>Mojarras, silverbellies</x:v>
      </x:c>
      <x:c r="G8" s="24" t="str">
        <x:v>Small benthopelagics (&lt;30 cm)</x:v>
      </x:c>
      <x:c r="H8" s="24" t="str">
        <x:v>Perch-likes</x:v>
      </x:c>
      <x:c r="I8" s="31" t="n">
        <x:v>164.25046671</x:v>
      </x:c>
      <x:c r="J8" s="31" t="n">
        <x:v>164.25046671</x:v>
      </x:c>
      <x:c r="K8" s="31" t="n">
        <x:v>0</x:v>
      </x:c>
      <x:c r="L8" s="31" t="n">
        <x:v>35.3632773</x:v>
      </x:c>
      <x:c r="M8" s="31" t="n">
        <x:v>128.88718941</x:v>
      </x:c>
      <x:c r="N8" s="24" t="str">
        <x:v>gerreidae</x:v>
      </x:c>
      <x:c r="O8" s="32" t="n">
        <x:v>3.03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Gerreidae</x:v>
      </x:c>
      <x:c r="T8" s="32" t="n">
        <x:f>IF(O8="","",(1/'Metadata'!$B$5)^(O8-1))</x:f>
        <x:v>107.1519305237606</x:v>
      </x:c>
      <x:c r="U8" s="31" t="n">
        <x:f>IF(T8="","",I8*T8)</x:f>
        <x:v>17599.754597405175</x:v>
      </x:c>
    </x:row>
    <x:row r="9" ht="18" customHeight="1">
      <x:c r="A9" s="24" t="str">
        <x:v>EEZ_092</x:v>
      </x:c>
      <x:c r="B9" s="24" t="str">
        <x:v>British Virgin Isl. (UK)</x:v>
      </x:c>
      <x:c r="C9" s="24" t="str">
        <x:v>EEZ</x:v>
      </x:c>
      <x:c r="D9" s="30" t="n">
        <x:v>2019</x:v>
      </x:c>
      <x:c r="E9" s="24" t="str">
        <x:v>Haemulidae</x:v>
      </x:c>
      <x:c r="F9" s="24" t="str">
        <x:v>Grunts, sweetlips, bonnetmouths</x:v>
      </x:c>
      <x:c r="G9" s="24" t="str">
        <x:v>Medium demersals (30 - 89 cm)</x:v>
      </x:c>
      <x:c r="H9" s="24" t="str">
        <x:v>Perch-likes</x:v>
      </x:c>
      <x:c r="I9" s="31" t="n">
        <x:v>164.25046671</x:v>
      </x:c>
      <x:c r="J9" s="31" t="n">
        <x:v>164.25046671</x:v>
      </x:c>
      <x:c r="K9" s="31" t="n">
        <x:v>0</x:v>
      </x:c>
      <x:c r="L9" s="31" t="n">
        <x:v>35.3632773</x:v>
      </x:c>
      <x:c r="M9" s="31" t="n">
        <x:v>128.88718941000002</x:v>
      </x:c>
      <x:c r="N9" s="24" t="str">
        <x:v>haemulidae</x:v>
      </x:c>
      <x:c r="O9" s="32" t="n">
        <x:v>3.36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Haemulidae</x:v>
      </x:c>
      <x:c r="T9" s="32" t="n">
        <x:f>IF(O9="","",(1/'Metadata'!$B$5)^(O9-1))</x:f>
        <x:v>229.08676527677724</x:v>
      </x:c>
      <x:c r="U9" s="31" t="n">
        <x:f>IF(T9="","",I9*T9)</x:f>
        <x:v>37627.608113794886</x:v>
      </x:c>
    </x:row>
    <x:row r="10" ht="18" customHeight="1">
      <x:c r="A10" s="24" t="str">
        <x:v>EEZ_092</x:v>
      </x:c>
      <x:c r="B10" s="24" t="str">
        <x:v>British Virgin Isl. (UK)</x:v>
      </x:c>
      <x:c r="C10" s="24" t="str">
        <x:v>EEZ</x:v>
      </x:c>
      <x:c r="D10" s="30" t="n">
        <x:v>2019</x:v>
      </x:c>
      <x:c r="E10" s="24" t="str">
        <x:v>Ostraciidae</x:v>
      </x:c>
      <x:c r="F10" s="24" t="str">
        <x:v>Box-, cow-, trunkfishes</x:v>
      </x:c>
      <x:c r="G10" s="24" t="str">
        <x:v>Medium reef assoc. fish (30 - 89 cm)</x:v>
      </x:c>
      <x:c r="H10" s="24" t="str">
        <x:v>Other fishes &amp; inverts</x:v>
      </x:c>
      <x:c r="I10" s="31" t="n">
        <x:v>161.40037336</x:v>
      </x:c>
      <x:c r="J10" s="31" t="n">
        <x:v>161.40037336</x:v>
      </x:c>
      <x:c r="K10" s="31" t="n">
        <x:v>0</x:v>
      </x:c>
      <x:c r="L10" s="31" t="n">
        <x:v>58.290621843000004</x:v>
      </x:c>
      <x:c r="M10" s="31" t="n">
        <x:v>103.10975151699999</x:v>
      </x:c>
      <x:c r="N10" s="24" t="str">
        <x:v>ostraciidae</x:v>
      </x:c>
      <x:c r="O10" s="32" t="n">
        <x:v>2.83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Ostraciidae</x:v>
      </x:c>
      <x:c r="T10" s="32" t="n">
        <x:f>IF(O10="","",(1/'Metadata'!$B$5)^(O10-1))</x:f>
        <x:v>67.60829753919819</x:v>
      </x:c>
      <x:c r="U10" s="31" t="n">
        <x:f>IF(T10="","",I10*T10)</x:f>
        <x:v>10912.004465060558</x:v>
      </x:c>
    </x:row>
    <x:row r="11" ht="18" customHeight="1">
      <x:c r="A11" s="24" t="str">
        <x:v>EEZ_092</x:v>
      </x:c>
      <x:c r="B11" s="24" t="str">
        <x:v>British Virgin Isl. (UK)</x:v>
      </x:c>
      <x:c r="C11" s="24" t="str">
        <x:v>EEZ</x:v>
      </x:c>
      <x:c r="D11" s="30" t="n">
        <x:v>2019</x:v>
      </x:c>
      <x:c r="E11" s="24" t="str">
        <x:v>Lutjanus analis</x:v>
      </x:c>
      <x:c r="F11" s="24" t="str">
        <x:v>Mutton snapper</x:v>
      </x:c>
      <x:c r="G11" s="24" t="str">
        <x:v>Medium reef assoc. fish (30 - 89 cm)</x:v>
      </x:c>
      <x:c r="H11" s="24" t="str">
        <x:v>Perch-likes</x:v>
      </x:c>
      <x:c r="I11" s="31" t="n">
        <x:v>121.024838393</x:v>
      </x:c>
      <x:c r="J11" s="31" t="n">
        <x:v>121.024838393</x:v>
      </x:c>
      <x:c r="K11" s="31" t="n">
        <x:v>0</x:v>
      </x:c>
      <x:c r="L11" s="31" t="n">
        <x:v>56.581243685000004</x:v>
      </x:c>
      <x:c r="M11" s="31" t="n">
        <x:v>64.443594708</x:v>
      </x:c>
      <x:c r="N11" s="24" t="str">
        <x:v>lutjanus analis</x:v>
      </x:c>
      <x:c r="O11" s="32" t="n">
        <x:v>3.91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Lutjanus analis</x:v>
      </x:c>
      <x:c r="T11" s="32" t="n">
        <x:f>IF(O11="","",(1/'Metadata'!$B$5)^(O11-1))</x:f>
        <x:v>812.8305161640995</x:v>
      </x:c>
      <x:c r="U11" s="31" t="n">
        <x:f>IF(T11="","",I11*T11)</x:f>
        <x:v>98372.68185965891</x:v>
      </x:c>
    </x:row>
    <x:row r="12" ht="18" customHeight="1">
      <x:c r="A12" s="24" t="str">
        <x:v>EEZ_092</x:v>
      </x:c>
      <x:c r="B12" s="24" t="str">
        <x:v>British Virgin Isl. (UK)</x:v>
      </x:c>
      <x:c r="C12" s="24" t="str">
        <x:v>EEZ</x:v>
      </x:c>
      <x:c r="D12" s="30" t="n">
        <x:v>2019</x:v>
      </x:c>
      <x:c r="E12" s="24" t="str">
        <x:v>Carangidae</x:v>
      </x:c>
      <x:c r="F12" s="24" t="str">
        <x:v>Jacks, pompanos</x:v>
      </x:c>
      <x:c r="G12" s="24" t="str">
        <x:v>Medium pelagics (30 - 89 cm)</x:v>
      </x:c>
      <x:c r="H12" s="24" t="str">
        <x:v>Perch-likes</x:v>
      </x:c>
      <x:c r="I12" s="31" t="n">
        <x:v>107.125233372</x:v>
      </x:c>
      <x:c r="J12" s="31" t="n">
        <x:v>107.125233372</x:v>
      </x:c>
      <x:c r="K12" s="31" t="n">
        <x:v>0</x:v>
      </x:c>
      <x:c r="L12" s="31" t="n">
        <x:v>42.681638652000004</x:v>
      </x:c>
      <x:c r="M12" s="31" t="n">
        <x:v>64.44359472</x:v>
      </x:c>
      <x:c r="N12" s="24" t="str">
        <x:v>carangidae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Carangidae</x:v>
      </x:c>
      <x:c r="T12" s="32" t="n">
        <x:f>IF(O12="","",(1/'Metadata'!$B$5)^(O12-1))</x:f>
        <x:v>1122.018454301963</x:v>
      </x:c>
      <x:c r="U12" s="31" t="n">
        <x:f>IF(T12="","",I12*T12)</x:f>
        <x:v>120196.48876478849</x:v>
      </x:c>
    </x:row>
    <x:row r="13" ht="18" customHeight="1">
      <x:c r="A13" s="24" t="str">
        <x:v>EEZ_092</x:v>
      </x:c>
      <x:c r="B13" s="24" t="str">
        <x:v>British Virgin Isl. (UK)</x:v>
      </x:c>
      <x:c r="C13" s="24" t="str">
        <x:v>EEZ</x:v>
      </x:c>
      <x:c r="D13" s="30" t="n">
        <x:v>2019</x:v>
      </x:c>
      <x:c r="E13" s="24" t="str">
        <x:v>Lutjanus synagris</x:v>
      </x:c>
      <x:c r="F13" s="24" t="str">
        <x:v>Lane snapper</x:v>
      </x:c>
      <x:c r="G13" s="24" t="str">
        <x:v>Medium reef assoc. fish (30 - 89 cm)</x:v>
      </x:c>
      <x:c r="H13" s="24" t="str">
        <x:v>Perch-likes</x:v>
      </x:c>
      <x:c r="I13" s="31" t="n">
        <x:v>82.125233364</x:v>
      </x:c>
      <x:c r="J13" s="31" t="n">
        <x:v>82.125233364</x:v>
      </x:c>
      <x:c r="K13" s="31" t="n">
        <x:v>0</x:v>
      </x:c>
      <x:c r="L13" s="31" t="n">
        <x:v>17.681638652</x:v>
      </x:c>
      <x:c r="M13" s="31" t="n">
        <x:v>64.443594712</x:v>
      </x:c>
      <x:c r="N13" s="24" t="str">
        <x:v>lutjanus synagris</x:v>
      </x:c>
      <x:c r="O13" s="32" t="n">
        <x:v>3.82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Lutjanus synagris</x:v>
      </x:c>
      <x:c r="T13" s="32" t="n">
        <x:f>IF(O13="","",(1/'Metadata'!$B$5)^(O13-1))</x:f>
        <x:v>660.6934480075957</x:v>
      </x:c>
      <x:c r="U13" s="31" t="n">
        <x:f>IF(T13="","",I13*T13)</x:f>
        <x:v>54259.6035996896</x:v>
      </x:c>
    </x:row>
    <x:row r="14" ht="18" customHeight="1">
      <x:c r="A14" s="24" t="str">
        <x:v>EEZ_092</x:v>
      </x:c>
      <x:c r="B14" s="24" t="str">
        <x:v>British Virgin Isl. (UK)</x:v>
      </x:c>
      <x:c r="C14" s="24" t="str">
        <x:v>EEZ</x:v>
      </x:c>
      <x:c r="D14" s="30" t="n">
        <x:v>2019</x:v>
      </x:c>
      <x:c r="E14" s="24" t="str">
        <x:v>Labridae</x:v>
      </x:c>
      <x:c r="F14" s="24" t="str">
        <x:v>Wrasses, gropers, tuskfishes</x:v>
      </x:c>
      <x:c r="G14" s="24" t="str">
        <x:v>Medium reef assoc. fish (30 - 89 cm)</x:v>
      </x:c>
      <x:c r="H14" s="24" t="str">
        <x:v>Perch-likes</x:v>
      </x:c>
      <x:c r="I14" s="31" t="n">
        <x:v>82.125233361</x:v>
      </x:c>
      <x:c r="J14" s="31" t="n">
        <x:v>82.125233361</x:v>
      </x:c>
      <x:c r="K14" s="31" t="n">
        <x:v>0</x:v>
      </x:c>
      <x:c r="L14" s="31" t="n">
        <x:v>17.681638652</x:v>
      </x:c>
      <x:c r="M14" s="31" t="n">
        <x:v>64.44359470900001</x:v>
      </x:c>
      <x:c r="N14" s="24" t="str">
        <x:v>labridae</x:v>
      </x:c>
      <x:c r="O14" s="32" t="n">
        <x:v>3.46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Labridae</x:v>
      </x:c>
      <x:c r="T14" s="32" t="n">
        <x:f>IF(O14="","",(1/'Metadata'!$B$5)^(O14-1))</x:f>
        <x:v>288.40315031266056</x:v>
      </x:c>
      <x:c r="U14" s="31" t="n">
        <x:f>IF(T14="","",I14*T14)</x:f>
        <x:v>23685.176021474806</x:v>
      </x:c>
    </x:row>
    <x:row r="15" ht="18" customHeight="1">
      <x:c r="A15" s="24" t="str">
        <x:v>EEZ_092</x:v>
      </x:c>
      <x:c r="B15" s="24" t="str">
        <x:v>British Virgin Isl. (UK)</x:v>
      </x:c>
      <x:c r="C15" s="24" t="str">
        <x:v>EEZ</x:v>
      </x:c>
      <x:c r="D15" s="30" t="n">
        <x:v>2019</x:v>
      </x:c>
      <x:c r="E15" s="24" t="str">
        <x:v>Holocentridae</x:v>
      </x:c>
      <x:c r="F15" s="24" t="str">
        <x:v>Squirrel-, soldierfishes</x:v>
      </x:c>
      <x:c r="G15" s="24" t="str">
        <x:v>Small reef assoc. fish (&lt;30 cm)</x:v>
      </x:c>
      <x:c r="H15" s="24" t="str">
        <x:v>Other fishes &amp; inverts</x:v>
      </x:c>
      <x:c r="I15" s="31" t="n">
        <x:v>82.125233361</x:v>
      </x:c>
      <x:c r="J15" s="31" t="n">
        <x:v>82.125233361</x:v>
      </x:c>
      <x:c r="K15" s="31" t="n">
        <x:v>0</x:v>
      </x:c>
      <x:c r="L15" s="31" t="n">
        <x:v>17.681638652</x:v>
      </x:c>
      <x:c r="M15" s="31" t="n">
        <x:v>64.44359470900001</x:v>
      </x:c>
      <x:c r="N15" s="24" t="str">
        <x:v>holocentridae</x:v>
      </x:c>
      <x:c r="O15" s="32" t="n">
        <x:v>3.49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Holocentridae</x:v>
      </x:c>
      <x:c r="T15" s="32" t="n">
        <x:f>IF(O15="","",(1/'Metadata'!$B$5)^(O15-1))</x:f>
        <x:v>309.0295432513592</x:v>
      </x:c>
      <x:c r="U15" s="31" t="n">
        <x:f>IF(T15="","",I15*T15)</x:f>
        <x:v>25379.123354961117</x:v>
      </x:c>
    </x:row>
    <x:row r="16" ht="18" customHeight="1">
      <x:c r="A16" s="24" t="str">
        <x:v>EEZ_092</x:v>
      </x:c>
      <x:c r="B16" s="24" t="str">
        <x:v>British Virgin Isl. (UK)</x:v>
      </x:c>
      <x:c r="C16" s="24" t="str">
        <x:v>EEZ</x:v>
      </x:c>
      <x:c r="D16" s="30" t="n">
        <x:v>2019</x:v>
      </x:c>
      <x:c r="E16" s="24" t="str">
        <x:v>Clupeidae</x:v>
      </x:c>
      <x:c r="F16" s="24" t="str">
        <x:v>Herrings, sardines, menhadens</x:v>
      </x:c>
      <x:c r="G16" s="24" t="str">
        <x:v>Small pelagics (&lt;30 cm)</x:v>
      </x:c>
      <x:c r="H16" s="24" t="str">
        <x:v>Herring-likes</x:v>
      </x:c>
      <x:c r="I16" s="31" t="n">
        <x:v>82.1252333601</x:v>
      </x:c>
      <x:c r="J16" s="31" t="n">
        <x:v>82.1252333601</x:v>
      </x:c>
      <x:c r="K16" s="31" t="n">
        <x:v>0</x:v>
      </x:c>
      <x:c r="L16" s="31" t="n">
        <x:v>17.681638650100002</x:v>
      </x:c>
      <x:c r="M16" s="31" t="n">
        <x:v>64.44359471</x:v>
      </x:c>
      <x:c r="N16" s="24" t="str">
        <x:v>clupeidae</x:v>
      </x:c>
      <x:c r="O16" s="32" t="n">
        <x:v>3.16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Clupeidae</x:v>
      </x:c>
      <x:c r="T16" s="32" t="n">
        <x:f>IF(O16="","",(1/'Metadata'!$B$5)^(O16-1))</x:f>
        <x:v>144.5439770745928</x:v>
      </x:c>
      <x:c r="U16" s="31" t="n">
        <x:f>IF(T16="","",I16*T16)</x:f>
        <x:v>11870.707848047878</x:v>
      </x:c>
    </x:row>
    <x:row r="17" ht="18" customHeight="1">
      <x:c r="A17" s="24" t="str">
        <x:v>EEZ_092</x:v>
      </x:c>
      <x:c r="B17" s="24" t="str">
        <x:v>British Virgin Isl. (UK)</x:v>
      </x:c>
      <x:c r="C17" s="24" t="str">
        <x:v>EEZ</x:v>
      </x:c>
      <x:c r="D17" s="30" t="n">
        <x:v>2019</x:v>
      </x:c>
      <x:c r="E17" s="24" t="str">
        <x:v>Balistidae</x:v>
      </x:c>
      <x:c r="F17" s="24" t="str">
        <x:v>Triggerfishes</x:v>
      </x:c>
      <x:c r="G17" s="24" t="str">
        <x:v>Medium reef assoc. fish (30 - 89 cm)</x:v>
      </x:c>
      <x:c r="H17" s="24" t="str">
        <x:v>Other fishes &amp; inverts</x:v>
      </x:c>
      <x:c r="I17" s="31" t="n">
        <x:v>82.12523335200001</x:v>
      </x:c>
      <x:c r="J17" s="31" t="n">
        <x:v>82.12523335200001</x:v>
      </x:c>
      <x:c r="K17" s="31" t="n">
        <x:v>0</x:v>
      </x:c>
      <x:c r="L17" s="31" t="n">
        <x:v>17.681638652</x:v>
      </x:c>
      <x:c r="M17" s="31" t="n">
        <x:v>64.4435947</x:v>
      </x:c>
      <x:c r="N17" s="24" t="str">
        <x:v>balistidae</x:v>
      </x:c>
      <x:c r="O17" s="32" t="n">
        <x:v>3.25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Balistidae</x:v>
      </x:c>
      <x:c r="T17" s="32" t="n">
        <x:f>IF(O17="","",(1/'Metadata'!$B$5)^(O17-1))</x:f>
        <x:v>177.82794100389228</x:v>
      </x:c>
      <x:c r="U17" s="31" t="n">
        <x:f>IF(T17="","",I17*T17)</x:f>
        <x:v>14604.161151450344</x:v>
      </x:c>
    </x:row>
    <x:row r="18" ht="18" customHeight="1">
      <x:c r="A18" s="24" t="str">
        <x:v>EEZ_092</x:v>
      </x:c>
      <x:c r="B18" s="24" t="str">
        <x:v>British Virgin Isl. (UK)</x:v>
      </x:c>
      <x:c r="C18" s="24" t="str">
        <x:v>EEZ</x:v>
      </x:c>
      <x:c r="D18" s="30" t="n">
        <x:v>2019</x:v>
      </x:c>
      <x:c r="E18" s="24" t="str">
        <x:v>Panulirus argus</x:v>
      </x:c>
      <x:c r="F18" s="24" t="str">
        <x:v>Caribbean spiny lobster</x:v>
      </x:c>
      <x:c r="G18" s="24" t="str">
        <x:v>Lobsters, crabs</x:v>
      </x:c>
      <x:c r="H18" s="24" t="str">
        <x:v>Crustaceans</x:v>
      </x:c>
      <x:c r="I18" s="31" t="n">
        <x:v>75.363277301</x:v>
      </x:c>
      <x:c r="J18" s="31" t="n">
        <x:v>75.363277301</x:v>
      </x:c>
      <x:c r="K18" s="31" t="n">
        <x:v>0</x:v>
      </x:c>
      <x:c r="L18" s="31" t="n">
        <x:v>75.363277301</x:v>
      </x:c>
      <x:c r="M18" s="31" t="n">
        <x:v>0</x:v>
      </x:c>
      <x:c r="N18" s="24" t="str">
        <x:v>panulirus argus</x:v>
      </x:c>
      <x:c r="O18" s="32" t="n">
        <x:v>3.2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Panulirus argus</x:v>
      </x:c>
      <x:c r="T18" s="32" t="n">
        <x:f>IF(O18="","",(1/'Metadata'!$B$5)^(O18-1))</x:f>
        <x:v>158.48931924611142</x:v>
      </x:c>
      <x:c r="U18" s="31" t="n">
        <x:f>IF(T18="","",I18*T18)</x:f>
        <x:v>11944.27451559141</x:v>
      </x:c>
    </x:row>
    <x:row r="19" ht="18" customHeight="1">
      <x:c r="A19" s="24" t="str">
        <x:v>EEZ_092</x:v>
      </x:c>
      <x:c r="B19" s="24" t="str">
        <x:v>British Virgin Isl. (UK)</x:v>
      </x:c>
      <x:c r="C19" s="24" t="str">
        <x:v>EEZ</x:v>
      </x:c>
      <x:c r="D19" s="30" t="n">
        <x:v>2019</x:v>
      </x:c>
      <x:c r="E19" s="24" t="str">
        <x:v>Octopus</x:v>
      </x:c>
      <x:c r="F19" s="24" t="str">
        <x:v>Octopuses, pikas</x:v>
      </x:c>
      <x:c r="G19" s="24" t="str">
        <x:v>Cephalopods</x:v>
      </x:c>
      <x:c r="H19" s="24" t="str">
        <x:v>Other fishes &amp; inverts</x:v>
      </x:c>
      <x:c r="I19" s="31" t="n">
        <x:v>64.443594702</x:v>
      </x:c>
      <x:c r="J19" s="31" t="n">
        <x:v>64.443594702</x:v>
      </x:c>
      <x:c r="K19" s="31" t="n">
        <x:v>0</x:v>
      </x:c>
      <x:c r="L19" s="31" t="n">
        <x:v>0</x:v>
      </x:c>
      <x:c r="M19" s="31" t="n">
        <x:v>64.443594702</x:v>
      </x:c>
      <x:c r="N19" s="24" t="str">
        <x:v>octopus</x:v>
      </x:c>
      <x:c r="O19" s="32" t="n">
        <x:v>3.8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Octopus</x:v>
      </x:c>
      <x:c r="T19" s="32" t="n">
        <x:f>IF(O19="","",(1/'Metadata'!$B$5)^(O19-1))</x:f>
        <x:v>630.957344480193</x:v>
      </x:c>
      <x:c r="U19" s="31" t="n">
        <x:f>IF(T19="","",I19*T19)</x:f>
        <x:v>40661.15938193176</x:v>
      </x:c>
    </x:row>
    <x:row r="20" ht="18" customHeight="1">
      <x:c r="A20" s="24" t="str">
        <x:v>EEZ_092</x:v>
      </x:c>
      <x:c r="B20" s="24" t="str">
        <x:v>British Virgin Isl. (UK)</x:v>
      </x:c>
      <x:c r="C20" s="24" t="str">
        <x:v>EEZ</x:v>
      </x:c>
      <x:c r="D20" s="30" t="n">
        <x:v>2019</x:v>
      </x:c>
      <x:c r="E20" s="24" t="str">
        <x:v>Serranidae</x:v>
      </x:c>
      <x:c r="F20" s="24" t="str">
        <x:v>Basses, groupers, hinds</x:v>
      </x:c>
      <x:c r="G20" s="24" t="str">
        <x:v>Medium reef assoc. fish (30 - 89 cm)</x:v>
      </x:c>
      <x:c r="H20" s="24" t="str">
        <x:v>Perch-likes</x:v>
      </x:c>
      <x:c r="I20" s="31" t="n">
        <x:v>49.251996242000004</x:v>
      </x:c>
      <x:c r="J20" s="31" t="n">
        <x:v>49.251996242000004</x:v>
      </x:c>
      <x:c r="K20" s="31" t="n">
        <x:v>0</x:v>
      </x:c>
      <x:c r="L20" s="31" t="n">
        <x:v>36.3632773</x:v>
      </x:c>
      <x:c r="M20" s="31" t="n">
        <x:v>12.888718942</x:v>
      </x:c>
      <x:c r="N20" s="24" t="str">
        <x:v>serranidae</x:v>
      </x:c>
      <x:c r="O20" s="32" t="n">
        <x:v>3.98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Serranidae</x:v>
      </x:c>
      <x:c r="T20" s="32" t="n">
        <x:f>IF(O20="","",(1/'Metadata'!$B$5)^(O20-1))</x:f>
        <x:v>954.992586021436</x:v>
      </x:c>
      <x:c r="U20" s="31" t="n">
        <x:f>IF(T20="","",I20*T20)</x:f>
        <x:v>47035.29125786563</x:v>
      </x:c>
    </x:row>
    <x:row r="21" ht="18" customHeight="1">
      <x:c r="A21" s="24" t="str">
        <x:v>EEZ_092</x:v>
      </x:c>
      <x:c r="B21" s="24" t="str">
        <x:v>British Virgin Isl. (UK)</x:v>
      </x:c>
      <x:c r="C21" s="24" t="str">
        <x:v>EEZ</x:v>
      </x:c>
      <x:c r="D21" s="30" t="n">
        <x:v>2019</x:v>
      </x:c>
      <x:c r="E21" s="24" t="str">
        <x:v>Miscellaneous aquatic invertebrates</x:v>
      </x:c>
      <x:c r="F21" s="24" t="str">
        <x:v>Aquatic invertebrates</x:v>
      </x:c>
      <x:c r="G21" s="24" t="str">
        <x:v>Other demersal invertebrates</x:v>
      </x:c>
      <x:c r="H21" s="24" t="str">
        <x:v>Other fishes &amp; inverts</x:v>
      </x:c>
      <x:c r="I21" s="31" t="n">
        <x:v>35.3632773</x:v>
      </x:c>
      <x:c r="J21" s="31" t="n">
        <x:v>35.3632773</x:v>
      </x:c>
      <x:c r="K21" s="31" t="n">
        <x:v>0</x:v>
      </x:c>
      <x:c r="L21" s="31" t="n">
        <x:v>35.3632773</x:v>
      </x:c>
      <x:c r="M21" s="31" t="n">
        <x:v>0</x:v>
      </x:c>
      <x:c r="N21" s="24" t="str">
        <x:v>miscellaneous aquatic invertebrates</x:v>
      </x:c>
      <x:c r="O21" s="32" t="n">
        <x:v>2.43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Miscellaneous aquatic invertebrates</x:v>
      </x:c>
      <x:c r="T21" s="32" t="n">
        <x:f>IF(O21="","",(1/'Metadata'!$B$5)^(O21-1))</x:f>
        <x:v>26.915348039269166</x:v>
      </x:c>
      <x:c r="U21" s="31" t="n">
        <x:f>IF(T21="","",I21*T21)</x:f>
        <x:v>951.8149163386868</x:v>
      </x:c>
    </x:row>
    <x:row r="22" ht="18" customHeight="1">
      <x:c r="A22" s="24" t="str">
        <x:v>EEZ_092</x:v>
      </x:c>
      <x:c r="B22" s="24" t="str">
        <x:v>British Virgin Isl. (UK)</x:v>
      </x:c>
      <x:c r="C22" s="24" t="str">
        <x:v>EEZ</x:v>
      </x:c>
      <x:c r="D22" s="30" t="n">
        <x:v>2019</x:v>
      </x:c>
      <x:c r="E22" s="24" t="str">
        <x:v>Coryphaena</x:v>
      </x:c>
      <x:c r="F22" s="24" t="str">
        <x:v>Dolphinfishes</x:v>
      </x:c>
      <x:c r="G22" s="24" t="str">
        <x:v>Large pelagics (&gt;=90 cm)</x:v>
      </x:c>
      <x:c r="H22" s="24" t="str">
        <x:v>Perch-likes</x:v>
      </x:c>
      <x:c r="I22" s="31" t="n">
        <x:v>27.944481919</x:v>
      </x:c>
      <x:c r="J22" s="31" t="n">
        <x:v>27.944481919</x:v>
      </x:c>
      <x:c r="K22" s="31" t="n">
        <x:v>0</x:v>
      </x:c>
      <x:c r="L22" s="31" t="n">
        <x:v>0.999999999</x:v>
      </x:c>
      <x:c r="M22" s="31" t="n">
        <x:v>26.94448192</x:v>
      </x:c>
      <x:c r="N22" s="24" t="str">
        <x:v>coryphaena</x:v>
      </x:c>
      <x:c r="O22" s="32" t="n">
        <x:v>4.49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Coryphaena</x:v>
      </x:c>
      <x:c r="T22" s="32" t="n">
        <x:f>IF(O22="","",(1/'Metadata'!$B$5)^(O22-1))</x:f>
        <x:v>3090.295432513592</x:v>
      </x:c>
      <x:c r="U22" s="31" t="n">
        <x:f>IF(T22="","",I22*T22)</x:f>
        <x:v>86356.70483824436</x:v>
      </x:c>
    </x:row>
    <x:row r="23" ht="18" customHeight="1">
      <x:c r="A23" s="24" t="str">
        <x:v>EEZ_092</x:v>
      </x:c>
      <x:c r="B23" s="24" t="str">
        <x:v>British Virgin Isl. (UK)</x:v>
      </x:c>
      <x:c r="C23" s="24" t="str">
        <x:v>EEZ</x:v>
      </x:c>
      <x:c r="D23" s="30" t="n">
        <x:v>2019</x:v>
      </x:c>
      <x:c r="E23" s="24" t="str">
        <x:v>Acanthocybium solandri</x:v>
      </x:c>
      <x:c r="F23" s="24" t="str">
        <x:v>Wahoo</x:v>
      </x:c>
      <x:c r="G23" s="24" t="str">
        <x:v>Large pelagics (&gt;=90 cm)</x:v>
      </x:c>
      <x:c r="H23" s="24" t="str">
        <x:v>Perch-likes</x:v>
      </x:c>
      <x:c r="I23" s="31" t="n">
        <x:v>26.94448192</x:v>
      </x:c>
      <x:c r="J23" s="31" t="n">
        <x:v>26.94448192</x:v>
      </x:c>
      <x:c r="K23" s="31" t="n">
        <x:v>0</x:v>
      </x:c>
      <x:c r="L23" s="31" t="n">
        <x:v>0</x:v>
      </x:c>
      <x:c r="M23" s="31" t="n">
        <x:v>26.94448192</x:v>
      </x:c>
      <x:c r="N23" s="24" t="str">
        <x:v>acanthocybium solandri</x:v>
      </x:c>
      <x:c r="O23" s="32" t="n">
        <x:v>4.26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Acanthocybium solandri</x:v>
      </x:c>
      <x:c r="T23" s="32" t="n">
        <x:f>IF(O23="","",(1/'Metadata'!$B$5)^(O23-1))</x:f>
        <x:v>1819.7008586099826</x:v>
      </x:c>
      <x:c r="U23" s="31" t="n">
        <x:f>IF(T23="","",I23*T23)</x:f>
        <x:v>49030.89688462515</x:v>
      </x:c>
    </x:row>
    <x:row r="24" ht="18" customHeight="1">
      <x:c r="A24" s="24" t="str">
        <x:v>EEZ_092</x:v>
      </x:c>
      <x:c r="B24" s="24" t="str">
        <x:v>British Virgin Isl. (UK)</x:v>
      </x:c>
      <x:c r="C24" s="24" t="str">
        <x:v>EEZ</x:v>
      </x:c>
      <x:c r="D24" s="30" t="n">
        <x:v>2019</x:v>
      </x:c>
      <x:c r="E24" s="24" t="str">
        <x:v>Thunnus</x:v>
      </x:c>
      <x:c r="F24" s="24" t="str">
        <x:v>Tunas</x:v>
      </x:c>
      <x:c r="G24" s="24" t="str">
        <x:v>Large pelagics (&gt;=90 cm)</x:v>
      </x:c>
      <x:c r="H24" s="24" t="str">
        <x:v>Tuna &amp; billfishes</x:v>
      </x:c>
      <x:c r="I24" s="31" t="n">
        <x:v>26.94448192</x:v>
      </x:c>
      <x:c r="J24" s="31" t="n">
        <x:v>26.94448192</x:v>
      </x:c>
      <x:c r="K24" s="31" t="n">
        <x:v>0</x:v>
      </x:c>
      <x:c r="L24" s="31" t="n">
        <x:v>0</x:v>
      </x:c>
      <x:c r="M24" s="31" t="n">
        <x:v>26.94448192</x:v>
      </x:c>
      <x:c r="N24" s="24" t="str">
        <x:v>thunnus</x:v>
      </x:c>
      <x:c r="O24" s="32" t="n">
        <x:v>4.34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Thunnus</x:v>
      </x:c>
      <x:c r="T24" s="32" t="n">
        <x:f>IF(O24="","",(1/'Metadata'!$B$5)^(O24-1))</x:f>
        <x:v>2187.761623949552</x:v>
      </x:c>
      <x:c r="U24" s="31" t="n">
        <x:f>IF(T24="","",I24*T24)</x:f>
        <x:v>58948.10352177854</x:v>
      </x:c>
    </x:row>
    <x:row r="25" ht="18" customHeight="1">
      <x:c r="A25" s="24" t="str">
        <x:v>EEZ_092</x:v>
      </x:c>
      <x:c r="B25" s="24" t="str">
        <x:v>British Virgin Isl. (UK)</x:v>
      </x:c>
      <x:c r="C25" s="24" t="str">
        <x:v>EEZ</x:v>
      </x:c>
      <x:c r="D25" s="30" t="n">
        <x:v>2019</x:v>
      </x:c>
      <x:c r="E25" s="24" t="str">
        <x:v>Scomberomorus cavalla</x:v>
      </x:c>
      <x:c r="F25" s="24" t="str">
        <x:v>King mackerel</x:v>
      </x:c>
      <x:c r="G25" s="24" t="str">
        <x:v>Large pelagics (&gt;=90 cm)</x:v>
      </x:c>
      <x:c r="H25" s="24" t="str">
        <x:v>Perch-likes</x:v>
      </x:c>
      <x:c r="I25" s="31" t="n">
        <x:v>26.94448192</x:v>
      </x:c>
      <x:c r="J25" s="31" t="n">
        <x:v>26.94448192</x:v>
      </x:c>
      <x:c r="K25" s="31" t="n">
        <x:v>0</x:v>
      </x:c>
      <x:c r="L25" s="31" t="n">
        <x:v>0</x:v>
      </x:c>
      <x:c r="M25" s="31" t="n">
        <x:v>26.94448192</x:v>
      </x:c>
      <x:c r="N25" s="24" t="str">
        <x:v>scomberomorus cavalla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Scomberomorus cavalla</x:v>
      </x:c>
      <x:c r="T25" s="32" t="n">
        <x:f>IF(O25="","",(1/'Metadata'!$B$5)^(O25-1))</x:f>
        <x:v>2630.2679918953813</x:v>
      </x:c>
      <x:c r="U25" s="31" t="n">
        <x:f>IF(T25="","",I25*T25)</x:f>
        <x:v>70871.2083523798</x:v>
      </x:c>
    </x:row>
    <x:row r="26" ht="18" customHeight="1">
      <x:c r="A26" s="24" t="str">
        <x:v>EEZ_092</x:v>
      </x:c>
      <x:c r="B26" s="24" t="str">
        <x:v>British Virgin Isl. (UK)</x:v>
      </x:c>
      <x:c r="C26" s="24" t="str">
        <x:v>EEZ</x:v>
      </x:c>
      <x:c r="D26" s="30" t="n">
        <x:v>2019</x:v>
      </x:c>
      <x:c r="E26" s="24" t="str">
        <x:v>Octopoda</x:v>
      </x:c>
      <x:c r="F26" s="24" t="str">
        <x:v>Octopuses, argonauts</x:v>
      </x:c>
      <x:c r="G26" s="24" t="str">
        <x:v>Cephalopods</x:v>
      </x:c>
      <x:c r="H26" s="24" t="str">
        <x:v>Other fishes &amp; inverts</x:v>
      </x:c>
      <x:c r="I26" s="31" t="n">
        <x:v>17.68163865</x:v>
      </x:c>
      <x:c r="J26" s="31" t="n">
        <x:v>17.68163865</x:v>
      </x:c>
      <x:c r="K26" s="31" t="n">
        <x:v>0</x:v>
      </x:c>
      <x:c r="L26" s="31" t="n">
        <x:v>17.68163865</x:v>
      </x:c>
      <x:c r="M26" s="31" t="n">
        <x:v>0</x:v>
      </x:c>
      <x:c r="N26" s="24" t="str">
        <x:v>octopoda</x:v>
      </x:c>
      <x:c r="O26" s="32" t="n">
        <x:v>3.58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Octopoda</x:v>
      </x:c>
      <x:c r="T26" s="32" t="n">
        <x:f>IF(O26="","",(1/'Metadata'!$B$5)^(O26-1))</x:f>
        <x:v>380.1893963205613</x:v>
      </x:c>
      <x:c r="U26" s="31" t="n">
        <x:f>IF(T26="","",I26*T26)</x:f>
        <x:v>6722.371524301804</x:v>
      </x:c>
    </x:row>
    <x:row r="27" ht="18" customHeight="1">
      <x:c r="A27" s="24" t="str">
        <x:v>EEZ_092</x:v>
      </x:c>
      <x:c r="B27" s="24" t="str">
        <x:v>British Virgin Isl. (UK)</x:v>
      </x:c>
      <x:c r="C27" s="24" t="str">
        <x:v>EEZ</x:v>
      </x:c>
      <x:c r="D27" s="30" t="n">
        <x:v>2019</x:v>
      </x:c>
      <x:c r="E27" s="24" t="str">
        <x:v>Centropomidae</x:v>
      </x:c>
      <x:c r="F27" s="24" t="str">
        <x:v>Snooks</x:v>
      </x:c>
      <x:c r="G27" s="24" t="str">
        <x:v>Large reef assoc. fish (&gt;=90 cm)</x:v>
      </x:c>
      <x:c r="H27" s="24" t="str">
        <x:v>Perch-likes</x:v>
      </x:c>
      <x:c r="I27" s="31" t="n">
        <x:v>16.425046672</x:v>
      </x:c>
      <x:c r="J27" s="31" t="n">
        <x:v>16.425046672</x:v>
      </x:c>
      <x:c r="K27" s="31" t="n">
        <x:v>0</x:v>
      </x:c>
      <x:c r="L27" s="31" t="n">
        <x:v>3.53632773</x:v>
      </x:c>
      <x:c r="M27" s="31" t="n">
        <x:v>12.888718942</x:v>
      </x:c>
      <x:c r="N27" s="24" t="str">
        <x:v>centropomidae</x:v>
      </x:c>
      <x:c r="O27" s="32" t="n">
        <x:v>3.92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Centropomidae</x:v>
      </x:c>
      <x:c r="T27" s="32" t="n">
        <x:f>IF(O27="","",(1/'Metadata'!$B$5)^(O27-1))</x:f>
        <x:v>831.7637711026708</x:v>
      </x:c>
      <x:c r="U27" s="31" t="n">
        <x:f>IF(T27="","",I27*T27)</x:f>
        <x:v>13661.758760440094</x:v>
      </x:c>
    </x:row>
    <x:row r="28" ht="18" customHeight="1">
      <x:c r="A28" s="24" t="str">
        <x:v>EEZ_092</x:v>
      </x:c>
      <x:c r="B28" s="24" t="str">
        <x:v>British Virgin Isl. (UK)</x:v>
      </x:c>
      <x:c r="C28" s="24" t="str">
        <x:v>EEZ</x:v>
      </x:c>
      <x:c r="D28" s="30" t="n">
        <x:v>2019</x:v>
      </x:c>
      <x:c r="E28" s="24" t="str">
        <x:v>Sphyraenidae</x:v>
      </x:c>
      <x:c r="F28" s="24" t="str">
        <x:v>Barracudas</x:v>
      </x:c>
      <x:c r="G28" s="24" t="str">
        <x:v>Medium reef assoc. fish (30 - 89 cm)</x:v>
      </x:c>
      <x:c r="H28" s="24" t="str">
        <x:v>Perch-likes</x:v>
      </x:c>
      <x:c r="I28" s="31" t="n">
        <x:v>16.425046671</x:v>
      </x:c>
      <x:c r="J28" s="31" t="n">
        <x:v>16.425046671</x:v>
      </x:c>
      <x:c r="K28" s="31" t="n">
        <x:v>0</x:v>
      </x:c>
      <x:c r="L28" s="31" t="n">
        <x:v>3.53632773</x:v>
      </x:c>
      <x:c r="M28" s="31" t="n">
        <x:v>12.888718941</x:v>
      </x:c>
      <x:c r="N28" s="24" t="str">
        <x:v>sphyraenidae</x:v>
      </x:c>
      <x:c r="O28" s="32" t="n">
        <x:v>4.4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Sphyraenidae</x:v>
      </x:c>
      <x:c r="T28" s="32" t="n">
        <x:f>IF(O28="","",(1/'Metadata'!$B$5)^(O28-1))</x:f>
        <x:v>2511.886431509582</x:v>
      </x:c>
      <x:c r="U28" s="31" t="n">
        <x:f>IF(T28="","",I28*T28)</x:f>
        <x:v>41257.851869796534</x:v>
      </x:c>
    </x:row>
    <x:row r="29" ht="18" customHeight="1">
      <x:c r="A29" s="24" t="str">
        <x:v>EEZ_092</x:v>
      </x:c>
      <x:c r="B29" s="24" t="str">
        <x:v>British Virgin Isl. (UK)</x:v>
      </x:c>
      <x:c r="C29" s="24" t="str">
        <x:v>EEZ</x:v>
      </x:c>
      <x:c r="D29" s="30" t="n">
        <x:v>2019</x:v>
      </x:c>
      <x:c r="E29" s="24" t="str">
        <x:v>Sparidae</x:v>
      </x:c>
      <x:c r="F29" s="24" t="str">
        <x:v>Porgies, seabreams</x:v>
      </x:c>
      <x:c r="G29" s="24" t="str">
        <x:v>Medium benthopelagics (30 - 89 cm)</x:v>
      </x:c>
      <x:c r="H29" s="24" t="str">
        <x:v>Perch-likes</x:v>
      </x:c>
      <x:c r="I29" s="31" t="n">
        <x:v>16.425046671</x:v>
      </x:c>
      <x:c r="J29" s="31" t="n">
        <x:v>16.425046671</x:v>
      </x:c>
      <x:c r="K29" s="31" t="n">
        <x:v>0</x:v>
      </x:c>
      <x:c r="L29" s="31" t="n">
        <x:v>3.53632773</x:v>
      </x:c>
      <x:c r="M29" s="31" t="n">
        <x:v>12.888718940999999</x:v>
      </x:c>
      <x:c r="N29" s="24" t="str">
        <x:v>sparidae</x:v>
      </x:c>
      <x:c r="O29" s="32" t="n">
        <x:v>3.31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Sparidae</x:v>
      </x:c>
      <x:c r="T29" s="32" t="n">
        <x:f>IF(O29="","",(1/'Metadata'!$B$5)^(O29-1))</x:f>
        <x:v>204.17379446695296</x:v>
      </x:c>
      <x:c r="U29" s="31" t="n">
        <x:f>IF(T29="","",I29*T29)</x:f>
        <x:v>3353.564103114864</x:v>
      </x:c>
    </x:row>
    <x:row r="30" ht="18" customHeight="1">
      <x:c r="A30" s="24" t="str">
        <x:v>EEZ_092</x:v>
      </x:c>
      <x:c r="B30" s="24" t="str">
        <x:v>British Virgin Isl. (UK)</x:v>
      </x:c>
      <x:c r="C30" s="24" t="str">
        <x:v>EEZ</x:v>
      </x:c>
      <x:c r="D30" s="30" t="n">
        <x:v>2019</x:v>
      </x:c>
      <x:c r="E30" s="24" t="str">
        <x:v>Gastropoda</x:v>
      </x:c>
      <x:c r="F30" s="24" t="str">
        <x:v>Sea snails</x:v>
      </x:c>
      <x:c r="G30" s="24" t="str">
        <x:v>Other demersal invertebrates</x:v>
      </x:c>
      <x:c r="H30" s="24" t="str">
        <x:v>Molluscs</x:v>
      </x:c>
      <x:c r="I30" s="31" t="n">
        <x:v>7.733231364</x:v>
      </x:c>
      <x:c r="J30" s="31" t="n">
        <x:v>7.733231364</x:v>
      </x:c>
      <x:c r="K30" s="31" t="n">
        <x:v>0</x:v>
      </x:c>
      <x:c r="L30" s="31" t="n">
        <x:v>0</x:v>
      </x:c>
      <x:c r="M30" s="31" t="n">
        <x:v>7.733231364</x:v>
      </x:c>
      <x:c r="N30" s="24" t="str">
        <x:v>gastropoda</x:v>
      </x:c>
      <x:c r="O30" s="32" t="n">
        <x:v>3.06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Gastropoda</x:v>
      </x:c>
      <x:c r="T30" s="32" t="n">
        <x:f>IF(O30="","",(1/'Metadata'!$B$5)^(O30-1))</x:f>
        <x:v>114.81536214968828</x:v>
      </x:c>
      <x:c r="U30" s="31" t="n">
        <x:f>IF(T30="","",I30*T30)</x:f>
        <x:v>887.8937596449879</x:v>
      </x:c>
    </x:row>
    <x:row r="31" ht="18" customHeight="1">
      <x:c r="A31" s="24" t="str">
        <x:v>EEZ_092</x:v>
      </x:c>
      <x:c r="B31" s="24" t="str">
        <x:v>British Virgin Isl. (UK)</x:v>
      </x:c>
      <x:c r="C31" s="24" t="str">
        <x:v>EEZ</x:v>
      </x:c>
      <x:c r="D31" s="30" t="n">
        <x:v>2019</x:v>
      </x:c>
      <x:c r="E31" s="24" t="str">
        <x:v>Aliger gigas</x:v>
      </x:c>
      <x:c r="F31" s="24" t="str">
        <x:v>Pink conch</x:v>
      </x:c>
      <x:c r="G31" s="24" t="str">
        <x:v>Other demersal invertebrates</x:v>
      </x:c>
      <x:c r="H31" s="24" t="str">
        <x:v>Molluscs</x:v>
      </x:c>
      <x:c r="I31" s="31" t="n">
        <x:v>7.121796638</x:v>
      </x:c>
      <x:c r="J31" s="31" t="n">
        <x:v>7.121796638</x:v>
      </x:c>
      <x:c r="K31" s="31" t="n">
        <x:v>0</x:v>
      </x:c>
      <x:c r="L31" s="31" t="n">
        <x:v>7.121796638</x:v>
      </x:c>
      <x:c r="M31" s="31" t="n">
        <x:v>0</x:v>
      </x:c>
      <x:c r="N31" s="24" t="str">
        <x:v>aliger gigas</x:v>
      </x:c>
      <x:c r="O31" s="32" t="n">
        <x:v>2.19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Aliger gigas</x:v>
      </x:c>
      <x:c r="T31" s="32" t="n">
        <x:f>IF(O31="","",(1/'Metadata'!$B$5)^(O31-1))</x:f>
        <x:v>15.488166189124811</x:v>
      </x:c>
      <x:c r="U31" s="31" t="n">
        <x:f>IF(T31="","",I31*T31)</x:f>
        <x:v>110.30356989449436</x:v>
      </x:c>
    </x:row>
    <x:row r="32" ht="18" customHeight="1">
      <x:c r="A32" s="24" t="str">
        <x:v>EEZ_092</x:v>
      </x:c>
      <x:c r="B32" s="24" t="str">
        <x:v>British Virgin Isl. (UK)</x:v>
      </x:c>
      <x:c r="C32" s="24" t="str">
        <x:v>EEZ</x:v>
      </x:c>
      <x:c r="D32" s="30" t="n">
        <x:v>2019</x:v>
      </x:c>
      <x:c r="E32" s="24" t="str">
        <x:v>Scombridae</x:v>
      </x:c>
      <x:c r="F32" s="24" t="str">
        <x:v>Mackerels, tunas, bonitos</x:v>
      </x:c>
      <x:c r="G32" s="24" t="str">
        <x:v>Medium pelagics (30 - 89 cm)</x:v>
      </x:c>
      <x:c r="H32" s="24" t="str">
        <x:v>Perch-likes</x:v>
      </x:c>
      <x:c r="I32" s="31" t="n">
        <x:v>4.825199624</x:v>
      </x:c>
      <x:c r="J32" s="31" t="n">
        <x:v>4.825199624</x:v>
      </x:c>
      <x:c r="K32" s="31" t="n">
        <x:v>0</x:v>
      </x:c>
      <x:c r="L32" s="31" t="n">
        <x:v>3.53632773</x:v>
      </x:c>
      <x:c r="M32" s="31" t="n">
        <x:v>1.2888718940000001</x:v>
      </x:c>
      <x:c r="N32" s="24" t="str">
        <x:v>scombridae</x:v>
      </x:c>
      <x:c r="O32" s="32" t="n">
        <x:v>4.26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Scombridae</x:v>
      </x:c>
      <x:c r="T32" s="32" t="n">
        <x:f>IF(O32="","",(1/'Metadata'!$B$5)^(O32-1))</x:f>
        <x:v>1819.7008586099826</x:v>
      </x:c>
      <x:c r="U32" s="31" t="n">
        <x:f>IF(T32="","",I32*T32)</x:f>
        <x:v>8780.419898757364</x:v>
      </x:c>
    </x:row>
    <x:row r="33" ht="18" customHeight="1">
      <x:c r="A33" s="24" t="str">
        <x:v>EEZ_092</x:v>
      </x:c>
      <x:c r="B33" s="24" t="str">
        <x:v>British Virgin Isl. (UK)</x:v>
      </x:c>
      <x:c r="C33" s="24" t="str">
        <x:v>EEZ</x:v>
      </x:c>
      <x:c r="D33" s="30" t="n">
        <x:v>2019</x:v>
      </x:c>
      <x:c r="E33" s="24" t="str">
        <x:v>Carcharhinidae</x:v>
      </x:c>
      <x:c r="F33" s="24" t="str">
        <x:v>Requiem sharks</x:v>
      </x:c>
      <x:c r="G33" s="24" t="str">
        <x:v>Large sharks (&gt;=90 cm)</x:v>
      </x:c>
      <x:c r="H33" s="24" t="str">
        <x:v>Sharks &amp; rays</x:v>
      </x:c>
      <x:c r="I33" s="31" t="n">
        <x:v>0.657001867</x:v>
      </x:c>
      <x:c r="J33" s="31" t="n">
        <x:v>0.657001867</x:v>
      </x:c>
      <x:c r="K33" s="31" t="n">
        <x:v>0</x:v>
      </x:c>
      <x:c r="L33" s="31" t="n">
        <x:v>0.141453109</x:v>
      </x:c>
      <x:c r="M33" s="31" t="n">
        <x:v>0.515548758</x:v>
      </x:c>
      <x:c r="N33" s="24" t="str">
        <x:v>carcharhinidae</x:v>
      </x:c>
      <x:c r="O33" s="32" t="n">
        <x:v>4.24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Carcharhinidae</x:v>
      </x:c>
      <x:c r="T33" s="32" t="n">
        <x:f>IF(O33="","",(1/'Metadata'!$B$5)^(O33-1))</x:f>
        <x:v>1737.8008287493763</x:v>
      </x:c>
      <x:c r="U33" s="31" t="n">
        <x:f>IF(T33="","",I33*T33)</x:f>
        <x:v>1141.7383889624873</x:v>
      </x:c>
    </x:row>
  </x:sheetData>
  <x:conditionalFormatting sqref="R2:R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399d11be9ed4e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410.469969721</x:v>
      </x:c>
      <x:c r="E2" s="31" t="n">
        <x:v>410.469969721</x:v>
      </x:c>
      <x:c r="F2" s="32" t="n">
        <x:v>0</x:v>
      </x:c>
      <x:c r="G2" s="34" t="n">
        <x:v>1</x:v>
      </x:c>
      <x:c r="H2" s="32" t="n">
        <x:f>IF(E2=0,"",I2/E2)</x:f>
        <x:v>248.8352732667452</x:v>
      </x:c>
      <x:c r="I2" s="31" t="n">
        <x:f>IF(C2=0,"",SUMIF('Species'!$H$2:$H$33,A2,'Species'!$U$2:$U$33))</x:f>
        <x:v>102139.40708331765</x:v>
      </x:c>
      <x:c r="J2" s="32" t="n">
        <x:v>3.3877714447880027</x:v>
      </x:c>
      <x:c r="K2" s="32" t="n">
        <x:f>IF(J2="","",(1/'Metadata'!$B$5)^(J2-1))</x:f>
        <x:v>244.2144992117991</x:v>
      </x:c>
      <x:c r="L2" s="31" t="n">
        <x:f>IF(E2=0,"",E2*K2)</x:f>
        <x:v>100242.71809689635</x:v>
      </x:c>
      <x:c r="M2" s="31" t="n">
        <x:f>IF(E2=0,"",I2-L2)</x:f>
        <x:v>1896.6889864213008</x:v>
      </x:c>
      <x:c r="N2" s="32" t="n">
        <x:f>IF(L2=0,"",I2/L2)</x:f>
        <x:v>1.0189209652574258</x:v>
      </x:c>
      <x:c r="O2" s="34" t="n">
        <x:f>IF(L2=0,"",M2/L2)</x:f>
        <x:v>0.018920965257425763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82.1252333601</x:v>
      </x:c>
      <x:c r="E3" s="31" t="n">
        <x:v>82.1252333601</x:v>
      </x:c>
      <x:c r="F3" s="32" t="n">
        <x:v>0</x:v>
      </x:c>
      <x:c r="G3" s="34" t="n">
        <x:v>1</x:v>
      </x:c>
      <x:c r="H3" s="32" t="n">
        <x:f>IF(E3=0,"",I3/E3)</x:f>
        <x:v>144.5439770745928</x:v>
      </x:c>
      <x:c r="I3" s="31" t="n">
        <x:f>IF(C3=0,"",SUMIF('Species'!$H$2:$H$33,A3,'Species'!$U$2:$U$33))</x:f>
        <x:v>11870.707848047878</x:v>
      </x:c>
      <x:c r="J3" s="32" t="n">
        <x:v>3.16</x:v>
      </x:c>
      <x:c r="K3" s="32" t="n">
        <x:f>IF(J3="","",(1/'Metadata'!$B$5)^(J3-1))</x:f>
        <x:v>144.5439770745928</x:v>
      </x:c>
      <x:c r="L3" s="31" t="n">
        <x:f>IF(E3=0,"",E3*K3)</x:f>
        <x:v>11870.707848047878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Molluscs</x:v>
      </x:c>
      <x:c r="B4" s="33" t="n">
        <x:v>2</x:v>
      </x:c>
      <x:c r="C4" s="33" t="n">
        <x:v>2</x:v>
      </x:c>
      <x:c r="D4" s="31" t="n">
        <x:v>14.855028002000001</x:v>
      </x:c>
      <x:c r="E4" s="31" t="n">
        <x:v>14.855028002000001</x:v>
      </x:c>
      <x:c r="F4" s="32" t="n">
        <x:v>0</x:v>
      </x:c>
      <x:c r="G4" s="34" t="n">
        <x:v>1</x:v>
      </x:c>
      <x:c r="H4" s="32" t="n">
        <x:f>IF(E4=0,"",I4/E4)</x:f>
        <x:v>67.19592379126382</x:v>
      </x:c>
      <x:c r="I4" s="31" t="n">
        <x:f>IF(C4=0,"",SUMIF('Species'!$H$2:$H$33,A4,'Species'!$U$2:$U$33))</x:f>
        <x:v>998.1973295394822</x:v>
      </x:c>
      <x:c r="J4" s="32" t="n">
        <x:v>2.6429046519316013</x:v>
      </x:c>
      <x:c r="K4" s="32" t="n">
        <x:f>IF(J4="","",(1/'Metadata'!$B$5)^(J4-1))</x:f>
        <x:v>43.94451259691611</x:v>
      </x:c>
      <x:c r="L4" s="31" t="n">
        <x:f>IF(E4=0,"",E4*K4)</x:f>
        <x:v>652.7969651614306</x:v>
      </x:c>
      <x:c r="M4" s="31" t="n">
        <x:f>IF(E4=0,"",I4-L4)</x:f>
        <x:v>345.40036437805156</x:v>
      </x:c>
      <x:c r="N4" s="32" t="n">
        <x:f>IF(L4=0,"",I4/L4)</x:f>
        <x:v>1.529108410135818</x:v>
      </x:c>
      <x:c r="O4" s="34" t="n">
        <x:f>IF(L4=0,"",M4/L4)</x:f>
        <x:v>0.529108410135818</x:v>
      </x:c>
    </x:row>
    <x:row r="5" ht="18" customHeight="1">
      <x:c r="A5" s="24" t="str">
        <x:v>Other fishes &amp; inverts</x:v>
      </x:c>
      <x:c r="B5" s="33" t="n">
        <x:v>7</x:v>
      </x:c>
      <x:c r="C5" s="33" t="n">
        <x:v>7</x:v>
      </x:c>
      <x:c r="D5" s="31" t="n">
        <x:v>766.9608942570001</x:v>
      </x:c>
      <x:c r="E5" s="31" t="n">
        <x:v>766.9608942570001</x:v>
      </x:c>
      <x:c r="F5" s="32" t="n">
        <x:v>0</x:v>
      </x:c>
      <x:c r="G5" s="34" t="n">
        <x:v>1</x:v>
      </x:c>
      <x:c r="H5" s="32" t="n">
        <x:f>IF(E5=0,"",I5/E5)</x:f>
        <x:v>209.83280775090256</x:v>
      </x:c>
      <x:c r="I5" s="31" t="n">
        <x:f>IF(C5=0,"",SUMIF('Species'!$H$2:$H$33,A5,'Species'!$U$2:$U$33))</x:f>
        <x:v>160933.5578770894</x:v>
      </x:c>
      <x:c r="J5" s="32" t="n">
        <x:v>3.215992498132166</x:v>
      </x:c>
      <x:c r="K5" s="32" t="n">
        <x:f>IF(J5="","",(1/'Metadata'!$B$5)^(J5-1))</x:f>
        <x:v>164.4343319094435</x:v>
      </x:c>
      <x:c r="L5" s="31" t="n">
        <x:f>IF(E5=0,"",E5*K5)</x:f>
        <x:v>126114.70224781915</x:v>
      </x:c>
      <x:c r="M5" s="31" t="n">
        <x:f>IF(E5=0,"",I5-L5)</x:f>
        <x:v>34818.85562927024</x:v>
      </x:c>
      <x:c r="N5" s="32" t="n">
        <x:f>IF(L5=0,"",I5/L5)</x:f>
        <x:v>1.2760887906697045</x:v>
      </x:c>
      <x:c r="O5" s="34" t="n">
        <x:f>IF(L5=0,"",M5/L5)</x:f>
        <x:v>0.27608879066970443</x:v>
      </x:c>
    </x:row>
    <x:row r="6" ht="18" customHeight="1">
      <x:c r="A6" s="24" t="str">
        <x:v>Perch-likes</x:v>
      </x:c>
      <x:c r="B6" s="33" t="n">
        <x:v>18</x:v>
      </x:c>
      <x:c r="C6" s="33" t="n">
        <x:v>18</x:v>
      </x:c>
      <x:c r="D6" s="31" t="n">
        <x:v>2800.3785499749997</x:v>
      </x:c>
      <x:c r="E6" s="31" t="n">
        <x:v>2800.3785499749997</x:v>
      </x:c>
      <x:c r="F6" s="32" t="n">
        <x:v>0</x:v>
      </x:c>
      <x:c r="G6" s="34" t="n">
        <x:v>1</x:v>
      </x:c>
      <x:c r="H6" s="32" t="n">
        <x:f>IF(E6=0,"",I6/E6)</x:f>
        <x:v>821.5521306781181</x:v>
      </x:c>
      <x:c r="I6" s="31" t="n">
        <x:f>IF(C6=0,"",SUMIF('Species'!$H$2:$H$33,A6,'Species'!$U$2:$U$33))</x:f>
        <x:v>2300656.96443726</x:v>
      </x:c>
      <x:c r="J6" s="32" t="n">
        <x:v>3.789961539423186</x:v>
      </x:c>
      <x:c r="K6" s="32" t="n">
        <x:f>IF(J6="","",(1/'Metadata'!$B$5)^(J6-1))</x:f>
        <x:v>616.540399396142</x:v>
      </x:c>
      <x:c r="L6" s="31" t="n">
        <x:f>IF(E6=0,"",E6*K6)</x:f>
        <x:v>1726546.5096619753</x:v>
      </x:c>
      <x:c r="M6" s="31" t="n">
        <x:f>IF(E6=0,"",I6-L6)</x:f>
        <x:v>574110.4547752845</x:v>
      </x:c>
      <x:c r="N6" s="32" t="n">
        <x:f>IF(L6=0,"",I6/L6)</x:f>
        <x:v>1.3325195420815419</x:v>
      </x:c>
      <x:c r="O6" s="34" t="n">
        <x:f>IF(L6=0,"",M6/L6)</x:f>
        <x:v>0.3325195420815419</x:v>
      </x:c>
    </x:row>
    <x:row r="7" ht="18" customHeight="1">
      <x:c r="A7" s="24" t="str">
        <x:v>Sharks &amp; rays</x:v>
      </x:c>
      <x:c r="B7" s="33" t="n">
        <x:v>1</x:v>
      </x:c>
      <x:c r="C7" s="33" t="n">
        <x:v>1</x:v>
      </x:c>
      <x:c r="D7" s="31" t="n">
        <x:v>0.657001867</x:v>
      </x:c>
      <x:c r="E7" s="31" t="n">
        <x:v>0.657001867</x:v>
      </x:c>
      <x:c r="F7" s="32" t="n">
        <x:v>0</x:v>
      </x:c>
      <x:c r="G7" s="34" t="n">
        <x:v>1</x:v>
      </x:c>
      <x:c r="H7" s="32" t="n">
        <x:f>IF(E7=0,"",I7/E7)</x:f>
        <x:v>1737.800828749376</x:v>
      </x:c>
      <x:c r="I7" s="31" t="n">
        <x:f>IF(C7=0,"",SUMIF('Species'!$H$2:$H$33,A7,'Species'!$U$2:$U$33))</x:f>
        <x:v>1141.7383889624873</x:v>
      </x:c>
      <x:c r="J7" s="32" t="n">
        <x:v>4.24</x:v>
      </x:c>
      <x:c r="K7" s="32" t="n">
        <x:f>IF(J7="","",(1/'Metadata'!$B$5)^(J7-1))</x:f>
        <x:v>1737.8008287493763</x:v>
      </x:c>
      <x:c r="L7" s="31" t="n">
        <x:f>IF(E7=0,"",E7*K7)</x:f>
        <x:v>1141.7383889624873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Tuna &amp; billfishes</x:v>
      </x:c>
      <x:c r="B8" s="33" t="n">
        <x:v>1</x:v>
      </x:c>
      <x:c r="C8" s="33" t="n">
        <x:v>1</x:v>
      </x:c>
      <x:c r="D8" s="31" t="n">
        <x:v>26.94448192</x:v>
      </x:c>
      <x:c r="E8" s="31" t="n">
        <x:v>26.94448192</x:v>
      </x:c>
      <x:c r="F8" s="32" t="n">
        <x:v>0</x:v>
      </x:c>
      <x:c r="G8" s="34" t="n">
        <x:v>1</x:v>
      </x:c>
      <x:c r="H8" s="32" t="n">
        <x:f>IF(E8=0,"",I8/E8)</x:f>
        <x:v>2187.761623949552</x:v>
      </x:c>
      <x:c r="I8" s="31" t="n">
        <x:f>IF(C8=0,"",SUMIF('Species'!$H$2:$H$33,A8,'Species'!$U$2:$U$33))</x:f>
        <x:v>58948.10352177854</x:v>
      </x:c>
      <x:c r="J8" s="32" t="n">
        <x:v>4.34</x:v>
      </x:c>
      <x:c r="K8" s="32" t="n">
        <x:f>IF(J8="","",(1/'Metadata'!$B$5)^(J8-1))</x:f>
        <x:v>2187.761623949552</x:v>
      </x:c>
      <x:c r="L8" s="31" t="n">
        <x:f>IF(E8=0,"",E8*K8)</x:f>
        <x:v>58948.10352177854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bc8e51391f845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82.125233352</x:v>
      </x:c>
      <x:c r="E2" s="31" t="n">
        <x:v>82.125233352</x:v>
      </x:c>
      <x:c r="F2" s="32" t="n">
        <x:v>0</x:v>
      </x:c>
      <x:c r="G2" s="34" t="n">
        <x:v>1</x:v>
      </x:c>
      <x:c r="H2" s="32" t="n">
        <x:f>IF(E2=0,"",I2/E2)</x:f>
        <x:v>576.9667734536748</x:v>
      </x:c>
      <x:c r="I2" s="31" t="n">
        <x:f>IF(C2=0,"",SUMIF('Species'!$G$2:$G$33,A2,'Species'!$U$2:$U$33))</x:f>
        <x:v>47383.53090623356</x:v>
      </x:c>
      <x:c r="J2" s="32" t="n">
        <x:v>3.7526337966514247</x:v>
      </x:c>
      <x:c r="K2" s="32" t="n">
        <x:f>IF(J2="","",(1/'Metadata'!$B$5)^(J2-1))</x:f>
        <x:v>565.762029176531</x:v>
      </x:c>
      <x:c r="L2" s="31" t="n">
        <x:f>IF(E2=0,"",E2*K2)</x:f>
        <x:v>46463.338667823635</x:v>
      </x:c>
      <x:c r="M2" s="31" t="n">
        <x:f>IF(E2=0,"",I2-L2)</x:f>
        <x:v>920.1922384099234</x:v>
      </x:c>
      <x:c r="N2" s="32" t="n">
        <x:f>IF(L2=0,"",I2/L2)</x:f>
        <x:v>1.019804694729076</x:v>
      </x:c>
      <x:c r="O2" s="34" t="n">
        <x:f>IF(L2=0,"",M2/L2)</x:f>
        <x:v>0.01980469472907608</x:v>
      </x:c>
    </x:row>
    <x:row r="3" ht="18" customHeight="1">
      <x:c r="A3" s="24" t="str">
        <x:v>Large pelagics (&gt;=90 cm)</x:v>
      </x:c>
      <x:c r="B3" s="33" t="n">
        <x:v>4</x:v>
      </x:c>
      <x:c r="C3" s="33" t="n">
        <x:v>4</x:v>
      </x:c>
      <x:c r="D3" s="31" t="n">
        <x:v>108.777927679</x:v>
      </x:c>
      <x:c r="E3" s="31" t="n">
        <x:v>108.777927679</x:v>
      </x:c>
      <x:c r="F3" s="32" t="n">
        <x:v>0</x:v>
      </x:c>
      <x:c r="G3" s="34" t="n">
        <x:v>1</x:v>
      </x:c>
      <x:c r="H3" s="32" t="n">
        <x:f>IF(E3=0,"",I3/E3)</x:f>
        <x:v>2438.058154404674</x:v>
      </x:c>
      <x:c r="I3" s="31" t="n">
        <x:f>IF(C3=0,"",SUMIF('Species'!$G$2:$G$33,A3,'Species'!$U$2:$U$33))</x:f>
        <x:v>265206.91359702783</x:v>
      </x:c>
      <x:c r="J3" s="32" t="n">
        <x:v>4.3785342171641615</x:v>
      </x:c>
      <x:c r="K3" s="32" t="n">
        <x:f>IF(J3="","",(1/'Metadata'!$B$5)^(J3-1))</x:f>
        <x:v>2390.7502901960756</x:v>
      </x:c>
      <x:c r="L3" s="31" t="n">
        <x:f>IF(E3=0,"",E3*K3)</x:f>
        <x:v>260060.86216549698</x:v>
      </x:c>
      <x:c r="M3" s="31" t="n">
        <x:f>IF(E3=0,"",I3-L3)</x:f>
        <x:v>5146.051431530854</x:v>
      </x:c>
      <x:c r="N3" s="32" t="n">
        <x:f>IF(L3=0,"",I3/L3)</x:f>
        <x:v>1.019787873456545</x:v>
      </x:c>
      <x:c r="O3" s="34" t="n">
        <x:f>IF(L3=0,"",M3/L3)</x:f>
        <x:v>0.019787873456545032</x:v>
      </x:c>
    </x:row>
    <x:row r="4" ht="18" customHeight="1">
      <x:c r="A4" s="24" t="str">
        <x:v>Large reef assoc. fish (&gt;=90 cm)</x:v>
      </x:c>
      <x:c r="B4" s="33" t="n">
        <x:v>1</x:v>
      </x:c>
      <x:c r="C4" s="33" t="n">
        <x:v>1</x:v>
      </x:c>
      <x:c r="D4" s="31" t="n">
        <x:v>16.425046672</x:v>
      </x:c>
      <x:c r="E4" s="31" t="n">
        <x:v>16.425046672</x:v>
      </x:c>
      <x:c r="F4" s="32" t="n">
        <x:v>0</x:v>
      </x:c>
      <x:c r="G4" s="34" t="n">
        <x:v>1</x:v>
      </x:c>
      <x:c r="H4" s="32" t="n">
        <x:f>IF(E4=0,"",I4/E4)</x:f>
        <x:v>831.7637711026708</x:v>
      </x:c>
      <x:c r="I4" s="31" t="n">
        <x:f>IF(C4=0,"",SUMIF('Species'!$G$2:$G$33,A4,'Species'!$U$2:$U$33))</x:f>
        <x:v>13661.758760440094</x:v>
      </x:c>
      <x:c r="J4" s="32" t="n">
        <x:v>3.92</x:v>
      </x:c>
      <x:c r="K4" s="32" t="n">
        <x:f>IF(J4="","",(1/'Metadata'!$B$5)^(J4-1))</x:f>
        <x:v>831.7637711026708</x:v>
      </x:c>
      <x:c r="L4" s="31" t="n">
        <x:f>IF(E4=0,"",E4*K4)</x:f>
        <x:v>13661.758760440094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sharks (&gt;=90 cm)</x:v>
      </x:c>
      <x:c r="B5" s="33" t="n">
        <x:v>1</x:v>
      </x:c>
      <x:c r="C5" s="33" t="n">
        <x:v>1</x:v>
      </x:c>
      <x:c r="D5" s="31" t="n">
        <x:v>0.657001867</x:v>
      </x:c>
      <x:c r="E5" s="31" t="n">
        <x:v>0.657001867</x:v>
      </x:c>
      <x:c r="F5" s="32" t="n">
        <x:v>0</x:v>
      </x:c>
      <x:c r="G5" s="34" t="n">
        <x:v>1</x:v>
      </x:c>
      <x:c r="H5" s="32" t="n">
        <x:f>IF(E5=0,"",I5/E5)</x:f>
        <x:v>1737.800828749376</x:v>
      </x:c>
      <x:c r="I5" s="31" t="n">
        <x:f>IF(C5=0,"",SUMIF('Species'!$G$2:$G$33,A5,'Species'!$U$2:$U$33))</x:f>
        <x:v>1141.7383889624873</x:v>
      </x:c>
      <x:c r="J5" s="32" t="n">
        <x:v>4.24</x:v>
      </x:c>
      <x:c r="K5" s="32" t="n">
        <x:f>IF(J5="","",(1/'Metadata'!$B$5)^(J5-1))</x:f>
        <x:v>1737.8008287493763</x:v>
      </x:c>
      <x:c r="L5" s="31" t="n">
        <x:f>IF(E5=0,"",E5*K5)</x:f>
        <x:v>1141.7383889624873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Lobsters, crabs</x:v>
      </x:c>
      <x:c r="B6" s="33" t="n">
        <x:v>2</x:v>
      </x:c>
      <x:c r="C6" s="33" t="n">
        <x:v>2</x:v>
      </x:c>
      <x:c r="D6" s="31" t="n">
        <x:v>410.469969721</x:v>
      </x:c>
      <x:c r="E6" s="31" t="n">
        <x:v>410.469969721</x:v>
      </x:c>
      <x:c r="F6" s="32" t="n">
        <x:v>0</x:v>
      </x:c>
      <x:c r="G6" s="34" t="n">
        <x:v>1</x:v>
      </x:c>
      <x:c r="H6" s="32" t="n">
        <x:f>IF(E6=0,"",I6/E6)</x:f>
        <x:v>248.8352732667452</x:v>
      </x:c>
      <x:c r="I6" s="31" t="n">
        <x:f>IF(C6=0,"",SUMIF('Species'!$G$2:$G$33,A6,'Species'!$U$2:$U$33))</x:f>
        <x:v>102139.40708331765</x:v>
      </x:c>
      <x:c r="J6" s="32" t="n">
        <x:v>3.3877714447880027</x:v>
      </x:c>
      <x:c r="K6" s="32" t="n">
        <x:f>IF(J6="","",(1/'Metadata'!$B$5)^(J6-1))</x:f>
        <x:v>244.2144992117991</x:v>
      </x:c>
      <x:c r="L6" s="31" t="n">
        <x:f>IF(E6=0,"",E6*K6)</x:f>
        <x:v>100242.71809689635</x:v>
      </x:c>
      <x:c r="M6" s="31" t="n">
        <x:f>IF(E6=0,"",I6-L6)</x:f>
        <x:v>1896.6889864213008</x:v>
      </x:c>
      <x:c r="N6" s="32" t="n">
        <x:f>IF(L6=0,"",I6/L6)</x:f>
        <x:v>1.0189209652574258</x:v>
      </x:c>
      <x:c r="O6" s="34" t="n">
        <x:f>IF(L6=0,"",M6/L6)</x:f>
        <x:v>0.018920965257425763</x:v>
      </x:c>
    </x:row>
    <x:row r="7" ht="18" customHeight="1">
      <x:c r="A7" s="24" t="str">
        <x:v>Medium benthopelagics (30 - 89 cm)</x:v>
      </x:c>
      <x:c r="B7" s="33" t="n">
        <x:v>1</x:v>
      </x:c>
      <x:c r="C7" s="33" t="n">
        <x:v>1</x:v>
      </x:c>
      <x:c r="D7" s="31" t="n">
        <x:v>16.425046671</x:v>
      </x:c>
      <x:c r="E7" s="31" t="n">
        <x:v>16.425046671</x:v>
      </x:c>
      <x:c r="F7" s="32" t="n">
        <x:v>0</x:v>
      </x:c>
      <x:c r="G7" s="34" t="n">
        <x:v>1</x:v>
      </x:c>
      <x:c r="H7" s="32" t="n">
        <x:f>IF(E7=0,"",I7/E7)</x:f>
        <x:v>204.17379446695296</x:v>
      </x:c>
      <x:c r="I7" s="31" t="n">
        <x:f>IF(C7=0,"",SUMIF('Species'!$G$2:$G$33,A7,'Species'!$U$2:$U$33))</x:f>
        <x:v>3353.564103114864</x:v>
      </x:c>
      <x:c r="J7" s="32" t="n">
        <x:v>3.31</x:v>
      </x:c>
      <x:c r="K7" s="32" t="n">
        <x:f>IF(J7="","",(1/'Metadata'!$B$5)^(J7-1))</x:f>
        <x:v>204.17379446695296</x:v>
      </x:c>
      <x:c r="L7" s="31" t="n">
        <x:f>IF(E7=0,"",E7*K7)</x:f>
        <x:v>3353.564103114864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3</x:v>
      </x:c>
      <x:c r="C8" s="33" t="n">
        <x:v>3</x:v>
      </x:c>
      <x:c r="D8" s="31" t="n">
        <x:v>699.0844330129999</x:v>
      </x:c>
      <x:c r="E8" s="31" t="n">
        <x:v>699.0844330129999</x:v>
      </x:c>
      <x:c r="F8" s="32" t="n">
        <x:v>0</x:v>
      </x:c>
      <x:c r="G8" s="34" t="n">
        <x:v>1</x:v>
      </x:c>
      <x:c r="H8" s="32" t="n">
        <x:f>IF(E8=0,"",I8/E8)</x:f>
        <x:v>179.22117083298323</x:v>
      </x:c>
      <x:c r="I8" s="31" t="n">
        <x:f>IF(C8=0,"",SUMIF('Species'!$G$2:$G$33,A8,'Species'!$U$2:$U$33))</x:f>
        <x:v>125290.73059570207</x:v>
      </x:c>
      <x:c r="J8" s="32" t="n">
        <x:v>3.2414462549630416</x:v>
      </x:c>
      <x:c r="K8" s="32" t="n">
        <x:f>IF(J8="","",(1/'Metadata'!$B$5)^(J8-1))</x:f>
        <x:v>174.35975695192596</x:v>
      </x:c>
      <x:c r="L8" s="31" t="n">
        <x:f>IF(E8=0,"",E8*K8)</x:f>
        <x:v>121892.19182902161</x:v>
      </x:c>
      <x:c r="M8" s="31" t="n">
        <x:f>IF(E8=0,"",I8-L8)</x:f>
        <x:v>3398.53876668046</x:v>
      </x:c>
      <x:c r="N8" s="32" t="n">
        <x:f>IF(L8=0,"",I8/L8)</x:f>
        <x:v>1.0278815132920704</x:v>
      </x:c>
      <x:c r="O8" s="34" t="n">
        <x:f>IF(L8=0,"",M8/L8)</x:f>
        <x:v>0.027881513292070392</x:v>
      </x:c>
    </x:row>
    <x:row r="9" ht="18" customHeight="1">
      <x:c r="A9" s="24" t="str">
        <x:v>Medium pelagics (30 - 89 cm)</x:v>
      </x:c>
      <x:c r="B9" s="33" t="n">
        <x:v>2</x:v>
      </x:c>
      <x:c r="C9" s="33" t="n">
        <x:v>2</x:v>
      </x:c>
      <x:c r="D9" s="31" t="n">
        <x:v>111.95043299599999</x:v>
      </x:c>
      <x:c r="E9" s="31" t="n">
        <x:v>111.95043299599999</x:v>
      </x:c>
      <x:c r="F9" s="32" t="n">
        <x:v>0</x:v>
      </x:c>
      <x:c r="G9" s="34" t="n">
        <x:v>1</x:v>
      </x:c>
      <x:c r="H9" s="32" t="n">
        <x:f>IF(E9=0,"",I9/E9)</x:f>
        <x:v>1152.0894132509002</x:v>
      </x:c>
      <x:c r="I9" s="31" t="n">
        <x:f>IF(C9=0,"",SUMIF('Species'!$G$2:$G$33,A9,'Species'!$U$2:$U$33))</x:f>
        <x:v>128976.90866354585</x:v>
      </x:c>
      <x:c r="J9" s="32" t="n">
        <x:v>4.059051255041383</x:v>
      </x:c>
      <x:c r="K9" s="32" t="n">
        <x:f>IF(J9="","",(1/'Metadata'!$B$5)^(J9-1))</x:f>
        <x:v>1145.6481418232688</x:v>
      </x:c>
      <x:c r="L9" s="31" t="n">
        <x:f>IF(E9=0,"",E9*K9)</x:f>
        <x:v>128255.80553817775</x:v>
      </x:c>
      <x:c r="M9" s="31" t="n">
        <x:f>IF(E9=0,"",I9-L9)</x:f>
        <x:v>721.1031253680994</x:v>
      </x:c>
      <x:c r="N9" s="32" t="n">
        <x:f>IF(L9=0,"",I9/L9)</x:f>
        <x:v>1.005622381944757</x:v>
      </x:c>
      <x:c r="O9" s="34" t="n">
        <x:f>IF(L9=0,"",M9/L9)</x:f>
        <x:v>0.005622381944756875</x:v>
      </x:c>
    </x:row>
    <x:row r="10" ht="18" customHeight="1">
      <x:c r="A10" s="24" t="str">
        <x:v>Medium reef assoc. fish (30 - 89 cm)</x:v>
      </x:c>
      <x:c r="B10" s="33" t="n">
        <x:v>10</x:v>
      </x:c>
      <x:c r="C10" s="33" t="n">
        <x:v>10</x:v>
      </x:c>
      <x:c r="D10" s="31" t="n">
        <x:v>2277.756828398</x:v>
      </x:c>
      <x:c r="E10" s="31" t="n">
        <x:v>2277.756828398</x:v>
      </x:c>
      <x:c r="F10" s="32" t="n">
        <x:v>0</x:v>
      </x:c>
      <x:c r="G10" s="34" t="n">
        <x:v>1</x:v>
      </x:c>
      <x:c r="H10" s="32" t="n">
        <x:f>IF(E10=0,"",I10/E10)</x:f>
        <x:v>830.964263938817</x:v>
      </x:c>
      <x:c r="I10" s="31" t="n">
        <x:f>IF(C10=0,"",SUMIF('Species'!$G$2:$G$33,A10,'Species'!$U$2:$U$33))</x:f>
        <x:v>1892734.5263413584</x:v>
      </x:c>
      <x:c r="J10" s="32" t="n">
        <x:v>3.820817757285961</x:v>
      </x:c>
      <x:c r="K10" s="32" t="n">
        <x:f>IF(J10="","",(1/'Metadata'!$B$5)^(J10-1))</x:f>
        <x:v>661.9386765126477</x:v>
      </x:c>
      <x:c r="L10" s="31" t="n">
        <x:f>IF(E10=0,"",E10*K10)</x:f>
        <x:v>1507735.340407418</x:v>
      </x:c>
      <x:c r="M10" s="31" t="n">
        <x:f>IF(E10=0,"",I10-L10)</x:f>
        <x:v>384999.18593394035</x:v>
      </x:c>
      <x:c r="N10" s="32" t="n">
        <x:f>IF(L10=0,"",I10/L10)</x:f>
        <x:v>1.2553493147079158</x:v>
      </x:c>
      <x:c r="O10" s="34" t="n">
        <x:f>IF(L10=0,"",M10/L10)</x:f>
        <x:v>0.2553493147079158</x:v>
      </x:c>
    </x:row>
    <x:row r="11" ht="18" customHeight="1">
      <x:c r="A11" s="24" t="str">
        <x:v>Other demersal invertebrates</x:v>
      </x:c>
      <x:c r="B11" s="33" t="n">
        <x:v>3</x:v>
      </x:c>
      <x:c r="C11" s="33" t="n">
        <x:v>3</x:v>
      </x:c>
      <x:c r="D11" s="31" t="n">
        <x:v>50.218305302</x:v>
      </x:c>
      <x:c r="E11" s="31" t="n">
        <x:v>50.218305302</x:v>
      </x:c>
      <x:c r="F11" s="32" t="n">
        <x:v>0</x:v>
      </x:c>
      <x:c r="G11" s="34" t="n">
        <x:v>1</x:v>
      </x:c>
      <x:c r="H11" s="32" t="n">
        <x:f>IF(E11=0,"",I11/E11)</x:f>
        <x:v>38.83070593783076</x:v>
      </x:c>
      <x:c r="I11" s="31" t="n">
        <x:f>IF(C11=0,"",SUMIF('Species'!$G$2:$G$33,A11,'Species'!$U$2:$U$33))</x:f>
        <x:v>1950.012245878169</x:v>
      </x:c>
      <x:c r="J11" s="32" t="n">
        <x:v>2.492979117817304</x:v>
      </x:c>
      <x:c r="K11" s="32" t="n">
        <x:f>IF(J11="","",(1/'Metadata'!$B$5)^(J11-1))</x:f>
        <x:v>31.115667200383843</x:v>
      </x:c>
      <x:c r="L11" s="31" t="n">
        <x:f>IF(E11=0,"",E11*K11)</x:f>
        <x:v>1562.5760751443033</x:v>
      </x:c>
      <x:c r="M11" s="31" t="n">
        <x:f>IF(E11=0,"",I11-L11)</x:f>
        <x:v>387.43617073386577</x:v>
      </x:c>
      <x:c r="N11" s="32" t="n">
        <x:f>IF(L11=0,"",I11/L11)</x:f>
        <x:v>1.2479470771994805</x:v>
      </x:c>
      <x:c r="O11" s="34" t="n">
        <x:f>IF(L11=0,"",M11/L11)</x:f>
        <x:v>0.24794707719948048</x:v>
      </x:c>
    </x:row>
    <x:row r="12" ht="18" customHeight="1">
      <x:c r="A12" s="24" t="str">
        <x:v>Small benthopelagics (&lt;30 cm)</x:v>
      </x:c>
      <x:c r="B12" s="33" t="n">
        <x:v>1</x:v>
      </x:c>
      <x:c r="C12" s="33" t="n">
        <x:v>1</x:v>
      </x:c>
      <x:c r="D12" s="31" t="n">
        <x:v>164.25046671</x:v>
      </x:c>
      <x:c r="E12" s="31" t="n">
        <x:v>164.25046671</x:v>
      </x:c>
      <x:c r="F12" s="32" t="n">
        <x:v>0</x:v>
      </x:c>
      <x:c r="G12" s="34" t="n">
        <x:v>1</x:v>
      </x:c>
      <x:c r="H12" s="32" t="n">
        <x:f>IF(E12=0,"",I12/E12)</x:f>
        <x:v>107.15193052376061</x:v>
      </x:c>
      <x:c r="I12" s="31" t="n">
        <x:f>IF(C12=0,"",SUMIF('Species'!$G$2:$G$33,A12,'Species'!$U$2:$U$33))</x:f>
        <x:v>17599.754597405175</x:v>
      </x:c>
      <x:c r="J12" s="32" t="n">
        <x:v>3.03</x:v>
      </x:c>
      <x:c r="K12" s="32" t="n">
        <x:f>IF(J12="","",(1/'Metadata'!$B$5)^(J12-1))</x:f>
        <x:v>107.1519305237606</x:v>
      </x:c>
      <x:c r="L12" s="31" t="n">
        <x:f>IF(E12=0,"",E12*K12)</x:f>
        <x:v>17599.754597405175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pelagics (&lt;30 cm)</x:v>
      </x:c>
      <x:c r="B13" s="33" t="n">
        <x:v>1</x:v>
      </x:c>
      <x:c r="C13" s="33" t="n">
        <x:v>1</x:v>
      </x:c>
      <x:c r="D13" s="31" t="n">
        <x:v>82.1252333601</x:v>
      </x:c>
      <x:c r="E13" s="31" t="n">
        <x:v>82.1252333601</x:v>
      </x:c>
      <x:c r="F13" s="32" t="n">
        <x:v>0</x:v>
      </x:c>
      <x:c r="G13" s="34" t="n">
        <x:v>1</x:v>
      </x:c>
      <x:c r="H13" s="32" t="n">
        <x:f>IF(E13=0,"",I13/E13)</x:f>
        <x:v>144.5439770745928</x:v>
      </x:c>
      <x:c r="I13" s="31" t="n">
        <x:f>IF(C13=0,"",SUMIF('Species'!$G$2:$G$33,A13,'Species'!$U$2:$U$33))</x:f>
        <x:v>11870.707848047878</x:v>
      </x:c>
      <x:c r="J13" s="32" t="n">
        <x:v>3.16</x:v>
      </x:c>
      <x:c r="K13" s="32" t="n">
        <x:f>IF(J13="","",(1/'Metadata'!$B$5)^(J13-1))</x:f>
        <x:v>144.5439770745928</x:v>
      </x:c>
      <x:c r="L13" s="31" t="n">
        <x:f>IF(E13=0,"",E13*K13)</x:f>
        <x:v>11870.707848047878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reef assoc. fish (&lt;30 cm)</x:v>
      </x:c>
      <x:c r="B14" s="33" t="n">
        <x:v>1</x:v>
      </x:c>
      <x:c r="C14" s="33" t="n">
        <x:v>1</x:v>
      </x:c>
      <x:c r="D14" s="31" t="n">
        <x:v>82.125233361</x:v>
      </x:c>
      <x:c r="E14" s="31" t="n">
        <x:v>82.125233361</x:v>
      </x:c>
      <x:c r="F14" s="32" t="n">
        <x:v>0</x:v>
      </x:c>
      <x:c r="G14" s="34" t="n">
        <x:v>1</x:v>
      </x:c>
      <x:c r="H14" s="32" t="n">
        <x:f>IF(E14=0,"",I14/E14)</x:f>
        <x:v>309.0295432513592</x:v>
      </x:c>
      <x:c r="I14" s="31" t="n">
        <x:f>IF(C14=0,"",SUMIF('Species'!$G$2:$G$33,A14,'Species'!$U$2:$U$33))</x:f>
        <x:v>25379.123354961117</x:v>
      </x:c>
      <x:c r="J14" s="32" t="n">
        <x:v>3.4900000000000007</x:v>
      </x:c>
      <x:c r="K14" s="32" t="n">
        <x:f>IF(J14="","",(1/'Metadata'!$B$5)^(J14-1))</x:f>
        <x:v>309.02954325135954</x:v>
      </x:c>
      <x:c r="L14" s="31" t="n">
        <x:f>IF(E14=0,"",E14*K14)</x:f>
        <x:v>25379.123354961146</x:v>
      </x:c>
      <x:c r="M14" s="31" t="n">
        <x:f>IF(E14=0,"",I14-L14)</x:f>
        <x:v>-2.9103830456733704e-11</x:v>
      </x:c>
      <x:c r="N14" s="32" t="n">
        <x:f>IF(L14=0,"",I14/L14)</x:f>
        <x:v>0.9999999999999989</x:v>
      </x:c>
      <x:c r="O14" s="34" t="n">
        <x:f>IF(L14=0,"",M14/L14)</x:f>
        <x:v>-1.1467626383180192e-15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817971a8bcd43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EEZ_092</x:v>
      </x:c>
      <x:c r="B2" s="24" t="str">
        <x:v>raw_filtered_tonnes</x:v>
      </x:c>
      <x:c r="C2" s="24" t="n">
        <x:v>4102.391159102101</x:v>
      </x:c>
      <x:c r="D2" s="24" t="str">
        <x:v>tonnes</x:v>
      </x:c>
    </x:row>
    <x:row r="3" ht="18" customHeight="1">
      <x:c r="A3" s="24" t="str">
        <x:v>EEZ_092</x:v>
      </x:c>
      <x:c r="B3" s="24" t="str">
        <x:v>species_catch_tonnes</x:v>
      </x:c>
      <x:c r="C3" s="24" t="n">
        <x:v>4102.3911591021</x:v>
      </x:c>
      <x:c r="D3" s="24" t="str">
        <x:v>tonnes</x:v>
      </x:c>
    </x:row>
    <x:row r="4" ht="18" customHeight="1">
      <x:c r="A4" s="24" t="str">
        <x:v>EEZ_092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EEZ_092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EEZ_092</x:v>
      </x:c>
      <x:c r="B6" s="24" t="str">
        <x:v>matched_catch_tonnes</x:v>
      </x:c>
      <x:c r="C6" s="24" t="n">
        <x:v>4102.3911591021</x:v>
      </x:c>
      <x:c r="D6" s="24" t="str">
        <x:v>tonnes</x:v>
      </x:c>
    </x:row>
    <x:row r="7" ht="18" customHeight="1">
      <x:c r="A7" s="24" t="str">
        <x:v>EEZ_092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EEZ_092</x:v>
      </x:c>
      <x:c r="B8" s="24" t="str">
        <x:v>taxa_count</x:v>
      </x:c>
      <x:c r="C8" s="24" t="n">
        <x:v>32</x:v>
      </x:c>
      <x:c r="D8" s="24" t="str">
        <x:v>count</x:v>
      </x:c>
    </x:row>
    <x:row r="9" ht="18" customHeight="1">
      <x:c r="A9" s="24" t="str">
        <x:v>EEZ_092</x:v>
      </x:c>
      <x:c r="B9" s="24" t="str">
        <x:v>matched_taxa_count</x:v>
      </x:c>
      <x:c r="C9" s="24" t="n">
        <x:v>32</x:v>
      </x:c>
      <x:c r="D9" s="24" t="str">
        <x:v>count</x:v>
      </x:c>
    </x:row>
    <x:row r="10" ht="18" customHeight="1">
      <x:c r="A10" s="24" t="str">
        <x:v>EEZ_092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EEZ_092</x:v>
      </x:c>
      <x:c r="B11" s="24" t="str">
        <x:v>species_ppr</x:v>
      </x:c>
      <x:c r="C11" s="24" t="n">
        <x:v>2636688.6764859944</x:v>
      </x:c>
      <x:c r="D11" s="24" t="str">
        <x:v>tonnes_primary_production_equivalent</x:v>
      </x:c>
    </x:row>
    <x:row r="12" ht="18" customHeight="1">
      <x:c r="A12" s="24" t="str">
        <x:v>EEZ_092</x:v>
      </x:c>
      <x:c r="B12" s="24" t="str">
        <x:v>commercial_ppr</x:v>
      </x:c>
      <x:c r="C12" s="24" t="n">
        <x:v>2636688.676485995</x:v>
      </x:c>
      <x:c r="D12" s="24" t="str">
        <x:v>tonnes_primary_production_equivalent</x:v>
      </x:c>
    </x:row>
    <x:row r="13" ht="18" customHeight="1">
      <x:c r="A13" s="24" t="str">
        <x:v>EEZ_092</x:v>
      </x:c>
      <x:c r="B13" s="24" t="str">
        <x:v>functional_ppr</x:v>
      </x:c>
      <x:c r="C13" s="24" t="n">
        <x:v>2636688.6764859944</x:v>
      </x:c>
      <x:c r="D13" s="24" t="str">
        <x:v>tonnes_primary_production_equivalent</x:v>
      </x:c>
    </x:row>
    <x:row r="14" ht="18" customHeight="1">
      <x:c r="A14" s="24" t="str">
        <x:v>EEZ_092</x:v>
      </x:c>
      <x:c r="B14" s="24" t="str">
        <x:v>commercial_ppr_difference</x:v>
      </x:c>
      <x:c r="C14" s="24" t="n">
        <x:v>4.656612873077393e-10</x:v>
      </x:c>
      <x:c r="D14" s="24" t="str">
        <x:v>tonnes_primary_production_equivalent</x:v>
      </x:c>
    </x:row>
    <x:row r="15" ht="18" customHeight="1">
      <x:c r="A15" s="24" t="str">
        <x:v>EEZ_092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EEZ_092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EEZ_092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EEZ_092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EEZ_092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2dd94d6523545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EEZ_092 - British Virgin Isl.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EEZ_092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raw_data/SAU_downloads/EEZ_092-catch.zip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