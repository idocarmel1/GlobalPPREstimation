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93eca1df7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363e604745d4f8a"/>
    <x:sheet xmlns:r="http://schemas.openxmlformats.org/officeDocument/2006/relationships" name="Commercial" sheetId="2" r:id="Ra2a09bc712884bb8"/>
    <x:sheet xmlns:r="http://schemas.openxmlformats.org/officeDocument/2006/relationships" name="Functional" sheetId="3" r:id="R31c3c3b00fa64fee"/>
    <x:sheet xmlns:r="http://schemas.openxmlformats.org/officeDocument/2006/relationships" name="Missing TL" sheetId="4" r:id="R0d862c082e3e4607"/>
    <x:sheet xmlns:r="http://schemas.openxmlformats.org/officeDocument/2006/relationships" name="Validation" sheetId="5" r:id="Rf629221cf21e4969"/>
    <x:sheet xmlns:r="http://schemas.openxmlformats.org/officeDocument/2006/relationships" name="Metadata" sheetId="6" r:id="Rd41238c6c96a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d6437c8254b02" /><Relationship Type="http://schemas.openxmlformats.org/officeDocument/2006/relationships/theme" Target="/xl/theme/theme1.xml" Id="Rc461d6423fac41d3" /><Relationship Type="http://schemas.microsoft.com/office/2022/11/relationships/FeaturePropertyBag" Target="/xl/featurePropertyBag/featurePropertyBag.xml" Id="Rf51ed620d00e493a" /><Relationship Type="http://schemas.openxmlformats.org/officeDocument/2006/relationships/sharedStrings" Target="/xl/sharedStrings.xml" Id="R4cf689a7142f4363" /><Relationship Type="http://schemas.openxmlformats.org/officeDocument/2006/relationships/worksheet" Target="/xl/worksheets/sheet1.xml" Id="Rb363e604745d4f8a" /><Relationship Type="http://schemas.openxmlformats.org/officeDocument/2006/relationships/worksheet" Target="/xl/worksheets/sheet2.xml" Id="Ra2a09bc712884bb8" /><Relationship Type="http://schemas.openxmlformats.org/officeDocument/2006/relationships/worksheet" Target="/xl/worksheets/sheet3.xml" Id="R31c3c3b00fa64fee" /><Relationship Type="http://schemas.openxmlformats.org/officeDocument/2006/relationships/worksheet" Target="/xl/worksheets/sheet4.xml" Id="R0d862c082e3e4607" /><Relationship Type="http://schemas.openxmlformats.org/officeDocument/2006/relationships/worksheet" Target="/xl/worksheets/sheet5.xml" Id="Rf629221cf21e4969" /><Relationship Type="http://schemas.openxmlformats.org/officeDocument/2006/relationships/worksheet" Target="/xl/worksheets/sheet6.xml" Id="Rd41238c6c96a48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17SpeciesTable" displayName="EEZ917SpeciesTable" ref="A1:U50" headerRowCount="1" totalsRowCount="0" totalsRowShown="0">
  <x:autoFilter ref="A1:U5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17CommercialTable" displayName="EEZ917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17FunctionalTable" displayName="EEZ917FunctionalTable" ref="A1:E17" headerRowCount="1" totalsRowCount="0" totalsRowShown="0">
  <x:autoFilter ref="A1:E1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17ValidationTable" displayName="EEZ91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7fd0d27b874f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8ae71236664b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e9cdd362cc48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5fdbe44bb447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EEZ_917</x:v>
      </x:c>
      <x:c r="B2" s="24" t="str">
        <x:v>Yemen (Arabian Sea)</x:v>
      </x:c>
      <x:c r="C2" s="24" t="str">
        <x:v>EEZ</x:v>
      </x:c>
      <x:c r="D2" s="30" t="n">
        <x:v>2019</x:v>
      </x:c>
      <x:c r="E2" s="24" t="str">
        <x:v>Clupeiformes</x:v>
      </x:c>
      <x:c r="F2" s="24" t="str">
        <x:v>Herrings, shads, anchovies</x:v>
      </x:c>
      <x:c r="G2" s="24" t="str">
        <x:v>Small pelagics (&lt;30 cm)</x:v>
      </x:c>
      <x:c r="H2" s="24" t="str">
        <x:v>Other fishes &amp; inverts</x:v>
      </x:c>
      <x:c r="I2" s="31" t="n">
        <x:v>113299.2030797145</x:v>
      </x:c>
      <x:c r="J2" s="31" t="n">
        <x:v>113277.4854387317</x:v>
      </x:c>
      <x:c r="K2" s="31" t="n">
        <x:v>21.7176409828</x:v>
      </x:c>
      <x:c r="L2" s="31" t="n">
        <x:v>0</x:v>
      </x:c>
      <x:c r="M2" s="31" t="n">
        <x:v>113299.2030797145</x:v>
      </x:c>
      <x:c r="N2" s="24" t="str">
        <x:v>clupeiformes</x:v>
      </x:c>
      <x:c r="O2" s="32" t="n">
        <x:v>3.24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Clupeiformes</x:v>
      </x:c>
      <x:c r="T2" s="32" t="n">
        <x:f>IF(O2="","",(1/'Metadata'!$B$5)^(O2-1))</x:f>
        <x:v>173.78008287493762</x:v>
      </x:c>
      <x:c r="U2" s="31" t="n">
        <x:f>IF(T2="","",I2*T2)</x:f>
        <x:v>19689144.900857173</x:v>
      </x:c>
    </x:row>
    <x:row r="3" ht="18" customHeight="1">
      <x:c r="A3" s="24" t="str">
        <x:v>EEZ_917</x:v>
      </x:c>
      <x:c r="B3" s="24" t="str">
        <x:v>Yemen (Arabian Sea)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67974.632141865</x:v>
      </x:c>
      <x:c r="J3" s="31" t="n">
        <x:v>67974.632141865</x:v>
      </x:c>
      <x:c r="K3" s="31" t="n">
        <x:v>0</x:v>
      </x:c>
      <x:c r="L3" s="31" t="n">
        <x:v>16120.5938071015</x:v>
      </x:c>
      <x:c r="M3" s="31" t="n">
        <x:v>51854.03833476349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174721707.79271472</x:v>
      </x:c>
    </x:row>
    <x:row r="4" ht="18" customHeight="1">
      <x:c r="A4" s="24" t="str">
        <x:v>EEZ_917</x:v>
      </x:c>
      <x:c r="B4" s="24" t="str">
        <x:v>Yemen (Arabian Sea)</x:v>
      </x:c>
      <x:c r="C4" s="24" t="str">
        <x:v>EEZ</x:v>
      </x:c>
      <x:c r="D4" s="30" t="n">
        <x:v>2019</x:v>
      </x:c>
      <x:c r="E4" s="24" t="str">
        <x:v>Sardinella longiceps</x:v>
      </x:c>
      <x:c r="F4" s="24" t="str">
        <x:v>Indian oil sardine</x:v>
      </x:c>
      <x:c r="G4" s="24" t="str">
        <x:v>Small pelagics (&lt;30 cm)</x:v>
      </x:c>
      <x:c r="H4" s="24" t="str">
        <x:v>Herring-likes</x:v>
      </x:c>
      <x:c r="I4" s="31" t="n">
        <x:v>27057.0441688626</x:v>
      </x:c>
      <x:c r="J4" s="31" t="n">
        <x:v>27057.0441688626</x:v>
      </x:c>
      <x:c r="K4" s="31" t="n">
        <x:v>0</x:v>
      </x:c>
      <x:c r="L4" s="31" t="n">
        <x:v>25233.5525616153</x:v>
      </x:c>
      <x:c r="M4" s="31" t="n">
        <x:v>1823.4916072473</x:v>
      </x:c>
      <x:c r="N4" s="24" t="str">
        <x:v>sardinella longiceps</x:v>
      </x:c>
      <x:c r="O4" s="32" t="n">
        <x:v>2.41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Sardinella longiceps</x:v>
      </x:c>
      <x:c r="T4" s="32" t="n">
        <x:f>IF(O4="","",(1/'Metadata'!$B$5)^(O4-1))</x:f>
        <x:v>25.703957827688647</x:v>
      </x:c>
      <x:c r="U4" s="31" t="n">
        <x:f>IF(T4="","",I4*T4)</x:f>
        <x:v>695473.1222583533</x:v>
      </x:c>
    </x:row>
    <x:row r="5" ht="18" customHeight="1">
      <x:c r="A5" s="24" t="str">
        <x:v>EEZ_917</x:v>
      </x:c>
      <x:c r="B5" s="24" t="str">
        <x:v>Yemen (Arabian Sea)</x:v>
      </x:c>
      <x:c r="C5" s="24" t="str">
        <x:v>EEZ</x:v>
      </x:c>
      <x:c r="D5" s="30" t="n">
        <x:v>2019</x:v>
      </x:c>
      <x:c r="E5" s="24" t="str">
        <x:v>Perciformes</x:v>
      </x:c>
      <x:c r="F5" s="24" t="str">
        <x:v>Perch-likes</x:v>
      </x:c>
      <x:c r="G5" s="24" t="str">
        <x:v>Medium demersals (30 - 89 cm)</x:v>
      </x:c>
      <x:c r="H5" s="24" t="str">
        <x:v>Perch-likes</x:v>
      </x:c>
      <x:c r="I5" s="31" t="n">
        <x:v>23689.708928528198</x:v>
      </x:c>
      <x:c r="J5" s="31" t="n">
        <x:v>23689.708928528198</x:v>
      </x:c>
      <x:c r="K5" s="31" t="n">
        <x:v>0</x:v>
      </x:c>
      <x:c r="L5" s="31" t="n">
        <x:v>23689.708928528198</x:v>
      </x:c>
      <x:c r="M5" s="31" t="n">
        <x:v>0</x:v>
      </x:c>
      <x:c r="N5" s="24" t="str">
        <x:v>perciformes</x:v>
      </x:c>
      <x:c r="O5" s="32" t="n">
        <x:v>3.53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Perciformes</x:v>
      </x:c>
      <x:c r="T5" s="32" t="n">
        <x:f>IF(O5="","",(1/'Metadata'!$B$5)^(O5-1))</x:f>
        <x:v>338.84415613920237</x:v>
      </x:c>
      <x:c r="U5" s="31" t="n">
        <x:f>IF(T5="","",I5*T5)</x:f>
        <x:v>8027119.431070466</x:v>
      </x:c>
    </x:row>
    <x:row r="6" ht="18" customHeight="1">
      <x:c r="A6" s="24" t="str">
        <x:v>EEZ_917</x:v>
      </x:c>
      <x:c r="B6" s="24" t="str">
        <x:v>Yemen (Arabian Sea)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13783.7489603247</x:v>
      </x:c>
      <x:c r="J6" s="31" t="n">
        <x:v>13544.8768638066</x:v>
      </x:c>
      <x:c r="K6" s="31" t="n">
        <x:v>238.8720965181</x:v>
      </x:c>
      <x:c r="L6" s="31" t="n">
        <x:v>2606.1866964888</x:v>
      </x:c>
      <x:c r="M6" s="31" t="n">
        <x:v>11177.5622638359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2626439.2190165455</x:v>
      </x:c>
    </x:row>
    <x:row r="7" ht="18" customHeight="1">
      <x:c r="A7" s="24" t="str">
        <x:v>EEZ_917</x:v>
      </x:c>
      <x:c r="B7" s="24" t="str">
        <x:v>Yemen (Arabian Sea)</x:v>
      </x:c>
      <x:c r="C7" s="24" t="str">
        <x:v>EEZ</x:v>
      </x:c>
      <x:c r="D7" s="30" t="n">
        <x:v>2019</x:v>
      </x:c>
      <x:c r="E7" s="24" t="str">
        <x:v>Carcharhinidae</x:v>
      </x:c>
      <x:c r="F7" s="24" t="str">
        <x:v>Requiem sharks</x:v>
      </x:c>
      <x:c r="G7" s="24" t="str">
        <x:v>Large sharks (&gt;=90 cm)</x:v>
      </x:c>
      <x:c r="H7" s="24" t="str">
        <x:v>Sharks &amp; rays</x:v>
      </x:c>
      <x:c r="I7" s="31" t="n">
        <x:v>10281.0554214914</x:v>
      </x:c>
      <x:c r="J7" s="31" t="n">
        <x:v>10281.0554214914</x:v>
      </x:c>
      <x:c r="K7" s="31" t="n">
        <x:v>0</x:v>
      </x:c>
      <x:c r="L7" s="31" t="n">
        <x:v>0</x:v>
      </x:c>
      <x:c r="M7" s="31" t="n">
        <x:v>10281.0554214914</x:v>
      </x:c>
      <x:c r="N7" s="24" t="str">
        <x:v>carcharhinidae</x:v>
      </x:c>
      <x:c r="O7" s="32" t="n">
        <x:v>4.24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Carcharhinidae</x:v>
      </x:c>
      <x:c r="T7" s="32" t="n">
        <x:f>IF(O7="","",(1/'Metadata'!$B$5)^(O7-1))</x:f>
        <x:v>1737.8008287493763</x:v>
      </x:c>
      <x:c r="U7" s="31" t="n">
        <x:f>IF(T7="","",I7*T7)</x:f>
        <x:v>17866426.63188602</x:v>
      </x:c>
    </x:row>
    <x:row r="8" ht="18" customHeight="1">
      <x:c r="A8" s="24" t="str">
        <x:v>EEZ_917</x:v>
      </x:c>
      <x:c r="B8" s="24" t="str">
        <x:v>Yemen (Arabian Sea)</x:v>
      </x:c>
      <x:c r="C8" s="24" t="str">
        <x:v>EEZ</x:v>
      </x:c>
      <x:c r="D8" s="30" t="n">
        <x:v>2019</x:v>
      </x:c>
      <x:c r="E8" s="24" t="str">
        <x:v>Sepiidae</x:v>
      </x:c>
      <x:c r="F8" s="24" t="str">
        <x:v>Cuttlefishes</x:v>
      </x:c>
      <x:c r="G8" s="24" t="str">
        <x:v>Cephalopods</x:v>
      </x:c>
      <x:c r="H8" s="24" t="str">
        <x:v>Other fishes &amp; inverts</x:v>
      </x:c>
      <x:c r="I8" s="31" t="n">
        <x:v>8935.7702476104</x:v>
      </x:c>
      <x:c r="J8" s="31" t="n">
        <x:v>8935.299457441699</x:v>
      </x:c>
      <x:c r="K8" s="31" t="n">
        <x:v>0.4707901687</x:v>
      </x:c>
      <x:c r="L8" s="31" t="n">
        <x:v>8028.857668575599</x:v>
      </x:c>
      <x:c r="M8" s="31" t="n">
        <x:v>906.9125790347999</x:v>
      </x:c>
      <x:c r="N8" s="24" t="str">
        <x:v>sepiidae</x:v>
      </x:c>
      <x:c r="O8" s="32" t="n">
        <x:v>3.6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Sepiidae</x:v>
      </x:c>
      <x:c r="T8" s="32" t="n">
        <x:f>IF(O8="","",(1/'Metadata'!$B$5)^(O8-1))</x:f>
        <x:v>398.1071705534973</x:v>
      </x:c>
      <x:c r="U8" s="31" t="n">
        <x:f>IF(T8="","",I8*T8)</x:f>
        <x:v>3557394.2099923007</x:v>
      </x:c>
    </x:row>
    <x:row r="9" ht="18" customHeight="1">
      <x:c r="A9" s="24" t="str">
        <x:v>EEZ_917</x:v>
      </x:c>
      <x:c r="B9" s="24" t="str">
        <x:v>Yemen (Arabian Sea)</x:v>
      </x:c>
      <x:c r="C9" s="24" t="str">
        <x:v>EEZ</x:v>
      </x:c>
      <x:c r="D9" s="30" t="n">
        <x:v>2019</x:v>
      </x:c>
      <x:c r="E9" s="24" t="str">
        <x:v>Rastrelliger kanagurta</x:v>
      </x:c>
      <x:c r="F9" s="24" t="str">
        <x:v>Indian mackerel</x:v>
      </x:c>
      <x:c r="G9" s="24" t="str">
        <x:v>Medium pelagics (30 - 89 cm)</x:v>
      </x:c>
      <x:c r="H9" s="24" t="str">
        <x:v>Perch-likes</x:v>
      </x:c>
      <x:c r="I9" s="31" t="n">
        <x:v>7695.23361217</x:v>
      </x:c>
      <x:c r="J9" s="31" t="n">
        <x:v>7695.23361217</x:v>
      </x:c>
      <x:c r="K9" s="31" t="n">
        <x:v>0</x:v>
      </x:c>
      <x:c r="L9" s="31" t="n">
        <x:v>6655.7805065111</x:v>
      </x:c>
      <x:c r="M9" s="31" t="n">
        <x:v>1039.4531056589</x:v>
      </x:c>
      <x:c r="N9" s="24" t="str">
        <x:v>rastrelliger kanagurta</x:v>
      </x:c>
      <x:c r="O9" s="32" t="n">
        <x:v>3.19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Rastrelliger kanagurta</x:v>
      </x:c>
      <x:c r="T9" s="32" t="n">
        <x:f>IF(O9="","",(1/'Metadata'!$B$5)^(O9-1))</x:f>
        <x:v>154.88166189124811</x:v>
      </x:c>
      <x:c r="U9" s="31" t="n">
        <x:f>IF(T9="","",I9*T9)</x:f>
        <x:v>1191850.5704942818</x:v>
      </x:c>
    </x:row>
    <x:row r="10" ht="18" customHeight="1">
      <x:c r="A10" s="24" t="str">
        <x:v>EEZ_917</x:v>
      </x:c>
      <x:c r="B10" s="24" t="str">
        <x:v>Yemen (Arabian Sea)</x:v>
      </x:c>
      <x:c r="C10" s="24" t="str">
        <x:v>EEZ</x:v>
      </x:c>
      <x:c r="D10" s="30" t="n">
        <x:v>2019</x:v>
      </x:c>
      <x:c r="E10" s="24" t="str">
        <x:v>Thunnus tonggol</x:v>
      </x:c>
      <x:c r="F10" s="24" t="str">
        <x:v>Longtail tuna</x:v>
      </x:c>
      <x:c r="G10" s="24" t="str">
        <x:v>Large pelagics (&gt;=90 cm)</x:v>
      </x:c>
      <x:c r="H10" s="24" t="str">
        <x:v>Tuna &amp; billfishes</x:v>
      </x:c>
      <x:c r="I10" s="31" t="n">
        <x:v>6738.073000779999</x:v>
      </x:c>
      <x:c r="J10" s="31" t="n">
        <x:v>6738.073000779999</x:v>
      </x:c>
      <x:c r="K10" s="31" t="n">
        <x:v>0</x:v>
      </x:c>
      <x:c r="L10" s="31" t="n">
        <x:v>2177.9050280154</x:v>
      </x:c>
      <x:c r="M10" s="31" t="n">
        <x:v>4560.1679727646</x:v>
      </x:c>
      <x:c r="N10" s="24" t="str">
        <x:v>thunnus tonggol</x:v>
      </x:c>
      <x:c r="O10" s="32" t="n">
        <x:v>4.5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tonggol</x:v>
      </x:c>
      <x:c r="T10" s="32" t="n">
        <x:f>IF(O10="","",(1/'Metadata'!$B$5)^(O10-1))</x:f>
        <x:v>3162.2776601683795</x:v>
      </x:c>
      <x:c r="U10" s="31" t="n">
        <x:f>IF(T10="","",I10*T10)</x:f>
        <x:v>21307657.72295031</x:v>
      </x:c>
    </x:row>
    <x:row r="11" ht="18" customHeight="1">
      <x:c r="A11" s="24" t="str">
        <x:v>EEZ_917</x:v>
      </x:c>
      <x:c r="B11" s="24" t="str">
        <x:v>Yemen (Arabian Sea)</x:v>
      </x:c>
      <x:c r="C11" s="24" t="str">
        <x:v>EEZ</x:v>
      </x:c>
      <x:c r="D11" s="30" t="n">
        <x:v>2019</x:v>
      </x:c>
      <x:c r="E11" s="24" t="str">
        <x:v>Euthynnus affinis</x:v>
      </x:c>
      <x:c r="F11" s="24" t="str">
        <x:v>Kawakawa</x:v>
      </x:c>
      <x:c r="G11" s="24" t="str">
        <x:v>Large pelagics (&gt;=90 cm)</x:v>
      </x:c>
      <x:c r="H11" s="24" t="str">
        <x:v>Tuna &amp; billfishes</x:v>
      </x:c>
      <x:c r="I11" s="31" t="n">
        <x:v>6318.4814511025</x:v>
      </x:c>
      <x:c r="J11" s="31" t="n">
        <x:v>6318.4814511025</x:v>
      </x:c>
      <x:c r="K11" s="31" t="n">
        <x:v>0</x:v>
      </x:c>
      <x:c r="L11" s="31" t="n">
        <x:v>3094.7148232238</x:v>
      </x:c>
      <x:c r="M11" s="31" t="n">
        <x:v>3223.7666278787</x:v>
      </x:c>
      <x:c r="N11" s="24" t="str">
        <x:v>euthynnus affinis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Euthynnus affinis</x:v>
      </x:c>
      <x:c r="T11" s="32" t="n">
        <x:f>IF(O11="","",(1/'Metadata'!$B$5)^(O11-1))</x:f>
        <x:v>3162.2776601683795</x:v>
      </x:c>
      <x:c r="U11" s="31" t="n">
        <x:f>IF(T11="","",I11*T11)</x:f>
        <x:v>19980792.73900972</x:v>
      </x:c>
    </x:row>
    <x:row r="12" ht="18" customHeight="1">
      <x:c r="A12" s="24" t="str">
        <x:v>EEZ_917</x:v>
      </x:c>
      <x:c r="B12" s="24" t="str">
        <x:v>Yemen (Arabian Sea)</x:v>
      </x:c>
      <x:c r="C12" s="24" t="str">
        <x:v>EEZ</x:v>
      </x:c>
      <x:c r="D12" s="30" t="n">
        <x:v>2019</x:v>
      </x:c>
      <x:c r="E12" s="24" t="str">
        <x:v>Elasmobranchii</x:v>
      </x:c>
      <x:c r="F12" s="24" t="str">
        <x:v>Sharks, rays, skates</x:v>
      </x:c>
      <x:c r="G12" s="24" t="str">
        <x:v>Large sharks (&gt;=90 cm)</x:v>
      </x:c>
      <x:c r="H12" s="24" t="str">
        <x:v>Sharks &amp; rays</x:v>
      </x:c>
      <x:c r="I12" s="31" t="n">
        <x:v>5979.5873939803</x:v>
      </x:c>
      <x:c r="J12" s="31" t="n">
        <x:v>5979.5873939803</x:v>
      </x:c>
      <x:c r="K12" s="31" t="n">
        <x:v>0</x:v>
      </x:c>
      <x:c r="L12" s="31" t="n">
        <x:v>5979.5873939803</x:v>
      </x:c>
      <x:c r="M12" s="31" t="n">
        <x:v>0</x:v>
      </x:c>
      <x:c r="N12" s="24" t="str">
        <x:v>elasmobranchii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Elasmobranchii</x:v>
      </x:c>
      <x:c r="T12" s="32" t="n">
        <x:f>IF(O12="","",(1/'Metadata'!$B$5)^(O12-1))</x:f>
        <x:v>1122.018454301963</x:v>
      </x:c>
      <x:c r="U12" s="31" t="n">
        <x:f>IF(T12="","",I12*T12)</x:f>
        <x:v>6709207.405157278</x:v>
      </x:c>
    </x:row>
    <x:row r="13" ht="18" customHeight="1">
      <x:c r="A13" s="24" t="str">
        <x:v>EEZ_917</x:v>
      </x:c>
      <x:c r="B13" s="24" t="str">
        <x:v>Yemen (Arabian Sea)</x:v>
      </x:c>
      <x:c r="C13" s="24" t="str">
        <x:v>EEZ</x:v>
      </x:c>
      <x:c r="D13" s="30" t="n">
        <x:v>2019</x:v>
      </x:c>
      <x:c r="E13" s="24" t="str">
        <x:v>Scomberomorus commerson</x:v>
      </x:c>
      <x:c r="F13" s="24" t="str">
        <x:v>Narrow-barred Spanish mackerel</x:v>
      </x:c>
      <x:c r="G13" s="24" t="str">
        <x:v>Large pelagics (&gt;=90 cm)</x:v>
      </x:c>
      <x:c r="H13" s="24" t="str">
        <x:v>Perch-likes</x:v>
      </x:c>
      <x:c r="I13" s="31" t="n">
        <x:v>5744.8568779536</x:v>
      </x:c>
      <x:c r="J13" s="31" t="n">
        <x:v>5744.8568779536</x:v>
      </x:c>
      <x:c r="K13" s="31" t="n">
        <x:v>0</x:v>
      </x:c>
      <x:c r="L13" s="31" t="n">
        <x:v>2730.2614576879</x:v>
      </x:c>
      <x:c r="M13" s="31" t="n">
        <x:v>3014.5954202657003</x:v>
      </x:c>
      <x:c r="N13" s="24" t="str">
        <x:v>scomberomorus commerson</x:v>
      </x:c>
      <x:c r="O13" s="32" t="n">
        <x:v>4.5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Scomberomorus commerson</x:v>
      </x:c>
      <x:c r="T13" s="32" t="n">
        <x:f>IF(O13="","",(1/'Metadata'!$B$5)^(O13-1))</x:f>
        <x:v>3162.2776601683795</x:v>
      </x:c>
      <x:c r="U13" s="31" t="n">
        <x:f>IF(T13="","",I13*T13)</x:f>
        <x:v>18166832.566017333</x:v>
      </x:c>
    </x:row>
    <x:row r="14" ht="18" customHeight="1">
      <x:c r="A14" s="24" t="str">
        <x:v>EEZ_917</x:v>
      </x:c>
      <x:c r="B14" s="24" t="str">
        <x:v>Yemen (Arabian Sea)</x:v>
      </x:c>
      <x:c r="C14" s="24" t="str">
        <x:v>EEZ</x:v>
      </x:c>
      <x:c r="D14" s="30" t="n">
        <x:v>2019</x:v>
      </x:c>
      <x:c r="E14" s="24" t="str">
        <x:v>Ariidae</x:v>
      </x:c>
      <x:c r="F14" s="24" t="str">
        <x:v>Sea catfishes, coblers</x:v>
      </x:c>
      <x:c r="G14" s="24" t="str">
        <x:v>Medium demersals (30 - 89 cm)</x:v>
      </x:c>
      <x:c r="H14" s="24" t="str">
        <x:v>Other fishes &amp; inverts</x:v>
      </x:c>
      <x:c r="I14" s="31" t="n">
        <x:v>2548.6490090441002</x:v>
      </x:c>
      <x:c r="J14" s="31" t="n">
        <x:v>2546.7446354498</x:v>
      </x:c>
      <x:c r="K14" s="31" t="n">
        <x:v>1.9043735943</x:v>
      </x:c>
      <x:c r="L14" s="31" t="n">
        <x:v>2546.7446354498</x:v>
      </x:c>
      <x:c r="M14" s="31" t="n">
        <x:v>1.9043735943</x:v>
      </x:c>
      <x:c r="N14" s="24" t="str">
        <x:v>ariidae</x:v>
      </x:c>
      <x:c r="O14" s="32" t="n">
        <x:v>3.48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Ariidae</x:v>
      </x:c>
      <x:c r="T14" s="32" t="n">
        <x:f>IF(O14="","",(1/'Metadata'!$B$5)^(O14-1))</x:f>
        <x:v>301.9951720402016</x:v>
      </x:c>
      <x:c r="U14" s="31" t="n">
        <x:f>IF(T14="","",I14*T14)</x:f>
        <x:v>769679.6959563624</x:v>
      </x:c>
    </x:row>
    <x:row r="15" ht="18" customHeight="1">
      <x:c r="A15" s="24" t="str">
        <x:v>EEZ_917</x:v>
      </x:c>
      <x:c r="B15" s="24" t="str">
        <x:v>Yemen (Arabian Sea)</x:v>
      </x:c>
      <x:c r="C15" s="24" t="str">
        <x:v>EEZ</x:v>
      </x:c>
      <x:c r="D15" s="30" t="n">
        <x:v>2019</x:v>
      </x:c>
      <x:c r="E15" s="24" t="str">
        <x:v>Katsuwonus pelamis</x:v>
      </x:c>
      <x:c r="F15" s="24" t="str">
        <x:v>Skipjack tuna</x:v>
      </x:c>
      <x:c r="G15" s="24" t="str">
        <x:v>Large pelagics (&gt;=90 cm)</x:v>
      </x:c>
      <x:c r="H15" s="24" t="str">
        <x:v>Tuna &amp; billfishes</x:v>
      </x:c>
      <x:c r="I15" s="31" t="n">
        <x:v>1999.9213565137</x:v>
      </x:c>
      <x:c r="J15" s="31" t="n">
        <x:v>1999.9213565137</x:v>
      </x:c>
      <x:c r="K15" s="31" t="n">
        <x:v>0</x:v>
      </x:c>
      <x:c r="L15" s="31" t="n">
        <x:v>1818.3264902396</x:v>
      </x:c>
      <x:c r="M15" s="31" t="n">
        <x:v>181.59486627409999</x:v>
      </x:c>
      <x:c r="N15" s="24" t="str">
        <x:v>katsuwonus pelamis</x:v>
      </x:c>
      <x:c r="O15" s="32" t="n">
        <x:v>4.43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Katsuwonus pelamis</x:v>
      </x:c>
      <x:c r="T15" s="32" t="n">
        <x:f>IF(O15="","",(1/'Metadata'!$B$5)^(O15-1))</x:f>
        <x:v>2691.534803926914</x:v>
      </x:c>
      <x:c r="U15" s="31" t="n">
        <x:f>IF(T15="","",I15*T15)</x:f>
        <x:v>5382857.936173349</x:v>
      </x:c>
    </x:row>
    <x:row r="16" ht="18" customHeight="1">
      <x:c r="A16" s="24" t="str">
        <x:v>EEZ_917</x:v>
      </x:c>
      <x:c r="B16" s="24" t="str">
        <x:v>Yemen (Arabian Sea)</x:v>
      </x:c>
      <x:c r="C16" s="24" t="str">
        <x:v>EEZ</x:v>
      </x:c>
      <x:c r="D16" s="30" t="n">
        <x:v>2019</x:v>
      </x:c>
      <x:c r="E16" s="24" t="str">
        <x:v>Sphyraenidae</x:v>
      </x:c>
      <x:c r="F16" s="24" t="str">
        <x:v>Barracudas</x:v>
      </x:c>
      <x:c r="G16" s="24" t="str">
        <x:v>Medium reef assoc. fish (30 - 89 cm)</x:v>
      </x:c>
      <x:c r="H16" s="24" t="str">
        <x:v>Perch-likes</x:v>
      </x:c>
      <x:c r="I16" s="31" t="n">
        <x:v>1951.2664398671</x:v>
      </x:c>
      <x:c r="J16" s="31" t="n">
        <x:v>1950.3151575446</x:v>
      </x:c>
      <x:c r="K16" s="31" t="n">
        <x:v>0.9512823225</x:v>
      </x:c>
      <x:c r="L16" s="31" t="n">
        <x:v>1950.3151575446</x:v>
      </x:c>
      <x:c r="M16" s="31" t="n">
        <x:v>0.9512823225</x:v>
      </x:c>
      <x:c r="N16" s="24" t="str">
        <x:v>sphyraenidae</x:v>
      </x:c>
      <x:c r="O16" s="32" t="n">
        <x:v>4.4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Sphyraenidae</x:v>
      </x:c>
      <x:c r="T16" s="32" t="n">
        <x:f>IF(O16="","",(1/'Metadata'!$B$5)^(O16-1))</x:f>
        <x:v>2511.886431509582</x:v>
      </x:c>
      <x:c r="U16" s="31" t="n">
        <x:f>IF(T16="","",I16*T16)</x:f>
        <x:v>4901359.694562176</x:v>
      </x:c>
    </x:row>
    <x:row r="17" ht="18" customHeight="1">
      <x:c r="A17" s="24" t="str">
        <x:v>EEZ_917</x:v>
      </x:c>
      <x:c r="B17" s="24" t="str">
        <x:v>Yemen (Arabian Sea)</x:v>
      </x:c>
      <x:c r="C17" s="24" t="str">
        <x:v>EEZ</x:v>
      </x:c>
      <x:c r="D17" s="30" t="n">
        <x:v>2019</x:v>
      </x:c>
      <x:c r="E17" s="24" t="str">
        <x:v>Caranx</x:v>
      </x:c>
      <x:c r="F17" s="24" t="str">
        <x:v>Jacks</x:v>
      </x:c>
      <x:c r="G17" s="24" t="str">
        <x:v>Medium reef assoc. fish (30 - 89 cm)</x:v>
      </x:c>
      <x:c r="H17" s="24" t="str">
        <x:v>Perch-likes</x:v>
      </x:c>
      <x:c r="I17" s="31" t="n">
        <x:v>1819.8744411540001</x:v>
      </x:c>
      <x:c r="J17" s="31" t="n">
        <x:v>1819.8744411540001</x:v>
      </x:c>
      <x:c r="K17" s="31" t="n">
        <x:v>0</x:v>
      </x:c>
      <x:c r="L17" s="31" t="n">
        <x:v>1819.8744411540001</x:v>
      </x:c>
      <x:c r="M17" s="31" t="n">
        <x:v>0</x:v>
      </x:c>
      <x:c r="N17" s="24" t="str">
        <x:v>caranx</x:v>
      </x:c>
      <x:c r="O17" s="32" t="n">
        <x:v>4.12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Caranx</x:v>
      </x:c>
      <x:c r="T17" s="32" t="n">
        <x:f>IF(O17="","",(1/'Metadata'!$B$5)^(O17-1))</x:f>
        <x:v>1318.2567385564075</x:v>
      </x:c>
      <x:c r="U17" s="31" t="n">
        <x:f>IF(T17="","",I17*T17)</x:f>
        <x:v>2399061.745377837</x:v>
      </x:c>
    </x:row>
    <x:row r="18" ht="18" customHeight="1">
      <x:c r="A18" s="24" t="str">
        <x:v>EEZ_917</x:v>
      </x:c>
      <x:c r="B18" s="24" t="str">
        <x:v>Yemen (Arabian Sea)</x:v>
      </x:c>
      <x:c r="C18" s="24" t="str">
        <x:v>EEZ</x:v>
      </x:c>
      <x:c r="D18" s="30" t="n">
        <x:v>2019</x:v>
      </x:c>
      <x:c r="E18" s="24" t="str">
        <x:v>Mullidae</x:v>
      </x:c>
      <x:c r="F18" s="24" t="str">
        <x:v>Goatfishes</x:v>
      </x:c>
      <x:c r="G18" s="24" t="str">
        <x:v>Medium reef assoc. fish (30 - 89 cm)</x:v>
      </x:c>
      <x:c r="H18" s="24" t="str">
        <x:v>Perch-likes</x:v>
      </x:c>
      <x:c r="I18" s="31" t="n">
        <x:v>1819.1023725077</x:v>
      </x:c>
      <x:c r="J18" s="31" t="n">
        <x:v>1797.3847315249</x:v>
      </x:c>
      <x:c r="K18" s="31" t="n">
        <x:v>21.7176409828</x:v>
      </x:c>
      <x:c r="L18" s="31" t="n">
        <x:v>1797.3847315249</x:v>
      </x:c>
      <x:c r="M18" s="31" t="n">
        <x:v>21.7176409828</x:v>
      </x:c>
      <x:c r="N18" s="24" t="str">
        <x:v>mullidae</x:v>
      </x:c>
      <x:c r="O18" s="32" t="n">
        <x:v>3.46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Mullidae</x:v>
      </x:c>
      <x:c r="T18" s="32" t="n">
        <x:f>IF(O18="","",(1/'Metadata'!$B$5)^(O18-1))</x:f>
        <x:v>288.40315031266056</x:v>
      </x:c>
      <x:c r="U18" s="31" t="n">
        <x:f>IF(T18="","",I18*T18)</x:f>
        <x:v>524634.8549724557</x:v>
      </x:c>
    </x:row>
    <x:row r="19" ht="18" customHeight="1">
      <x:c r="A19" s="24" t="str">
        <x:v>EEZ_917</x:v>
      </x:c>
      <x:c r="B19" s="24" t="str">
        <x:v>Yemen (Arabian Sea)</x:v>
      </x:c>
      <x:c r="C19" s="24" t="str">
        <x:v>EEZ</x:v>
      </x:c>
      <x:c r="D19" s="30" t="n">
        <x:v>2019</x:v>
      </x:c>
      <x:c r="E19" s="24" t="str">
        <x:v>Nemipteridae</x:v>
      </x:c>
      <x:c r="F19" s="24" t="str">
        <x:v>Threadfins, whiptail breams</x:v>
      </x:c>
      <x:c r="G19" s="24" t="str">
        <x:v>Small demersals (&lt;30 cm)</x:v>
      </x:c>
      <x:c r="H19" s="24" t="str">
        <x:v>Perch-likes</x:v>
      </x:c>
      <x:c r="I19" s="31" t="n">
        <x:v>1705.6263204039</x:v>
      </x:c>
      <x:c r="J19" s="31" t="n">
        <x:v>1705.6263204039</x:v>
      </x:c>
      <x:c r="K19" s="31" t="n">
        <x:v>0</x:v>
      </x:c>
      <x:c r="L19" s="31" t="n">
        <x:v>1705.6263204039</x:v>
      </x:c>
      <x:c r="M19" s="31" t="n">
        <x:v>0</x:v>
      </x:c>
      <x:c r="N19" s="24" t="str">
        <x:v>nemipteridae</x:v>
      </x:c>
      <x:c r="O19" s="32" t="n">
        <x:v>3.51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Nemipteridae</x:v>
      </x:c>
      <x:c r="T19" s="32" t="n">
        <x:f>IF(O19="","",(1/'Metadata'!$B$5)^(O19-1))</x:f>
        <x:v>323.5936569296281</x:v>
      </x:c>
      <x:c r="U19" s="31" t="n">
        <x:f>IF(T19="","",I19*T19)</x:f>
        <x:v>551929.8583749236</x:v>
      </x:c>
    </x:row>
    <x:row r="20" ht="18" customHeight="1">
      <x:c r="A20" s="24" t="str">
        <x:v>EEZ_917</x:v>
      </x:c>
      <x:c r="B20" s="24" t="str">
        <x:v>Yemen (Arabian Sea)</x:v>
      </x:c>
      <x:c r="C20" s="24" t="str">
        <x:v>EEZ</x:v>
      </x:c>
      <x:c r="D20" s="30" t="n">
        <x:v>2019</x:v>
      </x:c>
      <x:c r="E20" s="24" t="str">
        <x:v>Trichiurus lepturus</x:v>
      </x:c>
      <x:c r="F20" s="24" t="str">
        <x:v>Largehead hairtail</x:v>
      </x:c>
      <x:c r="G20" s="24" t="str">
        <x:v>Large benthopelagics (&gt;=90 cm)</x:v>
      </x:c>
      <x:c r="H20" s="24" t="str">
        <x:v>Perch-likes</x:v>
      </x:c>
      <x:c r="I20" s="31" t="n">
        <x:v>1605.7716114516002</x:v>
      </x:c>
      <x:c r="J20" s="31" t="n">
        <x:v>1605.7716114516002</x:v>
      </x:c>
      <x:c r="K20" s="31" t="n">
        <x:v>0</x:v>
      </x:c>
      <x:c r="L20" s="31" t="n">
        <x:v>1605.7716114516002</x:v>
      </x:c>
      <x:c r="M20" s="31" t="n">
        <x:v>0</x:v>
      </x:c>
      <x:c r="N20" s="24" t="str">
        <x:v>trichiurus lepturus</x:v>
      </x:c>
      <x:c r="O20" s="32" t="n">
        <x:v>4.42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Trichiurus lepturus</x:v>
      </x:c>
      <x:c r="T20" s="32" t="n">
        <x:f>IF(O20="","",(1/'Metadata'!$B$5)^(O20-1))</x:f>
        <x:v>2630.2679918953813</x:v>
      </x:c>
      <x:c r="U20" s="31" t="n">
        <x:f>IF(T20="","",I20*T20)</x:f>
        <x:v>4223609.671895411</x:v>
      </x:c>
    </x:row>
    <x:row r="21" ht="18" customHeight="1">
      <x:c r="A21" s="24" t="str">
        <x:v>EEZ_917</x:v>
      </x:c>
      <x:c r="B21" s="24" t="str">
        <x:v>Yemen (Arabian Sea)</x:v>
      </x:c>
      <x:c r="C21" s="24" t="str">
        <x:v>EEZ</x:v>
      </x:c>
      <x:c r="D21" s="30" t="n">
        <x:v>2019</x:v>
      </x:c>
      <x:c r="E21" s="24" t="str">
        <x:v>Xiphias gladius</x:v>
      </x:c>
      <x:c r="F21" s="24" t="str">
        <x:v>Swordfish</x:v>
      </x:c>
      <x:c r="G21" s="24" t="str">
        <x:v>Large pelagics (&gt;=90 cm)</x:v>
      </x:c>
      <x:c r="H21" s="24" t="str">
        <x:v>Tuna &amp; billfishes</x:v>
      </x:c>
      <x:c r="I21" s="31" t="n">
        <x:v>1605.281117975</x:v>
      </x:c>
      <x:c r="J21" s="31" t="n">
        <x:v>1605.281117975</x:v>
      </x:c>
      <x:c r="K21" s="31" t="n">
        <x:v>0</x:v>
      </x:c>
      <x:c r="L21" s="31" t="n">
        <x:v>1605.281117975</x:v>
      </x:c>
      <x:c r="M21" s="31" t="n">
        <x:v>0</x:v>
      </x:c>
      <x:c r="N21" s="24" t="str">
        <x:v>xiphias gladius</x:v>
      </x:c>
      <x:c r="O21" s="32" t="n">
        <x:v>4.53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Xiphias gladius</x:v>
      </x:c>
      <x:c r="T21" s="32" t="n">
        <x:f>IF(O21="","",(1/'Metadata'!$B$5)^(O21-1))</x:f>
        <x:v>3388.4415613920273</x:v>
      </x:c>
      <x:c r="U21" s="31" t="n">
        <x:f>IF(T21="","",I21*T21)</x:f>
        <x:v>5439401.257864348</x:v>
      </x:c>
    </x:row>
    <x:row r="22" ht="18" customHeight="1">
      <x:c r="A22" s="24" t="str">
        <x:v>EEZ_917</x:v>
      </x:c>
      <x:c r="B22" s="24" t="str">
        <x:v>Yemen (Arabian Sea)</x:v>
      </x:c>
      <x:c r="C22" s="24" t="str">
        <x:v>EEZ</x:v>
      </x:c>
      <x:c r="D22" s="30" t="n">
        <x:v>2019</x:v>
      </x:c>
      <x:c r="E22" s="24" t="str">
        <x:v>Leiognathidae</x:v>
      </x:c>
      <x:c r="F22" s="24" t="str">
        <x:v>Slipmouths, ponyfishes</x:v>
      </x:c>
      <x:c r="G22" s="24" t="str">
        <x:v>Small benthopelagics (&lt;30 cm)</x:v>
      </x:c>
      <x:c r="H22" s="24" t="str">
        <x:v>Perch-likes</x:v>
      </x:c>
      <x:c r="I22" s="31" t="n">
        <x:v>1346.3761922659</x:v>
      </x:c>
      <x:c r="J22" s="31" t="n">
        <x:v>0</x:v>
      </x:c>
      <x:c r="K22" s="31" t="n">
        <x:v>1346.3761922659</x:v>
      </x:c>
      <x:c r="L22" s="31" t="n">
        <x:v>0</x:v>
      </x:c>
      <x:c r="M22" s="31" t="n">
        <x:v>1346.3761922659</x:v>
      </x:c>
      <x:c r="N22" s="24" t="str">
        <x:v>leiognathidae</x:v>
      </x:c>
      <x:c r="O22" s="32" t="n">
        <x:v>3.24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Leiognathidae</x:v>
      </x:c>
      <x:c r="T22" s="32" t="n">
        <x:f>IF(O22="","",(1/'Metadata'!$B$5)^(O22-1))</x:f>
        <x:v>173.78008287493762</x:v>
      </x:c>
      <x:c r="U22" s="31" t="n">
        <x:f>IF(T22="","",I22*T22)</x:f>
        <x:v>233973.36627281105</x:v>
      </x:c>
    </x:row>
    <x:row r="23" ht="18" customHeight="1">
      <x:c r="A23" s="24" t="str">
        <x:v>EEZ_917</x:v>
      </x:c>
      <x:c r="B23" s="24" t="str">
        <x:v>Yemen (Arabian Sea)</x:v>
      </x:c>
      <x:c r="C23" s="24" t="str">
        <x:v>EEZ</x:v>
      </x:c>
      <x:c r="D23" s="30" t="n">
        <x:v>2019</x:v>
      </x:c>
      <x:c r="E23" s="24" t="str">
        <x:v>Lethrinidae</x:v>
      </x:c>
      <x:c r="F23" s="24" t="str">
        <x:v>Emperors, scavengers</x:v>
      </x:c>
      <x:c r="G23" s="24" t="str">
        <x:v>Medium reef assoc. fish (30 - 89 cm)</x:v>
      </x:c>
      <x:c r="H23" s="24" t="str">
        <x:v>Perch-likes</x:v>
      </x:c>
      <x:c r="I23" s="31" t="n">
        <x:v>1315.2033743745</x:v>
      </x:c>
      <x:c r="J23" s="31" t="n">
        <x:v>1315.2033743745</x:v>
      </x:c>
      <x:c r="K23" s="31" t="n">
        <x:v>0</x:v>
      </x:c>
      <x:c r="L23" s="31" t="n">
        <x:v>1315.2033743745</x:v>
      </x:c>
      <x:c r="M23" s="31" t="n">
        <x:v>0</x:v>
      </x:c>
      <x:c r="N23" s="24" t="str">
        <x:v>lethrinidae</x:v>
      </x:c>
      <x:c r="O23" s="32" t="n">
        <x:v>3.59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Lethrinidae</x:v>
      </x:c>
      <x:c r="T23" s="32" t="n">
        <x:f>IF(O23="","",(1/'Metadata'!$B$5)^(O23-1))</x:f>
        <x:v>389.04514499428046</x:v>
      </x:c>
      <x:c r="U23" s="31" t="n">
        <x:f>IF(T23="","",I23*T23)</x:f>
        <x:v>511673.4874804943</x:v>
      </x:c>
    </x:row>
    <x:row r="24" ht="18" customHeight="1">
      <x:c r="A24" s="24" t="str">
        <x:v>EEZ_917</x:v>
      </x:c>
      <x:c r="B24" s="24" t="str">
        <x:v>Yemen (Arabian Sea)</x:v>
      </x:c>
      <x:c r="C24" s="24" t="str">
        <x:v>EEZ</x:v>
      </x:c>
      <x:c r="D24" s="30" t="n">
        <x:v>2019</x:v>
      </x:c>
      <x:c r="E24" s="24" t="str">
        <x:v>Serranidae</x:v>
      </x:c>
      <x:c r="F24" s="24" t="str">
        <x:v>Basses, groupers, hinds</x:v>
      </x:c>
      <x:c r="G24" s="24" t="str">
        <x:v>Medium reef assoc. fish (30 - 89 cm)</x:v>
      </x:c>
      <x:c r="H24" s="24" t="str">
        <x:v>Perch-likes</x:v>
      </x:c>
      <x:c r="I24" s="31" t="n">
        <x:v>1277.4206610355</x:v>
      </x:c>
      <x:c r="J24" s="31" t="n">
        <x:v>1277.4206610355</x:v>
      </x:c>
      <x:c r="K24" s="31" t="n">
        <x:v>0</x:v>
      </x:c>
      <x:c r="L24" s="31" t="n">
        <x:v>1277.4206610355</x:v>
      </x:c>
      <x:c r="M24" s="31" t="n">
        <x:v>0</x:v>
      </x:c>
      <x:c r="N24" s="24" t="str">
        <x:v>serranidae</x:v>
      </x:c>
      <x:c r="O24" s="32" t="n">
        <x:v>3.98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Serranidae</x:v>
      </x:c>
      <x:c r="T24" s="32" t="n">
        <x:f>IF(O24="","",(1/'Metadata'!$B$5)^(O24-1))</x:f>
        <x:v>954.992586021436</x:v>
      </x:c>
      <x:c r="U24" s="31" t="n">
        <x:f>IF(T24="","",I24*T24)</x:f>
        <x:v>1219927.2605195043</x:v>
      </x:c>
    </x:row>
    <x:row r="25" ht="18" customHeight="1">
      <x:c r="A25" s="24" t="str">
        <x:v>EEZ_917</x:v>
      </x:c>
      <x:c r="B25" s="24" t="str">
        <x:v>Yemen (Arabian Sea)</x:v>
      </x:c>
      <x:c r="C25" s="24" t="str">
        <x:v>EEZ</x:v>
      </x:c>
      <x:c r="D25" s="30" t="n">
        <x:v>2019</x:v>
      </x:c>
      <x:c r="E25" s="24" t="str">
        <x:v>Psettodes erumei</x:v>
      </x:c>
      <x:c r="F25" s="24" t="str">
        <x:v>Indian halibut</x:v>
      </x:c>
      <x:c r="G25" s="24" t="str">
        <x:v>Small to medium flatfishes (&lt;90 cm)</x:v>
      </x:c>
      <x:c r="H25" s="24" t="str">
        <x:v>Flatfishes</x:v>
      </x:c>
      <x:c r="I25" s="31" t="n">
        <x:v>1149.8865117914</x:v>
      </x:c>
      <x:c r="J25" s="31" t="n">
        <x:v>1149.8865117914</x:v>
      </x:c>
      <x:c r="K25" s="31" t="n">
        <x:v>0</x:v>
      </x:c>
      <x:c r="L25" s="31" t="n">
        <x:v>1146.9795558878</x:v>
      </x:c>
      <x:c r="M25" s="31" t="n">
        <x:v>2.9069559036</x:v>
      </x:c>
      <x:c r="N25" s="24" t="str">
        <x:v>psettodes erumei</x:v>
      </x:c>
      <x:c r="O25" s="32" t="n">
        <x:v>4.39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Psettodes erumei</x:v>
      </x:c>
      <x:c r="T25" s="32" t="n">
        <x:f>IF(O25="","",(1/'Metadata'!$B$5)^(O25-1))</x:f>
        <x:v>2454.7089156850284</x:v>
      </x:c>
      <x:c r="U25" s="31" t="n">
        <x:f>IF(T25="","",I25*T25)</x:f>
        <x:v>2822636.672520307</x:v>
      </x:c>
    </x:row>
    <x:row r="26" ht="18" customHeight="1">
      <x:c r="A26" s="24" t="str">
        <x:v>EEZ_917</x:v>
      </x:c>
      <x:c r="B26" s="24" t="str">
        <x:v>Yemen (Arabian Sea)</x:v>
      </x:c>
      <x:c r="C26" s="24" t="str">
        <x:v>EEZ</x:v>
      </x:c>
      <x:c r="D26" s="30" t="n">
        <x:v>2019</x:v>
      </x:c>
      <x:c r="E26" s="24" t="str">
        <x:v>Istiophorus platypterus</x:v>
      </x:c>
      <x:c r="F26" s="24" t="str">
        <x:v>Indo-Pacific sailfish</x:v>
      </x:c>
      <x:c r="G26" s="24" t="str">
        <x:v>Large pelagics (&gt;=90 cm)</x:v>
      </x:c>
      <x:c r="H26" s="24" t="str">
        <x:v>Tuna &amp; billfishes</x:v>
      </x:c>
      <x:c r="I26" s="31" t="n">
        <x:v>893.7543794300999</x:v>
      </x:c>
      <x:c r="J26" s="31" t="n">
        <x:v>893.7543794300999</x:v>
      </x:c>
      <x:c r="K26" s="31" t="n">
        <x:v>0</x:v>
      </x:c>
      <x:c r="L26" s="31" t="n">
        <x:v>176.14748601559998</x:v>
      </x:c>
      <x:c r="M26" s="31" t="n">
        <x:v>717.6068934145</x:v>
      </x:c>
      <x:c r="N26" s="24" t="str">
        <x:v>istiophorus platypterus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Istiophorus platypterus</x:v>
      </x:c>
      <x:c r="T26" s="32" t="n">
        <x:f>IF(O26="","",(1/'Metadata'!$B$5)^(O26-1))</x:f>
        <x:v>3162.2776601683795</x:v>
      </x:c>
      <x:c r="U26" s="31" t="n">
        <x:f>IF(T26="","",I26*T26)</x:f>
        <x:v>2826299.5077494583</x:v>
      </x:c>
    </x:row>
    <x:row r="27" ht="18" customHeight="1">
      <x:c r="A27" s="24" t="str">
        <x:v>EEZ_917</x:v>
      </x:c>
      <x:c r="B27" s="24" t="str">
        <x:v>Yemen (Arabian Sea)</x:v>
      </x:c>
      <x:c r="C27" s="24" t="str">
        <x:v>EEZ</x:v>
      </x:c>
      <x:c r="D27" s="30" t="n">
        <x:v>2019</x:v>
      </x:c>
      <x:c r="E27" s="24" t="str">
        <x:v>Lutjanidae</x:v>
      </x:c>
      <x:c r="F27" s="24" t="str">
        <x:v>Snappers</x:v>
      </x:c>
      <x:c r="G27" s="24" t="str">
        <x:v>Medium reef assoc. fish (30 - 89 cm)</x:v>
      </x:c>
      <x:c r="H27" s="24" t="str">
        <x:v>Perch-likes</x:v>
      </x:c>
      <x:c r="I27" s="31" t="n">
        <x:v>864.5076165268</x:v>
      </x:c>
      <x:c r="J27" s="31" t="n">
        <x:v>864.5076165268</x:v>
      </x:c>
      <x:c r="K27" s="31" t="n">
        <x:v>0</x:v>
      </x:c>
      <x:c r="L27" s="31" t="n">
        <x:v>864.5076165268</x:v>
      </x:c>
      <x:c r="M27" s="31" t="n">
        <x:v>0</x:v>
      </x:c>
      <x:c r="N27" s="24" t="str">
        <x:v>lutjanidae</x:v>
      </x:c>
      <x:c r="O27" s="32" t="n">
        <x:v>4.02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Lutjanidae</x:v>
      </x:c>
      <x:c r="T27" s="32" t="n">
        <x:f>IF(O27="","",(1/'Metadata'!$B$5)^(O27-1))</x:f>
        <x:v>1047.1285480508984</x:v>
      </x:c>
      <x:c r="U27" s="31" t="n">
        <x:f>IF(T27="","",I27*T27)</x:f>
        <x:v>905250.605272651</x:v>
      </x:c>
    </x:row>
    <x:row r="28" ht="18" customHeight="1">
      <x:c r="A28" s="24" t="str">
        <x:v>EEZ_917</x:v>
      </x:c>
      <x:c r="B28" s="24" t="str">
        <x:v>Yemen (Arabian Sea)</x:v>
      </x:c>
      <x:c r="C28" s="24" t="str">
        <x:v>EEZ</x:v>
      </x:c>
      <x:c r="D28" s="30" t="n">
        <x:v>2019</x:v>
      </x:c>
      <x:c r="E28" s="24" t="str">
        <x:v>Caesionidae</x:v>
      </x:c>
      <x:c r="F28" s="24" t="str">
        <x:v>Fusiliers</x:v>
      </x:c>
      <x:c r="G28" s="24" t="str">
        <x:v>Medium reef assoc. fish (30 - 89 cm)</x:v>
      </x:c>
      <x:c r="H28" s="24" t="str">
        <x:v>Perch-likes</x:v>
      </x:c>
      <x:c r="I28" s="31" t="n">
        <x:v>864.5076165265</x:v>
      </x:c>
      <x:c r="J28" s="31" t="n">
        <x:v>864.5076165265</x:v>
      </x:c>
      <x:c r="K28" s="31" t="n">
        <x:v>0</x:v>
      </x:c>
      <x:c r="L28" s="31" t="n">
        <x:v>864.5076165265</x:v>
      </x:c>
      <x:c r="M28" s="31" t="n">
        <x:v>0</x:v>
      </x:c>
      <x:c r="N28" s="24" t="str">
        <x:v>caesionidae</x:v>
      </x:c>
      <x:c r="O28" s="32" t="n">
        <x:v>3.39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Caesionidae</x:v>
      </x:c>
      <x:c r="T28" s="32" t="n">
        <x:f>IF(O28="","",(1/'Metadata'!$B$5)^(O28-1))</x:f>
        <x:v>245.4708915685031</x:v>
      </x:c>
      <x:c r="U28" s="31" t="n">
        <x:f>IF(T28="","",I28*T28)</x:f>
        <x:v>212211.45539652155</x:v>
      </x:c>
    </x:row>
    <x:row r="29" ht="18" customHeight="1">
      <x:c r="A29" s="24" t="str">
        <x:v>EEZ_917</x:v>
      </x:c>
      <x:c r="B29" s="24" t="str">
        <x:v>Yemen (Arabian Sea)</x:v>
      </x:c>
      <x:c r="C29" s="24" t="str">
        <x:v>EEZ</x:v>
      </x:c>
      <x:c r="D29" s="30" t="n">
        <x:v>2019</x:v>
      </x:c>
      <x:c r="E29" s="24" t="str">
        <x:v>Penaeidae</x:v>
      </x:c>
      <x:c r="F29" s="24" t="str">
        <x:v>Commercial shrimps and prawns</x:v>
      </x:c>
      <x:c r="G29" s="24" t="str">
        <x:v>Shrimps</x:v>
      </x:c>
      <x:c r="H29" s="24" t="str">
        <x:v>Crustaceans</x:v>
      </x:c>
      <x:c r="I29" s="31" t="n">
        <x:v>749.3599039594</x:v>
      </x:c>
      <x:c r="J29" s="31" t="n">
        <x:v>749.3599039594</x:v>
      </x:c>
      <x:c r="K29" s="31" t="n">
        <x:v>0</x:v>
      </x:c>
      <x:c r="L29" s="31" t="n">
        <x:v>749.3599039594</x:v>
      </x:c>
      <x:c r="M29" s="31" t="n">
        <x:v>0</x:v>
      </x:c>
      <x:c r="N29" s="24" t="str">
        <x:v>penaeidae</x:v>
      </x:c>
      <x:c r="O29" s="32" t="n">
        <x:v>3.31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Penaeidae</x:v>
      </x:c>
      <x:c r="T29" s="32" t="n">
        <x:f>IF(O29="","",(1/'Metadata'!$B$5)^(O29-1))</x:f>
        <x:v>204.17379446695296</x:v>
      </x:c>
      <x:c r="U29" s="31" t="n">
        <x:f>IF(T29="","",I29*T29)</x:f>
        <x:v>152999.65501278214</x:v>
      </x:c>
    </x:row>
    <x:row r="30" ht="18" customHeight="1">
      <x:c r="A30" s="24" t="str">
        <x:v>EEZ_917</x:v>
      </x:c>
      <x:c r="B30" s="24" t="str">
        <x:v>Yemen (Arabian Sea)</x:v>
      </x:c>
      <x:c r="C30" s="24" t="str">
        <x:v>EEZ</x:v>
      </x:c>
      <x:c r="D30" s="30" t="n">
        <x:v>2019</x:v>
      </x:c>
      <x:c r="E30" s="24" t="str">
        <x:v>Saurida</x:v>
      </x:c>
      <x:c r="F30" s="24" t="str">
        <x:v>Lizardfishes</x:v>
      </x:c>
      <x:c r="G30" s="24" t="str">
        <x:v>Medium demersals (30 - 89 cm)</x:v>
      </x:c>
      <x:c r="H30" s="24" t="str">
        <x:v>Other fishes &amp; inverts</x:v>
      </x:c>
      <x:c r="I30" s="31" t="n">
        <x:v>703.4808927437001</x:v>
      </x:c>
      <x:c r="J30" s="31" t="n">
        <x:v>703.4808927437001</x:v>
      </x:c>
      <x:c r="K30" s="31" t="n">
        <x:v>0</x:v>
      </x:c>
      <x:c r="L30" s="31" t="n">
        <x:v>703.4808927437001</x:v>
      </x:c>
      <x:c r="M30" s="31" t="n">
        <x:v>0</x:v>
      </x:c>
      <x:c r="N30" s="24" t="str">
        <x:v>saurida</x:v>
      </x:c>
      <x:c r="O30" s="32" t="n">
        <x:v>4.35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Saurida</x:v>
      </x:c>
      <x:c r="T30" s="32" t="n">
        <x:f>IF(O30="","",(1/'Metadata'!$B$5)^(O30-1))</x:f>
        <x:v>2238.7211385683377</x:v>
      </x:c>
      <x:c r="U30" s="31" t="n">
        <x:f>IF(T30="","",I30*T30)</x:f>
        <x:v>1574897.545164247</x:v>
      </x:c>
    </x:row>
    <x:row r="31" ht="18" customHeight="1">
      <x:c r="A31" s="24" t="str">
        <x:v>EEZ_917</x:v>
      </x:c>
      <x:c r="B31" s="24" t="str">
        <x:v>Yemen (Arabian Sea)</x:v>
      </x:c>
      <x:c r="C31" s="24" t="str">
        <x:v>EEZ</x:v>
      </x:c>
      <x:c r="D31" s="30" t="n">
        <x:v>2019</x:v>
      </x:c>
      <x:c r="E31" s="24" t="str">
        <x:v>Haemulidae</x:v>
      </x:c>
      <x:c r="F31" s="24" t="str">
        <x:v>Grunts, sweetlips, bonnetmouths</x:v>
      </x:c>
      <x:c r="G31" s="24" t="str">
        <x:v>Medium demersals (30 - 89 cm)</x:v>
      </x:c>
      <x:c r="H31" s="24" t="str">
        <x:v>Perch-likes</x:v>
      </x:c>
      <x:c r="I31" s="31" t="n">
        <x:v>669.9759078721</x:v>
      </x:c>
      <x:c r="J31" s="31" t="n">
        <x:v>665.6981794642</x:v>
      </x:c>
      <x:c r="K31" s="31" t="n">
        <x:v>4.2777284079</x:v>
      </x:c>
      <x:c r="L31" s="31" t="n">
        <x:v>665.6981794642</x:v>
      </x:c>
      <x:c r="M31" s="31" t="n">
        <x:v>4.2777284079</x:v>
      </x:c>
      <x:c r="N31" s="24" t="str">
        <x:v>haemulidae</x:v>
      </x:c>
      <x:c r="O31" s="32" t="n">
        <x:v>3.36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Haemulidae</x:v>
      </x:c>
      <x:c r="T31" s="32" t="n">
        <x:f>IF(O31="","",(1/'Metadata'!$B$5)^(O31-1))</x:f>
        <x:v>229.08676527677724</x:v>
      </x:c>
      <x:c r="U31" s="31" t="n">
        <x:f>IF(T31="","",I31*T31)</x:f>
        <x:v>153482.61354779152</x:v>
      </x:c>
    </x:row>
    <x:row r="32" ht="18" customHeight="1">
      <x:c r="A32" s="24" t="str">
        <x:v>EEZ_917</x:v>
      </x:c>
      <x:c r="B32" s="24" t="str">
        <x:v>Yemen (Arabian Sea)</x:v>
      </x:c>
      <x:c r="C32" s="24" t="str">
        <x:v>EEZ</x:v>
      </x:c>
      <x:c r="D32" s="30" t="n">
        <x:v>2019</x:v>
      </x:c>
      <x:c r="E32" s="24" t="str">
        <x:v>Auxis thazard</x:v>
      </x:c>
      <x:c r="F32" s="24" t="str">
        <x:v>Frigate tuna</x:v>
      </x:c>
      <x:c r="G32" s="24" t="str">
        <x:v>Medium pelagics (30 - 89 cm)</x:v>
      </x:c>
      <x:c r="H32" s="24" t="str">
        <x:v>Tuna &amp; billfishes</x:v>
      </x:c>
      <x:c r="I32" s="31" t="n">
        <x:v>507.7163519964</x:v>
      </x:c>
      <x:c r="J32" s="31" t="n">
        <x:v>507.7163519964</x:v>
      </x:c>
      <x:c r="K32" s="31" t="n">
        <x:v>0</x:v>
      </x:c>
      <x:c r="L32" s="31" t="n">
        <x:v>13.3272363733</x:v>
      </x:c>
      <x:c r="M32" s="31" t="n">
        <x:v>494.3891156231</x:v>
      </x:c>
      <x:c r="N32" s="24" t="str">
        <x:v>auxis thazard</x:v>
      </x:c>
      <x:c r="O32" s="32" t="n">
        <x:v>4.37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Auxis thazard</x:v>
      </x:c>
      <x:c r="T32" s="32" t="n">
        <x:f>IF(O32="","",(1/'Metadata'!$B$5)^(O32-1))</x:f>
        <x:v>2344.228815319923</x:v>
      </x:c>
      <x:c r="U32" s="31" t="n">
        <x:f>IF(T32="","",I32*T32)</x:f>
        <x:v>1190203.302359074</x:v>
      </x:c>
    </x:row>
    <x:row r="33" ht="18" customHeight="1">
      <x:c r="A33" s="24" t="str">
        <x:v>EEZ_917</x:v>
      </x:c>
      <x:c r="B33" s="24" t="str">
        <x:v>Yemen (Arabian Sea)</x:v>
      </x:c>
      <x:c r="C33" s="24" t="str">
        <x:v>EEZ</x:v>
      </x:c>
      <x:c r="D33" s="30" t="n">
        <x:v>2019</x:v>
      </x:c>
      <x:c r="E33" s="24" t="str">
        <x:v>Rachycentron canadum</x:v>
      </x:c>
      <x:c r="F33" s="24" t="str">
        <x:v>Cobia</x:v>
      </x:c>
      <x:c r="G33" s="24" t="str">
        <x:v>Large pelagics (&gt;=90 cm)</x:v>
      </x:c>
      <x:c r="H33" s="24" t="str">
        <x:v>Perch-likes</x:v>
      </x:c>
      <x:c r="I33" s="31" t="n">
        <x:v>283.37153128890003</x:v>
      </x:c>
      <x:c r="J33" s="31" t="n">
        <x:v>283.37153128890003</x:v>
      </x:c>
      <x:c r="K33" s="31" t="n">
        <x:v>0</x:v>
      </x:c>
      <x:c r="L33" s="31" t="n">
        <x:v>283.37153128890003</x:v>
      </x:c>
      <x:c r="M33" s="31" t="n">
        <x:v>0</x:v>
      </x:c>
      <x:c r="N33" s="24" t="str">
        <x:v>rachycentron canadum</x:v>
      </x:c>
      <x:c r="O33" s="32" t="n">
        <x:v>3.96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Rachycentron canadum</x:v>
      </x:c>
      <x:c r="T33" s="32" t="n">
        <x:f>IF(O33="","",(1/'Metadata'!$B$5)^(O33-1))</x:f>
        <x:v>912.0108393559096</x:v>
      </x:c>
      <x:c r="U33" s="31" t="n">
        <x:f>IF(T33="","",I33*T33)</x:f>
        <x:v>258437.9081003591</x:v>
      </x:c>
    </x:row>
    <x:row r="34" ht="18" customHeight="1">
      <x:c r="A34" s="24" t="str">
        <x:v>EEZ_917</x:v>
      </x:c>
      <x:c r="B34" s="24" t="str">
        <x:v>Yemen (Arabian Sea)</x:v>
      </x:c>
      <x:c r="C34" s="24" t="str">
        <x:v>EEZ</x:v>
      </x:c>
      <x:c r="D34" s="30" t="n">
        <x:v>2019</x:v>
      </x:c>
      <x:c r="E34" s="24" t="str">
        <x:v>Scombridae</x:v>
      </x:c>
      <x:c r="F34" s="24" t="str">
        <x:v>Mackerels, tunas, bonitos</x:v>
      </x:c>
      <x:c r="G34" s="24" t="str">
        <x:v>Medium pelagics (30 - 89 cm)</x:v>
      </x:c>
      <x:c r="H34" s="24" t="str">
        <x:v>Perch-likes</x:v>
      </x:c>
      <x:c r="I34" s="31" t="n">
        <x:v>275.2752333384</x:v>
      </x:c>
      <x:c r="J34" s="31" t="n">
        <x:v>275.2752333384</x:v>
      </x:c>
      <x:c r="K34" s="31" t="n">
        <x:v>0</x:v>
      </x:c>
      <x:c r="L34" s="31" t="n">
        <x:v>275.2752333384</x:v>
      </x:c>
      <x:c r="M34" s="31" t="n">
        <x:v>0</x:v>
      </x:c>
      <x:c r="N34" s="24" t="str">
        <x:v>scombridae</x:v>
      </x:c>
      <x:c r="O34" s="32" t="n">
        <x:v>4.26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Scombridae</x:v>
      </x:c>
      <x:c r="T34" s="32" t="n">
        <x:f>IF(O34="","",(1/'Metadata'!$B$5)^(O34-1))</x:f>
        <x:v>1819.7008586099826</x:v>
      </x:c>
      <x:c r="U34" s="31" t="n">
        <x:f>IF(T34="","",I34*T34)</x:f>
        <x:v>500918.5784599498</x:v>
      </x:c>
    </x:row>
    <x:row r="35" ht="18" customHeight="1">
      <x:c r="A35" s="24" t="str">
        <x:v>EEZ_917</x:v>
      </x:c>
      <x:c r="B35" s="24" t="str">
        <x:v>Yemen (Arabian Sea)</x:v>
      </x:c>
      <x:c r="C35" s="24" t="str">
        <x:v>EEZ</x:v>
      </x:c>
      <x:c r="D35" s="30" t="n">
        <x:v>2019</x:v>
      </x:c>
      <x:c r="E35" s="24" t="str">
        <x:v>Panulirus homarus</x:v>
      </x:c>
      <x:c r="F35" s="24" t="str">
        <x:v>Scalloped spiny lobster</x:v>
      </x:c>
      <x:c r="G35" s="24" t="str">
        <x:v>Lobsters, crabs</x:v>
      </x:c>
      <x:c r="H35" s="24" t="str">
        <x:v>Crustaceans</x:v>
      </x:c>
      <x:c r="I35" s="31" t="n">
        <x:v>181.7207882403</x:v>
      </x:c>
      <x:c r="J35" s="31" t="n">
        <x:v>181.7207882403</x:v>
      </x:c>
      <x:c r="K35" s="31" t="n">
        <x:v>0</x:v>
      </x:c>
      <x:c r="L35" s="31" t="n">
        <x:v>145.73371962879997</x:v>
      </x:c>
      <x:c r="M35" s="31" t="n">
        <x:v>35.9870686115</x:v>
      </x:c>
      <x:c r="N35" s="24" t="str">
        <x:v>panulirus homarus</x:v>
      </x:c>
      <x:c r="O35" s="32" t="n">
        <x:v>3.33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Panulirus homarus</x:v>
      </x:c>
      <x:c r="T35" s="32" t="n">
        <x:f>IF(O35="","",(1/'Metadata'!$B$5)^(O35-1))</x:f>
        <x:v>213.79620895022325</x:v>
      </x:c>
      <x:c r="U35" s="31" t="n">
        <x:f>IF(T35="","",I35*T35)</x:f>
        <x:v>38851.215613222455</x:v>
      </x:c>
    </x:row>
    <x:row r="36" ht="18" customHeight="1">
      <x:c r="A36" s="24" t="str">
        <x:v>EEZ_917</x:v>
      </x:c>
      <x:c r="B36" s="24" t="str">
        <x:v>Yemen (Arabian Sea)</x:v>
      </x:c>
      <x:c r="C36" s="24" t="str">
        <x:v>EEZ</x:v>
      </x:c>
      <x:c r="D36" s="30" t="n">
        <x:v>2019</x:v>
      </x:c>
      <x:c r="E36" s="24" t="str">
        <x:v>Terapon</x:v>
      </x:c>
      <x:c r="F36" s="24" t="str">
        <x:v>Terapons</x:v>
      </x:c>
      <x:c r="G36" s="24" t="str">
        <x:v>Medium demersals (30 - 89 cm)</x:v>
      </x:c>
      <x:c r="H36" s="24" t="str">
        <x:v>Perch-likes</x:v>
      </x:c>
      <x:c r="I36" s="31" t="n">
        <x:v>152.0060111084</x:v>
      </x:c>
      <x:c r="J36" s="31" t="n">
        <x:v>0</x:v>
      </x:c>
      <x:c r="K36" s="31" t="n">
        <x:v>152.0060111084</x:v>
      </x:c>
      <x:c r="L36" s="31" t="n">
        <x:v>0</x:v>
      </x:c>
      <x:c r="M36" s="31" t="n">
        <x:v>152.0060111084</x:v>
      </x:c>
      <x:c r="N36" s="24" t="str">
        <x:v>terapon</x:v>
      </x:c>
      <x:c r="O36" s="32" t="n">
        <x:v>3.5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Terapon</x:v>
      </x:c>
      <x:c r="T36" s="32" t="n">
        <x:f>IF(O36="","",(1/'Metadata'!$B$5)^(O36-1))</x:f>
        <x:v>316.22776601683796</x:v>
      </x:c>
      <x:c r="U36" s="31" t="n">
        <x:f>IF(T36="","",I36*T36)</x:f>
        <x:v>48068.521313939986</x:v>
      </x:c>
    </x:row>
    <x:row r="37" ht="18" customHeight="1">
      <x:c r="A37" s="24" t="str">
        <x:v>EEZ_917</x:v>
      </x:c>
      <x:c r="B37" s="24" t="str">
        <x:v>Yemen (Arabian Sea)</x:v>
      </x:c>
      <x:c r="C37" s="24" t="str">
        <x:v>EEZ</x:v>
      </x:c>
      <x:c r="D37" s="30" t="n">
        <x:v>2019</x:v>
      </x:c>
      <x:c r="E37" s="24" t="str">
        <x:v>Trichiuridae</x:v>
      </x:c>
      <x:c r="F37" s="24" t="str">
        <x:v>Cutlassfishes</x:v>
      </x:c>
      <x:c r="G37" s="24" t="str">
        <x:v>Large benthopelagics (&gt;=90 cm)</x:v>
      </x:c>
      <x:c r="H37" s="24" t="str">
        <x:v>Perch-likes</x:v>
      </x:c>
      <x:c r="I37" s="31" t="n">
        <x:v>86.8611879984</x:v>
      </x:c>
      <x:c r="J37" s="31" t="n">
        <x:v>0</x:v>
      </x:c>
      <x:c r="K37" s="31" t="n">
        <x:v>86.8611879984</x:v>
      </x:c>
      <x:c r="L37" s="31" t="n">
        <x:v>0</x:v>
      </x:c>
      <x:c r="M37" s="31" t="n">
        <x:v>86.8611879984</x:v>
      </x:c>
      <x:c r="N37" s="24" t="str">
        <x:v>trichiuridae</x:v>
      </x:c>
      <x:c r="O37" s="32" t="n">
        <x:v>4.15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Trichiuridae</x:v>
      </x:c>
      <x:c r="T37" s="32" t="n">
        <x:f>IF(O37="","",(1/'Metadata'!$B$5)^(O37-1))</x:f>
        <x:v>1412.5375446227554</x:v>
      </x:c>
      <x:c r="U37" s="31" t="n">
        <x:f>IF(T37="","",I37*T37)</x:f>
        <x:v>122694.68921827548</x:v>
      </x:c>
    </x:row>
    <x:row r="38" ht="18" customHeight="1">
      <x:c r="A38" s="24" t="str">
        <x:v>EEZ_917</x:v>
      </x:c>
      <x:c r="B38" s="24" t="str">
        <x:v>Yemen (Arabian Sea)</x:v>
      </x:c>
      <x:c r="C38" s="24" t="str">
        <x:v>EEZ</x:v>
      </x:c>
      <x:c r="D38" s="30" t="n">
        <x:v>2019</x:v>
      </x:c>
      <x:c r="E38" s="24" t="str">
        <x:v>Gerreidae</x:v>
      </x:c>
      <x:c r="F38" s="24" t="str">
        <x:v>Mojarras, silverbellies</x:v>
      </x:c>
      <x:c r="G38" s="24" t="str">
        <x:v>Small benthopelagics (&lt;30 cm)</x:v>
      </x:c>
      <x:c r="H38" s="24" t="str">
        <x:v>Perch-likes</x:v>
      </x:c>
      <x:c r="I38" s="31" t="n">
        <x:v>86.8611879984</x:v>
      </x:c>
      <x:c r="J38" s="31" t="n">
        <x:v>0</x:v>
      </x:c>
      <x:c r="K38" s="31" t="n">
        <x:v>86.8611879984</x:v>
      </x:c>
      <x:c r="L38" s="31" t="n">
        <x:v>0</x:v>
      </x:c>
      <x:c r="M38" s="31" t="n">
        <x:v>86.8611879984</x:v>
      </x:c>
      <x:c r="N38" s="24" t="str">
        <x:v>gerreidae</x:v>
      </x:c>
      <x:c r="O38" s="32" t="n">
        <x:v>3.03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Gerreidae</x:v>
      </x:c>
      <x:c r="T38" s="32" t="n">
        <x:f>IF(O38="","",(1/'Metadata'!$B$5)^(O38-1))</x:f>
        <x:v>107.1519305237606</x:v>
      </x:c>
      <x:c r="U38" s="31" t="n">
        <x:f>IF(T38="","",I38*T38)</x:f>
        <x:v>9307.343981615864</x:v>
      </x:c>
    </x:row>
    <x:row r="39" ht="18" customHeight="1">
      <x:c r="A39" s="24" t="str">
        <x:v>EEZ_917</x:v>
      </x:c>
      <x:c r="B39" s="24" t="str">
        <x:v>Yemen (Arabian Sea)</x:v>
      </x:c>
      <x:c r="C39" s="24" t="str">
        <x:v>EEZ</x:v>
      </x:c>
      <x:c r="D39" s="30" t="n">
        <x:v>2019</x:v>
      </x:c>
      <x:c r="E39" s="24" t="str">
        <x:v>Octopus</x:v>
      </x:c>
      <x:c r="F39" s="24" t="str">
        <x:v>Octopuses, pikas</x:v>
      </x:c>
      <x:c r="G39" s="24" t="str">
        <x:v>Cephalopods</x:v>
      </x:c>
      <x:c r="H39" s="24" t="str">
        <x:v>Other fishes &amp; inverts</x:v>
      </x:c>
      <x:c r="I39" s="31" t="n">
        <x:v>73.38754972630001</x:v>
      </x:c>
      <x:c r="J39" s="31" t="n">
        <x:v>73.38754972630001</x:v>
      </x:c>
      <x:c r="K39" s="31" t="n">
        <x:v>0</x:v>
      </x:c>
      <x:c r="L39" s="31" t="n">
        <x:v>16.2782672847</x:v>
      </x:c>
      <x:c r="M39" s="31" t="n">
        <x:v>57.109282441599994</x:v>
      </x:c>
      <x:c r="N39" s="24" t="str">
        <x:v>octopus</x:v>
      </x:c>
      <x:c r="O39" s="32" t="n">
        <x:v>3.8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Octopus</x:v>
      </x:c>
      <x:c r="T39" s="32" t="n">
        <x:f>IF(O39="","",(1/'Metadata'!$B$5)^(O39-1))</x:f>
        <x:v>630.957344480193</x:v>
      </x:c>
      <x:c r="U39" s="31" t="n">
        <x:f>IF(T39="","",I39*T39)</x:f>
        <x:v>46304.41349321437</x:v>
      </x:c>
    </x:row>
    <x:row r="40" ht="18" customHeight="1">
      <x:c r="A40" s="24" t="str">
        <x:v>EEZ_917</x:v>
      </x:c>
      <x:c r="B40" s="24" t="str">
        <x:v>Yemen (Arabian Sea)</x:v>
      </x:c>
      <x:c r="C40" s="24" t="str">
        <x:v>EEZ</x:v>
      </x:c>
      <x:c r="D40" s="30" t="n">
        <x:v>2019</x:v>
      </x:c>
      <x:c r="E40" s="24" t="str">
        <x:v>Mollusca</x:v>
      </x:c>
      <x:c r="F40" s="24" t="str">
        <x:v>Clams, seasnails, squids, octopuses</x:v>
      </x:c>
      <x:c r="G40" s="24" t="str">
        <x:v>Other demersal invertebrates</x:v>
      </x:c>
      <x:c r="H40" s="24" t="str">
        <x:v>Molluscs</x:v>
      </x:c>
      <x:c r="I40" s="31" t="n">
        <x:v>55.0446501412</x:v>
      </x:c>
      <x:c r="J40" s="31" t="n">
        <x:v>55.0446501412</x:v>
      </x:c>
      <x:c r="K40" s="31" t="n">
        <x:v>0</x:v>
      </x:c>
      <x:c r="L40" s="31" t="n">
        <x:v>55.0446501412</x:v>
      </x:c>
      <x:c r="M40" s="31" t="n">
        <x:v>0</x:v>
      </x:c>
      <x:c r="N40" s="24" t="str">
        <x:v>mollusca</x:v>
      </x:c>
      <x:c r="O40" s="32" t="n">
        <x:v>2.1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Mollusca</x:v>
      </x:c>
      <x:c r="T40" s="32" t="n">
        <x:f>IF(O40="","",(1/'Metadata'!$B$5)^(O40-1))</x:f>
        <x:v>12.589254117941675</x:v>
      </x:c>
      <x:c r="U40" s="31" t="n">
        <x:f>IF(T40="","",I40*T40)</x:f>
        <x:v>692.9710884607609</x:v>
      </x:c>
    </x:row>
    <x:row r="41" ht="18" customHeight="1">
      <x:c r="A41" s="24" t="str">
        <x:v>EEZ_917</x:v>
      </x:c>
      <x:c r="B41" s="24" t="str">
        <x:v>Yemen (Arabian Sea)</x:v>
      </x:c>
      <x:c r="C41" s="24" t="str">
        <x:v>EEZ</x:v>
      </x:c>
      <x:c r="D41" s="30" t="n">
        <x:v>2019</x:v>
      </x:c>
      <x:c r="E41" s="24" t="str">
        <x:v>Decapoda</x:v>
      </x:c>
      <x:c r="F41" s="24" t="str">
        <x:v>Crabs, lobsters, shrimps</x:v>
      </x:c>
      <x:c r="G41" s="24" t="str">
        <x:v>Lobsters, crabs</x:v>
      </x:c>
      <x:c r="H41" s="24" t="str">
        <x:v>Crustaceans</x:v>
      </x:c>
      <x:c r="I41" s="31" t="n">
        <x:v>43.4271821272</x:v>
      </x:c>
      <x:c r="J41" s="31" t="n">
        <x:v>0</x:v>
      </x:c>
      <x:c r="K41" s="31" t="n">
        <x:v>43.4271821272</x:v>
      </x:c>
      <x:c r="L41" s="31" t="n">
        <x:v>0</x:v>
      </x:c>
      <x:c r="M41" s="31" t="n">
        <x:v>43.4271821272</x:v>
      </x:c>
      <x:c r="N41" s="24" t="str">
        <x:v>decapoda</x:v>
      </x:c>
      <x:c r="O41" s="32" t="n">
        <x:v>3.43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Decapoda</x:v>
      </x:c>
      <x:c r="T41" s="32" t="n">
        <x:f>IF(O41="","",(1/'Metadata'!$B$5)^(O41-1))</x:f>
        <x:v>269.1534803926917</x:v>
      </x:c>
      <x:c r="U41" s="31" t="n">
        <x:f>IF(T41="","",I41*T41)</x:f>
        <x:v>11688.577213183175</x:v>
      </x:c>
    </x:row>
    <x:row r="42" ht="18" customHeight="1">
      <x:c r="A42" s="24" t="str">
        <x:v>EEZ_917</x:v>
      </x:c>
      <x:c r="B42" s="24" t="str">
        <x:v>Yemen (Arabian Sea)</x:v>
      </x:c>
      <x:c r="C42" s="24" t="str">
        <x:v>EEZ</x:v>
      </x:c>
      <x:c r="D42" s="30" t="n">
        <x:v>2019</x:v>
      </x:c>
      <x:c r="E42" s="24" t="str">
        <x:v>Soleidae</x:v>
      </x:c>
      <x:c r="F42" s="24" t="str">
        <x:v>Soles</x:v>
      </x:c>
      <x:c r="G42" s="24" t="str">
        <x:v>Small to medium flatfishes (&lt;90 cm)</x:v>
      </x:c>
      <x:c r="H42" s="24" t="str">
        <x:v>Flatfishes</x:v>
      </x:c>
      <x:c r="I42" s="31" t="n">
        <x:v>43.4271821272</x:v>
      </x:c>
      <x:c r="J42" s="31" t="n">
        <x:v>0</x:v>
      </x:c>
      <x:c r="K42" s="31" t="n">
        <x:v>43.4271821272</x:v>
      </x:c>
      <x:c r="L42" s="31" t="n">
        <x:v>0</x:v>
      </x:c>
      <x:c r="M42" s="31" t="n">
        <x:v>43.4271821272</x:v>
      </x:c>
      <x:c r="N42" s="24" t="str">
        <x:v>soleidae</x:v>
      </x:c>
      <x:c r="O42" s="32" t="n">
        <x:v>3.15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Soleidae</x:v>
      </x:c>
      <x:c r="T42" s="32" t="n">
        <x:f>IF(O42="","",(1/'Metadata'!$B$5)^(O42-1))</x:f>
        <x:v>141.2537544622754</x:v>
      </x:c>
      <x:c r="U42" s="31" t="n">
        <x:f>IF(T42="","",I42*T42)</x:f>
        <x:v>6134.252521184023</x:v>
      </x:c>
    </x:row>
    <x:row r="43" ht="18" customHeight="1">
      <x:c r="A43" s="24" t="str">
        <x:v>EEZ_917</x:v>
      </x:c>
      <x:c r="B43" s="24" t="str">
        <x:v>Yemen (Arabian Sea)</x:v>
      </x:c>
      <x:c r="C43" s="24" t="str">
        <x:v>EEZ</x:v>
      </x:c>
      <x:c r="D43" s="30" t="n">
        <x:v>2019</x:v>
      </x:c>
      <x:c r="E43" s="24" t="str">
        <x:v>Tetraodontidae</x:v>
      </x:c>
      <x:c r="F43" s="24" t="str">
        <x:v>Puffers, tobies</x:v>
      </x:c>
      <x:c r="G43" s="24" t="str">
        <x:v>Large reef assoc. fish (&gt;=90 cm)</x:v>
      </x:c>
      <x:c r="H43" s="24" t="str">
        <x:v>Other fishes &amp; inverts</x:v>
      </x:c>
      <x:c r="I43" s="31" t="n">
        <x:v>43.4271821272</x:v>
      </x:c>
      <x:c r="J43" s="31" t="n">
        <x:v>0</x:v>
      </x:c>
      <x:c r="K43" s="31" t="n">
        <x:v>43.4271821272</x:v>
      </x:c>
      <x:c r="L43" s="31" t="n">
        <x:v>0</x:v>
      </x:c>
      <x:c r="M43" s="31" t="n">
        <x:v>43.4271821272</x:v>
      </x:c>
      <x:c r="N43" s="24" t="str">
        <x:v>tetraodontidae</x:v>
      </x:c>
      <x:c r="O43" s="32" t="n">
        <x:v>3.5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Tetraodontidae</x:v>
      </x:c>
      <x:c r="T43" s="32" t="n">
        <x:f>IF(O43="","",(1/'Metadata'!$B$5)^(O43-1))</x:f>
        <x:v>316.22776601683796</x:v>
      </x:c>
      <x:c r="U43" s="31" t="n">
        <x:f>IF(T43="","",I43*T43)</x:f>
        <x:v>13732.88078849081</x:v>
      </x:c>
    </x:row>
    <x:row r="44" ht="18" customHeight="1">
      <x:c r="A44" s="24" t="str">
        <x:v>EEZ_917</x:v>
      </x:c>
      <x:c r="B44" s="24" t="str">
        <x:v>Yemen (Arabian Sea)</x:v>
      </x:c>
      <x:c r="C44" s="24" t="str">
        <x:v>EEZ</x:v>
      </x:c>
      <x:c r="D44" s="30" t="n">
        <x:v>2019</x:v>
      </x:c>
      <x:c r="E44" s="24" t="str">
        <x:v>Platycephalidae</x:v>
      </x:c>
      <x:c r="F44" s="24" t="str">
        <x:v>Flatheads</x:v>
      </x:c>
      <x:c r="G44" s="24" t="str">
        <x:v>Medium demersals (30 - 89 cm)</x:v>
      </x:c>
      <x:c r="H44" s="24" t="str">
        <x:v>Scorpionfishes</x:v>
      </x:c>
      <x:c r="I44" s="31" t="n">
        <x:v>43.4271821272</x:v>
      </x:c>
      <x:c r="J44" s="31" t="n">
        <x:v>0</x:v>
      </x:c>
      <x:c r="K44" s="31" t="n">
        <x:v>43.4271821272</x:v>
      </x:c>
      <x:c r="L44" s="31" t="n">
        <x:v>0</x:v>
      </x:c>
      <x:c r="M44" s="31" t="n">
        <x:v>43.4271821272</x:v>
      </x:c>
      <x:c r="N44" s="24" t="str">
        <x:v>platycephalidae</x:v>
      </x:c>
      <x:c r="O44" s="32" t="n">
        <x:v>3.9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Platycephalidae</x:v>
      </x:c>
      <x:c r="T44" s="32" t="n">
        <x:f>IF(O44="","",(1/'Metadata'!$B$5)^(O44-1))</x:f>
        <x:v>794.3282347242813</x:v>
      </x:c>
      <x:c r="U44" s="31" t="n">
        <x:f>IF(T44="","",I44*T44)</x:f>
        <x:v>34495.43691814863</x:v>
      </x:c>
    </x:row>
    <x:row r="45" ht="18" customHeight="1">
      <x:c r="A45" s="24" t="str">
        <x:v>EEZ_917</x:v>
      </x:c>
      <x:c r="B45" s="24" t="str">
        <x:v>Yemen (Arabian Sea)</x:v>
      </x:c>
      <x:c r="C45" s="24" t="str">
        <x:v>EEZ</x:v>
      </x:c>
      <x:c r="D45" s="30" t="n">
        <x:v>2019</x:v>
      </x:c>
      <x:c r="E45" s="24" t="str">
        <x:v>Parastromateus niger</x:v>
      </x:c>
      <x:c r="F45" s="24" t="str">
        <x:v>Black pomfret</x:v>
      </x:c>
      <x:c r="G45" s="24" t="str">
        <x:v>Medium benthopelagics (30 - 89 cm)</x:v>
      </x:c>
      <x:c r="H45" s="24" t="str">
        <x:v>Perch-likes</x:v>
      </x:c>
      <x:c r="I45" s="31" t="n">
        <x:v>43.4271821272</x:v>
      </x:c>
      <x:c r="J45" s="31" t="n">
        <x:v>0</x:v>
      </x:c>
      <x:c r="K45" s="31" t="n">
        <x:v>43.4271821272</x:v>
      </x:c>
      <x:c r="L45" s="31" t="n">
        <x:v>0</x:v>
      </x:c>
      <x:c r="M45" s="31" t="n">
        <x:v>43.4271821272</x:v>
      </x:c>
      <x:c r="N45" s="24" t="str">
        <x:v>parastromateus niger</x:v>
      </x:c>
      <x:c r="O45" s="32" t="n">
        <x:v>2.93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Parastromateus niger</x:v>
      </x:c>
      <x:c r="T45" s="32" t="n">
        <x:f>IF(O45="","",(1/'Metadata'!$B$5)^(O45-1))</x:f>
        <x:v>85.11380382023768</x:v>
      </x:c>
      <x:c r="U45" s="31" t="n">
        <x:f>IF(T45="","",I45*T45)</x:f>
        <x:v>3696.2526600402325</x:v>
      </x:c>
    </x:row>
    <x:row r="46" ht="18" customHeight="1">
      <x:c r="A46" s="24" t="str">
        <x:v>EEZ_917</x:v>
      </x:c>
      <x:c r="B46" s="24" t="str">
        <x:v>Yemen (Arabian Sea)</x:v>
      </x:c>
      <x:c r="C46" s="24" t="str">
        <x:v>EEZ</x:v>
      </x:c>
      <x:c r="D46" s="30" t="n">
        <x:v>2019</x:v>
      </x:c>
      <x:c r="E46" s="24" t="str">
        <x:v>Holothuroidea</x:v>
      </x:c>
      <x:c r="F46" s="24" t="str">
        <x:v>Sea cucumbers</x:v>
      </x:c>
      <x:c r="G46" s="24" t="str">
        <x:v>Other demersal invertebrates</x:v>
      </x:c>
      <x:c r="H46" s="24" t="str">
        <x:v>Other fishes &amp; inverts</x:v>
      </x:c>
      <x:c r="I46" s="31" t="n">
        <x:v>20.4350957727</x:v>
      </x:c>
      <x:c r="J46" s="31" t="n">
        <x:v>20.4350957727</x:v>
      </x:c>
      <x:c r="K46" s="31" t="n">
        <x:v>0</x:v>
      </x:c>
      <x:c r="L46" s="31" t="n">
        <x:v>20.4350957727</x:v>
      </x:c>
      <x:c r="M46" s="31" t="n">
        <x:v>0</x:v>
      </x:c>
      <x:c r="N46" s="24" t="str">
        <x:v>holothuroidea</x:v>
      </x:c>
      <x:c r="O46" s="32" t="n">
        <x:v>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Holothuroidea</x:v>
      </x:c>
      <x:c r="T46" s="32" t="n">
        <x:f>IF(O46="","",(1/'Metadata'!$B$5)^(O46-1))</x:f>
        <x:v>10</x:v>
      </x:c>
      <x:c r="U46" s="31" t="n">
        <x:f>IF(T46="","",I46*T46)</x:f>
        <x:v>204.35095772699998</x:v>
      </x:c>
    </x:row>
    <x:row r="47" ht="18" customHeight="1">
      <x:c r="A47" s="24" t="str">
        <x:v>EEZ_917</x:v>
      </x:c>
      <x:c r="B47" s="24" t="str">
        <x:v>Yemen (Arabian Sea)</x:v>
      </x:c>
      <x:c r="C47" s="24" t="str">
        <x:v>EEZ</x:v>
      </x:c>
      <x:c r="D47" s="30" t="n">
        <x:v>2019</x:v>
      </x:c>
      <x:c r="E47" s="24" t="str">
        <x:v>Platycaranx malabaricus</x:v>
      </x:c>
      <x:c r="F47" s="24" t="str">
        <x:v>Malabar trevally</x:v>
      </x:c>
      <x:c r="G47" s="24" t="str">
        <x:v>Medium reef assoc. fish (30 - 89 cm)</x:v>
      </x:c>
      <x:c r="H47" s="24" t="str">
        <x:v>Perch-likes</x:v>
      </x:c>
      <x:c r="I47" s="31" t="n">
        <x:v>14.2790226594</x:v>
      </x:c>
      <x:c r="J47" s="31" t="n">
        <x:v>0</x:v>
      </x:c>
      <x:c r="K47" s="31" t="n">
        <x:v>14.2790226594</x:v>
      </x:c>
      <x:c r="L47" s="31" t="n">
        <x:v>0</x:v>
      </x:c>
      <x:c r="M47" s="31" t="n">
        <x:v>14.2790226594</x:v>
      </x:c>
      <x:c r="N47" s="24" t="str">
        <x:v>platycaranx malabaricus</x:v>
      </x:c>
      <x:c r="O47" s="32" t="n">
        <x:v>3.88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Platycaranx malabaricus</x:v>
      </x:c>
      <x:c r="T47" s="32" t="n">
        <x:f>IF(O47="","",(1/'Metadata'!$B$5)^(O47-1))</x:f>
        <x:v>758.5775750291835</x:v>
      </x:c>
      <x:c r="U47" s="31" t="n">
        <x:f>IF(T47="","",I47*T47)</x:f>
        <x:v>10831.746382754416</x:v>
      </x:c>
    </x:row>
    <x:row r="48" ht="18" customHeight="1">
      <x:c r="A48" s="24" t="str">
        <x:v>EEZ_917</x:v>
      </x:c>
      <x:c r="B48" s="24" t="str">
        <x:v>Yemen (Arabian Sea)</x:v>
      </x:c>
      <x:c r="C48" s="24" t="str">
        <x:v>EEZ</x:v>
      </x:c>
      <x:c r="D48" s="30" t="n">
        <x:v>2019</x:v>
      </x:c>
      <x:c r="E48" s="24" t="str">
        <x:v>Synodontidae</x:v>
      </x:c>
      <x:c r="F48" s="24" t="str">
        <x:v>Lizardfishes, sauries</x:v>
      </x:c>
      <x:c r="G48" s="24" t="str">
        <x:v>Medium demersals (30 - 89 cm)</x:v>
      </x:c>
      <x:c r="H48" s="24" t="str">
        <x:v>Other fishes &amp; inverts</x:v>
      </x:c>
      <x:c r="I48" s="31" t="n">
        <x:v>13.3225202917</x:v>
      </x:c>
      <x:c r="J48" s="31" t="n">
        <x:v>0</x:v>
      </x:c>
      <x:c r="K48" s="31" t="n">
        <x:v>13.3225202917</x:v>
      </x:c>
      <x:c r="L48" s="31" t="n">
        <x:v>0</x:v>
      </x:c>
      <x:c r="M48" s="31" t="n">
        <x:v>13.3225202917</x:v>
      </x:c>
      <x:c r="N48" s="24" t="str">
        <x:v>synodontidae</x:v>
      </x:c>
      <x:c r="O48" s="32" t="n">
        <x:v>4.3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Synodontidae</x:v>
      </x:c>
      <x:c r="T48" s="32" t="n">
        <x:f>IF(O48="","",(1/'Metadata'!$B$5)^(O48-1))</x:f>
        <x:v>1995.2623149688789</x:v>
      </x:c>
      <x:c r="U48" s="31" t="n">
        <x:f>IF(T48="","",I48*T48)</x:f>
        <x:v>26581.922678437204</x:v>
      </x:c>
    </x:row>
    <x:row r="49" ht="18" customHeight="1">
      <x:c r="A49" s="24" t="str">
        <x:v>EEZ_917</x:v>
      </x:c>
      <x:c r="B49" s="24" t="str">
        <x:v>Yemen (Arabian Sea)</x:v>
      </x:c>
      <x:c r="C49" s="24" t="str">
        <x:v>EEZ</x:v>
      </x:c>
      <x:c r="D49" s="30" t="n">
        <x:v>2019</x:v>
      </x:c>
      <x:c r="E49" s="24" t="str">
        <x:v>Nemipterus</x:v>
      </x:c>
      <x:c r="F49" s="24" t="str">
        <x:v>Threadfin breams</x:v>
      </x:c>
      <x:c r="G49" s="24" t="str">
        <x:v>Small demersals (&lt;30 cm)</x:v>
      </x:c>
      <x:c r="H49" s="24" t="str">
        <x:v>Perch-likes</x:v>
      </x:c>
      <x:c r="I49" s="31" t="n">
        <x:v>11.4233667426</x:v>
      </x:c>
      <x:c r="J49" s="31" t="n">
        <x:v>0</x:v>
      </x:c>
      <x:c r="K49" s="31" t="n">
        <x:v>11.4233667426</x:v>
      </x:c>
      <x:c r="L49" s="31" t="n">
        <x:v>0</x:v>
      </x:c>
      <x:c r="M49" s="31" t="n">
        <x:v>11.4233667426</x:v>
      </x:c>
      <x:c r="N49" s="24" t="str">
        <x:v>nemipterus</x:v>
      </x:c>
      <x:c r="O49" s="32" t="n">
        <x:v>3.72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Nemipterus</x:v>
      </x:c>
      <x:c r="T49" s="32" t="n">
        <x:f>IF(O49="","",(1/'Metadata'!$B$5)^(O49-1))</x:f>
        <x:v>524.8074602497728</x:v>
      </x:c>
      <x:c r="U49" s="31" t="n">
        <x:f>IF(T49="","",I49*T49)</x:f>
        <x:v>5995.068087685627</x:v>
      </x:c>
    </x:row>
    <x:row r="50" ht="18" customHeight="1">
      <x:c r="A50" s="24" t="str">
        <x:v>EEZ_917</x:v>
      </x:c>
      <x:c r="B50" s="24" t="str">
        <x:v>Yemen (Arabian Sea)</x:v>
      </x:c>
      <x:c r="C50" s="24" t="str">
        <x:v>EEZ</x:v>
      </x:c>
      <x:c r="D50" s="30" t="n">
        <x:v>2019</x:v>
      </x:c>
      <x:c r="E50" s="24" t="str">
        <x:v>Carangidae</x:v>
      </x:c>
      <x:c r="F50" s="24" t="str">
        <x:v>Jacks, pompanos</x:v>
      </x:c>
      <x:c r="G50" s="24" t="str">
        <x:v>Medium pelagics (30 - 89 cm)</x:v>
      </x:c>
      <x:c r="H50" s="24" t="str">
        <x:v>Perch-likes</x:v>
      </x:c>
      <x:c r="I50" s="31" t="n">
        <x:v>0.9512823225</x:v>
      </x:c>
      <x:c r="J50" s="31" t="n">
        <x:v>0</x:v>
      </x:c>
      <x:c r="K50" s="31" t="n">
        <x:v>0.9512823225</x:v>
      </x:c>
      <x:c r="L50" s="31" t="n">
        <x:v>0</x:v>
      </x:c>
      <x:c r="M50" s="31" t="n">
        <x:v>0.9512823225</x:v>
      </x:c>
      <x:c r="N50" s="24" t="str">
        <x:v>carangidae</x:v>
      </x:c>
      <x:c r="O50" s="32" t="n">
        <x:v>4.05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Carangidae</x:v>
      </x:c>
      <x:c r="T50" s="32" t="n">
        <x:f>IF(O50="","",(1/'Metadata'!$B$5)^(O50-1))</x:f>
        <x:v>1122.018454301963</x:v>
      </x:c>
      <x:c r="U50" s="31" t="n">
        <x:f>IF(T50="","",I50*T50)</x:f>
        <x:v>1067.3563210962313</x:v>
      </x:c>
    </x:row>
  </x:sheetData>
  <x:conditionalFormatting sqref="R2:R5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97fd0d27b874f6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974.5078743269</x:v>
      </x:c>
      <x:c r="C2" s="32" t="n">
        <x:v>3.319077071466641</x:v>
      </x:c>
      <x:c r="D2" s="32" t="n">
        <x:f>IF(C2="","",(1/'Metadata'!$B$5)^(C2-1))</x:f>
        <x:v>208.48608372005214</x:v>
      </x:c>
      <x:c r="E2" s="31" t="n">
        <x:f>IF(B2=0,"",B2*D2)</x:f>
        <x:v>203171.33027276813</x:v>
      </x:c>
    </x:row>
    <x:row r="3" ht="18" customHeight="1">
      <x:c r="A3" s="24" t="str">
        <x:v>Flatfishes</x:v>
      </x:c>
      <x:c r="B3" s="31" t="n">
        <x:v>1193.3136939186</x:v>
      </x:c>
      <x:c r="C3" s="32" t="n">
        <x:v>4.3448738055113605</x:v>
      </x:c>
      <x:c r="D3" s="32" t="n">
        <x:f>IF(C3="","",(1/'Metadata'!$B$5)^(C3-1))</x:f>
        <x:v>2212.451736243062</x:v>
      </x:c>
      <x:c r="E3" s="31" t="n">
        <x:f>IF(B3=0,"",B3*D3)</x:f>
        <x:v>2640148.9539928283</x:v>
      </x:c>
    </x:row>
    <x:row r="4" ht="18" customHeight="1">
      <x:c r="A4" s="24" t="str">
        <x:v>Herring-likes</x:v>
      </x:c>
      <x:c r="B4" s="31" t="n">
        <x:v>27057.0441688626</x:v>
      </x:c>
      <x:c r="C4" s="32" t="n">
        <x:v>2.41</x:v>
      </x:c>
      <x:c r="D4" s="32" t="n">
        <x:f>IF(C4="","",(1/'Metadata'!$B$5)^(C4-1))</x:f>
        <x:v>25.703957827688647</x:v>
      </x:c>
      <x:c r="E4" s="31" t="n">
        <x:f>IF(B4=0,"",B4*D4)</x:f>
        <x:v>695473.1222583533</x:v>
      </x:c>
    </x:row>
    <x:row r="5" ht="18" customHeight="1">
      <x:c r="A5" s="24" t="str">
        <x:v>Molluscs</x:v>
      </x:c>
      <x:c r="B5" s="31" t="n">
        <x:v>55.0446501412</x:v>
      </x:c>
      <x:c r="C5" s="32" t="n">
        <x:v>2.1</x:v>
      </x:c>
      <x:c r="D5" s="32" t="n">
        <x:f>IF(C5="","",(1/'Metadata'!$B$5)^(C5-1))</x:f>
        <x:v>12.589254117941675</x:v>
      </x:c>
      <x:c r="E5" s="31" t="n">
        <x:f>IF(B5=0,"",B5*D5)</x:f>
        <x:v>692.9710884607609</x:v>
      </x:c>
    </x:row>
    <x:row r="6" ht="18" customHeight="1">
      <x:c r="A6" s="24" t="str">
        <x:v>Other fishes &amp; inverts</x:v>
      </x:c>
      <x:c r="B6" s="31" t="n">
        <x:v>139421.42453735528</x:v>
      </x:c>
      <x:c r="C6" s="32" t="n">
        <x:v>3.277310888666368</x:v>
      </x:c>
      <x:c r="D6" s="32" t="n">
        <x:f>IF(C6="","",(1/'Metadata'!$B$5)^(C6-1))</x:f>
        <x:v>189.36987332692482</x:v>
      </x:c>
      <x:c r="E6" s="31" t="n">
        <x:f>IF(B6=0,"",B6*D6)</x:f>
        <x:v>26402217.50369838</x:v>
      </x:c>
    </x:row>
    <x:row r="7" ht="18" customHeight="1">
      <x:c r="A7" s="24" t="str">
        <x:v>Perch-likes</x:v>
      </x:c>
      <x:c r="B7" s="31" t="n">
        <x:v>53323.8879782216</x:v>
      </x:c>
      <x:c r="C7" s="32" t="n">
        <x:v>3.6754770322279877</x:v>
      </x:c>
      <x:c r="D7" s="32" t="n">
        <x:f>IF(C7="","",(1/'Metadata'!$B$5)^(C7-1))</x:f>
        <x:v>473.6712572896261</x:v>
      </x:c>
      <x:c r="E7" s="31" t="n">
        <x:f>IF(B7=0,"",B7*D7)</x:f>
        <x:v>25257993.062215406</x:v>
      </x:c>
    </x:row>
    <x:row r="8" ht="18" customHeight="1">
      <x:c r="A8" s="24" t="str">
        <x:v>Scorpionfishes</x:v>
      </x:c>
      <x:c r="B8" s="31" t="n">
        <x:v>43.4271821272</x:v>
      </x:c>
      <x:c r="C8" s="32" t="n">
        <x:v>3.9</x:v>
      </x:c>
      <x:c r="D8" s="32" t="n">
        <x:f>IF(C8="","",(1/'Metadata'!$B$5)^(C8-1))</x:f>
        <x:v>794.3282347242813</x:v>
      </x:c>
      <x:c r="E8" s="31" t="n">
        <x:f>IF(B8=0,"",B8*D8)</x:f>
        <x:v>34495.43691814863</x:v>
      </x:c>
    </x:row>
    <x:row r="9" ht="18" customHeight="1">
      <x:c r="A9" s="24" t="str">
        <x:v>Sharks &amp; rays</x:v>
      </x:c>
      <x:c r="B9" s="31" t="n">
        <x:v>16260.6428154717</x:v>
      </x:c>
      <x:c r="C9" s="32" t="n">
        <x:v>4.170130584765365</x:v>
      </x:c>
      <x:c r="D9" s="32" t="n">
        <x:f>IF(C9="","",(1/'Metadata'!$B$5)^(C9-1))</x:f>
        <x:v>1479.5531970963605</x:v>
      </x:c>
      <x:c r="E9" s="31" t="n">
        <x:f>IF(B9=0,"",B9*D9)</x:f>
        <x:v>24058486.06447312</x:v>
      </x:c>
    </x:row>
    <x:row r="10" ht="18" customHeight="1">
      <x:c r="A10" s="24" t="str">
        <x:v>Tuna &amp; billfishes</x:v>
      </x:c>
      <x:c r="B10" s="31" t="n">
        <x:v>86037.8597996627</x:v>
      </x:c>
      <x:c r="C10" s="32" t="n">
        <x:v>4.427060527835576</x:v>
      </x:c>
      <x:c r="D10" s="32" t="n">
        <x:f>IF(C10="","",(1/'Metadata'!$B$5)^(C10-1))</x:f>
        <x:v>2673.3789728429856</x:v>
      </x:c>
      <x:c r="E10" s="31" t="n">
        <x:f>IF(B10=0,"",B10*D10)</x:f>
        <x:v>230011805.25683108</x:v>
      </x:c>
    </x:row>
  </x:sheetData>
  <x:pageMargins left="0.7" right="0.7" top="0.75" bottom="0.75" header="0.3" footer="0.3"/>
  <x:tableParts count="1">
    <x:tablePart xmlns:r="http://schemas.openxmlformats.org/officeDocument/2006/relationships" r:id="R8d8ae71236664be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9009.1577973367</x:v>
      </x:c>
      <x:c r="C2" s="32" t="n">
        <x:v>3.601629176697249</x:v>
      </x:c>
      <x:c r="D2" s="32" t="n">
        <x:f>IF(C2="","",(1/'Metadata'!$B$5)^(C2-1))</x:f>
        <x:v>399.6034018041084</x:v>
      </x:c>
      <x:c r="E2" s="31" t="n">
        <x:f>IF(B2=0,"",B2*D2)</x:f>
        <x:v>3600090.1032057535</x:v>
      </x:c>
    </x:row>
    <x:row r="3" ht="18" customHeight="1">
      <x:c r="A3" s="24" t="str">
        <x:v>Large benthopelagics (&gt;=90 cm)</x:v>
      </x:c>
      <x:c r="B3" s="31" t="n">
        <x:v>1692.6327994500002</x:v>
      </x:c>
      <x:c r="C3" s="32" t="n">
        <x:v>4.406144354069477</x:v>
      </x:c>
      <x:c r="D3" s="32" t="n">
        <x:f>IF(C3="","",(1/'Metadata'!$B$5)^(C3-1))</x:f>
        <x:v>2547.676927902547</x:v>
      </x:c>
      <x:c r="E3" s="31" t="n">
        <x:f>IF(B3=0,"",B3*D3)</x:f>
        <x:v>4312281.530569864</x:v>
      </x:c>
    </x:row>
    <x:row r="4" ht="18" customHeight="1">
      <x:c r="A4" s="24" t="str">
        <x:v>Large pelagics (&gt;=90 cm)</x:v>
      </x:c>
      <x:c r="B4" s="31" t="n">
        <x:v>91558.37185690881</x:v>
      </x:c>
      <x:c r="C4" s="32" t="n">
        <x:v>4.430508008693904</x:v>
      </x:c>
      <x:c r="D4" s="32" t="n">
        <x:f>IF(C4="","",(1/'Metadata'!$B$5)^(C4-1))</x:f>
        <x:v>2694.685023768255</x:v>
      </x:c>
      <x:c r="E4" s="31" t="n">
        <x:f>IF(B4=0,"",B4*D4)</x:f>
        <x:v>246720973.44341707</x:v>
      </x:c>
    </x:row>
    <x:row r="5" ht="18" customHeight="1">
      <x:c r="A5" s="24" t="str">
        <x:v>Large reef assoc. fish (&gt;=90 cm)</x:v>
      </x:c>
      <x:c r="B5" s="31" t="n">
        <x:v>43.4271821272</x:v>
      </x:c>
      <x:c r="C5" s="32" t="n">
        <x:v>3.5</x:v>
      </x:c>
      <x:c r="D5" s="32" t="n">
        <x:f>IF(C5="","",(1/'Metadata'!$B$5)^(C5-1))</x:f>
        <x:v>316.22776601683796</x:v>
      </x:c>
      <x:c r="E5" s="31" t="n">
        <x:f>IF(B5=0,"",B5*D5)</x:f>
        <x:v>13732.88078849081</x:v>
      </x:c>
    </x:row>
    <x:row r="6" ht="18" customHeight="1">
      <x:c r="A6" s="24" t="str">
        <x:v>Large sharks (&gt;=90 cm)</x:v>
      </x:c>
      <x:c r="B6" s="31" t="n">
        <x:v>16260.6428154717</x:v>
      </x:c>
      <x:c r="C6" s="32" t="n">
        <x:v>4.170130584765365</x:v>
      </x:c>
      <x:c r="D6" s="32" t="n">
        <x:f>IF(C6="","",(1/'Metadata'!$B$5)^(C6-1))</x:f>
        <x:v>1479.5531970963605</x:v>
      </x:c>
      <x:c r="E6" s="31" t="n">
        <x:f>IF(B6=0,"",B6*D6)</x:f>
        <x:v>24058486.06447312</x:v>
      </x:c>
    </x:row>
    <x:row r="7" ht="18" customHeight="1">
      <x:c r="A7" s="24" t="str">
        <x:v>Lobsters, crabs</x:v>
      </x:c>
      <x:c r="B7" s="31" t="n">
        <x:v>225.14797036750002</x:v>
      </x:c>
      <x:c r="C7" s="32" t="n">
        <x:v>3.349288284969354</x:v>
      </x:c>
      <x:c r="D7" s="32" t="n">
        <x:f>IF(C7="","",(1/'Metadata'!$B$5)^(C7-1))</x:f>
        <x:v>223.50553617750256</x:v>
      </x:c>
      <x:c r="E7" s="31" t="n">
        <x:f>IF(B7=0,"",B7*D7)</x:f>
        <x:v>50321.81783626455</x:v>
      </x:c>
    </x:row>
    <x:row r="8" ht="18" customHeight="1">
      <x:c r="A8" s="24" t="str">
        <x:v>Medium benthopelagics (30 - 89 cm)</x:v>
      </x:c>
      <x:c r="B8" s="31" t="n">
        <x:v>43.4271821272</x:v>
      </x:c>
      <x:c r="C8" s="32" t="n">
        <x:v>2.93</x:v>
      </x:c>
      <x:c r="D8" s="32" t="n">
        <x:f>IF(C8="","",(1/'Metadata'!$B$5)^(C8-1))</x:f>
        <x:v>85.11380382023768</x:v>
      </x:c>
      <x:c r="E8" s="31" t="n">
        <x:f>IF(B8=0,"",B8*D8)</x:f>
        <x:v>3696.2526600402325</x:v>
      </x:c>
    </x:row>
    <x:row r="9" ht="18" customHeight="1">
      <x:c r="A9" s="24" t="str">
        <x:v>Medium demersals (30 - 89 cm)</x:v>
      </x:c>
      <x:c r="B9" s="31" t="n">
        <x:v>41604.319412040095</x:v>
      </x:c>
      <x:c r="C9" s="32" t="n">
        <x:v>3.4557614332167264</x:v>
      </x:c>
      <x:c r="D9" s="32" t="n">
        <x:f>IF(C9="","",(1/'Metadata'!$B$5)^(C9-1))</x:f>
        <x:v>285.6021241890577</x:v>
      </x:c>
      <x:c r="E9" s="31" t="n">
        <x:f>IF(B9=0,"",B9*D9)</x:f>
        <x:v>11882281.999518698</x:v>
      </x:c>
    </x:row>
    <x:row r="10" ht="18" customHeight="1">
      <x:c r="A10" s="24" t="str">
        <x:v>Medium pelagics (30 - 89 cm)</x:v>
      </x:c>
      <x:c r="B10" s="31" t="n">
        <x:v>8479.1764798273</x:v>
      </x:c>
      <x:c r="C10" s="32" t="n">
        <x:v>3.2954899494017145</x:v>
      </x:c>
      <x:c r="D10" s="32" t="n">
        <x:f>IF(C10="","",(1/'Metadata'!$B$5)^(C10-1))</x:f>
        <x:v>197.46491808426984</x:v>
      </x:c>
      <x:c r="E10" s="31" t="n">
        <x:f>IF(B10=0,"",B10*D10)</x:f>
        <x:v>1674339.8890111654</x:v>
      </x:c>
    </x:row>
    <x:row r="11" ht="18" customHeight="1">
      <x:c r="A11" s="24" t="str">
        <x:v>Medium reef assoc. fish (30 - 89 cm)</x:v>
      </x:c>
      <x:c r="B11" s="31" t="n">
        <x:v>9926.1615446515</x:v>
      </x:c>
      <x:c r="C11" s="32" t="n">
        <x:v>3.893213651552548</x:v>
      </x:c>
      <x:c r="D11" s="32" t="n">
        <x:f>IF(C11="","",(1/'Metadata'!$B$5)^(C11-1))</x:f>
        <x:v>782.0124216732232</x:v>
      </x:c>
      <x:c r="E11" s="31" t="n">
        <x:f>IF(B11=0,"",B11*D11)</x:f>
        <x:v>7762381.627452542</x:v>
      </x:c>
    </x:row>
    <x:row r="12" ht="18" customHeight="1">
      <x:c r="A12" s="24" t="str">
        <x:v>Other demersal invertebrates</x:v>
      </x:c>
      <x:c r="B12" s="31" t="n">
        <x:v>75.4797459139</x:v>
      </x:c>
      <x:c r="C12" s="32" t="n">
        <x:v>2.0729263850516793</x:v>
      </x:c>
      <x:c r="D12" s="32" t="n">
        <x:f>IF(C12="","",(1/'Metadata'!$B$5)^(C12-1))</x:f>
        <x:v>11.82841041636248</x:v>
      </x:c>
      <x:c r="E12" s="31" t="n">
        <x:f>IF(B12=0,"",B12*D12)</x:f>
        <x:v>892.8054127923682</x:v>
      </x:c>
    </x:row>
    <x:row r="13" ht="18" customHeight="1">
      <x:c r="A13" s="24" t="str">
        <x:v>Shrimps</x:v>
      </x:c>
      <x:c r="B13" s="31" t="n">
        <x:v>749.3599039594</x:v>
      </x:c>
      <x:c r="C13" s="32" t="n">
        <x:v>3.31</x:v>
      </x:c>
      <x:c r="D13" s="32" t="n">
        <x:f>IF(C13="","",(1/'Metadata'!$B$5)^(C13-1))</x:f>
        <x:v>204.17379446695296</x:v>
      </x:c>
      <x:c r="E13" s="31" t="n">
        <x:f>IF(B13=0,"",B13*D13)</x:f>
        <x:v>152999.65501278214</x:v>
      </x:c>
    </x:row>
    <x:row r="14" ht="18" customHeight="1">
      <x:c r="A14" s="24" t="str">
        <x:v>Small benthopelagics (&lt;30 cm)</x:v>
      </x:c>
      <x:c r="B14" s="31" t="n">
        <x:v>1433.2373802643</x:v>
      </x:c>
      <x:c r="C14" s="32" t="n">
        <x:v>3.2272729739463677</x:v>
      </x:c>
      <x:c r="D14" s="32" t="n">
        <x:f>IF(C14="","",(1/'Metadata'!$B$5)^(C14-1))</x:f>
        <x:v>168.76134343304471</x:v>
      </x:c>
      <x:c r="E14" s="31" t="n">
        <x:f>IF(B14=0,"",B14*D14)</x:f>
        <x:v>241875.06575186085</x:v>
      </x:c>
    </x:row>
    <x:row r="15" ht="18" customHeight="1">
      <x:c r="A15" s="24" t="str">
        <x:v>Small demersals (&lt;30 cm)</x:v>
      </x:c>
      <x:c r="B15" s="31" t="n">
        <x:v>1717.0496871465</x:v>
      </x:c>
      <x:c r="C15" s="32" t="n">
        <x:v>3.5113971098413193</x:v>
      </x:c>
      <x:c r="D15" s="32" t="n">
        <x:f>IF(C15="","",(1/'Metadata'!$B$5)^(C15-1))</x:f>
        <x:v>324.63632237926373</x:v>
      </x:c>
      <x:c r="E15" s="31" t="n">
        <x:f>IF(B15=0,"",B15*D15)</x:f>
        <x:v>557416.695777705</x:v>
      </x:c>
    </x:row>
    <x:row r="16" ht="18" customHeight="1">
      <x:c r="A16" s="24" t="str">
        <x:v>Small pelagics (&lt;30 cm)</x:v>
      </x:c>
      <x:c r="B16" s="31" t="n">
        <x:v>140356.2472485771</x:v>
      </x:c>
      <x:c r="C16" s="32" t="n">
        <x:v>3.0799975270043873</x:v>
      </x:c>
      <x:c r="D16" s="32" t="n">
        <x:f>IF(C16="","",(1/'Metadata'!$B$5)^(C16-1))</x:f>
        <x:v>120.2257588603174</x:v>
      </x:c>
      <x:c r="E16" s="31" t="n">
        <x:f>IF(B16=0,"",B16*D16)</x:f>
        <x:v>16874436.336246517</x:v>
      </x:c>
    </x:row>
    <x:row r="17" ht="18" customHeight="1">
      <x:c r="A17" s="24" t="str">
        <x:v>Small to medium flatfishes (&lt;90 cm)</x:v>
      </x:c>
      <x:c r="B17" s="31" t="n">
        <x:v>1193.3136939186</x:v>
      </x:c>
      <x:c r="C17" s="32" t="n">
        <x:v>4.3448738055113605</x:v>
      </x:c>
      <x:c r="D17" s="32" t="n">
        <x:f>IF(C17="","",(1/'Metadata'!$B$5)^(C17-1))</x:f>
        <x:v>2212.451736243062</x:v>
      </x:c>
      <x:c r="E17" s="31" t="n">
        <x:f>IF(B17=0,"",B17*D17)</x:f>
        <x:v>2640148.9539928283</x:v>
      </x:c>
    </x:row>
  </x:sheetData>
  <x:pageMargins left="0.7" right="0.7" top="0.75" bottom="0.75" header="0.3" footer="0.3"/>
  <x:tableParts count="1">
    <x:tablePart xmlns:r="http://schemas.openxmlformats.org/officeDocument/2006/relationships" r:id="R7be9cdd362cc481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EEZ_917</x:v>
      </x:c>
      <x:c r="B2" s="24" t="str">
        <x:v>raw_filtered_tonnes</x:v>
      </x:c>
      <x:c r="C2" s="24" t="n">
        <x:v>324367.1527000878</x:v>
      </x:c>
      <x:c r="D2" s="24" t="str">
        <x:v>tonnes</x:v>
      </x:c>
    </x:row>
    <x:row r="3" ht="18" customHeight="1">
      <x:c r="A3" s="24" t="str">
        <x:v>EEZ_917</x:v>
      </x:c>
      <x:c r="B3" s="24" t="str">
        <x:v>species_catch_tonnes</x:v>
      </x:c>
      <x:c r="C3" s="24" t="n">
        <x:v>324367.1527000878</x:v>
      </x:c>
      <x:c r="D3" s="24" t="str">
        <x:v>tonnes</x:v>
      </x:c>
    </x:row>
    <x:row r="4" ht="18" customHeight="1">
      <x:c r="A4" s="24" t="str">
        <x:v>EEZ_917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EEZ_917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EEZ_917</x:v>
      </x:c>
      <x:c r="B6" s="24" t="str">
        <x:v>matched_catch_tonnes</x:v>
      </x:c>
      <x:c r="C6" s="24" t="n">
        <x:v>324367.1527000878</x:v>
      </x:c>
      <x:c r="D6" s="24" t="str">
        <x:v>tonnes</x:v>
      </x:c>
    </x:row>
    <x:row r="7" ht="18" customHeight="1">
      <x:c r="A7" s="24" t="str">
        <x:v>EEZ_917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EEZ_917</x:v>
      </x:c>
      <x:c r="B8" s="24" t="str">
        <x:v>taxa_count</x:v>
      </x:c>
      <x:c r="C8" s="24" t="n">
        <x:v>49</x:v>
      </x:c>
      <x:c r="D8" s="24" t="str">
        <x:v>count</x:v>
      </x:c>
    </x:row>
    <x:row r="9" ht="18" customHeight="1">
      <x:c r="A9" s="24" t="str">
        <x:v>EEZ_917</x:v>
      </x:c>
      <x:c r="B9" s="24" t="str">
        <x:v>matched_taxa_count</x:v>
      </x:c>
      <x:c r="C9" s="24" t="n">
        <x:v>49</x:v>
      </x:c>
      <x:c r="D9" s="24" t="str">
        <x:v>count</x:v>
      </x:c>
    </x:row>
    <x:row r="10" ht="18" customHeight="1">
      <x:c r="A10" s="24" t="str">
        <x:v>EEZ_917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EEZ_917</x:v>
      </x:c>
      <x:c r="B11" s="24" t="str">
        <x:v>species_ppr</x:v>
      </x:c>
      <x:c r="C11" s="24" t="n">
        <x:v>331675839.9836948</x:v>
      </x:c>
      <x:c r="D11" s="24" t="str">
        <x:v>tonnes_primary_production_equivalent</x:v>
      </x:c>
    </x:row>
    <x:row r="12" ht="18" customHeight="1">
      <x:c r="A12" s="24" t="str">
        <x:v>EEZ_917</x:v>
      </x:c>
      <x:c r="B12" s="24" t="str">
        <x:v>commercial_ppr</x:v>
      </x:c>
      <x:c r="C12" s="24" t="n">
        <x:v>309304483.70174855</x:v>
      </x:c>
      <x:c r="D12" s="24" t="str">
        <x:v>tonnes_primary_production_equivalent</x:v>
      </x:c>
    </x:row>
    <x:row r="13" ht="18" customHeight="1">
      <x:c r="A13" s="24" t="str">
        <x:v>EEZ_917</x:v>
      </x:c>
      <x:c r="B13" s="24" t="str">
        <x:v>functional_ppr</x:v>
      </x:c>
      <x:c r="C13" s="24" t="n">
        <x:v>320546355.1211275</x:v>
      </x:c>
      <x:c r="D13" s="24" t="str">
        <x:v>tonnes_primary_production_equivalent</x:v>
      </x:c>
    </x:row>
    <x:row r="14" ht="18" customHeight="1">
      <x:c r="A14" s="24" t="str">
        <x:v>EEZ_917</x:v>
      </x:c>
      <x:c r="B14" s="24" t="str">
        <x:v>commercial_ppr_difference</x:v>
      </x:c>
      <x:c r="C14" s="24" t="n">
        <x:v>-22371356.28194624</x:v>
      </x:c>
      <x:c r="D14" s="24" t="str">
        <x:v>tonnes_primary_production_equivalent</x:v>
      </x:c>
    </x:row>
    <x:row r="15" ht="18" customHeight="1">
      <x:c r="A15" s="24" t="str">
        <x:v>EEZ_917</x:v>
      </x:c>
      <x:c r="B15" s="24" t="str">
        <x:v>functional_ppr_difference</x:v>
      </x:c>
      <x:c r="C15" s="24" t="n">
        <x:v>-11129484.862567306</x:v>
      </x:c>
      <x:c r="D15" s="24" t="str">
        <x:v>tonnes_primary_production_equivalent</x:v>
      </x:c>
    </x:row>
    <x:row r="16" ht="18" customHeight="1">
      <x:c r="A16" s="24" t="str">
        <x:v>EEZ_917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EEZ_917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55fdbe44bb447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EEZ_917 - Yemen (Arabian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EEZ_917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raw_data/SAU_downloads/EEZ_917-catch.zip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