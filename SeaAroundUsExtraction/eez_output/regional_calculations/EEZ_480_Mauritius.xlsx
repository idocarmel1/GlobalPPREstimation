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0b5c89e234a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3a178b1f104485c"/>
    <x:sheet xmlns:r="http://schemas.openxmlformats.org/officeDocument/2006/relationships" name="Commercial" sheetId="2" r:id="Rf4b86fe99ffe4fc1"/>
    <x:sheet xmlns:r="http://schemas.openxmlformats.org/officeDocument/2006/relationships" name="Functional" sheetId="3" r:id="R11417d49c21e4757"/>
    <x:sheet xmlns:r="http://schemas.openxmlformats.org/officeDocument/2006/relationships" name="Missing TL" sheetId="4" r:id="Re285b9b556ac42fd"/>
    <x:sheet xmlns:r="http://schemas.openxmlformats.org/officeDocument/2006/relationships" name="Validation" sheetId="5" r:id="Rda28f5ef54e747ce"/>
    <x:sheet xmlns:r="http://schemas.openxmlformats.org/officeDocument/2006/relationships" name="Metadata" sheetId="6" r:id="R6bbdca8d53084e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79e2cce674ccd" /><Relationship Type="http://schemas.openxmlformats.org/officeDocument/2006/relationships/theme" Target="/xl/theme/theme1.xml" Id="Rfa938afd16bf49ec" /><Relationship Type="http://schemas.microsoft.com/office/2022/11/relationships/FeaturePropertyBag" Target="/xl/featurePropertyBag/featurePropertyBag.xml" Id="R70efc9d7dbc24984" /><Relationship Type="http://schemas.openxmlformats.org/officeDocument/2006/relationships/sharedStrings" Target="/xl/sharedStrings.xml" Id="R2c618fd6406f4f47" /><Relationship Type="http://schemas.openxmlformats.org/officeDocument/2006/relationships/worksheet" Target="/xl/worksheets/sheet1.xml" Id="R73a178b1f104485c" /><Relationship Type="http://schemas.openxmlformats.org/officeDocument/2006/relationships/worksheet" Target="/xl/worksheets/sheet2.xml" Id="Rf4b86fe99ffe4fc1" /><Relationship Type="http://schemas.openxmlformats.org/officeDocument/2006/relationships/worksheet" Target="/xl/worksheets/sheet3.xml" Id="R11417d49c21e4757" /><Relationship Type="http://schemas.openxmlformats.org/officeDocument/2006/relationships/worksheet" Target="/xl/worksheets/sheet4.xml" Id="Re285b9b556ac42fd" /><Relationship Type="http://schemas.openxmlformats.org/officeDocument/2006/relationships/worksheet" Target="/xl/worksheets/sheet5.xml" Id="Rda28f5ef54e747ce" /><Relationship Type="http://schemas.openxmlformats.org/officeDocument/2006/relationships/worksheet" Target="/xl/worksheets/sheet6.xml" Id="R6bbdca8d53084e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80SpeciesTable" displayName="EEZ480SpeciesTable" ref="A1:U71" headerRowCount="1" totalsRowCount="0" totalsRowShown="0">
  <x:autoFilter ref="A1:U7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80CommercialTable" displayName="EEZ480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80FunctionalTable" displayName="EEZ480FunctionalTable" ref="A1:O14" headerRowCount="1" totalsRowCount="0" totalsRowShown="0">
  <x:autoFilter ref="A1:O1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80ValidationTable" displayName="EEZ48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7de3809e5148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58b372822d45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b8d7da942d940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f1361ad72d4b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EEZ_480</x:v>
      </x:c>
      <x:c r="B2" s="24" t="str">
        <x:v>Mauritius</x:v>
      </x:c>
      <x:c r="C2" s="24" t="str">
        <x:v>EEZ</x:v>
      </x:c>
      <x:c r="D2" s="30" t="n">
        <x:v>2019</x:v>
      </x:c>
      <x:c r="E2" s="24" t="str">
        <x:v>Marine finfishes not identified</x:v>
      </x:c>
      <x:c r="F2" s="24" t="str">
        <x:v>Finfishes</x:v>
      </x:c>
      <x:c r="G2" s="24" t="str">
        <x:v>Medium demersals (30 - 89 cm)</x:v>
      </x:c>
      <x:c r="H2" s="24" t="str">
        <x:v>Other fishes &amp; inverts</x:v>
      </x:c>
      <x:c r="I2" s="31" t="n">
        <x:v>2546.629524071</x:v>
      </x:c>
      <x:c r="J2" s="31" t="n">
        <x:v>2546.629524071</x:v>
      </x:c>
      <x:c r="K2" s="31" t="n">
        <x:v>0</x:v>
      </x:c>
      <x:c r="L2" s="31" t="n">
        <x:v>1614.51650177</x:v>
      </x:c>
      <x:c r="M2" s="31" t="n">
        <x:v>932.113022301</x:v>
      </x:c>
      <x:c r="N2" s="24" t="str">
        <x:v>marine finfishes not identified</x:v>
      </x:c>
      <x:c r="O2" s="32" t="n">
        <x:v>3.23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finfishes not identified</x:v>
      </x:c>
      <x:c r="T2" s="32" t="n">
        <x:f>IF(O2="","",(1/'Metadata'!$B$5)^(O2-1))</x:f>
        <x:v>169.82436524617444</x:v>
      </x:c>
      <x:c r="U2" s="31" t="n">
        <x:f>IF(T2="","",I2*T2)</x:f>
        <x:v>432479.7424425249</x:v>
      </x:c>
    </x:row>
    <x:row r="3" ht="18" customHeight="1">
      <x:c r="A3" s="24" t="str">
        <x:v>EEZ_480</x:v>
      </x:c>
      <x:c r="B3" s="24" t="str">
        <x:v>Mauritius</x:v>
      </x:c>
      <x:c r="C3" s="24" t="str">
        <x:v>EEZ</x:v>
      </x:c>
      <x:c r="D3" s="30" t="n">
        <x:v>2019</x:v>
      </x:c>
      <x:c r="E3" s="24" t="str">
        <x:v>Prionace glauca</x:v>
      </x:c>
      <x:c r="F3" s="24" t="str">
        <x:v>Blue shark</x:v>
      </x:c>
      <x:c r="G3" s="24" t="str">
        <x:v>Large sharks (&gt;=90 cm)</x:v>
      </x:c>
      <x:c r="H3" s="24" t="str">
        <x:v>Sharks &amp; rays</x:v>
      </x:c>
      <x:c r="I3" s="31" t="n">
        <x:v>2097.145997103</x:v>
      </x:c>
      <x:c r="J3" s="31" t="n">
        <x:v>2097.145997103</x:v>
      </x:c>
      <x:c r="K3" s="31" t="n">
        <x:v>0</x:v>
      </x:c>
      <x:c r="L3" s="31" t="n">
        <x:v>2097.145997103</x:v>
      </x:c>
      <x:c r="M3" s="31" t="n">
        <x:v>0</x:v>
      </x:c>
      <x:c r="N3" s="24" t="str">
        <x:v>prionace glauca</x:v>
      </x:c>
      <x:c r="O3" s="32" t="n">
        <x:v>4.35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Prionace glauca</x:v>
      </x:c>
      <x:c r="T3" s="32" t="n">
        <x:f>IF(O3="","",(1/'Metadata'!$B$5)^(O3-1))</x:f>
        <x:v>2238.7211385683377</x:v>
      </x:c>
      <x:c r="U3" s="31" t="n">
        <x:f>IF(T3="","",I3*T3)</x:f>
        <x:v>4694925.07437846</x:v>
      </x:c>
    </x:row>
    <x:row r="4" ht="18" customHeight="1">
      <x:c r="A4" s="24" t="str">
        <x:v>EEZ_480</x:v>
      </x:c>
      <x:c r="B4" s="24" t="str">
        <x:v>Mauritius</x:v>
      </x:c>
      <x:c r="C4" s="24" t="str">
        <x:v>EEZ</x:v>
      </x:c>
      <x:c r="D4" s="30" t="n">
        <x:v>2019</x:v>
      </x:c>
      <x:c r="E4" s="24" t="str">
        <x:v>Lethrinus mahsena</x:v>
      </x:c>
      <x:c r="F4" s="24" t="str">
        <x:v>Sky emperor</x:v>
      </x:c>
      <x:c r="G4" s="24" t="str">
        <x:v>Medium reef assoc. fish (30 - 89 cm)</x:v>
      </x:c>
      <x:c r="H4" s="24" t="str">
        <x:v>Perch-likes</x:v>
      </x:c>
      <x:c r="I4" s="31" t="n">
        <x:v>2011.354155977</x:v>
      </x:c>
      <x:c r="J4" s="31" t="n">
        <x:v>2011.354155977</x:v>
      </x:c>
      <x:c r="K4" s="31" t="n">
        <x:v>0</x:v>
      </x:c>
      <x:c r="L4" s="31" t="n">
        <x:v>1738.7674736</x:v>
      </x:c>
      <x:c r="M4" s="31" t="n">
        <x:v>272.586682377</x:v>
      </x:c>
      <x:c r="N4" s="24" t="str">
        <x:v>lethrinus mahsena</x:v>
      </x:c>
      <x:c r="O4" s="32" t="n">
        <x:v>3.43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Lethrinus mahsena</x:v>
      </x:c>
      <x:c r="T4" s="32" t="n">
        <x:f>IF(O4="","",(1/'Metadata'!$B$5)^(O4-1))</x:f>
        <x:v>269.1534803926917</x:v>
      </x:c>
      <x:c r="U4" s="31" t="n">
        <x:f>IF(T4="","",I4*T4)</x:f>
        <x:v>541362.9713835143</x:v>
      </x:c>
    </x:row>
    <x:row r="5" ht="18" customHeight="1">
      <x:c r="A5" s="24" t="str">
        <x:v>EEZ_480</x:v>
      </x:c>
      <x:c r="B5" s="24" t="str">
        <x:v>Mauritius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1586.3912353926</x:v>
      </x:c>
      <x:c r="J5" s="31" t="n">
        <x:v>1483.4706471789</x:v>
      </x:c>
      <x:c r="K5" s="31" t="n">
        <x:v>102.9205882137</x:v>
      </x:c>
      <x:c r="L5" s="31" t="n">
        <x:v>932.9650306769</x:v>
      </x:c>
      <x:c r="M5" s="31" t="n">
        <x:v>653.4262047157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302280.61823617853</x:v>
      </x:c>
    </x:row>
    <x:row r="6" ht="18" customHeight="1">
      <x:c r="A6" s="24" t="str">
        <x:v>EEZ_480</x:v>
      </x:c>
      <x:c r="B6" s="24" t="str">
        <x:v>Mauritius</x:v>
      </x:c>
      <x:c r="C6" s="24" t="str">
        <x:v>EEZ</x:v>
      </x:c>
      <x:c r="D6" s="30" t="n">
        <x:v>2019</x:v>
      </x:c>
      <x:c r="E6" s="24" t="str">
        <x:v>Thunnus alalunga</x:v>
      </x:c>
      <x:c r="F6" s="24" t="str">
        <x:v>Albacore</x:v>
      </x:c>
      <x:c r="G6" s="24" t="str">
        <x:v>Large pelagics (&gt;=90 cm)</x:v>
      </x:c>
      <x:c r="H6" s="24" t="str">
        <x:v>Tuna &amp; billfishes</x:v>
      </x:c>
      <x:c r="I6" s="31" t="n">
        <x:v>1097.0286755667</x:v>
      </x:c>
      <x:c r="J6" s="31" t="n">
        <x:v>1097.0286755667</x:v>
      </x:c>
      <x:c r="K6" s="31" t="n">
        <x:v>0</x:v>
      </x:c>
      <x:c r="L6" s="31" t="n">
        <x:v>490.82283536669996</x:v>
      </x:c>
      <x:c r="M6" s="31" t="n">
        <x:v>606.2058402</x:v>
      </x:c>
      <x:c r="N6" s="24" t="str">
        <x:v>thunnus alalunga</x:v>
      </x:c>
      <x:c r="O6" s="32" t="n">
        <x:v>4.3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alalunga</x:v>
      </x:c>
      <x:c r="T6" s="32" t="n">
        <x:f>IF(O6="","",(1/'Metadata'!$B$5)^(O6-1))</x:f>
        <x:v>1995.2623149688789</x:v>
      </x:c>
      <x:c r="U6" s="31" t="n">
        <x:f>IF(T6="","",I6*T6)</x:f>
        <x:v>2188859.974798457</x:v>
      </x:c>
    </x:row>
    <x:row r="7" ht="18" customHeight="1">
      <x:c r="A7" s="24" t="str">
        <x:v>EEZ_480</x:v>
      </x:c>
      <x:c r="B7" s="24" t="str">
        <x:v>Mauritius</x:v>
      </x:c>
      <x:c r="C7" s="24" t="str">
        <x:v>EEZ</x:v>
      </x:c>
      <x:c r="D7" s="30" t="n">
        <x:v>2019</x:v>
      </x:c>
      <x:c r="E7" s="24" t="str">
        <x:v>Auxis thazard</x:v>
      </x:c>
      <x:c r="F7" s="24" t="str">
        <x:v>Frigate tuna</x:v>
      </x:c>
      <x:c r="G7" s="24" t="str">
        <x:v>Medium pelagics (30 - 89 cm)</x:v>
      </x:c>
      <x:c r="H7" s="24" t="str">
        <x:v>Tuna &amp; billfishes</x:v>
      </x:c>
      <x:c r="I7" s="31" t="n">
        <x:v>1060.9667851895</x:v>
      </x:c>
      <x:c r="J7" s="31" t="n">
        <x:v>1060.9667851895</x:v>
      </x:c>
      <x:c r="K7" s="31" t="n">
        <x:v>0</x:v>
      </x:c>
      <x:c r="L7" s="31" t="n">
        <x:v>1060.9667851895</x:v>
      </x:c>
      <x:c r="M7" s="31" t="n">
        <x:v>0</x:v>
      </x:c>
      <x:c r="N7" s="24" t="str">
        <x:v>auxis thazard</x:v>
      </x:c>
      <x:c r="O7" s="32" t="n">
        <x:v>4.37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Auxis thazard</x:v>
      </x:c>
      <x:c r="T7" s="32" t="n">
        <x:f>IF(O7="","",(1/'Metadata'!$B$5)^(O7-1))</x:f>
        <x:v>2344.228815319923</x:v>
      </x:c>
      <x:c r="U7" s="31" t="n">
        <x:f>IF(T7="","",I7*T7)</x:f>
        <x:v>2487148.9099385682</x:v>
      </x:c>
    </x:row>
    <x:row r="8" ht="18" customHeight="1">
      <x:c r="A8" s="24" t="str">
        <x:v>EEZ_480</x:v>
      </x:c>
      <x:c r="B8" s="24" t="str">
        <x:v>Mauritius</x:v>
      </x:c>
      <x:c r="C8" s="24" t="str">
        <x:v>EEZ</x:v>
      </x:c>
      <x:c r="D8" s="30" t="n">
        <x:v>2019</x:v>
      </x:c>
      <x:c r="E8" s="24" t="str">
        <x:v>Thunnus albacares</x:v>
      </x:c>
      <x:c r="F8" s="24" t="str">
        <x:v>Yellowfin tuna</x:v>
      </x:c>
      <x:c r="G8" s="24" t="str">
        <x:v>Large pelagics (&gt;=90 cm)</x:v>
      </x:c>
      <x:c r="H8" s="24" t="str">
        <x:v>Tuna &amp; billfishes</x:v>
      </x:c>
      <x:c r="I8" s="31" t="n">
        <x:v>415.5736251786</x:v>
      </x:c>
      <x:c r="J8" s="31" t="n">
        <x:v>415.5736251786</x:v>
      </x:c>
      <x:c r="K8" s="31" t="n">
        <x:v>0</x:v>
      </x:c>
      <x:c r="L8" s="31" t="n">
        <x:v>316.1097758786</x:v>
      </x:c>
      <x:c r="M8" s="31" t="n">
        <x:v>99.4638493</x:v>
      </x:c>
      <x:c r="N8" s="24" t="str">
        <x:v>thunnus albacares</x:v>
      </x:c>
      <x:c r="O8" s="32" t="n">
        <x:v>4.41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albacares</x:v>
      </x:c>
      <x:c r="T8" s="32" t="n">
        <x:f>IF(O8="","",(1/'Metadata'!$B$5)^(O8-1))</x:f>
        <x:v>2570.3957827688646</x:v>
      </x:c>
      <x:c r="U8" s="31" t="n">
        <x:f>IF(T8="","",I8*T8)</x:f>
        <x:v>1068188.6935890424</x:v>
      </x:c>
    </x:row>
    <x:row r="9" ht="18" customHeight="1">
      <x:c r="A9" s="24" t="str">
        <x:v>EEZ_480</x:v>
      </x:c>
      <x:c r="B9" s="24" t="str">
        <x:v>Mauritius</x:v>
      </x:c>
      <x:c r="C9" s="24" t="str">
        <x:v>EEZ</x:v>
      </x:c>
      <x:c r="D9" s="30" t="n">
        <x:v>2019</x:v>
      </x:c>
      <x:c r="E9" s="24" t="str">
        <x:v>Octopus cyanea</x:v>
      </x:c>
      <x:c r="F9" s="24" t="str">
        <x:v>Big blue octopus</x:v>
      </x:c>
      <x:c r="G9" s="24" t="str">
        <x:v>Cephalopods</x:v>
      </x:c>
      <x:c r="H9" s="24" t="str">
        <x:v>Other fishes &amp; inverts</x:v>
      </x:c>
      <x:c r="I9" s="31" t="n">
        <x:v>368.614520798</x:v>
      </x:c>
      <x:c r="J9" s="31" t="n">
        <x:v>368.614520798</x:v>
      </x:c>
      <x:c r="K9" s="31" t="n">
        <x:v>0</x:v>
      </x:c>
      <x:c r="L9" s="31" t="n">
        <x:v>247.921653359</x:v>
      </x:c>
      <x:c r="M9" s="31" t="n">
        <x:v>120.692867439</x:v>
      </x:c>
      <x:c r="N9" s="24" t="str">
        <x:v>octopus cyanea</x:v>
      </x:c>
      <x:c r="O9" s="32" t="n">
        <x:v>3.6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Octopus cyanea</x:v>
      </x:c>
      <x:c r="T9" s="32" t="n">
        <x:f>IF(O9="","",(1/'Metadata'!$B$5)^(O9-1))</x:f>
        <x:v>398.1071705534973</x:v>
      </x:c>
      <x:c r="U9" s="31" t="n">
        <x:f>IF(T9="","",I9*T9)</x:f>
        <x:v>146748.08389982508</x:v>
      </x:c>
    </x:row>
    <x:row r="10" ht="18" customHeight="1">
      <x:c r="A10" s="24" t="str">
        <x:v>EEZ_480</x:v>
      </x:c>
      <x:c r="B10" s="24" t="str">
        <x:v>Mauritius</x:v>
      </x:c>
      <x:c r="C10" s="24" t="str">
        <x:v>EEZ</x:v>
      </x:c>
      <x:c r="D10" s="30" t="n">
        <x:v>2019</x:v>
      </x:c>
      <x:c r="E10" s="24" t="str">
        <x:v>Isurus oxyrinchus</x:v>
      </x:c>
      <x:c r="F10" s="24" t="str">
        <x:v>Shortfin mako</x:v>
      </x:c>
      <x:c r="G10" s="24" t="str">
        <x:v>Large sharks (&gt;=90 cm)</x:v>
      </x:c>
      <x:c r="H10" s="24" t="str">
        <x:v>Sharks &amp; rays</x:v>
      </x:c>
      <x:c r="I10" s="31" t="n">
        <x:v>299.0716592405</x:v>
      </x:c>
      <x:c r="J10" s="31" t="n">
        <x:v>299.0716592405</x:v>
      </x:c>
      <x:c r="K10" s="31" t="n">
        <x:v>0</x:v>
      </x:c>
      <x:c r="L10" s="31" t="n">
        <x:v>299.0716592405</x:v>
      </x:c>
      <x:c r="M10" s="31" t="n">
        <x:v>0</x:v>
      </x:c>
      <x:c r="N10" s="24" t="str">
        <x:v>isurus oxyrinchus</x:v>
      </x:c>
      <x:c r="O10" s="32" t="n">
        <x:v>4.5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Isurus oxyrinchus</x:v>
      </x:c>
      <x:c r="T10" s="32" t="n">
        <x:f>IF(O10="","",(1/'Metadata'!$B$5)^(O10-1))</x:f>
        <x:v>3162.2776601683795</x:v>
      </x:c>
      <x:c r="U10" s="31" t="n">
        <x:f>IF(T10="","",I10*T10)</x:f>
        <x:v>945747.6268057233</x:v>
      </x:c>
    </x:row>
    <x:row r="11" ht="18" customHeight="1">
      <x:c r="A11" s="24" t="str">
        <x:v>EEZ_480</x:v>
      </x:c>
      <x:c r="B11" s="24" t="str">
        <x:v>Mauritius</x:v>
      </x:c>
      <x:c r="C11" s="24" t="str">
        <x:v>EEZ</x:v>
      </x:c>
      <x:c r="D11" s="30" t="n">
        <x:v>2019</x:v>
      </x:c>
      <x:c r="E11" s="24" t="str">
        <x:v>Chondrichthyes</x:v>
      </x:c>
      <x:c r="F11" s="24" t="str">
        <x:v>Sharks, rays, chimaeras</x:v>
      </x:c>
      <x:c r="G11" s="24" t="str">
        <x:v>Large sharks (&gt;=90 cm)</x:v>
      </x:c>
      <x:c r="H11" s="24" t="str">
        <x:v>Sharks &amp; rays</x:v>
      </x:c>
      <x:c r="I11" s="31" t="n">
        <x:v>297.8642613932</x:v>
      </x:c>
      <x:c r="J11" s="31" t="n">
        <x:v>297.8642613932</x:v>
      </x:c>
      <x:c r="K11" s="31" t="n">
        <x:v>0</x:v>
      </x:c>
      <x:c r="L11" s="31" t="n">
        <x:v>297.8642613932</x:v>
      </x:c>
      <x:c r="M11" s="31" t="n">
        <x:v>0</x:v>
      </x:c>
      <x:c r="N11" s="24" t="str">
        <x:v>chondrichthyes</x:v>
      </x:c>
      <x:c r="O11" s="32" t="n">
        <x:v>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Chondrichthyes</x:v>
      </x:c>
      <x:c r="T11" s="32" t="n">
        <x:f>IF(O11="","",(1/'Metadata'!$B$5)^(O11-1))</x:f>
        <x:v>1000</x:v>
      </x:c>
      <x:c r="U11" s="31" t="n">
        <x:f>IF(T11="","",I11*T11)</x:f>
        <x:v>297864.2613932</x:v>
      </x:c>
    </x:row>
    <x:row r="12" ht="18" customHeight="1">
      <x:c r="A12" s="24" t="str">
        <x:v>EEZ_480</x:v>
      </x:c>
      <x:c r="B12" s="24" t="str">
        <x:v>Mauritius</x:v>
      </x:c>
      <x:c r="C12" s="24" t="str">
        <x:v>EEZ</x:v>
      </x:c>
      <x:c r="D12" s="30" t="n">
        <x:v>2019</x:v>
      </x:c>
      <x:c r="E12" s="24" t="str">
        <x:v>Lutjanidae</x:v>
      </x:c>
      <x:c r="F12" s="24" t="str">
        <x:v>Snappers</x:v>
      </x:c>
      <x:c r="G12" s="24" t="str">
        <x:v>Medium reef assoc. fish (30 - 89 cm)</x:v>
      </x:c>
      <x:c r="H12" s="24" t="str">
        <x:v>Perch-likes</x:v>
      </x:c>
      <x:c r="I12" s="31" t="n">
        <x:v>287.885784804</x:v>
      </x:c>
      <x:c r="J12" s="31" t="n">
        <x:v>287.885784804</x:v>
      </x:c>
      <x:c r="K12" s="31" t="n">
        <x:v>0</x:v>
      </x:c>
      <x:c r="L12" s="31" t="n">
        <x:v>286.557230374</x:v>
      </x:c>
      <x:c r="M12" s="31" t="n">
        <x:v>1.32855443</x:v>
      </x:c>
      <x:c r="N12" s="24" t="str">
        <x:v>lutjanidae</x:v>
      </x:c>
      <x:c r="O12" s="32" t="n">
        <x:v>4.02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Lutjanidae</x:v>
      </x:c>
      <x:c r="T12" s="32" t="n">
        <x:f>IF(O12="","",(1/'Metadata'!$B$5)^(O12-1))</x:f>
        <x:v>1047.1285480508984</x:v>
      </x:c>
      <x:c r="U12" s="31" t="n">
        <x:f>IF(T12="","",I12*T12)</x:f>
        <x:v>301453.42384630593</x:v>
      </x:c>
    </x:row>
    <x:row r="13" ht="18" customHeight="1">
      <x:c r="A13" s="24" t="str">
        <x:v>EEZ_480</x:v>
      </x:c>
      <x:c r="B13" s="24" t="str">
        <x:v>Mauritius</x:v>
      </x:c>
      <x:c r="C13" s="24" t="str">
        <x:v>EEZ</x:v>
      </x:c>
      <x:c r="D13" s="30" t="n">
        <x:v>2019</x:v>
      </x:c>
      <x:c r="E13" s="24" t="str">
        <x:v>Siganidae</x:v>
      </x:c>
      <x:c r="F13" s="24" t="str">
        <x:v>Rabbitfishes</x:v>
      </x:c>
      <x:c r="G13" s="24" t="str">
        <x:v>Medium reef assoc. fish (30 - 89 cm)</x:v>
      </x:c>
      <x:c r="H13" s="24" t="str">
        <x:v>Perch-likes</x:v>
      </x:c>
      <x:c r="I13" s="31" t="n">
        <x:v>267.432337412</x:v>
      </x:c>
      <x:c r="J13" s="31" t="n">
        <x:v>267.432337412</x:v>
      </x:c>
      <x:c r="K13" s="31" t="n">
        <x:v>0</x:v>
      </x:c>
      <x:c r="L13" s="31" t="n">
        <x:v>150.86702609399998</x:v>
      </x:c>
      <x:c r="M13" s="31" t="n">
        <x:v>116.565311318</x:v>
      </x:c>
      <x:c r="N13" s="24" t="str">
        <x:v>siganidae</x:v>
      </x:c>
      <x:c r="O13" s="32" t="n">
        <x:v>2.11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Siganidae</x:v>
      </x:c>
      <x:c r="T13" s="32" t="n">
        <x:f>IF(O13="","",(1/'Metadata'!$B$5)^(O13-1))</x:f>
        <x:v>12.882495516931336</x:v>
      </x:c>
      <x:c r="U13" s="31" t="n">
        <x:f>IF(T13="","",I13*T13)</x:f>
        <x:v>3445.195887792558</x:v>
      </x:c>
    </x:row>
    <x:row r="14" ht="18" customHeight="1">
      <x:c r="A14" s="24" t="str">
        <x:v>EEZ_480</x:v>
      </x:c>
      <x:c r="B14" s="24" t="str">
        <x:v>Mauritius</x:v>
      </x:c>
      <x:c r="C14" s="24" t="str">
        <x:v>EEZ</x:v>
      </x:c>
      <x:c r="D14" s="30" t="n">
        <x:v>2019</x:v>
      </x:c>
      <x:c r="E14" s="24" t="str">
        <x:v>Mugilidae</x:v>
      </x:c>
      <x:c r="F14" s="24" t="str">
        <x:v>Mullets, grey mullets</x:v>
      </x:c>
      <x:c r="G14" s="24" t="str">
        <x:v>Medium reef assoc. fish (30 - 89 cm)</x:v>
      </x:c>
      <x:c r="H14" s="24" t="str">
        <x:v>Perch-likes</x:v>
      </x:c>
      <x:c r="I14" s="31" t="n">
        <x:v>237.752301411</x:v>
      </x:c>
      <x:c r="J14" s="31" t="n">
        <x:v>237.752301411</x:v>
      </x:c>
      <x:c r="K14" s="31" t="n">
        <x:v>0</x:v>
      </x:c>
      <x:c r="L14" s="31" t="n">
        <x:v>140.71713991299998</x:v>
      </x:c>
      <x:c r="M14" s="31" t="n">
        <x:v>97.03516149800001</x:v>
      </x:c>
      <x:c r="N14" s="24" t="str">
        <x:v>mugilidae</x:v>
      </x:c>
      <x:c r="O14" s="32" t="n">
        <x:v>2.53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Mugilidae</x:v>
      </x:c>
      <x:c r="T14" s="32" t="n">
        <x:f>IF(O14="","",(1/'Metadata'!$B$5)^(O14-1))</x:f>
        <x:v>33.88441561392024</x:v>
      </x:c>
      <x:c r="U14" s="31" t="n">
        <x:f>IF(T14="","",I14*T14)</x:f>
        <x:v>8056.0977941763595</x:v>
      </x:c>
    </x:row>
    <x:row r="15" ht="18" customHeight="1">
      <x:c r="A15" s="24" t="str">
        <x:v>EEZ_480</x:v>
      </x:c>
      <x:c r="B15" s="24" t="str">
        <x:v>Mauritius</x:v>
      </x:c>
      <x:c r="C15" s="24" t="str">
        <x:v>EEZ</x:v>
      </x:c>
      <x:c r="D15" s="30" t="n">
        <x:v>2019</x:v>
      </x:c>
      <x:c r="E15" s="24" t="str">
        <x:v>Octopodidae</x:v>
      </x:c>
      <x:c r="F15" s="24" t="str">
        <x:v>Octopuses</x:v>
      </x:c>
      <x:c r="G15" s="24" t="str">
        <x:v>Cephalopods</x:v>
      </x:c>
      <x:c r="H15" s="24" t="str">
        <x:v>Other fishes &amp; inverts</x:v>
      </x:c>
      <x:c r="I15" s="31" t="n">
        <x:v>233.569795806</x:v>
      </x:c>
      <x:c r="J15" s="31" t="n">
        <x:v>233.569795806</x:v>
      </x:c>
      <x:c r="K15" s="31" t="n">
        <x:v>0</x:v>
      </x:c>
      <x:c r="L15" s="31" t="n">
        <x:v>127.757723325</x:v>
      </x:c>
      <x:c r="M15" s="31" t="n">
        <x:v>105.812072481</x:v>
      </x:c>
      <x:c r="N15" s="24" t="str">
        <x:v>octopodidae</x:v>
      </x:c>
      <x:c r="O15" s="32" t="n">
        <x:v>3.59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Octopodidae</x:v>
      </x:c>
      <x:c r="T15" s="32" t="n">
        <x:f>IF(O15="","",(1/'Metadata'!$B$5)^(O15-1))</x:f>
        <x:v>389.04514499428046</x:v>
      </x:c>
      <x:c r="U15" s="31" t="n">
        <x:f>IF(T15="","",I15*T15)</x:f>
        <x:v>90869.19507562974</x:v>
      </x:c>
    </x:row>
    <x:row r="16" ht="18" customHeight="1">
      <x:c r="A16" s="24" t="str">
        <x:v>EEZ_480</x:v>
      </x:c>
      <x:c r="B16" s="24" t="str">
        <x:v>Mauritius</x:v>
      </x:c>
      <x:c r="C16" s="24" t="str">
        <x:v>EEZ</x:v>
      </x:c>
      <x:c r="D16" s="30" t="n">
        <x:v>2019</x:v>
      </x:c>
      <x:c r="E16" s="24" t="str">
        <x:v>Serranidae</x:v>
      </x:c>
      <x:c r="F16" s="24" t="str">
        <x:v>Basses, groupers, hinds</x:v>
      </x:c>
      <x:c r="G16" s="24" t="str">
        <x:v>Medium reef assoc. fish (30 - 89 cm)</x:v>
      </x:c>
      <x:c r="H16" s="24" t="str">
        <x:v>Perch-likes</x:v>
      </x:c>
      <x:c r="I16" s="31" t="n">
        <x:v>229.63463808400002</x:v>
      </x:c>
      <x:c r="J16" s="31" t="n">
        <x:v>229.63463808400002</x:v>
      </x:c>
      <x:c r="K16" s="31" t="n">
        <x:v>0</x:v>
      </x:c>
      <x:c r="L16" s="31" t="n">
        <x:v>157.855212503</x:v>
      </x:c>
      <x:c r="M16" s="31" t="n">
        <x:v>71.779425581</x:v>
      </x:c>
      <x:c r="N16" s="24" t="str">
        <x:v>serranidae</x:v>
      </x:c>
      <x:c r="O16" s="32" t="n">
        <x:v>3.98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Serranidae</x:v>
      </x:c>
      <x:c r="T16" s="32" t="n">
        <x:f>IF(O16="","",(1/'Metadata'!$B$5)^(O16-1))</x:f>
        <x:v>954.992586021436</x:v>
      </x:c>
      <x:c r="U16" s="31" t="n">
        <x:f>IF(T16="","",I16*T16)</x:f>
        <x:v>219299.3768639357</x:v>
      </x:c>
    </x:row>
    <x:row r="17" ht="18" customHeight="1">
      <x:c r="A17" s="24" t="str">
        <x:v>EEZ_480</x:v>
      </x:c>
      <x:c r="B17" s="24" t="str">
        <x:v>Mauritius</x:v>
      </x:c>
      <x:c r="C17" s="24" t="str">
        <x:v>EEZ</x:v>
      </x:c>
      <x:c r="D17" s="30" t="n">
        <x:v>2019</x:v>
      </x:c>
      <x:c r="E17" s="24" t="str">
        <x:v>Thunnus obesus</x:v>
      </x:c>
      <x:c r="F17" s="24" t="str">
        <x:v>Bigeye tuna</x:v>
      </x:c>
      <x:c r="G17" s="24" t="str">
        <x:v>Large pelagics (&gt;=90 cm)</x:v>
      </x:c>
      <x:c r="H17" s="24" t="str">
        <x:v>Tuna &amp; billfishes</x:v>
      </x:c>
      <x:c r="I17" s="31" t="n">
        <x:v>225.5722320483</x:v>
      </x:c>
      <x:c r="J17" s="31" t="n">
        <x:v>225.5722320483</x:v>
      </x:c>
      <x:c r="K17" s="31" t="n">
        <x:v>0</x:v>
      </x:c>
      <x:c r="L17" s="31" t="n">
        <x:v>225.5722320483</x:v>
      </x:c>
      <x:c r="M17" s="31" t="n">
        <x:v>0</x:v>
      </x:c>
      <x:c r="N17" s="24" t="str">
        <x:v>thunnus obesus</x:v>
      </x:c>
      <x:c r="O17" s="32" t="n">
        <x:v>4.49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Thunnus obesus</x:v>
      </x:c>
      <x:c r="T17" s="32" t="n">
        <x:f>IF(O17="","",(1/'Metadata'!$B$5)^(O17-1))</x:f>
        <x:v>3090.295432513592</x:v>
      </x:c>
      <x:c r="U17" s="31" t="n">
        <x:f>IF(T17="","",I17*T17)</x:f>
        <x:v>697084.8384007576</x:v>
      </x:c>
    </x:row>
    <x:row r="18" ht="18" customHeight="1">
      <x:c r="A18" s="24" t="str">
        <x:v>EEZ_480</x:v>
      </x:c>
      <x:c r="B18" s="24" t="str">
        <x:v>Mauritius</x:v>
      </x:c>
      <x:c r="C18" s="24" t="str">
        <x:v>EEZ</x:v>
      </x:c>
      <x:c r="D18" s="30" t="n">
        <x:v>2019</x:v>
      </x:c>
      <x:c r="E18" s="24" t="str">
        <x:v>Lethrinidae</x:v>
      </x:c>
      <x:c r="F18" s="24" t="str">
        <x:v>Emperors, scavengers</x:v>
      </x:c>
      <x:c r="G18" s="24" t="str">
        <x:v>Medium reef assoc. fish (30 - 89 cm)</x:v>
      </x:c>
      <x:c r="H18" s="24" t="str">
        <x:v>Perch-likes</x:v>
      </x:c>
      <x:c r="I18" s="31" t="n">
        <x:v>206.756305021</x:v>
      </x:c>
      <x:c r="J18" s="31" t="n">
        <x:v>206.756305021</x:v>
      </x:c>
      <x:c r="K18" s="31" t="n">
        <x:v>0</x:v>
      </x:c>
      <x:c r="L18" s="31" t="n">
        <x:v>202.569417048</x:v>
      </x:c>
      <x:c r="M18" s="31" t="n">
        <x:v>4.186887973</x:v>
      </x:c>
      <x:c r="N18" s="24" t="str">
        <x:v>lethrinidae</x:v>
      </x:c>
      <x:c r="O18" s="32" t="n">
        <x:v>3.59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Lethrinidae</x:v>
      </x:c>
      <x:c r="T18" s="32" t="n">
        <x:f>IF(O18="","",(1/'Metadata'!$B$5)^(O18-1))</x:f>
        <x:v>389.04514499428046</x:v>
      </x:c>
      <x:c r="U18" s="31" t="n">
        <x:f>IF(T18="","",I18*T18)</x:f>
        <x:v>80437.53666537663</x:v>
      </x:c>
    </x:row>
    <x:row r="19" ht="18" customHeight="1">
      <x:c r="A19" s="24" t="str">
        <x:v>EEZ_480</x:v>
      </x:c>
      <x:c r="B19" s="24" t="str">
        <x:v>Mauritius</x:v>
      </x:c>
      <x:c r="C19" s="24" t="str">
        <x:v>EEZ</x:v>
      </x:c>
      <x:c r="D19" s="30" t="n">
        <x:v>2019</x:v>
      </x:c>
      <x:c r="E19" s="24" t="str">
        <x:v>Xiphias gladius</x:v>
      </x:c>
      <x:c r="F19" s="24" t="str">
        <x:v>Swordfish</x:v>
      </x:c>
      <x:c r="G19" s="24" t="str">
        <x:v>Large pelagics (&gt;=90 cm)</x:v>
      </x:c>
      <x:c r="H19" s="24" t="str">
        <x:v>Tuna &amp; billfishes</x:v>
      </x:c>
      <x:c r="I19" s="31" t="n">
        <x:v>200.95034552410002</x:v>
      </x:c>
      <x:c r="J19" s="31" t="n">
        <x:v>200.95034552410002</x:v>
      </x:c>
      <x:c r="K19" s="31" t="n">
        <x:v>0</x:v>
      </x:c>
      <x:c r="L19" s="31" t="n">
        <x:v>200.95034552410002</x:v>
      </x:c>
      <x:c r="M19" s="31" t="n">
        <x:v>0</x:v>
      </x:c>
      <x:c r="N19" s="24" t="str">
        <x:v>xiphias gladius</x:v>
      </x:c>
      <x:c r="O19" s="32" t="n">
        <x:v>4.53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Xiphias gladius</x:v>
      </x:c>
      <x:c r="T19" s="32" t="n">
        <x:f>IF(O19="","",(1/'Metadata'!$B$5)^(O19-1))</x:f>
        <x:v>3388.4415613920273</x:v>
      </x:c>
      <x:c r="U19" s="31" t="n">
        <x:f>IF(T19="","",I19*T19)</x:f>
        <x:v>680908.5025499489</x:v>
      </x:c>
    </x:row>
    <x:row r="20" ht="18" customHeight="1">
      <x:c r="A20" s="24" t="str">
        <x:v>EEZ_480</x:v>
      </x:c>
      <x:c r="B20" s="24" t="str">
        <x:v>Mauritius</x:v>
      </x:c>
      <x:c r="C20" s="24" t="str">
        <x:v>EEZ</x:v>
      </x:c>
      <x:c r="D20" s="30" t="n">
        <x:v>2019</x:v>
      </x:c>
      <x:c r="E20" s="24" t="str">
        <x:v>Mullidae</x:v>
      </x:c>
      <x:c r="F20" s="24" t="str">
        <x:v>Goatfishes</x:v>
      </x:c>
      <x:c r="G20" s="24" t="str">
        <x:v>Medium reef assoc. fish (30 - 89 cm)</x:v>
      </x:c>
      <x:c r="H20" s="24" t="str">
        <x:v>Perch-likes</x:v>
      </x:c>
      <x:c r="I20" s="31" t="n">
        <x:v>174.752581203</x:v>
      </x:c>
      <x:c r="J20" s="31" t="n">
        <x:v>174.752581203</x:v>
      </x:c>
      <x:c r="K20" s="31" t="n">
        <x:v>0</x:v>
      </x:c>
      <x:c r="L20" s="31" t="n">
        <x:v>107.25444906</x:v>
      </x:c>
      <x:c r="M20" s="31" t="n">
        <x:v>67.49813214299999</x:v>
      </x:c>
      <x:c r="N20" s="24" t="str">
        <x:v>mullidae</x:v>
      </x:c>
      <x:c r="O20" s="32" t="n">
        <x:v>3.46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Mullidae</x:v>
      </x:c>
      <x:c r="T20" s="32" t="n">
        <x:f>IF(O20="","",(1/'Metadata'!$B$5)^(O20-1))</x:f>
        <x:v>288.40315031266056</x:v>
      </x:c>
      <x:c r="U20" s="31" t="n">
        <x:f>IF(T20="","",I20*T20)</x:f>
        <x:v>50399.19494421423</x:v>
      </x:c>
    </x:row>
    <x:row r="21" ht="18" customHeight="1">
      <x:c r="A21" s="24" t="str">
        <x:v>EEZ_480</x:v>
      </x:c>
      <x:c r="B21" s="24" t="str">
        <x:v>Mauritius</x:v>
      </x:c>
      <x:c r="C21" s="24" t="str">
        <x:v>EEZ</x:v>
      </x:c>
      <x:c r="D21" s="30" t="n">
        <x:v>2019</x:v>
      </x:c>
      <x:c r="E21" s="24" t="str">
        <x:v>Siganus</x:v>
      </x:c>
      <x:c r="F21" s="24" t="str">
        <x:v>Spinefoots</x:v>
      </x:c>
      <x:c r="G21" s="24" t="str">
        <x:v>Medium reef assoc. fish (30 - 89 cm)</x:v>
      </x:c>
      <x:c r="H21" s="24" t="str">
        <x:v>Perch-likes</x:v>
      </x:c>
      <x:c r="I21" s="31" t="n">
        <x:v>143.441068586</x:v>
      </x:c>
      <x:c r="J21" s="31" t="n">
        <x:v>143.441068586</x:v>
      </x:c>
      <x:c r="K21" s="31" t="n">
        <x:v>0</x:v>
      </x:c>
      <x:c r="L21" s="31" t="n">
        <x:v>96.475165457</x:v>
      </x:c>
      <x:c r="M21" s="31" t="n">
        <x:v>46.965903129000004</x:v>
      </x:c>
      <x:c r="N21" s="24" t="str">
        <x:v>siganus</x:v>
      </x:c>
      <x:c r="O21" s="32" t="n">
        <x:v>2.11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Siganus</x:v>
      </x:c>
      <x:c r="T21" s="32" t="n">
        <x:f>IF(O21="","",(1/'Metadata'!$B$5)^(O21-1))</x:f>
        <x:v>12.882495516931336</x:v>
      </x:c>
      <x:c r="U21" s="31" t="n">
        <x:f>IF(T21="","",I21*T21)</x:f>
        <x:v>1847.8789230029852</x:v>
      </x:c>
    </x:row>
    <x:row r="22" ht="18" customHeight="1">
      <x:c r="A22" s="24" t="str">
        <x:v>EEZ_480</x:v>
      </x:c>
      <x:c r="B22" s="24" t="str">
        <x:v>Mauritius</x:v>
      </x:c>
      <x:c r="C22" s="24" t="str">
        <x:v>EEZ</x:v>
      </x:c>
      <x:c r="D22" s="30" t="n">
        <x:v>2019</x:v>
      </x:c>
      <x:c r="E22" s="24" t="str">
        <x:v>Acanthuridae</x:v>
      </x:c>
      <x:c r="F22" s="24" t="str">
        <x:v>Surgeons, tangs, unicornfishes</x:v>
      </x:c>
      <x:c r="G22" s="24" t="str">
        <x:v>Small reef assoc. fish (&lt;30 cm)</x:v>
      </x:c>
      <x:c r="H22" s="24" t="str">
        <x:v>Perch-likes</x:v>
      </x:c>
      <x:c r="I22" s="31" t="n">
        <x:v>139.74261292</x:v>
      </x:c>
      <x:c r="J22" s="31" t="n">
        <x:v>139.74261292</x:v>
      </x:c>
      <x:c r="K22" s="31" t="n">
        <x:v>0</x:v>
      </x:c>
      <x:c r="L22" s="31" t="n">
        <x:v>76.43624476</x:v>
      </x:c>
      <x:c r="M22" s="31" t="n">
        <x:v>63.30636816</x:v>
      </x:c>
      <x:c r="N22" s="24" t="str">
        <x:v>acanthuridae</x:v>
      </x:c>
      <x:c r="O22" s="32" t="n">
        <x:v>2.28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Acanthuridae</x:v>
      </x:c>
      <x:c r="T22" s="32" t="n">
        <x:f>IF(O22="","",(1/'Metadata'!$B$5)^(O22-1))</x:f>
        <x:v>19.054607179632463</x:v>
      </x:c>
      <x:c r="U22" s="31" t="n">
        <x:f>IF(T22="","",I22*T22)</x:f>
        <x:v>2662.7405954460323</x:v>
      </x:c>
    </x:row>
    <x:row r="23" ht="18" customHeight="1">
      <x:c r="A23" s="24" t="str">
        <x:v>EEZ_480</x:v>
      </x:c>
      <x:c r="B23" s="24" t="str">
        <x:v>Mauritius</x:v>
      </x:c>
      <x:c r="C23" s="24" t="str">
        <x:v>EEZ</x:v>
      </x:c>
      <x:c r="D23" s="30" t="n">
        <x:v>2019</x:v>
      </x:c>
      <x:c r="E23" s="24" t="str">
        <x:v>Naso</x:v>
      </x:c>
      <x:c r="F23" s="24" t="str">
        <x:v>Unicornfishes</x:v>
      </x:c>
      <x:c r="G23" s="24" t="str">
        <x:v>Medium reef assoc. fish (30 - 89 cm)</x:v>
      </x:c>
      <x:c r="H23" s="24" t="str">
        <x:v>Perch-likes</x:v>
      </x:c>
      <x:c r="I23" s="31" t="n">
        <x:v>120.13205695799999</x:v>
      </x:c>
      <x:c r="J23" s="31" t="n">
        <x:v>120.13205695799999</x:v>
      </x:c>
      <x:c r="K23" s="31" t="n">
        <x:v>0</x:v>
      </x:c>
      <x:c r="L23" s="31" t="n">
        <x:v>81.416503373</x:v>
      </x:c>
      <x:c r="M23" s="31" t="n">
        <x:v>38.715553585</x:v>
      </x:c>
      <x:c r="N23" s="24" t="str">
        <x:v>naso</x:v>
      </x:c>
      <x:c r="O23" s="32" t="n">
        <x:v>3.28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Naso</x:v>
      </x:c>
      <x:c r="T23" s="32" t="n">
        <x:f>IF(O23="","",(1/'Metadata'!$B$5)^(O23-1))</x:f>
        <x:v>190.54607179632464</x:v>
      </x:c>
      <x:c r="U23" s="31" t="n">
        <x:f>IF(T23="","",I23*T23)</x:f>
        <x:v>22890.691550159227</x:v>
      </x:c>
    </x:row>
    <x:row r="24" ht="18" customHeight="1">
      <x:c r="A24" s="24" t="str">
        <x:v>EEZ_480</x:v>
      </x:c>
      <x:c r="B24" s="24" t="str">
        <x:v>Mauritius</x:v>
      </x:c>
      <x:c r="C24" s="24" t="str">
        <x:v>EEZ</x:v>
      </x:c>
      <x:c r="D24" s="30" t="n">
        <x:v>2019</x:v>
      </x:c>
      <x:c r="E24" s="24" t="str">
        <x:v>Coryphaena hippurus</x:v>
      </x:c>
      <x:c r="F24" s="24" t="str">
        <x:v>Common dolphinfish</x:v>
      </x:c>
      <x:c r="G24" s="24" t="str">
        <x:v>Large pelagics (&gt;=90 cm)</x:v>
      </x:c>
      <x:c r="H24" s="24" t="str">
        <x:v>Perch-likes</x:v>
      </x:c>
      <x:c r="I24" s="31" t="n">
        <x:v>112.5865649166</x:v>
      </x:c>
      <x:c r="J24" s="31" t="n">
        <x:v>112.5865649166</x:v>
      </x:c>
      <x:c r="K24" s="31" t="n">
        <x:v>0</x:v>
      </x:c>
      <x:c r="L24" s="31" t="n">
        <x:v>96.0213861466</x:v>
      </x:c>
      <x:c r="M24" s="31" t="n">
        <x:v>16.56517877</x:v>
      </x:c>
      <x:c r="N24" s="24" t="str">
        <x:v>coryphaena hippurus</x:v>
      </x:c>
      <x:c r="O24" s="32" t="n">
        <x:v>4.37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Coryphaena hippurus</x:v>
      </x:c>
      <x:c r="T24" s="32" t="n">
        <x:f>IF(O24="","",(1/'Metadata'!$B$5)^(O24-1))</x:f>
        <x:v>2344.228815319923</x:v>
      </x:c>
      <x:c r="U24" s="31" t="n">
        <x:f>IF(T24="","",I24*T24)</x:f>
        <x:v>263928.6696953808</x:v>
      </x:c>
    </x:row>
    <x:row r="25" ht="18" customHeight="1">
      <x:c r="A25" s="24" t="str">
        <x:v>EEZ_480</x:v>
      </x:c>
      <x:c r="B25" s="24" t="str">
        <x:v>Mauritius</x:v>
      </x:c>
      <x:c r="C25" s="24" t="str">
        <x:v>EEZ</x:v>
      </x:c>
      <x:c r="D25" s="30" t="n">
        <x:v>2019</x:v>
      </x:c>
      <x:c r="E25" s="24" t="str">
        <x:v>Lethrinus nebulosus</x:v>
      </x:c>
      <x:c r="F25" s="24" t="str">
        <x:v>Spangled emperor</x:v>
      </x:c>
      <x:c r="G25" s="24" t="str">
        <x:v>Medium demersals (30 - 89 cm)</x:v>
      </x:c>
      <x:c r="H25" s="24" t="str">
        <x:v>Perch-likes</x:v>
      </x:c>
      <x:c r="I25" s="31" t="n">
        <x:v>94.602491746</x:v>
      </x:c>
      <x:c r="J25" s="31" t="n">
        <x:v>94.602491746</x:v>
      </x:c>
      <x:c r="K25" s="31" t="n">
        <x:v>0</x:v>
      </x:c>
      <x:c r="L25" s="31" t="n">
        <x:v>63.62746132</x:v>
      </x:c>
      <x:c r="M25" s="31" t="n">
        <x:v>30.975030426</x:v>
      </x:c>
      <x:c r="N25" s="24" t="str">
        <x:v>lethrinus nebulosus</x:v>
      </x:c>
      <x:c r="O25" s="32" t="n">
        <x:v>3.76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Lethrinus nebulosus</x:v>
      </x:c>
      <x:c r="T25" s="32" t="n">
        <x:f>IF(O25="","",(1/'Metadata'!$B$5)^(O25-1))</x:f>
        <x:v>575.4399373371566</x:v>
      </x:c>
      <x:c r="U25" s="31" t="n">
        <x:f>IF(T25="","",I25*T25)</x:f>
        <x:v>54438.05192225712</x:v>
      </x:c>
    </x:row>
    <x:row r="26" ht="18" customHeight="1">
      <x:c r="A26" s="24" t="str">
        <x:v>EEZ_480</x:v>
      </x:c>
      <x:c r="B26" s="24" t="str">
        <x:v>Mauritius</x:v>
      </x:c>
      <x:c r="C26" s="24" t="str">
        <x:v>EEZ</x:v>
      </x:c>
      <x:c r="D26" s="30" t="n">
        <x:v>2019</x:v>
      </x:c>
      <x:c r="E26" s="24" t="str">
        <x:v>Octopus vulgaris</x:v>
      </x:c>
      <x:c r="F26" s="24" t="str">
        <x:v>Common octopus</x:v>
      </x:c>
      <x:c r="G26" s="24" t="str">
        <x:v>Cephalopods</x:v>
      </x:c>
      <x:c r="H26" s="24" t="str">
        <x:v>Other fishes &amp; inverts</x:v>
      </x:c>
      <x:c r="I26" s="31" t="n">
        <x:v>92.153630208</x:v>
      </x:c>
      <x:c r="J26" s="31" t="n">
        <x:v>92.153630208</x:v>
      </x:c>
      <x:c r="K26" s="31" t="n">
        <x:v>0</x:v>
      </x:c>
      <x:c r="L26" s="31" t="n">
        <x:v>61.98041334</x:v>
      </x:c>
      <x:c r="M26" s="31" t="n">
        <x:v>30.173216867999997</x:v>
      </x:c>
      <x:c r="N26" s="24" t="str">
        <x:v>octopus vulgaris</x:v>
      </x:c>
      <x:c r="O26" s="32" t="n">
        <x:v>3.6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Octopus vulgaris</x:v>
      </x:c>
      <x:c r="T26" s="32" t="n">
        <x:f>IF(O26="","",(1/'Metadata'!$B$5)^(O26-1))</x:f>
        <x:v>398.1071705534973</x:v>
      </x:c>
      <x:c r="U26" s="31" t="n">
        <x:f>IF(T26="","",I26*T26)</x:f>
        <x:v>36687.02097834018</x:v>
      </x:c>
    </x:row>
    <x:row r="27" ht="18" customHeight="1">
      <x:c r="A27" s="24" t="str">
        <x:v>EEZ_480</x:v>
      </x:c>
      <x:c r="B27" s="24" t="str">
        <x:v>Mauritius</x:v>
      </x:c>
      <x:c r="C27" s="24" t="str">
        <x:v>EEZ</x:v>
      </x:c>
      <x:c r="D27" s="30" t="n">
        <x:v>2019</x:v>
      </x:c>
      <x:c r="E27" s="24" t="str">
        <x:v>Carcharhinus falciformis</x:v>
      </x:c>
      <x:c r="F27" s="24" t="str">
        <x:v>Silky shark</x:v>
      </x:c>
      <x:c r="G27" s="24" t="str">
        <x:v>Large sharks (&gt;=90 cm)</x:v>
      </x:c>
      <x:c r="H27" s="24" t="str">
        <x:v>Sharks &amp; rays</x:v>
      </x:c>
      <x:c r="I27" s="31" t="n">
        <x:v>81.10258431860001</x:v>
      </x:c>
      <x:c r="J27" s="31" t="n">
        <x:v>81.10258431860001</x:v>
      </x:c>
      <x:c r="K27" s="31" t="n">
        <x:v>0</x:v>
      </x:c>
      <x:c r="L27" s="31" t="n">
        <x:v>81.10258431860001</x:v>
      </x:c>
      <x:c r="M27" s="31" t="n">
        <x:v>0</x:v>
      </x:c>
      <x:c r="N27" s="24" t="str">
        <x:v>carcharhinus falciformis</x:v>
      </x:c>
      <x:c r="O27" s="32" t="n">
        <x:v>4.51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Carcharhinus falciformis</x:v>
      </x:c>
      <x:c r="T27" s="32" t="n">
        <x:f>IF(O27="","",(1/'Metadata'!$B$5)^(O27-1))</x:f>
        <x:v>3235.936569296281</x:v>
      </x:c>
      <x:c r="U27" s="31" t="n">
        <x:f>IF(T27="","",I27*T27)</x:f>
        <x:v>262442.8184609929</x:v>
      </x:c>
    </x:row>
    <x:row r="28" ht="18" customHeight="1">
      <x:c r="A28" s="24" t="str">
        <x:v>EEZ_480</x:v>
      </x:c>
      <x:c r="B28" s="24" t="str">
        <x:v>Mauritius</x:v>
      </x:c>
      <x:c r="C28" s="24" t="str">
        <x:v>EEZ</x:v>
      </x:c>
      <x:c r="D28" s="30" t="n">
        <x:v>2019</x:v>
      </x:c>
      <x:c r="E28" s="24" t="str">
        <x:v>Carangidae</x:v>
      </x:c>
      <x:c r="F28" s="24" t="str">
        <x:v>Jacks, pompanos</x:v>
      </x:c>
      <x:c r="G28" s="24" t="str">
        <x:v>Medium pelagics (30 - 89 cm)</x:v>
      </x:c>
      <x:c r="H28" s="24" t="str">
        <x:v>Perch-likes</x:v>
      </x:c>
      <x:c r="I28" s="31" t="n">
        <x:v>80.219138257</x:v>
      </x:c>
      <x:c r="J28" s="31" t="n">
        <x:v>80.219138257</x:v>
      </x:c>
      <x:c r="K28" s="31" t="n">
        <x:v>0</x:v>
      </x:c>
      <x:c r="L28" s="31" t="n">
        <x:v>63.404158855000006</x:v>
      </x:c>
      <x:c r="M28" s="31" t="n">
        <x:v>16.814979402000002</x:v>
      </x:c>
      <x:c r="N28" s="24" t="str">
        <x:v>carangidae</x:v>
      </x:c>
      <x:c r="O28" s="32" t="n">
        <x:v>4.05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Carangidae</x:v>
      </x:c>
      <x:c r="T28" s="32" t="n">
        <x:f>IF(O28="","",(1/'Metadata'!$B$5)^(O28-1))</x:f>
        <x:v>1122.018454301963</x:v>
      </x:c>
      <x:c r="U28" s="31" t="n">
        <x:f>IF(T28="","",I28*T28)</x:f>
        <x:v>90007.3535125546</x:v>
      </x:c>
    </x:row>
    <x:row r="29" ht="18" customHeight="1">
      <x:c r="A29" s="24" t="str">
        <x:v>EEZ_480</x:v>
      </x:c>
      <x:c r="B29" s="24" t="str">
        <x:v>Mauritius</x:v>
      </x:c>
      <x:c r="C29" s="24" t="str">
        <x:v>EEZ</x:v>
      </x:c>
      <x:c r="D29" s="30" t="n">
        <x:v>2019</x:v>
      </x:c>
      <x:c r="E29" s="24" t="str">
        <x:v>Katsuwonus pelamis</x:v>
      </x:c>
      <x:c r="F29" s="24" t="str">
        <x:v>Skipjack tuna</x:v>
      </x:c>
      <x:c r="G29" s="24" t="str">
        <x:v>Large pelagics (&gt;=90 cm)</x:v>
      </x:c>
      <x:c r="H29" s="24" t="str">
        <x:v>Tuna &amp; billfishes</x:v>
      </x:c>
      <x:c r="I29" s="31" t="n">
        <x:v>63.7938599641</x:v>
      </x:c>
      <x:c r="J29" s="31" t="n">
        <x:v>63.7938599641</x:v>
      </x:c>
      <x:c r="K29" s="31" t="n">
        <x:v>0</x:v>
      </x:c>
      <x:c r="L29" s="31" t="n">
        <x:v>63.7938599641</x:v>
      </x:c>
      <x:c r="M29" s="31" t="n">
        <x:v>0</x:v>
      </x:c>
      <x:c r="N29" s="24" t="str">
        <x:v>katsuwonus pelamis</x:v>
      </x:c>
      <x:c r="O29" s="32" t="n">
        <x:v>4.43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Katsuwonus pelamis</x:v>
      </x:c>
      <x:c r="T29" s="32" t="n">
        <x:f>IF(O29="","",(1/'Metadata'!$B$5)^(O29-1))</x:f>
        <x:v>2691.534803926914</x:v>
      </x:c>
      <x:c r="U29" s="31" t="n">
        <x:f>IF(T29="","",I29*T29)</x:f>
        <x:v>171703.3943702149</x:v>
      </x:c>
    </x:row>
    <x:row r="30" ht="18" customHeight="1">
      <x:c r="A30" s="24" t="str">
        <x:v>EEZ_480</x:v>
      </x:c>
      <x:c r="B30" s="24" t="str">
        <x:v>Mauritius</x:v>
      </x:c>
      <x:c r="C30" s="24" t="str">
        <x:v>EEZ</x:v>
      </x:c>
      <x:c r="D30" s="30" t="n">
        <x:v>2019</x:v>
      </x:c>
      <x:c r="E30" s="24" t="str">
        <x:v>Gerres longirostris</x:v>
      </x:c>
      <x:c r="F30" s="24" t="str">
        <x:v>Strongspine silver-biddy</x:v>
      </x:c>
      <x:c r="G30" s="24" t="str">
        <x:v>Medium demersals (30 - 89 cm)</x:v>
      </x:c>
      <x:c r="H30" s="24" t="str">
        <x:v>Perch-likes</x:v>
      </x:c>
      <x:c r="I30" s="31" t="n">
        <x:v>60.986188379</x:v>
      </x:c>
      <x:c r="J30" s="31" t="n">
        <x:v>60.986188379</x:v>
      </x:c>
      <x:c r="K30" s="31" t="n">
        <x:v>0</x:v>
      </x:c>
      <x:c r="L30" s="31" t="n">
        <x:v>41.01790842</x:v>
      </x:c>
      <x:c r="M30" s="31" t="n">
        <x:v>19.968279959</x:v>
      </x:c>
      <x:c r="N30" s="24" t="str">
        <x:v>gerres longirostris</x:v>
      </x:c>
      <x:c r="O30" s="32" t="n">
        <x:v>3.5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Gerres longirostris</x:v>
      </x:c>
      <x:c r="T30" s="32" t="n">
        <x:f>IF(O30="","",(1/'Metadata'!$B$5)^(O30-1))</x:f>
        <x:v>316.22776601683796</x:v>
      </x:c>
      <x:c r="U30" s="31" t="n">
        <x:f>IF(T30="","",I30*T30)</x:f>
        <x:v>19285.526108973212</x:v>
      </x:c>
    </x:row>
    <x:row r="31" ht="18" customHeight="1">
      <x:c r="A31" s="24" t="str">
        <x:v>EEZ_480</x:v>
      </x:c>
      <x:c r="B31" s="24" t="str">
        <x:v>Mauritius</x:v>
      </x:c>
      <x:c r="C31" s="24" t="str">
        <x:v>EEZ</x:v>
      </x:c>
      <x:c r="D31" s="30" t="n">
        <x:v>2019</x:v>
      </x:c>
      <x:c r="E31" s="24" t="str">
        <x:v>Marine pelagic fishes not identified</x:v>
      </x:c>
      <x:c r="F31" s="24" t="str">
        <x:v>Pelagic fishes</x:v>
      </x:c>
      <x:c r="G31" s="24" t="str">
        <x:v>Medium pelagics (30 - 89 cm)</x:v>
      </x:c>
      <x:c r="H31" s="24" t="str">
        <x:v>Other fishes &amp; inverts</x:v>
      </x:c>
      <x:c r="I31" s="31" t="n">
        <x:v>51.1154518401</x:v>
      </x:c>
      <x:c r="J31" s="31" t="n">
        <x:v>51.1154518401</x:v>
      </x:c>
      <x:c r="K31" s="31" t="n">
        <x:v>0</x:v>
      </x:c>
      <x:c r="L31" s="31" t="n">
        <x:v>51.1154518401</x:v>
      </x:c>
      <x:c r="M31" s="31" t="n">
        <x:v>0</x:v>
      </x:c>
      <x:c r="N31" s="24" t="str">
        <x:v>marine pelagic fishes not identified</x:v>
      </x:c>
      <x:c r="O31" s="32" t="n">
        <x:v>3.35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Marine pelagic fishes not identified</x:v>
      </x:c>
      <x:c r="T31" s="32" t="n">
        <x:f>IF(O31="","",(1/'Metadata'!$B$5)^(O31-1))</x:f>
        <x:v>223.872113856834</x:v>
      </x:c>
      <x:c r="U31" s="31" t="n">
        <x:f>IF(T31="","",I31*T31)</x:f>
        <x:v>11443.324254190382</x:v>
      </x:c>
    </x:row>
    <x:row r="32" ht="18" customHeight="1">
      <x:c r="A32" s="24" t="str">
        <x:v>EEZ_480</x:v>
      </x:c>
      <x:c r="B32" s="24" t="str">
        <x:v>Mauritius</x:v>
      </x:c>
      <x:c r="C32" s="24" t="str">
        <x:v>EEZ</x:v>
      </x:c>
      <x:c r="D32" s="30" t="n">
        <x:v>2019</x:v>
      </x:c>
      <x:c r="E32" s="24" t="str">
        <x:v>Beryx splendens</x:v>
      </x:c>
      <x:c r="F32" s="24" t="str">
        <x:v>Splendid alfonsino</x:v>
      </x:c>
      <x:c r="G32" s="24" t="str">
        <x:v>Medium benthopelagics (30 - 89 cm)</x:v>
      </x:c>
      <x:c r="H32" s="24" t="str">
        <x:v>Other fishes &amp; inverts</x:v>
      </x:c>
      <x:c r="I32" s="31" t="n">
        <x:v>47.45026111</x:v>
      </x:c>
      <x:c r="J32" s="31" t="n">
        <x:v>47.45026111</x:v>
      </x:c>
      <x:c r="K32" s="31" t="n">
        <x:v>0</x:v>
      </x:c>
      <x:c r="L32" s="31" t="n">
        <x:v>47.45026111</x:v>
      </x:c>
      <x:c r="M32" s="31" t="n">
        <x:v>0</x:v>
      </x:c>
      <x:c r="N32" s="24" t="str">
        <x:v>beryx splendens</x:v>
      </x:c>
      <x:c r="O32" s="32" t="n">
        <x:v>4.27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Beryx splendens</x:v>
      </x:c>
      <x:c r="T32" s="32" t="n">
        <x:f>IF(O32="","",(1/'Metadata'!$B$5)^(O32-1))</x:f>
        <x:v>1862.0871366628655</x:v>
      </x:c>
      <x:c r="U32" s="31" t="n">
        <x:f>IF(T32="","",I32*T32)</x:f>
        <x:v>88356.52084422522</x:v>
      </x:c>
    </x:row>
    <x:row r="33" ht="18" customHeight="1">
      <x:c r="A33" s="24" t="str">
        <x:v>EEZ_480</x:v>
      </x:c>
      <x:c r="B33" s="24" t="str">
        <x:v>Mauritius</x:v>
      </x:c>
      <x:c r="C33" s="24" t="str">
        <x:v>EEZ</x:v>
      </x:c>
      <x:c r="D33" s="30" t="n">
        <x:v>2019</x:v>
      </x:c>
      <x:c r="E33" s="24" t="str">
        <x:v>Plagiogeneion rubiginosum</x:v>
      </x:c>
      <x:c r="F33" s="24" t="str">
        <x:v>Rubyfish</x:v>
      </x:c>
      <x:c r="G33" s="24" t="str">
        <x:v>Medium bathydemersals (30 - 89 cm)</x:v>
      </x:c>
      <x:c r="H33" s="24" t="str">
        <x:v>Perch-likes</x:v>
      </x:c>
      <x:c r="I33" s="31" t="n">
        <x:v>44.81413549</x:v>
      </x:c>
      <x:c r="J33" s="31" t="n">
        <x:v>44.81413549</x:v>
      </x:c>
      <x:c r="K33" s="31" t="n">
        <x:v>0</x:v>
      </x:c>
      <x:c r="L33" s="31" t="n">
        <x:v>44.81413549</x:v>
      </x:c>
      <x:c r="M33" s="31" t="n">
        <x:v>0</x:v>
      </x:c>
      <x:c r="N33" s="24" t="str">
        <x:v>plagiogeneion rubiginosum</x:v>
      </x:c>
      <x:c r="O33" s="32" t="n">
        <x:v>3.4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Plagiogeneion rubiginosum</x:v>
      </x:c>
      <x:c r="T33" s="32" t="n">
        <x:f>IF(O33="","",(1/'Metadata'!$B$5)^(O33-1))</x:f>
        <x:v>251.18864315095797</x:v>
      </x:c>
      <x:c r="U33" s="31" t="n">
        <x:f>IF(T33="","",I33*T33)</x:f>
        <x:v>11256.80188771629</x:v>
      </x:c>
    </x:row>
    <x:row r="34" ht="18" customHeight="1">
      <x:c r="A34" s="24" t="str">
        <x:v>EEZ_480</x:v>
      </x:c>
      <x:c r="B34" s="24" t="str">
        <x:v>Mauritius</x:v>
      </x:c>
      <x:c r="C34" s="24" t="str">
        <x:v>EEZ</x:v>
      </x:c>
      <x:c r="D34" s="30" t="n">
        <x:v>2019</x:v>
      </x:c>
      <x:c r="E34" s="24" t="str">
        <x:v>Auxis</x:v>
      </x:c>
      <x:c r="F34" s="24" t="str">
        <x:v>Bullet and frigate tunas</x:v>
      </x:c>
      <x:c r="G34" s="24" t="str">
        <x:v>Medium pelagics (30 - 89 cm)</x:v>
      </x:c>
      <x:c r="H34" s="24" t="str">
        <x:v>Tuna &amp; billfishes</x:v>
      </x:c>
      <x:c r="I34" s="31" t="n">
        <x:v>43.486398740300004</x:v>
      </x:c>
      <x:c r="J34" s="31" t="n">
        <x:v>43.486398740300004</x:v>
      </x:c>
      <x:c r="K34" s="31" t="n">
        <x:v>0</x:v>
      </x:c>
      <x:c r="L34" s="31" t="n">
        <x:v>43.486398740300004</x:v>
      </x:c>
      <x:c r="M34" s="31" t="n">
        <x:v>0</x:v>
      </x:c>
      <x:c r="N34" s="24" t="str">
        <x:v>auxis</x:v>
      </x:c>
      <x:c r="O34" s="32" t="n">
        <x:v>4.24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Auxis</x:v>
      </x:c>
      <x:c r="T34" s="32" t="n">
        <x:f>IF(O34="","",(1/'Metadata'!$B$5)^(O34-1))</x:f>
        <x:v>1737.8008287493763</x:v>
      </x:c>
      <x:c r="U34" s="31" t="n">
        <x:f>IF(T34="","",I34*T34)</x:f>
        <x:v>75570.69977021917</x:v>
      </x:c>
    </x:row>
    <x:row r="35" ht="18" customHeight="1">
      <x:c r="A35" s="24" t="str">
        <x:v>EEZ_480</x:v>
      </x:c>
      <x:c r="B35" s="24" t="str">
        <x:v>Mauritius</x:v>
      </x:c>
      <x:c r="C35" s="24" t="str">
        <x:v>EEZ</x:v>
      </x:c>
      <x:c r="D35" s="30" t="n">
        <x:v>2019</x:v>
      </x:c>
      <x:c r="E35" s="24" t="str">
        <x:v>Scombridae</x:v>
      </x:c>
      <x:c r="F35" s="24" t="str">
        <x:v>Mackerels, tunas, bonitos</x:v>
      </x:c>
      <x:c r="G35" s="24" t="str">
        <x:v>Medium pelagics (30 - 89 cm)</x:v>
      </x:c>
      <x:c r="H35" s="24" t="str">
        <x:v>Perch-likes</x:v>
      </x:c>
      <x:c r="I35" s="31" t="n">
        <x:v>43.3249194461</x:v>
      </x:c>
      <x:c r="J35" s="31" t="n">
        <x:v>43.3249194461</x:v>
      </x:c>
      <x:c r="K35" s="31" t="n">
        <x:v>0</x:v>
      </x:c>
      <x:c r="L35" s="31" t="n">
        <x:v>41.9963650161</x:v>
      </x:c>
      <x:c r="M35" s="31" t="n">
        <x:v>1.32855443</x:v>
      </x:c>
      <x:c r="N35" s="24" t="str">
        <x:v>scombridae</x:v>
      </x:c>
      <x:c r="O35" s="32" t="n">
        <x:v>4.26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Scombridae</x:v>
      </x:c>
      <x:c r="T35" s="32" t="n">
        <x:f>IF(O35="","",(1/'Metadata'!$B$5)^(O35-1))</x:f>
        <x:v>1819.7008586099826</x:v>
      </x:c>
      <x:c r="U35" s="31" t="n">
        <x:f>IF(T35="","",I35*T35)</x:f>
        <x:v>78838.3931152765</x:v>
      </x:c>
    </x:row>
    <x:row r="36" ht="18" customHeight="1">
      <x:c r="A36" s="24" t="str">
        <x:v>EEZ_480</x:v>
      </x:c>
      <x:c r="B36" s="24" t="str">
        <x:v>Mauritius</x:v>
      </x:c>
      <x:c r="C36" s="24" t="str">
        <x:v>EEZ</x:v>
      </x:c>
      <x:c r="D36" s="30" t="n">
        <x:v>2019</x:v>
      </x:c>
      <x:c r="E36" s="24" t="str">
        <x:v>Scaridae</x:v>
      </x:c>
      <x:c r="F36" s="24" t="str">
        <x:v>Parrotfishes</x:v>
      </x:c>
      <x:c r="G36" s="24" t="str">
        <x:v>Medium reef assoc. fish (30 - 89 cm)</x:v>
      </x:c>
      <x:c r="H36" s="24" t="str">
        <x:v>Perch-likes</x:v>
      </x:c>
      <x:c r="I36" s="31" t="n">
        <x:v>35.497889291</x:v>
      </x:c>
      <x:c r="J36" s="31" t="n">
        <x:v>35.497889291</x:v>
      </x:c>
      <x:c r="K36" s="31" t="n">
        <x:v>0</x:v>
      </x:c>
      <x:c r="L36" s="31" t="n">
        <x:v>26.348837707</x:v>
      </x:c>
      <x:c r="M36" s="31" t="n">
        <x:v>9.149051583999999</x:v>
      </x:c>
      <x:c r="N36" s="24" t="str">
        <x:v>scaridae</x:v>
      </x:c>
      <x:c r="O36" s="32" t="n">
        <x:v>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Scaridae</x:v>
      </x:c>
      <x:c r="T36" s="32" t="n">
        <x:f>IF(O36="","",(1/'Metadata'!$B$5)^(O36-1))</x:f>
        <x:v>10</x:v>
      </x:c>
      <x:c r="U36" s="31" t="n">
        <x:f>IF(T36="","",I36*T36)</x:f>
        <x:v>354.97889291</x:v>
      </x:c>
    </x:row>
    <x:row r="37" ht="18" customHeight="1">
      <x:c r="A37" s="24" t="str">
        <x:v>EEZ_480</x:v>
      </x:c>
      <x:c r="B37" s="24" t="str">
        <x:v>Mauritius</x:v>
      </x:c>
      <x:c r="C37" s="24" t="str">
        <x:v>EEZ</x:v>
      </x:c>
      <x:c r="D37" s="30" t="n">
        <x:v>2019</x:v>
      </x:c>
      <x:c r="E37" s="24" t="str">
        <x:v>Acanthocybium solandri</x:v>
      </x:c>
      <x:c r="F37" s="24" t="str">
        <x:v>Wahoo</x:v>
      </x:c>
      <x:c r="G37" s="24" t="str">
        <x:v>Large pelagics (&gt;=90 cm)</x:v>
      </x:c>
      <x:c r="H37" s="24" t="str">
        <x:v>Perch-likes</x:v>
      </x:c>
      <x:c r="I37" s="31" t="n">
        <x:v>31.8060735317</x:v>
      </x:c>
      <x:c r="J37" s="31" t="n">
        <x:v>31.797513879700002</x:v>
      </x:c>
      <x:c r="K37" s="31" t="n">
        <x:v>0.008559652</x:v>
      </x:c>
      <x:c r="L37" s="31" t="n">
        <x:v>26.9977707507</x:v>
      </x:c>
      <x:c r="M37" s="31" t="n">
        <x:v>4.808302781</x:v>
      </x:c>
      <x:c r="N37" s="24" t="str">
        <x:v>acanthocybium solandri</x:v>
      </x:c>
      <x:c r="O37" s="32" t="n">
        <x:v>4.26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Acanthocybium solandri</x:v>
      </x:c>
      <x:c r="T37" s="32" t="n">
        <x:f>IF(O37="","",(1/'Metadata'!$B$5)^(O37-1))</x:f>
        <x:v>1819.7008586099826</x:v>
      </x:c>
      <x:c r="U37" s="31" t="n">
        <x:f>IF(T37="","",I37*T37)</x:f>
        <x:v>57877.53931464673</x:v>
      </x:c>
    </x:row>
    <x:row r="38" ht="18" customHeight="1">
      <x:c r="A38" s="24" t="str">
        <x:v>EEZ_480</x:v>
      </x:c>
      <x:c r="B38" s="24" t="str">
        <x:v>Mauritius</x:v>
      </x:c>
      <x:c r="C38" s="24" t="str">
        <x:v>EEZ</x:v>
      </x:c>
      <x:c r="D38" s="30" t="n">
        <x:v>2019</x:v>
      </x:c>
      <x:c r="E38" s="24" t="str">
        <x:v>Scombroidei</x:v>
      </x:c>
      <x:c r="F38" s="24" t="str">
        <x:v>Tunas, bonitos, billfishes</x:v>
      </x:c>
      <x:c r="G38" s="24" t="str">
        <x:v>Large pelagics (&gt;=90 cm)</x:v>
      </x:c>
      <x:c r="H38" s="24" t="str">
        <x:v>Tuna &amp; billfishes</x:v>
      </x:c>
      <x:c r="I38" s="31" t="n">
        <x:v>19.0448693576</x:v>
      </x:c>
      <x:c r="J38" s="31" t="n">
        <x:v>19.0448693576</x:v>
      </x:c>
      <x:c r="K38" s="31" t="n">
        <x:v>0</x:v>
      </x:c>
      <x:c r="L38" s="31" t="n">
        <x:v>19.0448693576</x:v>
      </x:c>
      <x:c r="M38" s="31" t="n">
        <x:v>0</x:v>
      </x:c>
      <x:c r="N38" s="24" t="str">
        <x:v>scombroidei</x:v>
      </x:c>
      <x:c r="O38" s="32" t="n">
        <x:v>4.2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Scombroidei</x:v>
      </x:c>
      <x:c r="T38" s="32" t="n">
        <x:f>IF(O38="","",(1/'Metadata'!$B$5)^(O38-1))</x:f>
        <x:v>1584.893192461114</x:v>
      </x:c>
      <x:c r="U38" s="31" t="n">
        <x:f>IF(T38="","",I38*T38)</x:f>
        <x:v>30184.083796171508</x:v>
      </x:c>
    </x:row>
    <x:row r="39" ht="18" customHeight="1">
      <x:c r="A39" s="24" t="str">
        <x:v>EEZ_480</x:v>
      </x:c>
      <x:c r="B39" s="24" t="str">
        <x:v>Mauritius</x:v>
      </x:c>
      <x:c r="C39" s="24" t="str">
        <x:v>EEZ</x:v>
      </x:c>
      <x:c r="D39" s="30" t="n">
        <x:v>2019</x:v>
      </x:c>
      <x:c r="E39" s="24" t="str">
        <x:v>Carcharhinus longimanus</x:v>
      </x:c>
      <x:c r="F39" s="24" t="str">
        <x:v>Oceanic whitetip shark</x:v>
      </x:c>
      <x:c r="G39" s="24" t="str">
        <x:v>Large sharks (&gt;=90 cm)</x:v>
      </x:c>
      <x:c r="H39" s="24" t="str">
        <x:v>Sharks &amp; rays</x:v>
      </x:c>
      <x:c r="I39" s="31" t="n">
        <x:v>18.051927987499997</x:v>
      </x:c>
      <x:c r="J39" s="31" t="n">
        <x:v>18.051927987499997</x:v>
      </x:c>
      <x:c r="K39" s="31" t="n">
        <x:v>0</x:v>
      </x:c>
      <x:c r="L39" s="31" t="n">
        <x:v>18.051927987499997</x:v>
      </x:c>
      <x:c r="M39" s="31" t="n">
        <x:v>0</x:v>
      </x:c>
      <x:c r="N39" s="24" t="str">
        <x:v>carcharhinus longimanus</x:v>
      </x:c>
      <x:c r="O39" s="32" t="n">
        <x:v>4.16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Carcharhinus longimanus</x:v>
      </x:c>
      <x:c r="T39" s="32" t="n">
        <x:f>IF(O39="","",(1/'Metadata'!$B$5)^(O39-1))</x:f>
        <x:v>1445.439770745928</x:v>
      </x:c>
      <x:c r="U39" s="31" t="n">
        <x:f>IF(T39="","",I39*T39)</x:f>
        <x:v>26092.974651773995</x:v>
      </x:c>
    </x:row>
    <x:row r="40" ht="18" customHeight="1">
      <x:c r="A40" s="24" t="str">
        <x:v>EEZ_480</x:v>
      </x:c>
      <x:c r="B40" s="24" t="str">
        <x:v>Mauritius</x:v>
      </x:c>
      <x:c r="C40" s="24" t="str">
        <x:v>EEZ</x:v>
      </x:c>
      <x:c r="D40" s="30" t="n">
        <x:v>2019</x:v>
      </x:c>
      <x:c r="E40" s="24" t="str">
        <x:v>Aprion virescens</x:v>
      </x:c>
      <x:c r="F40" s="24" t="str">
        <x:v>Green jobfish</x:v>
      </x:c>
      <x:c r="G40" s="24" t="str">
        <x:v>Large reef assoc. fish (&gt;=90 cm)</x:v>
      </x:c>
      <x:c r="H40" s="24" t="str">
        <x:v>Perch-likes</x:v>
      </x:c>
      <x:c r="I40" s="31" t="n">
        <x:v>16.064310276</x:v>
      </x:c>
      <x:c r="J40" s="31" t="n">
        <x:v>16.064310276</x:v>
      </x:c>
      <x:c r="K40" s="31" t="n">
        <x:v>0</x:v>
      </x:c>
      <x:c r="L40" s="31" t="n">
        <x:v>14.29290437</x:v>
      </x:c>
      <x:c r="M40" s="31" t="n">
        <x:v>1.771405906</x:v>
      </x:c>
      <x:c r="N40" s="24" t="str">
        <x:v>aprion virescens</x:v>
      </x:c>
      <x:c r="O40" s="32" t="n">
        <x:v>4.28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Aprion virescens</x:v>
      </x:c>
      <x:c r="T40" s="32" t="n">
        <x:f>IF(O40="","",(1/'Metadata'!$B$5)^(O40-1))</x:f>
        <x:v>1905.4607179632483</x:v>
      </x:c>
      <x:c r="U40" s="31" t="n">
        <x:f>IF(T40="","",I40*T40)</x:f>
        <x:v>30609.91219209135</x:v>
      </x:c>
    </x:row>
    <x:row r="41" ht="18" customHeight="1">
      <x:c r="A41" s="24" t="str">
        <x:v>EEZ_480</x:v>
      </x:c>
      <x:c r="B41" s="24" t="str">
        <x:v>Mauritius</x:v>
      </x:c>
      <x:c r="C41" s="24" t="str">
        <x:v>EEZ</x:v>
      </x:c>
      <x:c r="D41" s="30" t="n">
        <x:v>2019</x:v>
      </x:c>
      <x:c r="E41" s="24" t="str">
        <x:v>Lutjanus bohar</x:v>
      </x:c>
      <x:c r="F41" s="24" t="str">
        <x:v>Two-spot red snapper</x:v>
      </x:c>
      <x:c r="G41" s="24" t="str">
        <x:v>Medium reef assoc. fish (30 - 89 cm)</x:v>
      </x:c>
      <x:c r="H41" s="24" t="str">
        <x:v>Perch-likes</x:v>
      </x:c>
      <x:c r="I41" s="31" t="n">
        <x:v>12.04823271</x:v>
      </x:c>
      <x:c r="J41" s="31" t="n">
        <x:v>12.04823271</x:v>
      </x:c>
      <x:c r="K41" s="31" t="n">
        <x:v>0</x:v>
      </x:c>
      <x:c r="L41" s="31" t="n">
        <x:v>10.71967828</x:v>
      </x:c>
      <x:c r="M41" s="31" t="n">
        <x:v>1.32855443</x:v>
      </x:c>
      <x:c r="N41" s="24" t="str">
        <x:v>lutjanus bohar</x:v>
      </x:c>
      <x:c r="O41" s="32" t="n">
        <x:v>4.27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Lutjanus bohar</x:v>
      </x:c>
      <x:c r="T41" s="32" t="n">
        <x:f>IF(O41="","",(1/'Metadata'!$B$5)^(O41-1))</x:f>
        <x:v>1862.0871366628655</x:v>
      </x:c>
      <x:c r="U41" s="31" t="n">
        <x:f>IF(T41="","",I41*T41)</x:f>
        <x:v>22434.859148811778</x:v>
      </x:c>
    </x:row>
    <x:row r="42" ht="18" customHeight="1">
      <x:c r="A42" s="24" t="str">
        <x:v>EEZ_480</x:v>
      </x:c>
      <x:c r="B42" s="24" t="str">
        <x:v>Mauritius</x:v>
      </x:c>
      <x:c r="C42" s="24" t="str">
        <x:v>EEZ</x:v>
      </x:c>
      <x:c r="D42" s="30" t="n">
        <x:v>2019</x:v>
      </x:c>
      <x:c r="E42" s="24" t="str">
        <x:v>Elasmobranchii</x:v>
      </x:c>
      <x:c r="F42" s="24" t="str">
        <x:v>Sharks, rays, skates</x:v>
      </x:c>
      <x:c r="G42" s="24" t="str">
        <x:v>Large sharks (&gt;=90 cm)</x:v>
      </x:c>
      <x:c r="H42" s="24" t="str">
        <x:v>Sharks &amp; rays</x:v>
      </x:c>
      <x:c r="I42" s="31" t="n">
        <x:v>9.7490147017</x:v>
      </x:c>
      <x:c r="J42" s="31" t="n">
        <x:v>9.7490147017</x:v>
      </x:c>
      <x:c r="K42" s="31" t="n">
        <x:v>0</x:v>
      </x:c>
      <x:c r="L42" s="31" t="n">
        <x:v>9.7490147017</x:v>
      </x:c>
      <x:c r="M42" s="31" t="n">
        <x:v>0</x:v>
      </x:c>
      <x:c r="N42" s="24" t="str">
        <x:v>elasmobranchii</x:v>
      </x:c>
      <x:c r="O42" s="32" t="n">
        <x:v>4.05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Elasmobranchii</x:v>
      </x:c>
      <x:c r="T42" s="32" t="n">
        <x:f>IF(O42="","",(1/'Metadata'!$B$5)^(O42-1))</x:f>
        <x:v>1122.018454301963</x:v>
      </x:c>
      <x:c r="U42" s="31" t="n">
        <x:f>IF(T42="","",I42*T42)</x:f>
        <x:v>10938.574406568547</x:v>
      </x:c>
    </x:row>
    <x:row r="43" ht="18" customHeight="1">
      <x:c r="A43" s="24" t="str">
        <x:v>EEZ_480</x:v>
      </x:c>
      <x:c r="B43" s="24" t="str">
        <x:v>Mauritius</x:v>
      </x:c>
      <x:c r="C43" s="24" t="str">
        <x:v>EEZ</x:v>
      </x:c>
      <x:c r="D43" s="30" t="n">
        <x:v>2019</x:v>
      </x:c>
      <x:c r="E43" s="24" t="str">
        <x:v>Panulirus</x:v>
      </x:c>
      <x:c r="F43" s="24" t="str">
        <x:v>Spiny lobsters</x:v>
      </x:c>
      <x:c r="G43" s="24" t="str">
        <x:v>Lobsters, crabs</x:v>
      </x:c>
      <x:c r="H43" s="24" t="str">
        <x:v>Crustaceans</x:v>
      </x:c>
      <x:c r="I43" s="31" t="n">
        <x:v>5.988969129</x:v>
      </x:c>
      <x:c r="J43" s="31" t="n">
        <x:v>5.988969129</x:v>
      </x:c>
      <x:c r="K43" s="31" t="n">
        <x:v>0</x:v>
      </x:c>
      <x:c r="L43" s="31" t="n">
        <x:v>3.275839063</x:v>
      </x:c>
      <x:c r="M43" s="31" t="n">
        <x:v>2.713130066</x:v>
      </x:c>
      <x:c r="N43" s="24" t="str">
        <x:v>panulirus</x:v>
      </x:c>
      <x:c r="O43" s="32" t="n">
        <x:v>2.6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Panulirus</x:v>
      </x:c>
      <x:c r="T43" s="32" t="n">
        <x:f>IF(O43="","",(1/'Metadata'!$B$5)^(O43-1))</x:f>
        <x:v>39.810717055349734</x:v>
      </x:c>
      <x:c r="U43" s="31" t="n">
        <x:f>IF(T43="","",I43*T43)</x:f>
        <x:v>238.42515544784334</x:v>
      </x:c>
    </x:row>
    <x:row r="44" ht="18" customHeight="1">
      <x:c r="A44" s="24" t="str">
        <x:v>EEZ_480</x:v>
      </x:c>
      <x:c r="B44" s="24" t="str">
        <x:v>Mauritius</x:v>
      </x:c>
      <x:c r="C44" s="24" t="str">
        <x:v>EEZ</x:v>
      </x:c>
      <x:c r="D44" s="30" t="n">
        <x:v>2019</x:v>
      </x:c>
      <x:c r="E44" s="24" t="str">
        <x:v>Carcharhinidae</x:v>
      </x:c>
      <x:c r="F44" s="24" t="str">
        <x:v>Requiem sharks</x:v>
      </x:c>
      <x:c r="G44" s="24" t="str">
        <x:v>Large sharks (&gt;=90 cm)</x:v>
      </x:c>
      <x:c r="H44" s="24" t="str">
        <x:v>Sharks &amp; rays</x:v>
      </x:c>
      <x:c r="I44" s="31" t="n">
        <x:v>5.786410512</x:v>
      </x:c>
      <x:c r="J44" s="31" t="n">
        <x:v>5.786410512</x:v>
      </x:c>
      <x:c r="K44" s="31" t="n">
        <x:v>0</x:v>
      </x:c>
      <x:c r="L44" s="31" t="n">
        <x:v>3.610064827</x:v>
      </x:c>
      <x:c r="M44" s="31" t="n">
        <x:v>2.176345685</x:v>
      </x:c>
      <x:c r="N44" s="24" t="str">
        <x:v>carcharhinidae</x:v>
      </x:c>
      <x:c r="O44" s="32" t="n">
        <x:v>4.24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Carcharhinidae</x:v>
      </x:c>
      <x:c r="T44" s="32" t="n">
        <x:f>IF(O44="","",(1/'Metadata'!$B$5)^(O44-1))</x:f>
        <x:v>1737.8008287493763</x:v>
      </x:c>
      <x:c r="U44" s="31" t="n">
        <x:f>IF(T44="","",I44*T44)</x:f>
        <x:v>10055.628983237702</x:v>
      </x:c>
    </x:row>
    <x:row r="45" ht="18" customHeight="1">
      <x:c r="A45" s="24" t="str">
        <x:v>EEZ_480</x:v>
      </x:c>
      <x:c r="B45" s="24" t="str">
        <x:v>Mauritius</x:v>
      </x:c>
      <x:c r="C45" s="24" t="str">
        <x:v>EEZ</x:v>
      </x:c>
      <x:c r="D45" s="30" t="n">
        <x:v>2019</x:v>
      </x:c>
      <x:c r="E45" s="24" t="str">
        <x:v>Istiompax indica</x:v>
      </x:c>
      <x:c r="F45" s="24" t="str">
        <x:v>Black marlin</x:v>
      </x:c>
      <x:c r="G45" s="24" t="str">
        <x:v>Large pelagics (&gt;=90 cm)</x:v>
      </x:c>
      <x:c r="H45" s="24" t="str">
        <x:v>Tuna &amp; billfishes</x:v>
      </x:c>
      <x:c r="I45" s="31" t="n">
        <x:v>5.5861525929999996</x:v>
      </x:c>
      <x:c r="J45" s="31" t="n">
        <x:v>5.5861525929999996</x:v>
      </x:c>
      <x:c r="K45" s="31" t="n">
        <x:v>0</x:v>
      </x:c>
      <x:c r="L45" s="31" t="n">
        <x:v>5.5861525929999996</x:v>
      </x:c>
      <x:c r="M45" s="31" t="n">
        <x:v>0</x:v>
      </x:c>
      <x:c r="N45" s="24" t="str">
        <x:v>istiompax indica</x:v>
      </x:c>
      <x:c r="O45" s="32" t="n">
        <x:v>4.5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Istiompax indica</x:v>
      </x:c>
      <x:c r="T45" s="32" t="n">
        <x:f>IF(O45="","",(1/'Metadata'!$B$5)^(O45-1))</x:f>
        <x:v>3162.2776601683795</x:v>
      </x:c>
      <x:c r="U45" s="31" t="n">
        <x:f>IF(T45="","",I45*T45)</x:f>
        <x:v>17664.965551135563</x:v>
      </x:c>
    </x:row>
    <x:row r="46" ht="18" customHeight="1">
      <x:c r="A46" s="24" t="str">
        <x:v>EEZ_480</x:v>
      </x:c>
      <x:c r="B46" s="24" t="str">
        <x:v>Mauritius</x:v>
      </x:c>
      <x:c r="C46" s="24" t="str">
        <x:v>EEZ</x:v>
      </x:c>
      <x:c r="D46" s="30" t="n">
        <x:v>2019</x:v>
      </x:c>
      <x:c r="E46" s="24" t="str">
        <x:v>Isurus</x:v>
      </x:c>
      <x:c r="F46" s="24" t="str">
        <x:v>Mako sharks</x:v>
      </x:c>
      <x:c r="G46" s="24" t="str">
        <x:v>Large sharks (&gt;=90 cm)</x:v>
      </x:c>
      <x:c r="H46" s="24" t="str">
        <x:v>Sharks &amp; rays</x:v>
      </x:c>
      <x:c r="I46" s="31" t="n">
        <x:v>5.214814686</x:v>
      </x:c>
      <x:c r="J46" s="31" t="n">
        <x:v>5.214814686</x:v>
      </x:c>
      <x:c r="K46" s="31" t="n">
        <x:v>0</x:v>
      </x:c>
      <x:c r="L46" s="31" t="n">
        <x:v>5.214814686</x:v>
      </x:c>
      <x:c r="M46" s="31" t="n">
        <x:v>0</x:v>
      </x:c>
      <x:c r="N46" s="24" t="str">
        <x:v>isurus</x:v>
      </x:c>
      <x:c r="O46" s="32" t="n">
        <x:v>4.5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Isurus</x:v>
      </x:c>
      <x:c r="T46" s="32" t="n">
        <x:f>IF(O46="","",(1/'Metadata'!$B$5)^(O46-1))</x:f>
        <x:v>3162.2776601683795</x:v>
      </x:c>
      <x:c r="U46" s="31" t="n">
        <x:f>IF(T46="","",I46*T46)</x:f>
        <x:v>16490.691983455785</x:v>
      </x:c>
    </x:row>
    <x:row r="47" ht="18" customHeight="1">
      <x:c r="A47" s="24" t="str">
        <x:v>EEZ_480</x:v>
      </x:c>
      <x:c r="B47" s="24" t="str">
        <x:v>Mauritius</x:v>
      </x:c>
      <x:c r="C47" s="24" t="str">
        <x:v>EEZ</x:v>
      </x:c>
      <x:c r="D47" s="30" t="n">
        <x:v>2019</x:v>
      </x:c>
      <x:c r="E47" s="24" t="str">
        <x:v>Istiophorus platypterus</x:v>
      </x:c>
      <x:c r="F47" s="24" t="str">
        <x:v>Indo-Pacific sailfish</x:v>
      </x:c>
      <x:c r="G47" s="24" t="str">
        <x:v>Large pelagics (&gt;=90 cm)</x:v>
      </x:c>
      <x:c r="H47" s="24" t="str">
        <x:v>Tuna &amp; billfishes</x:v>
      </x:c>
      <x:c r="I47" s="31" t="n">
        <x:v>5.0865903928</x:v>
      </x:c>
      <x:c r="J47" s="31" t="n">
        <x:v>5.0865903928</x:v>
      </x:c>
      <x:c r="K47" s="31" t="n">
        <x:v>0</x:v>
      </x:c>
      <x:c r="L47" s="31" t="n">
        <x:v>5.0865903928</x:v>
      </x:c>
      <x:c r="M47" s="31" t="n">
        <x:v>0</x:v>
      </x:c>
      <x:c r="N47" s="24" t="str">
        <x:v>istiophorus platypterus</x:v>
      </x:c>
      <x:c r="O47" s="32" t="n">
        <x:v>4.5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Istiophorus platypterus</x:v>
      </x:c>
      <x:c r="T47" s="32" t="n">
        <x:f>IF(O47="","",(1/'Metadata'!$B$5)^(O47-1))</x:f>
        <x:v>3162.2776601683795</x:v>
      </x:c>
      <x:c r="U47" s="31" t="n">
        <x:f>IF(T47="","",I47*T47)</x:f>
        <x:v>16085.211165578541</x:v>
      </x:c>
    </x:row>
    <x:row r="48" ht="18" customHeight="1">
      <x:c r="A48" s="24" t="str">
        <x:v>EEZ_480</x:v>
      </x:c>
      <x:c r="B48" s="24" t="str">
        <x:v>Mauritius</x:v>
      </x:c>
      <x:c r="C48" s="24" t="str">
        <x:v>EEZ</x:v>
      </x:c>
      <x:c r="D48" s="30" t="n">
        <x:v>2019</x:v>
      </x:c>
      <x:c r="E48" s="24" t="str">
        <x:v>Lactarius lactarius</x:v>
      </x:c>
      <x:c r="F48" s="24" t="str">
        <x:v>False trevally</x:v>
      </x:c>
      <x:c r="G48" s="24" t="str">
        <x:v>Medium pelagics (30 - 89 cm)</x:v>
      </x:c>
      <x:c r="H48" s="24" t="str">
        <x:v>Perch-likes</x:v>
      </x:c>
      <x:c r="I48" s="31" t="n">
        <x:v>3.7044412066</x:v>
      </x:c>
      <x:c r="J48" s="31" t="n">
        <x:v>0</x:v>
      </x:c>
      <x:c r="K48" s="31" t="n">
        <x:v>3.7044412066</x:v>
      </x:c>
      <x:c r="L48" s="31" t="n">
        <x:v>0</x:v>
      </x:c>
      <x:c r="M48" s="31" t="n">
        <x:v>3.7044412066</x:v>
      </x:c>
      <x:c r="N48" s="24" t="str">
        <x:v>lactarius lactarius</x:v>
      </x:c>
      <x:c r="O48" s="32" t="n">
        <x:v>3.97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Lactarius lactarius</x:v>
      </x:c>
      <x:c r="T48" s="32" t="n">
        <x:f>IF(O48="","",(1/'Metadata'!$B$5)^(O48-1))</x:f>
        <x:v>933.2543007969915</x:v>
      </x:c>
      <x:c r="U48" s="31" t="n">
        <x:f>IF(T48="","",I48*T48)</x:f>
        <x:v>3457.1856881090466</x:v>
      </x:c>
    </x:row>
    <x:row r="49" ht="18" customHeight="1">
      <x:c r="A49" s="24" t="str">
        <x:v>EEZ_480</x:v>
      </x:c>
      <x:c r="B49" s="24" t="str">
        <x:v>Mauritius</x:v>
      </x:c>
      <x:c r="C49" s="24" t="str">
        <x:v>EEZ</x:v>
      </x:c>
      <x:c r="D49" s="30" t="n">
        <x:v>2019</x:v>
      </x:c>
      <x:c r="E49" s="24" t="str">
        <x:v>Scomberomorus</x:v>
      </x:c>
      <x:c r="F49" s="24" t="str">
        <x:v>Spanish mackerels</x:v>
      </x:c>
      <x:c r="G49" s="24" t="str">
        <x:v>Large pelagics (&gt;=90 cm)</x:v>
      </x:c>
      <x:c r="H49" s="24" t="str">
        <x:v>Perch-likes</x:v>
      </x:c>
      <x:c r="I49" s="31" t="n">
        <x:v>3.4430856404999997</x:v>
      </x:c>
      <x:c r="J49" s="31" t="n">
        <x:v>3.4430856404999997</x:v>
      </x:c>
      <x:c r="K49" s="31" t="n">
        <x:v>0</x:v>
      </x:c>
      <x:c r="L49" s="31" t="n">
        <x:v>3.4430856404999997</x:v>
      </x:c>
      <x:c r="M49" s="31" t="n">
        <x:v>0</x:v>
      </x:c>
      <x:c r="N49" s="24" t="str">
        <x:v>scomberomorus</x:v>
      </x:c>
      <x:c r="O49" s="32" t="n">
        <x:v>4.35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Scomberomorus</x:v>
      </x:c>
      <x:c r="T49" s="32" t="n">
        <x:f>IF(O49="","",(1/'Metadata'!$B$5)^(O49-1))</x:f>
        <x:v>2238.7211385683377</x:v>
      </x:c>
      <x:c r="U49" s="31" t="n">
        <x:f>IF(T49="","",I49*T49)</x:f>
        <x:v>7708.108605288453</x:v>
      </x:c>
    </x:row>
    <x:row r="50" ht="18" customHeight="1">
      <x:c r="A50" s="24" t="str">
        <x:v>EEZ_480</x:v>
      </x:c>
      <x:c r="B50" s="24" t="str">
        <x:v>Mauritius</x:v>
      </x:c>
      <x:c r="C50" s="24" t="str">
        <x:v>EEZ</x:v>
      </x:c>
      <x:c r="D50" s="30" t="n">
        <x:v>2019</x:v>
      </x:c>
      <x:c r="E50" s="24" t="str">
        <x:v>Kajikia audax</x:v>
      </x:c>
      <x:c r="F50" s="24" t="str">
        <x:v>Striped marlin</x:v>
      </x:c>
      <x:c r="G50" s="24" t="str">
        <x:v>Large pelagics (&gt;=90 cm)</x:v>
      </x:c>
      <x:c r="H50" s="24" t="str">
        <x:v>Tuna &amp; billfishes</x:v>
      </x:c>
      <x:c r="I50" s="31" t="n">
        <x:v>2.4603364415999995</x:v>
      </x:c>
      <x:c r="J50" s="31" t="n">
        <x:v>2.4603364415999995</x:v>
      </x:c>
      <x:c r="K50" s="31" t="n">
        <x:v>0</x:v>
      </x:c>
      <x:c r="L50" s="31" t="n">
        <x:v>2.4603364415999995</x:v>
      </x:c>
      <x:c r="M50" s="31" t="n">
        <x:v>0</x:v>
      </x:c>
      <x:c r="N50" s="24" t="str">
        <x:v>kajikia audax</x:v>
      </x:c>
      <x:c r="O50" s="32" t="n">
        <x:v>4.58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Kajikia audax</x:v>
      </x:c>
      <x:c r="T50" s="32" t="n">
        <x:f>IF(O50="","",(1/'Metadata'!$B$5)^(O50-1))</x:f>
        <x:v>3801.8939632056126</x:v>
      </x:c>
      <x:c r="U50" s="31" t="n">
        <x:f>IF(T50="","",I50*T50)</x:f>
        <x:v>9353.938264773817</x:v>
      </x:c>
    </x:row>
    <x:row r="51" ht="18" customHeight="1">
      <x:c r="A51" s="24" t="str">
        <x:v>EEZ_480</x:v>
      </x:c>
      <x:c r="B51" s="24" t="str">
        <x:v>Mauritius</x:v>
      </x:c>
      <x:c r="C51" s="24" t="str">
        <x:v>EEZ</x:v>
      </x:c>
      <x:c r="D51" s="30" t="n">
        <x:v>2019</x:v>
      </x:c>
      <x:c r="E51" s="24" t="str">
        <x:v>Glaucostegus granulatus</x:v>
      </x:c>
      <x:c r="F51" s="24" t="str">
        <x:v>Granulated guitarfish</x:v>
      </x:c>
      <x:c r="G51" s="24" t="str">
        <x:v>Large rays (&gt;=90 cm)</x:v>
      </x:c>
      <x:c r="H51" s="24" t="str">
        <x:v>Sharks &amp; rays</x:v>
      </x:c>
      <x:c r="I51" s="31" t="n">
        <x:v>2.287436098</x:v>
      </x:c>
      <x:c r="J51" s="31" t="n">
        <x:v>0</x:v>
      </x:c>
      <x:c r="K51" s="31" t="n">
        <x:v>2.287436098</x:v>
      </x:c>
      <x:c r="L51" s="31" t="n">
        <x:v>0</x:v>
      </x:c>
      <x:c r="M51" s="31" t="n">
        <x:v>2.287436098</x:v>
      </x:c>
      <x:c r="N51" s="24" t="str">
        <x:v>glaucostegus granulatus</x:v>
      </x:c>
      <x:c r="O51" s="32" t="n">
        <x:v>3.5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Glaucostegus granulatus</x:v>
      </x:c>
      <x:c r="T51" s="32" t="n">
        <x:f>IF(O51="","",(1/'Metadata'!$B$5)^(O51-1))</x:f>
        <x:v>316.22776601683796</x:v>
      </x:c>
      <x:c r="U51" s="31" t="n">
        <x:f>IF(T51="","",I51*T51)</x:f>
        <x:v>723.3508071768129</x:v>
      </x:c>
    </x:row>
    <x:row r="52" ht="18" customHeight="1">
      <x:c r="A52" s="24" t="str">
        <x:v>EEZ_480</x:v>
      </x:c>
      <x:c r="B52" s="24" t="str">
        <x:v>Mauritius</x:v>
      </x:c>
      <x:c r="C52" s="24" t="str">
        <x:v>EEZ</x:v>
      </x:c>
      <x:c r="D52" s="30" t="n">
        <x:v>2019</x:v>
      </x:c>
      <x:c r="E52" s="24" t="str">
        <x:v>Sphyraena barracuda</x:v>
      </x:c>
      <x:c r="F52" s="24" t="str">
        <x:v>Great barracuda</x:v>
      </x:c>
      <x:c r="G52" s="24" t="str">
        <x:v>Large pelagics (&gt;=90 cm)</x:v>
      </x:c>
      <x:c r="H52" s="24" t="str">
        <x:v>Perch-likes</x:v>
      </x:c>
      <x:c r="I52" s="31" t="n">
        <x:v>2.2434887813</x:v>
      </x:c>
      <x:c r="J52" s="31" t="n">
        <x:v>1.9593477686</x:v>
      </x:c>
      <x:c r="K52" s="31" t="n">
        <x:v>0.28414101270000003</x:v>
      </x:c>
      <x:c r="L52" s="31" t="n">
        <x:v>1.9593477686</x:v>
      </x:c>
      <x:c r="M52" s="31" t="n">
        <x:v>0.28414101270000003</x:v>
      </x:c>
      <x:c r="N52" s="24" t="str">
        <x:v>sphyraena barracuda</x:v>
      </x:c>
      <x:c r="O52" s="32" t="n">
        <x:v>4.49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Sphyraena barracuda</x:v>
      </x:c>
      <x:c r="T52" s="32" t="n">
        <x:f>IF(O52="","",(1/'Metadata'!$B$5)^(O52-1))</x:f>
        <x:v>3090.295432513592</x:v>
      </x:c>
      <x:c r="U52" s="31" t="n">
        <x:f>IF(T52="","",I52*T52)</x:f>
        <x:v>6933.043133746874</x:v>
      </x:c>
    </x:row>
    <x:row r="53" ht="18" customHeight="1">
      <x:c r="A53" s="24" t="str">
        <x:v>EEZ_480</x:v>
      </x:c>
      <x:c r="B53" s="24" t="str">
        <x:v>Mauritius</x:v>
      </x:c>
      <x:c r="C53" s="24" t="str">
        <x:v>EEZ</x:v>
      </x:c>
      <x:c r="D53" s="30" t="n">
        <x:v>2019</x:v>
      </x:c>
      <x:c r="E53" s="24" t="str">
        <x:v>Scomberomorus commerson</x:v>
      </x:c>
      <x:c r="F53" s="24" t="str">
        <x:v>Narrow-barred Spanish mackerel</x:v>
      </x:c>
      <x:c r="G53" s="24" t="str">
        <x:v>Large pelagics (&gt;=90 cm)</x:v>
      </x:c>
      <x:c r="H53" s="24" t="str">
        <x:v>Perch-likes</x:v>
      </x:c>
      <x:c r="I53" s="31" t="n">
        <x:v>2.0041804735</x:v>
      </x:c>
      <x:c r="J53" s="31" t="n">
        <x:v>2.0041804735</x:v>
      </x:c>
      <x:c r="K53" s="31" t="n">
        <x:v>0</x:v>
      </x:c>
      <x:c r="L53" s="31" t="n">
        <x:v>2.0041804735</x:v>
      </x:c>
      <x:c r="M53" s="31" t="n">
        <x:v>0</x:v>
      </x:c>
      <x:c r="N53" s="24" t="str">
        <x:v>scomberomorus commerson</x:v>
      </x:c>
      <x:c r="O53" s="32" t="n">
        <x:v>4.5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Scomberomorus commerson</x:v>
      </x:c>
      <x:c r="T53" s="32" t="n">
        <x:f>IF(O53="","",(1/'Metadata'!$B$5)^(O53-1))</x:f>
        <x:v>3162.2776601683795</x:v>
      </x:c>
      <x:c r="U53" s="31" t="n">
        <x:f>IF(T53="","",I53*T53)</x:f>
        <x:v>6337.7751382947345</x:v>
      </x:c>
    </x:row>
    <x:row r="54" ht="18" customHeight="1">
      <x:c r="A54" s="24" t="str">
        <x:v>EEZ_480</x:v>
      </x:c>
      <x:c r="B54" s="24" t="str">
        <x:v>Mauritius</x:v>
      </x:c>
      <x:c r="C54" s="24" t="str">
        <x:v>EEZ</x:v>
      </x:c>
      <x:c r="D54" s="30" t="n">
        <x:v>2019</x:v>
      </x:c>
      <x:c r="E54" s="24" t="str">
        <x:v>Himantura uarnak</x:v>
      </x:c>
      <x:c r="F54" s="24" t="str">
        <x:v>Honeycomb stingray</x:v>
      </x:c>
      <x:c r="G54" s="24" t="str">
        <x:v>Large rays (&gt;=90 cm)</x:v>
      </x:c>
      <x:c r="H54" s="24" t="str">
        <x:v>Sharks &amp; rays</x:v>
      </x:c>
      <x:c r="I54" s="31" t="n">
        <x:v>1.2156326013</x:v>
      </x:c>
      <x:c r="J54" s="31" t="n">
        <x:v>0</x:v>
      </x:c>
      <x:c r="K54" s="31" t="n">
        <x:v>1.2156326013</x:v>
      </x:c>
      <x:c r="L54" s="31" t="n">
        <x:v>0</x:v>
      </x:c>
      <x:c r="M54" s="31" t="n">
        <x:v>1.2156326013</x:v>
      </x:c>
      <x:c r="N54" s="24" t="str">
        <x:v>himantura uarnak</x:v>
      </x:c>
      <x:c r="O54" s="32" t="n">
        <x:v>3.6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Himantura uarnak</x:v>
      </x:c>
      <x:c r="T54" s="32" t="n">
        <x:f>IF(O54="","",(1/'Metadata'!$B$5)^(O54-1))</x:f>
        <x:v>398.1071705534973</x:v>
      </x:c>
      <x:c r="U54" s="31" t="n">
        <x:f>IF(T54="","",I54*T54)</x:f>
        <x:v>483.95205533613074</x:v>
      </x:c>
    </x:row>
    <x:row r="55" ht="18" customHeight="1">
      <x:c r="A55" s="24" t="str">
        <x:v>EEZ_480</x:v>
      </x:c>
      <x:c r="B55" s="24" t="str">
        <x:v>Mauritius</x:v>
      </x:c>
      <x:c r="C55" s="24" t="str">
        <x:v>EEZ</x:v>
      </x:c>
      <x:c r="D55" s="30" t="n">
        <x:v>2019</x:v>
      </x:c>
      <x:c r="E55" s="24" t="str">
        <x:v>Lethrinus harak</x:v>
      </x:c>
      <x:c r="F55" s="24" t="str">
        <x:v>Thumbprint emperor</x:v>
      </x:c>
      <x:c r="G55" s="24" t="str">
        <x:v>Medium reef assoc. fish (30 - 89 cm)</x:v>
      </x:c>
      <x:c r="H55" s="24" t="str">
        <x:v>Perch-likes</x:v>
      </x:c>
      <x:c r="I55" s="31" t="n">
        <x:v>1.173226253</x:v>
      </x:c>
      <x:c r="J55" s="31" t="n">
        <x:v>1.173226253</x:v>
      </x:c>
      <x:c r="K55" s="31" t="n">
        <x:v>0</x:v>
      </x:c>
      <x:c r="L55" s="31" t="n">
        <x:v>0.789085008</x:v>
      </x:c>
      <x:c r="M55" s="31" t="n">
        <x:v>0.384141245</x:v>
      </x:c>
      <x:c r="N55" s="24" t="str">
        <x:v>lethrinus harak</x:v>
      </x:c>
      <x:c r="O55" s="32" t="n">
        <x:v>3.59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Lethrinus harak</x:v>
      </x:c>
      <x:c r="T55" s="32" t="n">
        <x:f>IF(O55="","",(1/'Metadata'!$B$5)^(O55-1))</x:f>
        <x:v>389.04514499428046</x:v>
      </x:c>
      <x:c r="U55" s="31" t="n">
        <x:f>IF(T55="","",I55*T55)</x:f>
        <x:v>456.43797770948134</x:v>
      </x:c>
    </x:row>
    <x:row r="56" ht="18" customHeight="1">
      <x:c r="A56" s="24" t="str">
        <x:v>EEZ_480</x:v>
      </x:c>
      <x:c r="B56" s="24" t="str">
        <x:v>Mauritius</x:v>
      </x:c>
      <x:c r="C56" s="24" t="str">
        <x:v>EEZ</x:v>
      </x:c>
      <x:c r="D56" s="30" t="n">
        <x:v>2019</x:v>
      </x:c>
      <x:c r="E56" s="24" t="str">
        <x:v>Tetrapturus angustirostris</x:v>
      </x:c>
      <x:c r="F56" s="24" t="str">
        <x:v>Shortbill spearfish</x:v>
      </x:c>
      <x:c r="G56" s="24" t="str">
        <x:v>Large pelagics (&gt;=90 cm)</x:v>
      </x:c>
      <x:c r="H56" s="24" t="str">
        <x:v>Tuna &amp; billfishes</x:v>
      </x:c>
      <x:c r="I56" s="31" t="n">
        <x:v>1.0752560785</x:v>
      </x:c>
      <x:c r="J56" s="31" t="n">
        <x:v>1.0752560785</x:v>
      </x:c>
      <x:c r="K56" s="31" t="n">
        <x:v>0</x:v>
      </x:c>
      <x:c r="L56" s="31" t="n">
        <x:v>1.0752560785</x:v>
      </x:c>
      <x:c r="M56" s="31" t="n">
        <x:v>0</x:v>
      </x:c>
      <x:c r="N56" s="24" t="str">
        <x:v>tetrapturus angustirostris</x:v>
      </x:c>
      <x:c r="O56" s="32" t="n">
        <x:v>4.5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Tetrapturus angustirostris</x:v>
      </x:c>
      <x:c r="T56" s="32" t="n">
        <x:f>IF(O56="","",(1/'Metadata'!$B$5)^(O56-1))</x:f>
        <x:v>3162.2776601683795</x:v>
      </x:c>
      <x:c r="U56" s="31" t="n">
        <x:f>IF(T56="","",I56*T56)</x:f>
        <x:v>3400.2582760008077</x:v>
      </x:c>
    </x:row>
    <x:row r="57" ht="18" customHeight="1">
      <x:c r="A57" s="24" t="str">
        <x:v>EEZ_480</x:v>
      </x:c>
      <x:c r="B57" s="24" t="str">
        <x:v>Mauritius</x:v>
      </x:c>
      <x:c r="C57" s="24" t="str">
        <x:v>EEZ</x:v>
      </x:c>
      <x:c r="D57" s="30" t="n">
        <x:v>2019</x:v>
      </x:c>
      <x:c r="E57" s="24" t="str">
        <x:v>Chanos chanos</x:v>
      </x:c>
      <x:c r="F57" s="24" t="str">
        <x:v>Milkfish</x:v>
      </x:c>
      <x:c r="G57" s="24" t="str">
        <x:v>Large benthopelagics (&gt;=90 cm)</x:v>
      </x:c>
      <x:c r="H57" s="24" t="str">
        <x:v>Other fishes &amp; inverts</x:v>
      </x:c>
      <x:c r="I57" s="31" t="n">
        <x:v>0.9574605030000001</x:v>
      </x:c>
      <x:c r="J57" s="31" t="n">
        <x:v>0.9574605030000001</x:v>
      </x:c>
      <x:c r="K57" s="31" t="n">
        <x:v>0</x:v>
      </x:c>
      <x:c r="L57" s="31" t="n">
        <x:v>0.6439659240000001</x:v>
      </x:c>
      <x:c r="M57" s="31" t="n">
        <x:v>0.313494579</x:v>
      </x:c>
      <x:c r="N57" s="24" t="str">
        <x:v>chanos chanos</x:v>
      </x:c>
      <x:c r="O57" s="32" t="n">
        <x:v>2.03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Chanos chanos</x:v>
      </x:c>
      <x:c r="T57" s="32" t="n">
        <x:f>IF(O57="","",(1/'Metadata'!$B$5)^(O57-1))</x:f>
        <x:v>10.71519305237606</x:v>
      </x:c>
      <x:c r="U57" s="31" t="n">
        <x:f>IF(T57="","",I57*T57)</x:f>
        <x:v>10.259374129670089</x:v>
      </x:c>
    </x:row>
    <x:row r="58" ht="18" customHeight="1">
      <x:c r="A58" s="24" t="str">
        <x:v>EEZ_480</x:v>
      </x:c>
      <x:c r="B58" s="24" t="str">
        <x:v>Mauritius</x:v>
      </x:c>
      <x:c r="C58" s="24" t="str">
        <x:v>EEZ</x:v>
      </x:c>
      <x:c r="D58" s="30" t="n">
        <x:v>2019</x:v>
      </x:c>
      <x:c r="E58" s="24" t="str">
        <x:v>Scomberoides</x:v>
      </x:c>
      <x:c r="F58" s="24" t="str">
        <x:v>Queenfishes</x:v>
      </x:c>
      <x:c r="G58" s="24" t="str">
        <x:v>Medium pelagics (30 - 89 cm)</x:v>
      </x:c>
      <x:c r="H58" s="24" t="str">
        <x:v>Perch-likes</x:v>
      </x:c>
      <x:c r="I58" s="31" t="n">
        <x:v>0.3799200415</x:v>
      </x:c>
      <x:c r="J58" s="31" t="n">
        <x:v>0.3799200415</x:v>
      </x:c>
      <x:c r="K58" s="31" t="n">
        <x:v>0</x:v>
      </x:c>
      <x:c r="L58" s="31" t="n">
        <x:v>0.3799200415</x:v>
      </x:c>
      <x:c r="M58" s="31" t="n">
        <x:v>0</x:v>
      </x:c>
      <x:c r="N58" s="24" t="str">
        <x:v>scomberoides</x:v>
      </x:c>
      <x:c r="O58" s="32" t="n">
        <x:v>4.47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Scomberoides</x:v>
      </x:c>
      <x:c r="T58" s="32" t="n">
        <x:f>IF(O58="","",(1/'Metadata'!$B$5)^(O58-1))</x:f>
        <x:v>2951.209226666384</x:v>
      </x:c>
      <x:c r="U58" s="31" t="n">
        <x:f>IF(T58="","",I58*T58)</x:f>
        <x:v>1121.2235318702756</x:v>
      </x:c>
    </x:row>
    <x:row r="59" ht="18" customHeight="1">
      <x:c r="A59" s="24" t="str">
        <x:v>EEZ_480</x:v>
      </x:c>
      <x:c r="B59" s="24" t="str">
        <x:v>Mauritius</x:v>
      </x:c>
      <x:c r="C59" s="24" t="str">
        <x:v>EEZ</x:v>
      </x:c>
      <x:c r="D59" s="30" t="n">
        <x:v>2019</x:v>
      </x:c>
      <x:c r="E59" s="24" t="str">
        <x:v>Istiophoridae</x:v>
      </x:c>
      <x:c r="F59" s="24" t="str">
        <x:v>Billfishes</x:v>
      </x:c>
      <x:c r="G59" s="24" t="str">
        <x:v>Large pelagics (&gt;=90 cm)</x:v>
      </x:c>
      <x:c r="H59" s="24" t="str">
        <x:v>Tuna &amp; billfishes</x:v>
      </x:c>
      <x:c r="I59" s="31" t="n">
        <x:v>0.3178750975</x:v>
      </x:c>
      <x:c r="J59" s="31" t="n">
        <x:v>0.3178750975</x:v>
      </x:c>
      <x:c r="K59" s="31" t="n">
        <x:v>0</x:v>
      </x:c>
      <x:c r="L59" s="31" t="n">
        <x:v>0.3178750975</x:v>
      </x:c>
      <x:c r="M59" s="31" t="n">
        <x:v>0</x:v>
      </x:c>
      <x:c r="N59" s="24" t="str">
        <x:v>istiophoridae</x:v>
      </x:c>
      <x:c r="O59" s="32" t="n">
        <x:v>4.48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Istiophoridae</x:v>
      </x:c>
      <x:c r="T59" s="32" t="n">
        <x:f>IF(O59="","",(1/'Metadata'!$B$5)^(O59-1))</x:f>
        <x:v>3019.951720402019</x:v>
      </x:c>
      <x:c r="U59" s="31" t="n">
        <x:f>IF(T59="","",I59*T59)</x:f>
        <x:v>959.9674475680845</x:v>
      </x:c>
    </x:row>
    <x:row r="60" ht="18" customHeight="1">
      <x:c r="A60" s="24" t="str">
        <x:v>EEZ_480</x:v>
      </x:c>
      <x:c r="B60" s="24" t="str">
        <x:v>Mauritius</x:v>
      </x:c>
      <x:c r="C60" s="24" t="str">
        <x:v>EEZ</x:v>
      </x:c>
      <x:c r="D60" s="30" t="n">
        <x:v>2019</x:v>
      </x:c>
      <x:c r="E60" s="24" t="str">
        <x:v>Kyphosus</x:v>
      </x:c>
      <x:c r="F60" s="24" t="str">
        <x:v>Sea chubs</x:v>
      </x:c>
      <x:c r="G60" s="24" t="str">
        <x:v>Medium reef assoc. fish (30 - 89 cm)</x:v>
      </x:c>
      <x:c r="H60" s="24" t="str">
        <x:v>Perch-likes</x:v>
      </x:c>
      <x:c r="I60" s="31" t="n">
        <x:v>0.080912169</x:v>
      </x:c>
      <x:c r="J60" s="31" t="n">
        <x:v>0.080912169</x:v>
      </x:c>
      <x:c r="K60" s="31" t="n">
        <x:v>0</x:v>
      </x:c>
      <x:c r="L60" s="31" t="n">
        <x:v>0.054419656</x:v>
      </x:c>
      <x:c r="M60" s="31" t="n">
        <x:v>0.026492513000000002</x:v>
      </x:c>
      <x:c r="N60" s="24" t="str">
        <x:v>kyphosus</x:v>
      </x:c>
      <x:c r="O60" s="32" t="n">
        <x:v>2.05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Kyphosus</x:v>
      </x:c>
      <x:c r="T60" s="32" t="n">
        <x:f>IF(O60="","",(1/'Metadata'!$B$5)^(O60-1))</x:f>
        <x:v>11.220184543019629</x:v>
      </x:c>
      <x:c r="U60" s="31" t="n">
        <x:f>IF(T60="","",I60*T60)</x:f>
        <x:v>0.9078494679559921</x:v>
      </x:c>
    </x:row>
    <x:row r="61" ht="18" customHeight="1">
      <x:c r="A61" s="24" t="str">
        <x:v>EEZ_480</x:v>
      </x:c>
      <x:c r="B61" s="24" t="str">
        <x:v>Mauritius</x:v>
      </x:c>
      <x:c r="C61" s="24" t="str">
        <x:v>EEZ</x:v>
      </x:c>
      <x:c r="D61" s="30" t="n">
        <x:v>2019</x:v>
      </x:c>
      <x:c r="E61" s="24" t="str">
        <x:v>Sphyrna lewini</x:v>
      </x:c>
      <x:c r="F61" s="24" t="str">
        <x:v>Scalloped hammerhead</x:v>
      </x:c>
      <x:c r="G61" s="24" t="str">
        <x:v>Large sharks (&gt;=90 cm)</x:v>
      </x:c>
      <x:c r="H61" s="24" t="str">
        <x:v>Sharks &amp; rays</x:v>
      </x:c>
      <x:c r="I61" s="31" t="n">
        <x:v>0.0443739996</x:v>
      </x:c>
      <x:c r="J61" s="31" t="n">
        <x:v>0.0443739996</x:v>
      </x:c>
      <x:c r="K61" s="31" t="n">
        <x:v>0</x:v>
      </x:c>
      <x:c r="L61" s="31" t="n">
        <x:v>0.0443739996</x:v>
      </x:c>
      <x:c r="M61" s="31" t="n">
        <x:v>0</x:v>
      </x:c>
      <x:c r="N61" s="24" t="str">
        <x:v>sphyrna lewini</x:v>
      </x:c>
      <x:c r="O61" s="32" t="n">
        <x:v>4.08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Sphyrna lewini</x:v>
      </x:c>
      <x:c r="T61" s="32" t="n">
        <x:f>IF(O61="","",(1/'Metadata'!$B$5)^(O61-1))</x:f>
        <x:v>1202.2644346174131</x:v>
      </x:c>
      <x:c r="U61" s="31" t="n">
        <x:f>IF(T61="","",I61*T61)</x:f>
        <x:v>53.34928154080732</x:v>
      </x:c>
    </x:row>
    <x:row r="62" ht="18" customHeight="1">
      <x:c r="A62" s="24" t="str">
        <x:v>EEZ_480</x:v>
      </x:c>
      <x:c r="B62" s="24" t="str">
        <x:v>Mauritius</x:v>
      </x:c>
      <x:c r="C62" s="24" t="str">
        <x:v>EEZ</x:v>
      </x:c>
      <x:c r="D62" s="30" t="n">
        <x:v>2019</x:v>
      </x:c>
      <x:c r="E62" s="24" t="str">
        <x:v>Rastrelliger kanagurta</x:v>
      </x:c>
      <x:c r="F62" s="24" t="str">
        <x:v>Indian mackerel</x:v>
      </x:c>
      <x:c r="G62" s="24" t="str">
        <x:v>Medium pelagics (30 - 89 cm)</x:v>
      </x:c>
      <x:c r="H62" s="24" t="str">
        <x:v>Perch-likes</x:v>
      </x:c>
      <x:c r="I62" s="31" t="n">
        <x:v>0.044325360499999994</x:v>
      </x:c>
      <x:c r="J62" s="31" t="n">
        <x:v>0</x:v>
      </x:c>
      <x:c r="K62" s="31" t="n">
        <x:v>0.044325360499999994</x:v>
      </x:c>
      <x:c r="L62" s="31" t="n">
        <x:v>0</x:v>
      </x:c>
      <x:c r="M62" s="31" t="n">
        <x:v>0.044325360499999994</x:v>
      </x:c>
      <x:c r="N62" s="24" t="str">
        <x:v>rastrelliger kanagurta</x:v>
      </x:c>
      <x:c r="O62" s="32" t="n">
        <x:v>3.19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Rastrelliger kanagurta</x:v>
      </x:c>
      <x:c r="T62" s="32" t="n">
        <x:f>IF(O62="","",(1/'Metadata'!$B$5)^(O62-1))</x:f>
        <x:v>154.88166189124811</x:v>
      </x:c>
      <x:c r="U62" s="31" t="n">
        <x:f>IF(T62="","",I62*T62)</x:f>
        <x:v>6.8651854981686835</x:v>
      </x:c>
    </x:row>
    <x:row r="63" ht="18" customHeight="1">
      <x:c r="A63" s="24" t="str">
        <x:v>EEZ_480</x:v>
      </x:c>
      <x:c r="B63" s="24" t="str">
        <x:v>Mauritius</x:v>
      </x:c>
      <x:c r="C63" s="24" t="str">
        <x:v>EEZ</x:v>
      </x:c>
      <x:c r="D63" s="30" t="n">
        <x:v>2019</x:v>
      </x:c>
      <x:c r="E63" s="24" t="str">
        <x:v>Lethrinus variegatus</x:v>
      </x:c>
      <x:c r="F63" s="24" t="str">
        <x:v>Slender emperor</x:v>
      </x:c>
      <x:c r="G63" s="24" t="str">
        <x:v>Small reef assoc. fish (&lt;30 cm)</x:v>
      </x:c>
      <x:c r="H63" s="24" t="str">
        <x:v>Perch-likes</x:v>
      </x:c>
      <x:c r="I63" s="31" t="n">
        <x:v>0.023694387</x:v>
      </x:c>
      <x:c r="J63" s="31" t="n">
        <x:v>0.023694387</x:v>
      </x:c>
      <x:c r="K63" s="31" t="n">
        <x:v>0</x:v>
      </x:c>
      <x:c r="L63" s="31" t="n">
        <x:v>0</x:v>
      </x:c>
      <x:c r="M63" s="31" t="n">
        <x:v>0.023694387</x:v>
      </x:c>
      <x:c r="N63" s="24" t="str">
        <x:v>lethrinus variegatus</x:v>
      </x:c>
      <x:c r="O63" s="32" t="n">
        <x:v>3.84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Lethrinus variegatus</x:v>
      </x:c>
      <x:c r="T63" s="32" t="n">
        <x:f>IF(O63="","",(1/'Metadata'!$B$5)^(O63-1))</x:f>
        <x:v>691.8309709189363</x:v>
      </x:c>
      <x:c r="U63" s="31" t="n">
        <x:f>IF(T63="","",I63*T63)</x:f>
        <x:v>16.392510763539022</x:v>
      </x:c>
    </x:row>
    <x:row r="64" ht="18" customHeight="1">
      <x:c r="A64" s="24" t="str">
        <x:v>EEZ_480</x:v>
      </x:c>
      <x:c r="B64" s="24" t="str">
        <x:v>Mauritius</x:v>
      </x:c>
      <x:c r="C64" s="24" t="str">
        <x:v>EEZ</x:v>
      </x:c>
      <x:c r="D64" s="30" t="n">
        <x:v>2019</x:v>
      </x:c>
      <x:c r="E64" s="24" t="str">
        <x:v>Sphyrna</x:v>
      </x:c>
      <x:c r="F64" s="24" t="str">
        <x:v>Hammerhead sharks</x:v>
      </x:c>
      <x:c r="G64" s="24" t="str">
        <x:v>Large sharks (&gt;=90 cm)</x:v>
      </x:c>
      <x:c r="H64" s="24" t="str">
        <x:v>Sharks &amp; rays</x:v>
      </x:c>
      <x:c r="I64" s="31" t="n">
        <x:v>0.0225546415</x:v>
      </x:c>
      <x:c r="J64" s="31" t="n">
        <x:v>0.0225546415</x:v>
      </x:c>
      <x:c r="K64" s="31" t="n">
        <x:v>0</x:v>
      </x:c>
      <x:c r="L64" s="31" t="n">
        <x:v>0.0225546415</x:v>
      </x:c>
      <x:c r="M64" s="31" t="n">
        <x:v>0</x:v>
      </x:c>
      <x:c r="N64" s="24" t="str">
        <x:v>sphyrna</x:v>
      </x:c>
      <x:c r="O64" s="32" t="n">
        <x:v>4.2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Sphyrna</x:v>
      </x:c>
      <x:c r="T64" s="32" t="n">
        <x:f>IF(O64="","",(1/'Metadata'!$B$5)^(O64-1))</x:f>
        <x:v>1584.893192461114</x:v>
      </x:c>
      <x:c r="U64" s="31" t="n">
        <x:f>IF(T64="","",I64*T64)</x:f>
        <x:v>35.74669777175093</x:v>
      </x:c>
    </x:row>
    <x:row r="65" ht="18" customHeight="1">
      <x:c r="A65" s="24" t="str">
        <x:v>EEZ_480</x:v>
      </x:c>
      <x:c r="B65" s="24" t="str">
        <x:v>Mauritius</x:v>
      </x:c>
      <x:c r="C65" s="24" t="str">
        <x:v>EEZ</x:v>
      </x:c>
      <x:c r="D65" s="30" t="n">
        <x:v>2019</x:v>
      </x:c>
      <x:c r="E65" s="24" t="str">
        <x:v>Decapterus macarellus</x:v>
      </x:c>
      <x:c r="F65" s="24" t="str">
        <x:v>Mackerel scad</x:v>
      </x:c>
      <x:c r="G65" s="24" t="str">
        <x:v>Medium pelagics (30 - 89 cm)</x:v>
      </x:c>
      <x:c r="H65" s="24" t="str">
        <x:v>Perch-likes</x:v>
      </x:c>
      <x:c r="I65" s="31" t="n">
        <x:v>0.0225309696</x:v>
      </x:c>
      <x:c r="J65" s="31" t="n">
        <x:v>0.0225309696</x:v>
      </x:c>
      <x:c r="K65" s="31" t="n">
        <x:v>0</x:v>
      </x:c>
      <x:c r="L65" s="31" t="n">
        <x:v>0.0225309696</x:v>
      </x:c>
      <x:c r="M65" s="31" t="n">
        <x:v>0</x:v>
      </x:c>
      <x:c r="N65" s="24" t="str">
        <x:v>decapterus macarellus</x:v>
      </x:c>
      <x:c r="O65" s="32" t="n">
        <x:v>3.96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Decapterus macarellus</x:v>
      </x:c>
      <x:c r="T65" s="32" t="n">
        <x:f>IF(O65="","",(1/'Metadata'!$B$5)^(O65-1))</x:f>
        <x:v>912.0108393559096</x:v>
      </x:c>
      <x:c r="U65" s="31" t="n">
        <x:f>IF(T65="","",I65*T65)</x:f>
        <x:v>20.548488496398484</x:v>
      </x:c>
    </x:row>
    <x:row r="66" ht="18" customHeight="1">
      <x:c r="A66" s="24" t="str">
        <x:v>EEZ_480</x:v>
      </x:c>
      <x:c r="B66" s="24" t="str">
        <x:v>Mauritius</x:v>
      </x:c>
      <x:c r="C66" s="24" t="str">
        <x:v>EEZ</x:v>
      </x:c>
      <x:c r="D66" s="30" t="n">
        <x:v>2019</x:v>
      </x:c>
      <x:c r="E66" s="24" t="str">
        <x:v>Thunnus tonggol</x:v>
      </x:c>
      <x:c r="F66" s="24" t="str">
        <x:v>Longtail tuna</x:v>
      </x:c>
      <x:c r="G66" s="24" t="str">
        <x:v>Large pelagics (&gt;=90 cm)</x:v>
      </x:c>
      <x:c r="H66" s="24" t="str">
        <x:v>Tuna &amp; billfishes</x:v>
      </x:c>
      <x:c r="I66" s="31" t="n">
        <x:v>0.0172791681</x:v>
      </x:c>
      <x:c r="J66" s="31" t="n">
        <x:v>0.0172791681</x:v>
      </x:c>
      <x:c r="K66" s="31" t="n">
        <x:v>0</x:v>
      </x:c>
      <x:c r="L66" s="31" t="n">
        <x:v>0.0172791681</x:v>
      </x:c>
      <x:c r="M66" s="31" t="n">
        <x:v>0</x:v>
      </x:c>
      <x:c r="N66" s="24" t="str">
        <x:v>thunnus tonggol</x:v>
      </x:c>
      <x:c r="O66" s="32" t="n">
        <x:v>4.5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Thunnus tonggol</x:v>
      </x:c>
      <x:c r="T66" s="32" t="n">
        <x:f>IF(O66="","",(1/'Metadata'!$B$5)^(O66-1))</x:f>
        <x:v>3162.2776601683795</x:v>
      </x:c>
      <x:c r="U66" s="31" t="n">
        <x:f>IF(T66="","",I66*T66)</x:f>
        <x:v>54.6415272689241</x:v>
      </x:c>
    </x:row>
    <x:row r="67" ht="18" customHeight="1">
      <x:c r="A67" s="24" t="str">
        <x:v>EEZ_480</x:v>
      </x:c>
      <x:c r="B67" s="24" t="str">
        <x:v>Mauritius</x:v>
      </x:c>
      <x:c r="C67" s="24" t="str">
        <x:v>EEZ</x:v>
      </x:c>
      <x:c r="D67" s="30" t="n">
        <x:v>2019</x:v>
      </x:c>
      <x:c r="E67" s="24" t="str">
        <x:v>Euthynnus affinis</x:v>
      </x:c>
      <x:c r="F67" s="24" t="str">
        <x:v>Kawakawa</x:v>
      </x:c>
      <x:c r="G67" s="24" t="str">
        <x:v>Large pelagics (&gt;=90 cm)</x:v>
      </x:c>
      <x:c r="H67" s="24" t="str">
        <x:v>Tuna &amp; billfishes</x:v>
      </x:c>
      <x:c r="I67" s="31" t="n">
        <x:v>0.0111954038</x:v>
      </x:c>
      <x:c r="J67" s="31" t="n">
        <x:v>0.0111954038</x:v>
      </x:c>
      <x:c r="K67" s="31" t="n">
        <x:v>0</x:v>
      </x:c>
      <x:c r="L67" s="31" t="n">
        <x:v>0.0111954038</x:v>
      </x:c>
      <x:c r="M67" s="31" t="n">
        <x:v>0</x:v>
      </x:c>
      <x:c r="N67" s="24" t="str">
        <x:v>euthynnus affinis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Euthynnus affinis</x:v>
      </x:c>
      <x:c r="T67" s="32" t="n">
        <x:f>IF(O67="","",(1/'Metadata'!$B$5)^(O67-1))</x:f>
        <x:v>3162.2776601683795</x:v>
      </x:c>
      <x:c r="U67" s="31" t="n">
        <x:f>IF(T67="","",I67*T67)</x:f>
        <x:v>35.402975333304184</x:v>
      </x:c>
    </x:row>
    <x:row r="68" ht="18" customHeight="1">
      <x:c r="A68" s="24" t="str">
        <x:v>EEZ_480</x:v>
      </x:c>
      <x:c r="B68" s="24" t="str">
        <x:v>Mauritius</x:v>
      </x:c>
      <x:c r="C68" s="24" t="str">
        <x:v>EEZ</x:v>
      </x:c>
      <x:c r="D68" s="30" t="n">
        <x:v>2019</x:v>
      </x:c>
      <x:c r="E68" s="24" t="str">
        <x:v>Auxis rochei</x:v>
      </x:c>
      <x:c r="F68" s="24" t="str">
        <x:v>Bullet tuna</x:v>
      </x:c>
      <x:c r="G68" s="24" t="str">
        <x:v>Medium pelagics (30 - 89 cm)</x:v>
      </x:c>
      <x:c r="H68" s="24" t="str">
        <x:v>Tuna &amp; billfishes</x:v>
      </x:c>
      <x:c r="I68" s="31" t="n">
        <x:v>0.006181244</x:v>
      </x:c>
      <x:c r="J68" s="31" t="n">
        <x:v>0.006181244</x:v>
      </x:c>
      <x:c r="K68" s="31" t="n">
        <x:v>0</x:v>
      </x:c>
      <x:c r="L68" s="31" t="n">
        <x:v>0.006181244</x:v>
      </x:c>
      <x:c r="M68" s="31" t="n">
        <x:v>0</x:v>
      </x:c>
      <x:c r="N68" s="24" t="str">
        <x:v>auxis rochei</x:v>
      </x:c>
      <x:c r="O68" s="32" t="n">
        <x:v>4.13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Auxis rochei</x:v>
      </x:c>
      <x:c r="T68" s="32" t="n">
        <x:f>IF(O68="","",(1/'Metadata'!$B$5)^(O68-1))</x:f>
        <x:v>1348.9628825916532</x:v>
      </x:c>
      <x:c r="U68" s="31" t="n">
        <x:f>IF(T68="","",I68*T68)</x:f>
        <x:v>8.33826872424236</x:v>
      </x:c>
    </x:row>
    <x:row r="69" ht="18" customHeight="1">
      <x:c r="A69" s="24" t="str">
        <x:v>EEZ_480</x:v>
      </x:c>
      <x:c r="B69" s="24" t="str">
        <x:v>Mauritius</x:v>
      </x:c>
      <x:c r="C69" s="24" t="str">
        <x:v>EEZ</x:v>
      </x:c>
      <x:c r="D69" s="30" t="n">
        <x:v>2019</x:v>
      </x:c>
      <x:c r="E69" s="24" t="str">
        <x:v>Rajiformes</x:v>
      </x:c>
      <x:c r="F69" s="24" t="str">
        <x:v>Skates and rays</x:v>
      </x:c>
      <x:c r="G69" s="24" t="str">
        <x:v>Large rays (&gt;=90 cm)</x:v>
      </x:c>
      <x:c r="H69" s="24" t="str">
        <x:v>Sharks &amp; rays</x:v>
      </x:c>
      <x:c r="I69" s="31" t="n">
        <x:v>0.0031521849</x:v>
      </x:c>
      <x:c r="J69" s="31" t="n">
        <x:v>0.0031521849</x:v>
      </x:c>
      <x:c r="K69" s="31" t="n">
        <x:v>0</x:v>
      </x:c>
      <x:c r="L69" s="31" t="n">
        <x:v>0.0031521849</x:v>
      </x:c>
      <x:c r="M69" s="31" t="n">
        <x:v>0</x:v>
      </x:c>
      <x:c r="N69" s="24" t="str">
        <x:v>rajiformes</x:v>
      </x:c>
      <x:c r="O69" s="32" t="n">
        <x:v>3.61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Rajiformes</x:v>
      </x:c>
      <x:c r="T69" s="32" t="n">
        <x:f>IF(O69="","",(1/'Metadata'!$B$5)^(O69-1))</x:f>
        <x:v>407.3802778041126</x:v>
      </x:c>
      <x:c r="U69" s="31" t="n">
        <x:f>IF(T69="","",I69*T69)</x:f>
        <x:v>1.284137960251929</x:v>
      </x:c>
    </x:row>
    <x:row r="70" ht="18" customHeight="1">
      <x:c r="A70" s="24" t="str">
        <x:v>EEZ_480</x:v>
      </x:c>
      <x:c r="B70" s="24" t="str">
        <x:v>Mauritius</x:v>
      </x:c>
      <x:c r="C70" s="24" t="str">
        <x:v>EEZ</x:v>
      </x:c>
      <x:c r="D70" s="30" t="n">
        <x:v>2019</x:v>
      </x:c>
      <x:c r="E70" s="24" t="str">
        <x:v>Isurus paucus</x:v>
      </x:c>
      <x:c r="F70" s="24" t="str">
        <x:v>Longfin mako</x:v>
      </x:c>
      <x:c r="G70" s="24" t="str">
        <x:v>Large sharks (&gt;=90 cm)</x:v>
      </x:c>
      <x:c r="H70" s="24" t="str">
        <x:v>Sharks &amp; rays</x:v>
      </x:c>
      <x:c r="I70" s="31" t="n">
        <x:v>0.0001173402</x:v>
      </x:c>
      <x:c r="J70" s="31" t="n">
        <x:v>0.0001173402</x:v>
      </x:c>
      <x:c r="K70" s="31" t="n">
        <x:v>0</x:v>
      </x:c>
      <x:c r="L70" s="31" t="n">
        <x:v>0.0001173402</x:v>
      </x:c>
      <x:c r="M70" s="31" t="n">
        <x:v>0</x:v>
      </x:c>
      <x:c r="N70" s="24" t="str">
        <x:v>isurus paucus</x:v>
      </x:c>
      <x:c r="O70" s="32" t="n">
        <x:v>4.51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Isurus paucus</x:v>
      </x:c>
      <x:c r="T70" s="32" t="n">
        <x:f>IF(O70="","",(1/'Metadata'!$B$5)^(O70-1))</x:f>
        <x:v>3235.936569296281</x:v>
      </x:c>
      <x:c r="U70" s="31" t="n">
        <x:f>IF(T70="","",I70*T70)</x:f>
        <x:v>0.37970544422853947</x:v>
      </x:c>
    </x:row>
    <x:row r="71" ht="18" customHeight="1">
      <x:c r="A71" s="24" t="str">
        <x:v>EEZ_480</x:v>
      </x:c>
      <x:c r="B71" s="24" t="str">
        <x:v>Mauritius</x:v>
      </x:c>
      <x:c r="C71" s="24" t="str">
        <x:v>EEZ</x:v>
      </x:c>
      <x:c r="D71" s="30" t="n">
        <x:v>2019</x:v>
      </x:c>
      <x:c r="E71" s="24" t="str">
        <x:v>Lamna nasus</x:v>
      </x:c>
      <x:c r="F71" s="24" t="str">
        <x:v>Porbeagle</x:v>
      </x:c>
      <x:c r="G71" s="24" t="str">
        <x:v>Large sharks (&gt;=90 cm)</x:v>
      </x:c>
      <x:c r="H71" s="24" t="str">
        <x:v>Sharks &amp; rays</x:v>
      </x:c>
      <x:c r="I71" s="31" t="n">
        <x:v>3.13e-8</x:v>
      </x:c>
      <x:c r="J71" s="31" t="n">
        <x:v>3.13e-8</x:v>
      </x:c>
      <x:c r="K71" s="31" t="n">
        <x:v>0</x:v>
      </x:c>
      <x:c r="L71" s="31" t="n">
        <x:v>3.13e-8</x:v>
      </x:c>
      <x:c r="M71" s="31" t="n">
        <x:v>0</x:v>
      </x:c>
      <x:c r="N71" s="24" t="str">
        <x:v>lamna nasus</x:v>
      </x:c>
      <x:c r="O71" s="32" t="n">
        <x:v>4.57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Lamna nasus</x:v>
      </x:c>
      <x:c r="T71" s="32" t="n">
        <x:f>IF(O71="","",(1/'Metadata'!$B$5)^(O71-1))</x:f>
        <x:v>3715.3522909717276</x:v>
      </x:c>
      <x:c r="U71" s="31" t="n">
        <x:f>IF(T71="","",I71*T71)</x:f>
        <x:v>0.00011629052670741508</x:v>
      </x:c>
    </x:row>
  </x:sheetData>
  <x:conditionalFormatting sqref="R2:R7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e7de3809e51485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5.988969129</x:v>
      </x:c>
      <x:c r="E2" s="31" t="n">
        <x:v>5.988969129</x:v>
      </x:c>
      <x:c r="F2" s="32" t="n">
        <x:v>0</x:v>
      </x:c>
      <x:c r="G2" s="34" t="n">
        <x:v>1</x:v>
      </x:c>
      <x:c r="H2" s="32" t="n">
        <x:f>IF(E2=0,"",I2/E2)</x:f>
        <x:v>39.810717055349734</x:v>
      </x:c>
      <x:c r="I2" s="31" t="n">
        <x:f>IF(C2=0,"",SUMIF('Species'!$H$2:$H$71,A2,'Species'!$U$2:$U$71))</x:f>
        <x:v>238.42515544784334</x:v>
      </x:c>
      <x:c r="J2" s="32" t="n">
        <x:v>2.6</x:v>
      </x:c>
      <x:c r="K2" s="32" t="n">
        <x:f>IF(J2="","",(1/'Metadata'!$B$5)^(J2-1))</x:f>
        <x:v>39.810717055349734</x:v>
      </x:c>
      <x:c r="L2" s="31" t="n">
        <x:f>IF(E2=0,"",E2*K2)</x:f>
        <x:v>238.42515544784334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Other fishes &amp; inverts</x:v>
      </x:c>
      <x:c r="B3" s="33" t="n">
        <x:v>8</x:v>
      </x:c>
      <x:c r="C3" s="33" t="n">
        <x:v>8</x:v>
      </x:c>
      <x:c r="D3" s="31" t="n">
        <x:v>4926.8818797287</x:v>
      </x:c>
      <x:c r="E3" s="31" t="n">
        <x:v>4926.8818797287</x:v>
      </x:c>
      <x:c r="F3" s="32" t="n">
        <x:v>0</x:v>
      </x:c>
      <x:c r="G3" s="34" t="n">
        <x:v>1</x:v>
      </x:c>
      <x:c r="H3" s="32" t="n">
        <x:f>IF(E3=0,"",I3/E3)</x:f>
        <x:v>225.0662370590675</x:v>
      </x:c>
      <x:c r="I3" s="31" t="n">
        <x:f>IF(C3=0,"",SUMIF('Species'!$H$2:$H$71,A3,'Species'!$U$2:$U$71))</x:f>
        <x:v>1108874.7651050438</x:v>
      </x:c>
      <x:c r="J3" s="32" t="n">
        <x:v>3.308796708908515</x:v>
      </x:c>
      <x:c r="K3" s="32" t="n">
        <x:f>IF(J3="","",(1/'Metadata'!$B$5)^(J3-1))</x:f>
        <x:v>203.60887715557539</x:v>
      </x:c>
      <x:c r="L3" s="31" t="n">
        <x:f>IF(E3=0,"",E3*K3)</x:f>
        <x:v>1003156.8874097113</x:v>
      </x:c>
      <x:c r="M3" s="31" t="n">
        <x:f>IF(E3=0,"",I3-L3)</x:f>
        <x:v>105717.87769533251</x:v>
      </x:c>
      <x:c r="N3" s="32" t="n">
        <x:f>IF(L3=0,"",I3/L3)</x:f>
        <x:v>1.105385188520522</x:v>
      </x:c>
      <x:c r="O3" s="34" t="n">
        <x:f>IF(L3=0,"",M3/L3)</x:f>
        <x:v>0.10538518852052203</x:v>
      </x:c>
    </x:row>
    <x:row r="4" ht="18" customHeight="1">
      <x:c r="A4" s="24" t="str">
        <x:v>Perch-likes</x:v>
      </x:c>
      <x:c r="B4" s="33" t="n">
        <x:v>30</x:v>
      </x:c>
      <x:c r="C4" s="33" t="n">
        <x:v>30</x:v>
      </x:c>
      <x:c r="D4" s="31" t="n">
        <x:v>4363.9535917019</x:v>
      </x:c>
      <x:c r="E4" s="31" t="n">
        <x:v>4363.9535917019</x:v>
      </x:c>
      <x:c r="F4" s="32" t="n">
        <x:v>0</x:v>
      </x:c>
      <x:c r="G4" s="34" t="n">
        <x:v>1</x:v>
      </x:c>
      <x:c r="H4" s="32" t="n">
        <x:f>IF(E4=0,"",I4/E4)</x:f>
        <x:v>432.39361801230723</x:v>
      </x:c>
      <x:c r="I4" s="31" t="n">
        <x:f>IF(C4=0,"",SUMIF('Species'!$H$2:$H$71,A4,'Species'!$U$2:$U$71))</x:f>
        <x:v>1886945.6823537876</x:v>
      </x:c>
      <x:c r="J4" s="32" t="n">
        <x:v>3.3462861995837643</x:v>
      </x:c>
      <x:c r="K4" s="32" t="n">
        <x:f>IF(J4="","",(1/'Metadata'!$B$5)^(J4-1))</x:f>
        <x:v>221.9658690554683</x:v>
      </x:c>
      <x:c r="L4" s="31" t="n">
        <x:f>IF(E4=0,"",E4*K4)</x:f>
        <x:v>968648.7514998445</x:v>
      </x:c>
      <x:c r="M4" s="31" t="n">
        <x:f>IF(E4=0,"",I4-L4)</x:f>
        <x:v>918296.9308539431</x:v>
      </x:c>
      <x:c r="N4" s="32" t="n">
        <x:f>IF(L4=0,"",I4/L4)</x:f>
        <x:v>1.9480184942499155</x:v>
      </x:c>
      <x:c r="O4" s="34" t="n">
        <x:f>IF(L4=0,"",M4/L4)</x:f>
        <x:v>0.9480184942499155</x:v>
      </x:c>
    </x:row>
    <x:row r="5" ht="18" customHeight="1">
      <x:c r="A5" s="24" t="str">
        <x:v>Sharks &amp; rays</x:v>
      </x:c>
      <x:c r="B5" s="33" t="n">
        <x:v>15</x:v>
      </x:c>
      <x:c r="C5" s="33" t="n">
        <x:v>15</x:v>
      </x:c>
      <x:c r="D5" s="31" t="n">
        <x:v>2817.5599368393</x:v>
      </x:c>
      <x:c r="E5" s="31" t="n">
        <x:v>2817.5599368393</x:v>
      </x:c>
      <x:c r="F5" s="32" t="n">
        <x:v>0</x:v>
      </x:c>
      <x:c r="G5" s="34" t="n">
        <x:v>1</x:v>
      </x:c>
      <x:c r="H5" s="32" t="n">
        <x:f>IF(E5=0,"",I5/E5)</x:f>
        <x:v>2223.858890077023</x:v>
      </x:c>
      <x:c r="I5" s="31" t="n">
        <x:f>IF(C5=0,"",SUMIF('Species'!$H$2:$H$71,A5,'Species'!$U$2:$U$71))</x:f>
        <x:v>6265855.713864933</x:v>
      </x:c>
      <x:c r="J5" s="32" t="n">
        <x:v>4.330302848144456</x:v>
      </x:c>
      <x:c r="K5" s="32" t="n">
        <x:f>IF(J5="","",(1/'Metadata'!$B$5)^(J5-1))</x:f>
        <x:v>2139.4534822903843</x:v>
      </x:c>
      <x:c r="L5" s="31" t="n">
        <x:f>IF(E5=0,"",E5*K5)</x:f>
        <x:v>6028038.418432715</x:v>
      </x:c>
      <x:c r="M5" s="31" t="n">
        <x:f>IF(E5=0,"",I5-L5)</x:f>
        <x:v>237817.29543221742</x:v>
      </x:c>
      <x:c r="N5" s="32" t="n">
        <x:f>IF(L5=0,"",I5/L5)</x:f>
        <x:v>1.0394518546373248</x:v>
      </x:c>
      <x:c r="O5" s="34" t="n">
        <x:f>IF(L5=0,"",M5/L5)</x:f>
        <x:v>0.03945185463732491</x:v>
      </x:c>
    </x:row>
    <x:row r="6" ht="18" customHeight="1">
      <x:c r="A6" s="24" t="str">
        <x:v>Tuna &amp; billfishes</x:v>
      </x:c>
      <x:c r="B6" s="33" t="n">
        <x:v>16</x:v>
      </x:c>
      <x:c r="C6" s="33" t="n">
        <x:v>16</x:v>
      </x:c>
      <x:c r="D6" s="31" t="n">
        <x:v>3140.9776579884997</x:v>
      </x:c>
      <x:c r="E6" s="31" t="n">
        <x:v>3140.9776579884997</x:v>
      </x:c>
      <x:c r="F6" s="32" t="n">
        <x:v>0</x:v>
      </x:c>
      <x:c r="G6" s="34" t="n">
        <x:v>1</x:v>
      </x:c>
      <x:c r="H6" s="32" t="n">
        <x:f>IF(E6=0,"",I6/E6)</x:f>
        <x:v>2370.9852891659857</x:v>
      </x:c>
      <x:c r="I6" s="31" t="n">
        <x:f>IF(C6=0,"",SUMIF('Species'!$H$2:$H$71,A6,'Species'!$U$2:$U$71))</x:f>
        <x:v>7447211.820689764</x:v>
      </x:c>
      <x:c r="J6" s="32" t="n">
        <x:v>4.368748646879275</x:v>
      </x:c>
      <x:c r="K6" s="32" t="n">
        <x:f>IF(J6="","",(1/'Metadata'!$B$5)^(J6-1))</x:f>
        <x:v>2337.484000300252</x:v>
      </x:c>
      <x:c r="L6" s="31" t="n">
        <x:f>IF(E6=0,"",E6*K6)</x:f>
        <x:v>7341985.020848675</x:v>
      </x:c>
      <x:c r="M6" s="31" t="n">
        <x:f>IF(E6=0,"",I6-L6)</x:f>
        <x:v>105226.79984108917</x:v>
      </x:c>
      <x:c r="N6" s="32" t="n">
        <x:f>IF(L6=0,"",I6/L6)</x:f>
        <x:v>1.0143322002894697</x:v>
      </x:c>
      <x:c r="O6" s="34" t="n">
        <x:f>IF(L6=0,"",M6/L6)</x:f>
        <x:v>0.014332200289469646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e58b372822d45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694.337946812</x:v>
      </x:c>
      <x:c r="E2" s="31" t="n">
        <x:v>694.337946812</x:v>
      </x:c>
      <x:c r="F2" s="32" t="n">
        <x:v>0</x:v>
      </x:c>
      <x:c r="G2" s="34" t="n">
        <x:v>1</x:v>
      </x:c>
      <x:c r="H2" s="32" t="n">
        <x:f>IF(E2=0,"",I2/E2)</x:f>
        <x:v>395.058776800609</x:v>
      </x:c>
      <x:c r="I2" s="31" t="n">
        <x:f>IF(C2=0,"",SUMIF('Species'!$G$2:$G$71,A2,'Species'!$U$2:$U$71))</x:f>
        <x:v>274304.29995379504</x:v>
      </x:c>
      <x:c r="J2" s="32" t="n">
        <x:v>3.596636079060947</x:v>
      </x:c>
      <x:c r="K2" s="32" t="n">
        <x:f>IF(J2="","",(1/'Metadata'!$B$5)^(J2-1))</x:f>
        <x:v>395.03545784804527</x:v>
      </x:c>
      <x:c r="L2" s="31" t="n">
        <x:f>IF(E2=0,"",E2*K2)</x:f>
        <x:v>274288.10872015014</x:v>
      </x:c>
      <x:c r="M2" s="31" t="n">
        <x:f>IF(E2=0,"",I2-L2)</x:f>
        <x:v>16.19123364490224</x:v>
      </x:c>
      <x:c r="N2" s="32" t="n">
        <x:f>IF(L2=0,"",I2/L2)</x:f>
        <x:v>1.0000590300240155</x:v>
      </x:c>
      <x:c r="O2" s="34" t="n">
        <x:f>IF(L2=0,"",M2/L2)</x:f>
        <x:v>0.000059030024015447876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0.9574605030000001</x:v>
      </x:c>
      <x:c r="E3" s="31" t="n">
        <x:v>0.9574605030000001</x:v>
      </x:c>
      <x:c r="F3" s="32" t="n">
        <x:v>0</x:v>
      </x:c>
      <x:c r="G3" s="34" t="n">
        <x:v>1</x:v>
      </x:c>
      <x:c r="H3" s="32" t="n">
        <x:f>IF(E3=0,"",I3/E3)</x:f>
        <x:v>10.71519305237606</x:v>
      </x:c>
      <x:c r="I3" s="31" t="n">
        <x:f>IF(C3=0,"",SUMIF('Species'!$G$2:$G$71,A3,'Species'!$U$2:$U$71))</x:f>
        <x:v>10.259374129670089</x:v>
      </x:c>
      <x:c r="J3" s="32" t="n">
        <x:v>2.03</x:v>
      </x:c>
      <x:c r="K3" s="32" t="n">
        <x:f>IF(J3="","",(1/'Metadata'!$B$5)^(J3-1))</x:f>
        <x:v>10.71519305237606</x:v>
      </x:c>
      <x:c r="L3" s="31" t="n">
        <x:f>IF(E3=0,"",E3*K3)</x:f>
        <x:v>10.259374129670089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18</x:v>
      </x:c>
      <x:c r="C4" s="33" t="n">
        <x:v>18</x:v>
      </x:c>
      <x:c r="D4" s="31" t="n">
        <x:v>2188.6016861583</x:v>
      </x:c>
      <x:c r="E4" s="31" t="n">
        <x:v>2188.6016861583</x:v>
      </x:c>
      <x:c r="F4" s="32" t="n">
        <x:v>0</x:v>
      </x:c>
      <x:c r="G4" s="34" t="n">
        <x:v>1</x:v>
      </x:c>
      <x:c r="H4" s="32" t="n">
        <x:f>IF(E4=0,"",I4/E4)</x:f>
        <x:v>2388.405821698487</x:v>
      </x:c>
      <x:c r="I4" s="31" t="n">
        <x:f>IF(C4=0,"",SUMIF('Species'!$G$2:$G$71,A4,'Species'!$U$2:$U$71))</x:f>
        <x:v>5227269.008599608</x:v>
      </x:c>
      <x:c r="J4" s="32" t="n">
        <x:v>4.369399833896709</x:v>
      </x:c>
      <x:c r="K4" s="32" t="n">
        <x:f>IF(J4="","",(1/'Metadata'!$B$5)^(J4-1))</x:f>
        <x:v>2340.9914843383226</x:v>
      </x:c>
      <x:c r="L4" s="31" t="n">
        <x:f>IF(E4=0,"",E4*K4)</x:f>
        <x:v>5123497.909905074</x:v>
      </x:c>
      <x:c r="M4" s="31" t="n">
        <x:f>IF(E4=0,"",I4-L4)</x:f>
        <x:v>103771.09869453404</x:v>
      </x:c>
      <x:c r="N4" s="32" t="n">
        <x:f>IF(L4=0,"",I4/L4)</x:f>
        <x:v>1.020253955504484</x:v>
      </x:c>
      <x:c r="O4" s="34" t="n">
        <x:f>IF(L4=0,"",M4/L4)</x:f>
        <x:v>0.02025395550448398</x:v>
      </x:c>
    </x:row>
    <x:row r="5" ht="18" customHeight="1">
      <x:c r="A5" s="24" t="str">
        <x:v>Large rays (&gt;=90 cm)</x:v>
      </x:c>
      <x:c r="B5" s="33" t="n">
        <x:v>3</x:v>
      </x:c>
      <x:c r="C5" s="33" t="n">
        <x:v>3</x:v>
      </x:c>
      <x:c r="D5" s="31" t="n">
        <x:v>3.5062208841999998</x:v>
      </x:c>
      <x:c r="E5" s="31" t="n">
        <x:v>3.5062208841999998</x:v>
      </x:c>
      <x:c r="F5" s="32" t="n">
        <x:v>0</x:v>
      </x:c>
      <x:c r="G5" s="34" t="n">
        <x:v>1</x:v>
      </x:c>
      <x:c r="H5" s="32" t="n">
        <x:f>IF(E5=0,"",I5/E5)</x:f>
        <x:v>344.6979070598269</x:v>
      </x:c>
      <x:c r="I5" s="31" t="n">
        <x:f>IF(C5=0,"",SUMIF('Species'!$G$2:$G$71,A5,'Species'!$U$2:$U$71))</x:f>
        <x:v>1208.5870004731955</x:v>
      </x:c>
      <x:c r="J5" s="32" t="n">
        <x:v>3.53476962932323</x:v>
      </x:c>
      <x:c r="K5" s="32" t="n">
        <x:f>IF(J5="","",(1/'Metadata'!$B$5)^(J5-1))</x:f>
        <x:v>342.5860142447148</x:v>
      </x:c>
      <x:c r="L5" s="31" t="n">
        <x:f>IF(E5=0,"",E5*K5)</x:f>
        <x:v>1201.1822377796577</x:v>
      </x:c>
      <x:c r="M5" s="31" t="n">
        <x:f>IF(E5=0,"",I5-L5)</x:f>
        <x:v>7.404762693537805</x:v>
      </x:c>
      <x:c r="N5" s="32" t="n">
        <x:f>IF(L5=0,"",I5/L5)</x:f>
        <x:v>1.0061645622626132</x:v>
      </x:c>
      <x:c r="O5" s="34" t="n">
        <x:f>IF(L5=0,"",M5/L5)</x:f>
        <x:v>0.006164562262613243</x:v>
      </x:c>
    </x:row>
    <x:row r="6" ht="18" customHeight="1">
      <x:c r="A6" s="24" t="str">
        <x:v>Large reef assoc. fish (&gt;=90 cm)</x:v>
      </x:c>
      <x:c r="B6" s="33" t="n">
        <x:v>1</x:v>
      </x:c>
      <x:c r="C6" s="33" t="n">
        <x:v>1</x:v>
      </x:c>
      <x:c r="D6" s="31" t="n">
        <x:v>16.064310276</x:v>
      </x:c>
      <x:c r="E6" s="31" t="n">
        <x:v>16.064310276</x:v>
      </x:c>
      <x:c r="F6" s="32" t="n">
        <x:v>0</x:v>
      </x:c>
      <x:c r="G6" s="34" t="n">
        <x:v>1</x:v>
      </x:c>
      <x:c r="H6" s="32" t="n">
        <x:f>IF(E6=0,"",I6/E6)</x:f>
        <x:v>1905.4607179632483</x:v>
      </x:c>
      <x:c r="I6" s="31" t="n">
        <x:f>IF(C6=0,"",SUMIF('Species'!$G$2:$G$71,A6,'Species'!$U$2:$U$71))</x:f>
        <x:v>30609.91219209135</x:v>
      </x:c>
      <x:c r="J6" s="32" t="n">
        <x:v>4.28</x:v>
      </x:c>
      <x:c r="K6" s="32" t="n">
        <x:f>IF(J6="","",(1/'Metadata'!$B$5)^(J6-1))</x:f>
        <x:v>1905.4607179632483</x:v>
      </x:c>
      <x:c r="L6" s="31" t="n">
        <x:f>IF(E6=0,"",E6*K6)</x:f>
        <x:v>30609.91219209135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sharks (&gt;=90 cm)</x:v>
      </x:c>
      <x:c r="B7" s="33" t="n">
        <x:v>12</x:v>
      </x:c>
      <x:c r="C7" s="33" t="n">
        <x:v>12</x:v>
      </x:c>
      <x:c r="D7" s="31" t="n">
        <x:v>2814.0537159551</x:v>
      </x:c>
      <x:c r="E7" s="31" t="n">
        <x:v>2814.0537159551</x:v>
      </x:c>
      <x:c r="F7" s="32" t="n">
        <x:v>0</x:v>
      </x:c>
      <x:c r="G7" s="34" t="n">
        <x:v>1</x:v>
      </x:c>
      <x:c r="H7" s="32" t="n">
        <x:f>IF(E7=0,"",I7/E7)</x:f>
        <x:v>2226.2002645312746</x:v>
      </x:c>
      <x:c r="I7" s="31" t="n">
        <x:f>IF(C7=0,"",SUMIF('Species'!$G$2:$G$71,A7,'Species'!$U$2:$U$71))</x:f>
        <x:v>6264647.126864459</x:v>
      </x:c>
      <x:c r="J7" s="32" t="n">
        <x:v>4.331294057079129</x:v>
      </x:c>
      <x:c r="K7" s="32" t="n">
        <x:f>IF(J7="","",(1/'Metadata'!$B$5)^(J7-1))</x:f>
        <x:v>2144.342025335711</x:v>
      </x:c>
      <x:c r="L7" s="31" t="n">
        <x:f>IF(E7=0,"",E7*K7)</x:f>
        <x:v>6034293.644674642</x:v>
      </x:c>
      <x:c r="M7" s="31" t="n">
        <x:f>IF(E7=0,"",I7-L7)</x:f>
        <x:v>230353.48218981735</x:v>
      </x:c>
      <x:c r="N7" s="32" t="n">
        <x:f>IF(L7=0,"",I7/L7)</x:f>
        <x:v>1.0381740590952362</x:v>
      </x:c>
      <x:c r="O7" s="34" t="n">
        <x:f>IF(L7=0,"",M7/L7)</x:f>
        <x:v>0.03817405909523609</x:v>
      </x:c>
    </x:row>
    <x:row r="8" ht="18" customHeight="1">
      <x:c r="A8" s="24" t="str">
        <x:v>Lobsters, crabs</x:v>
      </x:c>
      <x:c r="B8" s="33" t="n">
        <x:v>1</x:v>
      </x:c>
      <x:c r="C8" s="33" t="n">
        <x:v>1</x:v>
      </x:c>
      <x:c r="D8" s="31" t="n">
        <x:v>5.988969129</x:v>
      </x:c>
      <x:c r="E8" s="31" t="n">
        <x:v>5.988969129</x:v>
      </x:c>
      <x:c r="F8" s="32" t="n">
        <x:v>0</x:v>
      </x:c>
      <x:c r="G8" s="34" t="n">
        <x:v>1</x:v>
      </x:c>
      <x:c r="H8" s="32" t="n">
        <x:f>IF(E8=0,"",I8/E8)</x:f>
        <x:v>39.810717055349734</x:v>
      </x:c>
      <x:c r="I8" s="31" t="n">
        <x:f>IF(C8=0,"",SUMIF('Species'!$G$2:$G$71,A8,'Species'!$U$2:$U$71))</x:f>
        <x:v>238.42515544784334</x:v>
      </x:c>
      <x:c r="J8" s="32" t="n">
        <x:v>2.6</x:v>
      </x:c>
      <x:c r="K8" s="32" t="n">
        <x:f>IF(J8="","",(1/'Metadata'!$B$5)^(J8-1))</x:f>
        <x:v>39.810717055349734</x:v>
      </x:c>
      <x:c r="L8" s="31" t="n">
        <x:f>IF(E8=0,"",E8*K8)</x:f>
        <x:v>238.42515544784334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Medium bathydemersals (30 - 89 cm)</x:v>
      </x:c>
      <x:c r="B9" s="33" t="n">
        <x:v>1</x:v>
      </x:c>
      <x:c r="C9" s="33" t="n">
        <x:v>1</x:v>
      </x:c>
      <x:c r="D9" s="31" t="n">
        <x:v>44.81413549</x:v>
      </x:c>
      <x:c r="E9" s="31" t="n">
        <x:v>44.81413549</x:v>
      </x:c>
      <x:c r="F9" s="32" t="n">
        <x:v>0</x:v>
      </x:c>
      <x:c r="G9" s="34" t="n">
        <x:v>1</x:v>
      </x:c>
      <x:c r="H9" s="32" t="n">
        <x:f>IF(E9=0,"",I9/E9)</x:f>
        <x:v>251.18864315095797</x:v>
      </x:c>
      <x:c r="I9" s="31" t="n">
        <x:f>IF(C9=0,"",SUMIF('Species'!$G$2:$G$71,A9,'Species'!$U$2:$U$71))</x:f>
        <x:v>11256.80188771629</x:v>
      </x:c>
      <x:c r="J9" s="32" t="n">
        <x:v>3.4</x:v>
      </x:c>
      <x:c r="K9" s="32" t="n">
        <x:f>IF(J9="","",(1/'Metadata'!$B$5)^(J9-1))</x:f>
        <x:v>251.18864315095797</x:v>
      </x:c>
      <x:c r="L9" s="31" t="n">
        <x:f>IF(E9=0,"",E9*K9)</x:f>
        <x:v>11256.80188771629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Medium benthopelagics (30 - 89 cm)</x:v>
      </x:c>
      <x:c r="B10" s="33" t="n">
        <x:v>1</x:v>
      </x:c>
      <x:c r="C10" s="33" t="n">
        <x:v>1</x:v>
      </x:c>
      <x:c r="D10" s="31" t="n">
        <x:v>47.45026111</x:v>
      </x:c>
      <x:c r="E10" s="31" t="n">
        <x:v>47.45026111</x:v>
      </x:c>
      <x:c r="F10" s="32" t="n">
        <x:v>0</x:v>
      </x:c>
      <x:c r="G10" s="34" t="n">
        <x:v>1</x:v>
      </x:c>
      <x:c r="H10" s="32" t="n">
        <x:f>IF(E10=0,"",I10/E10)</x:f>
        <x:v>1862.0871366628655</x:v>
      </x:c>
      <x:c r="I10" s="31" t="n">
        <x:f>IF(C10=0,"",SUMIF('Species'!$G$2:$G$71,A10,'Species'!$U$2:$U$71))</x:f>
        <x:v>88356.52084422522</x:v>
      </x:c>
      <x:c r="J10" s="32" t="n">
        <x:v>4.27</x:v>
      </x:c>
      <x:c r="K10" s="32" t="n">
        <x:f>IF(J10="","",(1/'Metadata'!$B$5)^(J10-1))</x:f>
        <x:v>1862.0871366628655</x:v>
      </x:c>
      <x:c r="L10" s="31" t="n">
        <x:f>IF(E10=0,"",E10*K10)</x:f>
        <x:v>88356.52084422522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Medium demersals (30 - 89 cm)</x:v>
      </x:c>
      <x:c r="B11" s="33" t="n">
        <x:v>4</x:v>
      </x:c>
      <x:c r="C11" s="33" t="n">
        <x:v>4</x:v>
      </x:c>
      <x:c r="D11" s="31" t="n">
        <x:v>4288.6094395886</x:v>
      </x:c>
      <x:c r="E11" s="31" t="n">
        <x:v>4288.6094395886</x:v>
      </x:c>
      <x:c r="F11" s="32" t="n">
        <x:v>0</x:v>
      </x:c>
      <x:c r="G11" s="34" t="n">
        <x:v>1</x:v>
      </x:c>
      <x:c r="H11" s="32" t="n">
        <x:f>IF(E11=0,"",I11/E11)</x:f>
        <x:v>188.5189010793882</x:v>
      </x:c>
      <x:c r="I11" s="31" t="n">
        <x:f>IF(C11=0,"",SUMIF('Species'!$G$2:$G$71,A11,'Species'!$U$2:$U$71))</x:f>
        <x:v>808483.9387099338</x:v>
      </x:c>
      <x:c r="J11" s="32" t="n">
        <x:v>3.2640262164957923</x:v>
      </x:c>
      <x:c r="K11" s="32" t="n">
        <x:f>IF(J11="","",(1/'Metadata'!$B$5)^(J11-1))</x:f>
        <x:v>183.66492106400537</x:v>
      </x:c>
      <x:c r="L11" s="31" t="n">
        <x:f>IF(E11=0,"",E11*K11)</x:f>
        <x:v>787667.1141963885</x:v>
      </x:c>
      <x:c r="M11" s="31" t="n">
        <x:f>IF(E11=0,"",I11-L11)</x:f>
        <x:v>20816.82451354526</x:v>
      </x:c>
      <x:c r="N11" s="32" t="n">
        <x:f>IF(L11=0,"",I11/L11)</x:f>
        <x:v>1.0264284545315612</x:v>
      </x:c>
      <x:c r="O11" s="34" t="n">
        <x:f>IF(L11=0,"",M11/L11)</x:f>
        <x:v>0.026428454531561178</x:v>
      </x:c>
    </x:row>
    <x:row r="12" ht="18" customHeight="1">
      <x:c r="A12" s="24" t="str">
        <x:v>Medium pelagics (30 - 89 cm)</x:v>
      </x:c>
      <x:c r="B12" s="33" t="n">
        <x:v>10</x:v>
      </x:c>
      <x:c r="C12" s="33" t="n">
        <x:v>10</x:v>
      </x:c>
      <x:c r="D12" s="31" t="n">
        <x:v>1283.2700922951997</x:v>
      </x:c>
      <x:c r="E12" s="31" t="n">
        <x:v>1283.2700922951997</x:v>
      </x:c>
      <x:c r="F12" s="32" t="n">
        <x:v>0</x:v>
      </x:c>
      <x:c r="G12" s="34" t="n">
        <x:v>1</x:v>
      </x:c>
      <x:c r="H12" s="32" t="n">
        <x:f>IF(E12=0,"",I12/E12)</x:f>
        <x:v>2141.1103229556543</x:v>
      </x:c>
      <x:c r="I12" s="31" t="n">
        <x:f>IF(C12=0,"",SUMIF('Species'!$G$2:$G$71,A12,'Species'!$U$2:$U$71))</x:f>
        <x:v>2747622.841753507</x:v>
      </x:c>
      <x:c r="J12" s="32" t="n">
        <x:v>4.300074215682893</x:v>
      </x:c>
      <x:c r="K12" s="32" t="n">
        <x:f>IF(J12="","",(1/'Metadata'!$B$5)^(J12-1))</x:f>
        <x:v>1995.6033103410737</x:v>
      </x:c>
      <x:c r="L12" s="31" t="n">
        <x:f>IF(E12=0,"",E12*K12)</x:f>
        <x:v>2560898.0442459956</x:v>
      </x:c>
      <x:c r="M12" s="31" t="n">
        <x:f>IF(E12=0,"",I12-L12)</x:f>
        <x:v>186724.79750751145</x:v>
      </x:c>
      <x:c r="N12" s="32" t="n">
        <x:f>IF(L12=0,"",I12/L12)</x:f>
        <x:v>1.0729137959736654</x:v>
      </x:c>
      <x:c r="O12" s="34" t="n">
        <x:f>IF(L12=0,"",M12/L12)</x:f>
        <x:v>0.07291379597366547</x:v>
      </x:c>
    </x:row>
    <x:row r="13" ht="18" customHeight="1">
      <x:c r="A13" s="24" t="str">
        <x:v>Medium reef assoc. fish (30 - 89 cm)</x:v>
      </x:c>
      <x:c r="B13" s="33" t="n">
        <x:v>13</x:v>
      </x:c>
      <x:c r="C13" s="33" t="n">
        <x:v>13</x:v>
      </x:c>
      <x:c r="D13" s="31" t="n">
        <x:v>3727.9414898789996</x:v>
      </x:c>
      <x:c r="E13" s="31" t="n">
        <x:v>3727.9414898789996</x:v>
      </x:c>
      <x:c r="F13" s="32" t="n">
        <x:v>0</x:v>
      </x:c>
      <x:c r="G13" s="34" t="n">
        <x:v>1</x:v>
      </x:c>
      <x:c r="H13" s="32" t="n">
        <x:f>IF(E13=0,"",I13/E13)</x:f>
        <x:v>335.9600881954906</x:v>
      </x:c>
      <x:c r="I13" s="31" t="n">
        <x:f>IF(C13=0,"",SUMIF('Species'!$G$2:$G$71,A13,'Species'!$U$2:$U$71))</x:f>
        <x:v>1252439.5517273773</x:v>
      </x:c>
      <x:c r="J13" s="32" t="n">
        <x:v>3.301124604391521</x:v>
      </x:c>
      <x:c r="K13" s="32" t="n">
        <x:f>IF(J13="","",(1/'Metadata'!$B$5)^(J13-1))</x:f>
        <x:v>200.04357367511363</x:v>
      </x:c>
      <x:c r="L13" s="31" t="n">
        <x:f>IF(E13=0,"",E13*K13)</x:f>
        <x:v>745750.7380871226</x:v>
      </x:c>
      <x:c r="M13" s="31" t="n">
        <x:f>IF(E13=0,"",I13-L13)</x:f>
        <x:v>506688.8136402548</x:v>
      </x:c>
      <x:c r="N13" s="32" t="n">
        <x:f>IF(L13=0,"",I13/L13)</x:f>
        <x:v>1.6794345453011952</x:v>
      </x:c>
      <x:c r="O13" s="34" t="n">
        <x:f>IF(L13=0,"",M13/L13)</x:f>
        <x:v>0.6794345453011952</x:v>
      </x:c>
    </x:row>
    <x:row r="14" ht="18" customHeight="1">
      <x:c r="A14" s="24" t="str">
        <x:v>Small reef assoc. fish (&lt;30 cm)</x:v>
      </x:c>
      <x:c r="B14" s="33" t="n">
        <x:v>2</x:v>
      </x:c>
      <x:c r="C14" s="33" t="n">
        <x:v>2</x:v>
      </x:c>
      <x:c r="D14" s="31" t="n">
        <x:v>139.766307307</x:v>
      </x:c>
      <x:c r="E14" s="31" t="n">
        <x:v>139.766307307</x:v>
      </x:c>
      <x:c r="F14" s="32" t="n">
        <x:v>0</x:v>
      </x:c>
      <x:c r="G14" s="34" t="n">
        <x:v>1</x:v>
      </x:c>
      <x:c r="H14" s="32" t="n">
        <x:f>IF(E14=0,"",I14/E14)</x:f>
        <x:v>19.16866201755472</x:v>
      </x:c>
      <x:c r="I14" s="31" t="n">
        <x:f>IF(C14=0,"",SUMIF('Species'!$G$2:$G$71,A14,'Species'!$U$2:$U$71))</x:f>
        <x:v>2679.1331062095715</x:v>
      </x:c>
      <x:c r="J14" s="32" t="n">
        <x:v>2.280264464622642</x:v>
      </x:c>
      <x:c r="K14" s="32" t="n">
        <x:f>IF(J14="","",(1/'Metadata'!$B$5)^(J14-1))</x:f>
        <x:v>19.066214060116252</x:v>
      </x:c>
      <x:c r="L14" s="31" t="n">
        <x:f>IF(E14=0,"",E14*K14)</x:f>
        <x:v>2664.8143335072523</x:v>
      </x:c>
      <x:c r="M14" s="31" t="n">
        <x:f>IF(E14=0,"",I14-L14)</x:f>
        <x:v>14.318772702319166</x:v>
      </x:c>
      <x:c r="N14" s="32" t="n">
        <x:f>IF(L14=0,"",I14/L14)</x:f>
        <x:v>1.005373272172202</x:v>
      </x:c>
      <x:c r="O14" s="34" t="n">
        <x:f>IF(L14=0,"",M14/L14)</x:f>
        <x:v>0.0053732721722018605</x:v>
      </x:c>
    </x:row>
  </x:sheetData>
  <x:conditionalFormatting sqref="G2:G14">
    <x:cfRule type="cellIs" dxfId="2" priority="1" operator="lessThan">
      <x:formula>0.9</x:formula>
    </x:cfRule>
  </x:conditionalFormatting>
  <x:conditionalFormatting sqref="O2:O1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b8d7da942d940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EEZ_480</x:v>
      </x:c>
      <x:c r="B2" s="24" t="str">
        <x:v>raw_filtered_tonnes</x:v>
      </x:c>
      <x:c r="C2" s="24" t="n">
        <x:v>15255.362035387401</x:v>
      </x:c>
      <x:c r="D2" s="24" t="str">
        <x:v>tonnes</x:v>
      </x:c>
    </x:row>
    <x:row r="3" ht="18" customHeight="1">
      <x:c r="A3" s="24" t="str">
        <x:v>EEZ_480</x:v>
      </x:c>
      <x:c r="B3" s="24" t="str">
        <x:v>species_catch_tonnes</x:v>
      </x:c>
      <x:c r="C3" s="24" t="n">
        <x:v>15255.362035387398</x:v>
      </x:c>
      <x:c r="D3" s="24" t="str">
        <x:v>tonnes</x:v>
      </x:c>
    </x:row>
    <x:row r="4" ht="18" customHeight="1">
      <x:c r="A4" s="24" t="str">
        <x:v>EEZ_480</x:v>
      </x:c>
      <x:c r="B4" s="24" t="str">
        <x:v>catch_difference_tonnes</x:v>
      </x:c>
      <x:c r="C4" s="24" t="n">
        <x:v>-3.637978807091713e-12</x:v>
      </x:c>
      <x:c r="D4" s="24" t="str">
        <x:v>tonnes</x:v>
      </x:c>
    </x:row>
    <x:row r="5" ht="18" customHeight="1">
      <x:c r="A5" s="24" t="str">
        <x:v>EEZ_480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EEZ_480</x:v>
      </x:c>
      <x:c r="B6" s="24" t="str">
        <x:v>matched_catch_tonnes</x:v>
      </x:c>
      <x:c r="C6" s="24" t="n">
        <x:v>15255.362035387398</x:v>
      </x:c>
      <x:c r="D6" s="24" t="str">
        <x:v>tonnes</x:v>
      </x:c>
    </x:row>
    <x:row r="7" ht="18" customHeight="1">
      <x:c r="A7" s="24" t="str">
        <x:v>EEZ_480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EEZ_480</x:v>
      </x:c>
      <x:c r="B8" s="24" t="str">
        <x:v>taxa_count</x:v>
      </x:c>
      <x:c r="C8" s="24" t="n">
        <x:v>70</x:v>
      </x:c>
      <x:c r="D8" s="24" t="str">
        <x:v>count</x:v>
      </x:c>
    </x:row>
    <x:row r="9" ht="18" customHeight="1">
      <x:c r="A9" s="24" t="str">
        <x:v>EEZ_480</x:v>
      </x:c>
      <x:c r="B9" s="24" t="str">
        <x:v>matched_taxa_count</x:v>
      </x:c>
      <x:c r="C9" s="24" t="n">
        <x:v>70</x:v>
      </x:c>
      <x:c r="D9" s="24" t="str">
        <x:v>count</x:v>
      </x:c>
    </x:row>
    <x:row r="10" ht="18" customHeight="1">
      <x:c r="A10" s="24" t="str">
        <x:v>EEZ_480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EEZ_480</x:v>
      </x:c>
      <x:c r="B11" s="24" t="str">
        <x:v>species_ppr</x:v>
      </x:c>
      <x:c r="C11" s="24" t="n">
        <x:v>16709126.407168973</x:v>
      </x:c>
      <x:c r="D11" s="24" t="str">
        <x:v>tonnes_primary_production_equivalent</x:v>
      </x:c>
    </x:row>
    <x:row r="12" ht="18" customHeight="1">
      <x:c r="A12" s="24" t="str">
        <x:v>EEZ_480</x:v>
      </x:c>
      <x:c r="B12" s="24" t="str">
        <x:v>commercial_ppr</x:v>
      </x:c>
      <x:c r="C12" s="24" t="n">
        <x:v>16709126.407168973</x:v>
      </x:c>
      <x:c r="D12" s="24" t="str">
        <x:v>tonnes_primary_production_equivalent</x:v>
      </x:c>
    </x:row>
    <x:row r="13" ht="18" customHeight="1">
      <x:c r="A13" s="24" t="str">
        <x:v>EEZ_480</x:v>
      </x:c>
      <x:c r="B13" s="24" t="str">
        <x:v>functional_ppr</x:v>
      </x:c>
      <x:c r="C13" s="24" t="n">
        <x:v>16709126.407168973</x:v>
      </x:c>
      <x:c r="D13" s="24" t="str">
        <x:v>tonnes_primary_production_equivalent</x:v>
      </x:c>
    </x:row>
    <x:row r="14" ht="18" customHeight="1">
      <x:c r="A14" s="24" t="str">
        <x:v>EEZ_480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EEZ_480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EEZ_480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EEZ_480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EEZ_480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EEZ_480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3f1361ad72d4b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EEZ_480 - Mauritius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EEZ_480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raw_data/SAU_downloads/EEZ_480-catch.zip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