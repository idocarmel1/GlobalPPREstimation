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83667e535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505bb287b39476a"/>
    <x:sheet xmlns:r="http://schemas.openxmlformats.org/officeDocument/2006/relationships" name="Commercial" sheetId="2" r:id="R475ada43afba4ed3"/>
    <x:sheet xmlns:r="http://schemas.openxmlformats.org/officeDocument/2006/relationships" name="Functional" sheetId="3" r:id="R68fd7969edb248a4"/>
    <x:sheet xmlns:r="http://schemas.openxmlformats.org/officeDocument/2006/relationships" name="Missing TL" sheetId="4" r:id="R393f55ed40e04464"/>
    <x:sheet xmlns:r="http://schemas.openxmlformats.org/officeDocument/2006/relationships" name="Validation" sheetId="5" r:id="Rf229a04cc7114680"/>
    <x:sheet xmlns:r="http://schemas.openxmlformats.org/officeDocument/2006/relationships" name="Metadata" sheetId="6" r:id="R8009af27a1ec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4af526ffc46e6" /><Relationship Type="http://schemas.openxmlformats.org/officeDocument/2006/relationships/theme" Target="/xl/theme/theme1.xml" Id="Rf6c5728141484222" /><Relationship Type="http://schemas.microsoft.com/office/2022/11/relationships/FeaturePropertyBag" Target="/xl/featurePropertyBag/featurePropertyBag.xml" Id="R614dc7fcd8174b11" /><Relationship Type="http://schemas.openxmlformats.org/officeDocument/2006/relationships/sharedStrings" Target="/xl/sharedStrings.xml" Id="R696fa9a89fad40f2" /><Relationship Type="http://schemas.openxmlformats.org/officeDocument/2006/relationships/worksheet" Target="/xl/worksheets/sheet1.xml" Id="Re505bb287b39476a" /><Relationship Type="http://schemas.openxmlformats.org/officeDocument/2006/relationships/worksheet" Target="/xl/worksheets/sheet2.xml" Id="R475ada43afba4ed3" /><Relationship Type="http://schemas.openxmlformats.org/officeDocument/2006/relationships/worksheet" Target="/xl/worksheets/sheet3.xml" Id="R68fd7969edb248a4" /><Relationship Type="http://schemas.openxmlformats.org/officeDocument/2006/relationships/worksheet" Target="/xl/worksheets/sheet4.xml" Id="R393f55ed40e04464" /><Relationship Type="http://schemas.openxmlformats.org/officeDocument/2006/relationships/worksheet" Target="/xl/worksheets/sheet5.xml" Id="Rf229a04cc7114680" /><Relationship Type="http://schemas.openxmlformats.org/officeDocument/2006/relationships/worksheet" Target="/xl/worksheets/sheet6.xml" Id="R8009af27a1ec43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45SpeciesTable" displayName="EEZ845SpeciesTable" ref="A1:U18" headerRowCount="1" totalsRowCount="0" totalsRowShown="0">
  <x:autoFilter ref="A1:U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45CommercialTable" displayName="EEZ845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45FunctionalTable" displayName="EEZ845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45ValidationTable" displayName="EEZ84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6b3c36187241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7a3bac365548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5a1f37066246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127cc475bb4f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EEZ_845</x:v>
      </x:c>
      <x:c r="B2" s="24" t="str">
        <x:v>Jarvis Isl. (USA)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1596.2018993402</x:v>
      </x:c>
      <x:c r="J2" s="31" t="n">
        <x:v>1596.2018993402</x:v>
      </x:c>
      <x:c r="K2" s="31" t="n">
        <x:v>0</x:v>
      </x:c>
      <x:c r="L2" s="31" t="n">
        <x:v>1596.2018993402</x:v>
      </x:c>
      <x:c r="M2" s="31" t="n">
        <x:v>0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4296232.966168392</x:v>
      </x:c>
    </x:row>
    <x:row r="3" ht="18" customHeight="1">
      <x:c r="A3" s="24" t="str">
        <x:v>EEZ_845</x:v>
      </x:c>
      <x:c r="B3" s="24" t="str">
        <x:v>Jarvis Isl. (USA)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480.0218628838</x:v>
      </x:c>
      <x:c r="J3" s="31" t="n">
        <x:v>477.0784163693</x:v>
      </x:c>
      <x:c r="K3" s="31" t="n">
        <x:v>2.9434465145</x:v>
      </x:c>
      <x:c r="L3" s="31" t="n">
        <x:v>477.0784163693</x:v>
      </x:c>
      <x:c r="M3" s="31" t="n">
        <x:v>2.9434465145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1233846.1719933737</x:v>
      </x:c>
    </x:row>
    <x:row r="4" ht="18" customHeight="1">
      <x:c r="A4" s="24" t="str">
        <x:v>EEZ_845</x:v>
      </x:c>
      <x:c r="B4" s="24" t="str">
        <x:v>Jarvis Isl. (USA)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251.9496627918</x:v>
      </x:c>
      <x:c r="J4" s="31" t="n">
        <x:v>241.2433564128</x:v>
      </x:c>
      <x:c r="K4" s="31" t="n">
        <x:v>10.706306379</x:v>
      </x:c>
      <x:c r="L4" s="31" t="n">
        <x:v>241.2433564128</x:v>
      </x:c>
      <x:c r="M4" s="31" t="n">
        <x:v>10.706306379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778598.8921488392</x:v>
      </x:c>
    </x:row>
    <x:row r="5" ht="18" customHeight="1">
      <x:c r="A5" s="24" t="str">
        <x:v>EEZ_845</x:v>
      </x:c>
      <x:c r="B5" s="24" t="str">
        <x:v>Jarvis Isl. (USA)</x:v>
      </x:c>
      <x:c r="C5" s="24" t="str">
        <x:v>EEZ</x:v>
      </x:c>
      <x:c r="D5" s="30" t="n">
        <x:v>2019</x:v>
      </x:c>
      <x:c r="E5" s="24" t="str">
        <x:v>Scombridae</x:v>
      </x:c>
      <x:c r="F5" s="24" t="str">
        <x:v>Mackerels, tunas, bonitos</x:v>
      </x:c>
      <x:c r="G5" s="24" t="str">
        <x:v>Medium pelagics (30 - 89 cm)</x:v>
      </x:c>
      <x:c r="H5" s="24" t="str">
        <x:v>Perch-likes</x:v>
      </x:c>
      <x:c r="I5" s="31" t="n">
        <x:v>251.589023569</x:v>
      </x:c>
      <x:c r="J5" s="31" t="n">
        <x:v>0</x:v>
      </x:c>
      <x:c r="K5" s="31" t="n">
        <x:v>251.589023569</x:v>
      </x:c>
      <x:c r="L5" s="31" t="n">
        <x:v>0</x:v>
      </x:c>
      <x:c r="M5" s="31" t="n">
        <x:v>251.589023569</x:v>
      </x:c>
      <x:c r="N5" s="24" t="str">
        <x:v>scombridae</x:v>
      </x:c>
      <x:c r="O5" s="32" t="n">
        <x:v>4.26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Scombridae</x:v>
      </x:c>
      <x:c r="T5" s="32" t="n">
        <x:f>IF(O5="","",(1/'Metadata'!$B$5)^(O5-1))</x:f>
        <x:v>1819.7008586099826</x:v>
      </x:c>
      <x:c r="U5" s="31" t="n">
        <x:f>IF(T5="","",I5*T5)</x:f>
        <x:v>457816.76220535644</x:v>
      </x:c>
    </x:row>
    <x:row r="6" ht="18" customHeight="1">
      <x:c r="A6" s="24" t="str">
        <x:v>EEZ_845</x:v>
      </x:c>
      <x:c r="B6" s="24" t="str">
        <x:v>Jarvis Isl. (USA)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228.93767601879998</x:v>
      </x:c>
      <x:c r="J6" s="31" t="n">
        <x:v>0</x:v>
      </x:c>
      <x:c r="K6" s="31" t="n">
        <x:v>228.93767601879998</x:v>
      </x:c>
      <x:c r="L6" s="31" t="n">
        <x:v>0</x:v>
      </x:c>
      <x:c r="M6" s="31" t="n">
        <x:v>228.93767601879998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43623.17485156197</x:v>
      </x:c>
    </x:row>
    <x:row r="7" ht="18" customHeight="1">
      <x:c r="A7" s="24" t="str">
        <x:v>EEZ_845</x:v>
      </x:c>
      <x:c r="B7" s="24" t="str">
        <x:v>Jarvis Isl. (USA)</x:v>
      </x:c>
      <x:c r="C7" s="24" t="str">
        <x:v>EEZ</x:v>
      </x:c>
      <x:c r="D7" s="30" t="n">
        <x:v>2019</x:v>
      </x:c>
      <x:c r="E7" s="24" t="str">
        <x:v>Coryphaena hippurus</x:v>
      </x:c>
      <x:c r="F7" s="24" t="str">
        <x:v>Common dolphinfish</x:v>
      </x:c>
      <x:c r="G7" s="24" t="str">
        <x:v>Large pelagics (&gt;=90 cm)</x:v>
      </x:c>
      <x:c r="H7" s="24" t="str">
        <x:v>Perch-likes</x:v>
      </x:c>
      <x:c r="I7" s="31" t="n">
        <x:v>223.0037840511</x:v>
      </x:c>
      <x:c r="J7" s="31" t="n">
        <x:v>0</x:v>
      </x:c>
      <x:c r="K7" s="31" t="n">
        <x:v>223.0037840511</x:v>
      </x:c>
      <x:c r="L7" s="31" t="n">
        <x:v>0</x:v>
      </x:c>
      <x:c r="M7" s="31" t="n">
        <x:v>223.0037840511</x:v>
      </x:c>
      <x:c r="N7" s="24" t="str">
        <x:v>coryphaena hippurus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Coryphaena hippurus</x:v>
      </x:c>
      <x:c r="T7" s="32" t="n">
        <x:f>IF(O7="","",(1/'Metadata'!$B$5)^(O7-1))</x:f>
        <x:v>2344.228815319923</x:v>
      </x:c>
      <x:c r="U7" s="31" t="n">
        <x:f>IF(T7="","",I7*T7)</x:f>
        <x:v>522771.8964979701</x:v>
      </x:c>
    </x:row>
    <x:row r="8" ht="18" customHeight="1">
      <x:c r="A8" s="24" t="str">
        <x:v>EEZ_845</x:v>
      </x:c>
      <x:c r="B8" s="24" t="str">
        <x:v>Jarvis Isl. (USA)</x:v>
      </x:c>
      <x:c r="C8" s="24" t="str">
        <x:v>EEZ</x:v>
      </x:c>
      <x:c r="D8" s="30" t="n">
        <x:v>2019</x:v>
      </x:c>
      <x:c r="E8" s="24" t="str">
        <x:v>Elasmobranchii</x:v>
      </x:c>
      <x:c r="F8" s="24" t="str">
        <x:v>Sharks, rays, skates</x:v>
      </x:c>
      <x:c r="G8" s="24" t="str">
        <x:v>Large sharks (&gt;=90 cm)</x:v>
      </x:c>
      <x:c r="H8" s="24" t="str">
        <x:v>Sharks &amp; rays</x:v>
      </x:c>
      <x:c r="I8" s="31" t="n">
        <x:v>202.6413561098</x:v>
      </x:c>
      <x:c r="J8" s="31" t="n">
        <x:v>0</x:v>
      </x:c>
      <x:c r="K8" s="31" t="n">
        <x:v>202.6413561098</x:v>
      </x:c>
      <x:c r="L8" s="31" t="n">
        <x:v>0</x:v>
      </x:c>
      <x:c r="M8" s="31" t="n">
        <x:v>202.6413561098</x:v>
      </x:c>
      <x:c r="N8" s="24" t="str">
        <x:v>elasmobranchii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Elasmobranchii</x:v>
      </x:c>
      <x:c r="T8" s="32" t="n">
        <x:f>IF(O8="","",(1/'Metadata'!$B$5)^(O8-1))</x:f>
        <x:v>1122.018454301963</x:v>
      </x:c>
      <x:c r="U8" s="31" t="n">
        <x:f>IF(T8="","",I8*T8)</x:f>
        <x:v>227367.34115997143</x:v>
      </x:c>
    </x:row>
    <x:row r="9" ht="18" customHeight="1">
      <x:c r="A9" s="24" t="str">
        <x:v>EEZ_845</x:v>
      </x:c>
      <x:c r="B9" s="24" t="str">
        <x:v>Jarvis Isl. (USA)</x:v>
      </x:c>
      <x:c r="C9" s="24" t="str">
        <x:v>EEZ</x:v>
      </x:c>
      <x:c r="D9" s="30" t="n">
        <x:v>2019</x:v>
      </x:c>
      <x:c r="E9" s="24" t="str">
        <x:v>Carangidae</x:v>
      </x:c>
      <x:c r="F9" s="24" t="str">
        <x:v>Jacks, pompanos</x:v>
      </x:c>
      <x:c r="G9" s="24" t="str">
        <x:v>Medium pelagics (30 - 89 cm)</x:v>
      </x:c>
      <x:c r="H9" s="24" t="str">
        <x:v>Perch-likes</x:v>
      </x:c>
      <x:c r="I9" s="31" t="n">
        <x:v>87.7518155155</x:v>
      </x:c>
      <x:c r="J9" s="31" t="n">
        <x:v>0</x:v>
      </x:c>
      <x:c r="K9" s="31" t="n">
        <x:v>87.7518155155</x:v>
      </x:c>
      <x:c r="L9" s="31" t="n">
        <x:v>0</x:v>
      </x:c>
      <x:c r="M9" s="31" t="n">
        <x:v>87.7518155155</x:v>
      </x:c>
      <x:c r="N9" s="24" t="str">
        <x:v>carangidae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Carangidae</x:v>
      </x:c>
      <x:c r="T9" s="32" t="n">
        <x:f>IF(O9="","",(1/'Metadata'!$B$5)^(O9-1))</x:f>
        <x:v>1122.018454301963</x:v>
      </x:c>
      <x:c r="U9" s="31" t="n">
        <x:f>IF(T9="","",I9*T9)</x:f>
        <x:v>98459.15640689232</x:v>
      </x:c>
    </x:row>
    <x:row r="10" ht="18" customHeight="1">
      <x:c r="A10" s="24" t="str">
        <x:v>EEZ_845</x:v>
      </x:c>
      <x:c r="B10" s="24" t="str">
        <x:v>Jarvis Isl. (USA)</x:v>
      </x:c>
      <x:c r="C10" s="24" t="str">
        <x:v>EEZ</x:v>
      </x:c>
      <x:c r="D10" s="30" t="n">
        <x:v>2019</x:v>
      </x:c>
      <x:c r="E10" s="24" t="str">
        <x:v>Istiophoridae</x:v>
      </x:c>
      <x:c r="F10" s="24" t="str">
        <x:v>Billfishes</x:v>
      </x:c>
      <x:c r="G10" s="24" t="str">
        <x:v>Large pelagics (&gt;=90 cm)</x:v>
      </x:c>
      <x:c r="H10" s="24" t="str">
        <x:v>Tuna &amp; billfishes</x:v>
      </x:c>
      <x:c r="I10" s="31" t="n">
        <x:v>52.7949666803</x:v>
      </x:c>
      <x:c r="J10" s="31" t="n">
        <x:v>0</x:v>
      </x:c>
      <x:c r="K10" s="31" t="n">
        <x:v>52.7949666803</x:v>
      </x:c>
      <x:c r="L10" s="31" t="n">
        <x:v>0</x:v>
      </x:c>
      <x:c r="M10" s="31" t="n">
        <x:v>52.7949666803</x:v>
      </x:c>
      <x:c r="N10" s="24" t="str">
        <x:v>istiophoridae</x:v>
      </x:c>
      <x:c r="O10" s="32" t="n">
        <x:v>4.48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Istiophoridae</x:v>
      </x:c>
      <x:c r="T10" s="32" t="n">
        <x:f>IF(O10="","",(1/'Metadata'!$B$5)^(O10-1))</x:f>
        <x:v>3019.951720402019</x:v>
      </x:c>
      <x:c r="U10" s="31" t="n">
        <x:f>IF(T10="","",I10*T10)</x:f>
        <x:v>159438.25045473926</x:v>
      </x:c>
    </x:row>
    <x:row r="11" ht="18" customHeight="1">
      <x:c r="A11" s="24" t="str">
        <x:v>EEZ_845</x:v>
      </x:c>
      <x:c r="B11" s="24" t="str">
        <x:v>Jarvis Isl. (USA)</x:v>
      </x:c>
      <x:c r="C11" s="24" t="str">
        <x:v>EEZ</x:v>
      </x:c>
      <x:c r="D11" s="30" t="n">
        <x:v>2019</x:v>
      </x:c>
      <x:c r="E11" s="24" t="str">
        <x:v>Prionace glauca</x:v>
      </x:c>
      <x:c r="F11" s="24" t="str">
        <x:v>Blue shark</x:v>
      </x:c>
      <x:c r="G11" s="24" t="str">
        <x:v>Large sharks (&gt;=90 cm)</x:v>
      </x:c>
      <x:c r="H11" s="24" t="str">
        <x:v>Sharks &amp; rays</x:v>
      </x:c>
      <x:c r="I11" s="31" t="n">
        <x:v>35.4957505196</x:v>
      </x:c>
      <x:c r="J11" s="31" t="n">
        <x:v>0</x:v>
      </x:c>
      <x:c r="K11" s="31" t="n">
        <x:v>35.4957505196</x:v>
      </x:c>
      <x:c r="L11" s="31" t="n">
        <x:v>0</x:v>
      </x:c>
      <x:c r="M11" s="31" t="n">
        <x:v>35.4957505196</x:v>
      </x:c>
      <x:c r="N11" s="24" t="str">
        <x:v>prionace glauca</x:v>
      </x:c>
      <x:c r="O11" s="32" t="n">
        <x:v>4.35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Prionace glauca</x:v>
      </x:c>
      <x:c r="T11" s="32" t="n">
        <x:f>IF(O11="","",(1/'Metadata'!$B$5)^(O11-1))</x:f>
        <x:v>2238.7211385683377</x:v>
      </x:c>
      <x:c r="U11" s="31" t="n">
        <x:f>IF(T11="","",I11*T11)</x:f>
        <x:v>79465.08701757657</x:v>
      </x:c>
    </x:row>
    <x:row r="12" ht="18" customHeight="1">
      <x:c r="A12" s="24" t="str">
        <x:v>EEZ_845</x:v>
      </x:c>
      <x:c r="B12" s="24" t="str">
        <x:v>Jarvis Isl. (USA)</x:v>
      </x:c>
      <x:c r="C12" s="24" t="str">
        <x:v>EEZ</x:v>
      </x:c>
      <x:c r="D12" s="30" t="n">
        <x:v>2019</x:v>
      </x:c>
      <x:c r="E12" s="24" t="str">
        <x:v>Xiphias gladius</x:v>
      </x:c>
      <x:c r="F12" s="24" t="str">
        <x:v>Swordfish</x:v>
      </x:c>
      <x:c r="G12" s="24" t="str">
        <x:v>Large pelagics (&gt;=90 cm)</x:v>
      </x:c>
      <x:c r="H12" s="24" t="str">
        <x:v>Tuna &amp; billfishes</x:v>
      </x:c>
      <x:c r="I12" s="31" t="n">
        <x:v>5.4957200974</x:v>
      </x:c>
      <x:c r="J12" s="31" t="n">
        <x:v>3.1759680964999997</x:v>
      </x:c>
      <x:c r="K12" s="31" t="n">
        <x:v>2.3197520009</x:v>
      </x:c>
      <x:c r="L12" s="31" t="n">
        <x:v>3.1759680964999997</x:v>
      </x:c>
      <x:c r="M12" s="31" t="n">
        <x:v>2.3197520009</x:v>
      </x:c>
      <x:c r="N12" s="24" t="str">
        <x:v>xiphias gladius</x:v>
      </x:c>
      <x:c r="O12" s="32" t="n">
        <x:v>4.53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Xiphias gladius</x:v>
      </x:c>
      <x:c r="T12" s="32" t="n">
        <x:f>IF(O12="","",(1/'Metadata'!$B$5)^(O12-1))</x:f>
        <x:v>3388.4415613920273</x:v>
      </x:c>
      <x:c r="U12" s="31" t="n">
        <x:f>IF(T12="","",I12*T12)</x:f>
        <x:v>18621.926387807598</x:v>
      </x:c>
    </x:row>
    <x:row r="13" ht="18" customHeight="1">
      <x:c r="A13" s="24" t="str">
        <x:v>EEZ_845</x:v>
      </x:c>
      <x:c r="B13" s="24" t="str">
        <x:v>Jarvis Isl. (USA)</x:v>
      </x:c>
      <x:c r="C13" s="24" t="str">
        <x:v>EEZ</x:v>
      </x:c>
      <x:c r="D13" s="30" t="n">
        <x:v>2019</x:v>
      </x:c>
      <x:c r="E13" s="24" t="str">
        <x:v>Marine pelagic fishes not identified</x:v>
      </x:c>
      <x:c r="F13" s="24" t="str">
        <x:v>Pelagic fishes</x:v>
      </x:c>
      <x:c r="G13" s="24" t="str">
        <x:v>Medium pelagics (30 - 89 cm)</x:v>
      </x:c>
      <x:c r="H13" s="24" t="str">
        <x:v>Other fishes &amp; inverts</x:v>
      </x:c>
      <x:c r="I13" s="31" t="n">
        <x:v>3.5243711208</x:v>
      </x:c>
      <x:c r="J13" s="31" t="n">
        <x:v>3.3986926494</x:v>
      </x:c>
      <x:c r="K13" s="31" t="n">
        <x:v>0.1256784714</x:v>
      </x:c>
      <x:c r="L13" s="31" t="n">
        <x:v>3.3986926494</x:v>
      </x:c>
      <x:c r="M13" s="31" t="n">
        <x:v>0.1256784714</x:v>
      </x:c>
      <x:c r="N13" s="24" t="str">
        <x:v>marine pelagic fishes not identified</x:v>
      </x:c>
      <x:c r="O13" s="32" t="n">
        <x:v>3.35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Marine pelagic fishes not identified</x:v>
      </x:c>
      <x:c r="T13" s="32" t="n">
        <x:f>IF(O13="","",(1/'Metadata'!$B$5)^(O13-1))</x:f>
        <x:v>223.872113856834</x:v>
      </x:c>
      <x:c r="U13" s="31" t="n">
        <x:f>IF(T13="","",I13*T13)</x:f>
        <x:v>789.0084128294753</x:v>
      </x:c>
    </x:row>
    <x:row r="14" ht="18" customHeight="1">
      <x:c r="A14" s="24" t="str">
        <x:v>EEZ_845</x:v>
      </x:c>
      <x:c r="B14" s="24" t="str">
        <x:v>Jarvis Isl. (USA)</x:v>
      </x:c>
      <x:c r="C14" s="24" t="str">
        <x:v>EEZ</x:v>
      </x:c>
      <x:c r="D14" s="30" t="n">
        <x:v>2019</x:v>
      </x:c>
      <x:c r="E14" s="24" t="str">
        <x:v>Isurus</x:v>
      </x:c>
      <x:c r="F14" s="24" t="str">
        <x:v>Mako sharks</x:v>
      </x:c>
      <x:c r="G14" s="24" t="str">
        <x:v>Large sharks (&gt;=90 cm)</x:v>
      </x:c>
      <x:c r="H14" s="24" t="str">
        <x:v>Sharks &amp; rays</x:v>
      </x:c>
      <x:c r="I14" s="31" t="n">
        <x:v>1.6342216568999999</x:v>
      </x:c>
      <x:c r="J14" s="31" t="n">
        <x:v>0.1583241664</x:v>
      </x:c>
      <x:c r="K14" s="31" t="n">
        <x:v>1.4758974905</x:v>
      </x:c>
      <x:c r="L14" s="31" t="n">
        <x:v>0.1583241664</x:v>
      </x:c>
      <x:c r="M14" s="31" t="n">
        <x:v>1.4758974905</x:v>
      </x:c>
      <x:c r="N14" s="24" t="str">
        <x:v>isurus</x:v>
      </x:c>
      <x:c r="O14" s="32" t="n">
        <x:v>4.5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Isurus</x:v>
      </x:c>
      <x:c r="T14" s="32" t="n">
        <x:f>IF(O14="","",(1/'Metadata'!$B$5)^(O14-1))</x:f>
        <x:v>3162.2776601683795</x:v>
      </x:c>
      <x:c r="U14" s="31" t="n">
        <x:f>IF(T14="","",I14*T14)</x:f>
        <x:v>5167.862637378224</x:v>
      </x:c>
    </x:row>
    <x:row r="15" ht="18" customHeight="1">
      <x:c r="A15" s="24" t="str">
        <x:v>EEZ_845</x:v>
      </x:c>
      <x:c r="B15" s="24" t="str">
        <x:v>Jarvis Isl. (USA)</x:v>
      </x:c>
      <x:c r="C15" s="24" t="str">
        <x:v>EEZ</x:v>
      </x:c>
      <x:c r="D15" s="30" t="n">
        <x:v>2019</x:v>
      </x:c>
      <x:c r="E15" s="24" t="str">
        <x:v>Thunnus alalunga</x:v>
      </x:c>
      <x:c r="F15" s="24" t="str">
        <x:v>Albacore</x:v>
      </x:c>
      <x:c r="G15" s="24" t="str">
        <x:v>Large pelagics (&gt;=90 cm)</x:v>
      </x:c>
      <x:c r="H15" s="24" t="str">
        <x:v>Tuna &amp; billfishes</x:v>
      </x:c>
      <x:c r="I15" s="31" t="n">
        <x:v>1.1798194446</x:v>
      </x:c>
      <x:c r="J15" s="31" t="n">
        <x:v>1.1798194446</x:v>
      </x:c>
      <x:c r="K15" s="31" t="n">
        <x:v>0</x:v>
      </x:c>
      <x:c r="L15" s="31" t="n">
        <x:v>1.1798194446</x:v>
      </x:c>
      <x:c r="M15" s="31" t="n">
        <x:v>0</x:v>
      </x:c>
      <x:c r="N15" s="24" t="str">
        <x:v>thunnus alalunga</x:v>
      </x:c>
      <x:c r="O15" s="32" t="n">
        <x:v>4.3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alalunga</x:v>
      </x:c>
      <x:c r="T15" s="32" t="n">
        <x:f>IF(O15="","",(1/'Metadata'!$B$5)^(O15-1))</x:f>
        <x:v>1995.2623149688789</x:v>
      </x:c>
      <x:c r="U15" s="31" t="n">
        <x:f>IF(T15="","",I15*T15)</x:f>
        <x:v>2354.049276277893</x:v>
      </x:c>
    </x:row>
    <x:row r="16" ht="18" customHeight="1">
      <x:c r="A16" s="24" t="str">
        <x:v>EEZ_845</x:v>
      </x:c>
      <x:c r="B16" s="24" t="str">
        <x:v>Jarvis Isl. (USA)</x:v>
      </x:c>
      <x:c r="C16" s="24" t="str">
        <x:v>EEZ</x:v>
      </x:c>
      <x:c r="D16" s="30" t="n">
        <x:v>2019</x:v>
      </x:c>
      <x:c r="E16" s="24" t="str">
        <x:v>Kajikia audax</x:v>
      </x:c>
      <x:c r="F16" s="24" t="str">
        <x:v>Striped marlin</x:v>
      </x:c>
      <x:c r="G16" s="24" t="str">
        <x:v>Large pelagics (&gt;=90 cm)</x:v>
      </x:c>
      <x:c r="H16" s="24" t="str">
        <x:v>Tuna &amp; billfishes</x:v>
      </x:c>
      <x:c r="I16" s="31" t="n">
        <x:v>1.0804660978</x:v>
      </x:c>
      <x:c r="J16" s="31" t="n">
        <x:v>1.0804660978</x:v>
      </x:c>
      <x:c r="K16" s="31" t="n">
        <x:v>0</x:v>
      </x:c>
      <x:c r="L16" s="31" t="n">
        <x:v>1.0804660978</x:v>
      </x:c>
      <x:c r="M16" s="31" t="n">
        <x:v>0</x:v>
      </x:c>
      <x:c r="N16" s="24" t="str">
        <x:v>kajikia audax</x:v>
      </x:c>
      <x:c r="O16" s="32" t="n">
        <x:v>4.58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Kajikia audax</x:v>
      </x:c>
      <x:c r="T16" s="32" t="n">
        <x:f>IF(O16="","",(1/'Metadata'!$B$5)^(O16-1))</x:f>
        <x:v>3801.8939632056126</x:v>
      </x:c>
      <x:c r="U16" s="31" t="n">
        <x:f>IF(T16="","",I16*T16)</x:f>
        <x:v>4107.8175346741455</x:v>
      </x:c>
    </x:row>
    <x:row r="17" ht="18" customHeight="1">
      <x:c r="A17" s="24" t="str">
        <x:v>EEZ_845</x:v>
      </x:c>
      <x:c r="B17" s="24" t="str">
        <x:v>Jarvis Isl. (USA)</x:v>
      </x:c>
      <x:c r="C17" s="24" t="str">
        <x:v>EEZ</x:v>
      </x:c>
      <x:c r="D17" s="30" t="n">
        <x:v>2019</x:v>
      </x:c>
      <x:c r="E17" s="24" t="str">
        <x:v>Istiompax indica</x:v>
      </x:c>
      <x:c r="F17" s="24" t="str">
        <x:v>Black marlin</x:v>
      </x:c>
      <x:c r="G17" s="24" t="str">
        <x:v>Large pelagics (&gt;=90 cm)</x:v>
      </x:c>
      <x:c r="H17" s="24" t="str">
        <x:v>Tuna &amp; billfishes</x:v>
      </x:c>
      <x:c r="I17" s="31" t="n">
        <x:v>0.20375482450000001</x:v>
      </x:c>
      <x:c r="J17" s="31" t="n">
        <x:v>0.20375482450000001</x:v>
      </x:c>
      <x:c r="K17" s="31" t="n">
        <x:v>0</x:v>
      </x:c>
      <x:c r="L17" s="31" t="n">
        <x:v>0.20375482450000001</x:v>
      </x:c>
      <x:c r="M17" s="31" t="n">
        <x:v>0</x:v>
      </x:c>
      <x:c r="N17" s="24" t="str">
        <x:v>istiompax indica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Istiompax indica</x:v>
      </x:c>
      <x:c r="T17" s="32" t="n">
        <x:f>IF(O17="","",(1/'Metadata'!$B$5)^(O17-1))</x:f>
        <x:v>3162.2776601683795</x:v>
      </x:c>
      <x:c r="U17" s="31" t="n">
        <x:f>IF(T17="","",I17*T17)</x:f>
        <x:v>644.3293296678788</x:v>
      </x:c>
    </x:row>
    <x:row r="18" ht="18" customHeight="1">
      <x:c r="A18" s="24" t="str">
        <x:v>EEZ_845</x:v>
      </x:c>
      <x:c r="B18" s="24" t="str">
        <x:v>Jarvis Isl. (USA)</x:v>
      </x:c>
      <x:c r="C18" s="24" t="str">
        <x:v>EEZ</x:v>
      </x:c>
      <x:c r="D18" s="30" t="n">
        <x:v>2019</x:v>
      </x:c>
      <x:c r="E18" s="24" t="str">
        <x:v>Alopias</x:v>
      </x:c>
      <x:c r="F18" s="24" t="str">
        <x:v>Thresher sharks</x:v>
      </x:c>
      <x:c r="G18" s="24" t="str">
        <x:v>Large sharks (&gt;=90 cm)</x:v>
      </x:c>
      <x:c r="H18" s="24" t="str">
        <x:v>Sharks &amp; rays</x:v>
      </x:c>
      <x:c r="I18" s="31" t="n">
        <x:v>0.0247088681</x:v>
      </x:c>
      <x:c r="J18" s="31" t="n">
        <x:v>0.0247088681</x:v>
      </x:c>
      <x:c r="K18" s="31" t="n">
        <x:v>0</x:v>
      </x:c>
      <x:c r="L18" s="31" t="n">
        <x:v>0.0247088681</x:v>
      </x:c>
      <x:c r="M18" s="31" t="n">
        <x:v>0</x:v>
      </x:c>
      <x:c r="N18" s="24" t="str">
        <x:v>alopias</x:v>
      </x:c>
      <x:c r="O18" s="32" t="n">
        <x:v>4.5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Alopias</x:v>
      </x:c>
      <x:c r="T18" s="32" t="n">
        <x:f>IF(O18="","",(1/'Metadata'!$B$5)^(O18-1))</x:f>
        <x:v>3162.2776601683795</x:v>
      </x:c>
      <x:c r="U18" s="31" t="n">
        <x:f>IF(T18="","",I18*T18)</x:f>
        <x:v>78.13630160067711</x:v>
      </x:c>
    </x:row>
  </x:sheetData>
  <x:conditionalFormatting sqref="R2:R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36b3c361872414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232.46204713959997</x:v>
      </x:c>
      <x:c r="E2" s="31" t="n">
        <x:v>232.46204713959997</x:v>
      </x:c>
      <x:c r="F2" s="32" t="n">
        <x:v>0</x:v>
      </x:c>
      <x:c r="G2" s="34" t="n">
        <x:v>1</x:v>
      </x:c>
      <x:c r="H2" s="32" t="n">
        <x:f>IF(E2=0,"",I2/E2)</x:f>
        <x:v>191.05132993051845</x:v>
      </x:c>
      <x:c r="I2" s="31" t="n">
        <x:f>IF(C2=0,"",SUMIF('Species'!$H$2:$H$18,A2,'Species'!$U$2:$U$18))</x:f>
        <x:v>44412.183264391446</x:v>
      </x:c>
      <x:c r="J2" s="32" t="n">
        <x:v>3.2810612742230036</x:v>
      </x:c>
      <x:c r="K2" s="32" t="n">
        <x:f>IF(J2="","",(1/'Metadata'!$B$5)^(J2-1))</x:f>
        <x:v>191.01227370772378</x:v>
      </x:c>
      <x:c r="L2" s="31" t="n">
        <x:f>IF(E2=0,"",E2*K2)</x:f>
        <x:v>44403.104174887056</x:v>
      </x:c>
      <x:c r="M2" s="31" t="n">
        <x:f>IF(E2=0,"",I2-L2)</x:f>
        <x:v>9.07908950439014</x:v>
      </x:c>
      <x:c r="N2" s="32" t="n">
        <x:f>IF(L2=0,"",I2/L2)</x:f>
        <x:v>1.0002044697025827</x:v>
      </x:c>
      <x:c r="O2" s="34" t="n">
        <x:f>IF(L2=0,"",M2/L2)</x:f>
        <x:v>0.00020446970258275267</x:v>
      </x:c>
    </x:row>
    <x:row r="3" ht="18" customHeight="1">
      <x:c r="A3" s="24" t="str">
        <x:v>Perch-likes</x:v>
      </x:c>
      <x:c r="B3" s="33" t="n">
        <x:v>3</x:v>
      </x:c>
      <x:c r="C3" s="33" t="n">
        <x:v>3</x:v>
      </x:c>
      <x:c r="D3" s="31" t="n">
        <x:v>562.3446231356</x:v>
      </x:c>
      <x:c r="E3" s="31" t="n">
        <x:v>562.3446231356</x:v>
      </x:c>
      <x:c r="F3" s="32" t="n">
        <x:v>0</x:v>
      </x:c>
      <x:c r="G3" s="34" t="n">
        <x:v>1</x:v>
      </x:c>
      <x:c r="H3" s="32" t="n">
        <x:f>IF(E3=0,"",I3/E3)</x:f>
        <x:v>1918.8372587142605</x:v>
      </x:c>
      <x:c r="I3" s="31" t="n">
        <x:f>IF(C3=0,"",SUMIF('Species'!$H$2:$H$18,A3,'Species'!$U$2:$U$18))</x:f>
        <x:v>1079047.8151102187</x:v>
      </x:c>
      <x:c r="J3" s="32" t="n">
        <x:v>4.2708519486739975</x:v>
      </x:c>
      <x:c r="K3" s="32" t="n">
        <x:f>IF(J3="","",(1/'Metadata'!$B$5)^(J3-1))</x:f>
        <x:v>1865.7435489860704</x:v>
      </x:c>
      <x:c r="L3" s="31" t="n">
        <x:f>IF(E3=0,"",E3*K3)</x:f>
        <x:v>1049190.8529222487</x:v>
      </x:c>
      <x:c r="M3" s="31" t="n">
        <x:f>IF(E3=0,"",I3-L3)</x:f>
        <x:v>29856.962187970057</x:v>
      </x:c>
      <x:c r="N3" s="32" t="n">
        <x:f>IF(L3=0,"",I3/L3)</x:f>
        <x:v>1.028457131612243</x:v>
      </x:c>
      <x:c r="O3" s="34" t="n">
        <x:f>IF(L3=0,"",M3/L3)</x:f>
        <x:v>0.02845713161224313</x:v>
      </x:c>
    </x:row>
    <x:row r="4" ht="18" customHeight="1">
      <x:c r="A4" s="24" t="str">
        <x:v>Sharks &amp; rays</x:v>
      </x:c>
      <x:c r="B4" s="33" t="n">
        <x:v>4</x:v>
      </x:c>
      <x:c r="C4" s="33" t="n">
        <x:v>4</x:v>
      </x:c>
      <x:c r="D4" s="31" t="n">
        <x:v>239.79603715439998</x:v>
      </x:c>
      <x:c r="E4" s="31" t="n">
        <x:v>239.79603715439998</x:v>
      </x:c>
      <x:c r="F4" s="32" t="n">
        <x:v>0</x:v>
      </x:c>
      <x:c r="G4" s="34" t="n">
        <x:v>1</x:v>
      </x:c>
      <x:c r="H4" s="32" t="n">
        <x:f>IF(E4=0,"",I4/E4)</x:f>
        <x:v>1301.4327960540302</x:v>
      </x:c>
      <x:c r="I4" s="31" t="n">
        <x:f>IF(C4=0,"",SUMIF('Species'!$H$2:$H$18,A4,'Species'!$U$2:$U$18))</x:f>
        <x:v>312078.4271165269</x:v>
      </x:c>
      <x:c r="J4" s="32" t="n">
        <x:v>4.097520568010025</x:v>
      </x:c>
      <x:c r="K4" s="32" t="n">
        <x:f>IF(J4="","",(1/'Metadata'!$B$5)^(J4-1))</x:f>
        <x:v>1251.7585544039598</x:v>
      </x:c>
      <x:c r="L4" s="31" t="n">
        <x:f>IF(E4=0,"",E4*K4)</x:f>
        <x:v>300166.74082018994</x:v>
      </x:c>
      <x:c r="M4" s="31" t="n">
        <x:f>IF(E4=0,"",I4-L4)</x:f>
        <x:v>11911.686296336935</x:v>
      </x:c>
      <x:c r="N4" s="32" t="n">
        <x:f>IF(L4=0,"",I4/L4)</x:f>
        <x:v>1.039683564754006</x:v>
      </x:c>
      <x:c r="O4" s="34" t="n">
        <x:f>IF(L4=0,"",M4/L4)</x:f>
        <x:v>0.03968356475400597</x:v>
      </x:c>
    </x:row>
    <x:row r="5" ht="18" customHeight="1">
      <x:c r="A5" s="24" t="str">
        <x:v>Tuna &amp; billfishes</x:v>
      </x:c>
      <x:c r="B5" s="33" t="n">
        <x:v>8</x:v>
      </x:c>
      <x:c r="C5" s="33" t="n">
        <x:v>8</x:v>
      </x:c>
      <x:c r="D5" s="31" t="n">
        <x:v>2388.9281521604</x:v>
      </x:c>
      <x:c r="E5" s="31" t="n">
        <x:v>2388.9281521604</x:v>
      </x:c>
      <x:c r="F5" s="32" t="n">
        <x:v>0</x:v>
      </x:c>
      <x:c r="G5" s="34" t="n">
        <x:v>1</x:v>
      </x:c>
      <x:c r="H5" s="32" t="n">
        <x:f>IF(E5=0,"",I5/E5)</x:f>
        <x:v>2718.3087935989784</x:v>
      </x:c>
      <x:c r="I5" s="31" t="n">
        <x:f>IF(C5=0,"",SUMIF('Species'!$H$2:$H$18,A5,'Species'!$U$2:$U$18))</x:f>
        <x:v>6493844.403293773</x:v>
      </x:c>
      <x:c r="J5" s="32" t="n">
        <x:v>4.433653864211145</x:v>
      </x:c>
      <x:c r="K5" s="32" t="n">
        <x:f>IF(J5="","",(1/'Metadata'!$B$5)^(J5-1))</x:f>
        <x:v>2714.275109974096</x:v>
      </x:c>
      <x:c r="L5" s="31" t="n">
        <x:f>IF(E5=0,"",E5*K5)</x:f>
        <x:v>6484208.222925383</x:v>
      </x:c>
      <x:c r="M5" s="31" t="n">
        <x:f>IF(E5=0,"",I5-L5)</x:f>
        <x:v>9636.180368389934</x:v>
      </x:c>
      <x:c r="N5" s="32" t="n">
        <x:f>IF(L5=0,"",I5/L5)</x:f>
        <x:v>1.0014860997730333</x:v>
      </x:c>
      <x:c r="O5" s="34" t="n">
        <x:f>IF(L5=0,"",M5/L5)</x:f>
        <x:v>0.0014860997730332794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67a3bac365548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9</x:v>
      </x:c>
      <x:c r="C2" s="33" t="n">
        <x:v>9</x:v>
      </x:c>
      <x:c r="D2" s="31" t="n">
        <x:v>2611.9319362114998</x:v>
      </x:c>
      <x:c r="E2" s="31" t="n">
        <x:v>2611.9319362114998</x:v>
      </x:c>
      <x:c r="F2" s="32" t="n">
        <x:v>0</x:v>
      </x:c>
      <x:c r="G2" s="34" t="n">
        <x:v>1</x:v>
      </x:c>
      <x:c r="H2" s="32" t="n">
        <x:f>IF(E2=0,"",I2/E2)</x:f>
        <x:v>2686.370269651459</x:v>
      </x:c>
      <x:c r="I2" s="31" t="n">
        <x:f>IF(C2=0,"",SUMIF('Species'!$G$2:$G$18,A2,'Species'!$U$2:$U$18))</x:f>
        <x:v>7016616.299791743</x:v>
      </x:c>
      <x:c r="J2" s="32" t="n">
        <x:v>4.428219169534855</x:v>
      </x:c>
      <x:c r="K2" s="32" t="n">
        <x:f>IF(J2="","",(1/'Metadata'!$B$5)^(J2-1))</x:f>
        <x:v>2680.5207257591774</x:v>
      </x:c>
      <x:c r="L2" s="31" t="n">
        <x:f>IF(E2=0,"",E2*K2)</x:f>
        <x:v>7001337.689287223</x:v>
      </x:c>
      <x:c r="M2" s="31" t="n">
        <x:f>IF(E2=0,"",I2-L2)</x:f>
        <x:v>15278.610504520126</x:v>
      </x:c>
      <x:c r="N2" s="32" t="n">
        <x:f>IF(L2=0,"",I2/L2)</x:f>
        <x:v>1.0021822416204689</x:v>
      </x:c>
      <x:c r="O2" s="34" t="n">
        <x:f>IF(L2=0,"",M2/L2)</x:f>
        <x:v>0.002182241620468899</x:v>
      </x:c>
    </x:row>
    <x:row r="3" ht="18" customHeight="1">
      <x:c r="A3" s="24" t="str">
        <x:v>Large sharks (&gt;=90 cm)</x:v>
      </x:c>
      <x:c r="B3" s="33" t="n">
        <x:v>4</x:v>
      </x:c>
      <x:c r="C3" s="33" t="n">
        <x:v>4</x:v>
      </x:c>
      <x:c r="D3" s="31" t="n">
        <x:v>239.79603715439998</x:v>
      </x:c>
      <x:c r="E3" s="31" t="n">
        <x:v>239.79603715439998</x:v>
      </x:c>
      <x:c r="F3" s="32" t="n">
        <x:v>0</x:v>
      </x:c>
      <x:c r="G3" s="34" t="n">
        <x:v>1</x:v>
      </x:c>
      <x:c r="H3" s="32" t="n">
        <x:f>IF(E3=0,"",I3/E3)</x:f>
        <x:v>1301.4327960540302</x:v>
      </x:c>
      <x:c r="I3" s="31" t="n">
        <x:f>IF(C3=0,"",SUMIF('Species'!$G$2:$G$18,A3,'Species'!$U$2:$U$18))</x:f>
        <x:v>312078.4271165269</x:v>
      </x:c>
      <x:c r="J3" s="32" t="n">
        <x:v>4.097520568010025</x:v>
      </x:c>
      <x:c r="K3" s="32" t="n">
        <x:f>IF(J3="","",(1/'Metadata'!$B$5)^(J3-1))</x:f>
        <x:v>1251.7585544039598</x:v>
      </x:c>
      <x:c r="L3" s="31" t="n">
        <x:f>IF(E3=0,"",E3*K3)</x:f>
        <x:v>300166.74082018994</x:v>
      </x:c>
      <x:c r="M3" s="31" t="n">
        <x:f>IF(E3=0,"",I3-L3)</x:f>
        <x:v>11911.686296336935</x:v>
      </x:c>
      <x:c r="N3" s="32" t="n">
        <x:f>IF(L3=0,"",I3/L3)</x:f>
        <x:v>1.039683564754006</x:v>
      </x:c>
      <x:c r="O3" s="34" t="n">
        <x:f>IF(L3=0,"",M3/L3)</x:f>
        <x:v>0.03968356475400597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228.93767601879998</x:v>
      </x:c>
      <x:c r="E4" s="31" t="n">
        <x:v>228.93767601879998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IF(C4=0,"",SUMIF('Species'!$G$2:$G$18,A4,'Species'!$U$2:$U$18))</x:f>
        <x:v>43623.17485156197</x:v>
      </x:c>
      <x:c r="J4" s="32" t="n">
        <x:v>3.28</x:v>
      </x:c>
      <x:c r="K4" s="32" t="n">
        <x:f>IF(J4="","",(1/'Metadata'!$B$5)^(J4-1))</x:f>
        <x:v>190.54607179632464</x:v>
      </x:c>
      <x:c r="L4" s="31" t="n">
        <x:f>IF(E4=0,"",E4*K4)</x:f>
        <x:v>43623.17485156197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pelagics (30 - 89 cm)</x:v>
      </x:c>
      <x:c r="B5" s="33" t="n">
        <x:v>3</x:v>
      </x:c>
      <x:c r="C5" s="33" t="n">
        <x:v>3</x:v>
      </x:c>
      <x:c r="D5" s="31" t="n">
        <x:v>342.8652102053</x:v>
      </x:c>
      <x:c r="E5" s="31" t="n">
        <x:v>342.8652102053</x:v>
      </x:c>
      <x:c r="F5" s="32" t="n">
        <x:v>0</x:v>
      </x:c>
      <x:c r="G5" s="34" t="n">
        <x:v>1</x:v>
      </x:c>
      <x:c r="H5" s="32" t="n">
        <x:f>IF(E5=0,"",I5/E5)</x:f>
        <x:v>1624.7344742020348</x:v>
      </x:c>
      <x:c r="I5" s="31" t="n">
        <x:f>IF(C5=0,"",SUMIF('Species'!$G$2:$G$18,A5,'Species'!$U$2:$U$18))</x:f>
        <x:v>557064.9270250782</x:v>
      </x:c>
      <x:c r="J5" s="32" t="n">
        <x:v>4.196899229393298</x:v>
      </x:c>
      <x:c r="K5" s="32" t="n">
        <x:f>IF(J5="","",(1/'Metadata'!$B$5)^(J5-1))</x:f>
        <x:v>1573.617691030422</x:v>
      </x:c>
      <x:c r="L5" s="31" t="n">
        <x:f>IF(E5=0,"",E5*K5)</x:f>
        <x:v>539538.7604179245</x:v>
      </x:c>
      <x:c r="M5" s="31" t="n">
        <x:f>IF(E5=0,"",I5-L5)</x:f>
        <x:v>17526.16660715372</x:v>
      </x:c>
      <x:c r="N5" s="32" t="n">
        <x:f>IF(L5=0,"",I5/L5)</x:f>
        <x:v>1.0324836098774035</x:v>
      </x:c>
      <x:c r="O5" s="34" t="n">
        <x:f>IF(L5=0,"",M5/L5)</x:f>
        <x:v>0.03248360987740347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85a1f37066246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EEZ_845</x:v>
      </x:c>
      <x:c r="B2" s="24" t="str">
        <x:v>raw_filtered_tonnes</x:v>
      </x:c>
      <x:c r="C2" s="24" t="n">
        <x:v>3423.530859589999</x:v>
      </x:c>
      <x:c r="D2" s="24" t="str">
        <x:v>tonnes</x:v>
      </x:c>
    </x:row>
    <x:row r="3" ht="18" customHeight="1">
      <x:c r="A3" s="24" t="str">
        <x:v>EEZ_845</x:v>
      </x:c>
      <x:c r="B3" s="24" t="str">
        <x:v>species_catch_tonnes</x:v>
      </x:c>
      <x:c r="C3" s="24" t="n">
        <x:v>3423.5308595899996</x:v>
      </x:c>
      <x:c r="D3" s="24" t="str">
        <x:v>tonnes</x:v>
      </x:c>
    </x:row>
    <x:row r="4" ht="18" customHeight="1">
      <x:c r="A4" s="24" t="str">
        <x:v>EEZ_845</x:v>
      </x:c>
      <x:c r="B4" s="24" t="str">
        <x:v>catch_difference_tonnes</x:v>
      </x:c>
      <x:c r="C4" s="24" t="n">
        <x:v>4.547473508864641e-13</x:v>
      </x:c>
      <x:c r="D4" s="24" t="str">
        <x:v>tonnes</x:v>
      </x:c>
    </x:row>
    <x:row r="5" ht="18" customHeight="1">
      <x:c r="A5" s="24" t="str">
        <x:v>EEZ_845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EEZ_845</x:v>
      </x:c>
      <x:c r="B6" s="24" t="str">
        <x:v>matched_catch_tonnes</x:v>
      </x:c>
      <x:c r="C6" s="24" t="n">
        <x:v>3423.5308595899996</x:v>
      </x:c>
      <x:c r="D6" s="24" t="str">
        <x:v>tonnes</x:v>
      </x:c>
    </x:row>
    <x:row r="7" ht="18" customHeight="1">
      <x:c r="A7" s="24" t="str">
        <x:v>EEZ_845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EEZ_845</x:v>
      </x:c>
      <x:c r="B8" s="24" t="str">
        <x:v>taxa_count</x:v>
      </x:c>
      <x:c r="C8" s="24" t="n">
        <x:v>17</x:v>
      </x:c>
      <x:c r="D8" s="24" t="str">
        <x:v>count</x:v>
      </x:c>
    </x:row>
    <x:row r="9" ht="18" customHeight="1">
      <x:c r="A9" s="24" t="str">
        <x:v>EEZ_845</x:v>
      </x:c>
      <x:c r="B9" s="24" t="str">
        <x:v>matched_taxa_count</x:v>
      </x:c>
      <x:c r="C9" s="24" t="n">
        <x:v>17</x:v>
      </x:c>
      <x:c r="D9" s="24" t="str">
        <x:v>count</x:v>
      </x:c>
    </x:row>
    <x:row r="10" ht="18" customHeight="1">
      <x:c r="A10" s="24" t="str">
        <x:v>EEZ_845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EEZ_845</x:v>
      </x:c>
      <x:c r="B11" s="24" t="str">
        <x:v>species_ppr</x:v>
      </x:c>
      <x:c r="C11" s="24" t="n">
        <x:v>7929382.82878491</x:v>
      </x:c>
      <x:c r="D11" s="24" t="str">
        <x:v>tonnes_primary_production_equivalent</x:v>
      </x:c>
    </x:row>
    <x:row r="12" ht="18" customHeight="1">
      <x:c r="A12" s="24" t="str">
        <x:v>EEZ_845</x:v>
      </x:c>
      <x:c r="B12" s="24" t="str">
        <x:v>commercial_ppr</x:v>
      </x:c>
      <x:c r="C12" s="24" t="n">
        <x:v>7929382.828784909</x:v>
      </x:c>
      <x:c r="D12" s="24" t="str">
        <x:v>tonnes_primary_production_equivalent</x:v>
      </x:c>
    </x:row>
    <x:row r="13" ht="18" customHeight="1">
      <x:c r="A13" s="24" t="str">
        <x:v>EEZ_845</x:v>
      </x:c>
      <x:c r="B13" s="24" t="str">
        <x:v>functional_ppr</x:v>
      </x:c>
      <x:c r="C13" s="24" t="n">
        <x:v>7929382.828784909</x:v>
      </x:c>
      <x:c r="D13" s="24" t="str">
        <x:v>tonnes_primary_production_equivalent</x:v>
      </x:c>
    </x:row>
    <x:row r="14" ht="18" customHeight="1">
      <x:c r="A14" s="24" t="str">
        <x:v>EEZ_845</x:v>
      </x:c>
      <x:c r="B14" s="24" t="str">
        <x:v>commercial_ppr_difference</x:v>
      </x:c>
      <x:c r="C14" s="24" t="n">
        <x:v>-9.313225746154785e-10</x:v>
      </x:c>
      <x:c r="D14" s="24" t="str">
        <x:v>tonnes_primary_production_equivalent</x:v>
      </x:c>
    </x:row>
    <x:row r="15" ht="18" customHeight="1">
      <x:c r="A15" s="24" t="str">
        <x:v>EEZ_845</x:v>
      </x:c>
      <x:c r="B15" s="24" t="str">
        <x:v>functional_ppr_difference</x:v>
      </x:c>
      <x:c r="C15" s="24" t="n">
        <x:v>-9.313225746154785e-10</x:v>
      </x:c>
      <x:c r="D15" s="24" t="str">
        <x:v>tonnes_primary_production_equivalent</x:v>
      </x:c>
    </x:row>
    <x:row r="16" ht="18" customHeight="1">
      <x:c r="A16" s="24" t="str">
        <x:v>EEZ_845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EEZ_845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EEZ_845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EEZ_845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4127cc475bb4f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EEZ_845 - Jarvis Isl.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EEZ_845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raw_data/SAU_downloads/EEZ_845-catch.zip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