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7c92c4b12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4c4a12e1fb24067"/>
    <x:sheet xmlns:r="http://schemas.openxmlformats.org/officeDocument/2006/relationships" name="Commercial" sheetId="2" r:id="R01f2b33430de48b9"/>
    <x:sheet xmlns:r="http://schemas.openxmlformats.org/officeDocument/2006/relationships" name="Functional" sheetId="3" r:id="Rd5b93a772a5e49c3"/>
    <x:sheet xmlns:r="http://schemas.openxmlformats.org/officeDocument/2006/relationships" name="Missing TL" sheetId="4" r:id="Rc2a01c49134a44ca"/>
    <x:sheet xmlns:r="http://schemas.openxmlformats.org/officeDocument/2006/relationships" name="Validation" sheetId="5" r:id="Rf5e8c92e12214c45"/>
    <x:sheet xmlns:r="http://schemas.openxmlformats.org/officeDocument/2006/relationships" name="Metadata" sheetId="6" r:id="Ra815d5d4f34c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3b0d1be2b44c1" /><Relationship Type="http://schemas.openxmlformats.org/officeDocument/2006/relationships/theme" Target="/xl/theme/theme1.xml" Id="Ra9e01226c07c4122" /><Relationship Type="http://schemas.microsoft.com/office/2022/11/relationships/FeaturePropertyBag" Target="/xl/featurePropertyBag/featurePropertyBag.xml" Id="Rd7526f06e4d24b4c" /><Relationship Type="http://schemas.openxmlformats.org/officeDocument/2006/relationships/sharedStrings" Target="/xl/sharedStrings.xml" Id="R3fe5c2a9d99549b3" /><Relationship Type="http://schemas.openxmlformats.org/officeDocument/2006/relationships/worksheet" Target="/xl/worksheets/sheet1.xml" Id="Re4c4a12e1fb24067" /><Relationship Type="http://schemas.openxmlformats.org/officeDocument/2006/relationships/worksheet" Target="/xl/worksheets/sheet2.xml" Id="R01f2b33430de48b9" /><Relationship Type="http://schemas.openxmlformats.org/officeDocument/2006/relationships/worksheet" Target="/xl/worksheets/sheet3.xml" Id="Rd5b93a772a5e49c3" /><Relationship Type="http://schemas.openxmlformats.org/officeDocument/2006/relationships/worksheet" Target="/xl/worksheets/sheet4.xml" Id="Rc2a01c49134a44ca" /><Relationship Type="http://schemas.openxmlformats.org/officeDocument/2006/relationships/worksheet" Target="/xl/worksheets/sheet5.xml" Id="Rf5e8c92e12214c45" /><Relationship Type="http://schemas.openxmlformats.org/officeDocument/2006/relationships/worksheet" Target="/xl/worksheets/sheet6.xml" Id="Ra815d5d4f34c4a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50SpeciesTable" displayName="EEZ450SpeciesTable" ref="A1:U97" headerRowCount="1" totalsRowCount="0" totalsRowShown="0">
  <x:autoFilter ref="A1:U9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50CommercialTable" displayName="EEZ450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50FunctionalTable" displayName="EEZ450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50ValidationTable" displayName="EEZ45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5d68e672b246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75e25f3b2c48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51d47edcbf4d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8df8fdd97b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EEZ_450</x:v>
      </x:c>
      <x:c r="B2" s="24" t="str">
        <x:v>Madagascar</x:v>
      </x:c>
      <x:c r="C2" s="24" t="str">
        <x:v>EEZ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20961.9133665505</x:v>
      </x:c>
      <x:c r="J2" s="31" t="n">
        <x:v>15111.273359550501</x:v>
      </x:c>
      <x:c r="K2" s="31" t="n">
        <x:v>5850.640007</x:v>
      </x:c>
      <x:c r="L2" s="31" t="n">
        <x:v>7880.7128976706</x:v>
      </x:c>
      <x:c r="M2" s="31" t="n">
        <x:v>13081.2004688799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3559843.631819738</x:v>
      </x:c>
    </x:row>
    <x:row r="3" ht="18" customHeight="1">
      <x:c r="A3" s="24" t="str">
        <x:v>EEZ_450</x:v>
      </x:c>
      <x:c r="B3" s="24" t="str">
        <x:v>Madagascar</x:v>
      </x:c>
      <x:c r="C3" s="24" t="str">
        <x:v>EEZ</x:v>
      </x:c>
      <x:c r="D3" s="30" t="n">
        <x:v>2019</x:v>
      </x:c>
      <x:c r="E3" s="24" t="str">
        <x:v>Miscellaneous aquatic invertebrates</x:v>
      </x:c>
      <x:c r="F3" s="24" t="str">
        <x:v>Aquatic invertebrates</x:v>
      </x:c>
      <x:c r="G3" s="24" t="str">
        <x:v>Other demersal invertebrates</x:v>
      </x:c>
      <x:c r="H3" s="24" t="str">
        <x:v>Other fishes &amp; inverts</x:v>
      </x:c>
      <x:c r="I3" s="31" t="n">
        <x:v>16962.4920390996</x:v>
      </x:c>
      <x:c r="J3" s="31" t="n">
        <x:v>16962.4920390996</x:v>
      </x:c>
      <x:c r="K3" s="31" t="n">
        <x:v>0</x:v>
      </x:c>
      <x:c r="L3" s="31" t="n">
        <x:v>12588.9999996903</x:v>
      </x:c>
      <x:c r="M3" s="31" t="n">
        <x:v>4373.4920394093</x:v>
      </x:c>
      <x:c r="N3" s="24" t="str">
        <x:v>miscellaneous aquatic invertebrates</x:v>
      </x:c>
      <x:c r="O3" s="32" t="n">
        <x:v>2.43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Miscellaneous aquatic invertebrates</x:v>
      </x:c>
      <x:c r="T3" s="32" t="n">
        <x:f>IF(O3="","",(1/'Metadata'!$B$5)^(O3-1))</x:f>
        <x:v>26.915348039269166</x:v>
      </x:c>
      <x:c r="U3" s="31" t="n">
        <x:f>IF(T3="","",I3*T3)</x:f>
        <x:v>456551.3768456983</x:v>
      </x:c>
    </x:row>
    <x:row r="4" ht="18" customHeight="1">
      <x:c r="A4" s="24" t="str">
        <x:v>EEZ_450</x:v>
      </x:c>
      <x:c r="B4" s="24" t="str">
        <x:v>Madagascar</x:v>
      </x:c>
      <x:c r="C4" s="24" t="str">
        <x:v>EEZ</x:v>
      </x:c>
      <x:c r="D4" s="30" t="n">
        <x:v>2019</x:v>
      </x:c>
      <x:c r="E4" s="24" t="str">
        <x:v>Hemiramphidae</x:v>
      </x:c>
      <x:c r="F4" s="24" t="str">
        <x:v>Halfbeaks, garfishes</x:v>
      </x:c>
      <x:c r="G4" s="24" t="str">
        <x:v>Medium pelagics (30 - 89 cm)</x:v>
      </x:c>
      <x:c r="H4" s="24" t="str">
        <x:v>Other fishes &amp; inverts</x:v>
      </x:c>
      <x:c r="I4" s="31" t="n">
        <x:v>16803.3090624</x:v>
      </x:c>
      <x:c r="J4" s="31" t="n">
        <x:v>16803.3090624</x:v>
      </x:c>
      <x:c r="K4" s="31" t="n">
        <x:v>0</x:v>
      </x:c>
      <x:c r="L4" s="31" t="n">
        <x:v>10512.8067376</x:v>
      </x:c>
      <x:c r="M4" s="31" t="n">
        <x:v>6290.5023248</x:v>
      </x:c>
      <x:c r="N4" s="24" t="str">
        <x:v>hemiramphidae</x:v>
      </x:c>
      <x:c r="O4" s="32" t="n">
        <x:v>2.82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Hemiramphidae</x:v>
      </x:c>
      <x:c r="T4" s="32" t="n">
        <x:f>IF(O4="","",(1/'Metadata'!$B$5)^(O4-1))</x:f>
        <x:v>66.06934480075958</x:v>
      </x:c>
      <x:c r="U4" s="31" t="n">
        <x:f>IF(T4="","",I4*T4)</x:f>
        <x:v>1110183.6202374338</x:v>
      </x:c>
    </x:row>
    <x:row r="5" ht="18" customHeight="1">
      <x:c r="A5" s="24" t="str">
        <x:v>EEZ_450</x:v>
      </x:c>
      <x:c r="B5" s="24" t="str">
        <x:v>Madagascar</x:v>
      </x:c>
      <x:c r="C5" s="24" t="str">
        <x:v>EEZ</x:v>
      </x:c>
      <x:c r="D5" s="30" t="n">
        <x:v>2019</x:v>
      </x:c>
      <x:c r="E5" s="24" t="str">
        <x:v>Penaeus indicus</x:v>
      </x:c>
      <x:c r="F5" s="24" t="str">
        <x:v>Indian white prawn</x:v>
      </x:c>
      <x:c r="G5" s="24" t="str">
        <x:v>Shrimps</x:v>
      </x:c>
      <x:c r="H5" s="24" t="str">
        <x:v>Crustaceans</x:v>
      </x:c>
      <x:c r="I5" s="31" t="n">
        <x:v>12696.4936873003</x:v>
      </x:c>
      <x:c r="J5" s="31" t="n">
        <x:v>12696.4936873003</x:v>
      </x:c>
      <x:c r="K5" s="31" t="n">
        <x:v>0</x:v>
      </x:c>
      <x:c r="L5" s="31" t="n">
        <x:v>11536.0427609003</x:v>
      </x:c>
      <x:c r="M5" s="31" t="n">
        <x:v>1160.4509264</x:v>
      </x:c>
      <x:c r="N5" s="24" t="str">
        <x:v>penaeus indicus</x:v>
      </x:c>
      <x:c r="O5" s="32" t="n">
        <x:v>2.7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Penaeus indicus</x:v>
      </x:c>
      <x:c r="T5" s="32" t="n">
        <x:f>IF(O5="","",(1/'Metadata'!$B$5)^(O5-1))</x:f>
        <x:v>50.11872336272725</x:v>
      </x:c>
      <x:c r="U5" s="31" t="n">
        <x:f>IF(T5="","",I5*T5)</x:f>
        <x:v>636332.0547904166</x:v>
      </x:c>
    </x:row>
    <x:row r="6" ht="18" customHeight="1">
      <x:c r="A6" s="24" t="str">
        <x:v>EEZ_450</x:v>
      </x:c>
      <x:c r="B6" s="24" t="str">
        <x:v>Madagascar</x:v>
      </x:c>
      <x:c r="C6" s="24" t="str">
        <x:v>EEZ</x:v>
      </x:c>
      <x:c r="D6" s="30" t="n">
        <x:v>2019</x:v>
      </x:c>
      <x:c r="E6" s="24" t="str">
        <x:v>Cephalopoda</x:v>
      </x:c>
      <x:c r="F6" s="24" t="str">
        <x:v>Squids, cuttlefishes, octopuses</x:v>
      </x:c>
      <x:c r="G6" s="24" t="str">
        <x:v>Cephalopods</x:v>
      </x:c>
      <x:c r="H6" s="24" t="str">
        <x:v>Other fishes &amp; inverts</x:v>
      </x:c>
      <x:c r="I6" s="31" t="n">
        <x:v>10088.7183458901</x:v>
      </x:c>
      <x:c r="J6" s="31" t="n">
        <x:v>10088.7183458901</x:v>
      </x:c>
      <x:c r="K6" s="31" t="n">
        <x:v>0</x:v>
      </x:c>
      <x:c r="L6" s="31" t="n">
        <x:v>9905.0000004</x:v>
      </x:c>
      <x:c r="M6" s="31" t="n">
        <x:v>183.7183454901</x:v>
      </x:c>
      <x:c r="N6" s="24" t="str">
        <x:v>cephalopoda</x:v>
      </x:c>
      <x:c r="O6" s="32" t="n">
        <x:v>3.81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Cephalopoda</x:v>
      </x:c>
      <x:c r="T6" s="32" t="n">
        <x:f>IF(O6="","",(1/'Metadata'!$B$5)^(O6-1))</x:f>
        <x:v>645.6542290346556</x:v>
      </x:c>
      <x:c r="U6" s="31" t="n">
        <x:f>IF(T6="","",I6*T6)</x:f>
        <x:v>6513823.665563459</x:v>
      </x:c>
    </x:row>
    <x:row r="7" ht="18" customHeight="1">
      <x:c r="A7" s="24" t="str">
        <x:v>EEZ_450</x:v>
      </x:c>
      <x:c r="B7" s="24" t="str">
        <x:v>Madagascar</x:v>
      </x:c>
      <x:c r="C7" s="24" t="str">
        <x:v>EEZ</x:v>
      </x:c>
      <x:c r="D7" s="30" t="n">
        <x:v>2019</x:v>
      </x:c>
      <x:c r="E7" s="24" t="str">
        <x:v>Scylla serrata</x:v>
      </x:c>
      <x:c r="F7" s="24" t="str">
        <x:v>Indo-Pacific swamp crab</x:v>
      </x:c>
      <x:c r="G7" s="24" t="str">
        <x:v>Lobsters, crabs</x:v>
      </x:c>
      <x:c r="H7" s="24" t="str">
        <x:v>Crustaceans</x:v>
      </x:c>
      <x:c r="I7" s="31" t="n">
        <x:v>8821.087192</x:v>
      </x:c>
      <x:c r="J7" s="31" t="n">
        <x:v>8821.087192</x:v>
      </x:c>
      <x:c r="K7" s="31" t="n">
        <x:v>0</x:v>
      </x:c>
      <x:c r="L7" s="31" t="n">
        <x:v>6249</x:v>
      </x:c>
      <x:c r="M7" s="31" t="n">
        <x:v>2572.087192</x:v>
      </x:c>
      <x:c r="N7" s="24" t="str">
        <x:v>scylla serrata</x:v>
      </x:c>
      <x:c r="O7" s="32" t="n">
        <x:v>3.17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Scylla serrata</x:v>
      </x:c>
      <x:c r="T7" s="32" t="n">
        <x:f>IF(O7="","",(1/'Metadata'!$B$5)^(O7-1))</x:f>
        <x:v>147.91083881682073</x:v>
      </x:c>
      <x:c r="U7" s="31" t="n">
        <x:f>IF(T7="","",I7*T7)</x:f>
        <x:v>1304734.405845034</x:v>
      </x:c>
    </x:row>
    <x:row r="8" ht="18" customHeight="1">
      <x:c r="A8" s="24" t="str">
        <x:v>EEZ_450</x:v>
      </x:c>
      <x:c r="B8" s="24" t="str">
        <x:v>Madagascar</x:v>
      </x:c>
      <x:c r="C8" s="24" t="str">
        <x:v>EEZ</x:v>
      </x:c>
      <x:c r="D8" s="30" t="n">
        <x:v>2019</x:v>
      </x:c>
      <x:c r="E8" s="24" t="str">
        <x:v>Scomberomorus commerson</x:v>
      </x:c>
      <x:c r="F8" s="24" t="str">
        <x:v>Narrow-barred Spanish mackerel</x:v>
      </x:c>
      <x:c r="G8" s="24" t="str">
        <x:v>Large pelagics (&gt;=90 cm)</x:v>
      </x:c>
      <x:c r="H8" s="24" t="str">
        <x:v>Perch-likes</x:v>
      </x:c>
      <x:c r="I8" s="31" t="n">
        <x:v>6151.9390528847</x:v>
      </x:c>
      <x:c r="J8" s="31" t="n">
        <x:v>6151.9390528847</x:v>
      </x:c>
      <x:c r="K8" s="31" t="n">
        <x:v>0</x:v>
      </x:c>
      <x:c r="L8" s="31" t="n">
        <x:v>3766.1586364844998</x:v>
      </x:c>
      <x:c r="M8" s="31" t="n">
        <x:v>2385.7804164002</x:v>
      </x:c>
      <x:c r="N8" s="24" t="str">
        <x:v>scomberomorus commerson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Scomberomorus commerson</x:v>
      </x:c>
      <x:c r="T8" s="32" t="n">
        <x:f>IF(O8="","",(1/'Metadata'!$B$5)^(O8-1))</x:f>
        <x:v>3162.2776601683795</x:v>
      </x:c>
      <x:c r="U8" s="31" t="n">
        <x:f>IF(T8="","",I8*T8)</x:f>
        <x:v>19454139.433654707</x:v>
      </x:c>
    </x:row>
    <x:row r="9" ht="18" customHeight="1">
      <x:c r="A9" s="24" t="str">
        <x:v>EEZ_450</x:v>
      </x:c>
      <x:c r="B9" s="24" t="str">
        <x:v>Madagascar</x:v>
      </x:c>
      <x:c r="C9" s="24" t="str">
        <x:v>EEZ</x:v>
      </x:c>
      <x:c r="D9" s="30" t="n">
        <x:v>2019</x:v>
      </x:c>
      <x:c r="E9" s="24" t="str">
        <x:v>Lethrinidae</x:v>
      </x:c>
      <x:c r="F9" s="24" t="str">
        <x:v>Emperors, scavengers</x:v>
      </x:c>
      <x:c r="G9" s="24" t="str">
        <x:v>Medium reef assoc. fish (30 - 89 cm)</x:v>
      </x:c>
      <x:c r="H9" s="24" t="str">
        <x:v>Perch-likes</x:v>
      </x:c>
      <x:c r="I9" s="31" t="n">
        <x:v>5790.8311054002</x:v>
      </x:c>
      <x:c r="J9" s="31" t="n">
        <x:v>5790.8311054002</x:v>
      </x:c>
      <x:c r="K9" s="31" t="n">
        <x:v>0</x:v>
      </x:c>
      <x:c r="L9" s="31" t="n">
        <x:v>3622.970216</x:v>
      </x:c>
      <x:c r="M9" s="31" t="n">
        <x:v>2167.8608894002</x:v>
      </x:c>
      <x:c r="N9" s="24" t="str">
        <x:v>lethrinidae</x:v>
      </x:c>
      <x:c r="O9" s="32" t="n">
        <x:v>3.59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Lethrinidae</x:v>
      </x:c>
      <x:c r="T9" s="32" t="n">
        <x:f>IF(O9="","",(1/'Metadata'!$B$5)^(O9-1))</x:f>
        <x:v>389.04514499428046</x:v>
      </x:c>
      <x:c r="U9" s="31" t="n">
        <x:f>IF(T9="","",I9*T9)</x:f>
        <x:v>2252894.7270378103</x:v>
      </x:c>
    </x:row>
    <x:row r="10" ht="18" customHeight="1">
      <x:c r="A10" s="24" t="str">
        <x:v>EEZ_450</x:v>
      </x:c>
      <x:c r="B10" s="24" t="str">
        <x:v>Madagascar</x:v>
      </x:c>
      <x:c r="C10" s="24" t="str">
        <x:v>EEZ</x:v>
      </x:c>
      <x:c r="D10" s="30" t="n">
        <x:v>2019</x:v>
      </x:c>
      <x:c r="E10" s="24" t="str">
        <x:v>Haemulidae</x:v>
      </x:c>
      <x:c r="F10" s="24" t="str">
        <x:v>Grunts, sweetlips, bonnetmouths</x:v>
      </x:c>
      <x:c r="G10" s="24" t="str">
        <x:v>Medium demersals (30 - 89 cm)</x:v>
      </x:c>
      <x:c r="H10" s="24" t="str">
        <x:v>Perch-likes</x:v>
      </x:c>
      <x:c r="I10" s="31" t="n">
        <x:v>5086.9660571406</x:v>
      </x:c>
      <x:c r="J10" s="31" t="n">
        <x:v>3736.8183631406</x:v>
      </x:c>
      <x:c r="K10" s="31" t="n">
        <x:v>1350.147694</x:v>
      </x:c>
      <x:c r="L10" s="31" t="n">
        <x:v>2337.8995838903998</x:v>
      </x:c>
      <x:c r="M10" s="31" t="n">
        <x:v>2749.0664732502</x:v>
      </x:c>
      <x:c r="N10" s="24" t="str">
        <x:v>haemulidae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Haemulidae</x:v>
      </x:c>
      <x:c r="T10" s="32" t="n">
        <x:f>IF(O10="","",(1/'Metadata'!$B$5)^(O10-1))</x:f>
        <x:v>229.08676527677724</x:v>
      </x:c>
      <x:c r="U10" s="31" t="n">
        <x:f>IF(T10="","",I10*T10)</x:f>
        <x:v>1165356.5991031018</x:v>
      </x:c>
    </x:row>
    <x:row r="11" ht="18" customHeight="1">
      <x:c r="A11" s="24" t="str">
        <x:v>EEZ_450</x:v>
      </x:c>
      <x:c r="B11" s="24" t="str">
        <x:v>Madagascar</x:v>
      </x:c>
      <x:c r="C11" s="24" t="str">
        <x:v>EEZ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4404.99118263</x:v>
      </x:c>
      <x:c r="J11" s="31" t="n">
        <x:v>4404.99118263</x:v>
      </x:c>
      <x:c r="K11" s="31" t="n">
        <x:v>0</x:v>
      </x:c>
      <x:c r="L11" s="31" t="n">
        <x:v>2755.93460843</x:v>
      </x:c>
      <x:c r="M11" s="31" t="n">
        <x:v>1649.0565742000001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636714.9445158541</x:v>
      </x:c>
    </x:row>
    <x:row r="12" ht="18" customHeight="1">
      <x:c r="A12" s="24" t="str">
        <x:v>EEZ_450</x:v>
      </x:c>
      <x:c r="B12" s="24" t="str">
        <x:v>Madagascar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3798.5681280891004</x:v>
      </x:c>
      <x:c r="J12" s="31" t="n">
        <x:v>3798.5681280891004</x:v>
      </x:c>
      <x:c r="K12" s="31" t="n">
        <x:v>0</x:v>
      </x:c>
      <x:c r="L12" s="31" t="n">
        <x:v>2368.8651416401</x:v>
      </x:c>
      <x:c r="M12" s="31" t="n">
        <x:v>1429.702986449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4262063.539639234</x:v>
      </x:c>
    </x:row>
    <x:row r="13" ht="18" customHeight="1">
      <x:c r="A13" s="24" t="str">
        <x:v>EEZ_450</x:v>
      </x:c>
      <x:c r="B13" s="24" t="str">
        <x:v>Madagascar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3564.109198581</x:v>
      </x:c>
      <x:c r="J13" s="31" t="n">
        <x:v>3564.109198581</x:v>
      </x:c>
      <x:c r="K13" s="31" t="n">
        <x:v>0</x:v>
      </x:c>
      <x:c r="L13" s="31" t="n">
        <x:v>2230.0409587505</x:v>
      </x:c>
      <x:c r="M13" s="31" t="n">
        <x:v>1334.0682398305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3732080.4902049736</x:v>
      </x:c>
    </x:row>
    <x:row r="14" ht="18" customHeight="1">
      <x:c r="A14" s="24" t="str">
        <x:v>EEZ_450</x:v>
      </x:c>
      <x:c r="B14" s="24" t="str">
        <x:v>Madagascar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3316.1913616560996</x:v>
      </x:c>
      <x:c r="J14" s="31" t="n">
        <x:v>3316.1913616560996</x:v>
      </x:c>
      <x:c r="K14" s="31" t="n">
        <x:v>0</x:v>
      </x:c>
      <x:c r="L14" s="31" t="n">
        <x:v>2074.7667496561</x:v>
      </x:c>
      <x:c r="M14" s="31" t="n">
        <x:v>1241.424612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3166938.1642099055</x:v>
      </x:c>
    </x:row>
    <x:row r="15" ht="18" customHeight="1">
      <x:c r="A15" s="24" t="str">
        <x:v>EEZ_450</x:v>
      </x:c>
      <x:c r="B15" s="24" t="str">
        <x:v>Madagascar</x:v>
      </x:c>
      <x:c r="C15" s="24" t="str">
        <x:v>EEZ</x:v>
      </x:c>
      <x:c r="D15" s="30" t="n">
        <x:v>2019</x:v>
      </x:c>
      <x:c r="E15" s="24" t="str">
        <x:v>Siganidae</x:v>
      </x:c>
      <x:c r="F15" s="24" t="str">
        <x:v>Rabbitfishes</x:v>
      </x:c>
      <x:c r="G15" s="24" t="str">
        <x:v>Medium reef assoc. fish (30 - 89 cm)</x:v>
      </x:c>
      <x:c r="H15" s="24" t="str">
        <x:v>Perch-likes</x:v>
      </x:c>
      <x:c r="I15" s="31" t="n">
        <x:v>3118.1398262672</x:v>
      </x:c>
      <x:c r="J15" s="31" t="n">
        <x:v>3118.1398262672</x:v>
      </x:c>
      <x:c r="K15" s="31" t="n">
        <x:v>0</x:v>
      </x:c>
      <x:c r="L15" s="31" t="n">
        <x:v>1950.8301164302</x:v>
      </x:c>
      <x:c r="M15" s="31" t="n">
        <x:v>1167.309709837</x:v>
      </x:c>
      <x:c r="N15" s="24" t="str">
        <x:v>siganidae</x:v>
      </x:c>
      <x:c r="O15" s="32" t="n">
        <x:v>2.11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Siganidae</x:v>
      </x:c>
      <x:c r="T15" s="32" t="n">
        <x:f>IF(O15="","",(1/'Metadata'!$B$5)^(O15-1))</x:f>
        <x:v>12.882495516931336</x:v>
      </x:c>
      <x:c r="U15" s="31" t="n">
        <x:f>IF(T15="","",I15*T15)</x:f>
        <x:v>40169.42233305226</x:v>
      </x:c>
    </x:row>
    <x:row r="16" ht="18" customHeight="1">
      <x:c r="A16" s="24" t="str">
        <x:v>EEZ_450</x:v>
      </x:c>
      <x:c r="B16" s="24" t="str">
        <x:v>Madagascar</x:v>
      </x:c>
      <x:c r="C16" s="24" t="str">
        <x:v>EEZ</x:v>
      </x:c>
      <x:c r="D16" s="30" t="n">
        <x:v>2019</x:v>
      </x:c>
      <x:c r="E16" s="24" t="str">
        <x:v>Marine fishes not identified</x:v>
      </x:c>
      <x:c r="F16" s="24" t="str">
        <x:v>Marine fishes nei</x:v>
      </x:c>
      <x:c r="G16" s="24" t="str">
        <x:v>Medium demersals (30 - 89 cm)</x:v>
      </x:c>
      <x:c r="H16" s="24" t="str">
        <x:v>Other fishes &amp; inverts</x:v>
      </x:c>
      <x:c r="I16" s="31" t="n">
        <x:v>3078.976687663</x:v>
      </x:c>
      <x:c r="J16" s="31" t="n">
        <x:v>2941.3045055491</x:v>
      </x:c>
      <x:c r="K16" s="31" t="n">
        <x:v>137.6721821139</x:v>
      </x:c>
      <x:c r="L16" s="31" t="n">
        <x:v>2165.1286565781</x:v>
      </x:c>
      <x:c r="M16" s="31" t="n">
        <x:v>913.8480310849</x:v>
      </x:c>
      <x:c r="N16" s="24" t="str">
        <x:v>marine fishes not identified</x:v>
      </x:c>
      <x:c r="O16" s="32" t="n">
        <x:v>3.28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fishes not identified</x:v>
      </x:c>
      <x:c r="T16" s="32" t="n">
        <x:f>IF(O16="","",(1/'Metadata'!$B$5)^(O16-1))</x:f>
        <x:v>190.54607179632464</x:v>
      </x:c>
      <x:c r="U16" s="31" t="n">
        <x:f>IF(T16="","",I16*T16)</x:f>
        <x:v>586686.9129866438</x:v>
      </x:c>
    </x:row>
    <x:row r="17" ht="18" customHeight="1">
      <x:c r="A17" s="24" t="str">
        <x:v>EEZ_450</x:v>
      </x:c>
      <x:c r="B17" s="24" t="str">
        <x:v>Madagascar</x:v>
      </x:c>
      <x:c r="C17" s="24" t="str">
        <x:v>EEZ</x:v>
      </x:c>
      <x:c r="D17" s="30" t="n">
        <x:v>2019</x:v>
      </x:c>
      <x:c r="E17" s="24" t="str">
        <x:v>Metapenaeus monoceros</x:v>
      </x:c>
      <x:c r="F17" s="24" t="str">
        <x:v>Speckled shrimp</x:v>
      </x:c>
      <x:c r="G17" s="24" t="str">
        <x:v>Shrimps</x:v>
      </x:c>
      <x:c r="H17" s="24" t="str">
        <x:v>Crustaceans</x:v>
      </x:c>
      <x:c r="I17" s="31" t="n">
        <x:v>2548.551928</x:v>
      </x:c>
      <x:c r="J17" s="31" t="n">
        <x:v>2548.551928</x:v>
      </x:c>
      <x:c r="K17" s="31" t="n">
        <x:v>0</x:v>
      </x:c>
      <x:c r="L17" s="31" t="n">
        <x:v>2548.551928</x:v>
      </x:c>
      <x:c r="M17" s="31" t="n">
        <x:v>0</x:v>
      </x:c>
      <x:c r="N17" s="24" t="str">
        <x:v>metapenaeus monoceros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Metapenaeus monoceros</x:v>
      </x:c>
      <x:c r="T17" s="32" t="n">
        <x:f>IF(O17="","",(1/'Metadata'!$B$5)^(O17-1))</x:f>
        <x:v>50.11872336272725</x:v>
      </x:c>
      <x:c r="U17" s="31" t="n">
        <x:f>IF(T17="","",I17*T17)</x:f>
        <x:v>127730.16905497717</x:v>
      </x:c>
    </x:row>
    <x:row r="18" ht="18" customHeight="1">
      <x:c r="A18" s="24" t="str">
        <x:v>EEZ_450</x:v>
      </x:c>
      <x:c r="B18" s="24" t="str">
        <x:v>Madagascar</x:v>
      </x:c>
      <x:c r="C18" s="24" t="str">
        <x:v>EEZ</x:v>
      </x:c>
      <x:c r="D18" s="30" t="n">
        <x:v>2019</x:v>
      </x:c>
      <x:c r="E18" s="24" t="str">
        <x:v>Gerreidae</x:v>
      </x:c>
      <x:c r="F18" s="24" t="str">
        <x:v>Mojarras, silverbellies</x:v>
      </x:c>
      <x:c r="G18" s="24" t="str">
        <x:v>Small benthopelagics (&lt;30 cm)</x:v>
      </x:c>
      <x:c r="H18" s="24" t="str">
        <x:v>Perch-likes</x:v>
      </x:c>
      <x:c r="I18" s="31" t="n">
        <x:v>2202.4955915001</x:v>
      </x:c>
      <x:c r="J18" s="31" t="n">
        <x:v>2202.4955915001</x:v>
      </x:c>
      <x:c r="K18" s="31" t="n">
        <x:v>0</x:v>
      </x:c>
      <x:c r="L18" s="31" t="n">
        <x:v>1377.9673044</x:v>
      </x:c>
      <x:c r="M18" s="31" t="n">
        <x:v>824.5282871001</x:v>
      </x:c>
      <x:c r="N18" s="24" t="str">
        <x:v>gerreidae</x:v>
      </x:c>
      <x:c r="O18" s="32" t="n">
        <x:v>3.03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Gerreidae</x:v>
      </x:c>
      <x:c r="T18" s="32" t="n">
        <x:f>IF(O18="","",(1/'Metadata'!$B$5)^(O18-1))</x:f>
        <x:v>107.1519305237606</x:v>
      </x:c>
      <x:c r="U18" s="31" t="n">
        <x:f>IF(T18="","",I18*T18)</x:f>
        <x:v>236001.65459930772</x:v>
      </x:c>
    </x:row>
    <x:row r="19" ht="18" customHeight="1">
      <x:c r="A19" s="24" t="str">
        <x:v>EEZ_450</x:v>
      </x:c>
      <x:c r="B19" s="24" t="str">
        <x:v>Madagascar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2006.4021010328</x:v>
      </x:c>
      <x:c r="J19" s="31" t="n">
        <x:v>2004.5184596903</x:v>
      </x:c>
      <x:c r="K19" s="31" t="n">
        <x:v>1.8836413425</x:v>
      </x:c>
      <x:c r="L19" s="31" t="n">
        <x:v>1254.1050748203</x:v>
      </x:c>
      <x:c r="M19" s="31" t="n">
        <x:v>752.2970262125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67985.76268003818</x:v>
      </x:c>
    </x:row>
    <x:row r="20" ht="18" customHeight="1">
      <x:c r="A20" s="24" t="str">
        <x:v>EEZ_450</x:v>
      </x:c>
      <x:c r="B20" s="24" t="str">
        <x:v>Madagascar</x:v>
      </x:c>
      <x:c r="C20" s="24" t="str">
        <x:v>EEZ</x:v>
      </x:c>
      <x:c r="D20" s="30" t="n">
        <x:v>2019</x:v>
      </x:c>
      <x:c r="E20" s="24" t="str">
        <x:v>Elasmobranchii</x:v>
      </x:c>
      <x:c r="F20" s="24" t="str">
        <x:v>Sharks, rays, skates</x:v>
      </x:c>
      <x:c r="G20" s="24" t="str">
        <x:v>Large sharks (&gt;=90 cm)</x:v>
      </x:c>
      <x:c r="H20" s="24" t="str">
        <x:v>Sharks &amp; rays</x:v>
      </x:c>
      <x:c r="I20" s="31" t="n">
        <x:v>1974.4082749696</x:v>
      </x:c>
      <x:c r="J20" s="31" t="n">
        <x:v>1974.4082749696</x:v>
      </x:c>
      <x:c r="K20" s="31" t="n">
        <x:v>0</x:v>
      </x:c>
      <x:c r="L20" s="31" t="n">
        <x:v>222.0609057492</x:v>
      </x:c>
      <x:c r="M20" s="31" t="n">
        <x:v>1752.3473692204</x:v>
      </x:c>
      <x:c r="N20" s="24" t="str">
        <x:v>elasmobranchii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Elasmobranchii</x:v>
      </x:c>
      <x:c r="T20" s="32" t="n">
        <x:f>IF(O20="","",(1/'Metadata'!$B$5)^(O20-1))</x:f>
        <x:v>1122.018454301963</x:v>
      </x:c>
      <x:c r="U20" s="31" t="n">
        <x:f>IF(T20="","",I20*T20)</x:f>
        <x:v>2215322.5208423957</x:v>
      </x:c>
    </x:row>
    <x:row r="21" ht="18" customHeight="1">
      <x:c r="A21" s="24" t="str">
        <x:v>EEZ_450</x:v>
      </x:c>
      <x:c r="B21" s="24" t="str">
        <x:v>Madagascar</x:v>
      </x:c>
      <x:c r="C21" s="24" t="str">
        <x:v>EEZ</x:v>
      </x:c>
      <x:c r="D21" s="30" t="n">
        <x:v>2019</x:v>
      </x:c>
      <x:c r="E21" s="24" t="str">
        <x:v>Penaeus semisulcatus</x:v>
      </x:c>
      <x:c r="F21" s="24" t="str">
        <x:v>Green tiger prawn</x:v>
      </x:c>
      <x:c r="G21" s="24" t="str">
        <x:v>Shrimps</x:v>
      </x:c>
      <x:c r="H21" s="24" t="str">
        <x:v>Crustaceans</x:v>
      </x:c>
      <x:c r="I21" s="31" t="n">
        <x:v>1870.344132</x:v>
      </x:c>
      <x:c r="J21" s="31" t="n">
        <x:v>1870.344132</x:v>
      </x:c>
      <x:c r="K21" s="31" t="n">
        <x:v>0</x:v>
      </x:c>
      <x:c r="L21" s="31" t="n">
        <x:v>1870.344132</x:v>
      </x:c>
      <x:c r="M21" s="31" t="n">
        <x:v>0</x:v>
      </x:c>
      <x:c r="N21" s="24" t="str">
        <x:v>penaeus semisulcatus</x:v>
      </x:c>
      <x:c r="O21" s="32" t="n">
        <x:v>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Penaeus semisulcatus</x:v>
      </x:c>
      <x:c r="T21" s="32" t="n">
        <x:f>IF(O21="","",(1/'Metadata'!$B$5)^(O21-1))</x:f>
        <x:v>10</x:v>
      </x:c>
      <x:c r="U21" s="31" t="n">
        <x:f>IF(T21="","",I21*T21)</x:f>
        <x:v>18703.441319999998</x:v>
      </x:c>
    </x:row>
    <x:row r="22" ht="18" customHeight="1">
      <x:c r="A22" s="24" t="str">
        <x:v>EEZ_450</x:v>
      </x:c>
      <x:c r="B22" s="24" t="str">
        <x:v>Madagascar</x:v>
      </x:c>
      <x:c r="C22" s="24" t="str">
        <x:v>EEZ</x:v>
      </x:c>
      <x:c r="D22" s="30" t="n">
        <x:v>2019</x:v>
      </x:c>
      <x:c r="E22" s="24" t="str">
        <x:v>Leiognathus equula</x:v>
      </x:c>
      <x:c r="F22" s="24" t="str">
        <x:v>Common ponyfish</x:v>
      </x:c>
      <x:c r="G22" s="24" t="str">
        <x:v>Small benthopelagics (&lt;30 cm)</x:v>
      </x:c>
      <x:c r="H22" s="24" t="str">
        <x:v>Perch-likes</x:v>
      </x:c>
      <x:c r="I22" s="31" t="n">
        <x:v>1800.196926</x:v>
      </x:c>
      <x:c r="J22" s="31" t="n">
        <x:v>0</x:v>
      </x:c>
      <x:c r="K22" s="31" t="n">
        <x:v>1800.196926</x:v>
      </x:c>
      <x:c r="L22" s="31" t="n">
        <x:v>0</x:v>
      </x:c>
      <x:c r="M22" s="31" t="n">
        <x:v>1800.196926</x:v>
      </x:c>
      <x:c r="N22" s="24" t="str">
        <x:v>leiognathus equula</x:v>
      </x:c>
      <x:c r="O22" s="32" t="n">
        <x:v>2.95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Leiognathus equula</x:v>
      </x:c>
      <x:c r="T22" s="32" t="n">
        <x:f>IF(O22="","",(1/'Metadata'!$B$5)^(O22-1))</x:f>
        <x:v>89.12509381337459</x:v>
      </x:c>
      <x:c r="U22" s="31" t="n">
        <x:f>IF(T22="","",I22*T22)</x:f>
        <x:v>160442.71991229858</x:v>
      </x:c>
    </x:row>
    <x:row r="23" ht="18" customHeight="1">
      <x:c r="A23" s="24" t="str">
        <x:v>EEZ_450</x:v>
      </x:c>
      <x:c r="B23" s="24" t="str">
        <x:v>Madagascar</x:v>
      </x:c>
      <x:c r="C23" s="24" t="str">
        <x:v>EEZ</x:v>
      </x:c>
      <x:c r="D23" s="30" t="n">
        <x:v>2019</x:v>
      </x:c>
      <x:c r="E23" s="24" t="str">
        <x:v>Sphyraenidae</x:v>
      </x:c>
      <x:c r="F23" s="24" t="str">
        <x:v>Barracudas</x:v>
      </x:c>
      <x:c r="G23" s="24" t="str">
        <x:v>Medium reef assoc. fish (30 - 89 cm)</x:v>
      </x:c>
      <x:c r="H23" s="24" t="str">
        <x:v>Perch-likes</x:v>
      </x:c>
      <x:c r="I23" s="31" t="n">
        <x:v>1781.7941862731</x:v>
      </x:c>
      <x:c r="J23" s="31" t="n">
        <x:v>1781.7941862731</x:v>
      </x:c>
      <x:c r="K23" s="31" t="n">
        <x:v>0</x:v>
      </x:c>
      <x:c r="L23" s="31" t="n">
        <x:v>1114.7600663901</x:v>
      </x:c>
      <x:c r="M23" s="31" t="n">
        <x:v>667.034119883</x:v>
      </x:c>
      <x:c r="N23" s="24" t="str">
        <x:v>sphyraenidae</x:v>
      </x:c>
      <x:c r="O23" s="32" t="n">
        <x:v>4.4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Sphyraenidae</x:v>
      </x:c>
      <x:c r="T23" s="32" t="n">
        <x:f>IF(O23="","",(1/'Metadata'!$B$5)^(O23-1))</x:f>
        <x:v>2511.886431509582</x:v>
      </x:c>
      <x:c r="U23" s="31" t="n">
        <x:f>IF(T23="","",I23*T23)</x:f>
        <x:v>4475664.640242057</x:v>
      </x:c>
    </x:row>
    <x:row r="24" ht="18" customHeight="1">
      <x:c r="A24" s="24" t="str">
        <x:v>EEZ_450</x:v>
      </x:c>
      <x:c r="B24" s="24" t="str">
        <x:v>Madagascar</x:v>
      </x:c>
      <x:c r="C24" s="24" t="str">
        <x:v>EEZ</x:v>
      </x:c>
      <x:c r="D24" s="30" t="n">
        <x:v>2019</x:v>
      </x:c>
      <x:c r="E24" s="24" t="str">
        <x:v>Euthynnus affinis</x:v>
      </x:c>
      <x:c r="F24" s="24" t="str">
        <x:v>Kawakawa</x:v>
      </x:c>
      <x:c r="G24" s="24" t="str">
        <x:v>Large pelagics (&gt;=90 cm)</x:v>
      </x:c>
      <x:c r="H24" s="24" t="str">
        <x:v>Tuna &amp; billfishes</x:v>
      </x:c>
      <x:c r="I24" s="31" t="n">
        <x:v>1760.0170063817</x:v>
      </x:c>
      <x:c r="J24" s="31" t="n">
        <x:v>1760.0170063817</x:v>
      </x:c>
      <x:c r="K24" s="31" t="n">
        <x:v>0</x:v>
      </x:c>
      <x:c r="L24" s="31" t="n">
        <x:v>1077.0065044256</x:v>
      </x:c>
      <x:c r="M24" s="31" t="n">
        <x:v>683.0105019561</x:v>
      </x:c>
      <x:c r="N24" s="24" t="str">
        <x:v>euthynnus affinis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Euthynnus affinis</x:v>
      </x:c>
      <x:c r="T24" s="32" t="n">
        <x:f>IF(O24="","",(1/'Metadata'!$B$5)^(O24-1))</x:f>
        <x:v>3162.2776601683795</x:v>
      </x:c>
      <x:c r="U24" s="31" t="n">
        <x:f>IF(T24="","",I24*T24)</x:f>
        <x:v>5565662.460797278</x:v>
      </x:c>
    </x:row>
    <x:row r="25" ht="18" customHeight="1">
      <x:c r="A25" s="24" t="str">
        <x:v>EEZ_450</x:v>
      </x:c>
      <x:c r="B25" s="24" t="str">
        <x:v>Madagascar</x:v>
      </x:c>
      <x:c r="C25" s="24" t="str">
        <x:v>EEZ</x:v>
      </x:c>
      <x:c r="D25" s="30" t="n">
        <x:v>2019</x:v>
      </x:c>
      <x:c r="E25" s="24" t="str">
        <x:v>Thunnus albacares</x:v>
      </x:c>
      <x:c r="F25" s="24" t="str">
        <x:v>Yellowfin tuna</x:v>
      </x:c>
      <x:c r="G25" s="24" t="str">
        <x:v>Large pelagics (&gt;=90 cm)</x:v>
      </x:c>
      <x:c r="H25" s="24" t="str">
        <x:v>Tuna &amp; billfishes</x:v>
      </x:c>
      <x:c r="I25" s="31" t="n">
        <x:v>1712.983451848</x:v>
      </x:c>
      <x:c r="J25" s="31" t="n">
        <x:v>1712.983451848</x:v>
      </x:c>
      <x:c r="K25" s="31" t="n">
        <x:v>0</x:v>
      </x:c>
      <x:c r="L25" s="31" t="n">
        <x:v>774.9508584479</x:v>
      </x:c>
      <x:c r="M25" s="31" t="n">
        <x:v>938.0325934001</x:v>
      </x:c>
      <x:c r="N25" s="24" t="str">
        <x:v>thunnus albacares</x:v>
      </x:c>
      <x:c r="O25" s="32" t="n">
        <x:v>4.41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albacares</x:v>
      </x:c>
      <x:c r="T25" s="32" t="n">
        <x:f>IF(O25="","",(1/'Metadata'!$B$5)^(O25-1))</x:f>
        <x:v>2570.3957827688646</x:v>
      </x:c>
      <x:c r="U25" s="31" t="n">
        <x:f>IF(T25="","",I25*T25)</x:f>
        <x:v>4403045.4405829515</x:v>
      </x:c>
    </x:row>
    <x:row r="26" ht="18" customHeight="1">
      <x:c r="A26" s="24" t="str">
        <x:v>EEZ_450</x:v>
      </x:c>
      <x:c r="B26" s="24" t="str">
        <x:v>Madagascar</x:v>
      </x:c>
      <x:c r="C26" s="24" t="str">
        <x:v>EEZ</x:v>
      </x:c>
      <x:c r="D26" s="30" t="n">
        <x:v>2019</x:v>
      </x:c>
      <x:c r="E26" s="24" t="str">
        <x:v>Holothuriidae</x:v>
      </x:c>
      <x:c r="F26" s="24" t="str">
        <x:v>Fleshy sea cucumbers</x:v>
      </x:c>
      <x:c r="G26" s="24" t="str">
        <x:v>Other demersal invertebrates</x:v>
      </x:c>
      <x:c r="H26" s="24" t="str">
        <x:v>Other fishes &amp; inverts</x:v>
      </x:c>
      <x:c r="I26" s="31" t="n">
        <x:v>1687.0559695000002</x:v>
      </x:c>
      <x:c r="J26" s="31" t="n">
        <x:v>1687.0559695000002</x:v>
      </x:c>
      <x:c r="K26" s="31" t="n">
        <x:v>0</x:v>
      </x:c>
      <x:c r="L26" s="31" t="n">
        <x:v>1150</x:v>
      </x:c>
      <x:c r="M26" s="31" t="n">
        <x:v>537.0559695000001</x:v>
      </x:c>
      <x:c r="N26" s="24" t="str">
        <x:v>holothuriidae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Holothuriidae</x:v>
      </x:c>
      <x:c r="T26" s="32" t="n">
        <x:f>IF(O26="","",(1/'Metadata'!$B$5)^(O26-1))</x:f>
        <x:v>10</x:v>
      </x:c>
      <x:c r="U26" s="31" t="n">
        <x:f>IF(T26="","",I26*T26)</x:f>
        <x:v>16870.559695000004</x:v>
      </x:c>
    </x:row>
    <x:row r="27" ht="18" customHeight="1">
      <x:c r="A27" s="24" t="str">
        <x:v>EEZ_450</x:v>
      </x:c>
      <x:c r="B27" s="24" t="str">
        <x:v>Madagascar</x:v>
      </x:c>
      <x:c r="C27" s="24" t="str">
        <x:v>EEZ</x:v>
      </x:c>
      <x:c r="D27" s="30" t="n">
        <x:v>2019</x:v>
      </x:c>
      <x:c r="E27" s="24" t="str">
        <x:v>Sparidae</x:v>
      </x:c>
      <x:c r="F27" s="24" t="str">
        <x:v>Porgies, seabreams</x:v>
      </x:c>
      <x:c r="G27" s="24" t="str">
        <x:v>Medium benthopelagics (30 - 89 cm)</x:v>
      </x:c>
      <x:c r="H27" s="24" t="str">
        <x:v>Perch-likes</x:v>
      </x:c>
      <x:c r="I27" s="31" t="n">
        <x:v>1682.8056204501</x:v>
      </x:c>
      <x:c r="J27" s="31" t="n">
        <x:v>1682.8056204501</x:v>
      </x:c>
      <x:c r="K27" s="31" t="n">
        <x:v>0</x:v>
      </x:c>
      <x:c r="L27" s="31" t="n">
        <x:v>1052.8289516201</x:v>
      </x:c>
      <x:c r="M27" s="31" t="n">
        <x:v>629.97666883</x:v>
      </x:c>
      <x:c r="N27" s="24" t="str">
        <x:v>sparidae</x:v>
      </x:c>
      <x:c r="O27" s="32" t="n">
        <x:v>3.31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Sparidae</x:v>
      </x:c>
      <x:c r="T27" s="32" t="n">
        <x:f>IF(O27="","",(1/'Metadata'!$B$5)^(O27-1))</x:f>
        <x:v>204.17379446695296</x:v>
      </x:c>
      <x:c r="U27" s="31" t="n">
        <x:f>IF(T27="","",I27*T27)</x:f>
        <x:v>343584.80887761194</x:v>
      </x:c>
    </x:row>
    <x:row r="28" ht="18" customHeight="1">
      <x:c r="A28" s="24" t="str">
        <x:v>EEZ_450</x:v>
      </x:c>
      <x:c r="B28" s="24" t="str">
        <x:v>Madagascar</x:v>
      </x:c>
      <x:c r="C28" s="24" t="str">
        <x:v>EEZ</x:v>
      </x:c>
      <x:c r="D28" s="30" t="n">
        <x:v>2019</x:v>
      </x:c>
      <x:c r="E28" s="24" t="str">
        <x:v>Scaridae</x:v>
      </x:c>
      <x:c r="F28" s="24" t="str">
        <x:v>Parrotfishes</x:v>
      </x:c>
      <x:c r="G28" s="24" t="str">
        <x:v>Medium reef assoc. fish (30 - 89 cm)</x:v>
      </x:c>
      <x:c r="H28" s="24" t="str">
        <x:v>Perch-likes</x:v>
      </x:c>
      <x:c r="I28" s="31" t="n">
        <x:v>1460.0813471932001</x:v>
      </x:c>
      <x:c r="J28" s="31" t="n">
        <x:v>1460.0813471932001</x:v>
      </x:c>
      <x:c r="K28" s="31" t="n">
        <x:v>0</x:v>
      </x:c>
      <x:c r="L28" s="31" t="n">
        <x:v>913.4839433831</x:v>
      </x:c>
      <x:c r="M28" s="31" t="n">
        <x:v>546.5974038101</x:v>
      </x:c>
      <x:c r="N28" s="24" t="str">
        <x:v>scaridae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Scaridae</x:v>
      </x:c>
      <x:c r="T28" s="32" t="n">
        <x:f>IF(O28="","",(1/'Metadata'!$B$5)^(O28-1))</x:f>
        <x:v>10</x:v>
      </x:c>
      <x:c r="U28" s="31" t="n">
        <x:f>IF(T28="","",I28*T28)</x:f>
        <x:v>14600.813471932</x:v>
      </x:c>
    </x:row>
    <x:row r="29" ht="18" customHeight="1">
      <x:c r="A29" s="24" t="str">
        <x:v>EEZ_450</x:v>
      </x:c>
      <x:c r="B29" s="24" t="str">
        <x:v>Madagascar</x:v>
      </x:c>
      <x:c r="C29" s="24" t="str">
        <x:v>EEZ</x:v>
      </x:c>
      <x:c r="D29" s="30" t="n">
        <x:v>2019</x:v>
      </x:c>
      <x:c r="E29" s="24" t="str">
        <x:v>Istiophorus platypterus</x:v>
      </x:c>
      <x:c r="F29" s="24" t="str">
        <x:v>Indo-Pacific sailfish</x:v>
      </x:c>
      <x:c r="G29" s="24" t="str">
        <x:v>Large pelagics (&gt;=90 cm)</x:v>
      </x:c>
      <x:c r="H29" s="24" t="str">
        <x:v>Tuna &amp; billfishes</x:v>
      </x:c>
      <x:c r="I29" s="31" t="n">
        <x:v>1387.5409925764</x:v>
      </x:c>
      <x:c r="J29" s="31" t="n">
        <x:v>1387.5409925764</x:v>
      </x:c>
      <x:c r="K29" s="31" t="n">
        <x:v>0</x:v>
      </x:c>
      <x:c r="L29" s="31" t="n">
        <x:v>845.9812688762</x:v>
      </x:c>
      <x:c r="M29" s="31" t="n">
        <x:v>541.5597237002</x:v>
      </x:c>
      <x:c r="N29" s="24" t="str">
        <x:v>istiophorus platypterus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Istiophorus platypterus</x:v>
      </x:c>
      <x:c r="T29" s="32" t="n">
        <x:f>IF(O29="","",(1/'Metadata'!$B$5)^(O29-1))</x:f>
        <x:v>3162.2776601683795</x:v>
      </x:c>
      <x:c r="U29" s="31" t="n">
        <x:f>IF(T29="","",I29*T29)</x:f>
        <x:v>4387789.883392209</x:v>
      </x:c>
    </x:row>
    <x:row r="30" ht="18" customHeight="1">
      <x:c r="A30" s="24" t="str">
        <x:v>EEZ_450</x:v>
      </x:c>
      <x:c r="B30" s="24" t="str">
        <x:v>Madagascar</x:v>
      </x:c>
      <x:c r="C30" s="24" t="str">
        <x:v>EEZ</x:v>
      </x:c>
      <x:c r="D30" s="30" t="n">
        <x:v>2019</x:v>
      </x:c>
      <x:c r="E30" s="24" t="str">
        <x:v>Katsuwonus pelamis</x:v>
      </x:c>
      <x:c r="F30" s="24" t="str">
        <x:v>Skipjack tuna</x:v>
      </x:c>
      <x:c r="G30" s="24" t="str">
        <x:v>Large pelagics (&gt;=90 cm)</x:v>
      </x:c>
      <x:c r="H30" s="24" t="str">
        <x:v>Tuna &amp; billfishes</x:v>
      </x:c>
      <x:c r="I30" s="31" t="n">
        <x:v>1364.7530623654</x:v>
      </x:c>
      <x:c r="J30" s="31" t="n">
        <x:v>1364.7530623654</x:v>
      </x:c>
      <x:c r="K30" s="31" t="n">
        <x:v>0</x:v>
      </x:c>
      <x:c r="L30" s="31" t="n">
        <x:v>835.9258360054</x:v>
      </x:c>
      <x:c r="M30" s="31" t="n">
        <x:v>528.8272263599999</x:v>
      </x:c>
      <x:c r="N30" s="24" t="str">
        <x:v>katsuwonus pelamis</x:v>
      </x:c>
      <x:c r="O30" s="32" t="n">
        <x:v>4.43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Katsuwonus pelamis</x:v>
      </x:c>
      <x:c r="T30" s="32" t="n">
        <x:f>IF(O30="","",(1/'Metadata'!$B$5)^(O30-1))</x:f>
        <x:v>2691.534803926914</x:v>
      </x:c>
      <x:c r="U30" s="31" t="n">
        <x:f>IF(T30="","",I30*T30)</x:f>
        <x:v>3673280.366122312</x:v>
      </x:c>
    </x:row>
    <x:row r="31" ht="18" customHeight="1">
      <x:c r="A31" s="24" t="str">
        <x:v>EEZ_450</x:v>
      </x:c>
      <x:c r="B31" s="24" t="str">
        <x:v>Madagascar</x:v>
      </x:c>
      <x:c r="C31" s="24" t="str">
        <x:v>EEZ</x:v>
      </x:c>
      <x:c r="D31" s="30" t="n">
        <x:v>2019</x:v>
      </x:c>
      <x:c r="E31" s="24" t="str">
        <x:v>Panulirus</x:v>
      </x:c>
      <x:c r="F31" s="24" t="str">
        <x:v>Spiny lobsters</x:v>
      </x:c>
      <x:c r="G31" s="24" t="str">
        <x:v>Lobsters, crabs</x:v>
      </x:c>
      <x:c r="H31" s="24" t="str">
        <x:v>Crustaceans</x:v>
      </x:c>
      <x:c r="I31" s="31" t="n">
        <x:v>1284.50042329</x:v>
      </x:c>
      <x:c r="J31" s="31" t="n">
        <x:v>1284.50042329</x:v>
      </x:c>
      <x:c r="K31" s="31" t="n">
        <x:v>0</x:v>
      </x:c>
      <x:c r="L31" s="31" t="n">
        <x:v>977.9999997401001</x:v>
      </x:c>
      <x:c r="M31" s="31" t="n">
        <x:v>306.5004235499</x:v>
      </x:c>
      <x:c r="N31" s="24" t="str">
        <x:v>panulirus</x:v>
      </x:c>
      <x:c r="O31" s="32" t="n">
        <x:v>2.6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Panulirus</x:v>
      </x:c>
      <x:c r="T31" s="32" t="n">
        <x:f>IF(O31="","",(1/'Metadata'!$B$5)^(O31-1))</x:f>
        <x:v>39.810717055349734</x:v>
      </x:c>
      <x:c r="U31" s="31" t="n">
        <x:f>IF(T31="","",I31*T31)</x:f>
        <x:v>51136.88290907516</x:v>
      </x:c>
    </x:row>
    <x:row r="32" ht="18" customHeight="1">
      <x:c r="A32" s="24" t="str">
        <x:v>EEZ_450</x:v>
      </x:c>
      <x:c r="B32" s="24" t="str">
        <x:v>Madagascar</x:v>
      </x:c>
      <x:c r="C32" s="24" t="str">
        <x:v>EEZ</x:v>
      </x:c>
      <x:c r="D32" s="30" t="n">
        <x:v>2019</x:v>
      </x:c>
      <x:c r="E32" s="24" t="str">
        <x:v>Thunnus tonggol</x:v>
      </x:c>
      <x:c r="F32" s="24" t="str">
        <x:v>Longtail tuna</x:v>
      </x:c>
      <x:c r="G32" s="24" t="str">
        <x:v>Large pelagics (&gt;=90 cm)</x:v>
      </x:c>
      <x:c r="H32" s="24" t="str">
        <x:v>Tuna &amp; billfishes</x:v>
      </x:c>
      <x:c r="I32" s="31" t="n">
        <x:v>1183.1555227299</x:v>
      </x:c>
      <x:c r="J32" s="31" t="n">
        <x:v>1183.1555227299</x:v>
      </x:c>
      <x:c r="K32" s="31" t="n">
        <x:v>0</x:v>
      </x:c>
      <x:c r="L32" s="31" t="n">
        <x:v>724.0101156049</x:v>
      </x:c>
      <x:c r="M32" s="31" t="n">
        <x:v>459.145407125</x:v>
      </x:c>
      <x:c r="N32" s="24" t="str">
        <x:v>thunnus tonggol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Thunnus tonggol</x:v>
      </x:c>
      <x:c r="T32" s="32" t="n">
        <x:f>IF(O32="","",(1/'Metadata'!$B$5)^(O32-1))</x:f>
        <x:v>3162.2776601683795</x:v>
      </x:c>
      <x:c r="U32" s="31" t="n">
        <x:f>IF(T32="","",I32*T32)</x:f>
        <x:v>3741466.278033604</x:v>
      </x:c>
    </x:row>
    <x:row r="33" ht="18" customHeight="1">
      <x:c r="A33" s="24" t="str">
        <x:v>EEZ_450</x:v>
      </x:c>
      <x:c r="B33" s="24" t="str">
        <x:v>Madagascar</x:v>
      </x:c>
      <x:c r="C33" s="24" t="str">
        <x:v>EEZ</x:v>
      </x:c>
      <x:c r="D33" s="30" t="n">
        <x:v>2019</x:v>
      </x:c>
      <x:c r="E33" s="24" t="str">
        <x:v>Otolithes ruber</x:v>
      </x:c>
      <x:c r="F33" s="24" t="str">
        <x:v>Tigertooth croaker</x:v>
      </x:c>
      <x:c r="G33" s="24" t="str">
        <x:v>Medium benthopelagics (30 - 89 cm)</x:v>
      </x:c>
      <x:c r="H33" s="24" t="str">
        <x:v>Perch-likes</x:v>
      </x:c>
      <x:c r="I33" s="31" t="n">
        <x:v>1024.2029703691</x:v>
      </x:c>
      <x:c r="J33" s="31" t="n">
        <x:v>1016.871405</x:v>
      </x:c>
      <x:c r="K33" s="31" t="n">
        <x:v>7.3315653691</x:v>
      </x:c>
      <x:c r="L33" s="31" t="n">
        <x:v>0</x:v>
      </x:c>
      <x:c r="M33" s="31" t="n">
        <x:v>1024.2029703691</x:v>
      </x:c>
      <x:c r="N33" s="24" t="str">
        <x:v>otolithes ruber</x:v>
      </x:c>
      <x:c r="O33" s="32" t="n">
        <x:v>3.6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Otolithes ruber</x:v>
      </x:c>
      <x:c r="T33" s="32" t="n">
        <x:f>IF(O33="","",(1/'Metadata'!$B$5)^(O33-1))</x:f>
        <x:v>398.1071705534973</x:v>
      </x:c>
      <x:c r="U33" s="31" t="n">
        <x:f>IF(T33="","",I33*T33)</x:f>
        <x:v>407742.5466061299</x:v>
      </x:c>
    </x:row>
    <x:row r="34" ht="18" customHeight="1">
      <x:c r="A34" s="24" t="str">
        <x:v>EEZ_450</x:v>
      </x:c>
      <x:c r="B34" s="24" t="str">
        <x:v>Madagascar</x:v>
      </x:c>
      <x:c r="C34" s="24" t="str">
        <x:v>EEZ</x:v>
      </x:c>
      <x:c r="D34" s="30" t="n">
        <x:v>2019</x:v>
      </x:c>
      <x:c r="E34" s="24" t="str">
        <x:v>Prionace glauca</x:v>
      </x:c>
      <x:c r="F34" s="24" t="str">
        <x:v>Blue shark</x:v>
      </x:c>
      <x:c r="G34" s="24" t="str">
        <x:v>Large sharks (&gt;=90 cm)</x:v>
      </x:c>
      <x:c r="H34" s="24" t="str">
        <x:v>Sharks &amp; rays</x:v>
      </x:c>
      <x:c r="I34" s="31" t="n">
        <x:v>959.3213826456999</x:v>
      </x:c>
      <x:c r="J34" s="31" t="n">
        <x:v>959.3213826456999</x:v>
      </x:c>
      <x:c r="K34" s="31" t="n">
        <x:v>0</x:v>
      </x:c>
      <x:c r="L34" s="31" t="n">
        <x:v>946.7228806657</x:v>
      </x:c>
      <x:c r="M34" s="31" t="n">
        <x:v>12.59850198</x:v>
      </x:c>
      <x:c r="N34" s="24" t="str">
        <x:v>prionace glauca</x:v>
      </x:c>
      <x:c r="O34" s="32" t="n">
        <x:v>4.35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Prionace glauca</x:v>
      </x:c>
      <x:c r="T34" s="32" t="n">
        <x:f>IF(O34="","",(1/'Metadata'!$B$5)^(O34-1))</x:f>
        <x:v>2238.7211385683377</x:v>
      </x:c>
      <x:c r="U34" s="31" t="n">
        <x:f>IF(T34="","",I34*T34)</x:f>
        <x:v>2147653.058009533</x:v>
      </x:c>
    </x:row>
    <x:row r="35" ht="18" customHeight="1">
      <x:c r="A35" s="24" t="str">
        <x:v>EEZ_450</x:v>
      </x:c>
      <x:c r="B35" s="24" t="str">
        <x:v>Madagascar</x:v>
      </x:c>
      <x:c r="C35" s="24" t="str">
        <x:v>EEZ</x:v>
      </x:c>
      <x:c r="D35" s="30" t="n">
        <x:v>2019</x:v>
      </x:c>
      <x:c r="E35" s="24" t="str">
        <x:v>Penaeidae</x:v>
      </x:c>
      <x:c r="F35" s="24" t="str">
        <x:v>Commercial shrimps and prawns</x:v>
      </x:c>
      <x:c r="G35" s="24" t="str">
        <x:v>Shrimps</x:v>
      </x:c>
      <x:c r="H35" s="24" t="str">
        <x:v>Crustaceans</x:v>
      </x:c>
      <x:c r="I35" s="31" t="n">
        <x:v>882.0001710299</x:v>
      </x:c>
      <x:c r="J35" s="31" t="n">
        <x:v>882.0001710299</x:v>
      </x:c>
      <x:c r="K35" s="31" t="n">
        <x:v>0</x:v>
      </x:c>
      <x:c r="L35" s="31" t="n">
        <x:v>753.0611792002</x:v>
      </x:c>
      <x:c r="M35" s="31" t="n">
        <x:v>128.9389918297</x:v>
      </x:c>
      <x:c r="N35" s="24" t="str">
        <x:v>penaeidae</x:v>
      </x:c>
      <x:c r="O35" s="32" t="n">
        <x:v>3.31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Penaeidae</x:v>
      </x:c>
      <x:c r="T35" s="32" t="n">
        <x:f>IF(O35="","",(1/'Metadata'!$B$5)^(O35-1))</x:f>
        <x:v>204.17379446695296</x:v>
      </x:c>
      <x:c r="U35" s="31" t="n">
        <x:f>IF(T35="","",I35*T35)</x:f>
        <x:v>180081.32163967617</x:v>
      </x:c>
    </x:row>
    <x:row r="36" ht="18" customHeight="1">
      <x:c r="A36" s="24" t="str">
        <x:v>EEZ_450</x:v>
      </x:c>
      <x:c r="B36" s="24" t="str">
        <x:v>Madagascar</x:v>
      </x:c>
      <x:c r="C36" s="24" t="str">
        <x:v>EEZ</x:v>
      </x:c>
      <x:c r="D36" s="30" t="n">
        <x:v>2019</x:v>
      </x:c>
      <x:c r="E36" s="24" t="str">
        <x:v>Nemipterus</x:v>
      </x:c>
      <x:c r="F36" s="24" t="str">
        <x:v>Threadfin breams</x:v>
      </x:c>
      <x:c r="G36" s="24" t="str">
        <x:v>Small demersals (&lt;30 cm)</x:v>
      </x:c>
      <x:c r="H36" s="24" t="str">
        <x:v>Perch-likes</x:v>
      </x:c>
      <x:c r="I36" s="31" t="n">
        <x:v>677.91427</x:v>
      </x:c>
      <x:c r="J36" s="31" t="n">
        <x:v>677.91427</x:v>
      </x:c>
      <x:c r="K36" s="31" t="n">
        <x:v>0</x:v>
      </x:c>
      <x:c r="L36" s="31" t="n">
        <x:v>0</x:v>
      </x:c>
      <x:c r="M36" s="31" t="n">
        <x:v>677.91427</x:v>
      </x:c>
      <x:c r="N36" s="24" t="str">
        <x:v>nemipterus</x:v>
      </x:c>
      <x:c r="O36" s="32" t="n">
        <x:v>3.72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Nemipterus</x:v>
      </x:c>
      <x:c r="T36" s="32" t="n">
        <x:f>IF(O36="","",(1/'Metadata'!$B$5)^(O36-1))</x:f>
        <x:v>524.8074602497728</x:v>
      </x:c>
      <x:c r="U36" s="31" t="n">
        <x:f>IF(T36="","",I36*T36)</x:f>
        <x:v>355774.46630577877</x:v>
      </x:c>
    </x:row>
    <x:row r="37" ht="18" customHeight="1">
      <x:c r="A37" s="24" t="str">
        <x:v>EEZ_450</x:v>
      </x:c>
      <x:c r="B37" s="24" t="str">
        <x:v>Madagascar</x:v>
      </x:c>
      <x:c r="C37" s="24" t="str">
        <x:v>EEZ</x:v>
      </x:c>
      <x:c r="D37" s="30" t="n">
        <x:v>2019</x:v>
      </x:c>
      <x:c r="E37" s="24" t="str">
        <x:v>Auxis</x:v>
      </x:c>
      <x:c r="F37" s="24" t="str">
        <x:v>Bullet and frigate tunas</x:v>
      </x:c>
      <x:c r="G37" s="24" t="str">
        <x:v>Medium pelagics (30 - 89 cm)</x:v>
      </x:c>
      <x:c r="H37" s="24" t="str">
        <x:v>Tuna &amp; billfishes</x:v>
      </x:c>
      <x:c r="I37" s="31" t="n">
        <x:v>597.3207073214</x:v>
      </x:c>
      <x:c r="J37" s="31" t="n">
        <x:v>597.3207073214</x:v>
      </x:c>
      <x:c r="K37" s="31" t="n">
        <x:v>0</x:v>
      </x:c>
      <x:c r="L37" s="31" t="n">
        <x:v>369.0163612714</x:v>
      </x:c>
      <x:c r="M37" s="31" t="n">
        <x:v>228.30434605000002</x:v>
      </x:c>
      <x:c r="N37" s="24" t="str">
        <x:v>auxis</x:v>
      </x:c>
      <x:c r="O37" s="32" t="n">
        <x:v>4.24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Auxis</x:v>
      </x:c>
      <x:c r="T37" s="32" t="n">
        <x:f>IF(O37="","",(1/'Metadata'!$B$5)^(O37-1))</x:f>
        <x:v>1737.8008287493763</x:v>
      </x:c>
      <x:c r="U37" s="31" t="n">
        <x:f>IF(T37="","",I37*T37)</x:f>
        <x:v>1038024.4202122926</x:v>
      </x:c>
    </x:row>
    <x:row r="38" ht="18" customHeight="1">
      <x:c r="A38" s="24" t="str">
        <x:v>EEZ_450</x:v>
      </x:c>
      <x:c r="B38" s="24" t="str">
        <x:v>Madagascar</x:v>
      </x:c>
      <x:c r="C38" s="24" t="str">
        <x:v>EEZ</x:v>
      </x:c>
      <x:c r="D38" s="30" t="n">
        <x:v>2019</x:v>
      </x:c>
      <x:c r="E38" s="24" t="str">
        <x:v>Sciaenidae</x:v>
      </x:c>
      <x:c r="F38" s="24" t="str">
        <x:v>Drums, croakers</x:v>
      </x:c>
      <x:c r="G38" s="24" t="str">
        <x:v>Medium demersals (30 - 89 cm)</x:v>
      </x:c>
      <x:c r="H38" s="24" t="str">
        <x:v>Perch-likes</x:v>
      </x:c>
      <x:c r="I38" s="31" t="n">
        <x:v>434.4234232952</x:v>
      </x:c>
      <x:c r="J38" s="31" t="n">
        <x:v>434.4234232952</x:v>
      </x:c>
      <x:c r="K38" s="31" t="n">
        <x:v>0</x:v>
      </x:c>
      <x:c r="L38" s="31" t="n">
        <x:v>276.9292560993</x:v>
      </x:c>
      <x:c r="M38" s="31" t="n">
        <x:v>157.4941671959</x:v>
      </x:c>
      <x:c r="N38" s="24" t="str">
        <x:v>sciaenidae</x:v>
      </x:c>
      <x:c r="O38" s="32" t="n">
        <x:v>3.76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Sciaenidae</x:v>
      </x:c>
      <x:c r="T38" s="32" t="n">
        <x:f>IF(O38="","",(1/'Metadata'!$B$5)^(O38-1))</x:f>
        <x:v>575.4399373371566</x:v>
      </x:c>
      <x:c r="U38" s="31" t="n">
        <x:f>IF(T38="","",I38*T38)</x:f>
        <x:v>249984.58747878295</x:v>
      </x:c>
    </x:row>
    <x:row r="39" ht="18" customHeight="1">
      <x:c r="A39" s="24" t="str">
        <x:v>EEZ_450</x:v>
      </x:c>
      <x:c r="B39" s="24" t="str">
        <x:v>Madagascar</x:v>
      </x:c>
      <x:c r="C39" s="24" t="str">
        <x:v>EEZ</x:v>
      </x:c>
      <x:c r="D39" s="30" t="n">
        <x:v>2019</x:v>
      </x:c>
      <x:c r="E39" s="24" t="str">
        <x:v>Nemipteridae</x:v>
      </x:c>
      <x:c r="F39" s="24" t="str">
        <x:v>Threadfins, whiptail breams</x:v>
      </x:c>
      <x:c r="G39" s="24" t="str">
        <x:v>Small demersals (&lt;30 cm)</x:v>
      </x:c>
      <x:c r="H39" s="24" t="str">
        <x:v>Perch-likes</x:v>
      </x:c>
      <x:c r="I39" s="31" t="n">
        <x:v>378.0990867449</x:v>
      </x:c>
      <x:c r="J39" s="31" t="n">
        <x:v>378.0990867449</x:v>
      </x:c>
      <x:c r="K39" s="31" t="n">
        <x:v>0</x:v>
      </x:c>
      <x:c r="L39" s="31" t="n">
        <x:v>239.13364509550001</x:v>
      </x:c>
      <x:c r="M39" s="31" t="n">
        <x:v>138.9654416494</x:v>
      </x:c>
      <x:c r="N39" s="24" t="str">
        <x:v>nemipteridae</x:v>
      </x:c>
      <x:c r="O39" s="32" t="n">
        <x:v>3.51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Nemipteridae</x:v>
      </x:c>
      <x:c r="T39" s="32" t="n">
        <x:f>IF(O39="","",(1/'Metadata'!$B$5)^(O39-1))</x:f>
        <x:v>323.5936569296281</x:v>
      </x:c>
      <x:c r="U39" s="31" t="n">
        <x:f>IF(T39="","",I39*T39)</x:f>
        <x:v>122350.46616153485</x:v>
      </x:c>
    </x:row>
    <x:row r="40" ht="18" customHeight="1">
      <x:c r="A40" s="24" t="str">
        <x:v>EEZ_450</x:v>
      </x:c>
      <x:c r="B40" s="24" t="str">
        <x:v>Madagascar</x:v>
      </x:c>
      <x:c r="C40" s="24" t="str">
        <x:v>EEZ</x:v>
      </x:c>
      <x:c r="D40" s="30" t="n">
        <x:v>2019</x:v>
      </x:c>
      <x:c r="E40" s="24" t="str">
        <x:v>Thunnus obesus</x:v>
      </x:c>
      <x:c r="F40" s="24" t="str">
        <x:v>Bigeye tuna</x:v>
      </x:c>
      <x:c r="G40" s="24" t="str">
        <x:v>Large pelagics (&gt;=90 cm)</x:v>
      </x:c>
      <x:c r="H40" s="24" t="str">
        <x:v>Tuna &amp; billfishes</x:v>
      </x:c>
      <x:c r="I40" s="31" t="n">
        <x:v>362.3139203356</x:v>
      </x:c>
      <x:c r="J40" s="31" t="n">
        <x:v>362.3139203356</x:v>
      </x:c>
      <x:c r="K40" s="31" t="n">
        <x:v>0</x:v>
      </x:c>
      <x:c r="L40" s="31" t="n">
        <x:v>314.7165823357</x:v>
      </x:c>
      <x:c r="M40" s="31" t="n">
        <x:v>47.5973379999</x:v>
      </x:c>
      <x:c r="N40" s="24" t="str">
        <x:v>thunnus obesus</x:v>
      </x:c>
      <x:c r="O40" s="32" t="n">
        <x:v>4.49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obesus</x:v>
      </x:c>
      <x:c r="T40" s="32" t="n">
        <x:f>IF(O40="","",(1/'Metadata'!$B$5)^(O40-1))</x:f>
        <x:v>3090.295432513592</x:v>
      </x:c>
      <x:c r="U40" s="31" t="n">
        <x:f>IF(T40="","",I40*T40)</x:f>
        <x:v>1119657.0531491982</x:v>
      </x:c>
    </x:row>
    <x:row r="41" ht="18" customHeight="1">
      <x:c r="A41" s="24" t="str">
        <x:v>EEZ_450</x:v>
      </x:c>
      <x:c r="B41" s="24" t="str">
        <x:v>Madagascar</x:v>
      </x:c>
      <x:c r="C41" s="24" t="str">
        <x:v>EEZ</x:v>
      </x:c>
      <x:c r="D41" s="30" t="n">
        <x:v>2019</x:v>
      </x:c>
      <x:c r="E41" s="24" t="str">
        <x:v>Pomadasys argenteus</x:v>
      </x:c>
      <x:c r="F41" s="24" t="str">
        <x:v>Silver grunt</x:v>
      </x:c>
      <x:c r="G41" s="24" t="str">
        <x:v>Medium demersals (30 - 89 cm)</x:v>
      </x:c>
      <x:c r="H41" s="24" t="str">
        <x:v>Perch-likes</x:v>
      </x:c>
      <x:c r="I41" s="31" t="n">
        <x:v>338.957135</x:v>
      </x:c>
      <x:c r="J41" s="31" t="n">
        <x:v>338.957135</x:v>
      </x:c>
      <x:c r="K41" s="31" t="n">
        <x:v>0</x:v>
      </x:c>
      <x:c r="L41" s="31" t="n">
        <x:v>0</x:v>
      </x:c>
      <x:c r="M41" s="31" t="n">
        <x:v>338.957135</x:v>
      </x:c>
      <x:c r="N41" s="24" t="str">
        <x:v>pomadasys argenteus</x:v>
      </x:c>
      <x:c r="O41" s="32" t="n">
        <x:v>3.47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Pomadasys argenteus</x:v>
      </x:c>
      <x:c r="T41" s="32" t="n">
        <x:f>IF(O41="","",(1/'Metadata'!$B$5)^(O41-1))</x:f>
        <x:v>295.1209226666387</x:v>
      </x:c>
      <x:c r="U41" s="31" t="n">
        <x:f>IF(T41="","",I41*T41)</x:f>
        <x:v>100033.34242564041</x:v>
      </x:c>
    </x:row>
    <x:row r="42" ht="18" customHeight="1">
      <x:c r="A42" s="24" t="str">
        <x:v>EEZ_450</x:v>
      </x:c>
      <x:c r="B42" s="24" t="str">
        <x:v>Madagascar</x:v>
      </x:c>
      <x:c r="C42" s="24" t="str">
        <x:v>EEZ</x:v>
      </x:c>
      <x:c r="D42" s="30" t="n">
        <x:v>2019</x:v>
      </x:c>
      <x:c r="E42" s="24" t="str">
        <x:v>Sphyrna</x:v>
      </x:c>
      <x:c r="F42" s="24" t="str">
        <x:v>Hammerhead sharks</x:v>
      </x:c>
      <x:c r="G42" s="24" t="str">
        <x:v>Large sharks (&gt;=90 cm)</x:v>
      </x:c>
      <x:c r="H42" s="24" t="str">
        <x:v>Sharks &amp; rays</x:v>
      </x:c>
      <x:c r="I42" s="31" t="n">
        <x:v>289.1499293007</x:v>
      </x:c>
      <x:c r="J42" s="31" t="n">
        <x:v>289.1499293007</x:v>
      </x:c>
      <x:c r="K42" s="31" t="n">
        <x:v>0</x:v>
      </x:c>
      <x:c r="L42" s="31" t="n">
        <x:v>34.9412200006</x:v>
      </x:c>
      <x:c r="M42" s="31" t="n">
        <x:v>254.2087093001</x:v>
      </x:c>
      <x:c r="N42" s="24" t="str">
        <x:v>sphyrna</x:v>
      </x:c>
      <x:c r="O42" s="32" t="n">
        <x:v>4.2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Sphyrna</x:v>
      </x:c>
      <x:c r="T42" s="32" t="n">
        <x:f>IF(O42="","",(1/'Metadata'!$B$5)^(O42-1))</x:f>
        <x:v>1584.893192461114</x:v>
      </x:c>
      <x:c r="U42" s="31" t="n">
        <x:f>IF(T42="","",I42*T42)</x:f>
        <x:v>458271.75454929186</x:v>
      </x:c>
    </x:row>
    <x:row r="43" ht="18" customHeight="1">
      <x:c r="A43" s="24" t="str">
        <x:v>EEZ_450</x:v>
      </x:c>
      <x:c r="B43" s="24" t="str">
        <x:v>Madagascar</x:v>
      </x:c>
      <x:c r="C43" s="24" t="str">
        <x:v>EEZ</x:v>
      </x:c>
      <x:c r="D43" s="30" t="n">
        <x:v>2019</x:v>
      </x:c>
      <x:c r="E43" s="24" t="str">
        <x:v>Thunnus alalunga</x:v>
      </x:c>
      <x:c r="F43" s="24" t="str">
        <x:v>Albacore</x:v>
      </x:c>
      <x:c r="G43" s="24" t="str">
        <x:v>Large pelagics (&gt;=90 cm)</x:v>
      </x:c>
      <x:c r="H43" s="24" t="str">
        <x:v>Tuna &amp; billfishes</x:v>
      </x:c>
      <x:c r="I43" s="31" t="n">
        <x:v>266.0471313708</x:v>
      </x:c>
      <x:c r="J43" s="31" t="n">
        <x:v>266.0471313708</x:v>
      </x:c>
      <x:c r="K43" s="31" t="n">
        <x:v>0</x:v>
      </x:c>
      <x:c r="L43" s="31" t="n">
        <x:v>203.72212750469998</x:v>
      </x:c>
      <x:c r="M43" s="31" t="n">
        <x:v>62.325003866100005</x:v>
      </x:c>
      <x:c r="N43" s="24" t="str">
        <x:v>thunnus alalunga</x:v>
      </x:c>
      <x:c r="O43" s="32" t="n">
        <x:v>4.3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Thunnus alalunga</x:v>
      </x:c>
      <x:c r="T43" s="32" t="n">
        <x:f>IF(O43="","",(1/'Metadata'!$B$5)^(O43-1))</x:f>
        <x:v>1995.2623149688789</x:v>
      </x:c>
      <x:c r="U43" s="31" t="n">
        <x:f>IF(T43="","",I43*T43)</x:f>
        <x:v>530833.8152297318</x:v>
      </x:c>
    </x:row>
    <x:row r="44" ht="18" customHeight="1">
      <x:c r="A44" s="24" t="str">
        <x:v>EEZ_450</x:v>
      </x:c>
      <x:c r="B44" s="24" t="str">
        <x:v>Madagascar</x:v>
      </x:c>
      <x:c r="C44" s="24" t="str">
        <x:v>EEZ</x:v>
      </x:c>
      <x:c r="D44" s="30" t="n">
        <x:v>2019</x:v>
      </x:c>
      <x:c r="E44" s="24" t="str">
        <x:v>Chondrichthyes</x:v>
      </x:c>
      <x:c r="F44" s="24" t="str">
        <x:v>Sharks, rays, chimaeras</x:v>
      </x:c>
      <x:c r="G44" s="24" t="str">
        <x:v>Large sharks (&gt;=90 cm)</x:v>
      </x:c>
      <x:c r="H44" s="24" t="str">
        <x:v>Sharks &amp; rays</x:v>
      </x:c>
      <x:c r="I44" s="31" t="n">
        <x:v>169.2137409603</x:v>
      </x:c>
      <x:c r="J44" s="31" t="n">
        <x:v>169.2137409603</x:v>
      </x:c>
      <x:c r="K44" s="31" t="n">
        <x:v>0</x:v>
      </x:c>
      <x:c r="L44" s="31" t="n">
        <x:v>169.2137409603</x:v>
      </x:c>
      <x:c r="M44" s="31" t="n">
        <x:v>0</x:v>
      </x:c>
      <x:c r="N44" s="24" t="str">
        <x:v>chondrichthyes</x:v>
      </x:c>
      <x:c r="O44" s="32" t="n">
        <x:v>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Chondrichthyes</x:v>
      </x:c>
      <x:c r="T44" s="32" t="n">
        <x:f>IF(O44="","",(1/'Metadata'!$B$5)^(O44-1))</x:f>
        <x:v>1000</x:v>
      </x:c>
      <x:c r="U44" s="31" t="n">
        <x:f>IF(T44="","",I44*T44)</x:f>
        <x:v>169213.7409603</x:v>
      </x:c>
    </x:row>
    <x:row r="45" ht="18" customHeight="1">
      <x:c r="A45" s="24" t="str">
        <x:v>EEZ_450</x:v>
      </x:c>
      <x:c r="B45" s="24" t="str">
        <x:v>Madagascar</x:v>
      </x:c>
      <x:c r="C45" s="24" t="str">
        <x:v>EEZ</x:v>
      </x:c>
      <x:c r="D45" s="30" t="n">
        <x:v>2019</x:v>
      </x:c>
      <x:c r="E45" s="24" t="str">
        <x:v>Carcharhinus amblyrhynchos</x:v>
      </x:c>
      <x:c r="F45" s="24" t="str">
        <x:v>Blacktail reef shark</x:v>
      </x:c>
      <x:c r="G45" s="24" t="str">
        <x:v>Large sharks (&gt;=90 cm)</x:v>
      </x:c>
      <x:c r="H45" s="24" t="str">
        <x:v>Sharks &amp; rays</x:v>
      </x:c>
      <x:c r="I45" s="31" t="n">
        <x:v>156.66082274250002</x:v>
      </x:c>
      <x:c r="J45" s="31" t="n">
        <x:v>156.66082274250002</x:v>
      </x:c>
      <x:c r="K45" s="31" t="n">
        <x:v>0</x:v>
      </x:c>
      <x:c r="L45" s="31" t="n">
        <x:v>18.9644385222</x:v>
      </x:c>
      <x:c r="M45" s="31" t="n">
        <x:v>137.6963842203</x:v>
      </x:c>
      <x:c r="N45" s="24" t="str">
        <x:v>carcharhinus amblyrhynchos</x:v>
      </x:c>
      <x:c r="O45" s="32" t="n">
        <x:v>4.11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Carcharhinus amblyrhynchos</x:v>
      </x:c>
      <x:c r="T45" s="32" t="n">
        <x:f>IF(O45="","",(1/'Metadata'!$B$5)^(O45-1))</x:f>
        <x:v>1288.249551693135</x:v>
      </x:c>
      <x:c r="U45" s="31" t="n">
        <x:f>IF(T45="","",I45*T45)</x:f>
        <x:v>201818.23466590332</x:v>
      </x:c>
    </x:row>
    <x:row r="46" ht="18" customHeight="1">
      <x:c r="A46" s="24" t="str">
        <x:v>EEZ_450</x:v>
      </x:c>
      <x:c r="B46" s="24" t="str">
        <x:v>Madagascar</x:v>
      </x:c>
      <x:c r="C46" s="24" t="str">
        <x:v>EEZ</x:v>
      </x:c>
      <x:c r="D46" s="30" t="n">
        <x:v>2019</x:v>
      </x:c>
      <x:c r="E46" s="24" t="str">
        <x:v>Trichiurus lepturus</x:v>
      </x:c>
      <x:c r="F46" s="24" t="str">
        <x:v>Largehead hairtail</x:v>
      </x:c>
      <x:c r="G46" s="24" t="str">
        <x:v>Large benthopelagics (&gt;=90 cm)</x:v>
      </x:c>
      <x:c r="H46" s="24" t="str">
        <x:v>Perch-likes</x:v>
      </x:c>
      <x:c r="I46" s="31" t="n">
        <x:v>156.17253947490002</x:v>
      </x:c>
      <x:c r="J46" s="31" t="n">
        <x:v>156.17253947490002</x:v>
      </x:c>
      <x:c r="K46" s="31" t="n">
        <x:v>0</x:v>
      </x:c>
      <x:c r="L46" s="31" t="n">
        <x:v>156.17253947490002</x:v>
      </x:c>
      <x:c r="M46" s="31" t="n">
        <x:v>0</x:v>
      </x:c>
      <x:c r="N46" s="24" t="str">
        <x:v>trichiurus lepturus</x:v>
      </x:c>
      <x:c r="O46" s="32" t="n">
        <x:v>4.42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Trichiurus lepturus</x:v>
      </x:c>
      <x:c r="T46" s="32" t="n">
        <x:f>IF(O46="","",(1/'Metadata'!$B$5)^(O46-1))</x:f>
        <x:v>2630.2679918953813</x:v>
      </x:c>
      <x:c r="U46" s="31" t="n">
        <x:f>IF(T46="","",I46*T46)</x:f>
        <x:v>410775.6317938474</x:v>
      </x:c>
    </x:row>
    <x:row r="47" ht="18" customHeight="1">
      <x:c r="A47" s="24" t="str">
        <x:v>EEZ_450</x:v>
      </x:c>
      <x:c r="B47" s="24" t="str">
        <x:v>Madagascar</x:v>
      </x:c>
      <x:c r="C47" s="24" t="str">
        <x:v>EEZ</x:v>
      </x:c>
      <x:c r="D47" s="30" t="n">
        <x:v>2019</x:v>
      </x:c>
      <x:c r="E47" s="24" t="str">
        <x:v>Carcharhinus melanopterus</x:v>
      </x:c>
      <x:c r="F47" s="24" t="str">
        <x:v>Blacktip reef shark</x:v>
      </x:c>
      <x:c r="G47" s="24" t="str">
        <x:v>Large sharks (&gt;=90 cm)</x:v>
      </x:c>
      <x:c r="H47" s="24" t="str">
        <x:v>Sharks &amp; rays</x:v>
      </x:c>
      <x:c r="I47" s="31" t="n">
        <x:v>142.021146</x:v>
      </x:c>
      <x:c r="J47" s="31" t="n">
        <x:v>142.021146</x:v>
      </x:c>
      <x:c r="K47" s="31" t="n">
        <x:v>0</x:v>
      </x:c>
      <x:c r="L47" s="31" t="n">
        <x:v>0</x:v>
      </x:c>
      <x:c r="M47" s="31" t="n">
        <x:v>142.021146</x:v>
      </x:c>
      <x:c r="N47" s="24" t="str">
        <x:v>carcharhinus melanopterus</x:v>
      </x:c>
      <x:c r="O47" s="32" t="n">
        <x:v>3.94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Carcharhinus melanopterus</x:v>
      </x:c>
      <x:c r="T47" s="32" t="n">
        <x:f>IF(O47="","",(1/'Metadata'!$B$5)^(O47-1))</x:f>
        <x:v>870.9635899560806</x:v>
      </x:c>
      <x:c r="U47" s="31" t="n">
        <x:f>IF(T47="","",I47*T47)</x:f>
        <x:v>123695.24716983664</x:v>
      </x:c>
    </x:row>
    <x:row r="48" ht="18" customHeight="1">
      <x:c r="A48" s="24" t="str">
        <x:v>EEZ_450</x:v>
      </x:c>
      <x:c r="B48" s="24" t="str">
        <x:v>Madagascar</x:v>
      </x:c>
      <x:c r="C48" s="24" t="str">
        <x:v>EEZ</x:v>
      </x:c>
      <x:c r="D48" s="30" t="n">
        <x:v>2019</x:v>
      </x:c>
      <x:c r="E48" s="24" t="str">
        <x:v>Xiphias gladius</x:v>
      </x:c>
      <x:c r="F48" s="24" t="str">
        <x:v>Swordfish</x:v>
      </x:c>
      <x:c r="G48" s="24" t="str">
        <x:v>Large pelagics (&gt;=90 cm)</x:v>
      </x:c>
      <x:c r="H48" s="24" t="str">
        <x:v>Tuna &amp; billfishes</x:v>
      </x:c>
      <x:c r="I48" s="31" t="n">
        <x:v>120.34751524650001</x:v>
      </x:c>
      <x:c r="J48" s="31" t="n">
        <x:v>120.34751524650001</x:v>
      </x:c>
      <x:c r="K48" s="31" t="n">
        <x:v>0</x:v>
      </x:c>
      <x:c r="L48" s="31" t="n">
        <x:v>72.4720842475</x:v>
      </x:c>
      <x:c r="M48" s="31" t="n">
        <x:v>47.875430999</x:v>
      </x:c>
      <x:c r="N48" s="24" t="str">
        <x:v>xiphias gladius</x:v>
      </x:c>
      <x:c r="O48" s="32" t="n">
        <x:v>4.53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Xiphias gladius</x:v>
      </x:c>
      <x:c r="T48" s="32" t="n">
        <x:f>IF(O48="","",(1/'Metadata'!$B$5)^(O48-1))</x:f>
        <x:v>3388.4415613920273</x:v>
      </x:c>
      <x:c r="U48" s="31" t="n">
        <x:f>IF(T48="","",I48*T48)</x:f>
        <x:v>407790.5224715013</x:v>
      </x:c>
    </x:row>
    <x:row r="49" ht="18" customHeight="1">
      <x:c r="A49" s="24" t="str">
        <x:v>EEZ_450</x:v>
      </x:c>
      <x:c r="B49" s="24" t="str">
        <x:v>Madagascar</x:v>
      </x:c>
      <x:c r="C49" s="24" t="str">
        <x:v>EEZ</x:v>
      </x:c>
      <x:c r="D49" s="30" t="n">
        <x:v>2019</x:v>
      </x:c>
      <x:c r="E49" s="24" t="str">
        <x:v>Sepia</x:v>
      </x:c>
      <x:c r="F49" s="24" t="str">
        <x:v>Sepia cuttlefishes</x:v>
      </x:c>
      <x:c r="G49" s="24" t="str">
        <x:v>Cephalopods</x:v>
      </x:c>
      <x:c r="H49" s="24" t="str">
        <x:v>Other fishes &amp; inverts</x:v>
      </x:c>
      <x:c r="I49" s="31" t="n">
        <x:v>119.537663329</x:v>
      </x:c>
      <x:c r="J49" s="31" t="n">
        <x:v>119.537663329</x:v>
      </x:c>
      <x:c r="K49" s="31" t="n">
        <x:v>0</x:v>
      </x:c>
      <x:c r="L49" s="31" t="n">
        <x:v>119.537663329</x:v>
      </x:c>
      <x:c r="M49" s="31" t="n">
        <x:v>0</x:v>
      </x:c>
      <x:c r="N49" s="24" t="str">
        <x:v>sepia</x:v>
      </x:c>
      <x:c r="O49" s="32" t="n">
        <x:v>3.69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Sepia</x:v>
      </x:c>
      <x:c r="T49" s="32" t="n">
        <x:f>IF(O49="","",(1/'Metadata'!$B$5)^(O49-1))</x:f>
        <x:v>489.77881936844614</x:v>
      </x:c>
      <x:c r="U49" s="31" t="n">
        <x:f>IF(T49="","",I49*T49)</x:f>
        <x:v>58547.01561534042</x:v>
      </x:c>
    </x:row>
    <x:row r="50" ht="18" customHeight="1">
      <x:c r="A50" s="24" t="str">
        <x:v>EEZ_450</x:v>
      </x:c>
      <x:c r="B50" s="24" t="str">
        <x:v>Madagascar</x:v>
      </x:c>
      <x:c r="C50" s="24" t="str">
        <x:v>EEZ</x:v>
      </x:c>
      <x:c r="D50" s="30" t="n">
        <x:v>2019</x:v>
      </x:c>
      <x:c r="E50" s="24" t="str">
        <x:v>Isurus oxyrinchus</x:v>
      </x:c>
      <x:c r="F50" s="24" t="str">
        <x:v>Shortfin mako</x:v>
      </x:c>
      <x:c r="G50" s="24" t="str">
        <x:v>Large sharks (&gt;=90 cm)</x:v>
      </x:c>
      <x:c r="H50" s="24" t="str">
        <x:v>Sharks &amp; rays</x:v>
      </x:c>
      <x:c r="I50" s="31" t="n">
        <x:v>109.6740781643</x:v>
      </x:c>
      <x:c r="J50" s="31" t="n">
        <x:v>109.6740781643</x:v>
      </x:c>
      <x:c r="K50" s="31" t="n">
        <x:v>0</x:v>
      </x:c>
      <x:c r="L50" s="31" t="n">
        <x:v>109.6740781643</x:v>
      </x:c>
      <x:c r="M50" s="31" t="n">
        <x:v>0</x:v>
      </x:c>
      <x:c r="N50" s="24" t="str">
        <x:v>isurus oxyrinchus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Isurus oxyrinchus</x:v>
      </x:c>
      <x:c r="T50" s="32" t="n">
        <x:f>IF(O50="","",(1/'Metadata'!$B$5)^(O50-1))</x:f>
        <x:v>3162.2776601683795</x:v>
      </x:c>
      <x:c r="U50" s="31" t="n">
        <x:f>IF(T50="","",I50*T50)</x:f>
        <x:v>346819.88727852656</x:v>
      </x:c>
    </x:row>
    <x:row r="51" ht="18" customHeight="1">
      <x:c r="A51" s="24" t="str">
        <x:v>EEZ_450</x:v>
      </x:c>
      <x:c r="B51" s="24" t="str">
        <x:v>Madagascar</x:v>
      </x:c>
      <x:c r="C51" s="24" t="str">
        <x:v>EEZ</x:v>
      </x:c>
      <x:c r="D51" s="30" t="n">
        <x:v>2019</x:v>
      </x:c>
      <x:c r="E51" s="24" t="str">
        <x:v>Galeocerdo cuvier</x:v>
      </x:c>
      <x:c r="F51" s="24" t="str">
        <x:v>Tiger shark</x:v>
      </x:c>
      <x:c r="G51" s="24" t="str">
        <x:v>Large sharks (&gt;=90 cm)</x:v>
      </x:c>
      <x:c r="H51" s="24" t="str">
        <x:v>Sharks &amp; rays</x:v>
      </x:c>
      <x:c r="I51" s="31" t="n">
        <x:v>108.4921820128</x:v>
      </x:c>
      <x:c r="J51" s="31" t="n">
        <x:v>108.4921820128</x:v>
      </x:c>
      <x:c r="K51" s="31" t="n">
        <x:v>0</x:v>
      </x:c>
      <x:c r="L51" s="31" t="n">
        <x:v>13.1639160158</x:v>
      </x:c>
      <x:c r="M51" s="31" t="n">
        <x:v>95.328265997</x:v>
      </x:c>
      <x:c r="N51" s="24" t="str">
        <x:v>galeocerdo cuvier</x:v>
      </x:c>
      <x:c r="O51" s="32" t="n">
        <x:v>4.54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Galeocerdo cuvier</x:v>
      </x:c>
      <x:c r="T51" s="32" t="n">
        <x:f>IF(O51="","",(1/'Metadata'!$B$5)^(O51-1))</x:f>
        <x:v>3467.368504525317</x:v>
      </x:c>
      <x:c r="U51" s="31" t="n">
        <x:f>IF(T51="","",I51*T51)</x:f>
        <x:v>376182.3748984108</x:v>
      </x:c>
    </x:row>
    <x:row r="52" ht="18" customHeight="1">
      <x:c r="A52" s="24" t="str">
        <x:v>EEZ_450</x:v>
      </x:c>
      <x:c r="B52" s="24" t="str">
        <x:v>Madagascar</x:v>
      </x:c>
      <x:c r="C52" s="24" t="str">
        <x:v>EEZ</x:v>
      </x:c>
      <x:c r="D52" s="30" t="n">
        <x:v>2019</x:v>
      </x:c>
      <x:c r="E52" s="24" t="str">
        <x:v>Cnidaria</x:v>
      </x:c>
      <x:c r="F52" s="24" t="str">
        <x:v>Cnidarians, coelenterates</x:v>
      </x:c>
      <x:c r="G52" s="24" t="str">
        <x:v>Jellyfish</x:v>
      </x:c>
      <x:c r="H52" s="24" t="str">
        <x:v>Other fishes &amp; inverts</x:v>
      </x:c>
      <x:c r="I52" s="31" t="n">
        <x:v>99.7536930839</x:v>
      </x:c>
      <x:c r="J52" s="31" t="n">
        <x:v>99.7536930839</x:v>
      </x:c>
      <x:c r="K52" s="31" t="n">
        <x:v>0</x:v>
      </x:c>
      <x:c r="L52" s="31" t="n">
        <x:v>99.7536930839</x:v>
      </x:c>
      <x:c r="M52" s="31" t="n">
        <x:v>0</x:v>
      </x:c>
      <x:c r="N52" s="24" t="str">
        <x:v>cnidaria</x:v>
      </x:c>
      <x:c r="O52" s="32" t="n">
        <x:v>2.5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Cnidaria</x:v>
      </x:c>
      <x:c r="T52" s="32" t="n">
        <x:f>IF(O52="","",(1/'Metadata'!$B$5)^(O52-1))</x:f>
        <x:v>31.622776601683793</x:v>
      </x:c>
      <x:c r="U52" s="31" t="n">
        <x:f>IF(T52="","",I52*T52)</x:f>
        <x:v>3154.488751585099</x:v>
      </x:c>
    </x:row>
    <x:row r="53" ht="18" customHeight="1">
      <x:c r="A53" s="24" t="str">
        <x:v>EEZ_450</x:v>
      </x:c>
      <x:c r="B53" s="24" t="str">
        <x:v>Madagascar</x:v>
      </x:c>
      <x:c r="C53" s="24" t="str">
        <x:v>EEZ</x:v>
      </x:c>
      <x:c r="D53" s="30" t="n">
        <x:v>2019</x:v>
      </x:c>
      <x:c r="E53" s="24" t="str">
        <x:v>Carcharhinus falciformis</x:v>
      </x:c>
      <x:c r="F53" s="24" t="str">
        <x:v>Silky shark</x:v>
      </x:c>
      <x:c r="G53" s="24" t="str">
        <x:v>Large sharks (&gt;=90 cm)</x:v>
      </x:c>
      <x:c r="H53" s="24" t="str">
        <x:v>Sharks &amp; rays</x:v>
      </x:c>
      <x:c r="I53" s="31" t="n">
        <x:v>86.0423391531</x:v>
      </x:c>
      <x:c r="J53" s="31" t="n">
        <x:v>86.0423391531</x:v>
      </x:c>
      <x:c r="K53" s="31" t="n">
        <x:v>0</x:v>
      </x:c>
      <x:c r="L53" s="31" t="n">
        <x:v>86.0423391531</x:v>
      </x:c>
      <x:c r="M53" s="31" t="n">
        <x:v>0</x:v>
      </x:c>
      <x:c r="N53" s="24" t="str">
        <x:v>carcharhinus falciformis</x:v>
      </x:c>
      <x:c r="O53" s="32" t="n">
        <x:v>4.51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Carcharhinus falciformis</x:v>
      </x:c>
      <x:c r="T53" s="32" t="n">
        <x:f>IF(O53="","",(1/'Metadata'!$B$5)^(O53-1))</x:f>
        <x:v>3235.936569296281</x:v>
      </x:c>
      <x:c r="U53" s="31" t="n">
        <x:f>IF(T53="","",I53*T53)</x:f>
        <x:v>278427.5517733095</x:v>
      </x:c>
    </x:row>
    <x:row r="54" ht="18" customHeight="1">
      <x:c r="A54" s="24" t="str">
        <x:v>EEZ_450</x:v>
      </x:c>
      <x:c r="B54" s="24" t="str">
        <x:v>Madagascar</x:v>
      </x:c>
      <x:c r="C54" s="24" t="str">
        <x:v>EEZ</x:v>
      </x:c>
      <x:c r="D54" s="30" t="n">
        <x:v>2019</x:v>
      </x:c>
      <x:c r="E54" s="24" t="str">
        <x:v>Coryphaena hippurus</x:v>
      </x:c>
      <x:c r="F54" s="24" t="str">
        <x:v>Common dolphinfish</x:v>
      </x:c>
      <x:c r="G54" s="24" t="str">
        <x:v>Large pelagics (&gt;=90 cm)</x:v>
      </x:c>
      <x:c r="H54" s="24" t="str">
        <x:v>Perch-likes</x:v>
      </x:c>
      <x:c r="I54" s="31" t="n">
        <x:v>22.6278716416</x:v>
      </x:c>
      <x:c r="J54" s="31" t="n">
        <x:v>22.6278716416</x:v>
      </x:c>
      <x:c r="K54" s="31" t="n">
        <x:v>0</x:v>
      </x:c>
      <x:c r="L54" s="31" t="n">
        <x:v>22.6278716416</x:v>
      </x:c>
      <x:c r="M54" s="31" t="n">
        <x:v>0</x:v>
      </x:c>
      <x:c r="N54" s="24" t="str">
        <x:v>coryphaena hippurus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Coryphaena hippurus</x:v>
      </x:c>
      <x:c r="T54" s="32" t="n">
        <x:f>IF(O54="","",(1/'Metadata'!$B$5)^(O54-1))</x:f>
        <x:v>2344.228815319923</x:v>
      </x:c>
      <x:c r="U54" s="31" t="n">
        <x:f>IF(T54="","",I54*T54)</x:f>
        <x:v>53044.908731599244</x:v>
      </x:c>
    </x:row>
    <x:row r="55" ht="18" customHeight="1">
      <x:c r="A55" s="24" t="str">
        <x:v>EEZ_450</x:v>
      </x:c>
      <x:c r="B55" s="24" t="str">
        <x:v>Madagascar</x:v>
      </x:c>
      <x:c r="C55" s="24" t="str">
        <x:v>EEZ</x:v>
      </x:c>
      <x:c r="D55" s="30" t="n">
        <x:v>2019</x:v>
      </x:c>
      <x:c r="E55" s="24" t="str">
        <x:v>Kajikia audax</x:v>
      </x:c>
      <x:c r="F55" s="24" t="str">
        <x:v>Striped marlin</x:v>
      </x:c>
      <x:c r="G55" s="24" t="str">
        <x:v>Large pelagics (&gt;=90 cm)</x:v>
      </x:c>
      <x:c r="H55" s="24" t="str">
        <x:v>Tuna &amp; billfishes</x:v>
      </x:c>
      <x:c r="I55" s="31" t="n">
        <x:v>19.057849805</x:v>
      </x:c>
      <x:c r="J55" s="31" t="n">
        <x:v>19.057849805</x:v>
      </x:c>
      <x:c r="K55" s="31" t="n">
        <x:v>0</x:v>
      </x:c>
      <x:c r="L55" s="31" t="n">
        <x:v>8.570471542</x:v>
      </x:c>
      <x:c r="M55" s="31" t="n">
        <x:v>10.487378263</x:v>
      </x:c>
      <x:c r="N55" s="24" t="str">
        <x:v>kajikia audax</x:v>
      </x:c>
      <x:c r="O55" s="32" t="n">
        <x:v>4.58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Kajikia audax</x:v>
      </x:c>
      <x:c r="T55" s="32" t="n">
        <x:f>IF(O55="","",(1/'Metadata'!$B$5)^(O55-1))</x:f>
        <x:v>3801.8939632056126</x:v>
      </x:c>
      <x:c r="U55" s="31" t="n">
        <x:f>IF(T55="","",I55*T55)</x:f>
        <x:v>72455.92412530877</x:v>
      </x:c>
    </x:row>
    <x:row r="56" ht="18" customHeight="1">
      <x:c r="A56" s="24" t="str">
        <x:v>EEZ_450</x:v>
      </x:c>
      <x:c r="B56" s="24" t="str">
        <x:v>Madagascar</x:v>
      </x:c>
      <x:c r="C56" s="24" t="str">
        <x:v>EEZ</x:v>
      </x:c>
      <x:c r="D56" s="30" t="n">
        <x:v>2019</x:v>
      </x:c>
      <x:c r="E56" s="24" t="str">
        <x:v>Scombridae</x:v>
      </x:c>
      <x:c r="F56" s="24" t="str">
        <x:v>Mackerels, tunas, bonitos</x:v>
      </x:c>
      <x:c r="G56" s="24" t="str">
        <x:v>Medium pelagics (30 - 89 cm)</x:v>
      </x:c>
      <x:c r="H56" s="24" t="str">
        <x:v>Perch-likes</x:v>
      </x:c>
      <x:c r="I56" s="31" t="n">
        <x:v>14.0602476252</x:v>
      </x:c>
      <x:c r="J56" s="31" t="n">
        <x:v>14.0602476252</x:v>
      </x:c>
      <x:c r="K56" s="31" t="n">
        <x:v>0</x:v>
      </x:c>
      <x:c r="L56" s="31" t="n">
        <x:v>14.0602476252</x:v>
      </x:c>
      <x:c r="M56" s="31" t="n">
        <x:v>0</x:v>
      </x:c>
      <x:c r="N56" s="24" t="str">
        <x:v>scombridae</x:v>
      </x:c>
      <x:c r="O56" s="32" t="n">
        <x:v>4.26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Scombridae</x:v>
      </x:c>
      <x:c r="T56" s="32" t="n">
        <x:f>IF(O56="","",(1/'Metadata'!$B$5)^(O56-1))</x:f>
        <x:v>1819.7008586099826</x:v>
      </x:c>
      <x:c r="U56" s="31" t="n">
        <x:f>IF(T56="","",I56*T56)</x:f>
        <x:v>25585.44467584541</x:v>
      </x:c>
    </x:row>
    <x:row r="57" ht="18" customHeight="1">
      <x:c r="A57" s="24" t="str">
        <x:v>EEZ_450</x:v>
      </x:c>
      <x:c r="B57" s="24" t="str">
        <x:v>Madagascar</x:v>
      </x:c>
      <x:c r="C57" s="24" t="str">
        <x:v>EEZ</x:v>
      </x:c>
      <x:c r="D57" s="30" t="n">
        <x:v>2019</x:v>
      </x:c>
      <x:c r="E57" s="24" t="str">
        <x:v>Platycaranx chrysophrys</x:v>
      </x:c>
      <x:c r="F57" s="24" t="str">
        <x:v>Longnose trevally</x:v>
      </x:c>
      <x:c r="G57" s="24" t="str">
        <x:v>Small pelagics (&lt;30 cm)</x:v>
      </x:c>
      <x:c r="H57" s="24" t="str">
        <x:v>Perch-likes</x:v>
      </x:c>
      <x:c r="I57" s="31" t="n">
        <x:v>13.5901157576</x:v>
      </x:c>
      <x:c r="J57" s="31" t="n">
        <x:v>0</x:v>
      </x:c>
      <x:c r="K57" s="31" t="n">
        <x:v>13.5901157576</x:v>
      </x:c>
      <x:c r="L57" s="31" t="n">
        <x:v>0</x:v>
      </x:c>
      <x:c r="M57" s="31" t="n">
        <x:v>13.5901157576</x:v>
      </x:c>
      <x:c r="N57" s="24" t="str">
        <x:v>platycaranx chrysophrys</x:v>
      </x:c>
      <x:c r="O57" s="32" t="n">
        <x:v>4.3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Platycaranx chrysophrys</x:v>
      </x:c>
      <x:c r="T57" s="32" t="n">
        <x:f>IF(O57="","",(1/'Metadata'!$B$5)^(O57-1))</x:f>
        <x:v>1995.2623149688789</x:v>
      </x:c>
      <x:c r="U57" s="31" t="n">
        <x:f>IF(T57="","",I57*T57)</x:f>
        <x:v>27115.845827204015</x:v>
      </x:c>
    </x:row>
    <x:row r="58" ht="18" customHeight="1">
      <x:c r="A58" s="24" t="str">
        <x:v>EEZ_450</x:v>
      </x:c>
      <x:c r="B58" s="24" t="str">
        <x:v>Madagascar</x:v>
      </x:c>
      <x:c r="C58" s="24" t="str">
        <x:v>EEZ</x:v>
      </x:c>
      <x:c r="D58" s="30" t="n">
        <x:v>2019</x:v>
      </x:c>
      <x:c r="E58" s="24" t="str">
        <x:v>Acanthocybium solandri</x:v>
      </x:c>
      <x:c r="F58" s="24" t="str">
        <x:v>Wahoo</x:v>
      </x:c>
      <x:c r="G58" s="24" t="str">
        <x:v>Large pelagics (&gt;=90 cm)</x:v>
      </x:c>
      <x:c r="H58" s="24" t="str">
        <x:v>Perch-likes</x:v>
      </x:c>
      <x:c r="I58" s="31" t="n">
        <x:v>8.0988761519</x:v>
      </x:c>
      <x:c r="J58" s="31" t="n">
        <x:v>7.7136917909000005</x:v>
      </x:c>
      <x:c r="K58" s="31" t="n">
        <x:v>0.385184361</x:v>
      </x:c>
      <x:c r="L58" s="31" t="n">
        <x:v>7.7136917909000005</x:v>
      </x:c>
      <x:c r="M58" s="31" t="n">
        <x:v>0.385184361</x:v>
      </x:c>
      <x:c r="N58" s="24" t="str">
        <x:v>acanthocybium solandri</x:v>
      </x:c>
      <x:c r="O58" s="32" t="n">
        <x:v>4.26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Acanthocybium solandri</x:v>
      </x:c>
      <x:c r="T58" s="32" t="n">
        <x:f>IF(O58="","",(1/'Metadata'!$B$5)^(O58-1))</x:f>
        <x:v>1819.7008586099826</x:v>
      </x:c>
      <x:c r="U58" s="31" t="n">
        <x:f>IF(T58="","",I58*T58)</x:f>
        <x:v>14737.531887388343</x:v>
      </x:c>
    </x:row>
    <x:row r="59" ht="18" customHeight="1">
      <x:c r="A59" s="24" t="str">
        <x:v>EEZ_450</x:v>
      </x:c>
      <x:c r="B59" s="24" t="str">
        <x:v>Madagascar</x:v>
      </x:c>
      <x:c r="C59" s="24" t="str">
        <x:v>EEZ</x:v>
      </x:c>
      <x:c r="D59" s="30" t="n">
        <x:v>2019</x:v>
      </x:c>
      <x:c r="E59" s="24" t="str">
        <x:v>Marine pelagic fishes not identified</x:v>
      </x:c>
      <x:c r="F59" s="24" t="str">
        <x:v>Pelagic fishes</x:v>
      </x:c>
      <x:c r="G59" s="24" t="str">
        <x:v>Medium pelagics (30 - 89 cm)</x:v>
      </x:c>
      <x:c r="H59" s="24" t="str">
        <x:v>Other fishes &amp; inverts</x:v>
      </x:c>
      <x:c r="I59" s="31" t="n">
        <x:v>8.0109925605</x:v>
      </x:c>
      <x:c r="J59" s="31" t="n">
        <x:v>8.0109925605</x:v>
      </x:c>
      <x:c r="K59" s="31" t="n">
        <x:v>0</x:v>
      </x:c>
      <x:c r="L59" s="31" t="n">
        <x:v>8.0109925605</x:v>
      </x:c>
      <x:c r="M59" s="31" t="n">
        <x:v>0</x:v>
      </x:c>
      <x:c r="N59" s="24" t="str">
        <x:v>marine pelagic fishes not identified</x:v>
      </x:c>
      <x:c r="O59" s="32" t="n">
        <x:v>3.35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Marine pelagic fishes not identified</x:v>
      </x:c>
      <x:c r="T59" s="32" t="n">
        <x:f>IF(O59="","",(1/'Metadata'!$B$5)^(O59-1))</x:f>
        <x:v>223.872113856834</x:v>
      </x:c>
      <x:c r="U59" s="31" t="n">
        <x:f>IF(T59="","",I59*T59)</x:f>
        <x:v>1793.437838610506</x:v>
      </x:c>
    </x:row>
    <x:row r="60" ht="18" customHeight="1">
      <x:c r="A60" s="24" t="str">
        <x:v>EEZ_450</x:v>
      </x:c>
      <x:c r="B60" s="24" t="str">
        <x:v>Madagascar</x:v>
      </x:c>
      <x:c r="C60" s="24" t="str">
        <x:v>EEZ</x:v>
      </x:c>
      <x:c r="D60" s="30" t="n">
        <x:v>2019</x:v>
      </x:c>
      <x:c r="E60" s="24" t="str">
        <x:v>Carcharhinus longimanus</x:v>
      </x:c>
      <x:c r="F60" s="24" t="str">
        <x:v>Oceanic whitetip shark</x:v>
      </x:c>
      <x:c r="G60" s="24" t="str">
        <x:v>Large sharks (&gt;=90 cm)</x:v>
      </x:c>
      <x:c r="H60" s="24" t="str">
        <x:v>Sharks &amp; rays</x:v>
      </x:c>
      <x:c r="I60" s="31" t="n">
        <x:v>7.6289897864</x:v>
      </x:c>
      <x:c r="J60" s="31" t="n">
        <x:v>7.6289897864</x:v>
      </x:c>
      <x:c r="K60" s="31" t="n">
        <x:v>0</x:v>
      </x:c>
      <x:c r="L60" s="31" t="n">
        <x:v>7.6289897864</x:v>
      </x:c>
      <x:c r="M60" s="31" t="n">
        <x:v>0</x:v>
      </x:c>
      <x:c r="N60" s="24" t="str">
        <x:v>carcharhinus longimanus</x:v>
      </x:c>
      <x:c r="O60" s="32" t="n">
        <x:v>4.16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Carcharhinus longimanus</x:v>
      </x:c>
      <x:c r="T60" s="32" t="n">
        <x:f>IF(O60="","",(1/'Metadata'!$B$5)^(O60-1))</x:f>
        <x:v>1445.439770745928</x:v>
      </x:c>
      <x:c r="U60" s="31" t="n">
        <x:f>IF(T60="","",I60*T60)</x:f>
        <x:v>11027.245247877041</x:v>
      </x:c>
    </x:row>
    <x:row r="61" ht="18" customHeight="1">
      <x:c r="A61" s="24" t="str">
        <x:v>EEZ_450</x:v>
      </x:c>
      <x:c r="B61" s="24" t="str">
        <x:v>Madagascar</x:v>
      </x:c>
      <x:c r="C61" s="24" t="str">
        <x:v>EEZ</x:v>
      </x:c>
      <x:c r="D61" s="30" t="n">
        <x:v>2019</x:v>
      </x:c>
      <x:c r="E61" s="24" t="str">
        <x:v>Scombroidei</x:v>
      </x:c>
      <x:c r="F61" s="24" t="str">
        <x:v>Tunas, bonitos, billfishes</x:v>
      </x:c>
      <x:c r="G61" s="24" t="str">
        <x:v>Large pelagics (&gt;=90 cm)</x:v>
      </x:c>
      <x:c r="H61" s="24" t="str">
        <x:v>Tuna &amp; billfishes</x:v>
      </x:c>
      <x:c r="I61" s="31" t="n">
        <x:v>6.7984293106</x:v>
      </x:c>
      <x:c r="J61" s="31" t="n">
        <x:v>6.7984293106</x:v>
      </x:c>
      <x:c r="K61" s="31" t="n">
        <x:v>0</x:v>
      </x:c>
      <x:c r="L61" s="31" t="n">
        <x:v>6.7984293106</x:v>
      </x:c>
      <x:c r="M61" s="31" t="n">
        <x:v>0</x:v>
      </x:c>
      <x:c r="N61" s="24" t="str">
        <x:v>scombroidei</x:v>
      </x:c>
      <x:c r="O61" s="32" t="n">
        <x:v>4.2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Scombroidei</x:v>
      </x:c>
      <x:c r="T61" s="32" t="n">
        <x:f>IF(O61="","",(1/'Metadata'!$B$5)^(O61-1))</x:f>
        <x:v>1584.893192461114</x:v>
      </x:c>
      <x:c r="U61" s="31" t="n">
        <x:f>IF(T61="","",I61*T61)</x:f>
        <x:v>10774.784333798045</x:v>
      </x:c>
    </x:row>
    <x:row r="62" ht="18" customHeight="1">
      <x:c r="A62" s="24" t="str">
        <x:v>EEZ_450</x:v>
      </x:c>
      <x:c r="B62" s="24" t="str">
        <x:v>Madagascar</x:v>
      </x:c>
      <x:c r="C62" s="24" t="str">
        <x:v>EEZ</x:v>
      </x:c>
      <x:c r="D62" s="30" t="n">
        <x:v>2019</x:v>
      </x:c>
      <x:c r="E62" s="24" t="str">
        <x:v>Leiognathidae</x:v>
      </x:c>
      <x:c r="F62" s="24" t="str">
        <x:v>Slipmouths, ponyfishes</x:v>
      </x:c>
      <x:c r="G62" s="24" t="str">
        <x:v>Small benthopelagics (&lt;30 cm)</x:v>
      </x:c>
      <x:c r="H62" s="24" t="str">
        <x:v>Perch-likes</x:v>
      </x:c>
      <x:c r="I62" s="31" t="n">
        <x:v>6.2984289327</x:v>
      </x:c>
      <x:c r="J62" s="31" t="n">
        <x:v>0</x:v>
      </x:c>
      <x:c r="K62" s="31" t="n">
        <x:v>6.2984289327</x:v>
      </x:c>
      <x:c r="L62" s="31" t="n">
        <x:v>0</x:v>
      </x:c>
      <x:c r="M62" s="31" t="n">
        <x:v>6.2984289327</x:v>
      </x:c>
      <x:c r="N62" s="24" t="str">
        <x:v>leiognathidae</x:v>
      </x:c>
      <x:c r="O62" s="32" t="n">
        <x:v>3.24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Leiognathidae</x:v>
      </x:c>
      <x:c r="T62" s="32" t="n">
        <x:f>IF(O62="","",(1/'Metadata'!$B$5)^(O62-1))</x:f>
        <x:v>173.78008287493762</x:v>
      </x:c>
      <x:c r="U62" s="31" t="n">
        <x:f>IF(T62="","",I62*T62)</x:f>
        <x:v>1094.541501906511</x:v>
      </x:c>
    </x:row>
    <x:row r="63" ht="18" customHeight="1">
      <x:c r="A63" s="24" t="str">
        <x:v>EEZ_450</x:v>
      </x:c>
      <x:c r="B63" s="24" t="str">
        <x:v>Madagascar</x:v>
      </x:c>
      <x:c r="C63" s="24" t="str">
        <x:v>EEZ</x:v>
      </x:c>
      <x:c r="D63" s="30" t="n">
        <x:v>2019</x:v>
      </x:c>
      <x:c r="E63" s="24" t="str">
        <x:v>Mugil cephalus</x:v>
      </x:c>
      <x:c r="F63" s="24" t="str">
        <x:v>Flathead grey mullet</x:v>
      </x:c>
      <x:c r="G63" s="24" t="str">
        <x:v>Large benthopelagics (&gt;=90 cm)</x:v>
      </x:c>
      <x:c r="H63" s="24" t="str">
        <x:v>Perch-likes</x:v>
      </x:c>
      <x:c r="I63" s="31" t="n">
        <x:v>5.0637712044</x:v>
      </x:c>
      <x:c r="J63" s="31" t="n">
        <x:v>0</x:v>
      </x:c>
      <x:c r="K63" s="31" t="n">
        <x:v>5.0637712044</x:v>
      </x:c>
      <x:c r="L63" s="31" t="n">
        <x:v>0</x:v>
      </x:c>
      <x:c r="M63" s="31" t="n">
        <x:v>5.0637712044</x:v>
      </x:c>
      <x:c r="N63" s="24" t="str">
        <x:v>mugil cephalus</x:v>
      </x:c>
      <x:c r="O63" s="32" t="n">
        <x:v>2.14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Mugil cephalus</x:v>
      </x:c>
      <x:c r="T63" s="32" t="n">
        <x:f>IF(O63="","",(1/'Metadata'!$B$5)^(O63-1))</x:f>
        <x:v>13.803842646028853</x:v>
      </x:c>
      <x:c r="U63" s="31" t="n">
        <x:f>IF(T63="","",I63*T63)</x:f>
        <x:v>69.89950090102961</x:v>
      </x:c>
    </x:row>
    <x:row r="64" ht="18" customHeight="1">
      <x:c r="A64" s="24" t="str">
        <x:v>EEZ_450</x:v>
      </x:c>
      <x:c r="B64" s="24" t="str">
        <x:v>Madagascar</x:v>
      </x:c>
      <x:c r="C64" s="24" t="str">
        <x:v>EEZ</x:v>
      </x:c>
      <x:c r="D64" s="30" t="n">
        <x:v>2019</x:v>
      </x:c>
      <x:c r="E64" s="24" t="str">
        <x:v>Scomberoides</x:v>
      </x:c>
      <x:c r="F64" s="24" t="str">
        <x:v>Queenfishes</x:v>
      </x:c>
      <x:c r="G64" s="24" t="str">
        <x:v>Medium pelagics (30 - 89 cm)</x:v>
      </x:c>
      <x:c r="H64" s="24" t="str">
        <x:v>Perch-likes</x:v>
      </x:c>
      <x:c r="I64" s="31" t="n">
        <x:v>4.8777084593</x:v>
      </x:c>
      <x:c r="J64" s="31" t="n">
        <x:v>4.8777084593</x:v>
      </x:c>
      <x:c r="K64" s="31" t="n">
        <x:v>0</x:v>
      </x:c>
      <x:c r="L64" s="31" t="n">
        <x:v>4.8777084593</x:v>
      </x:c>
      <x:c r="M64" s="31" t="n">
        <x:v>0</x:v>
      </x:c>
      <x:c r="N64" s="24" t="str">
        <x:v>scomberoides</x:v>
      </x:c>
      <x:c r="O64" s="32" t="n">
        <x:v>4.47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Scomberoides</x:v>
      </x:c>
      <x:c r="T64" s="32" t="n">
        <x:f>IF(O64="","",(1/'Metadata'!$B$5)^(O64-1))</x:f>
        <x:v>2951.209226666384</x:v>
      </x:c>
      <x:c r="U64" s="31" t="n">
        <x:f>IF(T64="","",I64*T64)</x:f>
        <x:v>14395.138210074832</x:v>
      </x:c>
    </x:row>
    <x:row r="65" ht="18" customHeight="1">
      <x:c r="A65" s="24" t="str">
        <x:v>EEZ_450</x:v>
      </x:c>
      <x:c r="B65" s="24" t="str">
        <x:v>Madagascar</x:v>
      </x:c>
      <x:c r="C65" s="24" t="str">
        <x:v>EEZ</x:v>
      </x:c>
      <x:c r="D65" s="30" t="n">
        <x:v>2019</x:v>
      </x:c>
      <x:c r="E65" s="24" t="str">
        <x:v>Himantura uarnak</x:v>
      </x:c>
      <x:c r="F65" s="24" t="str">
        <x:v>Honeycomb stingray</x:v>
      </x:c>
      <x:c r="G65" s="24" t="str">
        <x:v>Large rays (&gt;=90 cm)</x:v>
      </x:c>
      <x:c r="H65" s="24" t="str">
        <x:v>Sharks &amp; rays</x:v>
      </x:c>
      <x:c r="I65" s="31" t="n">
        <x:v>4.404661443</x:v>
      </x:c>
      <x:c r="J65" s="31" t="n">
        <x:v>0</x:v>
      </x:c>
      <x:c r="K65" s="31" t="n">
        <x:v>4.404661443</x:v>
      </x:c>
      <x:c r="L65" s="31" t="n">
        <x:v>0</x:v>
      </x:c>
      <x:c r="M65" s="31" t="n">
        <x:v>4.404661443</x:v>
      </x:c>
      <x:c r="N65" s="24" t="str">
        <x:v>himantura uarnak</x:v>
      </x:c>
      <x:c r="O65" s="32" t="n">
        <x:v>3.6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Himantura uarnak</x:v>
      </x:c>
      <x:c r="T65" s="32" t="n">
        <x:f>IF(O65="","",(1/'Metadata'!$B$5)^(O65-1))</x:f>
        <x:v>398.1071705534973</x:v>
      </x:c>
      <x:c r="U65" s="31" t="n">
        <x:f>IF(T65="","",I65*T65)</x:f>
        <x:v>1753.5273043188147</x:v>
      </x:c>
    </x:row>
    <x:row r="66" ht="18" customHeight="1">
      <x:c r="A66" s="24" t="str">
        <x:v>EEZ_450</x:v>
      </x:c>
      <x:c r="B66" s="24" t="str">
        <x:v>Madagascar</x:v>
      </x:c>
      <x:c r="C66" s="24" t="str">
        <x:v>EEZ</x:v>
      </x:c>
      <x:c r="D66" s="30" t="n">
        <x:v>2019</x:v>
      </x:c>
      <x:c r="E66" s="24" t="str">
        <x:v>Muraenesocidae</x:v>
      </x:c>
      <x:c r="F66" s="24" t="str">
        <x:v>Pike congers</x:v>
      </x:c>
      <x:c r="G66" s="24" t="str">
        <x:v>Large demersals (&gt;=90 cm)</x:v>
      </x:c>
      <x:c r="H66" s="24" t="str">
        <x:v>Other fishes &amp; inverts</x:v>
      </x:c>
      <x:c r="I66" s="31" t="n">
        <x:v>4.109036049999999</x:v>
      </x:c>
      <x:c r="J66" s="31" t="n">
        <x:v>4.109036049999999</x:v>
      </x:c>
      <x:c r="K66" s="31" t="n">
        <x:v>0</x:v>
      </x:c>
      <x:c r="L66" s="31" t="n">
        <x:v>4.109036049999999</x:v>
      </x:c>
      <x:c r="M66" s="31" t="n">
        <x:v>0</x:v>
      </x:c>
      <x:c r="N66" s="24" t="str">
        <x:v>muraenesocidae</x:v>
      </x:c>
      <x:c r="O66" s="32" t="n">
        <x:v>3.9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Muraenesocidae</x:v>
      </x:c>
      <x:c r="T66" s="32" t="n">
        <x:f>IF(O66="","",(1/'Metadata'!$B$5)^(O66-1))</x:f>
        <x:v>794.3282347242813</x:v>
      </x:c>
      <x:c r="U66" s="31" t="n">
        <x:f>IF(T66="","",I66*T66)</x:f>
        <x:v>3263.9233520149332</x:v>
      </x:c>
    </x:row>
    <x:row r="67" ht="18" customHeight="1">
      <x:c r="A67" s="24" t="str">
        <x:v>EEZ_450</x:v>
      </x:c>
      <x:c r="B67" s="24" t="str">
        <x:v>Madagascar</x:v>
      </x:c>
      <x:c r="C67" s="24" t="str">
        <x:v>EEZ</x:v>
      </x:c>
      <x:c r="D67" s="30" t="n">
        <x:v>2019</x:v>
      </x:c>
      <x:c r="E67" s="24" t="str">
        <x:v>Scomberomorus</x:v>
      </x:c>
      <x:c r="F67" s="24" t="str">
        <x:v>Spanish mackerels</x:v>
      </x:c>
      <x:c r="G67" s="24" t="str">
        <x:v>Large pelagics (&gt;=90 cm)</x:v>
      </x:c>
      <x:c r="H67" s="24" t="str">
        <x:v>Perch-likes</x:v>
      </x:c>
      <x:c r="I67" s="31" t="n">
        <x:v>3.6986697625</x:v>
      </x:c>
      <x:c r="J67" s="31" t="n">
        <x:v>3.6986697625</x:v>
      </x:c>
      <x:c r="K67" s="31" t="n">
        <x:v>0</x:v>
      </x:c>
      <x:c r="L67" s="31" t="n">
        <x:v>3.6986697625</x:v>
      </x:c>
      <x:c r="M67" s="31" t="n">
        <x:v>0</x:v>
      </x:c>
      <x:c r="N67" s="24" t="str">
        <x:v>scomberomorus</x:v>
      </x:c>
      <x:c r="O67" s="32" t="n">
        <x:v>4.35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Scomberomorus</x:v>
      </x:c>
      <x:c r="T67" s="32" t="n">
        <x:f>IF(O67="","",(1/'Metadata'!$B$5)^(O67-1))</x:f>
        <x:v>2238.7211385683377</x:v>
      </x:c>
      <x:c r="U67" s="31" t="n">
        <x:f>IF(T67="","",I67*T67)</x:f>
        <x:v>8280.290181892282</x:v>
      </x:c>
    </x:row>
    <x:row r="68" ht="18" customHeight="1">
      <x:c r="A68" s="24" t="str">
        <x:v>EEZ_450</x:v>
      </x:c>
      <x:c r="B68" s="24" t="str">
        <x:v>Madagascar</x:v>
      </x:c>
      <x:c r="C68" s="24" t="str">
        <x:v>EEZ</x:v>
      </x:c>
      <x:c r="D68" s="30" t="n">
        <x:v>2019</x:v>
      </x:c>
      <x:c r="E68" s="24" t="str">
        <x:v>Lactarius lactarius</x:v>
      </x:c>
      <x:c r="F68" s="24" t="str">
        <x:v>False trevally</x:v>
      </x:c>
      <x:c r="G68" s="24" t="str">
        <x:v>Medium pelagics (30 - 89 cm)</x:v>
      </x:c>
      <x:c r="H68" s="24" t="str">
        <x:v>Perch-likes</x:v>
      </x:c>
      <x:c r="I68" s="31" t="n">
        <x:v>3.6954851478000004</x:v>
      </x:c>
      <x:c r="J68" s="31" t="n">
        <x:v>0</x:v>
      </x:c>
      <x:c r="K68" s="31" t="n">
        <x:v>3.6954851478000004</x:v>
      </x:c>
      <x:c r="L68" s="31" t="n">
        <x:v>0</x:v>
      </x:c>
      <x:c r="M68" s="31" t="n">
        <x:v>3.6954851478000004</x:v>
      </x:c>
      <x:c r="N68" s="24" t="str">
        <x:v>lactarius lactarius</x:v>
      </x:c>
      <x:c r="O68" s="32" t="n">
        <x:v>3.97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Lactarius lactarius</x:v>
      </x:c>
      <x:c r="T68" s="32" t="n">
        <x:f>IF(O68="","",(1/'Metadata'!$B$5)^(O68-1))</x:f>
        <x:v>933.2543007969915</x:v>
      </x:c>
      <x:c r="U68" s="31" t="n">
        <x:f>IF(T68="","",I68*T68)</x:f>
        <x:v>3448.827407715756</x:v>
      </x:c>
    </x:row>
    <x:row r="69" ht="18" customHeight="1">
      <x:c r="A69" s="24" t="str">
        <x:v>EEZ_450</x:v>
      </x:c>
      <x:c r="B69" s="24" t="str">
        <x:v>Madagascar</x:v>
      </x:c>
      <x:c r="C69" s="24" t="str">
        <x:v>EEZ</x:v>
      </x:c>
      <x:c r="D69" s="30" t="n">
        <x:v>2019</x:v>
      </x:c>
      <x:c r="E69" s="24" t="str">
        <x:v>Terapon jarbua</x:v>
      </x:c>
      <x:c r="F69" s="24" t="str">
        <x:v>Jarbua terapon</x:v>
      </x:c>
      <x:c r="G69" s="24" t="str">
        <x:v>Medium demersals (30 - 89 cm)</x:v>
      </x:c>
      <x:c r="H69" s="24" t="str">
        <x:v>Perch-likes</x:v>
      </x:c>
      <x:c r="I69" s="31" t="n">
        <x:v>3.2764541871</x:v>
      </x:c>
      <x:c r="J69" s="31" t="n">
        <x:v>0</x:v>
      </x:c>
      <x:c r="K69" s="31" t="n">
        <x:v>3.2764541871</x:v>
      </x:c>
      <x:c r="L69" s="31" t="n">
        <x:v>0</x:v>
      </x:c>
      <x:c r="M69" s="31" t="n">
        <x:v>3.2764541871</x:v>
      </x:c>
      <x:c r="N69" s="24" t="str">
        <x:v>terapon jarbua</x:v>
      </x:c>
      <x:c r="O69" s="32" t="n">
        <x:v>3.93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Terapon jarbua</x:v>
      </x:c>
      <x:c r="T69" s="32" t="n">
        <x:f>IF(O69="","",(1/'Metadata'!$B$5)^(O69-1))</x:f>
        <x:v>851.1380382023768</x:v>
      </x:c>
      <x:c r="U69" s="31" t="n">
        <x:f>IF(T69="","",I69*T69)</x:f>
        <x:v>2788.7147890682572</x:v>
      </x:c>
    </x:row>
    <x:row r="70" ht="18" customHeight="1">
      <x:c r="A70" s="24" t="str">
        <x:v>EEZ_450</x:v>
      </x:c>
      <x:c r="B70" s="24" t="str">
        <x:v>Madagascar</x:v>
      </x:c>
      <x:c r="C70" s="24" t="str">
        <x:v>EEZ</x:v>
      </x:c>
      <x:c r="D70" s="30" t="n">
        <x:v>2019</x:v>
      </x:c>
      <x:c r="E70" s="24" t="str">
        <x:v>Upeneus vittatus</x:v>
      </x:c>
      <x:c r="F70" s="24" t="str">
        <x:v>Yellowstriped goatfish</x:v>
      </x:c>
      <x:c r="G70" s="24" t="str">
        <x:v>Small reef assoc. fish (&lt;30 cm)</x:v>
      </x:c>
      <x:c r="H70" s="24" t="str">
        <x:v>Perch-likes</x:v>
      </x:c>
      <x:c r="I70" s="31" t="n">
        <x:v>3.1757886288</x:v>
      </x:c>
      <x:c r="J70" s="31" t="n">
        <x:v>0</x:v>
      </x:c>
      <x:c r="K70" s="31" t="n">
        <x:v>3.1757886288</x:v>
      </x:c>
      <x:c r="L70" s="31" t="n">
        <x:v>0</x:v>
      </x:c>
      <x:c r="M70" s="31" t="n">
        <x:v>3.1757886288</x:v>
      </x:c>
      <x:c r="N70" s="24" t="str">
        <x:v>upeneus vittatus</x:v>
      </x:c>
      <x:c r="O70" s="32" t="n">
        <x:v>3.62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Upeneus vittatus</x:v>
      </x:c>
      <x:c r="T70" s="32" t="n">
        <x:f>IF(O70="","",(1/'Metadata'!$B$5)^(O70-1))</x:f>
        <x:v>416.8693834703355</x:v>
      </x:c>
      <x:c r="U70" s="31" t="n">
        <x:f>IF(T70="","",I70*T70)</x:f>
        <x:v>1323.8890477199582</x:v>
      </x:c>
    </x:row>
    <x:row r="71" ht="18" customHeight="1">
      <x:c r="A71" s="24" t="str">
        <x:v>EEZ_450</x:v>
      </x:c>
      <x:c r="B71" s="24" t="str">
        <x:v>Madagascar</x:v>
      </x:c>
      <x:c r="C71" s="24" t="str">
        <x:v>EEZ</x:v>
      </x:c>
      <x:c r="D71" s="30" t="n">
        <x:v>2019</x:v>
      </x:c>
      <x:c r="E71" s="24" t="str">
        <x:v>Rastrelliger kanagurta</x:v>
      </x:c>
      <x:c r="F71" s="24" t="str">
        <x:v>Indian mackerel</x:v>
      </x:c>
      <x:c r="G71" s="24" t="str">
        <x:v>Medium pelagics (30 - 89 cm)</x:v>
      </x:c>
      <x:c r="H71" s="24" t="str">
        <x:v>Perch-likes</x:v>
      </x:c>
      <x:c r="I71" s="31" t="n">
        <x:v>3.1469940648</x:v>
      </x:c>
      <x:c r="J71" s="31" t="n">
        <x:v>0</x:v>
      </x:c>
      <x:c r="K71" s="31" t="n">
        <x:v>3.1469940648</x:v>
      </x:c>
      <x:c r="L71" s="31" t="n">
        <x:v>0</x:v>
      </x:c>
      <x:c r="M71" s="31" t="n">
        <x:v>3.1469940648</x:v>
      </x:c>
      <x:c r="N71" s="24" t="str">
        <x:v>rastrelliger kanagurta</x:v>
      </x:c>
      <x:c r="O71" s="32" t="n">
        <x:v>3.19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Rastrelliger kanagurta</x:v>
      </x:c>
      <x:c r="T71" s="32" t="n">
        <x:f>IF(O71="","",(1/'Metadata'!$B$5)^(O71-1))</x:f>
        <x:v>154.88166189124811</x:v>
      </x:c>
      <x:c r="U71" s="31" t="n">
        <x:f>IF(T71="","",I71*T71)</x:f>
        <x:v>487.41167071811816</x:v>
      </x:c>
    </x:row>
    <x:row r="72" ht="18" customHeight="1">
      <x:c r="A72" s="24" t="str">
        <x:v>EEZ_450</x:v>
      </x:c>
      <x:c r="B72" s="24" t="str">
        <x:v>Madagascar</x:v>
      </x:c>
      <x:c r="C72" s="24" t="str">
        <x:v>EEZ</x:v>
      </x:c>
      <x:c r="D72" s="30" t="n">
        <x:v>2019</x:v>
      </x:c>
      <x:c r="E72" s="24" t="str">
        <x:v>Sillago sihama</x:v>
      </x:c>
      <x:c r="F72" s="24" t="str">
        <x:v>Silver sillago</x:v>
      </x:c>
      <x:c r="G72" s="24" t="str">
        <x:v>Medium demersals (30 - 89 cm)</x:v>
      </x:c>
      <x:c r="H72" s="24" t="str">
        <x:v>Perch-likes</x:v>
      </x:c>
      <x:c r="I72" s="31" t="n">
        <x:v>3.142871479</x:v>
      </x:c>
      <x:c r="J72" s="31" t="n">
        <x:v>0</x:v>
      </x:c>
      <x:c r="K72" s="31" t="n">
        <x:v>3.142871479</x:v>
      </x:c>
      <x:c r="L72" s="31" t="n">
        <x:v>0</x:v>
      </x:c>
      <x:c r="M72" s="31" t="n">
        <x:v>3.142871479</x:v>
      </x:c>
      <x:c r="N72" s="24" t="str">
        <x:v>sillago sihama</x:v>
      </x:c>
      <x:c r="O72" s="32" t="n">
        <x:v>3.33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Sillago sihama</x:v>
      </x:c>
      <x:c r="T72" s="32" t="n">
        <x:f>IF(O72="","",(1/'Metadata'!$B$5)^(O72-1))</x:f>
        <x:v>213.79620895022325</x:v>
      </x:c>
      <x:c r="U72" s="31" t="n">
        <x:f>IF(T72="","",I72*T72)</x:f>
        <x:v>671.9340074279812</x:v>
      </x:c>
    </x:row>
    <x:row r="73" ht="18" customHeight="1">
      <x:c r="A73" s="24" t="str">
        <x:v>EEZ_450</x:v>
      </x:c>
      <x:c r="B73" s="24" t="str">
        <x:v>Madagascar</x:v>
      </x:c>
      <x:c r="C73" s="24" t="str">
        <x:v>EEZ</x:v>
      </x:c>
      <x:c r="D73" s="30" t="n">
        <x:v>2019</x:v>
      </x:c>
      <x:c r="E73" s="24" t="str">
        <x:v>Scomberoides lysan</x:v>
      </x:c>
      <x:c r="F73" s="24" t="str">
        <x:v>Doublespotted queenfish</x:v>
      </x:c>
      <x:c r="G73" s="24" t="str">
        <x:v>Medium reef assoc. fish (30 - 89 cm)</x:v>
      </x:c>
      <x:c r="H73" s="24" t="str">
        <x:v>Perch-likes</x:v>
      </x:c>
      <x:c r="I73" s="31" t="n">
        <x:v>2.852182388</x:v>
      </x:c>
      <x:c r="J73" s="31" t="n">
        <x:v>0</x:v>
      </x:c>
      <x:c r="K73" s="31" t="n">
        <x:v>2.852182388</x:v>
      </x:c>
      <x:c r="L73" s="31" t="n">
        <x:v>0</x:v>
      </x:c>
      <x:c r="M73" s="31" t="n">
        <x:v>2.852182388</x:v>
      </x:c>
      <x:c r="N73" s="24" t="str">
        <x:v>scomberoides lysan</x:v>
      </x:c>
      <x:c r="O73" s="32" t="n">
        <x:v>4.38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Scomberoides lysan</x:v>
      </x:c>
      <x:c r="T73" s="32" t="n">
        <x:f>IF(O73="","",(1/'Metadata'!$B$5)^(O73-1))</x:f>
        <x:v>2398.83291901949</x:v>
      </x:c>
      <x:c r="U73" s="31" t="n">
        <x:f>IF(T73="","",I73*T73)</x:f>
        <x:v>6841.909003382019</x:v>
      </x:c>
    </x:row>
    <x:row r="74" ht="18" customHeight="1">
      <x:c r="A74" s="24" t="str">
        <x:v>EEZ_450</x:v>
      </x:c>
      <x:c r="B74" s="24" t="str">
        <x:v>Madagascar</x:v>
      </x:c>
      <x:c r="C74" s="24" t="str">
        <x:v>EEZ</x:v>
      </x:c>
      <x:c r="D74" s="30" t="n">
        <x:v>2019</x:v>
      </x:c>
      <x:c r="E74" s="24" t="str">
        <x:v>Thryssa</x:v>
      </x:c>
      <x:c r="F74" s="24" t="str">
        <x:v>Thryssas</x:v>
      </x:c>
      <x:c r="G74" s="24" t="str">
        <x:v>Small pelagics (&lt;30 cm)</x:v>
      </x:c>
      <x:c r="H74" s="24" t="str">
        <x:v>Anchovies</x:v>
      </x:c>
      <x:c r="I74" s="31" t="n">
        <x:v>2.4445814026</x:v>
      </x:c>
      <x:c r="J74" s="31" t="n">
        <x:v>0</x:v>
      </x:c>
      <x:c r="K74" s="31" t="n">
        <x:v>2.4445814026</x:v>
      </x:c>
      <x:c r="L74" s="31" t="n">
        <x:v>0</x:v>
      </x:c>
      <x:c r="M74" s="31" t="n">
        <x:v>2.4445814026</x:v>
      </x:c>
      <x:c r="N74" s="24" t="str">
        <x:v>thryssa</x:v>
      </x:c>
      <x:c r="O74" s="32" t="n">
        <x:v>3.34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Thryssa</x:v>
      </x:c>
      <x:c r="T74" s="32" t="n">
        <x:f>IF(O74="","",(1/'Metadata'!$B$5)^(O74-1))</x:f>
        <x:v>218.77616239495518</x:v>
      </x:c>
      <x:c r="U74" s="31" t="n">
        <x:f>IF(T74="","",I74*T74)</x:f>
        <x:v>534.8161379229049</x:v>
      </x:c>
    </x:row>
    <x:row r="75" ht="18" customHeight="1">
      <x:c r="A75" s="24" t="str">
        <x:v>EEZ_450</x:v>
      </x:c>
      <x:c r="B75" s="24" t="str">
        <x:v>Madagascar</x:v>
      </x:c>
      <x:c r="C75" s="24" t="str">
        <x:v>EEZ</x:v>
      </x:c>
      <x:c r="D75" s="30" t="n">
        <x:v>2019</x:v>
      </x:c>
      <x:c r="E75" s="24" t="str">
        <x:v>Hilsa kelee</x:v>
      </x:c>
      <x:c r="F75" s="24" t="str">
        <x:v>Kelee shad</x:v>
      </x:c>
      <x:c r="G75" s="24" t="str">
        <x:v>Small pelagics (&lt;30 cm)</x:v>
      </x:c>
      <x:c r="H75" s="24" t="str">
        <x:v>Herring-likes</x:v>
      </x:c>
      <x:c r="I75" s="31" t="n">
        <x:v>1.6817506178000001</x:v>
      </x:c>
      <x:c r="J75" s="31" t="n">
        <x:v>0</x:v>
      </x:c>
      <x:c r="K75" s="31" t="n">
        <x:v>1.6817506178000001</x:v>
      </x:c>
      <x:c r="L75" s="31" t="n">
        <x:v>0</x:v>
      </x:c>
      <x:c r="M75" s="31" t="n">
        <x:v>1.6817506178000001</x:v>
      </x:c>
      <x:c r="N75" s="24" t="str">
        <x:v>hilsa kelee</x:v>
      </x:c>
      <x:c r="O75" s="32" t="n">
        <x:v>3.25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Hilsa kelee</x:v>
      </x:c>
      <x:c r="T75" s="32" t="n">
        <x:f>IF(O75="","",(1/'Metadata'!$B$5)^(O75-1))</x:f>
        <x:v>177.82794100389228</x:v>
      </x:c>
      <x:c r="U75" s="31" t="n">
        <x:f>IF(T75="","",I75*T75)</x:f>
        <x:v>299.0622496453978</x:v>
      </x:c>
    </x:row>
    <x:row r="76" ht="18" customHeight="1">
      <x:c r="A76" s="24" t="str">
        <x:v>EEZ_450</x:v>
      </x:c>
      <x:c r="B76" s="24" t="str">
        <x:v>Madagascar</x:v>
      </x:c>
      <x:c r="C76" s="24" t="str">
        <x:v>EEZ</x:v>
      </x:c>
      <x:c r="D76" s="30" t="n">
        <x:v>2019</x:v>
      </x:c>
      <x:c r="E76" s="24" t="str">
        <x:v>Saurida tumbil</x:v>
      </x:c>
      <x:c r="F76" s="24" t="str">
        <x:v>Greater lizardfish</x:v>
      </x:c>
      <x:c r="G76" s="24" t="str">
        <x:v>Medium demersals (30 - 89 cm)</x:v>
      </x:c>
      <x:c r="H76" s="24" t="str">
        <x:v>Other fishes &amp; inverts</x:v>
      </x:c>
      <x:c r="I76" s="31" t="n">
        <x:v>1.6683118105</x:v>
      </x:c>
      <x:c r="J76" s="31" t="n">
        <x:v>0</x:v>
      </x:c>
      <x:c r="K76" s="31" t="n">
        <x:v>1.6683118105</x:v>
      </x:c>
      <x:c r="L76" s="31" t="n">
        <x:v>0</x:v>
      </x:c>
      <x:c r="M76" s="31" t="n">
        <x:v>1.6683118105</x:v>
      </x:c>
      <x:c r="N76" s="24" t="str">
        <x:v>saurida tumbil</x:v>
      </x:c>
      <x:c r="O76" s="32" t="n">
        <x:v>4.4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Saurida tumbil</x:v>
      </x:c>
      <x:c r="T76" s="32" t="n">
        <x:f>IF(O76="","",(1/'Metadata'!$B$5)^(O76-1))</x:f>
        <x:v>2511.886431509582</x:v>
      </x:c>
      <x:c r="U76" s="31" t="n">
        <x:f>IF(T76="","",I76*T76)</x:f>
        <x:v>4190.609800322135</x:v>
      </x:c>
    </x:row>
    <x:row r="77" ht="18" customHeight="1">
      <x:c r="A77" s="24" t="str">
        <x:v>EEZ_450</x:v>
      </x:c>
      <x:c r="B77" s="24" t="str">
        <x:v>Madagascar</x:v>
      </x:c>
      <x:c r="C77" s="24" t="str">
        <x:v>EEZ</x:v>
      </x:c>
      <x:c r="D77" s="30" t="n">
        <x:v>2019</x:v>
      </x:c>
      <x:c r="E77" s="24" t="str">
        <x:v>Soleidae</x:v>
      </x:c>
      <x:c r="F77" s="24" t="str">
        <x:v>Soles</x:v>
      </x:c>
      <x:c r="G77" s="24" t="str">
        <x:v>Small to medium flatfishes (&lt;90 cm)</x:v>
      </x:c>
      <x:c r="H77" s="24" t="str">
        <x:v>Flatfishes</x:v>
      </x:c>
      <x:c r="I77" s="31" t="n">
        <x:v>1.6230447054000001</x:v>
      </x:c>
      <x:c r="J77" s="31" t="n">
        <x:v>0</x:v>
      </x:c>
      <x:c r="K77" s="31" t="n">
        <x:v>1.6230447054000001</x:v>
      </x:c>
      <x:c r="L77" s="31" t="n">
        <x:v>0</x:v>
      </x:c>
      <x:c r="M77" s="31" t="n">
        <x:v>1.6230447054000001</x:v>
      </x:c>
      <x:c r="N77" s="24" t="str">
        <x:v>soleidae</x:v>
      </x:c>
      <x:c r="O77" s="32" t="n">
        <x:v>3.15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Soleidae</x:v>
      </x:c>
      <x:c r="T77" s="32" t="n">
        <x:f>IF(O77="","",(1/'Metadata'!$B$5)^(O77-1))</x:f>
        <x:v>141.2537544622754</x:v>
      </x:c>
      <x:c r="U77" s="31" t="n">
        <x:f>IF(T77="","",I77*T77)</x:f>
        <x:v>229.26115829786772</x:v>
      </x:c>
    </x:row>
    <x:row r="78" ht="18" customHeight="1">
      <x:c r="A78" s="24" t="str">
        <x:v>EEZ_450</x:v>
      </x:c>
      <x:c r="B78" s="24" t="str">
        <x:v>Madagascar</x:v>
      </x:c>
      <x:c r="C78" s="24" t="str">
        <x:v>EEZ</x:v>
      </x:c>
      <x:c r="D78" s="30" t="n">
        <x:v>2019</x:v>
      </x:c>
      <x:c r="E78" s="24" t="str">
        <x:v>Istiompax indica</x:v>
      </x:c>
      <x:c r="F78" s="24" t="str">
        <x:v>Black marlin</x:v>
      </x:c>
      <x:c r="G78" s="24" t="str">
        <x:v>Large pelagics (&gt;=90 cm)</x:v>
      </x:c>
      <x:c r="H78" s="24" t="str">
        <x:v>Tuna &amp; billfishes</x:v>
      </x:c>
      <x:c r="I78" s="31" t="n">
        <x:v>1.5165262041</x:v>
      </x:c>
      <x:c r="J78" s="31" t="n">
        <x:v>1.5165262041</x:v>
      </x:c>
      <x:c r="K78" s="31" t="n">
        <x:v>0</x:v>
      </x:c>
      <x:c r="L78" s="31" t="n">
        <x:v>1.5165262041</x:v>
      </x:c>
      <x:c r="M78" s="31" t="n">
        <x:v>0</x:v>
      </x:c>
      <x:c r="N78" s="24" t="str">
        <x:v>istiompax indica</x:v>
      </x:c>
      <x:c r="O78" s="32" t="n">
        <x:v>4.5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Istiompax indica</x:v>
      </x:c>
      <x:c r="T78" s="32" t="n">
        <x:f>IF(O78="","",(1/'Metadata'!$B$5)^(O78-1))</x:f>
        <x:v>3162.2776601683795</x:v>
      </x:c>
      <x:c r="U78" s="31" t="n">
        <x:f>IF(T78="","",I78*T78)</x:f>
        <x:v>4795.676936285383</x:v>
      </x:c>
    </x:row>
    <x:row r="79" ht="18" customHeight="1">
      <x:c r="A79" s="24" t="str">
        <x:v>EEZ_450</x:v>
      </x:c>
      <x:c r="B79" s="24" t="str">
        <x:v>Madagascar</x:v>
      </x:c>
      <x:c r="C79" s="24" t="str">
        <x:v>EEZ</x:v>
      </x:c>
      <x:c r="D79" s="30" t="n">
        <x:v>2019</x:v>
      </x:c>
      <x:c r="E79" s="24" t="str">
        <x:v>Sphyraena barracuda</x:v>
      </x:c>
      <x:c r="F79" s="24" t="str">
        <x:v>Great barracuda</x:v>
      </x:c>
      <x:c r="G79" s="24" t="str">
        <x:v>Large pelagics (&gt;=90 cm)</x:v>
      </x:c>
      <x:c r="H79" s="24" t="str">
        <x:v>Perch-likes</x:v>
      </x:c>
      <x:c r="I79" s="31" t="n">
        <x:v>1.4500758012</x:v>
      </x:c>
      <x:c r="J79" s="31" t="n">
        <x:v>1.2664216594</x:v>
      </x:c>
      <x:c r="K79" s="31" t="n">
        <x:v>0.1836541418</x:v>
      </x:c>
      <x:c r="L79" s="31" t="n">
        <x:v>1.2664216594</x:v>
      </x:c>
      <x:c r="M79" s="31" t="n">
        <x:v>0.1836541418</x:v>
      </x:c>
      <x:c r="N79" s="24" t="str">
        <x:v>sphyraena barracuda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Sphyraena barracuda</x:v>
      </x:c>
      <x:c r="T79" s="32" t="n">
        <x:f>IF(O79="","",(1/'Metadata'!$B$5)^(O79-1))</x:f>
        <x:v>3090.295432513592</x:v>
      </x:c>
      <x:c r="U79" s="31" t="n">
        <x:f>IF(T79="","",I79*T79)</x:f>
        <x:v>4481.162625246847</x:v>
      </x:c>
    </x:row>
    <x:row r="80" ht="18" customHeight="1">
      <x:c r="A80" s="24" t="str">
        <x:v>EEZ_450</x:v>
      </x:c>
      <x:c r="B80" s="24" t="str">
        <x:v>Madagascar</x:v>
      </x:c>
      <x:c r="C80" s="24" t="str">
        <x:v>EEZ</x:v>
      </x:c>
      <x:c r="D80" s="30" t="n">
        <x:v>2019</x:v>
      </x:c>
      <x:c r="E80" s="24" t="str">
        <x:v>Carcharhinidae</x:v>
      </x:c>
      <x:c r="F80" s="24" t="str">
        <x:v>Requiem sharks</x:v>
      </x:c>
      <x:c r="G80" s="24" t="str">
        <x:v>Large sharks (&gt;=90 cm)</x:v>
      </x:c>
      <x:c r="H80" s="24" t="str">
        <x:v>Sharks &amp; rays</x:v>
      </x:c>
      <x:c r="I80" s="31" t="n">
        <x:v>1.4428676338</x:v>
      </x:c>
      <x:c r="J80" s="31" t="n">
        <x:v>1.4428676338</x:v>
      </x:c>
      <x:c r="K80" s="31" t="n">
        <x:v>0</x:v>
      </x:c>
      <x:c r="L80" s="31" t="n">
        <x:v>1.4428676338</x:v>
      </x:c>
      <x:c r="M80" s="31" t="n">
        <x:v>0</x:v>
      </x:c>
      <x:c r="N80" s="24" t="str">
        <x:v>carcharhinidae</x:v>
      </x:c>
      <x:c r="O80" s="32" t="n">
        <x:v>4.24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Carcharhinidae</x:v>
      </x:c>
      <x:c r="T80" s="32" t="n">
        <x:f>IF(O80="","",(1/'Metadata'!$B$5)^(O80-1))</x:f>
        <x:v>1737.8008287493763</x:v>
      </x:c>
      <x:c r="U80" s="31" t="n">
        <x:f>IF(T80="","",I80*T80)</x:f>
        <x:v>2507.4165697932913</x:v>
      </x:c>
    </x:row>
    <x:row r="81" ht="18" customHeight="1">
      <x:c r="A81" s="24" t="str">
        <x:v>EEZ_450</x:v>
      </x:c>
      <x:c r="B81" s="24" t="str">
        <x:v>Madagascar</x:v>
      </x:c>
      <x:c r="C81" s="24" t="str">
        <x:v>EEZ</x:v>
      </x:c>
      <x:c r="D81" s="30" t="n">
        <x:v>2019</x:v>
      </x:c>
      <x:c r="E81" s="24" t="str">
        <x:v>Isurus</x:v>
      </x:c>
      <x:c r="F81" s="24" t="str">
        <x:v>Mako sharks</x:v>
      </x:c>
      <x:c r="G81" s="24" t="str">
        <x:v>Large sharks (&gt;=90 cm)</x:v>
      </x:c>
      <x:c r="H81" s="24" t="str">
        <x:v>Sharks &amp; rays</x:v>
      </x:c>
      <x:c r="I81" s="31" t="n">
        <x:v>1.210786825</x:v>
      </x:c>
      <x:c r="J81" s="31" t="n">
        <x:v>1.210786825</x:v>
      </x:c>
      <x:c r="K81" s="31" t="n">
        <x:v>0</x:v>
      </x:c>
      <x:c r="L81" s="31" t="n">
        <x:v>1.210786825</x:v>
      </x:c>
      <x:c r="M81" s="31" t="n">
        <x:v>0</x:v>
      </x:c>
      <x:c r="N81" s="24" t="str">
        <x:v>isurus</x:v>
      </x:c>
      <x:c r="O81" s="32" t="n">
        <x:v>4.5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Isurus</x:v>
      </x:c>
      <x:c r="T81" s="32" t="n">
        <x:f>IF(O81="","",(1/'Metadata'!$B$5)^(O81-1))</x:f>
        <x:v>3162.2776601683795</x:v>
      </x:c>
      <x:c r="U81" s="31" t="n">
        <x:f>IF(T81="","",I81*T81)</x:f>
        <x:v>3828.8441279237013</x:v>
      </x:c>
    </x:row>
    <x:row r="82" ht="18" customHeight="1">
      <x:c r="A82" s="24" t="str">
        <x:v>EEZ_450</x:v>
      </x:c>
      <x:c r="B82" s="24" t="str">
        <x:v>Madagascar</x:v>
      </x:c>
      <x:c r="C82" s="24" t="str">
        <x:v>EEZ</x:v>
      </x:c>
      <x:c r="D82" s="30" t="n">
        <x:v>2019</x:v>
      </x:c>
      <x:c r="E82" s="24" t="str">
        <x:v>Glaucostegus granulatus</x:v>
      </x:c>
      <x:c r="F82" s="24" t="str">
        <x:v>Granulated guitarfish</x:v>
      </x:c>
      <x:c r="G82" s="24" t="str">
        <x:v>Large rays (&gt;=90 cm)</x:v>
      </x:c>
      <x:c r="H82" s="24" t="str">
        <x:v>Sharks &amp; rays</x:v>
      </x:c>
      <x:c r="I82" s="31" t="n">
        <x:v>1.173381053</x:v>
      </x:c>
      <x:c r="J82" s="31" t="n">
        <x:v>0</x:v>
      </x:c>
      <x:c r="K82" s="31" t="n">
        <x:v>1.173381053</x:v>
      </x:c>
      <x:c r="L82" s="31" t="n">
        <x:v>0</x:v>
      </x:c>
      <x:c r="M82" s="31" t="n">
        <x:v>1.173381053</x:v>
      </x:c>
      <x:c r="N82" s="24" t="str">
        <x:v>glaucostegus granulatus</x:v>
      </x:c>
      <x:c r="O82" s="32" t="n">
        <x:v>3.5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Glaucostegus granulatus</x:v>
      </x:c>
      <x:c r="T82" s="32" t="n">
        <x:f>IF(O82="","",(1/'Metadata'!$B$5)^(O82-1))</x:f>
        <x:v>316.22776601683796</x:v>
      </x:c>
      <x:c r="U82" s="31" t="n">
        <x:f>IF(T82="","",I82*T82)</x:f>
        <x:v>371.0556690766749</x:v>
      </x:c>
    </x:row>
    <x:row r="83" ht="18" customHeight="1">
      <x:c r="A83" s="24" t="str">
        <x:v>EEZ_450</x:v>
      </x:c>
      <x:c r="B83" s="24" t="str">
        <x:v>Madagascar</x:v>
      </x:c>
      <x:c r="C83" s="24" t="str">
        <x:v>EEZ</x:v>
      </x:c>
      <x:c r="D83" s="30" t="n">
        <x:v>2019</x:v>
      </x:c>
      <x:c r="E83" s="24" t="str">
        <x:v>Epinephelus</x:v>
      </x:c>
      <x:c r="F83" s="24" t="str">
        <x:v>Seabasses, hinds</x:v>
      </x:c>
      <x:c r="G83" s="24" t="str">
        <x:v>Medium reef assoc. fish (30 - 89 cm)</x:v>
      </x:c>
      <x:c r="H83" s="24" t="str">
        <x:v>Perch-likes</x:v>
      </x:c>
      <x:c r="I83" s="31" t="n">
        <x:v>1.1641299077</x:v>
      </x:c>
      <x:c r="J83" s="31" t="n">
        <x:v>1.1641299077</x:v>
      </x:c>
      <x:c r="K83" s="31" t="n">
        <x:v>0</x:v>
      </x:c>
      <x:c r="L83" s="31" t="n">
        <x:v>1.1641299077</x:v>
      </x:c>
      <x:c r="M83" s="31" t="n">
        <x:v>0</x:v>
      </x:c>
      <x:c r="N83" s="24" t="str">
        <x:v>epinephelus</x:v>
      </x:c>
      <x:c r="O83" s="32" t="n">
        <x:v>3.84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Epinephelus</x:v>
      </x:c>
      <x:c r="T83" s="32" t="n">
        <x:f>IF(O83="","",(1/'Metadata'!$B$5)^(O83-1))</x:f>
        <x:v>691.8309709189363</x:v>
      </x:c>
      <x:c r="U83" s="31" t="n">
        <x:f>IF(T83="","",I83*T83)</x:f>
        <x:v>805.3811243198627</x:v>
      </x:c>
    </x:row>
    <x:row r="84" ht="18" customHeight="1">
      <x:c r="A84" s="24" t="str">
        <x:v>EEZ_450</x:v>
      </x:c>
      <x:c r="B84" s="24" t="str">
        <x:v>Madagascar</x:v>
      </x:c>
      <x:c r="C84" s="24" t="str">
        <x:v>EEZ</x:v>
      </x:c>
      <x:c r="D84" s="30" t="n">
        <x:v>2019</x:v>
      </x:c>
      <x:c r="E84" s="24" t="str">
        <x:v>Pomadasys</x:v>
      </x:c>
      <x:c r="F84" s="24" t="str">
        <x:v>Grunters</x:v>
      </x:c>
      <x:c r="G84" s="24" t="str">
        <x:v>Medium demersals (30 - 89 cm)</x:v>
      </x:c>
      <x:c r="H84" s="24" t="str">
        <x:v>Perch-likes</x:v>
      </x:c>
      <x:c r="I84" s="31" t="n">
        <x:v>1.0335657232000002</x:v>
      </x:c>
      <x:c r="J84" s="31" t="n">
        <x:v>1.0335657232000002</x:v>
      </x:c>
      <x:c r="K84" s="31" t="n">
        <x:v>0</x:v>
      </x:c>
      <x:c r="L84" s="31" t="n">
        <x:v>1.0335657232000002</x:v>
      </x:c>
      <x:c r="M84" s="31" t="n">
        <x:v>0</x:v>
      </x:c>
      <x:c r="N84" s="24" t="str">
        <x:v>pomadasys</x:v>
      </x:c>
      <x:c r="O84" s="32" t="n">
        <x:v>3.59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Pomadasys</x:v>
      </x:c>
      <x:c r="T84" s="32" t="n">
        <x:f>IF(O84="","",(1/'Metadata'!$B$5)^(O84-1))</x:f>
        <x:v>389.04514499428046</x:v>
      </x:c>
      <x:c r="U84" s="31" t="n">
        <x:f>IF(T84="","",I84*T84)</x:f>
        <x:v>402.10372664346244</x:v>
      </x:c>
    </x:row>
    <x:row r="85" ht="18" customHeight="1">
      <x:c r="A85" s="24" t="str">
        <x:v>EEZ_450</x:v>
      </x:c>
      <x:c r="B85" s="24" t="str">
        <x:v>Madagascar</x:v>
      </x:c>
      <x:c r="C85" s="24" t="str">
        <x:v>EEZ</x:v>
      </x:c>
      <x:c r="D85" s="30" t="n">
        <x:v>2019</x:v>
      </x:c>
      <x:c r="E85" s="24" t="str">
        <x:v>Sphyrna lewini</x:v>
      </x:c>
      <x:c r="F85" s="24" t="str">
        <x:v>Scalloped hammerhead</x:v>
      </x:c>
      <x:c r="G85" s="24" t="str">
        <x:v>Large sharks (&gt;=90 cm)</x:v>
      </x:c>
      <x:c r="H85" s="24" t="str">
        <x:v>Sharks &amp; rays</x:v>
      </x:c>
      <x:c r="I85" s="31" t="n">
        <x:v>0.8741981693</x:v>
      </x:c>
      <x:c r="J85" s="31" t="n">
        <x:v>0.8741981693</x:v>
      </x:c>
      <x:c r="K85" s="31" t="n">
        <x:v>0</x:v>
      </x:c>
      <x:c r="L85" s="31" t="n">
        <x:v>0.8741981693</x:v>
      </x:c>
      <x:c r="M85" s="31" t="n">
        <x:v>0</x:v>
      </x:c>
      <x:c r="N85" s="24" t="str">
        <x:v>sphyrna lewini</x:v>
      </x:c>
      <x:c r="O85" s="32" t="n">
        <x:v>4.08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Sphyrna lewini</x:v>
      </x:c>
      <x:c r="T85" s="32" t="n">
        <x:f>IF(O85="","",(1/'Metadata'!$B$5)^(O85-1))</x:f>
        <x:v>1202.2644346174131</x:v>
      </x:c>
      <x:c r="U85" s="31" t="n">
        <x:f>IF(T85="","",I85*T85)</x:f>
        <x:v>1051.0173677570422</x:v>
      </x:c>
    </x:row>
    <x:row r="86" ht="18" customHeight="1">
      <x:c r="A86" s="24" t="str">
        <x:v>EEZ_450</x:v>
      </x:c>
      <x:c r="B86" s="24" t="str">
        <x:v>Madagascar</x:v>
      </x:c>
      <x:c r="C86" s="24" t="str">
        <x:v>EEZ</x:v>
      </x:c>
      <x:c r="D86" s="30" t="n">
        <x:v>2019</x:v>
      </x:c>
      <x:c r="E86" s="24" t="str">
        <x:v>Ariidae</x:v>
      </x:c>
      <x:c r="F86" s="24" t="str">
        <x:v>Sea catfishes, coblers</x:v>
      </x:c>
      <x:c r="G86" s="24" t="str">
        <x:v>Medium demersals (30 - 89 cm)</x:v>
      </x:c>
      <x:c r="H86" s="24" t="str">
        <x:v>Other fishes &amp; inverts</x:v>
      </x:c>
      <x:c r="I86" s="31" t="n">
        <x:v>0.8444226053</x:v>
      </x:c>
      <x:c r="J86" s="31" t="n">
        <x:v>0.8444226053</x:v>
      </x:c>
      <x:c r="K86" s="31" t="n">
        <x:v>0</x:v>
      </x:c>
      <x:c r="L86" s="31" t="n">
        <x:v>0.8444226053</x:v>
      </x:c>
      <x:c r="M86" s="31" t="n">
        <x:v>0</x:v>
      </x:c>
      <x:c r="N86" s="24" t="str">
        <x:v>ariidae</x:v>
      </x:c>
      <x:c r="O86" s="32" t="n">
        <x:v>3.48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Ariidae</x:v>
      </x:c>
      <x:c r="T86" s="32" t="n">
        <x:f>IF(O86="","",(1/'Metadata'!$B$5)^(O86-1))</x:f>
        <x:v>301.9951720402016</x:v>
      </x:c>
      <x:c r="U86" s="31" t="n">
        <x:f>IF(T86="","",I86*T86)</x:f>
        <x:v>255.0115499622088</x:v>
      </x:c>
    </x:row>
    <x:row r="87" ht="18" customHeight="1">
      <x:c r="A87" s="24" t="str">
        <x:v>EEZ_450</x:v>
      </x:c>
      <x:c r="B87" s="24" t="str">
        <x:v>Madagascar</x:v>
      </x:c>
      <x:c r="C87" s="24" t="str">
        <x:v>EEZ</x:v>
      </x:c>
      <x:c r="D87" s="30" t="n">
        <x:v>2019</x:v>
      </x:c>
      <x:c r="E87" s="24" t="str">
        <x:v>Sardinella gibbosa</x:v>
      </x:c>
      <x:c r="F87" s="24" t="str">
        <x:v>Goldstripe sardinella</x:v>
      </x:c>
      <x:c r="G87" s="24" t="str">
        <x:v>Small pelagics (&lt;30 cm)</x:v>
      </x:c>
      <x:c r="H87" s="24" t="str">
        <x:v>Herring-likes</x:v>
      </x:c>
      <x:c r="I87" s="31" t="n">
        <x:v>0.6532097398</x:v>
      </x:c>
      <x:c r="J87" s="31" t="n">
        <x:v>0</x:v>
      </x:c>
      <x:c r="K87" s="31" t="n">
        <x:v>0.6532097398</x:v>
      </x:c>
      <x:c r="L87" s="31" t="n">
        <x:v>0</x:v>
      </x:c>
      <x:c r="M87" s="31" t="n">
        <x:v>0.6532097398</x:v>
      </x:c>
      <x:c r="N87" s="24" t="str">
        <x:v>sardinella gibbosa</x:v>
      </x:c>
      <x:c r="O87" s="32" t="n">
        <x:v>2.85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Sardinella gibbosa</x:v>
      </x:c>
      <x:c r="T87" s="32" t="n">
        <x:f>IF(O87="","",(1/'Metadata'!$B$5)^(O87-1))</x:f>
        <x:v>70.79457843841381</x:v>
      </x:c>
      <x:c r="U87" s="31" t="n">
        <x:f>IF(T87="","",I87*T87)</x:f>
        <x:v>46.24370816100697</x:v>
      </x:c>
    </x:row>
    <x:row r="88" ht="18" customHeight="1">
      <x:c r="A88" s="24" t="str">
        <x:v>EEZ_450</x:v>
      </x:c>
      <x:c r="B88" s="24" t="str">
        <x:v>Madagascar</x:v>
      </x:c>
      <x:c r="C88" s="24" t="str">
        <x:v>EEZ</x:v>
      </x:c>
      <x:c r="D88" s="30" t="n">
        <x:v>2019</x:v>
      </x:c>
      <x:c r="E88" s="24" t="str">
        <x:v>Tetrapturus angustirostris</x:v>
      </x:c>
      <x:c r="F88" s="24" t="str">
        <x:v>Shortbill spearfish</x:v>
      </x:c>
      <x:c r="G88" s="24" t="str">
        <x:v>Large pelagics (&gt;=90 cm)</x:v>
      </x:c>
      <x:c r="H88" s="24" t="str">
        <x:v>Tuna &amp; billfishes</x:v>
      </x:c>
      <x:c r="I88" s="31" t="n">
        <x:v>0.42569819740000003</x:v>
      </x:c>
      <x:c r="J88" s="31" t="n">
        <x:v>0.42569819740000003</x:v>
      </x:c>
      <x:c r="K88" s="31" t="n">
        <x:v>0</x:v>
      </x:c>
      <x:c r="L88" s="31" t="n">
        <x:v>0.3849599825</x:v>
      </x:c>
      <x:c r="M88" s="31" t="n">
        <x:v>0.0407382149</x:v>
      </x:c>
      <x:c r="N88" s="24" t="str">
        <x:v>tetrapturus angustirostris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Tetrapturus angustirostris</x:v>
      </x:c>
      <x:c r="T88" s="32" t="n">
        <x:f>IF(O88="","",(1/'Metadata'!$B$5)^(O88-1))</x:f>
        <x:v>3162.2776601683795</x:v>
      </x:c>
      <x:c r="U88" s="31" t="n">
        <x:f>IF(T88="","",I88*T88)</x:f>
        <x:v>1346.175899611969</x:v>
      </x:c>
    </x:row>
    <x:row r="89" ht="18" customHeight="1">
      <x:c r="A89" s="24" t="str">
        <x:v>EEZ_450</x:v>
      </x:c>
      <x:c r="B89" s="24" t="str">
        <x:v>Madagascar</x:v>
      </x:c>
      <x:c r="C89" s="24" t="str">
        <x:v>EEZ</x:v>
      </x:c>
      <x:c r="D89" s="30" t="n">
        <x:v>2019</x:v>
      </x:c>
      <x:c r="E89" s="24" t="str">
        <x:v>Istiophoridae</x:v>
      </x:c>
      <x:c r="F89" s="24" t="str">
        <x:v>Billfishes</x:v>
      </x:c>
      <x:c r="G89" s="24" t="str">
        <x:v>Large pelagics (&gt;=90 cm)</x:v>
      </x:c>
      <x:c r="H89" s="24" t="str">
        <x:v>Tuna &amp; billfishes</x:v>
      </x:c>
      <x:c r="I89" s="31" t="n">
        <x:v>0.1656554209</x:v>
      </x:c>
      <x:c r="J89" s="31" t="n">
        <x:v>0.1656554209</x:v>
      </x:c>
      <x:c r="K89" s="31" t="n">
        <x:v>0</x:v>
      </x:c>
      <x:c r="L89" s="31" t="n">
        <x:v>0.1656554209</x:v>
      </x:c>
      <x:c r="M89" s="31" t="n">
        <x:v>0</x:v>
      </x:c>
      <x:c r="N89" s="24" t="str">
        <x:v>istiophoridae</x:v>
      </x:c>
      <x:c r="O89" s="32" t="n">
        <x:v>4.48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Istiophoridae</x:v>
      </x:c>
      <x:c r="T89" s="32" t="n">
        <x:f>IF(O89="","",(1/'Metadata'!$B$5)^(O89-1))</x:f>
        <x:v>3019.951720402019</x:v>
      </x:c>
      <x:c r="U89" s="31" t="n">
        <x:f>IF(T89="","",I89*T89)</x:f>
        <x:v>500.2713733408755</x:v>
      </x:c>
    </x:row>
    <x:row r="90" ht="18" customHeight="1">
      <x:c r="A90" s="24" t="str">
        <x:v>EEZ_450</x:v>
      </x:c>
      <x:c r="B90" s="24" t="str">
        <x:v>Madagascar</x:v>
      </x:c>
      <x:c r="C90" s="24" t="str">
        <x:v>EEZ</x:v>
      </x:c>
      <x:c r="D90" s="30" t="n">
        <x:v>2019</x:v>
      </x:c>
      <x:c r="E90" s="24" t="str">
        <x:v>Ruvettus pretiosus</x:v>
      </x:c>
      <x:c r="F90" s="24" t="str">
        <x:v>Oilfish</x:v>
      </x:c>
      <x:c r="G90" s="24" t="str">
        <x:v>Large benthopelagics (&gt;=90 cm)</x:v>
      </x:c>
      <x:c r="H90" s="24" t="str">
        <x:v>Perch-likes</x:v>
      </x:c>
      <x:c r="I90" s="31" t="n">
        <x:v>0.1652026888</x:v>
      </x:c>
      <x:c r="J90" s="31" t="n">
        <x:v>0.1652026888</x:v>
      </x:c>
      <x:c r="K90" s="31" t="n">
        <x:v>0</x:v>
      </x:c>
      <x:c r="L90" s="31" t="n">
        <x:v>0.1652026888</x:v>
      </x:c>
      <x:c r="M90" s="31" t="n">
        <x:v>0</x:v>
      </x:c>
      <x:c r="N90" s="24" t="str">
        <x:v>ruvettus pretiosus</x:v>
      </x:c>
      <x:c r="O90" s="32" t="n">
        <x:v>4.18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Ruvettus pretiosus</x:v>
      </x:c>
      <x:c r="T90" s="32" t="n">
        <x:f>IF(O90="","",(1/'Metadata'!$B$5)^(O90-1))</x:f>
        <x:v>1513.5612484362073</x:v>
      </x:c>
      <x:c r="U90" s="31" t="n">
        <x:f>IF(T90="","",I90*T90)</x:f>
        <x:v>250.04438790514624</x:v>
      </x:c>
    </x:row>
    <x:row r="91" ht="18" customHeight="1">
      <x:c r="A91" s="24" t="str">
        <x:v>EEZ_450</x:v>
      </x:c>
      <x:c r="B91" s="24" t="str">
        <x:v>Madagascar</x:v>
      </x:c>
      <x:c r="C91" s="24" t="str">
        <x:v>EEZ</x:v>
      </x:c>
      <x:c r="D91" s="30" t="n">
        <x:v>2019</x:v>
      </x:c>
      <x:c r="E91" s="24" t="str">
        <x:v>Lethrinus mahsena</x:v>
      </x:c>
      <x:c r="F91" s="24" t="str">
        <x:v>Sky emperor</x:v>
      </x:c>
      <x:c r="G91" s="24" t="str">
        <x:v>Medium reef assoc. fish (30 - 89 cm)</x:v>
      </x:c>
      <x:c r="H91" s="24" t="str">
        <x:v>Perch-likes</x:v>
      </x:c>
      <x:c r="I91" s="31" t="n">
        <x:v>0.029617984</x:v>
      </x:c>
      <x:c r="J91" s="31" t="n">
        <x:v>0.029617984</x:v>
      </x:c>
      <x:c r="K91" s="31" t="n">
        <x:v>0</x:v>
      </x:c>
      <x:c r="L91" s="31" t="n">
        <x:v>0</x:v>
      </x:c>
      <x:c r="M91" s="31" t="n">
        <x:v>0.029617984</x:v>
      </x:c>
      <x:c r="N91" s="24" t="str">
        <x:v>lethrinus mahsena</x:v>
      </x:c>
      <x:c r="O91" s="32" t="n">
        <x:v>3.43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Lethrinus mahsena</x:v>
      </x:c>
      <x:c r="T91" s="32" t="n">
        <x:f>IF(O91="","",(1/'Metadata'!$B$5)^(O91-1))</x:f>
        <x:v>269.1534803926917</x:v>
      </x:c>
      <x:c r="U91" s="31" t="n">
        <x:f>IF(T91="","",I91*T91)</x:f>
        <x:v>7.971783475815056</x:v>
      </x:c>
    </x:row>
    <x:row r="92" ht="18" customHeight="1">
      <x:c r="A92" s="24" t="str">
        <x:v>EEZ_450</x:v>
      </x:c>
      <x:c r="B92" s="24" t="str">
        <x:v>Madagascar</x:v>
      </x:c>
      <x:c r="C92" s="24" t="str">
        <x:v>EEZ</x:v>
      </x:c>
      <x:c r="D92" s="30" t="n">
        <x:v>2019</x:v>
      </x:c>
      <x:c r="E92" s="24" t="str">
        <x:v>Thunnus maccoyii</x:v>
      </x:c>
      <x:c r="F92" s="24" t="str">
        <x:v>Southern bluefin tuna</x:v>
      </x:c>
      <x:c r="G92" s="24" t="str">
        <x:v>Large pelagics (&gt;=90 cm)</x:v>
      </x:c>
      <x:c r="H92" s="24" t="str">
        <x:v>Tuna &amp; billfishes</x:v>
      </x:c>
      <x:c r="I92" s="31" t="n">
        <x:v>0.0109350683</x:v>
      </x:c>
      <x:c r="J92" s="31" t="n">
        <x:v>0.0109350683</x:v>
      </x:c>
      <x:c r="K92" s="31" t="n">
        <x:v>0</x:v>
      </x:c>
      <x:c r="L92" s="31" t="n">
        <x:v>0.0109350683</x:v>
      </x:c>
      <x:c r="M92" s="31" t="n">
        <x:v>0</x:v>
      </x:c>
      <x:c r="N92" s="24" t="str">
        <x:v>thunnus maccoyii</x:v>
      </x:c>
      <x:c r="O92" s="32" t="n">
        <x:v>3.93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maccoyii</x:v>
      </x:c>
      <x:c r="T92" s="32" t="n">
        <x:f>IF(O92="","",(1/'Metadata'!$B$5)^(O92-1))</x:f>
        <x:v>851.1380382023768</x:v>
      </x:c>
      <x:c r="U92" s="31" t="n">
        <x:f>IF(T92="","",I92*T92)</x:f>
        <x:v>9.307252580471</x:v>
      </x:c>
    </x:row>
    <x:row r="93" ht="18" customHeight="1">
      <x:c r="A93" s="24" t="str">
        <x:v>EEZ_450</x:v>
      </x:c>
      <x:c r="B93" s="24" t="str">
        <x:v>Madagascar</x:v>
      </x:c>
      <x:c r="C93" s="24" t="str">
        <x:v>EEZ</x:v>
      </x:c>
      <x:c r="D93" s="30" t="n">
        <x:v>2019</x:v>
      </x:c>
      <x:c r="E93" s="24" t="str">
        <x:v>Lethrinus variegatus</x:v>
      </x:c>
      <x:c r="F93" s="24" t="str">
        <x:v>Slender emperor</x:v>
      </x:c>
      <x:c r="G93" s="24" t="str">
        <x:v>Small reef assoc. fish (&lt;30 cm)</x:v>
      </x:c>
      <x:c r="H93" s="24" t="str">
        <x:v>Perch-likes</x:v>
      </x:c>
      <x:c r="I93" s="31" t="n">
        <x:v>0.005923597</x:v>
      </x:c>
      <x:c r="J93" s="31" t="n">
        <x:v>0.005923597</x:v>
      </x:c>
      <x:c r="K93" s="31" t="n">
        <x:v>0</x:v>
      </x:c>
      <x:c r="L93" s="31" t="n">
        <x:v>0</x:v>
      </x:c>
      <x:c r="M93" s="31" t="n">
        <x:v>0.005923597</x:v>
      </x:c>
      <x:c r="N93" s="24" t="str">
        <x:v>lethrinus variegatus</x:v>
      </x:c>
      <x:c r="O93" s="32" t="n">
        <x:v>3.84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Lethrinus variegatus</x:v>
      </x:c>
      <x:c r="T93" s="32" t="n">
        <x:f>IF(O93="","",(1/'Metadata'!$B$5)^(O93-1))</x:f>
        <x:v>691.8309709189363</x:v>
      </x:c>
      <x:c r="U93" s="31" t="n">
        <x:f>IF(T93="","",I93*T93)</x:f>
        <x:v>4.098127863842498</x:v>
      </x:c>
    </x:row>
    <x:row r="94" ht="18" customHeight="1">
      <x:c r="A94" s="24" t="str">
        <x:v>EEZ_450</x:v>
      </x:c>
      <x:c r="B94" s="24" t="str">
        <x:v>Madagascar</x:v>
      </x:c>
      <x:c r="C94" s="24" t="str">
        <x:v>EEZ</x:v>
      </x:c>
      <x:c r="D94" s="30" t="n">
        <x:v>2019</x:v>
      </x:c>
      <x:c r="E94" s="24" t="str">
        <x:v>Auxis thazard</x:v>
      </x:c>
      <x:c r="F94" s="24" t="str">
        <x:v>Frigate tuna</x:v>
      </x:c>
      <x:c r="G94" s="24" t="str">
        <x:v>Medium pelagics (30 - 89 cm)</x:v>
      </x:c>
      <x:c r="H94" s="24" t="str">
        <x:v>Tuna &amp; billfishes</x:v>
      </x:c>
      <x:c r="I94" s="31" t="n">
        <x:v>0.0042961249</x:v>
      </x:c>
      <x:c r="J94" s="31" t="n">
        <x:v>0.0042961249</x:v>
      </x:c>
      <x:c r="K94" s="31" t="n">
        <x:v>0</x:v>
      </x:c>
      <x:c r="L94" s="31" t="n">
        <x:v>0.0042961249</x:v>
      </x:c>
      <x:c r="M94" s="31" t="n">
        <x:v>0</x:v>
      </x:c>
      <x:c r="N94" s="24" t="str">
        <x:v>auxis thazard</x:v>
      </x:c>
      <x:c r="O94" s="32" t="n">
        <x:v>4.37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Auxis thazard</x:v>
      </x:c>
      <x:c r="T94" s="32" t="n">
        <x:f>IF(O94="","",(1/'Metadata'!$B$5)^(O94-1))</x:f>
        <x:v>2344.228815319923</x:v>
      </x:c>
      <x:c r="U94" s="31" t="n">
        <x:f>IF(T94="","",I94*T94)</x:f>
        <x:v>10.071099784793422</x:v>
      </x:c>
    </x:row>
    <x:row r="95" ht="18" customHeight="1">
      <x:c r="A95" s="24" t="str">
        <x:v>EEZ_450</x:v>
      </x:c>
      <x:c r="B95" s="24" t="str">
        <x:v>Madagascar</x:v>
      </x:c>
      <x:c r="C95" s="24" t="str">
        <x:v>EEZ</x:v>
      </x:c>
      <x:c r="D95" s="30" t="n">
        <x:v>2019</x:v>
      </x:c>
      <x:c r="E95" s="24" t="str">
        <x:v>Netuma thalassina</x:v>
      </x:c>
      <x:c r="F95" s="24" t="str">
        <x:v>Giant catfish</x:v>
      </x:c>
      <x:c r="G95" s="24" t="str">
        <x:v>Large demersals (&gt;=90 cm)</x:v>
      </x:c>
      <x:c r="H95" s="24" t="str">
        <x:v>Other fishes &amp; inverts</x:v>
      </x:c>
      <x:c r="I95" s="31" t="n">
        <x:v>0.0028184944</x:v>
      </x:c>
      <x:c r="J95" s="31" t="n">
        <x:v>0</x:v>
      </x:c>
      <x:c r="K95" s="31" t="n">
        <x:v>0.0028184944</x:v>
      </x:c>
      <x:c r="L95" s="31" t="n">
        <x:v>0</x:v>
      </x:c>
      <x:c r="M95" s="31" t="n">
        <x:v>0.0028184944</x:v>
      </x:c>
      <x:c r="N95" s="24" t="str">
        <x:v>netuma thalassina</x:v>
      </x:c>
      <x:c r="O95" s="32" t="n">
        <x:v>3.54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Netuma thalassina</x:v>
      </x:c>
      <x:c r="T95" s="32" t="n">
        <x:f>IF(O95="","",(1/'Metadata'!$B$5)^(O95-1))</x:f>
        <x:v>346.73685045253166</x:v>
      </x:c>
      <x:c r="U95" s="31" t="n">
        <x:f>IF(T95="","",I95*T95)</x:f>
        <x:v>0.977275871274098</x:v>
      </x:c>
    </x:row>
    <x:row r="96" ht="18" customHeight="1">
      <x:c r="A96" s="24" t="str">
        <x:v>EEZ_450</x:v>
      </x:c>
      <x:c r="B96" s="24" t="str">
        <x:v>Madagascar</x:v>
      </x:c>
      <x:c r="C96" s="24" t="str">
        <x:v>EEZ</x:v>
      </x:c>
      <x:c r="D96" s="30" t="n">
        <x:v>2019</x:v>
      </x:c>
      <x:c r="E96" s="24" t="str">
        <x:v>Auxis rochei</x:v>
      </x:c>
      <x:c r="F96" s="24" t="str">
        <x:v>Bullet tuna</x:v>
      </x:c>
      <x:c r="G96" s="24" t="str">
        <x:v>Medium pelagics (30 - 89 cm)</x:v>
      </x:c>
      <x:c r="H96" s="24" t="str">
        <x:v>Tuna &amp; billfishes</x:v>
      </x:c>
      <x:c r="I96" s="31" t="n">
        <x:v>0.0011019265</x:v>
      </x:c>
      <x:c r="J96" s="31" t="n">
        <x:v>0.0011019265</x:v>
      </x:c>
      <x:c r="K96" s="31" t="n">
        <x:v>0</x:v>
      </x:c>
      <x:c r="L96" s="31" t="n">
        <x:v>0.0011019265</x:v>
      </x:c>
      <x:c r="M96" s="31" t="n">
        <x:v>0</x:v>
      </x:c>
      <x:c r="N96" s="24" t="str">
        <x:v>auxis rochei</x:v>
      </x:c>
      <x:c r="O96" s="32" t="n">
        <x:v>4.13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Auxis rochei</x:v>
      </x:c>
      <x:c r="T96" s="32" t="n">
        <x:f>IF(O96="","",(1/'Metadata'!$B$5)^(O96-1))</x:f>
        <x:v>1348.9628825916532</x:v>
      </x:c>
      <x:c r="U96" s="31" t="n">
        <x:f>IF(T96="","",I96*T96)</x:f>
        <x:v>1.4864579478441313</x:v>
      </x:c>
    </x:row>
    <x:row r="97" ht="18" customHeight="1">
      <x:c r="A97" s="24" t="str">
        <x:v>EEZ_450</x:v>
      </x:c>
      <x:c r="B97" s="24" t="str">
        <x:v>Madagascar</x:v>
      </x:c>
      <x:c r="C97" s="24" t="str">
        <x:v>EEZ</x:v>
      </x:c>
      <x:c r="D97" s="30" t="n">
        <x:v>2019</x:v>
      </x:c>
      <x:c r="E97" s="24" t="str">
        <x:v>Lamna nasus</x:v>
      </x:c>
      <x:c r="F97" s="24" t="str">
        <x:v>Porbeagle</x:v>
      </x:c>
      <x:c r="G97" s="24" t="str">
        <x:v>Large sharks (&gt;=90 cm)</x:v>
      </x:c>
      <x:c r="H97" s="24" t="str">
        <x:v>Sharks &amp; rays</x:v>
      </x:c>
      <x:c r="I97" s="31" t="n">
        <x:v>0.000005992</x:v>
      </x:c>
      <x:c r="J97" s="31" t="n">
        <x:v>0.000005992</x:v>
      </x:c>
      <x:c r="K97" s="31" t="n">
        <x:v>0</x:v>
      </x:c>
      <x:c r="L97" s="31" t="n">
        <x:v>0.000005992</x:v>
      </x:c>
      <x:c r="M97" s="31" t="n">
        <x:v>0</x:v>
      </x:c>
      <x:c r="N97" s="24" t="str">
        <x:v>lamna nasus</x:v>
      </x:c>
      <x:c r="O97" s="32" t="n">
        <x:v>4.57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Lamna nasus</x:v>
      </x:c>
      <x:c r="T97" s="32" t="n">
        <x:f>IF(O97="","",(1/'Metadata'!$B$5)^(O97-1))</x:f>
        <x:v>3715.3522909717276</x:v>
      </x:c>
      <x:c r="U97" s="31" t="n">
        <x:f>IF(T97="","",I97*T97)</x:f>
        <x:v>0.022262390927502592</x:v>
      </x:c>
    </x:row>
  </x:sheetData>
  <x:conditionalFormatting sqref="R2:R9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45d68e672b246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2.4445814026</x:v>
      </x:c>
      <x:c r="E2" s="31" t="n">
        <x:v>2.4445814026</x:v>
      </x:c>
      <x:c r="F2" s="32" t="n">
        <x:v>0</x:v>
      </x:c>
      <x:c r="G2" s="34" t="n">
        <x:v>1</x:v>
      </x:c>
      <x:c r="H2" s="32" t="n">
        <x:f>IF(E2=0,"",I2/E2)</x:f>
        <x:v>218.77616239495518</x:v>
      </x:c>
      <x:c r="I2" s="31" t="n">
        <x:f>IF(C2=0,"",SUMIF('Species'!$H$2:$H$97,A2,'Species'!$U$2:$U$97))</x:f>
        <x:v>534.8161379229049</x:v>
      </x:c>
      <x:c r="J2" s="32" t="n">
        <x:v>3.34</x:v>
      </x:c>
      <x:c r="K2" s="32" t="n">
        <x:f>IF(J2="","",(1/'Metadata'!$B$5)^(J2-1))</x:f>
        <x:v>218.77616239495518</x:v>
      </x:c>
      <x:c r="L2" s="31" t="n">
        <x:f>IF(E2=0,"",E2*K2)</x:f>
        <x:v>534.8161379229049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6</x:v>
      </x:c>
      <x:c r="C3" s="33" t="n">
        <x:v>6</x:v>
      </x:c>
      <x:c r="D3" s="31" t="n">
        <x:v>28102.9775336202</x:v>
      </x:c>
      <x:c r="E3" s="31" t="n">
        <x:v>28102.9775336202</x:v>
      </x:c>
      <x:c r="F3" s="32" t="n">
        <x:v>0</x:v>
      </x:c>
      <x:c r="G3" s="34" t="n">
        <x:v>1</x:v>
      </x:c>
      <x:c r="H3" s="32" t="n">
        <x:f>IF(E3=0,"",I3/E3)</x:f>
        <x:v>82.50792190205632</x:v>
      </x:c>
      <x:c r="I3" s="31" t="n">
        <x:f>IF(C3=0,"",SUMIF('Species'!$H$2:$H$97,A3,'Species'!$U$2:$U$97))</x:f>
        <x:v>2318718.275559179</x:v>
      </x:c>
      <x:c r="J3" s="32" t="n">
        <x:v>2.815512320570149</x:v>
      </x:c>
      <x:c r="K3" s="32" t="n">
        <x:f>IF(J3="","",(1/'Metadata'!$B$5)^(J3-1))</x:f>
        <x:v>65.39014803780927</x:v>
      </x:c>
      <x:c r="L3" s="31" t="n">
        <x:f>IF(E3=0,"",E3*K3)</x:f>
        <x:v>1837657.861226653</x:v>
      </x:c>
      <x:c r="M3" s="31" t="n">
        <x:f>IF(E3=0,"",I3-L3)</x:f>
        <x:v>481060.41433252604</x:v>
      </x:c>
      <x:c r="N3" s="32" t="n">
        <x:f>IF(L3=0,"",I3/L3)</x:f>
        <x:v>1.2617790963609592</x:v>
      </x:c>
      <x:c r="O3" s="34" t="n">
        <x:f>IF(L3=0,"",M3/L3)</x:f>
        <x:v>0.26177909636095914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1.6230447054000001</x:v>
      </x:c>
      <x:c r="E4" s="31" t="n">
        <x:v>1.6230447054000001</x:v>
      </x:c>
      <x:c r="F4" s="32" t="n">
        <x:v>0</x:v>
      </x:c>
      <x:c r="G4" s="34" t="n">
        <x:v>1</x:v>
      </x:c>
      <x:c r="H4" s="32" t="n">
        <x:f>IF(E4=0,"",I4/E4)</x:f>
        <x:v>141.2537544622754</x:v>
      </x:c>
      <x:c r="I4" s="31" t="n">
        <x:f>IF(C4=0,"",SUMIF('Species'!$H$2:$H$97,A4,'Species'!$U$2:$U$97))</x:f>
        <x:v>229.26115829786772</x:v>
      </x:c>
      <x:c r="J4" s="32" t="n">
        <x:v>3.15</x:v>
      </x:c>
      <x:c r="K4" s="32" t="n">
        <x:f>IF(J4="","",(1/'Metadata'!$B$5)^(J4-1))</x:f>
        <x:v>141.2537544622754</x:v>
      </x:c>
      <x:c r="L4" s="31" t="n">
        <x:f>IF(E4=0,"",E4*K4)</x:f>
        <x:v>229.26115829786772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4407.326142987601</x:v>
      </x:c>
      <x:c r="E5" s="31" t="n">
        <x:v>4407.326142987601</x:v>
      </x:c>
      <x:c r="F5" s="32" t="n">
        <x:v>0</x:v>
      </x:c>
      <x:c r="G5" s="34" t="n">
        <x:v>1</x:v>
      </x:c>
      <x:c r="H5" s="32" t="n">
        <x:f>IF(E5=0,"",I5/E5)</x:f>
        <x:v>144.54574719578514</x:v>
      </x:c>
      <x:c r="I5" s="31" t="n">
        <x:f>IF(C5=0,"",SUMIF('Species'!$H$2:$H$97,A5,'Species'!$U$2:$U$97))</x:f>
        <x:v>637060.2504736605</x:v>
      </x:c>
      <x:c r="J5" s="32" t="n">
        <x:v>3.159988397168242</x:v>
      </x:c>
      <x:c r="K5" s="32" t="n">
        <x:f>IF(J5="","",(1/'Metadata'!$B$5)^(J5-1))</x:f>
        <x:v>144.54011541593874</x:v>
      </x:c>
      <x:c r="L5" s="31" t="n">
        <x:f>IF(E5=0,"",E5*K5)</x:f>
        <x:v>637035.429383112</x:v>
      </x:c>
      <x:c r="M5" s="31" t="n">
        <x:f>IF(E5=0,"",I5-L5)</x:f>
        <x:v>24.821090548532084</x:v>
      </x:c>
      <x:c r="N5" s="32" t="n">
        <x:f>IF(L5=0,"",I5/L5)</x:f>
        <x:v>1.0000389634381444</x:v>
      </x:c>
      <x:c r="O5" s="34" t="n">
        <x:f>IF(L5=0,"",M5/L5)</x:f>
        <x:v>0.0000389634381443559</x:v>
      </x:c>
    </x:row>
    <x:row r="6" ht="18" customHeight="1">
      <x:c r="A6" s="24" t="str">
        <x:v>Other fishes &amp; inverts</x:v>
      </x:c>
      <x:c r="B6" s="33" t="n">
        <x:v>13</x:v>
      </x:c>
      <x:c r="C6" s="33" t="n">
        <x:v>13</x:v>
      </x:c>
      <x:c r="D6" s="31" t="n">
        <x:v>69816.3924090368</x:v>
      </x:c>
      <x:c r="E6" s="31" t="n">
        <x:v>69816.3924090368</x:v>
      </x:c>
      <x:c r="F6" s="32" t="n">
        <x:v>0</x:v>
      </x:c>
      <x:c r="G6" s="34" t="n">
        <x:v>1</x:v>
      </x:c>
      <x:c r="H6" s="32" t="n">
        <x:f>IF(E6=0,"",I6/E6)</x:f>
        <x:v>176.39360623476793</x:v>
      </x:c>
      <x:c r="I6" s="31" t="n">
        <x:f>IF(C6=0,"",SUMIF('Species'!$H$2:$H$97,A6,'Species'!$U$2:$U$97))</x:f>
        <x:v>12315165.231331676</x:v>
      </x:c>
      <x:c r="J6" s="32" t="n">
        <x:v>2.9930788739298353</x:v>
      </x:c>
      <x:c r="K6" s="32" t="n">
        <x:f>IF(J6="","",(1/'Metadata'!$B$5)^(J6-1))</x:f>
        <x:v>98.41898321193057</x:v>
      </x:c>
      <x:c r="L6" s="31" t="n">
        <x:f>IF(E6=0,"",E6*K6)</x:f>
        <x:v>6871258.352422548</x:v>
      </x:c>
      <x:c r="M6" s="31" t="n">
        <x:f>IF(E6=0,"",I6-L6)</x:f>
        <x:v>5443906.878909128</x:v>
      </x:c>
      <x:c r="N6" s="32" t="n">
        <x:f>IF(L6=0,"",I6/L6)</x:f>
        <x:v>1.79227218650421</x:v>
      </x:c>
      <x:c r="O6" s="34" t="n">
        <x:f>IF(L6=0,"",M6/L6)</x:f>
        <x:v>0.7922721865042099</x:v>
      </x:c>
    </x:row>
    <x:row r="7" ht="18" customHeight="1">
      <x:c r="A7" s="24" t="str">
        <x:v>Perch-likes</x:v>
      </x:c>
      <x:c r="B7" s="33" t="n">
        <x:v>39</x:v>
      </x:c>
      <x:c r="C7" s="33" t="n">
        <x:v>39</x:v>
      </x:c>
      <x:c r="D7" s="31" t="n">
        <x:v>44871.743908484896</x:v>
      </x:c>
      <x:c r="E7" s="31" t="n">
        <x:v>44871.743908484896</x:v>
      </x:c>
      <x:c r="F7" s="32" t="n">
        <x:v>0</x:v>
      </x:c>
      <x:c r="G7" s="34" t="n">
        <x:v>1</x:v>
      </x:c>
      <x:c r="H7" s="32" t="n">
        <x:f>IF(E7=0,"",I7/E7)</x:f>
        <x:v>917.8252788425366</x:v>
      </x:c>
      <x:c r="I7" s="31" t="n">
        <x:f>IF(C7=0,"",SUMIF('Species'!$H$2:$H$97,A7,'Species'!$U$2:$U$97))</x:f>
        <x:v>41184420.86495604</x:v>
      </x:c>
      <x:c r="J7" s="32" t="n">
        <x:v>3.563256513815442</x:v>
      </x:c>
      <x:c r="K7" s="32" t="n">
        <x:f>IF(J7="","",(1/'Metadata'!$B$5)^(J7-1))</x:f>
        <x:v>365.8107920912281</x:v>
      </x:c>
      <x:c r="L7" s="31" t="n">
        <x:f>IF(E7=0,"",E7*K7)</x:f>
        <x:v>16414568.1816776</x:v>
      </x:c>
      <x:c r="M7" s="31" t="n">
        <x:f>IF(E7=0,"",I7-L7)</x:f>
        <x:v>24769852.68327844</x:v>
      </x:c>
      <x:c r="N7" s="32" t="n">
        <x:f>IF(L7=0,"",I7/L7)</x:f>
        <x:v>2.5090164059830244</x:v>
      </x:c>
      <x:c r="O7" s="34" t="n">
        <x:f>IF(L7=0,"",M7/L7)</x:f>
        <x:v>1.5090164059830244</x:v>
      </x:c>
    </x:row>
    <x:row r="8" ht="18" customHeight="1">
      <x:c r="A8" s="24" t="str">
        <x:v>Sharks &amp; rays</x:v>
      </x:c>
      <x:c r="B8" s="33" t="n">
        <x:v>16</x:v>
      </x:c>
      <x:c r="C8" s="33" t="n">
        <x:v>16</x:v>
      </x:c>
      <x:c r="D8" s="31" t="n">
        <x:v>4011.7187868515</x:v>
      </x:c>
      <x:c r="E8" s="31" t="n">
        <x:v>4011.7187868515</x:v>
      </x:c>
      <x:c r="F8" s="32" t="n">
        <x:v>0</x:v>
      </x:c>
      <x:c r="G8" s="34" t="n">
        <x:v>1</x:v>
      </x:c>
      <x:c r="H8" s="32" t="n">
        <x:f>IF(E8=0,"",I8/E8)</x:f>
        <x:v>1579.8573717254055</x:v>
      </x:c>
      <x:c r="I8" s="31" t="n">
        <x:f>IF(C8=0,"",SUMIF('Species'!$H$2:$H$97,A8,'Species'!$U$2:$U$97))</x:f>
        <x:v>6337943.498696644</x:v>
      </x:c>
      <x:c r="J8" s="32" t="n">
        <x:v>4.164074915207539</x:v>
      </x:c>
      <x:c r="K8" s="32" t="n">
        <x:f>IF(J8="","",(1/'Metadata'!$B$5)^(J8-1))</x:f>
        <x:v>1459.0659254567584</x:v>
      </x:c>
      <x:c r="L8" s="31" t="n">
        <x:f>IF(E8=0,"",E8*K8)</x:f>
        <x:v>5853362.184409748</x:v>
      </x:c>
      <x:c r="M8" s="31" t="n">
        <x:f>IF(E8=0,"",I8-L8)</x:f>
        <x:v>484581.314286896</x:v>
      </x:c>
      <x:c r="N8" s="32" t="n">
        <x:f>IF(L8=0,"",I8/L8)</x:f>
        <x:v>1.0827868324255696</x:v>
      </x:c>
      <x:c r="O8" s="34" t="n">
        <x:f>IF(L8=0,"",M8/L8)</x:f>
        <x:v>0.08278683242556964</x:v>
      </x:c>
    </x:row>
    <x:row r="9" ht="18" customHeight="1">
      <x:c r="A9" s="24" t="str">
        <x:v>Tuna &amp; billfishes</x:v>
      </x:c>
      <x:c r="B9" s="33" t="n">
        <x:v>17</x:v>
      </x:c>
      <x:c r="C9" s="33" t="n">
        <x:v>17</x:v>
      </x:c>
      <x:c r="D9" s="31" t="n">
        <x:v>8782.4598022334</x:v>
      </x:c>
      <x:c r="E9" s="31" t="n">
        <x:v>8782.4598022334</x:v>
      </x:c>
      <x:c r="F9" s="32" t="n">
        <x:v>0</x:v>
      </x:c>
      <x:c r="G9" s="34" t="n">
        <x:v>1</x:v>
      </x:c>
      <x:c r="H9" s="32" t="n">
        <x:f>IF(E9=0,"",I9/E9)</x:f>
        <x:v>2841.7373377698814</x:v>
      </x:c>
      <x:c r="I9" s="31" t="n">
        <x:f>IF(C9=0,"",SUMIF('Species'!$H$2:$H$97,A9,'Species'!$U$2:$U$97))</x:f>
        <x:v>24957443.93746974</x:v>
      </x:c>
      <x:c r="J9" s="32" t="n">
        <x:v>4.447764957380837</x:v>
      </x:c>
      <x:c r="K9" s="32" t="n">
        <x:f>IF(J9="","",(1/'Metadata'!$B$5)^(J9-1))</x:f>
        <x:v>2803.915732255774</x:v>
      </x:c>
      <x:c r="L9" s="31" t="n">
        <x:f>IF(E9=0,"",E9*K9)</x:f>
        <x:v>24625277.207386162</x:v>
      </x:c>
      <x:c r="M9" s="31" t="n">
        <x:f>IF(E9=0,"",I9-L9)</x:f>
        <x:v>332166.73008357733</x:v>
      </x:c>
      <x:c r="N9" s="32" t="n">
        <x:f>IF(L9=0,"",I9/L9)</x:f>
        <x:v>1.0134888524212815</x:v>
      </x:c>
      <x:c r="O9" s="34" t="n">
        <x:f>IF(L9=0,"",M9/L9)</x:f>
        <x:v>0.013488852421281434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f75e25f3b2c48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10208.2560092191</x:v>
      </x:c>
      <x:c r="E2" s="31" t="n">
        <x:v>10208.2560092191</x:v>
      </x:c>
      <x:c r="F2" s="32" t="n">
        <x:v>0</x:v>
      </x:c>
      <x:c r="G2" s="34" t="n">
        <x:v>1</x:v>
      </x:c>
      <x:c r="H2" s="32" t="n">
        <x:f>IF(E2=0,"",I2/E2)</x:f>
        <x:v>643.8289434790111</x:v>
      </x:c>
      <x:c r="I2" s="31" t="n">
        <x:f>IF(C2=0,"",SUMIF('Species'!$G$2:$G$97,A2,'Species'!$U$2:$U$97))</x:f>
        <x:v>6572370.681178799</x:v>
      </x:c>
      <x:c r="J2" s="32" t="n">
        <x:v>3.8085948119260995</x:v>
      </x:c>
      <x:c r="K2" s="32" t="n">
        <x:f>IF(J2="","",(1/'Metadata'!$B$5)^(J2-1))</x:f>
        <x:v>643.5685487336639</x:v>
      </x:c>
      <x:c r="L2" s="31" t="n">
        <x:f>IF(E2=0,"",E2*K2)</x:f>
        <x:v>6569712.504954839</x:v>
      </x:c>
      <x:c r="M2" s="31" t="n">
        <x:f>IF(E2=0,"",I2-L2)</x:f>
        <x:v>2658.176223959774</x:v>
      </x:c>
      <x:c r="N2" s="32" t="n">
        <x:f>IF(L2=0,"",I2/L2)</x:f>
        <x:v>1.00040461073783</x:v>
      </x:c>
      <x:c r="O2" s="34" t="n">
        <x:f>IF(L2=0,"",M2/L2)</x:f>
        <x:v>0.0004046107378298506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99.7536930839</x:v>
      </x:c>
      <x:c r="E3" s="31" t="n">
        <x:v>99.7536930839</x:v>
      </x:c>
      <x:c r="F3" s="32" t="n">
        <x:v>0</x:v>
      </x:c>
      <x:c r="G3" s="34" t="n">
        <x:v>1</x:v>
      </x:c>
      <x:c r="H3" s="32" t="n">
        <x:f>IF(E3=0,"",I3/E3)</x:f>
        <x:v>31.62277660168379</x:v>
      </x:c>
      <x:c r="I3" s="31" t="n">
        <x:f>IF(C3=0,"",SUMIF('Species'!$G$2:$G$97,A3,'Species'!$U$2:$U$97))</x:f>
        <x:v>3154.488751585099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3154.488751585099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161.40151336810004</x:v>
      </x:c>
      <x:c r="E4" s="31" t="n">
        <x:v>161.40151336810004</x:v>
      </x:c>
      <x:c r="F4" s="32" t="n">
        <x:v>0</x:v>
      </x:c>
      <x:c r="G4" s="34" t="n">
        <x:v>1</x:v>
      </x:c>
      <x:c r="H4" s="32" t="n">
        <x:f>IF(E4=0,"",I4/E4)</x:f>
        <x:v>2547.036685740916</x:v>
      </x:c>
      <x:c r="I4" s="31" t="n">
        <x:f>IF(C4=0,"",SUMIF('Species'!$G$2:$G$97,A4,'Species'!$U$2:$U$97))</x:f>
        <x:v>411095.57568265364</x:v>
      </x:c>
      <x:c r="J4" s="32" t="n">
        <x:v>4.348222191046482</x:v>
      </x:c>
      <x:c r="K4" s="32" t="n">
        <x:f>IF(J4="","",(1/'Metadata'!$B$5)^(J4-1))</x:f>
        <x:v>2229.5755391206844</x:v>
      </x:c>
      <x:c r="L4" s="31" t="n">
        <x:f>IF(E4=0,"",E4*K4)</x:f>
        <x:v>359856.866182576</x:v>
      </x:c>
      <x:c r="M4" s="31" t="n">
        <x:f>IF(E4=0,"",I4-L4)</x:f>
        <x:v>51238.709500077646</x:v>
      </x:c>
      <x:c r="N4" s="32" t="n">
        <x:f>IF(L4=0,"",I4/L4)</x:f>
        <x:v>1.1423863605650402</x:v>
      </x:c>
      <x:c r="O4" s="34" t="n">
        <x:f>IF(L4=0,"",M4/L4)</x:f>
        <x:v>0.1423863605650401</x:v>
      </x:c>
    </x:row>
    <x:row r="5" ht="18" customHeight="1">
      <x:c r="A5" s="24" t="str">
        <x:v>Large demersals (&gt;=90 cm)</x:v>
      </x:c>
      <x:c r="B5" s="33" t="n">
        <x:v>2</x:v>
      </x:c>
      <x:c r="C5" s="33" t="n">
        <x:v>2</x:v>
      </x:c>
      <x:c r="D5" s="31" t="n">
        <x:v>4.111854544399999</x:v>
      </x:c>
      <x:c r="E5" s="31" t="n">
        <x:v>4.111854544399999</x:v>
      </x:c>
      <x:c r="F5" s="32" t="n">
        <x:v>0</x:v>
      </x:c>
      <x:c r="G5" s="34" t="n">
        <x:v>1</x:v>
      </x:c>
      <x:c r="H5" s="32" t="n">
        <x:f>IF(E5=0,"",I5/E5)</x:f>
        <x:v>794.0214306298185</x:v>
      </x:c>
      <x:c r="I5" s="31" t="n">
        <x:f>IF(C5=0,"",SUMIF('Species'!$G$2:$G$97,A5,'Species'!$U$2:$U$97))</x:f>
        <x:v>3264.9006278862075</x:v>
      </x:c>
      <x:c r="J5" s="32" t="n">
        <x:v>3.8997532359248015</x:v>
      </x:c>
      <x:c r="K5" s="32" t="n">
        <x:f>IF(J5="","",(1/'Metadata'!$B$5)^(J5-1))</x:f>
        <x:v>793.8770293682317</x:v>
      </x:c>
      <x:c r="L5" s="31" t="n">
        <x:f>IF(E5=0,"",E5*K5)</x:f>
        <x:v>3264.3068709025347</x:v>
      </x:c>
      <x:c r="M5" s="31" t="n">
        <x:f>IF(E5=0,"",I5-L5)</x:f>
        <x:v>0.5937569836728471</x:v>
      </x:c>
      <x:c r="N5" s="32" t="n">
        <x:f>IF(L5=0,"",I5/L5)</x:f>
        <x:v>1.000181893739515</x:v>
      </x:c>
      <x:c r="O5" s="34" t="n">
        <x:f>IF(L5=0,"",M5/L5)</x:f>
        <x:v>0.00018189373951496223</x:v>
      </x:c>
    </x:row>
    <x:row r="6" ht="18" customHeight="1">
      <x:c r="A6" s="24" t="str">
        <x:v>Large pelagics (&gt;=90 cm)</x:v>
      </x:c>
      <x:c r="B6" s="33" t="n">
        <x:v>19</x:v>
      </x:c>
      <x:c r="C6" s="33" t="n">
        <x:v>19</x:v>
      </x:c>
      <x:c r="D6" s="31" t="n">
        <x:v>14372.948243102499</x:v>
      </x:c>
      <x:c r="E6" s="31" t="n">
        <x:v>14372.948243102499</x:v>
      </x:c>
      <x:c r="F6" s="32" t="n">
        <x:v>0</x:v>
      </x:c>
      <x:c r="G6" s="34" t="n">
        <x:v>1</x:v>
      </x:c>
      <x:c r="H6" s="32" t="n">
        <x:f>IF(E6=0,"",I6/E6)</x:f>
        <x:v>3023.3248288244495</x:v>
      </x:c>
      <x:c r="I6" s="31" t="n">
        <x:f>IF(C6=0,"",SUMIF('Species'!$G$2:$G$97,A6,'Species'!$U$2:$U$97))</x:f>
        <x:v>43454091.286780536</x:v>
      </x:c>
      <x:c r="J6" s="32" t="n">
        <x:v>4.4785080651828935</x:v>
      </x:c>
      <x:c r="K6" s="32" t="n">
        <x:f>IF(J6="","",(1/'Metadata'!$B$5)^(J6-1))</x:f>
        <x:v>3009.5950588515784</x:v>
      </x:c>
      <x:c r="L6" s="31" t="n">
        <x:f>IF(E6=0,"",E6*K6)</x:f>
        <x:v>43256754.013570756</x:v>
      </x:c>
      <x:c r="M6" s="31" t="n">
        <x:f>IF(E6=0,"",I6-L6)</x:f>
        <x:v>197337.27320978045</x:v>
      </x:c>
      <x:c r="N6" s="32" t="n">
        <x:f>IF(L6=0,"",I6/L6)</x:f>
        <x:v>1.0045619991076509</x:v>
      </x:c>
      <x:c r="O6" s="34" t="n">
        <x:f>IF(L6=0,"",M6/L6)</x:f>
        <x:v>0.004561999107650812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5.578042496</x:v>
      </x:c>
      <x:c r="E7" s="31" t="n">
        <x:v>5.578042496</x:v>
      </x:c>
      <x:c r="F7" s="32" t="n">
        <x:v>0</x:v>
      </x:c>
      <x:c r="G7" s="34" t="n">
        <x:v>1</x:v>
      </x:c>
      <x:c r="H7" s="32" t="n">
        <x:f>IF(E7=0,"",I7/E7)</x:f>
        <x:v>380.88325338486084</x:v>
      </x:c>
      <x:c r="I7" s="31" t="n">
        <x:f>IF(C7=0,"",SUMIF('Species'!$G$2:$G$97,A7,'Species'!$U$2:$U$97))</x:f>
        <x:v>2124.5829733954897</x:v>
      </x:c>
      <x:c r="J7" s="32" t="n">
        <x:v>3.5789642862376643</x:v>
      </x:c>
      <x:c r="K7" s="32" t="n">
        <x:f>IF(J7="","",(1/'Metadata'!$B$5)^(J7-1))</x:f>
        <x:v>379.2837936765292</x:v>
      </x:c>
      <x:c r="L7" s="31" t="n">
        <x:f>IF(E7=0,"",E7*K7)</x:f>
        <x:v>2115.661119171776</x:v>
      </x:c>
      <x:c r="M7" s="31" t="n">
        <x:f>IF(E7=0,"",I7-L7)</x:f>
        <x:v>8.92185422371358</x:v>
      </x:c>
      <x:c r="N7" s="32" t="n">
        <x:f>IF(L7=0,"",I7/L7)</x:f>
        <x:v>1.004217052600185</x:v>
      </x:c>
      <x:c r="O7" s="34" t="n">
        <x:f>IF(L7=0,"",M7/L7)</x:f>
        <x:v>0.004217052600184969</x:v>
      </x:c>
    </x:row>
    <x:row r="8" ht="18" customHeight="1">
      <x:c r="A8" s="24" t="str">
        <x:v>Large sharks (&gt;=90 cm)</x:v>
      </x:c>
      <x:c r="B8" s="33" t="n">
        <x:v>14</x:v>
      </x:c>
      <x:c r="C8" s="33" t="n">
        <x:v>14</x:v>
      </x:c>
      <x:c r="D8" s="31" t="n">
        <x:v>4006.1407443554995</x:v>
      </x:c>
      <x:c r="E8" s="31" t="n">
        <x:v>4006.1407443554995</x:v>
      </x:c>
      <x:c r="F8" s="32" t="n">
        <x:v>0</x:v>
      </x:c>
      <x:c r="G8" s="34" t="n">
        <x:v>1</x:v>
      </x:c>
      <x:c r="H8" s="32" t="n">
        <x:f>IF(E8=0,"",I8/E8)</x:f>
        <x:v>1581.5267910020827</x:v>
      </x:c>
      <x:c r="I8" s="31" t="n">
        <x:f>IF(C8=0,"",SUMIF('Species'!$G$2:$G$97,A8,'Species'!$U$2:$U$97))</x:f>
        <x:v>6335818.915723248</x:v>
      </x:c>
      <x:c r="J8" s="32" t="n">
        <x:v>4.164889607491592</x:v>
      </x:c>
      <x:c r="K8" s="32" t="n">
        <x:f>IF(J8="","",(1/'Metadata'!$B$5)^(J8-1))</x:f>
        <x:v>1461.8055535870049</x:v>
      </x:c>
      <x:c r="L8" s="31" t="n">
        <x:f>IF(E8=0,"",E8*K8)</x:f>
        <x:v>5856198.788550046</x:v>
      </x:c>
      <x:c r="M8" s="31" t="n">
        <x:f>IF(E8=0,"",I8-L8)</x:f>
        <x:v>479620.1271732021</x:v>
      </x:c>
      <x:c r="N8" s="32" t="n">
        <x:f>IF(L8=0,"",I8/L8)</x:f>
        <x:v>1.0818995639476836</x:v>
      </x:c>
      <x:c r="O8" s="34" t="n">
        <x:f>IF(L8=0,"",M8/L8)</x:f>
        <x:v>0.08189956394768366</x:v>
      </x:c>
    </x:row>
    <x:row r="9" ht="18" customHeight="1">
      <x:c r="A9" s="24" t="str">
        <x:v>Lobsters, crabs</x:v>
      </x:c>
      <x:c r="B9" s="33" t="n">
        <x:v>2</x:v>
      </x:c>
      <x:c r="C9" s="33" t="n">
        <x:v>2</x:v>
      </x:c>
      <x:c r="D9" s="31" t="n">
        <x:v>10105.587615290002</x:v>
      </x:c>
      <x:c r="E9" s="31" t="n">
        <x:v>10105.587615290002</x:v>
      </x:c>
      <x:c r="F9" s="32" t="n">
        <x:v>0</x:v>
      </x:c>
      <x:c r="G9" s="34" t="n">
        <x:v>1</x:v>
      </x:c>
      <x:c r="H9" s="32" t="n">
        <x:f>IF(E9=0,"",I9/E9)</x:f>
        <x:v>134.17045503644366</x:v>
      </x:c>
      <x:c r="I9" s="31" t="n">
        <x:f>IF(C9=0,"",SUMIF('Species'!$G$2:$G$97,A9,'Species'!$U$2:$U$97))</x:f>
        <x:v>1355871.288754109</x:v>
      </x:c>
      <x:c r="J9" s="32" t="n">
        <x:v>3.097548474255221</x:v>
      </x:c>
      <x:c r="K9" s="32" t="n">
        <x:f>IF(J9="","",(1/'Metadata'!$B$5)^(J9-1))</x:f>
        <x:v>125.18389906170027</x:v>
      </x:c>
      <x:c r="L9" s="31" t="n">
        <x:f>IF(E9=0,"",E9*K9)</x:f>
        <x:v>1265056.859991632</x:v>
      </x:c>
      <x:c r="M9" s="31" t="n">
        <x:f>IF(E9=0,"",I9-L9)</x:f>
        <x:v>90814.42876247712</x:v>
      </x:c>
      <x:c r="N9" s="32" t="n">
        <x:f>IF(L9=0,"",I9/L9)</x:f>
        <x:v>1.0717868355443547</x:v>
      </x:c>
      <x:c r="O9" s="34" t="n">
        <x:f>IF(L9=0,"",M9/L9)</x:f>
        <x:v>0.07178683554435478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2707.0085908192</x:v>
      </x:c>
      <x:c r="E10" s="31" t="n">
        <x:v>2707.0085908192</x:v>
      </x:c>
      <x:c r="F10" s="32" t="n">
        <x:v>0</x:v>
      </x:c>
      <x:c r="G10" s="34" t="n">
        <x:v>1</x:v>
      </x:c>
      <x:c r="H10" s="32" t="n">
        <x:f>IF(E10=0,"",I10/E10)</x:f>
        <x:v>277.5489365020352</x:v>
      </x:c>
      <x:c r="I10" s="31" t="n">
        <x:f>IF(C10=0,"",SUMIF('Species'!$G$2:$G$97,A10,'Species'!$U$2:$U$97))</x:f>
        <x:v>751327.3554837418</x:v>
      </x:c>
      <x:c r="J10" s="32" t="n">
        <x:v>3.419722171704359</x:v>
      </x:c>
      <x:c r="K10" s="32" t="n">
        <x:f>IF(J10="","",(1/'Metadata'!$B$5)^(J10-1))</x:f>
        <x:v>262.8585886295314</x:v>
      </x:c>
      <x:c r="L10" s="31" t="n">
        <x:f>IF(E10=0,"",E10*K10)</x:f>
        <x:v>711560.4575907517</x:v>
      </x:c>
      <x:c r="M10" s="31" t="n">
        <x:f>IF(E10=0,"",I10-L10)</x:f>
        <x:v>39766.89789299015</x:v>
      </x:c>
      <x:c r="N10" s="32" t="n">
        <x:f>IF(L10=0,"",I10/L10)</x:f>
        <x:v>1.0558868856029964</x:v>
      </x:c>
      <x:c r="O10" s="34" t="n">
        <x:f>IF(L10=0,"",M10/L10)</x:f>
        <x:v>0.055886885602996456</x:v>
      </x:c>
    </x:row>
    <x:row r="11" ht="18" customHeight="1">
      <x:c r="A11" s="24" t="str">
        <x:v>Medium demersals (30 - 89 cm)</x:v>
      </x:c>
      <x:c r="B11" s="33" t="n">
        <x:v>10</x:v>
      </x:c>
      <x:c r="C11" s="33" t="n">
        <x:v>10</x:v>
      </x:c>
      <x:c r="D11" s="31" t="n">
        <x:v>29911.202295454397</x:v>
      </x:c>
      <x:c r="E11" s="31" t="n">
        <x:v>29911.202295454397</x:v>
      </x:c>
      <x:c r="F11" s="32" t="n">
        <x:v>0</x:v>
      </x:c>
      <x:c r="G11" s="34" t="n">
        <x:v>1</x:v>
      </x:c>
      <x:c r="H11" s="32" t="n">
        <x:f>IF(E11=0,"",I11/E11)</x:f>
        <x:v>189.56822235624514</x:v>
      </x:c>
      <x:c r="I11" s="31" t="n">
        <x:f>IF(C11=0,"",SUMIF('Species'!$G$2:$G$97,A11,'Species'!$U$2:$U$97))</x:f>
        <x:v>5670213.44768733</x:v>
      </x:c>
      <x:c r="J11" s="32" t="n">
        <x:v>3.2678450674294277</x:v>
      </x:c>
      <x:c r="K11" s="32" t="n">
        <x:f>IF(J11="","",(1/'Metadata'!$B$5)^(J11-1))</x:f>
        <x:v>185.287050241654</x:v>
      </x:c>
      <x:c r="L11" s="31" t="n">
        <x:f>IF(E11=0,"",E11*K11)</x:f>
        <x:v>5542158.4425061345</x:v>
      </x:c>
      <x:c r="M11" s="31" t="n">
        <x:f>IF(E11=0,"",I11-L11)</x:f>
        <x:v>128055.00518119521</x:v>
      </x:c>
      <x:c r="N11" s="32" t="n">
        <x:f>IF(L11=0,"",I11/L11)</x:f>
        <x:v>1.0231056196804236</x:v>
      </x:c>
      <x:c r="O11" s="34" t="n">
        <x:f>IF(L11=0,"",M11/L11)</x:f>
        <x:v>0.02310561968042354</x:v>
      </x:c>
    </x:row>
    <x:row r="12" ht="18" customHeight="1">
      <x:c r="A12" s="24" t="str">
        <x:v>Medium pelagics (30 - 89 cm)</x:v>
      </x:c>
      <x:c r="B12" s="33" t="n">
        <x:v>10</x:v>
      </x:c>
      <x:c r="C12" s="33" t="n">
        <x:v>10</x:v>
      </x:c>
      <x:c r="D12" s="31" t="n">
        <x:v>21232.994723719497</x:v>
      </x:c>
      <x:c r="E12" s="31" t="n">
        <x:v>21232.994723719497</x:v>
      </x:c>
      <x:c r="F12" s="32" t="n">
        <x:v>0</x:v>
      </x:c>
      <x:c r="G12" s="34" t="n">
        <x:v>1</x:v>
      </x:c>
      <x:c r="H12" s="32" t="n">
        <x:f>IF(E12=0,"",I12/E12)</x:f>
        <x:v>304.0547733117284</x:v>
      </x:c>
      <x:c r="I12" s="31" t="n">
        <x:f>IF(C12=0,"",SUMIF('Species'!$G$2:$G$97,A12,'Species'!$U$2:$U$97))</x:f>
        <x:v>6455993.397449657</x:v>
      </x:c>
      <x:c r="J12" s="32" t="n">
        <x:v>3.081781127632134</x:v>
      </x:c>
      <x:c r="K12" s="32" t="n">
        <x:f>IF(J12="","",(1/'Metadata'!$B$5)^(J12-1))</x:f>
        <x:v>120.72052838082533</x:v>
      </x:c>
      <x:c r="L12" s="31" t="n">
        <x:f>IF(E12=0,"",E12*K12)</x:f>
        <x:v>2563258.3421546943</x:v>
      </x:c>
      <x:c r="M12" s="31" t="n">
        <x:f>IF(E12=0,"",I12-L12)</x:f>
        <x:v>3892735.055294963</x:v>
      </x:c>
      <x:c r="N12" s="32" t="n">
        <x:f>IF(L12=0,"",I12/L12)</x:f>
        <x:v>2.518666687347129</x:v>
      </x:c>
      <x:c r="O12" s="34" t="n">
        <x:f>IF(L12=0,"",M12/L12)</x:f>
        <x:v>1.5186666873471288</x:v>
      </x:c>
    </x:row>
    <x:row r="13" ht="18" customHeight="1">
      <x:c r="A13" s="24" t="str">
        <x:v>Medium reef assoc. fish (30 - 89 cm)</x:v>
      </x:c>
      <x:c r="B13" s="33" t="n">
        <x:v>10</x:v>
      </x:c>
      <x:c r="C13" s="33" t="n">
        <x:v>10</x:v>
      </x:c>
      <x:c r="D13" s="31" t="n">
        <x:v>21041.595056683298</x:v>
      </x:c>
      <x:c r="E13" s="31" t="n">
        <x:v>21041.595056683298</x:v>
      </x:c>
      <x:c r="F13" s="32" t="n">
        <x:v>0</x:v>
      </x:c>
      <x:c r="G13" s="34" t="n">
        <x:v>1</x:v>
      </x:c>
      <x:c r="H13" s="32" t="n">
        <x:f>IF(E13=0,"",I13/E13)</x:f>
        <x:v>653.8472603920344</x:v>
      </x:c>
      <x:c r="I13" s="31" t="n">
        <x:f>IF(C13=0,"",SUMIF('Species'!$G$2:$G$97,A13,'Species'!$U$2:$U$97))</x:f>
        <x:v>13757989.282090947</x:v>
      </x:c>
      <x:c r="J13" s="32" t="n">
        <x:v>3.362284938280732</x:v>
      </x:c>
      <x:c r="K13" s="32" t="n">
        <x:f>IF(J13="","",(1/'Metadata'!$B$5)^(J13-1))</x:f>
        <x:v>230.29522764916132</x:v>
      </x:c>
      <x:c r="L13" s="31" t="n">
        <x:f>IF(E13=0,"",E13*K13)</x:f>
        <x:v>4845778.923680347</x:v>
      </x:c>
      <x:c r="M13" s="31" t="n">
        <x:f>IF(E13=0,"",I13-L13)</x:f>
        <x:v>8912210.3584106</x:v>
      </x:c>
      <x:c r="N13" s="32" t="n">
        <x:f>IF(L13=0,"",I13/L13)</x:f>
        <x:v>2.839169821565408</x:v>
      </x:c>
      <x:c r="O13" s="34" t="n">
        <x:f>IF(L13=0,"",M13/L13)</x:f>
        <x:v>1.8391698215654082</x:v>
      </x:c>
    </x:row>
    <x:row r="14" ht="18" customHeight="1">
      <x:c r="A14" s="24" t="str">
        <x:v>Other demersal invertebrates</x:v>
      </x:c>
      <x:c r="B14" s="33" t="n">
        <x:v>2</x:v>
      </x:c>
      <x:c r="C14" s="33" t="n">
        <x:v>2</x:v>
      </x:c>
      <x:c r="D14" s="31" t="n">
        <x:v>18649.548008599602</x:v>
      </x:c>
      <x:c r="E14" s="31" t="n">
        <x:v>18649.548008599602</x:v>
      </x:c>
      <x:c r="F14" s="32" t="n">
        <x:v>0</x:v>
      </x:c>
      <x:c r="G14" s="34" t="n">
        <x:v>1</x:v>
      </x:c>
      <x:c r="H14" s="32" t="n">
        <x:f>IF(E14=0,"",I14/E14)</x:f>
        <x:v>25.385169459463356</x:v>
      </x:c>
      <x:c r="I14" s="31" t="n">
        <x:f>IF(C14=0,"",SUMIF('Species'!$G$2:$G$97,A14,'Species'!$U$2:$U$97))</x:f>
        <x:v>473421.9365406983</x:v>
      </x:c>
      <x:c r="J14" s="32" t="n">
        <x:v>2.3911017882819205</x:v>
      </x:c>
      <x:c r="K14" s="32" t="n">
        <x:f>IF(J14="","",(1/'Metadata'!$B$5)^(J14-1))</x:f>
        <x:v>24.60944323291514</x:v>
      </x:c>
      <x:c r="L14" s="31" t="n">
        <x:f>IF(E14=0,"",E14*K14)</x:f>
        <x:v>458954.9930371575</x:v>
      </x:c>
      <x:c r="M14" s="31" t="n">
        <x:f>IF(E14=0,"",I14-L14)</x:f>
        <x:v>14466.943503540766</x:v>
      </x:c>
      <x:c r="N14" s="32" t="n">
        <x:f>IF(L14=0,"",I14/L14)</x:f>
        <x:v>1.0315214862525082</x:v>
      </x:c>
      <x:c r="O14" s="34" t="n">
        <x:f>IF(L14=0,"",M14/L14)</x:f>
        <x:v>0.03152148625250822</x:v>
      </x:c>
    </x:row>
    <x:row r="15" ht="18" customHeight="1">
      <x:c r="A15" s="24" t="str">
        <x:v>Shrimps</x:v>
      </x:c>
      <x:c r="B15" s="33" t="n">
        <x:v>4</x:v>
      </x:c>
      <x:c r="C15" s="33" t="n">
        <x:v>4</x:v>
      </x:c>
      <x:c r="D15" s="31" t="n">
        <x:v>17997.3899183302</x:v>
      </x:c>
      <x:c r="E15" s="31" t="n">
        <x:v>17997.3899183302</x:v>
      </x:c>
      <x:c r="F15" s="32" t="n">
        <x:v>0</x:v>
      </x:c>
      <x:c r="G15" s="34" t="n">
        <x:v>1</x:v>
      </x:c>
      <x:c r="H15" s="32" t="n">
        <x:f>IF(E15=0,"",I15/E15)</x:f>
        <x:v>53.49925690193654</x:v>
      </x:c>
      <x:c r="I15" s="31" t="n">
        <x:f>IF(C15=0,"",SUMIF('Species'!$G$2:$G$97,A15,'Species'!$U$2:$U$97))</x:f>
        <x:v>962846.98680507</x:v>
      </x:c>
      <x:c r="J15" s="32" t="n">
        <x:v>2.657148186955361</x:v>
      </x:c>
      <x:c r="K15" s="32" t="n">
        <x:f>IF(J15="","",(1/'Metadata'!$B$5)^(J15-1))</x:f>
        <x:v>45.40965338932053</x:v>
      </x:c>
      <x:c r="L15" s="31" t="n">
        <x:f>IF(E15=0,"",E15*K15)</x:f>
        <x:v>817255.2381038261</x:v>
      </x:c>
      <x:c r="M15" s="31" t="n">
        <x:f>IF(E15=0,"",I15-L15)</x:f>
        <x:v>145591.7487012439</x:v>
      </x:c>
      <x:c r="N15" s="32" t="n">
        <x:f>IF(L15=0,"",I15/L15)</x:f>
        <x:v>1.1781472200031926</x:v>
      </x:c>
      <x:c r="O15" s="34" t="n">
        <x:f>IF(L15=0,"",M15/L15)</x:f>
        <x:v>0.17814722000319264</x:v>
      </x:c>
    </x:row>
    <x:row r="16" ht="18" customHeight="1">
      <x:c r="A16" s="24" t="str">
        <x:v>Small benthopelagics (&lt;30 cm)</x:v>
      </x:c>
      <x:c r="B16" s="33" t="n">
        <x:v>3</x:v>
      </x:c>
      <x:c r="C16" s="33" t="n">
        <x:v>3</x:v>
      </x:c>
      <x:c r="D16" s="31" t="n">
        <x:v>4008.9909464328002</x:v>
      </x:c>
      <x:c r="E16" s="31" t="n">
        <x:v>4008.9909464328002</x:v>
      </x:c>
      <x:c r="F16" s="32" t="n">
        <x:v>0</x:v>
      </x:c>
      <x:c r="G16" s="34" t="n">
        <x:v>1</x:v>
      </x:c>
      <x:c r="H16" s="32" t="n">
        <x:f>IF(E16=0,"",I16/E16)</x:f>
        <x:v>99.16183930703134</x:v>
      </x:c>
      <x:c r="I16" s="31" t="n">
        <x:f>IF(C16=0,"",SUMIF('Species'!$G$2:$G$97,A16,'Species'!$U$2:$U$97))</x:f>
        <x:v>397538.9160135128</x:v>
      </x:c>
      <x:c r="J16" s="32" t="n">
        <x:v>2.994406733287562</x:v>
      </x:c>
      <x:c r="K16" s="32" t="n">
        <x:f>IF(J16="","",(1/'Metadata'!$B$5)^(J16-1))</x:f>
        <x:v>98.72036065224457</x:v>
      </x:c>
      <x:c r="L16" s="31" t="n">
        <x:f>IF(E16=0,"",E16*K16)</x:f>
        <x:v>395769.03208342934</x:v>
      </x:c>
      <x:c r="M16" s="31" t="n">
        <x:f>IF(E16=0,"",I16-L16)</x:f>
        <x:v>1769.8839300834807</x:v>
      </x:c>
      <x:c r="N16" s="32" t="n">
        <x:f>IF(L16=0,"",I16/L16)</x:f>
        <x:v>1.0044720121752992</x:v>
      </x:c>
      <x:c r="O16" s="34" t="n">
        <x:f>IF(L16=0,"",M16/L16)</x:f>
        <x:v>0.004472012175299213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1056.0133567449</x:v>
      </x:c>
      <x:c r="E17" s="31" t="n">
        <x:v>1056.0133567449</x:v>
      </x:c>
      <x:c r="F17" s="32" t="n">
        <x:v>0</x:v>
      </x:c>
      <x:c r="G17" s="34" t="n">
        <x:v>1</x:v>
      </x:c>
      <x:c r="H17" s="32" t="n">
        <x:f>IF(E17=0,"",I17/E17)</x:f>
        <x:v>452.7640956560493</x:v>
      </x:c>
      <x:c r="I17" s="31" t="n">
        <x:f>IF(C17=0,"",SUMIF('Species'!$G$2:$G$97,A17,'Species'!$U$2:$U$97))</x:f>
        <x:v>478124.9324673136</x:v>
      </x:c>
      <x:c r="J17" s="32" t="n">
        <x:v>3.6448107917297774</x:v>
      </x:c>
      <x:c r="K17" s="32" t="n">
        <x:f>IF(J17="","",(1/'Metadata'!$B$5)^(J17-1))</x:f>
        <x:v>441.3781110771738</x:v>
      </x:c>
      <x:c r="L17" s="31" t="n">
        <x:f>IF(E17=0,"",E17*K17)</x:f>
        <x:v>466101.1806723296</x:v>
      </x:c>
      <x:c r="M17" s="31" t="n">
        <x:f>IF(E17=0,"",I17-L17)</x:f>
        <x:v>12023.751794983982</x:v>
      </x:c>
      <x:c r="N17" s="32" t="n">
        <x:f>IF(L17=0,"",I17/L17)</x:f>
        <x:v>1.0257964414027878</x:v>
      </x:c>
      <x:c r="O17" s="34" t="n">
        <x:f>IF(L17=0,"",M17/L17)</x:f>
        <x:v>0.025796441402787848</x:v>
      </x:c>
    </x:row>
    <x:row r="18" ht="18" customHeight="1">
      <x:c r="A18" s="24" t="str">
        <x:v>Small pelagics (&lt;30 cm)</x:v>
      </x:c>
      <x:c r="B18" s="33" t="n">
        <x:v>5</x:v>
      </x:c>
      <x:c r="C18" s="33" t="n">
        <x:v>5</x:v>
      </x:c>
      <x:c r="D18" s="31" t="n">
        <x:v>4423.360840147801</x:v>
      </x:c>
      <x:c r="E18" s="31" t="n">
        <x:v>4423.360840147801</x:v>
      </x:c>
      <x:c r="F18" s="32" t="n">
        <x:v>0</x:v>
      </x:c>
      <x:c r="G18" s="34" t="n">
        <x:v>1</x:v>
      </x:c>
      <x:c r="H18" s="32" t="n">
        <x:f>IF(E18=0,"",I18/E18)</x:f>
        <x:v>150.27282115572942</x:v>
      </x:c>
      <x:c r="I18" s="31" t="n">
        <x:f>IF(C18=0,"",SUMIF('Species'!$G$2:$G$97,A18,'Species'!$U$2:$U$97))</x:f>
        <x:v>664710.9124387875</x:v>
      </x:c>
      <x:c r="J18" s="32" t="n">
        <x:v>3.1635903964714447</x:v>
      </x:c>
      <x:c r="K18" s="32" t="n">
        <x:f>IF(J18="","",(1/'Metadata'!$B$5)^(J18-1))</x:f>
        <x:v>145.74390326358477</x:v>
      </x:c>
      <x:c r="L18" s="31" t="n">
        <x:f>IF(E18=0,"",E18*K18)</x:f>
        <x:v>644677.8743864303</x:v>
      </x:c>
      <x:c r="M18" s="31" t="n">
        <x:f>IF(E18=0,"",I18-L18)</x:f>
        <x:v>20033.038052357268</x:v>
      </x:c>
      <x:c r="N18" s="32" t="n">
        <x:f>IF(L18=0,"",I18/L18)</x:f>
        <x:v>1.0310744929340465</x:v>
      </x:c>
      <x:c r="O18" s="34" t="n">
        <x:f>IF(L18=0,"",M18/L18)</x:f>
        <x:v>0.031074492934046537</x:v>
      </x:c>
    </x:row>
    <x:row r="19" ht="18" customHeight="1">
      <x:c r="A19" s="24" t="str">
        <x:v>Small reef assoc. fish (&lt;30 cm)</x:v>
      </x:c>
      <x:c r="B19" s="33" t="n">
        <x:v>2</x:v>
      </x:c>
      <x:c r="C19" s="33" t="n">
        <x:v>2</x:v>
      </x:c>
      <x:c r="D19" s="31" t="n">
        <x:v>3.1817122257999997</x:v>
      </x:c>
      <x:c r="E19" s="31" t="n">
        <x:v>3.1817122257999997</x:v>
      </x:c>
      <x:c r="F19" s="32" t="n">
        <x:v>0</x:v>
      </x:c>
      <x:c r="G19" s="34" t="n">
        <x:v>1</x:v>
      </x:c>
      <x:c r="H19" s="32" t="n">
        <x:f>IF(E19=0,"",I19/E19)</x:f>
        <x:v>417.3812970310022</x:v>
      </x:c>
      <x:c r="I19" s="31" t="n">
        <x:f>IF(C19=0,"",SUMIF('Species'!$G$2:$G$97,A19,'Species'!$U$2:$U$97))</x:f>
        <x:v>1327.9871755838008</x:v>
      </x:c>
      <x:c r="J19" s="32" t="n">
        <x:v>3.6204095880606153</x:v>
      </x:c>
      <x:c r="K19" s="32" t="n">
        <x:f>IF(J19="","",(1/'Metadata'!$B$5)^(J19-1))</x:f>
        <x:v>417.26272317504095</x:v>
      </x:c>
      <x:c r="L19" s="31" t="n">
        <x:f>IF(E19=0,"",E19*K19)</x:f>
        <x:v>1327.6099076966286</x:v>
      </x:c>
      <x:c r="M19" s="31" t="n">
        <x:f>IF(E19=0,"",I19-L19)</x:f>
        <x:v>0.3772678871721382</x:v>
      </x:c>
      <x:c r="N19" s="32" t="n">
        <x:f>IF(L19=0,"",I19/L19)</x:f>
        <x:v>1.0002841707379442</x:v>
      </x:c>
      <x:c r="O19" s="34" t="n">
        <x:f>IF(L19=0,"",M19/L19)</x:f>
        <x:v>0.00028417073794416686</x:v>
      </x:c>
    </x:row>
    <x:row r="20" ht="18" customHeight="1">
      <x:c r="A20" s="24" t="str">
        <x:v>Small to medium flatfishes (&lt;90 cm)</x:v>
      </x:c>
      <x:c r="B20" s="33" t="n">
        <x:v>1</x:v>
      </x:c>
      <x:c r="C20" s="33" t="n">
        <x:v>1</x:v>
      </x:c>
      <x:c r="D20" s="31" t="n">
        <x:v>1.6230447054000001</x:v>
      </x:c>
      <x:c r="E20" s="31" t="n">
        <x:v>1.6230447054000001</x:v>
      </x:c>
      <x:c r="F20" s="32" t="n">
        <x:v>0</x:v>
      </x:c>
      <x:c r="G20" s="34" t="n">
        <x:v>1</x:v>
      </x:c>
      <x:c r="H20" s="32" t="n">
        <x:f>IF(E20=0,"",I20/E20)</x:f>
        <x:v>141.2537544622754</x:v>
      </x:c>
      <x:c r="I20" s="31" t="n">
        <x:f>IF(C20=0,"",SUMIF('Species'!$G$2:$G$97,A20,'Species'!$U$2:$U$97))</x:f>
        <x:v>229.26115829786772</x:v>
      </x:c>
      <x:c r="J20" s="32" t="n">
        <x:v>3.15</x:v>
      </x:c>
      <x:c r="K20" s="32" t="n">
        <x:f>IF(J20="","",(1/'Metadata'!$B$5)^(J20-1))</x:f>
        <x:v>141.2537544622754</x:v>
      </x:c>
      <x:c r="L20" s="31" t="n">
        <x:f>IF(E20=0,"",E20*K20)</x:f>
        <x:v>229.26115829786772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451d47edcbf4d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EEZ_450</x:v>
      </x:c>
      <x:c r="B2" s="24" t="str">
        <x:v>raw_filtered_tonnes</x:v>
      </x:c>
      <x:c r="C2" s="24" t="n">
        <x:v>159996.68620932242</x:v>
      </x:c>
      <x:c r="D2" s="24" t="str">
        <x:v>tonnes</x:v>
      </x:c>
    </x:row>
    <x:row r="3" ht="18" customHeight="1">
      <x:c r="A3" s="24" t="str">
        <x:v>EEZ_450</x:v>
      </x:c>
      <x:c r="B3" s="24" t="str">
        <x:v>species_catch_tonnes</x:v>
      </x:c>
      <x:c r="C3" s="24" t="n">
        <x:v>159996.68620932242</x:v>
      </x:c>
      <x:c r="D3" s="24" t="str">
        <x:v>tonnes</x:v>
      </x:c>
    </x:row>
    <x:row r="4" ht="18" customHeight="1">
      <x:c r="A4" s="24" t="str">
        <x:v>EEZ_450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EEZ_450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EEZ_450</x:v>
      </x:c>
      <x:c r="B6" s="24" t="str">
        <x:v>matched_catch_tonnes</x:v>
      </x:c>
      <x:c r="C6" s="24" t="n">
        <x:v>159996.68620932242</x:v>
      </x:c>
      <x:c r="D6" s="24" t="str">
        <x:v>tonnes</x:v>
      </x:c>
    </x:row>
    <x:row r="7" ht="18" customHeight="1">
      <x:c r="A7" s="24" t="str">
        <x:v>EEZ_450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EEZ_450</x:v>
      </x:c>
      <x:c r="B8" s="24" t="str">
        <x:v>taxa_count</x:v>
      </x:c>
      <x:c r="C8" s="24" t="n">
        <x:v>96</x:v>
      </x:c>
      <x:c r="D8" s="24" t="str">
        <x:v>count</x:v>
      </x:c>
    </x:row>
    <x:row r="9" ht="18" customHeight="1">
      <x:c r="A9" s="24" t="str">
        <x:v>EEZ_450</x:v>
      </x:c>
      <x:c r="B9" s="24" t="str">
        <x:v>matched_taxa_count</x:v>
      </x:c>
      <x:c r="C9" s="24" t="n">
        <x:v>96</x:v>
      </x:c>
      <x:c r="D9" s="24" t="str">
        <x:v>count</x:v>
      </x:c>
    </x:row>
    <x:row r="10" ht="18" customHeight="1">
      <x:c r="A10" s="24" t="str">
        <x:v>EEZ_450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EEZ_450</x:v>
      </x:c>
      <x:c r="B11" s="24" t="str">
        <x:v>species_ppr</x:v>
      </x:c>
      <x:c r="C11" s="24" t="n">
        <x:v>87751516.13578317</x:v>
      </x:c>
      <x:c r="D11" s="24" t="str">
        <x:v>tonnes_primary_production_equivalent</x:v>
      </x:c>
    </x:row>
    <x:row r="12" ht="18" customHeight="1">
      <x:c r="A12" s="24" t="str">
        <x:v>EEZ_450</x:v>
      </x:c>
      <x:c r="B12" s="24" t="str">
        <x:v>commercial_ppr</x:v>
      </x:c>
      <x:c r="C12" s="24" t="n">
        <x:v>87751516.13578317</x:v>
      </x:c>
      <x:c r="D12" s="24" t="str">
        <x:v>tonnes_primary_production_equivalent</x:v>
      </x:c>
    </x:row>
    <x:row r="13" ht="18" customHeight="1">
      <x:c r="A13" s="24" t="str">
        <x:v>EEZ_450</x:v>
      </x:c>
      <x:c r="B13" s="24" t="str">
        <x:v>functional_ppr</x:v>
      </x:c>
      <x:c r="C13" s="24" t="n">
        <x:v>87751516.13578315</x:v>
      </x:c>
      <x:c r="D13" s="24" t="str">
        <x:v>tonnes_primary_production_equivalent</x:v>
      </x:c>
    </x:row>
    <x:row r="14" ht="18" customHeight="1">
      <x:c r="A14" s="24" t="str">
        <x:v>EEZ_450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EEZ_450</x:v>
      </x:c>
      <x:c r="B15" s="24" t="str">
        <x:v>functional_ppr_difference</x:v>
      </x:c>
      <x:c r="C15" s="24" t="n">
        <x:v>-1.4901161193847656e-8</x:v>
      </x:c>
      <x:c r="D15" s="24" t="str">
        <x:v>tonnes_primary_production_equivalent</x:v>
      </x:c>
    </x:row>
    <x:row r="16" ht="18" customHeight="1">
      <x:c r="A16" s="24" t="str">
        <x:v>EEZ_450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EEZ_450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EEZ_450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EEZ_450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18df8fdd97b4e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EEZ_450 - Madagascar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EEZ_450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