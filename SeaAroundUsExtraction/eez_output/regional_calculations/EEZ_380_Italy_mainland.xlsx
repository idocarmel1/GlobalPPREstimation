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a4c5c0cdc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b7ecfa3d64847ce"/>
    <x:sheet xmlns:r="http://schemas.openxmlformats.org/officeDocument/2006/relationships" name="Commercial" sheetId="2" r:id="R8a62a8f67b0f47c0"/>
    <x:sheet xmlns:r="http://schemas.openxmlformats.org/officeDocument/2006/relationships" name="Functional" sheetId="3" r:id="Rf843d3b413cb4418"/>
    <x:sheet xmlns:r="http://schemas.openxmlformats.org/officeDocument/2006/relationships" name="Missing TL" sheetId="4" r:id="Rf16bffbf41b14745"/>
    <x:sheet xmlns:r="http://schemas.openxmlformats.org/officeDocument/2006/relationships" name="Validation" sheetId="5" r:id="R457fbc1fe3eb4cf0"/>
    <x:sheet xmlns:r="http://schemas.openxmlformats.org/officeDocument/2006/relationships" name="Metadata" sheetId="6" r:id="R3dba109e2b71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abf7c25e534722" /><Relationship Type="http://schemas.openxmlformats.org/officeDocument/2006/relationships/theme" Target="/xl/theme/theme1.xml" Id="Rfadfc4ccfe7040c8" /><Relationship Type="http://schemas.microsoft.com/office/2022/11/relationships/FeaturePropertyBag" Target="/xl/featurePropertyBag/featurePropertyBag.xml" Id="Rba7435b4221e4176" /><Relationship Type="http://schemas.openxmlformats.org/officeDocument/2006/relationships/sharedStrings" Target="/xl/sharedStrings.xml" Id="Rc5cdbfbd64014d8c" /><Relationship Type="http://schemas.openxmlformats.org/officeDocument/2006/relationships/worksheet" Target="/xl/worksheets/sheet1.xml" Id="Rcb7ecfa3d64847ce" /><Relationship Type="http://schemas.openxmlformats.org/officeDocument/2006/relationships/worksheet" Target="/xl/worksheets/sheet2.xml" Id="R8a62a8f67b0f47c0" /><Relationship Type="http://schemas.openxmlformats.org/officeDocument/2006/relationships/worksheet" Target="/xl/worksheets/sheet3.xml" Id="Rf843d3b413cb4418" /><Relationship Type="http://schemas.openxmlformats.org/officeDocument/2006/relationships/worksheet" Target="/xl/worksheets/sheet4.xml" Id="Rf16bffbf41b14745" /><Relationship Type="http://schemas.openxmlformats.org/officeDocument/2006/relationships/worksheet" Target="/xl/worksheets/sheet5.xml" Id="R457fbc1fe3eb4cf0" /><Relationship Type="http://schemas.openxmlformats.org/officeDocument/2006/relationships/worksheet" Target="/xl/worksheets/sheet6.xml" Id="R3dba109e2b7140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80SpeciesTable" displayName="EEZ380SpeciesTable" ref="A1:U160" headerRowCount="1" totalsRowCount="0" totalsRowShown="0">
  <x:autoFilter ref="A1:U16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80CommercialTable" displayName="EEZ38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80FunctionalTable" displayName="EEZ380FunctionalTable" ref="A1:O26" headerRowCount="1" totalsRowCount="0" totalsRowShown="0">
  <x:autoFilter ref="A1:O2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80ValidationTable" displayName="EEZ38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193810fa7641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bcb50855b743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dc63c444434c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19f8f4f7d64d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EEZ_380</x:v>
      </x:c>
      <x:c r="B2" s="24" t="str">
        <x:v>Italy (mainland)</x:v>
      </x:c>
      <x:c r="C2" s="24" t="str">
        <x:v>EEZ</x:v>
      </x:c>
      <x:c r="D2" s="30" t="n">
        <x:v>2019</x:v>
      </x:c>
      <x:c r="E2" s="24" t="str">
        <x:v>Engraulis encrasicolus</x:v>
      </x:c>
      <x:c r="F2" s="24" t="str">
        <x:v>European anchovy</x:v>
      </x:c>
      <x:c r="G2" s="24" t="str">
        <x:v>Small pelagics (&lt;30 cm)</x:v>
      </x:c>
      <x:c r="H2" s="24" t="str">
        <x:v>Anchovies</x:v>
      </x:c>
      <x:c r="I2" s="31" t="n">
        <x:v>37374.459049266</x:v>
      </x:c>
      <x:c r="J2" s="31" t="n">
        <x:v>37374.459049266</x:v>
      </x:c>
      <x:c r="K2" s="31" t="n">
        <x:v>0</x:v>
      </x:c>
      <x:c r="L2" s="31" t="n">
        <x:v>31612.616132207</x:v>
      </x:c>
      <x:c r="M2" s="31" t="n">
        <x:v>5761.842917059001</x:v>
      </x:c>
      <x:c r="N2" s="24" t="str">
        <x:v>engraulis encrasicolus</x:v>
      </x:c>
      <x:c r="O2" s="32" t="n">
        <x:v>3.11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encrasicolus</x:v>
      </x:c>
      <x:c r="T2" s="32" t="n">
        <x:f>IF(O2="","",(1/'Metadata'!$B$5)^(O2-1))</x:f>
        <x:v>128.82495516931337</x:v>
      </x:c>
      <x:c r="U2" s="31" t="n">
        <x:f>IF(T2="","",I2*T2)</x:f>
        <x:v>4814763.0114990305</x:v>
      </x:c>
    </x:row>
    <x:row r="3" ht="18" customHeight="1">
      <x:c r="A3" s="24" t="str">
        <x:v>EEZ_380</x:v>
      </x:c>
      <x:c r="B3" s="24" t="str">
        <x:v>Italy (mainland)</x:v>
      </x:c>
      <x:c r="C3" s="24" t="str">
        <x:v>EEZ</x:v>
      </x:c>
      <x:c r="D3" s="30" t="n">
        <x:v>2019</x:v>
      </x:c>
      <x:c r="E3" s="24" t="str">
        <x:v>Sardina pilchardus</x:v>
      </x:c>
      <x:c r="F3" s="24" t="str">
        <x:v>European pilchard</x:v>
      </x:c>
      <x:c r="G3" s="24" t="str">
        <x:v>Small pelagics (&lt;30 cm)</x:v>
      </x:c>
      <x:c r="H3" s="24" t="str">
        <x:v>Herring-likes</x:v>
      </x:c>
      <x:c r="I3" s="31" t="n">
        <x:v>28609.085858084</x:v>
      </x:c>
      <x:c r="J3" s="31" t="n">
        <x:v>28609.085858084</x:v>
      </x:c>
      <x:c r="K3" s="31" t="n">
        <x:v>0</x:v>
      </x:c>
      <x:c r="L3" s="31" t="n">
        <x:v>22187.579745993</x:v>
      </x:c>
      <x:c r="M3" s="31" t="n">
        <x:v>6421.506112091</x:v>
      </x:c>
      <x:c r="N3" s="24" t="str">
        <x:v>sardina pilchardus</x:v>
      </x:c>
      <x:c r="O3" s="32" t="n">
        <x:v>3.06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Sardina pilchardus</x:v>
      </x:c>
      <x:c r="T3" s="32" t="n">
        <x:f>IF(O3="","",(1/'Metadata'!$B$5)^(O3-1))</x:f>
        <x:v>114.81536214968828</x:v>
      </x:c>
      <x:c r="U3" s="31" t="n">
        <x:f>IF(T3="","",I3*T3)</x:f>
        <x:v>3284762.55356744</x:v>
      </x:c>
    </x:row>
    <x:row r="4" ht="18" customHeight="1">
      <x:c r="A4" s="24" t="str">
        <x:v>EEZ_380</x:v>
      </x:c>
      <x:c r="B4" s="24" t="str">
        <x:v>Italy (mainland)</x:v>
      </x:c>
      <x:c r="C4" s="24" t="str">
        <x:v>EEZ</x:v>
      </x:c>
      <x:c r="D4" s="30" t="n">
        <x:v>2019</x:v>
      </x:c>
      <x:c r="E4" s="24" t="str">
        <x:v>Thunnus</x:v>
      </x:c>
      <x:c r="F4" s="24" t="str">
        <x:v>Tunas</x:v>
      </x:c>
      <x:c r="G4" s="24" t="str">
        <x:v>Large pelagics (&gt;=90 cm)</x:v>
      </x:c>
      <x:c r="H4" s="24" t="str">
        <x:v>Tuna &amp; billfishes</x:v>
      </x:c>
      <x:c r="I4" s="31" t="n">
        <x:v>9829.139392405</x:v>
      </x:c>
      <x:c r="J4" s="31" t="n">
        <x:v>9829.139392405</x:v>
      </x:c>
      <x:c r="K4" s="31" t="n">
        <x:v>0</x:v>
      </x:c>
      <x:c r="L4" s="31" t="n">
        <x:v>707.82967682</x:v>
      </x:c>
      <x:c r="M4" s="31" t="n">
        <x:v>9121.309715585001</x:v>
      </x:c>
      <x:c r="N4" s="24" t="str">
        <x:v>thunnus</x:v>
      </x:c>
      <x:c r="O4" s="32" t="n">
        <x:v>4.34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Thunnus</x:v>
      </x:c>
      <x:c r="T4" s="32" t="n">
        <x:f>IF(O4="","",(1/'Metadata'!$B$5)^(O4-1))</x:f>
        <x:v>2187.761623949552</x:v>
      </x:c>
      <x:c r="U4" s="31" t="n">
        <x:f>IF(T4="","",I4*T4)</x:f>
        <x:v>21503813.959154475</x:v>
      </x:c>
    </x:row>
    <x:row r="5" ht="18" customHeight="1">
      <x:c r="A5" s="24" t="str">
        <x:v>EEZ_380</x:v>
      </x:c>
      <x:c r="B5" s="24" t="str">
        <x:v>Italy (mainland)</x:v>
      </x:c>
      <x:c r="C5" s="24" t="str">
        <x:v>EEZ</x:v>
      </x:c>
      <x:c r="D5" s="30" t="n">
        <x:v>2019</x:v>
      </x:c>
      <x:c r="E5" s="24" t="str">
        <x:v>Lithognathus mormyrus</x:v>
      </x:c>
      <x:c r="F5" s="24" t="str">
        <x:v>Sand steenbras</x:v>
      </x:c>
      <x:c r="G5" s="24" t="str">
        <x:v>Medium benthopelagics (30 - 89 cm)</x:v>
      </x:c>
      <x:c r="H5" s="24" t="str">
        <x:v>Perch-likes</x:v>
      </x:c>
      <x:c r="I5" s="31" t="n">
        <x:v>7259.309062142</x:v>
      </x:c>
      <x:c r="J5" s="31" t="n">
        <x:v>7259.309062142</x:v>
      </x:c>
      <x:c r="K5" s="31" t="n">
        <x:v>0</x:v>
      </x:c>
      <x:c r="L5" s="31" t="n">
        <x:v>228.229101876</x:v>
      </x:c>
      <x:c r="M5" s="31" t="n">
        <x:v>7031.079960266</x:v>
      </x:c>
      <x:c r="N5" s="24" t="str">
        <x:v>lithognathus mormyrus</x:v>
      </x:c>
      <x:c r="O5" s="32" t="n">
        <x:v>3.42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Lithognathus mormyrus</x:v>
      </x:c>
      <x:c r="T5" s="32" t="n">
        <x:f>IF(O5="","",(1/'Metadata'!$B$5)^(O5-1))</x:f>
        <x:v>263.02679918953817</x:v>
      </x:c>
      <x:c r="U5" s="31" t="n">
        <x:f>IF(T5="","",I5*T5)</x:f>
        <x:v>1909392.8269428185</x:v>
      </x:c>
    </x:row>
    <x:row r="6" ht="18" customHeight="1">
      <x:c r="A6" s="24" t="str">
        <x:v>EEZ_380</x:v>
      </x:c>
      <x:c r="B6" s="24" t="str">
        <x:v>Italy (mainland)</x:v>
      </x:c>
      <x:c r="C6" s="24" t="str">
        <x:v>EEZ</x:v>
      </x:c>
      <x:c r="D6" s="30" t="n">
        <x:v>2019</x:v>
      </x:c>
      <x:c r="E6" s="24" t="str">
        <x:v>Mullus barbatus</x:v>
      </x:c>
      <x:c r="F6" s="24" t="str">
        <x:v>Red mullet</x:v>
      </x:c>
      <x:c r="G6" s="24" t="str">
        <x:v>Medium demersals (30 - 89 cm)</x:v>
      </x:c>
      <x:c r="H6" s="24" t="str">
        <x:v>Perch-likes</x:v>
      </x:c>
      <x:c r="I6" s="31" t="n">
        <x:v>7168.866038091</x:v>
      </x:c>
      <x:c r="J6" s="31" t="n">
        <x:v>6468.600208319</x:v>
      </x:c>
      <x:c r="K6" s="31" t="n">
        <x:v>700.265829772</x:v>
      </x:c>
      <x:c r="L6" s="31" t="n">
        <x:v>5556.048153586999</x:v>
      </x:c>
      <x:c r="M6" s="31" t="n">
        <x:v>1612.817884504</x:v>
      </x:c>
      <x:c r="N6" s="24" t="str">
        <x:v>mullus barbatus</x:v>
      </x:c>
      <x:c r="O6" s="32" t="n">
        <x:v>3.14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Mullus barbatus</x:v>
      </x:c>
      <x:c r="T6" s="32" t="n">
        <x:f>IF(O6="","",(1/'Metadata'!$B$5)^(O6-1))</x:f>
        <x:v>138.03842646028852</x:v>
      </x:c>
      <x:c r="U6" s="31" t="n">
        <x:f>IF(T6="","",I6*T6)</x:f>
        <x:v>989578.9874026844</x:v>
      </x:c>
    </x:row>
    <x:row r="7" ht="18" customHeight="1">
      <x:c r="A7" s="24" t="str">
        <x:v>EEZ_380</x:v>
      </x:c>
      <x:c r="B7" s="24" t="str">
        <x:v>Italy (mainland)</x:v>
      </x:c>
      <x:c r="C7" s="24" t="str">
        <x:v>EEZ</x:v>
      </x:c>
      <x:c r="D7" s="30" t="n">
        <x:v>2019</x:v>
      </x:c>
      <x:c r="E7" s="24" t="str">
        <x:v>Donax</x:v>
      </x:c>
      <x:c r="F7" s="24" t="str">
        <x:v>Bean clams</x:v>
      </x:c>
      <x:c r="G7" s="24" t="str">
        <x:v>Other demersal invertebrates</x:v>
      </x:c>
      <x:c r="H7" s="24" t="str">
        <x:v>Molluscs</x:v>
      </x:c>
      <x:c r="I7" s="31" t="n">
        <x:v>7084.804991642</x:v>
      </x:c>
      <x:c r="J7" s="31" t="n">
        <x:v>7084.804991642</x:v>
      </x:c>
      <x:c r="K7" s="31" t="n">
        <x:v>0</x:v>
      </x:c>
      <x:c r="L7" s="31" t="n">
        <x:v>5258.14572192</x:v>
      </x:c>
      <x:c r="M7" s="31" t="n">
        <x:v>1826.6592697219999</x:v>
      </x:c>
      <x:c r="N7" s="24" t="str">
        <x:v>donax</x:v>
      </x:c>
      <x:c r="O7" s="32" t="n">
        <x:v>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Donax</x:v>
      </x:c>
      <x:c r="T7" s="32" t="n">
        <x:f>IF(O7="","",(1/'Metadata'!$B$5)^(O7-1))</x:f>
        <x:v>10</x:v>
      </x:c>
      <x:c r="U7" s="31" t="n">
        <x:f>IF(T7="","",I7*T7)</x:f>
        <x:v>70848.04991642</x:v>
      </x:c>
    </x:row>
    <x:row r="8" ht="18" customHeight="1">
      <x:c r="A8" s="24" t="str">
        <x:v>EEZ_380</x:v>
      </x:c>
      <x:c r="B8" s="24" t="str">
        <x:v>Italy (mainland)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6982.349036935</x:v>
      </x:c>
      <x:c r="J8" s="31" t="n">
        <x:v>6501.194115352</x:v>
      </x:c>
      <x:c r="K8" s="31" t="n">
        <x:v>481.154921583</x:v>
      </x:c>
      <x:c r="L8" s="31" t="n">
        <x:v>5915.211506336</x:v>
      </x:c>
      <x:c r="M8" s="31" t="n">
        <x:v>1067.137530599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18365449.18009167</x:v>
      </x:c>
    </x:row>
    <x:row r="9" ht="18" customHeight="1">
      <x:c r="A9" s="24" t="str">
        <x:v>EEZ_380</x:v>
      </x:c>
      <x:c r="B9" s="24" t="str">
        <x:v>Italy (mainland)</x:v>
      </x:c>
      <x:c r="C9" s="24" t="str">
        <x:v>EEZ</x:v>
      </x:c>
      <x:c r="D9" s="30" t="n">
        <x:v>2019</x:v>
      </x:c>
      <x:c r="E9" s="24" t="str">
        <x:v>Marine fishes not identified</x:v>
      </x:c>
      <x:c r="F9" s="24" t="str">
        <x:v>Marine fishes nei</x:v>
      </x:c>
      <x:c r="G9" s="24" t="str">
        <x:v>Medium demersals (30 - 89 cm)</x:v>
      </x:c>
      <x:c r="H9" s="24" t="str">
        <x:v>Other fishes &amp; inverts</x:v>
      </x:c>
      <x:c r="I9" s="31" t="n">
        <x:v>6634.7542368953</x:v>
      </x:c>
      <x:c r="J9" s="31" t="n">
        <x:v>6339.2414340906</x:v>
      </x:c>
      <x:c r="K9" s="31" t="n">
        <x:v>295.5128028047</x:v>
      </x:c>
      <x:c r="L9" s="31" t="n">
        <x:v>5852.5815242046</x:v>
      </x:c>
      <x:c r="M9" s="31" t="n">
        <x:v>782.1727126907</x:v>
      </x:c>
      <x:c r="N9" s="24" t="str">
        <x:v>marine fishes not identified</x:v>
      </x:c>
      <x:c r="O9" s="32" t="n">
        <x:v>3.28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Marine fishes not identified</x:v>
      </x:c>
      <x:c r="T9" s="32" t="n">
        <x:f>IF(O9="","",(1/'Metadata'!$B$5)^(O9-1))</x:f>
        <x:v>190.54607179632464</x:v>
      </x:c>
      <x:c r="U9" s="31" t="n">
        <x:f>IF(T9="","",I9*T9)</x:f>
        <x:v>1264226.357174421</x:v>
      </x:c>
    </x:row>
    <x:row r="10" ht="18" customHeight="1">
      <x:c r="A10" s="24" t="str">
        <x:v>EEZ_380</x:v>
      </x:c>
      <x:c r="B10" s="24" t="str">
        <x:v>Italy (mainland)</x:v>
      </x:c>
      <x:c r="C10" s="24" t="str">
        <x:v>EEZ</x:v>
      </x:c>
      <x:c r="D10" s="30" t="n">
        <x:v>2019</x:v>
      </x:c>
      <x:c r="E10" s="24" t="str">
        <x:v>Sarda sarda</x:v>
      </x:c>
      <x:c r="F10" s="24" t="str">
        <x:v>Atlantic bonito</x:v>
      </x:c>
      <x:c r="G10" s="24" t="str">
        <x:v>Medium pelagics (30 - 89 cm)</x:v>
      </x:c>
      <x:c r="H10" s="24" t="str">
        <x:v>Tuna &amp; billfishes</x:v>
      </x:c>
      <x:c r="I10" s="31" t="n">
        <x:v>6130.7472625357</x:v>
      </x:c>
      <x:c r="J10" s="31" t="n">
        <x:v>6130.7472625357</x:v>
      </x:c>
      <x:c r="K10" s="31" t="n">
        <x:v>0</x:v>
      </x:c>
      <x:c r="L10" s="31" t="n">
        <x:v>1365.6367313337</x:v>
      </x:c>
      <x:c r="M10" s="31" t="n">
        <x:v>4765.110531202</x:v>
      </x:c>
      <x:c r="N10" s="24" t="str">
        <x:v>sarda sarda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Sarda sarda</x:v>
      </x:c>
      <x:c r="T10" s="32" t="n">
        <x:f>IF(O10="","",(1/'Metadata'!$B$5)^(O10-1))</x:f>
        <x:v>3162.2776601683795</x:v>
      </x:c>
      <x:c r="U10" s="31" t="n">
        <x:f>IF(T10="","",I10*T10)</x:f>
        <x:v>19387125.10845509</x:v>
      </x:c>
    </x:row>
    <x:row r="11" ht="18" customHeight="1">
      <x:c r="A11" s="24" t="str">
        <x:v>EEZ_380</x:v>
      </x:c>
      <x:c r="B11" s="24" t="str">
        <x:v>Italy (mainland)</x:v>
      </x:c>
      <x:c r="C11" s="24" t="str">
        <x:v>EEZ</x:v>
      </x:c>
      <x:c r="D11" s="30" t="n">
        <x:v>2019</x:v>
      </x:c>
      <x:c r="E11" s="24" t="str">
        <x:v>Squilla mantis</x:v>
      </x:c>
      <x:c r="F11" s="24" t="str">
        <x:v>Spottail mantis squillid</x:v>
      </x:c>
      <x:c r="G11" s="24" t="str">
        <x:v>Shrimps</x:v>
      </x:c>
      <x:c r="H11" s="24" t="str">
        <x:v>Crustaceans</x:v>
      </x:c>
      <x:c r="I11" s="31" t="n">
        <x:v>5969.482937386</x:v>
      </x:c>
      <x:c r="J11" s="31" t="n">
        <x:v>4794.943106649</x:v>
      </x:c>
      <x:c r="K11" s="31" t="n">
        <x:v>1174.539830737</x:v>
      </x:c>
      <x:c r="L11" s="31" t="n">
        <x:v>4959.368991421</x:v>
      </x:c>
      <x:c r="M11" s="31" t="n">
        <x:v>1010.113945965</x:v>
      </x:c>
      <x:c r="N11" s="24" t="str">
        <x:v>squilla mantis</x:v>
      </x:c>
      <x:c r="O11" s="32" t="n">
        <x:v>3.62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Squilla mantis</x:v>
      </x:c>
      <x:c r="T11" s="32" t="n">
        <x:f>IF(O11="","",(1/'Metadata'!$B$5)^(O11-1))</x:f>
        <x:v>416.8693834703355</x:v>
      </x:c>
      <x:c r="U11" s="31" t="n">
        <x:f>IF(T11="","",I11*T11)</x:f>
        <x:v>2488494.6717447895</x:v>
      </x:c>
    </x:row>
    <x:row r="12" ht="18" customHeight="1">
      <x:c r="A12" s="24" t="str">
        <x:v>EEZ_380</x:v>
      </x:c>
      <x:c r="B12" s="24" t="str">
        <x:v>Italy (mainland)</x:v>
      </x:c>
      <x:c r="C12" s="24" t="str">
        <x:v>EEZ</x:v>
      </x:c>
      <x:c r="D12" s="30" t="n">
        <x:v>2019</x:v>
      </x:c>
      <x:c r="E12" s="24" t="str">
        <x:v>Trachurus trachurus</x:v>
      </x:c>
      <x:c r="F12" s="24" t="str">
        <x:v>Atlantic horse mackerel</x:v>
      </x:c>
      <x:c r="G12" s="24" t="str">
        <x:v>Medium pelagics (30 - 89 cm)</x:v>
      </x:c>
      <x:c r="H12" s="24" t="str">
        <x:v>Perch-likes</x:v>
      </x:c>
      <x:c r="I12" s="31" t="n">
        <x:v>5788.416931434</x:v>
      </x:c>
      <x:c r="J12" s="31" t="n">
        <x:v>1203.567282034</x:v>
      </x:c>
      <x:c r="K12" s="31" t="n">
        <x:v>4584.8496494</x:v>
      </x:c>
      <x:c r="L12" s="31" t="n">
        <x:v>5534.809496469</x:v>
      </x:c>
      <x:c r="M12" s="31" t="n">
        <x:v>253.60743496499998</x:v>
      </x:c>
      <x:c r="N12" s="24" t="str">
        <x:v>trachurus trachurus</x:v>
      </x:c>
      <x:c r="O12" s="32" t="n">
        <x:v>3.71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Trachurus trachurus</x:v>
      </x:c>
      <x:c r="T12" s="32" t="n">
        <x:f>IF(O12="","",(1/'Metadata'!$B$5)^(O12-1))</x:f>
        <x:v>512.8613839913648</x:v>
      </x:c>
      <x:c r="U12" s="31" t="n">
        <x:f>IF(T12="","",I12*T12)</x:f>
        <x:v>2968655.5185742904</x:v>
      </x:c>
    </x:row>
    <x:row r="13" ht="18" customHeight="1">
      <x:c r="A13" s="24" t="str">
        <x:v>EEZ_380</x:v>
      </x:c>
      <x:c r="B13" s="24" t="str">
        <x:v>Italy (mainland)</x:v>
      </x:c>
      <x:c r="C13" s="24" t="str">
        <x:v>EEZ</x:v>
      </x:c>
      <x:c r="D13" s="30" t="n">
        <x:v>2019</x:v>
      </x:c>
      <x:c r="E13" s="24" t="str">
        <x:v>Sepiida</x:v>
      </x:c>
      <x:c r="F13" s="24" t="str">
        <x:v>Cuttlefishes, bobtail squids</x:v>
      </x:c>
      <x:c r="G13" s="24" t="str">
        <x:v>Cephalopods</x:v>
      </x:c>
      <x:c r="H13" s="24" t="str">
        <x:v>Other fishes &amp; inverts</x:v>
      </x:c>
      <x:c r="I13" s="31" t="n">
        <x:v>5589.53362889</x:v>
      </x:c>
      <x:c r="J13" s="31" t="n">
        <x:v>5589.53362889</x:v>
      </x:c>
      <x:c r="K13" s="31" t="n">
        <x:v>0</x:v>
      </x:c>
      <x:c r="L13" s="31" t="n">
        <x:v>4507.254502615</x:v>
      </x:c>
      <x:c r="M13" s="31" t="n">
        <x:v>1082.279126275</x:v>
      </x:c>
      <x:c r="N13" s="24" t="str">
        <x:v>sepiida</x:v>
      </x:c>
      <x:c r="O13" s="32" t="n">
        <x:v>3.7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Sepiida</x:v>
      </x:c>
      <x:c r="T13" s="32" t="n">
        <x:f>IF(O13="","",(1/'Metadata'!$B$5)^(O13-1))</x:f>
        <x:v>501.18723362727246</x:v>
      </x:c>
      <x:c r="U13" s="31" t="n">
        <x:f>IF(T13="","",I13*T13)</x:f>
        <x:v>2801402.8967299885</x:v>
      </x:c>
    </x:row>
    <x:row r="14" ht="18" customHeight="1">
      <x:c r="A14" s="24" t="str">
        <x:v>EEZ_380</x:v>
      </x:c>
      <x:c r="B14" s="24" t="str">
        <x:v>Italy (mainland)</x:v>
      </x:c>
      <x:c r="C14" s="24" t="str">
        <x:v>EEZ</x:v>
      </x:c>
      <x:c r="D14" s="30" t="n">
        <x:v>2019</x:v>
      </x:c>
      <x:c r="E14" s="24" t="str">
        <x:v>Boops boops</x:v>
      </x:c>
      <x:c r="F14" s="24" t="str">
        <x:v>Bogue</x:v>
      </x:c>
      <x:c r="G14" s="24" t="str">
        <x:v>Medium demersals (30 - 89 cm)</x:v>
      </x:c>
      <x:c r="H14" s="24" t="str">
        <x:v>Perch-likes</x:v>
      </x:c>
      <x:c r="I14" s="31" t="n">
        <x:v>4759.507778268</x:v>
      </x:c>
      <x:c r="J14" s="31" t="n">
        <x:v>4505.574241864</x:v>
      </x:c>
      <x:c r="K14" s="31" t="n">
        <x:v>253.933536404</x:v>
      </x:c>
      <x:c r="L14" s="31" t="n">
        <x:v>886.436541129</x:v>
      </x:c>
      <x:c r="M14" s="31" t="n">
        <x:v>3873.071237139</x:v>
      </x:c>
      <x:c r="N14" s="24" t="str">
        <x:v>boops boops</x:v>
      </x:c>
      <x:c r="O14" s="32" t="n">
        <x:v>2.79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Boops boops</x:v>
      </x:c>
      <x:c r="T14" s="32" t="n">
        <x:f>IF(O14="","",(1/'Metadata'!$B$5)^(O14-1))</x:f>
        <x:v>61.65950018614822</x:v>
      </x:c>
      <x:c r="U14" s="31" t="n">
        <x:f>IF(T14="","",I14*T14)</x:f>
        <x:v>293468.8707400897</x:v>
      </x:c>
    </x:row>
    <x:row r="15" ht="18" customHeight="1">
      <x:c r="A15" s="24" t="str">
        <x:v>EEZ_380</x:v>
      </x:c>
      <x:c r="B15" s="24" t="str">
        <x:v>Italy (mainland)</x:v>
      </x:c>
      <x:c r="C15" s="24" t="str">
        <x:v>EEZ</x:v>
      </x:c>
      <x:c r="D15" s="30" t="n">
        <x:v>2019</x:v>
      </x:c>
      <x:c r="E15" s="24" t="str">
        <x:v>Scomber</x:v>
      </x:c>
      <x:c r="F15" s="24" t="str">
        <x:v>Chub mackerels</x:v>
      </x:c>
      <x:c r="G15" s="24" t="str">
        <x:v>Medium pelagics (30 - 89 cm)</x:v>
      </x:c>
      <x:c r="H15" s="24" t="str">
        <x:v>Perch-likes</x:v>
      </x:c>
      <x:c r="I15" s="31" t="n">
        <x:v>4636.8118755</x:v>
      </x:c>
      <x:c r="J15" s="31" t="n">
        <x:v>4636.8118755</x:v>
      </x:c>
      <x:c r="K15" s="31" t="n">
        <x:v>0</x:v>
      </x:c>
      <x:c r="L15" s="31" t="n">
        <x:v>0</x:v>
      </x:c>
      <x:c r="M15" s="31" t="n">
        <x:v>4636.8118755</x:v>
      </x:c>
      <x:c r="N15" s="24" t="str">
        <x:v>scomber</x:v>
      </x:c>
      <x:c r="O15" s="32" t="n">
        <x:v>3.65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Scomber</x:v>
      </x:c>
      <x:c r="T15" s="32" t="n">
        <x:f>IF(O15="","",(1/'Metadata'!$B$5)^(O15-1))</x:f>
        <x:v>446.683592150963</x:v>
      </x:c>
      <x:c r="U15" s="31" t="n">
        <x:f>IF(T15="","",I15*T15)</x:f>
        <x:v>2071187.7846765837</x:v>
      </x:c>
    </x:row>
    <x:row r="16" ht="18" customHeight="1">
      <x:c r="A16" s="24" t="str">
        <x:v>EEZ_380</x:v>
      </x:c>
      <x:c r="B16" s="24" t="str">
        <x:v>Italy (mainland)</x:v>
      </x:c>
      <x:c r="C16" s="24" t="str">
        <x:v>EEZ</x:v>
      </x:c>
      <x:c r="D16" s="30" t="n">
        <x:v>2019</x:v>
      </x:c>
      <x:c r="E16" s="24" t="str">
        <x:v>Gastropoda</x:v>
      </x:c>
      <x:c r="F16" s="24" t="str">
        <x:v>Sea snails</x:v>
      </x:c>
      <x:c r="G16" s="24" t="str">
        <x:v>Other demersal invertebrates</x:v>
      </x:c>
      <x:c r="H16" s="24" t="str">
        <x:v>Molluscs</x:v>
      </x:c>
      <x:c r="I16" s="31" t="n">
        <x:v>4213.33089218</x:v>
      </x:c>
      <x:c r="J16" s="31" t="n">
        <x:v>4213.33089218</x:v>
      </x:c>
      <x:c r="K16" s="31" t="n">
        <x:v>0</x:v>
      </x:c>
      <x:c r="L16" s="31" t="n">
        <x:v>3479.612204659</x:v>
      </x:c>
      <x:c r="M16" s="31" t="n">
        <x:v>733.718687521</x:v>
      </x:c>
      <x:c r="N16" s="24" t="str">
        <x:v>gastropoda</x:v>
      </x:c>
      <x:c r="O16" s="32" t="n">
        <x:v>3.06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Gastropoda</x:v>
      </x:c>
      <x:c r="T16" s="32" t="n">
        <x:f>IF(O16="","",(1/'Metadata'!$B$5)^(O16-1))</x:f>
        <x:v>114.81536214968828</x:v>
      </x:c>
      <x:c r="U16" s="31" t="n">
        <x:f>IF(T16="","",I16*T16)</x:f>
        <x:v>483755.1122421159</x:v>
      </x:c>
    </x:row>
    <x:row r="17" ht="18" customHeight="1">
      <x:c r="A17" s="24" t="str">
        <x:v>EEZ_380</x:v>
      </x:c>
      <x:c r="B17" s="24" t="str">
        <x:v>Italy (mainland)</x:v>
      </x:c>
      <x:c r="C17" s="24" t="str">
        <x:v>EEZ</x:v>
      </x:c>
      <x:c r="D17" s="30" t="n">
        <x:v>2019</x:v>
      </x:c>
      <x:c r="E17" s="24" t="str">
        <x:v>Mugil cephalus</x:v>
      </x:c>
      <x:c r="F17" s="24" t="str">
        <x:v>Flathead grey mullet</x:v>
      </x:c>
      <x:c r="G17" s="24" t="str">
        <x:v>Large benthopelagics (&gt;=90 cm)</x:v>
      </x:c>
      <x:c r="H17" s="24" t="str">
        <x:v>Perch-likes</x:v>
      </x:c>
      <x:c r="I17" s="31" t="n">
        <x:v>4002.5162213460003</x:v>
      </x:c>
      <x:c r="J17" s="31" t="n">
        <x:v>4002.5162213460003</x:v>
      </x:c>
      <x:c r="K17" s="31" t="n">
        <x:v>0</x:v>
      </x:c>
      <x:c r="L17" s="31" t="n">
        <x:v>3535.0553192260004</x:v>
      </x:c>
      <x:c r="M17" s="31" t="n">
        <x:v>467.46090211999996</x:v>
      </x:c>
      <x:c r="N17" s="24" t="str">
        <x:v>mugil cephalus</x:v>
      </x:c>
      <x:c r="O17" s="32" t="n">
        <x:v>2.14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Mugil cephalus</x:v>
      </x:c>
      <x:c r="T17" s="32" t="n">
        <x:f>IF(O17="","",(1/'Metadata'!$B$5)^(O17-1))</x:f>
        <x:v>13.803842646028853</x:v>
      </x:c>
      <x:c r="U17" s="31" t="n">
        <x:f>IF(T17="","",I17*T17)</x:f>
        <x:v>55250.10410763818</x:v>
      </x:c>
    </x:row>
    <x:row r="18" ht="18" customHeight="1">
      <x:c r="A18" s="24" t="str">
        <x:v>EEZ_380</x:v>
      </x:c>
      <x:c r="B18" s="24" t="str">
        <x:v>Italy (mainland)</x:v>
      </x:c>
      <x:c r="C18" s="24" t="str">
        <x:v>EEZ</x:v>
      </x:c>
      <x:c r="D18" s="30" t="n">
        <x:v>2019</x:v>
      </x:c>
      <x:c r="E18" s="24" t="str">
        <x:v>Xiphias gladius</x:v>
      </x:c>
      <x:c r="F18" s="24" t="str">
        <x:v>Swordfish</x:v>
      </x:c>
      <x:c r="G18" s="24" t="str">
        <x:v>Large pelagics (&gt;=90 cm)</x:v>
      </x:c>
      <x:c r="H18" s="24" t="str">
        <x:v>Tuna &amp; billfishes</x:v>
      </x:c>
      <x:c r="I18" s="31" t="n">
        <x:v>3980.5635734508996</x:v>
      </x:c>
      <x:c r="J18" s="31" t="n">
        <x:v>3980.5635734508996</x:v>
      </x:c>
      <x:c r="K18" s="31" t="n">
        <x:v>0</x:v>
      </x:c>
      <x:c r="L18" s="31" t="n">
        <x:v>3338.9840116238997</x:v>
      </x:c>
      <x:c r="M18" s="31" t="n">
        <x:v>641.5795618269999</x:v>
      </x:c>
      <x:c r="N18" s="24" t="str">
        <x:v>xiphias gladius</x:v>
      </x:c>
      <x:c r="O18" s="32" t="n">
        <x:v>4.53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Xiphias gladius</x:v>
      </x:c>
      <x:c r="T18" s="32" t="n">
        <x:f>IF(O18="","",(1/'Metadata'!$B$5)^(O18-1))</x:f>
        <x:v>3388.4415613920273</x:v>
      </x:c>
      <x:c r="U18" s="31" t="n">
        <x:f>IF(T18="","",I18*T18)</x:f>
        <x:v>13487907.050044194</x:v>
      </x:c>
    </x:row>
    <x:row r="19" ht="18" customHeight="1">
      <x:c r="A19" s="24" t="str">
        <x:v>EEZ_380</x:v>
      </x:c>
      <x:c r="B19" s="24" t="str">
        <x:v>Italy (mainland)</x:v>
      </x:c>
      <x:c r="C19" s="24" t="str">
        <x:v>EEZ</x:v>
      </x:c>
      <x:c r="D19" s="30" t="n">
        <x:v>2019</x:v>
      </x:c>
      <x:c r="E19" s="24" t="str">
        <x:v>Pectinidae</x:v>
      </x:c>
      <x:c r="F19" s="24" t="str">
        <x:v>Scallops</x:v>
      </x:c>
      <x:c r="G19" s="24" t="str">
        <x:v>Other demersal invertebrates</x:v>
      </x:c>
      <x:c r="H19" s="24" t="str">
        <x:v>Molluscs</x:v>
      </x:c>
      <x:c r="I19" s="31" t="n">
        <x:v>3930.609149715</x:v>
      </x:c>
      <x:c r="J19" s="31" t="n">
        <x:v>3930.609149715</x:v>
      </x:c>
      <x:c r="K19" s="31" t="n">
        <x:v>0</x:v>
      </x:c>
      <x:c r="L19" s="31" t="n">
        <x:v>3929.819144145</x:v>
      </x:c>
      <x:c r="M19" s="31" t="n">
        <x:v>0.7900055699999999</x:v>
      </x:c>
      <x:c r="N19" s="24" t="str">
        <x:v>pectinidae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Pectinidae</x:v>
      </x:c>
      <x:c r="T19" s="32" t="n">
        <x:f>IF(O19="","",(1/'Metadata'!$B$5)^(O19-1))</x:f>
        <x:v>10</x:v>
      </x:c>
      <x:c r="U19" s="31" t="n">
        <x:f>IF(T19="","",I19*T19)</x:f>
        <x:v>39306.09149715</x:v>
      </x:c>
    </x:row>
    <x:row r="20" ht="18" customHeight="1">
      <x:c r="A20" s="24" t="str">
        <x:v>EEZ_380</x:v>
      </x:c>
      <x:c r="B20" s="24" t="str">
        <x:v>Italy (mainland)</x:v>
      </x:c>
      <x:c r="C20" s="24" t="str">
        <x:v>EEZ</x:v>
      </x:c>
      <x:c r="D20" s="30" t="n">
        <x:v>2019</x:v>
      </x:c>
      <x:c r="E20" s="24" t="str">
        <x:v>Parapenaeus longirostris</x:v>
      </x:c>
      <x:c r="F20" s="24" t="str">
        <x:v>Deepwater rose shrimp</x:v>
      </x:c>
      <x:c r="G20" s="24" t="str">
        <x:v>Shrimps</x:v>
      </x:c>
      <x:c r="H20" s="24" t="str">
        <x:v>Crustaceans</x:v>
      </x:c>
      <x:c r="I20" s="31" t="n">
        <x:v>3911.9449960360002</x:v>
      </x:c>
      <x:c r="J20" s="31" t="n">
        <x:v>3794.603897501</x:v>
      </x:c>
      <x:c r="K20" s="31" t="n">
        <x:v>117.341098535</x:v>
      </x:c>
      <x:c r="L20" s="31" t="n">
        <x:v>3234.1740831600005</x:v>
      </x:c>
      <x:c r="M20" s="31" t="n">
        <x:v>677.770912876</x:v>
      </x:c>
      <x:c r="N20" s="24" t="str">
        <x:v>parapenaeus longirostris</x:v>
      </x:c>
      <x:c r="O20" s="32" t="n">
        <x:v>3.3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Parapenaeus longirostris</x:v>
      </x:c>
      <x:c r="T20" s="32" t="n">
        <x:f>IF(O20="","",(1/'Metadata'!$B$5)^(O20-1))</x:f>
        <x:v>199.52623149688787</x:v>
      </x:c>
      <x:c r="U20" s="31" t="n">
        <x:f>IF(T20="","",I20*T20)</x:f>
        <x:v>780535.6428821711</x:v>
      </x:c>
    </x:row>
    <x:row r="21" ht="18" customHeight="1">
      <x:c r="A21" s="24" t="str">
        <x:v>EEZ_380</x:v>
      </x:c>
      <x:c r="B21" s="24" t="str">
        <x:v>Italy (mainland)</x:v>
      </x:c>
      <x:c r="C21" s="24" t="str">
        <x:v>EEZ</x:v>
      </x:c>
      <x:c r="D21" s="30" t="n">
        <x:v>2019</x:v>
      </x:c>
      <x:c r="E21" s="24" t="str">
        <x:v>Trachurus</x:v>
      </x:c>
      <x:c r="F21" s="24" t="str">
        <x:v>Jacks, horse mackerels</x:v>
      </x:c>
      <x:c r="G21" s="24" t="str">
        <x:v>Medium pelagics (30 - 89 cm)</x:v>
      </x:c>
      <x:c r="H21" s="24" t="str">
        <x:v>Perch-likes</x:v>
      </x:c>
      <x:c r="I21" s="31" t="n">
        <x:v>3464.64108441</x:v>
      </x:c>
      <x:c r="J21" s="31" t="n">
        <x:v>3464.64108441</x:v>
      </x:c>
      <x:c r="K21" s="31" t="n">
        <x:v>0</x:v>
      </x:c>
      <x:c r="L21" s="31" t="n">
        <x:v>0</x:v>
      </x:c>
      <x:c r="M21" s="31" t="n">
        <x:v>3464.64108441</x:v>
      </x:c>
      <x:c r="N21" s="24" t="str">
        <x:v>trachurus</x:v>
      </x:c>
      <x:c r="O21" s="32" t="n">
        <x:v>3.69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Trachurus</x:v>
      </x:c>
      <x:c r="T21" s="32" t="n">
        <x:f>IF(O21="","",(1/'Metadata'!$B$5)^(O21-1))</x:f>
        <x:v>489.77881936844614</x:v>
      </x:c>
      <x:c r="U21" s="31" t="n">
        <x:f>IF(T21="","",I21*T21)</x:f>
        <x:v>1696907.8198577429</x:v>
      </x:c>
    </x:row>
    <x:row r="22" ht="18" customHeight="1">
      <x:c r="A22" s="24" t="str">
        <x:v>EEZ_380</x:v>
      </x:c>
      <x:c r="B22" s="24" t="str">
        <x:v>Italy (mainland)</x:v>
      </x:c>
      <x:c r="C22" s="24" t="str">
        <x:v>EEZ</x:v>
      </x:c>
      <x:c r="D22" s="30" t="n">
        <x:v>2019</x:v>
      </x:c>
      <x:c r="E22" s="24" t="str">
        <x:v>Thunnus thynnus</x:v>
      </x:c>
      <x:c r="F22" s="24" t="str">
        <x:v>Atlantic bluefin tuna</x:v>
      </x:c>
      <x:c r="G22" s="24" t="str">
        <x:v>Large pelagics (&gt;=90 cm)</x:v>
      </x:c>
      <x:c r="H22" s="24" t="str">
        <x:v>Tuna &amp; billfishes</x:v>
      </x:c>
      <x:c r="I22" s="31" t="n">
        <x:v>3389.385345816</x:v>
      </x:c>
      <x:c r="J22" s="31" t="n">
        <x:v>3389.385345816</x:v>
      </x:c>
      <x:c r="K22" s="31" t="n">
        <x:v>0</x:v>
      </x:c>
      <x:c r="L22" s="31" t="n">
        <x:v>3361.767437561</x:v>
      </x:c>
      <x:c r="M22" s="31" t="n">
        <x:v>27.617908255</x:v>
      </x:c>
      <x:c r="N22" s="24" t="str">
        <x:v>thunnus thynnus</x:v>
      </x:c>
      <x:c r="O22" s="32" t="n">
        <x:v>4.45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thynnus</x:v>
      </x:c>
      <x:c r="T22" s="32" t="n">
        <x:f>IF(O22="","",(1/'Metadata'!$B$5)^(O22-1))</x:f>
        <x:v>2818.382931264455</x:v>
      </x:c>
      <x:c r="U22" s="31" t="n">
        <x:f>IF(T22="","",I22*T22)</x:f>
        <x:v>9552585.806125686</x:v>
      </x:c>
    </x:row>
    <x:row r="23" ht="18" customHeight="1">
      <x:c r="A23" s="24" t="str">
        <x:v>EEZ_380</x:v>
      </x:c>
      <x:c r="B23" s="24" t="str">
        <x:v>Italy (mainland)</x:v>
      </x:c>
      <x:c r="C23" s="24" t="str">
        <x:v>EEZ</x:v>
      </x:c>
      <x:c r="D23" s="30" t="n">
        <x:v>2019</x:v>
      </x:c>
      <x:c r="E23" s="24" t="str">
        <x:v>Solea solea</x:v>
      </x:c>
      <x:c r="F23" s="24" t="str">
        <x:v>Common sole</x:v>
      </x:c>
      <x:c r="G23" s="24" t="str">
        <x:v>Small to medium flatfishes (&lt;90 cm)</x:v>
      </x:c>
      <x:c r="H23" s="24" t="str">
        <x:v>Flatfishes</x:v>
      </x:c>
      <x:c r="I23" s="31" t="n">
        <x:v>2396.509623896</x:v>
      </x:c>
      <x:c r="J23" s="31" t="n">
        <x:v>2396.509623896</x:v>
      </x:c>
      <x:c r="K23" s="31" t="n">
        <x:v>0</x:v>
      </x:c>
      <x:c r="L23" s="31" t="n">
        <x:v>1901.642500082</x:v>
      </x:c>
      <x:c r="M23" s="31" t="n">
        <x:v>494.867123814</x:v>
      </x:c>
      <x:c r="N23" s="24" t="str">
        <x:v>solea solea</x:v>
      </x:c>
      <x:c r="O23" s="32" t="n">
        <x:v>3.21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Solea solea</x:v>
      </x:c>
      <x:c r="T23" s="32" t="n">
        <x:f>IF(O23="","",(1/'Metadata'!$B$5)^(O23-1))</x:f>
        <x:v>162.18100973589299</x:v>
      </x:c>
      <x:c r="U23" s="31" t="n">
        <x:f>IF(T23="","",I23*T23)</x:f>
        <x:v>388668.3506452384</x:v>
      </x:c>
    </x:row>
    <x:row r="24" ht="18" customHeight="1">
      <x:c r="A24" s="24" t="str">
        <x:v>EEZ_380</x:v>
      </x:c>
      <x:c r="B24" s="24" t="str">
        <x:v>Italy (mainland)</x:v>
      </x:c>
      <x:c r="C24" s="24" t="str">
        <x:v>EEZ</x:v>
      </x:c>
      <x:c r="D24" s="30" t="n">
        <x:v>2019</x:v>
      </x:c>
      <x:c r="E24" s="24" t="str">
        <x:v>Pagellus erythrinus</x:v>
      </x:c>
      <x:c r="F24" s="24" t="str">
        <x:v>Common pandora</x:v>
      </x:c>
      <x:c r="G24" s="24" t="str">
        <x:v>Medium benthopelagics (30 - 89 cm)</x:v>
      </x:c>
      <x:c r="H24" s="24" t="str">
        <x:v>Perch-likes</x:v>
      </x:c>
      <x:c r="I24" s="31" t="n">
        <x:v>2348.225420153</x:v>
      </x:c>
      <x:c r="J24" s="31" t="n">
        <x:v>1975.841107103</x:v>
      </x:c>
      <x:c r="K24" s="31" t="n">
        <x:v>372.38431305</x:v>
      </x:c>
      <x:c r="L24" s="31" t="n">
        <x:v>861.9556490680001</x:v>
      </x:c>
      <x:c r="M24" s="31" t="n">
        <x:v>1486.2697710849998</x:v>
      </x:c>
      <x:c r="N24" s="24" t="str">
        <x:v>pagellus erythrinus</x:v>
      </x:c>
      <x:c r="O24" s="32" t="n">
        <x:v>3.48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Pagellus erythrinus</x:v>
      </x:c>
      <x:c r="T24" s="32" t="n">
        <x:f>IF(O24="","",(1/'Metadata'!$B$5)^(O24-1))</x:f>
        <x:v>301.9951720402016</x:v>
      </x:c>
      <x:c r="U24" s="31" t="n">
        <x:f>IF(T24="","",I24*T24)</x:f>
        <x:v>709152.7397482799</x:v>
      </x:c>
    </x:row>
    <x:row r="25" ht="18" customHeight="1">
      <x:c r="A25" s="24" t="str">
        <x:v>EEZ_380</x:v>
      </x:c>
      <x:c r="B25" s="24" t="str">
        <x:v>Italy (mainland)</x:v>
      </x:c>
      <x:c r="C25" s="24" t="str">
        <x:v>EEZ</x:v>
      </x:c>
      <x:c r="D25" s="30" t="n">
        <x:v>2019</x:v>
      </x:c>
      <x:c r="E25" s="24" t="str">
        <x:v>Gobiidae</x:v>
      </x:c>
      <x:c r="F25" s="24" t="str">
        <x:v>Gobies</x:v>
      </x:c>
      <x:c r="G25" s="24" t="str">
        <x:v>Small reef assoc. fish (&lt;30 cm)</x:v>
      </x:c>
      <x:c r="H25" s="24" t="str">
        <x:v>Perch-likes</x:v>
      </x:c>
      <x:c r="I25" s="31" t="n">
        <x:v>2346.789636997</x:v>
      </x:c>
      <x:c r="J25" s="31" t="n">
        <x:v>2346.789636997</x:v>
      </x:c>
      <x:c r="K25" s="31" t="n">
        <x:v>0</x:v>
      </x:c>
      <x:c r="L25" s="31" t="n">
        <x:v>127.325387874</x:v>
      </x:c>
      <x:c r="M25" s="31" t="n">
        <x:v>2219.4642491229997</x:v>
      </x:c>
      <x:c r="N25" s="24" t="str">
        <x:v>gobiidae</x:v>
      </x:c>
      <x:c r="O25" s="32" t="n">
        <x:v>3.11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Gobiidae</x:v>
      </x:c>
      <x:c r="T25" s="32" t="n">
        <x:f>IF(O25="","",(1/'Metadata'!$B$5)^(O25-1))</x:f>
        <x:v>128.82495516931337</x:v>
      </x:c>
      <x:c r="U25" s="31" t="n">
        <x:f>IF(T25="","",I25*T25)</x:f>
        <x:v>302325.06977794773</x:v>
      </x:c>
    </x:row>
    <x:row r="26" ht="18" customHeight="1">
      <x:c r="A26" s="24" t="str">
        <x:v>EEZ_380</x:v>
      </x:c>
      <x:c r="B26" s="24" t="str">
        <x:v>Italy (mainland)</x:v>
      </x:c>
      <x:c r="C26" s="24" t="str">
        <x:v>EEZ</x:v>
      </x:c>
      <x:c r="D26" s="30" t="n">
        <x:v>2019</x:v>
      </x:c>
      <x:c r="E26" s="24" t="str">
        <x:v>Chelidonichthys lucerna</x:v>
      </x:c>
      <x:c r="F26" s="24" t="str">
        <x:v>Tub gurnard</x:v>
      </x:c>
      <x:c r="G26" s="24" t="str">
        <x:v>Medium demersals (30 - 89 cm)</x:v>
      </x:c>
      <x:c r="H26" s="24" t="str">
        <x:v>Scorpionfishes</x:v>
      </x:c>
      <x:c r="I26" s="31" t="n">
        <x:v>2071.9241976040003</x:v>
      </x:c>
      <x:c r="J26" s="31" t="n">
        <x:v>1987.8625396090001</x:v>
      </x:c>
      <x:c r="K26" s="31" t="n">
        <x:v>84.061657995</x:v>
      </x:c>
      <x:c r="L26" s="31" t="n">
        <x:v>379.61384909400005</x:v>
      </x:c>
      <x:c r="M26" s="31" t="n">
        <x:v>1692.31034851</x:v>
      </x:c>
      <x:c r="N26" s="24" t="str">
        <x:v>chelidonichthys lucerna</x:v>
      </x:c>
      <x:c r="O26" s="32" t="n">
        <x:v>3.98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Chelidonichthys lucerna</x:v>
      </x:c>
      <x:c r="T26" s="32" t="n">
        <x:f>IF(O26="","",(1/'Metadata'!$B$5)^(O26-1))</x:f>
        <x:v>954.992586021436</x:v>
      </x:c>
      <x:c r="U26" s="31" t="n">
        <x:f>IF(T26="","",I26*T26)</x:f>
        <x:v>1978672.247510233</x:v>
      </x:c>
    </x:row>
    <x:row r="27" ht="18" customHeight="1">
      <x:c r="A27" s="24" t="str">
        <x:v>EEZ_380</x:v>
      </x:c>
      <x:c r="B27" s="24" t="str">
        <x:v>Italy (mainland)</x:v>
      </x:c>
      <x:c r="C27" s="24" t="str">
        <x:v>EEZ</x:v>
      </x:c>
      <x:c r="D27" s="30" t="n">
        <x:v>2019</x:v>
      </x:c>
      <x:c r="E27" s="24" t="str">
        <x:v>Scomber scombrus</x:v>
      </x:c>
      <x:c r="F27" s="24" t="str">
        <x:v>Atlantic mackerel</x:v>
      </x:c>
      <x:c r="G27" s="24" t="str">
        <x:v>Medium pelagics (30 - 89 cm)</x:v>
      </x:c>
      <x:c r="H27" s="24" t="str">
        <x:v>Perch-likes</x:v>
      </x:c>
      <x:c r="I27" s="31" t="n">
        <x:v>2059.507854011</x:v>
      </x:c>
      <x:c r="J27" s="31" t="n">
        <x:v>2059.507854011</x:v>
      </x:c>
      <x:c r="K27" s="31" t="n">
        <x:v>0</x:v>
      </x:c>
      <x:c r="L27" s="31" t="n">
        <x:v>1592.992779836</x:v>
      </x:c>
      <x:c r="M27" s="31" t="n">
        <x:v>466.515074175</x:v>
      </x:c>
      <x:c r="N27" s="24" t="str">
        <x:v>scomber scombrus</x:v>
      </x:c>
      <x:c r="O27" s="32" t="n">
        <x:v>3.63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Scomber scombrus</x:v>
      </x:c>
      <x:c r="T27" s="32" t="n">
        <x:f>IF(O27="","",(1/'Metadata'!$B$5)^(O27-1))</x:f>
        <x:v>426.57951880159254</x:v>
      </x:c>
      <x:c r="U27" s="31" t="n">
        <x:f>IF(T27="","",I27*T27)</x:f>
        <x:v>878543.8693321128</x:v>
      </x:c>
    </x:row>
    <x:row r="28" ht="18" customHeight="1">
      <x:c r="A28" s="24" t="str">
        <x:v>EEZ_380</x:v>
      </x:c>
      <x:c r="B28" s="24" t="str">
        <x:v>Italy (mainland)</x:v>
      </x:c>
      <x:c r="C28" s="24" t="str">
        <x:v>EEZ</x:v>
      </x:c>
      <x:c r="D28" s="30" t="n">
        <x:v>2019</x:v>
      </x:c>
      <x:c r="E28" s="24" t="str">
        <x:v>Diplodus</x:v>
      </x:c>
      <x:c r="F28" s="24" t="str">
        <x:v>Two-toothed seabreams</x:v>
      </x:c>
      <x:c r="G28" s="24" t="str">
        <x:v>Medium benthopelagics (30 - 89 cm)</x:v>
      </x:c>
      <x:c r="H28" s="24" t="str">
        <x:v>Perch-likes</x:v>
      </x:c>
      <x:c r="I28" s="31" t="n">
        <x:v>1754.25736074</x:v>
      </x:c>
      <x:c r="J28" s="31" t="n">
        <x:v>1754.25736074</x:v>
      </x:c>
      <x:c r="K28" s="31" t="n">
        <x:v>0</x:v>
      </x:c>
      <x:c r="L28" s="31" t="n">
        <x:v>182.01656164000002</x:v>
      </x:c>
      <x:c r="M28" s="31" t="n">
        <x:v>1572.2407991</x:v>
      </x:c>
      <x:c r="N28" s="24" t="str">
        <x:v>diplodus</x:v>
      </x:c>
      <x:c r="O28" s="32" t="n">
        <x:v>2.97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Diplodus</x:v>
      </x:c>
      <x:c r="T28" s="32" t="n">
        <x:f>IF(O28="","",(1/'Metadata'!$B$5)^(O28-1))</x:f>
        <x:v>93.32543007969915</x:v>
      </x:c>
      <x:c r="U28" s="31" t="n">
        <x:f>IF(T28="","",I28*T28)</x:f>
        <x:v>163716.82266153843</x:v>
      </x:c>
    </x:row>
    <x:row r="29" ht="18" customHeight="1">
      <x:c r="A29" s="24" t="str">
        <x:v>EEZ_380</x:v>
      </x:c>
      <x:c r="B29" s="24" t="str">
        <x:v>Italy (mainland)</x:v>
      </x:c>
      <x:c r="C29" s="24" t="str">
        <x:v>EEZ</x:v>
      </x:c>
      <x:c r="D29" s="30" t="n">
        <x:v>2019</x:v>
      </x:c>
      <x:c r="E29" s="24" t="str">
        <x:v>Oblada melanurus</x:v>
      </x:c>
      <x:c r="F29" s="24" t="str">
        <x:v>Saddled seabream</x:v>
      </x:c>
      <x:c r="G29" s="24" t="str">
        <x:v>Small benthopelagics (&lt;30 cm)</x:v>
      </x:c>
      <x:c r="H29" s="24" t="str">
        <x:v>Perch-likes</x:v>
      </x:c>
      <x:c r="I29" s="31" t="n">
        <x:v>1724.549641159</x:v>
      </x:c>
      <x:c r="J29" s="31" t="n">
        <x:v>1724.549641159</x:v>
      </x:c>
      <x:c r="K29" s="31" t="n">
        <x:v>0</x:v>
      </x:c>
      <x:c r="L29" s="31" t="n">
        <x:v>62.576534898999995</x:v>
      </x:c>
      <x:c r="M29" s="31" t="n">
        <x:v>1661.97310626</x:v>
      </x:c>
      <x:c r="N29" s="24" t="str">
        <x:v>oblada melanurus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Oblada melanurus</x:v>
      </x:c>
      <x:c r="T29" s="32" t="n">
        <x:f>IF(O29="","",(1/'Metadata'!$B$5)^(O29-1))</x:f>
        <x:v>239.88329190194898</x:v>
      </x:c>
      <x:c r="U29" s="31" t="n">
        <x:f>IF(T29="","",I29*T29)</x:f>
        <x:v>413690.64496954577</x:v>
      </x:c>
    </x:row>
    <x:row r="30" ht="18" customHeight="1">
      <x:c r="A30" s="24" t="str">
        <x:v>EEZ_380</x:v>
      </x:c>
      <x:c r="B30" s="24" t="str">
        <x:v>Italy (mainland)</x:v>
      </x:c>
      <x:c r="C30" s="24" t="str">
        <x:v>EEZ</x:v>
      </x:c>
      <x:c r="D30" s="30" t="n">
        <x:v>2019</x:v>
      </x:c>
      <x:c r="E30" s="24" t="str">
        <x:v>Belone belone</x:v>
      </x:c>
      <x:c r="F30" s="24" t="str">
        <x:v>Garfish</x:v>
      </x:c>
      <x:c r="G30" s="24" t="str">
        <x:v>Medium pelagics (30 - 89 cm)</x:v>
      </x:c>
      <x:c r="H30" s="24" t="str">
        <x:v>Other fishes &amp; inverts</x:v>
      </x:c>
      <x:c r="I30" s="31" t="n">
        <x:v>1715.068484769</x:v>
      </x:c>
      <x:c r="J30" s="31" t="n">
        <x:v>1715.068484769</x:v>
      </x:c>
      <x:c r="K30" s="31" t="n">
        <x:v>0</x:v>
      </x:c>
      <x:c r="L30" s="31" t="n">
        <x:v>18.278413918</x:v>
      </x:c>
      <x:c r="M30" s="31" t="n">
        <x:v>1696.790070851</x:v>
      </x:c>
      <x:c r="N30" s="24" t="str">
        <x:v>belone belone</x:v>
      </x:c>
      <x:c r="O30" s="32" t="n">
        <x:v>4.16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Belone belone</x:v>
      </x:c>
      <x:c r="T30" s="32" t="n">
        <x:f>IF(O30="","",(1/'Metadata'!$B$5)^(O30-1))</x:f>
        <x:v>1445.439770745928</x:v>
      </x:c>
      <x:c r="U30" s="31" t="n">
        <x:f>IF(T30="","",I30*T30)</x:f>
        <x:v>2479028.197438069</x:v>
      </x:c>
    </x:row>
    <x:row r="31" ht="18" customHeight="1">
      <x:c r="A31" s="24" t="str">
        <x:v>EEZ_380</x:v>
      </x:c>
      <x:c r="B31" s="24" t="str">
        <x:v>Italy (mainland)</x:v>
      </x:c>
      <x:c r="C31" s="24" t="str">
        <x:v>EEZ</x:v>
      </x:c>
      <x:c r="D31" s="30" t="n">
        <x:v>2019</x:v>
      </x:c>
      <x:c r="E31" s="24" t="str">
        <x:v>Todarodes sagittatus</x:v>
      </x:c>
      <x:c r="F31" s="24" t="str">
        <x:v>European flying squid</x:v>
      </x:c>
      <x:c r="G31" s="24" t="str">
        <x:v>Cephalopods</x:v>
      </x:c>
      <x:c r="H31" s="24" t="str">
        <x:v>Other fishes &amp; inverts</x:v>
      </x:c>
      <x:c r="I31" s="31" t="n">
        <x:v>1681.143750941</x:v>
      </x:c>
      <x:c r="J31" s="31" t="n">
        <x:v>1681.143750941</x:v>
      </x:c>
      <x:c r="K31" s="31" t="n">
        <x:v>0</x:v>
      </x:c>
      <x:c r="L31" s="31" t="n">
        <x:v>1451.323747913</x:v>
      </x:c>
      <x:c r="M31" s="31" t="n">
        <x:v>229.820003028</x:v>
      </x:c>
      <x:c r="N31" s="24" t="str">
        <x:v>todarodes sagittatus</x:v>
      </x:c>
      <x:c r="O31" s="32" t="n">
        <x:v>4.01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Todarodes sagittatus</x:v>
      </x:c>
      <x:c r="T31" s="32" t="n">
        <x:f>IF(O31="","",(1/'Metadata'!$B$5)^(O31-1))</x:f>
        <x:v>1023.2929922807537</x:v>
      </x:c>
      <x:c r="U31" s="31" t="n">
        <x:f>IF(T31="","",I31*T31)</x:f>
        <x:v>1720302.619354506</x:v>
      </x:c>
    </x:row>
    <x:row r="32" ht="18" customHeight="1">
      <x:c r="A32" s="24" t="str">
        <x:v>EEZ_380</x:v>
      </x:c>
      <x:c r="B32" s="24" t="str">
        <x:v>Italy (mainland)</x:v>
      </x:c>
      <x:c r="C32" s="24" t="str">
        <x:v>EEZ</x:v>
      </x:c>
      <x:c r="D32" s="30" t="n">
        <x:v>2019</x:v>
      </x:c>
      <x:c r="E32" s="24" t="str">
        <x:v>Eledone cirrhosa</x:v>
      </x:c>
      <x:c r="F32" s="24" t="str">
        <x:v>Horned octopus</x:v>
      </x:c>
      <x:c r="G32" s="24" t="str">
        <x:v>Cephalopods</x:v>
      </x:c>
      <x:c r="H32" s="24" t="str">
        <x:v>Other fishes &amp; inverts</x:v>
      </x:c>
      <x:c r="I32" s="31" t="n">
        <x:v>1609.0454379</x:v>
      </x:c>
      <x:c r="J32" s="31" t="n">
        <x:v>1587.419624034</x:v>
      </x:c>
      <x:c r="K32" s="31" t="n">
        <x:v>21.625813866</x:v>
      </x:c>
      <x:c r="L32" s="31" t="n">
        <x:v>1370.88088789</x:v>
      </x:c>
      <x:c r="M32" s="31" t="n">
        <x:v>238.16455001</x:v>
      </x:c>
      <x:c r="N32" s="24" t="str">
        <x:v>eledone cirrhosa</x:v>
      </x:c>
      <x:c r="O32" s="32" t="n">
        <x:v>3.7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Eledone cirrhosa</x:v>
      </x:c>
      <x:c r="T32" s="32" t="n">
        <x:f>IF(O32="","",(1/'Metadata'!$B$5)^(O32-1))</x:f>
        <x:v>501.18723362727246</x:v>
      </x:c>
      <x:c r="U32" s="31" t="n">
        <x:f>IF(T32="","",I32*T32)</x:f>
        <x:v>806433.0318016843</x:v>
      </x:c>
    </x:row>
    <x:row r="33" ht="18" customHeight="1">
      <x:c r="A33" s="24" t="str">
        <x:v>EEZ_380</x:v>
      </x:c>
      <x:c r="B33" s="24" t="str">
        <x:v>Italy (mainland)</x:v>
      </x:c>
      <x:c r="C33" s="24" t="str">
        <x:v>EEZ</x:v>
      </x:c>
      <x:c r="D33" s="30" t="n">
        <x:v>2019</x:v>
      </x:c>
      <x:c r="E33" s="24" t="str">
        <x:v>Eledone</x:v>
      </x:c>
      <x:c r="F33" s="24" t="str">
        <x:v>Horned, musky octopuses</x:v>
      </x:c>
      <x:c r="G33" s="24" t="str">
        <x:v>Cephalopods</x:v>
      </x:c>
      <x:c r="H33" s="24" t="str">
        <x:v>Other fishes &amp; inverts</x:v>
      </x:c>
      <x:c r="I33" s="31" t="n">
        <x:v>1575.5964104241</x:v>
      </x:c>
      <x:c r="J33" s="31" t="n">
        <x:v>1572.9953390961</x:v>
      </x:c>
      <x:c r="K33" s="31" t="n">
        <x:v>2.601071328</x:v>
      </x:c>
      <x:c r="L33" s="31" t="n">
        <x:v>1575.5964104241</x:v>
      </x:c>
      <x:c r="M33" s="31" t="n">
        <x:v>0</x:v>
      </x:c>
      <x:c r="N33" s="24" t="str">
        <x:v>eledone</x:v>
      </x:c>
      <x:c r="O33" s="32" t="n">
        <x:v>3.67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Eledone</x:v>
      </x:c>
      <x:c r="T33" s="32" t="n">
        <x:f>IF(O33="","",(1/'Metadata'!$B$5)^(O33-1))</x:f>
        <x:v>467.73514128719813</x:v>
      </x:c>
      <x:c r="U33" s="31" t="n">
        <x:f>IF(T33="","",I33*T33)</x:f>
        <x:v>736961.8096413186</x:v>
      </x:c>
    </x:row>
    <x:row r="34" ht="18" customHeight="1">
      <x:c r="A34" s="24" t="str">
        <x:v>EEZ_380</x:v>
      </x:c>
      <x:c r="B34" s="24" t="str">
        <x:v>Italy (mainland)</x:v>
      </x:c>
      <x:c r="C34" s="24" t="str">
        <x:v>EEZ</x:v>
      </x:c>
      <x:c r="D34" s="30" t="n">
        <x:v>2019</x:v>
      </x:c>
      <x:c r="E34" s="24" t="str">
        <x:v>Coryphaena hippurus</x:v>
      </x:c>
      <x:c r="F34" s="24" t="str">
        <x:v>Common dolphinfish</x:v>
      </x:c>
      <x:c r="G34" s="24" t="str">
        <x:v>Large pelagics (&gt;=90 cm)</x:v>
      </x:c>
      <x:c r="H34" s="24" t="str">
        <x:v>Perch-likes</x:v>
      </x:c>
      <x:c r="I34" s="31" t="n">
        <x:v>1528.4973544343</x:v>
      </x:c>
      <x:c r="J34" s="31" t="n">
        <x:v>1528.4973544343</x:v>
      </x:c>
      <x:c r="K34" s="31" t="n">
        <x:v>0</x:v>
      </x:c>
      <x:c r="L34" s="31" t="n">
        <x:v>891.4888772042999</x:v>
      </x:c>
      <x:c r="M34" s="31" t="n">
        <x:v>637.00847723</x:v>
      </x:c>
      <x:c r="N34" s="24" t="str">
        <x:v>coryphaena hippurus</x:v>
      </x:c>
      <x:c r="O34" s="32" t="n">
        <x:v>4.37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Coryphaena hippurus</x:v>
      </x:c>
      <x:c r="T34" s="32" t="n">
        <x:f>IF(O34="","",(1/'Metadata'!$B$5)^(O34-1))</x:f>
        <x:v>2344.228815319923</x:v>
      </x:c>
      <x:c r="U34" s="31" t="n">
        <x:f>IF(T34="","",I34*T34)</x:f>
        <x:v>3583147.5424051555</x:v>
      </x:c>
    </x:row>
    <x:row r="35" ht="18" customHeight="1">
      <x:c r="A35" s="24" t="str">
        <x:v>EEZ_380</x:v>
      </x:c>
      <x:c r="B35" s="24" t="str">
        <x:v>Italy (mainland)</x:v>
      </x:c>
      <x:c r="C35" s="24" t="str">
        <x:v>EEZ</x:v>
      </x:c>
      <x:c r="D35" s="30" t="n">
        <x:v>2019</x:v>
      </x:c>
      <x:c r="E35" s="24" t="str">
        <x:v>Dentex dentex</x:v>
      </x:c>
      <x:c r="F35" s="24" t="str">
        <x:v>Common dentex</x:v>
      </x:c>
      <x:c r="G35" s="24" t="str">
        <x:v>Large benthopelagics (&gt;=90 cm)</x:v>
      </x:c>
      <x:c r="H35" s="24" t="str">
        <x:v>Perch-likes</x:v>
      </x:c>
      <x:c r="I35" s="31" t="n">
        <x:v>1497.851379919</x:v>
      </x:c>
      <x:c r="J35" s="31" t="n">
        <x:v>1497.851379919</x:v>
      </x:c>
      <x:c r="K35" s="31" t="n">
        <x:v>0</x:v>
      </x:c>
      <x:c r="L35" s="31" t="n">
        <x:v>67.369148774</x:v>
      </x:c>
      <x:c r="M35" s="31" t="n">
        <x:v>1430.482231145</x:v>
      </x:c>
      <x:c r="N35" s="24" t="str">
        <x:v>dentex dentex</x:v>
      </x:c>
      <x:c r="O35" s="32" t="n">
        <x:v>4.53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Dentex dentex</x:v>
      </x:c>
      <x:c r="T35" s="32" t="n">
        <x:f>IF(O35="","",(1/'Metadata'!$B$5)^(O35-1))</x:f>
        <x:v>3388.4415613920273</x:v>
      </x:c>
      <x:c r="U35" s="31" t="n">
        <x:f>IF(T35="","",I35*T35)</x:f>
        <x:v>5075381.868505939</x:v>
      </x:c>
    </x:row>
    <x:row r="36" ht="18" customHeight="1">
      <x:c r="A36" s="24" t="str">
        <x:v>EEZ_380</x:v>
      </x:c>
      <x:c r="B36" s="24" t="str">
        <x:v>Italy (mainland)</x:v>
      </x:c>
      <x:c r="C36" s="24" t="str">
        <x:v>EEZ</x:v>
      </x:c>
      <x:c r="D36" s="30" t="n">
        <x:v>2019</x:v>
      </x:c>
      <x:c r="E36" s="24" t="str">
        <x:v>Euthynnus alletteratus</x:v>
      </x:c>
      <x:c r="F36" s="24" t="str">
        <x:v>Little tunny </x:v>
      </x:c>
      <x:c r="G36" s="24" t="str">
        <x:v>Large pelagics (&gt;=90 cm)</x:v>
      </x:c>
      <x:c r="H36" s="24" t="str">
        <x:v>Tuna &amp; billfishes</x:v>
      </x:c>
      <x:c r="I36" s="31" t="n">
        <x:v>1487.4779741410998</x:v>
      </x:c>
      <x:c r="J36" s="31" t="n">
        <x:v>1487.4779741410998</x:v>
      </x:c>
      <x:c r="K36" s="31" t="n">
        <x:v>0</x:v>
      </x:c>
      <x:c r="L36" s="31" t="n">
        <x:v>1451.1832617791</x:v>
      </x:c>
      <x:c r="M36" s="31" t="n">
        <x:v>36.294712362</x:v>
      </x:c>
      <x:c r="N36" s="24" t="str">
        <x:v>euthynnus alletteratus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Euthynnus alletteratus</x:v>
      </x:c>
      <x:c r="T36" s="32" t="n">
        <x:f>IF(O36="","",(1/'Metadata'!$B$5)^(O36-1))</x:f>
        <x:v>3090.295432513592</x:v>
      </x:c>
      <x:c r="U36" s="31" t="n">
        <x:f>IF(T36="","",I36*T36)</x:f>
        <x:v>4596746.389452811</x:v>
      </x:c>
    </x:row>
    <x:row r="37" ht="18" customHeight="1">
      <x:c r="A37" s="24" t="str">
        <x:v>EEZ_380</x:v>
      </x:c>
      <x:c r="B37" s="24" t="str">
        <x:v>Italy (mainland)</x:v>
      </x:c>
      <x:c r="C37" s="24" t="str">
        <x:v>EEZ</x:v>
      </x:c>
      <x:c r="D37" s="30" t="n">
        <x:v>2019</x:v>
      </x:c>
      <x:c r="E37" s="24" t="str">
        <x:v>Lepidopus caudatus</x:v>
      </x:c>
      <x:c r="F37" s="24" t="str">
        <x:v>Silver scabbardfish</x:v>
      </x:c>
      <x:c r="G37" s="24" t="str">
        <x:v>Large bathydemersals (&gt;=90 cm)</x:v>
      </x:c>
      <x:c r="H37" s="24" t="str">
        <x:v>Perch-likes</x:v>
      </x:c>
      <x:c r="I37" s="31" t="n">
        <x:v>1461.889444829</x:v>
      </x:c>
      <x:c r="J37" s="31" t="n">
        <x:v>1461.889444829</x:v>
      </x:c>
      <x:c r="K37" s="31" t="n">
        <x:v>0</x:v>
      </x:c>
      <x:c r="L37" s="31" t="n">
        <x:v>1425.976244384</x:v>
      </x:c>
      <x:c r="M37" s="31" t="n">
        <x:v>35.913200445</x:v>
      </x:c>
      <x:c r="N37" s="24" t="str">
        <x:v>lepidopus caudatus</x:v>
      </x:c>
      <x:c r="O37" s="32" t="n">
        <x:v>3.82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Lepidopus caudatus</x:v>
      </x:c>
      <x:c r="T37" s="32" t="n">
        <x:f>IF(O37="","",(1/'Metadata'!$B$5)^(O37-1))</x:f>
        <x:v>660.6934480075957</x:v>
      </x:c>
      <x:c r="U37" s="31" t="n">
        <x:f>IF(T37="","",I37*T37)</x:f>
        <x:v>965860.7779099819</x:v>
      </x:c>
    </x:row>
    <x:row r="38" ht="18" customHeight="1">
      <x:c r="A38" s="24" t="str">
        <x:v>EEZ_380</x:v>
      </x:c>
      <x:c r="B38" s="24" t="str">
        <x:v>Italy (mainland)</x:v>
      </x:c>
      <x:c r="C38" s="24" t="str">
        <x:v>EEZ</x:v>
      </x:c>
      <x:c r="D38" s="30" t="n">
        <x:v>2019</x:v>
      </x:c>
      <x:c r="E38" s="24" t="str">
        <x:v>Veneridae</x:v>
      </x:c>
      <x:c r="F38" s="24" t="str">
        <x:v>Venus clams</x:v>
      </x:c>
      <x:c r="G38" s="24" t="str">
        <x:v>Other demersal invertebrates</x:v>
      </x:c>
      <x:c r="H38" s="24" t="str">
        <x:v>Molluscs</x:v>
      </x:c>
      <x:c r="I38" s="31" t="n">
        <x:v>1407.382086558</x:v>
      </x:c>
      <x:c r="J38" s="31" t="n">
        <x:v>1407.382086558</x:v>
      </x:c>
      <x:c r="K38" s="31" t="n">
        <x:v>0</x:v>
      </x:c>
      <x:c r="L38" s="31" t="n">
        <x:v>1231.1097992000002</x:v>
      </x:c>
      <x:c r="M38" s="31" t="n">
        <x:v>176.272287358</x:v>
      </x:c>
      <x:c r="N38" s="24" t="str">
        <x:v>veneridae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Veneridae</x:v>
      </x:c>
      <x:c r="T38" s="32" t="n">
        <x:f>IF(O38="","",(1/'Metadata'!$B$5)^(O38-1))</x:f>
        <x:v>10</x:v>
      </x:c>
      <x:c r="U38" s="31" t="n">
        <x:f>IF(T38="","",I38*T38)</x:f>
        <x:v>14073.82086558</x:v>
      </x:c>
    </x:row>
    <x:row r="39" ht="18" customHeight="1">
      <x:c r="A39" s="24" t="str">
        <x:v>EEZ_380</x:v>
      </x:c>
      <x:c r="B39" s="24" t="str">
        <x:v>Italy (mainland)</x:v>
      </x:c>
      <x:c r="C39" s="24" t="str">
        <x:v>EEZ</x:v>
      </x:c>
      <x:c r="D39" s="30" t="n">
        <x:v>2019</x:v>
      </x:c>
      <x:c r="E39" s="24" t="str">
        <x:v>Sparus aurata</x:v>
      </x:c>
      <x:c r="F39" s="24" t="str">
        <x:v>Gilthead seabream</x:v>
      </x:c>
      <x:c r="G39" s="24" t="str">
        <x:v>Medium demersals (30 - 89 cm)</x:v>
      </x:c>
      <x:c r="H39" s="24" t="str">
        <x:v>Perch-likes</x:v>
      </x:c>
      <x:c r="I39" s="31" t="n">
        <x:v>1281.253153748</x:v>
      </x:c>
      <x:c r="J39" s="31" t="n">
        <x:v>1281.253153748</x:v>
      </x:c>
      <x:c r="K39" s="31" t="n">
        <x:v>0</x:v>
      </x:c>
      <x:c r="L39" s="31" t="n">
        <x:v>265.627827295</x:v>
      </x:c>
      <x:c r="M39" s="31" t="n">
        <x:v>1015.625326453</x:v>
      </x:c>
      <x:c r="N39" s="24" t="str">
        <x:v>sparus aurata</x:v>
      </x:c>
      <x:c r="O39" s="32" t="n">
        <x:v>3.7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Sparus aurata</x:v>
      </x:c>
      <x:c r="T39" s="32" t="n">
        <x:f>IF(O39="","",(1/'Metadata'!$B$5)^(O39-1))</x:f>
        <x:v>501.18723362727246</x:v>
      </x:c>
      <x:c r="U39" s="31" t="n">
        <x:f>IF(T39="","",I39*T39)</x:f>
        <x:v>642147.7237031785</x:v>
      </x:c>
    </x:row>
    <x:row r="40" ht="18" customHeight="1">
      <x:c r="A40" s="24" t="str">
        <x:v>EEZ_380</x:v>
      </x:c>
      <x:c r="B40" s="24" t="str">
        <x:v>Italy (mainland)</x:v>
      </x:c>
      <x:c r="C40" s="24" t="str">
        <x:v>EEZ</x:v>
      </x:c>
      <x:c r="D40" s="30" t="n">
        <x:v>2019</x:v>
      </x:c>
      <x:c r="E40" s="24" t="str">
        <x:v>Lophius</x:v>
      </x:c>
      <x:c r="F40" s="24" t="str">
        <x:v>Frogfishes</x:v>
      </x:c>
      <x:c r="G40" s="24" t="str">
        <x:v>Medium bathydemersals (30 - 89 cm)</x:v>
      </x:c>
      <x:c r="H40" s="24" t="str">
        <x:v>Other fishes &amp; inverts</x:v>
      </x:c>
      <x:c r="I40" s="31" t="n">
        <x:v>1268.405854027</x:v>
      </x:c>
      <x:c r="J40" s="31" t="n">
        <x:v>1268.405854027</x:v>
      </x:c>
      <x:c r="K40" s="31" t="n">
        <x:v>0</x:v>
      </x:c>
      <x:c r="L40" s="31" t="n">
        <x:v>1079.261827099</x:v>
      </x:c>
      <x:c r="M40" s="31" t="n">
        <x:v>189.14402692800002</x:v>
      </x:c>
      <x:c r="N40" s="24" t="str">
        <x:v>lophius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Lophius</x:v>
      </x:c>
      <x:c r="T40" s="32" t="n">
        <x:f>IF(O40="","",(1/'Metadata'!$B$5)^(O40-1))</x:f>
        <x:v>2884.031503126606</x:v>
      </x:c>
      <x:c r="U40" s="31" t="n">
        <x:f>IF(T40="","",I40*T40)</x:f>
        <x:v>3658122.4417640753</x:v>
      </x:c>
    </x:row>
    <x:row r="41" ht="18" customHeight="1">
      <x:c r="A41" s="24" t="str">
        <x:v>EEZ_380</x:v>
      </x:c>
      <x:c r="B41" s="24" t="str">
        <x:v>Italy (mainland)</x:v>
      </x:c>
      <x:c r="C41" s="24" t="str">
        <x:v>EEZ</x:v>
      </x:c>
      <x:c r="D41" s="30" t="n">
        <x:v>2019</x:v>
      </x:c>
      <x:c r="E41" s="24" t="str">
        <x:v>Nephrops norvegicus</x:v>
      </x:c>
      <x:c r="F41" s="24" t="str">
        <x:v>Norway lobster</x:v>
      </x:c>
      <x:c r="G41" s="24" t="str">
        <x:v>Lobsters, crabs</x:v>
      </x:c>
      <x:c r="H41" s="24" t="str">
        <x:v>Crustaceans</x:v>
      </x:c>
      <x:c r="I41" s="31" t="n">
        <x:v>1248.735840213</x:v>
      </x:c>
      <x:c r="J41" s="31" t="n">
        <x:v>1248.735840213</x:v>
      </x:c>
      <x:c r="K41" s="31" t="n">
        <x:v>0</x:v>
      </x:c>
      <x:c r="L41" s="31" t="n">
        <x:v>1159.0064797100001</x:v>
      </x:c>
      <x:c r="M41" s="31" t="n">
        <x:v>89.729360503</x:v>
      </x:c>
      <x:c r="N41" s="24" t="str">
        <x:v>nephrops norvegicus</x:v>
      </x:c>
      <x:c r="O41" s="32" t="n">
        <x:v>2.87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Nephrops norvegicus</x:v>
      </x:c>
      <x:c r="T41" s="32" t="n">
        <x:f>IF(O41="","",(1/'Metadata'!$B$5)^(O41-1))</x:f>
        <x:v>74.13102413009177</x:v>
      </x:c>
      <x:c r="U41" s="31" t="n">
        <x:f>IF(T41="","",I41*T41)</x:f>
        <x:v>92570.06670294034</x:v>
      </x:c>
    </x:row>
    <x:row r="42" ht="18" customHeight="1">
      <x:c r="A42" s="24" t="str">
        <x:v>EEZ_380</x:v>
      </x:c>
      <x:c r="B42" s="24" t="str">
        <x:v>Italy (mainland)</x:v>
      </x:c>
      <x:c r="C42" s="24" t="str">
        <x:v>EEZ</x:v>
      </x:c>
      <x:c r="D42" s="30" t="n">
        <x:v>2019</x:v>
      </x:c>
      <x:c r="E42" s="24" t="str">
        <x:v>Loligo</x:v>
      </x:c>
      <x:c r="F42" s="24" t="str">
        <x:v>Common squids</x:v>
      </x:c>
      <x:c r="G42" s="24" t="str">
        <x:v>Cephalopods</x:v>
      </x:c>
      <x:c r="H42" s="24" t="str">
        <x:v>Other fishes &amp; inverts</x:v>
      </x:c>
      <x:c r="I42" s="31" t="n">
        <x:v>1228.0985950371</x:v>
      </x:c>
      <x:c r="J42" s="31" t="n">
        <x:v>1228.0985950371</x:v>
      </x:c>
      <x:c r="K42" s="31" t="n">
        <x:v>0</x:v>
      </x:c>
      <x:c r="L42" s="31" t="n">
        <x:v>993.7097348411</x:v>
      </x:c>
      <x:c r="M42" s="31" t="n">
        <x:v>234.388860196</x:v>
      </x:c>
      <x:c r="N42" s="24" t="str">
        <x:v>loligo</x:v>
      </x:c>
      <x:c r="O42" s="32" t="n">
        <x:v>3.99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Loligo</x:v>
      </x:c>
      <x:c r="T42" s="32" t="n">
        <x:f>IF(O42="","",(1/'Metadata'!$B$5)^(O42-1))</x:f>
        <x:v>977.2372209558112</x:v>
      </x:c>
      <x:c r="U42" s="31" t="n">
        <x:f>IF(T42="","",I42*T42)</x:f>
        <x:v>1200143.6580737918</x:v>
      </x:c>
    </x:row>
    <x:row r="43" ht="18" customHeight="1">
      <x:c r="A43" s="24" t="str">
        <x:v>EEZ_380</x:v>
      </x:c>
      <x:c r="B43" s="24" t="str">
        <x:v>Italy (mainland)</x:v>
      </x:c>
      <x:c r="C43" s="24" t="str">
        <x:v>EEZ</x:v>
      </x:c>
      <x:c r="D43" s="30" t="n">
        <x:v>2019</x:v>
      </x:c>
      <x:c r="E43" s="24" t="str">
        <x:v>Pecten jacobaeus</x:v>
      </x:c>
      <x:c r="F43" s="24" t="str">
        <x:v>Great Mediterranean scallop</x:v>
      </x:c>
      <x:c r="G43" s="24" t="str">
        <x:v>Other demersal invertebrates</x:v>
      </x:c>
      <x:c r="H43" s="24" t="str">
        <x:v>Molluscs</x:v>
      </x:c>
      <x:c r="I43" s="31" t="n">
        <x:v>1202.886271787</x:v>
      </x:c>
      <x:c r="J43" s="31" t="n">
        <x:v>1202.886271787</x:v>
      </x:c>
      <x:c r="K43" s="31" t="n">
        <x:v>0</x:v>
      </x:c>
      <x:c r="L43" s="31" t="n">
        <x:v>851.9122699879999</x:v>
      </x:c>
      <x:c r="M43" s="31" t="n">
        <x:v>350.97400179899995</x:v>
      </x:c>
      <x:c r="N43" s="24" t="str">
        <x:v>pecten jacobaeus</x:v>
      </x:c>
      <x:c r="O43" s="32" t="n">
        <x:v>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Pecten jacobaeus</x:v>
      </x:c>
      <x:c r="T43" s="32" t="n">
        <x:f>IF(O43="","",(1/'Metadata'!$B$5)^(O43-1))</x:f>
        <x:v>10</x:v>
      </x:c>
      <x:c r="U43" s="31" t="n">
        <x:f>IF(T43="","",I43*T43)</x:f>
        <x:v>12028.862717869999</x:v>
      </x:c>
    </x:row>
    <x:row r="44" ht="18" customHeight="1">
      <x:c r="A44" s="24" t="str">
        <x:v>EEZ_380</x:v>
      </x:c>
      <x:c r="B44" s="24" t="str">
        <x:v>Italy (mainland)</x:v>
      </x:c>
      <x:c r="C44" s="24" t="str">
        <x:v>EEZ</x:v>
      </x:c>
      <x:c r="D44" s="30" t="n">
        <x:v>2019</x:v>
      </x:c>
      <x:c r="E44" s="24" t="str">
        <x:v>Carangidae</x:v>
      </x:c>
      <x:c r="F44" s="24" t="str">
        <x:v>Jacks, pompanos</x:v>
      </x:c>
      <x:c r="G44" s="24" t="str">
        <x:v>Medium pelagics (30 - 89 cm)</x:v>
      </x:c>
      <x:c r="H44" s="24" t="str">
        <x:v>Perch-likes</x:v>
      </x:c>
      <x:c r="I44" s="31" t="n">
        <x:v>1196.6106411</x:v>
      </x:c>
      <x:c r="J44" s="31" t="n">
        <x:v>1196.6106411</x:v>
      </x:c>
      <x:c r="K44" s="31" t="n">
        <x:v>0</x:v>
      </x:c>
      <x:c r="L44" s="31" t="n">
        <x:v>0</x:v>
      </x:c>
      <x:c r="M44" s="31" t="n">
        <x:v>1196.6106411</x:v>
      </x:c>
      <x:c r="N44" s="24" t="str">
        <x:v>carangidae</x:v>
      </x:c>
      <x:c r="O44" s="32" t="n">
        <x:v>4.05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Carangidae</x:v>
      </x:c>
      <x:c r="T44" s="32" t="n">
        <x:f>IF(O44="","",(1/'Metadata'!$B$5)^(O44-1))</x:f>
        <x:v>1122.018454301963</x:v>
      </x:c>
      <x:c r="U44" s="31" t="n">
        <x:f>IF(T44="","",I44*T44)</x:f>
        <x:v>1342619.221928303</x:v>
      </x:c>
    </x:row>
    <x:row r="45" ht="18" customHeight="1">
      <x:c r="A45" s="24" t="str">
        <x:v>EEZ_380</x:v>
      </x:c>
      <x:c r="B45" s="24" t="str">
        <x:v>Italy (mainland)</x:v>
      </x:c>
      <x:c r="C45" s="24" t="str">
        <x:v>EEZ</x:v>
      </x:c>
      <x:c r="D45" s="30" t="n">
        <x:v>2019</x:v>
      </x:c>
      <x:c r="E45" s="24" t="str">
        <x:v>Octopus vulgaris</x:v>
      </x:c>
      <x:c r="F45" s="24" t="str">
        <x:v>Common octopus</x:v>
      </x:c>
      <x:c r="G45" s="24" t="str">
        <x:v>Cephalopods</x:v>
      </x:c>
      <x:c r="H45" s="24" t="str">
        <x:v>Other fishes &amp; inverts</x:v>
      </x:c>
      <x:c r="I45" s="31" t="n">
        <x:v>1168.17122206</x:v>
      </x:c>
      <x:c r="J45" s="31" t="n">
        <x:v>1168.17122206</x:v>
      </x:c>
      <x:c r="K45" s="31" t="n">
        <x:v>0</x:v>
      </x:c>
      <x:c r="L45" s="31" t="n">
        <x:v>1012.662649244</x:v>
      </x:c>
      <x:c r="M45" s="31" t="n">
        <x:v>155.508572816</x:v>
      </x:c>
      <x:c r="N45" s="24" t="str">
        <x:v>octopus vulgaris</x:v>
      </x:c>
      <x:c r="O45" s="32" t="n">
        <x:v>3.6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Octopus vulgaris</x:v>
      </x:c>
      <x:c r="T45" s="32" t="n">
        <x:f>IF(O45="","",(1/'Metadata'!$B$5)^(O45-1))</x:f>
        <x:v>398.1071705534973</x:v>
      </x:c>
      <x:c r="U45" s="31" t="n">
        <x:f>IF(T45="","",I45*T45)</x:f>
        <x:v>465057.33993632783</x:v>
      </x:c>
    </x:row>
    <x:row r="46" ht="18" customHeight="1">
      <x:c r="A46" s="24" t="str">
        <x:v>EEZ_380</x:v>
      </x:c>
      <x:c r="B46" s="24" t="str">
        <x:v>Italy (mainland)</x:v>
      </x:c>
      <x:c r="C46" s="24" t="str">
        <x:v>EEZ</x:v>
      </x:c>
      <x:c r="D46" s="30" t="n">
        <x:v>2019</x:v>
      </x:c>
      <x:c r="E46" s="24" t="str">
        <x:v>Illex coindetii</x:v>
      </x:c>
      <x:c r="F46" s="24" t="str">
        <x:v>Broadtail shortfin squid</x:v>
      </x:c>
      <x:c r="G46" s="24" t="str">
        <x:v>Cephalopods</x:v>
      </x:c>
      <x:c r="H46" s="24" t="str">
        <x:v>Other fishes &amp; inverts</x:v>
      </x:c>
      <x:c r="I46" s="31" t="n">
        <x:v>1126.960753391</x:v>
      </x:c>
      <x:c r="J46" s="31" t="n">
        <x:v>976.527280728</x:v>
      </x:c>
      <x:c r="K46" s="31" t="n">
        <x:v>150.433472663</x:v>
      </x:c>
      <x:c r="L46" s="31" t="n">
        <x:v>955.9895314</x:v>
      </x:c>
      <x:c r="M46" s="31" t="n">
        <x:v>170.97122199100002</x:v>
      </x:c>
      <x:c r="N46" s="24" t="str">
        <x:v>illex coindetii</x:v>
      </x:c>
      <x:c r="O46" s="32" t="n">
        <x:v>4.11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Illex coindetii</x:v>
      </x:c>
      <x:c r="T46" s="32" t="n">
        <x:f>IF(O46="","",(1/'Metadata'!$B$5)^(O46-1))</x:f>
        <x:v>1288.249551693135</x:v>
      </x:c>
      <x:c r="U46" s="31" t="n">
        <x:f>IF(T46="","",I46*T46)</x:f>
        <x:v>1451806.6853317134</x:v>
      </x:c>
    </x:row>
    <x:row r="47" ht="18" customHeight="1">
      <x:c r="A47" s="24" t="str">
        <x:v>EEZ_380</x:v>
      </x:c>
      <x:c r="B47" s="24" t="str">
        <x:v>Italy (mainland)</x:v>
      </x:c>
      <x:c r="C47" s="24" t="str">
        <x:v>EEZ</x:v>
      </x:c>
      <x:c r="D47" s="30" t="n">
        <x:v>2019</x:v>
      </x:c>
      <x:c r="E47" s="24" t="str">
        <x:v>Chamelea gallina</x:v>
      </x:c>
      <x:c r="F47" s="24" t="str">
        <x:v>Striped venus</x:v>
      </x:c>
      <x:c r="G47" s="24" t="str">
        <x:v>Other demersal invertebrates</x:v>
      </x:c>
      <x:c r="H47" s="24" t="str">
        <x:v>Molluscs</x:v>
      </x:c>
      <x:c r="I47" s="31" t="n">
        <x:v>1050.96093</x:v>
      </x:c>
      <x:c r="J47" s="31" t="n">
        <x:v>0</x:v>
      </x:c>
      <x:c r="K47" s="31" t="n">
        <x:v>1050.96093</x:v>
      </x:c>
      <x:c r="L47" s="31" t="n">
        <x:v>1050.96093</x:v>
      </x:c>
      <x:c r="M47" s="31" t="n">
        <x:v>0</x:v>
      </x:c>
      <x:c r="N47" s="24" t="str">
        <x:v>chamelea gallina</x:v>
      </x:c>
      <x:c r="O47" s="32" t="n">
        <x:v>2.1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Chamelea gallina</x:v>
      </x:c>
      <x:c r="T47" s="32" t="n">
        <x:f>IF(O47="","",(1/'Metadata'!$B$5)^(O47-1))</x:f>
        <x:v>12.589254117941675</x:v>
      </x:c>
      <x:c r="U47" s="31" t="n">
        <x:f>IF(T47="","",I47*T47)</x:f>
        <x:v>13230.814215798311</x:v>
      </x:c>
    </x:row>
    <x:row r="48" ht="18" customHeight="1">
      <x:c r="A48" s="24" t="str">
        <x:v>EEZ_380</x:v>
      </x:c>
      <x:c r="B48" s="24" t="str">
        <x:v>Italy (mainland)</x:v>
      </x:c>
      <x:c r="C48" s="24" t="str">
        <x:v>EEZ</x:v>
      </x:c>
      <x:c r="D48" s="30" t="n">
        <x:v>2019</x:v>
      </x:c>
      <x:c r="E48" s="24" t="str">
        <x:v>Spicara maena</x:v>
      </x:c>
      <x:c r="F48" s="24" t="str">
        <x:v>Blotched picarel</x:v>
      </x:c>
      <x:c r="G48" s="24" t="str">
        <x:v>Small demersals (&lt;30 cm)</x:v>
      </x:c>
      <x:c r="H48" s="24" t="str">
        <x:v>Perch-likes</x:v>
      </x:c>
      <x:c r="I48" s="31" t="n">
        <x:v>1048.728798944</x:v>
      </x:c>
      <x:c r="J48" s="31" t="n">
        <x:v>64.440954344</x:v>
      </x:c>
      <x:c r="K48" s="31" t="n">
        <x:v>984.2878446</x:v>
      </x:c>
      <x:c r="L48" s="31" t="n">
        <x:v>1012.870689145</x:v>
      </x:c>
      <x:c r="M48" s="31" t="n">
        <x:v>35.858109799</x:v>
      </x:c>
      <x:c r="N48" s="24" t="str">
        <x:v>spicara maena</x:v>
      </x:c>
      <x:c r="O48" s="32" t="n">
        <x:v>4.15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Spicara maena</x:v>
      </x:c>
      <x:c r="T48" s="32" t="n">
        <x:f>IF(O48="","",(1/'Metadata'!$B$5)^(O48-1))</x:f>
        <x:v>1412.5375446227554</x:v>
      </x:c>
      <x:c r="U48" s="31" t="n">
        <x:f>IF(T48="","",I48*T48)</x:f>
        <x:v>1481368.8026355288</x:v>
      </x:c>
    </x:row>
    <x:row r="49" ht="18" customHeight="1">
      <x:c r="A49" s="24" t="str">
        <x:v>EEZ_380</x:v>
      </x:c>
      <x:c r="B49" s="24" t="str">
        <x:v>Italy (mainland)</x:v>
      </x:c>
      <x:c r="C49" s="24" t="str">
        <x:v>EEZ</x:v>
      </x:c>
      <x:c r="D49" s="30" t="n">
        <x:v>2019</x:v>
      </x:c>
      <x:c r="E49" s="24" t="str">
        <x:v>Penaeus kerathurus</x:v>
      </x:c>
      <x:c r="F49" s="24" t="str">
        <x:v>Caramote prawn</x:v>
      </x:c>
      <x:c r="G49" s="24" t="str">
        <x:v>Shrimps</x:v>
      </x:c>
      <x:c r="H49" s="24" t="str">
        <x:v>Crustaceans</x:v>
      </x:c>
      <x:c r="I49" s="31" t="n">
        <x:v>1005.213483177</x:v>
      </x:c>
      <x:c r="J49" s="31" t="n">
        <x:v>1005.213483177</x:v>
      </x:c>
      <x:c r="K49" s="31" t="n">
        <x:v>0</x:v>
      </x:c>
      <x:c r="L49" s="31" t="n">
        <x:v>730.2615971289999</x:v>
      </x:c>
      <x:c r="M49" s="31" t="n">
        <x:v>274.951886048</x:v>
      </x:c>
      <x:c r="N49" s="24" t="str">
        <x:v>penaeus kerathurus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Penaeus kerathurus</x:v>
      </x:c>
      <x:c r="T49" s="32" t="n">
        <x:f>IF(O49="","",(1/'Metadata'!$B$5)^(O49-1))</x:f>
        <x:v>50.11872336272725</x:v>
      </x:c>
      <x:c r="U49" s="31" t="n">
        <x:f>IF(T49="","",I49*T49)</x:f>
        <x:v>50380.01648383155</x:v>
      </x:c>
    </x:row>
    <x:row r="50" ht="18" customHeight="1">
      <x:c r="A50" s="24" t="str">
        <x:v>EEZ_380</x:v>
      </x:c>
      <x:c r="B50" s="24" t="str">
        <x:v>Italy (mainland)</x:v>
      </x:c>
      <x:c r="C50" s="24" t="str">
        <x:v>EEZ</x:v>
      </x:c>
      <x:c r="D50" s="30" t="n">
        <x:v>2019</x:v>
      </x:c>
      <x:c r="E50" s="24" t="str">
        <x:v>Dicentrarchus labrax</x:v>
      </x:c>
      <x:c r="F50" s="24" t="str">
        <x:v>European seabass</x:v>
      </x:c>
      <x:c r="G50" s="24" t="str">
        <x:v>Large demersals (&gt;=90 cm)</x:v>
      </x:c>
      <x:c r="H50" s="24" t="str">
        <x:v>Perch-likes</x:v>
      </x:c>
      <x:c r="I50" s="31" t="n">
        <x:v>971.597769689</x:v>
      </x:c>
      <x:c r="J50" s="31" t="n">
        <x:v>971.597769689</x:v>
      </x:c>
      <x:c r="K50" s="31" t="n">
        <x:v>0</x:v>
      </x:c>
      <x:c r="L50" s="31" t="n">
        <x:v>85.32590463300001</x:v>
      </x:c>
      <x:c r="M50" s="31" t="n">
        <x:v>886.271865056</x:v>
      </x:c>
      <x:c r="N50" s="24" t="str">
        <x:v>dicentrarchus labrax</x:v>
      </x:c>
      <x:c r="O50" s="32" t="n">
        <x:v>3.79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Dicentrarchus labrax</x:v>
      </x:c>
      <x:c r="T50" s="32" t="n">
        <x:f>IF(O50="","",(1/'Metadata'!$B$5)^(O50-1))</x:f>
        <x:v>616.5950018614822</x:v>
      </x:c>
      <x:c r="U50" s="31" t="n">
        <x:f>IF(T50="","",I50*T50)</x:f>
        <x:v>599082.3286100009</x:v>
      </x:c>
    </x:row>
    <x:row r="51" ht="18" customHeight="1">
      <x:c r="A51" s="24" t="str">
        <x:v>EEZ_380</x:v>
      </x:c>
      <x:c r="B51" s="24" t="str">
        <x:v>Italy (mainland)</x:v>
      </x:c>
      <x:c r="C51" s="24" t="str">
        <x:v>EEZ</x:v>
      </x:c>
      <x:c r="D51" s="30" t="n">
        <x:v>2019</x:v>
      </x:c>
      <x:c r="E51" s="24" t="str">
        <x:v>Merlangius merlangus</x:v>
      </x:c>
      <x:c r="F51" s="24" t="str">
        <x:v>Whiting</x:v>
      </x:c>
      <x:c r="G51" s="24" t="str">
        <x:v>Medium benthopelagics (30 - 89 cm)</x:v>
      </x:c>
      <x:c r="H51" s="24" t="str">
        <x:v>Cod-likes</x:v>
      </x:c>
      <x:c r="I51" s="31" t="n">
        <x:v>930.06712696</x:v>
      </x:c>
      <x:c r="J51" s="31" t="n">
        <x:v>930.06712696</x:v>
      </x:c>
      <x:c r="K51" s="31" t="n">
        <x:v>0</x:v>
      </x:c>
      <x:c r="L51" s="31" t="n">
        <x:v>902.103839002</x:v>
      </x:c>
      <x:c r="M51" s="31" t="n">
        <x:v>27.963287958000002</x:v>
      </x:c>
      <x:c r="N51" s="24" t="str">
        <x:v>merlangius merlangus</x:v>
      </x:c>
      <x:c r="O51" s="32" t="n">
        <x:v>4.36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Merlangius merlangus</x:v>
      </x:c>
      <x:c r="T51" s="32" t="n">
        <x:f>IF(O51="","",(1/'Metadata'!$B$5)^(O51-1))</x:f>
        <x:v>2290.867652767775</x:v>
      </x:c>
      <x:c r="U51" s="31" t="n">
        <x:f>IF(T51="","",I51*T51)</x:f>
        <x:v>2130660.6960553234</x:v>
      </x:c>
    </x:row>
    <x:row r="52" ht="18" customHeight="1">
      <x:c r="A52" s="24" t="str">
        <x:v>EEZ_380</x:v>
      </x:c>
      <x:c r="B52" s="24" t="str">
        <x:v>Italy (mainland)</x:v>
      </x:c>
      <x:c r="C52" s="24" t="str">
        <x:v>EEZ</x:v>
      </x:c>
      <x:c r="D52" s="30" t="n">
        <x:v>2019</x:v>
      </x:c>
      <x:c r="E52" s="24" t="str">
        <x:v>Trachurus mediterraneus</x:v>
      </x:c>
      <x:c r="F52" s="24" t="str">
        <x:v>Mediterranean horse mackerel</x:v>
      </x:c>
      <x:c r="G52" s="24" t="str">
        <x:v>Medium pelagics (30 - 89 cm)</x:v>
      </x:c>
      <x:c r="H52" s="24" t="str">
        <x:v>Perch-likes</x:v>
      </x:c>
      <x:c r="I52" s="31" t="n">
        <x:v>873.2535532141001</x:v>
      </x:c>
      <x:c r="J52" s="31" t="n">
        <x:v>24.2539212361</x:v>
      </x:c>
      <x:c r="K52" s="31" t="n">
        <x:v>848.999631978</x:v>
      </x:c>
      <x:c r="L52" s="31" t="n">
        <x:v>848.999631978</x:v>
      </x:c>
      <x:c r="M52" s="31" t="n">
        <x:v>24.2539212361</x:v>
      </x:c>
      <x:c r="N52" s="24" t="str">
        <x:v>trachurus mediterraneus</x:v>
      </x:c>
      <x:c r="O52" s="32" t="n">
        <x:v>3.77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Trachurus mediterraneus</x:v>
      </x:c>
      <x:c r="T52" s="32" t="n">
        <x:f>IF(O52="","",(1/'Metadata'!$B$5)^(O52-1))</x:f>
        <x:v>588.843655355589</x:v>
      </x:c>
      <x:c r="U52" s="31" t="n">
        <x:f>IF(T52="","",I52*T52)</x:f>
        <x:v>514209.81432684703</x:v>
      </x:c>
    </x:row>
    <x:row r="53" ht="18" customHeight="1">
      <x:c r="A53" s="24" t="str">
        <x:v>EEZ_380</x:v>
      </x:c>
      <x:c r="B53" s="24" t="str">
        <x:v>Italy (mainland)</x:v>
      </x:c>
      <x:c r="C53" s="24" t="str">
        <x:v>EEZ</x:v>
      </x:c>
      <x:c r="D53" s="30" t="n">
        <x:v>2019</x:v>
      </x:c>
      <x:c r="E53" s="24" t="str">
        <x:v>Galeus melastomus</x:v>
      </x:c>
      <x:c r="F53" s="24" t="str">
        <x:v>Blackmouth catshark</x:v>
      </x:c>
      <x:c r="G53" s="24" t="str">
        <x:v>Small to medium sharks (&lt;90 cm)</x:v>
      </x:c>
      <x:c r="H53" s="24" t="str">
        <x:v>Sharks &amp; rays</x:v>
      </x:c>
      <x:c r="I53" s="31" t="n">
        <x:v>833.8429120310001</x:v>
      </x:c>
      <x:c r="J53" s="31" t="n">
        <x:v>11.448677231</x:v>
      </x:c>
      <x:c r="K53" s="31" t="n">
        <x:v>822.3942348</x:v>
      </x:c>
      <x:c r="L53" s="31" t="n">
        <x:v>831.977228556</x:v>
      </x:c>
      <x:c r="M53" s="31" t="n">
        <x:v>1.865683475</x:v>
      </x:c>
      <x:c r="N53" s="24" t="str">
        <x:v>galeus melastomus</x:v>
      </x:c>
      <x:c r="O53" s="32" t="n">
        <x:v>4.17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Galeus melastomus</x:v>
      </x:c>
      <x:c r="T53" s="32" t="n">
        <x:f>IF(O53="","",(1/'Metadata'!$B$5)^(O53-1))</x:f>
        <x:v>1479.1083881682073</x:v>
      </x:c>
      <x:c r="U53" s="31" t="n">
        <x:f>IF(T53="","",I53*T53)</x:f>
        <x:v>1233344.0455996569</x:v>
      </x:c>
    </x:row>
    <x:row r="54" ht="18" customHeight="1">
      <x:c r="A54" s="24" t="str">
        <x:v>EEZ_380</x:v>
      </x:c>
      <x:c r="B54" s="24" t="str">
        <x:v>Italy (mainland)</x:v>
      </x:c>
      <x:c r="C54" s="24" t="str">
        <x:v>EEZ</x:v>
      </x:c>
      <x:c r="D54" s="30" t="n">
        <x:v>2019</x:v>
      </x:c>
      <x:c r="E54" s="24" t="str">
        <x:v>Seriola dumerili</x:v>
      </x:c>
      <x:c r="F54" s="24" t="str">
        <x:v>Greater amberjack</x:v>
      </x:c>
      <x:c r="G54" s="24" t="str">
        <x:v>Large reef assoc. fish (&gt;=90 cm)</x:v>
      </x:c>
      <x:c r="H54" s="24" t="str">
        <x:v>Perch-likes</x:v>
      </x:c>
      <x:c r="I54" s="31" t="n">
        <x:v>808.6908409608001</x:v>
      </x:c>
      <x:c r="J54" s="31" t="n">
        <x:v>808.6908409608001</x:v>
      </x:c>
      <x:c r="K54" s="31" t="n">
        <x:v>0</x:v>
      </x:c>
      <x:c r="L54" s="31" t="n">
        <x:v>726.7756258698</x:v>
      </x:c>
      <x:c r="M54" s="31" t="n">
        <x:v>81.915215091</x:v>
      </x:c>
      <x:c r="N54" s="24" t="str">
        <x:v>seriola dumerili</x:v>
      </x:c>
      <x:c r="O54" s="32" t="n">
        <x:v>4.5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Seriola dumerili</x:v>
      </x:c>
      <x:c r="T54" s="32" t="n">
        <x:f>IF(O54="","",(1/'Metadata'!$B$5)^(O54-1))</x:f>
        <x:v>3162.2776601683795</x:v>
      </x:c>
      <x:c r="U54" s="31" t="n">
        <x:f>IF(T54="","",I54*T54)</x:f>
        <x:v>2557304.980353118</x:v>
      </x:c>
    </x:row>
    <x:row r="55" ht="18" customHeight="1">
      <x:c r="A55" s="24" t="str">
        <x:v>EEZ_380</x:v>
      </x:c>
      <x:c r="B55" s="24" t="str">
        <x:v>Italy (mainland)</x:v>
      </x:c>
      <x:c r="C55" s="24" t="str">
        <x:v>EEZ</x:v>
      </x:c>
      <x:c r="D55" s="30" t="n">
        <x:v>2019</x:v>
      </x:c>
      <x:c r="E55" s="24" t="str">
        <x:v>Mugilidae</x:v>
      </x:c>
      <x:c r="F55" s="24" t="str">
        <x:v>Mullets, grey mullets</x:v>
      </x:c>
      <x:c r="G55" s="24" t="str">
        <x:v>Medium reef assoc. fish (30 - 89 cm)</x:v>
      </x:c>
      <x:c r="H55" s="24" t="str">
        <x:v>Perch-likes</x:v>
      </x:c>
      <x:c r="I55" s="31" t="n">
        <x:v>780.14514166</x:v>
      </x:c>
      <x:c r="J55" s="31" t="n">
        <x:v>780.14514166</x:v>
      </x:c>
      <x:c r="K55" s="31" t="n">
        <x:v>0</x:v>
      </x:c>
      <x:c r="L55" s="31" t="n">
        <x:v>0</x:v>
      </x:c>
      <x:c r="M55" s="31" t="n">
        <x:v>780.14514166</x:v>
      </x:c>
      <x:c r="N55" s="24" t="str">
        <x:v>mugilidae</x:v>
      </x:c>
      <x:c r="O55" s="32" t="n">
        <x:v>2.53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Mugilidae</x:v>
      </x:c>
      <x:c r="T55" s="32" t="n">
        <x:f>IF(O55="","",(1/'Metadata'!$B$5)^(O55-1))</x:f>
        <x:v>33.88441561392024</x:v>
      </x:c>
      <x:c r="U55" s="31" t="n">
        <x:f>IF(T55="","",I55*T55)</x:f>
        <x:v>26434.762219188124</x:v>
      </x:c>
    </x:row>
    <x:row r="56" ht="18" customHeight="1">
      <x:c r="A56" s="24" t="str">
        <x:v>EEZ_380</x:v>
      </x:c>
      <x:c r="B56" s="24" t="str">
        <x:v>Italy (mainland)</x:v>
      </x:c>
      <x:c r="C56" s="24" t="str">
        <x:v>EEZ</x:v>
      </x:c>
      <x:c r="D56" s="30" t="n">
        <x:v>2019</x:v>
      </x:c>
      <x:c r="E56" s="24" t="str">
        <x:v>Cardiidae</x:v>
      </x:c>
      <x:c r="F56" s="24" t="str">
        <x:v>Cockles</x:v>
      </x:c>
      <x:c r="G56" s="24" t="str">
        <x:v>Other demersal invertebrates</x:v>
      </x:c>
      <x:c r="H56" s="24" t="str">
        <x:v>Molluscs</x:v>
      </x:c>
      <x:c r="I56" s="31" t="n">
        <x:v>768.786980659</x:v>
      </x:c>
      <x:c r="J56" s="31" t="n">
        <x:v>768.786980659</x:v>
      </x:c>
      <x:c r="K56" s="31" t="n">
        <x:v>0</x:v>
      </x:c>
      <x:c r="L56" s="31" t="n">
        <x:v>465.287040514</x:v>
      </x:c>
      <x:c r="M56" s="31" t="n">
        <x:v>303.499940145</x:v>
      </x:c>
      <x:c r="N56" s="24" t="str">
        <x:v>cardiidae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Cardiidae</x:v>
      </x:c>
      <x:c r="T56" s="32" t="n">
        <x:f>IF(O56="","",(1/'Metadata'!$B$5)^(O56-1))</x:f>
        <x:v>10</x:v>
      </x:c>
      <x:c r="U56" s="31" t="n">
        <x:f>IF(T56="","",I56*T56)</x:f>
        <x:v>7687.869806590001</x:v>
      </x:c>
    </x:row>
    <x:row r="57" ht="18" customHeight="1">
      <x:c r="A57" s="24" t="str">
        <x:v>EEZ_380</x:v>
      </x:c>
      <x:c r="B57" s="24" t="str">
        <x:v>Italy (mainland)</x:v>
      </x:c>
      <x:c r="C57" s="24" t="str">
        <x:v>EEZ</x:v>
      </x:c>
      <x:c r="D57" s="30" t="n">
        <x:v>2019</x:v>
      </x:c>
      <x:c r="E57" s="24" t="str">
        <x:v>Trachinotus ovatus</x:v>
      </x:c>
      <x:c r="F57" s="24" t="str">
        <x:v>Pompano</x:v>
      </x:c>
      <x:c r="G57" s="24" t="str">
        <x:v>Medium pelagics (30 - 89 cm)</x:v>
      </x:c>
      <x:c r="H57" s="24" t="str">
        <x:v>Perch-likes</x:v>
      </x:c>
      <x:c r="I57" s="31" t="n">
        <x:v>721.536805025</x:v>
      </x:c>
      <x:c r="J57" s="31" t="n">
        <x:v>721.536805025</x:v>
      </x:c>
      <x:c r="K57" s="31" t="n">
        <x:v>0</x:v>
      </x:c>
      <x:c r="L57" s="31" t="n">
        <x:v>15.808530451</x:v>
      </x:c>
      <x:c r="M57" s="31" t="n">
        <x:v>705.728274574</x:v>
      </x:c>
      <x:c r="N57" s="24" t="str">
        <x:v>trachinotus ovatus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Trachinotus ovatus</x:v>
      </x:c>
      <x:c r="T57" s="32" t="n">
        <x:f>IF(O57="","",(1/'Metadata'!$B$5)^(O57-1))</x:f>
        <x:v>537.0317963702527</x:v>
      </x:c>
      <x:c r="U57" s="31" t="n">
        <x:f>IF(T57="","",I57*T57)</x:f>
        <x:v>387488.2065498285</x:v>
      </x:c>
    </x:row>
    <x:row r="58" ht="18" customHeight="1">
      <x:c r="A58" s="24" t="str">
        <x:v>EEZ_380</x:v>
      </x:c>
      <x:c r="B58" s="24" t="str">
        <x:v>Italy (mainland)</x:v>
      </x:c>
      <x:c r="C58" s="24" t="str">
        <x:v>EEZ</x:v>
      </x:c>
      <x:c r="D58" s="30" t="n">
        <x:v>2019</x:v>
      </x:c>
      <x:c r="E58" s="24" t="str">
        <x:v>Marine pelagic fishes not identified</x:v>
      </x:c>
      <x:c r="F58" s="24" t="str">
        <x:v>Pelagic fishes</x:v>
      </x:c>
      <x:c r="G58" s="24" t="str">
        <x:v>Medium pelagics (30 - 89 cm)</x:v>
      </x:c>
      <x:c r="H58" s="24" t="str">
        <x:v>Other fishes &amp; inverts</x:v>
      </x:c>
      <x:c r="I58" s="31" t="n">
        <x:v>718.1528094954</x:v>
      </x:c>
      <x:c r="J58" s="31" t="n">
        <x:v>718.1528094954</x:v>
      </x:c>
      <x:c r="K58" s="31" t="n">
        <x:v>0</x:v>
      </x:c>
      <x:c r="L58" s="31" t="n">
        <x:v>718.1528094954</x:v>
      </x:c>
      <x:c r="M58" s="31" t="n">
        <x:v>0</x:v>
      </x:c>
      <x:c r="N58" s="24" t="str">
        <x:v>marine pelagic fishes not identified</x:v>
      </x:c>
      <x:c r="O58" s="32" t="n">
        <x:v>3.35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Marine pelagic fishes not identified</x:v>
      </x:c>
      <x:c r="T58" s="32" t="n">
        <x:f>IF(O58="","",(1/'Metadata'!$B$5)^(O58-1))</x:f>
        <x:v>223.872113856834</x:v>
      </x:c>
      <x:c r="U58" s="31" t="n">
        <x:f>IF(T58="","",I58*T58)</x:f>
        <x:v>160774.3875339594</x:v>
      </x:c>
    </x:row>
    <x:row r="59" ht="18" customHeight="1">
      <x:c r="A59" s="24" t="str">
        <x:v>EEZ_380</x:v>
      </x:c>
      <x:c r="B59" s="24" t="str">
        <x:v>Italy (mainland)</x:v>
      </x:c>
      <x:c r="C59" s="24" t="str">
        <x:v>EEZ</x:v>
      </x:c>
      <x:c r="D59" s="30" t="n">
        <x:v>2019</x:v>
      </x:c>
      <x:c r="E59" s="24" t="str">
        <x:v>Scorpaena scrofa</x:v>
      </x:c>
      <x:c r="F59" s="24" t="str">
        <x:v>Red scorpionfish</x:v>
      </x:c>
      <x:c r="G59" s="24" t="str">
        <x:v>Medium demersals (30 - 89 cm)</x:v>
      </x:c>
      <x:c r="H59" s="24" t="str">
        <x:v>Scorpionfishes</x:v>
      </x:c>
      <x:c r="I59" s="31" t="n">
        <x:v>649.578035636</x:v>
      </x:c>
      <x:c r="J59" s="31" t="n">
        <x:v>649.578035636</x:v>
      </x:c>
      <x:c r="K59" s="31" t="n">
        <x:v>0</x:v>
      </x:c>
      <x:c r="L59" s="31" t="n">
        <x:v>557.5807076680001</x:v>
      </x:c>
      <x:c r="M59" s="31" t="n">
        <x:v>91.99732796800001</x:v>
      </x:c>
      <x:c r="N59" s="24" t="str">
        <x:v>scorpaena scrofa</x:v>
      </x:c>
      <x:c r="O59" s="32" t="n">
        <x:v>4.25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Scorpaena scrofa</x:v>
      </x:c>
      <x:c r="T59" s="32" t="n">
        <x:f>IF(O59="","",(1/'Metadata'!$B$5)^(O59-1))</x:f>
        <x:v>1778.2794100389228</x:v>
      </x:c>
      <x:c r="U59" s="31" t="n">
        <x:f>IF(T59="","",I59*T59)</x:f>
        <x:v>1155131.2459850283</x:v>
      </x:c>
    </x:row>
    <x:row r="60" ht="18" customHeight="1">
      <x:c r="A60" s="24" t="str">
        <x:v>EEZ_380</x:v>
      </x:c>
      <x:c r="B60" s="24" t="str">
        <x:v>Italy (mainland)</x:v>
      </x:c>
      <x:c r="C60" s="24" t="str">
        <x:v>EEZ</x:v>
      </x:c>
      <x:c r="D60" s="30" t="n">
        <x:v>2019</x:v>
      </x:c>
      <x:c r="E60" s="24" t="str">
        <x:v>Serranus</x:v>
      </x:c>
      <x:c r="F60" s="24" t="str">
        <x:v>Groupers</x:v>
      </x:c>
      <x:c r="G60" s="24" t="str">
        <x:v>Small reef assoc. fish (&lt;30 cm)</x:v>
      </x:c>
      <x:c r="H60" s="24" t="str">
        <x:v>Perch-likes</x:v>
      </x:c>
      <x:c r="I60" s="31" t="n">
        <x:v>636.41970271</x:v>
      </x:c>
      <x:c r="J60" s="31" t="n">
        <x:v>636.41970271</x:v>
      </x:c>
      <x:c r="K60" s="31" t="n">
        <x:v>0</x:v>
      </x:c>
      <x:c r="L60" s="31" t="n">
        <x:v>0</x:v>
      </x:c>
      <x:c r="M60" s="31" t="n">
        <x:v>636.41970271</x:v>
      </x:c>
      <x:c r="N60" s="24" t="str">
        <x:v>serranus</x:v>
      </x:c>
      <x:c r="O60" s="32" t="n">
        <x:v>3.73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Serranus</x:v>
      </x:c>
      <x:c r="T60" s="32" t="n">
        <x:f>IF(O60="","",(1/'Metadata'!$B$5)^(O60-1))</x:f>
        <x:v>537.0317963702527</x:v>
      </x:c>
      <x:c r="U60" s="31" t="n">
        <x:f>IF(T60="","",I60*T60)</x:f>
        <x:v>341777.61619177344</x:v>
      </x:c>
    </x:row>
    <x:row r="61" ht="18" customHeight="1">
      <x:c r="A61" s="24" t="str">
        <x:v>EEZ_380</x:v>
      </x:c>
      <x:c r="B61" s="24" t="str">
        <x:v>Italy (mainland)</x:v>
      </x:c>
      <x:c r="C61" s="24" t="str">
        <x:v>EEZ</x:v>
      </x:c>
      <x:c r="D61" s="30" t="n">
        <x:v>2019</x:v>
      </x:c>
      <x:c r="E61" s="24" t="str">
        <x:v>Scomber colias</x:v>
      </x:c>
      <x:c r="F61" s="24" t="str">
        <x:v>Atlantic chub mackerel</x:v>
      </x:c>
      <x:c r="G61" s="24" t="str">
        <x:v>Medium pelagics (30 - 89 cm)</x:v>
      </x:c>
      <x:c r="H61" s="24" t="str">
        <x:v>Perch-likes</x:v>
      </x:c>
      <x:c r="I61" s="31" t="n">
        <x:v>634.898896763</x:v>
      </x:c>
      <x:c r="J61" s="31" t="n">
        <x:v>634.898896763</x:v>
      </x:c>
      <x:c r="K61" s="31" t="n">
        <x:v>0</x:v>
      </x:c>
      <x:c r="L61" s="31" t="n">
        <x:v>451.67382428400003</x:v>
      </x:c>
      <x:c r="M61" s="31" t="n">
        <x:v>183.225072479</x:v>
      </x:c>
      <x:c r="N61" s="24" t="str">
        <x:v>scomber colias</x:v>
      </x:c>
      <x:c r="O61" s="32" t="n">
        <x:v>3.91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Scomber colias</x:v>
      </x:c>
      <x:c r="T61" s="32" t="n">
        <x:f>IF(O61="","",(1/'Metadata'!$B$5)^(O61-1))</x:f>
        <x:v>812.8305161640995</x:v>
      </x:c>
      <x:c r="U61" s="31" t="n">
        <x:f>IF(T61="","",I61*T61)</x:f>
        <x:v>516065.1979678867</x:v>
      </x:c>
    </x:row>
    <x:row r="62" ht="18" customHeight="1">
      <x:c r="A62" s="24" t="str">
        <x:v>EEZ_380</x:v>
      </x:c>
      <x:c r="B62" s="24" t="str">
        <x:v>Italy (mainland)</x:v>
      </x:c>
      <x:c r="C62" s="24" t="str">
        <x:v>EEZ</x:v>
      </x:c>
      <x:c r="D62" s="30" t="n">
        <x:v>2019</x:v>
      </x:c>
      <x:c r="E62" s="24" t="str">
        <x:v>Alopias</x:v>
      </x:c>
      <x:c r="F62" s="24" t="str">
        <x:v>Thresher sharks</x:v>
      </x:c>
      <x:c r="G62" s="24" t="str">
        <x:v>Large sharks (&gt;=90 cm)</x:v>
      </x:c>
      <x:c r="H62" s="24" t="str">
        <x:v>Sharks &amp; rays</x:v>
      </x:c>
      <x:c r="I62" s="31" t="n">
        <x:v>619.30251687</x:v>
      </x:c>
      <x:c r="J62" s="31" t="n">
        <x:v>619.30251687</x:v>
      </x:c>
      <x:c r="K62" s="31" t="n">
        <x:v>0</x:v>
      </x:c>
      <x:c r="L62" s="31" t="n">
        <x:v>0</x:v>
      </x:c>
      <x:c r="M62" s="31" t="n">
        <x:v>619.30251687</x:v>
      </x:c>
      <x:c r="N62" s="24" t="str">
        <x:v>alopias</x:v>
      </x:c>
      <x:c r="O62" s="32" t="n">
        <x:v>4.5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Alopias</x:v>
      </x:c>
      <x:c r="T62" s="32" t="n">
        <x:f>IF(O62="","",(1/'Metadata'!$B$5)^(O62-1))</x:f>
        <x:v>3162.2776601683795</x:v>
      </x:c>
      <x:c r="U62" s="31" t="n">
        <x:f>IF(T62="","",I62*T62)</x:f>
        <x:v>1958406.513984052</x:v>
      </x:c>
    </x:row>
    <x:row r="63" ht="18" customHeight="1">
      <x:c r="A63" s="24" t="str">
        <x:v>EEZ_380</x:v>
      </x:c>
      <x:c r="B63" s="24" t="str">
        <x:v>Italy (mainland)</x:v>
      </x:c>
      <x:c r="C63" s="24" t="str">
        <x:v>EEZ</x:v>
      </x:c>
      <x:c r="D63" s="30" t="n">
        <x:v>2019</x:v>
      </x:c>
      <x:c r="E63" s="24" t="str">
        <x:v>Trisopterus minutus</x:v>
      </x:c>
      <x:c r="F63" s="24" t="str">
        <x:v>Poor cod</x:v>
      </x:c>
      <x:c r="G63" s="24" t="str">
        <x:v>Medium benthopelagics (30 - 89 cm)</x:v>
      </x:c>
      <x:c r="H63" s="24" t="str">
        <x:v>Cod-likes</x:v>
      </x:c>
      <x:c r="I63" s="31" t="n">
        <x:v>612.636526957</x:v>
      </x:c>
      <x:c r="J63" s="31" t="n">
        <x:v>544.694036587</x:v>
      </x:c>
      <x:c r="K63" s="31" t="n">
        <x:v>67.94249037</x:v>
      </x:c>
      <x:c r="L63" s="31" t="n">
        <x:v>484.987869871</x:v>
      </x:c>
      <x:c r="M63" s="31" t="n">
        <x:v>127.648657086</x:v>
      </x:c>
      <x:c r="N63" s="24" t="str">
        <x:v>trisopterus minutus</x:v>
      </x:c>
      <x:c r="O63" s="32" t="n">
        <x:v>3.73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Trisopterus minutus</x:v>
      </x:c>
      <x:c r="T63" s="32" t="n">
        <x:f>IF(O63="","",(1/'Metadata'!$B$5)^(O63-1))</x:f>
        <x:v>537.0317963702527</x:v>
      </x:c>
      <x:c r="U63" s="31" t="n">
        <x:f>IF(T63="","",I63*T63)</x:f>
        <x:v>329005.29459375044</x:v>
      </x:c>
    </x:row>
    <x:row r="64" ht="18" customHeight="1">
      <x:c r="A64" s="24" t="str">
        <x:v>EEZ_380</x:v>
      </x:c>
      <x:c r="B64" s="24" t="str">
        <x:v>Italy (mainland)</x:v>
      </x:c>
      <x:c r="C64" s="24" t="str">
        <x:v>EEZ</x:v>
      </x:c>
      <x:c r="D64" s="30" t="n">
        <x:v>2019</x:v>
      </x:c>
      <x:c r="E64" s="24" t="str">
        <x:v>Chelon ramada</x:v>
      </x:c>
      <x:c r="F64" s="24" t="str">
        <x:v>Thinlip grey mullet</x:v>
      </x:c>
      <x:c r="G64" s="24" t="str">
        <x:v>Medium pelagics (30 - 89 cm)</x:v>
      </x:c>
      <x:c r="H64" s="24" t="str">
        <x:v>Perch-likes</x:v>
      </x:c>
      <x:c r="I64" s="31" t="n">
        <x:v>560.199664129</x:v>
      </x:c>
      <x:c r="J64" s="31" t="n">
        <x:v>560.199664129</x:v>
      </x:c>
      <x:c r="K64" s="31" t="n">
        <x:v>0</x:v>
      </x:c>
      <x:c r="L64" s="31" t="n">
        <x:v>461.685452953</x:v>
      </x:c>
      <x:c r="M64" s="31" t="n">
        <x:v>98.514211176</x:v>
      </x:c>
      <x:c r="N64" s="24" t="str">
        <x:v>chelon ramada</x:v>
      </x:c>
      <x:c r="O64" s="32" t="n">
        <x:v>2.3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Chelon ramada</x:v>
      </x:c>
      <x:c r="T64" s="32" t="n">
        <x:f>IF(O64="","",(1/'Metadata'!$B$5)^(O64-1))</x:f>
        <x:v>19.952623149688787</x:v>
      </x:c>
      <x:c r="U64" s="31" t="n">
        <x:f>IF(T64="","",I64*T64)</x:f>
        <x:v>11177.452786948168</x:v>
      </x:c>
    </x:row>
    <x:row r="65" ht="18" customHeight="1">
      <x:c r="A65" s="24" t="str">
        <x:v>EEZ_380</x:v>
      </x:c>
      <x:c r="B65" s="24" t="str">
        <x:v>Italy (mainland)</x:v>
      </x:c>
      <x:c r="C65" s="24" t="str">
        <x:v>EEZ</x:v>
      </x:c>
      <x:c r="D65" s="30" t="n">
        <x:v>2019</x:v>
      </x:c>
      <x:c r="E65" s="24" t="str">
        <x:v>Scorpaenidae</x:v>
      </x:c>
      <x:c r="F65" s="24" t="str">
        <x:v>Scorpionfishes, rockfishes</x:v>
      </x:c>
      <x:c r="G65" s="24" t="str">
        <x:v>Large reef assoc. fish (&gt;=90 cm)</x:v>
      </x:c>
      <x:c r="H65" s="24" t="str">
        <x:v>Scorpionfishes</x:v>
      </x:c>
      <x:c r="I65" s="31" t="n">
        <x:v>473.79655872</x:v>
      </x:c>
      <x:c r="J65" s="31" t="n">
        <x:v>473.79655872</x:v>
      </x:c>
      <x:c r="K65" s="31" t="n">
        <x:v>0</x:v>
      </x:c>
      <x:c r="L65" s="31" t="n">
        <x:v>0</x:v>
      </x:c>
      <x:c r="M65" s="31" t="n">
        <x:v>473.79655872</x:v>
      </x:c>
      <x:c r="N65" s="24" t="str">
        <x:v>scorpaenidae</x:v>
      </x:c>
      <x:c r="O65" s="32" t="n">
        <x:v>3.92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Scorpaenidae</x:v>
      </x:c>
      <x:c r="T65" s="32" t="n">
        <x:f>IF(O65="","",(1/'Metadata'!$B$5)^(O65-1))</x:f>
        <x:v>831.7637711026708</x:v>
      </x:c>
      <x:c r="U65" s="31" t="n">
        <x:f>IF(T65="","",I65*T65)</x:f>
        <x:v>394086.81241641525</x:v>
      </x:c>
    </x:row>
    <x:row r="66" ht="18" customHeight="1">
      <x:c r="A66" s="24" t="str">
        <x:v>EEZ_380</x:v>
      </x:c>
      <x:c r="B66" s="24" t="str">
        <x:v>Italy (mainland)</x:v>
      </x:c>
      <x:c r="C66" s="24" t="str">
        <x:v>EEZ</x:v>
      </x:c>
      <x:c r="D66" s="30" t="n">
        <x:v>2019</x:v>
      </x:c>
      <x:c r="E66" s="24" t="str">
        <x:v>Thunnus alalunga</x:v>
      </x:c>
      <x:c r="F66" s="24" t="str">
        <x:v>Albacore</x:v>
      </x:c>
      <x:c r="G66" s="24" t="str">
        <x:v>Large pelagics (&gt;=90 cm)</x:v>
      </x:c>
      <x:c r="H66" s="24" t="str">
        <x:v>Tuna &amp; billfishes</x:v>
      </x:c>
      <x:c r="I66" s="31" t="n">
        <x:v>469.8903700546</x:v>
      </x:c>
      <x:c r="J66" s="31" t="n">
        <x:v>469.8903700546</x:v>
      </x:c>
      <x:c r="K66" s="31" t="n">
        <x:v>0</x:v>
      </x:c>
      <x:c r="L66" s="31" t="n">
        <x:v>421.71603068959996</x:v>
      </x:c>
      <x:c r="M66" s="31" t="n">
        <x:v>48.174339365</x:v>
      </x:c>
      <x:c r="N66" s="24" t="str">
        <x:v>thunnus alalunga</x:v>
      </x:c>
      <x:c r="O66" s="32" t="n">
        <x:v>4.3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alalunga</x:v>
      </x:c>
      <x:c r="T66" s="32" t="n">
        <x:f>IF(O66="","",(1/'Metadata'!$B$5)^(O66-1))</x:f>
        <x:v>1995.2623149688789</x:v>
      </x:c>
      <x:c r="U66" s="31" t="n">
        <x:f>IF(T66="","",I66*T66)</x:f>
        <x:v>937554.5475367244</x:v>
      </x:c>
    </x:row>
    <x:row r="67" ht="18" customHeight="1">
      <x:c r="A67" s="24" t="str">
        <x:v>EEZ_380</x:v>
      </x:c>
      <x:c r="B67" s="24" t="str">
        <x:v>Italy (mainland)</x:v>
      </x:c>
      <x:c r="C67" s="24" t="str">
        <x:v>EEZ</x:v>
      </x:c>
      <x:c r="D67" s="30" t="n">
        <x:v>2019</x:v>
      </x:c>
      <x:c r="E67" s="24" t="str">
        <x:v>Raja clavata</x:v>
      </x:c>
      <x:c r="F67" s="24" t="str">
        <x:v>Thornback ray</x:v>
      </x:c>
      <x:c r="G67" s="24" t="str">
        <x:v>Large rays (&gt;=90 cm)</x:v>
      </x:c>
      <x:c r="H67" s="24" t="str">
        <x:v>Sharks &amp; rays</x:v>
      </x:c>
      <x:c r="I67" s="31" t="n">
        <x:v>441.860877437</x:v>
      </x:c>
      <x:c r="J67" s="31" t="n">
        <x:v>441.860877437</x:v>
      </x:c>
      <x:c r="K67" s="31" t="n">
        <x:v>0</x:v>
      </x:c>
      <x:c r="L67" s="31" t="n">
        <x:v>363.24886689100003</x:v>
      </x:c>
      <x:c r="M67" s="31" t="n">
        <x:v>78.61201054600001</x:v>
      </x:c>
      <x:c r="N67" s="24" t="str">
        <x:v>raja clavata</x:v>
      </x:c>
      <x:c r="O67" s="32" t="n">
        <x:v>3.84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Raja clavata</x:v>
      </x:c>
      <x:c r="T67" s="32" t="n">
        <x:f>IF(O67="","",(1/'Metadata'!$B$5)^(O67-1))</x:f>
        <x:v>691.8309709189363</x:v>
      </x:c>
      <x:c r="U67" s="31" t="n">
        <x:f>IF(T67="","",I67*T67)</x:f>
        <x:v>305693.0398483328</x:v>
      </x:c>
    </x:row>
    <x:row r="68" ht="18" customHeight="1">
      <x:c r="A68" s="24" t="str">
        <x:v>EEZ_380</x:v>
      </x:c>
      <x:c r="B68" s="24" t="str">
        <x:v>Italy (mainland)</x:v>
      </x:c>
      <x:c r="C68" s="24" t="str">
        <x:v>EEZ</x:v>
      </x:c>
      <x:c r="D68" s="30" t="n">
        <x:v>2019</x:v>
      </x:c>
      <x:c r="E68" s="24" t="str">
        <x:v>Lichia amia</x:v>
      </x:c>
      <x:c r="F68" s="24" t="str">
        <x:v>Leerfish</x:v>
      </x:c>
      <x:c r="G68" s="24" t="str">
        <x:v>Large pelagics (&gt;=90 cm)</x:v>
      </x:c>
      <x:c r="H68" s="24" t="str">
        <x:v>Perch-likes</x:v>
      </x:c>
      <x:c r="I68" s="31" t="n">
        <x:v>421.940814947</x:v>
      </x:c>
      <x:c r="J68" s="31" t="n">
        <x:v>421.940814947</x:v>
      </x:c>
      <x:c r="K68" s="31" t="n">
        <x:v>0</x:v>
      </x:c>
      <x:c r="L68" s="31" t="n">
        <x:v>304.342842099</x:v>
      </x:c>
      <x:c r="M68" s="31" t="n">
        <x:v>117.59797284799998</x:v>
      </x:c>
      <x:c r="N68" s="24" t="str">
        <x:v>lichia amia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Lichia amia</x:v>
      </x:c>
      <x:c r="T68" s="32" t="n">
        <x:f>IF(O68="","",(1/'Metadata'!$B$5)^(O68-1))</x:f>
        <x:v>3162.2776601683795</x:v>
      </x:c>
      <x:c r="U68" s="31" t="n">
        <x:f>IF(T68="","",I68*T68)</x:f>
        <x:v>1334294.0130201383</x:v>
      </x:c>
    </x:row>
    <x:row r="69" ht="18" customHeight="1">
      <x:c r="A69" s="24" t="str">
        <x:v>EEZ_380</x:v>
      </x:c>
      <x:c r="B69" s="24" t="str">
        <x:v>Italy (mainland)</x:v>
      </x:c>
      <x:c r="C69" s="24" t="str">
        <x:v>EEZ</x:v>
      </x:c>
      <x:c r="D69" s="30" t="n">
        <x:v>2019</x:v>
      </x:c>
      <x:c r="E69" s="24" t="str">
        <x:v>Eledone moschata</x:v>
      </x:c>
      <x:c r="F69" s="24" t="str">
        <x:v>Musky octopus</x:v>
      </x:c>
      <x:c r="G69" s="24" t="str">
        <x:v>Cephalopods</x:v>
      </x:c>
      <x:c r="H69" s="24" t="str">
        <x:v>Other fishes &amp; inverts</x:v>
      </x:c>
      <x:c r="I69" s="31" t="n">
        <x:v>410.61839857300004</x:v>
      </x:c>
      <x:c r="J69" s="31" t="n">
        <x:v>410.61839857300004</x:v>
      </x:c>
      <x:c r="K69" s="31" t="n">
        <x:v>0</x:v>
      </x:c>
      <x:c r="L69" s="31" t="n">
        <x:v>0</x:v>
      </x:c>
      <x:c r="M69" s="31" t="n">
        <x:v>410.61839857300004</x:v>
      </x:c>
      <x:c r="N69" s="24" t="str">
        <x:v>eledone moschata</x:v>
      </x:c>
      <x:c r="O69" s="32" t="n">
        <x:v>3.65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Eledone moschata</x:v>
      </x:c>
      <x:c r="T69" s="32" t="n">
        <x:f>IF(O69="","",(1/'Metadata'!$B$5)^(O69-1))</x:f>
        <x:v>446.683592150963</x:v>
      </x:c>
      <x:c r="U69" s="31" t="n">
        <x:f>IF(T69="","",I69*T69)</x:f>
        <x:v>183416.5012778635</x:v>
      </x:c>
    </x:row>
    <x:row r="70" ht="18" customHeight="1">
      <x:c r="A70" s="24" t="str">
        <x:v>EEZ_380</x:v>
      </x:c>
      <x:c r="B70" s="24" t="str">
        <x:v>Italy (mainland)</x:v>
      </x:c>
      <x:c r="C70" s="24" t="str">
        <x:v>EEZ</x:v>
      </x:c>
      <x:c r="D70" s="30" t="n">
        <x:v>2019</x:v>
      </x:c>
      <x:c r="E70" s="24" t="str">
        <x:v>Mustelus</x:v>
      </x:c>
      <x:c r="F70" s="24" t="str">
        <x:v>Smoothhounds</x:v>
      </x:c>
      <x:c r="G70" s="24" t="str">
        <x:v>Large sharks (&gt;=90 cm)</x:v>
      </x:c>
      <x:c r="H70" s="24" t="str">
        <x:v>Sharks &amp; rays</x:v>
      </x:c>
      <x:c r="I70" s="31" t="n">
        <x:v>383.18472826600004</x:v>
      </x:c>
      <x:c r="J70" s="31" t="n">
        <x:v>383.18472826600004</x:v>
      </x:c>
      <x:c r="K70" s="31" t="n">
        <x:v>0</x:v>
      </x:c>
      <x:c r="L70" s="31" t="n">
        <x:v>299.43627187500005</x:v>
      </x:c>
      <x:c r="M70" s="31" t="n">
        <x:v>83.748456391</x:v>
      </x:c>
      <x:c r="N70" s="24" t="str">
        <x:v>mustelus</x:v>
      </x:c>
      <x:c r="O70" s="32" t="n">
        <x:v>3.73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Mustelus</x:v>
      </x:c>
      <x:c r="T70" s="32" t="n">
        <x:f>IF(O70="","",(1/'Metadata'!$B$5)^(O70-1))</x:f>
        <x:v>537.0317963702527</x:v>
      </x:c>
      <x:c r="U70" s="31" t="n">
        <x:f>IF(T70="","",I70*T70)</x:f>
        <x:v>205782.38296233714</x:v>
      </x:c>
    </x:row>
    <x:row r="71" ht="18" customHeight="1">
      <x:c r="A71" s="24" t="str">
        <x:v>EEZ_380</x:v>
      </x:c>
      <x:c r="B71" s="24" t="str">
        <x:v>Italy (mainland)</x:v>
      </x:c>
      <x:c r="C71" s="24" t="str">
        <x:v>EEZ</x:v>
      </x:c>
      <x:c r="D71" s="30" t="n">
        <x:v>2019</x:v>
      </x:c>
      <x:c r="E71" s="24" t="str">
        <x:v>Micromesistius poutassou</x:v>
      </x:c>
      <x:c r="F71" s="24" t="str">
        <x:v>Blue whiting</x:v>
      </x:c>
      <x:c r="G71" s="24" t="str">
        <x:v>Medium benthopelagics (30 - 89 cm)</x:v>
      </x:c>
      <x:c r="H71" s="24" t="str">
        <x:v>Cod-likes</x:v>
      </x:c>
      <x:c r="I71" s="31" t="n">
        <x:v>371.848182676</x:v>
      </x:c>
      <x:c r="J71" s="31" t="n">
        <x:v>371.848182676</x:v>
      </x:c>
      <x:c r="K71" s="31" t="n">
        <x:v>0</x:v>
      </x:c>
      <x:c r="L71" s="31" t="n">
        <x:v>336.39219259400005</x:v>
      </x:c>
      <x:c r="M71" s="31" t="n">
        <x:v>35.455990082</x:v>
      </x:c>
      <x:c r="N71" s="24" t="str">
        <x:v>micromesistius poutassou</x:v>
      </x:c>
      <x:c r="O71" s="32" t="n">
        <x:v>4.13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Micromesistius poutassou</x:v>
      </x:c>
      <x:c r="T71" s="32" t="n">
        <x:f>IF(O71="","",(1/'Metadata'!$B$5)^(O71-1))</x:f>
        <x:v>1348.9628825916532</x:v>
      </x:c>
      <x:c r="U71" s="31" t="n">
        <x:f>IF(T71="","",I71*T71)</x:f>
        <x:v>501609.39638908464</x:v>
      </x:c>
    </x:row>
    <x:row r="72" ht="18" customHeight="1">
      <x:c r="A72" s="24" t="str">
        <x:v>EEZ_380</x:v>
      </x:c>
      <x:c r="B72" s="24" t="str">
        <x:v>Italy (mainland)</x:v>
      </x:c>
      <x:c r="C72" s="24" t="str">
        <x:v>EEZ</x:v>
      </x:c>
      <x:c r="D72" s="30" t="n">
        <x:v>2019</x:v>
      </x:c>
      <x:c r="E72" s="24" t="str">
        <x:v>Mullus surmuletus</x:v>
      </x:c>
      <x:c r="F72" s="24" t="str">
        <x:v>Surmullet</x:v>
      </x:c>
      <x:c r="G72" s="24" t="str">
        <x:v>Medium demersals (30 - 89 cm)</x:v>
      </x:c>
      <x:c r="H72" s="24" t="str">
        <x:v>Perch-likes</x:v>
      </x:c>
      <x:c r="I72" s="31" t="n">
        <x:v>371.161998025</x:v>
      </x:c>
      <x:c r="J72" s="31" t="n">
        <x:v>371.161998025</x:v>
      </x:c>
      <x:c r="K72" s="31" t="n">
        <x:v>0</x:v>
      </x:c>
      <x:c r="L72" s="31" t="n">
        <x:v>298.880831638</x:v>
      </x:c>
      <x:c r="M72" s="31" t="n">
        <x:v>72.281166387</x:v>
      </x:c>
      <x:c r="N72" s="24" t="str">
        <x:v>mullus surmuletus</x:v>
      </x:c>
      <x:c r="O72" s="32" t="n">
        <x:v>3.45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Mullus surmuletus</x:v>
      </x:c>
      <x:c r="T72" s="32" t="n">
        <x:f>IF(O72="","",(1/'Metadata'!$B$5)^(O72-1))</x:f>
        <x:v>281.8382931264455</x:v>
      </x:c>
      <x:c r="U72" s="31" t="n">
        <x:f>IF(T72="","",I72*T72)</x:f>
        <x:v>104607.66399676712</x:v>
      </x:c>
    </x:row>
    <x:row r="73" ht="18" customHeight="1">
      <x:c r="A73" s="24" t="str">
        <x:v>EEZ_380</x:v>
      </x:c>
      <x:c r="B73" s="24" t="str">
        <x:v>Italy (mainland)</x:v>
      </x:c>
      <x:c r="C73" s="24" t="str">
        <x:v>EEZ</x:v>
      </x:c>
      <x:c r="D73" s="30" t="n">
        <x:v>2019</x:v>
      </x:c>
      <x:c r="E73" s="24" t="str">
        <x:v>Miscellaneous marine crustaceans</x:v>
      </x:c>
      <x:c r="F73" s="24" t="str">
        <x:v>Marine crabs, shrimps, lobsters nei</x:v>
      </x:c>
      <x:c r="G73" s="24" t="str">
        <x:v>Shrimps</x:v>
      </x:c>
      <x:c r="H73" s="24" t="str">
        <x:v>Crustaceans</x:v>
      </x:c>
      <x:c r="I73" s="31" t="n">
        <x:v>354.20579145799996</x:v>
      </x:c>
      <x:c r="J73" s="31" t="n">
        <x:v>354.20579145799996</x:v>
      </x:c>
      <x:c r="K73" s="31" t="n">
        <x:v>0</x:v>
      </x:c>
      <x:c r="L73" s="31" t="n">
        <x:v>293.73572177799997</x:v>
      </x:c>
      <x:c r="M73" s="31" t="n">
        <x:v>60.47006968</x:v>
      </x:c>
      <x:c r="N73" s="24" t="str">
        <x:v>miscellaneous marine crustaceans</x:v>
      </x:c>
      <x:c r="O73" s="32" t="n">
        <x:v>2.7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Miscellaneous marine crustaceans</x:v>
      </x:c>
      <x:c r="T73" s="32" t="n">
        <x:f>IF(O73="","",(1/'Metadata'!$B$5)^(O73-1))</x:f>
        <x:v>50.11872336272725</x:v>
      </x:c>
      <x:c r="U73" s="31" t="n">
        <x:f>IF(T73="","",I73*T73)</x:f>
        <x:v>17752.342075559358</x:v>
      </x:c>
    </x:row>
    <x:row r="74" ht="18" customHeight="1">
      <x:c r="A74" s="24" t="str">
        <x:v>EEZ_380</x:v>
      </x:c>
      <x:c r="B74" s="24" t="str">
        <x:v>Italy (mainland)</x:v>
      </x:c>
      <x:c r="C74" s="24" t="str">
        <x:v>EEZ</x:v>
      </x:c>
      <x:c r="D74" s="30" t="n">
        <x:v>2019</x:v>
      </x:c>
      <x:c r="E74" s="24" t="str">
        <x:v>Pagrus pagrus</x:v>
      </x:c>
      <x:c r="F74" s="24" t="str">
        <x:v>Red porgy</x:v>
      </x:c>
      <x:c r="G74" s="24" t="str">
        <x:v>Medium benthopelagics (30 - 89 cm)</x:v>
      </x:c>
      <x:c r="H74" s="24" t="str">
        <x:v>Perch-likes</x:v>
      </x:c>
      <x:c r="I74" s="31" t="n">
        <x:v>347.92962900599997</x:v>
      </x:c>
      <x:c r="J74" s="31" t="n">
        <x:v>347.92962900599997</x:v>
      </x:c>
      <x:c r="K74" s="31" t="n">
        <x:v>0</x:v>
      </x:c>
      <x:c r="L74" s="31" t="n">
        <x:v>32.594270449</x:v>
      </x:c>
      <x:c r="M74" s="31" t="n">
        <x:v>315.335358557</x:v>
      </x:c>
      <x:c r="N74" s="24" t="str">
        <x:v>pagrus pagrus</x:v>
      </x:c>
      <x:c r="O74" s="32" t="n">
        <x:v>3.86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Pagrus pagrus</x:v>
      </x:c>
      <x:c r="T74" s="32" t="n">
        <x:f>IF(O74="","",(1/'Metadata'!$B$5)^(O74-1))</x:f>
        <x:v>724.4359600749899</x:v>
      </x:c>
      <x:c r="U74" s="31" t="n">
        <x:f>IF(T74="","",I74*T74)</x:f>
        <x:v>252052.73482749664</x:v>
      </x:c>
    </x:row>
    <x:row r="75" ht="18" customHeight="1">
      <x:c r="A75" s="24" t="str">
        <x:v>EEZ_380</x:v>
      </x:c>
      <x:c r="B75" s="24" t="str">
        <x:v>Italy (mainland)</x:v>
      </x:c>
      <x:c r="C75" s="24" t="str">
        <x:v>EEZ</x:v>
      </x:c>
      <x:c r="D75" s="30" t="n">
        <x:v>2019</x:v>
      </x:c>
      <x:c r="E75" s="24" t="str">
        <x:v>Triglidae</x:v>
      </x:c>
      <x:c r="F75" s="24" t="str">
        <x:v>Searobins, gurnards</x:v>
      </x:c>
      <x:c r="G75" s="24" t="str">
        <x:v>Medium demersals (30 - 89 cm)</x:v>
      </x:c>
      <x:c r="H75" s="24" t="str">
        <x:v>Scorpionfishes</x:v>
      </x:c>
      <x:c r="I75" s="31" t="n">
        <x:v>327.240355551</x:v>
      </x:c>
      <x:c r="J75" s="31" t="n">
        <x:v>327.240355551</x:v>
      </x:c>
      <x:c r="K75" s="31" t="n">
        <x:v>0</x:v>
      </x:c>
      <x:c r="L75" s="31" t="n">
        <x:v>327.240355551</x:v>
      </x:c>
      <x:c r="M75" s="31" t="n">
        <x:v>0</x:v>
      </x:c>
      <x:c r="N75" s="24" t="str">
        <x:v>triglidae</x:v>
      </x:c>
      <x:c r="O75" s="32" t="n">
        <x:v>3.74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Triglidae</x:v>
      </x:c>
      <x:c r="T75" s="32" t="n">
        <x:f>IF(O75="","",(1/'Metadata'!$B$5)^(O75-1))</x:f>
        <x:v>549.5408738576248</x:v>
      </x:c>
      <x:c r="U75" s="31" t="n">
        <x:f>IF(T75="","",I75*T75)</x:f>
        <x:v>179831.95095097637</x:v>
      </x:c>
    </x:row>
    <x:row r="76" ht="18" customHeight="1">
      <x:c r="A76" s="24" t="str">
        <x:v>EEZ_380</x:v>
      </x:c>
      <x:c r="B76" s="24" t="str">
        <x:v>Italy (mainland)</x:v>
      </x:c>
      <x:c r="C76" s="24" t="str">
        <x:v>EEZ</x:v>
      </x:c>
      <x:c r="D76" s="30" t="n">
        <x:v>2019</x:v>
      </x:c>
      <x:c r="E76" s="24" t="str">
        <x:v>Prionace glauca</x:v>
      </x:c>
      <x:c r="F76" s="24" t="str">
        <x:v>Blue shark</x:v>
      </x:c>
      <x:c r="G76" s="24" t="str">
        <x:v>Large sharks (&gt;=90 cm)</x:v>
      </x:c>
      <x:c r="H76" s="24" t="str">
        <x:v>Sharks &amp; rays</x:v>
      </x:c>
      <x:c r="I76" s="31" t="n">
        <x:v>303.1508552552</x:v>
      </x:c>
      <x:c r="J76" s="31" t="n">
        <x:v>303.1508552552</x:v>
      </x:c>
      <x:c r="K76" s="31" t="n">
        <x:v>0</x:v>
      </x:c>
      <x:c r="L76" s="31" t="n">
        <x:v>65.4726992132</x:v>
      </x:c>
      <x:c r="M76" s="31" t="n">
        <x:v>237.678156042</x:v>
      </x:c>
      <x:c r="N76" s="24" t="str">
        <x:v>prionace glauca</x:v>
      </x:c>
      <x:c r="O76" s="32" t="n">
        <x:v>4.35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Prionace glauca</x:v>
      </x:c>
      <x:c r="T76" s="32" t="n">
        <x:f>IF(O76="","",(1/'Metadata'!$B$5)^(O76-1))</x:f>
        <x:v>2238.7211385683377</x:v>
      </x:c>
      <x:c r="U76" s="31" t="n">
        <x:f>IF(T76="","",I76*T76)</x:f>
        <x:v>678670.2278348866</x:v>
      </x:c>
    </x:row>
    <x:row r="77" ht="18" customHeight="1">
      <x:c r="A77" s="24" t="str">
        <x:v>EEZ_380</x:v>
      </x:c>
      <x:c r="B77" s="24" t="str">
        <x:v>Italy (mainland)</x:v>
      </x:c>
      <x:c r="C77" s="24" t="str">
        <x:v>EEZ</x:v>
      </x:c>
      <x:c r="D77" s="30" t="n">
        <x:v>2019</x:v>
      </x:c>
      <x:c r="E77" s="24" t="str">
        <x:v>Labridae</x:v>
      </x:c>
      <x:c r="F77" s="24" t="str">
        <x:v>Wrasses, gropers, tuskfishes</x:v>
      </x:c>
      <x:c r="G77" s="24" t="str">
        <x:v>Medium reef assoc. fish (30 - 89 cm)</x:v>
      </x:c>
      <x:c r="H77" s="24" t="str">
        <x:v>Perch-likes</x:v>
      </x:c>
      <x:c r="I77" s="31" t="n">
        <x:v>298.133187755</x:v>
      </x:c>
      <x:c r="J77" s="31" t="n">
        <x:v>298.133187755</x:v>
      </x:c>
      <x:c r="K77" s="31" t="n">
        <x:v>0</x:v>
      </x:c>
      <x:c r="L77" s="31" t="n">
        <x:v>66.20385141599999</x:v>
      </x:c>
      <x:c r="M77" s="31" t="n">
        <x:v>231.929336339</x:v>
      </x:c>
      <x:c r="N77" s="24" t="str">
        <x:v>labridae</x:v>
      </x:c>
      <x:c r="O77" s="32" t="n">
        <x:v>3.46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Labridae</x:v>
      </x:c>
      <x:c r="T77" s="32" t="n">
        <x:f>IF(O77="","",(1/'Metadata'!$B$5)^(O77-1))</x:f>
        <x:v>288.40315031266056</x:v>
      </x:c>
      <x:c r="U77" s="31" t="n">
        <x:f>IF(T77="","",I77*T77)</x:f>
        <x:v>85982.55056129792</x:v>
      </x:c>
    </x:row>
    <x:row r="78" ht="18" customHeight="1">
      <x:c r="A78" s="24" t="str">
        <x:v>EEZ_380</x:v>
      </x:c>
      <x:c r="B78" s="24" t="str">
        <x:v>Italy (mainland)</x:v>
      </x:c>
      <x:c r="C78" s="24" t="str">
        <x:v>EEZ</x:v>
      </x:c>
      <x:c r="D78" s="30" t="n">
        <x:v>2019</x:v>
      </x:c>
      <x:c r="E78" s="24" t="str">
        <x:v>Scorpaena porcus</x:v>
      </x:c>
      <x:c r="F78" s="24" t="str">
        <x:v>Black scorpionfish</x:v>
      </x:c>
      <x:c r="G78" s="24" t="str">
        <x:v>Small demersals (&lt;30 cm)</x:v>
      </x:c>
      <x:c r="H78" s="24" t="str">
        <x:v>Scorpionfishes</x:v>
      </x:c>
      <x:c r="I78" s="31" t="n">
        <x:v>292.000196873</x:v>
      </x:c>
      <x:c r="J78" s="31" t="n">
        <x:v>292.000196873</x:v>
      </x:c>
      <x:c r="K78" s="31" t="n">
        <x:v>0</x:v>
      </x:c>
      <x:c r="L78" s="31" t="n">
        <x:v>249.680731484</x:v>
      </x:c>
      <x:c r="M78" s="31" t="n">
        <x:v>42.319465389</x:v>
      </x:c>
      <x:c r="N78" s="24" t="str">
        <x:v>scorpaena porcus</x:v>
      </x:c>
      <x:c r="O78" s="32" t="n">
        <x:v>3.92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Scorpaena porcus</x:v>
      </x:c>
      <x:c r="T78" s="32" t="n">
        <x:f>IF(O78="","",(1/'Metadata'!$B$5)^(O78-1))</x:f>
        <x:v>831.7637711026708</x:v>
      </x:c>
      <x:c r="U78" s="31" t="n">
        <x:f>IF(T78="","",I78*T78)</x:f>
        <x:v>242875.18491380877</x:v>
      </x:c>
    </x:row>
    <x:row r="79" ht="18" customHeight="1">
      <x:c r="A79" s="24" t="str">
        <x:v>EEZ_380</x:v>
      </x:c>
      <x:c r="B79" s="24" t="str">
        <x:v>Italy (mainland)</x:v>
      </x:c>
      <x:c r="C79" s="24" t="str">
        <x:v>EEZ</x:v>
      </x:c>
      <x:c r="D79" s="30" t="n">
        <x:v>2019</x:v>
      </x:c>
      <x:c r="E79" s="24" t="str">
        <x:v>Spicara smaris</x:v>
      </x:c>
      <x:c r="F79" s="24" t="str">
        <x:v>Picarel</x:v>
      </x:c>
      <x:c r="G79" s="24" t="str">
        <x:v>Small demersals (&lt;30 cm)</x:v>
      </x:c>
      <x:c r="H79" s="24" t="str">
        <x:v>Perch-likes</x:v>
      </x:c>
      <x:c r="I79" s="31" t="n">
        <x:v>291.50627648</x:v>
      </x:c>
      <x:c r="J79" s="31" t="n">
        <x:v>291.50627648</x:v>
      </x:c>
      <x:c r="K79" s="31" t="n">
        <x:v>0</x:v>
      </x:c>
      <x:c r="L79" s="31" t="n">
        <x:v>62.573425523999994</x:v>
      </x:c>
      <x:c r="M79" s="31" t="n">
        <x:v>228.932850956</x:v>
      </x:c>
      <x:c r="N79" s="24" t="str">
        <x:v>spicara smaris</x:v>
      </x:c>
      <x:c r="O79" s="32" t="n">
        <x:v>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Spicara smaris</x:v>
      </x:c>
      <x:c r="T79" s="32" t="n">
        <x:f>IF(O79="","",(1/'Metadata'!$B$5)^(O79-1))</x:f>
        <x:v>100</x:v>
      </x:c>
      <x:c r="U79" s="31" t="n">
        <x:f>IF(T79="","",I79*T79)</x:f>
        <x:v>29150.627648</x:v>
      </x:c>
    </x:row>
    <x:row r="80" ht="18" customHeight="1">
      <x:c r="A80" s="24" t="str">
        <x:v>EEZ_380</x:v>
      </x:c>
      <x:c r="B80" s="24" t="str">
        <x:v>Italy (mainland)</x:v>
      </x:c>
      <x:c r="C80" s="24" t="str">
        <x:v>EEZ</x:v>
      </x:c>
      <x:c r="D80" s="30" t="n">
        <x:v>2019</x:v>
      </x:c>
      <x:c r="E80" s="24" t="str">
        <x:v>Scophthalmus maximus</x:v>
      </x:c>
      <x:c r="F80" s="24" t="str">
        <x:v>Turbot</x:v>
      </x:c>
      <x:c r="G80" s="24" t="str">
        <x:v>Large flatfishes (&gt;=90 cm)</x:v>
      </x:c>
      <x:c r="H80" s="24" t="str">
        <x:v>Flatfishes</x:v>
      </x:c>
      <x:c r="I80" s="31" t="n">
        <x:v>271.19865030700004</x:v>
      </x:c>
      <x:c r="J80" s="31" t="n">
        <x:v>271.19865030700004</x:v>
      </x:c>
      <x:c r="K80" s="31" t="n">
        <x:v>0</x:v>
      </x:c>
      <x:c r="L80" s="31" t="n">
        <x:v>221.27419571800002</x:v>
      </x:c>
      <x:c r="M80" s="31" t="n">
        <x:v>49.92445458900001</x:v>
      </x:c>
      <x:c r="N80" s="24" t="str">
        <x:v>scophthalmus maximus</x:v>
      </x:c>
      <x:c r="O80" s="32" t="n">
        <x:v>4.36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Scophthalmus maximus</x:v>
      </x:c>
      <x:c r="T80" s="32" t="n">
        <x:f>IF(O80="","",(1/'Metadata'!$B$5)^(O80-1))</x:f>
        <x:v>2290.867652767775</x:v>
      </x:c>
      <x:c r="U80" s="31" t="n">
        <x:f>IF(T80="","",I80*T80)</x:f>
        <x:v>621280.2154625858</x:v>
      </x:c>
    </x:row>
    <x:row r="81" ht="18" customHeight="1">
      <x:c r="A81" s="24" t="str">
        <x:v>EEZ_380</x:v>
      </x:c>
      <x:c r="B81" s="24" t="str">
        <x:v>Italy (mainland)</x:v>
      </x:c>
      <x:c r="C81" s="24" t="str">
        <x:v>EEZ</x:v>
      </x:c>
      <x:c r="D81" s="30" t="n">
        <x:v>2019</x:v>
      </x:c>
      <x:c r="E81" s="24" t="str">
        <x:v>Teuthida</x:v>
      </x:c>
      <x:c r="F81" s="24" t="str">
        <x:v>Squids</x:v>
      </x:c>
      <x:c r="G81" s="24" t="str">
        <x:v>Cephalopods</x:v>
      </x:c>
      <x:c r="H81" s="24" t="str">
        <x:v>Other fishes &amp; inverts</x:v>
      </x:c>
      <x:c r="I81" s="31" t="n">
        <x:v>241.10034541599998</x:v>
      </x:c>
      <x:c r="J81" s="31" t="n">
        <x:v>241.10034541599998</x:v>
      </x:c>
      <x:c r="K81" s="31" t="n">
        <x:v>0</x:v>
      </x:c>
      <x:c r="L81" s="31" t="n">
        <x:v>17.885591246</x:v>
      </x:c>
      <x:c r="M81" s="31" t="n">
        <x:v>223.21475417</x:v>
      </x:c>
      <x:c r="N81" s="24" t="str">
        <x:v>teuthida</x:v>
      </x:c>
      <x:c r="O81" s="32" t="n">
        <x:v>4.13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Teuthida</x:v>
      </x:c>
      <x:c r="T81" s="32" t="n">
        <x:f>IF(O81="","",(1/'Metadata'!$B$5)^(O81-1))</x:f>
        <x:v>1348.9628825916532</x:v>
      </x:c>
      <x:c r="U81" s="31" t="n">
        <x:f>IF(T81="","",I81*T81)</x:f>
        <x:v>325235.4169462106</x:v>
      </x:c>
    </x:row>
    <x:row r="82" ht="18" customHeight="1">
      <x:c r="A82" s="24" t="str">
        <x:v>EEZ_380</x:v>
      </x:c>
      <x:c r="B82" s="24" t="str">
        <x:v>Italy (mainland)</x:v>
      </x:c>
      <x:c r="C82" s="24" t="str">
        <x:v>EEZ</x:v>
      </x:c>
      <x:c r="D82" s="30" t="n">
        <x:v>2019</x:v>
      </x:c>
      <x:c r="E82" s="24" t="str">
        <x:v>Auxis</x:v>
      </x:c>
      <x:c r="F82" s="24" t="str">
        <x:v>Bullet and frigate tunas</x:v>
      </x:c>
      <x:c r="G82" s="24" t="str">
        <x:v>Medium pelagics (30 - 89 cm)</x:v>
      </x:c>
      <x:c r="H82" s="24" t="str">
        <x:v>Tuna &amp; billfishes</x:v>
      </x:c>
      <x:c r="I82" s="31" t="n">
        <x:v>232.23940871099998</x:v>
      </x:c>
      <x:c r="J82" s="31" t="n">
        <x:v>232.23940871099998</x:v>
      </x:c>
      <x:c r="K82" s="31" t="n">
        <x:v>0</x:v>
      </x:c>
      <x:c r="L82" s="31" t="n">
        <x:v>217.63589498</x:v>
      </x:c>
      <x:c r="M82" s="31" t="n">
        <x:v>14.603513731</x:v>
      </x:c>
      <x:c r="N82" s="24" t="str">
        <x:v>auxis</x:v>
      </x:c>
      <x:c r="O82" s="32" t="n">
        <x:v>4.24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Auxis</x:v>
      </x:c>
      <x:c r="T82" s="32" t="n">
        <x:f>IF(O82="","",(1/'Metadata'!$B$5)^(O82-1))</x:f>
        <x:v>1737.8008287493763</x:v>
      </x:c>
      <x:c r="U82" s="31" t="n">
        <x:f>IF(T82="","",I82*T82)</x:f>
        <x:v>403585.8369262409</x:v>
      </x:c>
    </x:row>
    <x:row r="83" ht="18" customHeight="1">
      <x:c r="A83" s="24" t="str">
        <x:v>EEZ_380</x:v>
      </x:c>
      <x:c r="B83" s="24" t="str">
        <x:v>Italy (mainland)</x:v>
      </x:c>
      <x:c r="C83" s="24" t="str">
        <x:v>EEZ</x:v>
      </x:c>
      <x:c r="D83" s="30" t="n">
        <x:v>2019</x:v>
      </x:c>
      <x:c r="E83" s="24" t="str">
        <x:v>Mollusca</x:v>
      </x:c>
      <x:c r="F83" s="24" t="str">
        <x:v>Clams, seasnails, squids, octopuses</x:v>
      </x:c>
      <x:c r="G83" s="24" t="str">
        <x:v>Other demersal invertebrates</x:v>
      </x:c>
      <x:c r="H83" s="24" t="str">
        <x:v>Molluscs</x:v>
      </x:c>
      <x:c r="I83" s="31" t="n">
        <x:v>224.394582738</x:v>
      </x:c>
      <x:c r="J83" s="31" t="n">
        <x:v>224.394582738</x:v>
      </x:c>
      <x:c r="K83" s="31" t="n">
        <x:v>0</x:v>
      </x:c>
      <x:c r="L83" s="31" t="n">
        <x:v>200.470592278</x:v>
      </x:c>
      <x:c r="M83" s="31" t="n">
        <x:v>23.92399046</x:v>
      </x:c>
      <x:c r="N83" s="24" t="str">
        <x:v>mollusca</x:v>
      </x:c>
      <x:c r="O83" s="32" t="n">
        <x:v>2.1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Mollusca</x:v>
      </x:c>
      <x:c r="T83" s="32" t="n">
        <x:f>IF(O83="","",(1/'Metadata'!$B$5)^(O83-1))</x:f>
        <x:v>12.589254117941675</x:v>
      </x:c>
      <x:c r="U83" s="31" t="n">
        <x:f>IF(T83="","",I83*T83)</x:f>
        <x:v>2824.9604247781704</x:v>
      </x:c>
    </x:row>
    <x:row r="84" ht="18" customHeight="1">
      <x:c r="A84" s="24" t="str">
        <x:v>EEZ_380</x:v>
      </x:c>
      <x:c r="B84" s="24" t="str">
        <x:v>Italy (mainland)</x:v>
      </x:c>
      <x:c r="C84" s="24" t="str">
        <x:v>EEZ</x:v>
      </x:c>
      <x:c r="D84" s="30" t="n">
        <x:v>2019</x:v>
      </x:c>
      <x:c r="E84" s="24" t="str">
        <x:v>Sardinella aurita</x:v>
      </x:c>
      <x:c r="F84" s="24" t="str">
        <x:v>Round sardinella</x:v>
      </x:c>
      <x:c r="G84" s="24" t="str">
        <x:v>Small pelagics (&lt;30 cm)</x:v>
      </x:c>
      <x:c r="H84" s="24" t="str">
        <x:v>Herring-likes</x:v>
      </x:c>
      <x:c r="I84" s="31" t="n">
        <x:v>216.933411143</x:v>
      </x:c>
      <x:c r="J84" s="31" t="n">
        <x:v>216.933411143</x:v>
      </x:c>
      <x:c r="K84" s="31" t="n">
        <x:v>0</x:v>
      </x:c>
      <x:c r="L84" s="31" t="n">
        <x:v>185.421122576</x:v>
      </x:c>
      <x:c r="M84" s="31" t="n">
        <x:v>31.512288567000002</x:v>
      </x:c>
      <x:c r="N84" s="24" t="str">
        <x:v>sardinella aurita</x:v>
      </x:c>
      <x:c r="O84" s="32" t="n">
        <x:v>3.4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aurita</x:v>
      </x:c>
      <x:c r="T84" s="32" t="n">
        <x:f>IF(O84="","",(1/'Metadata'!$B$5)^(O84-1))</x:f>
        <x:v>251.18864315095797</x:v>
      </x:c>
      <x:c r="U84" s="31" t="n">
        <x:f>IF(T84="","",I84*T84)</x:f>
        <x:v>54491.209199119075</x:v>
      </x:c>
    </x:row>
    <x:row r="85" ht="18" customHeight="1">
      <x:c r="A85" s="24" t="str">
        <x:v>EEZ_380</x:v>
      </x:c>
      <x:c r="B85" s="24" t="str">
        <x:v>Italy (mainland)</x:v>
      </x:c>
      <x:c r="C85" s="24" t="str">
        <x:v>EEZ</x:v>
      </x:c>
      <x:c r="D85" s="30" t="n">
        <x:v>2019</x:v>
      </x:c>
      <x:c r="E85" s="24" t="str">
        <x:v>Conger conger</x:v>
      </x:c>
      <x:c r="F85" s="24" t="str">
        <x:v>European conger</x:v>
      </x:c>
      <x:c r="G85" s="24" t="str">
        <x:v>Large demersals (&gt;=90 cm)</x:v>
      </x:c>
      <x:c r="H85" s="24" t="str">
        <x:v>Other fishes &amp; inverts</x:v>
      </x:c>
      <x:c r="I85" s="31" t="n">
        <x:v>215.65281840609998</x:v>
      </x:c>
      <x:c r="J85" s="31" t="n">
        <x:v>215.65281840609998</x:v>
      </x:c>
      <x:c r="K85" s="31" t="n">
        <x:v>0</x:v>
      </x:c>
      <x:c r="L85" s="31" t="n">
        <x:v>194.290211275</x:v>
      </x:c>
      <x:c r="M85" s="31" t="n">
        <x:v>21.3626071311</x:v>
      </x:c>
      <x:c r="N85" s="24" t="str">
        <x:v>conger conger</x:v>
      </x:c>
      <x:c r="O85" s="32" t="n">
        <x:v>4.31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Conger conger</x:v>
      </x:c>
      <x:c r="T85" s="32" t="n">
        <x:f>IF(O85="","",(1/'Metadata'!$B$5)^(O85-1))</x:f>
        <x:v>2041.7379446695275</x:v>
      </x:c>
      <x:c r="U85" s="31" t="n">
        <x:f>IF(T85="","",I85*T85)</x:f>
        <x:v>440306.54221466143</x:v>
      </x:c>
    </x:row>
    <x:row r="86" ht="18" customHeight="1">
      <x:c r="A86" s="24" t="str">
        <x:v>EEZ_380</x:v>
      </x:c>
      <x:c r="B86" s="24" t="str">
        <x:v>Italy (mainland)</x:v>
      </x:c>
      <x:c r="C86" s="24" t="str">
        <x:v>EEZ</x:v>
      </x:c>
      <x:c r="D86" s="30" t="n">
        <x:v>2019</x:v>
      </x:c>
      <x:c r="E86" s="24" t="str">
        <x:v>Chelidonichthys cuculus</x:v>
      </x:c>
      <x:c r="F86" s="24" t="str">
        <x:v>Red gurnard</x:v>
      </x:c>
      <x:c r="G86" s="24" t="str">
        <x:v>Medium demersals (30 - 89 cm)</x:v>
      </x:c>
      <x:c r="H86" s="24" t="str">
        <x:v>Scorpionfishes</x:v>
      </x:c>
      <x:c r="I86" s="31" t="n">
        <x:v>198.952385171</x:v>
      </x:c>
      <x:c r="J86" s="31" t="n">
        <x:v>8.149730771</x:v>
      </x:c>
      <x:c r="K86" s="31" t="n">
        <x:v>190.8026544</x:v>
      </x:c>
      <x:c r="L86" s="31" t="n">
        <x:v>190.8026544</x:v>
      </x:c>
      <x:c r="M86" s="31" t="n">
        <x:v>8.149730771</x:v>
      </x:c>
      <x:c r="N86" s="24" t="str">
        <x:v>chelidonichthys cuculus</x:v>
      </x:c>
      <x:c r="O86" s="32" t="n">
        <x:v>3.81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Chelidonichthys cuculus</x:v>
      </x:c>
      <x:c r="T86" s="32" t="n">
        <x:f>IF(O86="","",(1/'Metadata'!$B$5)^(O86-1))</x:f>
        <x:v>645.6542290346556</x:v>
      </x:c>
      <x:c r="U86" s="31" t="n">
        <x:f>IF(T86="","",I86*T86)</x:f>
        <x:v>128454.44886218786</x:v>
      </x:c>
    </x:row>
    <x:row r="87" ht="18" customHeight="1">
      <x:c r="A87" s="24" t="str">
        <x:v>EEZ_380</x:v>
      </x:c>
      <x:c r="B87" s="24" t="str">
        <x:v>Italy (mainland)</x:v>
      </x:c>
      <x:c r="C87" s="24" t="str">
        <x:v>EEZ</x:v>
      </x:c>
      <x:c r="D87" s="30" t="n">
        <x:v>2019</x:v>
      </x:c>
      <x:c r="E87" s="24" t="str">
        <x:v>Scophthalmidae</x:v>
      </x:c>
      <x:c r="F87" s="24" t="str">
        <x:v>Turbots</x:v>
      </x:c>
      <x:c r="G87" s="24" t="str">
        <x:v>Small to medium flatfishes (&lt;90 cm)</x:v>
      </x:c>
      <x:c r="H87" s="24" t="str">
        <x:v>Flatfishes</x:v>
      </x:c>
      <x:c r="I87" s="31" t="n">
        <x:v>177.345066199</x:v>
      </x:c>
      <x:c r="J87" s="31" t="n">
        <x:v>177.345066199</x:v>
      </x:c>
      <x:c r="K87" s="31" t="n">
        <x:v>0</x:v>
      </x:c>
      <x:c r="L87" s="31" t="n">
        <x:v>177.345066199</x:v>
      </x:c>
      <x:c r="M87" s="31" t="n">
        <x:v>0</x:v>
      </x:c>
      <x:c r="N87" s="24" t="str">
        <x:v>scophthalmidae</x:v>
      </x:c>
      <x:c r="O87" s="32" t="n">
        <x:v>3.71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Scophthalmidae</x:v>
      </x:c>
      <x:c r="T87" s="32" t="n">
        <x:f>IF(O87="","",(1/'Metadata'!$B$5)^(O87-1))</x:f>
        <x:v>512.8613839913648</x:v>
      </x:c>
      <x:c r="U87" s="31" t="n">
        <x:f>IF(T87="","",I87*T87)</x:f>
        <x:v>90953.43609485935</x:v>
      </x:c>
    </x:row>
    <x:row r="88" ht="18" customHeight="1">
      <x:c r="A88" s="24" t="str">
        <x:v>EEZ_380</x:v>
      </x:c>
      <x:c r="B88" s="24" t="str">
        <x:v>Italy (mainland)</x:v>
      </x:c>
      <x:c r="C88" s="24" t="str">
        <x:v>EEZ</x:v>
      </x:c>
      <x:c r="D88" s="30" t="n">
        <x:v>2019</x:v>
      </x:c>
      <x:c r="E88" s="24" t="str">
        <x:v>Phycis phycis</x:v>
      </x:c>
      <x:c r="F88" s="24" t="str">
        <x:v>Forkbeard</x:v>
      </x:c>
      <x:c r="G88" s="24" t="str">
        <x:v>Medium benthopelagics (30 - 89 cm)</x:v>
      </x:c>
      <x:c r="H88" s="24" t="str">
        <x:v>Cod-likes</x:v>
      </x:c>
      <x:c r="I88" s="31" t="n">
        <x:v>175.422575012</x:v>
      </x:c>
      <x:c r="J88" s="31" t="n">
        <x:v>175.422575012</x:v>
      </x:c>
      <x:c r="K88" s="31" t="n">
        <x:v>0</x:v>
      </x:c>
      <x:c r="L88" s="31" t="n">
        <x:v>156.104855562</x:v>
      </x:c>
      <x:c r="M88" s="31" t="n">
        <x:v>19.317719450000002</x:v>
      </x:c>
      <x:c r="N88" s="24" t="str">
        <x:v>phycis phycis</x:v>
      </x:c>
      <x:c r="O88" s="32" t="n">
        <x:v>4.25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Phycis phycis</x:v>
      </x:c>
      <x:c r="T88" s="32" t="n">
        <x:f>IF(O88="","",(1/'Metadata'!$B$5)^(O88-1))</x:f>
        <x:v>1778.2794100389228</x:v>
      </x:c>
      <x:c r="U88" s="31" t="n">
        <x:f>IF(T88="","",I88*T88)</x:f>
        <x:v>311950.3531998481</x:v>
      </x:c>
    </x:row>
    <x:row r="89" ht="18" customHeight="1">
      <x:c r="A89" s="24" t="str">
        <x:v>EEZ_380</x:v>
      </x:c>
      <x:c r="B89" s="24" t="str">
        <x:v>Italy (mainland)</x:v>
      </x:c>
      <x:c r="C89" s="24" t="str">
        <x:v>EEZ</x:v>
      </x:c>
      <x:c r="D89" s="30" t="n">
        <x:v>2019</x:v>
      </x:c>
      <x:c r="E89" s="24" t="str">
        <x:v>Platichthys flesus</x:v>
      </x:c>
      <x:c r="F89" s="24" t="str">
        <x:v>European flounder</x:v>
      </x:c>
      <x:c r="G89" s="24" t="str">
        <x:v>Small to medium flatfishes (&lt;90 cm)</x:v>
      </x:c>
      <x:c r="H89" s="24" t="str">
        <x:v>Flatfishes</x:v>
      </x:c>
      <x:c r="I89" s="31" t="n">
        <x:v>167.044587205</x:v>
      </x:c>
      <x:c r="J89" s="31" t="n">
        <x:v>167.044587205</x:v>
      </x:c>
      <x:c r="K89" s="31" t="n">
        <x:v>0</x:v>
      </x:c>
      <x:c r="L89" s="31" t="n">
        <x:v>16.644757282</x:v>
      </x:c>
      <x:c r="M89" s="31" t="n">
        <x:v>150.399829923</x:v>
      </x:c>
      <x:c r="N89" s="24" t="str">
        <x:v>platichthys flesus</x:v>
      </x:c>
      <x:c r="O89" s="32" t="n">
        <x:v>3.32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Platichthys flesus</x:v>
      </x:c>
      <x:c r="T89" s="32" t="n">
        <x:f>IF(O89="","",(1/'Metadata'!$B$5)^(O89-1))</x:f>
        <x:v>208.92961308540387</x:v>
      </x:c>
      <x:c r="U89" s="31" t="n">
        <x:f>IF(T89="","",I89*T89)</x:f>
        <x:v>34900.56097275166</x:v>
      </x:c>
    </x:row>
    <x:row r="90" ht="18" customHeight="1">
      <x:c r="A90" s="24" t="str">
        <x:v>EEZ_380</x:v>
      </x:c>
      <x:c r="B90" s="24" t="str">
        <x:v>Italy (mainland)</x:v>
      </x:c>
      <x:c r="C90" s="24" t="str">
        <x:v>EEZ</x:v>
      </x:c>
      <x:c r="D90" s="30" t="n">
        <x:v>2019</x:v>
      </x:c>
      <x:c r="E90" s="24" t="str">
        <x:v>Arnoglossus laterna</x:v>
      </x:c>
      <x:c r="F90" s="24" t="str">
        <x:v>Mediterranean scaldfish</x:v>
      </x:c>
      <x:c r="G90" s="24" t="str">
        <x:v>Small to medium flatfishes (&lt;90 cm)</x:v>
      </x:c>
      <x:c r="H90" s="24" t="str">
        <x:v>Flatfishes</x:v>
      </x:c>
      <x:c r="I90" s="31" t="n">
        <x:v>160.469427513</x:v>
      </x:c>
      <x:c r="J90" s="31" t="n">
        <x:v>160.469427513</x:v>
      </x:c>
      <x:c r="K90" s="31" t="n">
        <x:v>0</x:v>
      </x:c>
      <x:c r="L90" s="31" t="n">
        <x:v>124.538451834</x:v>
      </x:c>
      <x:c r="M90" s="31" t="n">
        <x:v>35.930975679</x:v>
      </x:c>
      <x:c r="N90" s="24" t="str">
        <x:v>arnoglossus laterna</x:v>
      </x:c>
      <x:c r="O90" s="32" t="n">
        <x:v>3.59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Arnoglossus laterna</x:v>
      </x:c>
      <x:c r="T90" s="32" t="n">
        <x:f>IF(O90="","",(1/'Metadata'!$B$5)^(O90-1))</x:f>
        <x:v>389.04514499428046</x:v>
      </x:c>
      <x:c r="U90" s="31" t="n">
        <x:f>IF(T90="","",I90*T90)</x:f>
        <x:v>62429.85169394426</x:v>
      </x:c>
    </x:row>
    <x:row r="91" ht="18" customHeight="1">
      <x:c r="A91" s="24" t="str">
        <x:v>EEZ_380</x:v>
      </x:c>
      <x:c r="B91" s="24" t="str">
        <x:v>Italy (mainland)</x:v>
      </x:c>
      <x:c r="C91" s="24" t="str">
        <x:v>EEZ</x:v>
      </x:c>
      <x:c r="D91" s="30" t="n">
        <x:v>2019</x:v>
      </x:c>
      <x:c r="E91" s="24" t="str">
        <x:v>Atherinidae</x:v>
      </x:c>
      <x:c r="F91" s="24" t="str">
        <x:v>Silversides</x:v>
      </x:c>
      <x:c r="G91" s="24" t="str">
        <x:v>Small pelagics (&lt;30 cm)</x:v>
      </x:c>
      <x:c r="H91" s="24" t="str">
        <x:v>Other fishes &amp; inverts</x:v>
      </x:c>
      <x:c r="I91" s="31" t="n">
        <x:v>154.210979086</x:v>
      </x:c>
      <x:c r="J91" s="31" t="n">
        <x:v>154.210979086</x:v>
      </x:c>
      <x:c r="K91" s="31" t="n">
        <x:v>0</x:v>
      </x:c>
      <x:c r="L91" s="31" t="n">
        <x:v>148.17591539400001</x:v>
      </x:c>
      <x:c r="M91" s="31" t="n">
        <x:v>6.035063692</x:v>
      </x:c>
      <x:c r="N91" s="24" t="str">
        <x:v>atherinidae</x:v>
      </x:c>
      <x:c r="O91" s="32" t="n">
        <x:v>3.2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Atherinidae</x:v>
      </x:c>
      <x:c r="T91" s="32" t="n">
        <x:f>IF(O91="","",(1/'Metadata'!$B$5)^(O91-1))</x:f>
        <x:v>158.48931924611142</x:v>
      </x:c>
      <x:c r="U91" s="31" t="n">
        <x:f>IF(T91="","",I91*T91)</x:f>
        <x:v>24440.793095616467</x:v>
      </x:c>
    </x:row>
    <x:row r="92" ht="18" customHeight="1">
      <x:c r="A92" s="24" t="str">
        <x:v>EEZ_380</x:v>
      </x:c>
      <x:c r="B92" s="24" t="str">
        <x:v>Italy (mainland)</x:v>
      </x:c>
      <x:c r="C92" s="24" t="str">
        <x:v>EEZ</x:v>
      </x:c>
      <x:c r="D92" s="30" t="n">
        <x:v>2019</x:v>
      </x:c>
      <x:c r="E92" s="24" t="str">
        <x:v>Sciaenidae</x:v>
      </x:c>
      <x:c r="F92" s="24" t="str">
        <x:v>Drums, croakers</x:v>
      </x:c>
      <x:c r="G92" s="24" t="str">
        <x:v>Medium demersals (30 - 89 cm)</x:v>
      </x:c>
      <x:c r="H92" s="24" t="str">
        <x:v>Perch-likes</x:v>
      </x:c>
      <x:c r="I92" s="31" t="n">
        <x:v>150.3536559</x:v>
      </x:c>
      <x:c r="J92" s="31" t="n">
        <x:v>150.3536559</x:v>
      </x:c>
      <x:c r="K92" s="31" t="n">
        <x:v>0</x:v>
      </x:c>
      <x:c r="L92" s="31" t="n">
        <x:v>0</x:v>
      </x:c>
      <x:c r="M92" s="31" t="n">
        <x:v>150.3536559</x:v>
      </x:c>
      <x:c r="N92" s="24" t="str">
        <x:v>sciaenidae</x:v>
      </x:c>
      <x:c r="O92" s="32" t="n">
        <x:v>3.76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Sciaenidae</x:v>
      </x:c>
      <x:c r="T92" s="32" t="n">
        <x:f>IF(O92="","",(1/'Metadata'!$B$5)^(O92-1))</x:f>
        <x:v>575.4399373371566</x:v>
      </x:c>
      <x:c r="U92" s="31" t="n">
        <x:f>IF(T92="","",I92*T92)</x:f>
        <x:v>86519.49832950841</x:v>
      </x:c>
    </x:row>
    <x:row r="93" ht="18" customHeight="1">
      <x:c r="A93" s="24" t="str">
        <x:v>EEZ_380</x:v>
      </x:c>
      <x:c r="B93" s="24" t="str">
        <x:v>Italy (mainland)</x:v>
      </x:c>
      <x:c r="C93" s="24" t="str">
        <x:v>EEZ</x:v>
      </x:c>
      <x:c r="D93" s="30" t="n">
        <x:v>2019</x:v>
      </x:c>
      <x:c r="E93" s="24" t="str">
        <x:v>Chlorophthalmidae</x:v>
      </x:c>
      <x:c r="F93" s="24" t="str">
        <x:v>Greeneyes</x:v>
      </x:c>
      <x:c r="G93" s="24" t="str">
        <x:v>Small demersals (&lt;30 cm)</x:v>
      </x:c>
      <x:c r="H93" s="24" t="str">
        <x:v>Other fishes &amp; inverts</x:v>
      </x:c>
      <x:c r="I93" s="31" t="n">
        <x:v>133.41077917</x:v>
      </x:c>
      <x:c r="J93" s="31" t="n">
        <x:v>133.41077917</x:v>
      </x:c>
      <x:c r="K93" s="31" t="n">
        <x:v>0</x:v>
      </x:c>
      <x:c r="L93" s="31" t="n">
        <x:v>121.491828148</x:v>
      </x:c>
      <x:c r="M93" s="31" t="n">
        <x:v>11.918951022</x:v>
      </x:c>
      <x:c r="N93" s="24" t="str">
        <x:v>chlorophthalmidae</x:v>
      </x:c>
      <x:c r="O93" s="32" t="n">
        <x:v>3.62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Chlorophthalmidae</x:v>
      </x:c>
      <x:c r="T93" s="32" t="n">
        <x:f>IF(O93="","",(1/'Metadata'!$B$5)^(O93-1))</x:f>
        <x:v>416.8693834703355</x:v>
      </x:c>
      <x:c r="U93" s="31" t="n">
        <x:f>IF(T93="","",I93*T93)</x:f>
        <x:v>55614.86926089498</x:v>
      </x:c>
    </x:row>
    <x:row r="94" ht="18" customHeight="1">
      <x:c r="A94" s="24" t="str">
        <x:v>EEZ_380</x:v>
      </x:c>
      <x:c r="B94" s="24" t="str">
        <x:v>Italy (mainland)</x:v>
      </x:c>
      <x:c r="C94" s="24" t="str">
        <x:v>EEZ</x:v>
      </x:c>
      <x:c r="D94" s="30" t="n">
        <x:v>2019</x:v>
      </x:c>
      <x:c r="E94" s="24" t="str">
        <x:v>Scyliorhinus canicula</x:v>
      </x:c>
      <x:c r="F94" s="24" t="str">
        <x:v>Small-spotted catshark</x:v>
      </x:c>
      <x:c r="G94" s="24" t="str">
        <x:v>Small to medium sharks (&lt;90 cm)</x:v>
      </x:c>
      <x:c r="H94" s="24" t="str">
        <x:v>Sharks &amp; rays</x:v>
      </x:c>
      <x:c r="I94" s="31" t="n">
        <x:v>129.331321914</x:v>
      </x:c>
      <x:c r="J94" s="31" t="n">
        <x:v>73.775247744</x:v>
      </x:c>
      <x:c r="K94" s="31" t="n">
        <x:v>55.55607417</x:v>
      </x:c>
      <x:c r="L94" s="31" t="n">
        <x:v>107.461366126</x:v>
      </x:c>
      <x:c r="M94" s="31" t="n">
        <x:v>21.869955788000002</x:v>
      </x:c>
      <x:c r="N94" s="24" t="str">
        <x:v>scyliorhinus canicula</x:v>
      </x:c>
      <x:c r="O94" s="32" t="n">
        <x:v>3.82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Scyliorhinus canicula</x:v>
      </x:c>
      <x:c r="T94" s="32" t="n">
        <x:f>IF(O94="","",(1/'Metadata'!$B$5)^(O94-1))</x:f>
        <x:v>660.6934480075957</x:v>
      </x:c>
      <x:c r="U94" s="31" t="n">
        <x:f>IF(T94="","",I94*T94)</x:f>
        <x:v>85448.35701074099</x:v>
      </x:c>
    </x:row>
    <x:row r="95" ht="18" customHeight="1">
      <x:c r="A95" s="24" t="str">
        <x:v>EEZ_380</x:v>
      </x:c>
      <x:c r="B95" s="24" t="str">
        <x:v>Italy (mainland)</x:v>
      </x:c>
      <x:c r="C95" s="24" t="str">
        <x:v>EEZ</x:v>
      </x:c>
      <x:c r="D95" s="30" t="n">
        <x:v>2019</x:v>
      </x:c>
      <x:c r="E95" s="24" t="str">
        <x:v>Citharus linguatula</x:v>
      </x:c>
      <x:c r="F95" s="24" t="str">
        <x:v>Spotted flounder</x:v>
      </x:c>
      <x:c r="G95" s="24" t="str">
        <x:v>Small to medium flatfishes (&lt;90 cm)</x:v>
      </x:c>
      <x:c r="H95" s="24" t="str">
        <x:v>Flatfishes</x:v>
      </x:c>
      <x:c r="I95" s="31" t="n">
        <x:v>126.29045008</x:v>
      </x:c>
      <x:c r="J95" s="31" t="n">
        <x:v>26.886118537</x:v>
      </x:c>
      <x:c r="K95" s="31" t="n">
        <x:v>99.404331543</x:v>
      </x:c>
      <x:c r="L95" s="31" t="n">
        <x:v>110.307188256</x:v>
      </x:c>
      <x:c r="M95" s="31" t="n">
        <x:v>15.983261824</x:v>
      </x:c>
      <x:c r="N95" s="24" t="str">
        <x:v>citharus linguatula</x:v>
      </x:c>
      <x:c r="O95" s="32" t="n">
        <x:v>3.97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Citharus linguatula</x:v>
      </x:c>
      <x:c r="T95" s="32" t="n">
        <x:f>IF(O95="","",(1/'Metadata'!$B$5)^(O95-1))</x:f>
        <x:v>933.2543007969915</x:v>
      </x:c>
      <x:c r="U95" s="31" t="n">
        <x:f>IF(T95="","",I95*T95)</x:f>
        <x:v>117861.10568674776</x:v>
      </x:c>
    </x:row>
    <x:row r="96" ht="18" customHeight="1">
      <x:c r="A96" s="24" t="str">
        <x:v>EEZ_380</x:v>
      </x:c>
      <x:c r="B96" s="24" t="str">
        <x:v>Italy (mainland)</x:v>
      </x:c>
      <x:c r="C96" s="24" t="str">
        <x:v>EEZ</x:v>
      </x:c>
      <x:c r="D96" s="30" t="n">
        <x:v>2019</x:v>
      </x:c>
      <x:c r="E96" s="24" t="str">
        <x:v>Sarpa salpa</x:v>
      </x:c>
      <x:c r="F96" s="24" t="str">
        <x:v>Salema</x:v>
      </x:c>
      <x:c r="G96" s="24" t="str">
        <x:v>Medium benthopelagics (30 - 89 cm)</x:v>
      </x:c>
      <x:c r="H96" s="24" t="str">
        <x:v>Perch-likes</x:v>
      </x:c>
      <x:c r="I96" s="31" t="n">
        <x:v>122.641395015</x:v>
      </x:c>
      <x:c r="J96" s="31" t="n">
        <x:v>122.641395015</x:v>
      </x:c>
      <x:c r="K96" s="31" t="n">
        <x:v>0</x:v>
      </x:c>
      <x:c r="L96" s="31" t="n">
        <x:v>90.76187379400001</x:v>
      </x:c>
      <x:c r="M96" s="31" t="n">
        <x:v>31.879521221</x:v>
      </x:c>
      <x:c r="N96" s="24" t="str">
        <x:v>sarpa salpa</x:v>
      </x:c>
      <x:c r="O96" s="32" t="n">
        <x:v>2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Sarpa salpa</x:v>
      </x:c>
      <x:c r="T96" s="32" t="n">
        <x:f>IF(O96="","",(1/'Metadata'!$B$5)^(O96-1))</x:f>
        <x:v>10</x:v>
      </x:c>
      <x:c r="U96" s="31" t="n">
        <x:f>IF(T96="","",I96*T96)</x:f>
        <x:v>1226.41395015</x:v>
      </x:c>
    </x:row>
    <x:row r="97" ht="18" customHeight="1">
      <x:c r="A97" s="24" t="str">
        <x:v>EEZ_380</x:v>
      </x:c>
      <x:c r="B97" s="24" t="str">
        <x:v>Italy (mainland)</x:v>
      </x:c>
      <x:c r="C97" s="24" t="str">
        <x:v>EEZ</x:v>
      </x:c>
      <x:c r="D97" s="30" t="n">
        <x:v>2019</x:v>
      </x:c>
      <x:c r="E97" s="24" t="str">
        <x:v>Pagellus acarne</x:v>
      </x:c>
      <x:c r="F97" s="24" t="str">
        <x:v>Axillary seabream</x:v>
      </x:c>
      <x:c r="G97" s="24" t="str">
        <x:v>Medium benthopelagics (30 - 89 cm)</x:v>
      </x:c>
      <x:c r="H97" s="24" t="str">
        <x:v>Perch-likes</x:v>
      </x:c>
      <x:c r="I97" s="31" t="n">
        <x:v>107.852845062</x:v>
      </x:c>
      <x:c r="J97" s="31" t="n">
        <x:v>85.742386314</x:v>
      </x:c>
      <x:c r="K97" s="31" t="n">
        <x:v>22.110458748</x:v>
      </x:c>
      <x:c r="L97" s="31" t="n">
        <x:v>99.91793013499999</x:v>
      </x:c>
      <x:c r="M97" s="31" t="n">
        <x:v>7.934914927</x:v>
      </x:c>
      <x:c r="N97" s="24" t="str">
        <x:v>pagellus acarne</x:v>
      </x:c>
      <x:c r="O97" s="32" t="n">
        <x:v>3.81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Pagellus acarne</x:v>
      </x:c>
      <x:c r="T97" s="32" t="n">
        <x:f>IF(O97="","",(1/'Metadata'!$B$5)^(O97-1))</x:f>
        <x:v>645.6542290346556</x:v>
      </x:c>
      <x:c r="U97" s="31" t="n">
        <x:f>IF(T97="","",I97*T97)</x:f>
        <x:v>69635.64552769977</x:v>
      </x:c>
    </x:row>
    <x:row r="98" ht="18" customHeight="1">
      <x:c r="A98" s="24" t="str">
        <x:v>EEZ_380</x:v>
      </x:c>
      <x:c r="B98" s="24" t="str">
        <x:v>Italy (mainland)</x:v>
      </x:c>
      <x:c r="C98" s="24" t="str">
        <x:v>EEZ</x:v>
      </x:c>
      <x:c r="D98" s="30" t="n">
        <x:v>2019</x:v>
      </x:c>
      <x:c r="E98" s="24" t="str">
        <x:v>Maja squinado</x:v>
      </x:c>
      <x:c r="F98" s="24" t="str">
        <x:v>Spinous spider crab</x:v>
      </x:c>
      <x:c r="G98" s="24" t="str">
        <x:v>Lobsters, crabs</x:v>
      </x:c>
      <x:c r="H98" s="24" t="str">
        <x:v>Crustaceans</x:v>
      </x:c>
      <x:c r="I98" s="31" t="n">
        <x:v>104.499331837</x:v>
      </x:c>
      <x:c r="J98" s="31" t="n">
        <x:v>104.499331837</x:v>
      </x:c>
      <x:c r="K98" s="31" t="n">
        <x:v>0</x:v>
      </x:c>
      <x:c r="L98" s="31" t="n">
        <x:v>79.744293389</x:v>
      </x:c>
      <x:c r="M98" s="31" t="n">
        <x:v>24.755038448</x:v>
      </x:c>
      <x:c r="N98" s="24" t="str">
        <x:v>maja squinado</x:v>
      </x:c>
      <x:c r="O98" s="32" t="n">
        <x:v>2.94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Maja squinado</x:v>
      </x:c>
      <x:c r="T98" s="32" t="n">
        <x:f>IF(O98="","",(1/'Metadata'!$B$5)^(O98-1))</x:f>
        <x:v>87.09635899560806</x:v>
      </x:c>
      <x:c r="U98" s="31" t="n">
        <x:f>IF(T98="","",I98*T98)</x:f>
        <x:v>9101.511320476526</x:v>
      </x:c>
    </x:row>
    <x:row r="99" ht="18" customHeight="1">
      <x:c r="A99" s="24" t="str">
        <x:v>EEZ_380</x:v>
      </x:c>
      <x:c r="B99" s="24" t="str">
        <x:v>Italy (mainland)</x:v>
      </x:c>
      <x:c r="C99" s="24" t="str">
        <x:v>EEZ</x:v>
      </x:c>
      <x:c r="D99" s="30" t="n">
        <x:v>2019</x:v>
      </x:c>
      <x:c r="E99" s="24" t="str">
        <x:v>Loliginidae</x:v>
      </x:c>
      <x:c r="F99" s="24" t="str">
        <x:v>Common pencil squids</x:v>
      </x:c>
      <x:c r="G99" s="24" t="str">
        <x:v>Cephalopods</x:v>
      </x:c>
      <x:c r="H99" s="24" t="str">
        <x:v>Other fishes &amp; inverts</x:v>
      </x:c>
      <x:c r="I99" s="31" t="n">
        <x:v>100.28934907600001</x:v>
      </x:c>
      <x:c r="J99" s="31" t="n">
        <x:v>100.28934907600001</x:v>
      </x:c>
      <x:c r="K99" s="31" t="n">
        <x:v>0</x:v>
      </x:c>
      <x:c r="L99" s="31" t="n">
        <x:v>100.28934907600001</x:v>
      </x:c>
      <x:c r="M99" s="31" t="n">
        <x:v>0</x:v>
      </x:c>
      <x:c r="N99" s="24" t="str">
        <x:v>loliginidae</x:v>
      </x:c>
      <x:c r="O99" s="32" t="n">
        <x:v>3.9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Loliginidae</x:v>
      </x:c>
      <x:c r="T99" s="32" t="n">
        <x:f>IF(O99="","",(1/'Metadata'!$B$5)^(O99-1))</x:f>
        <x:v>794.3282347242813</x:v>
      </x:c>
      <x:c r="U99" s="31" t="n">
        <x:f>IF(T99="","",I99*T99)</x:f>
        <x:v>79662.66161318631</x:v>
      </x:c>
    </x:row>
    <x:row r="100" ht="18" customHeight="1">
      <x:c r="A100" s="24" t="str">
        <x:v>EEZ_380</x:v>
      </x:c>
      <x:c r="B100" s="24" t="str">
        <x:v>Italy (mainland)</x:v>
      </x:c>
      <x:c r="C100" s="24" t="str">
        <x:v>EEZ</x:v>
      </x:c>
      <x:c r="D100" s="30" t="n">
        <x:v>2019</x:v>
      </x:c>
      <x:c r="E100" s="24" t="str">
        <x:v>Katsuwonus pelamis</x:v>
      </x:c>
      <x:c r="F100" s="24" t="str">
        <x:v>Skipjack tuna</x:v>
      </x:c>
      <x:c r="G100" s="24" t="str">
        <x:v>Large pelagics (&gt;=90 cm)</x:v>
      </x:c>
      <x:c r="H100" s="24" t="str">
        <x:v>Tuna &amp; billfishes</x:v>
      </x:c>
      <x:c r="I100" s="31" t="n">
        <x:v>93.3865493717</x:v>
      </x:c>
      <x:c r="J100" s="31" t="n">
        <x:v>93.3865493717</x:v>
      </x:c>
      <x:c r="K100" s="31" t="n">
        <x:v>0</x:v>
      </x:c>
      <x:c r="L100" s="31" t="n">
        <x:v>92.4613457657</x:v>
      </x:c>
      <x:c r="M100" s="31" t="n">
        <x:v>0.9252036060000001</x:v>
      </x:c>
      <x:c r="N100" s="24" t="str">
        <x:v>katsuwonus pelamis</x:v>
      </x:c>
      <x:c r="O100" s="32" t="n">
        <x:v>4.43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Katsuwonus pelamis</x:v>
      </x:c>
      <x:c r="T100" s="32" t="n">
        <x:f>IF(O100="","",(1/'Metadata'!$B$5)^(O100-1))</x:f>
        <x:v>2691.534803926914</x:v>
      </x:c>
      <x:c r="U100" s="31" t="n">
        <x:f>IF(T100="","",I100*T100)</x:f>
        <x:v>251353.14785256961</x:v>
      </x:c>
    </x:row>
    <x:row r="101" ht="18" customHeight="1">
      <x:c r="A101" s="24" t="str">
        <x:v>EEZ_380</x:v>
      </x:c>
      <x:c r="B101" s="24" t="str">
        <x:v>Italy (mainland)</x:v>
      </x:c>
      <x:c r="C101" s="24" t="str">
        <x:v>EEZ</x:v>
      </x:c>
      <x:c r="D101" s="30" t="n">
        <x:v>2019</x:v>
      </x:c>
      <x:c r="E101" s="24" t="str">
        <x:v>Chelon auratus</x:v>
      </x:c>
      <x:c r="F101" s="24" t="str">
        <x:v>Golden grey mullet</x:v>
      </x:c>
      <x:c r="G101" s="24" t="str">
        <x:v>Medium pelagics (30 - 89 cm)</x:v>
      </x:c>
      <x:c r="H101" s="24" t="str">
        <x:v>Other fishes &amp; inverts</x:v>
      </x:c>
      <x:c r="I101" s="31" t="n">
        <x:v>86.9190296381</x:v>
      </x:c>
      <x:c r="J101" s="31" t="n">
        <x:v>86.9190296381</x:v>
      </x:c>
      <x:c r="K101" s="31" t="n">
        <x:v>0</x:v>
      </x:c>
      <x:c r="L101" s="31" t="n">
        <x:v>80.221412795</x:v>
      </x:c>
      <x:c r="M101" s="31" t="n">
        <x:v>6.6976168431</x:v>
      </x:c>
      <x:c r="N101" s="24" t="str">
        <x:v>chelon auratus</x:v>
      </x:c>
      <x:c r="O101" s="32" t="n">
        <x:v>2.8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Chelon auratus</x:v>
      </x:c>
      <x:c r="T101" s="32" t="n">
        <x:f>IF(O101="","",(1/'Metadata'!$B$5)^(O101-1))</x:f>
        <x:v>63.0957344480193</x:v>
      </x:c>
      <x:c r="U101" s="31" t="n">
        <x:f>IF(T101="","",I101*T101)</x:f>
        <x:v>5484.2200125250765</x:v>
      </x:c>
    </x:row>
    <x:row r="102" ht="18" customHeight="1">
      <x:c r="A102" s="24" t="str">
        <x:v>EEZ_380</x:v>
      </x:c>
      <x:c r="B102" s="24" t="str">
        <x:v>Italy (mainland)</x:v>
      </x:c>
      <x:c r="C102" s="24" t="str">
        <x:v>EEZ</x:v>
      </x:c>
      <x:c r="D102" s="30" t="n">
        <x:v>2019</x:v>
      </x:c>
      <x:c r="E102" s="24" t="str">
        <x:v>Raja asterias</x:v>
      </x:c>
      <x:c r="F102" s="24" t="str">
        <x:v>Mediterranean starry ray</x:v>
      </x:c>
      <x:c r="G102" s="24" t="str">
        <x:v>Small to medium rays (&lt;90 cm)</x:v>
      </x:c>
      <x:c r="H102" s="24" t="str">
        <x:v>Sharks &amp; rays</x:v>
      </x:c>
      <x:c r="I102" s="31" t="n">
        <x:v>82.044114792</x:v>
      </x:c>
      <x:c r="J102" s="31" t="n">
        <x:v>82.044114792</x:v>
      </x:c>
      <x:c r="K102" s="31" t="n">
        <x:v>0</x:v>
      </x:c>
      <x:c r="L102" s="31" t="n">
        <x:v>65.964843727</x:v>
      </x:c>
      <x:c r="M102" s="31" t="n">
        <x:v>16.079271065</x:v>
      </x:c>
      <x:c r="N102" s="24" t="str">
        <x:v>raja asterias</x:v>
      </x:c>
      <x:c r="O102" s="32" t="n">
        <x:v>3.5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Raja asterias</x:v>
      </x:c>
      <x:c r="T102" s="32" t="n">
        <x:f>IF(O102="","",(1/'Metadata'!$B$5)^(O102-1))</x:f>
        <x:v>316.22776601683796</x:v>
      </x:c>
      <x:c r="U102" s="31" t="n">
        <x:f>IF(T102="","",I102*T102)</x:f>
        <x:v>25944.62713550317</x:v>
      </x:c>
    </x:row>
    <x:row r="103" ht="18" customHeight="1">
      <x:c r="A103" s="24" t="str">
        <x:v>EEZ_380</x:v>
      </x:c>
      <x:c r="B103" s="24" t="str">
        <x:v>Italy (mainland)</x:v>
      </x:c>
      <x:c r="C103" s="24" t="str">
        <x:v>EEZ</x:v>
      </x:c>
      <x:c r="D103" s="30" t="n">
        <x:v>2019</x:v>
      </x:c>
      <x:c r="E103" s="24" t="str">
        <x:v>Trachinidae</x:v>
      </x:c>
      <x:c r="F103" s="24" t="str">
        <x:v>Weeverfishes</x:v>
      </x:c>
      <x:c r="G103" s="24" t="str">
        <x:v>Medium demersals (30 - 89 cm)</x:v>
      </x:c>
      <x:c r="H103" s="24" t="str">
        <x:v>Perch-likes</x:v>
      </x:c>
      <x:c r="I103" s="31" t="n">
        <x:v>81.225922791</x:v>
      </x:c>
      <x:c r="J103" s="31" t="n">
        <x:v>81.225922791</x:v>
      </x:c>
      <x:c r="K103" s="31" t="n">
        <x:v>0</x:v>
      </x:c>
      <x:c r="L103" s="31" t="n">
        <x:v>69.443878059</x:v>
      </x:c>
      <x:c r="M103" s="31" t="n">
        <x:v>11.782044732000001</x:v>
      </x:c>
      <x:c r="N103" s="24" t="str">
        <x:v>trachinidae</x:v>
      </x:c>
      <x:c r="O103" s="32" t="n">
        <x:v>3.95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Trachinidae</x:v>
      </x:c>
      <x:c r="T103" s="32" t="n">
        <x:f>IF(O103="","",(1/'Metadata'!$B$5)^(O103-1))</x:f>
        <x:v>891.2509381337459</x:v>
      </x:c>
      <x:c r="U103" s="31" t="n">
        <x:f>IF(T103="","",I103*T103)</x:f>
        <x:v>72392.67988825796</x:v>
      </x:c>
    </x:row>
    <x:row r="104" ht="18" customHeight="1">
      <x:c r="A104" s="24" t="str">
        <x:v>EEZ_380</x:v>
      </x:c>
      <x:c r="B104" s="24" t="str">
        <x:v>Italy (mainland)</x:v>
      </x:c>
      <x:c r="C104" s="24" t="str">
        <x:v>EEZ</x:v>
      </x:c>
      <x:c r="D104" s="30" t="n">
        <x:v>2019</x:v>
      </x:c>
      <x:c r="E104" s="24" t="str">
        <x:v>Phycis blennoides</x:v>
      </x:c>
      <x:c r="F104" s="24" t="str">
        <x:v>Greater forkbeard</x:v>
      </x:c>
      <x:c r="G104" s="24" t="str">
        <x:v>Large benthopelagics (&gt;=90 cm)</x:v>
      </x:c>
      <x:c r="H104" s="24" t="str">
        <x:v>Cod-likes</x:v>
      </x:c>
      <x:c r="I104" s="31" t="n">
        <x:v>76.20228495399999</x:v>
      </x:c>
      <x:c r="J104" s="31" t="n">
        <x:v>5.037760275</x:v>
      </x:c>
      <x:c r="K104" s="31" t="n">
        <x:v>71.164524679</x:v>
      </x:c>
      <x:c r="L104" s="31" t="n">
        <x:v>71.164524679</x:v>
      </x:c>
      <x:c r="M104" s="31" t="n">
        <x:v>5.037760275</x:v>
      </x:c>
      <x:c r="N104" s="24" t="str">
        <x:v>phycis blennoides</x:v>
      </x:c>
      <x:c r="O104" s="32" t="n">
        <x:v>3.87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Phycis blennoides</x:v>
      </x:c>
      <x:c r="T104" s="32" t="n">
        <x:f>IF(O104="","",(1/'Metadata'!$B$5)^(O104-1))</x:f>
        <x:v>741.3102413009177</x:v>
      </x:c>
      <x:c r="U104" s="31" t="n">
        <x:f>IF(T104="","",I104*T104)</x:f>
        <x:v>56489.53424693103</x:v>
      </x:c>
    </x:row>
    <x:row r="105" ht="18" customHeight="1">
      <x:c r="A105" s="24" t="str">
        <x:v>EEZ_380</x:v>
      </x:c>
      <x:c r="B105" s="24" t="str">
        <x:v>Italy (mainland)</x:v>
      </x:c>
      <x:c r="C105" s="24" t="str">
        <x:v>EEZ</x:v>
      </x:c>
      <x:c r="D105" s="30" t="n">
        <x:v>2019</x:v>
      </x:c>
      <x:c r="E105" s="24" t="str">
        <x:v>Serranidae</x:v>
      </x:c>
      <x:c r="F105" s="24" t="str">
        <x:v>Basses, groupers, hinds</x:v>
      </x:c>
      <x:c r="G105" s="24" t="str">
        <x:v>Medium reef assoc. fish (30 - 89 cm)</x:v>
      </x:c>
      <x:c r="H105" s="24" t="str">
        <x:v>Perch-likes</x:v>
      </x:c>
      <x:c r="I105" s="31" t="n">
        <x:v>74.30948630500001</x:v>
      </x:c>
      <x:c r="J105" s="31" t="n">
        <x:v>74.30948630500001</x:v>
      </x:c>
      <x:c r="K105" s="31" t="n">
        <x:v>0</x:v>
      </x:c>
      <x:c r="L105" s="31" t="n">
        <x:v>60.810766038000004</x:v>
      </x:c>
      <x:c r="M105" s="31" t="n">
        <x:v>13.498720267</x:v>
      </x:c>
      <x:c r="N105" s="24" t="str">
        <x:v>serranidae</x:v>
      </x:c>
      <x:c r="O105" s="32" t="n">
        <x:v>3.98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Serranidae</x:v>
      </x:c>
      <x:c r="T105" s="32" t="n">
        <x:f>IF(O105="","",(1/'Metadata'!$B$5)^(O105-1))</x:f>
        <x:v>954.992586021436</x:v>
      </x:c>
      <x:c r="U105" s="31" t="n">
        <x:f>IF(T105="","",I105*T105)</x:f>
        <x:v>70965.00849233643</x:v>
      </x:c>
    </x:row>
    <x:row r="106" ht="18" customHeight="1">
      <x:c r="A106" s="24" t="str">
        <x:v>EEZ_380</x:v>
      </x:c>
      <x:c r="B106" s="24" t="str">
        <x:v>Italy (mainland)</x:v>
      </x:c>
      <x:c r="C106" s="24" t="str">
        <x:v>EEZ</x:v>
      </x:c>
      <x:c r="D106" s="30" t="n">
        <x:v>2019</x:v>
      </x:c>
      <x:c r="E106" s="24" t="str">
        <x:v>Helicolenus dactylopterus</x:v>
      </x:c>
      <x:c r="F106" s="24" t="str">
        <x:v>Blackbelly rosefish</x:v>
      </x:c>
      <x:c r="G106" s="24" t="str">
        <x:v>Medium bathydemersals (30 - 89 cm)</x:v>
      </x:c>
      <x:c r="H106" s="24" t="str">
        <x:v>Scorpionfishes</x:v>
      </x:c>
      <x:c r="I106" s="31" t="n">
        <x:v>72.48841819100001</x:v>
      </x:c>
      <x:c r="J106" s="31" t="n">
        <x:v>70.746851676</x:v>
      </x:c>
      <x:c r="K106" s="31" t="n">
        <x:v>1.741566515</x:v>
      </x:c>
      <x:c r="L106" s="31" t="n">
        <x:v>64.760585421</x:v>
      </x:c>
      <x:c r="M106" s="31" t="n">
        <x:v>7.72783277</x:v>
      </x:c>
      <x:c r="N106" s="24" t="str">
        <x:v>helicolenus dactylopterus</x:v>
      </x:c>
      <x:c r="O106" s="32" t="n">
        <x:v>3.54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Helicolenus dactylopterus</x:v>
      </x:c>
      <x:c r="T106" s="32" t="n">
        <x:f>IF(O106="","",(1/'Metadata'!$B$5)^(O106-1))</x:f>
        <x:v>346.73685045253166</x:v>
      </x:c>
      <x:c r="U106" s="31" t="n">
        <x:f>IF(T106="","",I106*T106)</x:f>
        <x:v>25134.405817833343</x:v>
      </x:c>
    </x:row>
    <x:row r="107" ht="18" customHeight="1">
      <x:c r="A107" s="24" t="str">
        <x:v>EEZ_380</x:v>
      </x:c>
      <x:c r="B107" s="24" t="str">
        <x:v>Italy (mainland)</x:v>
      </x:c>
      <x:c r="C107" s="24" t="str">
        <x:v>EEZ</x:v>
      </x:c>
      <x:c r="D107" s="30" t="n">
        <x:v>2019</x:v>
      </x:c>
      <x:c r="E107" s="24" t="str">
        <x:v>Scomberesox saurus</x:v>
      </x:c>
      <x:c r="F107" s="24" t="str">
        <x:v>Atlantic saury</x:v>
      </x:c>
      <x:c r="G107" s="24" t="str">
        <x:v>Medium pelagics (30 - 89 cm)</x:v>
      </x:c>
      <x:c r="H107" s="24" t="str">
        <x:v>Other fishes &amp; inverts</x:v>
      </x:c>
      <x:c r="I107" s="31" t="n">
        <x:v>69.7168533236</x:v>
      </x:c>
      <x:c r="J107" s="31" t="n">
        <x:v>69.7168533236</x:v>
      </x:c>
      <x:c r="K107" s="31" t="n">
        <x:v>0</x:v>
      </x:c>
      <x:c r="L107" s="31" t="n">
        <x:v>65.4031772166</x:v>
      </x:c>
      <x:c r="M107" s="31" t="n">
        <x:v>4.313676107</x:v>
      </x:c>
      <x:c r="N107" s="24" t="str">
        <x:v>scomberesox saurus</x:v>
      </x:c>
      <x:c r="O107" s="32" t="n">
        <x:v>3.91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Scomberesox saurus</x:v>
      </x:c>
      <x:c r="T107" s="32" t="n">
        <x:f>IF(O107="","",(1/'Metadata'!$B$5)^(O107-1))</x:f>
        <x:v>812.8305161640995</x:v>
      </x:c>
      <x:c r="U107" s="31" t="n">
        <x:f>IF(T107="","",I107*T107)</x:f>
        <x:v>56667.985872358615</x:v>
      </x:c>
    </x:row>
    <x:row r="108" ht="18" customHeight="1">
      <x:c r="A108" s="24" t="str">
        <x:v>EEZ_380</x:v>
      </x:c>
      <x:c r="B108" s="24" t="str">
        <x:v>Italy (mainland)</x:v>
      </x:c>
      <x:c r="C108" s="24" t="str">
        <x:v>EEZ</x:v>
      </x:c>
      <x:c r="D108" s="30" t="n">
        <x:v>2019</x:v>
      </x:c>
      <x:c r="E108" s="24" t="str">
        <x:v>Uranoscopus scaber</x:v>
      </x:c>
      <x:c r="F108" s="24" t="str">
        <x:v>Stargazer</x:v>
      </x:c>
      <x:c r="G108" s="24" t="str">
        <x:v>Medium demersals (30 - 89 cm)</x:v>
      </x:c>
      <x:c r="H108" s="24" t="str">
        <x:v>Perch-likes</x:v>
      </x:c>
      <x:c r="I108" s="31" t="n">
        <x:v>68.82888017900001</x:v>
      </x:c>
      <x:c r="J108" s="31" t="n">
        <x:v>68.82888017900001</x:v>
      </x:c>
      <x:c r="K108" s="31" t="n">
        <x:v>0</x:v>
      </x:c>
      <x:c r="L108" s="31" t="n">
        <x:v>56.179151018</x:v>
      </x:c>
      <x:c r="M108" s="31" t="n">
        <x:v>12.649729161</x:v>
      </x:c>
      <x:c r="N108" s="24" t="str">
        <x:v>uranoscopus scaber</x:v>
      </x:c>
      <x:c r="O108" s="32" t="n">
        <x:v>4.38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Uranoscopus scaber</x:v>
      </x:c>
      <x:c r="T108" s="32" t="n">
        <x:f>IF(O108="","",(1/'Metadata'!$B$5)^(O108-1))</x:f>
        <x:v>2398.83291901949</x:v>
      </x:c>
      <x:c r="U108" s="31" t="n">
        <x:f>IF(T108="","",I108*T108)</x:f>
        <x:v>165108.98355263332</x:v>
      </x:c>
    </x:row>
    <x:row r="109" ht="18" customHeight="1">
      <x:c r="A109" s="24" t="str">
        <x:v>EEZ_380</x:v>
      </x:c>
      <x:c r="B109" s="24" t="str">
        <x:v>Italy (mainland)</x:v>
      </x:c>
      <x:c r="C109" s="24" t="str">
        <x:v>EEZ</x:v>
      </x:c>
      <x:c r="D109" s="30" t="n">
        <x:v>2019</x:v>
      </x:c>
      <x:c r="E109" s="24" t="str">
        <x:v>Diplodus vulgaris</x:v>
      </x:c>
      <x:c r="F109" s="24" t="str">
        <x:v>Common two-banded seabream</x:v>
      </x:c>
      <x:c r="G109" s="24" t="str">
        <x:v>Medium benthopelagics (30 - 89 cm)</x:v>
      </x:c>
      <x:c r="H109" s="24" t="str">
        <x:v>Perch-likes</x:v>
      </x:c>
      <x:c r="I109" s="31" t="n">
        <x:v>65.025894885</x:v>
      </x:c>
      <x:c r="J109" s="31" t="n">
        <x:v>65.025894885</x:v>
      </x:c>
      <x:c r="K109" s="31" t="n">
        <x:v>0</x:v>
      </x:c>
      <x:c r="L109" s="31" t="n">
        <x:v>51.597579298999996</x:v>
      </x:c>
      <x:c r="M109" s="31" t="n">
        <x:v>13.428315586</x:v>
      </x:c>
      <x:c r="N109" s="24" t="str">
        <x:v>diplodus vulgaris</x:v>
      </x:c>
      <x:c r="O109" s="32" t="n">
        <x:v>3.52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Diplodus vulgaris</x:v>
      </x:c>
      <x:c r="T109" s="32" t="n">
        <x:f>IF(O109="","",(1/'Metadata'!$B$5)^(O109-1))</x:f>
        <x:v>331.1311214825911</x:v>
      </x:c>
      <x:c r="U109" s="31" t="n">
        <x:f>IF(T109="","",I109*T109)</x:f>
        <x:v>21532.097498679133</x:v>
      </x:c>
    </x:row>
    <x:row r="110" ht="18" customHeight="1">
      <x:c r="A110" s="24" t="str">
        <x:v>EEZ_380</x:v>
      </x:c>
      <x:c r="B110" s="24" t="str">
        <x:v>Italy (mainland)</x:v>
      </x:c>
      <x:c r="C110" s="24" t="str">
        <x:v>EEZ</x:v>
      </x:c>
      <x:c r="D110" s="30" t="n">
        <x:v>2019</x:v>
      </x:c>
      <x:c r="E110" s="24" t="str">
        <x:v>Diplodus sargus</x:v>
      </x:c>
      <x:c r="F110" s="24" t="str">
        <x:v>White seabream</x:v>
      </x:c>
      <x:c r="G110" s="24" t="str">
        <x:v>Medium demersals (30 - 89 cm)</x:v>
      </x:c>
      <x:c r="H110" s="24" t="str">
        <x:v>Perch-likes</x:v>
      </x:c>
      <x:c r="I110" s="31" t="n">
        <x:v>64.035669103</x:v>
      </x:c>
      <x:c r="J110" s="31" t="n">
        <x:v>64.035669103</x:v>
      </x:c>
      <x:c r="K110" s="31" t="n">
        <x:v>0</x:v>
      </x:c>
      <x:c r="L110" s="31" t="n">
        <x:v>55.726941146</x:v>
      </x:c>
      <x:c r="M110" s="31" t="n">
        <x:v>8.308727957</x:v>
      </x:c>
      <x:c r="N110" s="24" t="str">
        <x:v>diplodus sargus</x:v>
      </x:c>
      <x:c r="O110" s="32" t="n">
        <x:v>3.38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Diplodus sargus</x:v>
      </x:c>
      <x:c r="T110" s="32" t="n">
        <x:f>IF(O110="","",(1/'Metadata'!$B$5)^(O110-1))</x:f>
        <x:v>239.88329190194898</x:v>
      </x:c>
      <x:c r="U110" s="31" t="n">
        <x:f>IF(T110="","",I110*T110)</x:f>
        <x:v>15361.087103571565</x:v>
      </x:c>
    </x:row>
    <x:row r="111" ht="18" customHeight="1">
      <x:c r="A111" s="24" t="str">
        <x:v>EEZ_380</x:v>
      </x:c>
      <x:c r="B111" s="24" t="str">
        <x:v>Italy (mainland)</x:v>
      </x:c>
      <x:c r="C111" s="24" t="str">
        <x:v>EEZ</x:v>
      </x:c>
      <x:c r="D111" s="30" t="n">
        <x:v>2019</x:v>
      </x:c>
      <x:c r="E111" s="24" t="str">
        <x:v>Paracentrotus lividus</x:v>
      </x:c>
      <x:c r="F111" s="24" t="str">
        <x:v>Stony sea urchin</x:v>
      </x:c>
      <x:c r="G111" s="24" t="str">
        <x:v>Other demersal invertebrates</x:v>
      </x:c>
      <x:c r="H111" s="24" t="str">
        <x:v>Other fishes &amp; inverts</x:v>
      </x:c>
      <x:c r="I111" s="31" t="n">
        <x:v>63.611091239</x:v>
      </x:c>
      <x:c r="J111" s="31" t="n">
        <x:v>63.611091239</x:v>
      </x:c>
      <x:c r="K111" s="31" t="n">
        <x:v>0</x:v>
      </x:c>
      <x:c r="L111" s="31" t="n">
        <x:v>42.736794857</x:v>
      </x:c>
      <x:c r="M111" s="31" t="n">
        <x:v>20.874296381999997</x:v>
      </x:c>
      <x:c r="N111" s="24" t="str">
        <x:v>paracentrotus lividus</x:v>
      </x:c>
      <x:c r="O111" s="32" t="n">
        <x:v>2.3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Paracentrotus lividus</x:v>
      </x:c>
      <x:c r="T111" s="32" t="n">
        <x:f>IF(O111="","",(1/'Metadata'!$B$5)^(O111-1))</x:f>
        <x:v>19.952623149688787</x:v>
      </x:c>
      <x:c r="U111" s="31" t="n">
        <x:f>IF(T111="","",I111*T111)</x:f>
        <x:v>1269.208131632237</x:v>
      </x:c>
    </x:row>
    <x:row r="112" ht="18" customHeight="1">
      <x:c r="A112" s="24" t="str">
        <x:v>EEZ_380</x:v>
      </x:c>
      <x:c r="B112" s="24" t="str">
        <x:v>Italy (mainland)</x:v>
      </x:c>
      <x:c r="C112" s="24" t="str">
        <x:v>EEZ</x:v>
      </x:c>
      <x:c r="D112" s="30" t="n">
        <x:v>2019</x:v>
      </x:c>
      <x:c r="E112" s="24" t="str">
        <x:v>Rostroraja alba</x:v>
      </x:c>
      <x:c r="F112" s="24" t="str">
        <x:v>White skate</x:v>
      </x:c>
      <x:c r="G112" s="24" t="str">
        <x:v>Large rays (&gt;=90 cm)</x:v>
      </x:c>
      <x:c r="H112" s="24" t="str">
        <x:v>Sharks &amp; rays</x:v>
      </x:c>
      <x:c r="I112" s="31" t="n">
        <x:v>62.236248583999995</x:v>
      </x:c>
      <x:c r="J112" s="31" t="n">
        <x:v>62.236248583999995</x:v>
      </x:c>
      <x:c r="K112" s="31" t="n">
        <x:v>0</x:v>
      </x:c>
      <x:c r="L112" s="31" t="n">
        <x:v>50.038987148</x:v>
      </x:c>
      <x:c r="M112" s="31" t="n">
        <x:v>12.197261436</x:v>
      </x:c>
      <x:c r="N112" s="24" t="str">
        <x:v>rostroraja alba</x:v>
      </x:c>
      <x:c r="O112" s="32" t="n">
        <x:v>4.41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Rostroraja alba</x:v>
      </x:c>
      <x:c r="T112" s="32" t="n">
        <x:f>IF(O112="","",(1/'Metadata'!$B$5)^(O112-1))</x:f>
        <x:v>2570.3957827688646</x:v>
      </x:c>
      <x:c r="U112" s="31" t="n">
        <x:f>IF(T112="","",I112*T112)</x:f>
        <x:v>159971.7908956683</x:v>
      </x:c>
    </x:row>
    <x:row r="113" ht="18" customHeight="1">
      <x:c r="A113" s="24" t="str">
        <x:v>EEZ_380</x:v>
      </x:c>
      <x:c r="B113" s="24" t="str">
        <x:v>Italy (mainland)</x:v>
      </x:c>
      <x:c r="C113" s="24" t="str">
        <x:v>EEZ</x:v>
      </x:c>
      <x:c r="D113" s="30" t="n">
        <x:v>2019</x:v>
      </x:c>
      <x:c r="E113" s="24" t="str">
        <x:v>Tetrapturus belone</x:v>
      </x:c>
      <x:c r="F113" s="24" t="str">
        <x:v>Mediterranean spearfish</x:v>
      </x:c>
      <x:c r="G113" s="24" t="str">
        <x:v>Large pelagics (&gt;=90 cm)</x:v>
      </x:c>
      <x:c r="H113" s="24" t="str">
        <x:v>Tuna &amp; billfishes</x:v>
      </x:c>
      <x:c r="I113" s="31" t="n">
        <x:v>58.0606837433</x:v>
      </x:c>
      <x:c r="J113" s="31" t="n">
        <x:v>58.0606837433</x:v>
      </x:c>
      <x:c r="K113" s="31" t="n">
        <x:v>0</x:v>
      </x:c>
      <x:c r="L113" s="31" t="n">
        <x:v>58.0606837433</x:v>
      </x:c>
      <x:c r="M113" s="31" t="n">
        <x:v>0</x:v>
      </x:c>
      <x:c r="N113" s="24" t="str">
        <x:v>tetrapturus belone</x:v>
      </x:c>
      <x:c r="O113" s="32" t="n">
        <x:v>4.5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Tetrapturus belone</x:v>
      </x:c>
      <x:c r="T113" s="32" t="n">
        <x:f>IF(O113="","",(1/'Metadata'!$B$5)^(O113-1))</x:f>
        <x:v>3162.2776601683795</x:v>
      </x:c>
      <x:c r="U113" s="31" t="n">
        <x:f>IF(T113="","",I113*T113)</x:f>
        <x:v>183604.00313553898</x:v>
      </x:c>
    </x:row>
    <x:row r="114" ht="18" customHeight="1">
      <x:c r="A114" s="24" t="str">
        <x:v>EEZ_380</x:v>
      </x:c>
      <x:c r="B114" s="24" t="str">
        <x:v>Italy (mainland)</x:v>
      </x:c>
      <x:c r="C114" s="24" t="str">
        <x:v>EEZ</x:v>
      </x:c>
      <x:c r="D114" s="30" t="n">
        <x:v>2019</x:v>
      </x:c>
      <x:c r="E114" s="24" t="str">
        <x:v>Etmopterus spinax</x:v>
      </x:c>
      <x:c r="F114" s="24" t="str">
        <x:v>Velvet belly</x:v>
      </x:c>
      <x:c r="G114" s="24" t="str">
        <x:v>Small to medium sharks (&lt;90 cm)</x:v>
      </x:c>
      <x:c r="H114" s="24" t="str">
        <x:v>Sharks &amp; rays</x:v>
      </x:c>
      <x:c r="I114" s="31" t="n">
        <x:v>56.24916999</x:v>
      </x:c>
      <x:c r="J114" s="31" t="n">
        <x:v>0</x:v>
      </x:c>
      <x:c r="K114" s="31" t="n">
        <x:v>56.24916999</x:v>
      </x:c>
      <x:c r="L114" s="31" t="n">
        <x:v>56.24916999</x:v>
      </x:c>
      <x:c r="M114" s="31" t="n">
        <x:v>0</x:v>
      </x:c>
      <x:c r="N114" s="24" t="str">
        <x:v>etmopterus spinax</x:v>
      </x:c>
      <x:c r="O114" s="32" t="n">
        <x:v>4.14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Etmopterus spinax</x:v>
      </x:c>
      <x:c r="T114" s="32" t="n">
        <x:f>IF(O114="","",(1/'Metadata'!$B$5)^(O114-1))</x:f>
        <x:v>1380.3842646028838</x:v>
      </x:c>
      <x:c r="U114" s="31" t="n">
        <x:f>IF(T114="","",I114*T114)</x:f>
        <x:v>77645.46915116876</x:v>
      </x:c>
    </x:row>
    <x:row r="115" ht="18" customHeight="1">
      <x:c r="A115" s="24" t="str">
        <x:v>EEZ_380</x:v>
      </x:c>
      <x:c r="B115" s="24" t="str">
        <x:v>Italy (mainland)</x:v>
      </x:c>
      <x:c r="C115" s="24" t="str">
        <x:v>EEZ</x:v>
      </x:c>
      <x:c r="D115" s="30" t="n">
        <x:v>2019</x:v>
      </x:c>
      <x:c r="E115" s="24" t="str">
        <x:v>Diplodus annularis</x:v>
      </x:c>
      <x:c r="F115" s="24" t="str">
        <x:v>Annular seabream</x:v>
      </x:c>
      <x:c r="G115" s="24" t="str">
        <x:v>Small benthopelagics (&lt;30 cm)</x:v>
      </x:c>
      <x:c r="H115" s="24" t="str">
        <x:v>Perch-likes</x:v>
      </x:c>
      <x:c r="I115" s="31" t="n">
        <x:v>53.571915462</x:v>
      </x:c>
      <x:c r="J115" s="31" t="n">
        <x:v>53.571915462</x:v>
      </x:c>
      <x:c r="K115" s="31" t="n">
        <x:v>0</x:v>
      </x:c>
      <x:c r="L115" s="31" t="n">
        <x:v>42.697619856</x:v>
      </x:c>
      <x:c r="M115" s="31" t="n">
        <x:v>10.874295606</x:v>
      </x:c>
      <x:c r="N115" s="24" t="str">
        <x:v>diplodus annularis</x:v>
      </x:c>
      <x:c r="O115" s="32" t="n">
        <x:v>3.64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Diplodus annularis</x:v>
      </x:c>
      <x:c r="T115" s="32" t="n">
        <x:f>IF(O115="","",(1/'Metadata'!$B$5)^(O115-1))</x:f>
        <x:v>436.5158322401661</x:v>
      </x:c>
      <x:c r="U115" s="31" t="n">
        <x:f>IF(T115="","",I115*T115)</x:f>
        <x:v>23384.989262594754</x:v>
      </x:c>
    </x:row>
    <x:row r="116" ht="18" customHeight="1">
      <x:c r="A116" s="24" t="str">
        <x:v>EEZ_380</x:v>
      </x:c>
      <x:c r="B116" s="24" t="str">
        <x:v>Italy (mainland)</x:v>
      </x:c>
      <x:c r="C116" s="24" t="str">
        <x:v>EEZ</x:v>
      </x:c>
      <x:c r="D116" s="30" t="n">
        <x:v>2019</x:v>
      </x:c>
      <x:c r="E116" s="24" t="str">
        <x:v>Auxis rochei</x:v>
      </x:c>
      <x:c r="F116" s="24" t="str">
        <x:v>Bullet tuna</x:v>
      </x:c>
      <x:c r="G116" s="24" t="str">
        <x:v>Medium pelagics (30 - 89 cm)</x:v>
      </x:c>
      <x:c r="H116" s="24" t="str">
        <x:v>Tuna &amp; billfishes</x:v>
      </x:c>
      <x:c r="I116" s="31" t="n">
        <x:v>51.5524317142</x:v>
      </x:c>
      <x:c r="J116" s="31" t="n">
        <x:v>51.5524317142</x:v>
      </x:c>
      <x:c r="K116" s="31" t="n">
        <x:v>0</x:v>
      </x:c>
      <x:c r="L116" s="31" t="n">
        <x:v>51.5524317142</x:v>
      </x:c>
      <x:c r="M116" s="31" t="n">
        <x:v>0</x:v>
      </x:c>
      <x:c r="N116" s="24" t="str">
        <x:v>auxis rochei</x:v>
      </x:c>
      <x:c r="O116" s="32" t="n">
        <x:v>4.13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Auxis rochei</x:v>
      </x:c>
      <x:c r="T116" s="32" t="n">
        <x:f>IF(O116="","",(1/'Metadata'!$B$5)^(O116-1))</x:f>
        <x:v>1348.9628825916532</x:v>
      </x:c>
      <x:c r="U116" s="31" t="n">
        <x:f>IF(T116="","",I116*T116)</x:f>
        <x:v>69542.3168897966</x:v>
      </x:c>
    </x:row>
    <x:row r="117" ht="18" customHeight="1">
      <x:c r="A117" s="24" t="str">
        <x:v>EEZ_380</x:v>
      </x:c>
      <x:c r="B117" s="24" t="str">
        <x:v>Italy (mainland)</x:v>
      </x:c>
      <x:c r="C117" s="24" t="str">
        <x:v>EEZ</x:v>
      </x:c>
      <x:c r="D117" s="30" t="n">
        <x:v>2019</x:v>
      </x:c>
      <x:c r="E117" s="24" t="str">
        <x:v>Sphyraena</x:v>
      </x:c>
      <x:c r="F117" s="24" t="str">
        <x:v>Barracudas, sennets</x:v>
      </x:c>
      <x:c r="G117" s="24" t="str">
        <x:v>Large pelagics (&gt;=90 cm)</x:v>
      </x:c>
      <x:c r="H117" s="24" t="str">
        <x:v>Perch-likes</x:v>
      </x:c>
      <x:c r="I117" s="31" t="n">
        <x:v>50.461205338</x:v>
      </x:c>
      <x:c r="J117" s="31" t="n">
        <x:v>50.461205338</x:v>
      </x:c>
      <x:c r="K117" s="31" t="n">
        <x:v>0</x:v>
      </x:c>
      <x:c r="L117" s="31" t="n">
        <x:v>50.240589946</x:v>
      </x:c>
      <x:c r="M117" s="31" t="n">
        <x:v>0.22061539200000002</x:v>
      </x:c>
      <x:c r="N117" s="24" t="str">
        <x:v>sphyraena</x:v>
      </x:c>
      <x:c r="O117" s="32" t="n">
        <x:v>4.4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Sphyraena</x:v>
      </x:c>
      <x:c r="T117" s="32" t="n">
        <x:f>IF(O117="","",(1/'Metadata'!$B$5)^(O117-1))</x:f>
        <x:v>2511.886431509582</x:v>
      </x:c>
      <x:c r="U117" s="31" t="n">
        <x:f>IF(T117="","",I117*T117)</x:f>
        <x:v>126752.8170061411</x:v>
      </x:c>
    </x:row>
    <x:row r="118" ht="18" customHeight="1">
      <x:c r="A118" s="24" t="str">
        <x:v>EEZ_380</x:v>
      </x:c>
      <x:c r="B118" s="24" t="str">
        <x:v>Italy (mainland)</x:v>
      </x:c>
      <x:c r="C118" s="24" t="str">
        <x:v>EEZ</x:v>
      </x:c>
      <x:c r="D118" s="30" t="n">
        <x:v>2019</x:v>
      </x:c>
      <x:c r="E118" s="24" t="str">
        <x:v>Pagellus bogaraveo</x:v>
      </x:c>
      <x:c r="F118" s="24" t="str">
        <x:v>Blackspot seabream</x:v>
      </x:c>
      <x:c r="G118" s="24" t="str">
        <x:v>Medium benthopelagics (30 - 89 cm)</x:v>
      </x:c>
      <x:c r="H118" s="24" t="str">
        <x:v>Perch-likes</x:v>
      </x:c>
      <x:c r="I118" s="31" t="n">
        <x:v>50.235058907</x:v>
      </x:c>
      <x:c r="J118" s="31" t="n">
        <x:v>50.235058907</x:v>
      </x:c>
      <x:c r="K118" s="31" t="n">
        <x:v>0</x:v>
      </x:c>
      <x:c r="L118" s="31" t="n">
        <x:v>45.050695698999995</x:v>
      </x:c>
      <x:c r="M118" s="31" t="n">
        <x:v>5.184363208</x:v>
      </x:c>
      <x:c r="N118" s="24" t="str">
        <x:v>pagellus bogaraveo</x:v>
      </x:c>
      <x:c r="O118" s="32" t="n">
        <x:v>4.21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Pagellus bogaraveo</x:v>
      </x:c>
      <x:c r="T118" s="32" t="n">
        <x:f>IF(O118="","",(1/'Metadata'!$B$5)^(O118-1))</x:f>
        <x:v>1621.8100973589299</x:v>
      </x:c>
      <x:c r="U118" s="31" t="n">
        <x:f>IF(T118="","",I118*T118)</x:f>
        <x:v>81471.72577679325</x:v>
      </x:c>
    </x:row>
    <x:row r="119" ht="18" customHeight="1">
      <x:c r="A119" s="24" t="str">
        <x:v>EEZ_380</x:v>
      </x:c>
      <x:c r="B119" s="24" t="str">
        <x:v>Italy (mainland)</x:v>
      </x:c>
      <x:c r="C119" s="24" t="str">
        <x:v>EEZ</x:v>
      </x:c>
      <x:c r="D119" s="30" t="n">
        <x:v>2019</x:v>
      </x:c>
      <x:c r="E119" s="24" t="str">
        <x:v>Scorpaena notata</x:v>
      </x:c>
      <x:c r="F119" s="24" t="str">
        <x:v>Small red scorpionfish</x:v>
      </x:c>
      <x:c r="G119" s="24" t="str">
        <x:v>Large reef assoc. fish (&gt;=90 cm)</x:v>
      </x:c>
      <x:c r="H119" s="24" t="str">
        <x:v>Scorpionfishes</x:v>
      </x:c>
      <x:c r="I119" s="31" t="n">
        <x:v>47.254552690000004</x:v>
      </x:c>
      <x:c r="J119" s="31" t="n">
        <x:v>47.254552690000004</x:v>
      </x:c>
      <x:c r="K119" s="31" t="n">
        <x:v>0</x:v>
      </x:c>
      <x:c r="L119" s="31" t="n">
        <x:v>42.557662541</x:v>
      </x:c>
      <x:c r="M119" s="31" t="n">
        <x:v>4.696890149</x:v>
      </x:c>
      <x:c r="N119" s="24" t="str">
        <x:v>scorpaena notata</x:v>
      </x:c>
      <x:c r="O119" s="32" t="n">
        <x:v>3.7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Scorpaena notata</x:v>
      </x:c>
      <x:c r="T119" s="32" t="n">
        <x:f>IF(O119="","",(1/'Metadata'!$B$5)^(O119-1))</x:f>
        <x:v>501.18723362727246</x:v>
      </x:c>
      <x:c r="U119" s="31" t="n">
        <x:f>IF(T119="","",I119*T119)</x:f>
        <x:v>23683.37853899529</x:v>
      </x:c>
    </x:row>
    <x:row r="120" ht="18" customHeight="1">
      <x:c r="A120" s="24" t="str">
        <x:v>EEZ_380</x:v>
      </x:c>
      <x:c r="B120" s="24" t="str">
        <x:v>Italy (mainland)</x:v>
      </x:c>
      <x:c r="C120" s="24" t="str">
        <x:v>EEZ</x:v>
      </x:c>
      <x:c r="D120" s="30" t="n">
        <x:v>2019</x:v>
      </x:c>
      <x:c r="E120" s="24" t="str">
        <x:v>Pomatomus saltatrix</x:v>
      </x:c>
      <x:c r="F120" s="24" t="str">
        <x:v>Bluefish</x:v>
      </x:c>
      <x:c r="G120" s="24" t="str">
        <x:v>Large pelagics (&gt;=90 cm)</x:v>
      </x:c>
      <x:c r="H120" s="24" t="str">
        <x:v>Perch-likes</x:v>
      </x:c>
      <x:c r="I120" s="31" t="n">
        <x:v>44.487057403</x:v>
      </x:c>
      <x:c r="J120" s="31" t="n">
        <x:v>44.487057403</x:v>
      </x:c>
      <x:c r="K120" s="31" t="n">
        <x:v>0</x:v>
      </x:c>
      <x:c r="L120" s="31" t="n">
        <x:v>36.607326557</x:v>
      </x:c>
      <x:c r="M120" s="31" t="n">
        <x:v>7.879730846</x:v>
      </x:c>
      <x:c r="N120" s="24" t="str">
        <x:v>pomatomus saltatrix</x:v>
      </x:c>
      <x:c r="O120" s="32" t="n">
        <x:v>4.53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Pomatomus saltatrix</x:v>
      </x:c>
      <x:c r="T120" s="32" t="n">
        <x:f>IF(O120="","",(1/'Metadata'!$B$5)^(O120-1))</x:f>
        <x:v>3388.4415613920273</x:v>
      </x:c>
      <x:c r="U120" s="31" t="n">
        <x:f>IF(T120="","",I120*T120)</x:f>
        <x:v>150741.79424835808</x:v>
      </x:c>
    </x:row>
    <x:row r="121" ht="18" customHeight="1">
      <x:c r="A121" s="24" t="str">
        <x:v>EEZ_380</x:v>
      </x:c>
      <x:c r="B121" s="24" t="str">
        <x:v>Italy (mainland)</x:v>
      </x:c>
      <x:c r="C121" s="24" t="str">
        <x:v>EEZ</x:v>
      </x:c>
      <x:c r="D121" s="30" t="n">
        <x:v>2019</x:v>
      </x:c>
      <x:c r="E121" s="24" t="str">
        <x:v>Squalidae</x:v>
      </x:c>
      <x:c r="F121" s="24" t="str">
        <x:v>Dogfish sharks</x:v>
      </x:c>
      <x:c r="G121" s="24" t="str">
        <x:v>Large sharks (&gt;=90 cm)</x:v>
      </x:c>
      <x:c r="H121" s="24" t="str">
        <x:v>Sharks &amp; rays</x:v>
      </x:c>
      <x:c r="I121" s="31" t="n">
        <x:v>42.491771768</x:v>
      </x:c>
      <x:c r="J121" s="31" t="n">
        <x:v>42.491771768</x:v>
      </x:c>
      <x:c r="K121" s="31" t="n">
        <x:v>0</x:v>
      </x:c>
      <x:c r="L121" s="31" t="n">
        <x:v>33.204814299999995</x:v>
      </x:c>
      <x:c r="M121" s="31" t="n">
        <x:v>9.286957467999999</x:v>
      </x:c>
      <x:c r="N121" s="24" t="str">
        <x:v>squalidae</x:v>
      </x:c>
      <x:c r="O121" s="32" t="n">
        <x:v>4.23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Squalidae</x:v>
      </x:c>
      <x:c r="T121" s="32" t="n">
        <x:f>IF(O121="","",(1/'Metadata'!$B$5)^(O121-1))</x:f>
        <x:v>1698.243652461746</x:v>
      </x:c>
      <x:c r="U121" s="31" t="n">
        <x:f>IF(T121="","",I121*T121)</x:f>
        <x:v>72161.38168685923</x:v>
      </x:c>
    </x:row>
    <x:row r="122" ht="18" customHeight="1">
      <x:c r="A122" s="24" t="str">
        <x:v>EEZ_380</x:v>
      </x:c>
      <x:c r="B122" s="24" t="str">
        <x:v>Italy (mainland)</x:v>
      </x:c>
      <x:c r="C122" s="24" t="str">
        <x:v>EEZ</x:v>
      </x:c>
      <x:c r="D122" s="30" t="n">
        <x:v>2019</x:v>
      </x:c>
      <x:c r="E122" s="24" t="str">
        <x:v>Scorpaena</x:v>
      </x:c>
      <x:c r="F122" s="24" t="str">
        <x:v>Scorpionfishes</x:v>
      </x:c>
      <x:c r="G122" s="24" t="str">
        <x:v>Large reef assoc. fish (&gt;=90 cm)</x:v>
      </x:c>
      <x:c r="H122" s="24" t="str">
        <x:v>Scorpionfishes</x:v>
      </x:c>
      <x:c r="I122" s="31" t="n">
        <x:v>42.062392994</x:v>
      </x:c>
      <x:c r="J122" s="31" t="n">
        <x:v>42.062392994</x:v>
      </x:c>
      <x:c r="K122" s="31" t="n">
        <x:v>0</x:v>
      </x:c>
      <x:c r="L122" s="31" t="n">
        <x:v>35.245882474</x:v>
      </x:c>
      <x:c r="M122" s="31" t="n">
        <x:v>6.81651052</x:v>
      </x:c>
      <x:c r="N122" s="24" t="str">
        <x:v>scorpaena</x:v>
      </x:c>
      <x:c r="O122" s="32" t="n">
        <x:v>3.87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Scorpaena</x:v>
      </x:c>
      <x:c r="T122" s="32" t="n">
        <x:f>IF(O122="","",(1/'Metadata'!$B$5)^(O122-1))</x:f>
        <x:v>741.3102413009177</x:v>
      </x:c>
      <x:c r="U122" s="31" t="n">
        <x:f>IF(T122="","",I122*T122)</x:f>
        <x:v>31181.28270007617</x:v>
      </x:c>
    </x:row>
    <x:row r="123" ht="18" customHeight="1">
      <x:c r="A123" s="24" t="str">
        <x:v>EEZ_380</x:v>
      </x:c>
      <x:c r="B123" s="24" t="str">
        <x:v>Italy (mainland)</x:v>
      </x:c>
      <x:c r="C123" s="24" t="str">
        <x:v>EEZ</x:v>
      </x:c>
      <x:c r="D123" s="30" t="n">
        <x:v>2019</x:v>
      </x:c>
      <x:c r="E123" s="24" t="str">
        <x:v>Rajiformes</x:v>
      </x:c>
      <x:c r="F123" s="24" t="str">
        <x:v>Skates and rays</x:v>
      </x:c>
      <x:c r="G123" s="24" t="str">
        <x:v>Large rays (&gt;=90 cm)</x:v>
      </x:c>
      <x:c r="H123" s="24" t="str">
        <x:v>Sharks &amp; rays</x:v>
      </x:c>
      <x:c r="I123" s="31" t="n">
        <x:v>41.817087035</x:v>
      </x:c>
      <x:c r="J123" s="31" t="n">
        <x:v>41.817087035</x:v>
      </x:c>
      <x:c r="K123" s="31" t="n">
        <x:v>0</x:v>
      </x:c>
      <x:c r="L123" s="31" t="n">
        <x:v>33.621638988</x:v>
      </x:c>
      <x:c r="M123" s="31" t="n">
        <x:v>8.195448047</x:v>
      </x:c>
      <x:c r="N123" s="24" t="str">
        <x:v>rajiformes</x:v>
      </x:c>
      <x:c r="O123" s="32" t="n">
        <x:v>3.61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Rajiformes</x:v>
      </x:c>
      <x:c r="T123" s="32" t="n">
        <x:f>IF(O123="","",(1/'Metadata'!$B$5)^(O123-1))</x:f>
        <x:v>407.3802778041126</x:v>
      </x:c>
      <x:c r="U123" s="31" t="n">
        <x:f>IF(T123="","",I123*T123)</x:f>
        <x:v>17035.456533277054</x:v>
      </x:c>
    </x:row>
    <x:row r="124" ht="18" customHeight="1">
      <x:c r="A124" s="24" t="str">
        <x:v>EEZ_380</x:v>
      </x:c>
      <x:c r="B124" s="24" t="str">
        <x:v>Italy (mainland)</x:v>
      </x:c>
      <x:c r="C124" s="24" t="str">
        <x:v>EEZ</x:v>
      </x:c>
      <x:c r="D124" s="30" t="n">
        <x:v>2019</x:v>
      </x:c>
      <x:c r="E124" s="24" t="str">
        <x:v>Aristeus antennatus</x:v>
      </x:c>
      <x:c r="F124" s="24" t="str">
        <x:v>Blue and red shrimp</x:v>
      </x:c>
      <x:c r="G124" s="24" t="str">
        <x:v>Shrimps</x:v>
      </x:c>
      <x:c r="H124" s="24" t="str">
        <x:v>Crustaceans</x:v>
      </x:c>
      <x:c r="I124" s="31" t="n">
        <x:v>40.7152380761</x:v>
      </x:c>
      <x:c r="J124" s="31" t="n">
        <x:v>40.3052586191</x:v>
      </x:c>
      <x:c r="K124" s="31" t="n">
        <x:v>0.409979457</x:v>
      </x:c>
      <x:c r="L124" s="31" t="n">
        <x:v>31.545129002099998</x:v>
      </x:c>
      <x:c r="M124" s="31" t="n">
        <x:v>9.170109074</x:v>
      </x:c>
      <x:c r="N124" s="24" t="str">
        <x:v>aristeus antennatus</x:v>
      </x:c>
      <x:c r="O124" s="32" t="n">
        <x:v>3.3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Aristeus antennatus</x:v>
      </x:c>
      <x:c r="T124" s="32" t="n">
        <x:f>IF(O124="","",(1/'Metadata'!$B$5)^(O124-1))</x:f>
        <x:v>199.52623149688787</x:v>
      </x:c>
      <x:c r="U124" s="31" t="n">
        <x:f>IF(T124="","",I124*T124)</x:f>
        <x:v>8123.758017822833</x:v>
      </x:c>
    </x:row>
    <x:row r="125" ht="18" customHeight="1">
      <x:c r="A125" s="24" t="str">
        <x:v>EEZ_380</x:v>
      </x:c>
      <x:c r="B125" s="24" t="str">
        <x:v>Italy (mainland)</x:v>
      </x:c>
      <x:c r="C125" s="24" t="str">
        <x:v>EEZ</x:v>
      </x:c>
      <x:c r="D125" s="30" t="n">
        <x:v>2019</x:v>
      </x:c>
      <x:c r="E125" s="24" t="str">
        <x:v>Umbrina cirrosa</x:v>
      </x:c>
      <x:c r="F125" s="24" t="str">
        <x:v>Shi drum</x:v>
      </x:c>
      <x:c r="G125" s="24" t="str">
        <x:v>Medium demersals (30 - 89 cm)</x:v>
      </x:c>
      <x:c r="H125" s="24" t="str">
        <x:v>Perch-likes</x:v>
      </x:c>
      <x:c r="I125" s="31" t="n">
        <x:v>39.985423033</x:v>
      </x:c>
      <x:c r="J125" s="31" t="n">
        <x:v>39.985423033</x:v>
      </x:c>
      <x:c r="K125" s="31" t="n">
        <x:v>0</x:v>
      </x:c>
      <x:c r="L125" s="31" t="n">
        <x:v>33.013837293</x:v>
      </x:c>
      <x:c r="M125" s="31" t="n">
        <x:v>6.97158574</x:v>
      </x:c>
      <x:c r="N125" s="24" t="str">
        <x:v>umbrina cirrosa</x:v>
      </x:c>
      <x:c r="O125" s="32" t="n">
        <x:v>3.46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Umbrina cirrosa</x:v>
      </x:c>
      <x:c r="T125" s="32" t="n">
        <x:f>IF(O125="","",(1/'Metadata'!$B$5)^(O125-1))</x:f>
        <x:v>288.40315031266056</x:v>
      </x:c>
      <x:c r="U125" s="31" t="n">
        <x:f>IF(T125="","",I125*T125)</x:f>
        <x:v>11531.921969301618</x:v>
      </x:c>
    </x:row>
    <x:row r="126" ht="18" customHeight="1">
      <x:c r="A126" s="24" t="str">
        <x:v>EEZ_380</x:v>
      </x:c>
      <x:c r="B126" s="24" t="str">
        <x:v>Italy (mainland)</x:v>
      </x:c>
      <x:c r="C126" s="24" t="str">
        <x:v>EEZ</x:v>
      </x:c>
      <x:c r="D126" s="30" t="n">
        <x:v>2019</x:v>
      </x:c>
      <x:c r="E126" s="24" t="str">
        <x:v>Naucrates ductor</x:v>
      </x:c>
      <x:c r="F126" s="24" t="str">
        <x:v>Pilotfish</x:v>
      </x:c>
      <x:c r="G126" s="24" t="str">
        <x:v>Medium pelagics (30 - 89 cm)</x:v>
      </x:c>
      <x:c r="H126" s="24" t="str">
        <x:v>Perch-likes</x:v>
      </x:c>
      <x:c r="I126" s="31" t="n">
        <x:v>39.091233456</x:v>
      </x:c>
      <x:c r="J126" s="31" t="n">
        <x:v>39.091233456</x:v>
      </x:c>
      <x:c r="K126" s="31" t="n">
        <x:v>0</x:v>
      </x:c>
      <x:c r="L126" s="31" t="n">
        <x:v>23.679887953999998</x:v>
      </x:c>
      <x:c r="M126" s="31" t="n">
        <x:v>15.411345502</x:v>
      </x:c>
      <x:c r="N126" s="24" t="str">
        <x:v>naucrates ductor</x:v>
      </x:c>
      <x:c r="O126" s="32" t="n">
        <x:v>3.98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Naucrates ductor</x:v>
      </x:c>
      <x:c r="T126" s="32" t="n">
        <x:f>IF(O126="","",(1/'Metadata'!$B$5)^(O126-1))</x:f>
        <x:v>954.992586021436</x:v>
      </x:c>
      <x:c r="U126" s="31" t="n">
        <x:f>IF(T126="","",I126*T126)</x:f>
        <x:v>37331.838128913114</x:v>
      </x:c>
    </x:row>
    <x:row r="127" ht="18" customHeight="1">
      <x:c r="A127" s="24" t="str">
        <x:v>EEZ_380</x:v>
      </x:c>
      <x:c r="B127" s="24" t="str">
        <x:v>Italy (mainland)</x:v>
      </x:c>
      <x:c r="C127" s="24" t="str">
        <x:v>EEZ</x:v>
      </x:c>
      <x:c r="D127" s="30" t="n">
        <x:v>2019</x:v>
      </x:c>
      <x:c r="E127" s="24" t="str">
        <x:v>Sprattus sprattus</x:v>
      </x:c>
      <x:c r="F127" s="24" t="str">
        <x:v>European sprat</x:v>
      </x:c>
      <x:c r="G127" s="24" t="str">
        <x:v>Small pelagics (&lt;30 cm)</x:v>
      </x:c>
      <x:c r="H127" s="24" t="str">
        <x:v>Herring-likes</x:v>
      </x:c>
      <x:c r="I127" s="31" t="n">
        <x:v>37.7345508791</x:v>
      </x:c>
      <x:c r="J127" s="31" t="n">
        <x:v>37.7345508791</x:v>
      </x:c>
      <x:c r="K127" s="31" t="n">
        <x:v>0</x:v>
      </x:c>
      <x:c r="L127" s="31" t="n">
        <x:v>31.300185196</x:v>
      </x:c>
      <x:c r="M127" s="31" t="n">
        <x:v>6.4343656831</x:v>
      </x:c>
      <x:c r="N127" s="24" t="str">
        <x:v>sprattus sprattus</x:v>
      </x:c>
      <x:c r="O127" s="32" t="n">
        <x:v>3.01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Sprattus sprattus</x:v>
      </x:c>
      <x:c r="T127" s="32" t="n">
        <x:f>IF(O127="","",(1/'Metadata'!$B$5)^(O127-1))</x:f>
        <x:v>102.32929922807536</x:v>
      </x:c>
      <x:c r="U127" s="31" t="n">
        <x:f>IF(T127="","",I127*T127)</x:f>
        <x:v>3861.3501481444578</x:v>
      </x:c>
    </x:row>
    <x:row r="128" ht="18" customHeight="1">
      <x:c r="A128" s="24" t="str">
        <x:v>EEZ_380</x:v>
      </x:c>
      <x:c r="B128" s="24" t="str">
        <x:v>Italy (mainland)</x:v>
      </x:c>
      <x:c r="C128" s="24" t="str">
        <x:v>EEZ</x:v>
      </x:c>
      <x:c r="D128" s="30" t="n">
        <x:v>2019</x:v>
      </x:c>
      <x:c r="E128" s="24" t="str">
        <x:v>Crangon crangon</x:v>
      </x:c>
      <x:c r="F128" s="24" t="str">
        <x:v>Common shrimp</x:v>
      </x:c>
      <x:c r="G128" s="24" t="str">
        <x:v>Shrimps</x:v>
      </x:c>
      <x:c r="H128" s="24" t="str">
        <x:v>Crustaceans</x:v>
      </x:c>
      <x:c r="I128" s="31" t="n">
        <x:v>37.666108432</x:v>
      </x:c>
      <x:c r="J128" s="31" t="n">
        <x:v>37.666108432</x:v>
      </x:c>
      <x:c r="K128" s="31" t="n">
        <x:v>0</x:v>
      </x:c>
      <x:c r="L128" s="31" t="n">
        <x:v>37.66423391</x:v>
      </x:c>
      <x:c r="M128" s="31" t="n">
        <x:v>0.001874522</x:v>
      </x:c>
      <x:c r="N128" s="24" t="str">
        <x:v>crangon crangon</x:v>
      </x:c>
      <x:c r="O128" s="32" t="n">
        <x:v>3.19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Crangon crangon</x:v>
      </x:c>
      <x:c r="T128" s="32" t="n">
        <x:f>IF(O128="","",(1/'Metadata'!$B$5)^(O128-1))</x:f>
        <x:v>154.88166189124811</x:v>
      </x:c>
      <x:c r="U128" s="31" t="n">
        <x:f>IF(T128="","",I128*T128)</x:f>
        <x:v>5833.789470924114</x:v>
      </x:c>
    </x:row>
    <x:row r="129" ht="18" customHeight="1">
      <x:c r="A129" s="24" t="str">
        <x:v>EEZ_380</x:v>
      </x:c>
      <x:c r="B129" s="24" t="str">
        <x:v>Italy (mainland)</x:v>
      </x:c>
      <x:c r="C129" s="24" t="str">
        <x:v>EEZ</x:v>
      </x:c>
      <x:c r="D129" s="30" t="n">
        <x:v>2019</x:v>
      </x:c>
      <x:c r="E129" s="24" t="str">
        <x:v>Brama brama</x:v>
      </x:c>
      <x:c r="F129" s="24" t="str">
        <x:v>Atlantic pomfret</x:v>
      </x:c>
      <x:c r="G129" s="24" t="str">
        <x:v>Medium bathypelagics (30 - 89 cm)</x:v>
      </x:c>
      <x:c r="H129" s="24" t="str">
        <x:v>Perch-likes</x:v>
      </x:c>
      <x:c r="I129" s="31" t="n">
        <x:v>37.2599518834</x:v>
      </x:c>
      <x:c r="J129" s="31" t="n">
        <x:v>37.2599518834</x:v>
      </x:c>
      <x:c r="K129" s="31" t="n">
        <x:v>0</x:v>
      </x:c>
      <x:c r="L129" s="31" t="n">
        <x:v>33.459032836400006</x:v>
      </x:c>
      <x:c r="M129" s="31" t="n">
        <x:v>3.8009190470000003</x:v>
      </x:c>
      <x:c r="N129" s="24" t="str">
        <x:v>brama brama</x:v>
      </x:c>
      <x:c r="O129" s="32" t="n">
        <x:v>4.08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Brama brama</x:v>
      </x:c>
      <x:c r="T129" s="32" t="n">
        <x:f>IF(O129="","",(1/'Metadata'!$B$5)^(O129-1))</x:f>
        <x:v>1202.2644346174131</x:v>
      </x:c>
      <x:c r="U129" s="31" t="n">
        <x:f>IF(T129="","",I129*T129)</x:f>
        <x:v>44796.31498496792</x:v>
      </x:c>
    </x:row>
    <x:row r="130" ht="18" customHeight="1">
      <x:c r="A130" s="24" t="str">
        <x:v>EEZ_380</x:v>
      </x:c>
      <x:c r="B130" s="24" t="str">
        <x:v>Italy (mainland)</x:v>
      </x:c>
      <x:c r="C130" s="24" t="str">
        <x:v>EEZ</x:v>
      </x:c>
      <x:c r="D130" s="30" t="n">
        <x:v>2019</x:v>
      </x:c>
      <x:c r="E130" s="24" t="str">
        <x:v>Muraena helena</x:v>
      </x:c>
      <x:c r="F130" s="24" t="str">
        <x:v>Mediterranean moray</x:v>
      </x:c>
      <x:c r="G130" s="24" t="str">
        <x:v>Large reef assoc. fish (&gt;=90 cm)</x:v>
      </x:c>
      <x:c r="H130" s="24" t="str">
        <x:v>Other fishes &amp; inverts</x:v>
      </x:c>
      <x:c r="I130" s="31" t="n">
        <x:v>32.037582175</x:v>
      </x:c>
      <x:c r="J130" s="31" t="n">
        <x:v>32.037582175</x:v>
      </x:c>
      <x:c r="K130" s="31" t="n">
        <x:v>0</x:v>
      </x:c>
      <x:c r="L130" s="31" t="n">
        <x:v>27.694714489</x:v>
      </x:c>
      <x:c r="M130" s="31" t="n">
        <x:v>4.342867686</x:v>
      </x:c>
      <x:c r="N130" s="24" t="str">
        <x:v>muraena helena</x:v>
      </x:c>
      <x:c r="O130" s="32" t="n">
        <x:v>4.18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Muraena helena</x:v>
      </x:c>
      <x:c r="T130" s="32" t="n">
        <x:f>IF(O130="","",(1/'Metadata'!$B$5)^(O130-1))</x:f>
        <x:v>1513.5612484362073</x:v>
      </x:c>
      <x:c r="U130" s="31" t="n">
        <x:f>IF(T130="","",I130*T130)</x:f>
        <x:v>48490.842873670576</x:v>
      </x:c>
    </x:row>
    <x:row r="131" ht="18" customHeight="1">
      <x:c r="A131" s="24" t="str">
        <x:v>EEZ_380</x:v>
      </x:c>
      <x:c r="B131" s="24" t="str">
        <x:v>Italy (mainland)</x:v>
      </x:c>
      <x:c r="C131" s="24" t="str">
        <x:v>EEZ</x:v>
      </x:c>
      <x:c r="D131" s="30" t="n">
        <x:v>2019</x:v>
      </x:c>
      <x:c r="E131" s="24" t="str">
        <x:v>Aphia minuta</x:v>
      </x:c>
      <x:c r="F131" s="24" t="str">
        <x:v>Transparent goby</x:v>
      </x:c>
      <x:c r="G131" s="24" t="str">
        <x:v>Small demersals (&lt;30 cm)</x:v>
      </x:c>
      <x:c r="H131" s="24" t="str">
        <x:v>Perch-likes</x:v>
      </x:c>
      <x:c r="I131" s="31" t="n">
        <x:v>30.072243111</x:v>
      </x:c>
      <x:c r="J131" s="31" t="n">
        <x:v>30.072243111</x:v>
      </x:c>
      <x:c r="K131" s="31" t="n">
        <x:v>0</x:v>
      </x:c>
      <x:c r="L131" s="31" t="n">
        <x:v>22.331416530000002</x:v>
      </x:c>
      <x:c r="M131" s="31" t="n">
        <x:v>7.740826580999999</x:v>
      </x:c>
      <x:c r="N131" s="24" t="str">
        <x:v>aphia minuta</x:v>
      </x:c>
      <x:c r="O131" s="32" t="n">
        <x:v>3.1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Aphia minuta</x:v>
      </x:c>
      <x:c r="T131" s="32" t="n">
        <x:f>IF(O131="","",(1/'Metadata'!$B$5)^(O131-1))</x:f>
        <x:v>125.89254117941675</x:v>
      </x:c>
      <x:c r="U131" s="31" t="n">
        <x:f>IF(T131="","",I131*T131)</x:f>
        <x:v>3785.871104208999</x:v>
      </x:c>
    </x:row>
    <x:row r="132" ht="18" customHeight="1">
      <x:c r="A132" s="24" t="str">
        <x:v>EEZ_380</x:v>
      </x:c>
      <x:c r="B132" s="24" t="str">
        <x:v>Italy (mainland)</x:v>
      </x:c>
      <x:c r="C132" s="24" t="str">
        <x:v>EEZ</x:v>
      </x:c>
      <x:c r="D132" s="30" t="n">
        <x:v>2019</x:v>
      </x:c>
      <x:c r="E132" s="24" t="str">
        <x:v>Scophthalmus rhombus</x:v>
      </x:c>
      <x:c r="F132" s="24" t="str">
        <x:v>Brill</x:v>
      </x:c>
      <x:c r="G132" s="24" t="str">
        <x:v>Small to medium flatfishes (&lt;90 cm)</x:v>
      </x:c>
      <x:c r="H132" s="24" t="str">
        <x:v>Flatfishes</x:v>
      </x:c>
      <x:c r="I132" s="31" t="n">
        <x:v>29.35057432</x:v>
      </x:c>
      <x:c r="J132" s="31" t="n">
        <x:v>29.35057432</x:v>
      </x:c>
      <x:c r="K132" s="31" t="n">
        <x:v>0</x:v>
      </x:c>
      <x:c r="L132" s="31" t="n">
        <x:v>23.401027817</x:v>
      </x:c>
      <x:c r="M132" s="31" t="n">
        <x:v>5.949546503</x:v>
      </x:c>
      <x:c r="N132" s="24" t="str">
        <x:v>scophthalmus rhombus</x:v>
      </x:c>
      <x:c r="O132" s="32" t="n">
        <x:v>4.42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Scophthalmus rhombus</x:v>
      </x:c>
      <x:c r="T132" s="32" t="n">
        <x:f>IF(O132="","",(1/'Metadata'!$B$5)^(O132-1))</x:f>
        <x:v>2630.2679918953813</x:v>
      </x:c>
      <x:c r="U132" s="31" t="n">
        <x:f>IF(T132="","",I132*T132)</x:f>
        <x:v>77199.87617764255</x:v>
      </x:c>
    </x:row>
    <x:row r="133" ht="18" customHeight="1">
      <x:c r="A133" s="24" t="str">
        <x:v>EEZ_380</x:v>
      </x:c>
      <x:c r="B133" s="24" t="str">
        <x:v>Italy (mainland)</x:v>
      </x:c>
      <x:c r="C133" s="24" t="str">
        <x:v>EEZ</x:v>
      </x:c>
      <x:c r="D133" s="30" t="n">
        <x:v>2019</x:v>
      </x:c>
      <x:c r="E133" s="24" t="str">
        <x:v>Zeus faber</x:v>
      </x:c>
      <x:c r="F133" s="24" t="str">
        <x:v>John dory</x:v>
      </x:c>
      <x:c r="G133" s="24" t="str">
        <x:v>Medium benthopelagics (30 - 89 cm)</x:v>
      </x:c>
      <x:c r="H133" s="24" t="str">
        <x:v>Other fishes &amp; inverts</x:v>
      </x:c>
      <x:c r="I133" s="31" t="n">
        <x:v>28.485193788</x:v>
      </x:c>
      <x:c r="J133" s="31" t="n">
        <x:v>28.485193788</x:v>
      </x:c>
      <x:c r="K133" s="31" t="n">
        <x:v>0</x:v>
      </x:c>
      <x:c r="L133" s="31" t="n">
        <x:v>13.177377828000001</x:v>
      </x:c>
      <x:c r="M133" s="31" t="n">
        <x:v>15.307815960000001</x:v>
      </x:c>
      <x:c r="N133" s="24" t="str">
        <x:v>zeus faber</x:v>
      </x:c>
      <x:c r="O133" s="32" t="n">
        <x:v>4.5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Zeus faber</x:v>
      </x:c>
      <x:c r="T133" s="32" t="n">
        <x:f>IF(O133="","",(1/'Metadata'!$B$5)^(O133-1))</x:f>
        <x:v>3162.2776601683795</x:v>
      </x:c>
      <x:c r="U133" s="31" t="n">
        <x:f>IF(T133="","",I133*T133)</x:f>
        <x:v>90078.0919613595</x:v>
      </x:c>
    </x:row>
    <x:row r="134" ht="18" customHeight="1">
      <x:c r="A134" s="24" t="str">
        <x:v>EEZ_380</x:v>
      </x:c>
      <x:c r="B134" s="24" t="str">
        <x:v>Italy (mainland)</x:v>
      </x:c>
      <x:c r="C134" s="24" t="str">
        <x:v>EEZ</x:v>
      </x:c>
      <x:c r="D134" s="30" t="n">
        <x:v>2019</x:v>
      </x:c>
      <x:c r="E134" s="24" t="str">
        <x:v>Epinephelus marginatus</x:v>
      </x:c>
      <x:c r="F134" s="24" t="str">
        <x:v>Dusky grouper</x:v>
      </x:c>
      <x:c r="G134" s="24" t="str">
        <x:v>Large reef assoc. fish (&gt;=90 cm)</x:v>
      </x:c>
      <x:c r="H134" s="24" t="str">
        <x:v>Perch-likes</x:v>
      </x:c>
      <x:c r="I134" s="31" t="n">
        <x:v>27.130080885</x:v>
      </x:c>
      <x:c r="J134" s="31" t="n">
        <x:v>27.130080885</x:v>
      </x:c>
      <x:c r="K134" s="31" t="n">
        <x:v>0</x:v>
      </x:c>
      <x:c r="L134" s="31" t="n">
        <x:v>22.544288332</x:v>
      </x:c>
      <x:c r="M134" s="31" t="n">
        <x:v>4.585792553</x:v>
      </x:c>
      <x:c r="N134" s="24" t="str">
        <x:v>epinephelus marginatus</x:v>
      </x:c>
      <x:c r="O134" s="32" t="n">
        <x:v>4.43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Epinephelus marginatus</x:v>
      </x:c>
      <x:c r="T134" s="32" t="n">
        <x:f>IF(O134="","",(1/'Metadata'!$B$5)^(O134-1))</x:f>
        <x:v>2691.534803926914</x:v>
      </x:c>
      <x:c r="U134" s="31" t="n">
        <x:f>IF(T134="","",I134*T134)</x:f>
        <x:v>73021.55693532979</x:v>
      </x:c>
    </x:row>
    <x:row r="135" ht="18" customHeight="1">
      <x:c r="A135" s="24" t="str">
        <x:v>EEZ_380</x:v>
      </x:c>
      <x:c r="B135" s="24" t="str">
        <x:v>Italy (mainland)</x:v>
      </x:c>
      <x:c r="C135" s="24" t="str">
        <x:v>EEZ</x:v>
      </x:c>
      <x:c r="D135" s="30" t="n">
        <x:v>2019</x:v>
      </x:c>
      <x:c r="E135" s="24" t="str">
        <x:v>Cepola macrophthalma</x:v>
      </x:c>
      <x:c r="F135" s="24" t="str">
        <x:v>Red bandfish</x:v>
      </x:c>
      <x:c r="G135" s="24" t="str">
        <x:v>Medium demersals (30 - 89 cm)</x:v>
      </x:c>
      <x:c r="H135" s="24" t="str">
        <x:v>Perch-likes</x:v>
      </x:c>
      <x:c r="I135" s="31" t="n">
        <x:v>26.90753729</x:v>
      </x:c>
      <x:c r="J135" s="31" t="n">
        <x:v>26.90753729</x:v>
      </x:c>
      <x:c r="K135" s="31" t="n">
        <x:v>0</x:v>
      </x:c>
      <x:c r="L135" s="31" t="n">
        <x:v>20.507904283</x:v>
      </x:c>
      <x:c r="M135" s="31" t="n">
        <x:v>6.399633007</x:v>
      </x:c>
      <x:c r="N135" s="24" t="str">
        <x:v>cepola macrophthalma</x:v>
      </x:c>
      <x:c r="O135" s="32" t="n">
        <x:v>3.13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Cepola macrophthalma</x:v>
      </x:c>
      <x:c r="T135" s="32" t="n">
        <x:f>IF(O135="","",(1/'Metadata'!$B$5)^(O135-1))</x:f>
        <x:v>134.89628825916532</x:v>
      </x:c>
      <x:c r="U135" s="31" t="n">
        <x:f>IF(T135="","",I135*T135)</x:f>
        <x:v>3629.72690661608</x:v>
      </x:c>
    </x:row>
    <x:row r="136" ht="18" customHeight="1">
      <x:c r="A136" s="24" t="str">
        <x:v>EEZ_380</x:v>
      </x:c>
      <x:c r="B136" s="24" t="str">
        <x:v>Italy (mainland)</x:v>
      </x:c>
      <x:c r="C136" s="24" t="str">
        <x:v>EEZ</x:v>
      </x:c>
      <x:c r="D136" s="30" t="n">
        <x:v>2019</x:v>
      </x:c>
      <x:c r="E136" s="24" t="str">
        <x:v>Diplodus puntazzo</x:v>
      </x:c>
      <x:c r="F136" s="24" t="str">
        <x:v>Sharpsnout seabream</x:v>
      </x:c>
      <x:c r="G136" s="24" t="str">
        <x:v>Medium benthopelagics (30 - 89 cm)</x:v>
      </x:c>
      <x:c r="H136" s="24" t="str">
        <x:v>Perch-likes</x:v>
      </x:c>
      <x:c r="I136" s="31" t="n">
        <x:v>26.557855625</x:v>
      </x:c>
      <x:c r="J136" s="31" t="n">
        <x:v>26.557855625</x:v>
      </x:c>
      <x:c r="K136" s="31" t="n">
        <x:v>0</x:v>
      </x:c>
      <x:c r="L136" s="31" t="n">
        <x:v>23.223905961</x:v>
      </x:c>
      <x:c r="M136" s="31" t="n">
        <x:v>3.333949664</x:v>
      </x:c>
      <x:c r="N136" s="24" t="str">
        <x:v>diplodus puntazzo</x:v>
      </x:c>
      <x:c r="O136" s="32" t="n">
        <x:v>3.22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Diplodus puntazzo</x:v>
      </x:c>
      <x:c r="T136" s="32" t="n">
        <x:f>IF(O136="","",(1/'Metadata'!$B$5)^(O136-1))</x:f>
        <x:v>165.95869074375614</x:v>
      </x:c>
      <x:c r="U136" s="31" t="n">
        <x:f>IF(T136="","",I136*T136)</x:f>
        <x:v>4407.506948486699</x:v>
      </x:c>
    </x:row>
    <x:row r="137" ht="18" customHeight="1">
      <x:c r="A137" s="24" t="str">
        <x:v>EEZ_380</x:v>
      </x:c>
      <x:c r="B137" s="24" t="str">
        <x:v>Italy (mainland)</x:v>
      </x:c>
      <x:c r="C137" s="24" t="str">
        <x:v>EEZ</x:v>
      </x:c>
      <x:c r="D137" s="30" t="n">
        <x:v>2019</x:v>
      </x:c>
      <x:c r="E137" s="24" t="str">
        <x:v>Spondyliosoma cantharus</x:v>
      </x:c>
      <x:c r="F137" s="24" t="str">
        <x:v>Black seabream</x:v>
      </x:c>
      <x:c r="G137" s="24" t="str">
        <x:v>Medium benthopelagics (30 - 89 cm)</x:v>
      </x:c>
      <x:c r="H137" s="24" t="str">
        <x:v>Perch-likes</x:v>
      </x:c>
      <x:c r="I137" s="31" t="n">
        <x:v>24.518806704000003</x:v>
      </x:c>
      <x:c r="J137" s="31" t="n">
        <x:v>24.518806704000003</x:v>
      </x:c>
      <x:c r="K137" s="31" t="n">
        <x:v>0</x:v>
      </x:c>
      <x:c r="L137" s="31" t="n">
        <x:v>22.93945485</x:v>
      </x:c>
      <x:c r="M137" s="31" t="n">
        <x:v>1.579351854</x:v>
      </x:c>
      <x:c r="N137" s="24" t="str">
        <x:v>spondyliosoma cantharus</x:v>
      </x:c>
      <x:c r="O137" s="32" t="n">
        <x:v>3.34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Spondyliosoma cantharus</x:v>
      </x:c>
      <x:c r="T137" s="32" t="n">
        <x:f>IF(O137="","",(1/'Metadata'!$B$5)^(O137-1))</x:f>
        <x:v>218.77616239495518</x:v>
      </x:c>
      <x:c r="U137" s="31" t="n">
        <x:f>IF(T137="","",I137*T137)</x:f>
        <x:v>5364.130437204821</x:v>
      </x:c>
    </x:row>
    <x:row r="138" ht="18" customHeight="1">
      <x:c r="A138" s="24" t="str">
        <x:v>EEZ_380</x:v>
      </x:c>
      <x:c r="B138" s="24" t="str">
        <x:v>Italy (mainland)</x:v>
      </x:c>
      <x:c r="C138" s="24" t="str">
        <x:v>EEZ</x:v>
      </x:c>
      <x:c r="D138" s="30" t="n">
        <x:v>2019</x:v>
      </x:c>
      <x:c r="E138" s="24" t="str">
        <x:v>Alloteuthis</x:v>
      </x:c>
      <x:c r="F138" s="24" t="str">
        <x:v>Atlantic common squids</x:v>
      </x:c>
      <x:c r="G138" s="24" t="str">
        <x:v>Cephalopods</x:v>
      </x:c>
      <x:c r="H138" s="24" t="str">
        <x:v>Other fishes &amp; inverts</x:v>
      </x:c>
      <x:c r="I138" s="31" t="n">
        <x:v>24.329290213</x:v>
      </x:c>
      <x:c r="J138" s="31" t="n">
        <x:v>24.329290213</x:v>
      </x:c>
      <x:c r="K138" s="31" t="n">
        <x:v>0</x:v>
      </x:c>
      <x:c r="L138" s="31" t="n">
        <x:v>0</x:v>
      </x:c>
      <x:c r="M138" s="31" t="n">
        <x:v>24.329290213</x:v>
      </x:c>
      <x:c r="N138" s="24" t="str">
        <x:v>alloteuthis</x:v>
      </x:c>
      <x:c r="O138" s="32" t="n">
        <x:v>3.98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Alloteuthis</x:v>
      </x:c>
      <x:c r="T138" s="32" t="n">
        <x:f>IF(O138="","",(1/'Metadata'!$B$5)^(O138-1))</x:f>
        <x:v>954.992586021436</x:v>
      </x:c>
      <x:c r="U138" s="31" t="n">
        <x:f>IF(T138="","",I138*T138)</x:f>
        <x:v>23234.291776578884</x:v>
      </x:c>
    </x:row>
    <x:row r="139" ht="18" customHeight="1">
      <x:c r="A139" s="24" t="str">
        <x:v>EEZ_380</x:v>
      </x:c>
      <x:c r="B139" s="24" t="str">
        <x:v>Italy (mainland)</x:v>
      </x:c>
      <x:c r="C139" s="24" t="str">
        <x:v>EEZ</x:v>
      </x:c>
      <x:c r="D139" s="30" t="n">
        <x:v>2019</x:v>
      </x:c>
      <x:c r="E139" s="24" t="str">
        <x:v>Eutrigla gurnardus</x:v>
      </x:c>
      <x:c r="F139" s="24" t="str">
        <x:v>Grey gurnard</x:v>
      </x:c>
      <x:c r="G139" s="24" t="str">
        <x:v>Medium demersals (30 - 89 cm)</x:v>
      </x:c>
      <x:c r="H139" s="24" t="str">
        <x:v>Scorpionfishes</x:v>
      </x:c>
      <x:c r="I139" s="31" t="n">
        <x:v>22.501868739</x:v>
      </x:c>
      <x:c r="J139" s="31" t="n">
        <x:v>19.284307865</x:v>
      </x:c>
      <x:c r="K139" s="31" t="n">
        <x:v>3.217560874</x:v>
      </x:c>
      <x:c r="L139" s="31" t="n">
        <x:v>20.159256004</x:v>
      </x:c>
      <x:c r="M139" s="31" t="n">
        <x:v>2.342612735</x:v>
      </x:c>
      <x:c r="N139" s="24" t="str">
        <x:v>eutrigla gurnardus</x:v>
      </x:c>
      <x:c r="O139" s="32" t="n">
        <x:v>3.87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Eutrigla gurnardus</x:v>
      </x:c>
      <x:c r="T139" s="32" t="n">
        <x:f>IF(O139="","",(1/'Metadata'!$B$5)^(O139-1))</x:f>
        <x:v>741.3102413009177</x:v>
      </x:c>
      <x:c r="U139" s="31" t="n">
        <x:f>IF(T139="","",I139*T139)</x:f>
        <x:v>16680.865744629667</x:v>
      </x:c>
    </x:row>
    <x:row r="140" ht="18" customHeight="1">
      <x:c r="A140" s="24" t="str">
        <x:v>EEZ_380</x:v>
      </x:c>
      <x:c r="B140" s="24" t="str">
        <x:v>Italy (mainland)</x:v>
      </x:c>
      <x:c r="C140" s="24" t="str">
        <x:v>EEZ</x:v>
      </x:c>
      <x:c r="D140" s="30" t="n">
        <x:v>2019</x:v>
      </x:c>
      <x:c r="E140" s="24" t="str">
        <x:v>Sciaena umbra</x:v>
      </x:c>
      <x:c r="F140" s="24" t="str">
        <x:v>Brown meagre</x:v>
      </x:c>
      <x:c r="G140" s="24" t="str">
        <x:v>Medium demersals (30 - 89 cm)</x:v>
      </x:c>
      <x:c r="H140" s="24" t="str">
        <x:v>Perch-likes</x:v>
      </x:c>
      <x:c r="I140" s="31" t="n">
        <x:v>21.816536082</x:v>
      </x:c>
      <x:c r="J140" s="31" t="n">
        <x:v>21.816536082</x:v>
      </x:c>
      <x:c r="K140" s="31" t="n">
        <x:v>0</x:v>
      </x:c>
      <x:c r="L140" s="31" t="n">
        <x:v>21.816536082</x:v>
      </x:c>
      <x:c r="M140" s="31" t="n">
        <x:v>0</x:v>
      </x:c>
      <x:c r="N140" s="24" t="str">
        <x:v>sciaena umbra</x:v>
      </x:c>
      <x:c r="O140" s="32" t="n">
        <x:v>3.75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Sciaena umbra</x:v>
      </x:c>
      <x:c r="T140" s="32" t="n">
        <x:f>IF(O140="","",(1/'Metadata'!$B$5)^(O140-1))</x:f>
        <x:v>562.341325190349</x:v>
      </x:c>
      <x:c r="U140" s="31" t="n">
        <x:f>IF(T140="","",I140*T140)</x:f>
        <x:v>12268.339811414944</x:v>
      </x:c>
    </x:row>
    <x:row r="141" ht="18" customHeight="1">
      <x:c r="A141" s="24" t="str">
        <x:v>EEZ_380</x:v>
      </x:c>
      <x:c r="B141" s="24" t="str">
        <x:v>Italy (mainland)</x:v>
      </x:c>
      <x:c r="C141" s="24" t="str">
        <x:v>EEZ</x:v>
      </x:c>
      <x:c r="D141" s="30" t="n">
        <x:v>2019</x:v>
      </x:c>
      <x:c r="E141" s="24" t="str">
        <x:v>Anguilla anguilla</x:v>
      </x:c>
      <x:c r="F141" s="24" t="str">
        <x:v>European eel</x:v>
      </x:c>
      <x:c r="G141" s="24" t="str">
        <x:v>Large demersals (&gt;=90 cm)</x:v>
      </x:c>
      <x:c r="H141" s="24" t="str">
        <x:v>Other fishes &amp; inverts</x:v>
      </x:c>
      <x:c r="I141" s="31" t="n">
        <x:v>21.45885208</x:v>
      </x:c>
      <x:c r="J141" s="31" t="n">
        <x:v>21.45885208</x:v>
      </x:c>
      <x:c r="K141" s="31" t="n">
        <x:v>0</x:v>
      </x:c>
      <x:c r="L141" s="31" t="n">
        <x:v>11.87873454</x:v>
      </x:c>
      <x:c r="M141" s="31" t="n">
        <x:v>9.58011754</x:v>
      </x:c>
      <x:c r="N141" s="24" t="str">
        <x:v>anguilla anguilla</x:v>
      </x:c>
      <x:c r="O141" s="32" t="n">
        <x:v>3.55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Anguilla anguilla</x:v>
      </x:c>
      <x:c r="T141" s="32" t="n">
        <x:f>IF(O141="","",(1/'Metadata'!$B$5)^(O141-1))</x:f>
        <x:v>354.8133892335753</x:v>
      </x:c>
      <x:c r="U141" s="31" t="n">
        <x:f>IF(T141="","",I141*T141)</x:f>
        <x:v>7613.888035566757</x:v>
      </x:c>
    </x:row>
    <x:row r="142" ht="18" customHeight="1">
      <x:c r="A142" s="24" t="str">
        <x:v>EEZ_380</x:v>
      </x:c>
      <x:c r="B142" s="24" t="str">
        <x:v>Italy (mainland)</x:v>
      </x:c>
      <x:c r="C142" s="24" t="str">
        <x:v>EEZ</x:v>
      </x:c>
      <x:c r="D142" s="30" t="n">
        <x:v>2019</x:v>
      </x:c>
      <x:c r="E142" s="24" t="str">
        <x:v>Raja montagui</x:v>
      </x:c>
      <x:c r="F142" s="24" t="str">
        <x:v>Spotted ray</x:v>
      </x:c>
      <x:c r="G142" s="24" t="str">
        <x:v>Small to medium rays (&lt;90 cm)</x:v>
      </x:c>
      <x:c r="H142" s="24" t="str">
        <x:v>Sharks &amp; rays</x:v>
      </x:c>
      <x:c r="I142" s="31" t="n">
        <x:v>19.270065023</x:v>
      </x:c>
      <x:c r="J142" s="31" t="n">
        <x:v>19.270065023</x:v>
      </x:c>
      <x:c r="K142" s="31" t="n">
        <x:v>0</x:v>
      </x:c>
      <x:c r="L142" s="31" t="n">
        <x:v>15.493455219000001</x:v>
      </x:c>
      <x:c r="M142" s="31" t="n">
        <x:v>3.776609804</x:v>
      </x:c>
      <x:c r="N142" s="24" t="str">
        <x:v>raja montagui</x:v>
      </x:c>
      <x:c r="O142" s="32" t="n">
        <x:v>3.88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Raja montagui</x:v>
      </x:c>
      <x:c r="T142" s="32" t="n">
        <x:f>IF(O142="","",(1/'Metadata'!$B$5)^(O142-1))</x:f>
        <x:v>758.5775750291835</x:v>
      </x:c>
      <x:c r="U142" s="31" t="n">
        <x:f>IF(T142="","",I142*T142)</x:f>
        <x:v>14617.83919580203</x:v>
      </x:c>
    </x:row>
    <x:row r="143" ht="18" customHeight="1">
      <x:c r="A143" s="24" t="str">
        <x:v>EEZ_380</x:v>
      </x:c>
      <x:c r="B143" s="24" t="str">
        <x:v>Italy (mainland)</x:v>
      </x:c>
      <x:c r="C143" s="24" t="str">
        <x:v>EEZ</x:v>
      </x:c>
      <x:c r="D143" s="30" t="n">
        <x:v>2019</x:v>
      </x:c>
      <x:c r="E143" s="24" t="str">
        <x:v>Chelon saliens</x:v>
      </x:c>
      <x:c r="F143" s="24" t="str">
        <x:v>Leaping mullet</x:v>
      </x:c>
      <x:c r="G143" s="24" t="str">
        <x:v>Medium demersals (30 - 89 cm)</x:v>
      </x:c>
      <x:c r="H143" s="24" t="str">
        <x:v>Perch-likes</x:v>
      </x:c>
      <x:c r="I143" s="31" t="n">
        <x:v>19.114399362</x:v>
      </x:c>
      <x:c r="J143" s="31" t="n">
        <x:v>19.114399362</x:v>
      </x:c>
      <x:c r="K143" s="31" t="n">
        <x:v>0</x:v>
      </x:c>
      <x:c r="L143" s="31" t="n">
        <x:v>19.114399362</x:v>
      </x:c>
      <x:c r="M143" s="31" t="n">
        <x:v>0</x:v>
      </x:c>
      <x:c r="N143" s="24" t="str">
        <x:v>chelon saliens</x:v>
      </x:c>
      <x:c r="O143" s="32" t="n">
        <x:v>2.9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Chelon saliens</x:v>
      </x:c>
      <x:c r="T143" s="32" t="n">
        <x:f>IF(O143="","",(1/'Metadata'!$B$5)^(O143-1))</x:f>
        <x:v>79.43282347242814</x:v>
      </x:c>
      <x:c r="U143" s="31" t="n">
        <x:f>IF(T143="","",I143*T143)</x:f>
        <x:v>1518.3107103032391</x:v>
      </x:c>
    </x:row>
    <x:row r="144" ht="18" customHeight="1">
      <x:c r="A144" s="24" t="str">
        <x:v>EEZ_380</x:v>
      </x:c>
      <x:c r="B144" s="24" t="str">
        <x:v>Italy (mainland)</x:v>
      </x:c>
      <x:c r="C144" s="24" t="str">
        <x:v>EEZ</x:v>
      </x:c>
      <x:c r="D144" s="30" t="n">
        <x:v>2019</x:v>
      </x:c>
      <x:c r="E144" s="24" t="str">
        <x:v>Argentina</x:v>
      </x:c>
      <x:c r="F144" s="24" t="str">
        <x:v>Argentines</x:v>
      </x:c>
      <x:c r="G144" s="24" t="str">
        <x:v>Medium bathydemersals (30 - 89 cm)</x:v>
      </x:c>
      <x:c r="H144" s="24" t="str">
        <x:v>Salmon, smelts, etc</x:v>
      </x:c>
      <x:c r="I144" s="31" t="n">
        <x:v>18.964896661</x:v>
      </x:c>
      <x:c r="J144" s="31" t="n">
        <x:v>18.964896661</x:v>
      </x:c>
      <x:c r="K144" s="31" t="n">
        <x:v>0</x:v>
      </x:c>
      <x:c r="L144" s="31" t="n">
        <x:v>15.712075633</x:v>
      </x:c>
      <x:c r="M144" s="31" t="n">
        <x:v>3.252821028</x:v>
      </x:c>
      <x:c r="N144" s="24" t="str">
        <x:v>argentina</x:v>
      </x:c>
      <x:c r="O144" s="32" t="n">
        <x:v>3.35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Argentina</x:v>
      </x:c>
      <x:c r="T144" s="32" t="n">
        <x:f>IF(O144="","",(1/'Metadata'!$B$5)^(O144-1))</x:f>
        <x:v>223.872113856834</x:v>
      </x:c>
      <x:c r="U144" s="31" t="n">
        <x:f>IF(T144="","",I144*T144)</x:f>
        <x:v>4245.711504574483</x:v>
      </x:c>
    </x:row>
    <x:row r="145" ht="18" customHeight="1">
      <x:c r="A145" s="24" t="str">
        <x:v>EEZ_380</x:v>
      </x:c>
      <x:c r="B145" s="24" t="str">
        <x:v>Italy (mainland)</x:v>
      </x:c>
      <x:c r="C145" s="24" t="str">
        <x:v>EEZ</x:v>
      </x:c>
      <x:c r="D145" s="30" t="n">
        <x:v>2019</x:v>
      </x:c>
      <x:c r="E145" s="24" t="str">
        <x:v>Istiophoridae</x:v>
      </x:c>
      <x:c r="F145" s="24" t="str">
        <x:v>Billfishes</x:v>
      </x:c>
      <x:c r="G145" s="24" t="str">
        <x:v>Large pelagics (&gt;=90 cm)</x:v>
      </x:c>
      <x:c r="H145" s="24" t="str">
        <x:v>Tuna &amp; billfishes</x:v>
      </x:c>
      <x:c r="I145" s="31" t="n">
        <x:v>18.26206</x:v>
      </x:c>
      <x:c r="J145" s="31" t="n">
        <x:v>18.26206</x:v>
      </x:c>
      <x:c r="K145" s="31" t="n">
        <x:v>0</x:v>
      </x:c>
      <x:c r="L145" s="31" t="n">
        <x:v>18.26206</x:v>
      </x:c>
      <x:c r="M145" s="31" t="n">
        <x:v>0</x:v>
      </x:c>
      <x:c r="N145" s="24" t="str">
        <x:v>istiophoridae</x:v>
      </x:c>
      <x:c r="O145" s="32" t="n">
        <x:v>4.48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Istiophoridae</x:v>
      </x:c>
      <x:c r="T145" s="32" t="n">
        <x:f>IF(O145="","",(1/'Metadata'!$B$5)^(O145-1))</x:f>
        <x:v>3019.951720402019</x:v>
      </x:c>
      <x:c r="U145" s="31" t="n">
        <x:f>IF(T145="","",I145*T145)</x:f>
        <x:v>55150.5395150849</x:v>
      </x:c>
    </x:row>
    <x:row r="146" ht="18" customHeight="1">
      <x:c r="A146" s="24" t="str">
        <x:v>EEZ_380</x:v>
      </x:c>
      <x:c r="B146" s="24" t="str">
        <x:v>Italy (mainland)</x:v>
      </x:c>
      <x:c r="C146" s="24" t="str">
        <x:v>EEZ</x:v>
      </x:c>
      <x:c r="D146" s="30" t="n">
        <x:v>2019</x:v>
      </x:c>
      <x:c r="E146" s="24" t="str">
        <x:v>Palinurus elephas</x:v>
      </x:c>
      <x:c r="F146" s="24" t="str">
        <x:v>Common spiny lobster</x:v>
      </x:c>
      <x:c r="G146" s="24" t="str">
        <x:v>Lobsters, crabs</x:v>
      </x:c>
      <x:c r="H146" s="24" t="str">
        <x:v>Crustaceans</x:v>
      </x:c>
      <x:c r="I146" s="31" t="n">
        <x:v>17.299587401</x:v>
      </x:c>
      <x:c r="J146" s="31" t="n">
        <x:v>17.299587401</x:v>
      </x:c>
      <x:c r="K146" s="31" t="n">
        <x:v>0</x:v>
      </x:c>
      <x:c r="L146" s="31" t="n">
        <x:v>12.596415325</x:v>
      </x:c>
      <x:c r="M146" s="31" t="n">
        <x:v>4.7031720759999995</x:v>
      </x:c>
      <x:c r="N146" s="24" t="str">
        <x:v>palinurus elephas</x:v>
      </x:c>
      <x:c r="O146" s="32" t="n">
        <x:v>3.34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Palinurus elephas</x:v>
      </x:c>
      <x:c r="T146" s="32" t="n">
        <x:f>IF(O146="","",(1/'Metadata'!$B$5)^(O146-1))</x:f>
        <x:v>218.77616239495518</x:v>
      </x:c>
      <x:c r="U146" s="31" t="n">
        <x:f>IF(T146="","",I146*T146)</x:f>
        <x:v>3784.7373426068966</x:v>
      </x:c>
    </x:row>
    <x:row r="147" ht="18" customHeight="1">
      <x:c r="A147" s="24" t="str">
        <x:v>EEZ_380</x:v>
      </x:c>
      <x:c r="B147" s="24" t="str">
        <x:v>Italy (mainland)</x:v>
      </x:c>
      <x:c r="C147" s="24" t="str">
        <x:v>EEZ</x:v>
      </x:c>
      <x:c r="D147" s="30" t="n">
        <x:v>2019</x:v>
      </x:c>
      <x:c r="E147" s="24" t="str">
        <x:v>Sparidae</x:v>
      </x:c>
      <x:c r="F147" s="24" t="str">
        <x:v>Porgies, seabreams</x:v>
      </x:c>
      <x:c r="G147" s="24" t="str">
        <x:v>Medium benthopelagics (30 - 89 cm)</x:v>
      </x:c>
      <x:c r="H147" s="24" t="str">
        <x:v>Perch-likes</x:v>
      </x:c>
      <x:c r="I147" s="31" t="n">
        <x:v>15.143472889</x:v>
      </x:c>
      <x:c r="J147" s="31" t="n">
        <x:v>15.143472889</x:v>
      </x:c>
      <x:c r="K147" s="31" t="n">
        <x:v>0</x:v>
      </x:c>
      <x:c r="L147" s="31" t="n">
        <x:v>15.143472889</x:v>
      </x:c>
      <x:c r="M147" s="31" t="n">
        <x:v>0</x:v>
      </x:c>
      <x:c r="N147" s="24" t="str">
        <x:v>sparidae</x:v>
      </x:c>
      <x:c r="O147" s="32" t="n">
        <x:v>3.31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Sparidae</x:v>
      </x:c>
      <x:c r="T147" s="32" t="n">
        <x:f>IF(O147="","",(1/'Metadata'!$B$5)^(O147-1))</x:f>
        <x:v>204.17379446695296</x:v>
      </x:c>
      <x:c r="U147" s="31" t="n">
        <x:f>IF(T147="","",I147*T147)</x:f>
        <x:v>3091.90032115456</x:v>
      </x:c>
    </x:row>
    <x:row r="148" ht="18" customHeight="1">
      <x:c r="A148" s="24" t="str">
        <x:v>EEZ_380</x:v>
      </x:c>
      <x:c r="B148" s="24" t="str">
        <x:v>Italy (mainland)</x:v>
      </x:c>
      <x:c r="C148" s="24" t="str">
        <x:v>EEZ</x:v>
      </x:c>
      <x:c r="D148" s="30" t="n">
        <x:v>2019</x:v>
      </x:c>
      <x:c r="E148" s="24" t="str">
        <x:v>Trigla lyra</x:v>
      </x:c>
      <x:c r="F148" s="24" t="str">
        <x:v>Piper gurnard</x:v>
      </x:c>
      <x:c r="G148" s="24" t="str">
        <x:v>Medium bathydemersals (30 - 89 cm)</x:v>
      </x:c>
      <x:c r="H148" s="24" t="str">
        <x:v>Scorpionfishes</x:v>
      </x:c>
      <x:c r="I148" s="31" t="n">
        <x:v>9.585722863199999</x:v>
      </x:c>
      <x:c r="J148" s="31" t="n">
        <x:v>9.585722863199999</x:v>
      </x:c>
      <x:c r="K148" s="31" t="n">
        <x:v>0</x:v>
      </x:c>
      <x:c r="L148" s="31" t="n">
        <x:v>7.744318091099999</x:v>
      </x:c>
      <x:c r="M148" s="31" t="n">
        <x:v>1.8414047721</x:v>
      </x:c>
      <x:c r="N148" s="24" t="str">
        <x:v>trigla lyra</x:v>
      </x:c>
      <x:c r="O148" s="32" t="n">
        <x:v>3.65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Trigla lyra</x:v>
      </x:c>
      <x:c r="T148" s="32" t="n">
        <x:f>IF(O148="","",(1/'Metadata'!$B$5)^(O148-1))</x:f>
        <x:v>446.683592150963</x:v>
      </x:c>
      <x:c r="U148" s="31" t="n">
        <x:f>IF(T148="","",I148*T148)</x:f>
        <x:v>4281.78512189779</x:v>
      </x:c>
    </x:row>
    <x:row r="149" ht="18" customHeight="1">
      <x:c r="A149" s="24" t="str">
        <x:v>EEZ_380</x:v>
      </x:c>
      <x:c r="B149" s="24" t="str">
        <x:v>Italy (mainland)</x:v>
      </x:c>
      <x:c r="C149" s="24" t="str">
        <x:v>EEZ</x:v>
      </x:c>
      <x:c r="D149" s="30" t="n">
        <x:v>2019</x:v>
      </x:c>
      <x:c r="E149" s="24" t="str">
        <x:v>Dendrobranchiata</x:v>
      </x:c>
      <x:c r="F149" s="24" t="str">
        <x:v>Shrimps and prawns</x:v>
      </x:c>
      <x:c r="G149" s="24" t="str">
        <x:v>Shrimps</x:v>
      </x:c>
      <x:c r="H149" s="24" t="str">
        <x:v>Crustaceans</x:v>
      </x:c>
      <x:c r="I149" s="31" t="n">
        <x:v>6.7521671144</x:v>
      </x:c>
      <x:c r="J149" s="31" t="n">
        <x:v>6.7521671144</x:v>
      </x:c>
      <x:c r="K149" s="31" t="n">
        <x:v>0</x:v>
      </x:c>
      <x:c r="L149" s="31" t="n">
        <x:v>6.7521671144</x:v>
      </x:c>
      <x:c r="M149" s="31" t="n">
        <x:v>0</x:v>
      </x:c>
      <x:c r="N149" s="24" t="str">
        <x:v>dendrobranchiata</x:v>
      </x:c>
      <x:c r="O149" s="32" t="n">
        <x:v>3.24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Dendrobranchiata</x:v>
      </x:c>
      <x:c r="T149" s="32" t="n">
        <x:f>IF(O149="","",(1/'Metadata'!$B$5)^(O149-1))</x:f>
        <x:v>173.78008287493762</x:v>
      </x:c>
      <x:c r="U149" s="31" t="n">
        <x:f>IF(T149="","",I149*T149)</x:f>
        <x:v>1173.3921607258603</x:v>
      </x:c>
    </x:row>
    <x:row r="150" ht="18" customHeight="1">
      <x:c r="A150" s="24" t="str">
        <x:v>EEZ_380</x:v>
      </x:c>
      <x:c r="B150" s="24" t="str">
        <x:v>Italy (mainland)</x:v>
      </x:c>
      <x:c r="C150" s="24" t="str">
        <x:v>EEZ</x:v>
      </x:c>
      <x:c r="D150" s="30" t="n">
        <x:v>2019</x:v>
      </x:c>
      <x:c r="E150" s="24" t="str">
        <x:v>Gymnothorax unicolor</x:v>
      </x:c>
      <x:c r="F150" s="24" t="str">
        <x:v>Brown moray</x:v>
      </x:c>
      <x:c r="G150" s="24" t="str">
        <x:v>Medium demersals (30 - 89 cm)</x:v>
      </x:c>
      <x:c r="H150" s="24" t="str">
        <x:v>Other fishes &amp; inverts</x:v>
      </x:c>
      <x:c r="I150" s="31" t="n">
        <x:v>5.736048461</x:v>
      </x:c>
      <x:c r="J150" s="31" t="n">
        <x:v>5.736048461</x:v>
      </x:c>
      <x:c r="K150" s="31" t="n">
        <x:v>0</x:v>
      </x:c>
      <x:c r="L150" s="31" t="n">
        <x:v>4.708521102</x:v>
      </x:c>
      <x:c r="M150" s="31" t="n">
        <x:v>1.027527359</x:v>
      </x:c>
      <x:c r="N150" s="24" t="str">
        <x:v>gymnothorax unicolor</x:v>
      </x:c>
      <x:c r="O150" s="32" t="n">
        <x:v>3.44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Gymnothorax unicolor</x:v>
      </x:c>
      <x:c r="T150" s="32" t="n">
        <x:f>IF(O150="","",(1/'Metadata'!$B$5)^(O150-1))</x:f>
        <x:v>275.4228703338166</x:v>
      </x:c>
      <x:c r="U150" s="31" t="n">
        <x:f>IF(T150="","",I150*T150)</x:f>
        <x:v>1579.8389315024913</x:v>
      </x:c>
    </x:row>
    <x:row r="151" ht="18" customHeight="1">
      <x:c r="A151" s="24" t="str">
        <x:v>EEZ_380</x:v>
      </x:c>
      <x:c r="B151" s="24" t="str">
        <x:v>Italy (mainland)</x:v>
      </x:c>
      <x:c r="C151" s="24" t="str">
        <x:v>EEZ</x:v>
      </x:c>
      <x:c r="D151" s="30" t="n">
        <x:v>2019</x:v>
      </x:c>
      <x:c r="E151" s="24" t="str">
        <x:v>Alopias vulpinus</x:v>
      </x:c>
      <x:c r="F151" s="24" t="str">
        <x:v>Thresher</x:v>
      </x:c>
      <x:c r="G151" s="24" t="str">
        <x:v>Large sharks (&gt;=90 cm)</x:v>
      </x:c>
      <x:c r="H151" s="24" t="str">
        <x:v>Sharks &amp; rays</x:v>
      </x:c>
      <x:c r="I151" s="31" t="n">
        <x:v>3.4357640298</x:v>
      </x:c>
      <x:c r="J151" s="31" t="n">
        <x:v>3.4357640298</x:v>
      </x:c>
      <x:c r="K151" s="31" t="n">
        <x:v>0</x:v>
      </x:c>
      <x:c r="L151" s="31" t="n">
        <x:v>2.8967889348</x:v>
      </x:c>
      <x:c r="M151" s="31" t="n">
        <x:v>0.5389750950000001</x:v>
      </x:c>
      <x:c r="N151" s="24" t="str">
        <x:v>alopias vulpinus</x:v>
      </x:c>
      <x:c r="O151" s="32" t="n">
        <x:v>4.5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Alopias vulpinus</x:v>
      </x:c>
      <x:c r="T151" s="32" t="n">
        <x:f>IF(O151="","",(1/'Metadata'!$B$5)^(O151-1))</x:f>
        <x:v>3162.2776601683795</x:v>
      </x:c>
      <x:c r="U151" s="31" t="n">
        <x:f>IF(T151="","",I151*T151)</x:f>
        <x:v>10864.839837046628</x:v>
      </x:c>
    </x:row>
    <x:row r="152" ht="18" customHeight="1">
      <x:c r="A152" s="24" t="str">
        <x:v>EEZ_380</x:v>
      </x:c>
      <x:c r="B152" s="24" t="str">
        <x:v>Italy (mainland)</x:v>
      </x:c>
      <x:c r="C152" s="24" t="str">
        <x:v>EEZ</x:v>
      </x:c>
      <x:c r="D152" s="30" t="n">
        <x:v>2019</x:v>
      </x:c>
      <x:c r="E152" s="24" t="str">
        <x:v>Todaropsis eblanae</x:v>
      </x:c>
      <x:c r="F152" s="24" t="str">
        <x:v>Lesser flying squid</x:v>
      </x:c>
      <x:c r="G152" s="24" t="str">
        <x:v>Cephalopods</x:v>
      </x:c>
      <x:c r="H152" s="24" t="str">
        <x:v>Other fishes &amp; inverts</x:v>
      </x:c>
      <x:c r="I152" s="31" t="n">
        <x:v>2.346983749</x:v>
      </x:c>
      <x:c r="J152" s="31" t="n">
        <x:v>2.346983749</x:v>
      </x:c>
      <x:c r="K152" s="31" t="n">
        <x:v>0</x:v>
      </x:c>
      <x:c r="L152" s="31" t="n">
        <x:v>0</x:v>
      </x:c>
      <x:c r="M152" s="31" t="n">
        <x:v>2.346983749</x:v>
      </x:c>
      <x:c r="N152" s="24" t="str">
        <x:v>todaropsis eblanae</x:v>
      </x:c>
      <x:c r="O152" s="32" t="n">
        <x:v>4.25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Todaropsis eblanae</x:v>
      </x:c>
      <x:c r="T152" s="32" t="n">
        <x:f>IF(O152="","",(1/'Metadata'!$B$5)^(O152-1))</x:f>
        <x:v>1778.2794100389228</x:v>
      </x:c>
      <x:c r="U152" s="31" t="n">
        <x:f>IF(T152="","",I152*T152)</x:f>
        <x:v>4173.59287654266</x:v>
      </x:c>
    </x:row>
    <x:row r="153" ht="18" customHeight="1">
      <x:c r="A153" s="24" t="str">
        <x:v>EEZ_380</x:v>
      </x:c>
      <x:c r="B153" s="24" t="str">
        <x:v>Italy (mainland)</x:v>
      </x:c>
      <x:c r="C153" s="24" t="str">
        <x:v>EEZ</x:v>
      </x:c>
      <x:c r="D153" s="30" t="n">
        <x:v>2019</x:v>
      </x:c>
      <x:c r="E153" s="24" t="str">
        <x:v>Elasmobranchii</x:v>
      </x:c>
      <x:c r="F153" s="24" t="str">
        <x:v>Sharks, rays, skates</x:v>
      </x:c>
      <x:c r="G153" s="24" t="str">
        <x:v>Large sharks (&gt;=90 cm)</x:v>
      </x:c>
      <x:c r="H153" s="24" t="str">
        <x:v>Sharks &amp; rays</x:v>
      </x:c>
      <x:c r="I153" s="31" t="n">
        <x:v>1.8969541639999998</x:v>
      </x:c>
      <x:c r="J153" s="31" t="n">
        <x:v>1.8969541639999998</x:v>
      </x:c>
      <x:c r="K153" s="31" t="n">
        <x:v>0</x:v>
      </x:c>
      <x:c r="L153" s="31" t="n">
        <x:v>1.4823577849999998</x:v>
      </x:c>
      <x:c r="M153" s="31" t="n">
        <x:v>0.41459637899999996</x:v>
      </x:c>
      <x:c r="N153" s="24" t="str">
        <x:v>elasmobranchii</x:v>
      </x:c>
      <x:c r="O153" s="32" t="n">
        <x:v>4.05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Elasmobranchii</x:v>
      </x:c>
      <x:c r="T153" s="32" t="n">
        <x:f>IF(O153="","",(1/'Metadata'!$B$5)^(O153-1))</x:f>
        <x:v>1122.018454301963</x:v>
      </x:c>
      <x:c r="U153" s="31" t="n">
        <x:f>IF(T153="","",I153*T153)</x:f>
        <x:v>2128.417578972952</x:v>
      </x:c>
    </x:row>
    <x:row r="154" ht="18" customHeight="1">
      <x:c r="A154" s="24" t="str">
        <x:v>EEZ_380</x:v>
      </x:c>
      <x:c r="B154" s="24" t="str">
        <x:v>Italy (mainland)</x:v>
      </x:c>
      <x:c r="C154" s="24" t="str">
        <x:v>EEZ</x:v>
      </x:c>
      <x:c r="D154" s="30" t="n">
        <x:v>2019</x:v>
      </x:c>
      <x:c r="E154" s="24" t="str">
        <x:v>Centracanthus cirrus</x:v>
      </x:c>
      <x:c r="F154" s="24" t="str">
        <x:v>Curled picarel</x:v>
      </x:c>
      <x:c r="G154" s="24" t="str">
        <x:v>Medium benthopelagics (30 - 89 cm)</x:v>
      </x:c>
      <x:c r="H154" s="24" t="str">
        <x:v>Perch-likes</x:v>
      </x:c>
      <x:c r="I154" s="31" t="n">
        <x:v>1.459680606</x:v>
      </x:c>
      <x:c r="J154" s="31" t="n">
        <x:v>1.459680606</x:v>
      </x:c>
      <x:c r="K154" s="31" t="n">
        <x:v>0</x:v>
      </x:c>
      <x:c r="L154" s="31" t="n">
        <x:v>0</x:v>
      </x:c>
      <x:c r="M154" s="31" t="n">
        <x:v>1.459680606</x:v>
      </x:c>
      <x:c r="N154" s="24" t="str">
        <x:v>centracanthus cirrus</x:v>
      </x:c>
      <x:c r="O154" s="32" t="n">
        <x:v>3.4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Centracanthus cirrus</x:v>
      </x:c>
      <x:c r="T154" s="32" t="n">
        <x:f>IF(O154="","",(1/'Metadata'!$B$5)^(O154-1))</x:f>
        <x:v>251.18864315095797</x:v>
      </x:c>
      <x:c r="U154" s="31" t="n">
        <x:f>IF(T154="","",I154*T154)</x:f>
        <x:v>366.6551908549081</x:v>
      </x:c>
    </x:row>
    <x:row r="155" ht="18" customHeight="1">
      <x:c r="A155" s="24" t="str">
        <x:v>EEZ_380</x:v>
      </x:c>
      <x:c r="B155" s="24" t="str">
        <x:v>Italy (mainland)</x:v>
      </x:c>
      <x:c r="C155" s="24" t="str">
        <x:v>EEZ</x:v>
      </x:c>
      <x:c r="D155" s="30" t="n">
        <x:v>2019</x:v>
      </x:c>
      <x:c r="E155" s="24" t="str">
        <x:v>Lophius budegassa</x:v>
      </x:c>
      <x:c r="F155" s="24" t="str">
        <x:v>Blackbellied angler</x:v>
      </x:c>
      <x:c r="G155" s="24" t="str">
        <x:v>Large bathydemersals (&gt;=90 cm)</x:v>
      </x:c>
      <x:c r="H155" s="24" t="str">
        <x:v>Other fishes &amp; inverts</x:v>
      </x:c>
      <x:c r="I155" s="31" t="n">
        <x:v>1.276581335</x:v>
      </x:c>
      <x:c r="J155" s="31" t="n">
        <x:v>0</x:v>
      </x:c>
      <x:c r="K155" s="31" t="n">
        <x:v>1.276581335</x:v>
      </x:c>
      <x:c r="L155" s="31" t="n">
        <x:v>1.276581335</x:v>
      </x:c>
      <x:c r="M155" s="31" t="n">
        <x:v>0</x:v>
      </x:c>
      <x:c r="N155" s="24" t="str">
        <x:v>lophius budegassa</x:v>
      </x:c>
      <x:c r="O155" s="32" t="n">
        <x:v>4.41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Lophius budegassa</x:v>
      </x:c>
      <x:c r="T155" s="32" t="n">
        <x:f>IF(O155="","",(1/'Metadata'!$B$5)^(O155-1))</x:f>
        <x:v>2570.3957827688646</x:v>
      </x:c>
      <x:c r="U155" s="31" t="n">
        <x:f>IF(T155="","",I155*T155)</x:f>
        <x:v>3281.319279845447</x:v>
      </x:c>
    </x:row>
    <x:row r="156" ht="18" customHeight="1">
      <x:c r="A156" s="24" t="str">
        <x:v>EEZ_380</x:v>
      </x:c>
      <x:c r="B156" s="24" t="str">
        <x:v>Italy (mainland)</x:v>
      </x:c>
      <x:c r="C156" s="24" t="str">
        <x:v>EEZ</x:v>
      </x:c>
      <x:c r="D156" s="30" t="n">
        <x:v>2019</x:v>
      </x:c>
      <x:c r="E156" s="24" t="str">
        <x:v>Homarus gammarus</x:v>
      </x:c>
      <x:c r="F156" s="24" t="str">
        <x:v>European lobster</x:v>
      </x:c>
      <x:c r="G156" s="24" t="str">
        <x:v>Lobsters, crabs</x:v>
      </x:c>
      <x:c r="H156" s="24" t="str">
        <x:v>Crustaceans</x:v>
      </x:c>
      <x:c r="I156" s="31" t="n">
        <x:v>1.0761796</x:v>
      </x:c>
      <x:c r="J156" s="31" t="n">
        <x:v>1.0761796</x:v>
      </x:c>
      <x:c r="K156" s="31" t="n">
        <x:v>0</x:v>
      </x:c>
      <x:c r="L156" s="31" t="n">
        <x:v>0.783602804</x:v>
      </x:c>
      <x:c r="M156" s="31" t="n">
        <x:v>0.292576796</x:v>
      </x:c>
      <x:c r="N156" s="24" t="str">
        <x:v>homarus gammarus</x:v>
      </x:c>
      <x:c r="O156" s="32" t="n">
        <x:v>3.7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Homarus gammarus</x:v>
      </x:c>
      <x:c r="T156" s="32" t="n">
        <x:f>IF(O156="","",(1/'Metadata'!$B$5)^(O156-1))</x:f>
        <x:v>501.18723362727246</x:v>
      </x:c>
      <x:c r="U156" s="31" t="n">
        <x:f>IF(T156="","",I156*T156)</x:f>
        <x:v>539.3674766101046</x:v>
      </x:c>
    </x:row>
    <x:row r="157" ht="18" customHeight="1">
      <x:c r="A157" s="24" t="str">
        <x:v>EEZ_380</x:v>
      </x:c>
      <x:c r="B157" s="24" t="str">
        <x:v>Italy (mainland)</x:v>
      </x:c>
      <x:c r="C157" s="24" t="str">
        <x:v>EEZ</x:v>
      </x:c>
      <x:c r="D157" s="30" t="n">
        <x:v>2019</x:v>
      </x:c>
      <x:c r="E157" s="24" t="str">
        <x:v>Lamna nasus</x:v>
      </x:c>
      <x:c r="F157" s="24" t="str">
        <x:v>Porbeagle</x:v>
      </x:c>
      <x:c r="G157" s="24" t="str">
        <x:v>Large sharks (&gt;=90 cm)</x:v>
      </x:c>
      <x:c r="H157" s="24" t="str">
        <x:v>Sharks &amp; rays</x:v>
      </x:c>
      <x:c r="I157" s="31" t="n">
        <x:v>0.6539747116</x:v>
      </x:c>
      <x:c r="J157" s="31" t="n">
        <x:v>0.6539747116</x:v>
      </x:c>
      <x:c r="K157" s="31" t="n">
        <x:v>0</x:v>
      </x:c>
      <x:c r="L157" s="31" t="n">
        <x:v>0.5295958397</x:v>
      </x:c>
      <x:c r="M157" s="31" t="n">
        <x:v>0.12437887190000001</x:v>
      </x:c>
      <x:c r="N157" s="24" t="str">
        <x:v>lamna nasus</x:v>
      </x:c>
      <x:c r="O157" s="32" t="n">
        <x:v>4.57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Lamna nasus</x:v>
      </x:c>
      <x:c r="T157" s="32" t="n">
        <x:f>IF(O157="","",(1/'Metadata'!$B$5)^(O157-1))</x:f>
        <x:v>3715.3522909717276</x:v>
      </x:c>
      <x:c r="U157" s="31" t="n">
        <x:f>IF(T157="","",I157*T157)</x:f>
        <x:v>2429.7464429806346</x:v>
      </x:c>
    </x:row>
    <x:row r="158" ht="18" customHeight="1">
      <x:c r="A158" s="24" t="str">
        <x:v>EEZ_380</x:v>
      </x:c>
      <x:c r="B158" s="24" t="str">
        <x:v>Italy (mainland)</x:v>
      </x:c>
      <x:c r="C158" s="24" t="str">
        <x:v>EEZ</x:v>
      </x:c>
      <x:c r="D158" s="30" t="n">
        <x:v>2019</x:v>
      </x:c>
      <x:c r="E158" s="24" t="str">
        <x:v>Sepia officinalis</x:v>
      </x:c>
      <x:c r="F158" s="24" t="str">
        <x:v>Common cuttlefish</x:v>
      </x:c>
      <x:c r="G158" s="24" t="str">
        <x:v>Cephalopods</x:v>
      </x:c>
      <x:c r="H158" s="24" t="str">
        <x:v>Other fishes &amp; inverts</x:v>
      </x:c>
      <x:c r="I158" s="31" t="n">
        <x:v>0.161242479</x:v>
      </x:c>
      <x:c r="J158" s="31" t="n">
        <x:v>0</x:v>
      </x:c>
      <x:c r="K158" s="31" t="n">
        <x:v>0.161242479</x:v>
      </x:c>
      <x:c r="L158" s="31" t="n">
        <x:v>0.161242479</x:v>
      </x:c>
      <x:c r="M158" s="31" t="n">
        <x:v>0</x:v>
      </x:c>
      <x:c r="N158" s="24" t="str">
        <x:v>sepia officinalis</x:v>
      </x:c>
      <x:c r="O158" s="32" t="n">
        <x:v>4.27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Sepia officinalis</x:v>
      </x:c>
      <x:c r="T158" s="32" t="n">
        <x:f>IF(O158="","",(1/'Metadata'!$B$5)^(O158-1))</x:f>
        <x:v>1862.0871366628655</x:v>
      </x:c>
      <x:c r="U158" s="31" t="n">
        <x:f>IF(T158="","",I158*T158)</x:f>
        <x:v>300.2475460295322</x:v>
      </x:c>
    </x:row>
    <x:row r="159" ht="18" customHeight="1">
      <x:c r="A159" s="24" t="str">
        <x:v>EEZ_380</x:v>
      </x:c>
      <x:c r="B159" s="24" t="str">
        <x:v>Italy (mainland)</x:v>
      </x:c>
      <x:c r="C159" s="24" t="str">
        <x:v>EEZ</x:v>
      </x:c>
      <x:c r="D159" s="30" t="n">
        <x:v>2019</x:v>
      </x:c>
      <x:c r="E159" s="24" t="str">
        <x:v>Dasyatidae</x:v>
      </x:c>
      <x:c r="F159" s="24" t="str">
        <x:v>Whiptail stingrays</x:v>
      </x:c>
      <x:c r="G159" s="24" t="str">
        <x:v>Large rays (&gt;=90 cm)</x:v>
      </x:c>
      <x:c r="H159" s="24" t="str">
        <x:v>Sharks &amp; rays</x:v>
      </x:c>
      <x:c r="I159" s="31" t="n">
        <x:v>0.0413964728</x:v>
      </x:c>
      <x:c r="J159" s="31" t="n">
        <x:v>0.0413964728</x:v>
      </x:c>
      <x:c r="K159" s="31" t="n">
        <x:v>0</x:v>
      </x:c>
      <x:c r="L159" s="31" t="n">
        <x:v>0.0413964728</x:v>
      </x:c>
      <x:c r="M159" s="31" t="n">
        <x:v>0</x:v>
      </x:c>
      <x:c r="N159" s="24" t="str">
        <x:v>dasyatidae</x:v>
      </x:c>
      <x:c r="O159" s="32" t="n">
        <x:v>3.38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Dasyatidae</x:v>
      </x:c>
      <x:c r="T159" s="32" t="n">
        <x:f>IF(O159="","",(1/'Metadata'!$B$5)^(O159-1))</x:f>
        <x:v>239.88329190194898</x:v>
      </x:c>
      <x:c r="U159" s="31" t="n">
        <x:f>IF(T159="","",I159*T159)</x:f>
        <x:v>9.930322168393491</x:v>
      </x:c>
    </x:row>
    <x:row r="160" ht="18" customHeight="1">
      <x:c r="A160" s="24" t="str">
        <x:v>EEZ_380</x:v>
      </x:c>
      <x:c r="B160" s="24" t="str">
        <x:v>Italy (mainland)</x:v>
      </x:c>
      <x:c r="C160" s="24" t="str">
        <x:v>EEZ</x:v>
      </x:c>
      <x:c r="D160" s="30" t="n">
        <x:v>2019</x:v>
      </x:c>
      <x:c r="E160" s="24" t="str">
        <x:v>Isurus oxyrinchus</x:v>
      </x:c>
      <x:c r="F160" s="24" t="str">
        <x:v>Shortfin mako</x:v>
      </x:c>
      <x:c r="G160" s="24" t="str">
        <x:v>Large sharks (&gt;=90 cm)</x:v>
      </x:c>
      <x:c r="H160" s="24" t="str">
        <x:v>Sharks &amp; rays</x:v>
      </x:c>
      <x:c r="I160" s="31" t="n">
        <x:v>0.012984182399999999</x:v>
      </x:c>
      <x:c r="J160" s="31" t="n">
        <x:v>0.012984182399999999</x:v>
      </x:c>
      <x:c r="K160" s="31" t="n">
        <x:v>0</x:v>
      </x:c>
      <x:c r="L160" s="31" t="n">
        <x:v>0.012984182399999999</x:v>
      </x:c>
      <x:c r="M160" s="31" t="n">
        <x:v>0</x:v>
      </x:c>
      <x:c r="N160" s="24" t="str">
        <x:v>isurus oxyrinchus</x:v>
      </x:c>
      <x:c r="O160" s="32" t="n">
        <x:v>4.5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Isurus oxyrinchus</x:v>
      </x:c>
      <x:c r="T160" s="32" t="n">
        <x:f>IF(O160="","",(1/'Metadata'!$B$5)^(O160-1))</x:f>
        <x:v>3162.2776601683795</x:v>
      </x:c>
      <x:c r="U160" s="31" t="n">
        <x:f>IF(T160="","",I160*T160)</x:f>
        <x:v>41.05958993907145</x:v>
      </x:c>
    </x:row>
  </x:sheetData>
  <x:conditionalFormatting sqref="R2:R16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9193810fa7641e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37374.459049266</x:v>
      </x:c>
      <x:c r="E2" s="31" t="n">
        <x:v>37374.459049266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IF(C2=0,"",SUMIF('Species'!$H$2:$H$160,A2,'Species'!$U$2:$U$160))</x:f>
        <x:v>4814763.0114990305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4814763.0114990305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6</x:v>
      </x:c>
      <x:c r="C3" s="33" t="n">
        <x:v>6</x:v>
      </x:c>
      <x:c r="D3" s="31" t="n">
        <x:v>9148.525733494002</x:v>
      </x:c>
      <x:c r="E3" s="31" t="n">
        <x:v>9148.525733494002</x:v>
      </x:c>
      <x:c r="F3" s="32" t="n">
        <x:v>0</x:v>
      </x:c>
      <x:c r="G3" s="34" t="n">
        <x:v>1</x:v>
      </x:c>
      <x:c r="H3" s="32" t="n">
        <x:f>IF(E3=0,"",I3/E3)</x:f>
        <x:v>2371.438315481548</x:v>
      </x:c>
      <x:c r="I3" s="31" t="n">
        <x:f>IF(C3=0,"",SUMIF('Species'!$H$2:$H$160,A3,'Species'!$U$2:$U$160))</x:f>
        <x:v>21695164.45457661</x:v>
      </x:c>
      <x:c r="J3" s="32" t="n">
        <x:v>4.348065754216404</x:v>
      </x:c>
      <x:c r="K3" s="32" t="n">
        <x:f>IF(J3="","",(1/'Metadata'!$B$5)^(J3-1))</x:f>
        <x:v>2228.772570320541</x:v>
      </x:c>
      <x:c r="L3" s="31" t="n">
        <x:f>IF(E3=0,"",E3*K3)</x:f>
        <x:v>20389983.21368304</x:v>
      </x:c>
      <x:c r="M3" s="31" t="n">
        <x:f>IF(E3=0,"",I3-L3)</x:f>
        <x:v>1305181.2408935726</x:v>
      </x:c>
      <x:c r="N3" s="32" t="n">
        <x:f>IF(L3=0,"",I3/L3)</x:f>
        <x:v>1.0640109031584541</x:v>
      </x:c>
      <x:c r="O3" s="34" t="n">
        <x:f>IF(L3=0,"",M3/L3)</x:f>
        <x:v>0.06401090315845424</x:v>
      </x:c>
    </x:row>
    <x:row r="4" ht="18" customHeight="1">
      <x:c r="A4" s="24" t="str">
        <x:v>Crustaceans</x:v>
      </x:c>
      <x:c r="B4" s="33" t="n">
        <x:v>11</x:v>
      </x:c>
      <x:c r="C4" s="33" t="n">
        <x:v>11</x:v>
      </x:c>
      <x:c r="D4" s="31" t="n">
        <x:v>12697.5916607305</x:v>
      </x:c>
      <x:c r="E4" s="31" t="n">
        <x:v>12697.5916607305</x:v>
      </x:c>
      <x:c r="F4" s="32" t="n">
        <x:v>0</x:v>
      </x:c>
      <x:c r="G4" s="34" t="n">
        <x:v>1</x:v>
      </x:c>
      <x:c r="H4" s="32" t="n">
        <x:f>IF(E4=0,"",I4/E4)</x:f>
        <x:v>272.35789180194035</x:v>
      </x:c>
      <x:c r="I4" s="31" t="n">
        <x:f>IF(C4=0,"",SUMIF('Species'!$H$2:$H$160,A4,'Species'!$U$2:$U$160))</x:f>
        <x:v>3458289.2956784577</x:v>
      </x:c>
      <x:c r="J4" s="32" t="n">
        <x:v>3.3406833730059913</x:v>
      </x:c>
      <x:c r="K4" s="32" t="n">
        <x:f>IF(J4="","",(1/'Metadata'!$B$5)^(J4-1))</x:f>
        <x:v>219.12068303048923</x:v>
      </x:c>
      <x:c r="L4" s="31" t="n">
        <x:f>IF(E4=0,"",E4*K4)</x:f>
        <x:v>2782304.9575415114</x:v>
      </x:c>
      <x:c r="M4" s="31" t="n">
        <x:f>IF(E4=0,"",I4-L4)</x:f>
        <x:v>675984.3381369463</x:v>
      </x:c>
      <x:c r="N4" s="32" t="n">
        <x:f>IF(L4=0,"",I4/L4)</x:f>
        <x:v>1.2429583918558866</x:v>
      </x:c>
      <x:c r="O4" s="34" t="n">
        <x:f>IF(L4=0,"",M4/L4)</x:f>
        <x:v>0.24295839185588655</x:v>
      </x:c>
    </x:row>
    <x:row r="5" ht="18" customHeight="1">
      <x:c r="A5" s="24" t="str">
        <x:v>Flatfishes</x:v>
      </x:c>
      <x:c r="B5" s="33" t="n">
        <x:v>7</x:v>
      </x:c>
      <x:c r="C5" s="33" t="n">
        <x:v>7</x:v>
      </x:c>
      <x:c r="D5" s="31" t="n">
        <x:v>3328.20837952</x:v>
      </x:c>
      <x:c r="E5" s="31" t="n">
        <x:v>3328.20837952</x:v>
      </x:c>
      <x:c r="F5" s="32" t="n">
        <x:v>0</x:v>
      </x:c>
      <x:c r="G5" s="34" t="n">
        <x:v>1</x:v>
      </x:c>
      <x:c r="H5" s="32" t="n">
        <x:f>IF(E5=0,"",I5/E5)</x:f>
        <x:v>418.6316593958918</x:v>
      </x:c>
      <x:c r="I5" s="31" t="n">
        <x:f>IF(C5=0,"",SUMIF('Species'!$H$2:$H$160,A5,'Species'!$U$2:$U$160))</x:f>
        <x:v>1393293.3967337697</x:v>
      </x:c>
      <x:c r="J5" s="32" t="n">
        <x:v>3.393702201085204</x:v>
      </x:c>
      <x:c r="K5" s="32" t="n">
        <x:f>IF(J5="","",(1/'Metadata'!$B$5)^(J5-1))</x:f>
        <x:v>247.57238534414148</x:v>
      </x:c>
      <x:c r="L5" s="31" t="n">
        <x:f>IF(E5=0,"",E5*K5)</x:f>
        <x:v>823972.4874401261</x:v>
      </x:c>
      <x:c r="M5" s="31" t="n">
        <x:f>IF(E5=0,"",I5-L5)</x:f>
        <x:v>569320.9092936435</x:v>
      </x:c>
      <x:c r="N5" s="32" t="n">
        <x:f>IF(L5=0,"",I5/L5)</x:f>
        <x:v>1.6909465036416198</x:v>
      </x:c>
      <x:c r="O5" s="34" t="n">
        <x:f>IF(L5=0,"",M5/L5)</x:f>
        <x:v>0.6909465036416197</x:v>
      </x:c>
    </x:row>
    <x:row r="6" ht="18" customHeight="1">
      <x:c r="A6" s="24" t="str">
        <x:v>Herring-likes</x:v>
      </x:c>
      <x:c r="B6" s="33" t="n">
        <x:v>3</x:v>
      </x:c>
      <x:c r="C6" s="33" t="n">
        <x:v>3</x:v>
      </x:c>
      <x:c r="D6" s="31" t="n">
        <x:v>28863.7538201061</x:v>
      </x:c>
      <x:c r="E6" s="31" t="n">
        <x:v>28863.7538201061</x:v>
      </x:c>
      <x:c r="F6" s="32" t="n">
        <x:v>0</x:v>
      </x:c>
      <x:c r="G6" s="34" t="n">
        <x:v>1</x:v>
      </x:c>
      <x:c r="H6" s="32" t="n">
        <x:f>IF(E6=0,"",I6/E6)</x:f>
        <x:v>115.82398927564074</x:v>
      </x:c>
      <x:c r="I6" s="31" t="n">
        <x:f>IF(C6=0,"",SUMIF('Species'!$H$2:$H$160,A6,'Species'!$U$2:$U$160))</x:f>
        <x:v>3343115.1129147033</x:v>
      </x:c>
      <x:c r="J6" s="32" t="n">
        <x:v>3.062489996023823</x:v>
      </x:c>
      <x:c r="K6" s="32" t="n">
        <x:f>IF(J6="","",(1/'Metadata'!$B$5)^(J6-1))</x:f>
        <x:v>115.47553845854004</x:v>
      </x:c>
      <x:c r="L6" s="31" t="n">
        <x:f>IF(E6=0,"",E6*K6)</x:f>
        <x:v>3333057.514311494</x:v>
      </x:c>
      <x:c r="M6" s="31" t="n">
        <x:f>IF(E6=0,"",I6-L6)</x:f>
        <x:v>10057.59860320948</x:v>
      </x:c>
      <x:c r="N6" s="32" t="n">
        <x:f>IF(L6=0,"",I6/L6)</x:f>
        <x:v>1.0030175292685541</x:v>
      </x:c>
      <x:c r="O6" s="34" t="n">
        <x:f>IF(L6=0,"",M6/L6)</x:f>
        <x:v>0.0030175292685542116</x:v>
      </x:c>
    </x:row>
    <x:row r="7" ht="18" customHeight="1">
      <x:c r="A7" s="24" t="str">
        <x:v>Molluscs</x:v>
      </x:c>
      <x:c r="B7" s="33" t="n">
        <x:v>8</x:v>
      </x:c>
      <x:c r="C7" s="33" t="n">
        <x:v>8</x:v>
      </x:c>
      <x:c r="D7" s="31" t="n">
        <x:v>19883.155885279</x:v>
      </x:c>
      <x:c r="E7" s="31" t="n">
        <x:v>19883.155885279</x:v>
      </x:c>
      <x:c r="F7" s="32" t="n">
        <x:v>0</x:v>
      </x:c>
      <x:c r="G7" s="34" t="n">
        <x:v>1</x:v>
      </x:c>
      <x:c r="H7" s="32" t="n">
        <x:f>IF(E7=0,"",I7/E7)</x:f>
        <x:v>32.37693178088109</x:v>
      </x:c>
      <x:c r="I7" s="31" t="n">
        <x:f>IF(C7=0,"",SUMIF('Species'!$H$2:$H$160,A7,'Species'!$U$2:$U$160))</x:f>
        <x:v>643755.5816863024</x:v>
      </x:c>
      <x:c r="J7" s="32" t="n">
        <x:v>2.2310330575029913</x:v>
      </x:c>
      <x:c r="K7" s="32" t="n">
        <x:f>IF(J7="","",(1/'Metadata'!$B$5)^(J7-1))</x:f>
        <x:v>17.02288077739992</x:v>
      </x:c>
      <x:c r="L7" s="31" t="n">
        <x:f>IF(E7=0,"",E7*K7)</x:f>
        <x:v>338468.592113562</x:v>
      </x:c>
      <x:c r="M7" s="31" t="n">
        <x:f>IF(E7=0,"",I7-L7)</x:f>
        <x:v>305286.98957274045</x:v>
      </x:c>
      <x:c r="N7" s="32" t="n">
        <x:f>IF(L7=0,"",I7/L7)</x:f>
        <x:v>1.901965490110561</x:v>
      </x:c>
      <x:c r="O7" s="34" t="n">
        <x:f>IF(L7=0,"",M7/L7)</x:f>
        <x:v>0.9019654901105608</x:v>
      </x:c>
    </x:row>
    <x:row r="8" ht="18" customHeight="1">
      <x:c r="A8" s="24" t="str">
        <x:v>Other fishes &amp; inverts</x:v>
      </x:c>
      <x:c r="B8" s="33" t="n">
        <x:v>28</x:v>
      </x:c>
      <x:c r="C8" s="33" t="n">
        <x:v>28</x:v>
      </x:c>
      <x:c r="D8" s="31" t="n">
        <x:v>25906.292602037705</x:v>
      </x:c>
      <x:c r="E8" s="31" t="n">
        <x:v>25906.292602037705</x:v>
      </x:c>
      <x:c r="F8" s="32" t="n">
        <x:v>0</x:v>
      </x:c>
      <x:c r="G8" s="34" t="n">
        <x:v>1</x:v>
      </x:c>
      <x:c r="H8" s="32" t="n">
        <x:f>IF(E8=0,"",I8/E8)</x:f>
        <x:v>698.4831837753036</x:v>
      </x:c>
      <x:c r="I8" s="31" t="n">
        <x:f>IF(C8=0,"",SUMIF('Species'!$H$2:$H$160,A8,'Species'!$U$2:$U$160))</x:f>
        <x:v>18095109.73648589</x:v>
      </x:c>
      <x:c r="J8" s="32" t="n">
        <x:v>3.6971870504876962</x:v>
      </x:c>
      <x:c r="K8" s="32" t="n">
        <x:f>IF(J8="","",(1/'Metadata'!$B$5)^(J8-1))</x:f>
        <x:v>497.9515063467897</x:v>
      </x:c>
      <x:c r="L8" s="31" t="n">
        <x:f>IF(E8=0,"",E8*K8)</x:f>
        <x:v>12900077.42504537</x:v>
      </x:c>
      <x:c r="M8" s="31" t="n">
        <x:f>IF(E8=0,"",I8-L8)</x:f>
        <x:v>5195032.311440522</x:v>
      </x:c>
      <x:c r="N8" s="32" t="n">
        <x:f>IF(L8=0,"",I8/L8)</x:f>
        <x:v>1.4027132659959405</x:v>
      </x:c>
      <x:c r="O8" s="34" t="n">
        <x:f>IF(L8=0,"",M8/L8)</x:f>
        <x:v>0.40271326599594043</x:v>
      </x:c>
    </x:row>
    <x:row r="9" ht="18" customHeight="1">
      <x:c r="A9" s="24" t="str">
        <x:v>Perch-likes</x:v>
      </x:c>
      <x:c r="B9" s="33" t="n">
        <x:v>55</x:v>
      </x:c>
      <x:c r="C9" s="33" t="n">
        <x:v>55</x:v>
      </x:c>
      <x:c r="D9" s="31" t="n">
        <x:v>64287.73016486559</x:v>
      </x:c>
      <x:c r="E9" s="31" t="n">
        <x:v>64287.73016486559</x:v>
      </x:c>
      <x:c r="F9" s="32" t="n">
        <x:v>0</x:v>
      </x:c>
      <x:c r="G9" s="34" t="n">
        <x:v>1</x:v>
      </x:c>
      <x:c r="H9" s="32" t="n">
        <x:f>IF(E9=0,"",I9/E9)</x:f>
        <x:v>519.3562079949029</x:v>
      </x:c>
      <x:c r="I9" s="31" t="n">
        <x:f>IF(C9=0,"",SUMIF('Species'!$H$2:$H$160,A9,'Species'!$U$2:$U$160))</x:f>
        <x:v>33388231.75902413</x:v>
      </x:c>
      <x:c r="J9" s="32" t="n">
        <x:v>3.4175935402195026</x:v>
      </x:c>
      <x:c r="K9" s="32" t="n">
        <x:f>IF(J9="","",(1/'Metadata'!$B$5)^(J9-1))</x:f>
        <x:v>261.57337754973963</x:v>
      </x:c>
      <x:c r="L9" s="31" t="n">
        <x:f>IF(E9=0,"",E9*K9)</x:f>
        <x:v>16815958.714230172</x:v>
      </x:c>
      <x:c r="M9" s="31" t="n">
        <x:f>IF(E9=0,"",I9-L9)</x:f>
        <x:v>16572273.044793956</x:v>
      </x:c>
      <x:c r="N9" s="32" t="n">
        <x:f>IF(L9=0,"",I9/L9)</x:f>
        <x:v>1.9855086662867456</x:v>
      </x:c>
      <x:c r="O9" s="34" t="n">
        <x:f>IF(L9=0,"",M9/L9)</x:f>
        <x:v>0.9855086662867457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18.964896661</x:v>
      </x:c>
      <x:c r="E10" s="31" t="n">
        <x:v>18.964896661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IF(C10=0,"",SUMIF('Species'!$H$2:$H$160,A10,'Species'!$U$2:$U$160))</x:f>
        <x:v>4245.711504574483</x:v>
      </x:c>
      <x:c r="J10" s="32" t="n">
        <x:v>3.35</x:v>
      </x:c>
      <x:c r="K10" s="32" t="n">
        <x:f>IF(J10="","",(1/'Metadata'!$B$5)^(J10-1))</x:f>
        <x:v>223.872113856834</x:v>
      </x:c>
      <x:c r="L10" s="31" t="n">
        <x:f>IF(E10=0,"",E10*K10)</x:f>
        <x:v>4245.711504574483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Scorpionfishes</x:v>
      </x:c>
      <x:c r="B11" s="33" t="n">
        <x:v>11</x:v>
      </x:c>
      <x:c r="C11" s="33" t="n">
        <x:v>11</x:v>
      </x:c>
      <x:c r="D11" s="31" t="n">
        <x:v>4207.384685032202</x:v>
      </x:c>
      <x:c r="E11" s="31" t="n">
        <x:v>4207.384685032202</x:v>
      </x:c>
      <x:c r="F11" s="32" t="n">
        <x:v>0</x:v>
      </x:c>
      <x:c r="G11" s="34" t="n">
        <x:v>1</x:v>
      </x:c>
      <x:c r="H11" s="32" t="n">
        <x:f>IF(E11=0,"",I11/E11)</x:f>
        <x:v>993.4945153535659</x:v>
      </x:c>
      <x:c r="I11" s="31" t="n">
        <x:f>IF(C11=0,"",SUMIF('Species'!$H$2:$H$160,A11,'Species'!$U$2:$U$160))</x:f>
        <x:v>4180013.6085620825</x:v>
      </x:c>
      <x:c r="J11" s="32" t="n">
        <x:v>3.9708939007278796</x:v>
      </x:c>
      <x:c r="K11" s="32" t="n">
        <x:f>IF(J11="","",(1/'Metadata'!$B$5)^(J11-1))</x:f>
        <x:v>935.1771800190851</x:v>
      </x:c>
      <x:c r="L11" s="31" t="n">
        <x:f>IF(E11=0,"",E11*K11)</x:f>
        <x:v>3934650.145003901</x:v>
      </x:c>
      <x:c r="M11" s="31" t="n">
        <x:f>IF(E11=0,"",I11-L11)</x:f>
        <x:v>245363.46355818165</x:v>
      </x:c>
      <x:c r="N11" s="32" t="n">
        <x:f>IF(L11=0,"",I11/L11)</x:f>
        <x:v>1.062359664650169</x:v>
      </x:c>
      <x:c r="O11" s="34" t="n">
        <x:f>IF(L11=0,"",M11/L11)</x:f>
        <x:v>0.06235966465016889</x:v>
      </x:c>
    </x:row>
    <x:row r="12" ht="18" customHeight="1">
      <x:c r="A12" s="24" t="str">
        <x:v>Sharks &amp; rays</x:v>
      </x:c>
      <x:c r="B12" s="33" t="n">
        <x:v>17</x:v>
      </x:c>
      <x:c r="C12" s="33" t="n">
        <x:v>17</x:v>
      </x:c>
      <x:c r="D12" s="31" t="n">
        <x:v>3020.8227425258</x:v>
      </x:c>
      <x:c r="E12" s="31" t="n">
        <x:v>3020.8227425258</x:v>
      </x:c>
      <x:c r="F12" s="32" t="n">
        <x:v>0</x:v>
      </x:c>
      <x:c r="G12" s="34" t="n">
        <x:v>1</x:v>
      </x:c>
      <x:c r="H12" s="32" t="n">
        <x:f>IF(E12=0,"",I12/E12)</x:f>
        <x:v>1605.5874637496934</x:v>
      </x:c>
      <x:c r="I12" s="31" t="n">
        <x:f>IF(C12=0,"",SUMIF('Species'!$H$2:$H$160,A12,'Species'!$U$2:$U$160))</x:f>
        <x:v>4850195.125609392</x:v>
      </x:c>
      <x:c r="J12" s="32" t="n">
        <x:v>4.1144582694823315</x:v>
      </x:c>
      <x:c r="K12" s="32" t="n">
        <x:f>IF(J12="","",(1/'Metadata'!$B$5)^(J12-1))</x:f>
        <x:v>1301.542246890754</x:v>
      </x:c>
      <x:c r="L12" s="31" t="n">
        <x:f>IF(E12=0,"",E12*K12)</x:f>
        <x:v>3931728.4197657197</x:v>
      </x:c>
      <x:c r="M12" s="31" t="n">
        <x:f>IF(E12=0,"",I12-L12)</x:f>
        <x:v>918466.7058436726</x:v>
      </x:c>
      <x:c r="N12" s="32" t="n">
        <x:f>IF(L12=0,"",I12/L12)</x:f>
        <x:v>1.233603801632464</x:v>
      </x:c>
      <x:c r="O12" s="34" t="n">
        <x:f>IF(L12=0,"",M12/L12)</x:f>
        <x:v>0.23360380163246408</x:v>
      </x:c>
    </x:row>
    <x:row r="13" ht="18" customHeight="1">
      <x:c r="A13" s="24" t="str">
        <x:v>Tuna &amp; billfishes</x:v>
      </x:c>
      <x:c r="B13" s="33" t="n">
        <x:v>11</x:v>
      </x:c>
      <x:c r="C13" s="33" t="n">
        <x:v>11</x:v>
      </x:c>
      <x:c r="D13" s="31" t="n">
        <x:v>25740.705051943503</x:v>
      </x:c>
      <x:c r="E13" s="31" t="n">
        <x:v>25740.705051943503</x:v>
      </x:c>
      <x:c r="F13" s="32" t="n">
        <x:v>0</x:v>
      </x:c>
      <x:c r="G13" s="34" t="n">
        <x:v>1</x:v>
      </x:c>
      <x:c r="H13" s="32" t="n">
        <x:f>IF(E13=0,"",I13/E13)</x:f>
        <x:v>2736.0932252230828</x:v>
      </x:c>
      <x:c r="I13" s="31" t="n">
        <x:f>IF(C13=0,"",SUMIF('Species'!$H$2:$H$160,A13,'Species'!$U$2:$U$160))</x:f>
        <x:v>70428968.7050882</x:v>
      </x:c>
      <x:c r="J13" s="32" t="n">
        <x:v>4.429375420812637</x:v>
      </x:c>
      <x:c r="K13" s="32" t="n">
        <x:f>IF(J13="","",(1/'Metadata'!$B$5)^(J13-1))</x:f>
        <x:v>2687.6667640312826</x:v>
      </x:c>
      <x:c r="L13" s="31" t="n">
        <x:f>IF(E13=0,"",E13*K13)</x:f>
        <x:v>69182437.45084068</x:v>
      </x:c>
      <x:c r="M13" s="31" t="n">
        <x:f>IF(E13=0,"",I13-L13)</x:f>
        <x:v>1246531.2542475164</x:v>
      </x:c>
      <x:c r="N13" s="32" t="n">
        <x:f>IF(L13=0,"",I13/L13)</x:f>
        <x:v>1.0180180303004396</x:v>
      </x:c>
      <x:c r="O13" s="34" t="n">
        <x:f>IF(L13=0,"",M13/L13)</x:f>
        <x:v>0.018018030300439622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49bcb50855b743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13</x:v>
      </x:c>
      <x:c r="C2" s="33" t="n">
        <x:v>13</x:v>
      </x:c>
      <x:c r="D2" s="31" t="n">
        <x:v>14757.3954081492</x:v>
      </x:c>
      <x:c r="E2" s="31" t="n">
        <x:v>14757.3954081492</x:v>
      </x:c>
      <x:c r="F2" s="32" t="n">
        <x:v>0</x:v>
      </x:c>
      <x:c r="G2" s="34" t="n">
        <x:v>1</x:v>
      </x:c>
      <x:c r="H2" s="32" t="n">
        <x:f>IF(E2=0,"",I2/E2)</x:f>
        <x:v>663.9471588255407</x:v>
      </x:c>
      <x:c r="I2" s="31" t="n">
        <x:f>IF(C2=0,"",SUMIF('Species'!$G$2:$G$160,A2,'Species'!$U$2:$U$160))</x:f>
        <x:v>9798130.752905741</x:v>
      </x:c>
      <x:c r="J2" s="32" t="n">
        <x:v>3.787187953096628</x:v>
      </x:c>
      <x:c r="K2" s="32" t="n">
        <x:f>IF(J2="","",(1/'Metadata'!$B$5)^(J2-1))</x:f>
        <x:v>612.6154608555781</x:v>
      </x:c>
      <x:c r="L2" s="31" t="n">
        <x:f>IF(E2=0,"",E2*K2)</x:f>
        <x:v>9040608.588991314</x:v>
      </x:c>
      <x:c r="M2" s="31" t="n">
        <x:f>IF(E2=0,"",I2-L2)</x:f>
        <x:v>757522.1639144272</x:v>
      </x:c>
      <x:c r="N2" s="32" t="n">
        <x:f>IF(L2=0,"",I2/L2)</x:f>
        <x:v>1.0837910585839161</x:v>
      </x:c>
      <x:c r="O2" s="34" t="n">
        <x:f>IF(L2=0,"",M2/L2)</x:f>
        <x:v>0.0837910585839162</x:v>
      </x:c>
    </x:row>
    <x:row r="3" ht="18" customHeight="1">
      <x:c r="A3" s="24" t="str">
        <x:v>Large bathydemersals (&gt;=90 cm)</x:v>
      </x:c>
      <x:c r="B3" s="33" t="n">
        <x:v>2</x:v>
      </x:c>
      <x:c r="C3" s="33" t="n">
        <x:v>2</x:v>
      </x:c>
      <x:c r="D3" s="31" t="n">
        <x:v>1463.166026164</x:v>
      </x:c>
      <x:c r="E3" s="31" t="n">
        <x:v>1463.166026164</x:v>
      </x:c>
      <x:c r="F3" s="32" t="n">
        <x:v>0</x:v>
      </x:c>
      <x:c r="G3" s="34" t="n">
        <x:v>1</x:v>
      </x:c>
      <x:c r="H3" s="32" t="n">
        <x:f>IF(E3=0,"",I3/E3)</x:f>
        <x:v>662.3596228041454</x:v>
      </x:c>
      <x:c r="I3" s="31" t="n">
        <x:f>IF(C3=0,"",SUMIF('Species'!$G$2:$G$160,A3,'Species'!$U$2:$U$160))</x:f>
        <x:v>969142.0971898274</x:v>
      </x:c>
      <x:c r="J3" s="32" t="n">
        <x:v>3.8205147624905043</x:v>
      </x:c>
      <x:c r="K3" s="32" t="n">
        <x:f>IF(J3="","",(1/'Metadata'!$B$5)^(J3-1))</x:f>
        <x:v>661.4770219564585</x:v>
      </x:c>
      <x:c r="L3" s="31" t="n">
        <x:f>IF(E3=0,"",E3*K3)</x:f>
        <x:v>967850.7056148284</x:v>
      </x:c>
      <x:c r="M3" s="31" t="n">
        <x:f>IF(E3=0,"",I3-L3)</x:f>
        <x:v>1291.3915749989683</x:v>
      </x:c>
      <x:c r="N3" s="32" t="n">
        <x:f>IF(L3=0,"",I3/L3)</x:f>
        <x:v>1.0013342879924634</x:v>
      </x:c>
      <x:c r="O3" s="34" t="n">
        <x:f>IF(L3=0,"",M3/L3)</x:f>
        <x:v>0.0013342879924632695</x:v>
      </x:c>
    </x:row>
    <x:row r="4" ht="18" customHeight="1">
      <x:c r="A4" s="24" t="str">
        <x:v>Large benthopelagics (&gt;=90 cm)</x:v>
      </x:c>
      <x:c r="B4" s="33" t="n">
        <x:v>3</x:v>
      </x:c>
      <x:c r="C4" s="33" t="n">
        <x:v>3</x:v>
      </x:c>
      <x:c r="D4" s="31" t="n">
        <x:v>5576.569886219</x:v>
      </x:c>
      <x:c r="E4" s="31" t="n">
        <x:v>5576.569886219</x:v>
      </x:c>
      <x:c r="F4" s="32" t="n">
        <x:v>0</x:v>
      </x:c>
      <x:c r="G4" s="34" t="n">
        <x:v>1</x:v>
      </x:c>
      <x:c r="H4" s="32" t="n">
        <x:f>IF(E4=0,"",I4/E4)</x:f>
        <x:v>930.1634540040626</x:v>
      </x:c>
      <x:c r="I4" s="31" t="n">
        <x:f>IF(C4=0,"",SUMIF('Species'!$G$2:$G$160,A4,'Species'!$U$2:$U$160))</x:f>
        <x:v>5187121.506860508</x:v>
      </x:c>
      <x:c r="J4" s="32" t="n">
        <x:v>2.8055874178407216</x:v>
      </x:c>
      <x:c r="K4" s="32" t="n">
        <x:f>IF(J4="","",(1/'Metadata'!$B$5)^(J4-1))</x:f>
        <x:v>63.91273724437783</x:v>
      </x:c>
      <x:c r="L4" s="31" t="n">
        <x:f>IF(E4=0,"",E4*K4)</x:f>
        <x:v>356413.84586282494</x:v>
      </x:c>
      <x:c r="M4" s="31" t="n">
        <x:f>IF(E4=0,"",I4-L4)</x:f>
        <x:v>4830707.660997683</x:v>
      </x:c>
      <x:c r="N4" s="32" t="n">
        <x:f>IF(L4=0,"",I4/L4)</x:f>
        <x:v>14.553647584322258</x:v>
      </x:c>
      <x:c r="O4" s="34" t="n">
        <x:f>IF(L4=0,"",M4/L4)</x:f>
        <x:v>13.55364758432226</x:v>
      </x:c>
    </x:row>
    <x:row r="5" ht="18" customHeight="1">
      <x:c r="A5" s="24" t="str">
        <x:v>Large demersals (&gt;=90 cm)</x:v>
      </x:c>
      <x:c r="B5" s="33" t="n">
        <x:v>4</x:v>
      </x:c>
      <x:c r="C5" s="33" t="n">
        <x:v>4</x:v>
      </x:c>
      <x:c r="D5" s="31" t="n">
        <x:v>8191.0584771101</x:v>
      </x:c>
      <x:c r="E5" s="31" t="n">
        <x:v>8191.0584771101</x:v>
      </x:c>
      <x:c r="F5" s="32" t="n">
        <x:v>0</x:v>
      </x:c>
      <x:c r="G5" s="34" t="n">
        <x:v>1</x:v>
      </x:c>
      <x:c r="H5" s="32" t="n">
        <x:f>IF(E5=0,"",I5/E5)</x:f>
        <x:v>2369.9564583991146</x:v>
      </x:c>
      <x:c r="I5" s="31" t="n">
        <x:f>IF(C5=0,"",SUMIF('Species'!$G$2:$G$160,A5,'Species'!$U$2:$U$160))</x:f>
        <x:v>19412451.9389519</x:v>
      </x:c>
      <x:c r="J5" s="32" t="n">
        <x:v>4.340096089160231</x:v>
      </x:c>
      <x:c r="K5" s="32" t="n">
        <x:f>IF(J5="","",(1/'Metadata'!$B$5)^(J5-1))</x:f>
        <x:v>2188.245727348695</x:v>
      </x:c>
      <x:c r="L5" s="31" t="n">
        <x:f>IF(E5=0,"",E5*K5)</x:f>
        <x:v>17924048.714999482</x:v>
      </x:c>
      <x:c r="M5" s="31" t="n">
        <x:f>IF(E5=0,"",I5-L5)</x:f>
        <x:v>1488403.2239524163</x:v>
      </x:c>
      <x:c r="N5" s="32" t="n">
        <x:f>IF(L5=0,"",I5/L5)</x:f>
        <x:v>1.083039454289525</x:v>
      </x:c>
      <x:c r="O5" s="34" t="n">
        <x:f>IF(L5=0,"",M5/L5)</x:f>
        <x:v>0.08303945428952486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271.19865030700004</x:v>
      </x:c>
      <x:c r="E6" s="31" t="n">
        <x:v>271.19865030700004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IF(C6=0,"",SUMIF('Species'!$G$2:$G$160,A6,'Species'!$U$2:$U$160))</x:f>
        <x:v>621280.2154625858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621280.2154625858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12</x:v>
      </x:c>
      <x:c r="C7" s="33" t="n">
        <x:v>12</x:v>
      </x:c>
      <x:c r="D7" s="31" t="n">
        <x:v>21371.5523811049</x:v>
      </x:c>
      <x:c r="E7" s="31" t="n">
        <x:v>21371.5523811049</x:v>
      </x:c>
      <x:c r="F7" s="32" t="n">
        <x:v>0</x:v>
      </x:c>
      <x:c r="G7" s="34" t="n">
        <x:v>1</x:v>
      </x:c>
      <x:c r="H7" s="32" t="n">
        <x:f>IF(E7=0,"",I7/E7)</x:f>
        <x:v>2609.246657196454</x:v>
      </x:c>
      <x:c r="I7" s="31" t="n">
        <x:f>IF(C7=0,"",SUMIF('Species'!$G$2:$G$160,A7,'Species'!$U$2:$U$160))</x:f>
        <x:v>55763651.60949688</x:v>
      </x:c>
      <x:c r="J7" s="32" t="n">
        <x:v>4.409183668712593</x:v>
      </x:c>
      <x:c r="K7" s="32" t="n">
        <x:f>IF(J7="","",(1/'Metadata'!$B$5)^(J7-1))</x:f>
        <x:v>2565.568819111957</x:v>
      </x:c>
      <x:c r="L7" s="31" t="n">
        <x:f>IF(E7=0,"",E7*K7)</x:f>
        <x:v>54830188.40498063</x:v>
      </x:c>
      <x:c r="M7" s="31" t="n">
        <x:f>IF(E7=0,"",I7-L7)</x:f>
        <x:v>933463.2045162469</x:v>
      </x:c>
      <x:c r="N7" s="32" t="n">
        <x:f>IF(L7=0,"",I7/L7)</x:f>
        <x:v>1.017024621502695</x:v>
      </x:c>
      <x:c r="O7" s="34" t="n">
        <x:f>IF(L7=0,"",M7/L7)</x:f>
        <x:v>0.01702462150269492</x:v>
      </x:c>
    </x:row>
    <x:row r="8" ht="18" customHeight="1">
      <x:c r="A8" s="24" t="str">
        <x:v>Large rays (&gt;=90 cm)</x:v>
      </x:c>
      <x:c r="B8" s="33" t="n">
        <x:v>4</x:v>
      </x:c>
      <x:c r="C8" s="33" t="n">
        <x:v>4</x:v>
      </x:c>
      <x:c r="D8" s="31" t="n">
        <x:v>545.9556095288</x:v>
      </x:c>
      <x:c r="E8" s="31" t="n">
        <x:v>545.9556095288</x:v>
      </x:c>
      <x:c r="F8" s="32" t="n">
        <x:v>0</x:v>
      </x:c>
      <x:c r="G8" s="34" t="n">
        <x:v>1</x:v>
      </x:c>
      <x:c r="H8" s="32" t="n">
        <x:f>IF(E8=0,"",I8/E8)</x:f>
        <x:v>884.1565306308714</x:v>
      </x:c>
      <x:c r="I8" s="31" t="n">
        <x:f>IF(C8=0,"",SUMIF('Species'!$G$2:$G$160,A8,'Species'!$U$2:$U$160))</x:f>
        <x:v>482710.21759944654</x:v>
      </x:c>
      <x:c r="J8" s="32" t="n">
        <x:v>3.887325622901176</x:v>
      </x:c>
      <x:c r="K8" s="32" t="n">
        <x:f>IF(J8="","",(1/'Metadata'!$B$5)^(J8-1))</x:f>
        <x:v>771.4816895202141</x:v>
      </x:c>
      <x:c r="L8" s="31" t="n">
        <x:f>IF(E8=0,"",E8*K8)</x:f>
        <x:v>421194.7560423169</x:v>
      </x:c>
      <x:c r="M8" s="31" t="n">
        <x:f>IF(E8=0,"",I8-L8)</x:f>
        <x:v>61515.46155712963</x:v>
      </x:c>
      <x:c r="N8" s="32" t="n">
        <x:f>IF(L8=0,"",I8/L8)</x:f>
        <x:v>1.1460499226893253</x:v>
      </x:c>
      <x:c r="O8" s="34" t="n">
        <x:f>IF(L8=0,"",M8/L8)</x:f>
        <x:v>0.14604992268932535</x:v>
      </x:c>
    </x:row>
    <x:row r="9" ht="18" customHeight="1">
      <x:c r="A9" s="24" t="str">
        <x:v>Large reef assoc. fish (&gt;=90 cm)</x:v>
      </x:c>
      <x:c r="B9" s="33" t="n">
        <x:v>6</x:v>
      </x:c>
      <x:c r="C9" s="33" t="n">
        <x:v>6</x:v>
      </x:c>
      <x:c r="D9" s="31" t="n">
        <x:v>1430.9720084248002</x:v>
      </x:c>
      <x:c r="E9" s="31" t="n">
        <x:v>1430.9720084248002</x:v>
      </x:c>
      <x:c r="F9" s="32" t="n">
        <x:v>0</x:v>
      </x:c>
      <x:c r="G9" s="34" t="n">
        <x:v>1</x:v>
      </x:c>
      <x:c r="H9" s="32" t="n">
        <x:f>IF(E9=0,"",I9/E9)</x:f>
        <x:v>2185.7652248981603</x:v>
      </x:c>
      <x:c r="I9" s="31" t="n">
        <x:f>IF(C9=0,"",SUMIF('Species'!$G$2:$G$160,A9,'Species'!$U$2:$U$160))</x:f>
        <x:v>3127768.8538176054</x:v>
      </x:c>
      <x:c r="J9" s="32" t="n">
        <x:v>4.254533223790709</x:v>
      </x:c>
      <x:c r="K9" s="32" t="n">
        <x:f>IF(J9="","",(1/'Metadata'!$B$5)^(J9-1))</x:f>
        <x:v>1796.9385418014679</x:v>
      </x:c>
      <x:c r="L9" s="31" t="n">
        <x:f>IF(E9=0,"",E9*K9)</x:f>
        <x:v>2571368.7541775783</x:v>
      </x:c>
      <x:c r="M9" s="31" t="n">
        <x:f>IF(E9=0,"",I9-L9)</x:f>
        <x:v>556400.0996400272</x:v>
      </x:c>
      <x:c r="N9" s="32" t="n">
        <x:f>IF(L9=0,"",I9/L9)</x:f>
        <x:v>1.2163828500817204</x:v>
      </x:c>
      <x:c r="O9" s="34" t="n">
        <x:f>IF(L9=0,"",M9/L9)</x:f>
        <x:v>0.21638285008172042</x:v>
      </x:c>
    </x:row>
    <x:row r="10" ht="18" customHeight="1">
      <x:c r="A10" s="24" t="str">
        <x:v>Large sharks (&gt;=90 cm)</x:v>
      </x:c>
      <x:c r="B10" s="33" t="n">
        <x:v>8</x:v>
      </x:c>
      <x:c r="C10" s="33" t="n">
        <x:v>8</x:v>
      </x:c>
      <x:c r="D10" s="31" t="n">
        <x:v>1354.1295492469999</x:v>
      </x:c>
      <x:c r="E10" s="31" t="n">
        <x:v>1354.1295492469999</x:v>
      </x:c>
      <x:c r="F10" s="32" t="n">
        <x:v>0</x:v>
      </x:c>
      <x:c r="G10" s="34" t="n">
        <x:v>1</x:v>
      </x:c>
      <x:c r="H10" s="32" t="n">
        <x:f>IF(E10=0,"",I10/E10)</x:f>
        <x:v>2164.1094617177873</x:v>
      </x:c>
      <x:c r="I10" s="31" t="n">
        <x:f>IF(C10=0,"",SUMIF('Species'!$G$2:$G$160,A10,'Species'!$U$2:$U$160))</x:f>
        <x:v>2930484.569917075</x:v>
      </x:c>
      <x:c r="J10" s="32" t="n">
        <x:v>4.239459567387304</x:v>
      </x:c>
      <x:c r="K10" s="32" t="n">
        <x:f>IF(J10="","",(1/'Metadata'!$B$5)^(J10-1))</x:f>
        <x:v>1735.6396681098247</x:v>
      </x:c>
      <x:c r="L10" s="31" t="n">
        <x:f>IF(E10=0,"",E10*K10)</x:f>
        <x:v>2350280.9614327694</x:v>
      </x:c>
      <x:c r="M10" s="31" t="n">
        <x:f>IF(E10=0,"",I10-L10)</x:f>
        <x:v>580203.6084843054</x:v>
      </x:c>
      <x:c r="N10" s="32" t="n">
        <x:f>IF(L10=0,"",I10/L10)</x:f>
        <x:v>1.246865637770645</x:v>
      </x:c>
      <x:c r="O10" s="34" t="n">
        <x:f>IF(L10=0,"",M10/L10)</x:f>
        <x:v>0.24686563777064505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1371.610939051</x:v>
      </x:c>
      <x:c r="E11" s="31" t="n">
        <x:v>1371.610939051</x:v>
      </x:c>
      <x:c r="F11" s="32" t="n">
        <x:v>0</x:v>
      </x:c>
      <x:c r="G11" s="34" t="n">
        <x:v>1</x:v>
      </x:c>
      <x:c r="H11" s="32" t="n">
        <x:f>IF(E11=0,"",I11/E11)</x:f>
        <x:v>77.27824255759502</x:v>
      </x:c>
      <x:c r="I11" s="31" t="n">
        <x:f>IF(C11=0,"",SUMIF('Species'!$G$2:$G$160,A11,'Species'!$U$2:$U$160))</x:f>
        <x:v>105995.68284263386</x:v>
      </x:c>
      <x:c r="J11" s="32" t="n">
        <x:v>2.881912261640582</x:v>
      </x:c>
      <x:c r="K11" s="32" t="n">
        <x:f>IF(J11="","",(1/'Metadata'!$B$5)^(J11-1))</x:f>
        <x:v>76.19250665348304</x:v>
      </x:c>
      <x:c r="L11" s="31" t="n">
        <x:f>IF(E11=0,"",E11*K11)</x:f>
        <x:v>104506.47559963344</x:v>
      </x:c>
      <x:c r="M11" s="31" t="n">
        <x:f>IF(E11=0,"",I11-L11)</x:f>
        <x:v>1489.207243000419</x:v>
      </x:c>
      <x:c r="N11" s="32" t="n">
        <x:f>IF(L11=0,"",I11/L11)</x:f>
        <x:v>1.0142499039839943</x:v>
      </x:c>
      <x:c r="O11" s="34" t="n">
        <x:f>IF(L11=0,"",M11/L11)</x:f>
        <x:v>0.014249903983994295</x:v>
      </x:c>
    </x:row>
    <x:row r="12" ht="18" customHeight="1">
      <x:c r="A12" s="24" t="str">
        <x:v>Medium bathydemersals (30 - 89 cm)</x:v>
      </x:c>
      <x:c r="B12" s="33" t="n">
        <x:v>4</x:v>
      </x:c>
      <x:c r="C12" s="33" t="n">
        <x:v>4</x:v>
      </x:c>
      <x:c r="D12" s="31" t="n">
        <x:v>1369.4448917422</x:v>
      </x:c>
      <x:c r="E12" s="31" t="n">
        <x:v>1369.4448917422</x:v>
      </x:c>
      <x:c r="F12" s="32" t="n">
        <x:v>0</x:v>
      </x:c>
      <x:c r="G12" s="34" t="n">
        <x:v>1</x:v>
      </x:c>
      <x:c r="H12" s="32" t="n">
        <x:f>IF(E12=0,"",I12/E12)</x:f>
        <x:v>2695.8254154438546</x:v>
      </x:c>
      <x:c r="I12" s="31" t="n">
        <x:f>IF(C12=0,"",SUMIF('Species'!$G$2:$G$160,A12,'Species'!$U$2:$U$160))</x:f>
        <x:v>3691784.3442083807</x:v>
      </x:c>
      <x:c r="J12" s="32" t="n">
        <x:v>4.390260198037526</x:v>
      </x:c>
      <x:c r="K12" s="32" t="n">
        <x:f>IF(J12="","",(1/'Metadata'!$B$5)^(J12-1))</x:f>
        <x:v>2456.180041481221</x:v>
      </x:c>
      <x:c r="L12" s="31" t="n">
        <x:f>IF(E12=0,"",E12*K12)</x:f>
        <x:v>3363603.211005603</x:v>
      </x:c>
      <x:c r="M12" s="31" t="n">
        <x:f>IF(E12=0,"",I12-L12)</x:f>
        <x:v>328181.1332027777</x:v>
      </x:c>
      <x:c r="N12" s="32" t="n">
        <x:f>IF(L12=0,"",I12/L12)</x:f>
        <x:v>1.0975683255768633</x:v>
      </x:c>
      <x:c r="O12" s="34" t="n">
        <x:f>IF(L12=0,"",M12/L12)</x:f>
        <x:v>0.09756832557686336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37.2599518834</x:v>
      </x:c>
      <x:c r="E13" s="31" t="n">
        <x:v>37.2599518834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IF(C13=0,"",SUMIF('Species'!$G$2:$G$160,A13,'Species'!$U$2:$U$160))</x:f>
        <x:v>44796.31498496792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44796.31498496792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17</x:v>
      </x:c>
      <x:c r="C14" s="33" t="n">
        <x:v>17</x:v>
      </x:c>
      <x:c r="D14" s="31" t="n">
        <x:v>14241.616087127</x:v>
      </x:c>
      <x:c r="E14" s="31" t="n">
        <x:v>14241.616087127</x:v>
      </x:c>
      <x:c r="F14" s="32" t="n">
        <x:v>0</x:v>
      </x:c>
      <x:c r="G14" s="34" t="n">
        <x:v>1</x:v>
      </x:c>
      <x:c r="H14" s="32" t="n">
        <x:f>IF(E14=0,"",I14/E14)</x:f>
        <x:v>462.3572908963927</x:v>
      </x:c>
      <x:c r="I14" s="31" t="n">
        <x:f>IF(C14=0,"",SUMIF('Species'!$G$2:$G$160,A14,'Species'!$U$2:$U$160))</x:f>
        <x:v>6584715.032030525</x:v>
      </x:c>
      <x:c r="J14" s="32" t="n">
        <x:v>3.484196098699917</x:v>
      </x:c>
      <x:c r="K14" s="32" t="n">
        <x:f>IF(J14="","",(1/'Metadata'!$B$5)^(J14-1))</x:f>
        <x:v>304.9271528424669</x:v>
      </x:c>
      <x:c r="L14" s="31" t="n">
        <x:f>IF(E14=0,"",E14*K14)</x:f>
        <x:v>4342655.445323111</x:v>
      </x:c>
      <x:c r="M14" s="31" t="n">
        <x:f>IF(E14=0,"",I14-L14)</x:f>
        <x:v>2242059.586707414</x:v>
      </x:c>
      <x:c r="N14" s="32" t="n">
        <x:f>IF(L14=0,"",I14/L14)</x:f>
        <x:v>1.5162876988369027</x:v>
      </x:c>
      <x:c r="O14" s="34" t="n">
        <x:f>IF(L14=0,"",M14/L14)</x:f>
        <x:v>0.5162876988369028</x:v>
      </x:c>
    </x:row>
    <x:row r="15" ht="18" customHeight="1">
      <x:c r="A15" s="24" t="str">
        <x:v>Medium demersals (30 - 89 cm)</x:v>
      </x:c>
      <x:c r="B15" s="33" t="n">
        <x:v>19</x:v>
      </x:c>
      <x:c r="C15" s="33" t="n">
        <x:v>19</x:v>
      </x:c>
      <x:c r="D15" s="31" t="n">
        <x:v>23963.744119929295</x:v>
      </x:c>
      <x:c r="E15" s="31" t="n">
        <x:v>23963.744119929295</x:v>
      </x:c>
      <x:c r="F15" s="32" t="n">
        <x:v>0</x:v>
      </x:c>
      <x:c r="G15" s="34" t="n">
        <x:v>1</x:v>
      </x:c>
      <x:c r="H15" s="32" t="n">
        <x:f>IF(E15=0,"",I15/E15)</x:f>
        <x:v>297.2286264461382</x:v>
      </x:c>
      <x:c r="I15" s="31" t="n">
        <x:f>IF(C15=0,"",SUMIF('Species'!$G$2:$G$160,A15,'Species'!$U$2:$U$160))</x:f>
        <x:v>7122710.749273306</x:v>
      </x:c>
      <x:c r="J15" s="32" t="n">
        <x:v>3.272943032743836</x:v>
      </x:c>
      <x:c r="K15" s="32" t="n">
        <x:f>IF(J15="","",(1/'Metadata'!$B$5)^(J15-1))</x:f>
        <x:v>187.47485775024444</x:v>
      </x:c>
      <x:c r="L15" s="31" t="n">
        <x:f>IF(E15=0,"",E15*K15)</x:f>
        <x:v>4492599.520047002</x:v>
      </x:c>
      <x:c r="M15" s="31" t="n">
        <x:f>IF(E15=0,"",I15-L15)</x:f>
        <x:v>2630111.229226304</x:v>
      </x:c>
      <x:c r="N15" s="32" t="n">
        <x:f>IF(L15=0,"",I15/L15)</x:f>
        <x:v>1.5854319347830024</x:v>
      </x:c>
      <x:c r="O15" s="34" t="n">
        <x:f>IF(L15=0,"",M15/L15)</x:f>
        <x:v>0.5854319347830025</x:v>
      </x:c>
    </x:row>
    <x:row r="16" ht="18" customHeight="1">
      <x:c r="A16" s="24" t="str">
        <x:v>Medium pelagics (30 - 89 cm)</x:v>
      </x:c>
      <x:c r="B16" s="33" t="n">
        <x:v>17</x:v>
      </x:c>
      <x:c r="C16" s="33" t="n">
        <x:v>17</x:v>
      </x:c>
      <x:c r="D16" s="31" t="n">
        <x:v>28979.364819229104</x:v>
      </x:c>
      <x:c r="E16" s="31" t="n">
        <x:v>28979.364819229104</x:v>
      </x:c>
      <x:c r="F16" s="32" t="n">
        <x:v>0</x:v>
      </x:c>
      <x:c r="G16" s="34" t="n">
        <x:v>1</x:v>
      </x:c>
      <x:c r="H16" s="32" t="n">
        <x:f>IF(E16=0,"",I16/E16)</x:f>
        <x:v>1138.271835253254</x:v>
      </x:c>
      <x:c r="I16" s="31" t="n">
        <x:f>IF(C16=0,"",SUMIF('Species'!$G$2:$G$160,A16,'Species'!$U$2:$U$160))</x:f>
        <x:v>32986394.777257495</x:v>
      </x:c>
      <x:c r="J16" s="32" t="n">
        <x:v>3.8737436302021773</x:v>
      </x:c>
      <x:c r="K16" s="32" t="n">
        <x:f>IF(J16="","",(1/'Metadata'!$B$5)^(J16-1))</x:f>
        <x:v>747.727976454809</x:v>
      </x:c>
      <x:c r="L16" s="31" t="n">
        <x:f>IF(E16=0,"",E16*K16)</x:f>
        <x:v>21668681.81522786</x:v>
      </x:c>
      <x:c r="M16" s="31" t="n">
        <x:f>IF(E16=0,"",I16-L16)</x:f>
        <x:v>11317712.962029636</x:v>
      </x:c>
      <x:c r="N16" s="32" t="n">
        <x:f>IF(L16=0,"",I16/L16)</x:f>
        <x:v>1.52230740469298</x:v>
      </x:c>
      <x:c r="O16" s="34" t="n">
        <x:f>IF(L16=0,"",M16/L16)</x:f>
        <x:v>0.5223074046929801</x:v>
      </x:c>
    </x:row>
    <x:row r="17" ht="18" customHeight="1">
      <x:c r="A17" s="24" t="str">
        <x:v>Medium reef assoc. fish (30 - 89 cm)</x:v>
      </x:c>
      <x:c r="B17" s="33" t="n">
        <x:v>3</x:v>
      </x:c>
      <x:c r="C17" s="33" t="n">
        <x:v>3</x:v>
      </x:c>
      <x:c r="D17" s="31" t="n">
        <x:v>1152.58781572</x:v>
      </x:c>
      <x:c r="E17" s="31" t="n">
        <x:v>1152.58781572</x:v>
      </x:c>
      <x:c r="F17" s="32" t="n">
        <x:v>0</x:v>
      </x:c>
      <x:c r="G17" s="34" t="n">
        <x:v>1</x:v>
      </x:c>
      <x:c r="H17" s="32" t="n">
        <x:f>IF(E17=0,"",I17/E17)</x:f>
        <x:v>159.10485845129898</x:v>
      </x:c>
      <x:c r="I17" s="31" t="n">
        <x:f>IF(C17=0,"",SUMIF('Species'!$G$2:$G$160,A17,'Species'!$U$2:$U$160))</x:f>
        <x:v>183382.32127282248</x:v>
      </x:c>
      <x:c r="J17" s="32" t="n">
        <x:v>2.8640418964206122</x:v>
      </x:c>
      <x:c r="K17" s="32" t="n">
        <x:f>IF(J17="","",(1/'Metadata'!$B$5)^(J17-1))</x:f>
        <x:v>73.12096199268507</x:v>
      </x:c>
      <x:c r="L17" s="31" t="n">
        <x:f>IF(E17=0,"",E17*K17)</x:f>
        <x:v>84278.32986649402</x:v>
      </x:c>
      <x:c r="M17" s="31" t="n">
        <x:f>IF(E17=0,"",I17-L17)</x:f>
        <x:v>99103.99140632845</x:v>
      </x:c>
      <x:c r="N17" s="32" t="n">
        <x:f>IF(L17=0,"",I17/L17)</x:f>
        <x:v>2.1759130913405604</x:v>
      </x:c>
      <x:c r="O17" s="34" t="n">
        <x:f>IF(L17=0,"",M17/L17)</x:f>
        <x:v>1.1759130913405602</x:v>
      </x:c>
    </x:row>
    <x:row r="18" ht="18" customHeight="1">
      <x:c r="A18" s="24" t="str">
        <x:v>Other demersal invertebrates</x:v>
      </x:c>
      <x:c r="B18" s="33" t="n">
        <x:v>9</x:v>
      </x:c>
      <x:c r="C18" s="33" t="n">
        <x:v>9</x:v>
      </x:c>
      <x:c r="D18" s="31" t="n">
        <x:v>19946.766976518</x:v>
      </x:c>
      <x:c r="E18" s="31" t="n">
        <x:v>19946.766976518</x:v>
      </x:c>
      <x:c r="F18" s="32" t="n">
        <x:v>0</x:v>
      </x:c>
      <x:c r="G18" s="34" t="n">
        <x:v>1</x:v>
      </x:c>
      <x:c r="H18" s="32" t="n">
        <x:f>IF(E18=0,"",I18/E18)</x:f>
        <x:v>32.33731013037247</x:v>
      </x:c>
      <x:c r="I18" s="31" t="n">
        <x:f>IF(C18=0,"",SUMIF('Species'!$G$2:$G$160,A18,'Species'!$U$2:$U$160))</x:f>
        <x:v>645024.7898179346</x:v>
      </x:c>
      <x:c r="J18" s="32" t="n">
        <x:v>2.2312529960262024</x:v>
      </x:c>
      <x:c r="K18" s="32" t="n">
        <x:f>IF(J18="","",(1/'Metadata'!$B$5)^(J18-1))</x:f>
        <x:v>17.031503809935472</x:v>
      </x:c>
      <x:c r="L18" s="31" t="n">
        <x:f>IF(E18=0,"",E18*K18)</x:f>
        <x:v>339723.4377564614</x:v>
      </x:c>
      <x:c r="M18" s="31" t="n">
        <x:f>IF(E18=0,"",I18-L18)</x:f>
        <x:v>305301.35206147324</x:v>
      </x:c>
      <x:c r="N18" s="32" t="n">
        <x:f>IF(L18=0,"",I18/L18)</x:f>
        <x:v>1.8986761528073774</x:v>
      </x:c>
      <x:c r="O18" s="34" t="n">
        <x:f>IF(L18=0,"",M18/L18)</x:f>
        <x:v>0.8986761528073773</x:v>
      </x:c>
    </x:row>
    <x:row r="19" ht="18" customHeight="1">
      <x:c r="A19" s="24" t="str">
        <x:v>Shrimps</x:v>
      </x:c>
      <x:c r="B19" s="33" t="n">
        <x:v>7</x:v>
      </x:c>
      <x:c r="C19" s="33" t="n">
        <x:v>7</x:v>
      </x:c>
      <x:c r="D19" s="31" t="n">
        <x:v>11325.980721679502</x:v>
      </x:c>
      <x:c r="E19" s="31" t="n">
        <x:v>11325.980721679502</x:v>
      </x:c>
      <x:c r="F19" s="32" t="n">
        <x:v>0</x:v>
      </x:c>
      <x:c r="G19" s="34" t="n">
        <x:v>1</x:v>
      </x:c>
      <x:c r="H19" s="32" t="n">
        <x:f>IF(E19=0,"",I19/E19)</x:f>
        <x:v>295.9826345474055</x:v>
      </x:c>
      <x:c r="I19" s="31" t="n">
        <x:f>IF(C19=0,"",SUMIF('Species'!$G$2:$G$160,A19,'Species'!$U$2:$U$160))</x:f>
        <x:v>3352293.612835824</x:v>
      </x:c>
      <x:c r="J19" s="32" t="n">
        <x:v>3.3962419590863027</x:v>
      </x:c>
      <x:c r="K19" s="32" t="n">
        <x:f>IF(J19="","",(1/'Metadata'!$B$5)^(J19-1))</x:f>
        <x:v>249.02443251444282</x:v>
      </x:c>
      <x:c r="L19" s="31" t="n">
        <x:f>IF(E19=0,"",E19*K19)</x:f>
        <x:v>2820445.9218857572</x:v>
      </x:c>
      <x:c r="M19" s="31" t="n">
        <x:f>IF(E19=0,"",I19-L19)</x:f>
        <x:v>531847.6909500668</x:v>
      </x:c>
      <x:c r="N19" s="32" t="n">
        <x:f>IF(L19=0,"",I19/L19)</x:f>
        <x:v>1.1885686539220977</x:v>
      </x:c>
      <x:c r="O19" s="34" t="n">
        <x:f>IF(L19=0,"",M19/L19)</x:f>
        <x:v>0.18856865392209757</x:v>
      </x:c>
    </x:row>
    <x:row r="20" ht="18" customHeight="1">
      <x:c r="A20" s="24" t="str">
        <x:v>Small benthopelagics (&lt;30 cm)</x:v>
      </x:c>
      <x:c r="B20" s="33" t="n">
        <x:v>2</x:v>
      </x:c>
      <x:c r="C20" s="33" t="n">
        <x:v>2</x:v>
      </x:c>
      <x:c r="D20" s="31" t="n">
        <x:v>1778.121556621</x:v>
      </x:c>
      <x:c r="E20" s="31" t="n">
        <x:v>1778.121556621</x:v>
      </x:c>
      <x:c r="F20" s="32" t="n">
        <x:v>0</x:v>
      </x:c>
      <x:c r="G20" s="34" t="n">
        <x:v>1</x:v>
      </x:c>
      <x:c r="H20" s="32" t="n">
        <x:f>IF(E20=0,"",I20/E20)</x:f>
        <x:v>245.80751108080824</x:v>
      </x:c>
      <x:c r="I20" s="31" t="n">
        <x:f>IF(C20=0,"",SUMIF('Species'!$G$2:$G$160,A20,'Species'!$U$2:$U$160))</x:f>
        <x:v>437075.6342321405</x:v>
      </x:c>
      <x:c r="J20" s="32" t="n">
        <x:v>3.3878333778521807</x:v>
      </x:c>
      <x:c r="K20" s="32" t="n">
        <x:f>IF(J20="","",(1/'Metadata'!$B$5)^(J20-1))</x:f>
        <x:v>244.2493281847427</x:v>
      </x:c>
      <x:c r="L20" s="31" t="n">
        <x:f>IF(E20=0,"",E20*K20)</x:f>
        <x:v>434304.9956354882</x:v>
      </x:c>
      <x:c r="M20" s="31" t="n">
        <x:f>IF(E20=0,"",I20-L20)</x:f>
        <x:v>2770.6385966523085</x:v>
      </x:c>
      <x:c r="N20" s="32" t="n">
        <x:f>IF(L20=0,"",I20/L20)</x:f>
        <x:v>1.0063794766914855</x:v>
      </x:c>
      <x:c r="O20" s="34" t="n">
        <x:f>IF(L20=0,"",M20/L20)</x:f>
        <x:v>0.006379476691485499</x:v>
      </x:c>
    </x:row>
    <x:row r="21" ht="18" customHeight="1">
      <x:c r="A21" s="24" t="str">
        <x:v>Small demersals (&lt;30 cm)</x:v>
      </x:c>
      <x:c r="B21" s="33" t="n">
        <x:v>5</x:v>
      </x:c>
      <x:c r="C21" s="33" t="n">
        <x:v>5</x:v>
      </x:c>
      <x:c r="D21" s="31" t="n">
        <x:v>1795.718294578</x:v>
      </x:c>
      <x:c r="E21" s="31" t="n">
        <x:v>1795.718294578</x:v>
      </x:c>
      <x:c r="F21" s="32" t="n">
        <x:v>0</x:v>
      </x:c>
      <x:c r="G21" s="34" t="n">
        <x:v>1</x:v>
      </x:c>
      <x:c r="H21" s="32" t="n">
        <x:f>IF(E21=0,"",I21/E21)</x:f>
        <x:v>1009.5098774880247</x:v>
      </x:c>
      <x:c r="I21" s="31" t="n">
        <x:f>IF(C21=0,"",SUMIF('Species'!$G$2:$G$160,A21,'Species'!$U$2:$U$160))</x:f>
        <x:v>1812795.3555624415</x:v>
      </x:c>
      <x:c r="J21" s="32" t="n">
        <x:v>3.868956011651014</x:v>
      </x:c>
      <x:c r="K21" s="32" t="n">
        <x:f>IF(J21="","",(1/'Metadata'!$B$5)^(J21-1))</x:f>
        <x:v>739.5303665140882</x:v>
      </x:c>
      <x:c r="L21" s="31" t="n">
        <x:f>IF(E21=0,"",E21*K21)</x:f>
        <x:v>1327988.2085453218</x:v>
      </x:c>
      <x:c r="M21" s="31" t="n">
        <x:f>IF(E21=0,"",I21-L21)</x:f>
        <x:v>484807.1470171197</x:v>
      </x:c>
      <x:c r="N21" s="32" t="n">
        <x:f>IF(L21=0,"",I21/L21)</x:f>
        <x:v>1.3650688642395232</x:v>
      </x:c>
      <x:c r="O21" s="34" t="n">
        <x:f>IF(L21=0,"",M21/L21)</x:f>
        <x:v>0.36506886423952317</x:v>
      </x:c>
    </x:row>
    <x:row r="22" ht="18" customHeight="1">
      <x:c r="A22" s="24" t="str">
        <x:v>Small pelagics (&lt;30 cm)</x:v>
      </x:c>
      <x:c r="B22" s="33" t="n">
        <x:v>5</x:v>
      </x:c>
      <x:c r="C22" s="33" t="n">
        <x:v>5</x:v>
      </x:c>
      <x:c r="D22" s="31" t="n">
        <x:v>66392.42384845811</x:v>
      </x:c>
      <x:c r="E22" s="31" t="n">
        <x:v>66392.42384845811</x:v>
      </x:c>
      <x:c r="F22" s="32" t="n">
        <x:v>0</x:v>
      </x:c>
      <x:c r="G22" s="34" t="n">
        <x:v>1</x:v>
      </x:c>
      <x:c r="H22" s="32" t="n">
        <x:f>IF(E22=0,"",I22/E22)</x:f>
        <x:v>123.24175626101011</x:v>
      </x:c>
      <x:c r="I22" s="31" t="n">
        <x:f>IF(C22=0,"",SUMIF('Species'!$G$2:$G$160,A22,'Species'!$U$2:$U$160))</x:f>
        <x:v>8182318.91750935</x:v>
      </x:c>
      <x:c r="J22" s="32" t="n">
        <x:v>3.0895543227380684</x:v>
      </x:c>
      <x:c r="K22" s="32" t="n">
        <x:f>IF(J22="","",(1/'Metadata'!$B$5)^(J22-1))</x:f>
        <x:v>122.90069044995548</x:v>
      </x:c>
      <x:c r="L22" s="31" t="n">
        <x:f>IF(E22=0,"",E22*K22)</x:f>
        <x:v>8159674.731621592</x:v>
      </x:c>
      <x:c r="M22" s="31" t="n">
        <x:f>IF(E22=0,"",I22-L22)</x:f>
        <x:v>22644.18588775769</x:v>
      </x:c>
      <x:c r="N22" s="32" t="n">
        <x:f>IF(L22=0,"",I22/L22)</x:f>
        <x:v>1.0027751334008455</x:v>
      </x:c>
      <x:c r="O22" s="34" t="n">
        <x:f>IF(L22=0,"",M22/L22)</x:f>
        <x:v>0.002775133400845447</x:v>
      </x:c>
    </x:row>
    <x:row r="23" ht="18" customHeight="1">
      <x:c r="A23" s="24" t="str">
        <x:v>Small reef assoc. fish (&lt;30 cm)</x:v>
      </x:c>
      <x:c r="B23" s="33" t="n">
        <x:v>2</x:v>
      </x:c>
      <x:c r="C23" s="33" t="n">
        <x:v>2</x:v>
      </x:c>
      <x:c r="D23" s="31" t="n">
        <x:v>2983.209339707</x:v>
      </x:c>
      <x:c r="E23" s="31" t="n">
        <x:v>2983.209339707</x:v>
      </x:c>
      <x:c r="F23" s="32" t="n">
        <x:v>0</x:v>
      </x:c>
      <x:c r="G23" s="34" t="n">
        <x:v>1</x:v>
      </x:c>
      <x:c r="H23" s="32" t="n">
        <x:f>IF(E23=0,"",I23/E23)</x:f>
        <x:v>215.9093153124087</x:v>
      </x:c>
      <x:c r="I23" s="31" t="n">
        <x:f>IF(C23=0,"",SUMIF('Species'!$G$2:$G$160,A23,'Species'!$U$2:$U$160))</x:f>
        <x:v>644102.6859697212</x:v>
      </x:c>
      <x:c r="J23" s="32" t="n">
        <x:v>3.242267022105446</x:v>
      </x:c>
      <x:c r="K23" s="32" t="n">
        <x:f>IF(J23="","",(1/'Metadata'!$B$5)^(J23-1))</x:f>
        <x:v>174.689588622132</x:v>
      </x:c>
      <x:c r="L23" s="31" t="n">
        <x:f>IF(E23=0,"",E23*K23)</x:f>
        <x:v>521135.6123271178</x:v>
      </x:c>
      <x:c r="M23" s="31" t="n">
        <x:f>IF(E23=0,"",I23-L23)</x:f>
        <x:v>122967.07364260335</x:v>
      </x:c>
      <x:c r="N23" s="32" t="n">
        <x:f>IF(L23=0,"",I23/L23)</x:f>
        <x:v>1.2359598360463162</x:v>
      </x:c>
      <x:c r="O23" s="34" t="n">
        <x:f>IF(L23=0,"",M23/L23)</x:f>
        <x:v>0.23595983604631626</x:v>
      </x:c>
    </x:row>
    <x:row r="24" ht="18" customHeight="1">
      <x:c r="A24" s="24" t="str">
        <x:v>Small to medium flatfishes (&lt;90 cm)</x:v>
      </x:c>
      <x:c r="B24" s="33" t="n">
        <x:v>6</x:v>
      </x:c>
      <x:c r="C24" s="33" t="n">
        <x:v>6</x:v>
      </x:c>
      <x:c r="D24" s="31" t="n">
        <x:v>3057.009729213</x:v>
      </x:c>
      <x:c r="E24" s="31" t="n">
        <x:v>3057.009729213</x:v>
      </x:c>
      <x:c r="F24" s="32" t="n">
        <x:v>0</x:v>
      </x:c>
      <x:c r="G24" s="34" t="n">
        <x:v>1</x:v>
      </x:c>
      <x:c r="H24" s="32" t="n">
        <x:f>IF(E24=0,"",I24/E24)</x:f>
        <x:v>252.53867329690573</x:v>
      </x:c>
      <x:c r="I24" s="31" t="n">
        <x:f>IF(C24=0,"",SUMIF('Species'!$G$2:$G$160,A24,'Species'!$U$2:$U$160))</x:f>
        <x:v>772013.181271184</x:v>
      </x:c>
      <x:c r="J24" s="32" t="n">
        <x:v>3.307978346052598</x:v>
      </x:c>
      <x:c r="K24" s="32" t="n">
        <x:f>IF(J24="","",(1/'Metadata'!$B$5)^(J24-1))</x:f>
        <x:v>203.22556800270473</x:v>
      </x:c>
      <x:c r="L24" s="31" t="n">
        <x:f>IF(E24=0,"",E24*K24)</x:f>
        <x:v>621262.5386091064</x:v>
      </x:c>
      <x:c r="M24" s="31" t="n">
        <x:f>IF(E24=0,"",I24-L24)</x:f>
        <x:v>150750.64266207756</x:v>
      </x:c>
      <x:c r="N24" s="32" t="n">
        <x:f>IF(L24=0,"",I24/L24)</x:f>
        <x:v>1.2426520726641281</x:v>
      </x:c>
      <x:c r="O24" s="34" t="n">
        <x:f>IF(L24=0,"",M24/L24)</x:f>
        <x:v>0.24265207266412805</x:v>
      </x:c>
    </x:row>
    <x:row r="25" ht="18" customHeight="1">
      <x:c r="A25" s="24" t="str">
        <x:v>Small to medium rays (&lt;90 cm)</x:v>
      </x:c>
      <x:c r="B25" s="33" t="n">
        <x:v>2</x:v>
      </x:c>
      <x:c r="C25" s="33" t="n">
        <x:v>2</x:v>
      </x:c>
      <x:c r="D25" s="31" t="n">
        <x:v>101.314179815</x:v>
      </x:c>
      <x:c r="E25" s="31" t="n">
        <x:v>101.314179815</x:v>
      </x:c>
      <x:c r="F25" s="32" t="n">
        <x:v>0</x:v>
      </x:c>
      <x:c r="G25" s="34" t="n">
        <x:v>1</x:v>
      </x:c>
      <x:c r="H25" s="32" t="n">
        <x:f>IF(E25=0,"",I25/E25)</x:f>
        <x:v>400.36317132875564</x:v>
      </x:c>
      <x:c r="I25" s="31" t="n">
        <x:f>IF(C25=0,"",SUMIF('Species'!$G$2:$G$160,A25,'Species'!$U$2:$U$160))</x:f>
        <x:v>40562.4663313052</x:v>
      </x:c>
      <x:c r="J25" s="32" t="n">
        <x:v>3.5722764051597826</x:v>
      </x:c>
      <x:c r="K25" s="32" t="n">
        <x:f>IF(J25="","",(1/'Metadata'!$B$5)^(J25-1))</x:f>
        <x:v>373.4877871262962</x:v>
      </x:c>
      <x:c r="L25" s="31" t="n">
        <x:f>IF(E25=0,"",E25*K25)</x:f>
        <x:v>37839.608823620016</x:v>
      </x:c>
      <x:c r="M25" s="31" t="n">
        <x:f>IF(E25=0,"",I25-L25)</x:f>
        <x:v>2722.857507685185</x:v>
      </x:c>
      <x:c r="N25" s="32" t="n">
        <x:f>IF(L25=0,"",I25/L25)</x:f>
        <x:v>1.0719578661707925</x:v>
      </x:c>
      <x:c r="O25" s="34" t="n">
        <x:f>IF(L25=0,"",M25/L25)</x:f>
        <x:v>0.07195786617079242</x:v>
      </x:c>
    </x:row>
    <x:row r="26" ht="18" customHeight="1">
      <x:c r="A26" s="24" t="str">
        <x:v>Small to medium sharks (&lt;90 cm)</x:v>
      </x:c>
      <x:c r="B26" s="33" t="n">
        <x:v>3</x:v>
      </x:c>
      <x:c r="C26" s="33" t="n">
        <x:v>3</x:v>
      </x:c>
      <x:c r="D26" s="31" t="n">
        <x:v>1019.4234039350001</x:v>
      </x:c>
      <x:c r="E26" s="31" t="n">
        <x:v>1019.4234039350001</x:v>
      </x:c>
      <x:c r="F26" s="32" t="n">
        <x:v>0</x:v>
      </x:c>
      <x:c r="G26" s="34" t="n">
        <x:v>1</x:v>
      </x:c>
      <x:c r="H26" s="32" t="n">
        <x:f>IF(E26=0,"",I26/E26)</x:f>
        <x:v>1369.8310891934414</x:v>
      </x:c>
      <x:c r="I26" s="31" t="n">
        <x:f>IF(C26=0,"",SUMIF('Species'!$G$2:$G$160,A26,'Species'!$U$2:$U$160))</x:f>
        <x:v>1396437.8717615667</x:v>
      </x:c>
      <x:c r="J26" s="32" t="n">
        <x:v>4.123941181271336</x:v>
      </x:c>
      <x:c r="K26" s="32" t="n">
        <x:f>IF(J26="","",(1/'Metadata'!$B$5)^(J26-1))</x:f>
        <x:v>1330.274239915441</x:v>
      </x:c>
      <x:c r="L26" s="31" t="n">
        <x:f>IF(E26=0,"",E26*K26)</x:f>
        <x:v>1356112.693821644</x:v>
      </x:c>
      <x:c r="M26" s="31" t="n">
        <x:f>IF(E26=0,"",I26-L26)</x:f>
        <x:v>40325.17793992278</x:v>
      </x:c>
      <x:c r="N26" s="32" t="n">
        <x:f>IF(L26=0,"",I26/L26)</x:f>
        <x:v>1.02973586053994</x:v>
      </x:c>
      <x:c r="O26" s="34" t="n">
        <x:f>IF(L26=0,"",M26/L26)</x:f>
        <x:v>0.02973586053994002</x:v>
      </x:c>
    </x:row>
  </x:sheetData>
  <x:conditionalFormatting sqref="G2:G26">
    <x:cfRule type="cellIs" dxfId="2" priority="1" operator="lessThan">
      <x:formula>0.9</x:formula>
    </x:cfRule>
  </x:conditionalFormatting>
  <x:conditionalFormatting sqref="O2:O2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2dc63c444434c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EEZ_380</x:v>
      </x:c>
      <x:c r="B2" s="24" t="str">
        <x:v>raw_filtered_tonnes</x:v>
      </x:c>
      <x:c r="C2" s="24" t="n">
        <x:v>234477.5946714614</x:v>
      </x:c>
      <x:c r="D2" s="24" t="str">
        <x:v>tonnes</x:v>
      </x:c>
    </x:row>
    <x:row r="3" ht="18" customHeight="1">
      <x:c r="A3" s="24" t="str">
        <x:v>EEZ_380</x:v>
      </x:c>
      <x:c r="B3" s="24" t="str">
        <x:v>species_catch_tonnes</x:v>
      </x:c>
      <x:c r="C3" s="24" t="n">
        <x:v>234477.5946714614</x:v>
      </x:c>
      <x:c r="D3" s="24" t="str">
        <x:v>tonnes</x:v>
      </x:c>
    </x:row>
    <x:row r="4" ht="18" customHeight="1">
      <x:c r="A4" s="24" t="str">
        <x:v>EEZ_380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EEZ_380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EEZ_380</x:v>
      </x:c>
      <x:c r="B6" s="24" t="str">
        <x:v>matched_catch_tonnes</x:v>
      </x:c>
      <x:c r="C6" s="24" t="n">
        <x:v>234477.5946714614</x:v>
      </x:c>
      <x:c r="D6" s="24" t="str">
        <x:v>tonnes</x:v>
      </x:c>
    </x:row>
    <x:row r="7" ht="18" customHeight="1">
      <x:c r="A7" s="24" t="str">
        <x:v>EEZ_380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EEZ_380</x:v>
      </x:c>
      <x:c r="B8" s="24" t="str">
        <x:v>taxa_count</x:v>
      </x:c>
      <x:c r="C8" s="24" t="n">
        <x:v>159</x:v>
      </x:c>
      <x:c r="D8" s="24" t="str">
        <x:v>count</x:v>
      </x:c>
    </x:row>
    <x:row r="9" ht="18" customHeight="1">
      <x:c r="A9" s="24" t="str">
        <x:v>EEZ_380</x:v>
      </x:c>
      <x:c r="B9" s="24" t="str">
        <x:v>matched_taxa_count</x:v>
      </x:c>
      <x:c r="C9" s="24" t="n">
        <x:v>159</x:v>
      </x:c>
      <x:c r="D9" s="24" t="str">
        <x:v>count</x:v>
      </x:c>
    </x:row>
    <x:row r="10" ht="18" customHeight="1">
      <x:c r="A10" s="24" t="str">
        <x:v>EEZ_380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EEZ_380</x:v>
      </x:c>
      <x:c r="B11" s="24" t="str">
        <x:v>species_ppr</x:v>
      </x:c>
      <x:c r="C11" s="24" t="n">
        <x:v>166295145.49936318</x:v>
      </x:c>
      <x:c r="D11" s="24" t="str">
        <x:v>tonnes_primary_production_equivalent</x:v>
      </x:c>
    </x:row>
    <x:row r="12" ht="18" customHeight="1">
      <x:c r="A12" s="24" t="str">
        <x:v>EEZ_380</x:v>
      </x:c>
      <x:c r="B12" s="24" t="str">
        <x:v>commercial_ppr</x:v>
      </x:c>
      <x:c r="C12" s="24" t="n">
        <x:v>166295145.49936318</x:v>
      </x:c>
      <x:c r="D12" s="24" t="str">
        <x:v>tonnes_primary_production_equivalent</x:v>
      </x:c>
    </x:row>
    <x:row r="13" ht="18" customHeight="1">
      <x:c r="A13" s="24" t="str">
        <x:v>EEZ_380</x:v>
      </x:c>
      <x:c r="B13" s="24" t="str">
        <x:v>functional_ppr</x:v>
      </x:c>
      <x:c r="C13" s="24" t="n">
        <x:v>166295145.49936315</x:v>
      </x:c>
      <x:c r="D13" s="24" t="str">
        <x:v>tonnes_primary_production_equivalent</x:v>
      </x:c>
    </x:row>
    <x:row r="14" ht="18" customHeight="1">
      <x:c r="A14" s="24" t="str">
        <x:v>EEZ_380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EEZ_380</x:v>
      </x:c>
      <x:c r="B15" s="24" t="str">
        <x:v>functional_ppr_difference</x:v>
      </x:c>
      <x:c r="C15" s="24" t="n">
        <x:v>-2.9802322387695312e-8</x:v>
      </x:c>
      <x:c r="D15" s="24" t="str">
        <x:v>tonnes_primary_production_equivalent</x:v>
      </x:c>
    </x:row>
    <x:row r="16" ht="18" customHeight="1">
      <x:c r="A16" s="24" t="str">
        <x:v>EEZ_380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EEZ_380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EEZ_380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EEZ_380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619f8f4f7d64d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EEZ_380 - Italy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EEZ_380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